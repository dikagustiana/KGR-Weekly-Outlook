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2.xml.rels" ContentType="application/vnd.openxmlformats-package.relationships+xml"/>
  <Override PartName="/xl/worksheets/_rels/sheet21.xml.rels" ContentType="application/vnd.openxmlformats-package.relationships+xml"/>
  <Override PartName="/xl/worksheets/_rels/sheet2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tes" sheetId="1" state="visible" r:id="rId3"/>
    <sheet name="Tally" sheetId="2" state="visible" r:id="rId4"/>
    <sheet name="MTM Bridge" sheetId="3" state="visible" r:id="rId5"/>
    <sheet name="Batch Ops KPI" sheetId="4" state="visible" r:id="rId6"/>
    <sheet name="RPA KPI vs Budget" sheetId="5" state="visible" r:id="rId7"/>
    <sheet name="Segment GP" sheetId="6" state="visible" r:id="rId8"/>
    <sheet name="GP Waterfall" sheetId="7" state="visible" r:id="rId9"/>
    <sheet name="Vintage" sheetId="8" state="visible" r:id="rId10"/>
    <sheet name="Unbilled" sheetId="9" state="visible" r:id="rId11"/>
    <sheet name="RPA Loss Bridge" sheetId="10" state="visible" r:id="rId12"/>
    <sheet name="Batch Economics" sheetId="11" state="visible" r:id="rId13"/>
    <sheet name="SKU Summary" sheetId="12" state="visible" r:id="rId14"/>
    <sheet name="Karkas Detail" sheetId="13" state="visible" r:id="rId15"/>
    <sheet name="By-product" sheetId="14" state="visible" r:id="rId16"/>
    <sheet name="Fresh vs Frozen" sheetId="15" state="visible" r:id="rId17"/>
    <sheet name="Monthly by SKU" sheetId="16" state="visible" r:id="rId18"/>
    <sheet name="COS Others" sheetId="17" state="visible" r:id="rId19"/>
    <sheet name="Recon to FS" sheetId="18" state="visible" r:id="rId20"/>
    <sheet name="Deck Feed" sheetId="19" state="visible" r:id="rId21"/>
    <sheet name="Data SKU" sheetId="20" state="visible" r:id="rId22"/>
    <sheet name="MA Engine" sheetId="21" state="visible" r:id="rId23"/>
    <sheet name="I_Sales_Inv" sheetId="22" state="visible" r:id="rId24"/>
    <sheet name="I_Batch_Ops" sheetId="23" state="visible" r:id="rId25"/>
    <sheet name="I_Items" sheetId="24" state="visible" r:id="rId26"/>
    <sheet name="I_GL" sheetId="25" state="visible" r:id="rId27"/>
  </sheets>
  <definedNames>
    <definedName function="false" hidden="true" localSheetId="19" name="_xlnm._FilterDatabase" vbProcedure="false">'Data SKU'!$A$4:$P$116</definedName>
    <definedName function="false" hidden="true" localSheetId="21" name="_xlnm._FilterDatabase" vbProcedure="false">I_Sales_Inv!$A$4:$N$228</definedName>
    <definedName function="false" hidden="true" localSheetId="20" name="_xlnm._FilterDatabase" vbProcedure="false">'MA Engine'!$A$5:$AM$1110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<sst xmlns="http://schemas.openxmlformats.org/spreadsheetml/2006/main" count="13751" uniqueCount="2937">
  <si>
    <t xml:space="preserve">KGR — WORKING PAPER SALES, SKU AND SEGMENT GROSS PROFIT — August 2026 (v7, rebuilt)</t>
  </si>
  <si>
    <t xml:space="preserve">Purpose</t>
  </si>
  <si>
    <t xml:space="preserve">Gross profit per segment (RPA, Trading) March–August 2026, with the 10 August invoices that have no SI moved to the segment of their items and re-costed; a GP-margin waterfall July→August per segment (NMG method); August sales split by vintage; SKU, form, karkas-size, by-product and batch economics; why the RPA loses money.</t>
  </si>
  <si>
    <t xml:space="preserve">FS basis</t>
  </si>
  <si>
    <t xml:space="preserve">Accounting team's FS_KGR_Aug_2026.xlsx (Agt 26 GL incl. the undated adjustment rows at the bottom; PL - Performance; TB Accurate). "Aug as booked" in Segment GP ties to PL - Performance to the rupiah.</t>
  </si>
  <si>
    <t xml:space="preserve">Sources</t>
  </si>
  <si>
    <t xml:space="preserve">inventory_valuation_terbaru.xls (1 Jul–31 Aug, printed 23 Sep 23.25; 95 items, 993 lines) + 25 dormant items from WP v6 · sales_details.xls via WP v6 (invoiced kg/revenue; invoices unchanged) · Dika's schedule of the 4 MJ invoices (item, kg, cost 31/8) · FS_KGR_Aug_2026.xlsx sheet Sheet1 (10 invoices) · GL live-bird PIs for batch cost.</t>
  </si>
  <si>
    <t xml:space="preserve">Colour code</t>
  </si>
  <si>
    <t xml:space="preserve">Blue = input from a source file. Black = formula. Green = link to another sheet. Yellow fill = assumption you may edit (segment of the 6 invoices, line prices, cost-of-sales overrides, kg-share override, benchmarks, lemak price).</t>
  </si>
  <si>
    <t xml:space="preserve">How the unbilled invoices are treated</t>
  </si>
  <si>
    <t xml:space="preserve">As booked, all 10 sit in RPA (4101013 in "Revenue - LB", all HPP in 5100004 and credited to 1104003). Adj-1 moves each line to the segment of its item code at the HPP booked; Adj-2 re-costs the 4 MJ invoices at the moving average on the SJ date (MA Engine replay B); Adj-3 is the knock-on on later DOs once those kg leave stock. The 6 invoices without item detail keep the HPP booked in Agt 26 (FS version of 24 Sep: 226 and 311 re-estimated) and follow Dika's segment tag in Agt 26 (201, 232 RPA; 226 Trading); untagged 243, 257, 311 sit in RPA — change per invoice in Unbilled column N.</t>
  </si>
  <si>
    <t xml:space="preserve">MA Engine</t>
  </si>
  <si>
    <t xml:space="preserve">Replays Accurate's moving average row by row. Replay A (as posted) reproduces Accurate's DO cost to Rp7 in total — proof the engine is Accurate's own method. Adjustments (IA) and job rows keep booked value. DO KGR26.00231 (JLB0822) left more than the stock on hand; Accurate's cost is kept. Changing a kg in Unbilled recalculates B. Changing an item code or SJ date needs the engine regenerated (row position).</t>
  </si>
  <si>
    <t xml:space="preserve">Vintage method</t>
  </si>
  <si>
    <t xml:space="preserve">Accurate keeps no lots. Point estimate = FIFO row by row in MA Engine (cols AE–AM): each outflow takes the stock on hand at 1 Jul first, then July receipts, then August receipts, and carries the HPP Accurate booked on that DO split by kg. Buckets therefore add up to booked HPP — no moving-average bar (NMG style, Dika 24 Sep). Lower bound = new stock first at the item's average booked HPP/kg. Revenue per item = its kg share of the invoiced revenue of its SKU-form (karkas: size-form) + its unbilled lines.</t>
  </si>
  <si>
    <t xml:space="preserve">Batch data</t>
  </si>
  <si>
    <t xml:space="preserve">Ops costing file 202608_Data_COGS_LB.xlsx (12 Pot_ISA sheets, Pot_ISA20 REV for 20 Aug) in I_Batch_Ops: output per item ties to Accurate receipts per batch; cost ties to GRN. Batch Economics shows output, yields on live-bird kg (ops definition) and on processed kg, value at the ops price list and at August realised prices, karkas size mix and cost/kg by product (ops allocation vs Accurate). 8 Aug: 323.8 kg usus discarded (limbah), not in stock.</t>
  </si>
  <si>
    <t xml:space="preserve">Waterfall method</t>
  </si>
  <si>
    <t xml:space="preserve">Bar = August revenue share of the bucket × (bucket product margin − July GP margin). Moving-average effect, cost of sales others and items outside the split (revenue with no SI, invoices without item) are separate bars. Consolidated: rate effect per segment + segment mix + unknown-segment invoices. Bars add exactly (Tally).</t>
  </si>
  <si>
    <t xml:space="preserve">Cost of sales others</t>
  </si>
  <si>
    <t xml:space="preserve">Expedition (5100002/07/10) and blasting (5100009) are inside Gross Profit in the accounting mapping. Segment GP shows them SEPARATELY at KGR level (Dika, 24 Sep): segment gross profit = revenue − product COGS. Sheet COS Others still attributes every journal line by vendor/narrative (shared lines by kg) as information; switch COS Others B3 to Yes to push that attribution into the segments. Storage, handling and packaging stay below GP as in the FS.</t>
  </si>
  <si>
    <t xml:space="preserve">What changed vs WP v6</t>
  </si>
  <si>
    <t xml:space="preserve">(1) FS basis = accounting FS. (2) Accurate re-costed August: JLB DO −Rp31.7m, karkas/by-product split at GRN, TRD −Rp6.7m. (3) GR26080012 now has 5,641.6 kg karkas (1,577.7 kg Karkas 1.0 Fresh Premium posted) — its yield is normal; the old −Rp61m "short batch" driver is gone. (4) 10 unbilled invoices added (6 new by Dika). (5) Segment GP, vintage and waterfall added. (6) Stock Carry-over replaced by Vintage. (7) Months now tie to GL at SKU level: three GL-only rows in Data SKU — Apr RPA Rp22.1m SI COGS not matched to a DO (v6), Jul Trading Rp9.2m PI26070074 kulit posted straight to COGS (no GRN, no sale — for accounting), Jul RPA −Rp81k MJ26070009. Stock ties to GL at 30 Jun, 31 Jul and 31 Aug.</t>
  </si>
  <si>
    <t xml:space="preserve">KPI vs budget</t>
  </si>
  <si>
    <t xml:space="preserve">Sheet RPA KPI vs Budget: 19 driver KPIs (volume, live bird, process, output mix, prices, conversion, result per kg) with the budget value copied from KGR_-_Budget_Manufacturing_v3.xlsx (sheet!cell shown, blue) and August actual linked to this WP. Budget models the own plant from Sep-26; August was still maklon at ISA — conversion and utilisation are shown for direction only.</t>
  </si>
  <si>
    <t xml:space="preserve">Open items (need Dika / accounting)</t>
  </si>
  <si>
    <t xml:space="preserve">See Unbilled section E: item detail for 201/226/232/243/257/311; 4 lines that drive stock negative; DO 257 vs invoice 257; IA26080003/06 segment; green cells in the image; numbers 209 and 360–368. Also COS Others flags: Sendang Rejeki July blasting assumed Trading; Jatiasih Jul–Aug assumed RPA; MJ26080009 possibly duplicates PI26080012 (Rp1.4m blasting + packaging).</t>
  </si>
  <si>
    <t xml:space="preserve">Sheet map</t>
  </si>
  <si>
    <t xml:space="preserve">MTM Bridge (KPI matrix, revenue bridge, customers, margin drivers, spread, opex/NIBT) → Segment GP → GP Waterfall → Vintage → Unbilled → RPA Loss Bridge → Batch Economics → SKU Summary → Karkas Detail → By-product → Fresh vs Frozen → Monthly by SKU → COS Others → Recon to FS → Deck Feed → Data SKU → MA Engine → I_Sales_Inv (invoice × customer) → I_Items → I_GL.</t>
  </si>
  <si>
    <t xml:space="preserve">TALLY — every total checked against its source</t>
  </si>
  <si>
    <t xml:space="preserve">Status OK = within tolerance. "OK (known)" = the difference equals a documented item (Expected column). BREAK = investigate.</t>
  </si>
  <si>
    <t xml:space="preserve">#</t>
  </si>
  <si>
    <t xml:space="preserve">Area</t>
  </si>
  <si>
    <t xml:space="preserve">Check</t>
  </si>
  <si>
    <t xml:space="preserve">WP value</t>
  </si>
  <si>
    <t xml:space="preserve">Reference</t>
  </si>
  <si>
    <t xml:space="preserve">Difference</t>
  </si>
  <si>
    <t xml:space="preserve">Expected
(known item)</t>
  </si>
  <si>
    <t xml:space="preserve">Tol.</t>
  </si>
  <si>
    <t xml:space="preserve">Status</t>
  </si>
  <si>
    <t xml:space="preserve">Note</t>
  </si>
  <si>
    <t xml:space="preserve">Replay A reproduces Accurate DO cost (sum A − booked)</t>
  </si>
  <si>
    <t xml:space="preserve">Moving average replayed row by row; DO KGR26.00231 (JLB0822, stock negative in Accurate) kept at booked cost</t>
  </si>
  <si>
    <t xml:space="preserve">Closing kg per engine A = Accurate closing kg (sum of abs diff)</t>
  </si>
  <si>
    <t xml:space="preserve">Closing Rp per engine A = Accurate closing Rp (sum of abs diff)</t>
  </si>
  <si>
    <t xml:space="preserve">Aug DO cost RPA excl. DO 257 (engine A) = GL 5100004+05 less unbilled HPP</t>
  </si>
  <si>
    <t xml:space="preserve">Aug DO cost Trading (engine A) = GL 5100011</t>
  </si>
  <si>
    <t xml:space="preserve">DO KGR26.00257 cost = GL 1104002 In Transit 31 Aug</t>
  </si>
  <si>
    <t xml:space="preserve">Aug receipts RPA (engine) = live-bird GRN value in GL (2103011)</t>
  </si>
  <si>
    <t xml:space="preserve">Unbilled lines: stock goes negative after posting (count)</t>
  </si>
  <si>
    <t xml:space="preserve">TRD0021, JLB1857, TRD0027, TRD0024 — item code to be confirmed (Unbilled open item 2)</t>
  </si>
  <si>
    <t xml:space="preserve">Data SKU</t>
  </si>
  <si>
    <t xml:space="preserve">Aug invoiced kg = engine DO kg excl. DO 257</t>
  </si>
  <si>
    <t xml:space="preserve">Aug invoiced revenue RPA = GL revenue RPA</t>
  </si>
  <si>
    <t xml:space="preserve">Sampel usus/limbah April Rp629,600 reclassed from DP to 4101007 in Aug — no SI, so not in sales_details</t>
  </si>
  <si>
    <t xml:space="preserve">Aug invoiced revenue Trading = GL revenue Trading</t>
  </si>
  <si>
    <t xml:space="preserve">Mar-26 RPA: SKU revenue = Segment GP revenue</t>
  </si>
  <si>
    <t xml:space="preserve">Mar-26 RPA: SKU product cost = Segment GP COGS</t>
  </si>
  <si>
    <t xml:space="preserve">Mar-26 Trading: SKU revenue = Segment GP revenue</t>
  </si>
  <si>
    <t xml:space="preserve">Mar-26 Trading: SKU product cost = Segment GP COGS</t>
  </si>
  <si>
    <t xml:space="preserve">Apr-26 RPA: SKU revenue = Segment GP revenue</t>
  </si>
  <si>
    <t xml:space="preserve">Apr-26 RPA: SKU product cost = Segment GP COGS</t>
  </si>
  <si>
    <t xml:space="preserve">Apr-26 Trading: SKU revenue = Segment GP revenue</t>
  </si>
  <si>
    <t xml:space="preserve">Apr-26 Trading: SKU product cost = Segment GP COGS</t>
  </si>
  <si>
    <t xml:space="preserve">May-26 RPA: SKU revenue = Segment GP revenue</t>
  </si>
  <si>
    <t xml:space="preserve">May-26 RPA: SKU product cost = Segment GP COGS</t>
  </si>
  <si>
    <t xml:space="preserve">May-26 Trading: SKU revenue = Segment GP revenue</t>
  </si>
  <si>
    <t xml:space="preserve">May-26 Trading: SKU product cost = Segment GP COGS</t>
  </si>
  <si>
    <t xml:space="preserve">Jun-26 RPA: SKU revenue = Segment GP revenue</t>
  </si>
  <si>
    <t xml:space="preserve">Jun-26 RPA: SKU product cost = Segment GP COGS</t>
  </si>
  <si>
    <t xml:space="preserve">Jun-26 Trading: SKU revenue = Segment GP revenue</t>
  </si>
  <si>
    <t xml:space="preserve">Jun-26 Trading: SKU product cost = Segment GP COGS</t>
  </si>
  <si>
    <t xml:space="preserve">Jul-26 RPA: SKU revenue = Segment GP revenue</t>
  </si>
  <si>
    <t xml:space="preserve">Jul-26 RPA: SKU product cost = Segment GP COGS</t>
  </si>
  <si>
    <t xml:space="preserve">Jul-26 Trading: SKU revenue = Segment GP revenue</t>
  </si>
  <si>
    <t xml:space="preserve">Jul-26 Trading: SKU product cost = Segment GP COGS</t>
  </si>
  <si>
    <t xml:space="preserve">Aug-26 RPA: SKU revenue = Segment GP revenue (corrected)</t>
  </si>
  <si>
    <t xml:space="preserve">Aug-26 RPA: SKU product cost = Segment GP COGS (corrected)</t>
  </si>
  <si>
    <t xml:space="preserve">Aug: MA replay reproduces Accurate within Rp7</t>
  </si>
  <si>
    <t xml:space="preserve">Aug-26 Trading: SKU revenue = Segment GP revenue (corrected)</t>
  </si>
  <si>
    <t xml:space="preserve">Aug-26 Trading: SKU product cost = Segment GP COGS (corrected)</t>
  </si>
  <si>
    <t xml:space="preserve">Recon to FS</t>
  </si>
  <si>
    <t xml:space="preserve">Inventory 30 Jun: GL − subledger, RPA</t>
  </si>
  <si>
    <t xml:space="preserve">Inventory 30 Jun: GL − subledger, Trading + packaging</t>
  </si>
  <si>
    <t xml:space="preserve">Rupiah rounding of the moving average</t>
  </si>
  <si>
    <t xml:space="preserve">Inventory 31 Jul: GL − subledger, RPA</t>
  </si>
  <si>
    <t xml:space="preserve">MJ26070009</t>
  </si>
  <si>
    <t xml:space="preserve">Inventory 31 Jul: GL − subledger, Trading + packaging</t>
  </si>
  <si>
    <t xml:space="preserve">Aug corrected cost − as booked = unbilled re-cost + DO re-cost</t>
  </si>
  <si>
    <t xml:space="preserve">Unbilled</t>
  </si>
  <si>
    <t xml:space="preserve">Σ invoice value = GL 4101013 Unbilled Revenue</t>
  </si>
  <si>
    <t xml:space="preserve">Σ HPP booked = MJ26080015–18 + undated adj rows on 5100004</t>
  </si>
  <si>
    <t xml:space="preserve">Σ short-paid = GL 1103123 Unbilled AR remaining 31 Aug</t>
  </si>
  <si>
    <t xml:space="preserve">GL 1103123 balance per Agt 26</t>
  </si>
  <si>
    <t xml:space="preserve">Item lines kg = ops kg for the 4 MJ invoices</t>
  </si>
  <si>
    <t xml:space="preserve">Item line revenue = invoice value (4 MJ)</t>
  </si>
  <si>
    <t xml:space="preserve">Segment GP</t>
  </si>
  <si>
    <t xml:space="preserve">Adj-1 nets to nil — revenue</t>
  </si>
  <si>
    <t xml:space="preserve">Adj-1 nets to nil — COGS</t>
  </si>
  <si>
    <t xml:space="preserve">GP as booked = PL - Performance, Mar–Aug (sum of abs diff)</t>
  </si>
  <si>
    <t xml:space="preserve">Aug corrected GP = as booked + Adj-2 + Adj-3</t>
  </si>
  <si>
    <t xml:space="preserve">RPA + Trading + not in a segment = total GP, Mar–Aug</t>
  </si>
  <si>
    <t xml:space="preserve">Aug corrected revenue = accounting revenue (reclass only)</t>
  </si>
  <si>
    <t xml:space="preserve">COS Others</t>
  </si>
  <si>
    <t xml:space="preserve">Journal lines = GL 5100002/07/09/10, Mar–Aug</t>
  </si>
  <si>
    <t xml:space="preserve">RPA + Trading = total, Mar–Aug</t>
  </si>
  <si>
    <t xml:space="preserve">Vintage</t>
  </si>
  <si>
    <t xml:space="preserve">RPA: vintage kg = sales kg with item detail</t>
  </si>
  <si>
    <t xml:space="preserve">RPA: vintage revenue = Data SKU Aug revenue with item detail</t>
  </si>
  <si>
    <t xml:space="preserve">RPA: layer cost + MA effect = Data SKU Aug cost with item detail</t>
  </si>
  <si>
    <t xml:space="preserve">Trading: vintage kg = sales kg with item detail</t>
  </si>
  <si>
    <t xml:space="preserve">Trading: vintage revenue = Data SKU Aug revenue with item detail</t>
  </si>
  <si>
    <t xml:space="preserve">Trading: layer cost + MA effect = Data SKU Aug cost with item detail</t>
  </si>
  <si>
    <t xml:space="preserve">GP Waterfall</t>
  </si>
  <si>
    <t xml:space="preserve">RPA: bars add to corrected Aug margin (FIFO)</t>
  </si>
  <si>
    <t xml:space="preserve">RPA: bars add to corrected Aug margin (lower bound)</t>
  </si>
  <si>
    <t xml:space="preserve">Trading: bars add to corrected Aug margin (FIFO)</t>
  </si>
  <si>
    <t xml:space="preserve">Trading: bars add to corrected Aug margin (lower bound)</t>
  </si>
  <si>
    <t xml:space="preserve">RPA: product-group breakdown adds to the vintage bars</t>
  </si>
  <si>
    <t xml:space="preserve">Trading: product-group breakdown adds to the vintage bars</t>
  </si>
  <si>
    <t xml:space="preserve">KGR: bars add to corrected Aug margin</t>
  </si>
  <si>
    <t xml:space="preserve">Karkas Detail</t>
  </si>
  <si>
    <t xml:space="preserve">Karkas kg (RPA + Trading, invoiced + unbilled) = Data SKU karkas Aug</t>
  </si>
  <si>
    <t xml:space="preserve">Karkas revenue = Data SKU karkas Aug</t>
  </si>
  <si>
    <t xml:space="preserve">Karkas cost = Data SKU karkas Aug</t>
  </si>
  <si>
    <t xml:space="preserve">By-product</t>
  </si>
  <si>
    <t xml:space="preserve">Restated main-product GP = RPA product GP</t>
  </si>
  <si>
    <t xml:space="preserve">Batch Economics</t>
  </si>
  <si>
    <t xml:space="preserve">GRN value per batch = engine receipts (sum of abs diff)</t>
  </si>
  <si>
    <t xml:space="preserve">Ops batch cost = GRN value per batch (sum of abs diff)</t>
  </si>
  <si>
    <t xml:space="preserve">Ops output stocked = Accurate receipts per batch (sum of abs diff)</t>
  </si>
  <si>
    <t xml:space="preserve">Ops output lines = ops batch header output</t>
  </si>
  <si>
    <t xml:space="preserve">Cost per product at goods receipt = ops allocation (sum of abs diff)</t>
  </si>
  <si>
    <t xml:space="preserve">Unit economics: per kg bought and per kg processed give the same cost per kg output</t>
  </si>
  <si>
    <t xml:space="preserve">Unit economics: cost per kg output in stock = batch table Rp/kg output</t>
  </si>
  <si>
    <t xml:space="preserve">Batch Ops KPI</t>
  </si>
  <si>
    <t xml:space="preserve">Summary: driver shares + other = 100% of the production loss</t>
  </si>
  <si>
    <t xml:space="preserve">RPA KPI vs Budget</t>
  </si>
  <si>
    <t xml:space="preserve">Contribution per kg LB = breakeven − LB price (identity)</t>
  </si>
  <si>
    <t xml:space="preserve">By-product yields add to the by-product yield KPI</t>
  </si>
  <si>
    <t xml:space="preserve">Total row live bird kg and gap = Batch Economics</t>
  </si>
  <si>
    <t xml:space="preserve">Karkas size mix total = karkas kg received</t>
  </si>
  <si>
    <t xml:space="preserve">RPA: moving-average effect nil (buckets carry booked HPP)</t>
  </si>
  <si>
    <t xml:space="preserve">Trading: moving-average effect nil (buckets carry booked HPP)</t>
  </si>
  <si>
    <t xml:space="preserve">Output kg = engine JLB receipts kg Aug</t>
  </si>
  <si>
    <t xml:space="preserve">RPA Loss Bridge</t>
  </si>
  <si>
    <t xml:space="preserve">Sales-basis bridge = Vintage RPA product GP</t>
  </si>
  <si>
    <t xml:space="preserve">Production drivers add back to the loss</t>
  </si>
  <si>
    <t xml:space="preserve">I_Sales_Inv</t>
  </si>
  <si>
    <t xml:space="preserve">Jul SI revenue = GL revenue (RPA + Trading)</t>
  </si>
  <si>
    <t xml:space="preserve">Aug SI + unbilled revenue = GL revenue less sampel without SI</t>
  </si>
  <si>
    <t xml:space="preserve">Jul DO kg per SI = Data SKU Jul kg</t>
  </si>
  <si>
    <t xml:space="preserve">Aug cost per SI (+unbilled) = Segment GP product COGS less GL-only</t>
  </si>
  <si>
    <t xml:space="preserve">MTM Bridge</t>
  </si>
  <si>
    <t xml:space="preserve">Revenue bridge RPA / Trading ties (sum of |Aug total − Segment GP|)</t>
  </si>
  <si>
    <t xml:space="preserve">GP margin bridge RPA ties to Segment GP</t>
  </si>
  <si>
    <t xml:space="preserve">GP margin bridge Trading ties to Segment GP</t>
  </si>
  <si>
    <t xml:space="preserve">RPA timing bridge: same-month + carried stock + MA + outside + COS = Aug margin</t>
  </si>
  <si>
    <t xml:space="preserve">RPA same-month economics by SKU = step (a)</t>
  </si>
  <si>
    <t xml:space="preserve">RPA July: vintage revenue = Data SKU Jul invoiced revenue</t>
  </si>
  <si>
    <t xml:space="preserve">RPA July: layer cost + MA = Data SKU Jul invoiced cost</t>
  </si>
  <si>
    <t xml:space="preserve">Trading timing bridge: same-month + carried stock + MA + outside + COS = Aug margin</t>
  </si>
  <si>
    <t xml:space="preserve">Trading same-month economics by SKU = step (a)</t>
  </si>
  <si>
    <t xml:space="preserve">Trading July: vintage revenue = Data SKU Jul invoiced revenue</t>
  </si>
  <si>
    <t xml:space="preserve">Trading July: layer cost + MA = Data SKU Jul invoiced cost</t>
  </si>
  <si>
    <t xml:space="preserve">GP margin block RPA: steps add to Aug margin</t>
  </si>
  <si>
    <t xml:space="preserve">GP margin block Trading: steps add to Aug margin</t>
  </si>
  <si>
    <t xml:space="preserve">GP margin block KGR: steps add to Aug margin</t>
  </si>
  <si>
    <t xml:space="preserve">Customer table Jul / Aug = revenue with SI (sum of abs)</t>
  </si>
  <si>
    <t xml:space="preserve">Opex table: GP as booked = Segment GP; OP waterfall = PL</t>
  </si>
  <si>
    <t xml:space="preserve">Inventory: unexplained residual RPA</t>
  </si>
  <si>
    <t xml:space="preserve">After the HPP of the 10 unbilled invoices (GL only) and July DO/SI timing</t>
  </si>
  <si>
    <t xml:space="preserve">Inventory: unexplained residual Trading</t>
  </si>
  <si>
    <t xml:space="preserve">Incl. 1104001 Rp18.96m (Trading goods in the wrong account, WP v6)</t>
  </si>
  <si>
    <t xml:space="preserve">Inventory: packaging and in transit (nil)</t>
  </si>
  <si>
    <t xml:space="preserve">Checks</t>
  </si>
  <si>
    <t xml:space="preserve">OK</t>
  </si>
  <si>
    <t xml:space="preserve">OK (known — documented difference)</t>
  </si>
  <si>
    <t xml:space="preserve">BREAK</t>
  </si>
  <si>
    <t xml:space="preserve">KGR — JULY vs AUGUST 2026 (MTM): KPI matrix, revenue bridge, customers, GP-margin drivers, opex and NIBT — the numbers behind the script</t>
  </si>
  <si>
    <t xml:space="preserve">Aug = corrected (unbilled at item segment, moving average on SJ date; 6 invoices without item detail in RPA). Opex/NIBT = accounting PL - Performance.</t>
  </si>
  <si>
    <t xml:space="preserve">A.  KEY FINANCIAL AND PERFORMANCE MATRIX</t>
  </si>
  <si>
    <t xml:space="preserve">Description</t>
  </si>
  <si>
    <t xml:space="preserve">Unit</t>
  </si>
  <si>
    <t xml:space="preserve">Jul-26</t>
  </si>
  <si>
    <t xml:space="preserve">Aug-26</t>
  </si>
  <si>
    <t xml:space="preserve">Variance</t>
  </si>
  <si>
    <t xml:space="preserve">Var %</t>
  </si>
  <si>
    <t xml:space="preserve">YTD Mar–Aug</t>
  </si>
  <si>
    <t xml:space="preserve">Revenue — RPA</t>
  </si>
  <si>
    <t xml:space="preserve">IDR mn</t>
  </si>
  <si>
    <t xml:space="preserve">Revenue — Trading</t>
  </si>
  <si>
    <t xml:space="preserve">Revenue — total</t>
  </si>
  <si>
    <t xml:space="preserve">Gross profit — total</t>
  </si>
  <si>
    <t xml:space="preserve">GP margin — RPA</t>
  </si>
  <si>
    <t xml:space="preserve">%</t>
  </si>
  <si>
    <t xml:space="preserve">GP margin — Trading</t>
  </si>
  <si>
    <t xml:space="preserve">GP margin — total</t>
  </si>
  <si>
    <t xml:space="preserve">Volume sold — RPA</t>
  </si>
  <si>
    <t xml:space="preserve">ton</t>
  </si>
  <si>
    <t xml:space="preserve">Volume sold — Trading</t>
  </si>
  <si>
    <t xml:space="preserve">ASP — RPA</t>
  </si>
  <si>
    <t xml:space="preserve">Rp/kg</t>
  </si>
  <si>
    <t xml:space="preserve">ASP — Trading</t>
  </si>
  <si>
    <t xml:space="preserve">Product cost — Trading</t>
  </si>
  <si>
    <t xml:space="preserve">Revenue share — RPA</t>
  </si>
  <si>
    <t xml:space="preserve">RPA: live bird bought</t>
  </si>
  <si>
    <t xml:space="preserve">Jul: 1 batch, PI26070053 Deni Jakaria (boneless run)</t>
  </si>
  <si>
    <t xml:space="preserve">RPA: live bird price</t>
  </si>
  <si>
    <t xml:space="preserve">Jul batch Rp12,350/kg — not a normal broiler price; July GRN output 4,492 kg &gt; 4,102 kg bought (incl. HJA 1,300 kg at Rp0): not usable as a base</t>
  </si>
  <si>
    <t xml:space="preserve">RPA: batches slaughtered</t>
  </si>
  <si>
    <t xml:space="preserve">RPA: shrink bought → slaughtered</t>
  </si>
  <si>
    <t xml:space="preserve">n/m</t>
  </si>
  <si>
    <t xml:space="preserve">RPA: karkas yield on slaughter weight</t>
  </si>
  <si>
    <t xml:space="preserve">RPA: karkas received fresh</t>
  </si>
  <si>
    <t xml:space="preserve">RPA: inbound freight</t>
  </si>
  <si>
    <t xml:space="preserve">Rp/kg LB</t>
  </si>
  <si>
    <t xml:space="preserve">RPA: live bird share of batch cost</t>
  </si>
  <si>
    <t xml:space="preserve">Trading: purchases</t>
  </si>
  <si>
    <t xml:space="preserve">Goods receipts into TRD items (MA Engine)</t>
  </si>
  <si>
    <t xml:space="preserve">Trading: average purchase price</t>
  </si>
  <si>
    <t xml:space="preserve">Trading: karkas share of kg sold</t>
  </si>
  <si>
    <t xml:space="preserve">Active customers (with SI / unbilled)</t>
  </si>
  <si>
    <t xml:space="preserve">B.  REVENUE BRIDGE Jul → Aug by segment and SKU (IDR)</t>
  </si>
  <si>
    <t xml:space="preserve">SKU</t>
  </si>
  <si>
    <t xml:space="preserve">Form</t>
  </si>
  <si>
    <t xml:space="preserve">Jul revenue</t>
  </si>
  <si>
    <t xml:space="preserve">Volume effect</t>
  </si>
  <si>
    <t xml:space="preserve">Price effect</t>
  </si>
  <si>
    <t xml:space="preserve">New / dropped</t>
  </si>
  <si>
    <t xml:space="preserve">Other (no kg)</t>
  </si>
  <si>
    <t xml:space="preserve">Aug revenue</t>
  </si>
  <si>
    <t xml:space="preserve">Jul kg</t>
  </si>
  <si>
    <t xml:space="preserve">Aug kg</t>
  </si>
  <si>
    <t xml:space="preserve">Jul ASP</t>
  </si>
  <si>
    <t xml:space="preserve">Aug ASP</t>
  </si>
  <si>
    <t xml:space="preserve">BLD</t>
  </si>
  <si>
    <t xml:space="preserve">Fresh</t>
  </si>
  <si>
    <t xml:space="preserve">Frozen</t>
  </si>
  <si>
    <t xml:space="preserve">BLP</t>
  </si>
  <si>
    <t xml:space="preserve">Belum ada detail item</t>
  </si>
  <si>
    <t xml:space="preserve">n/a</t>
  </si>
  <si>
    <t xml:space="preserve">Ceker</t>
  </si>
  <si>
    <t xml:space="preserve">GL adjustment</t>
  </si>
  <si>
    <t xml:space="preserve">HJA (Hati/Jantung/Ampela)</t>
  </si>
  <si>
    <t xml:space="preserve">KRK (Kerangka)</t>
  </si>
  <si>
    <t xml:space="preserve">Karkas</t>
  </si>
  <si>
    <t xml:space="preserve">Not stated in item master</t>
  </si>
  <si>
    <t xml:space="preserve">Kepala</t>
  </si>
  <si>
    <t xml:space="preserve">Maklon expensed (5100006)</t>
  </si>
  <si>
    <t xml:space="preserve">Other revenue (no SI)</t>
  </si>
  <si>
    <t xml:space="preserve">Paha (parting)</t>
  </si>
  <si>
    <t xml:space="preserve">Sayap</t>
  </si>
  <si>
    <t xml:space="preserve">Usus</t>
  </si>
  <si>
    <t xml:space="preserve">RPA total</t>
  </si>
  <si>
    <t xml:space="preserve">Kulit</t>
  </si>
  <si>
    <t xml:space="preserve">Trading total</t>
  </si>
  <si>
    <t xml:space="preserve">C.  REVENUE AND PRODUCT GP BY CUSTOMER — Jul vs Aug (IDR; Aug incl. unbilled at item segment)</t>
  </si>
  <si>
    <t xml:space="preserve">Customer</t>
  </si>
  <si>
    <t xml:space="preserve">Jul revenue
RPA</t>
  </si>
  <si>
    <t xml:space="preserve">Jul revenue
Trading</t>
  </si>
  <si>
    <t xml:space="preserve">Aug revenue
RPA</t>
  </si>
  <si>
    <t xml:space="preserve">Aug revenue
Trading</t>
  </si>
  <si>
    <t xml:space="preserve">Aug revenue
total</t>
  </si>
  <si>
    <t xml:space="preserve">Variance
vs Jul</t>
  </si>
  <si>
    <t xml:space="preserve">Aug ASP
Rp/kg</t>
  </si>
  <si>
    <t xml:space="preserve">Aug product
GP</t>
  </si>
  <si>
    <t xml:space="preserve">Aug GP %</t>
  </si>
  <si>
    <t xml:space="preserve">Share of Aug revenue</t>
  </si>
  <si>
    <t xml:space="preserve">RIZKI RAMADHAN</t>
  </si>
  <si>
    <t xml:space="preserve">MUHAMAD HARISUDDIN</t>
  </si>
  <si>
    <t xml:space="preserve">HARTINI</t>
  </si>
  <si>
    <t xml:space="preserve">ERWIN ALAMSYAH</t>
  </si>
  <si>
    <t xml:space="preserve">PT NUSANTARA ONE SATU</t>
  </si>
  <si>
    <t xml:space="preserve">JOKO PURNOMO</t>
  </si>
  <si>
    <t xml:space="preserve">NATALIA PRIHATI</t>
  </si>
  <si>
    <t xml:space="preserve">PT SINAR HORECA SUKSES</t>
  </si>
  <si>
    <t xml:space="preserve">AGUS DUDI</t>
  </si>
  <si>
    <t xml:space="preserve">YULIANA</t>
  </si>
  <si>
    <t xml:space="preserve">PT KHARISMA MAKMUR SEJAHTERA</t>
  </si>
  <si>
    <t xml:space="preserve">PT JAGAD FROZEN FOODS</t>
  </si>
  <si>
    <t xml:space="preserve">PETIK SEGAR</t>
  </si>
  <si>
    <t xml:space="preserve">CV WANGUN UNGGAS PERKASA</t>
  </si>
  <si>
    <t xml:space="preserve">ALBI YUNUS</t>
  </si>
  <si>
    <t xml:space="preserve">RIAN SAEPUL BAHRI</t>
  </si>
  <si>
    <t xml:space="preserve">BU LIA</t>
  </si>
  <si>
    <t xml:space="preserve">ARMUNANTO</t>
  </si>
  <si>
    <t xml:space="preserve">PT RISMAWAN PRATAMA BERSINAR</t>
  </si>
  <si>
    <t xml:space="preserve">KURNIAWAN ARIEFKA, SE. MM</t>
  </si>
  <si>
    <t xml:space="preserve">NAHNU ULUM ALANSOR TRI K</t>
  </si>
  <si>
    <t xml:space="preserve">CLARA SARI</t>
  </si>
  <si>
    <t xml:space="preserve">INDRA MUHARY</t>
  </si>
  <si>
    <t xml:space="preserve">HENDRA</t>
  </si>
  <si>
    <t xml:space="preserve">OBAY BAEHAKI</t>
  </si>
  <si>
    <t xml:space="preserve">ABDI WAHID</t>
  </si>
  <si>
    <t xml:space="preserve">RICHARD HENDIAWAN</t>
  </si>
  <si>
    <t xml:space="preserve">AHMAD MUJANI</t>
  </si>
  <si>
    <t xml:space="preserve">EKA NUR HELMI</t>
  </si>
  <si>
    <t xml:space="preserve">MULTAZAM</t>
  </si>
  <si>
    <t xml:space="preserve">GLORY VICTOR</t>
  </si>
  <si>
    <t xml:space="preserve">RIPKI MOH ABDUL RIFAI</t>
  </si>
  <si>
    <t xml:space="preserve">RANDY WARAHMAN</t>
  </si>
  <si>
    <t xml:space="preserve">ELIZABETH ESTI RAHAYU W</t>
  </si>
  <si>
    <t xml:space="preserve">TOMI HANDRIANTO</t>
  </si>
  <si>
    <t xml:space="preserve">TOTAL</t>
  </si>
  <si>
    <t xml:space="preserve">Check: customer revenue = Segment GP revenue less revenue without SI (Jul / Aug)</t>
  </si>
  <si>
    <t xml:space="preserve">D1.  RPA — GP MARGIN Jul-26 → Aug-26: SAME-MONTH ECONOMICS vs INVENTORY TIMING</t>
  </si>
  <si>
    <t xml:space="preserve">Unlike BMG, KGR does not sell in the month what it produced in the month. Each month's margin = margin on goods produced and sold in that month + the effect of stock carried in from earlier months.</t>
  </si>
  <si>
    <t xml:space="preserve">Line</t>
  </si>
  <si>
    <t xml:space="preserve">Δ</t>
  </si>
  <si>
    <t xml:space="preserve">Source / formula</t>
  </si>
  <si>
    <t xml:space="preserve">Revenue</t>
  </si>
  <si>
    <t xml:space="preserve">  sold from goods produced in the same month</t>
  </si>
  <si>
    <t xml:space="preserve">Vintage (FIFO by DO)</t>
  </si>
  <si>
    <t xml:space="preserve">  sold from stock carried in from earlier months</t>
  </si>
  <si>
    <t xml:space="preserve">Vintage (FIFO by DO) — Aug: pre-Jul + Jul stock</t>
  </si>
  <si>
    <t xml:space="preserve">  outside the split (GL-only rows, revenue without SI, invoices without item)</t>
  </si>
  <si>
    <t xml:space="preserve">HPP booked — goods produced in the same month</t>
  </si>
  <si>
    <t xml:space="preserve">HPP on the DOs that shipped them</t>
  </si>
  <si>
    <t xml:space="preserve">HPP booked — carried stock</t>
  </si>
  <si>
    <t xml:space="preserve">HPP — outside the split</t>
  </si>
  <si>
    <t xml:space="preserve">rest of product COGS</t>
  </si>
  <si>
    <t xml:space="preserve">nil unless allocated (COS Others B3)</t>
  </si>
  <si>
    <t xml:space="preserve">Share of revenue from carried stock</t>
  </si>
  <si>
    <t xml:space="preserve">Product margin — same-month goods</t>
  </si>
  <si>
    <t xml:space="preserve">Product margin — carried stock</t>
  </si>
  <si>
    <t xml:space="preserve">GP margin (segment)</t>
  </si>
  <si>
    <t xml:space="preserve">Bridge Jul → Aug</t>
  </si>
  <si>
    <t xml:space="preserve">pp</t>
  </si>
  <si>
    <t xml:space="preserve">Cumulative</t>
  </si>
  <si>
    <t xml:space="preserve">How it is computed</t>
  </si>
  <si>
    <t xml:space="preserve">GP margin Jul-26</t>
  </si>
  <si>
    <t xml:space="preserve">(a) Same-month economics — margin on goods produced and sold in the month</t>
  </si>
  <si>
    <t xml:space="preserve">Δ product margin of same-month goods — detail in the table below (price vs cost per SKU)</t>
  </si>
  <si>
    <t xml:space="preserve">(b) Inventory timing — stock carried in from earlier months</t>
  </si>
  <si>
    <t xml:space="preserve">Δ [share of carried stock × (its margin − same-month margin)]</t>
  </si>
  <si>
    <t xml:space="preserve">(c) Items outside the split</t>
  </si>
  <si>
    <t xml:space="preserve">GL-only rows, revenue without SI, invoices without item, net of the same-month margin</t>
  </si>
  <si>
    <t xml:space="preserve">(d) Cost of sales others (nil unless allocated — COS Others B3)</t>
  </si>
  <si>
    <t xml:space="preserve">Δ (expedition + blasting ÷ revenue)</t>
  </si>
  <si>
    <t xml:space="preserve">GP margin Aug-26 (corrected)</t>
  </si>
  <si>
    <t xml:space="preserve">  check: − Segment GP Aug margin (nil)</t>
  </si>
  <si>
    <t xml:space="preserve">(a) by SKU — goods produced and sold in the same month</t>
  </si>
  <si>
    <t xml:space="preserve">kg Jul</t>
  </si>
  <si>
    <t xml:space="preserve">kg Aug</t>
  </si>
  <si>
    <t xml:space="preserve">Sell Jul
Rp/kg</t>
  </si>
  <si>
    <t xml:space="preserve">Sell Aug
Rp/kg</t>
  </si>
  <si>
    <t xml:space="preserve">Cost Jul
Rp/kg</t>
  </si>
  <si>
    <t xml:space="preserve">Cost Aug
Rp/kg</t>
  </si>
  <si>
    <t xml:space="preserve">Margin
Jul</t>
  </si>
  <si>
    <t xml:space="preserve">Margin
Aug</t>
  </si>
  <si>
    <t xml:space="preserve">Selling price
effect pp</t>
  </si>
  <si>
    <t xml:space="preserve">Cost
effect pp</t>
  </si>
  <si>
    <t xml:space="preserve">Mix
effect pp</t>
  </si>
  <si>
    <t xml:space="preserve">New /
dropped pp</t>
  </si>
  <si>
    <t xml:space="preserve">Total pp</t>
  </si>
  <si>
    <t xml:space="preserve">Rev Jul</t>
  </si>
  <si>
    <t xml:space="preserve">Rev Aug</t>
  </si>
  <si>
    <t xml:space="preserve">Cost Jul</t>
  </si>
  <si>
    <t xml:space="preserve">Cost Aug</t>
  </si>
  <si>
    <t xml:space="preserve">Lemak</t>
  </si>
  <si>
    <t xml:space="preserve">TLP</t>
  </si>
  <si>
    <t xml:space="preserve">Total same-month goods</t>
  </si>
  <si>
    <t xml:space="preserve">  check: total = (a) in the bridge (nil)</t>
  </si>
  <si>
    <t xml:space="preserve">RPA July: one small batch (4.1 t live bird, Rp12,350/kg) and only Rp2.9m of July sales came from July production — steps (a) and (b) are large and offsetting; read them together.</t>
  </si>
  <si>
    <t xml:space="preserve">For the script: read the share of revenue from carried stock and the two product margins above (July almost entirely old stock; August mostly August production). Production drivers: section F.</t>
  </si>
  <si>
    <t xml:space="preserve">D2.  Trading — GP MARGIN Jul-26 → Aug-26: SAME-MONTH ECONOMICS vs INVENTORY TIMING</t>
  </si>
  <si>
    <t xml:space="preserve">Unlike BMG, KGR does not sell in the month what it bought in the month. Each month's margin = margin on goods bought and sold in that month + the effect of stock carried in from earlier months.</t>
  </si>
  <si>
    <t xml:space="preserve">  sold from goods bought in the same month</t>
  </si>
  <si>
    <t xml:space="preserve">HPP booked — goods bought in the same month</t>
  </si>
  <si>
    <t xml:space="preserve">(a) Same-month economics — margin on goods bought and sold in the month</t>
  </si>
  <si>
    <t xml:space="preserve">(a) by SKU — goods bought and sold in the same month</t>
  </si>
  <si>
    <t xml:space="preserve">D3.  KGR TOTAL — GP MARGIN Jul-26 → Aug-26 (percentage points)</t>
  </si>
  <si>
    <t xml:space="preserve">Step</t>
  </si>
  <si>
    <t xml:space="preserve">Cumulative
GP margin</t>
  </si>
  <si>
    <t xml:space="preserve">How to read</t>
  </si>
  <si>
    <t xml:space="preserve">GP margin Jul-26 — KGR</t>
  </si>
  <si>
    <t xml:space="preserve">  RPA — own margin change</t>
  </si>
  <si>
    <t xml:space="preserve">Aug revenue share × (Aug − Jul RPA margin) — block D1</t>
  </si>
  <si>
    <t xml:space="preserve">  Trading — own margin change</t>
  </si>
  <si>
    <t xml:space="preserve">Aug revenue share × (Aug − Jul Trading margin) — block D2</t>
  </si>
  <si>
    <t xml:space="preserve">  Segment mix (RPA share 8% → 33% of revenue)</t>
  </si>
  <si>
    <t xml:space="preserve">change in revenue share × July margin of the segment</t>
  </si>
  <si>
    <t xml:space="preserve">  Cost of sales others — not allocated to segments (+ unbilled without segment)</t>
  </si>
  <si>
    <t xml:space="preserve">change in (expedition + blasting ÷ revenue) at KGR level; Segment GP row 33</t>
  </si>
  <si>
    <t xml:space="preserve">GP margin Aug-26 — KGR (corrected)</t>
  </si>
  <si>
    <t xml:space="preserve">D4.  RPA — SALES BASIS BY SKU (reference only: mixes stock of different months, see D1/D2)</t>
  </si>
  <si>
    <t xml:space="preserve">of which
rate</t>
  </si>
  <si>
    <t xml:space="preserve">of which
mix</t>
  </si>
  <si>
    <t xml:space="preserve">of which new /
dropped / GL-only</t>
  </si>
  <si>
    <t xml:space="preserve">Segment GP (cost of sales others only if allocated on COS Others B3)</t>
  </si>
  <si>
    <t xml:space="preserve">  BLD</t>
  </si>
  <si>
    <t xml:space="preserve">  BLP</t>
  </si>
  <si>
    <t xml:space="preserve">  Belum ada detail item</t>
  </si>
  <si>
    <t xml:space="preserve">  Ceker</t>
  </si>
  <si>
    <t xml:space="preserve">  GL adjustment</t>
  </si>
  <si>
    <t xml:space="preserve">  HJA (Hati/Jantung/Ampela)</t>
  </si>
  <si>
    <t xml:space="preserve">  KRK (Kerangka)</t>
  </si>
  <si>
    <t xml:space="preserve">  Karkas</t>
  </si>
  <si>
    <t xml:space="preserve">  Kepala</t>
  </si>
  <si>
    <t xml:space="preserve">  Maklon expensed (5100006)</t>
  </si>
  <si>
    <t xml:space="preserve">  Other revenue (no SI)</t>
  </si>
  <si>
    <t xml:space="preserve">  Paha (parting)</t>
  </si>
  <si>
    <t xml:space="preserve">  Sayap</t>
  </si>
  <si>
    <t xml:space="preserve">  Usus</t>
  </si>
  <si>
    <t xml:space="preserve">  Cost of sales others (expedition + blasting)</t>
  </si>
  <si>
    <t xml:space="preserve">change in (cost of sales others ÷ revenue); sheet COS Others</t>
  </si>
  <si>
    <t xml:space="preserve">Rate = Aug revenue share × change in the SKU margin. Mix = change in revenue share × July margin. New / dropped = SKU sold in only one of the two months; GL-only = cost or revenue with no DO (maklon expensed, PI26070074 kulit, MJ26070009, sampel).</t>
  </si>
  <si>
    <t xml:space="preserve">Jul rev
share</t>
  </si>
  <si>
    <t xml:space="preserve">Aug rev
share</t>
  </si>
  <si>
    <t xml:space="preserve">Jul
margin</t>
  </si>
  <si>
    <t xml:space="preserve">Aug
margin</t>
  </si>
  <si>
    <t xml:space="preserve">Rate
effect</t>
  </si>
  <si>
    <t xml:space="preserve">Mix
effect</t>
  </si>
  <si>
    <t xml:space="preserve">New /
dropped</t>
  </si>
  <si>
    <t xml:space="preserve">GL-only
rows</t>
  </si>
  <si>
    <t xml:space="preserve">Detail per SKU and form</t>
  </si>
  <si>
    <t xml:space="preserve">RPA — product margin change</t>
  </si>
  <si>
    <t xml:space="preserve">RPA — cost of sales others (change in ratio to revenue)</t>
  </si>
  <si>
    <t xml:space="preserve">RPA — GP margin change (slide level)</t>
  </si>
  <si>
    <t xml:space="preserve">D5.  Trading — SALES BASIS BY SKU (reference only: mixes stock of different months, see D1/D2)</t>
  </si>
  <si>
    <t xml:space="preserve">  Kulit</t>
  </si>
  <si>
    <t xml:space="preserve">Trading — product margin change</t>
  </si>
  <si>
    <t xml:space="preserve">Trading — cost of sales others (change in ratio to revenue)</t>
  </si>
  <si>
    <t xml:space="preserve">Trading — GP margin change (slide level)</t>
  </si>
  <si>
    <t xml:space="preserve">E.  TRADING PRICE SPREAD — purchase price vs selling price by SKU</t>
  </si>
  <si>
    <t xml:space="preserve">Buy Jul
Rp/kg</t>
  </si>
  <si>
    <t xml:space="preserve">Buy Aug
Rp/kg</t>
  </si>
  <si>
    <t xml:space="preserve">Buy Δ %</t>
  </si>
  <si>
    <t xml:space="preserve">Sell Δ %</t>
  </si>
  <si>
    <t xml:space="preserve">COGS/kg Jul
(sold)</t>
  </si>
  <si>
    <t xml:space="preserve">COGS/kg Aug
(sold)</t>
  </si>
  <si>
    <t xml:space="preserve">COGS Δ %</t>
  </si>
  <si>
    <t xml:space="preserve">Buy = goods receipts of the month; COGS/kg sold = moving-average cost of what was delivered (includes older, cheaper stock — see Vintage). Kulit Jul COGS includes the Rp9.2m PI26070074 posted straight to COGS.</t>
  </si>
  <si>
    <t xml:space="preserve">F.  RPA — AUGUST PRODUCTION: loss drivers (production basis, RPA Loss Bridge) in Rp and as % of RPA revenue</t>
  </si>
  <si>
    <t xml:space="preserve">Driver</t>
  </si>
  <si>
    <t xml:space="preserve">Rp</t>
  </si>
  <si>
    <t xml:space="preserve">% of RPA
revenue Aug</t>
  </si>
  <si>
    <t xml:space="preserve">% of loss</t>
  </si>
  <si>
    <t xml:space="preserve">Evidence</t>
  </si>
  <si>
    <t xml:space="preserve">Loss on August production, as produced</t>
  </si>
  <si>
    <t xml:space="preserve">Karkas that went out frozen, sold below the fresh price</t>
  </si>
  <si>
    <t xml:space="preserve">Shrink above normal (2%)</t>
  </si>
  <si>
    <t xml:space="preserve">Karkas yield vs benchmark</t>
  </si>
  <si>
    <t xml:space="preserve">Inbound freight above Rp1,000/kg</t>
  </si>
  <si>
    <t xml:space="preserve">Maklon billed without quantity</t>
  </si>
  <si>
    <t xml:space="preserve">Left over: live-bird price vs karkas price at benchmark</t>
  </si>
  <si>
    <t xml:space="preserve">Carried stock (cheaper, older) changed the August RPA result by</t>
  </si>
  <si>
    <t xml:space="preserve">G.  OPEX, OTHER ITEMS AND NIBT — Jul vs Aug (accounting PL - Performance, IDR)</t>
  </si>
  <si>
    <t xml:space="preserve">Main items behind the variance (GL Agt 26 vs Jul 26)</t>
  </si>
  <si>
    <t xml:space="preserve">Gross profit (as booked)</t>
  </si>
  <si>
    <t xml:space="preserve">Delivery expenses (selling)</t>
  </si>
  <si>
    <t xml:space="preserve">6100006 freight out Rp15.4m → Rp44.5m: Jaya Mandiri "sewa mobil kirim ayam" Rp10.5m (1–3 Aug) + Rp2.5m, kirim ayam ke Bandung Rp2.9m, Cigombong Rp2.8m; Wadah Berkah vans Rp11.4m both months</t>
  </si>
  <si>
    <t xml:space="preserve">Commission</t>
  </si>
  <si>
    <t xml:space="preserve">Jul Rp3.6m commission fee; Aug small reversal</t>
  </si>
  <si>
    <t xml:space="preserve">Packaging</t>
  </si>
  <si>
    <t xml:space="preserve">Jul: plastic and sacks bought Rp31m (Kurniawan Ariefka, Maju Jaya); Aug Rp11.2m incl. repack Albi Yunus Rp5.3m</t>
  </si>
  <si>
    <t xml:space="preserve">Salaries and allowance</t>
  </si>
  <si>
    <t xml:space="preserve">Gaji Rp52.2m → Rp79.7m + BPJS Ketenagakerjaan Rp5.8m (first time in Aug)</t>
  </si>
  <si>
    <t xml:space="preserve">Storage and handling</t>
  </si>
  <si>
    <t xml:space="preserve">Cold storage Lintas Dirga (LDN) Rp64.2m for 20 Jul–15 Aug + PUM Rp10.0m; handling in/out Rp23.3m (Jul Rp10.4m) incl. overtime loading at ISA</t>
  </si>
  <si>
    <t xml:space="preserve">Office transportation</t>
  </si>
  <si>
    <t xml:space="preserve">Fuel and toll Rp11.9m → Rp18.8m</t>
  </si>
  <si>
    <t xml:space="preserve">Rent</t>
  </si>
  <si>
    <t xml:space="preserve">Aug incl. notary fee (akta perubahan pengurus) mapped here by accounting</t>
  </si>
  <si>
    <t xml:space="preserve">Professional fee</t>
  </si>
  <si>
    <t xml:space="preserve">Notary Elizabeth Karina Leoni</t>
  </si>
  <si>
    <t xml:space="preserve">Office supplies</t>
  </si>
  <si>
    <t xml:space="preserve">Tax expenses</t>
  </si>
  <si>
    <t xml:space="preserve">Aug: PPh 22 on live-bird purchases Rp8.1m (0.25% × 12 batches) + PPh 21</t>
  </si>
  <si>
    <t xml:space="preserve">TOTAL OPERATING EXPENSES</t>
  </si>
  <si>
    <t xml:space="preserve">OPERATING INCOME</t>
  </si>
  <si>
    <t xml:space="preserve">Interest expense</t>
  </si>
  <si>
    <t xml:space="preserve">Loan interest PT Boga Makmur Gracia Rp24.4m → Rp31.9m</t>
  </si>
  <si>
    <t xml:space="preserve">Other income / expense (net)</t>
  </si>
  <si>
    <t xml:space="preserve">NIBT (performance)</t>
  </si>
  <si>
    <t xml:space="preserve">Depreciation and amortisation</t>
  </si>
  <si>
    <t xml:space="preserve">NET INCOME (accounting)</t>
  </si>
  <si>
    <t xml:space="preserve">Check: GP as booked here = Segment GP (Jul / Aug)</t>
  </si>
  <si>
    <t xml:space="preserve">WP correction (Adj-2 + Adj-3) would move August GP by −Rp0.57m (Segment GP column M vs I); the accounting NIBT above is as booked.</t>
  </si>
  <si>
    <t xml:space="preserve">H.  OPERATING PROFIT WATERFALL Jul → Aug (IDR mn, accounting)</t>
  </si>
  <si>
    <t xml:space="preserve">Operating income Jul-26</t>
  </si>
  <si>
    <t xml:space="preserve">Gross profit</t>
  </si>
  <si>
    <t xml:space="preserve">Operating income Aug-26</t>
  </si>
  <si>
    <t xml:space="preserve">← check vs PL (nil)</t>
  </si>
  <si>
    <t xml:space="preserve">RPA — BATCH OPS KPI, AUGUST 2026</t>
  </si>
  <si>
    <t xml:space="preserve">Source: Batch Economics (Accurate goods receipts = ops Pot_ISA sheets; cost = GRN). Value at the price RPA realised in August per form. All cells link to the WP.</t>
  </si>
  <si>
    <t xml:space="preserve">A.  RPA OPS KPI — AUGUST 2026: input → process → output → sales → stock</t>
  </si>
  <si>
    <t xml:space="preserve">Data</t>
  </si>
  <si>
    <t xml:space="preserve">Agustus</t>
  </si>
  <si>
    <t xml:space="preserve">Satuan</t>
  </si>
  <si>
    <t xml:space="preserve">Pembanding</t>
  </si>
  <si>
    <t xml:space="preserve">Keterangan pembanding</t>
  </si>
  <si>
    <t xml:space="preserve">Selisih</t>
  </si>
  <si>
    <t xml:space="preserve">Porsi dari rugi
produksi Agustus</t>
  </si>
  <si>
    <t xml:space="preserve">Kenapa perlu</t>
  </si>
  <si>
    <t xml:space="preserve">1</t>
  </si>
  <si>
    <t xml:space="preserve">Live bird — harga beli</t>
  </si>
  <si>
    <t xml:space="preserve">Harga breakeven (di harga jual Agustus)</t>
  </si>
  <si>
    <t xml:space="preserve">Ayam dibeli di atas titik impas</t>
  </si>
  <si>
    <t xml:space="preserve">Live bird — volume</t>
  </si>
  <si>
    <t xml:space="preserve">2</t>
  </si>
  <si>
    <t xml:space="preserve">Shrink (dibeli vs diproses) — rata-rata</t>
  </si>
  <si>
    <t xml:space="preserve">% dari kg dibeli</t>
  </si>
  <si>
    <t xml:space="preserve">Normal</t>
  </si>
  <si>
    <t xml:space="preserve">Driver #2 rugi produksi</t>
  </si>
  <si>
    <t xml:space="preserve">Shrink — batch tertinggi</t>
  </si>
  <si>
    <t xml:space="preserve">% (terendah di kolom Pembanding)</t>
  </si>
  <si>
    <t xml:space="preserve">Batch terendah</t>
  </si>
  <si>
    <t xml:space="preserve">Variasi antar batch besar</t>
  </si>
  <si>
    <t xml:space="preserve">3</t>
  </si>
  <si>
    <t xml:space="preserve">Freight per kg live bird</t>
  </si>
  <si>
    <t xml:space="preserve">Benchmark (batch terbaik)</t>
  </si>
  <si>
    <t xml:space="preserve">Driver #4 rugi produksi</t>
  </si>
  <si>
    <t xml:space="preserve">4</t>
  </si>
  <si>
    <t xml:space="preserve">Yield — karkas ÷ kg diproses</t>
  </si>
  <si>
    <t xml:space="preserve">Benchmark</t>
  </si>
  <si>
    <t xml:space="preserve">Membuktikan masalahnya bukan yield</t>
  </si>
  <si>
    <t xml:space="preserve">Yield — output ÷ kg live bird</t>
  </si>
  <si>
    <t xml:space="preserve">% (ops, incl. usus limbah)</t>
  </si>
  <si>
    <t xml:space="preserve">Yield — karkas ÷ kg live bird</t>
  </si>
  <si>
    <t xml:space="preserve">5</t>
  </si>
  <si>
    <t xml:space="preserve">Karkas diproduksi fresh</t>
  </si>
  <si>
    <t xml:space="preserve">% dari karkas diproduksi</t>
  </si>
  <si>
    <t xml:space="preserve">Sisanya keluar frozen</t>
  </si>
  <si>
    <t xml:space="preserve">Karkas dari produksi Agustus yang terjual — porsi fresh</t>
  </si>
  <si>
    <t xml:space="preserve">% dari karkas terjual</t>
  </si>
  <si>
    <t xml:space="preserve">Yang laku terutama fresh</t>
  </si>
  <si>
    <t xml:space="preserve">Harga laku karkas fresh</t>
  </si>
  <si>
    <t xml:space="preserve">Harga laku karkas frozen</t>
  </si>
  <si>
    <t xml:space="preserve">Driver #1 rugi produksi (karkas keluar frozen)</t>
  </si>
  <si>
    <t xml:space="preserve">6</t>
  </si>
  <si>
    <t xml:space="preserve">Cost per kg output</t>
  </si>
  <si>
    <t xml:space="preserve">Nilai output per kg (harga laku Agustus)</t>
  </si>
  <si>
    <t xml:space="preserve">Biaya per kg di atas nilai per kg</t>
  </si>
  <si>
    <t xml:space="preserve">Cost karkas per kg — as booked</t>
  </si>
  <si>
    <t xml:space="preserve">Karkas fresh pun belum menutup biaya</t>
  </si>
  <si>
    <t xml:space="preserve">Cost karkas per kg — kredit by-product</t>
  </si>
  <si>
    <t xml:space="preserve">By-product dinilai di harga lakunya</t>
  </si>
  <si>
    <t xml:space="preserve">7</t>
  </si>
  <si>
    <t xml:space="preserve">Sisa stok karkas frozen produksi Agustus, 31 Agu</t>
  </si>
  <si>
    <t xml:space="preserve">Risiko margin September</t>
  </si>
  <si>
    <t xml:space="preserve">Sisa stok karkas fresh produksi Agustus, 31 Agu</t>
  </si>
  <si>
    <t xml:space="preserve">Aging stok fresh</t>
  </si>
  <si>
    <t xml:space="preserve">Sisa stok by-product produksi Agustus, 31 Agu</t>
  </si>
  <si>
    <t xml:space="preserve">Driver lain: maklon tanpa kg (Rp4m) dan sisa spread harga LB vs karkas</t>
  </si>
  <si>
    <t xml:space="preserve">Rp mn</t>
  </si>
  <si>
    <t xml:space="preserve">Kecil — bukan penjelas utama</t>
  </si>
  <si>
    <t xml:space="preserve">Rugi produksi Agustus (seluruh output, di harga laku)</t>
  </si>
  <si>
    <t xml:space="preserve">Total yang dijelaskan driver di atas</t>
  </si>
  <si>
    <t xml:space="preserve">Porsi dari rugi = driver ÷ rugi produksi Agustus (RPA Loss Bridge). Pembanding shrink, freight dan yield = benchmark di RPA Loss Bridge (sel kuning). Semua angka link ke Batch Economics / Vintage.</t>
  </si>
  <si>
    <t xml:space="preserve">B.  PER BATCH</t>
  </si>
  <si>
    <t xml:space="preserve">Cut date</t>
  </si>
  <si>
    <t xml:space="preserve">Supplier</t>
  </si>
  <si>
    <t xml:space="preserve">Live bird
kg</t>
  </si>
  <si>
    <t xml:space="preserve">Live bird
Rp/kg</t>
  </si>
  <si>
    <t xml:space="preserve">Shrink
%</t>
  </si>
  <si>
    <t xml:space="preserve">Freight
Rp/kg LB</t>
  </si>
  <si>
    <t xml:space="preserve">Output
% of LB</t>
  </si>
  <si>
    <t xml:space="preserve">Karkas
% of LB</t>
  </si>
  <si>
    <t xml:space="preserve">Karkas % of
processed</t>
  </si>
  <si>
    <t xml:space="preserve">Karkas
fresh %</t>
  </si>
  <si>
    <t xml:space="preserve">Avg size
(Uk)</t>
  </si>
  <si>
    <t xml:space="preserve">Cost
Rp/kg output</t>
  </si>
  <si>
    <t xml:space="preserve">Value
Rp/kg output</t>
  </si>
  <si>
    <t xml:space="preserve">Gap
Rp/kg output</t>
  </si>
  <si>
    <t xml:space="preserve">Gap
Rp mn</t>
  </si>
  <si>
    <t xml:space="preserve">Breakeven LB
Rp/kg</t>
  </si>
  <si>
    <t xml:space="preserve">LB price −
breakeven</t>
  </si>
  <si>
    <t xml:space="preserve">Agustus — total</t>
  </si>
  <si>
    <t xml:space="preserve">Shrink = live bird bought (PI) − kg processed (maklon) ÷ bought. Output and karkas % = kg received in stock ÷ live bird bought (8 Aug excludes 323.8 kg usus discarded). Fresh % = karkas received fresh ÷ all karkas.</t>
  </si>
  <si>
    <t xml:space="preserve">Avg size = kg-weighted Uk band of the karkas received. Cost per kg output = batch cost (live bird + inbound freight + maklon) ÷ output in stock. Value = output × RPA realised August price per form (karkas fresh / frozen, by-products).</t>
  </si>
  <si>
    <t xml:space="preserve">Breakeven LB price = (value of output − freight − maklon) ÷ live bird kg: the most RPA could pay per kg live bird at August selling prices. Blasting, packaging, storage and handling are not in these costs.</t>
  </si>
  <si>
    <t xml:space="preserve">Memo — where August production went (kg)</t>
  </si>
  <si>
    <t xml:space="preserve">Karkas produced (received) in August</t>
  </si>
  <si>
    <t xml:space="preserve">  sold in August (invoiced + unbilled)</t>
  </si>
  <si>
    <t xml:space="preserve">  other outflow (DO 257 in transit, IA recodes)</t>
  </si>
  <si>
    <t xml:space="preserve">  still in stock at 31 Aug</t>
  </si>
  <si>
    <t xml:space="preserve">    of which frozen</t>
  </si>
  <si>
    <t xml:space="preserve">    of which fresh</t>
  </si>
  <si>
    <t xml:space="preserve">By-products produced in August</t>
  </si>
  <si>
    <t xml:space="preserve">FIFO by DO (MA Engine): August outflows take older stock first, so what is left at 31 Aug is August production. Karkas mix sold from stock without an August receipt makes fresh + frozen differ slightly from the total.</t>
  </si>
  <si>
    <t xml:space="preserve">RPA — KPI PENGGERAK UTAMA: BUDGET vs AKTUAL AGUSTUS 2026</t>
  </si>
  <si>
    <t xml:space="preserve">Budget = KGR_-_Budget_Manufacturing_v3.xlsx (bulan pertama Sep-26 atau kartu biaya standar; nilai biru disalin dari sel yang disebut). Aktual = WP ini (Batch Economics, Accurate = ops). Budget memodelkan pabrik sendiri; Agustus masih maklon di ISA.</t>
  </si>
  <si>
    <t xml:space="preserve">KPI</t>
  </si>
  <si>
    <t xml:space="preserve">Definisi</t>
  </si>
  <si>
    <t xml:space="preserve">Budget</t>
  </si>
  <si>
    <t xml:space="preserve">Sumber budget</t>
  </si>
  <si>
    <t xml:space="preserve">Target KPI
(B_KPI)</t>
  </si>
  <si>
    <t xml:space="preserve">Aktual
Agustus</t>
  </si>
  <si>
    <t xml:space="preserve">Selisih
aktual − budget</t>
  </si>
  <si>
    <t xml:space="preserve">Dampak vs budget
Rp mn (indikatif)</t>
  </si>
  <si>
    <t xml:space="preserve">Pemilik</t>
  </si>
  <si>
    <t xml:space="preserve">Catatan</t>
  </si>
  <si>
    <t xml:space="preserve">A.  VOLUME DAN KAPASITAS</t>
  </si>
  <si>
    <t xml:space="preserve">Live bird diterima</t>
  </si>
  <si>
    <t xml:space="preserve">kg diterima (PI) per bulan</t>
  </si>
  <si>
    <t xml:space="preserve">O_Produksi!I14 (Sep-26)</t>
  </si>
  <si>
    <t xml:space="preserve">—</t>
  </si>
  <si>
    <t xml:space="preserve">Direktur Operasional</t>
  </si>
  <si>
    <t xml:space="preserve">Agustus 12 batch; budget mengasumsikan potong setiap hari</t>
  </si>
  <si>
    <t xml:space="preserve">kg masuk lini per hari potong</t>
  </si>
  <si>
    <t xml:space="preserve">kg diproses ÷ hari potong</t>
  </si>
  <si>
    <t xml:space="preserve">kg/hari</t>
  </si>
  <si>
    <t xml:space="preserve">O_Produksi!I22 (Sep-26)</t>
  </si>
  <si>
    <t xml:space="preserve">Manajer Operasional</t>
  </si>
  <si>
    <t xml:space="preserve">Target volume 20 t/hari (Assumptions!G55)</t>
  </si>
  <si>
    <t xml:space="preserve">Utilisasi vs volume normal</t>
  </si>
  <si>
    <t xml:space="preserve">kg masuk lini ÷ volume normal bulanan</t>
  </si>
  <si>
    <t xml:space="preserve">O_Produksi!I25 (Sep-26)</t>
  </si>
  <si>
    <t xml:space="preserve">≥ 95%</t>
  </si>
  <si>
    <t xml:space="preserve">Volume normal 1,041,666 kg/bln (Assumptions!G24). Di bawah 95% overhead tak terserap jadi beban periode (PSAK 14)</t>
  </si>
  <si>
    <t xml:space="preserve">B.  BAHAN BAKU</t>
  </si>
  <si>
    <t xml:space="preserve">Harga live bird</t>
  </si>
  <si>
    <t xml:space="preserve">Rp per kg diterima</t>
  </si>
  <si>
    <t xml:space="preserve">O_Weekly RPA!H15 (rata-rata rencana)</t>
  </si>
  <si>
    <t xml:space="preserve">≤ Rp 20.000</t>
  </si>
  <si>
    <t xml:space="preserve">B_KPI: di atas Rp22.000 pabrik tidak BEP di volume berapa pun</t>
  </si>
  <si>
    <t xml:space="preserve">Ongkos angkut live bird</t>
  </si>
  <si>
    <t xml:space="preserve">freight inbound ÷ kg diterima</t>
  </si>
  <si>
    <t xml:space="preserve">tidak dimodelkan</t>
  </si>
  <si>
    <t xml:space="preserve">Budget menganggap harga LB sudah sampai pabrik. Aktual Rp181m di Agustus — perlu masuk budget</t>
  </si>
  <si>
    <t xml:space="preserve">C.  PROSES</t>
  </si>
  <si>
    <t xml:space="preserve">Susut penerimaan s.d. masuk lini</t>
  </si>
  <si>
    <t xml:space="preserve">(kg diterima − kg diproses) ÷ kg diterima</t>
  </si>
  <si>
    <t xml:space="preserve">I_Model Details!G25:G27 (DOA + mortalitas + susut holding)</t>
  </si>
  <si>
    <t xml:space="preserve">≤ 2% (akurasi terima)</t>
  </si>
  <si>
    <t xml:space="preserve">Supervisor Produksi</t>
  </si>
  <si>
    <t xml:space="preserve">Aktual = kg PI vs kg tagihan maklon; belum dipisah DOA / mati / susut timbang</t>
  </si>
  <si>
    <t xml:space="preserve">Yield total</t>
  </si>
  <si>
    <t xml:space="preserve">kg output ÷ kg masuk lini</t>
  </si>
  <si>
    <t xml:space="preserve">O_Produksi!I44 (Sep-26)</t>
  </si>
  <si>
    <t xml:space="preserve">89,2% (indikatif)</t>
  </si>
  <si>
    <t xml:space="preserve">PPIC</t>
  </si>
  <si>
    <t xml:space="preserve">Output di stok Accurate (tanpa usus limbah 8 Agu)</t>
  </si>
  <si>
    <t xml:space="preserve">8</t>
  </si>
  <si>
    <t xml:space="preserve">Yield karkas</t>
  </si>
  <si>
    <t xml:space="preserve">kg karkas ÷ kg masuk lini</t>
  </si>
  <si>
    <t xml:space="preserve">O_Costing!E35 (kartu standar)</t>
  </si>
  <si>
    <t xml:space="preserve">Dampak dinilai di harga laku karkas Agustus</t>
  </si>
  <si>
    <t xml:space="preserve">9</t>
  </si>
  <si>
    <t xml:space="preserve">Yield by-product</t>
  </si>
  <si>
    <t xml:space="preserve">kg by-product (termasuk limbah) ÷ kg masuk lini</t>
  </si>
  <si>
    <t xml:space="preserve">O_Costing!E36:E41</t>
  </si>
  <si>
    <t xml:space="preserve">≤ 5% deviasi relatif</t>
  </si>
  <si>
    <t xml:space="preserve">Budget termasuk kerongkongan 3,9% (tidak ada di Agustus — karkas dijual utuh). Rincian per produk di bawah</t>
  </si>
  <si>
    <t xml:space="preserve">10</t>
  </si>
  <si>
    <t xml:space="preserve">Kondemnasi post-mortem</t>
  </si>
  <si>
    <t xml:space="preserve">kg dikondemnasi ÷ kg masuk lini</t>
  </si>
  <si>
    <t xml:space="preserve">I_Model Details!G28</t>
  </si>
  <si>
    <t xml:space="preserve">≤ 0,5%</t>
  </si>
  <si>
    <t xml:space="preserve">Dokter Hewan</t>
  </si>
  <si>
    <t xml:space="preserve">Belum dicatat — perlu kolom di Yield Report</t>
  </si>
  <si>
    <t xml:space="preserve">D.  BAURAN OUTPUT</t>
  </si>
  <si>
    <t xml:space="preserve">11</t>
  </si>
  <si>
    <t xml:space="preserve">Karkas dijual utuh</t>
  </si>
  <si>
    <t xml:space="preserve">kg karkas utuh ÷ karkas total</t>
  </si>
  <si>
    <t xml:space="preserve">Assumptions!G77</t>
  </si>
  <si>
    <t xml:space="preserve">Agustus tanpa cut-up</t>
  </si>
  <si>
    <t xml:space="preserve">12</t>
  </si>
  <si>
    <t xml:space="preserve">Porsi output dibekukan</t>
  </si>
  <si>
    <t xml:space="preserve">kg produk beku ÷ total output</t>
  </si>
  <si>
    <t xml:space="preserve">I_Model Details!G29</t>
  </si>
  <si>
    <t xml:space="preserve">Manajer Sales</t>
  </si>
  <si>
    <t xml:space="preserve">Budget butuh premium harga beku +Rp1.122/kg (B_UnitEcon); aktual frozen DISKON Rp5,136/kg. Dampak = driver #1 Loss Bridge</t>
  </si>
  <si>
    <t xml:space="preserve">E.  HARGA JUAL</t>
  </si>
  <si>
    <t xml:space="preserve">13</t>
  </si>
  <si>
    <t xml:space="preserve">Harga karkas (bauran fresh + frozen)</t>
  </si>
  <si>
    <t xml:space="preserve">nilai karkas ÷ kg, di harga laku Agustus</t>
  </si>
  <si>
    <t xml:space="preserve">I_Model Details!I120 (Sep-26)</t>
  </si>
  <si>
    <t xml:space="preserve">Fresh Rp36,794, frozen Rp31,658. Harga pasar acuan budget Rp33.106 (Assumptions!G56)</t>
  </si>
  <si>
    <t xml:space="preserve">14</t>
  </si>
  <si>
    <t xml:space="preserve">Harga by-product (bauran aktual)</t>
  </si>
  <si>
    <t xml:space="preserve">nilai by-product ÷ kg</t>
  </si>
  <si>
    <t xml:space="preserve">I_Model Details!I128:I132 (Sep-26), dibobot bauran aktual</t>
  </si>
  <si>
    <t xml:space="preserve">Budget kepala/ceker Rp11,6rb, usus Rp7,0rb; laku Agustus Rp4,0rb / Rp3,1rb / Rp1,5rb</t>
  </si>
  <si>
    <t xml:space="preserve">F.  BIAYA KONVERSI</t>
  </si>
  <si>
    <t xml:space="preserve">15</t>
  </si>
  <si>
    <t xml:space="preserve">Biaya potong per kg masuk lini</t>
  </si>
  <si>
    <t xml:space="preserve">maklon ÷ kg diproses (budget: Pool A tenaga + overhead)</t>
  </si>
  <si>
    <t xml:space="preserve">I_Model Details!I179 (Sep-26, pabrik sendiri)</t>
  </si>
  <si>
    <t xml:space="preserve">Manajer Accounting</t>
  </si>
  <si>
    <t xml:space="preserve">Di volume Agustus, Pool A pabrik sendiri ≈ Rp4,000/kg — maklon masih lebih murah</t>
  </si>
  <si>
    <t xml:space="preserve">G.  HASIL PER KG</t>
  </si>
  <si>
    <t xml:space="preserve">16</t>
  </si>
  <si>
    <t xml:space="preserve">Nilai output per kg</t>
  </si>
  <si>
    <t xml:space="preserve">nilai output di harga laku ÷ kg output</t>
  </si>
  <si>
    <t xml:space="preserve">B_RPA_Summary!G89</t>
  </si>
  <si>
    <t xml:space="preserve">17</t>
  </si>
  <si>
    <t xml:space="preserve">Biaya per kg output</t>
  </si>
  <si>
    <t xml:space="preserve">biaya batch ÷ kg output</t>
  </si>
  <si>
    <t xml:space="preserve">B_RPA_Summary!H52 (20 t/hari)</t>
  </si>
  <si>
    <t xml:space="preserve">Budget termasuk storage, kemasan, G&amp;A (Rp2.255/kg); aktual hanya LB + angkut + maklon</t>
  </si>
  <si>
    <t xml:space="preserve">18</t>
  </si>
  <si>
    <t xml:space="preserve">Kontribusi per kg live bird</t>
  </si>
  <si>
    <t xml:space="preserve">(nilai output − LB − angkut − maklon) ÷ kg LB</t>
  </si>
  <si>
    <t xml:space="preserve">B_KPI!F26 (kartu standar)</t>
  </si>
  <si>
    <t xml:space="preserve">Rp 1.835</t>
  </si>
  <si>
    <t xml:space="preserve">Selisih total terhadap kartu standar — bukan jumlah dari baris lain</t>
  </si>
  <si>
    <t xml:space="preserve">19</t>
  </si>
  <si>
    <t xml:space="preserve">Harga breakeven live bird</t>
  </si>
  <si>
    <t xml:space="preserve">harga LB maksimum agar kontribusi = 0</t>
  </si>
  <si>
    <t xml:space="preserve">B_Summary!G362 (ambang own = maklon)</t>
  </si>
  <si>
    <t xml:space="preserve">Aktual: harga beli Rp2.767/kg di atas breakeven</t>
  </si>
  <si>
    <t xml:space="preserve">Status: On = aktual sama atau lebih baik dari budget. Dampak = (aktual − budget) × volume Agustus, di harga laku Agustus; indikatif, antar baris tumpang tindih sehingga tidak dijumlah. Kontribusi per kg (#18) adalah selisih totalnya.</t>
  </si>
  <si>
    <t xml:space="preserve">H.  YIELD DAN HARGA PER BY-PRODUCT — budget (kartu standar / Sep-26) vs aktual Agustus</t>
  </si>
  <si>
    <t xml:space="preserve">Produk</t>
  </si>
  <si>
    <t xml:space="preserve">Yield budget
÷ kg masuk lini</t>
  </si>
  <si>
    <t xml:space="preserve">Sumber</t>
  </si>
  <si>
    <t xml:space="preserve">Yield aktual
÷ kg masuk lini</t>
  </si>
  <si>
    <t xml:space="preserve">Kerongkongan</t>
  </si>
  <si>
    <t xml:space="preserve">O_Costing!E36</t>
  </si>
  <si>
    <t xml:space="preserve">O_Costing!E37</t>
  </si>
  <si>
    <t xml:space="preserve">O_Costing!E38</t>
  </si>
  <si>
    <t xml:space="preserve">Usus (incl. limbah)</t>
  </si>
  <si>
    <t xml:space="preserve">O_Costing!E39</t>
  </si>
  <si>
    <t xml:space="preserve">HJA / giblet</t>
  </si>
  <si>
    <t xml:space="preserve">O_Costing!E40</t>
  </si>
  <si>
    <t xml:space="preserve">O_Costing!E41</t>
  </si>
  <si>
    <t xml:space="preserve">Total by-product</t>
  </si>
  <si>
    <t xml:space="preserve">Harga budget
Sep-26</t>
  </si>
  <si>
    <t xml:space="preserve">Harga laku
Agustus</t>
  </si>
  <si>
    <t xml:space="preserve">I_Model Details!I131</t>
  </si>
  <si>
    <t xml:space="preserve">I_Model Details!I128</t>
  </si>
  <si>
    <t xml:space="preserve">I_Model Details!I130</t>
  </si>
  <si>
    <t xml:space="preserve">I_Model Details!I129</t>
  </si>
  <si>
    <t xml:space="preserve">I_Model Details!I132</t>
  </si>
  <si>
    <t xml:space="preserve">B_KPI sudah memberi peringatan: benchmark by-product memicu 4 dari 5 kategori. Harga by-product di budget ~3x harga laku — ini yang sama membuat HPP by-product di Accurate terlalu tinggi.</t>
  </si>
  <si>
    <t xml:space="preserve">GROSS PROFIT BY SEGMENT — RPA and Trading, March to August 2026 (Rp)</t>
  </si>
  <si>
    <t xml:space="preserve">Mar–Jul and "Aug as booked" follow the accounting mapping (PL - Performance): unbilled revenue and all its HPP sit in RPA. Columns J–L move the 10 unbilled invoices to the segment of their items and re-cost them; M is the corrected August.</t>
  </si>
  <si>
    <t xml:space="preserve">Source / basis</t>
  </si>
  <si>
    <t xml:space="preserve">Mar-26</t>
  </si>
  <si>
    <t xml:space="preserve">Apr-26</t>
  </si>
  <si>
    <t xml:space="preserve">May-26</t>
  </si>
  <si>
    <t xml:space="preserve">Jun-26</t>
  </si>
  <si>
    <t xml:space="preserve">Aug-26
as booked</t>
  </si>
  <si>
    <t xml:space="preserve">Adj-1
unbilled to
item segment</t>
  </si>
  <si>
    <t xml:space="preserve">Adj-2
HPP at MA on
SJ date</t>
  </si>
  <si>
    <t xml:space="preserve">Adj-3
later DOs
re-costed</t>
  </si>
  <si>
    <t xml:space="preserve">Aug-26
CORRECTED</t>
  </si>
  <si>
    <t xml:space="preserve">YTD Mar–Aug
corrected</t>
  </si>
  <si>
    <t xml:space="preserve">A.  REVENUE</t>
  </si>
  <si>
    <t xml:space="preserve">GL 4101006/07/10 (+4101013 as booked)</t>
  </si>
  <si>
    <t xml:space="preserve">GL 4101012 less 4101004</t>
  </si>
  <si>
    <t xml:space="preserve">Revenue — unbilled, segment not yet known</t>
  </si>
  <si>
    <t xml:space="preserve">6 invoices without item detail</t>
  </si>
  <si>
    <t xml:space="preserve">TOTAL REVENUE</t>
  </si>
  <si>
    <t xml:space="preserve">B.  PRODUCT COGS (live bird + inbound freight + maklon for RPA; purchase cost for Trading)</t>
  </si>
  <si>
    <t xml:space="preserve">COGS — RPA per GL</t>
  </si>
  <si>
    <t xml:space="preserve">GL 5100004/05/06 (maklon expensed until Jul)</t>
  </si>
  <si>
    <t xml:space="preserve">Performance adjustment — maklon timing</t>
  </si>
  <si>
    <t xml:space="preserve">PL - Performance Apr/May</t>
  </si>
  <si>
    <t xml:space="preserve">COGS — RPA</t>
  </si>
  <si>
    <t xml:space="preserve">COGS — Trading</t>
  </si>
  <si>
    <t xml:space="preserve">GL 5100011</t>
  </si>
  <si>
    <t xml:space="preserve">COGS — unbilled, segment not yet known</t>
  </si>
  <si>
    <t xml:space="preserve">estimate booked</t>
  </si>
  <si>
    <t xml:space="preserve">TOTAL PRODUCT COGS</t>
  </si>
  <si>
    <t xml:space="preserve">C.  PRODUCT GROSS PROFIT</t>
  </si>
  <si>
    <t xml:space="preserve">Product GP — RPA</t>
  </si>
  <si>
    <t xml:space="preserve">Product GP — Trading</t>
  </si>
  <si>
    <t xml:space="preserve">Product GP — unbilled, segment not known</t>
  </si>
  <si>
    <t xml:space="preserve">PRODUCT GP — TOTAL</t>
  </si>
  <si>
    <t xml:space="preserve">Product GP % — RPA</t>
  </si>
  <si>
    <t xml:space="preserve">Product GP % — Trading</t>
  </si>
  <si>
    <t xml:space="preserve">Product GP % — unbilled, not known</t>
  </si>
  <si>
    <t xml:space="preserve">Product GP % — total</t>
  </si>
  <si>
    <t xml:space="preserve">D.  COST OF SALES — OTHERS (expedition + blasting) — kept separate unless the switch on COS Others B3 = Yes</t>
  </si>
  <si>
    <t xml:space="preserve">Cost of sales others — allocated to RPA</t>
  </si>
  <si>
    <t xml:space="preserve">only if COS Others B3 = Yes</t>
  </si>
  <si>
    <t xml:space="preserve">Cost of sales others — allocated to Trading</t>
  </si>
  <si>
    <t xml:space="preserve">Cost of sales others — total (GL)</t>
  </si>
  <si>
    <t xml:space="preserve">GL 5100002/07/09/10</t>
  </si>
  <si>
    <t xml:space="preserve">E.  GROSS PROFIT — segments, then what is not in a segment, then the Gross Profit line of the slide P&amp;L</t>
  </si>
  <si>
    <t xml:space="preserve">Gross profit — RPA</t>
  </si>
  <si>
    <t xml:space="preserve">Gross profit — Trading</t>
  </si>
  <si>
    <t xml:space="preserve">Not in a segment: cost of sales others not allocated (+ unbilled without segment)</t>
  </si>
  <si>
    <t xml:space="preserve">GROSS PROFIT — TOTAL</t>
  </si>
  <si>
    <t xml:space="preserve">Not in a segment ÷ total revenue</t>
  </si>
  <si>
    <t xml:space="preserve">GP MARGIN — TOTAL</t>
  </si>
  <si>
    <t xml:space="preserve">F.  VOLUME AND PER KG</t>
  </si>
  <si>
    <t xml:space="preserve">kg sold — RPA</t>
  </si>
  <si>
    <t xml:space="preserve">Data SKU invoiced (+ all unbilled kg as booked)</t>
  </si>
  <si>
    <t xml:space="preserve">kg sold — Trading</t>
  </si>
  <si>
    <t xml:space="preserve">Data SKU invoiced</t>
  </si>
  <si>
    <t xml:space="preserve">kg sold — unbilled, segment not known</t>
  </si>
  <si>
    <t xml:space="preserve">kg sold — total</t>
  </si>
  <si>
    <t xml:space="preserve">RPA — ASP (Rp/kg)</t>
  </si>
  <si>
    <t xml:space="preserve">RPA — product cost (Rp/kg)</t>
  </si>
  <si>
    <t xml:space="preserve">RPA — product GP (Rp/kg)</t>
  </si>
  <si>
    <t xml:space="preserve">RPA — gross profit (Rp/kg)</t>
  </si>
  <si>
    <t xml:space="preserve">Trading — ASP (Rp/kg)</t>
  </si>
  <si>
    <t xml:space="preserve">Trading — product cost (Rp/kg)</t>
  </si>
  <si>
    <t xml:space="preserve">Trading — product GP (Rp/kg)</t>
  </si>
  <si>
    <t xml:space="preserve">Trading — gross profit (Rp/kg)</t>
  </si>
  <si>
    <t xml:space="preserve">G.  TIE-OUT TO THE ACCOUNTING TEAM'S FS (sheet PL - Performance)</t>
  </si>
  <si>
    <t xml:space="preserve">Gross profit per PL - Performance</t>
  </si>
  <si>
    <t xml:space="preserve">FS_KGR_Aug_2026.xlsx, Performance columns</t>
  </si>
  <si>
    <t xml:space="preserve">Difference: as booked − accounting (nil)</t>
  </si>
  <si>
    <t xml:space="preserve">Adj-1 nets to nil across segments (revenue / COGS)</t>
  </si>
  <si>
    <t xml:space="preserve">Check: RPA + Trading + not in a segment − total GP (nil)</t>
  </si>
  <si>
    <t xml:space="preserve">Reading: RPA and Trading gross profit in the Aug-26 CORRECTED column are what the business earned per segment once the 10 unbilled invoices are put where their items came from and costed at the moving average on the day the goods left. The 6 invoices without item detail stay in their own line until their items are known (or pick a segment for each in Unbilled column N).</t>
  </si>
  <si>
    <t xml:space="preserve">GP MARGIN WATERFALL — July to August 2026, by segment (same method as the NMG slide)</t>
  </si>
  <si>
    <t xml:space="preserve">Each bar = revenue share of the bucket in August × (bucket margin − July margin). Buckets carry the HPP booked on the DOs that shipped them (FIFO by DO), so there is no moving-average bar. Bars add exactly from the July margin to the corrected August margin.</t>
  </si>
  <si>
    <t xml:space="preserve">RPA — GROSS PROFIT CONTEXT, August 2026 vs July 2026 (Rp)</t>
  </si>
  <si>
    <t xml:space="preserve">Stok pra-Juli</t>
  </si>
  <si>
    <t xml:space="preserve">Produksi Juli</t>
  </si>
  <si>
    <t xml:space="preserve">Produksi Agustus</t>
  </si>
  <si>
    <t xml:space="preserve">Lain-lain*</t>
  </si>
  <si>
    <t xml:space="preserve">Total Aug-26
(corrected)</t>
  </si>
  <si>
    <t xml:space="preserve">Variance
Aug − Jul</t>
  </si>
  <si>
    <t xml:space="preserve">Variance %</t>
  </si>
  <si>
    <t xml:space="preserve">Pendapatan</t>
  </si>
  <si>
    <t xml:space="preserve">HPP produk (as booked)</t>
  </si>
  <si>
    <t xml:space="preserve">Laba kotor produk</t>
  </si>
  <si>
    <t xml:space="preserve">Cost of sales others (only if allocated — COS Others B3)</t>
  </si>
  <si>
    <t xml:space="preserve">Laba kotor</t>
  </si>
  <si>
    <t xml:space="preserve">GP margin</t>
  </si>
  <si>
    <t xml:space="preserve">Each vintage carries the HPP Accurate booked on the DOs that shipped it (FIFO by DO), so the buckets add up to booked HPP — no moving-average bar. *Lain-lain = revenue/cost outside the item-level split (revenue without SI, invoices without item detail).</t>
  </si>
  <si>
    <t xml:space="preserve">RPA — GP MARGIN WATERFALL Jul → Aug (percentage points)</t>
  </si>
  <si>
    <t xml:space="preserve">FIFO point
estimate</t>
  </si>
  <si>
    <t xml:space="preserve">Lower bound
(new stock first)</t>
  </si>
  <si>
    <t xml:space="preserve">Revenue
share Aug</t>
  </si>
  <si>
    <t xml:space="preserve">Bucket
margin</t>
  </si>
  <si>
    <t xml:space="preserve">July gross profit ÷ July revenue (Segment GP)</t>
  </si>
  <si>
    <t xml:space="preserve">share × (bucket margin − July margin)</t>
  </si>
  <si>
    <t xml:space="preserve">nil unless allocated (COS Others B3); otherwise at KGR level</t>
  </si>
  <si>
    <t xml:space="preserve">Lain-lain</t>
  </si>
  <si>
    <t xml:space="preserve">items outside the split, net of their share of the July margin</t>
  </si>
  <si>
    <t xml:space="preserve">Check: waterfall − Segment GP corrected margin (nil)</t>
  </si>
  <si>
    <t xml:space="preserve">RPA — WHAT IS INSIDE EACH BAR, by product group (percentage points; rows add up to the bars above)</t>
  </si>
  <si>
    <t xml:space="preserve">Product group</t>
  </si>
  <si>
    <t xml:space="preserve">Total
vintage bars</t>
  </si>
  <si>
    <t xml:space="preserve">Revenue from
produksi agustus (Rp)</t>
  </si>
  <si>
    <t xml:space="preserve">Margin of
produksi agustus</t>
  </si>
  <si>
    <t xml:space="preserve">Boneless &amp; parting (from earlier boneless runs)</t>
  </si>
  <si>
    <t xml:space="preserve">By-product (kepala, ceker, usus, HJA, lemak)</t>
  </si>
  <si>
    <t xml:space="preserve">Karkas fresh</t>
  </si>
  <si>
    <t xml:space="preserve">Karkas frozen</t>
  </si>
  <si>
    <t xml:space="preserve">Karkas mix</t>
  </si>
  <si>
    <t xml:space="preserve">Total = the vintage bars above</t>
  </si>
  <si>
    <t xml:space="preserve">Check: − bars (nil)</t>
  </si>
  <si>
    <t xml:space="preserve">Trading — GROSS PROFIT CONTEXT, August 2026 vs July 2026 (Rp)</t>
  </si>
  <si>
    <t xml:space="preserve">Pembelian Juli</t>
  </si>
  <si>
    <t xml:space="preserve">Pembelian Agustus</t>
  </si>
  <si>
    <t xml:space="preserve">Trading — GP MARGIN WATERFALL Jul → Aug (percentage points)</t>
  </si>
  <si>
    <t xml:space="preserve">Trading — WHAT IS INSIDE EACH BAR, by product group (percentage points; rows add up to the bars above)</t>
  </si>
  <si>
    <t xml:space="preserve">Revenue from
pembelian agustus (Rp)</t>
  </si>
  <si>
    <t xml:space="preserve">Margin of
pembelian agustus</t>
  </si>
  <si>
    <t xml:space="preserve">KGR TOTAL — GP MARGIN WATERFALL Jul → Aug (percentage points)</t>
  </si>
  <si>
    <t xml:space="preserve">Value</t>
  </si>
  <si>
    <t xml:space="preserve">RPA — margin change</t>
  </si>
  <si>
    <t xml:space="preserve">Aug revenue share × (Aug − Jul RPA margin)</t>
  </si>
  <si>
    <t xml:space="preserve">Trading — margin change</t>
  </si>
  <si>
    <t xml:space="preserve">Aug revenue share × (Aug − Jul Trading margin)</t>
  </si>
  <si>
    <t xml:space="preserve">Segment mix</t>
  </si>
  <si>
    <t xml:space="preserve">Not in a segment (cost of sales others not allocated + unbilled without segment)</t>
  </si>
  <si>
    <t xml:space="preserve">change in (not-in-a-segment ÷ revenue); Segment GP row 33</t>
  </si>
  <si>
    <t xml:space="preserve">Check vs Segment GP (nil)</t>
  </si>
  <si>
    <t xml:space="preserve">VINTAGE — August sales split by when the goods were produced (RPA) or bought (Trading)</t>
  </si>
  <si>
    <t xml:space="preserve">Point estimate: FIFO row by row in MA Engine (oldest stock leaves first). Each bucket carries the HPP Accurate actually booked on the DOs that shipped it, so buckets add up to booked HPP with no moving-average bar (NMG style). Lower bound: new stock first, at the item average booked HPP/kg. Layer costs (cols AE–AG) are kept for information and for the RPA Loss Bridge.</t>
  </si>
  <si>
    <t xml:space="preserve">SUMMARY — August sales by vintage, product level (sales with item detail; the 6 invoices without items are excluded)</t>
  </si>
  <si>
    <t xml:space="preserve">Segment</t>
  </si>
  <si>
    <t xml:space="preserve">Bucket</t>
  </si>
  <si>
    <t xml:space="preserve">kg sold</t>
  </si>
  <si>
    <t xml:space="preserve">Product cost</t>
  </si>
  <si>
    <t xml:space="preserve">Product GP</t>
  </si>
  <si>
    <t xml:space="preserve">GP %</t>
  </si>
  <si>
    <t xml:space="preserve">Revenue
Rp/kg</t>
  </si>
  <si>
    <t xml:space="preserve">Cost
Rp/kg</t>
  </si>
  <si>
    <t xml:space="preserve">LB: kg</t>
  </si>
  <si>
    <t xml:space="preserve">LB: revenue</t>
  </si>
  <si>
    <t xml:space="preserve">LB: cost</t>
  </si>
  <si>
    <t xml:space="preserve">LB: GP</t>
  </si>
  <si>
    <t xml:space="preserve">LB: GP %</t>
  </si>
  <si>
    <t xml:space="preserve">RPA</t>
  </si>
  <si>
    <t xml:space="preserve">Efek moving average (cost only)</t>
  </si>
  <si>
    <t xml:space="preserve">Total — sales with item detail</t>
  </si>
  <si>
    <t xml:space="preserve">Trading</t>
  </si>
  <si>
    <t xml:space="preserve">SUMMARY — JULY sales by vintage (same method) — needed to compare like with like</t>
  </si>
  <si>
    <t xml:space="preserve">Stok pra-Juli (on hand 1 Jul)</t>
  </si>
  <si>
    <t xml:space="preserve">Total — July sales (invoiced)</t>
  </si>
  <si>
    <t xml:space="preserve">Case (column G): A = no August production/purchase of the item, all sales from old stock; B = old stock and August production both present; C = no stock at 1 Aug, all from August. Pre-July layer cost = 1 Aug book value less the July layer at July receipt cost (falls back to the 1 Aug average if that would go negative).</t>
  </si>
  <si>
    <t xml:space="preserve">Item</t>
  </si>
  <si>
    <t xml:space="preserve">Size</t>
  </si>
  <si>
    <t xml:space="preserve">Case</t>
  </si>
  <si>
    <t xml:space="preserve">Open 1 Jul
kg</t>
  </si>
  <si>
    <t xml:space="preserve">Jul in
kg</t>
  </si>
  <si>
    <t xml:space="preserve">Jul out
kg</t>
  </si>
  <si>
    <t xml:space="preserve">Open 1 Aug
kg</t>
  </si>
  <si>
    <t xml:space="preserve">Open 1 Aug
Rp</t>
  </si>
  <si>
    <t xml:space="preserve">Aug in
kg</t>
  </si>
  <si>
    <t xml:space="preserve">Aug in
Rp</t>
  </si>
  <si>
    <t xml:space="preserve">Aug out
kg (all)</t>
  </si>
  <si>
    <t xml:space="preserve">Sales kg
(inv+unb)</t>
  </si>
  <si>
    <t xml:space="preserve">of which
invoiced</t>
  </si>
  <si>
    <t xml:space="preserve">of which
unbilled</t>
  </si>
  <si>
    <t xml:space="preserve">DO 257
transit</t>
  </si>
  <si>
    <t xml:space="preserve">Other out
(IA/Job)</t>
  </si>
  <si>
    <t xml:space="preserve">Pre-Jul
left 1 Aug</t>
  </si>
  <si>
    <t xml:space="preserve">Jul left
1 Aug</t>
  </si>
  <si>
    <t xml:space="preserve">Aug out from
pre-Jul</t>
  </si>
  <si>
    <t xml:space="preserve">from
Jul</t>
  </si>
  <si>
    <t xml:space="preserve">from
Aug</t>
  </si>
  <si>
    <t xml:space="preserve">Sales
share</t>
  </si>
  <si>
    <t xml:space="preserve">Sales kg
pre-Jul</t>
  </si>
  <si>
    <t xml:space="preserve">Sales kg
Jul</t>
  </si>
  <si>
    <t xml:space="preserve">Sales kg
Aug</t>
  </si>
  <si>
    <t xml:space="preserve">Jul in Rp</t>
  </si>
  <si>
    <t xml:space="preserve">Cost/kg
Jul layer</t>
  </si>
  <si>
    <t xml:space="preserve">Cost/kg
pre-Jul layer</t>
  </si>
  <si>
    <t xml:space="preserve">Cost/kg
Aug layer</t>
  </si>
  <si>
    <t xml:space="preserve">COGS booked
(replay B)</t>
  </si>
  <si>
    <t xml:space="preserve">Cost
pre-Jul</t>
  </si>
  <si>
    <t xml:space="preserve">Cost
Jul</t>
  </si>
  <si>
    <t xml:space="preserve">Cost
Aug</t>
  </si>
  <si>
    <t xml:space="preserve">MA effect</t>
  </si>
  <si>
    <t xml:space="preserve">Sales
revenue</t>
  </si>
  <si>
    <t xml:space="preserve">Revenue
pre-Jul</t>
  </si>
  <si>
    <t xml:space="preserve">Revenue
Jul</t>
  </si>
  <si>
    <t xml:space="preserve">Revenue
Aug</t>
  </si>
  <si>
    <t xml:space="preserve">LB: old kg
out</t>
  </si>
  <si>
    <t xml:space="preserve">LB: sales kg
pre-Jul</t>
  </si>
  <si>
    <t xml:space="preserve">LB: sales kg
Jul</t>
  </si>
  <si>
    <t xml:space="preserve">LB: sales kg
Aug</t>
  </si>
  <si>
    <t xml:space="preserve">LB: cost
old+new</t>
  </si>
  <si>
    <t xml:space="preserve">LB: revenue
pre-Jul</t>
  </si>
  <si>
    <t xml:space="preserve">LB: revenue
Jul</t>
  </si>
  <si>
    <t xml:space="preserve">LB: revenue
Aug</t>
  </si>
  <si>
    <t xml:space="preserve">LB: MA effect</t>
  </si>
  <si>
    <t xml:space="preserve">Sales at Aug
layer cost</t>
  </si>
  <si>
    <t xml:space="preserve">Booked HPP/kg
of sales</t>
  </si>
  <si>
    <t xml:space="preserve">Product group
(waterfall)</t>
  </si>
  <si>
    <t xml:space="preserve">JUL: sales kg
(DO Jul)</t>
  </si>
  <si>
    <t xml:space="preserve">JUL: pre-Jul
stock used</t>
  </si>
  <si>
    <t xml:space="preserve">JUL: Jul layer
used</t>
  </si>
  <si>
    <t xml:space="preserve">JUL: sales
share</t>
  </si>
  <si>
    <t xml:space="preserve">JUL: sales kg
pre-Jul</t>
  </si>
  <si>
    <t xml:space="preserve">JUL: sales kg
Jul layer</t>
  </si>
  <si>
    <t xml:space="preserve">JUL: cost/kg
1 Jul stock</t>
  </si>
  <si>
    <t xml:space="preserve">JUL: cost/kg
Jul receipts</t>
  </si>
  <si>
    <t xml:space="preserve">JUL: COGS
booked</t>
  </si>
  <si>
    <t xml:space="preserve">JUL: cost
pre-Jul</t>
  </si>
  <si>
    <t xml:space="preserve">JUL: cost
Jul layer</t>
  </si>
  <si>
    <t xml:space="preserve">JUL: MA
effect</t>
  </si>
  <si>
    <t xml:space="preserve">JUL: sales
revenue</t>
  </si>
  <si>
    <t xml:space="preserve">JUL: revenue
pre-Jul</t>
  </si>
  <si>
    <t xml:space="preserve">JUL: revenue
Jul layer</t>
  </si>
  <si>
    <t xml:space="preserve">JLB0078</t>
  </si>
  <si>
    <t xml:space="preserve">JLB0080</t>
  </si>
  <si>
    <t xml:space="preserve">JLB0092</t>
  </si>
  <si>
    <t xml:space="preserve">JLB0118</t>
  </si>
  <si>
    <t xml:space="preserve">JLB0124</t>
  </si>
  <si>
    <t xml:space="preserve">JLB0135</t>
  </si>
  <si>
    <t xml:space="preserve">JLB0138</t>
  </si>
  <si>
    <t xml:space="preserve">JLB0140</t>
  </si>
  <si>
    <t xml:space="preserve">JLB0152</t>
  </si>
  <si>
    <t xml:space="preserve">JLB0164</t>
  </si>
  <si>
    <t xml:space="preserve">JLB0170</t>
  </si>
  <si>
    <t xml:space="preserve">JLB0172</t>
  </si>
  <si>
    <t xml:space="preserve">JLB0175</t>
  </si>
  <si>
    <t xml:space="preserve">JLB0177</t>
  </si>
  <si>
    <t xml:space="preserve">JLB0179</t>
  </si>
  <si>
    <t xml:space="preserve">JLB0183</t>
  </si>
  <si>
    <t xml:space="preserve">JLB0184</t>
  </si>
  <si>
    <t xml:space="preserve">JLB0194</t>
  </si>
  <si>
    <t xml:space="preserve">JLB0198</t>
  </si>
  <si>
    <t xml:space="preserve">JLB0201</t>
  </si>
  <si>
    <t xml:space="preserve">JLB0210</t>
  </si>
  <si>
    <t xml:space="preserve">JLB0213</t>
  </si>
  <si>
    <t xml:space="preserve">JLB0272</t>
  </si>
  <si>
    <t xml:space="preserve">JLB0338</t>
  </si>
  <si>
    <t xml:space="preserve">JLB0403</t>
  </si>
  <si>
    <t xml:space="preserve">JLB0468</t>
  </si>
  <si>
    <t xml:space="preserve">JLB0533</t>
  </si>
  <si>
    <t xml:space="preserve">JLB0593</t>
  </si>
  <si>
    <t xml:space="preserve">JLB0598</t>
  </si>
  <si>
    <t xml:space="preserve">JLB0599</t>
  </si>
  <si>
    <t xml:space="preserve">JLB0658</t>
  </si>
  <si>
    <t xml:space="preserve">JLB0663</t>
  </si>
  <si>
    <t xml:space="preserve">JLB0690</t>
  </si>
  <si>
    <t xml:space="preserve">JLB0697</t>
  </si>
  <si>
    <t xml:space="preserve">JLB0724</t>
  </si>
  <si>
    <t xml:space="preserve">JLB0729</t>
  </si>
  <si>
    <t xml:space="preserve">JLB0756</t>
  </si>
  <si>
    <t xml:space="preserve">JLB0763</t>
  </si>
  <si>
    <t xml:space="preserve">JLB0790</t>
  </si>
  <si>
    <t xml:space="preserve">JLB0795</t>
  </si>
  <si>
    <t xml:space="preserve">JLB0822</t>
  </si>
  <si>
    <t xml:space="preserve">JLB0829</t>
  </si>
  <si>
    <t xml:space="preserve">JLB0856</t>
  </si>
  <si>
    <t xml:space="preserve">JLB0861</t>
  </si>
  <si>
    <t xml:space="preserve">JLB0888</t>
  </si>
  <si>
    <t xml:space="preserve">JLB0922</t>
  </si>
  <si>
    <t xml:space="preserve">JLB0927</t>
  </si>
  <si>
    <t xml:space="preserve">JLB0954</t>
  </si>
  <si>
    <t xml:space="preserve">JLB0988</t>
  </si>
  <si>
    <t xml:space="preserve">JLB0993</t>
  </si>
  <si>
    <t xml:space="preserve">JLB1020</t>
  </si>
  <si>
    <t xml:space="preserve">JLB1054</t>
  </si>
  <si>
    <t xml:space="preserve">JLB1059</t>
  </si>
  <si>
    <t xml:space="preserve">JLB1086</t>
  </si>
  <si>
    <t xml:space="preserve">JLB1120</t>
  </si>
  <si>
    <t xml:space="preserve">JLB1125</t>
  </si>
  <si>
    <t xml:space="preserve">JLB1152</t>
  </si>
  <si>
    <t xml:space="preserve">JLB1192</t>
  </si>
  <si>
    <t xml:space="preserve">JLB1218</t>
  </si>
  <si>
    <t xml:space="preserve">JLB1257</t>
  </si>
  <si>
    <t xml:space="preserve">JLB1284</t>
  </si>
  <si>
    <t xml:space="preserve">JLB1323</t>
  </si>
  <si>
    <t xml:space="preserve">JLB1350</t>
  </si>
  <si>
    <t xml:space="preserve">JLB1850</t>
  </si>
  <si>
    <t xml:space="preserve">JLB1857</t>
  </si>
  <si>
    <t xml:space="preserve">JLB1858</t>
  </si>
  <si>
    <t xml:space="preserve">JLB1859</t>
  </si>
  <si>
    <t xml:space="preserve">JLB1865</t>
  </si>
  <si>
    <t xml:space="preserve">JLB1866</t>
  </si>
  <si>
    <t xml:space="preserve">JLB1867</t>
  </si>
  <si>
    <t xml:space="preserve">TRD0003</t>
  </si>
  <si>
    <t xml:space="preserve">TRD0008</t>
  </si>
  <si>
    <t xml:space="preserve">TRD0010</t>
  </si>
  <si>
    <t xml:space="preserve">TRD0019</t>
  </si>
  <si>
    <t xml:space="preserve">TRD0020</t>
  </si>
  <si>
    <t xml:space="preserve">TRD0021</t>
  </si>
  <si>
    <t xml:space="preserve">TRD0022</t>
  </si>
  <si>
    <t xml:space="preserve">TRD0023</t>
  </si>
  <si>
    <t xml:space="preserve">TRD0024</t>
  </si>
  <si>
    <t xml:space="preserve">TRD0025</t>
  </si>
  <si>
    <t xml:space="preserve">TRD0026</t>
  </si>
  <si>
    <t xml:space="preserve">TRD0027</t>
  </si>
  <si>
    <t xml:space="preserve">TRD0028</t>
  </si>
  <si>
    <t xml:space="preserve">TRD0029</t>
  </si>
  <si>
    <t xml:space="preserve">TRD0030</t>
  </si>
  <si>
    <t xml:space="preserve">TRD0031</t>
  </si>
  <si>
    <t xml:space="preserve">TRD0032</t>
  </si>
  <si>
    <t xml:space="preserve">TRD0034</t>
  </si>
  <si>
    <t xml:space="preserve">TRD0036</t>
  </si>
  <si>
    <t xml:space="preserve">TRD0037</t>
  </si>
  <si>
    <t xml:space="preserve">TRD0038</t>
  </si>
  <si>
    <t xml:space="preserve">TRD0039</t>
  </si>
  <si>
    <t xml:space="preserve">UNBILLED — 10 August invoices with no Sales Invoice in Accurate</t>
  </si>
  <si>
    <t xml:space="preserve">Invoices 263/276/316/338 were accrued by MJ26080015–18; 201/226/232/243/257/311 by the undated adjustment rows in Agt 26. All HPP was credited to 1104003 and debited to 5100004 (RPA) regardless of the item.</t>
  </si>
  <si>
    <t xml:space="preserve">Item lines of the 4 MJ invoices from Dika's schedule (image, 23 Sep). The 6 other invoices have no item detail yet: HPP = amount booked in Agt 26; segment per Dika's tag in Agt 26 (201, 232 RPA; 226 Trading), untagged ones in RPA for now (yellow cells, column N).</t>
  </si>
  <si>
    <t xml:space="preserve">A.  THE TEN INVOICES</t>
  </si>
  <si>
    <t xml:space="preserve">Inv</t>
  </si>
  <si>
    <t xml:space="preserve">SJ date
(stock out)</t>
  </si>
  <si>
    <t xml:space="preserve">Buyer (ops)</t>
  </si>
  <si>
    <t xml:space="preserve">Payer (bank)</t>
  </si>
  <si>
    <t xml:space="preserve">kg (ops)</t>
  </si>
  <si>
    <t xml:space="preserve">Invoice value</t>
  </si>
  <si>
    <t xml:space="preserve">Cash received
(DP settled)</t>
  </si>
  <si>
    <t xml:space="preserve">Short-paid</t>
  </si>
  <si>
    <t xml:space="preserve">Receipt journal</t>
  </si>
  <si>
    <t xml:space="preserve">HPP booked in GL</t>
  </si>
  <si>
    <t xml:space="preserve">GP booked</t>
  </si>
  <si>
    <t xml:space="preserve">kg with
item lines</t>
  </si>
  <si>
    <t xml:space="preserve">HPP corrected
(MA on SJ date)</t>
  </si>
  <si>
    <t xml:space="preserve">GP corrected</t>
  </si>
  <si>
    <t xml:space="preserve">GP %
corrected</t>
  </si>
  <si>
    <t xml:space="preserve">HPP corrected
− booked</t>
  </si>
  <si>
    <t xml:space="preserve">Akrual manual (MJ)</t>
  </si>
  <si>
    <t xml:space="preserve">Erwin</t>
  </si>
  <si>
    <t xml:space="preserve">Izhar</t>
  </si>
  <si>
    <t xml:space="preserve">B7626080060 + B7626080061</t>
  </si>
  <si>
    <t xml:space="preserve">Per item line</t>
  </si>
  <si>
    <t xml:space="preserve">MJ journal. SJ date per ops note. MJ26080018 tgl 13-08-2026. Jurnal akrual lebih awal dari tanggal SJ (14 Agu)</t>
  </si>
  <si>
    <t xml:space="preserve">Petik Segar</t>
  </si>
  <si>
    <t xml:space="preserve">ERIEN</t>
  </si>
  <si>
    <t xml:space="preserve">B7626080062</t>
  </si>
  <si>
    <t xml:space="preserve">MJ journal. SJ date per ops note. MJ26080017 tgl 14-08-2026. Jurnal akrual lebih awal dari tanggal SJ (15 Agu)</t>
  </si>
  <si>
    <t xml:space="preserve">Natalia Prihati</t>
  </si>
  <si>
    <t xml:space="preserve">B7626080104</t>
  </si>
  <si>
    <t xml:space="preserve">MJ journal. SJ date per ops note. MJ26080016 tgl 24-08-2026.</t>
  </si>
  <si>
    <t xml:space="preserve">Bu Lia</t>
  </si>
  <si>
    <t xml:space="preserve">B7626080131 + B7626080139</t>
  </si>
  <si>
    <t xml:space="preserve">MJ journal. SJ date per ops note. MJ26080015 tgl 29-08-2026. Buyer ops "Bu Lia", pembayar Natalia Prihati; jurnal akrual lebih awal dari SJ (31 Agu)</t>
  </si>
  <si>
    <t xml:space="preserve">Belum ada SI</t>
  </si>
  <si>
    <t xml:space="preserve">RR Frozen</t>
  </si>
  <si>
    <t xml:space="preserve">Rizki Ramadhan</t>
  </si>
  <si>
    <t xml:space="preserve">B7626080005</t>
  </si>
  <si>
    <t xml:space="preserve">No item detail: HPP = amount booked in Agt 26 adjustment rows. Segment tagged RPA by Dika in Agt 26. Termasuk retur BLP 218,9 kg dan jasa pickup</t>
  </si>
  <si>
    <t xml:space="preserve">B7626080032 + B7626080036</t>
  </si>
  <si>
    <t xml:space="preserve">No item detail: HPP = amount booked in Agt 26 adjustment rows. Segment tagged Trading by Dika in Agt 26. Catatan ops: "dipotong tagihan ISA 28.757.300". B7626080036 juga dipakai untuk Sales Receipt lain FS Sheet1 still shows the old HPP estimate Rp88,478,421.</t>
  </si>
  <si>
    <t xml:space="preserve">Wangon</t>
  </si>
  <si>
    <t xml:space="preserve">Wangun Unggas Perk</t>
  </si>
  <si>
    <t xml:space="preserve">B7626080091</t>
  </si>
  <si>
    <t xml:space="preserve">No item detail: HPP = amount booked in Agt 26 adjustment rows. Segment tagged RPA by Dika in Agt 26. Tempo 14 hari (catatan ops)</t>
  </si>
  <si>
    <t xml:space="preserve">(tanpa nama)</t>
  </si>
  <si>
    <t xml:space="preserve">B7626080053</t>
  </si>
  <si>
    <t xml:space="preserve">No item detail: HPP = amount booked in Agt 26 adjustment rows. No segment tag in Agt 26 — RPA for now. Tidak ada referensi SJ di data ops; ops belum catat pembayaran</t>
  </si>
  <si>
    <t xml:space="preserve">B7626080055</t>
  </si>
  <si>
    <t xml:space="preserve">No item detail: HPP = amount booked in Agt 26 adjustment rows. No segment tag in Agt 26 — RPA for now. DO KGR26.00257 Rp 91.185.802 duduk di Inventory In Transit; kurang bayar 670.500 tertutup lebih bayar inv 258</t>
  </si>
  <si>
    <t xml:space="preserve">B7626080103</t>
  </si>
  <si>
    <t xml:space="preserve">No item detail: HPP = amount booked in Agt 26 adjustment rows. No segment tag in Agt 26 — RPA for now.  FS Sheet1 still shows the old HPP estimate Rp20,514,632.</t>
  </si>
  <si>
    <t xml:space="preserve">of which the 4 MJ invoices</t>
  </si>
  <si>
    <t xml:space="preserve">of which the 6 without item detail</t>
  </si>
  <si>
    <t xml:space="preserve">B.  ITEM LINES OF THE 4 MJ INVOICES — HPP re-costed at the moving average on the SJ date (MA Engine, replay B)</t>
  </si>
  <si>
    <t xml:space="preserve">SJ date</t>
  </si>
  <si>
    <t xml:space="preserve">Item code</t>
  </si>
  <si>
    <t xml:space="preserve">kg</t>
  </si>
  <si>
    <t xml:space="preserve">Green in
Dika's image</t>
  </si>
  <si>
    <t xml:space="preserve">HPP/kg per
image (31 Aug)</t>
  </si>
  <si>
    <t xml:space="preserve">HPP per image</t>
  </si>
  <si>
    <t xml:space="preserve">HPP at MA on
SJ date</t>
  </si>
  <si>
    <t xml:space="preserve">HPP/kg
at MA</t>
  </si>
  <si>
    <t xml:space="preserve">MA − image</t>
  </si>
  <si>
    <t xml:space="preserve">Stock after
posting kg</t>
  </si>
  <si>
    <t xml:space="preserve">Stock check</t>
  </si>
  <si>
    <t xml:space="preserve">Price/kg
(enter if known)</t>
  </si>
  <si>
    <t xml:space="preserve">Revenue used</t>
  </si>
  <si>
    <t xml:space="preserve">GP</t>
  </si>
  <si>
    <t xml:space="preserve">U01</t>
  </si>
  <si>
    <t xml:space="preserve">U02</t>
  </si>
  <si>
    <t xml:space="preserve">U03</t>
  </si>
  <si>
    <t xml:space="preserve">U04</t>
  </si>
  <si>
    <t xml:space="preserve">U05</t>
  </si>
  <si>
    <t xml:space="preserve">U06</t>
  </si>
  <si>
    <t xml:space="preserve">U07</t>
  </si>
  <si>
    <t xml:space="preserve">U08</t>
  </si>
  <si>
    <t xml:space="preserve">Y</t>
  </si>
  <si>
    <t xml:space="preserve">U09</t>
  </si>
  <si>
    <t xml:space="preserve">U10</t>
  </si>
  <si>
    <t xml:space="preserve">U11</t>
  </si>
  <si>
    <t xml:space="preserve">U12</t>
  </si>
  <si>
    <t xml:space="preserve">U13</t>
  </si>
  <si>
    <t xml:space="preserve">U14</t>
  </si>
  <si>
    <t xml:space="preserve">U15</t>
  </si>
  <si>
    <t xml:space="preserve">U16</t>
  </si>
  <si>
    <t xml:space="preserve">U17</t>
  </si>
  <si>
    <t xml:space="preserve">Revenue per line is not in the image. Until a price is entered in column T, each invoice's value is spread over its lines in proportion to HPP (same margin on every line of one invoice). Only invoice 338 mixes RPA and Trading items, so only its segment split depends on this.</t>
  </si>
  <si>
    <t xml:space="preserve">C.  BY SEGMENT</t>
  </si>
  <si>
    <t xml:space="preserve">Revenue with
item lines</t>
  </si>
  <si>
    <t xml:space="preserve">HPP as booked
(image = MJ)</t>
  </si>
  <si>
    <t xml:space="preserve">HPP at MA</t>
  </si>
  <si>
    <t xml:space="preserve">kg without
item detail</t>
  </si>
  <si>
    <t xml:space="preserve">Revenue without
item detail</t>
  </si>
  <si>
    <t xml:space="preserve">HPP without item
(estimate booked)</t>
  </si>
  <si>
    <t xml:space="preserve">Revenue total</t>
  </si>
  <si>
    <t xml:space="preserve">HPP booked total</t>
  </si>
  <si>
    <t xml:space="preserve">HPP corrected total</t>
  </si>
  <si>
    <t xml:space="preserve">GP % corrected</t>
  </si>
  <si>
    <t xml:space="preserve">Belum dialokasi</t>
  </si>
  <si>
    <t xml:space="preserve">D.  PROPOSED CORRECTING ENTRIES (draft — for accounting to post or supersede by creating the SIs)</t>
  </si>
  <si>
    <t xml:space="preserve">No</t>
  </si>
  <si>
    <t xml:space="preserve">Entry</t>
  </si>
  <si>
    <t xml:space="preserve">Debit</t>
  </si>
  <si>
    <t xml:space="preserve">Credit</t>
  </si>
  <si>
    <t xml:space="preserve">Amount Rp</t>
  </si>
  <si>
    <t xml:space="preserve">Why</t>
  </si>
  <si>
    <t xml:space="preserve">JE-1</t>
  </si>
  <si>
    <t xml:space="preserve">HPP of Trading items inside MJ26080015–18 out of COGS Live Bird</t>
  </si>
  <si>
    <t xml:space="preserve">5100011 COGS Trading</t>
  </si>
  <si>
    <t xml:space="preserve">5100004 COGS Live Bird</t>
  </si>
  <si>
    <t xml:space="preserve">The MJ journals charged the whole HPP to RPA. Per the item codes in the image this part is Trading stock (invoices 263 and 316 in full, 4 lines of 338).</t>
  </si>
  <si>
    <t xml:space="preserve">JE-2</t>
  </si>
  <si>
    <t xml:space="preserve">Same goods, inventory side</t>
  </si>
  <si>
    <t xml:space="preserve">1104003 Inventory Live Bird</t>
  </si>
  <si>
    <t xml:space="preserve">1104006 Inventory Trading</t>
  </si>
  <si>
    <t xml:space="preserve">The MJ journals credited 1104003 for goods that sit in 1104006. Without this, RPA stock in GL is understated and Trading overstated by the same amount.</t>
  </si>
  <si>
    <t xml:space="preserve">JE-3a</t>
  </si>
  <si>
    <t xml:space="preserve">True-up RPA lines to moving average on SJ date</t>
  </si>
  <si>
    <t xml:space="preserve">The image used the 31 Aug average (before Accurate re-costed); stock actually left on the SJ date. Negative = credit COGS.</t>
  </si>
  <si>
    <t xml:space="preserve">JE-3b</t>
  </si>
  <si>
    <t xml:space="preserve">True-up Trading lines to moving average on SJ date</t>
  </si>
  <si>
    <t xml:space="preserve">As above for the Trading lines.</t>
  </si>
  <si>
    <t xml:space="preserve">Pref.</t>
  </si>
  <si>
    <t xml:space="preserve">Create the 4 SIs in Accurate on their SJ date and reverse MJ26080015–18 the same day</t>
  </si>
  <si>
    <t xml:space="preserve">Accurate then relieves item stock and re-costs later DOs itself (effect on later DOs: Segment GP column L). JE-1 to JE-3 are then not needed.</t>
  </si>
  <si>
    <t xml:space="preserve">Open</t>
  </si>
  <si>
    <t xml:space="preserve">6 invoices without item detail (201, 226, 232, 243, 257, 311)</t>
  </si>
  <si>
    <t xml:space="preserve">HPP credited to 1104003 at an estimate. Need item code + kg per line, then the same treatment. Until then they sit in "Belum dialokasi" (or the segment chosen in column N).</t>
  </si>
  <si>
    <t xml:space="preserve">E.  OPEN ITEMS THAT CHANGE THESE NUMBERS</t>
  </si>
  <si>
    <t xml:space="preserve">Item code, kg and price per line for 201, 226, 232, 243, 257, 311 (ops DATA PENJUALAN / KGR_ANTHONY.xlsx). Without them their segment and true HPP are unknown.</t>
  </si>
  <si>
    <t xml:space="preserve">Four lines exceed the stock on hand on the SJ date (column S): TRD0021, JLB1857, TRD0027, TRD0024. The item code is probably wrong or the goods left under another code — posting them as they are drives stock negative.</t>
  </si>
  <si>
    <t xml:space="preserve">DO KGR26.00257 (15 Aug, 2,609.7 kg of JLB items, Rp91.2m) sits in 1104002 In Transit with no SI. The adjustment for invoice 257 (12 Aug, 1,510.6 kg) credited 1104003 Rp46.4m. If DO 257 is the delivery for invoice 257, HPP is counted twice and the credit belongs on 1104002; if not, another ±2,610 kg sale is not billed.</t>
  </si>
  <si>
    <t xml:space="preserve">IA26080003 and IA26080006 moved JLB stock into TRD codes (JLB1859→TRD0021 429.9 kg, JLB0690→TRD0023 146.9 kg) at a different value in and out. These are the items used by invoices 338 and 263 — confirm whether the goods are RPA or Trading.</t>
  </si>
  <si>
    <t xml:space="preserve">Meaning of the green cells in Dika's image (column L).</t>
  </si>
  <si>
    <t xml:space="preserve">FS sheet Sheet1 still shows the old HPP estimate for 226 (Rp88.5m) and 311 (Rp20.5m); the GL (Agt 26) now carries Rp109.2m and Rp23.2m — both invoices now have HPP above revenue. Segment of 243, 257, 311 not tagged yet.</t>
  </si>
  <si>
    <t xml:space="preserve">Invoice/DO numbers 209 and 360–368 have no SI and no DO in August; 219 and 339 were declared void earlier.</t>
  </si>
  <si>
    <t xml:space="preserve">WHY IS THE RPA LOSING MONEY? — August 2026 (corrected basis: unbilled invoices at their item segment, moving average on SJ date)</t>
  </si>
  <si>
    <t xml:space="preserve">First: is the loss coming from stock carried in from earlier months (sales basis, sheet Vintage)? Second: what inside August production causes it (production basis, sheet Batch Economics)?</t>
  </si>
  <si>
    <t xml:space="preserve">1.  IS IT THE STOCK CARRIED IN FROM EARLIER MONTHS?  (RPA sales with item detail, August)</t>
  </si>
  <si>
    <t xml:space="preserve">Where the goods came from</t>
  </si>
  <si>
    <t xml:space="preserve">COGS booked
(moving average)</t>
  </si>
  <si>
    <t xml:space="preserve">COGS at August
layer cost</t>
  </si>
  <si>
    <t xml:space="preserve">GP at Aug cost</t>
  </si>
  <si>
    <t xml:space="preserve">GP booked
Rp/kg</t>
  </si>
  <si>
    <t xml:space="preserve">GP at Aug cost
Rp/kg</t>
  </si>
  <si>
    <t xml:space="preserve">A.  Carried stock only — item not produced in August</t>
  </si>
  <si>
    <t xml:space="preserve">B.  Mixed — carried stock and August production</t>
  </si>
  <si>
    <t xml:space="preserve">C.  August production only — no stock at 1 Aug</t>
  </si>
  <si>
    <t xml:space="preserve">TOTAL RPA sales with item detail, August</t>
  </si>
  <si>
    <t xml:space="preserve">Bridge</t>
  </si>
  <si>
    <t xml:space="preserve">RPA product GP, August (sales with item detail)</t>
  </si>
  <si>
    <t xml:space="preserve">  less: profit on carried-stock-only items (A)</t>
  </si>
  <si>
    <t xml:space="preserve">  less: cost advantage of older stock blended in by the moving average (B + C)</t>
  </si>
  <si>
    <t xml:space="preserve">Result on August-produced goods sold, at August cost</t>
  </si>
  <si>
    <t xml:space="preserve">Carried stock changed the August RPA result by</t>
  </si>
  <si>
    <t xml:space="preserve">Check: bridge = Vintage RPA total product GP (nil)</t>
  </si>
  <si>
    <t xml:space="preserve">Positive row 16 = older stock was cheaper than August production and lifted the result. The 6 invoices without item detail are outside this table (Segment GP row 20).</t>
  </si>
  <si>
    <t xml:space="preserve">2.  WHAT INSIDE AUGUST PRODUCTION CAUSES THE LOSS?  (all output of the 12 August batches, whole batch cost vs whole batch value)</t>
  </si>
  <si>
    <t xml:space="preserve">Benchmark — edit the yellow cells</t>
  </si>
  <si>
    <t xml:space="preserve">Basis</t>
  </si>
  <si>
    <t xml:space="preserve">Normal live-bird shrink, purchase to abattoir</t>
  </si>
  <si>
    <t xml:space="preserve">Short-haul broiler norm 1.5–3%</t>
  </si>
  <si>
    <t xml:space="preserve">Inbound freight benchmark, Rp per kg live bird</t>
  </si>
  <si>
    <t xml:space="preserve">Best August batch GR26080009 ≈ Rp1,000/kg</t>
  </si>
  <si>
    <t xml:space="preserve">Karkas yield benchmark on abattoir weight</t>
  </si>
  <si>
    <t xml:space="preserve">WP v6: the 11 normal batches. GR26080012 is now normal too (1,577.7 kg karkas fresh was posted after WP v6)</t>
  </si>
  <si>
    <t xml:space="preserve">Karkas price — fresh (Rp/kg)</t>
  </si>
  <si>
    <t xml:space="preserve">Batch Economics price block</t>
  </si>
  <si>
    <t xml:space="preserve">Karkas price — frozen (Rp/kg)</t>
  </si>
  <si>
    <t xml:space="preserve">Maklon rate, Rp per kg processed</t>
  </si>
  <si>
    <t xml:space="preserve">Contract rate on slaughter weight</t>
  </si>
  <si>
    <t xml:space="preserve">Rp/kg output</t>
  </si>
  <si>
    <t xml:space="preserve">Batch Economics: output at realised price per form − whole batch cost</t>
  </si>
  <si>
    <t xml:space="preserve">1.  Karkas that went out frozen, sold below the fresh price</t>
  </si>
  <si>
    <t xml:space="preserve">Frozen karkas kg received × (fresh − frozen realised price). Frozen also carries blasting (not in this cost).</t>
  </si>
  <si>
    <t xml:space="preserve">2.  Shrink above normal — live bird paid for, never slaughtered</t>
  </si>
  <si>
    <t xml:space="preserve">Bought kg (PI) vs kg the maklon was billed on; excess over the benchmark at the batch LB price.</t>
  </si>
  <si>
    <t xml:space="preserve">3.  Karkas yield below benchmark (net, all batches)</t>
  </si>
  <si>
    <t xml:space="preserve">Benchmark × processed kg − karkas kg received, at the fresh price. Negative = short.</t>
  </si>
  <si>
    <t xml:space="preserve">4.  Inbound freight above the benchmark</t>
  </si>
  <si>
    <t xml:space="preserve">Freight capitalised into the batches vs benchmark × kg bought.</t>
  </si>
  <si>
    <t xml:space="preserve">5.  Maklon billed without quantity</t>
  </si>
  <si>
    <t xml:space="preserve">"Biaya Tambahan Jasa Maklon" Rp4m inside PI26080085, no kg attached.</t>
  </si>
  <si>
    <t xml:space="preserve">6.  Left over — live-bird price vs karkas price at benchmark shrink, yield and freight</t>
  </si>
  <si>
    <t xml:space="preserve">What August production would have made if items 1–5 were at benchmark. Product level only.</t>
  </si>
  <si>
    <t xml:space="preserve">Check: 1 to 6 add back to the loss (nil)</t>
  </si>
  <si>
    <t xml:space="preserve">Grouped by who owns it</t>
  </si>
  <si>
    <t xml:space="preserve">Procurement and logistics — shrink and freight (2 + 4)</t>
  </si>
  <si>
    <t xml:space="preserve">Production planning and sales — karkas that could not be sold fresh (1)</t>
  </si>
  <si>
    <t xml:space="preserve">Slaughter floor — yield vs benchmark (3)</t>
  </si>
  <si>
    <t xml:space="preserve">Vendor billing — maklon without quantity (5)</t>
  </si>
  <si>
    <t xml:space="preserve">Price spread live bird vs karkas (6)</t>
  </si>
  <si>
    <t xml:space="preserve">Not in this cost: blasting, packaging, cold storage and handling, outbound freight, PPh 22 on live bird, and the prepaid RPA rent not yet amortised. The gap above is therefore the best the RPA could look for August production.</t>
  </si>
  <si>
    <t xml:space="preserve">RPA BATCH ECONOMICS — August 2026: live bird bought → slaughtered → karkas and by-products received, cost vs value</t>
  </si>
  <si>
    <t xml:space="preserve">Cost: live-bird PI in GL (Dr 2103011 = goods receipt value; freight and maklon credited out of 5100007/5100006 into the batch). Output: MA Engine receipts by PO. Value: output at the price RPA realised in August (sheet SKU Summary, incl. unbilled).</t>
  </si>
  <si>
    <t xml:space="preserve">Date</t>
  </si>
  <si>
    <t xml:space="preserve">Goods receipt</t>
  </si>
  <si>
    <t xml:space="preserve">PO</t>
  </si>
  <si>
    <t xml:space="preserve">PI</t>
  </si>
  <si>
    <t xml:space="preserve">(1) Bought
kg</t>
  </si>
  <si>
    <t xml:space="preserve">GRN value
Rp (GL)</t>
  </si>
  <si>
    <t xml:space="preserve">Inbound
freight</t>
  </si>
  <si>
    <t xml:space="preserve">Maklon</t>
  </si>
  <si>
    <t xml:space="preserve">Live bird
value</t>
  </si>
  <si>
    <t xml:space="preserve">LB price
Rp/kg</t>
  </si>
  <si>
    <t xml:space="preserve">(2) Processed
kg (maklon)</t>
  </si>
  <si>
    <t xml:space="preserve">Shrink kg</t>
  </si>
  <si>
    <t xml:space="preserve">Shrink %</t>
  </si>
  <si>
    <t xml:space="preserve">Shrink value
Rp</t>
  </si>
  <si>
    <t xml:space="preserve">PPh 22
expensed</t>
  </si>
  <si>
    <t xml:space="preserve">Receipt value
MA Engine</t>
  </si>
  <si>
    <t xml:space="preserve">Check
GL − engine</t>
  </si>
  <si>
    <t xml:space="preserve">Karkas
fresh kg</t>
  </si>
  <si>
    <t xml:space="preserve">Karkas
frozen kg</t>
  </si>
  <si>
    <t xml:space="preserve">Karkas
kg</t>
  </si>
  <si>
    <t xml:space="preserve">HJA kg</t>
  </si>
  <si>
    <t xml:space="preserve">Kepala kg</t>
  </si>
  <si>
    <t xml:space="preserve">Usus kg</t>
  </si>
  <si>
    <t xml:space="preserve">Ceker kg</t>
  </si>
  <si>
    <t xml:space="preserve">Lemak kg</t>
  </si>
  <si>
    <t xml:space="preserve">By-product
kg</t>
  </si>
  <si>
    <t xml:space="preserve">(3) Output
kg</t>
  </si>
  <si>
    <t xml:space="preserve">Karkas %
of processed</t>
  </si>
  <si>
    <t xml:space="preserve">Karkas share
of output</t>
  </si>
  <si>
    <t xml:space="preserve">Fresh share
of karkas</t>
  </si>
  <si>
    <t xml:space="preserve">Output value at
Aug prices</t>
  </si>
  <si>
    <t xml:space="preserve">GAP
value − cost</t>
  </si>
  <si>
    <t xml:space="preserve">Cost Rp/kg
output</t>
  </si>
  <si>
    <t xml:space="preserve">Value Rp/kg
output</t>
  </si>
  <si>
    <t xml:space="preserve">Freight Rp/kg
live bird</t>
  </si>
  <si>
    <t xml:space="preserve">Breakeven LB
price Rp/kg</t>
  </si>
  <si>
    <t xml:space="preserve">OPS: output kg
(incl. not stocked)</t>
  </si>
  <si>
    <t xml:space="preserve">OPS: not stocked
(usus limbah)</t>
  </si>
  <si>
    <t xml:space="preserve">Check: ops stocked
− Accurate</t>
  </si>
  <si>
    <t xml:space="preserve">YIELD: output ÷
live bird kg</t>
  </si>
  <si>
    <t xml:space="preserve">YIELD: karkas ÷
live bird kg</t>
  </si>
  <si>
    <t xml:space="preserve">YIELD: kepala ÷
live bird kg</t>
  </si>
  <si>
    <t xml:space="preserve">YIELD: ceker ÷
live bird kg</t>
  </si>
  <si>
    <t xml:space="preserve">YIELD: usus ÷
live bird kg</t>
  </si>
  <si>
    <t xml:space="preserve">YIELD: lemak ÷
live bird kg</t>
  </si>
  <si>
    <t xml:space="preserve">OPS: est. value
at price list</t>
  </si>
  <si>
    <t xml:space="preserve">OPS: est. GP
at price list</t>
  </si>
  <si>
    <t xml:space="preserve">OPS: est. GP
÷ value</t>
  </si>
  <si>
    <t xml:space="preserve">Value at Aug
realised − price list</t>
  </si>
  <si>
    <t xml:space="preserve">Check: ops cost
− GRN</t>
  </si>
  <si>
    <t xml:space="preserve">Live bird kg
per PI narrative</t>
  </si>
  <si>
    <t xml:space="preserve">GR26080007</t>
  </si>
  <si>
    <t xml:space="preserve">110/PO/KGR/08/2026</t>
  </si>
  <si>
    <t xml:space="preserve">PI26080028</t>
  </si>
  <si>
    <t xml:space="preserve">PRIYONO</t>
  </si>
  <si>
    <t xml:space="preserve">GR26080008</t>
  </si>
  <si>
    <t xml:space="preserve">111-113/PO/KGR/08/2026</t>
  </si>
  <si>
    <t xml:space="preserve">PI26080031</t>
  </si>
  <si>
    <t xml:space="preserve">ALBERTUS CONDRO RUDY KURNIAWAN</t>
  </si>
  <si>
    <t xml:space="preserve">GR26080009</t>
  </si>
  <si>
    <t xml:space="preserve">114/PO/KGR/08/2026</t>
  </si>
  <si>
    <t xml:space="preserve">PI26080034</t>
  </si>
  <si>
    <t xml:space="preserve">PT BOUNTY SEGAR DISTRIBUTION</t>
  </si>
  <si>
    <t xml:space="preserve">GR26080010</t>
  </si>
  <si>
    <t xml:space="preserve">117/PO/KGR/08/2026</t>
  </si>
  <si>
    <t xml:space="preserve">PI26080038</t>
  </si>
  <si>
    <t xml:space="preserve">GR26080011</t>
  </si>
  <si>
    <t xml:space="preserve">123/PO/KGR/08/2026</t>
  </si>
  <si>
    <t xml:space="preserve">PI26080042</t>
  </si>
  <si>
    <t xml:space="preserve">GR26080012</t>
  </si>
  <si>
    <t xml:space="preserve">121/PO/KGR/08/2026</t>
  </si>
  <si>
    <t xml:space="preserve">PI26080045</t>
  </si>
  <si>
    <t xml:space="preserve">GR26080019</t>
  </si>
  <si>
    <t xml:space="preserve">122/PO/KGR/08/2026</t>
  </si>
  <si>
    <t xml:space="preserve">PI26080083</t>
  </si>
  <si>
    <t xml:space="preserve">GR26080020</t>
  </si>
  <si>
    <t xml:space="preserve">125/PO/KGR/08/2026</t>
  </si>
  <si>
    <t xml:space="preserve">PI26080084</t>
  </si>
  <si>
    <t xml:space="preserve">GR26080021</t>
  </si>
  <si>
    <t xml:space="preserve">126/PO/KGR/08/2026</t>
  </si>
  <si>
    <t xml:space="preserve">PI26080085</t>
  </si>
  <si>
    <t xml:space="preserve">GR26080022</t>
  </si>
  <si>
    <t xml:space="preserve">128/PO/KGR/08/2026</t>
  </si>
  <si>
    <t xml:space="preserve">PI26080086</t>
  </si>
  <si>
    <t xml:space="preserve">GR26080023</t>
  </si>
  <si>
    <t xml:space="preserve">129/PO/KGR/08/2026</t>
  </si>
  <si>
    <t xml:space="preserve">PI26080087</t>
  </si>
  <si>
    <t xml:space="preserve">GR26080024</t>
  </si>
  <si>
    <t xml:space="preserve">131/PO/KGR/08/2026</t>
  </si>
  <si>
    <t xml:space="preserve">PI26080088</t>
  </si>
  <si>
    <t xml:space="preserve">SELLING PRICES USED — RPA realised in August (SKU Summary, incl. unbilled); edit a yellow cell to override</t>
  </si>
  <si>
    <t xml:space="preserve">Product</t>
  </si>
  <si>
    <t xml:space="preserve">Source</t>
  </si>
  <si>
    <t xml:space="preserve">RPA Aug ASP, SKU Summary</t>
  </si>
  <si>
    <t xml:space="preserve">No RPA sale in August — enter a price (May sold at Rp24,000)</t>
  </si>
  <si>
    <t xml:space="preserve">AUGUST — THE WHOLE RPA OUTPUT</t>
  </si>
  <si>
    <t xml:space="preserve">% of cost</t>
  </si>
  <si>
    <t xml:space="preserve">Live bird purchase</t>
  </si>
  <si>
    <t xml:space="preserve">Inbound freight</t>
  </si>
  <si>
    <t xml:space="preserve">Slaughter fee (maklon)</t>
  </si>
  <si>
    <t xml:space="preserve">TOTAL COST of August production</t>
  </si>
  <si>
    <t xml:space="preserve">Value of output — at realised price per form, on the mix produced</t>
  </si>
  <si>
    <t xml:space="preserve">GAP — August production as produced</t>
  </si>
  <si>
    <t xml:space="preserve">Value of output — if ALL karkas sold fresh (best case)</t>
  </si>
  <si>
    <t xml:space="preserve">GAP — best case</t>
  </si>
  <si>
    <t xml:space="preserve">UNIT ECONOMICS — August RPA production (keep one base per column: shrink is either a cost line OR inside the yield, never both)</t>
  </si>
  <si>
    <t xml:space="preserve">Per kg live bird
bought</t>
  </si>
  <si>
    <t xml:space="preserve">Per kg
processed</t>
  </si>
  <si>
    <t xml:space="preserve">Live bird kg</t>
  </si>
  <si>
    <t xml:space="preserve">kg: bought (PI) | processed (maklon)</t>
  </si>
  <si>
    <t xml:space="preserve">Live bird price</t>
  </si>
  <si>
    <t xml:space="preserve">Rp per kg bought</t>
  </si>
  <si>
    <t xml:space="preserve">Shrink (bought − processed)</t>
  </si>
  <si>
    <t xml:space="preserve">per kg processed only; per kg bought it sits in the yield</t>
  </si>
  <si>
    <t xml:space="preserve">incl. Rp4m billed without kg</t>
  </si>
  <si>
    <t xml:space="preserve">COST per kg input</t>
  </si>
  <si>
    <t xml:space="preserve">sum of the lines above</t>
  </si>
  <si>
    <t xml:space="preserve">Yield — output incl. not stocked (ops)</t>
  </si>
  <si>
    <t xml:space="preserve">output ÷ the kg of that column</t>
  </si>
  <si>
    <t xml:space="preserve">COST per kg output (ops output)</t>
  </si>
  <si>
    <t xml:space="preserve">cost per kg input ÷ yield — both columns must agree</t>
  </si>
  <si>
    <t xml:space="preserve">Yield — output in stock (Accurate)</t>
  </si>
  <si>
    <t xml:space="preserve">excl. 323.8 kg usus limbah (8 Aug)</t>
  </si>
  <si>
    <t xml:space="preserve">COST per kg output in stock</t>
  </si>
  <si>
    <t xml:space="preserve">same as Rp/kg output in the batch table</t>
  </si>
  <si>
    <t xml:space="preserve">Check: two columns agree (nil)</t>
  </si>
  <si>
    <t xml:space="preserve">KARKAS cost per kg — two views</t>
  </si>
  <si>
    <t xml:space="preserve">  as booked (Accurate = ops allocation by price-list value)</t>
  </si>
  <si>
    <t xml:space="preserve">by-products carry cost on price-list values</t>
  </si>
  <si>
    <t xml:space="preserve">  by-product credit at August realised prices</t>
  </si>
  <si>
    <t xml:space="preserve">(batch cost − by-products at what they fetched) ÷ karkas kg</t>
  </si>
  <si>
    <t xml:space="preserve">  karkas realised price — fresh / frozen</t>
  </si>
  <si>
    <t xml:space="preserve">KARKAS SIZE MIX PER BATCH — kg (ops output = Accurate receipts)</t>
  </si>
  <si>
    <t xml:space="preserve">Uk 0.5</t>
  </si>
  <si>
    <t xml:space="preserve">Uk 0.6</t>
  </si>
  <si>
    <t xml:space="preserve">Uk 0.7</t>
  </si>
  <si>
    <t xml:space="preserve">Uk 0.8</t>
  </si>
  <si>
    <t xml:space="preserve">Uk 0.9</t>
  </si>
  <si>
    <t xml:space="preserve">Uk 1.0</t>
  </si>
  <si>
    <t xml:space="preserve">Uk 1.1</t>
  </si>
  <si>
    <t xml:space="preserve">Uk 1.2</t>
  </si>
  <si>
    <t xml:space="preserve">Uk 1.3</t>
  </si>
  <si>
    <t xml:space="preserve">Uk 1.4</t>
  </si>
  <si>
    <t xml:space="preserve">Uk 1.5</t>
  </si>
  <si>
    <t xml:space="preserve">Uk 1.6</t>
  </si>
  <si>
    <t xml:space="preserve">Uk 1.7</t>
  </si>
  <si>
    <t xml:space="preserve">Uk 1.8</t>
  </si>
  <si>
    <t xml:space="preserve">Uk 1.9</t>
  </si>
  <si>
    <t xml:space="preserve">Uk 2.0</t>
  </si>
  <si>
    <t xml:space="preserve">Karkas kg</t>
  </si>
  <si>
    <t xml:space="preserve">Avg size
(kg/bird, est.)</t>
  </si>
  <si>
    <t xml:space="preserve">Share ≥ Uk 1.2</t>
  </si>
  <si>
    <t xml:space="preserve">Size = the Uk band of the item code the karkas was received under. Average size = kg-weighted band midpoint (no bird count in the data).</t>
  </si>
  <si>
    <t xml:space="preserve">COST PER KG BY PRODUCT PER BATCH — as posted at goods receipt (= ops allocation by price-list value) vs price list and August realised price</t>
  </si>
  <si>
    <t xml:space="preserve">Karkas
cost/kg</t>
  </si>
  <si>
    <t xml:space="preserve">Karkas
price list</t>
  </si>
  <si>
    <t xml:space="preserve">Kepala
cost/kg</t>
  </si>
  <si>
    <t xml:space="preserve">Kepala
price list</t>
  </si>
  <si>
    <t xml:space="preserve">Ceker
cost/kg</t>
  </si>
  <si>
    <t xml:space="preserve">Ceker
price list</t>
  </si>
  <si>
    <t xml:space="preserve">Usus
cost/kg</t>
  </si>
  <si>
    <t xml:space="preserve">Usus
price list</t>
  </si>
  <si>
    <t xml:space="preserve">Lemak
cost/kg</t>
  </si>
  <si>
    <t xml:space="preserve">Lemak
price list</t>
  </si>
  <si>
    <t xml:space="preserve">Check: Accurate
− ops cost (Rp)</t>
  </si>
  <si>
    <t xml:space="preserve">Realised in August (RPA, SKU Summary)</t>
  </si>
  <si>
    <t xml:space="preserve">Accurate posts each goods receipt at the ops allocation: every product carries the same cost ÷ price-list ratio. Karkas realised price shown is fresh; frozen realised Rp31,658. By-products are costed on price-list values far above what they fetched (kepala, ceker, usus), which is why they show losses and karkas looks cheaper than it is.</t>
  </si>
  <si>
    <t xml:space="preserve">PRODUCT MARGIN BY SKU AND FORM — August 2026 vs July 2026 (incl. unbilled invoices at their item segment)</t>
  </si>
  <si>
    <t xml:space="preserve">Product cost as held in inventory (RPA: live bird + inbound freight + maklon; Trading: purchase cost). Aug cost = moving average replay B. Blasting, expedition, storage, handling are not in this cost.</t>
  </si>
  <si>
    <t xml:space="preserve">Jul-26
kg</t>
  </si>
  <si>
    <t xml:space="preserve">Jul-26
Revenue</t>
  </si>
  <si>
    <t xml:space="preserve">Jul-26
ASP</t>
  </si>
  <si>
    <t xml:space="preserve">Jul-26
Cost/kg</t>
  </si>
  <si>
    <t xml:space="preserve">Jul-26
GP</t>
  </si>
  <si>
    <t xml:space="preserve">Jul-26
GP %</t>
  </si>
  <si>
    <t xml:space="preserve">Aug-26
kg</t>
  </si>
  <si>
    <t xml:space="preserve">Aug-26
Revenue</t>
  </si>
  <si>
    <t xml:space="preserve">Aug-26
ASP</t>
  </si>
  <si>
    <t xml:space="preserve">Aug-26
Cost/kg</t>
  </si>
  <si>
    <t xml:space="preserve">Aug-26
GP</t>
  </si>
  <si>
    <t xml:space="preserve">Aug-26
GP %</t>
  </si>
  <si>
    <t xml:space="preserve">Δ GP
Rp</t>
  </si>
  <si>
    <t xml:space="preserve">Δ GP %
pts</t>
  </si>
  <si>
    <t xml:space="preserve">Belum dialokasi total</t>
  </si>
  <si>
    <t xml:space="preserve">KGR TOTAL</t>
  </si>
  <si>
    <t xml:space="preserve">KARKAS BY SIZE AND FORM — August 2026 (invoiced + unbilled with item lines)</t>
  </si>
  <si>
    <t xml:space="preserve">Invoiced kg and revenue: sales_details.xls (blue). Cost: MA Engine replay B, Aug DOs excl. DO 257. Unbilled: sheet Unbilled section B. Product cost only.</t>
  </si>
  <si>
    <t xml:space="preserve">kg
invoiced</t>
  </si>
  <si>
    <t xml:space="preserve">Revenue
invoiced</t>
  </si>
  <si>
    <t xml:space="preserve">Cost
invoiced</t>
  </si>
  <si>
    <t xml:space="preserve">kg
unbilled</t>
  </si>
  <si>
    <t xml:space="preserve">Revenue
unbilled</t>
  </si>
  <si>
    <t xml:space="preserve">Cost
unbilled</t>
  </si>
  <si>
    <t xml:space="preserve">kg
total</t>
  </si>
  <si>
    <t xml:space="preserve">Revenue
total</t>
  </si>
  <si>
    <t xml:space="preserve">Cost
total</t>
  </si>
  <si>
    <t xml:space="preserve">ASP
Rp/kg</t>
  </si>
  <si>
    <t xml:space="preserve">GP Rp</t>
  </si>
  <si>
    <t xml:space="preserve">GP
Rp/kg</t>
  </si>
  <si>
    <t xml:space="preserve">Uk 0.4</t>
  </si>
  <si>
    <t xml:space="preserve">Mix</t>
  </si>
  <si>
    <t xml:space="preserve">RPA karkas total</t>
  </si>
  <si>
    <t xml:space="preserve">Trading karkas total</t>
  </si>
  <si>
    <t xml:space="preserve">RPA BY-PRODUCTS — allocated cost vs realised price, August 2026 (incl. unbilled)</t>
  </si>
  <si>
    <t xml:space="preserve">Accurate splits the batch cost over karkas and by-products on its own basis at goods receipt. Where cost per kg exceeds the price achieved, the allocation — not the trade — produces the loss (two-stage NRV in SOP 3 is meant to fix this).</t>
  </si>
  <si>
    <t xml:space="preserve">Volume kg</t>
  </si>
  <si>
    <t xml:space="preserve">Revenue Rp</t>
  </si>
  <si>
    <t xml:space="preserve">Price Rp/kg</t>
  </si>
  <si>
    <t xml:space="preserve">Allocated cost Rp</t>
  </si>
  <si>
    <t xml:space="preserve">Cost Rp/kg</t>
  </si>
  <si>
    <t xml:space="preserve">Gross profit Rp</t>
  </si>
  <si>
    <t xml:space="preserve">Cost ÷ price</t>
  </si>
  <si>
    <t xml:space="preserve">Total by-product, August</t>
  </si>
  <si>
    <t xml:space="preserve">If by-products were carried at net realisable value (cost = revenue) instead</t>
  </si>
  <si>
    <t xml:space="preserve">Cost released back to main products (Rp)</t>
  </si>
  <si>
    <t xml:space="preserve">RPA main-product GP as reported (Rp)</t>
  </si>
  <si>
    <t xml:space="preserve">RPA main-product GP restated (Rp)</t>
  </si>
  <si>
    <t xml:space="preserve">Check: restated main-product GP = total RPA product GP (nil)</t>
  </si>
  <si>
    <t xml:space="preserve">FRESH vs FROZEN — by segment, March to August 2026 (Aug incl. unbilled at item segment)</t>
  </si>
  <si>
    <t xml:space="preserve">"Not stated" = the item code does not say fresh or frozen (Trading karkas, KRK, sayap; RPA karkas mix).</t>
  </si>
  <si>
    <t xml:space="preserve">Form / line</t>
  </si>
  <si>
    <t xml:space="preserve">Mar–Aug</t>
  </si>
  <si>
    <t xml:space="preserve">Fresh — kg</t>
  </si>
  <si>
    <t xml:space="preserve">Fresh — Revenue</t>
  </si>
  <si>
    <t xml:space="preserve">Fresh — Product GP</t>
  </si>
  <si>
    <t xml:space="preserve">Fresh — GP %</t>
  </si>
  <si>
    <t xml:space="preserve">Fresh — ASP Rp/kg</t>
  </si>
  <si>
    <t xml:space="preserve">Frozen — kg</t>
  </si>
  <si>
    <t xml:space="preserve">Frozen — Revenue</t>
  </si>
  <si>
    <t xml:space="preserve">Frozen — Product GP</t>
  </si>
  <si>
    <t xml:space="preserve">Frozen — GP %</t>
  </si>
  <si>
    <t xml:space="preserve">Frozen — ASP Rp/kg</t>
  </si>
  <si>
    <t xml:space="preserve">Not stated in item master — kg</t>
  </si>
  <si>
    <t xml:space="preserve">Not stated in item master — Revenue</t>
  </si>
  <si>
    <t xml:space="preserve">Not stated in item master — Product GP</t>
  </si>
  <si>
    <t xml:space="preserve">Not stated in item master — GP %</t>
  </si>
  <si>
    <t xml:space="preserve">Not stated in item master — ASP Rp/kg</t>
  </si>
  <si>
    <t xml:space="preserve">n/a — kg</t>
  </si>
  <si>
    <t xml:space="preserve">n/a — Revenue</t>
  </si>
  <si>
    <t xml:space="preserve">n/a — Product GP</t>
  </si>
  <si>
    <t xml:space="preserve">n/a — GP %</t>
  </si>
  <si>
    <t xml:space="preserve">n/a — ASP Rp/kg</t>
  </si>
  <si>
    <t xml:space="preserve">MONTHLY BY SKU — kg, revenue, product cost, GP, GP % — March to August 2026</t>
  </si>
  <si>
    <t xml:space="preserve">All forms combined. Aug includes unbilled invoices at the segment of their items.</t>
  </si>
  <si>
    <t xml:space="preserve">ASP Rp/kg</t>
  </si>
  <si>
    <t xml:space="preserve">BLDK</t>
  </si>
  <si>
    <t xml:space="preserve">BLPK</t>
  </si>
  <si>
    <t xml:space="preserve">COST OF SALES — OTHERS (expedition 5100002/5100007 and blasting 5100009) — attribution to segment</t>
  </si>
  <si>
    <t xml:space="preserve">Every journal line Mar–Aug. Rule segment from vendor and narrative; override in the yellow column. "Shared" lines are split by kg sold (share in row 14, overridable). Accounting mapping: these two accounts sit inside Gross Profit.</t>
  </si>
  <si>
    <t xml:space="preserve">Allocate cost of sales others to RPA / Trading in Segment GP?</t>
  </si>
  <si>
    <t xml:space="preserve">No (Dika, 24 Sep) = shown separately at KGR level; the attribution below stays as information. Yes = use rows 16–17.</t>
  </si>
  <si>
    <t xml:space="preserve">Expedition — RPA direct</t>
  </si>
  <si>
    <t xml:space="preserve">Expedition — Trading direct</t>
  </si>
  <si>
    <t xml:space="preserve">Expedition — shared</t>
  </si>
  <si>
    <t xml:space="preserve">Blasting — RPA direct</t>
  </si>
  <si>
    <t xml:space="preserve">Blasting — Trading direct</t>
  </si>
  <si>
    <t xml:space="preserve">Blasting — shared</t>
  </si>
  <si>
    <t xml:space="preserve">Total per lines</t>
  </si>
  <si>
    <t xml:space="preserve">RPA share of kg sold (RPA ÷ RPA+Trading)</t>
  </si>
  <si>
    <t xml:space="preserve">Override share (optional)</t>
  </si>
  <si>
    <t xml:space="preserve">RPA share used for shared lines</t>
  </si>
  <si>
    <t xml:space="preserve">COST OF SALES OTHERS — RPA</t>
  </si>
  <si>
    <t xml:space="preserve">COST OF SALES OTHERS — Trading</t>
  </si>
  <si>
    <t xml:space="preserve">Check: RPA + Trading − total (nil)</t>
  </si>
  <si>
    <t xml:space="preserve">GL 5100002 + 5100007 + 5100009 (I_GL)</t>
  </si>
  <si>
    <t xml:space="preserve">Check: lines − GL (nil)</t>
  </si>
  <si>
    <t xml:space="preserve">Account</t>
  </si>
  <si>
    <t xml:space="preserve">Month</t>
  </si>
  <si>
    <t xml:space="preserve">Source no</t>
  </si>
  <si>
    <t xml:space="preserve">Group</t>
  </si>
  <si>
    <t xml:space="preserve">Vendor / party</t>
  </si>
  <si>
    <t xml:space="preserve">Amount Rp
(Dr − Cr)</t>
  </si>
  <si>
    <t xml:space="preserve">Rule segment</t>
  </si>
  <si>
    <t xml:space="preserve">Rule basis</t>
  </si>
  <si>
    <t xml:space="preserve">Override</t>
  </si>
  <si>
    <t xml:space="preserve">Segment used</t>
  </si>
  <si>
    <t xml:space="preserve">Flag</t>
  </si>
  <si>
    <t xml:space="preserve">30 Mar 2026</t>
  </si>
  <si>
    <t xml:space="preserve">MJ26030001</t>
  </si>
  <si>
    <t xml:space="preserve">Exp</t>
  </si>
  <si>
    <t xml:space="preserve">Lalamove, Transport kirim barang CBL-Cimunir-Bantar Gebang</t>
  </si>
  <si>
    <t xml:space="preserve">Shared</t>
  </si>
  <si>
    <t xml:space="preserve">Product delivery / courier</t>
  </si>
  <si>
    <t xml:space="preserve">31 Mar 2026</t>
  </si>
  <si>
    <t xml:space="preserve">MJ26030002</t>
  </si>
  <si>
    <t xml:space="preserve">Lalamove, Transport kirim barang</t>
  </si>
  <si>
    <t xml:space="preserve">24 Apr 2026</t>
  </si>
  <si>
    <t xml:space="preserve">PI26040023</t>
  </si>
  <si>
    <t xml:space="preserve">CV MITRA TRANSPORTASI INDONESIA</t>
  </si>
  <si>
    <t xml:space="preserve">Biaya Sewa HINO D130MDL B9811JXS 23/4-22/5/26</t>
  </si>
  <si>
    <t xml:space="preserve">Truck rental — used by both segments</t>
  </si>
  <si>
    <t xml:space="preserve">08 Apr 2026</t>
  </si>
  <si>
    <t xml:space="preserve">MJ26040004</t>
  </si>
  <si>
    <t xml:space="preserve">Lalamove, Transport Kirim Barang Batch 4 Tgl 5-6/4/26</t>
  </si>
  <si>
    <t xml:space="preserve">Tio, Transport Kirim Barang Batch 4 Tgl 5-6/4/26</t>
  </si>
  <si>
    <t xml:space="preserve">01 Apr 2026</t>
  </si>
  <si>
    <t xml:space="preserve">MJ26040005</t>
  </si>
  <si>
    <t xml:space="preserve">MJ26040006</t>
  </si>
  <si>
    <t xml:space="preserve">Lalamove, Transport Kirim Barang Tgl 8/4/26</t>
  </si>
  <si>
    <t xml:space="preserve">Tio, Transport Kirim Barang Tgl 8/4/26</t>
  </si>
  <si>
    <t xml:space="preserve">Tio, Transport Kirim Barang (biaya tunggu)Tgl 8/4/26</t>
  </si>
  <si>
    <t xml:space="preserve">MJ26040013</t>
  </si>
  <si>
    <t xml:space="preserve">22 Apr 2026</t>
  </si>
  <si>
    <t xml:space="preserve">PI26040012</t>
  </si>
  <si>
    <t xml:space="preserve">PT JAYA MANDIRI EXPEDISI</t>
  </si>
  <si>
    <t xml:space="preserve">Sewa Mobil B9171BXV</t>
  </si>
  <si>
    <t xml:space="preserve">Vehicle rental — both segments</t>
  </si>
  <si>
    <t xml:space="preserve">07 Apr 2026</t>
  </si>
  <si>
    <t xml:space="preserve">PI26040014</t>
  </si>
  <si>
    <t xml:space="preserve">Sewa Pickup Karawang</t>
  </si>
  <si>
    <t xml:space="preserve">Sewa Pickup ABF</t>
  </si>
  <si>
    <t xml:space="preserve">30 Apr 2026</t>
  </si>
  <si>
    <t xml:space="preserve">B8426040005</t>
  </si>
  <si>
    <t xml:space="preserve">Blast</t>
  </si>
  <si>
    <t xml:space="preserve">Other COGS Blasting, Bayar blasting </t>
  </si>
  <si>
    <t xml:space="preserve">Blasting payment</t>
  </si>
  <si>
    <t xml:space="preserve">PI26040005</t>
  </si>
  <si>
    <t xml:space="preserve">CV JATIASIH COLD STORAGE</t>
  </si>
  <si>
    <t xml:space="preserve">Blasting 1.471,85 Kg</t>
  </si>
  <si>
    <t xml:space="preserve">Jatiasih cold storage blasting — assumed RPA product</t>
  </si>
  <si>
    <t xml:space="preserve">PI26040022</t>
  </si>
  <si>
    <t xml:space="preserve">Pemakaian Karung</t>
  </si>
  <si>
    <t xml:space="preserve">Jasa Blasting</t>
  </si>
  <si>
    <t xml:space="preserve">PI26040025</t>
  </si>
  <si>
    <t xml:space="preserve">PT AMINDO PRIMA SEJAHTERA</t>
  </si>
  <si>
    <t xml:space="preserve">Blasting Produk</t>
  </si>
  <si>
    <t xml:space="preserve">Amindo — RPA boneless maklon Apr–May</t>
  </si>
  <si>
    <t xml:space="preserve">23 Apr 2026</t>
  </si>
  <si>
    <t xml:space="preserve">PI26040026</t>
  </si>
  <si>
    <t xml:space="preserve">PI26040027</t>
  </si>
  <si>
    <t xml:space="preserve">25 Apr 2026</t>
  </si>
  <si>
    <t xml:space="preserve">PI26040028</t>
  </si>
  <si>
    <t xml:space="preserve">27 Apr 2026</t>
  </si>
  <si>
    <t xml:space="preserve">PI26040030</t>
  </si>
  <si>
    <t xml:space="preserve">12 Apr 2026</t>
  </si>
  <si>
    <t xml:space="preserve">PI26040031</t>
  </si>
  <si>
    <t xml:space="preserve">10 Apr 2026</t>
  </si>
  <si>
    <t xml:space="preserve">PI26040032</t>
  </si>
  <si>
    <t xml:space="preserve">PI26040033</t>
  </si>
  <si>
    <t xml:space="preserve">MJ26040003</t>
  </si>
  <si>
    <t xml:space="preserve">Reimbursement Driver Tomy Tgl 08/04/26</t>
  </si>
  <si>
    <t xml:space="preserve">Highway, parking and fuel for delivery</t>
  </si>
  <si>
    <t xml:space="preserve">Reimbursement Driver Tomy Tgl 09/04/26</t>
  </si>
  <si>
    <t xml:space="preserve">Reimbursement Driver Tomy Tgl 10/04/26</t>
  </si>
  <si>
    <t xml:space="preserve">Reimbursement Driver Tomy Tgl 11/04/26</t>
  </si>
  <si>
    <t xml:space="preserve">Reimbursement Driver Tomy Tgl 13/04/26</t>
  </si>
  <si>
    <t xml:space="preserve">Reimbursement Driver Tomy Tgl 14/04/26</t>
  </si>
  <si>
    <t xml:space="preserve">24 May 2026</t>
  </si>
  <si>
    <t xml:space="preserve">PI26050060</t>
  </si>
  <si>
    <t xml:space="preserve">Biaya Sewa HINO D130HD B9811JXS 24/5-23/6/26</t>
  </si>
  <si>
    <t xml:space="preserve">13 May 2026</t>
  </si>
  <si>
    <t xml:space="preserve">B8526050021A</t>
  </si>
  <si>
    <t xml:space="preserve">Lalamove</t>
  </si>
  <si>
    <t xml:space="preserve">21 May 2026</t>
  </si>
  <si>
    <t xml:space="preserve">B8526050047</t>
  </si>
  <si>
    <t xml:space="preserve">Kuli Bongkar</t>
  </si>
  <si>
    <t xml:space="preserve">09 May 2026</t>
  </si>
  <si>
    <t xml:space="preserve">MJ26050003</t>
  </si>
  <si>
    <t xml:space="preserve">Lalamove, Transport Kirim Barang Tgl 09/05/26</t>
  </si>
  <si>
    <t xml:space="preserve">PI26050001</t>
  </si>
  <si>
    <t xml:space="preserve">KRISWANTININGSIH</t>
  </si>
  <si>
    <t xml:space="preserve">Biaya Ekspedisi Ayam Hidup </t>
  </si>
  <si>
    <t xml:space="preserve">Live-bird haulage to the abattoir / RPA product moves (credits = capitalised into batch cost)</t>
  </si>
  <si>
    <t xml:space="preserve">14 May 2026</t>
  </si>
  <si>
    <t xml:space="preserve">PI26050002</t>
  </si>
  <si>
    <t xml:space="preserve">Biaya Ekspedisi Ayam</t>
  </si>
  <si>
    <t xml:space="preserve">17 May 2026</t>
  </si>
  <si>
    <t xml:space="preserve">PI26050003</t>
  </si>
  <si>
    <t xml:space="preserve">PI26050004</t>
  </si>
  <si>
    <t xml:space="preserve">05 May 2026</t>
  </si>
  <si>
    <t xml:space="preserve">PI26050011</t>
  </si>
  <si>
    <t xml:space="preserve">Sewa Mobil B9030SCE</t>
  </si>
  <si>
    <t xml:space="preserve">08 May 2026</t>
  </si>
  <si>
    <t xml:space="preserve">PI26050049</t>
  </si>
  <si>
    <t xml:space="preserve">PT WADAH BERKAH NUSANTARA JAYA</t>
  </si>
  <si>
    <t xml:space="preserve">Sewa Mobil Gmax Van AB1854OJ Per April 26</t>
  </si>
  <si>
    <t xml:space="preserve">25 May 2026</t>
  </si>
  <si>
    <t xml:space="preserve">PI26050050</t>
  </si>
  <si>
    <t xml:space="preserve">Sewa Mobil Gmax Van AB1854OJ Per Mei 26</t>
  </si>
  <si>
    <t xml:space="preserve">01 May 2026</t>
  </si>
  <si>
    <t xml:space="preserve">PI26050051</t>
  </si>
  <si>
    <t xml:space="preserve">Sewa Mobil Gmax Van AB8240LH Per Mei 26</t>
  </si>
  <si>
    <t xml:space="preserve">04 May 2026</t>
  </si>
  <si>
    <t xml:space="preserve">PI26050065</t>
  </si>
  <si>
    <t xml:space="preserve">Sewa Mobil B9964UCG</t>
  </si>
  <si>
    <t xml:space="preserve">IA26050001</t>
  </si>
  <si>
    <t xml:space="preserve">Grading Karkas Ke Boneless 2.754,24</t>
  </si>
  <si>
    <t xml:space="preserve">Inventory adjustment on RPA items (grading karkas)</t>
  </si>
  <si>
    <t xml:space="preserve">IA26050002</t>
  </si>
  <si>
    <t xml:space="preserve">IA26050003</t>
  </si>
  <si>
    <t xml:space="preserve">Grading Karkas Ke Boneless 2.617,55</t>
  </si>
  <si>
    <t xml:space="preserve">IA26050004</t>
  </si>
  <si>
    <t xml:space="preserve">IA26050005</t>
  </si>
  <si>
    <t xml:space="preserve">IA26050009</t>
  </si>
  <si>
    <t xml:space="preserve">Adjusment Stok</t>
  </si>
  <si>
    <t xml:space="preserve">11 May 2026</t>
  </si>
  <si>
    <t xml:space="preserve">IA26050010</t>
  </si>
  <si>
    <t xml:space="preserve">12 May 2026</t>
  </si>
  <si>
    <t xml:space="preserve">IA26050012</t>
  </si>
  <si>
    <t xml:space="preserve">Grading Karkas Ke Ayam Karkas Mix tgl 12/05/2026</t>
  </si>
  <si>
    <t xml:space="preserve">IA26050013</t>
  </si>
  <si>
    <t xml:space="preserve">Grading Karkas Ke Ayam Karkas Mix tgl 14/05/2026</t>
  </si>
  <si>
    <t xml:space="preserve">IA26050014</t>
  </si>
  <si>
    <t xml:space="preserve">Grading Karkas Ke Ayam Karkas Mix tgl 17/05/2026</t>
  </si>
  <si>
    <t xml:space="preserve">19 May 2026</t>
  </si>
  <si>
    <t xml:space="preserve">IA26050015</t>
  </si>
  <si>
    <t xml:space="preserve">Grading Karkas Ke Ayam Karkas Mix tgl 19/05/2026</t>
  </si>
  <si>
    <t xml:space="preserve">20 May 2026</t>
  </si>
  <si>
    <t xml:space="preserve">IA26050016</t>
  </si>
  <si>
    <t xml:space="preserve">Grading Karkas Ke Ayam Karkas Mix tgl 20/05/2026</t>
  </si>
  <si>
    <t xml:space="preserve">18 May 2026</t>
  </si>
  <si>
    <t xml:space="preserve">IA26050017</t>
  </si>
  <si>
    <t xml:space="preserve">PI26050020</t>
  </si>
  <si>
    <t xml:space="preserve">02 May 2026</t>
  </si>
  <si>
    <t xml:space="preserve">PI26050021</t>
  </si>
  <si>
    <t xml:space="preserve">Penyimpanan Produk Boneless &amp; Sampingan 22/04/26 - 02/05/26</t>
  </si>
  <si>
    <t xml:space="preserve">07 May 2026</t>
  </si>
  <si>
    <t xml:space="preserve">PI26050025</t>
  </si>
  <si>
    <t xml:space="preserve">10 May 2026</t>
  </si>
  <si>
    <t xml:space="preserve">PI26050026</t>
  </si>
  <si>
    <t xml:space="preserve">Repacking</t>
  </si>
  <si>
    <t xml:space="preserve">PI26050027</t>
  </si>
  <si>
    <t xml:space="preserve">15 May 2026</t>
  </si>
  <si>
    <t xml:space="preserve">PI26050028</t>
  </si>
  <si>
    <t xml:space="preserve">PI26050031</t>
  </si>
  <si>
    <t xml:space="preserve">Blasting 142,13 Kg</t>
  </si>
  <si>
    <t xml:space="preserve">Blasting 2.652,58 Kg</t>
  </si>
  <si>
    <t xml:space="preserve">PI26050032</t>
  </si>
  <si>
    <t xml:space="preserve">Blasting 132.69 Kg</t>
  </si>
  <si>
    <t xml:space="preserve">Blasting 233.19 Kg</t>
  </si>
  <si>
    <t xml:space="preserve">06 May 2026</t>
  </si>
  <si>
    <t xml:space="preserve">PI26050033</t>
  </si>
  <si>
    <t xml:space="preserve">Blasting 1.120,83 Kg</t>
  </si>
  <si>
    <t xml:space="preserve">PI26050034</t>
  </si>
  <si>
    <t xml:space="preserve">Blasting 169.40</t>
  </si>
  <si>
    <t xml:space="preserve">Blasting 494.05</t>
  </si>
  <si>
    <t xml:space="preserve">Blasting 2.001,13</t>
  </si>
  <si>
    <t xml:space="preserve">Blasting 328.29</t>
  </si>
  <si>
    <t xml:space="preserve">PI26050035</t>
  </si>
  <si>
    <t xml:space="preserve">Blasting 1.803,19</t>
  </si>
  <si>
    <t xml:space="preserve">Blasting 2.612,20</t>
  </si>
  <si>
    <t xml:space="preserve">Blasting 1.265,65</t>
  </si>
  <si>
    <t xml:space="preserve">PI26050036</t>
  </si>
  <si>
    <t xml:space="preserve">Blasting 1.014,74</t>
  </si>
  <si>
    <t xml:space="preserve">PI26050037</t>
  </si>
  <si>
    <t xml:space="preserve">Blasting 1.256,11</t>
  </si>
  <si>
    <t xml:space="preserve">Blasting 41.35</t>
  </si>
  <si>
    <t xml:space="preserve">PI26050038</t>
  </si>
  <si>
    <t xml:space="preserve">Blasting 1.071,56</t>
  </si>
  <si>
    <t xml:space="preserve">Blasting 256.35</t>
  </si>
  <si>
    <t xml:space="preserve">PI26050039</t>
  </si>
  <si>
    <t xml:space="preserve">Blasting 1.115,32</t>
  </si>
  <si>
    <t xml:space="preserve">Blasting 986,64</t>
  </si>
  <si>
    <t xml:space="preserve">PI26050042</t>
  </si>
  <si>
    <t xml:space="preserve">Blasting 1.999,20</t>
  </si>
  <si>
    <t xml:space="preserve">Blasting at ISA — RPA slaughter site</t>
  </si>
  <si>
    <t xml:space="preserve">PI26050043</t>
  </si>
  <si>
    <t xml:space="preserve">Blasting 2.856,60 Kg</t>
  </si>
  <si>
    <t xml:space="preserve">PI26050044</t>
  </si>
  <si>
    <t xml:space="preserve">Blasting 3.676,90 Kg</t>
  </si>
  <si>
    <t xml:space="preserve">PI26050045</t>
  </si>
  <si>
    <t xml:space="preserve">Blasting 2.028,60</t>
  </si>
  <si>
    <t xml:space="preserve">Blasting 1.557,20</t>
  </si>
  <si>
    <t xml:space="preserve">PI26050061</t>
  </si>
  <si>
    <t xml:space="preserve">PI26050062</t>
  </si>
  <si>
    <t xml:space="preserve">24 Jun 2026</t>
  </si>
  <si>
    <t xml:space="preserve">PI26060044</t>
  </si>
  <si>
    <t xml:space="preserve">Biaya Sewa HINO D130HD B9811JXS 24/6-23/7/26</t>
  </si>
  <si>
    <t xml:space="preserve">19 Jun 2026</t>
  </si>
  <si>
    <t xml:space="preserve">B8526060058</t>
  </si>
  <si>
    <t xml:space="preserve">Maxim</t>
  </si>
  <si>
    <t xml:space="preserve">01 Jun 2026</t>
  </si>
  <si>
    <t xml:space="preserve">PI26060001</t>
  </si>
  <si>
    <t xml:space="preserve">PT ZAMBOS JAYA TRANSPORT</t>
  </si>
  <si>
    <t xml:space="preserve">Sewa Mobil Kirim ke PUM 19/05/2026</t>
  </si>
  <si>
    <t xml:space="preserve">08 Jun 2026</t>
  </si>
  <si>
    <t xml:space="preserve">PI26060003</t>
  </si>
  <si>
    <t xml:space="preserve">PI26060007</t>
  </si>
  <si>
    <t xml:space="preserve">Ekspedisi Ayam</t>
  </si>
  <si>
    <t xml:space="preserve">10 Jun 2026</t>
  </si>
  <si>
    <t xml:space="preserve">PI26060008</t>
  </si>
  <si>
    <t xml:space="preserve">Biaya Ekspedisi Ayam 3 Truk</t>
  </si>
  <si>
    <t xml:space="preserve">18 Jun 2026</t>
  </si>
  <si>
    <t xml:space="preserve">PI26060018</t>
  </si>
  <si>
    <t xml:space="preserve">FENDY SETIAWAN</t>
  </si>
  <si>
    <t xml:space="preserve">Biaya Ekspedisi kirim karkas AU 0.9 5 Ton</t>
  </si>
  <si>
    <t xml:space="preserve">17 Jun 2026</t>
  </si>
  <si>
    <t xml:space="preserve">PI26060020</t>
  </si>
  <si>
    <t xml:space="preserve">Biaya Ekspedisi kirim ayam 20 ton</t>
  </si>
  <si>
    <t xml:space="preserve">PI26060022</t>
  </si>
  <si>
    <t xml:space="preserve">Sewa Mobil Thermo</t>
  </si>
  <si>
    <t xml:space="preserve">15 Jun 2026</t>
  </si>
  <si>
    <t xml:space="preserve">PI26060029</t>
  </si>
  <si>
    <t xml:space="preserve">Sewa Mobil</t>
  </si>
  <si>
    <t xml:space="preserve">PI26060032</t>
  </si>
  <si>
    <t xml:space="preserve">Biaya Ekspedisi Kirim Ayam 7.837,8 Kg</t>
  </si>
  <si>
    <t xml:space="preserve">12 Jun 2026</t>
  </si>
  <si>
    <t xml:space="preserve">PI26060038</t>
  </si>
  <si>
    <t xml:space="preserve">Biaya Ekspedisi kirim Ayam 21.490,35 Kg</t>
  </si>
  <si>
    <t xml:space="preserve">25 Jun 2026</t>
  </si>
  <si>
    <t xml:space="preserve">PI26060047</t>
  </si>
  <si>
    <t xml:space="preserve">Sewa Mobil Gmax Van AB1854QJ Per Juni 26</t>
  </si>
  <si>
    <t xml:space="preserve">PI26060048</t>
  </si>
  <si>
    <t xml:space="preserve">Sewa Mobil Gmax Van AB8240LH Per Juni 26</t>
  </si>
  <si>
    <t xml:space="preserve">23 Jun 2026</t>
  </si>
  <si>
    <t xml:space="preserve">PI26060057</t>
  </si>
  <si>
    <t xml:space="preserve">Biaya Ekspedisi Kirim Ayam 24/06/2026</t>
  </si>
  <si>
    <t xml:space="preserve">PI26060061</t>
  </si>
  <si>
    <t xml:space="preserve">Sewa Mobil kirim Ayam 4.426 Kg</t>
  </si>
  <si>
    <t xml:space="preserve">29 Jun 2026</t>
  </si>
  <si>
    <t xml:space="preserve">PI26060066</t>
  </si>
  <si>
    <t xml:space="preserve">Biaya Ekspedisi kirim Ayam</t>
  </si>
  <si>
    <t xml:space="preserve">30 Jun 2026</t>
  </si>
  <si>
    <t xml:space="preserve">IA26060002</t>
  </si>
  <si>
    <t xml:space="preserve">Karkas ke Boneless tgl 09/06/2026</t>
  </si>
  <si>
    <t xml:space="preserve">IA26060007</t>
  </si>
  <si>
    <t xml:space="preserve">Adjusment stok SKU JLB1857 ke JLB1152</t>
  </si>
  <si>
    <t xml:space="preserve">IA26060008</t>
  </si>
  <si>
    <t xml:space="preserve">Karkas ke Boneless tgl 24/06/2026</t>
  </si>
  <si>
    <t xml:space="preserve">11 Jun 2026</t>
  </si>
  <si>
    <t xml:space="preserve">PI26060006</t>
  </si>
  <si>
    <t xml:space="preserve">13 Jun 2026</t>
  </si>
  <si>
    <t xml:space="preserve">PI26060014</t>
  </si>
  <si>
    <t xml:space="preserve">PI26060026</t>
  </si>
  <si>
    <t xml:space="preserve">PI26060027</t>
  </si>
  <si>
    <t xml:space="preserve">09 Jun 2026</t>
  </si>
  <si>
    <t xml:space="preserve">PI26060031</t>
  </si>
  <si>
    <t xml:space="preserve">PI26060034</t>
  </si>
  <si>
    <t xml:space="preserve">16 Jun 2026</t>
  </si>
  <si>
    <t xml:space="preserve">PI26060042</t>
  </si>
  <si>
    <t xml:space="preserve">KURNIAWAN ARIEFKA</t>
  </si>
  <si>
    <t xml:space="preserve">Jasa Blasting Karkas 4.255,35 Kg</t>
  </si>
  <si>
    <t xml:space="preserve">Blasting of karkas/BLD/BLP from RPA production</t>
  </si>
  <si>
    <t xml:space="preserve">Jasa Blasting BLD 675,80 Kg</t>
  </si>
  <si>
    <t xml:space="preserve">Jasa Blasting BLP 1.185,30 Kg</t>
  </si>
  <si>
    <t xml:space="preserve">26 Jun 2026</t>
  </si>
  <si>
    <t xml:space="preserve">PI26060052</t>
  </si>
  <si>
    <t xml:space="preserve">Jasa Blasting 1.641,40 Kg</t>
  </si>
  <si>
    <t xml:space="preserve">Jasa Blasting 1.955,90 Kg</t>
  </si>
  <si>
    <t xml:space="preserve">Jasa Blasting 1.589,90 Kg</t>
  </si>
  <si>
    <t xml:space="preserve">21 Jun 2026</t>
  </si>
  <si>
    <t xml:space="preserve">PI26060059</t>
  </si>
  <si>
    <t xml:space="preserve">Jasa Blasting 5.555,4 Kg</t>
  </si>
  <si>
    <t xml:space="preserve">PI26060062</t>
  </si>
  <si>
    <t xml:space="preserve">Jasa Blasting 3.699 Kg</t>
  </si>
  <si>
    <t xml:space="preserve">PI26060063</t>
  </si>
  <si>
    <t xml:space="preserve">Jasa Blasting 1.617 Kg</t>
  </si>
  <si>
    <t xml:space="preserve">MJ26060001</t>
  </si>
  <si>
    <t xml:space="preserve">Reimbursement BBM Grandmax dan Thermo 14-15/06/26</t>
  </si>
  <si>
    <t xml:space="preserve">24 Jul 2026</t>
  </si>
  <si>
    <t xml:space="preserve">PI26070008</t>
  </si>
  <si>
    <t xml:space="preserve">Biaya Sewa HINO D130HD B9811JXS 24/7-23/8/26</t>
  </si>
  <si>
    <t xml:space="preserve">09 Jul 2026</t>
  </si>
  <si>
    <t xml:space="preserve">B8526070040</t>
  </si>
  <si>
    <t xml:space="preserve">Lalamove&amp;Toll</t>
  </si>
  <si>
    <t xml:space="preserve">lalamove</t>
  </si>
  <si>
    <t xml:space="preserve">02 Jul 2026</t>
  </si>
  <si>
    <t xml:space="preserve">PI26070009</t>
  </si>
  <si>
    <t xml:space="preserve">Biaya ekspedisi (LB dari Deni Jakaria 4.101,70Kg)</t>
  </si>
  <si>
    <t xml:space="preserve">03 Jul 2026</t>
  </si>
  <si>
    <t xml:space="preserve">PI26070010</t>
  </si>
  <si>
    <t xml:space="preserve">16 Jul 2026</t>
  </si>
  <si>
    <t xml:space="preserve">PI26070066</t>
  </si>
  <si>
    <t xml:space="preserve">CV LINTAS DIRGA NUSANTARA</t>
  </si>
  <si>
    <t xml:space="preserve">Ongkos Angkut Sewa Mobil Reefer BK 8059 VD, 16/07/26</t>
  </si>
  <si>
    <t xml:space="preserve">13 Jul 2026</t>
  </si>
  <si>
    <t xml:space="preserve">PI26070067</t>
  </si>
  <si>
    <t xml:space="preserve">Ongkos Angkut Sewa Mobil Reefer BK 8059 VD, 13/07/26</t>
  </si>
  <si>
    <t xml:space="preserve">PI26070028</t>
  </si>
  <si>
    <t xml:space="preserve">Jasa Blasting 1.345,19 Kg</t>
  </si>
  <si>
    <t xml:space="preserve">check</t>
  </si>
  <si>
    <t xml:space="preserve">PI26070036</t>
  </si>
  <si>
    <t xml:space="preserve">PT SENDANG REJEKI LELADI</t>
  </si>
  <si>
    <t xml:space="preserve">Jasa Repack &amp; Blasting 4.730,46 Kg</t>
  </si>
  <si>
    <t xml:space="preserve">Repack &amp; blasting in July: RPA produced 4.5 t, Trading sold 99 t</t>
  </si>
  <si>
    <t xml:space="preserve">PI26070037</t>
  </si>
  <si>
    <t xml:space="preserve">Jasa Repack &amp; Blasting 11.489,63 Kg</t>
  </si>
  <si>
    <t xml:space="preserve">05 Jul 2026</t>
  </si>
  <si>
    <t xml:space="preserve">PI26070038</t>
  </si>
  <si>
    <t xml:space="preserve">Jasa Repack &amp; Blasting 6.099,71 Kg</t>
  </si>
  <si>
    <t xml:space="preserve">06 Jul 2026</t>
  </si>
  <si>
    <t xml:space="preserve">PI26070039</t>
  </si>
  <si>
    <t xml:space="preserve">Jasa Repack &amp; Blasting 8.396,66 Kg</t>
  </si>
  <si>
    <t xml:space="preserve">07 Jul 2026</t>
  </si>
  <si>
    <t xml:space="preserve">PI26070040</t>
  </si>
  <si>
    <t xml:space="preserve">Jasa Repack &amp; Blasting 9.242,10 Kg</t>
  </si>
  <si>
    <t xml:space="preserve">08 Jul 2026</t>
  </si>
  <si>
    <t xml:space="preserve">PI26070041</t>
  </si>
  <si>
    <t xml:space="preserve">Jasa Repack &amp; Blasting 6.152,70 Kg</t>
  </si>
  <si>
    <t xml:space="preserve">10 Jul 2026</t>
  </si>
  <si>
    <t xml:space="preserve">PI26070042</t>
  </si>
  <si>
    <t xml:space="preserve">Jasa Repack &amp; Blasting 9.171,03 Kg</t>
  </si>
  <si>
    <t xml:space="preserve">01 Jul 2026</t>
  </si>
  <si>
    <t xml:space="preserve">PI26070052</t>
  </si>
  <si>
    <t xml:space="preserve">Blasting Karkas 4.699,83 Kg</t>
  </si>
  <si>
    <t xml:space="preserve">04 Jul 2026</t>
  </si>
  <si>
    <t xml:space="preserve">PI26070077</t>
  </si>
  <si>
    <t xml:space="preserve">Jasa Blasting 1.599,0 Kg</t>
  </si>
  <si>
    <t xml:space="preserve">24 Aug 2026</t>
  </si>
  <si>
    <t xml:space="preserve">PI26080006</t>
  </si>
  <si>
    <t xml:space="preserve">Biaya Sewa HINO D130HD B9811JXS 24/8-23/9/26</t>
  </si>
  <si>
    <t xml:space="preserve">14 Aug 2026</t>
  </si>
  <si>
    <t xml:space="preserve">PI26080050</t>
  </si>
  <si>
    <t xml:space="preserve">Biaya Kirim Ayam Ke LDN</t>
  </si>
  <si>
    <t xml:space="preserve">Transport of RPA product</t>
  </si>
  <si>
    <t xml:space="preserve">03 Aug 2026</t>
  </si>
  <si>
    <t xml:space="preserve">PI26080001</t>
  </si>
  <si>
    <t xml:space="preserve">Biaya Kirim Ayam 14.361,90 Kg ke LDN</t>
  </si>
  <si>
    <t xml:space="preserve">05 Aug 2026</t>
  </si>
  <si>
    <t xml:space="preserve">PI26080008</t>
  </si>
  <si>
    <t xml:space="preserve">Biaya Kirim Ayam 35.400 Kg ke LDN</t>
  </si>
  <si>
    <t xml:space="preserve">07 Aug 2026</t>
  </si>
  <si>
    <t xml:space="preserve">PI26080018</t>
  </si>
  <si>
    <t xml:space="preserve">Sewa Mobil Kirim Ayam dari PT ISA - LDN</t>
  </si>
  <si>
    <t xml:space="preserve">Moving RPA product from ISA to LDN / PUM</t>
  </si>
  <si>
    <t xml:space="preserve">Sewa Mobil Kirim Ayam LDN - PUM</t>
  </si>
  <si>
    <t xml:space="preserve">PI26080026</t>
  </si>
  <si>
    <t xml:space="preserve">Biaya Kirim Ayam 7.000 Kg</t>
  </si>
  <si>
    <t xml:space="preserve">09 Aug 2026</t>
  </si>
  <si>
    <t xml:space="preserve">PI26080029</t>
  </si>
  <si>
    <t xml:space="preserve">Biaya Kirim Ayam 11.241,10 Kg</t>
  </si>
  <si>
    <t xml:space="preserve">10 Aug 2026</t>
  </si>
  <si>
    <t xml:space="preserve">11 Aug 2026</t>
  </si>
  <si>
    <t xml:space="preserve">PI26080032</t>
  </si>
  <si>
    <t xml:space="preserve">PI26080035</t>
  </si>
  <si>
    <t xml:space="preserve">Biaya Kirim Ayam 15.388,94 Kg</t>
  </si>
  <si>
    <t xml:space="preserve">19 Aug 2026</t>
  </si>
  <si>
    <t xml:space="preserve">PI26080039</t>
  </si>
  <si>
    <t xml:space="preserve">Biaya Kirim Ayam (LB)</t>
  </si>
  <si>
    <t xml:space="preserve">20 Aug 2026</t>
  </si>
  <si>
    <t xml:space="preserve">PI26080040</t>
  </si>
  <si>
    <t xml:space="preserve">18 Aug 2026</t>
  </si>
  <si>
    <t xml:space="preserve">PI26080043</t>
  </si>
  <si>
    <t xml:space="preserve">Biaya Kirim Ayam 4.157,9 Kg &amp; 4.019,7 Kg</t>
  </si>
  <si>
    <t xml:space="preserve">25 Aug 2026</t>
  </si>
  <si>
    <t xml:space="preserve">PI26080051</t>
  </si>
  <si>
    <t xml:space="preserve">Biaya Kirim Ayam (Sayap) 7.000,00 Kg</t>
  </si>
  <si>
    <t xml:space="preserve">16 Aug 2026</t>
  </si>
  <si>
    <t xml:space="preserve">PI26080052</t>
  </si>
  <si>
    <t xml:space="preserve">PI26080053</t>
  </si>
  <si>
    <t xml:space="preserve">PI26080054</t>
  </si>
  <si>
    <t xml:space="preserve">Biaya Kirim Ayam 20 Ton</t>
  </si>
  <si>
    <t xml:space="preserve">Biaya Kirim Ayam 12 Ton</t>
  </si>
  <si>
    <t xml:space="preserve">21 Aug 2026</t>
  </si>
  <si>
    <t xml:space="preserve">PI26080055</t>
  </si>
  <si>
    <t xml:space="preserve">Biaya Kirim Ayam</t>
  </si>
  <si>
    <t xml:space="preserve">28 Aug 2026</t>
  </si>
  <si>
    <t xml:space="preserve">PI26080059</t>
  </si>
  <si>
    <t xml:space="preserve">Biaya Kirim Ayam 15.537,20Kg</t>
  </si>
  <si>
    <t xml:space="preserve">30 Aug 2026</t>
  </si>
  <si>
    <t xml:space="preserve">PI26080061</t>
  </si>
  <si>
    <t xml:space="preserve">Biaya Kirim Ayam 15.748,30 Kg</t>
  </si>
  <si>
    <t xml:space="preserve">PI26080063</t>
  </si>
  <si>
    <t xml:space="preserve">PI26080066</t>
  </si>
  <si>
    <t xml:space="preserve">Biaya Kirim Ayam 7.780,60 Kg</t>
  </si>
  <si>
    <t xml:space="preserve">27 Aug 2026</t>
  </si>
  <si>
    <t xml:space="preserve">PI26080068</t>
  </si>
  <si>
    <t xml:space="preserve">Biaya Kirim Ayam 11.681,40 kg</t>
  </si>
  <si>
    <t xml:space="preserve">PI26080079</t>
  </si>
  <si>
    <t xml:space="preserve">PI26080080</t>
  </si>
  <si>
    <t xml:space="preserve">PI26080081</t>
  </si>
  <si>
    <t xml:space="preserve">15 Aug 2026</t>
  </si>
  <si>
    <t xml:space="preserve">PI26080082</t>
  </si>
  <si>
    <t xml:space="preserve">26 Aug 2026</t>
  </si>
  <si>
    <t xml:space="preserve">31 Aug 2026</t>
  </si>
  <si>
    <t xml:space="preserve">MJ26080009</t>
  </si>
  <si>
    <t xml:space="preserve">Jati Asih Cold Storage, Jasa Blasting 1.132,10 Kg</t>
  </si>
  <si>
    <t xml:space="preserve">possible duplicate of PI26080012</t>
  </si>
  <si>
    <t xml:space="preserve">13 Aug 2026</t>
  </si>
  <si>
    <t xml:space="preserve">PI26080011</t>
  </si>
  <si>
    <t xml:space="preserve">Blasting 20,90 Kg @ 800, 10/08/2026</t>
  </si>
  <si>
    <t xml:space="preserve">Blasting 147,90 Kg @ 800, 11/08/2026</t>
  </si>
  <si>
    <t xml:space="preserve">Blasting 899,50 Kg @ 800, 12/08/2026</t>
  </si>
  <si>
    <t xml:space="preserve">Blasting 113,40 Kg @ 800, 13/08/2026</t>
  </si>
  <si>
    <t xml:space="preserve">PI26080012</t>
  </si>
  <si>
    <t xml:space="preserve">Jasa Blasting 1.132,10 Kg</t>
  </si>
  <si>
    <t xml:space="preserve">PI26080030</t>
  </si>
  <si>
    <t xml:space="preserve">Jasa Blasting 1.252,40 Kg</t>
  </si>
  <si>
    <t xml:space="preserve">PI26080033</t>
  </si>
  <si>
    <t xml:space="preserve">Jasa Blasting 2.202,70 Kg</t>
  </si>
  <si>
    <t xml:space="preserve">PI26080036</t>
  </si>
  <si>
    <t xml:space="preserve">Jasa Blasting 3.218,30 Kg</t>
  </si>
  <si>
    <t xml:space="preserve">PI26080041</t>
  </si>
  <si>
    <t xml:space="preserve">Jasa Blasting 3.114,10 Kg</t>
  </si>
  <si>
    <t xml:space="preserve">PI26080044</t>
  </si>
  <si>
    <t xml:space="preserve">Jasa Blasting 4.095,90 Kg</t>
  </si>
  <si>
    <t xml:space="preserve">PI26080060</t>
  </si>
  <si>
    <t xml:space="preserve">Jasa Blasting 5.423,50 Kg</t>
  </si>
  <si>
    <t xml:space="preserve">Jasa Blasting 2.644,90 Kg</t>
  </si>
  <si>
    <t xml:space="preserve">PI26080062</t>
  </si>
  <si>
    <t xml:space="preserve">Jasa Blasting 2.379,40 Kg</t>
  </si>
  <si>
    <t xml:space="preserve">Jasa Blasting 60,40 Kg</t>
  </si>
  <si>
    <t xml:space="preserve">PI26080064</t>
  </si>
  <si>
    <t xml:space="preserve">Jasa Blasting 2.422,90 Kg</t>
  </si>
  <si>
    <t xml:space="preserve">PI26080065</t>
  </si>
  <si>
    <t xml:space="preserve">Jasa Blasting 3.234,50 Kg</t>
  </si>
  <si>
    <t xml:space="preserve">PI26080067</t>
  </si>
  <si>
    <t xml:space="preserve">Jasa Blasting 4.073,60 Kg</t>
  </si>
  <si>
    <t xml:space="preserve">PI26080069</t>
  </si>
  <si>
    <t xml:space="preserve">Jasa Blasting 2.655,40 Kg</t>
  </si>
  <si>
    <t xml:space="preserve">Jasa Blasting 1.015,30 Kg</t>
  </si>
  <si>
    <t xml:space="preserve">23 Aug 2026</t>
  </si>
  <si>
    <t xml:space="preserve">PI26080074</t>
  </si>
  <si>
    <t xml:space="preserve">Jasa Blasting 520 Kg</t>
  </si>
  <si>
    <t xml:space="preserve">RECONCILIATION TO THE ACCOUNTING TEAM'S FS (FS_KGR_Aug_2026.xlsx)</t>
  </si>
  <si>
    <t xml:space="preserve">P&amp;L: PL - Performance, Performance columns. Balance sheet: TB Accurate 31 Jul + Agt 26 movements (incl. undated adjustment rows).</t>
  </si>
  <si>
    <t xml:space="preserve">Revenue — LB (main + by-product) — accounting</t>
  </si>
  <si>
    <t xml:space="preserve">Revenue — LB (main + by-product) — WP Segment GP as booked</t>
  </si>
  <si>
    <t xml:space="preserve">Revenue — Trading — accounting</t>
  </si>
  <si>
    <t xml:space="preserve">Revenue — Trading — WP Segment GP as booked</t>
  </si>
  <si>
    <t xml:space="preserve">COGS — Live Bird (incl. labor and performance adj.) — accounting</t>
  </si>
  <si>
    <t xml:space="preserve">Mar: accounting put 5100007 Rp784,000 in COGS LB; WP keeps it in cost of sales others (GP unaffected)</t>
  </si>
  <si>
    <t xml:space="preserve">COGS — Live Bird (incl. labor and performance adj.) — WP Segment GP as booked</t>
  </si>
  <si>
    <t xml:space="preserve">COGS — Trading — accounting</t>
  </si>
  <si>
    <t xml:space="preserve">COGS — Trading — WP Segment GP as booked</t>
  </si>
  <si>
    <t xml:space="preserve">Other COGS (expedition + blasting) — accounting</t>
  </si>
  <si>
    <t xml:space="preserve">Mar: see above</t>
  </si>
  <si>
    <t xml:space="preserve">Other COGS (expedition + blasting) — WP Segment GP as booked</t>
  </si>
  <si>
    <t xml:space="preserve">GROSS PROFIT — accounting</t>
  </si>
  <si>
    <t xml:space="preserve">GROSS PROFIT — WP Segment GP as booked</t>
  </si>
  <si>
    <t xml:space="preserve">INVENTORY AT 31 AUGUST 2026 — GL vs subledger</t>
  </si>
  <si>
    <t xml:space="preserve">RPA
(1104003 + 1104004)</t>
  </si>
  <si>
    <t xml:space="preserve">Trading
(1104006 + 1104001)</t>
  </si>
  <si>
    <t xml:space="preserve">Packaging
(1104005)</t>
  </si>
  <si>
    <t xml:space="preserve">In transit
(1104002)</t>
  </si>
  <si>
    <t xml:space="preserve">Total</t>
  </si>
  <si>
    <t xml:space="preserve">GL balance 31 Aug (accounting FS)</t>
  </si>
  <si>
    <t xml:space="preserve">1104001 "Inventory - KGR" holds Rp18.96m that matches Trading items (WP v6) — grouped with Trading</t>
  </si>
  <si>
    <t xml:space="preserve">Subledger per Accurate (inventory_valuation_terbaru + dormant items)</t>
  </si>
  <si>
    <t xml:space="preserve">Difference: GL − subledger</t>
  </si>
  <si>
    <t xml:space="preserve">  explained: HPP of the 10 unbilled invoices credited to 1104003 in GL only</t>
  </si>
  <si>
    <t xml:space="preserve">  explained: MJ26070009 (Jul) Cr 5100005 / Dr 1104004 Rp81,361 with no item movement</t>
  </si>
  <si>
    <t xml:space="preserve">  unexplained residual</t>
  </si>
  <si>
    <t xml:space="preserve">INVENTORY ROLL — subledger vs GL at 30 Jun and 31 Jul 2026 (July must tie before August is read)</t>
  </si>
  <si>
    <t xml:space="preserve">GL balance 30 Jun (TB Accurate)</t>
  </si>
  <si>
    <t xml:space="preserve">Subledger 30 Jun (MA Engine + dormant items)</t>
  </si>
  <si>
    <t xml:space="preserve">Difference: GL − subledger 30 Jun</t>
  </si>
  <si>
    <t xml:space="preserve">GL balance 31 Jul (TB Accurate)</t>
  </si>
  <si>
    <t xml:space="preserve">Subledger 31 Jul (MA Engine + dormant items)</t>
  </si>
  <si>
    <t xml:space="preserve">Difference: GL − subledger 31 Jul</t>
  </si>
  <si>
    <t xml:space="preserve">RPA +Rp81,361 = MJ26070009 (credit to COGS, debit inventory, no item)</t>
  </si>
  <si>
    <t xml:space="preserve">AUGUST NET INCOME — what the WP corrections do</t>
  </si>
  <si>
    <t xml:space="preserve">Net income Aug-26 per accounting FS</t>
  </si>
  <si>
    <t xml:space="preserve">Adj-2  HPP of the 4 MJ invoices at moving average on SJ date</t>
  </si>
  <si>
    <t xml:space="preserve">Adj-3  later DOs re-costed once those lines leave stock</t>
  </si>
  <si>
    <t xml:space="preserve">Net income Aug-26 corrected (before the 6 invoices without item detail are re-costed)</t>
  </si>
  <si>
    <t xml:space="preserve">DECK FEED — numbers for the KGR slides (IDR million unless stated)</t>
  </si>
  <si>
    <t xml:space="preserve">All figures link to the WP. Aug-26 = corrected column of Segment GP.</t>
  </si>
  <si>
    <t xml:space="preserve">KGR P&amp;L by segment (IDR mn)</t>
  </si>
  <si>
    <t xml:space="preserve">YTD</t>
  </si>
  <si>
    <t xml:space="preserve">Revenue — unbilled, segment not known</t>
  </si>
  <si>
    <t xml:space="preserve">Total revenue</t>
  </si>
  <si>
    <t xml:space="preserve">Product COGS — RPA</t>
  </si>
  <si>
    <t xml:space="preserve">Product COGS — Trading</t>
  </si>
  <si>
    <t xml:space="preserve">Product COGS — unbilled, not known</t>
  </si>
  <si>
    <t xml:space="preserve">Cost of sales others — total (KGR)</t>
  </si>
  <si>
    <t xml:space="preserve">Not in a segment (COS others not allocated)</t>
  </si>
  <si>
    <t xml:space="preserve">GP margin — RPA %</t>
  </si>
  <si>
    <t xml:space="preserve">GP margin — Trading %</t>
  </si>
  <si>
    <t xml:space="preserve">GP margin — total %</t>
  </si>
  <si>
    <t xml:space="preserve">Product GP margin — RPA %</t>
  </si>
  <si>
    <t xml:space="preserve">Product GP margin — Trading %</t>
  </si>
  <si>
    <t xml:space="preserve">RPA GP margin waterfall Jul → Aug (pp)</t>
  </si>
  <si>
    <t xml:space="preserve">FIFO</t>
  </si>
  <si>
    <t xml:space="preserve">Lower bound</t>
  </si>
  <si>
    <t xml:space="preserve">Trading GP margin waterfall Jul → Aug (pp)</t>
  </si>
  <si>
    <t xml:space="preserve">KGR GP margin waterfall Jul → Aug (pp)</t>
  </si>
  <si>
    <t xml:space="preserve">RPA gross profit context (IDR mn)</t>
  </si>
  <si>
    <t xml:space="preserve">Pra-Juli</t>
  </si>
  <si>
    <t xml:space="preserve">Juli</t>
  </si>
  <si>
    <t xml:space="preserve">Trading gross profit context (IDR mn)</t>
  </si>
  <si>
    <t xml:space="preserve">GP margin rows in %; waterfall in percentage points. The 6 invoices without item detail stay in "unbilled, segment not known" until their items are known.</t>
  </si>
  <si>
    <t xml:space="preserve">DATA SKU — one row per segment × SKU × form × month × basis. Every SKU sheet reads this table with SUMIFS.</t>
  </si>
  <si>
    <t xml:space="preserve">Invoiced kg and revenue: Accurate Sales By Item Detail (sales_details.xls, as used in WP v6; invoices unchanged since). Mar–Jul cost: WP v6 (unchanged — Jan–Jul GL identical). Aug cost: live from MA Engine. Unbilled rows: live from sheet Unbilled.</t>
  </si>
  <si>
    <t xml:space="preserve">Month #</t>
  </si>
  <si>
    <t xml:space="preserve">Volume (kg)</t>
  </si>
  <si>
    <t xml:space="preserve">Revenue (Rp)</t>
  </si>
  <si>
    <t xml:space="preserve">Product cost (Rp)
corrected</t>
  </si>
  <si>
    <t xml:space="preserve">Gross profit (Rp)</t>
  </si>
  <si>
    <t xml:space="preserve">ASP (Rp/kg)</t>
  </si>
  <si>
    <t xml:space="preserve">Cost (Rp/kg)</t>
  </si>
  <si>
    <t xml:space="preserve">GP (Rp/kg)</t>
  </si>
  <si>
    <t xml:space="preserve">Product cost (Rp)
as booked</t>
  </si>
  <si>
    <t xml:space="preserve">Invoiced</t>
  </si>
  <si>
    <t xml:space="preserve">WP v6 Data SKU</t>
  </si>
  <si>
    <t xml:space="preserve">kg/revenue: sales_details.xls · cost: MA Engine DO Aug excl. DO 257 (in transit)</t>
  </si>
  <si>
    <t xml:space="preserve">GL only (no DO)</t>
  </si>
  <si>
    <t xml:space="preserve">April SI COGS in GL not matched to a DO in the Mar–Jun subledger (WP v6)</t>
  </si>
  <si>
    <t xml:space="preserve">MJ26070009: Cr 5100005 / Dr 1104004 Rp81,361, no item</t>
  </si>
  <si>
    <t xml:space="preserve">GL 5100006 slaughter fee expensed (not capitalised until Aug)</t>
  </si>
  <si>
    <t xml:space="preserve">GL 5100006 slaughter fee expensed (not capitalised until Aug) less performance adj. (PL - Performance)</t>
  </si>
  <si>
    <t xml:space="preserve">Sampel usus/limbah April reclassed from DP to 4101007 in Agt 26 (undated adj row) — no SI</t>
  </si>
  <si>
    <t xml:space="preserve">PI26070074 Shilla Chicken, kulit 460.9 kg @20,000 posted straight to 5100011 — no GRN, no sale in July</t>
  </si>
  <si>
    <t xml:space="preserve">Unbilled — item lines</t>
  </si>
  <si>
    <t xml:space="preserve">Unbilled sheet section B (4 MJ invoices)</t>
  </si>
  <si>
    <t xml:space="preserve">Unbilled — no item detail</t>
  </si>
  <si>
    <t xml:space="preserve">6 invoices, HPP = estimate booked; segment per Unbilled column N</t>
  </si>
  <si>
    <t xml:space="preserve">MA ENGINE — moving-average replay of every inventory movement, 1 Jul – 31 Aug 2026</t>
  </si>
  <si>
    <t xml:space="preserve">Replay A = movements as posted in Accurate (reproduces Accurate DO cost). Replay B = the same plus the item lines of the 4 invoices accrued by MJ (sheet Unbilled), inserted on their SJ date. Change a kg on Unbilled and B recalculates.</t>
  </si>
  <si>
    <t xml:space="preserve">SOURCE (Accurate subledger)</t>
  </si>
  <si>
    <t xml:space="preserve">REPLAY A — as booked</t>
  </si>
  <si>
    <t xml:space="preserve">REPLAY B — with invoice lines</t>
  </si>
  <si>
    <t xml:space="preserve">CHECKS</t>
  </si>
  <si>
    <t xml:space="preserve">VINTAGE — FIFO by row on replay B quantities; booked HPP split by kg</t>
  </si>
  <si>
    <t xml:space="preserve">Type</t>
  </si>
  <si>
    <t xml:space="preserve">Document</t>
  </si>
  <si>
    <t xml:space="preserve">Qty in
kg</t>
  </si>
  <si>
    <t xml:space="preserve">Value in
Rp</t>
  </si>
  <si>
    <t xml:space="preserve">Qty out
kg</t>
  </si>
  <si>
    <t xml:space="preserve">Value out
booked Rp</t>
  </si>
  <si>
    <t xml:space="preserve">Cost
mode</t>
  </si>
  <si>
    <t xml:space="preserve">Unbilled
line</t>
  </si>
  <si>
    <t xml:space="preserve">Qty out A</t>
  </si>
  <si>
    <t xml:space="preserve">Value out A</t>
  </si>
  <si>
    <t xml:space="preserve">Qty bal A</t>
  </si>
  <si>
    <t xml:space="preserve">Value bal A</t>
  </si>
  <si>
    <t xml:space="preserve">Avg A
Rp/kg</t>
  </si>
  <si>
    <t xml:space="preserve">Qty out B</t>
  </si>
  <si>
    <t xml:space="preserve">Value out B</t>
  </si>
  <si>
    <t xml:space="preserve">Qty bal B</t>
  </si>
  <si>
    <t xml:space="preserve">Value bal B</t>
  </si>
  <si>
    <t xml:space="preserve">Avg B
Rp/kg</t>
  </si>
  <si>
    <t xml:space="preserve">A − booked
(DO)</t>
  </si>
  <si>
    <t xml:space="preserve">B − A
(DO recost)</t>
  </si>
  <si>
    <t xml:space="preserve">Last
row</t>
  </si>
  <si>
    <t xml:space="preserve">Cum. qty out
since 1 Jul</t>
  </si>
  <si>
    <t xml:space="preserve">Stock 1 Jul
(pre-Jul layer)</t>
  </si>
  <si>
    <t xml:space="preserve">Jul receipts
(Jul layer)</t>
  </si>
  <si>
    <t xml:space="preserve">kg out from
pre-Jul</t>
  </si>
  <si>
    <t xml:space="preserve">kg out from
Jul</t>
  </si>
  <si>
    <t xml:space="preserve">kg out from
Aug</t>
  </si>
  <si>
    <t xml:space="preserve">HPP booked
pre-Jul</t>
  </si>
  <si>
    <t xml:space="preserve">HPP booked
Jul</t>
  </si>
  <si>
    <t xml:space="preserve">HPP booked
Aug</t>
  </si>
  <si>
    <t xml:space="preserve">Opening</t>
  </si>
  <si>
    <t xml:space="preserve">Saldo 1 Jul 2026</t>
  </si>
  <si>
    <t xml:space="preserve">Receipt</t>
  </si>
  <si>
    <t xml:space="preserve">DO</t>
  </si>
  <si>
    <t xml:space="preserve">KGR26.00227</t>
  </si>
  <si>
    <t xml:space="preserve">MA</t>
  </si>
  <si>
    <t xml:space="preserve">KGR26.00228</t>
  </si>
  <si>
    <t xml:space="preserve">KGR26.00248</t>
  </si>
  <si>
    <t xml:space="preserve">KGR26.00249</t>
  </si>
  <si>
    <t xml:space="preserve">KGR26.00250</t>
  </si>
  <si>
    <t xml:space="preserve">KGR26.00252</t>
  </si>
  <si>
    <t xml:space="preserve">KGR26.00253</t>
  </si>
  <si>
    <t xml:space="preserve">KGR26.00278</t>
  </si>
  <si>
    <t xml:space="preserve">KGR26.00279</t>
  </si>
  <si>
    <t xml:space="preserve">KGR26.00280</t>
  </si>
  <si>
    <t xml:space="preserve">KGR26.00281</t>
  </si>
  <si>
    <t xml:space="preserve">KGR26.00301</t>
  </si>
  <si>
    <t xml:space="preserve">KGR26.00302</t>
  </si>
  <si>
    <t xml:space="preserve">KGR26.00303</t>
  </si>
  <si>
    <t xml:space="preserve">KGR26.00304</t>
  </si>
  <si>
    <t xml:space="preserve">KGR26.00306</t>
  </si>
  <si>
    <t xml:space="preserve">KGR26.00307</t>
  </si>
  <si>
    <t xml:space="preserve">KGR26.00320</t>
  </si>
  <si>
    <t xml:space="preserve">KGR26.00321</t>
  </si>
  <si>
    <t xml:space="preserve">KGR26.00322</t>
  </si>
  <si>
    <t xml:space="preserve">KGR26.00344</t>
  </si>
  <si>
    <t xml:space="preserve">KGR26.00345</t>
  </si>
  <si>
    <t xml:space="preserve">KGR26.00346</t>
  </si>
  <si>
    <t xml:space="preserve">KGR26.00348</t>
  </si>
  <si>
    <t xml:space="preserve">KGR26.00349</t>
  </si>
  <si>
    <t xml:space="preserve">KGR26.00350</t>
  </si>
  <si>
    <t xml:space="preserve">KGR26.00351</t>
  </si>
  <si>
    <t xml:space="preserve">KGR26.00352</t>
  </si>
  <si>
    <t xml:space="preserve">KGR26.00353</t>
  </si>
  <si>
    <t xml:space="preserve">KGR26.00354</t>
  </si>
  <si>
    <t xml:space="preserve">KGR26.00370</t>
  </si>
  <si>
    <t xml:space="preserve">KGR26.00371</t>
  </si>
  <si>
    <t xml:space="preserve">KGR26.00372</t>
  </si>
  <si>
    <t xml:space="preserve">KGR26.00369</t>
  </si>
  <si>
    <t xml:space="preserve">074/PO/KGR/07/2026</t>
  </si>
  <si>
    <t xml:space="preserve">KGR26.00154</t>
  </si>
  <si>
    <t xml:space="preserve">KGR26.00155</t>
  </si>
  <si>
    <t xml:space="preserve">KGR26.00257</t>
  </si>
  <si>
    <t xml:space="preserve">KGR26.00137</t>
  </si>
  <si>
    <t xml:space="preserve">KGR26.00165</t>
  </si>
  <si>
    <t xml:space="preserve">Adj</t>
  </si>
  <si>
    <t xml:space="preserve">IA26070010</t>
  </si>
  <si>
    <t xml:space="preserve">Booked</t>
  </si>
  <si>
    <t xml:space="preserve">KGR26.00174</t>
  </si>
  <si>
    <t xml:space="preserve">KGR26.00199</t>
  </si>
  <si>
    <t xml:space="preserve">KGR26.00181</t>
  </si>
  <si>
    <t xml:space="preserve">KGR26.00359</t>
  </si>
  <si>
    <t xml:space="preserve">KGR26.00142</t>
  </si>
  <si>
    <t xml:space="preserve">KGR26.00251</t>
  </si>
  <si>
    <t xml:space="preserve">KGR26.00282</t>
  </si>
  <si>
    <t xml:space="preserve">KGR26.00305</t>
  </si>
  <si>
    <t xml:space="preserve">KGR26.00323</t>
  </si>
  <si>
    <t xml:space="preserve">KGR26.00355</t>
  </si>
  <si>
    <t xml:space="preserve">IA26070001</t>
  </si>
  <si>
    <t xml:space="preserve">KGR26.00255</t>
  </si>
  <si>
    <t xml:space="preserve">KGR26.00337</t>
  </si>
  <si>
    <t xml:space="preserve">IA26070002</t>
  </si>
  <si>
    <t xml:space="preserve">IA26070003</t>
  </si>
  <si>
    <t xml:space="preserve">KGR26.00224</t>
  </si>
  <si>
    <t xml:space="preserve">KGR26.00295</t>
  </si>
  <si>
    <t xml:space="preserve">KGR26.00300</t>
  </si>
  <si>
    <t xml:space="preserve">KGR26.00315</t>
  </si>
  <si>
    <t xml:space="preserve">KGR26.00332</t>
  </si>
  <si>
    <t xml:space="preserve">KGR26.00340</t>
  </si>
  <si>
    <t xml:space="preserve">IA26070004</t>
  </si>
  <si>
    <t xml:space="preserve">KGR26.00173</t>
  </si>
  <si>
    <t xml:space="preserve">KGR26.00190</t>
  </si>
  <si>
    <t xml:space="preserve">KGR26.00145</t>
  </si>
  <si>
    <t xml:space="preserve">KGR26.00158</t>
  </si>
  <si>
    <t xml:space="preserve">IA26080006</t>
  </si>
  <si>
    <t xml:space="preserve">KGR26.00331</t>
  </si>
  <si>
    <t xml:space="preserve">KGR26.00341</t>
  </si>
  <si>
    <t xml:space="preserve">KGR26.00356</t>
  </si>
  <si>
    <t xml:space="preserve">KGR26.00357</t>
  </si>
  <si>
    <t xml:space="preserve">IA26080001</t>
  </si>
  <si>
    <t xml:space="preserve">Inv 276 (belum ada SI)</t>
  </si>
  <si>
    <t xml:space="preserve">KGR26.00299</t>
  </si>
  <si>
    <t xml:space="preserve">KGR26.00327</t>
  </si>
  <si>
    <t xml:space="preserve">KGR26.00330</t>
  </si>
  <si>
    <t xml:space="preserve">KGR26.00283</t>
  </si>
  <si>
    <t xml:space="preserve">KGR26.00347</t>
  </si>
  <si>
    <t xml:space="preserve">KGR26.00231</t>
  </si>
  <si>
    <t xml:space="preserve">KGR26.00254</t>
  </si>
  <si>
    <t xml:space="preserve">IA26080005</t>
  </si>
  <si>
    <t xml:space="preserve">KGR26.00336</t>
  </si>
  <si>
    <t xml:space="preserve">IA26070006</t>
  </si>
  <si>
    <t xml:space="preserve">KGR26.00277</t>
  </si>
  <si>
    <t xml:space="preserve">IA26070005</t>
  </si>
  <si>
    <t xml:space="preserve">KGR26.00212</t>
  </si>
  <si>
    <t xml:space="preserve">KGR26.00166</t>
  </si>
  <si>
    <t xml:space="preserve">KGR26.00171</t>
  </si>
  <si>
    <t xml:space="preserve">IA26070007</t>
  </si>
  <si>
    <t xml:space="preserve">IA26070008</t>
  </si>
  <si>
    <t xml:space="preserve">IA26070009</t>
  </si>
  <si>
    <t xml:space="preserve">KGR26.00261</t>
  </si>
  <si>
    <t xml:space="preserve">KGR26.00267</t>
  </si>
  <si>
    <t xml:space="preserve">KGR26.00270</t>
  </si>
  <si>
    <t xml:space="preserve">KGR26.00329</t>
  </si>
  <si>
    <t xml:space="preserve">Inv 338 (belum ada SI)</t>
  </si>
  <si>
    <t xml:space="preserve">IA26080003</t>
  </si>
  <si>
    <t xml:space="preserve">KGR26.00285</t>
  </si>
  <si>
    <t xml:space="preserve">KGR26.00286</t>
  </si>
  <si>
    <t xml:space="preserve">KGR26.00290</t>
  </si>
  <si>
    <t xml:space="preserve">KGR26.00291</t>
  </si>
  <si>
    <t xml:space="preserve">KGR26.00292</t>
  </si>
  <si>
    <t xml:space="preserve">KGR26.00296</t>
  </si>
  <si>
    <t xml:space="preserve">KGR26.00312</t>
  </si>
  <si>
    <t xml:space="preserve">KGR26.00314</t>
  </si>
  <si>
    <t xml:space="preserve">KGR26.00309</t>
  </si>
  <si>
    <t xml:space="preserve">KGR26.00318</t>
  </si>
  <si>
    <t xml:space="preserve">PLK0002</t>
  </si>
  <si>
    <t xml:space="preserve">Job</t>
  </si>
  <si>
    <t xml:space="preserve">JC26070001</t>
  </si>
  <si>
    <t xml:space="preserve">PLK003</t>
  </si>
  <si>
    <t xml:space="preserve">120/PO/KGR/08/2026</t>
  </si>
  <si>
    <t xml:space="preserve">INV/MJMP/0826/079</t>
  </si>
  <si>
    <t xml:space="preserve">PLK004</t>
  </si>
  <si>
    <t xml:space="preserve">076/PO/KGR/07/2026</t>
  </si>
  <si>
    <t xml:space="preserve">098/PO/KGR/07/2026</t>
  </si>
  <si>
    <t xml:space="preserve">124/PO/KGR/08/2026</t>
  </si>
  <si>
    <t xml:space="preserve">KGR26.00334</t>
  </si>
  <si>
    <t xml:space="preserve">072/PO/KGR/07/2026</t>
  </si>
  <si>
    <t xml:space="preserve">KGR26.00134</t>
  </si>
  <si>
    <t xml:space="preserve">071/PO/KGR/07/2026</t>
  </si>
  <si>
    <t xml:space="preserve">KGR26.00136</t>
  </si>
  <si>
    <t xml:space="preserve">073/PO/KGR/07/2026</t>
  </si>
  <si>
    <t xml:space="preserve">097/PO/KGR/07/2026</t>
  </si>
  <si>
    <t xml:space="preserve">077/PO/KGR/07/2026</t>
  </si>
  <si>
    <t xml:space="preserve">075/PO/KGR/07/2026</t>
  </si>
  <si>
    <t xml:space="preserve">079/PO/KGR/07/2026</t>
  </si>
  <si>
    <t xml:space="preserve">080/PO/KGR/07/2026</t>
  </si>
  <si>
    <t xml:space="preserve">081/PO/KGR/07/2026</t>
  </si>
  <si>
    <t xml:space="preserve">082/PO/KGR/07/2026</t>
  </si>
  <si>
    <t xml:space="preserve">083/PO/KGR/07/2026</t>
  </si>
  <si>
    <t xml:space="preserve">084/PO/KGR/07/2026</t>
  </si>
  <si>
    <t xml:space="preserve">085/PO/KGR/07/2026</t>
  </si>
  <si>
    <t xml:space="preserve">086/PO/KGR/07/2026</t>
  </si>
  <si>
    <t xml:space="preserve">088/PO/KGR/07/2026</t>
  </si>
  <si>
    <t xml:space="preserve">089/PO/KGR/07/2026</t>
  </si>
  <si>
    <t xml:space="preserve">090/PO/KGR/07/2026</t>
  </si>
  <si>
    <t xml:space="preserve">091/PO/KGR/07/2026</t>
  </si>
  <si>
    <t xml:space="preserve">093/PO/KGR/07/2026</t>
  </si>
  <si>
    <t xml:space="preserve">094/PO/KGR/07/2026</t>
  </si>
  <si>
    <t xml:space="preserve">096/PO/KGR/07/2026</t>
  </si>
  <si>
    <t xml:space="preserve">095/PO/KGR/07/2026</t>
  </si>
  <si>
    <t xml:space="preserve">KGR26.00144</t>
  </si>
  <si>
    <t xml:space="preserve">099/PO/KGR/07/2026</t>
  </si>
  <si>
    <t xml:space="preserve">KGR26.00148</t>
  </si>
  <si>
    <t xml:space="preserve">KGR26.00149</t>
  </si>
  <si>
    <t xml:space="preserve">KGR26.00150</t>
  </si>
  <si>
    <t xml:space="preserve">KGR26.00151</t>
  </si>
  <si>
    <t xml:space="preserve">KGR26.00156</t>
  </si>
  <si>
    <t xml:space="preserve">KGR26.00152</t>
  </si>
  <si>
    <t xml:space="preserve">KGR26.00162</t>
  </si>
  <si>
    <t xml:space="preserve">KGR26.00163</t>
  </si>
  <si>
    <t xml:space="preserve">KGR26.00167</t>
  </si>
  <si>
    <t xml:space="preserve">KGR26.00167A</t>
  </si>
  <si>
    <t xml:space="preserve">KGR26.00170</t>
  </si>
  <si>
    <t xml:space="preserve">KGR26.00169</t>
  </si>
  <si>
    <t xml:space="preserve">KGR26.00172</t>
  </si>
  <si>
    <t xml:space="preserve">KGR26.00177</t>
  </si>
  <si>
    <t xml:space="preserve">KGR26.00179</t>
  </si>
  <si>
    <t xml:space="preserve">KGR26.00180</t>
  </si>
  <si>
    <t xml:space="preserve">KGR26.00178</t>
  </si>
  <si>
    <t xml:space="preserve">KGR26.00182</t>
  </si>
  <si>
    <t xml:space="preserve">KGR26.00183</t>
  </si>
  <si>
    <t xml:space="preserve">KGR26.00185</t>
  </si>
  <si>
    <t xml:space="preserve">KGR26.00186</t>
  </si>
  <si>
    <t xml:space="preserve">KGR26.00188</t>
  </si>
  <si>
    <t xml:space="preserve">KGR26.00189</t>
  </si>
  <si>
    <t xml:space="preserve">KGR26.00192</t>
  </si>
  <si>
    <t xml:space="preserve">KGR26.00187</t>
  </si>
  <si>
    <t xml:space="preserve">KGR26.00191</t>
  </si>
  <si>
    <t xml:space="preserve">KGR26.00193</t>
  </si>
  <si>
    <t xml:space="preserve">KGR26.00195</t>
  </si>
  <si>
    <t xml:space="preserve">KGR26.00196A</t>
  </si>
  <si>
    <t xml:space="preserve">KGR26.00198</t>
  </si>
  <si>
    <t xml:space="preserve">KGR26.00200</t>
  </si>
  <si>
    <t xml:space="preserve">KGR26.00203</t>
  </si>
  <si>
    <t xml:space="preserve">106/PO/KGR/07/2026</t>
  </si>
  <si>
    <t xml:space="preserve">KGR26.00208</t>
  </si>
  <si>
    <t xml:space="preserve">KGR26.00216</t>
  </si>
  <si>
    <t xml:space="preserve">KGR26.00217</t>
  </si>
  <si>
    <t xml:space="preserve">KGR26.00222</t>
  </si>
  <si>
    <t xml:space="preserve">109/PO/KGR/08/2026</t>
  </si>
  <si>
    <t xml:space="preserve">KGR26.00229</t>
  </si>
  <si>
    <t xml:space="preserve">KGR26.00230</t>
  </si>
  <si>
    <t xml:space="preserve">KGR26.00233</t>
  </si>
  <si>
    <t xml:space="preserve">KGR26.00237</t>
  </si>
  <si>
    <t xml:space="preserve">KGR26.00238</t>
  </si>
  <si>
    <t xml:space="preserve">KGR26.00239</t>
  </si>
  <si>
    <t xml:space="preserve">KGR26.00240</t>
  </si>
  <si>
    <t xml:space="preserve">KGR26.00244</t>
  </si>
  <si>
    <t xml:space="preserve">KGR26.00245</t>
  </si>
  <si>
    <t xml:space="preserve">KGR26.00246</t>
  </si>
  <si>
    <t xml:space="preserve">KGR26.00247</t>
  </si>
  <si>
    <t xml:space="preserve">KGR26.00260</t>
  </si>
  <si>
    <t xml:space="preserve">119/PO/KGR/08/2026</t>
  </si>
  <si>
    <t xml:space="preserve">KGR26.00313</t>
  </si>
  <si>
    <t xml:space="preserve">KGR26.00319</t>
  </si>
  <si>
    <t xml:space="preserve">KGR26.00358</t>
  </si>
  <si>
    <t xml:space="preserve">KGR26.00139</t>
  </si>
  <si>
    <t xml:space="preserve">KGR26.00157</t>
  </si>
  <si>
    <t xml:space="preserve">KGR26.00184</t>
  </si>
  <si>
    <t xml:space="preserve">KGR26.00241</t>
  </si>
  <si>
    <t xml:space="preserve">KGR26.00242</t>
  </si>
  <si>
    <t xml:space="preserve">KGR26.00256</t>
  </si>
  <si>
    <t xml:space="preserve">KGR26.00262</t>
  </si>
  <si>
    <t xml:space="preserve">KGR26.00268</t>
  </si>
  <si>
    <t xml:space="preserve">KGR26.00271</t>
  </si>
  <si>
    <t xml:space="preserve">KGR26.00269</t>
  </si>
  <si>
    <t xml:space="preserve">KGR26.00272</t>
  </si>
  <si>
    <t xml:space="preserve">KGR26.00275</t>
  </si>
  <si>
    <t xml:space="preserve">KGR26.00284</t>
  </si>
  <si>
    <t xml:space="preserve">KGR26.00287</t>
  </si>
  <si>
    <t xml:space="preserve">KGR26.00288</t>
  </si>
  <si>
    <t xml:space="preserve">KGR26.00297</t>
  </si>
  <si>
    <t xml:space="preserve">KGR26.00342</t>
  </si>
  <si>
    <t xml:space="preserve">KGR26.00343</t>
  </si>
  <si>
    <t xml:space="preserve">105/PO/KGR/07/2026</t>
  </si>
  <si>
    <t xml:space="preserve">KGR26.00213</t>
  </si>
  <si>
    <t xml:space="preserve">KGR26.00221</t>
  </si>
  <si>
    <t xml:space="preserve">108/PO/KGR/08/2026</t>
  </si>
  <si>
    <t xml:space="preserve">115/PO/KGR/08/2026</t>
  </si>
  <si>
    <t xml:space="preserve">KGR26.00289</t>
  </si>
  <si>
    <t xml:space="preserve">KGR26.00317</t>
  </si>
  <si>
    <t xml:space="preserve">KGR26.00215</t>
  </si>
  <si>
    <t xml:space="preserve">KGR26.00220</t>
  </si>
  <si>
    <t xml:space="preserve">KGR26.00235</t>
  </si>
  <si>
    <t xml:space="preserve">KGR26.00326</t>
  </si>
  <si>
    <t xml:space="preserve">KGR26.00328</t>
  </si>
  <si>
    <t xml:space="preserve">KGR26.00266</t>
  </si>
  <si>
    <t xml:space="preserve">KGR26.00274</t>
  </si>
  <si>
    <t xml:space="preserve">KGR26.00308</t>
  </si>
  <si>
    <t xml:space="preserve">KGR26.00333</t>
  </si>
  <si>
    <t xml:space="preserve">102/PO/KGR/07/2026</t>
  </si>
  <si>
    <t xml:space="preserve">103/PO/KGR/07/2026</t>
  </si>
  <si>
    <t xml:space="preserve">101/PO/KGR/07/2026</t>
  </si>
  <si>
    <t xml:space="preserve">KGR26.00197</t>
  </si>
  <si>
    <t xml:space="preserve">KGR26.00202</t>
  </si>
  <si>
    <t xml:space="preserve">KGR26.00205A</t>
  </si>
  <si>
    <t xml:space="preserve">KGR26.00210</t>
  </si>
  <si>
    <t xml:space="preserve">KGR26.00214.</t>
  </si>
  <si>
    <t xml:space="preserve">KGR26.00218</t>
  </si>
  <si>
    <t xml:space="preserve">KGR26.00223</t>
  </si>
  <si>
    <t xml:space="preserve">KGR26.00225</t>
  </si>
  <si>
    <t xml:space="preserve">KGR26.00236</t>
  </si>
  <si>
    <t xml:space="preserve">KGR26.00258</t>
  </si>
  <si>
    <t xml:space="preserve">KGR26.00298</t>
  </si>
  <si>
    <t xml:space="preserve">KGR26.00264</t>
  </si>
  <si>
    <t xml:space="preserve">KGR26.00138</t>
  </si>
  <si>
    <t xml:space="preserve">KGR26.00140</t>
  </si>
  <si>
    <t xml:space="preserve">KGR26.00146</t>
  </si>
  <si>
    <t xml:space="preserve">KGR26.00161</t>
  </si>
  <si>
    <t xml:space="preserve">KGR26.00164</t>
  </si>
  <si>
    <t xml:space="preserve">KGR26.00168</t>
  </si>
  <si>
    <t xml:space="preserve">KGR26.00206</t>
  </si>
  <si>
    <t xml:space="preserve">KGR26.00211</t>
  </si>
  <si>
    <t xml:space="preserve">Inv 263 (belum ada SI)</t>
  </si>
  <si>
    <t xml:space="preserve">KGR26.00207</t>
  </si>
  <si>
    <t xml:space="preserve">KGR26.00234</t>
  </si>
  <si>
    <t xml:space="preserve">KGR26.00265</t>
  </si>
  <si>
    <t xml:space="preserve">KGR26.00273</t>
  </si>
  <si>
    <t xml:space="preserve">KGR26.00310</t>
  </si>
  <si>
    <t xml:space="preserve">Inv 316 (belum ada SI)</t>
  </si>
  <si>
    <t xml:space="preserve">KGR26.00135</t>
  </si>
  <si>
    <t xml:space="preserve">KGR26.00141</t>
  </si>
  <si>
    <t xml:space="preserve">KGR26.00160</t>
  </si>
  <si>
    <t xml:space="preserve">KGR26.00204</t>
  </si>
  <si>
    <t xml:space="preserve">KGR26.00159</t>
  </si>
  <si>
    <t xml:space="preserve">IA26080002</t>
  </si>
  <si>
    <t xml:space="preserve">104/PO/KGR/07/2026</t>
  </si>
  <si>
    <t xml:space="preserve">092/PO/KGR/07/2026</t>
  </si>
  <si>
    <t xml:space="preserve">KGR26.00143</t>
  </si>
  <si>
    <t xml:space="preserve">KGR26.00194</t>
  </si>
  <si>
    <t xml:space="preserve">KGR26.00259</t>
  </si>
  <si>
    <t xml:space="preserve">KGR26.00324</t>
  </si>
  <si>
    <t xml:space="preserve">KGR26.00325</t>
  </si>
  <si>
    <t xml:space="preserve">KGR26.00335</t>
  </si>
  <si>
    <t xml:space="preserve">KGR26.00293</t>
  </si>
  <si>
    <t xml:space="preserve">KGR26.00294</t>
  </si>
  <si>
    <t xml:space="preserve">127/PO/KGR/08/2026</t>
  </si>
  <si>
    <t xml:space="preserve">I_SALES_INV — every Jul–Aug sales invoice with customer, segment revenue, DO kg and DO cost (+ the 10 unbilled invoices)</t>
  </si>
  <si>
    <t xml:space="preserve">Revenue and customer: GL Sales Invoice rows (party = customer). kg and cost: MA Engine by DO number (SI KGR26/0nnn ↔ DO KGR26.00nnn); Aug cost = replay B. Unbilled rows link to sheet Unbilled; customer per ops note (yellow, editable).</t>
  </si>
  <si>
    <t xml:space="preserve">SI / Inv</t>
  </si>
  <si>
    <t xml:space="preserve">Revenue RPA</t>
  </si>
  <si>
    <t xml:space="preserve">Revenue Trading</t>
  </si>
  <si>
    <t xml:space="preserve">DO number</t>
  </si>
  <si>
    <t xml:space="preserve">kg RPA</t>
  </si>
  <si>
    <t xml:space="preserve">kg Trading</t>
  </si>
  <si>
    <t xml:space="preserve">Cost RPA</t>
  </si>
  <si>
    <t xml:space="preserve">Cost Trading</t>
  </si>
  <si>
    <t xml:space="preserve">KGR26/0134</t>
  </si>
  <si>
    <t xml:space="preserve">GL Sales Invoice</t>
  </si>
  <si>
    <t xml:space="preserve">KGR26/0135</t>
  </si>
  <si>
    <t xml:space="preserve">KGR26/0136</t>
  </si>
  <si>
    <t xml:space="preserve">KGR26/0137</t>
  </si>
  <si>
    <t xml:space="preserve">KGR26/0138</t>
  </si>
  <si>
    <t xml:space="preserve">KGR26/0139</t>
  </si>
  <si>
    <t xml:space="preserve">KGR26/0140</t>
  </si>
  <si>
    <t xml:space="preserve">KGR26/0141</t>
  </si>
  <si>
    <t xml:space="preserve">KGR26/0142</t>
  </si>
  <si>
    <t xml:space="preserve">KGR26/0143</t>
  </si>
  <si>
    <t xml:space="preserve">KGR26/0144</t>
  </si>
  <si>
    <t xml:space="preserve">KGR26/0145</t>
  </si>
  <si>
    <t xml:space="preserve">KGR26/0146</t>
  </si>
  <si>
    <t xml:space="preserve">KGR26/0148</t>
  </si>
  <si>
    <t xml:space="preserve">KGR26/0149</t>
  </si>
  <si>
    <t xml:space="preserve">KGR26/0150</t>
  </si>
  <si>
    <t xml:space="preserve">KGR26/0151</t>
  </si>
  <si>
    <t xml:space="preserve">KGR26/0152</t>
  </si>
  <si>
    <t xml:space="preserve">KGR26/0154</t>
  </si>
  <si>
    <t xml:space="preserve">KGR26/0155</t>
  </si>
  <si>
    <t xml:space="preserve">KGR26/0156</t>
  </si>
  <si>
    <t xml:space="preserve">KGR26/0157</t>
  </si>
  <si>
    <t xml:space="preserve">KGR26/0158</t>
  </si>
  <si>
    <t xml:space="preserve">KGR26/0159</t>
  </si>
  <si>
    <t xml:space="preserve">KGR26/0160</t>
  </si>
  <si>
    <t xml:space="preserve">KGR26/0161</t>
  </si>
  <si>
    <t xml:space="preserve">KGR26/0162</t>
  </si>
  <si>
    <t xml:space="preserve">KGR26/0163</t>
  </si>
  <si>
    <t xml:space="preserve">KGR26/0164</t>
  </si>
  <si>
    <t xml:space="preserve">KGR26/0165</t>
  </si>
  <si>
    <t xml:space="preserve">KGR26/0166</t>
  </si>
  <si>
    <t xml:space="preserve">KGR26/0167</t>
  </si>
  <si>
    <t xml:space="preserve">KGR26/0167A</t>
  </si>
  <si>
    <t xml:space="preserve">KGR26/0168</t>
  </si>
  <si>
    <t xml:space="preserve">KGR26/0169</t>
  </si>
  <si>
    <t xml:space="preserve">KGR26/0170</t>
  </si>
  <si>
    <t xml:space="preserve">KGR26/0171</t>
  </si>
  <si>
    <t xml:space="preserve">KGR26/0172</t>
  </si>
  <si>
    <t xml:space="preserve">KGR26/0173</t>
  </si>
  <si>
    <t xml:space="preserve">KGR26/0174</t>
  </si>
  <si>
    <t xml:space="preserve">KGR26/0177</t>
  </si>
  <si>
    <t xml:space="preserve">KGR26/0178</t>
  </si>
  <si>
    <t xml:space="preserve">KGR26/0179</t>
  </si>
  <si>
    <t xml:space="preserve">KGR26/0180</t>
  </si>
  <si>
    <t xml:space="preserve">KGR26/0181</t>
  </si>
  <si>
    <t xml:space="preserve">KGR26/0182</t>
  </si>
  <si>
    <t xml:space="preserve">KGR26/0183</t>
  </si>
  <si>
    <t xml:space="preserve">KGR26/0184</t>
  </si>
  <si>
    <t xml:space="preserve">KGR26/0185</t>
  </si>
  <si>
    <t xml:space="preserve">KGR26/0186</t>
  </si>
  <si>
    <t xml:space="preserve">KGR26/0187</t>
  </si>
  <si>
    <t xml:space="preserve">KGR26/0188</t>
  </si>
  <si>
    <t xml:space="preserve">KGR26/0189</t>
  </si>
  <si>
    <t xml:space="preserve">KGR26/0190</t>
  </si>
  <si>
    <t xml:space="preserve">KGR26/0191</t>
  </si>
  <si>
    <t xml:space="preserve">KGR26/0192</t>
  </si>
  <si>
    <t xml:space="preserve">KGR26/0193</t>
  </si>
  <si>
    <t xml:space="preserve">KGR26/0194</t>
  </si>
  <si>
    <t xml:space="preserve">KGR26/0195</t>
  </si>
  <si>
    <t xml:space="preserve">KGR26/0196A</t>
  </si>
  <si>
    <t xml:space="preserve">KGR26/0197</t>
  </si>
  <si>
    <t xml:space="preserve">KGR26/0198</t>
  </si>
  <si>
    <t xml:space="preserve">KGR26/0199</t>
  </si>
  <si>
    <t xml:space="preserve">KGR26/0200</t>
  </si>
  <si>
    <t xml:space="preserve">KGR26/0202</t>
  </si>
  <si>
    <t xml:space="preserve">KGR26/0203</t>
  </si>
  <si>
    <t xml:space="preserve">KGR26/0204</t>
  </si>
  <si>
    <t xml:space="preserve">KGR26/0205A</t>
  </si>
  <si>
    <t xml:space="preserve">KGR26/0206</t>
  </si>
  <si>
    <t xml:space="preserve">KGR26/0207</t>
  </si>
  <si>
    <t xml:space="preserve">KGR26/0208</t>
  </si>
  <si>
    <t xml:space="preserve">KGR26/0210</t>
  </si>
  <si>
    <t xml:space="preserve">KGR26/0211</t>
  </si>
  <si>
    <t xml:space="preserve">KGR26/0212</t>
  </si>
  <si>
    <t xml:space="preserve">KGR26/0213</t>
  </si>
  <si>
    <t xml:space="preserve">KGR26/0214</t>
  </si>
  <si>
    <t xml:space="preserve">KGR26/0215</t>
  </si>
  <si>
    <t xml:space="preserve">KGR26/0216</t>
  </si>
  <si>
    <t xml:space="preserve">KGR26/0217</t>
  </si>
  <si>
    <t xml:space="preserve">KGR26/0218</t>
  </si>
  <si>
    <t xml:space="preserve">KGR26/0220</t>
  </si>
  <si>
    <t xml:space="preserve">KGR26/0221</t>
  </si>
  <si>
    <t xml:space="preserve">KGR26/0222</t>
  </si>
  <si>
    <t xml:space="preserve">KGR26/0223</t>
  </si>
  <si>
    <t xml:space="preserve">KGR26/0224</t>
  </si>
  <si>
    <t xml:space="preserve">KGR26/0225</t>
  </si>
  <si>
    <t xml:space="preserve">KGR26/0227</t>
  </si>
  <si>
    <t xml:space="preserve">KGR26/0228</t>
  </si>
  <si>
    <t xml:space="preserve">KGR26/0229</t>
  </si>
  <si>
    <t xml:space="preserve">KGR26/0230</t>
  </si>
  <si>
    <t xml:space="preserve">KGR26/0231</t>
  </si>
  <si>
    <t xml:space="preserve">KGR26/0233</t>
  </si>
  <si>
    <t xml:space="preserve">KGR26/0234</t>
  </si>
  <si>
    <t xml:space="preserve">KGR26/0235</t>
  </si>
  <si>
    <t xml:space="preserve">KGR26/0236</t>
  </si>
  <si>
    <t xml:space="preserve">KGR26/0237</t>
  </si>
  <si>
    <t xml:space="preserve">KGR26/0238</t>
  </si>
  <si>
    <t xml:space="preserve">KGR26/0239</t>
  </si>
  <si>
    <t xml:space="preserve">KGR26/0240</t>
  </si>
  <si>
    <t xml:space="preserve">KGR26/0241</t>
  </si>
  <si>
    <t xml:space="preserve">KGR26/0242</t>
  </si>
  <si>
    <t xml:space="preserve">KGR26/0244</t>
  </si>
  <si>
    <t xml:space="preserve">KGR26/0245</t>
  </si>
  <si>
    <t xml:space="preserve">KGR26/0246</t>
  </si>
  <si>
    <t xml:space="preserve">KGR26/0247</t>
  </si>
  <si>
    <t xml:space="preserve">KGR26/0248</t>
  </si>
  <si>
    <t xml:space="preserve">KGR26/0249</t>
  </si>
  <si>
    <t xml:space="preserve">KGR26/0250</t>
  </si>
  <si>
    <t xml:space="preserve">KGR26/0251</t>
  </si>
  <si>
    <t xml:space="preserve">KGR26/0252</t>
  </si>
  <si>
    <t xml:space="preserve">KGR26/0253</t>
  </si>
  <si>
    <t xml:space="preserve">KGR26/0254</t>
  </si>
  <si>
    <t xml:space="preserve">KGR26/0255</t>
  </si>
  <si>
    <t xml:space="preserve">KGR26/0256</t>
  </si>
  <si>
    <t xml:space="preserve">KGR26/0258</t>
  </si>
  <si>
    <t xml:space="preserve">KGR26/0259</t>
  </si>
  <si>
    <t xml:space="preserve">KGR26/0260</t>
  </si>
  <si>
    <t xml:space="preserve">KGR26/0261</t>
  </si>
  <si>
    <t xml:space="preserve">KGR26/0262</t>
  </si>
  <si>
    <t xml:space="preserve">KGR26/0264</t>
  </si>
  <si>
    <t xml:space="preserve">KGR26/0265</t>
  </si>
  <si>
    <t xml:space="preserve">KGR26/0266</t>
  </si>
  <si>
    <t xml:space="preserve">KGR26/0267</t>
  </si>
  <si>
    <t xml:space="preserve">KGR26/0268</t>
  </si>
  <si>
    <t xml:space="preserve">KGR26/0269</t>
  </si>
  <si>
    <t xml:space="preserve">KGR26/0270</t>
  </si>
  <si>
    <t xml:space="preserve">KGR26/0271</t>
  </si>
  <si>
    <t xml:space="preserve">KGR26/0272</t>
  </si>
  <si>
    <t xml:space="preserve">KGR26/0273</t>
  </si>
  <si>
    <t xml:space="preserve">KGR26/0274</t>
  </si>
  <si>
    <t xml:space="preserve">KGR26/0275</t>
  </si>
  <si>
    <t xml:space="preserve">KGR26/0277</t>
  </si>
  <si>
    <t xml:space="preserve">KGR26/0278</t>
  </si>
  <si>
    <t xml:space="preserve">KGR26/0279</t>
  </si>
  <si>
    <t xml:space="preserve">KGR26/0280</t>
  </si>
  <si>
    <t xml:space="preserve">KGR26/0281</t>
  </si>
  <si>
    <t xml:space="preserve">KGR26/0282</t>
  </si>
  <si>
    <t xml:space="preserve">KGR26/0283</t>
  </si>
  <si>
    <t xml:space="preserve">KGR26/0284</t>
  </si>
  <si>
    <t xml:space="preserve">KGR26/0285</t>
  </si>
  <si>
    <t xml:space="preserve">KGR26/0286</t>
  </si>
  <si>
    <t xml:space="preserve">KGR26/0287</t>
  </si>
  <si>
    <t xml:space="preserve">KGR26/0288</t>
  </si>
  <si>
    <t xml:space="preserve">KGR26/0289</t>
  </si>
  <si>
    <t xml:space="preserve">KGR26/0290</t>
  </si>
  <si>
    <t xml:space="preserve">KGR26/0291</t>
  </si>
  <si>
    <t xml:space="preserve">KGR26/0292</t>
  </si>
  <si>
    <t xml:space="preserve">KGR26/0293</t>
  </si>
  <si>
    <t xml:space="preserve">KGR26/0294</t>
  </si>
  <si>
    <t xml:space="preserve">KGR26/0295</t>
  </si>
  <si>
    <t xml:space="preserve">KGR26/0296</t>
  </si>
  <si>
    <t xml:space="preserve">KGR26/0297</t>
  </si>
  <si>
    <t xml:space="preserve">KGR26/0298</t>
  </si>
  <si>
    <t xml:space="preserve">KGR26/0299</t>
  </si>
  <si>
    <t xml:space="preserve">KGR26/0300</t>
  </si>
  <si>
    <t xml:space="preserve">KGR26/0301</t>
  </si>
  <si>
    <t xml:space="preserve">KGR26/0302</t>
  </si>
  <si>
    <t xml:space="preserve">KGR26/0303</t>
  </si>
  <si>
    <t xml:space="preserve">KGR26/0304</t>
  </si>
  <si>
    <t xml:space="preserve">KGR26/0305</t>
  </si>
  <si>
    <t xml:space="preserve">KGR26/0306</t>
  </si>
  <si>
    <t xml:space="preserve">KGR26/0307</t>
  </si>
  <si>
    <t xml:space="preserve">KGR26/0308</t>
  </si>
  <si>
    <t xml:space="preserve">KGR26/0309</t>
  </si>
  <si>
    <t xml:space="preserve">KGR26/0310</t>
  </si>
  <si>
    <t xml:space="preserve">KGR26/0312</t>
  </si>
  <si>
    <t xml:space="preserve">KGR26/0313</t>
  </si>
  <si>
    <t xml:space="preserve">KGR26/0314</t>
  </si>
  <si>
    <t xml:space="preserve">KGR26/0315</t>
  </si>
  <si>
    <t xml:space="preserve">KGR26/0317</t>
  </si>
  <si>
    <t xml:space="preserve">KGR26/0318</t>
  </si>
  <si>
    <t xml:space="preserve">KGR26/0319</t>
  </si>
  <si>
    <t xml:space="preserve">KGR26/0320</t>
  </si>
  <si>
    <t xml:space="preserve">KGR26/0321</t>
  </si>
  <si>
    <t xml:space="preserve">KGR26/0322</t>
  </si>
  <si>
    <t xml:space="preserve">KGR26/0323</t>
  </si>
  <si>
    <t xml:space="preserve">KGR26/0324</t>
  </si>
  <si>
    <t xml:space="preserve">KGR26/0325</t>
  </si>
  <si>
    <t xml:space="preserve">KGR26/0326</t>
  </si>
  <si>
    <t xml:space="preserve">KGR26/0327</t>
  </si>
  <si>
    <t xml:space="preserve">KGR26/0328</t>
  </si>
  <si>
    <t xml:space="preserve">KGR26/0329</t>
  </si>
  <si>
    <t xml:space="preserve">KGR26/0330</t>
  </si>
  <si>
    <t xml:space="preserve">KGR26/0331</t>
  </si>
  <si>
    <t xml:space="preserve">KGR26/0332</t>
  </si>
  <si>
    <t xml:space="preserve">KGR26/0333</t>
  </si>
  <si>
    <t xml:space="preserve">KGR26/0334</t>
  </si>
  <si>
    <t xml:space="preserve">KGR26/0335</t>
  </si>
  <si>
    <t xml:space="preserve">KGR26/0336</t>
  </si>
  <si>
    <t xml:space="preserve">KGR26/0337</t>
  </si>
  <si>
    <t xml:space="preserve">KGR26/0340</t>
  </si>
  <si>
    <t xml:space="preserve">KGR26/0341</t>
  </si>
  <si>
    <t xml:space="preserve">KGR26/0342</t>
  </si>
  <si>
    <t xml:space="preserve">KGR26/0343</t>
  </si>
  <si>
    <t xml:space="preserve">KGR26/0344</t>
  </si>
  <si>
    <t xml:space="preserve">KGR26/0345</t>
  </si>
  <si>
    <t xml:space="preserve">KGR26/0346</t>
  </si>
  <si>
    <t xml:space="preserve">KGR26/0347</t>
  </si>
  <si>
    <t xml:space="preserve">KGR26/0348</t>
  </si>
  <si>
    <t xml:space="preserve">KGR26/0349</t>
  </si>
  <si>
    <t xml:space="preserve">KGR26/0350</t>
  </si>
  <si>
    <t xml:space="preserve">KGR26/0351</t>
  </si>
  <si>
    <t xml:space="preserve">KGR26/0352</t>
  </si>
  <si>
    <t xml:space="preserve">KGR26/0353</t>
  </si>
  <si>
    <t xml:space="preserve">KGR26/0354</t>
  </si>
  <si>
    <t xml:space="preserve">KGR26/0355</t>
  </si>
  <si>
    <t xml:space="preserve">KGR26/0356</t>
  </si>
  <si>
    <t xml:space="preserve">KGR26/0357</t>
  </si>
  <si>
    <t xml:space="preserve">KGR26/0358</t>
  </si>
  <si>
    <t xml:space="preserve">KGR26/0359</t>
  </si>
  <si>
    <t xml:space="preserve">KGR26/0369</t>
  </si>
  <si>
    <t xml:space="preserve">KGR26/0370</t>
  </si>
  <si>
    <t xml:space="preserve">KGR26/0371</t>
  </si>
  <si>
    <t xml:space="preserve">KGR26/0372</t>
  </si>
  <si>
    <t xml:space="preserve">Inv 263 (unbilled)</t>
  </si>
  <si>
    <t xml:space="preserve">Unbilled sheet</t>
  </si>
  <si>
    <t xml:space="preserve">Buyer (ops): Erwin</t>
  </si>
  <si>
    <t xml:space="preserve">Inv 276 (unbilled)</t>
  </si>
  <si>
    <t xml:space="preserve">Buyer (ops): Petik Segar</t>
  </si>
  <si>
    <t xml:space="preserve">Inv 316 (unbilled)</t>
  </si>
  <si>
    <t xml:space="preserve">Buyer (ops): Natalia Prihati</t>
  </si>
  <si>
    <t xml:space="preserve">Inv 338 (unbilled)</t>
  </si>
  <si>
    <t xml:space="preserve">Buyer (ops): Bu Lia</t>
  </si>
  <si>
    <t xml:space="preserve">Inv 201 (unbilled)</t>
  </si>
  <si>
    <t xml:space="preserve">Buyer (ops): RR Frozen</t>
  </si>
  <si>
    <t xml:space="preserve">Inv 226 (unbilled)</t>
  </si>
  <si>
    <t xml:space="preserve">Inv 232 (unbilled)</t>
  </si>
  <si>
    <t xml:space="preserve">Buyer (ops): Wangon</t>
  </si>
  <si>
    <t xml:space="preserve">Inv 243 (unbilled)</t>
  </si>
  <si>
    <t xml:space="preserve">Inv 257 (unbilled)</t>
  </si>
  <si>
    <t xml:space="preserve">Inv 311 (unbilled)</t>
  </si>
  <si>
    <t xml:space="preserve">I_BATCH_OPS — ops costing per batch (202608_Data_COGS_LB.xlsx, sheets Pot_ISA&lt;date&gt;)</t>
  </si>
  <si>
    <t xml:space="preserve">Ops allocate the whole batch cost to each product in proportion to its value at the weekly price list. Qty per item ties to Accurate goods receipts (Batch Economics column AO). Pot_ISA20 REV used for 20 Aug; base sheets used for 10 and 11 Aug (the "+Blasting" versions add blasting Rp1.0m / Rp1.8m to the slaughter fee).</t>
  </si>
  <si>
    <t xml:space="preserve">Ops sheet</t>
  </si>
  <si>
    <t xml:space="preserve">PI (live bird)</t>
  </si>
  <si>
    <t xml:space="preserve">Live bird kg
(ops)</t>
  </si>
  <si>
    <t xml:space="preserve">Live bird kg
(PI narrative)</t>
  </si>
  <si>
    <t xml:space="preserve">Live bird Rp</t>
  </si>
  <si>
    <t xml:space="preserve">Freight Rp</t>
  </si>
  <si>
    <t xml:space="preserve">Maklon Rp</t>
  </si>
  <si>
    <t xml:space="preserve">Total cost Rp</t>
  </si>
  <si>
    <t xml:space="preserve">Output kg
(ops)</t>
  </si>
  <si>
    <t xml:space="preserve">Yield
(ops)</t>
  </si>
  <si>
    <t xml:space="preserve">Est. value at
price list Rp</t>
  </si>
  <si>
    <t xml:space="preserve">Est. GP Rp</t>
  </si>
  <si>
    <t xml:space="preserve">Est. GP ÷ cost
(ops metric)</t>
  </si>
  <si>
    <t xml:space="preserve">Pot_ISA8</t>
  </si>
  <si>
    <t xml:space="preserve">Priyono</t>
  </si>
  <si>
    <t xml:space="preserve">Pot_ISA10</t>
  </si>
  <si>
    <t xml:space="preserve">Alberus</t>
  </si>
  <si>
    <t xml:space="preserve">Pot_ISA11</t>
  </si>
  <si>
    <t xml:space="preserve">PT Bounty Segar Distribution</t>
  </si>
  <si>
    <t xml:space="preserve">Pot_ISA14</t>
  </si>
  <si>
    <t xml:space="preserve">Alberus &amp; Priyono</t>
  </si>
  <si>
    <t xml:space="preserve">Pot_ISA19</t>
  </si>
  <si>
    <t xml:space="preserve">Pot_ISA20 REV</t>
  </si>
  <si>
    <t xml:space="preserve">Pot_ISA21</t>
  </si>
  <si>
    <t xml:space="preserve">Pot_ISA25</t>
  </si>
  <si>
    <t xml:space="preserve">Pot_ISA26</t>
  </si>
  <si>
    <t xml:space="preserve">Pot_ISA27</t>
  </si>
  <si>
    <t xml:space="preserve">Pot_ISA28</t>
  </si>
  <si>
    <t xml:space="preserve">Pot_ISA31</t>
  </si>
  <si>
    <t xml:space="preserve">Live bird kg: ops uses 11,241.1 kg for 10 Aug (= Rp243,931,870 ÷ Rp21,700); the PI narrative says 11,214.1 kg — digits transposed. Ops kg used in Batch Economics.</t>
  </si>
  <si>
    <t xml:space="preserve">Product (ops)</t>
  </si>
  <si>
    <t xml:space="preserve">Price list
Rp/kg</t>
  </si>
  <si>
    <t xml:space="preserve">Item name</t>
  </si>
  <si>
    <t xml:space="preserve">Qty kg</t>
  </si>
  <si>
    <t xml:space="preserve">Yield (ops)</t>
  </si>
  <si>
    <t xml:space="preserve">Est. value Rp</t>
  </si>
  <si>
    <t xml:space="preserve">COGS/kg
(ops alloc.)</t>
  </si>
  <si>
    <t xml:space="preserve">COGS alloc. Rp</t>
  </si>
  <si>
    <t xml:space="preserve">In Accurate
stock?</t>
  </si>
  <si>
    <t xml:space="preserve">AU 0.6</t>
  </si>
  <si>
    <t xml:space="preserve">Karkas Uk 0.6 Karkas Uk 0.6 Frozen Premium</t>
  </si>
  <si>
    <t xml:space="preserve">AU 0.7</t>
  </si>
  <si>
    <t xml:space="preserve">Karkas Uk 0.7 Karkas Uk 0.7 Frozen Premium</t>
  </si>
  <si>
    <t xml:space="preserve">AU 0.8</t>
  </si>
  <si>
    <t xml:space="preserve">Karkas Uk 0.8 Frozen Premium</t>
  </si>
  <si>
    <t xml:space="preserve">AU 0.9</t>
  </si>
  <si>
    <t xml:space="preserve">Karkas Uk 0.9 Karkas Uk 0.9 Fresh Premium</t>
  </si>
  <si>
    <t xml:space="preserve">AU 1.0</t>
  </si>
  <si>
    <t xml:space="preserve">Karkas Uk 1.0 Karkas Uk 1.0 Fresh Premium</t>
  </si>
  <si>
    <t xml:space="preserve">AU 1.1</t>
  </si>
  <si>
    <t xml:space="preserve">Karkas Uk 1.1 Karkas Uk 1.1 Fresh Premium</t>
  </si>
  <si>
    <t xml:space="preserve">AU 1.2</t>
  </si>
  <si>
    <t xml:space="preserve">Karkas Uk 1.2 Karkas Uk 1.2 Fresh Premium</t>
  </si>
  <si>
    <t xml:space="preserve">AU 1.3</t>
  </si>
  <si>
    <t xml:space="preserve">Karkas Uk 1.3 Karkas Uk 1.3 Fresh Premium</t>
  </si>
  <si>
    <t xml:space="preserve">AU 1.4</t>
  </si>
  <si>
    <t xml:space="preserve">Karkas Uk 1.4 Karkas Uk 1.4 Fresh Premium</t>
  </si>
  <si>
    <t xml:space="preserve">Boneless BL Fresh Lemak</t>
  </si>
  <si>
    <t xml:space="preserve">Boneless BL Fresh Kepala</t>
  </si>
  <si>
    <t xml:space="preserve">Boneless BL Fresh Ceker</t>
  </si>
  <si>
    <t xml:space="preserve">Dilimbahkan</t>
  </si>
  <si>
    <t xml:space="preserve">N</t>
  </si>
  <si>
    <t xml:space="preserve">Giblet</t>
  </si>
  <si>
    <t xml:space="preserve">Boneless BL Fresh HJA</t>
  </si>
  <si>
    <t xml:space="preserve">AU 0.7 Grade A</t>
  </si>
  <si>
    <t xml:space="preserve">Karkas Uk 0.7 Karkas Uk 0.7 Frozen Grade A</t>
  </si>
  <si>
    <t xml:space="preserve">AU 0.8 Grade A</t>
  </si>
  <si>
    <t xml:space="preserve">Karkas Uk 0.8 Karkas Uk 0.8 Frozen Grade A</t>
  </si>
  <si>
    <t xml:space="preserve">AU 0.9 Grade A</t>
  </si>
  <si>
    <t xml:space="preserve">Karkas Uk 0.9 Karkas Uk 0.9 Frozen Grade A</t>
  </si>
  <si>
    <t xml:space="preserve">AU 1.0 Grade A</t>
  </si>
  <si>
    <t xml:space="preserve">AU 1.1 Grade A</t>
  </si>
  <si>
    <t xml:space="preserve">Karkas Uk 1.1 Karkas Uk 1.1 Fresh Grade A</t>
  </si>
  <si>
    <t xml:space="preserve">AU 1.2 Grade A</t>
  </si>
  <si>
    <t xml:space="preserve">Karkas Uk 1.2 Karkas Uk 1.2 Fresh Grade A</t>
  </si>
  <si>
    <t xml:space="preserve">AU 1.3 Grade A</t>
  </si>
  <si>
    <t xml:space="preserve">Karkas Uk 1.3 Karkas Uk 1.3 Fresh Grade A</t>
  </si>
  <si>
    <t xml:space="preserve">AU 1.4 Grade A</t>
  </si>
  <si>
    <t xml:space="preserve">Karkas Uk 1.4 Karkas Uk 1.4 Frozen Grade A</t>
  </si>
  <si>
    <t xml:space="preserve">Boneless BL Fresh Usus Kotor</t>
  </si>
  <si>
    <t xml:space="preserve">AU 0.6 Grade A</t>
  </si>
  <si>
    <t xml:space="preserve">Karkas Uk 0.6 Karkas Uk 0.6 Frozen Grade A</t>
  </si>
  <si>
    <t xml:space="preserve">Karkas Uk 1.0 Karkas Uk 1.0 Frozen Grade A</t>
  </si>
  <si>
    <t xml:space="preserve">Karkas Uk 1.1 Karkas Uk 1.1 Frozen Grade A</t>
  </si>
  <si>
    <t xml:space="preserve">Karkas Uk 1.2 Karkas Uk 1.2 Frozen Grade A</t>
  </si>
  <si>
    <t xml:space="preserve">Karkas Uk 1.3 Karkas Uk 1.3 Frozen Grade A</t>
  </si>
  <si>
    <t xml:space="preserve">Karkas Uk 1.0 Karkas Uk 1.0 Frozen Premium</t>
  </si>
  <si>
    <t xml:space="preserve">Karkas Uk 1.1 Karkas Uk 1.1 Frozen Premium</t>
  </si>
  <si>
    <t xml:space="preserve">Karkas Uk 1.2 Karkas Uk 1.2 Frozen Premium</t>
  </si>
  <si>
    <t xml:space="preserve">AU 1.5</t>
  </si>
  <si>
    <t xml:space="preserve">Karkas Uk 1.5 Karkas Uk 1.5 Fresh Premium</t>
  </si>
  <si>
    <t xml:space="preserve">AU 1.6</t>
  </si>
  <si>
    <t xml:space="preserve">Karkas Uk 1.6 Karkas Uk 1.6 Fresh Premium</t>
  </si>
  <si>
    <t xml:space="preserve">AU 1.7</t>
  </si>
  <si>
    <t xml:space="preserve">Karkas Uk 1.7 Karkas Uk 1.7 Frozen Premium</t>
  </si>
  <si>
    <t xml:space="preserve">AU 1.8</t>
  </si>
  <si>
    <t xml:space="preserve">Karkas Uk 1.8 Karkas Uk 1.8 Frozen Premium</t>
  </si>
  <si>
    <t xml:space="preserve">AU 1.9</t>
  </si>
  <si>
    <t xml:space="preserve">Karkas Uk 2.0 Karkas Uk 2.0 Frozen Premium</t>
  </si>
  <si>
    <t xml:space="preserve">AU 1.5 Grade A</t>
  </si>
  <si>
    <t xml:space="preserve">Karkas Uk 1.5 Karkas Uk 1.5 Frozen Grade A</t>
  </si>
  <si>
    <t xml:space="preserve">AU 1.6 Grade A</t>
  </si>
  <si>
    <t xml:space="preserve">Karkas Uk 1.6 Karkas Uk 1.6 Frozen Grade A</t>
  </si>
  <si>
    <t xml:space="preserve">AU 1.7 Grade A</t>
  </si>
  <si>
    <t xml:space="preserve">Karkas Uk 1.7 Karkas Uk 1.7 Frozen Grade A</t>
  </si>
  <si>
    <t xml:space="preserve">AU 1.8 Grade A</t>
  </si>
  <si>
    <t xml:space="preserve">Karkas Uk 1.8 Karkas Uk 1.8 Frozen Grade A</t>
  </si>
  <si>
    <t xml:space="preserve">AU 1.9 Grade A</t>
  </si>
  <si>
    <t xml:space="preserve">Karkas Uk 1.9 Karkas Uk 1.9 Frozen Grade A</t>
  </si>
  <si>
    <t xml:space="preserve">Boneless BL Frozen Lemak</t>
  </si>
  <si>
    <t xml:space="preserve">Karkas Uk 1.7 Karkas Uk 1.7 Fresh Premium</t>
  </si>
  <si>
    <t xml:space="preserve">Karkas Uk 1.3 Karkas Uk 1.3 Frozen Premium</t>
  </si>
  <si>
    <t xml:space="preserve">Karkas Uk 1.4 Karkas Uk 1.4 Frozen Premium</t>
  </si>
  <si>
    <t xml:space="preserve">AU 0.5</t>
  </si>
  <si>
    <t xml:space="preserve">Karkas Uk 0.5 Karkas Uk 0.5 Frozen Premium</t>
  </si>
  <si>
    <t xml:space="preserve">Karkas Uk 0.9 Frozen Premium</t>
  </si>
  <si>
    <t xml:space="preserve">AU 0.5 Grade A</t>
  </si>
  <si>
    <t xml:space="preserve">Karkas Uk 0.5 Karkas Uk 0.5 Frozen Grade A</t>
  </si>
  <si>
    <t xml:space="preserve">Karkas Uk 1.6 Karkas Uk 1.6 Frozen Premium</t>
  </si>
  <si>
    <t xml:space="preserve">Karkas Uk 1.5 Karkas Uk 1.5 Frozen Premium</t>
  </si>
  <si>
    <t xml:space="preserve">Karkas Uk 1.9 Karkas Uk 1.9 Frozen Premium</t>
  </si>
  <si>
    <t xml:space="preserve">AU 2.0 Grade A</t>
  </si>
  <si>
    <t xml:space="preserve">Karkas Uk 2.0 Karkas Uk 2.0 Frozen Grade A</t>
  </si>
  <si>
    <t xml:space="preserve">I_ITEMS — item master and stock balances</t>
  </si>
  <si>
    <t xml:space="preserve">Segment from code prefix (JLB = RPA, TRD = Trading, PLK = packaging). SKU, size, form, grade from the item description. Blue = from source; black = formula over MA Engine.</t>
  </si>
  <si>
    <t xml:space="preserve">Accurate description</t>
  </si>
  <si>
    <t xml:space="preserve">Karkas size</t>
  </si>
  <si>
    <t xml:space="preserve">Grade</t>
  </si>
  <si>
    <t xml:space="preserve">Status Jul–Aug</t>
  </si>
  <si>
    <t xml:space="preserve">Open 1 Jul
Rp</t>
  </si>
  <si>
    <t xml:space="preserve">Close 31 Aug kg
per Accurate</t>
  </si>
  <si>
    <t xml:space="preserve">Close 31 Aug Rp
per Accurate</t>
  </si>
  <si>
    <t xml:space="preserve">Close 31 Aug kg
engine A (as booked)</t>
  </si>
  <si>
    <t xml:space="preserve">Close 31 Aug Rp
engine A</t>
  </si>
  <si>
    <t xml:space="preserve">Close 31 Aug kg
engine B (+10 inv item)</t>
  </si>
  <si>
    <t xml:space="preserve">Close 31 Aug Rp
engine B</t>
  </si>
  <si>
    <t xml:space="preserve">Source / note</t>
  </si>
  <si>
    <t xml:space="preserve">JLB0055</t>
  </si>
  <si>
    <t xml:space="preserve">Parting Parting 10 Fresh Premium</t>
  </si>
  <si>
    <t xml:space="preserve">Premium</t>
  </si>
  <si>
    <t xml:space="preserve">Dormant</t>
  </si>
  <si>
    <t xml:space="preserve">No movement Jul–Aug; balance per WP v6 (inventory_valuation_kgr.xls, last move 20 Apr)</t>
  </si>
  <si>
    <t xml:space="preserve">Moves Jul–Aug</t>
  </si>
  <si>
    <t xml:space="preserve">inventory_valuation_terbaru.xls (printed 23 Sep 2026 23.25)</t>
  </si>
  <si>
    <t xml:space="preserve">JLB0081</t>
  </si>
  <si>
    <t xml:space="preserve">Boneless BL Fresh HJA - Ampela</t>
  </si>
  <si>
    <t xml:space="preserve">No movement Jul–Aug; balance per WP v6 (inventory_valuation_kgr.xls, last move 07 Apr)</t>
  </si>
  <si>
    <t xml:space="preserve">JLB0084</t>
  </si>
  <si>
    <t xml:space="preserve">Boneless BL Fresh HJA - Hati</t>
  </si>
  <si>
    <t xml:space="preserve">JLB0087</t>
  </si>
  <si>
    <t xml:space="preserve">Boneless BL Fresh HJA - Jantung</t>
  </si>
  <si>
    <t xml:space="preserve">No movement Jul–Aug; balance per WP v6 (inventory_valuation_kgr.xls, last move 25 Apr)</t>
  </si>
  <si>
    <t xml:space="preserve">JLB0104</t>
  </si>
  <si>
    <t xml:space="preserve">Boneless BL Fresh KRK</t>
  </si>
  <si>
    <t xml:space="preserve">No movement Jul–Aug; balance per WP v6 (inventory_valuation_kgr.xls, last move 21 May)</t>
  </si>
  <si>
    <t xml:space="preserve">JLB0113</t>
  </si>
  <si>
    <t xml:space="preserve">Boneless BL Fresh KRK - Tungir KRK</t>
  </si>
  <si>
    <t xml:space="preserve">No movement Jul–Aug; balance per WP v6 (inventory_valuation_kgr.xls, last move 30 Apr)</t>
  </si>
  <si>
    <t xml:space="preserve">JLB0116</t>
  </si>
  <si>
    <t xml:space="preserve">Boneless BL Fresh Kulit</t>
  </si>
  <si>
    <t xml:space="preserve">No movement Jul–Aug; balance per WP v6 (inventory_valuation_kgr.xls, last move 29 May)</t>
  </si>
  <si>
    <t xml:space="preserve">JLB0120</t>
  </si>
  <si>
    <t xml:space="preserve">Boneless BL Fresh Sayap Grade A</t>
  </si>
  <si>
    <t xml:space="preserve">Grade A</t>
  </si>
  <si>
    <t xml:space="preserve">No movement Jul–Aug; balance per WP v6 (inventory_valuation_kgr.xls, last move 11 May)</t>
  </si>
  <si>
    <t xml:space="preserve">JLB0122</t>
  </si>
  <si>
    <t xml:space="preserve">Boneless BL Fresh Sayap Grade C</t>
  </si>
  <si>
    <t xml:space="preserve">Grade C</t>
  </si>
  <si>
    <t xml:space="preserve">No movement Jul–Aug; balance per WP v6 (inventory_valuation_kgr.xls, last move 07 May)</t>
  </si>
  <si>
    <t xml:space="preserve">Boneless BL Fresh Sayap Premium</t>
  </si>
  <si>
    <t xml:space="preserve">JLB0125</t>
  </si>
  <si>
    <t xml:space="preserve">Boneless BL Fresh TLP</t>
  </si>
  <si>
    <t xml:space="preserve">Zero</t>
  </si>
  <si>
    <t xml:space="preserve">Not in Jul–Aug report, not dormant: nil balance</t>
  </si>
  <si>
    <t xml:space="preserve">Boneless BL Frozen Ceker</t>
  </si>
  <si>
    <t xml:space="preserve">Boneless BL Frozen HJA</t>
  </si>
  <si>
    <t xml:space="preserve">JLB0141</t>
  </si>
  <si>
    <t xml:space="preserve">Boneless BL Frozen HJA - Ampela</t>
  </si>
  <si>
    <t xml:space="preserve">No movement Jul–Aug; balance per WP v6 (inventory_valuation_kgr.xls, last move 08 Apr)</t>
  </si>
  <si>
    <t xml:space="preserve">JLB0144</t>
  </si>
  <si>
    <t xml:space="preserve">Boneless BL Frozen HJA - Hati</t>
  </si>
  <si>
    <t xml:space="preserve">JLB0147</t>
  </si>
  <si>
    <t xml:space="preserve">Boneless BL Frozen HJA - Jantung</t>
  </si>
  <si>
    <t xml:space="preserve">Boneless BL Frozen Kepala</t>
  </si>
  <si>
    <t xml:space="preserve">Boneless BL Frozen KRK</t>
  </si>
  <si>
    <t xml:space="preserve">Boneless BL Frozen KRK - Tulang Muda</t>
  </si>
  <si>
    <t xml:space="preserve">Boneless BL Frozen KRK - Tungir KRK</t>
  </si>
  <si>
    <t xml:space="preserve">Boneless BL Frozen Kulit</t>
  </si>
  <si>
    <t xml:space="preserve">Boneless BL Frozen Sayap Grade A</t>
  </si>
  <si>
    <t xml:space="preserve">JLB0181</t>
  </si>
  <si>
    <t xml:space="preserve">Boneless BL Frozen Sayap Grade C</t>
  </si>
  <si>
    <t xml:space="preserve">Boneless BL Frozen Sayap Premium</t>
  </si>
  <si>
    <t xml:space="preserve">Boneless BL Frozen TLP</t>
  </si>
  <si>
    <t xml:space="preserve">Boneless BL Frozen Usus Kotor</t>
  </si>
  <si>
    <t xml:space="preserve">Boneless BLD Fresh Premium</t>
  </si>
  <si>
    <t xml:space="preserve">JLB0200</t>
  </si>
  <si>
    <t xml:space="preserve">Boneless BLD Frozen Grade B</t>
  </si>
  <si>
    <t xml:space="preserve">Grade B</t>
  </si>
  <si>
    <t xml:space="preserve">No movement Jul–Aug; balance per WP v6 (inventory_valuation_kgr.xls, last move 20 May)</t>
  </si>
  <si>
    <t xml:space="preserve">Boneless BLD Frozen Premium</t>
  </si>
  <si>
    <t xml:space="preserve">JLB0204</t>
  </si>
  <si>
    <t xml:space="preserve">Boneless BLDK Fresh Premium</t>
  </si>
  <si>
    <t xml:space="preserve">Boneless BLP Fresh Premium</t>
  </si>
  <si>
    <t xml:space="preserve">JLB0211</t>
  </si>
  <si>
    <t xml:space="preserve">Boneless BLP Frozen Grade A</t>
  </si>
  <si>
    <t xml:space="preserve">JLB0212</t>
  </si>
  <si>
    <t xml:space="preserve">Boneless BLP Frozen Grade D</t>
  </si>
  <si>
    <t xml:space="preserve">Grade D</t>
  </si>
  <si>
    <t xml:space="preserve">No movement Jul–Aug; balance per WP v6 (inventory_valuation_kgr.xls, last move 05 May)</t>
  </si>
  <si>
    <t xml:space="preserve">Boneless BLP Frozen Premium</t>
  </si>
  <si>
    <t xml:space="preserve">JLB0216</t>
  </si>
  <si>
    <t xml:space="preserve">Boneless BLPK Fresh Premium</t>
  </si>
  <si>
    <t xml:space="preserve">JLB0219</t>
  </si>
  <si>
    <t xml:space="preserve">Boneless BLPK Frozen Premium</t>
  </si>
  <si>
    <t xml:space="preserve">Karkas Uk 0.4 Karkas Uk 0.4 Frozen Grade A</t>
  </si>
  <si>
    <t xml:space="preserve">Karkas Uk 0.9 Karkas Uk 0.9 Frozen Grade B</t>
  </si>
  <si>
    <t xml:space="preserve">JLB1795</t>
  </si>
  <si>
    <t xml:space="preserve">usus bersih Usus bersih Fresh</t>
  </si>
  <si>
    <t xml:space="preserve">JLB1847-FRS</t>
  </si>
  <si>
    <t xml:space="preserve">Paha Utuh Fresh</t>
  </si>
  <si>
    <t xml:space="preserve">JLB1848</t>
  </si>
  <si>
    <t xml:space="preserve">Paha Bawah Fresh</t>
  </si>
  <si>
    <t xml:space="preserve">Paha Bawah Frozen</t>
  </si>
  <si>
    <t xml:space="preserve">JLB1855</t>
  </si>
  <si>
    <t xml:space="preserve">Boneless BL Frozen Ceker Grade B</t>
  </si>
  <si>
    <t xml:space="preserve">No movement Jul–Aug; balance per WP v6 (inventory_valuation_kgr.xls, last move 27 Apr)</t>
  </si>
  <si>
    <t xml:space="preserve">Ayam Karkas Mix</t>
  </si>
  <si>
    <t xml:space="preserve">JLB1862</t>
  </si>
  <si>
    <t xml:space="preserve">Paha Atas Frozen</t>
  </si>
  <si>
    <t xml:space="preserve">JLB1864</t>
  </si>
  <si>
    <t xml:space="preserve">Karkas Uk 0.4 Karkas Uk 0.4 Frozen Premium</t>
  </si>
  <si>
    <t xml:space="preserve">No movement Jul–Aug; balance per WP v6 (inventory_valuation_kgr.xls, last move 30 Jun)</t>
  </si>
  <si>
    <t xml:space="preserve">PLK0001</t>
  </si>
  <si>
    <t xml:space="preserve">Plastik Kemasan 40x60x004</t>
  </si>
  <si>
    <t xml:space="preserve">Other</t>
  </si>
  <si>
    <t xml:space="preserve">Packaging (non-sale)</t>
  </si>
  <si>
    <t xml:space="preserve">Plastik Ukuran 2Kg</t>
  </si>
  <si>
    <t xml:space="preserve">Plastik PE Bening (20 x 35)</t>
  </si>
  <si>
    <t xml:space="preserve">Plastik PE Bening (15 x 30 )</t>
  </si>
  <si>
    <t xml:space="preserve">TRD0001</t>
  </si>
  <si>
    <t xml:space="preserve">Kulit Leher</t>
  </si>
  <si>
    <t xml:space="preserve">No movement Jul–Aug; balance per WP v6 (inventory_valuation_kgr.xls, last move 01 May)</t>
  </si>
  <si>
    <t xml:space="preserve">Kulit Body Frozen</t>
  </si>
  <si>
    <t xml:space="preserve">TRD0004</t>
  </si>
  <si>
    <t xml:space="preserve">Hati Bersih</t>
  </si>
  <si>
    <t xml:space="preserve">No movement Jul–Aug; balance per WP v6 (inventory_valuation_kgr.xls, last move 26 Jun)</t>
  </si>
  <si>
    <t xml:space="preserve">TRD0005</t>
  </si>
  <si>
    <t xml:space="preserve">Ampela Bersih</t>
  </si>
  <si>
    <t xml:space="preserve">No movement Jul–Aug; balance per WP v6 (inventory_valuation_kgr.xls, last move 26 May)</t>
  </si>
  <si>
    <t xml:space="preserve">TRD0006</t>
  </si>
  <si>
    <t xml:space="preserve">Boneless Dada</t>
  </si>
  <si>
    <t xml:space="preserve">No movement Jul–Aug; balance per WP v6 (inventory_valuation_kgr.xls, last move 22 Apr)</t>
  </si>
  <si>
    <t xml:space="preserve">TRD0007</t>
  </si>
  <si>
    <t xml:space="preserve">Usus Bersih Fresh</t>
  </si>
  <si>
    <t xml:space="preserve">BLD Frozen</t>
  </si>
  <si>
    <t xml:space="preserve">BLP Frozen</t>
  </si>
  <si>
    <t xml:space="preserve">TRD0012</t>
  </si>
  <si>
    <t xml:space="preserve">BLPK Frozen</t>
  </si>
  <si>
    <t xml:space="preserve">TRD0018</t>
  </si>
  <si>
    <t xml:space="preserve">Jantung Bersih</t>
  </si>
  <si>
    <t xml:space="preserve">Karkas Uk 0.6</t>
  </si>
  <si>
    <t xml:space="preserve">Karkas Uk 0.7</t>
  </si>
  <si>
    <t xml:space="preserve">Karkas Uk 0.8</t>
  </si>
  <si>
    <t xml:space="preserve">Karkas Uk 0.9</t>
  </si>
  <si>
    <t xml:space="preserve">Karkas Uk 1.0</t>
  </si>
  <si>
    <t xml:space="preserve">Karkas Uk 1.1</t>
  </si>
  <si>
    <t xml:space="preserve">Karkas Uk 1.2</t>
  </si>
  <si>
    <t xml:space="preserve">Karkas Uk 1.3</t>
  </si>
  <si>
    <t xml:space="preserve">Karkas Uk 1.4</t>
  </si>
  <si>
    <t xml:space="preserve">Karkas Uk 1.5</t>
  </si>
  <si>
    <t xml:space="preserve">Karkas Uk 1.6</t>
  </si>
  <si>
    <t xml:space="preserve">Karkas Uk 1.7</t>
  </si>
  <si>
    <t xml:space="preserve">Karkas Uk 1.8</t>
  </si>
  <si>
    <t xml:space="preserve">Karkas Uk 1.9</t>
  </si>
  <si>
    <t xml:space="preserve">KRK</t>
  </si>
  <si>
    <t xml:space="preserve">Karkas Uk 0.5</t>
  </si>
  <si>
    <t xml:space="preserve">Karkas Uk 0.3</t>
  </si>
  <si>
    <t xml:space="preserve">Uk 0.3</t>
  </si>
  <si>
    <t xml:space="preserve">Karkas Uk 0.4</t>
  </si>
  <si>
    <t xml:space="preserve">By segment</t>
  </si>
  <si>
    <t xml:space="preserve">Open 1 Jul kg</t>
  </si>
  <si>
    <t xml:space="preserve">Open 1 Jul Rp</t>
  </si>
  <si>
    <t xml:space="preserve">Close kg Accurate</t>
  </si>
  <si>
    <t xml:space="preserve">Close Rp Accurate</t>
  </si>
  <si>
    <t xml:space="preserve">Close kg A</t>
  </si>
  <si>
    <t xml:space="preserve">Close Rp A</t>
  </si>
  <si>
    <t xml:space="preserve">Close kg B</t>
  </si>
  <si>
    <t xml:space="preserve">Close Rp B</t>
  </si>
  <si>
    <t xml:space="preserve">I_GL — general ledger by account and month, debit-positive</t>
  </si>
  <si>
    <t xml:space="preserve">Source: FS_KGR_Aug_2026.xlsx (accounting team) — sheets Mar 26 … Jul 26 and Agt 26 (incl. the undated adjustment rows added at the bottom of Agt 26). 31 Jul balances from sheet TB Accurate.</t>
  </si>
  <si>
    <t xml:space="preserve">Name</t>
  </si>
  <si>
    <t xml:space="preserve">Aug-26
(Agt 26 total)</t>
  </si>
  <si>
    <t xml:space="preserve">Aug-26 of which
undated adj rows</t>
  </si>
  <si>
    <t xml:space="preserve">Aug-26 dated
rows</t>
  </si>
  <si>
    <t xml:space="preserve">Balance 31 Jul
(TB Accurate)</t>
  </si>
  <si>
    <t xml:space="preserve">Balance 31 Aug
= 31 Jul + Aug</t>
  </si>
  <si>
    <t xml:space="preserve">Balance 30 Jun
(TB Accurate)</t>
  </si>
  <si>
    <t xml:space="preserve">Check 30 Jun + Jul
− 31 Jul (nil)</t>
  </si>
  <si>
    <t xml:space="preserve">Inventory - KGR</t>
  </si>
  <si>
    <t xml:space="preserve">Inventory</t>
  </si>
  <si>
    <t xml:space="preserve">Inventory In Transit - KGR</t>
  </si>
  <si>
    <t xml:space="preserve">Inventory Live Bird</t>
  </si>
  <si>
    <t xml:space="preserve">Inventory Other Products</t>
  </si>
  <si>
    <t xml:space="preserve">Inventory Packaging</t>
  </si>
  <si>
    <t xml:space="preserve">Inventory - Trading</t>
  </si>
  <si>
    <t xml:space="preserve">Sales - KGR</t>
  </si>
  <si>
    <t xml:space="preserve">Sales Discount - KGR</t>
  </si>
  <si>
    <t xml:space="preserve">Rev Trading</t>
  </si>
  <si>
    <t xml:space="preserve">Sales Live Bird</t>
  </si>
  <si>
    <t xml:space="preserve">Rev RPA</t>
  </si>
  <si>
    <t xml:space="preserve">Sales Other Products</t>
  </si>
  <si>
    <t xml:space="preserve">Sales Discount Live Bird</t>
  </si>
  <si>
    <t xml:space="preserve">Sales - Trading KGR</t>
  </si>
  <si>
    <t xml:space="preserve">Unbilled Revenue</t>
  </si>
  <si>
    <t xml:space="preserve">Rev Unbilled</t>
  </si>
  <si>
    <t xml:space="preserve">OTHER COGS - Freight In - KGR</t>
  </si>
  <si>
    <t xml:space="preserve">COS Exp</t>
  </si>
  <si>
    <t xml:space="preserve">COGS Live Bird</t>
  </si>
  <si>
    <t xml:space="preserve">COGS RPA</t>
  </si>
  <si>
    <t xml:space="preserve">COGS Other Products</t>
  </si>
  <si>
    <t xml:space="preserve">Other COGS Labor</t>
  </si>
  <si>
    <t xml:space="preserve">Other COGS Expedition</t>
  </si>
  <si>
    <t xml:space="preserve">Other COGS Packaging</t>
  </si>
  <si>
    <t xml:space="preserve">Below GP - packaging</t>
  </si>
  <si>
    <t xml:space="preserve">Other COGS Blasting</t>
  </si>
  <si>
    <t xml:space="preserve">COS Blast</t>
  </si>
  <si>
    <t xml:space="preserve">Other COGS Highway, Parking &amp; Oil For Delivery</t>
  </si>
  <si>
    <t xml:space="preserve">COGS - Trading</t>
  </si>
  <si>
    <t xml:space="preserve">COGS Trading</t>
  </si>
  <si>
    <t xml:space="preserve">Other COGS - Storage Expenses</t>
  </si>
  <si>
    <t xml:space="preserve">Below GP - storage</t>
  </si>
  <si>
    <t xml:space="preserve">Other COGS - Handling In</t>
  </si>
  <si>
    <t xml:space="preserve">Below GP - handling</t>
  </si>
  <si>
    <t xml:space="preserve">Other COGS - Handling Out</t>
  </si>
</sst>
</file>

<file path=xl/styles.xml><?xml version="1.0" encoding="utf-8"?>
<styleSheet xmlns="http://schemas.openxmlformats.org/spreadsheetml/2006/main">
  <numFmts count="10">
    <numFmt numFmtId="164" formatCode="General"/>
    <numFmt numFmtId="165" formatCode="#,##0;\(#,##0\);\-"/>
    <numFmt numFmtId="166" formatCode="#,##0.00;\(#,##0.00\);\-"/>
    <numFmt numFmtId="167" formatCode="0.0000000"/>
    <numFmt numFmtId="168" formatCode="#,##0.0;\(#,##0.0\);\-"/>
    <numFmt numFmtId="169" formatCode="0.0%;\(0.0%\);\-"/>
    <numFmt numFmtId="170" formatCode="0"/>
    <numFmt numFmtId="171" formatCode="0.00%;\(0.00%\);\-"/>
    <numFmt numFmtId="172" formatCode="dd\-mmm\-yy"/>
    <numFmt numFmtId="173" formatCode="0.00\x"/>
  </numFmts>
  <fonts count="14">
    <font>
      <sz val="11"/>
      <color theme="1"/>
      <name val="Calibri"/>
      <family val="2"/>
      <charset val="1"/>
    </font>
    <font>
      <sz val="10"/>
      <name val="Arial"/>
      <family val="0"/>
    </font>
    <font>
      <sz val="10"/>
      <name val="Arial"/>
      <family val="0"/>
    </font>
    <font>
      <sz val="10"/>
      <name val="Arial"/>
      <family val="0"/>
    </font>
    <font>
      <b val="true"/>
      <sz val="12"/>
      <color rgb="FF1F2D54"/>
      <name val="Arial"/>
      <family val="0"/>
      <charset val="1"/>
    </font>
    <font>
      <b val="true"/>
      <sz val="9"/>
      <name val="Arial"/>
      <family val="0"/>
      <charset val="1"/>
    </font>
    <font>
      <sz val="9"/>
      <name val="Arial"/>
      <family val="0"/>
      <charset val="1"/>
    </font>
    <font>
      <i val="true"/>
      <sz val="9"/>
      <color rgb="FF595959"/>
      <name val="Arial"/>
      <family val="0"/>
      <charset val="1"/>
    </font>
    <font>
      <b val="true"/>
      <sz val="9"/>
      <color rgb="FFFFFFFF"/>
      <name val="Arial"/>
      <family val="0"/>
      <charset val="1"/>
    </font>
    <font>
      <sz val="9"/>
      <color rgb="FF008000"/>
      <name val="Arial"/>
      <family val="0"/>
      <charset val="1"/>
    </font>
    <font>
      <sz val="9"/>
      <color rgb="FF0000FF"/>
      <name val="Arial"/>
      <family val="0"/>
      <charset val="1"/>
    </font>
    <font>
      <b val="true"/>
      <sz val="9"/>
      <color rgb="FFC00000"/>
      <name val="Arial"/>
      <family val="0"/>
      <charset val="1"/>
    </font>
    <font>
      <b val="true"/>
      <sz val="10"/>
      <color rgb="FF1F2D54"/>
      <name val="Arial"/>
      <family val="0"/>
      <charset val="1"/>
    </font>
    <font>
      <b val="true"/>
      <sz val="9"/>
      <color rgb="FF0000FF"/>
      <name val="Arial"/>
      <family val="0"/>
      <charset val="1"/>
    </font>
  </fonts>
  <fills count="8">
    <fill>
      <patternFill patternType="none"/>
    </fill>
    <fill>
      <patternFill patternType="gray125"/>
    </fill>
    <fill>
      <patternFill patternType="solid">
        <fgColor rgb="FF1F2D54"/>
        <bgColor rgb="FF003366"/>
      </patternFill>
    </fill>
    <fill>
      <patternFill patternType="solid">
        <fgColor rgb="FFD9D9D9"/>
        <bgColor rgb="FFF4E1DD"/>
      </patternFill>
    </fill>
    <fill>
      <patternFill patternType="solid">
        <fgColor rgb="FFDDEBF7"/>
        <bgColor rgb="FFF4E1DD"/>
      </patternFill>
    </fill>
    <fill>
      <patternFill patternType="solid">
        <fgColor rgb="FFBFBFBF"/>
        <bgColor rgb="FFD9D9D9"/>
      </patternFill>
    </fill>
    <fill>
      <patternFill patternType="solid">
        <fgColor rgb="FFFFFF00"/>
        <bgColor rgb="FFFFFF00"/>
      </patternFill>
    </fill>
    <fill>
      <patternFill patternType="solid">
        <fgColor rgb="FFF4E1DD"/>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9" fontId="5"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9" fontId="9" fillId="4"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71" fontId="5" fillId="4" borderId="1" xfId="0" applyFont="true" applyBorder="true" applyAlignment="false" applyProtection="false">
      <alignment horizontal="general" vertical="bottom" textRotation="0" wrapText="false" indent="0" shrinkToFit="false"/>
      <protection locked="true" hidden="false"/>
    </xf>
    <xf numFmtId="171" fontId="5" fillId="3"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8" fontId="5"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6" fillId="0" borderId="1" xfId="0" applyFont="true" applyBorder="true" applyAlignment="true" applyProtection="false">
      <alignment horizontal="general" vertical="center" textRotation="0" wrapText="false" indent="0" shrinkToFit="false"/>
      <protection locked="true" hidden="false"/>
    </xf>
    <xf numFmtId="169" fontId="6" fillId="0" borderId="1"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8" fontId="9" fillId="0" borderId="1" xfId="0" applyFont="true" applyBorder="true" applyAlignment="true" applyProtection="false">
      <alignment horizontal="general" vertical="center" textRotation="0" wrapText="false" indent="0" shrinkToFit="false"/>
      <protection locked="true" hidden="false"/>
    </xf>
    <xf numFmtId="168" fontId="6" fillId="0" borderId="1" xfId="0" applyFont="true" applyBorder="true" applyAlignment="true" applyProtection="false">
      <alignment horizontal="general" vertical="center" textRotation="0" wrapText="false" indent="0" shrinkToFit="false"/>
      <protection locked="true" hidden="false"/>
    </xf>
    <xf numFmtId="169" fontId="9" fillId="0" borderId="1" xfId="0" applyFont="true" applyBorder="true" applyAlignment="true" applyProtection="false">
      <alignment horizontal="general" vertical="center" textRotation="0" wrapText="fals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8" fontId="5" fillId="3" borderId="1" xfId="0" applyFont="true" applyBorder="true" applyAlignment="true" applyProtection="false">
      <alignment horizontal="general" vertical="center" textRotation="0" wrapText="false" indent="0" shrinkToFit="false"/>
      <protection locked="true" hidden="false"/>
    </xf>
    <xf numFmtId="169" fontId="5" fillId="3" borderId="1" xfId="0" applyFont="true" applyBorder="true" applyAlignment="true" applyProtection="false">
      <alignment horizontal="general" vertical="center"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2"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8" fontId="5" fillId="3"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8" fontId="10" fillId="0" borderId="1"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5" fontId="10" fillId="0" borderId="1" xfId="0" applyFont="true" applyBorder="true" applyAlignment="true" applyProtection="false">
      <alignment horizontal="general" vertical="center" textRotation="0" wrapText="false" indent="0" shrinkToFit="false"/>
      <protection locked="true" hidden="false"/>
    </xf>
    <xf numFmtId="165" fontId="10" fillId="0" borderId="1" xfId="0" applyFont="true" applyBorder="true" applyAlignment="true" applyProtection="false">
      <alignment horizontal="general" vertical="center" textRotation="0" wrapText="true" indent="0" shrinkToFit="false"/>
      <protection locked="true" hidden="false"/>
    </xf>
    <xf numFmtId="169" fontId="10" fillId="0" borderId="1" xfId="0" applyFont="true" applyBorder="true" applyAlignment="true" applyProtection="false">
      <alignment horizontal="general" vertical="center"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5" fontId="10" fillId="6"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5" fontId="5" fillId="7" borderId="1" xfId="0" applyFont="true" applyBorder="true" applyAlignment="false" applyProtection="false">
      <alignment horizontal="general" vertical="bottom" textRotation="0" wrapText="false" indent="0" shrinkToFit="false"/>
      <protection locked="true" hidden="false"/>
    </xf>
    <xf numFmtId="169" fontId="10" fillId="6"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5" fillId="5" borderId="1" xfId="0" applyFont="true" applyBorder="true" applyAlignment="false" applyProtection="false">
      <alignment horizontal="general" vertical="bottom" textRotation="0" wrapText="false" indent="0" shrinkToFit="false"/>
      <protection locked="true" hidden="false"/>
    </xf>
    <xf numFmtId="168" fontId="5" fillId="5" borderId="1"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false" applyProtection="false">
      <alignment horizontal="general" vertical="bottom" textRotation="0" wrapText="false" indent="0" shrinkToFit="false"/>
      <protection locked="true" hidden="false"/>
    </xf>
    <xf numFmtId="173" fontId="5" fillId="3" borderId="1" xfId="0" applyFont="true" applyBorder="true" applyAlignment="false" applyProtection="false">
      <alignment horizontal="general" vertical="bottom" textRotation="0" wrapText="false" indent="0" shrinkToFit="false"/>
      <protection locked="true" hidden="false"/>
    </xf>
    <xf numFmtId="164" fontId="13" fillId="6"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2D5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595959"/>
          <bgColor rgb="FF000000"/>
        </patternFill>
      </fill>
    </dxf>
    <dxf>
      <fill>
        <patternFill patternType="solid">
          <fgColor rgb="FFFFFF00"/>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E1DD"/>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2D5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0.xml.rels><?xml version="1.0" encoding="UTF-8"?>
<Relationships xmlns="http://schemas.openxmlformats.org/package/2006/relationships"><Relationship Id="rId1" Type="http://schemas.openxmlformats.org/officeDocument/2006/relationships/drawing" Target="../drawings/drawing1.xml"/>
</Relationships>
</file>

<file path=xl/worksheets/_rels/sheet21.xml.rels><?xml version="1.0" encoding="UTF-8"?>
<Relationships xmlns="http://schemas.openxmlformats.org/package/2006/relationships"><Relationship Id="rId1" Type="http://schemas.openxmlformats.org/officeDocument/2006/relationships/drawing" Target="../drawings/drawing2.xml"/>
</Relationships>
</file>

<file path=xl/worksheets/_rels/sheet22.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5" hidden="false" customHeight="false" outlineLevel="0" collapsed="false">
      <c r="A1" s="1" t="s">
        <v>0</v>
      </c>
    </row>
    <row r="3" customFormat="false" ht="45" hidden="false" customHeight="true" outlineLevel="0" collapsed="false">
      <c r="A3" s="2" t="s">
        <v>1</v>
      </c>
      <c r="B3" s="3" t="s">
        <v>2</v>
      </c>
    </row>
    <row r="4" customFormat="false" ht="30" hidden="false" customHeight="true" outlineLevel="0" collapsed="false">
      <c r="A4" s="2" t="s">
        <v>3</v>
      </c>
      <c r="B4" s="3" t="s">
        <v>4</v>
      </c>
    </row>
    <row r="5" customFormat="false" ht="45" hidden="false" customHeight="true" outlineLevel="0" collapsed="false">
      <c r="A5" s="2" t="s">
        <v>5</v>
      </c>
      <c r="B5" s="3" t="s">
        <v>6</v>
      </c>
    </row>
    <row r="6" customFormat="false" ht="30" hidden="false" customHeight="true" outlineLevel="0" collapsed="false">
      <c r="A6" s="2" t="s">
        <v>7</v>
      </c>
      <c r="B6" s="3" t="s">
        <v>8</v>
      </c>
    </row>
    <row r="7" customFormat="false" ht="60" hidden="false" customHeight="true" outlineLevel="0" collapsed="false">
      <c r="A7" s="2" t="s">
        <v>9</v>
      </c>
      <c r="B7" s="3" t="s">
        <v>10</v>
      </c>
    </row>
    <row r="8" customFormat="false" ht="45" hidden="false" customHeight="true" outlineLevel="0" collapsed="false">
      <c r="A8" s="2" t="s">
        <v>11</v>
      </c>
      <c r="B8" s="3" t="s">
        <v>12</v>
      </c>
    </row>
    <row r="9" customFormat="false" ht="60" hidden="false" customHeight="true" outlineLevel="0" collapsed="false">
      <c r="A9" s="2" t="s">
        <v>13</v>
      </c>
      <c r="B9" s="3" t="s">
        <v>14</v>
      </c>
    </row>
    <row r="10" customFormat="false" ht="45" hidden="false" customHeight="true" outlineLevel="0" collapsed="false">
      <c r="A10" s="2" t="s">
        <v>15</v>
      </c>
      <c r="B10" s="3" t="s">
        <v>16</v>
      </c>
    </row>
    <row r="11" customFormat="false" ht="45" hidden="false" customHeight="true" outlineLevel="0" collapsed="false">
      <c r="A11" s="2" t="s">
        <v>17</v>
      </c>
      <c r="B11" s="3" t="s">
        <v>18</v>
      </c>
    </row>
    <row r="12" customFormat="false" ht="60" hidden="false" customHeight="true" outlineLevel="0" collapsed="false">
      <c r="A12" s="2" t="s">
        <v>19</v>
      </c>
      <c r="B12" s="3" t="s">
        <v>20</v>
      </c>
    </row>
    <row r="13" customFormat="false" ht="75" hidden="false" customHeight="true" outlineLevel="0" collapsed="false">
      <c r="A13" s="2" t="s">
        <v>21</v>
      </c>
      <c r="B13" s="3" t="s">
        <v>22</v>
      </c>
    </row>
    <row r="14" customFormat="false" ht="45" hidden="false" customHeight="true" outlineLevel="0" collapsed="false">
      <c r="A14" s="2" t="s">
        <v>23</v>
      </c>
      <c r="B14" s="3" t="s">
        <v>24</v>
      </c>
    </row>
    <row r="15" customFormat="false" ht="45" hidden="false" customHeight="true" outlineLevel="0" collapsed="false">
      <c r="A15" s="2" t="s">
        <v>25</v>
      </c>
      <c r="B15" s="3" t="s">
        <v>26</v>
      </c>
    </row>
    <row r="16" customFormat="false" ht="45" hidden="false" customHeight="true" outlineLevel="0" collapsed="false">
      <c r="A16" s="2" t="s">
        <v>27</v>
      </c>
      <c r="B16" s="3" t="s">
        <v>28</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62"/>
    <col collapsed="false" customWidth="true" hidden="false" outlineLevel="0" max="5" min="4" style="0" width="17"/>
    <col collapsed="false" customWidth="true" hidden="false" outlineLevel="0" max="7" min="6" style="0" width="15"/>
    <col collapsed="false" customWidth="true" hidden="false" outlineLevel="0" max="8" min="8" style="0" width="8"/>
    <col collapsed="false" customWidth="true" hidden="false" outlineLevel="0" max="9" min="9" style="0" width="12"/>
    <col collapsed="false" customWidth="true" hidden="false" outlineLevel="0" max="10" min="10" style="0" width="56"/>
  </cols>
  <sheetData>
    <row r="1" customFormat="false" ht="15" hidden="false" customHeight="false" outlineLevel="0" collapsed="false">
      <c r="A1" s="1" t="s">
        <v>29</v>
      </c>
    </row>
    <row r="2" customFormat="false" ht="15" hidden="false" customHeight="false" outlineLevel="0" collapsed="false">
      <c r="A2" s="4" t="s">
        <v>30</v>
      </c>
    </row>
    <row r="4" customFormat="false" ht="30" hidden="false" customHeight="true" outlineLevel="0" collapsed="false">
      <c r="A4" s="5" t="s">
        <v>31</v>
      </c>
      <c r="B4" s="5" t="s">
        <v>32</v>
      </c>
      <c r="C4" s="5" t="s">
        <v>33</v>
      </c>
      <c r="D4" s="5" t="s">
        <v>34</v>
      </c>
      <c r="E4" s="5" t="s">
        <v>35</v>
      </c>
      <c r="F4" s="5" t="s">
        <v>36</v>
      </c>
      <c r="G4" s="5" t="s">
        <v>37</v>
      </c>
      <c r="H4" s="5" t="s">
        <v>38</v>
      </c>
      <c r="I4" s="5" t="s">
        <v>39</v>
      </c>
      <c r="J4" s="5" t="s">
        <v>40</v>
      </c>
    </row>
    <row r="5" customFormat="false" ht="15" hidden="false" customHeight="false" outlineLevel="0" collapsed="false">
      <c r="A5" s="6" t="n">
        <v>1</v>
      </c>
      <c r="B5" s="6" t="s">
        <v>11</v>
      </c>
      <c r="C5" s="6" t="s">
        <v>41</v>
      </c>
      <c r="D5" s="7" t="n">
        <f aca="false">'MA Engine'!AB1111</f>
        <v>-6.67013824221067</v>
      </c>
      <c r="E5" s="8" t="n">
        <v>0</v>
      </c>
      <c r="F5" s="9" t="n">
        <f aca="false">D5-E5</f>
        <v>-6.67013824221067</v>
      </c>
      <c r="G5" s="8" t="n">
        <v>0</v>
      </c>
      <c r="H5" s="10" t="n">
        <v>10</v>
      </c>
      <c r="I5" s="11" t="str">
        <f aca="false">IF(ABS(F5-G5)&lt;=H5,IF(G5=0,"OK","OK (known)"),"BREAK")</f>
        <v>OK</v>
      </c>
      <c r="J5" s="12" t="s">
        <v>42</v>
      </c>
    </row>
    <row r="6" customFormat="false" ht="15" hidden="false" customHeight="false" outlineLevel="0" collapsed="false">
      <c r="A6" s="6" t="n">
        <v>2</v>
      </c>
      <c r="B6" s="6" t="s">
        <v>11</v>
      </c>
      <c r="C6" s="6" t="s">
        <v>43</v>
      </c>
      <c r="D6" s="13" t="n">
        <f aca="false">SUMPRODUCT(ABS(I_Items!$M$5:$M$133-I_Items!$K$5:$K$133))</f>
        <v>1.77976799964341E-011</v>
      </c>
      <c r="E6" s="10" t="n">
        <v>0</v>
      </c>
      <c r="F6" s="14" t="n">
        <f aca="false">D6-E6</f>
        <v>1.77976799964341E-011</v>
      </c>
      <c r="G6" s="8" t="n">
        <v>0</v>
      </c>
      <c r="H6" s="10" t="n">
        <v>0.05</v>
      </c>
      <c r="I6" s="11" t="str">
        <f aca="false">IF(ABS(F6-G6)&lt;=H6,IF(G6=0,"OK","OK (known)"),"BREAK")</f>
        <v>OK</v>
      </c>
      <c r="J6" s="12"/>
    </row>
    <row r="7" customFormat="false" ht="15" hidden="false" customHeight="false" outlineLevel="0" collapsed="false">
      <c r="A7" s="6" t="n">
        <v>3</v>
      </c>
      <c r="B7" s="6" t="s">
        <v>11</v>
      </c>
      <c r="C7" s="6" t="s">
        <v>44</v>
      </c>
      <c r="D7" s="7" t="n">
        <f aca="false">SUMPRODUCT(ABS(I_Items!$N$5:$N$133-I_Items!$L$5:$L$133))</f>
        <v>12.5613715535234</v>
      </c>
      <c r="E7" s="8" t="n">
        <v>0</v>
      </c>
      <c r="F7" s="9" t="n">
        <f aca="false">D7-E7</f>
        <v>12.5613715535234</v>
      </c>
      <c r="G7" s="8" t="n">
        <v>0</v>
      </c>
      <c r="H7" s="10" t="n">
        <v>20</v>
      </c>
      <c r="I7" s="11" t="str">
        <f aca="false">IF(ABS(F7-G7)&lt;=H7,IF(G7=0,"OK","OK (known)"),"BREAK")</f>
        <v>OK</v>
      </c>
      <c r="J7" s="12"/>
    </row>
    <row r="8" customFormat="false" ht="15" hidden="false" customHeight="false" outlineLevel="0" collapsed="false">
      <c r="A8" s="6" t="n">
        <v>4</v>
      </c>
      <c r="B8" s="6" t="s">
        <v>11</v>
      </c>
      <c r="C8" s="6" t="s">
        <v>45</v>
      </c>
      <c r="D8" s="7" t="n">
        <f aca="false">SUMIFS('MA Engine'!$S$6:$S$1110,'MA Engine'!$C$6:$C$1110,"RPA",'MA Engine'!$H$6:$H$1110,8,'MA Engine'!$I$6:$I$1110,"DO",'MA Engine'!$P$6:$P$1110,"&lt;&gt;Y")</f>
        <v>2171371257.68267</v>
      </c>
      <c r="E8" s="7" t="n">
        <f aca="false">I_GL!I19+I_GL!I20-Unbilled!L17</f>
        <v>2171371256.9</v>
      </c>
      <c r="F8" s="9" t="n">
        <f aca="false">D8-E8</f>
        <v>0.78266716003418</v>
      </c>
      <c r="G8" s="8" t="n">
        <v>0</v>
      </c>
      <c r="H8" s="10" t="n">
        <v>10</v>
      </c>
      <c r="I8" s="11" t="str">
        <f aca="false">IF(ABS(F8-G8)&lt;=H8,IF(G8=0,"OK","OK (known)"),"BREAK")</f>
        <v>OK</v>
      </c>
      <c r="J8" s="12"/>
    </row>
    <row r="9" customFormat="false" ht="15" hidden="false" customHeight="false" outlineLevel="0" collapsed="false">
      <c r="A9" s="6" t="n">
        <v>5</v>
      </c>
      <c r="B9" s="6" t="s">
        <v>11</v>
      </c>
      <c r="C9" s="6" t="s">
        <v>46</v>
      </c>
      <c r="D9" s="7" t="n">
        <f aca="false">SUMIFS('MA Engine'!$S$6:$S$1110,'MA Engine'!$C$6:$C$1110,"Trading",'MA Engine'!$H$6:$H$1110,8,'MA Engine'!$I$6:$I$1110,"DO")</f>
        <v>4835720959.52113</v>
      </c>
      <c r="E9" s="7" t="n">
        <f aca="false">I_GL!I26</f>
        <v>4835720965.07</v>
      </c>
      <c r="F9" s="9" t="n">
        <f aca="false">D9-E9</f>
        <v>-5.54886722564697</v>
      </c>
      <c r="G9" s="8" t="n">
        <v>0</v>
      </c>
      <c r="H9" s="10" t="n">
        <v>10</v>
      </c>
      <c r="I9" s="11" t="str">
        <f aca="false">IF(ABS(F9-G9)&lt;=H9,IF(G9=0,"OK","OK (known)"),"BREAK")</f>
        <v>OK</v>
      </c>
      <c r="J9" s="12"/>
    </row>
    <row r="10" customFormat="false" ht="15" hidden="false" customHeight="false" outlineLevel="0" collapsed="false">
      <c r="A10" s="6" t="n">
        <v>6</v>
      </c>
      <c r="B10" s="6" t="s">
        <v>11</v>
      </c>
      <c r="C10" s="6" t="s">
        <v>47</v>
      </c>
      <c r="D10" s="7" t="n">
        <f aca="false">SUMIFS('MA Engine'!$S$6:$S$1110,'MA Engine'!$P$6:$P$1110,"Y")</f>
        <v>91185802.2270655</v>
      </c>
      <c r="E10" s="7" t="n">
        <f aca="false">I_GL!M6</f>
        <v>91185802.3799998</v>
      </c>
      <c r="F10" s="9" t="n">
        <f aca="false">D10-E10</f>
        <v>-0.152934238314629</v>
      </c>
      <c r="G10" s="8" t="n">
        <v>0</v>
      </c>
      <c r="H10" s="10" t="n">
        <v>1</v>
      </c>
      <c r="I10" s="11" t="str">
        <f aca="false">IF(ABS(F10-G10)&lt;=H10,IF(G10=0,"OK","OK (known)"),"BREAK")</f>
        <v>OK</v>
      </c>
      <c r="J10" s="12"/>
    </row>
    <row r="11" customFormat="false" ht="15" hidden="false" customHeight="false" outlineLevel="0" collapsed="false">
      <c r="A11" s="6" t="n">
        <v>7</v>
      </c>
      <c r="B11" s="6" t="s">
        <v>11</v>
      </c>
      <c r="C11" s="6" t="s">
        <v>48</v>
      </c>
      <c r="D11" s="7" t="n">
        <f aca="false">SUMIFS('MA Engine'!$L$6:$L$1110,'MA Engine'!$C$6:$C$1110,"RPA",'MA Engine'!$H$6:$H$1110,8,'MA Engine'!$I$6:$I$1110,"Receipt")</f>
        <v>3840104802.03</v>
      </c>
      <c r="E11" s="7" t="n">
        <f aca="false">'Batch Economics'!H18</f>
        <v>3840104802.04</v>
      </c>
      <c r="F11" s="9" t="n">
        <f aca="false">D11-E11</f>
        <v>-0.00999975204467773</v>
      </c>
      <c r="G11" s="8" t="n">
        <v>0</v>
      </c>
      <c r="H11" s="10" t="n">
        <v>1</v>
      </c>
      <c r="I11" s="11" t="str">
        <f aca="false">IF(ABS(F11-G11)&lt;=H11,IF(G11=0,"OK","OK (known)"),"BREAK")</f>
        <v>OK</v>
      </c>
      <c r="J11" s="12"/>
    </row>
    <row r="12" customFormat="false" ht="15" hidden="false" customHeight="false" outlineLevel="0" collapsed="false">
      <c r="A12" s="6" t="n">
        <v>8</v>
      </c>
      <c r="B12" s="6" t="s">
        <v>11</v>
      </c>
      <c r="C12" s="6" t="s">
        <v>49</v>
      </c>
      <c r="D12" s="13" t="n">
        <f aca="false">COUNTIF(Unbilled!$S$22:$S$38,"STOCK MINUS")</f>
        <v>4</v>
      </c>
      <c r="E12" s="10" t="n">
        <v>0</v>
      </c>
      <c r="F12" s="14" t="n">
        <f aca="false">D12-E12</f>
        <v>4</v>
      </c>
      <c r="G12" s="8" t="n">
        <v>4</v>
      </c>
      <c r="H12" s="15" t="n">
        <v>0</v>
      </c>
      <c r="I12" s="11" t="str">
        <f aca="false">IF(ABS(F12-G12)&lt;=H12,IF(G12=0,"OK","OK (known)"),"BREAK")</f>
        <v>OK (known)</v>
      </c>
      <c r="J12" s="12" t="s">
        <v>50</v>
      </c>
    </row>
    <row r="13" customFormat="false" ht="15" hidden="false" customHeight="false" outlineLevel="0" collapsed="false">
      <c r="A13" s="6" t="n">
        <v>9</v>
      </c>
      <c r="B13" s="6" t="s">
        <v>51</v>
      </c>
      <c r="C13" s="6" t="s">
        <v>52</v>
      </c>
      <c r="D13" s="13" t="n">
        <f aca="false">SUMIFS('Data SKU'!$F$5:$F$116,'Data SKU'!$D$5:$D$116,8,'Data SKU'!$N$5:$N$116,"Invoiced")</f>
        <v>236674.21</v>
      </c>
      <c r="E13" s="13" t="n">
        <f aca="false">SUMIFS('MA Engine'!$W$6:$W$1110,'MA Engine'!$H$6:$H$1110,8,'MA Engine'!$I$6:$I$1110,"DO",'MA Engine'!$P$6:$P$1110,"&lt;&gt;Y",'MA Engine'!$C$6:$C$1110,"&lt;&gt;Other")</f>
        <v>236674.21</v>
      </c>
      <c r="F13" s="14" t="n">
        <f aca="false">D13-E13</f>
        <v>0</v>
      </c>
      <c r="G13" s="8" t="n">
        <v>0</v>
      </c>
      <c r="H13" s="10" t="n">
        <v>0.5</v>
      </c>
      <c r="I13" s="11" t="str">
        <f aca="false">IF(ABS(F13-G13)&lt;=H13,IF(G13=0,"OK","OK (known)"),"BREAK")</f>
        <v>OK</v>
      </c>
      <c r="J13" s="12"/>
    </row>
    <row r="14" customFormat="false" ht="15" hidden="false" customHeight="false" outlineLevel="0" collapsed="false">
      <c r="A14" s="6" t="n">
        <v>10</v>
      </c>
      <c r="B14" s="6" t="s">
        <v>51</v>
      </c>
      <c r="C14" s="6" t="s">
        <v>53</v>
      </c>
      <c r="D14" s="7" t="n">
        <f aca="false">SUMIFS('Data SKU'!$G$5:$G$116,'Data SKU'!$A$5:$A$116,"RPA",'Data SKU'!$D$5:$D$116,8,'Data SKU'!$N$5:$N$116,"Invoiced")</f>
        <v>2104033270</v>
      </c>
      <c r="E14" s="7" t="n">
        <f aca="false">-SUMIFS(I_GL!$I$5:$I$29,I_GL!$C$5:$C$29,"Rev RPA")</f>
        <v>2104662870</v>
      </c>
      <c r="F14" s="9" t="n">
        <f aca="false">D14-E14</f>
        <v>-629600</v>
      </c>
      <c r="G14" s="8" t="n">
        <v>-629600</v>
      </c>
      <c r="H14" s="10" t="n">
        <v>1</v>
      </c>
      <c r="I14" s="11" t="str">
        <f aca="false">IF(ABS(F14-G14)&lt;=H14,IF(G14=0,"OK","OK (known)"),"BREAK")</f>
        <v>OK (known)</v>
      </c>
      <c r="J14" s="12" t="s">
        <v>54</v>
      </c>
    </row>
    <row r="15" customFormat="false" ht="15" hidden="false" customHeight="false" outlineLevel="0" collapsed="false">
      <c r="A15" s="6" t="n">
        <v>11</v>
      </c>
      <c r="B15" s="6" t="s">
        <v>51</v>
      </c>
      <c r="C15" s="6" t="s">
        <v>55</v>
      </c>
      <c r="D15" s="7" t="n">
        <f aca="false">SUMIFS('Data SKU'!$G$5:$G$116,'Data SKU'!$A$5:$A$116,"Trading",'Data SKU'!$D$5:$D$116,8,'Data SKU'!$N$5:$N$116,"Invoiced")</f>
        <v>5317322793.8</v>
      </c>
      <c r="E15" s="7" t="n">
        <f aca="false">-SUMIFS(I_GL!$I$5:$I$29,I_GL!$C$5:$C$29,"Rev Trading")</f>
        <v>5317322794</v>
      </c>
      <c r="F15" s="9" t="n">
        <f aca="false">D15-E15</f>
        <v>-0.199999809265137</v>
      </c>
      <c r="G15" s="8" t="n">
        <v>0</v>
      </c>
      <c r="H15" s="10" t="n">
        <v>1</v>
      </c>
      <c r="I15" s="11" t="str">
        <f aca="false">IF(ABS(F15-G15)&lt;=H15,IF(G15=0,"OK","OK (known)"),"BREAK")</f>
        <v>OK</v>
      </c>
      <c r="J15" s="12"/>
    </row>
    <row r="16" customFormat="false" ht="15" hidden="false" customHeight="false" outlineLevel="0" collapsed="false">
      <c r="A16" s="6" t="n">
        <v>12</v>
      </c>
      <c r="B16" s="6" t="s">
        <v>51</v>
      </c>
      <c r="C16" s="6" t="s">
        <v>56</v>
      </c>
      <c r="D16" s="7" t="n">
        <f aca="false">SUMIFS('Data SKU'!$G$5:$G$116,'Data SKU'!$A$5:$A$116,"RPA",'Data SKU'!$D$5:$D$116,3)</f>
        <v>190035900</v>
      </c>
      <c r="E16" s="7" t="n">
        <f aca="false">'Segment GP'!D6</f>
        <v>190035900</v>
      </c>
      <c r="F16" s="9" t="n">
        <f aca="false">D16-E16</f>
        <v>0</v>
      </c>
      <c r="G16" s="8" t="n">
        <v>0</v>
      </c>
      <c r="H16" s="10" t="n">
        <v>1</v>
      </c>
      <c r="I16" s="11" t="str">
        <f aca="false">IF(ABS(F16-G16)&lt;=H16,IF(G16=0,"OK","OK (known)"),"BREAK")</f>
        <v>OK</v>
      </c>
      <c r="J16" s="12"/>
    </row>
    <row r="17" customFormat="false" ht="15" hidden="false" customHeight="false" outlineLevel="0" collapsed="false">
      <c r="A17" s="6" t="n">
        <v>13</v>
      </c>
      <c r="B17" s="6" t="s">
        <v>51</v>
      </c>
      <c r="C17" s="6" t="s">
        <v>57</v>
      </c>
      <c r="D17" s="7" t="n">
        <f aca="false">SUMIFS('Data SKU'!$H$5:$H$116,'Data SKU'!$A$5:$A$116,"RPA",'Data SKU'!$D$5:$D$116,3)</f>
        <v>175151878.96</v>
      </c>
      <c r="E17" s="7" t="n">
        <f aca="false">-'Segment GP'!D13</f>
        <v>175151878.96</v>
      </c>
      <c r="F17" s="9" t="n">
        <f aca="false">D17-E17</f>
        <v>0</v>
      </c>
      <c r="G17" s="8" t="n">
        <v>0</v>
      </c>
      <c r="H17" s="10" t="n">
        <v>10</v>
      </c>
      <c r="I17" s="11" t="str">
        <f aca="false">IF(ABS(F17-G17)&lt;=H17,IF(G17=0,"OK","OK (known)"),"BREAK")</f>
        <v>OK</v>
      </c>
      <c r="J17" s="12"/>
    </row>
    <row r="18" customFormat="false" ht="15" hidden="false" customHeight="false" outlineLevel="0" collapsed="false">
      <c r="A18" s="6" t="n">
        <v>14</v>
      </c>
      <c r="B18" s="6" t="s">
        <v>51</v>
      </c>
      <c r="C18" s="6" t="s">
        <v>58</v>
      </c>
      <c r="D18" s="7" t="n">
        <f aca="false">SUMIFS('Data SKU'!$G$5:$G$116,'Data SKU'!$A$5:$A$116,"Trading",'Data SKU'!$D$5:$D$116,3)</f>
        <v>0</v>
      </c>
      <c r="E18" s="7" t="n">
        <f aca="false">'Segment GP'!D7</f>
        <v>-0</v>
      </c>
      <c r="F18" s="9" t="n">
        <f aca="false">D18-E18</f>
        <v>0</v>
      </c>
      <c r="G18" s="8" t="n">
        <v>0</v>
      </c>
      <c r="H18" s="10" t="n">
        <v>1</v>
      </c>
      <c r="I18" s="11" t="str">
        <f aca="false">IF(ABS(F18-G18)&lt;=H18,IF(G18=0,"OK","OK (known)"),"BREAK")</f>
        <v>OK</v>
      </c>
      <c r="J18" s="12"/>
    </row>
    <row r="19" customFormat="false" ht="15" hidden="false" customHeight="false" outlineLevel="0" collapsed="false">
      <c r="A19" s="6" t="n">
        <v>15</v>
      </c>
      <c r="B19" s="6" t="s">
        <v>51</v>
      </c>
      <c r="C19" s="6" t="s">
        <v>59</v>
      </c>
      <c r="D19" s="7" t="n">
        <f aca="false">SUMIFS('Data SKU'!$H$5:$H$116,'Data SKU'!$A$5:$A$116,"Trading",'Data SKU'!$D$5:$D$116,3)</f>
        <v>0</v>
      </c>
      <c r="E19" s="7" t="n">
        <f aca="false">-'Segment GP'!D14</f>
        <v>0</v>
      </c>
      <c r="F19" s="9" t="n">
        <f aca="false">D19-E19</f>
        <v>0</v>
      </c>
      <c r="G19" s="8" t="n">
        <v>0</v>
      </c>
      <c r="H19" s="10" t="n">
        <v>10</v>
      </c>
      <c r="I19" s="11" t="str">
        <f aca="false">IF(ABS(F19-G19)&lt;=H19,IF(G19=0,"OK","OK (known)"),"BREAK")</f>
        <v>OK</v>
      </c>
      <c r="J19" s="12"/>
    </row>
    <row r="20" customFormat="false" ht="15" hidden="false" customHeight="false" outlineLevel="0" collapsed="false">
      <c r="A20" s="6" t="n">
        <v>16</v>
      </c>
      <c r="B20" s="6" t="s">
        <v>51</v>
      </c>
      <c r="C20" s="6" t="s">
        <v>60</v>
      </c>
      <c r="D20" s="7" t="n">
        <f aca="false">SUMIFS('Data SKU'!$G$5:$G$116,'Data SKU'!$A$5:$A$116,"RPA",'Data SKU'!$D$5:$D$116,4)</f>
        <v>646041120</v>
      </c>
      <c r="E20" s="7" t="n">
        <f aca="false">'Segment GP'!E6</f>
        <v>646041120</v>
      </c>
      <c r="F20" s="9" t="n">
        <f aca="false">D20-E20</f>
        <v>0</v>
      </c>
      <c r="G20" s="8" t="n">
        <v>0</v>
      </c>
      <c r="H20" s="10" t="n">
        <v>1</v>
      </c>
      <c r="I20" s="11" t="str">
        <f aca="false">IF(ABS(F20-G20)&lt;=H20,IF(G20=0,"OK","OK (known)"),"BREAK")</f>
        <v>OK</v>
      </c>
      <c r="J20" s="12"/>
    </row>
    <row r="21" customFormat="false" ht="15" hidden="false" customHeight="false" outlineLevel="0" collapsed="false">
      <c r="A21" s="6" t="n">
        <v>17</v>
      </c>
      <c r="B21" s="6" t="s">
        <v>51</v>
      </c>
      <c r="C21" s="6" t="s">
        <v>61</v>
      </c>
      <c r="D21" s="7" t="n">
        <f aca="false">SUMIFS('Data SKU'!$H$5:$H$116,'Data SKU'!$A$5:$A$116,"RPA",'Data SKU'!$D$5:$D$116,4)</f>
        <v>560531893.36</v>
      </c>
      <c r="E21" s="7" t="n">
        <f aca="false">-'Segment GP'!E13</f>
        <v>560531893.36</v>
      </c>
      <c r="F21" s="9" t="n">
        <f aca="false">D21-E21</f>
        <v>0</v>
      </c>
      <c r="G21" s="8" t="n">
        <v>0</v>
      </c>
      <c r="H21" s="10" t="n">
        <v>10</v>
      </c>
      <c r="I21" s="11" t="str">
        <f aca="false">IF(ABS(F21-G21)&lt;=H21,IF(G21=0,"OK","OK (known)"),"BREAK")</f>
        <v>OK</v>
      </c>
      <c r="J21" s="12"/>
    </row>
    <row r="22" customFormat="false" ht="15" hidden="false" customHeight="false" outlineLevel="0" collapsed="false">
      <c r="A22" s="6" t="n">
        <v>18</v>
      </c>
      <c r="B22" s="6" t="s">
        <v>51</v>
      </c>
      <c r="C22" s="6" t="s">
        <v>62</v>
      </c>
      <c r="D22" s="7" t="n">
        <f aca="false">SUMIFS('Data SKU'!$G$5:$G$116,'Data SKU'!$A$5:$A$116,"Trading",'Data SKU'!$D$5:$D$116,4)</f>
        <v>149939860</v>
      </c>
      <c r="E22" s="7" t="n">
        <f aca="false">'Segment GP'!E7</f>
        <v>149939860</v>
      </c>
      <c r="F22" s="9" t="n">
        <f aca="false">D22-E22</f>
        <v>0</v>
      </c>
      <c r="G22" s="8" t="n">
        <v>0</v>
      </c>
      <c r="H22" s="10" t="n">
        <v>1</v>
      </c>
      <c r="I22" s="11" t="str">
        <f aca="false">IF(ABS(F22-G22)&lt;=H22,IF(G22=0,"OK","OK (known)"),"BREAK")</f>
        <v>OK</v>
      </c>
      <c r="J22" s="12"/>
    </row>
    <row r="23" customFormat="false" ht="15" hidden="false" customHeight="false" outlineLevel="0" collapsed="false">
      <c r="A23" s="6" t="n">
        <v>19</v>
      </c>
      <c r="B23" s="6" t="s">
        <v>51</v>
      </c>
      <c r="C23" s="6" t="s">
        <v>63</v>
      </c>
      <c r="D23" s="7" t="n">
        <f aca="false">SUMIFS('Data SKU'!$H$5:$H$116,'Data SKU'!$A$5:$A$116,"Trading",'Data SKU'!$D$5:$D$116,4)</f>
        <v>141127370</v>
      </c>
      <c r="E23" s="7" t="n">
        <f aca="false">-'Segment GP'!E14</f>
        <v>141127370</v>
      </c>
      <c r="F23" s="9" t="n">
        <f aca="false">D23-E23</f>
        <v>0</v>
      </c>
      <c r="G23" s="8" t="n">
        <v>0</v>
      </c>
      <c r="H23" s="10" t="n">
        <v>10</v>
      </c>
      <c r="I23" s="11" t="str">
        <f aca="false">IF(ABS(F23-G23)&lt;=H23,IF(G23=0,"OK","OK (known)"),"BREAK")</f>
        <v>OK</v>
      </c>
      <c r="J23" s="12"/>
    </row>
    <row r="24" customFormat="false" ht="15" hidden="false" customHeight="false" outlineLevel="0" collapsed="false">
      <c r="A24" s="6" t="n">
        <v>20</v>
      </c>
      <c r="B24" s="6" t="s">
        <v>51</v>
      </c>
      <c r="C24" s="6" t="s">
        <v>64</v>
      </c>
      <c r="D24" s="7" t="n">
        <f aca="false">SUMIFS('Data SKU'!$G$5:$G$116,'Data SKU'!$A$5:$A$116,"RPA",'Data SKU'!$D$5:$D$116,5)</f>
        <v>1402180774</v>
      </c>
      <c r="E24" s="7" t="n">
        <f aca="false">'Segment GP'!F6</f>
        <v>1402180774</v>
      </c>
      <c r="F24" s="9" t="n">
        <f aca="false">D24-E24</f>
        <v>0</v>
      </c>
      <c r="G24" s="8" t="n">
        <v>0</v>
      </c>
      <c r="H24" s="10" t="n">
        <v>1</v>
      </c>
      <c r="I24" s="11" t="str">
        <f aca="false">IF(ABS(F24-G24)&lt;=H24,IF(G24=0,"OK","OK (known)"),"BREAK")</f>
        <v>OK</v>
      </c>
      <c r="J24" s="12"/>
    </row>
    <row r="25" customFormat="false" ht="15" hidden="false" customHeight="false" outlineLevel="0" collapsed="false">
      <c r="A25" s="6" t="n">
        <v>21</v>
      </c>
      <c r="B25" s="6" t="s">
        <v>51</v>
      </c>
      <c r="C25" s="6" t="s">
        <v>65</v>
      </c>
      <c r="D25" s="7" t="n">
        <f aca="false">SUMIFS('Data SKU'!$H$5:$H$116,'Data SKU'!$A$5:$A$116,"RPA",'Data SKU'!$D$5:$D$116,5)</f>
        <v>1561924875.03</v>
      </c>
      <c r="E25" s="7" t="n">
        <f aca="false">-'Segment GP'!F13</f>
        <v>1561924874.37</v>
      </c>
      <c r="F25" s="9" t="n">
        <f aca="false">D25-E25</f>
        <v>0.659999847412109</v>
      </c>
      <c r="G25" s="8" t="n">
        <v>0</v>
      </c>
      <c r="H25" s="10" t="n">
        <v>10</v>
      </c>
      <c r="I25" s="11" t="str">
        <f aca="false">IF(ABS(F25-G25)&lt;=H25,IF(G25=0,"OK","OK (known)"),"BREAK")</f>
        <v>OK</v>
      </c>
      <c r="J25" s="12"/>
    </row>
    <row r="26" customFormat="false" ht="15" hidden="false" customHeight="false" outlineLevel="0" collapsed="false">
      <c r="A26" s="6" t="n">
        <v>22</v>
      </c>
      <c r="B26" s="6" t="s">
        <v>51</v>
      </c>
      <c r="C26" s="6" t="s">
        <v>66</v>
      </c>
      <c r="D26" s="7" t="n">
        <f aca="false">SUMIFS('Data SKU'!$G$5:$G$116,'Data SKU'!$A$5:$A$116,"Trading",'Data SKU'!$D$5:$D$116,5)</f>
        <v>44220195</v>
      </c>
      <c r="E26" s="7" t="n">
        <f aca="false">'Segment GP'!F7</f>
        <v>44220195</v>
      </c>
      <c r="F26" s="9" t="n">
        <f aca="false">D26-E26</f>
        <v>0</v>
      </c>
      <c r="G26" s="8" t="n">
        <v>0</v>
      </c>
      <c r="H26" s="10" t="n">
        <v>1</v>
      </c>
      <c r="I26" s="11" t="str">
        <f aca="false">IF(ABS(F26-G26)&lt;=H26,IF(G26=0,"OK","OK (known)"),"BREAK")</f>
        <v>OK</v>
      </c>
      <c r="J26" s="12"/>
    </row>
    <row r="27" customFormat="false" ht="15" hidden="false" customHeight="false" outlineLevel="0" collapsed="false">
      <c r="A27" s="6" t="n">
        <v>23</v>
      </c>
      <c r="B27" s="6" t="s">
        <v>51</v>
      </c>
      <c r="C27" s="6" t="s">
        <v>67</v>
      </c>
      <c r="D27" s="7" t="n">
        <f aca="false">SUMIFS('Data SKU'!$H$5:$H$116,'Data SKU'!$A$5:$A$116,"Trading",'Data SKU'!$D$5:$D$116,5)</f>
        <v>40506060</v>
      </c>
      <c r="E27" s="7" t="n">
        <f aca="false">-'Segment GP'!F14</f>
        <v>40506060</v>
      </c>
      <c r="F27" s="9" t="n">
        <f aca="false">D27-E27</f>
        <v>0</v>
      </c>
      <c r="G27" s="8" t="n">
        <v>0</v>
      </c>
      <c r="H27" s="10" t="n">
        <v>10</v>
      </c>
      <c r="I27" s="11" t="str">
        <f aca="false">IF(ABS(F27-G27)&lt;=H27,IF(G27=0,"OK","OK (known)"),"BREAK")</f>
        <v>OK</v>
      </c>
      <c r="J27" s="12"/>
    </row>
    <row r="28" customFormat="false" ht="15" hidden="false" customHeight="false" outlineLevel="0" collapsed="false">
      <c r="A28" s="6" t="n">
        <v>24</v>
      </c>
      <c r="B28" s="6" t="s">
        <v>51</v>
      </c>
      <c r="C28" s="6" t="s">
        <v>68</v>
      </c>
      <c r="D28" s="7" t="n">
        <f aca="false">SUMIFS('Data SKU'!$G$5:$G$116,'Data SKU'!$A$5:$A$116,"RPA",'Data SKU'!$D$5:$D$116,6)</f>
        <v>500309443.5</v>
      </c>
      <c r="E28" s="7" t="n">
        <f aca="false">'Segment GP'!G6</f>
        <v>500309443.5</v>
      </c>
      <c r="F28" s="9" t="n">
        <f aca="false">D28-E28</f>
        <v>0</v>
      </c>
      <c r="G28" s="8" t="n">
        <v>0</v>
      </c>
      <c r="H28" s="10" t="n">
        <v>1</v>
      </c>
      <c r="I28" s="11" t="str">
        <f aca="false">IF(ABS(F28-G28)&lt;=H28,IF(G28=0,"OK","OK (known)"),"BREAK")</f>
        <v>OK</v>
      </c>
      <c r="J28" s="12"/>
    </row>
    <row r="29" customFormat="false" ht="15" hidden="false" customHeight="false" outlineLevel="0" collapsed="false">
      <c r="A29" s="6" t="n">
        <v>25</v>
      </c>
      <c r="B29" s="6" t="s">
        <v>51</v>
      </c>
      <c r="C29" s="6" t="s">
        <v>69</v>
      </c>
      <c r="D29" s="7" t="n">
        <f aca="false">SUMIFS('Data SKU'!$H$5:$H$116,'Data SKU'!$A$5:$A$116,"RPA",'Data SKU'!$D$5:$D$116,6)</f>
        <v>484230773.8</v>
      </c>
      <c r="E29" s="7" t="n">
        <f aca="false">-'Segment GP'!G13</f>
        <v>484230773.79</v>
      </c>
      <c r="F29" s="9" t="n">
        <f aca="false">D29-E29</f>
        <v>0.00999999046325684</v>
      </c>
      <c r="G29" s="8" t="n">
        <v>0</v>
      </c>
      <c r="H29" s="10" t="n">
        <v>10</v>
      </c>
      <c r="I29" s="11" t="str">
        <f aca="false">IF(ABS(F29-G29)&lt;=H29,IF(G29=0,"OK","OK (known)"),"BREAK")</f>
        <v>OK</v>
      </c>
      <c r="J29" s="12"/>
    </row>
    <row r="30" customFormat="false" ht="15" hidden="false" customHeight="false" outlineLevel="0" collapsed="false">
      <c r="A30" s="6" t="n">
        <v>26</v>
      </c>
      <c r="B30" s="6" t="s">
        <v>51</v>
      </c>
      <c r="C30" s="6" t="s">
        <v>70</v>
      </c>
      <c r="D30" s="7" t="n">
        <f aca="false">SUMIFS('Data SKU'!$G$5:$G$116,'Data SKU'!$A$5:$A$116,"Trading",'Data SKU'!$D$5:$D$116,6)</f>
        <v>922384240</v>
      </c>
      <c r="E30" s="7" t="n">
        <f aca="false">'Segment GP'!G7</f>
        <v>922384240</v>
      </c>
      <c r="F30" s="9" t="n">
        <f aca="false">D30-E30</f>
        <v>0</v>
      </c>
      <c r="G30" s="8" t="n">
        <v>0</v>
      </c>
      <c r="H30" s="10" t="n">
        <v>1</v>
      </c>
      <c r="I30" s="11" t="str">
        <f aca="false">IF(ABS(F30-G30)&lt;=H30,IF(G30=0,"OK","OK (known)"),"BREAK")</f>
        <v>OK</v>
      </c>
      <c r="J30" s="12"/>
    </row>
    <row r="31" customFormat="false" ht="15" hidden="false" customHeight="false" outlineLevel="0" collapsed="false">
      <c r="A31" s="6" t="n">
        <v>27</v>
      </c>
      <c r="B31" s="6" t="s">
        <v>51</v>
      </c>
      <c r="C31" s="6" t="s">
        <v>71</v>
      </c>
      <c r="D31" s="7" t="n">
        <f aca="false">SUMIFS('Data SKU'!$H$5:$H$116,'Data SKU'!$A$5:$A$116,"Trading",'Data SKU'!$D$5:$D$116,6)</f>
        <v>807782399.91</v>
      </c>
      <c r="E31" s="7" t="n">
        <f aca="false">-'Segment GP'!G14</f>
        <v>807782400.1</v>
      </c>
      <c r="F31" s="9" t="n">
        <f aca="false">D31-E31</f>
        <v>-0.190000057220459</v>
      </c>
      <c r="G31" s="8" t="n">
        <v>0</v>
      </c>
      <c r="H31" s="10" t="n">
        <v>10</v>
      </c>
      <c r="I31" s="11" t="str">
        <f aca="false">IF(ABS(F31-G31)&lt;=H31,IF(G31=0,"OK","OK (known)"),"BREAK")</f>
        <v>OK</v>
      </c>
      <c r="J31" s="12"/>
    </row>
    <row r="32" customFormat="false" ht="15" hidden="false" customHeight="false" outlineLevel="0" collapsed="false">
      <c r="A32" s="6" t="n">
        <v>28</v>
      </c>
      <c r="B32" s="6" t="s">
        <v>51</v>
      </c>
      <c r="C32" s="6" t="s">
        <v>72</v>
      </c>
      <c r="D32" s="7" t="n">
        <f aca="false">SUMIFS('Data SKU'!$G$5:$G$116,'Data SKU'!$A$5:$A$116,"RPA",'Data SKU'!$D$5:$D$116,7)</f>
        <v>246532160</v>
      </c>
      <c r="E32" s="7" t="n">
        <f aca="false">'Segment GP'!H6</f>
        <v>246532160</v>
      </c>
      <c r="F32" s="9" t="n">
        <f aca="false">D32-E32</f>
        <v>0</v>
      </c>
      <c r="G32" s="8" t="n">
        <v>0</v>
      </c>
      <c r="H32" s="10" t="n">
        <v>1</v>
      </c>
      <c r="I32" s="11" t="str">
        <f aca="false">IF(ABS(F32-G32)&lt;=H32,IF(G32=0,"OK","OK (known)"),"BREAK")</f>
        <v>OK</v>
      </c>
      <c r="J32" s="12"/>
    </row>
    <row r="33" customFormat="false" ht="15" hidden="false" customHeight="false" outlineLevel="0" collapsed="false">
      <c r="A33" s="6" t="n">
        <v>29</v>
      </c>
      <c r="B33" s="6" t="s">
        <v>51</v>
      </c>
      <c r="C33" s="6" t="s">
        <v>73</v>
      </c>
      <c r="D33" s="7" t="n">
        <f aca="false">SUMIFS('Data SKU'!$H$5:$H$116,'Data SKU'!$A$5:$A$116,"RPA",'Data SKU'!$D$5:$D$116,7)</f>
        <v>248048792.61</v>
      </c>
      <c r="E33" s="7" t="n">
        <f aca="false">-'Segment GP'!H13</f>
        <v>248048792.53</v>
      </c>
      <c r="F33" s="9" t="n">
        <f aca="false">D33-E33</f>
        <v>0.0799999535083771</v>
      </c>
      <c r="G33" s="8" t="n">
        <v>0</v>
      </c>
      <c r="H33" s="10" t="n">
        <v>10</v>
      </c>
      <c r="I33" s="11" t="str">
        <f aca="false">IF(ABS(F33-G33)&lt;=H33,IF(G33=0,"OK","OK (known)"),"BREAK")</f>
        <v>OK</v>
      </c>
      <c r="J33" s="12"/>
    </row>
    <row r="34" customFormat="false" ht="15" hidden="false" customHeight="false" outlineLevel="0" collapsed="false">
      <c r="A34" s="6" t="n">
        <v>30</v>
      </c>
      <c r="B34" s="6" t="s">
        <v>51</v>
      </c>
      <c r="C34" s="6" t="s">
        <v>74</v>
      </c>
      <c r="D34" s="7" t="n">
        <f aca="false">SUMIFS('Data SKU'!$G$5:$G$116,'Data SKU'!$A$5:$A$116,"Trading",'Data SKU'!$D$5:$D$116,7)</f>
        <v>2876425788.2</v>
      </c>
      <c r="E34" s="7" t="n">
        <f aca="false">'Segment GP'!H7</f>
        <v>2876425788.2</v>
      </c>
      <c r="F34" s="9" t="n">
        <f aca="false">D34-E34</f>
        <v>0</v>
      </c>
      <c r="G34" s="8" t="n">
        <v>0</v>
      </c>
      <c r="H34" s="10" t="n">
        <v>1</v>
      </c>
      <c r="I34" s="11" t="str">
        <f aca="false">IF(ABS(F34-G34)&lt;=H34,IF(G34=0,"OK","OK (known)"),"BREAK")</f>
        <v>OK</v>
      </c>
      <c r="J34" s="12"/>
    </row>
    <row r="35" customFormat="false" ht="15" hidden="false" customHeight="false" outlineLevel="0" collapsed="false">
      <c r="A35" s="6" t="n">
        <v>31</v>
      </c>
      <c r="B35" s="6" t="s">
        <v>51</v>
      </c>
      <c r="C35" s="6" t="s">
        <v>75</v>
      </c>
      <c r="D35" s="7" t="n">
        <f aca="false">SUMIFS('Data SKU'!$H$5:$H$116,'Data SKU'!$A$5:$A$116,"Trading",'Data SKU'!$D$5:$D$116,7)</f>
        <v>2392253304.25</v>
      </c>
      <c r="E35" s="7" t="n">
        <f aca="false">-'Segment GP'!H14</f>
        <v>2392253304.86</v>
      </c>
      <c r="F35" s="9" t="n">
        <f aca="false">D35-E35</f>
        <v>-0.610000133514404</v>
      </c>
      <c r="G35" s="8" t="n">
        <v>0</v>
      </c>
      <c r="H35" s="10" t="n">
        <v>10</v>
      </c>
      <c r="I35" s="11" t="str">
        <f aca="false">IF(ABS(F35-G35)&lt;=H35,IF(G35=0,"OK","OK (known)"),"BREAK")</f>
        <v>OK</v>
      </c>
      <c r="J35" s="12"/>
    </row>
    <row r="36" customFormat="false" ht="15" hidden="false" customHeight="false" outlineLevel="0" collapsed="false">
      <c r="A36" s="6" t="n">
        <v>32</v>
      </c>
      <c r="B36" s="6" t="s">
        <v>51</v>
      </c>
      <c r="C36" s="6" t="s">
        <v>76</v>
      </c>
      <c r="D36" s="7" t="n">
        <f aca="false">SUMIFS('Data SKU'!$G$5:$G$116,'Data SKU'!$A$5:$A$116,"RPA",'Data SKU'!$D$5:$D$116,8)</f>
        <v>2691686990.31342</v>
      </c>
      <c r="E36" s="7" t="n">
        <f aca="false">'Segment GP'!M6</f>
        <v>2691686990.31342</v>
      </c>
      <c r="F36" s="9" t="n">
        <f aca="false">D36-E36</f>
        <v>0</v>
      </c>
      <c r="G36" s="8" t="n">
        <v>0</v>
      </c>
      <c r="H36" s="10" t="n">
        <v>1</v>
      </c>
      <c r="I36" s="11" t="str">
        <f aca="false">IF(ABS(F36-G36)&lt;=H36,IF(G36=0,"OK","OK (known)"),"BREAK")</f>
        <v>OK</v>
      </c>
      <c r="J36" s="12"/>
    </row>
    <row r="37" customFormat="false" ht="15" hidden="false" customHeight="false" outlineLevel="0" collapsed="false">
      <c r="A37" s="6" t="n">
        <v>33</v>
      </c>
      <c r="B37" s="6" t="s">
        <v>51</v>
      </c>
      <c r="C37" s="6" t="s">
        <v>77</v>
      </c>
      <c r="D37" s="7" t="n">
        <f aca="false">SUMIFS('Data SKU'!$H$5:$H$116,'Data SKU'!$A$5:$A$116,"RPA",'Data SKU'!$D$5:$D$116,8)</f>
        <v>2755149234.04076</v>
      </c>
      <c r="E37" s="7" t="n">
        <f aca="false">-'Segment GP'!M13</f>
        <v>2755149233.25809</v>
      </c>
      <c r="F37" s="9" t="n">
        <f aca="false">D37-E37</f>
        <v>0.782667636871338</v>
      </c>
      <c r="G37" s="8" t="n">
        <v>0</v>
      </c>
      <c r="H37" s="10" t="n">
        <v>10</v>
      </c>
      <c r="I37" s="11" t="str">
        <f aca="false">IF(ABS(F37-G37)&lt;=H37,IF(G37=0,"OK","OK (known)"),"BREAK")</f>
        <v>OK</v>
      </c>
      <c r="J37" s="12" t="s">
        <v>78</v>
      </c>
    </row>
    <row r="38" customFormat="false" ht="15" hidden="false" customHeight="false" outlineLevel="0" collapsed="false">
      <c r="A38" s="6" t="n">
        <v>34</v>
      </c>
      <c r="B38" s="6" t="s">
        <v>51</v>
      </c>
      <c r="C38" s="6" t="s">
        <v>79</v>
      </c>
      <c r="D38" s="7" t="n">
        <f aca="false">SUMIFS('Data SKU'!$G$5:$G$116,'Data SKU'!$A$5:$A$116,"Trading",'Data SKU'!$D$5:$D$116,8)</f>
        <v>5670073912.48658</v>
      </c>
      <c r="E38" s="7" t="n">
        <f aca="false">'Segment GP'!M7</f>
        <v>5670073912.68658</v>
      </c>
      <c r="F38" s="9" t="n">
        <f aca="false">D38-E38</f>
        <v>-0.199999809265137</v>
      </c>
      <c r="G38" s="8" t="n">
        <v>0</v>
      </c>
      <c r="H38" s="10" t="n">
        <v>1</v>
      </c>
      <c r="I38" s="11" t="str">
        <f aca="false">IF(ABS(F38-G38)&lt;=H38,IF(G38=0,"OK","OK (known)"),"BREAK")</f>
        <v>OK</v>
      </c>
      <c r="J38" s="12"/>
    </row>
    <row r="39" customFormat="false" ht="15" hidden="false" customHeight="false" outlineLevel="0" collapsed="false">
      <c r="A39" s="6" t="n">
        <v>35</v>
      </c>
      <c r="B39" s="6" t="s">
        <v>51</v>
      </c>
      <c r="C39" s="6" t="s">
        <v>80</v>
      </c>
      <c r="D39" s="7" t="n">
        <f aca="false">SUMIFS('Data SKU'!$H$5:$H$116,'Data SKU'!$A$5:$A$116,"Trading",'Data SKU'!$D$5:$D$116,8)</f>
        <v>5200127677.11146</v>
      </c>
      <c r="E39" s="7" t="n">
        <f aca="false">-'Segment GP'!M14</f>
        <v>5200127682.66033</v>
      </c>
      <c r="F39" s="9" t="n">
        <f aca="false">D39-E39</f>
        <v>-5.54886722564697</v>
      </c>
      <c r="G39" s="8" t="n">
        <v>0</v>
      </c>
      <c r="H39" s="10" t="n">
        <v>10</v>
      </c>
      <c r="I39" s="11" t="str">
        <f aca="false">IF(ABS(F39-G39)&lt;=H39,IF(G39=0,"OK","OK (known)"),"BREAK")</f>
        <v>OK</v>
      </c>
      <c r="J39" s="12" t="s">
        <v>78</v>
      </c>
    </row>
    <row r="40" customFormat="false" ht="15" hidden="false" customHeight="false" outlineLevel="0" collapsed="false">
      <c r="A40" s="6" t="n">
        <v>36</v>
      </c>
      <c r="B40" s="6" t="s">
        <v>81</v>
      </c>
      <c r="C40" s="6" t="s">
        <v>82</v>
      </c>
      <c r="D40" s="7" t="n">
        <f aca="false">'Recon to FS'!C43</f>
        <v>1</v>
      </c>
      <c r="E40" s="8" t="n">
        <v>0</v>
      </c>
      <c r="F40" s="9" t="n">
        <f aca="false">D40-E40</f>
        <v>1</v>
      </c>
      <c r="G40" s="8" t="n">
        <v>0</v>
      </c>
      <c r="H40" s="10" t="n">
        <v>1</v>
      </c>
      <c r="I40" s="11" t="str">
        <f aca="false">IF(ABS(F40-G40)&lt;=H40,IF(G40=0,"OK","OK (known)"),"BREAK")</f>
        <v>OK</v>
      </c>
      <c r="J40" s="12"/>
    </row>
    <row r="41" customFormat="false" ht="15" hidden="false" customHeight="false" outlineLevel="0" collapsed="false">
      <c r="A41" s="6" t="n">
        <v>37</v>
      </c>
      <c r="B41" s="6" t="s">
        <v>81</v>
      </c>
      <c r="C41" s="6" t="s">
        <v>83</v>
      </c>
      <c r="D41" s="7" t="n">
        <f aca="false">'Recon to FS'!D43+'Recon to FS'!E43</f>
        <v>0</v>
      </c>
      <c r="E41" s="8" t="n">
        <v>0</v>
      </c>
      <c r="F41" s="9" t="n">
        <f aca="false">D41-E41</f>
        <v>0</v>
      </c>
      <c r="G41" s="8" t="n">
        <v>0</v>
      </c>
      <c r="H41" s="10" t="n">
        <v>5</v>
      </c>
      <c r="I41" s="11" t="str">
        <f aca="false">IF(ABS(F41-G41)&lt;=H41,IF(G41=0,"OK","OK (known)"),"BREAK")</f>
        <v>OK</v>
      </c>
      <c r="J41" s="12" t="s">
        <v>84</v>
      </c>
    </row>
    <row r="42" customFormat="false" ht="15" hidden="false" customHeight="false" outlineLevel="0" collapsed="false">
      <c r="A42" s="6" t="n">
        <v>38</v>
      </c>
      <c r="B42" s="6" t="s">
        <v>81</v>
      </c>
      <c r="C42" s="6" t="s">
        <v>85</v>
      </c>
      <c r="D42" s="7" t="n">
        <f aca="false">'Recon to FS'!C47</f>
        <v>81362</v>
      </c>
      <c r="E42" s="8" t="n">
        <v>0</v>
      </c>
      <c r="F42" s="9" t="n">
        <f aca="false">D42-E42</f>
        <v>81362</v>
      </c>
      <c r="G42" s="8" t="n">
        <v>81362</v>
      </c>
      <c r="H42" s="10" t="n">
        <v>1</v>
      </c>
      <c r="I42" s="11" t="str">
        <f aca="false">IF(ABS(F42-G42)&lt;=H42,IF(G42=0,"OK","OK (known)"),"BREAK")</f>
        <v>OK (known)</v>
      </c>
      <c r="J42" s="12" t="s">
        <v>86</v>
      </c>
    </row>
    <row r="43" customFormat="false" ht="15" hidden="false" customHeight="false" outlineLevel="0" collapsed="false">
      <c r="A43" s="6" t="n">
        <v>39</v>
      </c>
      <c r="B43" s="6" t="s">
        <v>81</v>
      </c>
      <c r="C43" s="6" t="s">
        <v>87</v>
      </c>
      <c r="D43" s="7" t="n">
        <f aca="false">'Recon to FS'!D47+'Recon to FS'!E47</f>
        <v>-2</v>
      </c>
      <c r="E43" s="8" t="n">
        <v>0</v>
      </c>
      <c r="F43" s="9" t="n">
        <f aca="false">D43-E43</f>
        <v>-2</v>
      </c>
      <c r="G43" s="8" t="n">
        <v>0</v>
      </c>
      <c r="H43" s="10" t="n">
        <v>5</v>
      </c>
      <c r="I43" s="11" t="str">
        <f aca="false">IF(ABS(F43-G43)&lt;=H43,IF(G43=0,"OK","OK (known)"),"BREAK")</f>
        <v>OK</v>
      </c>
      <c r="J43" s="12" t="s">
        <v>84</v>
      </c>
    </row>
    <row r="44" customFormat="false" ht="15" hidden="false" customHeight="false" outlineLevel="0" collapsed="false">
      <c r="A44" s="6" t="n">
        <v>40</v>
      </c>
      <c r="B44" s="6" t="s">
        <v>51</v>
      </c>
      <c r="C44" s="6" t="s">
        <v>88</v>
      </c>
      <c r="D44" s="7" t="n">
        <f aca="false">'Data SKU'!H117-'Data SKU'!O117</f>
        <v>571620.338314056</v>
      </c>
      <c r="E44" s="7" t="n">
        <f aca="false">Unbilled!Q39-'Segment GP'!L34</f>
        <v>571620.33831408</v>
      </c>
      <c r="F44" s="9" t="n">
        <f aca="false">D44-E44</f>
        <v>-2.3283064365387E-008</v>
      </c>
      <c r="G44" s="8" t="n">
        <v>0</v>
      </c>
      <c r="H44" s="10" t="n">
        <v>1</v>
      </c>
      <c r="I44" s="11" t="str">
        <f aca="false">IF(ABS(F44-G44)&lt;=H44,IF(G44=0,"OK","OK (known)"),"BREAK")</f>
        <v>OK</v>
      </c>
      <c r="J44" s="12"/>
    </row>
    <row r="45" customFormat="false" ht="15" hidden="false" customHeight="false" outlineLevel="0" collapsed="false">
      <c r="A45" s="6" t="n">
        <v>41</v>
      </c>
      <c r="B45" s="6" t="s">
        <v>89</v>
      </c>
      <c r="C45" s="6" t="s">
        <v>90</v>
      </c>
      <c r="D45" s="7" t="n">
        <f aca="false">Unbilled!H17</f>
        <v>939775239</v>
      </c>
      <c r="E45" s="7" t="n">
        <f aca="false">-SUMIFS(I_GL!$I$5:$I$29,I_GL!$C$5:$C$29,"Rev Unbilled")</f>
        <v>939775239</v>
      </c>
      <c r="F45" s="9" t="n">
        <f aca="false">D45-E45</f>
        <v>0</v>
      </c>
      <c r="G45" s="8" t="n">
        <v>0</v>
      </c>
      <c r="H45" s="10" t="n">
        <v>1</v>
      </c>
      <c r="I45" s="11" t="str">
        <f aca="false">IF(ABS(F45-G45)&lt;=H45,IF(G45=0,"OK","OK (known)"),"BREAK")</f>
        <v>OK</v>
      </c>
      <c r="J45" s="12"/>
    </row>
    <row r="46" customFormat="false" ht="15" hidden="false" customHeight="false" outlineLevel="0" collapsed="false">
      <c r="A46" s="6" t="n">
        <v>42</v>
      </c>
      <c r="B46" s="6" t="s">
        <v>89</v>
      </c>
      <c r="C46" s="6" t="s">
        <v>91</v>
      </c>
      <c r="D46" s="7" t="n">
        <f aca="false">Unbilled!L17</f>
        <v>947613074</v>
      </c>
      <c r="E46" s="7" t="n">
        <f aca="false">525580657.48+I_GL!J19</f>
        <v>947613074</v>
      </c>
      <c r="F46" s="9" t="n">
        <f aca="false">D46-E46</f>
        <v>0</v>
      </c>
      <c r="G46" s="8" t="n">
        <v>0</v>
      </c>
      <c r="H46" s="10" t="n">
        <v>1</v>
      </c>
      <c r="I46" s="11" t="str">
        <f aca="false">IF(ABS(F46-G46)&lt;=H46,IF(G46=0,"OK","OK (known)"),"BREAK")</f>
        <v>OK</v>
      </c>
      <c r="J46" s="12"/>
    </row>
    <row r="47" customFormat="false" ht="15" hidden="false" customHeight="false" outlineLevel="0" collapsed="false">
      <c r="A47" s="6" t="n">
        <v>43</v>
      </c>
      <c r="B47" s="6" t="s">
        <v>89</v>
      </c>
      <c r="C47" s="6" t="s">
        <v>92</v>
      </c>
      <c r="D47" s="7" t="n">
        <f aca="false">Unbilled!J17</f>
        <v>2377756</v>
      </c>
      <c r="E47" s="8" t="n">
        <v>2377756</v>
      </c>
      <c r="F47" s="9" t="n">
        <f aca="false">D47-E47</f>
        <v>0</v>
      </c>
      <c r="G47" s="8" t="n">
        <v>0</v>
      </c>
      <c r="H47" s="10" t="n">
        <v>1</v>
      </c>
      <c r="I47" s="11" t="str">
        <f aca="false">IF(ABS(F47-G47)&lt;=H47,IF(G47=0,"OK","OK (known)"),"BREAK")</f>
        <v>OK</v>
      </c>
      <c r="J47" s="12" t="s">
        <v>93</v>
      </c>
    </row>
    <row r="48" customFormat="false" ht="15" hidden="false" customHeight="false" outlineLevel="0" collapsed="false">
      <c r="A48" s="6" t="n">
        <v>44</v>
      </c>
      <c r="B48" s="6" t="s">
        <v>89</v>
      </c>
      <c r="C48" s="6" t="s">
        <v>94</v>
      </c>
      <c r="D48" s="13" t="n">
        <f aca="false">SUM(Unbilled!O7:O10)</f>
        <v>15717.46</v>
      </c>
      <c r="E48" s="13" t="n">
        <f aca="false">Unbilled!G18</f>
        <v>15717.46</v>
      </c>
      <c r="F48" s="14" t="n">
        <f aca="false">D48-E48</f>
        <v>0</v>
      </c>
      <c r="G48" s="8" t="n">
        <v>0</v>
      </c>
      <c r="H48" s="10" t="n">
        <v>0.01</v>
      </c>
      <c r="I48" s="11" t="str">
        <f aca="false">IF(ABS(F48-G48)&lt;=H48,IF(G48=0,"OK","OK (known)"),"BREAK")</f>
        <v>OK</v>
      </c>
      <c r="J48" s="12"/>
    </row>
    <row r="49" customFormat="false" ht="15" hidden="false" customHeight="false" outlineLevel="0" collapsed="false">
      <c r="A49" s="6" t="n">
        <v>45</v>
      </c>
      <c r="B49" s="6" t="s">
        <v>89</v>
      </c>
      <c r="C49" s="6" t="s">
        <v>95</v>
      </c>
      <c r="D49" s="7" t="n">
        <f aca="false">Unbilled!U39</f>
        <v>531755505</v>
      </c>
      <c r="E49" s="7" t="n">
        <f aca="false">Unbilled!H18</f>
        <v>531755505</v>
      </c>
      <c r="F49" s="9" t="n">
        <f aca="false">D49-E49</f>
        <v>0</v>
      </c>
      <c r="G49" s="8" t="n">
        <v>0</v>
      </c>
      <c r="H49" s="10" t="n">
        <v>1</v>
      </c>
      <c r="I49" s="11" t="str">
        <f aca="false">IF(ABS(F49-G49)&lt;=H49,IF(G49=0,"OK","OK (known)"),"BREAK")</f>
        <v>OK</v>
      </c>
      <c r="J49" s="12"/>
    </row>
    <row r="50" customFormat="false" ht="15" hidden="false" customHeight="false" outlineLevel="0" collapsed="false">
      <c r="A50" s="6" t="n">
        <v>46</v>
      </c>
      <c r="B50" s="6" t="s">
        <v>96</v>
      </c>
      <c r="C50" s="6" t="s">
        <v>97</v>
      </c>
      <c r="D50" s="7" t="n">
        <f aca="false">'Segment GP'!J9</f>
        <v>0</v>
      </c>
      <c r="E50" s="8" t="n">
        <v>0</v>
      </c>
      <c r="F50" s="9" t="n">
        <f aca="false">D50-E50</f>
        <v>0</v>
      </c>
      <c r="G50" s="8" t="n">
        <v>0</v>
      </c>
      <c r="H50" s="10" t="n">
        <v>1</v>
      </c>
      <c r="I50" s="11" t="str">
        <f aca="false">IF(ABS(F50-G50)&lt;=H50,IF(G50=0,"OK","OK (known)"),"BREAK")</f>
        <v>OK</v>
      </c>
      <c r="J50" s="12"/>
    </row>
    <row r="51" customFormat="false" ht="15" hidden="false" customHeight="false" outlineLevel="0" collapsed="false">
      <c r="A51" s="6" t="n">
        <v>47</v>
      </c>
      <c r="B51" s="6" t="s">
        <v>96</v>
      </c>
      <c r="C51" s="6" t="s">
        <v>98</v>
      </c>
      <c r="D51" s="7" t="n">
        <f aca="false">'Segment GP'!J16</f>
        <v>0.389899969100952</v>
      </c>
      <c r="E51" s="8" t="n">
        <v>0</v>
      </c>
      <c r="F51" s="9" t="n">
        <f aca="false">D51-E51</f>
        <v>0.389899969100952</v>
      </c>
      <c r="G51" s="8" t="n">
        <v>0</v>
      </c>
      <c r="H51" s="10" t="n">
        <v>1</v>
      </c>
      <c r="I51" s="11" t="str">
        <f aca="false">IF(ABS(F51-G51)&lt;=H51,IF(G51=0,"OK","OK (known)"),"BREAK")</f>
        <v>OK</v>
      </c>
      <c r="J51" s="12"/>
    </row>
    <row r="52" customFormat="false" ht="15" hidden="false" customHeight="false" outlineLevel="0" collapsed="false">
      <c r="A52" s="6" t="n">
        <v>48</v>
      </c>
      <c r="B52" s="6" t="s">
        <v>96</v>
      </c>
      <c r="C52" s="6" t="s">
        <v>99</v>
      </c>
      <c r="D52" s="7" t="n">
        <f aca="false">SUMPRODUCT(ABS('Segment GP'!D55:I55))</f>
        <v>0</v>
      </c>
      <c r="E52" s="8" t="n">
        <v>0</v>
      </c>
      <c r="F52" s="9" t="n">
        <f aca="false">D52-E52</f>
        <v>0</v>
      </c>
      <c r="G52" s="8" t="n">
        <v>0</v>
      </c>
      <c r="H52" s="10" t="n">
        <v>6</v>
      </c>
      <c r="I52" s="11" t="str">
        <f aca="false">IF(ABS(F52-G52)&lt;=H52,IF(G52=0,"OK","OK (known)"),"BREAK")</f>
        <v>OK</v>
      </c>
      <c r="J52" s="12"/>
    </row>
    <row r="53" customFormat="false" ht="15" hidden="false" customHeight="false" outlineLevel="0" collapsed="false">
      <c r="A53" s="6" t="n">
        <v>49</v>
      </c>
      <c r="B53" s="6" t="s">
        <v>96</v>
      </c>
      <c r="C53" s="6" t="s">
        <v>100</v>
      </c>
      <c r="D53" s="7" t="n">
        <f aca="false">'Segment GP'!M34</f>
        <v>306138137.081587</v>
      </c>
      <c r="E53" s="7" t="n">
        <f aca="false">'Segment GP'!I34+'Segment GP'!K34+'Segment GP'!L34</f>
        <v>306138136.691687</v>
      </c>
      <c r="F53" s="9" t="n">
        <f aca="false">D53-E53</f>
        <v>0.389900267124176</v>
      </c>
      <c r="G53" s="8" t="n">
        <v>0</v>
      </c>
      <c r="H53" s="10" t="n">
        <v>1</v>
      </c>
      <c r="I53" s="11" t="str">
        <f aca="false">IF(ABS(F53-G53)&lt;=H53,IF(G53=0,"OK","OK (known)"),"BREAK")</f>
        <v>OK</v>
      </c>
      <c r="J53" s="12"/>
    </row>
    <row r="54" customFormat="false" ht="15" hidden="false" customHeight="false" outlineLevel="0" collapsed="false">
      <c r="A54" s="6" t="n">
        <v>50</v>
      </c>
      <c r="B54" s="6" t="s">
        <v>96</v>
      </c>
      <c r="C54" s="6" t="s">
        <v>101</v>
      </c>
      <c r="D54" s="7" t="n">
        <f aca="false">SUMPRODUCT(ABS('Segment GP'!D57:N57))</f>
        <v>0</v>
      </c>
      <c r="E54" s="8" t="n">
        <v>0</v>
      </c>
      <c r="F54" s="9" t="n">
        <f aca="false">D54-E54</f>
        <v>0</v>
      </c>
      <c r="G54" s="8" t="n">
        <v>0</v>
      </c>
      <c r="H54" s="10" t="n">
        <v>1</v>
      </c>
      <c r="I54" s="11" t="str">
        <f aca="false">IF(ABS(F54-G54)&lt;=H54,IF(G54=0,"OK","OK (known)"),"BREAK")</f>
        <v>OK</v>
      </c>
      <c r="J54" s="12"/>
    </row>
    <row r="55" customFormat="false" ht="15" hidden="false" customHeight="false" outlineLevel="0" collapsed="false">
      <c r="A55" s="6" t="n">
        <v>51</v>
      </c>
      <c r="B55" s="6" t="s">
        <v>96</v>
      </c>
      <c r="C55" s="6" t="s">
        <v>102</v>
      </c>
      <c r="D55" s="7" t="n">
        <f aca="false">'Segment GP'!M9</f>
        <v>8361760903</v>
      </c>
      <c r="E55" s="7" t="n">
        <f aca="false">'Segment GP'!I9</f>
        <v>8361760903</v>
      </c>
      <c r="F55" s="9" t="n">
        <f aca="false">D55-E55</f>
        <v>0</v>
      </c>
      <c r="G55" s="8" t="n">
        <v>0</v>
      </c>
      <c r="H55" s="10" t="n">
        <v>1</v>
      </c>
      <c r="I55" s="11" t="str">
        <f aca="false">IF(ABS(F55-G55)&lt;=H55,IF(G55=0,"OK","OK (known)"),"BREAK")</f>
        <v>OK</v>
      </c>
      <c r="J55" s="12"/>
    </row>
    <row r="56" customFormat="false" ht="15" hidden="false" customHeight="false" outlineLevel="0" collapsed="false">
      <c r="A56" s="6" t="n">
        <v>52</v>
      </c>
      <c r="B56" s="6" t="s">
        <v>103</v>
      </c>
      <c r="C56" s="6" t="s">
        <v>104</v>
      </c>
      <c r="D56" s="7" t="n">
        <f aca="false">SUMPRODUCT(ABS('COS Others'!B20:G20))</f>
        <v>0</v>
      </c>
      <c r="E56" s="8" t="n">
        <v>0</v>
      </c>
      <c r="F56" s="9" t="n">
        <f aca="false">D56-E56</f>
        <v>0</v>
      </c>
      <c r="G56" s="8" t="n">
        <v>0</v>
      </c>
      <c r="H56" s="10" t="n">
        <v>1</v>
      </c>
      <c r="I56" s="11" t="str">
        <f aca="false">IF(ABS(F56-G56)&lt;=H56,IF(G56=0,"OK","OK (known)"),"BREAK")</f>
        <v>OK</v>
      </c>
      <c r="J56" s="12"/>
    </row>
    <row r="57" customFormat="false" ht="15" hidden="false" customHeight="false" outlineLevel="0" collapsed="false">
      <c r="A57" s="6" t="n">
        <v>53</v>
      </c>
      <c r="B57" s="6" t="s">
        <v>103</v>
      </c>
      <c r="C57" s="6" t="s">
        <v>105</v>
      </c>
      <c r="D57" s="7" t="n">
        <f aca="false">SUMPRODUCT(ABS('COS Others'!B18:G18))</f>
        <v>0</v>
      </c>
      <c r="E57" s="8" t="n">
        <v>0</v>
      </c>
      <c r="F57" s="9" t="n">
        <f aca="false">D57-E57</f>
        <v>0</v>
      </c>
      <c r="G57" s="8" t="n">
        <v>0</v>
      </c>
      <c r="H57" s="10" t="n">
        <v>1</v>
      </c>
      <c r="I57" s="11" t="str">
        <f aca="false">IF(ABS(F57-G57)&lt;=H57,IF(G57=0,"OK","OK (known)"),"BREAK")</f>
        <v>OK</v>
      </c>
      <c r="J57" s="12"/>
    </row>
    <row r="58" customFormat="false" ht="15" hidden="false" customHeight="false" outlineLevel="0" collapsed="false">
      <c r="A58" s="6" t="n">
        <v>54</v>
      </c>
      <c r="B58" s="6" t="s">
        <v>106</v>
      </c>
      <c r="C58" s="6" t="s">
        <v>107</v>
      </c>
      <c r="D58" s="13" t="n">
        <f aca="false">Vintage!H10</f>
        <v>86484.24</v>
      </c>
      <c r="E58" s="13" t="n">
        <f aca="false">SUMIFS(Vintage!$P$36:$P$127,Vintage!$C$36:$C$127,"RPA")</f>
        <v>86484.24</v>
      </c>
      <c r="F58" s="14" t="n">
        <f aca="false">D58-E58</f>
        <v>0</v>
      </c>
      <c r="G58" s="8" t="n">
        <v>0</v>
      </c>
      <c r="H58" s="10" t="n">
        <v>0.5</v>
      </c>
      <c r="I58" s="11" t="str">
        <f aca="false">IF(ABS(F58-G58)&lt;=H58,IF(G58=0,"OK","OK (known)"),"BREAK")</f>
        <v>OK</v>
      </c>
      <c r="J58" s="12"/>
    </row>
    <row r="59" customFormat="false" ht="15" hidden="false" customHeight="false" outlineLevel="0" collapsed="false">
      <c r="A59" s="6" t="n">
        <v>55</v>
      </c>
      <c r="B59" s="6" t="s">
        <v>106</v>
      </c>
      <c r="C59" s="6" t="s">
        <v>108</v>
      </c>
      <c r="D59" s="7" t="n">
        <f aca="false">Vintage!I10</f>
        <v>2373564156.31342</v>
      </c>
      <c r="E59" s="7" t="n">
        <f aca="false">SUMIFS('Data SKU'!$G$5:$G$116,'Data SKU'!$A$5:$A$116,"RPA",'Data SKU'!$D$5:$D$116,8,'Data SKU'!$B$5:$B$116,"&lt;&gt;Belum ada detail item",'Data SKU'!$N$5:$N$116,"&lt;&gt;GL only (no DO)")</f>
        <v>2373564156.31342</v>
      </c>
      <c r="F59" s="9" t="n">
        <f aca="false">D59-E59</f>
        <v>0</v>
      </c>
      <c r="G59" s="8" t="n">
        <v>0</v>
      </c>
      <c r="H59" s="10" t="n">
        <v>1</v>
      </c>
      <c r="I59" s="11" t="str">
        <f aca="false">IF(ABS(F59-G59)&lt;=H59,IF(G59=0,"OK","OK (known)"),"BREAK")</f>
        <v>OK</v>
      </c>
      <c r="J59" s="12"/>
    </row>
    <row r="60" customFormat="false" ht="15" hidden="false" customHeight="false" outlineLevel="0" collapsed="false">
      <c r="A60" s="6" t="n">
        <v>56</v>
      </c>
      <c r="B60" s="6" t="s">
        <v>106</v>
      </c>
      <c r="C60" s="6" t="s">
        <v>109</v>
      </c>
      <c r="D60" s="7" t="n">
        <f aca="false">Vintage!J10</f>
        <v>2442287973.58075</v>
      </c>
      <c r="E60" s="7" t="n">
        <f aca="false">SUMIFS('Data SKU'!$H$5:$H$116,'Data SKU'!$A$5:$A$116,"RPA",'Data SKU'!$D$5:$D$116,8,'Data SKU'!$B$5:$B$116,"&lt;&gt;Belum ada detail item",'Data SKU'!$N$5:$N$116,"&lt;&gt;GL only (no DO)")</f>
        <v>2442287973.58076</v>
      </c>
      <c r="F60" s="9" t="n">
        <f aca="false">D60-E60</f>
        <v>0</v>
      </c>
      <c r="G60" s="8" t="n">
        <v>0</v>
      </c>
      <c r="H60" s="10" t="n">
        <v>1</v>
      </c>
      <c r="I60" s="11" t="str">
        <f aca="false">IF(ABS(F60-G60)&lt;=H60,IF(G60=0,"OK","OK (known)"),"BREAK")</f>
        <v>OK</v>
      </c>
      <c r="J60" s="12"/>
    </row>
    <row r="61" customFormat="false" ht="15" hidden="false" customHeight="false" outlineLevel="0" collapsed="false">
      <c r="A61" s="6" t="n">
        <v>57</v>
      </c>
      <c r="B61" s="6" t="s">
        <v>106</v>
      </c>
      <c r="C61" s="6" t="s">
        <v>110</v>
      </c>
      <c r="D61" s="13" t="n">
        <f aca="false">Vintage!H16</f>
        <v>165907.43</v>
      </c>
      <c r="E61" s="13" t="n">
        <f aca="false">SUMIFS(Vintage!$P$36:$P$127,Vintage!$C$36:$C$127,"Trading")</f>
        <v>165907.43</v>
      </c>
      <c r="F61" s="14" t="n">
        <f aca="false">D61-E61</f>
        <v>0</v>
      </c>
      <c r="G61" s="8" t="n">
        <v>0</v>
      </c>
      <c r="H61" s="10" t="n">
        <v>0.5</v>
      </c>
      <c r="I61" s="11" t="str">
        <f aca="false">IF(ABS(F61-G61)&lt;=H61,IF(G61=0,"OK","OK (known)"),"BREAK")</f>
        <v>OK</v>
      </c>
      <c r="J61" s="12"/>
    </row>
    <row r="62" customFormat="false" ht="15" hidden="false" customHeight="false" outlineLevel="0" collapsed="false">
      <c r="A62" s="6" t="n">
        <v>58</v>
      </c>
      <c r="B62" s="6" t="s">
        <v>106</v>
      </c>
      <c r="C62" s="6" t="s">
        <v>111</v>
      </c>
      <c r="D62" s="7" t="n">
        <f aca="false">Vintage!I16</f>
        <v>5579547412.68658</v>
      </c>
      <c r="E62" s="7" t="n">
        <f aca="false">SUMIFS('Data SKU'!$G$5:$G$116,'Data SKU'!$A$5:$A$116,"Trading",'Data SKU'!$D$5:$D$116,8,'Data SKU'!$B$5:$B$116,"&lt;&gt;Belum ada detail item",'Data SKU'!$N$5:$N$116,"&lt;&gt;GL only (no DO)")</f>
        <v>5579547412.48658</v>
      </c>
      <c r="F62" s="9" t="n">
        <f aca="false">D62-E62</f>
        <v>0.199999809265137</v>
      </c>
      <c r="G62" s="8" t="n">
        <v>0</v>
      </c>
      <c r="H62" s="10" t="n">
        <v>1</v>
      </c>
      <c r="I62" s="11" t="str">
        <f aca="false">IF(ABS(F62-G62)&lt;=H62,IF(G62=0,"OK","OK (known)"),"BREAK")</f>
        <v>OK</v>
      </c>
      <c r="J62" s="12"/>
    </row>
    <row r="63" customFormat="false" ht="15" hidden="false" customHeight="false" outlineLevel="0" collapsed="false">
      <c r="A63" s="6" t="n">
        <v>59</v>
      </c>
      <c r="B63" s="6" t="s">
        <v>106</v>
      </c>
      <c r="C63" s="6" t="s">
        <v>112</v>
      </c>
      <c r="D63" s="7" t="n">
        <f aca="false">Vintage!J16</f>
        <v>5090956521.05146</v>
      </c>
      <c r="E63" s="7" t="n">
        <f aca="false">SUMIFS('Data SKU'!$H$5:$H$116,'Data SKU'!$A$5:$A$116,"Trading",'Data SKU'!$D$5:$D$116,8,'Data SKU'!$B$5:$B$116,"&lt;&gt;Belum ada detail item",'Data SKU'!$N$5:$N$116,"&lt;&gt;GL only (no DO)")</f>
        <v>5090956521.05146</v>
      </c>
      <c r="F63" s="9" t="n">
        <f aca="false">D63-E63</f>
        <v>0</v>
      </c>
      <c r="G63" s="8" t="n">
        <v>0</v>
      </c>
      <c r="H63" s="10" t="n">
        <v>1</v>
      </c>
      <c r="I63" s="11" t="str">
        <f aca="false">IF(ABS(F63-G63)&lt;=H63,IF(G63=0,"OK","OK (known)"),"BREAK")</f>
        <v>OK</v>
      </c>
      <c r="J63" s="12"/>
    </row>
    <row r="64" customFormat="false" ht="15" hidden="false" customHeight="false" outlineLevel="0" collapsed="false">
      <c r="A64" s="6" t="n">
        <v>60</v>
      </c>
      <c r="B64" s="6" t="s">
        <v>113</v>
      </c>
      <c r="C64" s="6" t="s">
        <v>114</v>
      </c>
      <c r="D64" s="13" t="n">
        <f aca="false">'GP Waterfall'!C23</f>
        <v>-0</v>
      </c>
      <c r="E64" s="10" t="n">
        <v>0</v>
      </c>
      <c r="F64" s="14" t="n">
        <f aca="false">D64-E64</f>
        <v>-0</v>
      </c>
      <c r="G64" s="8" t="n">
        <v>0</v>
      </c>
      <c r="H64" s="15" t="n">
        <v>1E-007</v>
      </c>
      <c r="I64" s="11" t="str">
        <f aca="false">IF(ABS(F64-G64)&lt;=H64,IF(G64=0,"OK","OK (known)"),"BREAK")</f>
        <v>OK</v>
      </c>
      <c r="J64" s="12"/>
    </row>
    <row r="65" customFormat="false" ht="15" hidden="false" customHeight="false" outlineLevel="0" collapsed="false">
      <c r="A65" s="6" t="n">
        <v>61</v>
      </c>
      <c r="B65" s="6" t="s">
        <v>113</v>
      </c>
      <c r="C65" s="6" t="s">
        <v>115</v>
      </c>
      <c r="D65" s="13" t="n">
        <f aca="false">'GP Waterfall'!D23</f>
        <v>-0</v>
      </c>
      <c r="E65" s="10" t="n">
        <v>0</v>
      </c>
      <c r="F65" s="14" t="n">
        <f aca="false">D65-E65</f>
        <v>-0</v>
      </c>
      <c r="G65" s="8" t="n">
        <v>0</v>
      </c>
      <c r="H65" s="15" t="n">
        <v>1E-007</v>
      </c>
      <c r="I65" s="11" t="str">
        <f aca="false">IF(ABS(F65-G65)&lt;=H65,IF(G65=0,"OK","OK (known)"),"BREAK")</f>
        <v>OK</v>
      </c>
      <c r="J65" s="12"/>
    </row>
    <row r="66" customFormat="false" ht="15" hidden="false" customHeight="false" outlineLevel="0" collapsed="false">
      <c r="A66" s="6" t="n">
        <v>62</v>
      </c>
      <c r="B66" s="6" t="s">
        <v>113</v>
      </c>
      <c r="C66" s="6" t="s">
        <v>116</v>
      </c>
      <c r="D66" s="13" t="n">
        <f aca="false">'GP Waterfall'!C55</f>
        <v>0</v>
      </c>
      <c r="E66" s="10" t="n">
        <v>0</v>
      </c>
      <c r="F66" s="14" t="n">
        <f aca="false">D66-E66</f>
        <v>0</v>
      </c>
      <c r="G66" s="8" t="n">
        <v>0</v>
      </c>
      <c r="H66" s="15" t="n">
        <v>1E-007</v>
      </c>
      <c r="I66" s="11" t="str">
        <f aca="false">IF(ABS(F66-G66)&lt;=H66,IF(G66=0,"OK","OK (known)"),"BREAK")</f>
        <v>OK</v>
      </c>
      <c r="J66" s="12"/>
    </row>
    <row r="67" customFormat="false" ht="15" hidden="false" customHeight="false" outlineLevel="0" collapsed="false">
      <c r="A67" s="6" t="n">
        <v>63</v>
      </c>
      <c r="B67" s="6" t="s">
        <v>113</v>
      </c>
      <c r="C67" s="6" t="s">
        <v>117</v>
      </c>
      <c r="D67" s="13" t="n">
        <f aca="false">'GP Waterfall'!D55</f>
        <v>0</v>
      </c>
      <c r="E67" s="10" t="n">
        <v>0</v>
      </c>
      <c r="F67" s="14" t="n">
        <f aca="false">D67-E67</f>
        <v>0</v>
      </c>
      <c r="G67" s="8" t="n">
        <v>0</v>
      </c>
      <c r="H67" s="15" t="n">
        <v>1E-007</v>
      </c>
      <c r="I67" s="11" t="str">
        <f aca="false">IF(ABS(F67-G67)&lt;=H67,IF(G67=0,"OK","OK (known)"),"BREAK")</f>
        <v>OK</v>
      </c>
      <c r="J67" s="12"/>
    </row>
    <row r="68" customFormat="false" ht="15" hidden="false" customHeight="false" outlineLevel="0" collapsed="false">
      <c r="A68" s="6" t="n">
        <v>64</v>
      </c>
      <c r="B68" s="6" t="s">
        <v>113</v>
      </c>
      <c r="C68" s="6" t="s">
        <v>118</v>
      </c>
      <c r="D68" s="13" t="n">
        <f aca="false">ABS('GP Waterfall'!C33)+ABS('GP Waterfall'!D33)+ABS('GP Waterfall'!E33)</f>
        <v>0</v>
      </c>
      <c r="E68" s="10" t="n">
        <v>0</v>
      </c>
      <c r="F68" s="14" t="n">
        <f aca="false">D68-E68</f>
        <v>0</v>
      </c>
      <c r="G68" s="8" t="n">
        <v>0</v>
      </c>
      <c r="H68" s="15" t="n">
        <v>1E-006</v>
      </c>
      <c r="I68" s="11" t="str">
        <f aca="false">IF(ABS(F68-G68)&lt;=H68,IF(G68=0,"OK","OK (known)"),"BREAK")</f>
        <v>OK</v>
      </c>
      <c r="J68" s="12"/>
    </row>
    <row r="69" customFormat="false" ht="15" hidden="false" customHeight="false" outlineLevel="0" collapsed="false">
      <c r="A69" s="6" t="n">
        <v>65</v>
      </c>
      <c r="B69" s="6" t="s">
        <v>113</v>
      </c>
      <c r="C69" s="6" t="s">
        <v>119</v>
      </c>
      <c r="D69" s="13" t="n">
        <f aca="false">ABS('GP Waterfall'!C66)+ABS('GP Waterfall'!D66)+ABS('GP Waterfall'!E66)</f>
        <v>0</v>
      </c>
      <c r="E69" s="10" t="n">
        <v>0</v>
      </c>
      <c r="F69" s="14" t="n">
        <f aca="false">D69-E69</f>
        <v>0</v>
      </c>
      <c r="G69" s="8" t="n">
        <v>0</v>
      </c>
      <c r="H69" s="15" t="n">
        <v>1E-006</v>
      </c>
      <c r="I69" s="11" t="str">
        <f aca="false">IF(ABS(F69-G69)&lt;=H69,IF(G69=0,"OK","OK (known)"),"BREAK")</f>
        <v>OK</v>
      </c>
      <c r="J69" s="12"/>
    </row>
    <row r="70" customFormat="false" ht="15" hidden="false" customHeight="false" outlineLevel="0" collapsed="false">
      <c r="A70" s="6" t="n">
        <v>66</v>
      </c>
      <c r="B70" s="6" t="s">
        <v>113</v>
      </c>
      <c r="C70" s="6" t="s">
        <v>120</v>
      </c>
      <c r="D70" s="13" t="n">
        <f aca="false">'GP Waterfall'!C77</f>
        <v>-0</v>
      </c>
      <c r="E70" s="10" t="n">
        <v>0</v>
      </c>
      <c r="F70" s="14" t="n">
        <f aca="false">D70-E70</f>
        <v>-0</v>
      </c>
      <c r="G70" s="8" t="n">
        <v>0</v>
      </c>
      <c r="H70" s="15" t="n">
        <v>1E-007</v>
      </c>
      <c r="I70" s="11" t="str">
        <f aca="false">IF(ABS(F70-G70)&lt;=H70,IF(G70=0,"OK","OK (known)"),"BREAK")</f>
        <v>OK</v>
      </c>
      <c r="J70" s="12"/>
    </row>
    <row r="71" customFormat="false" ht="15" hidden="false" customHeight="false" outlineLevel="0" collapsed="false">
      <c r="A71" s="6" t="n">
        <v>67</v>
      </c>
      <c r="B71" s="6" t="s">
        <v>121</v>
      </c>
      <c r="C71" s="6" t="s">
        <v>122</v>
      </c>
      <c r="D71" s="13" t="n">
        <f aca="false">'Karkas Detail'!J27+'Karkas Detail'!J42</f>
        <v>151997.96</v>
      </c>
      <c r="E71" s="13" t="n">
        <f aca="false">SUMIFS('Data SKU'!$F$5:$F$116,'Data SKU'!$B$5:$B$116,"Karkas",'Data SKU'!$D$5:$D$116,8)</f>
        <v>151997.8</v>
      </c>
      <c r="F71" s="14" t="n">
        <f aca="false">D71-E71</f>
        <v>0.160000000003492</v>
      </c>
      <c r="G71" s="8" t="n">
        <v>0</v>
      </c>
      <c r="H71" s="10" t="n">
        <v>0.5</v>
      </c>
      <c r="I71" s="11" t="str">
        <f aca="false">IF(ABS(F71-G71)&lt;=H71,IF(G71=0,"OK","OK (known)"),"BREAK")</f>
        <v>OK</v>
      </c>
      <c r="J71" s="12"/>
    </row>
    <row r="72" customFormat="false" ht="15" hidden="false" customHeight="false" outlineLevel="0" collapsed="false">
      <c r="A72" s="6" t="n">
        <v>68</v>
      </c>
      <c r="B72" s="6" t="s">
        <v>121</v>
      </c>
      <c r="C72" s="6" t="s">
        <v>123</v>
      </c>
      <c r="D72" s="7" t="n">
        <f aca="false">'Karkas Detail'!K27+'Karkas Detail'!K42</f>
        <v>4986598070.30378</v>
      </c>
      <c r="E72" s="7" t="n">
        <f aca="false">SUMIFS('Data SKU'!$G$5:$G$116,'Data SKU'!$B$5:$B$116,"Karkas",'Data SKU'!$D$5:$D$116,8)</f>
        <v>4986598070.10378</v>
      </c>
      <c r="F72" s="9" t="n">
        <f aca="false">D72-E72</f>
        <v>0.199999809265137</v>
      </c>
      <c r="G72" s="8" t="n">
        <v>0</v>
      </c>
      <c r="H72" s="10" t="n">
        <v>1</v>
      </c>
      <c r="I72" s="11" t="str">
        <f aca="false">IF(ABS(F72-G72)&lt;=H72,IF(G72=0,"OK","OK (known)"),"BREAK")</f>
        <v>OK</v>
      </c>
      <c r="J72" s="12"/>
    </row>
    <row r="73" customFormat="false" ht="15" hidden="false" customHeight="false" outlineLevel="0" collapsed="false">
      <c r="A73" s="6" t="n">
        <v>69</v>
      </c>
      <c r="B73" s="6" t="s">
        <v>121</v>
      </c>
      <c r="C73" s="6" t="s">
        <v>124</v>
      </c>
      <c r="D73" s="7" t="n">
        <f aca="false">'Karkas Detail'!L27+'Karkas Detail'!L42</f>
        <v>4884542725.12691</v>
      </c>
      <c r="E73" s="7" t="n">
        <f aca="false">SUMIFS('Data SKU'!$H$5:$H$116,'Data SKU'!$B$5:$B$116,"Karkas",'Data SKU'!$D$5:$D$116,8)</f>
        <v>4884542725.12691</v>
      </c>
      <c r="F73" s="9" t="n">
        <f aca="false">D73-E73</f>
        <v>0</v>
      </c>
      <c r="G73" s="8" t="n">
        <v>0</v>
      </c>
      <c r="H73" s="10" t="n">
        <v>1</v>
      </c>
      <c r="I73" s="11" t="str">
        <f aca="false">IF(ABS(F73-G73)&lt;=H73,IF(G73=0,"OK","OK (known)"),"BREAK")</f>
        <v>OK</v>
      </c>
      <c r="J73" s="12"/>
    </row>
    <row r="74" customFormat="false" ht="15" hidden="false" customHeight="false" outlineLevel="0" collapsed="false">
      <c r="A74" s="6" t="n">
        <v>70</v>
      </c>
      <c r="B74" s="6" t="s">
        <v>125</v>
      </c>
      <c r="C74" s="6" t="s">
        <v>126</v>
      </c>
      <c r="D74" s="7" t="n">
        <f aca="false">'By-product'!E18</f>
        <v>0</v>
      </c>
      <c r="E74" s="8" t="n">
        <v>0</v>
      </c>
      <c r="F74" s="9" t="n">
        <f aca="false">D74-E74</f>
        <v>0</v>
      </c>
      <c r="G74" s="8" t="n">
        <v>0</v>
      </c>
      <c r="H74" s="10" t="n">
        <v>1</v>
      </c>
      <c r="I74" s="11" t="str">
        <f aca="false">IF(ABS(F74-G74)&lt;=H74,IF(G74=0,"OK","OK (known)"),"BREAK")</f>
        <v>OK</v>
      </c>
      <c r="J74" s="12"/>
    </row>
    <row r="75" customFormat="false" ht="15" hidden="false" customHeight="false" outlineLevel="0" collapsed="false">
      <c r="A75" s="6" t="n">
        <v>71</v>
      </c>
      <c r="B75" s="6" t="s">
        <v>127</v>
      </c>
      <c r="C75" s="6" t="s">
        <v>128</v>
      </c>
      <c r="D75" s="7" t="n">
        <f aca="false">SUMPRODUCT(ABS('Batch Economics'!S6:S17))</f>
        <v>0</v>
      </c>
      <c r="E75" s="8" t="n">
        <v>0</v>
      </c>
      <c r="F75" s="9" t="n">
        <f aca="false">D75-E75</f>
        <v>0</v>
      </c>
      <c r="G75" s="8" t="n">
        <v>0</v>
      </c>
      <c r="H75" s="10" t="n">
        <v>1</v>
      </c>
      <c r="I75" s="11" t="str">
        <f aca="false">IF(ABS(F75-G75)&lt;=H75,IF(G75=0,"OK","OK (known)"),"BREAK")</f>
        <v>OK</v>
      </c>
      <c r="J75" s="12"/>
    </row>
    <row r="76" customFormat="false" ht="15" hidden="false" customHeight="false" outlineLevel="0" collapsed="false">
      <c r="A76" s="6" t="n">
        <v>72</v>
      </c>
      <c r="B76" s="6" t="s">
        <v>127</v>
      </c>
      <c r="C76" s="6" t="s">
        <v>129</v>
      </c>
      <c r="D76" s="7" t="n">
        <f aca="false">SUMPRODUCT(ABS('Batch Economics'!AZ6:AZ17))</f>
        <v>0</v>
      </c>
      <c r="E76" s="8" t="n">
        <v>0</v>
      </c>
      <c r="F76" s="9" t="n">
        <f aca="false">D76-E76</f>
        <v>0</v>
      </c>
      <c r="G76" s="8" t="n">
        <v>0</v>
      </c>
      <c r="H76" s="10" t="n">
        <v>1</v>
      </c>
      <c r="I76" s="11" t="str">
        <f aca="false">IF(ABS(F76-G76)&lt;=H76,IF(G76=0,"OK","OK (known)"),"BREAK")</f>
        <v>OK</v>
      </c>
      <c r="J76" s="12"/>
    </row>
    <row r="77" customFormat="false" ht="15" hidden="false" customHeight="false" outlineLevel="0" collapsed="false">
      <c r="A77" s="6" t="n">
        <v>73</v>
      </c>
      <c r="B77" s="6" t="s">
        <v>127</v>
      </c>
      <c r="C77" s="6" t="s">
        <v>130</v>
      </c>
      <c r="D77" s="13" t="n">
        <f aca="false">SUMPRODUCT(ABS('Batch Economics'!AO6:AO17))</f>
        <v>0</v>
      </c>
      <c r="E77" s="10" t="n">
        <v>0</v>
      </c>
      <c r="F77" s="14" t="n">
        <f aca="false">D77-E77</f>
        <v>0</v>
      </c>
      <c r="G77" s="8" t="n">
        <v>0</v>
      </c>
      <c r="H77" s="10" t="n">
        <v>0.5</v>
      </c>
      <c r="I77" s="11" t="str">
        <f aca="false">IF(ABS(F77-G77)&lt;=H77,IF(G77=0,"OK","OK (known)"),"BREAK")</f>
        <v>OK</v>
      </c>
      <c r="J77" s="12"/>
    </row>
    <row r="78" customFormat="false" ht="15" hidden="false" customHeight="false" outlineLevel="0" collapsed="false">
      <c r="A78" s="6" t="n">
        <v>74</v>
      </c>
      <c r="B78" s="6" t="s">
        <v>127</v>
      </c>
      <c r="C78" s="6" t="s">
        <v>131</v>
      </c>
      <c r="D78" s="13" t="n">
        <f aca="false">I_Batch_Ops!J343</f>
        <v>121109.8</v>
      </c>
      <c r="E78" s="13" t="n">
        <f aca="false">I_Batch_Ops!L17</f>
        <v>121109.8</v>
      </c>
      <c r="F78" s="14" t="n">
        <f aca="false">D78-E78</f>
        <v>0</v>
      </c>
      <c r="G78" s="8" t="n">
        <v>0</v>
      </c>
      <c r="H78" s="10" t="n">
        <v>0.5</v>
      </c>
      <c r="I78" s="11" t="str">
        <f aca="false">IF(ABS(F78-G78)&lt;=H78,IF(G78=0,"OK","OK (known)"),"BREAK")</f>
        <v>OK</v>
      </c>
      <c r="J78" s="12"/>
    </row>
    <row r="79" customFormat="false" ht="15" hidden="false" customHeight="false" outlineLevel="0" collapsed="false">
      <c r="A79" s="6" t="n">
        <v>75</v>
      </c>
      <c r="B79" s="6" t="s">
        <v>127</v>
      </c>
      <c r="C79" s="6" t="s">
        <v>132</v>
      </c>
      <c r="D79" s="7" t="n">
        <f aca="false">SUM('Batch Economics'!N82:N95)</f>
        <v>0</v>
      </c>
      <c r="E79" s="8" t="n">
        <v>0</v>
      </c>
      <c r="F79" s="9" t="n">
        <f aca="false">D79-E79</f>
        <v>0</v>
      </c>
      <c r="G79" s="8" t="n">
        <v>0</v>
      </c>
      <c r="H79" s="10" t="n">
        <v>5</v>
      </c>
      <c r="I79" s="11" t="str">
        <f aca="false">IF(ABS(F79-G79)&lt;=H79,IF(G79=0,"OK","OK (known)"),"BREAK")</f>
        <v>OK</v>
      </c>
      <c r="J79" s="12"/>
    </row>
    <row r="80" customFormat="false" ht="15" hidden="false" customHeight="false" outlineLevel="0" collapsed="false">
      <c r="A80" s="6" t="n">
        <v>76</v>
      </c>
      <c r="B80" s="6" t="s">
        <v>127</v>
      </c>
      <c r="C80" s="6" t="s">
        <v>133</v>
      </c>
      <c r="D80" s="13" t="n">
        <f aca="false">'Batch Economics'!C55</f>
        <v>0</v>
      </c>
      <c r="E80" s="10" t="n">
        <v>0</v>
      </c>
      <c r="F80" s="14" t="n">
        <f aca="false">D80-E80</f>
        <v>0</v>
      </c>
      <c r="G80" s="8" t="n">
        <v>0</v>
      </c>
      <c r="H80" s="10" t="n">
        <v>0.01</v>
      </c>
      <c r="I80" s="11" t="str">
        <f aca="false">IF(ABS(F80-G80)&lt;=H80,IF(G80=0,"OK","OK (known)"),"BREAK")</f>
        <v>OK</v>
      </c>
      <c r="J80" s="12"/>
    </row>
    <row r="81" customFormat="false" ht="15" hidden="false" customHeight="false" outlineLevel="0" collapsed="false">
      <c r="A81" s="6" t="n">
        <v>77</v>
      </c>
      <c r="B81" s="6" t="s">
        <v>127</v>
      </c>
      <c r="C81" s="6" t="s">
        <v>134</v>
      </c>
      <c r="D81" s="13" t="n">
        <f aca="false">'Batch Economics'!C54</f>
        <v>31792.6316132664</v>
      </c>
      <c r="E81" s="13" t="n">
        <f aca="false">'Batch Economics'!AI18</f>
        <v>31792.6316132664</v>
      </c>
      <c r="F81" s="14" t="n">
        <f aca="false">D81-E81</f>
        <v>0</v>
      </c>
      <c r="G81" s="8" t="n">
        <v>0</v>
      </c>
      <c r="H81" s="10" t="n">
        <v>0.01</v>
      </c>
      <c r="I81" s="11" t="str">
        <f aca="false">IF(ABS(F81-G81)&lt;=H81,IF(G81=0,"OK","OK (known)"),"BREAK")</f>
        <v>OK</v>
      </c>
      <c r="J81" s="12"/>
    </row>
    <row r="82" customFormat="false" ht="15" hidden="false" customHeight="false" outlineLevel="0" collapsed="false">
      <c r="A82" s="6" t="n">
        <v>78</v>
      </c>
      <c r="B82" s="6" t="s">
        <v>135</v>
      </c>
      <c r="C82" s="6" t="s">
        <v>136</v>
      </c>
      <c r="D82" s="13" t="n">
        <f aca="false">'Batch Ops KPI'!I24</f>
        <v>1</v>
      </c>
      <c r="E82" s="10" t="n">
        <v>1</v>
      </c>
      <c r="F82" s="14" t="n">
        <f aca="false">D82-E82</f>
        <v>0</v>
      </c>
      <c r="G82" s="8" t="n">
        <v>0</v>
      </c>
      <c r="H82" s="15" t="n">
        <v>1E-009</v>
      </c>
      <c r="I82" s="11" t="str">
        <f aca="false">IF(ABS(F82-G82)&lt;=H82,IF(G82=0,"OK","OK (known)"),"BREAK")</f>
        <v>OK</v>
      </c>
      <c r="J82" s="12"/>
    </row>
    <row r="83" customFormat="false" ht="15" hidden="false" customHeight="false" outlineLevel="0" collapsed="false">
      <c r="A83" s="6" t="n">
        <v>79</v>
      </c>
      <c r="B83" s="6" t="s">
        <v>137</v>
      </c>
      <c r="C83" s="6" t="s">
        <v>138</v>
      </c>
      <c r="D83" s="13" t="n">
        <f aca="false">'RPA KPI vs Budget'!I30</f>
        <v>-2766.99711888938</v>
      </c>
      <c r="E83" s="13" t="n">
        <f aca="false">'RPA KPI vs Budget'!I31-'RPA KPI vs Budget'!I11</f>
        <v>-2766.99711888939</v>
      </c>
      <c r="F83" s="14" t="n">
        <f aca="false">D83-E83</f>
        <v>0</v>
      </c>
      <c r="G83" s="8" t="n">
        <v>0</v>
      </c>
      <c r="H83" s="10" t="n">
        <v>0.01</v>
      </c>
      <c r="I83" s="11" t="str">
        <f aca="false">IF(ABS(F83-G83)&lt;=H83,IF(G83=0,"OK","OK (known)"),"BREAK")</f>
        <v>OK</v>
      </c>
      <c r="J83" s="12"/>
    </row>
    <row r="84" customFormat="false" ht="15" hidden="false" customHeight="false" outlineLevel="0" collapsed="false">
      <c r="A84" s="6" t="n">
        <v>80</v>
      </c>
      <c r="B84" s="6" t="s">
        <v>137</v>
      </c>
      <c r="C84" s="6" t="s">
        <v>139</v>
      </c>
      <c r="D84" s="13" t="n">
        <f aca="false">'RPA KPI vs Budget'!I48</f>
        <v>0.181608283756261</v>
      </c>
      <c r="E84" s="13" t="n">
        <f aca="false">'RPA KPI vs Budget'!I17</f>
        <v>0.181608283756261</v>
      </c>
      <c r="F84" s="14" t="n">
        <f aca="false">D84-E84</f>
        <v>0</v>
      </c>
      <c r="G84" s="8" t="n">
        <v>0</v>
      </c>
      <c r="H84" s="15" t="n">
        <v>1E-009</v>
      </c>
      <c r="I84" s="11" t="str">
        <f aca="false">IF(ABS(F84-G84)&lt;=H84,IF(G84=0,"OK","OK (known)"),"BREAK")</f>
        <v>OK</v>
      </c>
      <c r="J84" s="12"/>
    </row>
    <row r="85" customFormat="false" ht="15" hidden="false" customHeight="false" outlineLevel="0" collapsed="false">
      <c r="A85" s="6" t="n">
        <v>81</v>
      </c>
      <c r="B85" s="6" t="s">
        <v>135</v>
      </c>
      <c r="C85" s="6" t="s">
        <v>140</v>
      </c>
      <c r="D85" s="7" t="n">
        <f aca="false">'Batch Ops KPI'!D46+'Batch Ops KPI'!P46*1000000</f>
        <v>-389228459.21288</v>
      </c>
      <c r="E85" s="7" t="n">
        <f aca="false">'Batch Economics'!G18+'Batch Economics'!AH18</f>
        <v>-389228459.21288</v>
      </c>
      <c r="F85" s="9" t="n">
        <f aca="false">D85-E85</f>
        <v>0</v>
      </c>
      <c r="G85" s="8" t="n">
        <v>0</v>
      </c>
      <c r="H85" s="10" t="n">
        <v>1</v>
      </c>
      <c r="I85" s="11" t="str">
        <f aca="false">IF(ABS(F85-G85)&lt;=H85,IF(G85=0,"OK","OK (known)"),"BREAK")</f>
        <v>OK</v>
      </c>
      <c r="J85" s="12"/>
    </row>
    <row r="86" customFormat="false" ht="15" hidden="false" customHeight="false" outlineLevel="0" collapsed="false">
      <c r="A86" s="6" t="n">
        <v>82</v>
      </c>
      <c r="B86" s="6" t="s">
        <v>127</v>
      </c>
      <c r="C86" s="6" t="s">
        <v>141</v>
      </c>
      <c r="D86" s="13" t="n">
        <f aca="false">'Batch Economics'!T77</f>
        <v>97158.9</v>
      </c>
      <c r="E86" s="13" t="n">
        <f aca="false">'Batch Economics'!V18</f>
        <v>97158.9</v>
      </c>
      <c r="F86" s="14" t="n">
        <f aca="false">D86-E86</f>
        <v>0</v>
      </c>
      <c r="G86" s="8" t="n">
        <v>0</v>
      </c>
      <c r="H86" s="10" t="n">
        <v>0.5</v>
      </c>
      <c r="I86" s="11" t="str">
        <f aca="false">IF(ABS(F86-G86)&lt;=H86,IF(G86=0,"OK","OK (known)"),"BREAK")</f>
        <v>OK</v>
      </c>
      <c r="J86" s="12"/>
    </row>
    <row r="87" customFormat="false" ht="15" hidden="false" customHeight="false" outlineLevel="0" collapsed="false">
      <c r="A87" s="6" t="n">
        <v>83</v>
      </c>
      <c r="B87" s="6" t="s">
        <v>106</v>
      </c>
      <c r="C87" s="6" t="s">
        <v>142</v>
      </c>
      <c r="D87" s="7" t="n">
        <f aca="false">Vintage!J9</f>
        <v>0</v>
      </c>
      <c r="E87" s="8" t="n">
        <v>0</v>
      </c>
      <c r="F87" s="9" t="n">
        <f aca="false">D87-E87</f>
        <v>0</v>
      </c>
      <c r="G87" s="8" t="n">
        <v>0</v>
      </c>
      <c r="H87" s="10" t="n">
        <v>1</v>
      </c>
      <c r="I87" s="11" t="str">
        <f aca="false">IF(ABS(F87-G87)&lt;=H87,IF(G87=0,"OK","OK (known)"),"BREAK")</f>
        <v>OK</v>
      </c>
      <c r="J87" s="12"/>
    </row>
    <row r="88" customFormat="false" ht="15" hidden="false" customHeight="false" outlineLevel="0" collapsed="false">
      <c r="A88" s="6" t="n">
        <v>84</v>
      </c>
      <c r="B88" s="6" t="s">
        <v>106</v>
      </c>
      <c r="C88" s="6" t="s">
        <v>143</v>
      </c>
      <c r="D88" s="7" t="n">
        <f aca="false">Vintage!J15</f>
        <v>0</v>
      </c>
      <c r="E88" s="8" t="n">
        <v>0</v>
      </c>
      <c r="F88" s="9" t="n">
        <f aca="false">D88-E88</f>
        <v>0</v>
      </c>
      <c r="G88" s="8" t="n">
        <v>0</v>
      </c>
      <c r="H88" s="10" t="n">
        <v>1</v>
      </c>
      <c r="I88" s="11" t="str">
        <f aca="false">IF(ABS(F88-G88)&lt;=H88,IF(G88=0,"OK","OK (known)"),"BREAK")</f>
        <v>OK</v>
      </c>
      <c r="J88" s="12"/>
    </row>
    <row r="89" customFormat="false" ht="15" hidden="false" customHeight="false" outlineLevel="0" collapsed="false">
      <c r="A89" s="6" t="n">
        <v>85</v>
      </c>
      <c r="B89" s="6" t="s">
        <v>127</v>
      </c>
      <c r="C89" s="6" t="s">
        <v>144</v>
      </c>
      <c r="D89" s="13" t="n">
        <f aca="false">'Batch Economics'!AC18</f>
        <v>120786</v>
      </c>
      <c r="E89" s="13" t="n">
        <f aca="false">SUMIFS('MA Engine'!$K$6:$K$1110,'MA Engine'!$C$6:$C$1110,"RPA",'MA Engine'!$H$6:$H$1110,8,'MA Engine'!$I$6:$I$1110,"Receipt")</f>
        <v>120786</v>
      </c>
      <c r="F89" s="14" t="n">
        <f aca="false">D89-E89</f>
        <v>0</v>
      </c>
      <c r="G89" s="8" t="n">
        <v>0</v>
      </c>
      <c r="H89" s="10" t="n">
        <v>0.5</v>
      </c>
      <c r="I89" s="11" t="str">
        <f aca="false">IF(ABS(F89-G89)&lt;=H89,IF(G89=0,"OK","OK (known)"),"BREAK")</f>
        <v>OK</v>
      </c>
      <c r="J89" s="12"/>
    </row>
    <row r="90" customFormat="false" ht="15" hidden="false" customHeight="false" outlineLevel="0" collapsed="false">
      <c r="A90" s="6" t="n">
        <v>86</v>
      </c>
      <c r="B90" s="6" t="s">
        <v>145</v>
      </c>
      <c r="C90" s="6" t="s">
        <v>146</v>
      </c>
      <c r="D90" s="7" t="n">
        <f aca="false">'RPA Loss Bridge'!C17</f>
        <v>-0</v>
      </c>
      <c r="E90" s="8" t="n">
        <v>0</v>
      </c>
      <c r="F90" s="9" t="n">
        <f aca="false">D90-E90</f>
        <v>-0</v>
      </c>
      <c r="G90" s="8" t="n">
        <v>0</v>
      </c>
      <c r="H90" s="10" t="n">
        <v>1</v>
      </c>
      <c r="I90" s="11" t="str">
        <f aca="false">IF(ABS(F90-G90)&lt;=H90,IF(G90=0,"OK","OK (known)"),"BREAK")</f>
        <v>OK</v>
      </c>
      <c r="J90" s="12"/>
    </row>
    <row r="91" customFormat="false" ht="15" hidden="false" customHeight="false" outlineLevel="0" collapsed="false">
      <c r="A91" s="6" t="n">
        <v>87</v>
      </c>
      <c r="B91" s="6" t="s">
        <v>145</v>
      </c>
      <c r="C91" s="6" t="s">
        <v>147</v>
      </c>
      <c r="D91" s="7" t="n">
        <f aca="false">'RPA Loss Bridge'!C37</f>
        <v>0</v>
      </c>
      <c r="E91" s="8" t="n">
        <v>0</v>
      </c>
      <c r="F91" s="9" t="n">
        <f aca="false">D91-E91</f>
        <v>0</v>
      </c>
      <c r="G91" s="8" t="n">
        <v>0</v>
      </c>
      <c r="H91" s="10" t="n">
        <v>1</v>
      </c>
      <c r="I91" s="11" t="str">
        <f aca="false">IF(ABS(F91-G91)&lt;=H91,IF(G91=0,"OK","OK (known)"),"BREAK")</f>
        <v>OK</v>
      </c>
      <c r="J91" s="12"/>
    </row>
    <row r="92" customFormat="false" ht="15" hidden="false" customHeight="false" outlineLevel="0" collapsed="false">
      <c r="A92" s="6" t="n">
        <v>88</v>
      </c>
      <c r="B92" s="6" t="s">
        <v>148</v>
      </c>
      <c r="C92" s="6" t="s">
        <v>149</v>
      </c>
      <c r="D92" s="7" t="n">
        <f aca="false">SUMIFS(I_Sales_Inv!$E$5:$E$228,I_Sales_Inv!$A$5:$A$228,7)+SUMIFS(I_Sales_Inv!$F$5:$F$228,I_Sales_Inv!$A$5:$A$228,7)</f>
        <v>3122957948.2</v>
      </c>
      <c r="E92" s="7" t="n">
        <f aca="false">-SUMIFS(I_GL!$H$5:$H$29,I_GL!$C$5:$C$29,"Rev RPA")-SUMIFS(I_GL!$H$5:$H$29,I_GL!$C$5:$C$29,"Rev Trading")</f>
        <v>3122957948.2</v>
      </c>
      <c r="F92" s="9" t="n">
        <f aca="false">D92-E92</f>
        <v>0</v>
      </c>
      <c r="G92" s="8" t="n">
        <v>0</v>
      </c>
      <c r="H92" s="10" t="n">
        <v>1</v>
      </c>
      <c r="I92" s="11" t="str">
        <f aca="false">IF(ABS(F92-G92)&lt;=H92,IF(G92=0,"OK","OK (known)"),"BREAK")</f>
        <v>OK</v>
      </c>
      <c r="J92" s="12"/>
    </row>
    <row r="93" customFormat="false" ht="15" hidden="false" customHeight="false" outlineLevel="0" collapsed="false">
      <c r="A93" s="6" t="n">
        <v>89</v>
      </c>
      <c r="B93" s="6" t="s">
        <v>148</v>
      </c>
      <c r="C93" s="6" t="s">
        <v>150</v>
      </c>
      <c r="D93" s="7" t="n">
        <f aca="false">SUMIFS(I_Sales_Inv!$E$5:$E$228,I_Sales_Inv!$A$5:$A$228,8)+SUMIFS(I_Sales_Inv!$F$5:$F$228,I_Sales_Inv!$A$5:$A$228,8)</f>
        <v>8361131303</v>
      </c>
      <c r="E93" s="7" t="n">
        <f aca="false">-SUMIFS(I_GL!$I$5:$I$29,I_GL!$C$5:$C$29,"Rev RPA")-SUMIFS(I_GL!$I$5:$I$29,I_GL!$C$5:$C$29,"Rev Trading")-SUMIFS(I_GL!$I$5:$I$29,I_GL!$C$5:$C$29,"Rev Unbilled")-629600</f>
        <v>8361131303</v>
      </c>
      <c r="F93" s="9" t="n">
        <f aca="false">D93-E93</f>
        <v>0</v>
      </c>
      <c r="G93" s="8" t="n">
        <v>0</v>
      </c>
      <c r="H93" s="10" t="n">
        <v>1</v>
      </c>
      <c r="I93" s="11" t="str">
        <f aca="false">IF(ABS(F93-G93)&lt;=H93,IF(G93=0,"OK","OK (known)"),"BREAK")</f>
        <v>OK</v>
      </c>
      <c r="J93" s="12"/>
    </row>
    <row r="94" customFormat="false" ht="15" hidden="false" customHeight="false" outlineLevel="0" collapsed="false">
      <c r="A94" s="6" t="n">
        <v>90</v>
      </c>
      <c r="B94" s="6" t="s">
        <v>148</v>
      </c>
      <c r="C94" s="6" t="s">
        <v>151</v>
      </c>
      <c r="D94" s="13" t="n">
        <f aca="false">SUMIFS(I_Sales_Inv!$H$5:$H$228,I_Sales_Inv!$A$5:$A$228,7)+SUMIFS(I_Sales_Inv!$I$5:$I$228,I_Sales_Inv!$A$5:$A$228,7)</f>
        <v>99522.71</v>
      </c>
      <c r="E94" s="13" t="n">
        <f aca="false">SUMIFS('Data SKU'!$F$5:$F$116,'Data SKU'!$D$5:$D$116,7)</f>
        <v>99522.71</v>
      </c>
      <c r="F94" s="14" t="n">
        <f aca="false">D94-E94</f>
        <v>0</v>
      </c>
      <c r="G94" s="8" t="n">
        <v>0</v>
      </c>
      <c r="H94" s="10" t="n">
        <v>0.5</v>
      </c>
      <c r="I94" s="11" t="str">
        <f aca="false">IF(ABS(F94-G94)&lt;=H94,IF(G94=0,"OK","OK (known)"),"BREAK")</f>
        <v>OK</v>
      </c>
      <c r="J94" s="12"/>
    </row>
    <row r="95" customFormat="false" ht="15" hidden="false" customHeight="false" outlineLevel="0" collapsed="false">
      <c r="A95" s="6" t="n">
        <v>91</v>
      </c>
      <c r="B95" s="6" t="s">
        <v>148</v>
      </c>
      <c r="C95" s="6" t="s">
        <v>152</v>
      </c>
      <c r="D95" s="7" t="n">
        <f aca="false">SUMIFS(I_Sales_Inv!$K$5:$K$228,I_Sales_Inv!$A$5:$A$228,8)+SUMIFS(I_Sales_Inv!$L$5:$L$228,I_Sales_Inv!$A$5:$A$228,8)</f>
        <v>7955276911.15222</v>
      </c>
      <c r="E95" s="7" t="n">
        <f aca="false">-'Segment GP'!M16</f>
        <v>7955276915.91841</v>
      </c>
      <c r="F95" s="9" t="n">
        <f aca="false">D95-E95</f>
        <v>-4.76619815826416</v>
      </c>
      <c r="G95" s="8" t="n">
        <v>0</v>
      </c>
      <c r="H95" s="10" t="n">
        <v>10</v>
      </c>
      <c r="I95" s="11" t="str">
        <f aca="false">IF(ABS(F95-G95)&lt;=H95,IF(G95=0,"OK","OK (known)"),"BREAK")</f>
        <v>OK</v>
      </c>
      <c r="J95" s="12"/>
    </row>
    <row r="96" customFormat="false" ht="15" hidden="false" customHeight="false" outlineLevel="0" collapsed="false">
      <c r="A96" s="6" t="n">
        <v>92</v>
      </c>
      <c r="B96" s="6" t="s">
        <v>153</v>
      </c>
      <c r="C96" s="6" t="s">
        <v>154</v>
      </c>
      <c r="D96" s="7" t="n">
        <f aca="false">ABS('MTM Bridge'!I55-'Segment GP'!M6)+ABS('MTM Bridge'!I65-'Segment GP'!M7)</f>
        <v>0.199999809265137</v>
      </c>
      <c r="E96" s="8" t="n">
        <v>0</v>
      </c>
      <c r="F96" s="9" t="n">
        <f aca="false">D96-E96</f>
        <v>0.199999809265137</v>
      </c>
      <c r="G96" s="8" t="n">
        <v>0</v>
      </c>
      <c r="H96" s="10" t="n">
        <v>1</v>
      </c>
      <c r="I96" s="11" t="str">
        <f aca="false">IF(ABS(F96-G96)&lt;=H96,IF(G96=0,"OK","OK (known)"),"BREAK")</f>
        <v>OK</v>
      </c>
      <c r="J96" s="12"/>
    </row>
    <row r="97" customFormat="false" ht="15" hidden="false" customHeight="false" outlineLevel="0" collapsed="false">
      <c r="A97" s="6" t="n">
        <v>93</v>
      </c>
      <c r="B97" s="6" t="s">
        <v>153</v>
      </c>
      <c r="C97" s="6" t="s">
        <v>155</v>
      </c>
      <c r="D97" s="13" t="n">
        <f aca="false">'MTM Bridge'!L244-('Segment GP'!M35-'Segment GP'!H35)</f>
        <v>3.37289814134056E-011</v>
      </c>
      <c r="E97" s="10" t="n">
        <v>0</v>
      </c>
      <c r="F97" s="14" t="n">
        <f aca="false">D97-E97</f>
        <v>3.37289814134056E-011</v>
      </c>
      <c r="G97" s="8" t="n">
        <v>0</v>
      </c>
      <c r="H97" s="15" t="n">
        <v>1E-007</v>
      </c>
      <c r="I97" s="11" t="str">
        <f aca="false">IF(ABS(F97-G97)&lt;=H97,IF(G97=0,"OK","OK (known)"),"BREAK")</f>
        <v>OK</v>
      </c>
      <c r="J97" s="12"/>
    </row>
    <row r="98" customFormat="false" ht="15" hidden="false" customHeight="false" outlineLevel="0" collapsed="false">
      <c r="A98" s="6" t="n">
        <v>94</v>
      </c>
      <c r="B98" s="6" t="s">
        <v>153</v>
      </c>
      <c r="C98" s="6" t="s">
        <v>156</v>
      </c>
      <c r="D98" s="13" t="n">
        <f aca="false">'MTM Bridge'!L272-('Segment GP'!M36-'Segment GP'!H36)</f>
        <v>7.34205168884117E-010</v>
      </c>
      <c r="E98" s="10" t="n">
        <v>0</v>
      </c>
      <c r="F98" s="14" t="n">
        <f aca="false">D98-E98</f>
        <v>7.34205168884117E-010</v>
      </c>
      <c r="G98" s="8" t="n">
        <v>0</v>
      </c>
      <c r="H98" s="15" t="n">
        <v>1E-007</v>
      </c>
      <c r="I98" s="11" t="str">
        <f aca="false">IF(ABS(F98-G98)&lt;=H98,IF(G98=0,"OK","OK (known)"),"BREAK")</f>
        <v>OK</v>
      </c>
      <c r="J98" s="12"/>
    </row>
    <row r="99" customFormat="false" ht="15" hidden="false" customHeight="false" outlineLevel="0" collapsed="false">
      <c r="A99" s="6" t="n">
        <v>95</v>
      </c>
      <c r="B99" s="6" t="s">
        <v>153</v>
      </c>
      <c r="C99" s="6" t="s">
        <v>157</v>
      </c>
      <c r="D99" s="13" t="n">
        <f aca="false">'MTM Bridge'!D130</f>
        <v>0</v>
      </c>
      <c r="E99" s="10" t="n">
        <v>0</v>
      </c>
      <c r="F99" s="14" t="n">
        <f aca="false">D99-E99</f>
        <v>0</v>
      </c>
      <c r="G99" s="8" t="n">
        <v>0</v>
      </c>
      <c r="H99" s="15" t="n">
        <v>1E-007</v>
      </c>
      <c r="I99" s="11" t="str">
        <f aca="false">IF(ABS(F99-G99)&lt;=H99,IF(G99=0,"OK","OK (known)"),"BREAK")</f>
        <v>OK</v>
      </c>
      <c r="J99" s="12"/>
    </row>
    <row r="100" customFormat="false" ht="15" hidden="false" customHeight="false" outlineLevel="0" collapsed="false">
      <c r="A100" s="6" t="n">
        <v>96</v>
      </c>
      <c r="B100" s="6" t="s">
        <v>153</v>
      </c>
      <c r="C100" s="6" t="s">
        <v>158</v>
      </c>
      <c r="D100" s="13" t="n">
        <f aca="false">'MTM Bridge'!O147</f>
        <v>0</v>
      </c>
      <c r="E100" s="10" t="n">
        <v>0</v>
      </c>
      <c r="F100" s="14" t="n">
        <f aca="false">D100-E100</f>
        <v>0</v>
      </c>
      <c r="G100" s="8" t="n">
        <v>0</v>
      </c>
      <c r="H100" s="15" t="n">
        <v>1E-007</v>
      </c>
      <c r="I100" s="11" t="str">
        <f aca="false">IF(ABS(F100-G100)&lt;=H100,IF(G100=0,"OK","OK (known)"),"BREAK")</f>
        <v>OK</v>
      </c>
      <c r="J100" s="12"/>
    </row>
    <row r="101" customFormat="false" ht="15" hidden="false" customHeight="false" outlineLevel="0" collapsed="false">
      <c r="A101" s="6" t="n">
        <v>97</v>
      </c>
      <c r="B101" s="6" t="s">
        <v>106</v>
      </c>
      <c r="C101" s="6" t="s">
        <v>159</v>
      </c>
      <c r="D101" s="7" t="n">
        <f aca="false">Vintage!I24</f>
        <v>246532160</v>
      </c>
      <c r="E101" s="7" t="n">
        <f aca="false">SUMIFS('Data SKU'!$G$5:$G$116,'Data SKU'!$A$5:$A$116,"RPA",'Data SKU'!$D$5:$D$116,7,'Data SKU'!$N$5:$N$116,"Invoiced")</f>
        <v>246532160</v>
      </c>
      <c r="F101" s="9" t="n">
        <f aca="false">D101-E101</f>
        <v>0</v>
      </c>
      <c r="G101" s="8" t="n">
        <v>0</v>
      </c>
      <c r="H101" s="10" t="n">
        <v>1</v>
      </c>
      <c r="I101" s="11" t="str">
        <f aca="false">IF(ABS(F101-G101)&lt;=H101,IF(G101=0,"OK","OK (known)"),"BREAK")</f>
        <v>OK</v>
      </c>
      <c r="J101" s="12"/>
    </row>
    <row r="102" customFormat="false" ht="15" hidden="false" customHeight="false" outlineLevel="0" collapsed="false">
      <c r="A102" s="6" t="n">
        <v>98</v>
      </c>
      <c r="B102" s="6" t="s">
        <v>106</v>
      </c>
      <c r="C102" s="6" t="s">
        <v>160</v>
      </c>
      <c r="D102" s="7" t="n">
        <f aca="false">Vintage!J24</f>
        <v>241130153.655806</v>
      </c>
      <c r="E102" s="7" t="n">
        <f aca="false">SUMIFS('Data SKU'!$H$5:$H$116,'Data SKU'!$A$5:$A$116,"RPA",'Data SKU'!$D$5:$D$116,7,'Data SKU'!$N$5:$N$116,"Invoiced")</f>
        <v>241130153.61</v>
      </c>
      <c r="F102" s="9" t="n">
        <f aca="false">D102-E102</f>
        <v>0.0458058714866638</v>
      </c>
      <c r="G102" s="8" t="n">
        <v>0</v>
      </c>
      <c r="H102" s="10" t="n">
        <v>5</v>
      </c>
      <c r="I102" s="11" t="str">
        <f aca="false">IF(ABS(F102-G102)&lt;=H102,IF(G102=0,"OK","OK (known)"),"BREAK")</f>
        <v>OK</v>
      </c>
      <c r="J102" s="12" t="s">
        <v>84</v>
      </c>
    </row>
    <row r="103" customFormat="false" ht="15" hidden="false" customHeight="false" outlineLevel="0" collapsed="false">
      <c r="A103" s="6" t="n">
        <v>99</v>
      </c>
      <c r="B103" s="6" t="s">
        <v>153</v>
      </c>
      <c r="C103" s="6" t="s">
        <v>161</v>
      </c>
      <c r="D103" s="13" t="n">
        <f aca="false">'MTM Bridge'!D175</f>
        <v>0</v>
      </c>
      <c r="E103" s="10" t="n">
        <v>0</v>
      </c>
      <c r="F103" s="14" t="n">
        <f aca="false">D103-E103</f>
        <v>0</v>
      </c>
      <c r="G103" s="8" t="n">
        <v>0</v>
      </c>
      <c r="H103" s="15" t="n">
        <v>1E-007</v>
      </c>
      <c r="I103" s="11" t="str">
        <f aca="false">IF(ABS(F103-G103)&lt;=H103,IF(G103=0,"OK","OK (known)"),"BREAK")</f>
        <v>OK</v>
      </c>
      <c r="J103" s="12"/>
    </row>
    <row r="104" customFormat="false" ht="15" hidden="false" customHeight="false" outlineLevel="0" collapsed="false">
      <c r="A104" s="6" t="n">
        <v>100</v>
      </c>
      <c r="B104" s="6" t="s">
        <v>153</v>
      </c>
      <c r="C104" s="6" t="s">
        <v>162</v>
      </c>
      <c r="D104" s="13" t="n">
        <f aca="false">'MTM Bridge'!O185</f>
        <v>0</v>
      </c>
      <c r="E104" s="10" t="n">
        <v>0</v>
      </c>
      <c r="F104" s="14" t="n">
        <f aca="false">D104-E104</f>
        <v>0</v>
      </c>
      <c r="G104" s="8" t="n">
        <v>0</v>
      </c>
      <c r="H104" s="15" t="n">
        <v>1E-007</v>
      </c>
      <c r="I104" s="11" t="str">
        <f aca="false">IF(ABS(F104-G104)&lt;=H104,IF(G104=0,"OK","OK (known)"),"BREAK")</f>
        <v>OK</v>
      </c>
      <c r="J104" s="12"/>
    </row>
    <row r="105" customFormat="false" ht="15" hidden="false" customHeight="false" outlineLevel="0" collapsed="false">
      <c r="A105" s="6" t="n">
        <v>101</v>
      </c>
      <c r="B105" s="6" t="s">
        <v>106</v>
      </c>
      <c r="C105" s="6" t="s">
        <v>163</v>
      </c>
      <c r="D105" s="7" t="n">
        <f aca="false">Vintage!I28</f>
        <v>2876425788.2</v>
      </c>
      <c r="E105" s="7" t="n">
        <f aca="false">SUMIFS('Data SKU'!$G$5:$G$116,'Data SKU'!$A$5:$A$116,"Trading",'Data SKU'!$D$5:$D$116,7,'Data SKU'!$N$5:$N$116,"Invoiced")</f>
        <v>2876425788.2</v>
      </c>
      <c r="F105" s="9" t="n">
        <f aca="false">D105-E105</f>
        <v>0</v>
      </c>
      <c r="G105" s="8" t="n">
        <v>0</v>
      </c>
      <c r="H105" s="10" t="n">
        <v>1</v>
      </c>
      <c r="I105" s="11" t="str">
        <f aca="false">IF(ABS(F105-G105)&lt;=H105,IF(G105=0,"OK","OK (known)"),"BREAK")</f>
        <v>OK</v>
      </c>
      <c r="J105" s="12"/>
    </row>
    <row r="106" customFormat="false" ht="15" hidden="false" customHeight="false" outlineLevel="0" collapsed="false">
      <c r="A106" s="6" t="n">
        <v>102</v>
      </c>
      <c r="B106" s="6" t="s">
        <v>106</v>
      </c>
      <c r="C106" s="6" t="s">
        <v>164</v>
      </c>
      <c r="D106" s="7" t="n">
        <f aca="false">Vintage!J28</f>
        <v>2383035302.62319</v>
      </c>
      <c r="E106" s="7" t="n">
        <f aca="false">SUMIFS('Data SKU'!$H$5:$H$116,'Data SKU'!$A$5:$A$116,"Trading",'Data SKU'!$D$5:$D$116,7,'Data SKU'!$N$5:$N$116,"Invoiced")</f>
        <v>2383035304.25</v>
      </c>
      <c r="F106" s="9" t="n">
        <f aca="false">D106-E106</f>
        <v>-1.62681007385254</v>
      </c>
      <c r="G106" s="8" t="n">
        <v>0</v>
      </c>
      <c r="H106" s="10" t="n">
        <v>5</v>
      </c>
      <c r="I106" s="11" t="str">
        <f aca="false">IF(ABS(F106-G106)&lt;=H106,IF(G106=0,"OK","OK (known)"),"BREAK")</f>
        <v>OK</v>
      </c>
      <c r="J106" s="12" t="s">
        <v>84</v>
      </c>
    </row>
    <row r="107" customFormat="false" ht="15" hidden="false" customHeight="false" outlineLevel="0" collapsed="false">
      <c r="A107" s="6" t="n">
        <v>103</v>
      </c>
      <c r="B107" s="6" t="s">
        <v>153</v>
      </c>
      <c r="C107" s="6" t="s">
        <v>165</v>
      </c>
      <c r="D107" s="13" t="n">
        <f aca="false">'MTM Bridge'!D218</f>
        <v>0</v>
      </c>
      <c r="E107" s="10" t="n">
        <v>0</v>
      </c>
      <c r="F107" s="14" t="n">
        <f aca="false">D107-E107</f>
        <v>0</v>
      </c>
      <c r="G107" s="8" t="n">
        <v>0</v>
      </c>
      <c r="H107" s="15" t="n">
        <v>1E-007</v>
      </c>
      <c r="I107" s="11" t="str">
        <f aca="false">IF(ABS(F107-G107)&lt;=H107,IF(G107=0,"OK","OK (known)"),"BREAK")</f>
        <v>OK</v>
      </c>
      <c r="J107" s="12"/>
    </row>
    <row r="108" customFormat="false" ht="15" hidden="false" customHeight="false" outlineLevel="0" collapsed="false">
      <c r="A108" s="6" t="n">
        <v>104</v>
      </c>
      <c r="B108" s="6" t="s">
        <v>153</v>
      </c>
      <c r="C108" s="6" t="s">
        <v>166</v>
      </c>
      <c r="D108" s="13" t="n">
        <f aca="false">'MTM Bridge'!D259</f>
        <v>0</v>
      </c>
      <c r="E108" s="10" t="n">
        <v>0</v>
      </c>
      <c r="F108" s="14" t="n">
        <f aca="false">D108-E108</f>
        <v>0</v>
      </c>
      <c r="G108" s="8" t="n">
        <v>0</v>
      </c>
      <c r="H108" s="15" t="n">
        <v>1E-007</v>
      </c>
      <c r="I108" s="11" t="str">
        <f aca="false">IF(ABS(F108-G108)&lt;=H108,IF(G108=0,"OK","OK (known)"),"BREAK")</f>
        <v>OK</v>
      </c>
      <c r="J108" s="12"/>
    </row>
    <row r="109" customFormat="false" ht="15" hidden="false" customHeight="false" outlineLevel="0" collapsed="false">
      <c r="A109" s="6" t="n">
        <v>105</v>
      </c>
      <c r="B109" s="6" t="s">
        <v>153</v>
      </c>
      <c r="C109" s="6" t="s">
        <v>167</v>
      </c>
      <c r="D109" s="13" t="n">
        <f aca="false">'MTM Bridge'!D196</f>
        <v>-0</v>
      </c>
      <c r="E109" s="10" t="n">
        <v>0</v>
      </c>
      <c r="F109" s="14" t="n">
        <f aca="false">D109-E109</f>
        <v>-0</v>
      </c>
      <c r="G109" s="8" t="n">
        <v>0</v>
      </c>
      <c r="H109" s="15" t="n">
        <v>1E-007</v>
      </c>
      <c r="I109" s="11" t="str">
        <f aca="false">IF(ABS(F109-G109)&lt;=H109,IF(G109=0,"OK","OK (known)"),"BREAK")</f>
        <v>OK</v>
      </c>
      <c r="J109" s="12"/>
    </row>
    <row r="110" customFormat="false" ht="15" hidden="false" customHeight="false" outlineLevel="0" collapsed="false">
      <c r="A110" s="6" t="n">
        <v>106</v>
      </c>
      <c r="B110" s="6" t="s">
        <v>153</v>
      </c>
      <c r="C110" s="6" t="s">
        <v>168</v>
      </c>
      <c r="D110" s="7" t="n">
        <f aca="false">ABS('MTM Bridge'!D105)+ABS('MTM Bridge'!H105)</f>
        <v>0</v>
      </c>
      <c r="E110" s="8" t="n">
        <v>0</v>
      </c>
      <c r="F110" s="9" t="n">
        <f aca="false">D110-E110</f>
        <v>0</v>
      </c>
      <c r="G110" s="8" t="n">
        <v>0</v>
      </c>
      <c r="H110" s="10" t="n">
        <v>1</v>
      </c>
      <c r="I110" s="11" t="str">
        <f aca="false">IF(ABS(F110-G110)&lt;=H110,IF(G110=0,"OK","OK (known)"),"BREAK")</f>
        <v>OK</v>
      </c>
      <c r="J110" s="12"/>
    </row>
    <row r="111" customFormat="false" ht="15" hidden="false" customHeight="false" outlineLevel="0" collapsed="false">
      <c r="A111" s="6" t="n">
        <v>107</v>
      </c>
      <c r="B111" s="6" t="s">
        <v>153</v>
      </c>
      <c r="C111" s="6" t="s">
        <v>169</v>
      </c>
      <c r="D111" s="7" t="n">
        <f aca="false">ABS('MTM Bridge'!D316)+ABS('MTM Bridge'!E316)+ABS('MTM Bridge'!E333)</f>
        <v>0</v>
      </c>
      <c r="E111" s="8" t="n">
        <v>0</v>
      </c>
      <c r="F111" s="9" t="n">
        <f aca="false">D111-E111</f>
        <v>0</v>
      </c>
      <c r="G111" s="8" t="n">
        <v>0</v>
      </c>
      <c r="H111" s="10" t="n">
        <v>1</v>
      </c>
      <c r="I111" s="11" t="str">
        <f aca="false">IF(ABS(F111-G111)&lt;=H111,IF(G111=0,"OK","OK (known)"),"BREAK")</f>
        <v>OK</v>
      </c>
      <c r="J111" s="12"/>
    </row>
    <row r="112" customFormat="false" ht="15" hidden="false" customHeight="false" outlineLevel="0" collapsed="false">
      <c r="A112" s="6" t="n">
        <v>108</v>
      </c>
      <c r="B112" s="6" t="s">
        <v>81</v>
      </c>
      <c r="C112" s="6" t="s">
        <v>170</v>
      </c>
      <c r="D112" s="7" t="n">
        <f aca="false">'Recon to FS'!C37</f>
        <v>1</v>
      </c>
      <c r="E112" s="8" t="n">
        <v>0</v>
      </c>
      <c r="F112" s="9" t="n">
        <f aca="false">D112-E112</f>
        <v>1</v>
      </c>
      <c r="G112" s="8" t="n">
        <v>0</v>
      </c>
      <c r="H112" s="10" t="n">
        <v>1</v>
      </c>
      <c r="I112" s="11" t="str">
        <f aca="false">IF(ABS(F112-G112)&lt;=H112,IF(G112=0,"OK","OK (known)"),"BREAK")</f>
        <v>OK</v>
      </c>
      <c r="J112" s="12" t="s">
        <v>171</v>
      </c>
    </row>
    <row r="113" customFormat="false" ht="15" hidden="false" customHeight="false" outlineLevel="0" collapsed="false">
      <c r="A113" s="6" t="n">
        <v>109</v>
      </c>
      <c r="B113" s="6" t="s">
        <v>81</v>
      </c>
      <c r="C113" s="6" t="s">
        <v>172</v>
      </c>
      <c r="D113" s="7" t="n">
        <f aca="false">'Recon to FS'!D37</f>
        <v>-0</v>
      </c>
      <c r="E113" s="8" t="n">
        <v>0</v>
      </c>
      <c r="F113" s="9" t="n">
        <f aca="false">D113-E113</f>
        <v>-0</v>
      </c>
      <c r="G113" s="8" t="n">
        <v>0</v>
      </c>
      <c r="H113" s="10" t="n">
        <v>1</v>
      </c>
      <c r="I113" s="11" t="str">
        <f aca="false">IF(ABS(F113-G113)&lt;=H113,IF(G113=0,"OK","OK (known)"),"BREAK")</f>
        <v>OK</v>
      </c>
      <c r="J113" s="12" t="s">
        <v>173</v>
      </c>
    </row>
    <row r="114" customFormat="false" ht="15" hidden="false" customHeight="false" outlineLevel="0" collapsed="false">
      <c r="A114" s="6" t="n">
        <v>110</v>
      </c>
      <c r="B114" s="6" t="s">
        <v>81</v>
      </c>
      <c r="C114" s="6" t="s">
        <v>174</v>
      </c>
      <c r="D114" s="7" t="n">
        <f aca="false">'Recon to FS'!E37+'Recon to FS'!F37</f>
        <v>0</v>
      </c>
      <c r="E114" s="8" t="n">
        <v>0</v>
      </c>
      <c r="F114" s="9" t="n">
        <f aca="false">D114-E114</f>
        <v>0</v>
      </c>
      <c r="G114" s="8" t="n">
        <v>0</v>
      </c>
      <c r="H114" s="10" t="n">
        <v>1</v>
      </c>
      <c r="I114" s="11" t="str">
        <f aca="false">IF(ABS(F114-G114)&lt;=H114,IF(G114=0,"OK","OK (known)"),"BREAK")</f>
        <v>OK</v>
      </c>
      <c r="J114" s="12"/>
    </row>
    <row r="116" customFormat="false" ht="15" hidden="false" customHeight="false" outlineLevel="0" collapsed="false">
      <c r="C116" s="11" t="s">
        <v>175</v>
      </c>
      <c r="D116" s="16" t="n">
        <f aca="false">COUNTA(I5:I114)</f>
        <v>110</v>
      </c>
    </row>
    <row r="117" customFormat="false" ht="15" hidden="false" customHeight="false" outlineLevel="0" collapsed="false">
      <c r="C117" s="11" t="s">
        <v>176</v>
      </c>
      <c r="D117" s="16" t="n">
        <f aca="false">COUNTIF(I5:I114,"OK")</f>
        <v>107</v>
      </c>
    </row>
    <row r="118" customFormat="false" ht="15" hidden="false" customHeight="false" outlineLevel="0" collapsed="false">
      <c r="C118" s="11" t="s">
        <v>177</v>
      </c>
      <c r="D118" s="16" t="n">
        <f aca="false">COUNTIF(I5:I114,"OK (known)")</f>
        <v>3</v>
      </c>
    </row>
    <row r="119" customFormat="false" ht="15" hidden="false" customHeight="false" outlineLevel="0" collapsed="false">
      <c r="C119" s="11" t="s">
        <v>178</v>
      </c>
      <c r="D119" s="17" t="n">
        <f aca="false">COUNTIF(I5:I114,"BREAK")</f>
        <v>0</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3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26"/>
    <col collapsed="false" customWidth="true" hidden="false" outlineLevel="0" max="13" min="4" style="0" width="14"/>
    <col collapsed="false" customWidth="true" hidden="false" outlineLevel="0" max="14" min="14" style="0" width="44"/>
    <col collapsed="false" customWidth="true" hidden="false" outlineLevel="0" max="15" min="15" style="0" width="11"/>
    <col collapsed="false" customWidth="true" hidden="false" outlineLevel="0" max="19" min="16" style="0" width="13"/>
  </cols>
  <sheetData>
    <row r="1" customFormat="false" ht="15" hidden="false" customHeight="false" outlineLevel="0" collapsed="false">
      <c r="A1" s="1" t="s">
        <v>179</v>
      </c>
    </row>
    <row r="2" customFormat="false" ht="15" hidden="false" customHeight="false" outlineLevel="0" collapsed="false">
      <c r="A2" s="4" t="s">
        <v>180</v>
      </c>
    </row>
    <row r="4" customFormat="false" ht="15" hidden="false" customHeight="false" outlineLevel="0" collapsed="false">
      <c r="B4" s="18" t="s">
        <v>181</v>
      </c>
    </row>
    <row r="5" customFormat="false" ht="30" hidden="false" customHeight="true" outlineLevel="0" collapsed="false">
      <c r="B5" s="5" t="s">
        <v>182</v>
      </c>
      <c r="C5" s="5" t="s">
        <v>183</v>
      </c>
      <c r="D5" s="5" t="s">
        <v>184</v>
      </c>
      <c r="E5" s="5" t="s">
        <v>185</v>
      </c>
      <c r="F5" s="5" t="s">
        <v>186</v>
      </c>
      <c r="G5" s="5" t="s">
        <v>187</v>
      </c>
      <c r="H5" s="5" t="s">
        <v>188</v>
      </c>
      <c r="I5" s="5"/>
      <c r="J5" s="5"/>
      <c r="K5" s="5"/>
      <c r="L5" s="5"/>
      <c r="M5" s="5"/>
      <c r="N5" s="5" t="s">
        <v>40</v>
      </c>
    </row>
    <row r="6" customFormat="false" ht="15" hidden="false" customHeight="false" outlineLevel="0" collapsed="false">
      <c r="B6" s="6" t="s">
        <v>189</v>
      </c>
      <c r="C6" s="12" t="s">
        <v>190</v>
      </c>
      <c r="D6" s="19" t="n">
        <f aca="false">'Segment GP'!H6/1000000</f>
        <v>246.53216</v>
      </c>
      <c r="E6" s="19" t="n">
        <f aca="false">'Segment GP'!M6/1000000</f>
        <v>2691.68699031342</v>
      </c>
      <c r="F6" s="20" t="n">
        <f aca="false">IFERROR(E6-D6,0)</f>
        <v>2445.15483031342</v>
      </c>
      <c r="G6" s="21" t="n">
        <f aca="false">IFERROR(F6/ABS(D6),0)</f>
        <v>9.91819821930504</v>
      </c>
      <c r="H6" s="19" t="n">
        <f aca="false">'Segment GP'!N6/1000000</f>
        <v>5676.78638781342</v>
      </c>
      <c r="N6" s="12"/>
    </row>
    <row r="7" customFormat="false" ht="15" hidden="false" customHeight="false" outlineLevel="0" collapsed="false">
      <c r="B7" s="6" t="s">
        <v>191</v>
      </c>
      <c r="C7" s="12" t="s">
        <v>190</v>
      </c>
      <c r="D7" s="19" t="n">
        <f aca="false">'Segment GP'!H7/1000000</f>
        <v>2876.4257882</v>
      </c>
      <c r="E7" s="19" t="n">
        <f aca="false">'Segment GP'!M7/1000000</f>
        <v>5670.07391268658</v>
      </c>
      <c r="F7" s="20" t="n">
        <f aca="false">IFERROR(E7-D7,0)</f>
        <v>2793.64812448658</v>
      </c>
      <c r="G7" s="21" t="n">
        <f aca="false">IFERROR(F7/ABS(D7),0)</f>
        <v>0.971222040890815</v>
      </c>
      <c r="H7" s="19" t="n">
        <f aca="false">'Segment GP'!N7/1000000</f>
        <v>9663.04399588658</v>
      </c>
      <c r="N7" s="12"/>
    </row>
    <row r="8" customFormat="false" ht="15" hidden="false" customHeight="false" outlineLevel="0" collapsed="false">
      <c r="B8" s="6" t="s">
        <v>192</v>
      </c>
      <c r="C8" s="12" t="s">
        <v>190</v>
      </c>
      <c r="D8" s="19" t="n">
        <f aca="false">'Segment GP'!H9/1000000</f>
        <v>3122.9579482</v>
      </c>
      <c r="E8" s="19" t="n">
        <f aca="false">'Segment GP'!M9/1000000</f>
        <v>8361.760903</v>
      </c>
      <c r="F8" s="20" t="n">
        <f aca="false">IFERROR(E8-D8,0)</f>
        <v>5238.8029548</v>
      </c>
      <c r="G8" s="21" t="n">
        <f aca="false">IFERROR(F8/ABS(D8),0)</f>
        <v>1.6775131275205</v>
      </c>
      <c r="H8" s="19" t="n">
        <f aca="false">'Segment GP'!N9/1000000</f>
        <v>15339.8303837</v>
      </c>
      <c r="N8" s="12"/>
    </row>
    <row r="9" customFormat="false" ht="15" hidden="false" customHeight="false" outlineLevel="0" collapsed="false">
      <c r="B9" s="6" t="s">
        <v>193</v>
      </c>
      <c r="C9" s="12" t="s">
        <v>190</v>
      </c>
      <c r="D9" s="19" t="n">
        <f aca="false">'Segment GP'!H34/1000000</f>
        <v>363.051373309999</v>
      </c>
      <c r="E9" s="19" t="n">
        <f aca="false">'Segment GP'!M34/1000000</f>
        <v>306.138137081587</v>
      </c>
      <c r="F9" s="20" t="n">
        <f aca="false">IFERROR(E9-D9,0)</f>
        <v>-56.9132362284126</v>
      </c>
      <c r="G9" s="21" t="n">
        <f aca="false">IFERROR(F9/ABS(D9),0)</f>
        <v>-0.156763588881445</v>
      </c>
      <c r="H9" s="19" t="n">
        <f aca="false">'Segment GP'!N34/1000000</f>
        <v>389.841622371588</v>
      </c>
      <c r="N9" s="12"/>
    </row>
    <row r="10" customFormat="false" ht="15" hidden="false" customHeight="false" outlineLevel="0" collapsed="false">
      <c r="B10" s="6" t="s">
        <v>194</v>
      </c>
      <c r="C10" s="12" t="s">
        <v>195</v>
      </c>
      <c r="D10" s="22" t="n">
        <f aca="false">'Segment GP'!H35</f>
        <v>-0.00615186485203403</v>
      </c>
      <c r="E10" s="22" t="n">
        <f aca="false">'Segment GP'!M35</f>
        <v>-0.0235771258593756</v>
      </c>
      <c r="F10" s="21" t="n">
        <f aca="false">IFERROR(E10-D10,0)</f>
        <v>-0.0174252610073416</v>
      </c>
      <c r="H10" s="22" t="n">
        <f aca="false">'Segment GP'!N35</f>
        <v>-0.0190690737786171</v>
      </c>
      <c r="N10" s="12"/>
    </row>
    <row r="11" customFormat="false" ht="15" hidden="false" customHeight="false" outlineLevel="0" collapsed="false">
      <c r="B11" s="6" t="s">
        <v>196</v>
      </c>
      <c r="C11" s="12" t="s">
        <v>195</v>
      </c>
      <c r="D11" s="22" t="n">
        <f aca="false">'Segment GP'!H36</f>
        <v>0.168324343818021</v>
      </c>
      <c r="E11" s="22" t="n">
        <f aca="false">'Segment GP'!M36</f>
        <v>0.0828818525583525</v>
      </c>
      <c r="F11" s="21" t="n">
        <f aca="false">IFERROR(E11-D11,0)</f>
        <v>-0.0854424912596688</v>
      </c>
      <c r="H11" s="22" t="n">
        <f aca="false">'Segment GP'!N36</f>
        <v>0.111895090069601</v>
      </c>
      <c r="N11" s="12"/>
    </row>
    <row r="12" customFormat="false" ht="15" hidden="false" customHeight="false" outlineLevel="0" collapsed="false">
      <c r="B12" s="6" t="s">
        <v>197</v>
      </c>
      <c r="C12" s="12" t="s">
        <v>195</v>
      </c>
      <c r="D12" s="22" t="n">
        <f aca="false">'Segment GP'!H38</f>
        <v>0.116252405357957</v>
      </c>
      <c r="E12" s="22" t="n">
        <f aca="false">'Segment GP'!M38</f>
        <v>0.0366116827104865</v>
      </c>
      <c r="F12" s="21" t="n">
        <f aca="false">IFERROR(E12-D12,0)</f>
        <v>-0.0796407226474703</v>
      </c>
      <c r="H12" s="22" t="n">
        <f aca="false">'Segment GP'!N38</f>
        <v>0.0254136853290002</v>
      </c>
      <c r="N12" s="12"/>
    </row>
    <row r="13" customFormat="false" ht="15" hidden="false" customHeight="false" outlineLevel="0" collapsed="false">
      <c r="B13" s="6" t="s">
        <v>198</v>
      </c>
      <c r="C13" s="12" t="s">
        <v>199</v>
      </c>
      <c r="D13" s="19" t="n">
        <f aca="false">'Segment GP'!H40/1000</f>
        <v>12.57601</v>
      </c>
      <c r="E13" s="19" t="n">
        <f aca="false">'Segment GP'!M40/1000</f>
        <v>95.54572</v>
      </c>
      <c r="F13" s="20" t="n">
        <f aca="false">IFERROR(E13-D13,0)</f>
        <v>82.96971</v>
      </c>
      <c r="G13" s="21" t="n">
        <f aca="false">IFERROR(F13/ABS(D13),0)</f>
        <v>6.59745897148619</v>
      </c>
      <c r="H13" s="19" t="n">
        <f aca="false">'Segment GP'!N40/1000</f>
        <v>239.68339</v>
      </c>
      <c r="N13" s="12"/>
    </row>
    <row r="14" customFormat="false" ht="15" hidden="false" customHeight="false" outlineLevel="0" collapsed="false">
      <c r="B14" s="6" t="s">
        <v>200</v>
      </c>
      <c r="C14" s="12" t="s">
        <v>199</v>
      </c>
      <c r="D14" s="19" t="n">
        <f aca="false">'Segment GP'!H41/1000</f>
        <v>86.9467</v>
      </c>
      <c r="E14" s="19" t="n">
        <f aca="false">'Segment GP'!M41/1000</f>
        <v>168.92498</v>
      </c>
      <c r="F14" s="20" t="n">
        <f aca="false">IFERROR(E14-D14,0)</f>
        <v>81.97828</v>
      </c>
      <c r="G14" s="21" t="n">
        <f aca="false">IFERROR(F14/ABS(D14),0)</f>
        <v>0.942856715666034</v>
      </c>
      <c r="H14" s="19" t="n">
        <f aca="false">'Segment GP'!N41/1000</f>
        <v>288.43437</v>
      </c>
      <c r="N14" s="12"/>
    </row>
    <row r="15" customFormat="false" ht="15" hidden="false" customHeight="false" outlineLevel="0" collapsed="false">
      <c r="B15" s="6" t="s">
        <v>201</v>
      </c>
      <c r="C15" s="12" t="s">
        <v>202</v>
      </c>
      <c r="D15" s="7" t="n">
        <f aca="false">'Segment GP'!H44</f>
        <v>19603.3686359982</v>
      </c>
      <c r="E15" s="7" t="n">
        <f aca="false">'Segment GP'!M44</f>
        <v>28171.7170618781</v>
      </c>
      <c r="F15" s="9" t="n">
        <f aca="false">IFERROR(E15-D15,0)</f>
        <v>8568.34842587984</v>
      </c>
      <c r="G15" s="21" t="n">
        <f aca="false">IFERROR(F15/ABS(D15),0)</f>
        <v>0.437085512443282</v>
      </c>
      <c r="H15" s="7" t="n">
        <f aca="false">'Segment GP'!N44</f>
        <v>23684.5214339359</v>
      </c>
      <c r="N15" s="12"/>
    </row>
    <row r="16" customFormat="false" ht="15" hidden="false" customHeight="false" outlineLevel="0" collapsed="false">
      <c r="B16" s="6" t="s">
        <v>203</v>
      </c>
      <c r="C16" s="12" t="s">
        <v>202</v>
      </c>
      <c r="D16" s="7" t="n">
        <f aca="false">'Segment GP'!H48</f>
        <v>33082.6332477253</v>
      </c>
      <c r="E16" s="7" t="n">
        <f aca="false">'Segment GP'!M48</f>
        <v>33565.6331744812</v>
      </c>
      <c r="F16" s="9" t="n">
        <f aca="false">IFERROR(E16-D16,0)</f>
        <v>482.999926755889</v>
      </c>
      <c r="G16" s="21" t="n">
        <f aca="false">IFERROR(F16/ABS(D16),0)</f>
        <v>0.0145998029582212</v>
      </c>
      <c r="H16" s="7" t="n">
        <f aca="false">'Segment GP'!N48</f>
        <v>33501.707843925</v>
      </c>
      <c r="N16" s="12"/>
    </row>
    <row r="17" customFormat="false" ht="15" hidden="false" customHeight="false" outlineLevel="0" collapsed="false">
      <c r="B17" s="6" t="s">
        <v>204</v>
      </c>
      <c r="C17" s="12" t="s">
        <v>202</v>
      </c>
      <c r="D17" s="7" t="n">
        <f aca="false">-'Segment GP'!H49</f>
        <v>27514.0207145297</v>
      </c>
      <c r="E17" s="7" t="n">
        <f aca="false">-'Segment GP'!M49</f>
        <v>30783.6513146861</v>
      </c>
      <c r="F17" s="9" t="n">
        <f aca="false">IFERROR(E17-D17,0)</f>
        <v>3269.63060015641</v>
      </c>
      <c r="G17" s="21" t="n">
        <f aca="false">IFERROR(F17/ABS(D17),0)</f>
        <v>0.118835070820085</v>
      </c>
      <c r="N17" s="12"/>
    </row>
    <row r="18" customFormat="false" ht="15" hidden="false" customHeight="false" outlineLevel="0" collapsed="false">
      <c r="B18" s="6" t="s">
        <v>205</v>
      </c>
      <c r="C18" s="12" t="s">
        <v>195</v>
      </c>
      <c r="D18" s="22" t="n">
        <f aca="false">'Segment GP'!H6/'Segment GP'!H9</f>
        <v>0.0789418762881823</v>
      </c>
      <c r="E18" s="22" t="n">
        <f aca="false">'Segment GP'!M6/'Segment GP'!M9</f>
        <v>0.321904323926281</v>
      </c>
      <c r="F18" s="21" t="n">
        <f aca="false">IFERROR(E18-D18,0)</f>
        <v>0.242962447638099</v>
      </c>
      <c r="N18" s="12"/>
    </row>
    <row r="19" customFormat="false" ht="15" hidden="false" customHeight="false" outlineLevel="0" collapsed="false">
      <c r="B19" s="6" t="s">
        <v>206</v>
      </c>
      <c r="C19" s="12" t="s">
        <v>199</v>
      </c>
      <c r="D19" s="20" t="n">
        <v>4.1017</v>
      </c>
      <c r="E19" s="19" t="n">
        <f aca="false">'Batch Economics'!G18/1000</f>
        <v>140.71904</v>
      </c>
      <c r="F19" s="20" t="n">
        <f aca="false">IFERROR(E19-D19,0)</f>
        <v>136.61734</v>
      </c>
      <c r="G19" s="21" t="n">
        <f aca="false">IFERROR(F19/ABS(D19),0)</f>
        <v>33.3074920155058</v>
      </c>
      <c r="N19" s="12" t="s">
        <v>207</v>
      </c>
    </row>
    <row r="20" customFormat="false" ht="15" hidden="false" customHeight="false" outlineLevel="0" collapsed="false">
      <c r="B20" s="6" t="s">
        <v>208</v>
      </c>
      <c r="C20" s="12" t="s">
        <v>202</v>
      </c>
      <c r="D20" s="9" t="n">
        <v>12350</v>
      </c>
      <c r="E20" s="7" t="n">
        <f aca="false">'Batch Economics'!L18</f>
        <v>24472.1203473247</v>
      </c>
      <c r="F20" s="9" t="n">
        <f aca="false">IFERROR(E20-D20,0)</f>
        <v>12122.1203473247</v>
      </c>
      <c r="G20" s="21" t="n">
        <f aca="false">IFERROR(F20/ABS(D20),0)</f>
        <v>0.98154820626111</v>
      </c>
      <c r="N20" s="12" t="s">
        <v>209</v>
      </c>
    </row>
    <row r="21" customFormat="false" ht="15" hidden="false" customHeight="false" outlineLevel="0" collapsed="false">
      <c r="B21" s="6" t="s">
        <v>210</v>
      </c>
      <c r="C21" s="12" t="s">
        <v>31</v>
      </c>
      <c r="D21" s="23" t="n">
        <v>1</v>
      </c>
      <c r="E21" s="23" t="n">
        <v>12</v>
      </c>
      <c r="F21" s="23" t="n">
        <f aca="false">IFERROR(E21-D21,0)</f>
        <v>11</v>
      </c>
      <c r="N21" s="12"/>
    </row>
    <row r="22" customFormat="false" ht="15" hidden="false" customHeight="false" outlineLevel="0" collapsed="false">
      <c r="B22" s="6" t="s">
        <v>211</v>
      </c>
      <c r="C22" s="12" t="s">
        <v>195</v>
      </c>
      <c r="D22" s="21" t="s">
        <v>212</v>
      </c>
      <c r="E22" s="22" t="n">
        <f aca="false">'Batch Economics'!O18</f>
        <v>0.0627977564372242</v>
      </c>
      <c r="N22" s="12"/>
    </row>
    <row r="23" customFormat="false" ht="15" hidden="false" customHeight="false" outlineLevel="0" collapsed="false">
      <c r="B23" s="6" t="s">
        <v>213</v>
      </c>
      <c r="C23" s="12" t="s">
        <v>195</v>
      </c>
      <c r="D23" s="21" t="s">
        <v>212</v>
      </c>
      <c r="E23" s="22" t="n">
        <f aca="false">'Batch Economics'!AD18</f>
        <v>0.736709730350267</v>
      </c>
      <c r="N23" s="12"/>
    </row>
    <row r="24" customFormat="false" ht="15" hidden="false" customHeight="false" outlineLevel="0" collapsed="false">
      <c r="B24" s="6" t="s">
        <v>214</v>
      </c>
      <c r="C24" s="12" t="s">
        <v>195</v>
      </c>
      <c r="D24" s="21" t="s">
        <v>212</v>
      </c>
      <c r="E24" s="22" t="n">
        <f aca="false">'Batch Economics'!AF18</f>
        <v>0.593207621741292</v>
      </c>
      <c r="N24" s="12"/>
    </row>
    <row r="25" customFormat="false" ht="15" hidden="false" customHeight="false" outlineLevel="0" collapsed="false">
      <c r="B25" s="6" t="s">
        <v>215</v>
      </c>
      <c r="C25" s="12" t="s">
        <v>216</v>
      </c>
      <c r="D25" s="9" t="s">
        <v>212</v>
      </c>
      <c r="E25" s="7" t="n">
        <f aca="false">'Batch Economics'!AK18</f>
        <v>1289.09350149063</v>
      </c>
      <c r="N25" s="12"/>
    </row>
    <row r="26" customFormat="false" ht="15" hidden="false" customHeight="false" outlineLevel="0" collapsed="false">
      <c r="B26" s="6" t="s">
        <v>217</v>
      </c>
      <c r="C26" s="12" t="s">
        <v>195</v>
      </c>
      <c r="D26" s="21" t="s">
        <v>212</v>
      </c>
      <c r="E26" s="22" t="n">
        <f aca="false">'Batch Economics'!K18/'Batch Economics'!H18</f>
        <v>0.896770650689166</v>
      </c>
      <c r="N26" s="12"/>
    </row>
    <row r="27" customFormat="false" ht="15" hidden="false" customHeight="false" outlineLevel="0" collapsed="false">
      <c r="B27" s="6" t="s">
        <v>218</v>
      </c>
      <c r="C27" s="12" t="s">
        <v>199</v>
      </c>
      <c r="D27" s="19" t="n">
        <f aca="false">SUMIFS('MA Engine'!$K$6:$K$1110,'MA Engine'!$C$6:$C$1110,"Trading",'MA Engine'!$H$6:$H$1110,7,'MA Engine'!$I$6:$I$1110,"Receipt")/1000</f>
        <v>106.94875</v>
      </c>
      <c r="E27" s="19" t="n">
        <f aca="false">SUMIFS('MA Engine'!$K$6:$K$1110,'MA Engine'!$C$6:$C$1110,"Trading",'MA Engine'!$H$6:$H$1110,8,'MA Engine'!$I$6:$I$1110,"Receipt")/1000</f>
        <v>159.27977</v>
      </c>
      <c r="F27" s="20" t="n">
        <f aca="false">IFERROR(E27-D27,0)</f>
        <v>52.33102</v>
      </c>
      <c r="G27" s="21" t="n">
        <f aca="false">IFERROR(F27/ABS(D27),0)</f>
        <v>0.48930931871574</v>
      </c>
      <c r="N27" s="12" t="s">
        <v>219</v>
      </c>
    </row>
    <row r="28" customFormat="false" ht="15" hidden="false" customHeight="false" outlineLevel="0" collapsed="false">
      <c r="B28" s="6" t="s">
        <v>220</v>
      </c>
      <c r="C28" s="12" t="s">
        <v>202</v>
      </c>
      <c r="D28" s="7" t="n">
        <f aca="false">SUMIFS('MA Engine'!$L$6:$L$1110,'MA Engine'!$C$6:$C$1110,"Trading",'MA Engine'!$H$6:$H$1110,7,'MA Engine'!$I$6:$I$1110,"Receipt")/SUMIFS('MA Engine'!$K$6:$K$1110,'MA Engine'!$C$6:$C$1110,"Trading",'MA Engine'!$H$6:$H$1110,7,'MA Engine'!$I$6:$I$1110,"Receipt")</f>
        <v>26671.8716675043</v>
      </c>
      <c r="E28" s="7" t="n">
        <f aca="false">SUMIFS('MA Engine'!$L$6:$L$1110,'MA Engine'!$C$6:$C$1110,"Trading",'MA Engine'!$H$6:$H$1110,8,'MA Engine'!$I$6:$I$1110,"Receipt")/SUMIFS('MA Engine'!$K$6:$K$1110,'MA Engine'!$C$6:$C$1110,"Trading",'MA Engine'!$H$6:$H$1110,8,'MA Engine'!$I$6:$I$1110,"Receipt")</f>
        <v>29711.4045200467</v>
      </c>
      <c r="F28" s="9" t="n">
        <f aca="false">IFERROR(E28-D28,0)</f>
        <v>3039.53285254241</v>
      </c>
      <c r="G28" s="21" t="n">
        <f aca="false">IFERROR(F28/ABS(D28),0)</f>
        <v>0.113960238352737</v>
      </c>
      <c r="N28" s="12"/>
    </row>
    <row r="29" customFormat="false" ht="15" hidden="false" customHeight="false" outlineLevel="0" collapsed="false">
      <c r="B29" s="6" t="s">
        <v>221</v>
      </c>
      <c r="C29" s="12" t="s">
        <v>195</v>
      </c>
      <c r="D29" s="22" t="n">
        <f aca="false">SUMIFS('Data SKU'!$F$5:$F$116,'Data SKU'!$A$5:$A$116,"Trading",'Data SKU'!$B$5:$B$116,"Karkas",'Data SKU'!$D$5:$D$116,7)/'Segment GP'!H41</f>
        <v>0.160896963312006</v>
      </c>
      <c r="E29" s="22" t="n">
        <f aca="false">SUMIFS('Data SKU'!$F$5:$F$116,'Data SKU'!$A$5:$A$116,"Trading",'Data SKU'!$B$5:$B$116,"Karkas",'Data SKU'!$D$5:$D$116,8)/'Segment GP'!M41</f>
        <v>0.549892680170807</v>
      </c>
      <c r="F29" s="21" t="n">
        <f aca="false">IFERROR(E29-D29,0)</f>
        <v>0.388995716858801</v>
      </c>
      <c r="N29" s="12"/>
    </row>
    <row r="30" customFormat="false" ht="15" hidden="false" customHeight="false" outlineLevel="0" collapsed="false">
      <c r="B30" s="6" t="s">
        <v>222</v>
      </c>
      <c r="C30" s="12" t="s">
        <v>31</v>
      </c>
      <c r="D30" s="24" t="n">
        <f aca="false">SUMPRODUCT((I_Sales_Inv!$A$5:$A$228=7)/COUNTIFS(I_Sales_Inv!$D$5:$D$228,I_Sales_Inv!$D$5:$D$228,I_Sales_Inv!$A$5:$A$228,I_Sales_Inv!$A$5:$A$228))</f>
        <v>22</v>
      </c>
      <c r="E30" s="24" t="n">
        <f aca="false">SUMPRODUCT((I_Sales_Inv!$A$5:$A$228=8)/COUNTIFS(I_Sales_Inv!$D$5:$D$228,I_Sales_Inv!$D$5:$D$228,I_Sales_Inv!$A$5:$A$228,I_Sales_Inv!$A$5:$A$228))</f>
        <v>26</v>
      </c>
      <c r="F30" s="23" t="n">
        <f aca="false">IFERROR(E30-D30,0)</f>
        <v>4</v>
      </c>
      <c r="N30" s="12"/>
    </row>
    <row r="32" customFormat="false" ht="15" hidden="false" customHeight="false" outlineLevel="0" collapsed="false">
      <c r="B32" s="18" t="s">
        <v>223</v>
      </c>
    </row>
    <row r="33" customFormat="false" ht="30" hidden="false" customHeight="true" outlineLevel="0" collapsed="false">
      <c r="B33" s="5" t="s">
        <v>224</v>
      </c>
      <c r="C33" s="5" t="s">
        <v>225</v>
      </c>
      <c r="D33" s="5" t="s">
        <v>226</v>
      </c>
      <c r="E33" s="5" t="s">
        <v>227</v>
      </c>
      <c r="F33" s="5" t="s">
        <v>228</v>
      </c>
      <c r="G33" s="5" t="s">
        <v>229</v>
      </c>
      <c r="H33" s="5" t="s">
        <v>230</v>
      </c>
      <c r="I33" s="5" t="s">
        <v>231</v>
      </c>
      <c r="J33" s="5" t="s">
        <v>232</v>
      </c>
      <c r="K33" s="5" t="s">
        <v>233</v>
      </c>
      <c r="L33" s="5" t="s">
        <v>234</v>
      </c>
      <c r="M33" s="5" t="s">
        <v>235</v>
      </c>
      <c r="N33" s="5" t="s">
        <v>40</v>
      </c>
    </row>
    <row r="34" customFormat="false" ht="15" hidden="false" customHeight="false" outlineLevel="0" collapsed="false">
      <c r="B34" s="6" t="s">
        <v>236</v>
      </c>
      <c r="C34" s="6" t="s">
        <v>237</v>
      </c>
      <c r="D34" s="7" t="n">
        <f aca="false">'SKU Summary'!F6</f>
        <v>0</v>
      </c>
      <c r="E34" s="9" t="n">
        <f aca="false">IF(AND(J34&gt;0,K34&gt;0),(K34-J34)*L34,0)</f>
        <v>0</v>
      </c>
      <c r="F34" s="9" t="n">
        <f aca="false">IF(AND(J34&gt;0,K34&gt;0),(M34-L34)*K34,0)</f>
        <v>0</v>
      </c>
      <c r="G34" s="9" t="n">
        <f aca="false">IF(AND(J34&gt;0,K34&gt;0),0,IF(J34&gt;0,-D34,0)+IF(K34&gt;0,I34,0))</f>
        <v>9281170</v>
      </c>
      <c r="H34" s="9" t="n">
        <f aca="false">I34-D34-E34-F34-G34</f>
        <v>0</v>
      </c>
      <c r="I34" s="7" t="n">
        <f aca="false">'SKU Summary'!L6</f>
        <v>9281170</v>
      </c>
      <c r="J34" s="7" t="n">
        <f aca="false">'SKU Summary'!E6</f>
        <v>0</v>
      </c>
      <c r="K34" s="7" t="n">
        <f aca="false">'SKU Summary'!K6</f>
        <v>226.37</v>
      </c>
      <c r="L34" s="7" t="n">
        <f aca="false">'SKU Summary'!G6</f>
        <v>0</v>
      </c>
      <c r="M34" s="7" t="n">
        <f aca="false">'SKU Summary'!M6</f>
        <v>41000</v>
      </c>
    </row>
    <row r="35" customFormat="false" ht="15" hidden="false" customHeight="false" outlineLevel="0" collapsed="false">
      <c r="B35" s="6" t="s">
        <v>236</v>
      </c>
      <c r="C35" s="6" t="s">
        <v>238</v>
      </c>
      <c r="D35" s="7" t="n">
        <f aca="false">'SKU Summary'!F7</f>
        <v>46002000</v>
      </c>
      <c r="E35" s="9" t="n">
        <f aca="false">IF(AND(J35&gt;0,K35&gt;0),(K35-J35)*L35,0)</f>
        <v>18343400</v>
      </c>
      <c r="F35" s="9" t="n">
        <f aca="false">IF(AND(J35&gt;0,K35&gt;0),(M35-L35)*K35,0)</f>
        <v>0</v>
      </c>
      <c r="G35" s="9" t="n">
        <f aca="false">IF(AND(J35&gt;0,K35&gt;0),0,IF(J35&gt;0,-D35,0)+IF(K35&gt;0,I35,0))</f>
        <v>0</v>
      </c>
      <c r="H35" s="9" t="n">
        <f aca="false">I35-D35-E35-F35-G35</f>
        <v>0</v>
      </c>
      <c r="I35" s="7" t="n">
        <f aca="false">'SKU Summary'!L7</f>
        <v>64345400</v>
      </c>
      <c r="J35" s="7" t="n">
        <f aca="false">'SKU Summary'!E7</f>
        <v>1122</v>
      </c>
      <c r="K35" s="7" t="n">
        <f aca="false">'SKU Summary'!K7</f>
        <v>1569.4</v>
      </c>
      <c r="L35" s="7" t="n">
        <f aca="false">'SKU Summary'!G7</f>
        <v>41000</v>
      </c>
      <c r="M35" s="7" t="n">
        <f aca="false">'SKU Summary'!M7</f>
        <v>41000</v>
      </c>
    </row>
    <row r="36" customFormat="false" ht="15" hidden="false" customHeight="false" outlineLevel="0" collapsed="false">
      <c r="B36" s="6" t="s">
        <v>239</v>
      </c>
      <c r="C36" s="6" t="s">
        <v>237</v>
      </c>
      <c r="D36" s="7" t="n">
        <f aca="false">'SKU Summary'!F8</f>
        <v>0</v>
      </c>
      <c r="E36" s="9" t="n">
        <f aca="false">IF(AND(J36&gt;0,K36&gt;0),(K36-J36)*L36,0)</f>
        <v>0</v>
      </c>
      <c r="F36" s="9" t="n">
        <f aca="false">IF(AND(J36&gt;0,K36&gt;0),(M36-L36)*K36,0)</f>
        <v>0</v>
      </c>
      <c r="G36" s="9" t="n">
        <f aca="false">IF(AND(J36&gt;0,K36&gt;0),0,IF(J36&gt;0,-D36,0)+IF(K36&gt;0,I36,0))</f>
        <v>10982800</v>
      </c>
      <c r="H36" s="9" t="n">
        <f aca="false">I36-D36-E36-F36-G36</f>
        <v>0</v>
      </c>
      <c r="I36" s="7" t="n">
        <f aca="false">'SKU Summary'!L8</f>
        <v>10982800</v>
      </c>
      <c r="J36" s="7" t="n">
        <f aca="false">'SKU Summary'!E8</f>
        <v>0</v>
      </c>
      <c r="K36" s="7" t="n">
        <f aca="false">'SKU Summary'!K8</f>
        <v>274.57</v>
      </c>
      <c r="L36" s="7" t="n">
        <f aca="false">'SKU Summary'!G8</f>
        <v>0</v>
      </c>
      <c r="M36" s="7" t="n">
        <f aca="false">'SKU Summary'!M8</f>
        <v>40000</v>
      </c>
    </row>
    <row r="37" customFormat="false" ht="15" hidden="false" customHeight="false" outlineLevel="0" collapsed="false">
      <c r="B37" s="6" t="s">
        <v>239</v>
      </c>
      <c r="C37" s="6" t="s">
        <v>238</v>
      </c>
      <c r="D37" s="7" t="n">
        <f aca="false">'SKU Summary'!F9</f>
        <v>0</v>
      </c>
      <c r="E37" s="9" t="n">
        <f aca="false">IF(AND(J37&gt;0,K37&gt;0),(K37-J37)*L37,0)</f>
        <v>0</v>
      </c>
      <c r="F37" s="9" t="n">
        <f aca="false">IF(AND(J37&gt;0,K37&gt;0),(M37-L37)*K37,0)</f>
        <v>0</v>
      </c>
      <c r="G37" s="9" t="n">
        <f aca="false">IF(AND(J37&gt;0,K37&gt;0),0,IF(J37&gt;0,-D37,0)+IF(K37&gt;0,I37,0))</f>
        <v>96460400</v>
      </c>
      <c r="H37" s="9" t="n">
        <f aca="false">I37-D37-E37-F37-G37</f>
        <v>0</v>
      </c>
      <c r="I37" s="7" t="n">
        <f aca="false">'SKU Summary'!L9</f>
        <v>96460400</v>
      </c>
      <c r="J37" s="7" t="n">
        <f aca="false">'SKU Summary'!E9</f>
        <v>0</v>
      </c>
      <c r="K37" s="7" t="n">
        <f aca="false">'SKU Summary'!K9</f>
        <v>2411.51</v>
      </c>
      <c r="L37" s="7" t="n">
        <f aca="false">'SKU Summary'!G9</f>
        <v>0</v>
      </c>
      <c r="M37" s="7" t="n">
        <f aca="false">'SKU Summary'!M9</f>
        <v>40000</v>
      </c>
    </row>
    <row r="38" customFormat="false" ht="15" hidden="false" customHeight="false" outlineLevel="0" collapsed="false">
      <c r="B38" s="6" t="s">
        <v>240</v>
      </c>
      <c r="C38" s="6" t="s">
        <v>241</v>
      </c>
      <c r="D38" s="7" t="n">
        <f aca="false">'SKU Summary'!F10</f>
        <v>0</v>
      </c>
      <c r="E38" s="9" t="n">
        <f aca="false">IF(AND(J38&gt;0,K38&gt;0),(K38-J38)*L38,0)</f>
        <v>0</v>
      </c>
      <c r="F38" s="9" t="n">
        <f aca="false">IF(AND(J38&gt;0,K38&gt;0),(M38-L38)*K38,0)</f>
        <v>0</v>
      </c>
      <c r="G38" s="9" t="n">
        <f aca="false">IF(AND(J38&gt;0,K38&gt;0),0,IF(J38&gt;0,-D38,0)+IF(K38&gt;0,I38,0))</f>
        <v>317493234</v>
      </c>
      <c r="H38" s="9" t="n">
        <f aca="false">I38-D38-E38-F38-G38</f>
        <v>0</v>
      </c>
      <c r="I38" s="7" t="n">
        <f aca="false">'SKU Summary'!L10</f>
        <v>317493234</v>
      </c>
      <c r="J38" s="7" t="n">
        <f aca="false">'SKU Summary'!E10</f>
        <v>0</v>
      </c>
      <c r="K38" s="7" t="n">
        <f aca="false">'SKU Summary'!K10</f>
        <v>9061.48</v>
      </c>
      <c r="L38" s="7" t="n">
        <f aca="false">'SKU Summary'!G10</f>
        <v>0</v>
      </c>
      <c r="M38" s="7" t="n">
        <f aca="false">'SKU Summary'!M10</f>
        <v>35037.6797167792</v>
      </c>
    </row>
    <row r="39" customFormat="false" ht="15" hidden="false" customHeight="false" outlineLevel="0" collapsed="false">
      <c r="B39" s="6" t="s">
        <v>242</v>
      </c>
      <c r="C39" s="6" t="s">
        <v>237</v>
      </c>
      <c r="D39" s="7" t="n">
        <f aca="false">'SKU Summary'!F11</f>
        <v>0</v>
      </c>
      <c r="E39" s="9" t="n">
        <f aca="false">IF(AND(J39&gt;0,K39&gt;0),(K39-J39)*L39,0)</f>
        <v>0</v>
      </c>
      <c r="F39" s="9" t="n">
        <f aca="false">IF(AND(J39&gt;0,K39&gt;0),(M39-L39)*K39,0)</f>
        <v>0</v>
      </c>
      <c r="G39" s="9" t="n">
        <f aca="false">IF(AND(J39&gt;0,K39&gt;0),0,IF(J39&gt;0,-D39,0)+IF(K39&gt;0,I39,0))</f>
        <v>11370200</v>
      </c>
      <c r="H39" s="9" t="n">
        <f aca="false">I39-D39-E39-F39-G39</f>
        <v>0</v>
      </c>
      <c r="I39" s="7" t="n">
        <f aca="false">'SKU Summary'!L11</f>
        <v>11370200</v>
      </c>
      <c r="J39" s="7" t="n">
        <f aca="false">'SKU Summary'!E11</f>
        <v>0</v>
      </c>
      <c r="K39" s="7" t="n">
        <f aca="false">'SKU Summary'!K11</f>
        <v>3666.8</v>
      </c>
      <c r="L39" s="7" t="n">
        <f aca="false">'SKU Summary'!G11</f>
        <v>0</v>
      </c>
      <c r="M39" s="7" t="n">
        <f aca="false">'SKU Summary'!M11</f>
        <v>3100.85087814989</v>
      </c>
    </row>
    <row r="40" customFormat="false" ht="15" hidden="false" customHeight="false" outlineLevel="0" collapsed="false">
      <c r="B40" s="6" t="s">
        <v>242</v>
      </c>
      <c r="C40" s="6" t="s">
        <v>238</v>
      </c>
      <c r="D40" s="7" t="n">
        <f aca="false">'SKU Summary'!F12</f>
        <v>2311000</v>
      </c>
      <c r="E40" s="9" t="n">
        <f aca="false">IF(AND(J40&gt;0,K40&gt;0),(K40-J40)*L40,0)</f>
        <v>0</v>
      </c>
      <c r="F40" s="9" t="n">
        <f aca="false">IF(AND(J40&gt;0,K40&gt;0),(M40-L40)*K40,0)</f>
        <v>0</v>
      </c>
      <c r="G40" s="9" t="n">
        <f aca="false">IF(AND(J40&gt;0,K40&gt;0),0,IF(J40&gt;0,-D40,0)+IF(K40&gt;0,I40,0))</f>
        <v>-2311000</v>
      </c>
      <c r="H40" s="9" t="n">
        <f aca="false">I40-D40-E40-F40-G40</f>
        <v>0</v>
      </c>
      <c r="I40" s="7" t="n">
        <f aca="false">'SKU Summary'!L12</f>
        <v>0</v>
      </c>
      <c r="J40" s="7" t="n">
        <f aca="false">'SKU Summary'!E12</f>
        <v>462.2</v>
      </c>
      <c r="K40" s="7" t="n">
        <f aca="false">'SKU Summary'!K12</f>
        <v>0</v>
      </c>
      <c r="L40" s="7" t="n">
        <f aca="false">'SKU Summary'!G12</f>
        <v>5000</v>
      </c>
      <c r="M40" s="7" t="n">
        <f aca="false">'SKU Summary'!M12</f>
        <v>0</v>
      </c>
    </row>
    <row r="41" customFormat="false" ht="15" hidden="false" customHeight="false" outlineLevel="0" collapsed="false">
      <c r="B41" s="6" t="s">
        <v>243</v>
      </c>
      <c r="C41" s="6" t="s">
        <v>241</v>
      </c>
      <c r="D41" s="7" t="n">
        <f aca="false">'SKU Summary'!F13</f>
        <v>0</v>
      </c>
      <c r="E41" s="9" t="n">
        <f aca="false">IF(AND(J41&gt;0,K41&gt;0),(K41-J41)*L41,0)</f>
        <v>0</v>
      </c>
      <c r="F41" s="9" t="n">
        <f aca="false">IF(AND(J41&gt;0,K41&gt;0),(M41-L41)*K41,0)</f>
        <v>0</v>
      </c>
      <c r="G41" s="9" t="n">
        <f aca="false">IF(AND(J41&gt;0,K41&gt;0),0,IF(J41&gt;0,-D41,0)+IF(K41&gt;0,I41,0))</f>
        <v>0</v>
      </c>
      <c r="H41" s="9" t="n">
        <f aca="false">I41-D41-E41-F41-G41</f>
        <v>0</v>
      </c>
      <c r="I41" s="7" t="n">
        <f aca="false">'SKU Summary'!L13</f>
        <v>0</v>
      </c>
      <c r="J41" s="7" t="n">
        <f aca="false">'SKU Summary'!E13</f>
        <v>0</v>
      </c>
      <c r="K41" s="7" t="n">
        <f aca="false">'SKU Summary'!K13</f>
        <v>0</v>
      </c>
      <c r="L41" s="7" t="n">
        <f aca="false">'SKU Summary'!G13</f>
        <v>0</v>
      </c>
      <c r="M41" s="7" t="n">
        <f aca="false">'SKU Summary'!M13</f>
        <v>0</v>
      </c>
    </row>
    <row r="42" customFormat="false" ht="15" hidden="false" customHeight="false" outlineLevel="0" collapsed="false">
      <c r="B42" s="6" t="s">
        <v>244</v>
      </c>
      <c r="C42" s="6" t="s">
        <v>237</v>
      </c>
      <c r="D42" s="7" t="n">
        <f aca="false">'SKU Summary'!F14</f>
        <v>1837500</v>
      </c>
      <c r="E42" s="9" t="n">
        <f aca="false">IF(AND(J42&gt;0,K42&gt;0),(K42-J42)*L42,0)</f>
        <v>31734500</v>
      </c>
      <c r="F42" s="9" t="n">
        <f aca="false">IF(AND(J42&gt;0,K42&gt;0),(M42-L42)*K42,0)</f>
        <v>-3254350</v>
      </c>
      <c r="G42" s="9" t="n">
        <f aca="false">IF(AND(J42&gt;0,K42&gt;0),0,IF(J42&gt;0,-D42,0)+IF(K42&gt;0,I42,0))</f>
        <v>0</v>
      </c>
      <c r="H42" s="9" t="n">
        <f aca="false">I42-D42-E42-F42-G42</f>
        <v>0</v>
      </c>
      <c r="I42" s="7" t="n">
        <f aca="false">'SKU Summary'!L14</f>
        <v>30317650</v>
      </c>
      <c r="J42" s="7" t="n">
        <f aca="false">'SKU Summary'!E14</f>
        <v>367.5</v>
      </c>
      <c r="K42" s="7" t="n">
        <f aca="false">'SKU Summary'!K14</f>
        <v>6714.4</v>
      </c>
      <c r="L42" s="7" t="n">
        <f aca="false">'SKU Summary'!G14</f>
        <v>5000</v>
      </c>
      <c r="M42" s="7" t="n">
        <f aca="false">'SKU Summary'!M14</f>
        <v>4515.31782437746</v>
      </c>
    </row>
    <row r="43" customFormat="false" ht="15" hidden="false" customHeight="false" outlineLevel="0" collapsed="false">
      <c r="B43" s="6" t="s">
        <v>244</v>
      </c>
      <c r="C43" s="6" t="s">
        <v>238</v>
      </c>
      <c r="D43" s="7" t="n">
        <f aca="false">'SKU Summary'!F15</f>
        <v>1300000</v>
      </c>
      <c r="E43" s="9" t="n">
        <f aca="false">IF(AND(J43&gt;0,K43&gt;0),(K43-J43)*L43,0)</f>
        <v>-1078500</v>
      </c>
      <c r="F43" s="9" t="n">
        <f aca="false">IF(AND(J43&gt;0,K43&gt;0),(M43-L43)*K43,0)</f>
        <v>886000</v>
      </c>
      <c r="G43" s="9" t="n">
        <f aca="false">IF(AND(J43&gt;0,K43&gt;0),0,IF(J43&gt;0,-D43,0)+IF(K43&gt;0,I43,0))</f>
        <v>0</v>
      </c>
      <c r="H43" s="9" t="n">
        <f aca="false">I43-D43-E43-F43-G43</f>
        <v>0</v>
      </c>
      <c r="I43" s="7" t="n">
        <f aca="false">'SKU Summary'!L15</f>
        <v>1107500</v>
      </c>
      <c r="J43" s="7" t="n">
        <f aca="false">'SKU Summary'!E15</f>
        <v>1300</v>
      </c>
      <c r="K43" s="7" t="n">
        <f aca="false">'SKU Summary'!K15</f>
        <v>221.5</v>
      </c>
      <c r="L43" s="7" t="n">
        <f aca="false">'SKU Summary'!G15</f>
        <v>1000</v>
      </c>
      <c r="M43" s="7" t="n">
        <f aca="false">'SKU Summary'!M15</f>
        <v>5000</v>
      </c>
    </row>
    <row r="44" customFormat="false" ht="15" hidden="false" customHeight="false" outlineLevel="0" collapsed="false">
      <c r="B44" s="6" t="s">
        <v>245</v>
      </c>
      <c r="C44" s="6" t="s">
        <v>238</v>
      </c>
      <c r="D44" s="7" t="n">
        <f aca="false">'SKU Summary'!F16</f>
        <v>13229600</v>
      </c>
      <c r="E44" s="9" t="n">
        <f aca="false">IF(AND(J44&gt;0,K44&gt;0),(K44-J44)*L44,0)</f>
        <v>0</v>
      </c>
      <c r="F44" s="9" t="n">
        <f aca="false">IF(AND(J44&gt;0,K44&gt;0),(M44-L44)*K44,0)</f>
        <v>0</v>
      </c>
      <c r="G44" s="9" t="n">
        <f aca="false">IF(AND(J44&gt;0,K44&gt;0),0,IF(J44&gt;0,-D44,0)+IF(K44&gt;0,I44,0))</f>
        <v>-13229600</v>
      </c>
      <c r="H44" s="9" t="n">
        <f aca="false">I44-D44-E44-F44-G44</f>
        <v>0</v>
      </c>
      <c r="I44" s="7" t="n">
        <f aca="false">'SKU Summary'!L16</f>
        <v>0</v>
      </c>
      <c r="J44" s="7" t="n">
        <f aca="false">'SKU Summary'!E16</f>
        <v>2645.92</v>
      </c>
      <c r="K44" s="7" t="n">
        <f aca="false">'SKU Summary'!K16</f>
        <v>0</v>
      </c>
      <c r="L44" s="7" t="n">
        <f aca="false">'SKU Summary'!G16</f>
        <v>5000</v>
      </c>
      <c r="M44" s="7" t="n">
        <f aca="false">'SKU Summary'!M16</f>
        <v>0</v>
      </c>
    </row>
    <row r="45" customFormat="false" ht="15" hidden="false" customHeight="false" outlineLevel="0" collapsed="false">
      <c r="B45" s="6" t="s">
        <v>246</v>
      </c>
      <c r="C45" s="6" t="s">
        <v>237</v>
      </c>
      <c r="D45" s="7" t="n">
        <f aca="false">'SKU Summary'!F17</f>
        <v>2502700</v>
      </c>
      <c r="E45" s="9" t="n">
        <f aca="false">IF(AND(J45&gt;0,K45&gt;0),(K45-J45)*L45,0)</f>
        <v>1204707270</v>
      </c>
      <c r="F45" s="9" t="n">
        <f aca="false">IF(AND(J45&gt;0,K45&gt;0),(M45-L45)*K45,0)</f>
        <v>324456600</v>
      </c>
      <c r="G45" s="9" t="n">
        <f aca="false">IF(AND(J45&gt;0,K45&gt;0),0,IF(J45&gt;0,-D45,0)+IF(K45&gt;0,I45,0))</f>
        <v>0</v>
      </c>
      <c r="H45" s="9" t="n">
        <f aca="false">I45-D45-E45-F45-G45</f>
        <v>0</v>
      </c>
      <c r="I45" s="7" t="n">
        <f aca="false">'SKU Summary'!L17</f>
        <v>1531666570</v>
      </c>
      <c r="J45" s="7" t="n">
        <f aca="false">'SKU Summary'!E17</f>
        <v>86.3</v>
      </c>
      <c r="K45" s="7" t="n">
        <f aca="false">'SKU Summary'!K17</f>
        <v>41627.93</v>
      </c>
      <c r="L45" s="7" t="n">
        <f aca="false">'SKU Summary'!G17</f>
        <v>29000</v>
      </c>
      <c r="M45" s="7" t="n">
        <f aca="false">'SKU Summary'!M17</f>
        <v>36794.2045160545</v>
      </c>
    </row>
    <row r="46" customFormat="false" ht="15" hidden="false" customHeight="false" outlineLevel="0" collapsed="false">
      <c r="B46" s="6" t="s">
        <v>246</v>
      </c>
      <c r="C46" s="6" t="s">
        <v>238</v>
      </c>
      <c r="D46" s="7" t="n">
        <f aca="false">'SKU Summary'!F18</f>
        <v>153887890</v>
      </c>
      <c r="E46" s="9" t="n">
        <f aca="false">IF(AND(J46&gt;0,K46&gt;0),(K46-J46)*L46,0)</f>
        <v>300952586.837568</v>
      </c>
      <c r="F46" s="9" t="n">
        <f aca="false">IF(AND(J46&gt;0,K46&gt;0),(M46-L46)*K46,0)</f>
        <v>53793128.1624318</v>
      </c>
      <c r="G46" s="9" t="n">
        <f aca="false">IF(AND(J46&gt;0,K46&gt;0),0,IF(J46&gt;0,-D46,0)+IF(K46&gt;0,I46,0))</f>
        <v>0</v>
      </c>
      <c r="H46" s="9" t="n">
        <f aca="false">I46-D46-E46-F46-G46</f>
        <v>0</v>
      </c>
      <c r="I46" s="7" t="n">
        <f aca="false">'SKU Summary'!L18</f>
        <v>508633605</v>
      </c>
      <c r="J46" s="7" t="n">
        <f aca="false">'SKU Summary'!E18</f>
        <v>5435.88</v>
      </c>
      <c r="K46" s="7" t="n">
        <f aca="false">'SKU Summary'!K18</f>
        <v>16066.62</v>
      </c>
      <c r="L46" s="7" t="n">
        <f aca="false">'SKU Summary'!G18</f>
        <v>28309.6554743666</v>
      </c>
      <c r="M46" s="7" t="n">
        <f aca="false">'SKU Summary'!M18</f>
        <v>31657.7852093346</v>
      </c>
    </row>
    <row r="47" customFormat="false" ht="15" hidden="false" customHeight="false" outlineLevel="0" collapsed="false">
      <c r="B47" s="6" t="s">
        <v>246</v>
      </c>
      <c r="C47" s="6" t="s">
        <v>247</v>
      </c>
      <c r="D47" s="7" t="n">
        <f aca="false">'SKU Summary'!F19</f>
        <v>0</v>
      </c>
      <c r="E47" s="9" t="n">
        <f aca="false">IF(AND(J47&gt;0,K47&gt;0),(K47-J47)*L47,0)</f>
        <v>0</v>
      </c>
      <c r="F47" s="9" t="n">
        <f aca="false">IF(AND(J47&gt;0,K47&gt;0),(M47-L47)*K47,0)</f>
        <v>0</v>
      </c>
      <c r="G47" s="9" t="n">
        <f aca="false">IF(AND(J47&gt;0,K47&gt;0),0,IF(J47&gt;0,-D47,0)+IF(K47&gt;0,I47,0))</f>
        <v>41199111.3134241</v>
      </c>
      <c r="H47" s="9" t="n">
        <f aca="false">I47-D47-E47-F47-G47</f>
        <v>0</v>
      </c>
      <c r="I47" s="7" t="n">
        <f aca="false">'SKU Summary'!L19</f>
        <v>41199111.3134241</v>
      </c>
      <c r="J47" s="7" t="n">
        <f aca="false">'SKU Summary'!E19</f>
        <v>0</v>
      </c>
      <c r="K47" s="7" t="n">
        <f aca="false">'SKU Summary'!K19</f>
        <v>1412.64</v>
      </c>
      <c r="L47" s="7" t="n">
        <f aca="false">'SKU Summary'!G19</f>
        <v>0</v>
      </c>
      <c r="M47" s="7" t="n">
        <f aca="false">'SKU Summary'!M19</f>
        <v>29164.6217815042</v>
      </c>
    </row>
    <row r="48" customFormat="false" ht="15" hidden="false" customHeight="false" outlineLevel="0" collapsed="false">
      <c r="B48" s="6" t="s">
        <v>248</v>
      </c>
      <c r="C48" s="6" t="s">
        <v>237</v>
      </c>
      <c r="D48" s="7" t="n">
        <f aca="false">'SKU Summary'!F20</f>
        <v>0</v>
      </c>
      <c r="E48" s="9" t="n">
        <f aca="false">IF(AND(J48&gt;0,K48&gt;0),(K48-J48)*L48,0)</f>
        <v>0</v>
      </c>
      <c r="F48" s="9" t="n">
        <f aca="false">IF(AND(J48&gt;0,K48&gt;0),(M48-L48)*K48,0)</f>
        <v>0</v>
      </c>
      <c r="G48" s="9" t="n">
        <f aca="false">IF(AND(J48&gt;0,K48&gt;0),0,IF(J48&gt;0,-D48,0)+IF(K48&gt;0,I48,0))</f>
        <v>22730600</v>
      </c>
      <c r="H48" s="9" t="n">
        <f aca="false">I48-D48-E48-F48-G48</f>
        <v>0</v>
      </c>
      <c r="I48" s="7" t="n">
        <f aca="false">'SKU Summary'!L20</f>
        <v>22730600</v>
      </c>
      <c r="J48" s="7" t="n">
        <f aca="false">'SKU Summary'!E20</f>
        <v>0</v>
      </c>
      <c r="K48" s="7" t="n">
        <f aca="false">'SKU Summary'!K20</f>
        <v>5642.2</v>
      </c>
      <c r="L48" s="7" t="n">
        <f aca="false">'SKU Summary'!G20</f>
        <v>0</v>
      </c>
      <c r="M48" s="7" t="n">
        <f aca="false">'SKU Summary'!M20</f>
        <v>4028.67675729325</v>
      </c>
    </row>
    <row r="49" customFormat="false" ht="15" hidden="false" customHeight="false" outlineLevel="0" collapsed="false">
      <c r="B49" s="6" t="s">
        <v>248</v>
      </c>
      <c r="C49" s="6" t="s">
        <v>238</v>
      </c>
      <c r="D49" s="7" t="n">
        <f aca="false">'SKU Summary'!F21</f>
        <v>1035500</v>
      </c>
      <c r="E49" s="9" t="n">
        <f aca="false">IF(AND(J49&gt;0,K49&gt;0),(K49-J49)*L49,0)</f>
        <v>-216500</v>
      </c>
      <c r="F49" s="9" t="n">
        <f aca="false">IF(AND(J49&gt;0,K49&gt;0),(M49-L49)*K49,0)</f>
        <v>0</v>
      </c>
      <c r="G49" s="9" t="n">
        <f aca="false">IF(AND(J49&gt;0,K49&gt;0),0,IF(J49&gt;0,-D49,0)+IF(K49&gt;0,I49,0))</f>
        <v>0</v>
      </c>
      <c r="H49" s="9" t="n">
        <f aca="false">I49-D49-E49-F49-G49</f>
        <v>0</v>
      </c>
      <c r="I49" s="7" t="n">
        <f aca="false">'SKU Summary'!L21</f>
        <v>819000</v>
      </c>
      <c r="J49" s="7" t="n">
        <f aca="false">'SKU Summary'!E21</f>
        <v>207.1</v>
      </c>
      <c r="K49" s="7" t="n">
        <f aca="false">'SKU Summary'!K21</f>
        <v>163.8</v>
      </c>
      <c r="L49" s="7" t="n">
        <f aca="false">'SKU Summary'!G21</f>
        <v>5000</v>
      </c>
      <c r="M49" s="7" t="n">
        <f aca="false">'SKU Summary'!M21</f>
        <v>5000</v>
      </c>
    </row>
    <row r="50" customFormat="false" ht="15" hidden="false" customHeight="false" outlineLevel="0" collapsed="false">
      <c r="B50" s="6" t="s">
        <v>249</v>
      </c>
      <c r="C50" s="6" t="s">
        <v>241</v>
      </c>
      <c r="D50" s="7" t="n">
        <f aca="false">'SKU Summary'!F22</f>
        <v>0</v>
      </c>
      <c r="E50" s="9" t="n">
        <f aca="false">IF(AND(J50&gt;0,K50&gt;0),(K50-J50)*L50,0)</f>
        <v>0</v>
      </c>
      <c r="F50" s="9" t="n">
        <f aca="false">IF(AND(J50&gt;0,K50&gt;0),(M50-L50)*K50,0)</f>
        <v>0</v>
      </c>
      <c r="G50" s="9" t="n">
        <f aca="false">IF(AND(J50&gt;0,K50&gt;0),0,IF(J50&gt;0,-D50,0)+IF(K50&gt;0,I50,0))</f>
        <v>0</v>
      </c>
      <c r="H50" s="9" t="n">
        <f aca="false">I50-D50-E50-F50-G50</f>
        <v>0</v>
      </c>
      <c r="I50" s="7" t="n">
        <f aca="false">'SKU Summary'!L22</f>
        <v>0</v>
      </c>
      <c r="J50" s="7" t="n">
        <f aca="false">'SKU Summary'!E22</f>
        <v>0</v>
      </c>
      <c r="K50" s="7" t="n">
        <f aca="false">'SKU Summary'!K22</f>
        <v>0</v>
      </c>
      <c r="L50" s="7" t="n">
        <f aca="false">'SKU Summary'!G22</f>
        <v>0</v>
      </c>
      <c r="M50" s="7" t="n">
        <f aca="false">'SKU Summary'!M22</f>
        <v>0</v>
      </c>
    </row>
    <row r="51" customFormat="false" ht="15" hidden="false" customHeight="false" outlineLevel="0" collapsed="false">
      <c r="B51" s="6" t="s">
        <v>250</v>
      </c>
      <c r="C51" s="6" t="s">
        <v>241</v>
      </c>
      <c r="D51" s="7" t="n">
        <f aca="false">'SKU Summary'!F23</f>
        <v>0</v>
      </c>
      <c r="E51" s="9" t="n">
        <f aca="false">IF(AND(J51&gt;0,K51&gt;0),(K51-J51)*L51,0)</f>
        <v>0</v>
      </c>
      <c r="F51" s="9" t="n">
        <f aca="false">IF(AND(J51&gt;0,K51&gt;0),(M51-L51)*K51,0)</f>
        <v>0</v>
      </c>
      <c r="G51" s="9" t="n">
        <f aca="false">IF(AND(J51&gt;0,K51&gt;0),0,IF(J51&gt;0,-D51,0)+IF(K51&gt;0,I51,0))</f>
        <v>0</v>
      </c>
      <c r="H51" s="9" t="n">
        <f aca="false">I51-D51-E51-F51-G51</f>
        <v>629600</v>
      </c>
      <c r="I51" s="7" t="n">
        <f aca="false">'SKU Summary'!L23</f>
        <v>629600</v>
      </c>
      <c r="J51" s="7" t="n">
        <f aca="false">'SKU Summary'!E23</f>
        <v>0</v>
      </c>
      <c r="K51" s="7" t="n">
        <f aca="false">'SKU Summary'!K23</f>
        <v>0</v>
      </c>
      <c r="L51" s="7" t="n">
        <f aca="false">'SKU Summary'!G23</f>
        <v>0</v>
      </c>
      <c r="M51" s="7" t="n">
        <f aca="false">'SKU Summary'!M23</f>
        <v>0</v>
      </c>
    </row>
    <row r="52" customFormat="false" ht="15" hidden="false" customHeight="false" outlineLevel="0" collapsed="false">
      <c r="B52" s="6" t="s">
        <v>251</v>
      </c>
      <c r="C52" s="6" t="s">
        <v>238</v>
      </c>
      <c r="D52" s="7" t="n">
        <f aca="false">'SKU Summary'!F24</f>
        <v>0</v>
      </c>
      <c r="E52" s="9" t="n">
        <f aca="false">IF(AND(J52&gt;0,K52&gt;0),(K52-J52)*L52,0)</f>
        <v>0</v>
      </c>
      <c r="F52" s="9" t="n">
        <f aca="false">IF(AND(J52&gt;0,K52&gt;0),(M52-L52)*K52,0)</f>
        <v>0</v>
      </c>
      <c r="G52" s="9" t="n">
        <f aca="false">IF(AND(J52&gt;0,K52&gt;0),0,IF(J52&gt;0,-D52,0)+IF(K52&gt;0,I52,0))</f>
        <v>36484000</v>
      </c>
      <c r="H52" s="9" t="n">
        <f aca="false">I52-D52-E52-F52-G52</f>
        <v>0</v>
      </c>
      <c r="I52" s="7" t="n">
        <f aca="false">'SKU Summary'!L24</f>
        <v>36484000</v>
      </c>
      <c r="J52" s="7" t="n">
        <f aca="false">'SKU Summary'!E24</f>
        <v>0</v>
      </c>
      <c r="K52" s="7" t="n">
        <f aca="false">'SKU Summary'!K24</f>
        <v>1042.4</v>
      </c>
      <c r="L52" s="7" t="n">
        <f aca="false">'SKU Summary'!G24</f>
        <v>0</v>
      </c>
      <c r="M52" s="7" t="n">
        <f aca="false">'SKU Summary'!M24</f>
        <v>35000</v>
      </c>
    </row>
    <row r="53" customFormat="false" ht="15" hidden="false" customHeight="false" outlineLevel="0" collapsed="false">
      <c r="B53" s="6" t="s">
        <v>252</v>
      </c>
      <c r="C53" s="6" t="s">
        <v>238</v>
      </c>
      <c r="D53" s="7" t="n">
        <f aca="false">'SKU Summary'!F25</f>
        <v>24425970</v>
      </c>
      <c r="E53" s="9" t="n">
        <f aca="false">IF(AND(J53&gt;0,K53&gt;0),(K53-J53)*L53,0)</f>
        <v>0</v>
      </c>
      <c r="F53" s="9" t="n">
        <f aca="false">IF(AND(J53&gt;0,K53&gt;0),(M53-L53)*K53,0)</f>
        <v>0</v>
      </c>
      <c r="G53" s="9" t="n">
        <f aca="false">IF(AND(J53&gt;0,K53&gt;0),0,IF(J53&gt;0,-D53,0)+IF(K53&gt;0,I53,0))</f>
        <v>-24425970</v>
      </c>
      <c r="H53" s="9" t="n">
        <f aca="false">I53-D53-E53-F53-G53</f>
        <v>0</v>
      </c>
      <c r="I53" s="7" t="n">
        <f aca="false">'SKU Summary'!L25</f>
        <v>0</v>
      </c>
      <c r="J53" s="7" t="n">
        <f aca="false">'SKU Summary'!E25</f>
        <v>949.11</v>
      </c>
      <c r="K53" s="7" t="n">
        <f aca="false">'SKU Summary'!K25</f>
        <v>0</v>
      </c>
      <c r="L53" s="7" t="n">
        <f aca="false">'SKU Summary'!G25</f>
        <v>25735.6576160824</v>
      </c>
      <c r="M53" s="7" t="n">
        <f aca="false">'SKU Summary'!M25</f>
        <v>0</v>
      </c>
    </row>
    <row r="54" customFormat="false" ht="15" hidden="false" customHeight="false" outlineLevel="0" collapsed="false">
      <c r="B54" s="6" t="s">
        <v>253</v>
      </c>
      <c r="C54" s="6" t="s">
        <v>237</v>
      </c>
      <c r="D54" s="7" t="n">
        <f aca="false">'SKU Summary'!F26</f>
        <v>0</v>
      </c>
      <c r="E54" s="9" t="n">
        <f aca="false">IF(AND(J54&gt;0,K54&gt;0),(K54-J54)*L54,0)</f>
        <v>0</v>
      </c>
      <c r="F54" s="9" t="n">
        <f aca="false">IF(AND(J54&gt;0,K54&gt;0),(M54-L54)*K54,0)</f>
        <v>0</v>
      </c>
      <c r="G54" s="9" t="n">
        <f aca="false">IF(AND(J54&gt;0,K54&gt;0),0,IF(J54&gt;0,-D54,0)+IF(K54&gt;0,I54,0))</f>
        <v>8166150</v>
      </c>
      <c r="H54" s="9" t="n">
        <f aca="false">I54-D54-E54-F54-G54</f>
        <v>0</v>
      </c>
      <c r="I54" s="7" t="n">
        <f aca="false">'SKU Summary'!L26</f>
        <v>8166150</v>
      </c>
      <c r="J54" s="7" t="n">
        <f aca="false">'SKU Summary'!E26</f>
        <v>0</v>
      </c>
      <c r="K54" s="7" t="n">
        <f aca="false">'SKU Summary'!K26</f>
        <v>5444.1</v>
      </c>
      <c r="L54" s="7" t="n">
        <f aca="false">'SKU Summary'!G26</f>
        <v>0</v>
      </c>
      <c r="M54" s="7" t="n">
        <f aca="false">'SKU Summary'!M26</f>
        <v>1500</v>
      </c>
    </row>
    <row r="55" customFormat="false" ht="15" hidden="false" customHeight="false" outlineLevel="0" collapsed="false">
      <c r="B55" s="25" t="s">
        <v>254</v>
      </c>
      <c r="D55" s="26" t="n">
        <f aca="false">SUM(D34:D54)</f>
        <v>246532160</v>
      </c>
      <c r="E55" s="26" t="n">
        <f aca="false">SUM(E34:E54)</f>
        <v>1554442756.83757</v>
      </c>
      <c r="F55" s="26" t="n">
        <f aca="false">SUM(F34:F54)</f>
        <v>375881378.162432</v>
      </c>
      <c r="G55" s="26" t="n">
        <f aca="false">SUM(G34:G54)</f>
        <v>514201095.313424</v>
      </c>
      <c r="H55" s="26" t="n">
        <f aca="false">SUM(H34:H54)</f>
        <v>629600</v>
      </c>
      <c r="I55" s="26" t="n">
        <f aca="false">SUM(I34:I54)</f>
        <v>2691686990.31342</v>
      </c>
      <c r="J55" s="26" t="n">
        <f aca="false">SUM(J34:J54)</f>
        <v>12576.01</v>
      </c>
      <c r="K55" s="26" t="n">
        <f aca="false">SUM(K34:K54)</f>
        <v>95545.72</v>
      </c>
      <c r="L55" s="26" t="n">
        <f aca="false">IFERROR(D55/J55,0)</f>
        <v>19603.3686359982</v>
      </c>
      <c r="M55" s="26" t="n">
        <f aca="false">IFERROR(I55/K55,0)</f>
        <v>28171.7170618781</v>
      </c>
      <c r="N55" s="12" t="str">
        <f aca="false">IF(ROUND(I55-'Segment GP'!M6,0)=0,"ties to Segment GP","CHECK")</f>
        <v>ties to Segment GP</v>
      </c>
    </row>
    <row r="57" customFormat="false" ht="15" hidden="false" customHeight="false" outlineLevel="0" collapsed="false">
      <c r="B57" s="6" t="s">
        <v>236</v>
      </c>
      <c r="C57" s="6" t="s">
        <v>238</v>
      </c>
      <c r="D57" s="7" t="n">
        <f aca="false">'SKU Summary'!F29</f>
        <v>1921787190</v>
      </c>
      <c r="E57" s="9" t="n">
        <f aca="false">IF(AND(J57&gt;0,K57&gt;0),(K57-J57)*L57,0)</f>
        <v>-1023502711.09554</v>
      </c>
      <c r="F57" s="9" t="n">
        <f aca="false">IF(AND(J57&gt;0,K57&gt;0),(M57-L57)*K57,0)</f>
        <v>106712606.095538</v>
      </c>
      <c r="G57" s="9" t="n">
        <f aca="false">IF(AND(J57&gt;0,K57&gt;0),0,IF(J57&gt;0,-D57,0)+IF(K57&gt;0,I57,0))</f>
        <v>0</v>
      </c>
      <c r="H57" s="9" t="n">
        <f aca="false">I57-D57-E57-F57-G57</f>
        <v>0</v>
      </c>
      <c r="I57" s="7" t="n">
        <f aca="false">'SKU Summary'!L29</f>
        <v>1004997085</v>
      </c>
      <c r="J57" s="7" t="n">
        <f aca="false">'SKU Summary'!E29</f>
        <v>51091.07</v>
      </c>
      <c r="K57" s="7" t="n">
        <f aca="false">'SKU Summary'!K29</f>
        <v>23881.06</v>
      </c>
      <c r="L57" s="7" t="n">
        <f aca="false">'SKU Summary'!G29</f>
        <v>37614.9332946051</v>
      </c>
      <c r="M57" s="7" t="n">
        <f aca="false">'SKU Summary'!M29</f>
        <v>42083.4370417394</v>
      </c>
    </row>
    <row r="58" customFormat="false" ht="15" hidden="false" customHeight="false" outlineLevel="0" collapsed="false">
      <c r="B58" s="6" t="s">
        <v>239</v>
      </c>
      <c r="C58" s="6" t="s">
        <v>238</v>
      </c>
      <c r="D58" s="7" t="n">
        <f aca="false">'SKU Summary'!F30</f>
        <v>536846363.2</v>
      </c>
      <c r="E58" s="9" t="n">
        <f aca="false">IF(AND(J58&gt;0,K58&gt;0),(K58-J58)*L58,0)</f>
        <v>630659677.535745</v>
      </c>
      <c r="F58" s="9" t="n">
        <f aca="false">IF(AND(J58&gt;0,K58&gt;0),(M58-L58)*K58,0)</f>
        <v>339474972.960472</v>
      </c>
      <c r="G58" s="9" t="n">
        <f aca="false">IF(AND(J58&gt;0,K58&gt;0),0,IF(J58&gt;0,-D58,0)+IF(K58&gt;0,I58,0))</f>
        <v>0</v>
      </c>
      <c r="H58" s="9" t="n">
        <f aca="false">I58-D58-E58-F58-G58</f>
        <v>0</v>
      </c>
      <c r="I58" s="7" t="n">
        <f aca="false">'SKU Summary'!L30</f>
        <v>1506981013.69622</v>
      </c>
      <c r="J58" s="7" t="n">
        <f aca="false">'SKU Summary'!E30</f>
        <v>16076.61</v>
      </c>
      <c r="K58" s="7" t="n">
        <f aca="false">'SKU Summary'!K30</f>
        <v>34962.59</v>
      </c>
      <c r="L58" s="7" t="n">
        <f aca="false">'SKU Summary'!G30</f>
        <v>33393.0078045061</v>
      </c>
      <c r="M58" s="7" t="n">
        <f aca="false">'SKU Summary'!M30</f>
        <v>43102.6709890834</v>
      </c>
    </row>
    <row r="59" customFormat="false" ht="15" hidden="false" customHeight="false" outlineLevel="0" collapsed="false">
      <c r="B59" s="6" t="s">
        <v>240</v>
      </c>
      <c r="C59" s="6" t="s">
        <v>241</v>
      </c>
      <c r="D59" s="7" t="n">
        <f aca="false">'SKU Summary'!F31</f>
        <v>0</v>
      </c>
      <c r="E59" s="9" t="n">
        <f aca="false">IF(AND(J59&gt;0,K59&gt;0),(K59-J59)*L59,0)</f>
        <v>0</v>
      </c>
      <c r="F59" s="9" t="n">
        <f aca="false">IF(AND(J59&gt;0,K59&gt;0),(M59-L59)*K59,0)</f>
        <v>0</v>
      </c>
      <c r="G59" s="9" t="n">
        <f aca="false">IF(AND(J59&gt;0,K59&gt;0),0,IF(J59&gt;0,-D59,0)+IF(K59&gt;0,I59,0))</f>
        <v>90526500</v>
      </c>
      <c r="H59" s="9" t="n">
        <f aca="false">I59-D59-E59-F59-G59</f>
        <v>0</v>
      </c>
      <c r="I59" s="7" t="n">
        <f aca="false">'SKU Summary'!L31</f>
        <v>90526500</v>
      </c>
      <c r="J59" s="7" t="n">
        <f aca="false">'SKU Summary'!E31</f>
        <v>0</v>
      </c>
      <c r="K59" s="7" t="n">
        <f aca="false">'SKU Summary'!K31</f>
        <v>3017.55</v>
      </c>
      <c r="L59" s="7" t="n">
        <f aca="false">'SKU Summary'!G31</f>
        <v>0</v>
      </c>
      <c r="M59" s="7" t="n">
        <f aca="false">'SKU Summary'!M31</f>
        <v>30000</v>
      </c>
    </row>
    <row r="60" customFormat="false" ht="15" hidden="false" customHeight="false" outlineLevel="0" collapsed="false">
      <c r="B60" s="6" t="s">
        <v>245</v>
      </c>
      <c r="C60" s="6" t="s">
        <v>247</v>
      </c>
      <c r="D60" s="7" t="n">
        <f aca="false">'SKU Summary'!F32</f>
        <v>33741005</v>
      </c>
      <c r="E60" s="9" t="n">
        <f aca="false">IF(AND(J60&gt;0,K60&gt;0),(K60-J60)*L60,0)</f>
        <v>46496423.8614333</v>
      </c>
      <c r="F60" s="9" t="n">
        <f aca="false">IF(AND(J60&gt;0,K60&gt;0),(M60-L60)*K60,0)</f>
        <v>69877371.1385667</v>
      </c>
      <c r="G60" s="9" t="n">
        <f aca="false">IF(AND(J60&gt;0,K60&gt;0),0,IF(J60&gt;0,-D60,0)+IF(K60&gt;0,I60,0))</f>
        <v>0</v>
      </c>
      <c r="H60" s="9" t="n">
        <f aca="false">I60-D60-E60-F60-G60</f>
        <v>0</v>
      </c>
      <c r="I60" s="7" t="n">
        <f aca="false">'SKU Summary'!L32</f>
        <v>150114800</v>
      </c>
      <c r="J60" s="7" t="n">
        <f aca="false">'SKU Summary'!E32</f>
        <v>5789.56</v>
      </c>
      <c r="K60" s="7" t="n">
        <f aca="false">'SKU Summary'!K32</f>
        <v>13767.8</v>
      </c>
      <c r="L60" s="7" t="n">
        <f aca="false">'SKU Summary'!G32</f>
        <v>5827.90488396355</v>
      </c>
      <c r="M60" s="7" t="n">
        <f aca="false">'SKU Summary'!M32</f>
        <v>10903.3251499877</v>
      </c>
    </row>
    <row r="61" customFormat="false" ht="15" hidden="false" customHeight="false" outlineLevel="0" collapsed="false">
      <c r="B61" s="6" t="s">
        <v>246</v>
      </c>
      <c r="C61" s="6" t="s">
        <v>247</v>
      </c>
      <c r="D61" s="7" t="n">
        <f aca="false">'SKU Summary'!F33</f>
        <v>384051230</v>
      </c>
      <c r="E61" s="9" t="n">
        <f aca="false">IF(AND(J61&gt;0,K61&gt;0),(K61-J61)*L61,0)</f>
        <v>2166065288.14654</v>
      </c>
      <c r="F61" s="9" t="n">
        <f aca="false">IF(AND(J61&gt;0,K61&gt;0),(M61-L61)*K61,0)</f>
        <v>354982265.643818</v>
      </c>
      <c r="G61" s="9" t="n">
        <f aca="false">IF(AND(J61&gt;0,K61&gt;0),0,IF(J61&gt;0,-D61,0)+IF(K61&gt;0,I61,0))</f>
        <v>0</v>
      </c>
      <c r="H61" s="9" t="n">
        <f aca="false">I61-D61-E61-F61-G61</f>
        <v>0</v>
      </c>
      <c r="I61" s="7" t="n">
        <f aca="false">'SKU Summary'!L33</f>
        <v>2905098783.79036</v>
      </c>
      <c r="J61" s="7" t="n">
        <f aca="false">'SKU Summary'!E33</f>
        <v>13989.46</v>
      </c>
      <c r="K61" s="7" t="n">
        <f aca="false">'SKU Summary'!K33</f>
        <v>92890.61</v>
      </c>
      <c r="L61" s="7" t="n">
        <f aca="false">'SKU Summary'!G33</f>
        <v>27452.8988252584</v>
      </c>
      <c r="M61" s="7" t="n">
        <f aca="false">'SKU Summary'!M33</f>
        <v>31274.4074324666</v>
      </c>
    </row>
    <row r="62" customFormat="false" ht="15" hidden="false" customHeight="false" outlineLevel="0" collapsed="false">
      <c r="B62" s="6" t="s">
        <v>255</v>
      </c>
      <c r="C62" s="6" t="s">
        <v>238</v>
      </c>
      <c r="D62" s="7" t="n">
        <f aca="false">'SKU Summary'!F34</f>
        <v>0</v>
      </c>
      <c r="E62" s="9" t="n">
        <f aca="false">IF(AND(J62&gt;0,K62&gt;0),(K62-J62)*L62,0)</f>
        <v>0</v>
      </c>
      <c r="F62" s="9" t="n">
        <f aca="false">IF(AND(J62&gt;0,K62&gt;0),(M62-L62)*K62,0)</f>
        <v>0</v>
      </c>
      <c r="G62" s="9" t="n">
        <f aca="false">IF(AND(J62&gt;0,K62&gt;0),0,IF(J62&gt;0,-D62,0)+IF(K62&gt;0,I62,0))</f>
        <v>3055730</v>
      </c>
      <c r="H62" s="9" t="n">
        <f aca="false">I62-D62-E62-F62-G62</f>
        <v>0</v>
      </c>
      <c r="I62" s="7" t="n">
        <f aca="false">'SKU Summary'!L34</f>
        <v>3055730</v>
      </c>
      <c r="J62" s="7" t="n">
        <f aca="false">'SKU Summary'!E34</f>
        <v>0</v>
      </c>
      <c r="K62" s="7" t="n">
        <f aca="false">'SKU Summary'!K34</f>
        <v>105.37</v>
      </c>
      <c r="L62" s="7" t="n">
        <f aca="false">'SKU Summary'!G34</f>
        <v>0</v>
      </c>
      <c r="M62" s="7" t="n">
        <f aca="false">'SKU Summary'!M34</f>
        <v>29000</v>
      </c>
    </row>
    <row r="63" customFormat="false" ht="15" hidden="false" customHeight="false" outlineLevel="0" collapsed="false">
      <c r="B63" s="6" t="s">
        <v>255</v>
      </c>
      <c r="C63" s="6" t="s">
        <v>241</v>
      </c>
      <c r="D63" s="7" t="n">
        <f aca="false">'SKU Summary'!F35</f>
        <v>0</v>
      </c>
      <c r="E63" s="9" t="n">
        <f aca="false">IF(AND(J63&gt;0,K63&gt;0),(K63-J63)*L63,0)</f>
        <v>0</v>
      </c>
      <c r="F63" s="9" t="n">
        <f aca="false">IF(AND(J63&gt;0,K63&gt;0),(M63-L63)*K63,0)</f>
        <v>0</v>
      </c>
      <c r="G63" s="9" t="n">
        <f aca="false">IF(AND(J63&gt;0,K63&gt;0),0,IF(J63&gt;0,-D63,0)+IF(K63&gt;0,I63,0))</f>
        <v>0</v>
      </c>
      <c r="H63" s="9" t="n">
        <f aca="false">I63-D63-E63-F63-G63</f>
        <v>0</v>
      </c>
      <c r="I63" s="7" t="n">
        <f aca="false">'SKU Summary'!L35</f>
        <v>0</v>
      </c>
      <c r="J63" s="7" t="n">
        <f aca="false">'SKU Summary'!E35</f>
        <v>0</v>
      </c>
      <c r="K63" s="7" t="n">
        <f aca="false">'SKU Summary'!K35</f>
        <v>0</v>
      </c>
      <c r="L63" s="7" t="n">
        <f aca="false">'SKU Summary'!G35</f>
        <v>0</v>
      </c>
      <c r="M63" s="7" t="n">
        <f aca="false">'SKU Summary'!M35</f>
        <v>0</v>
      </c>
    </row>
    <row r="64" customFormat="false" ht="15" hidden="false" customHeight="false" outlineLevel="0" collapsed="false">
      <c r="B64" s="6" t="s">
        <v>252</v>
      </c>
      <c r="C64" s="6" t="s">
        <v>247</v>
      </c>
      <c r="D64" s="7" t="n">
        <f aca="false">'SKU Summary'!F36</f>
        <v>0</v>
      </c>
      <c r="E64" s="9" t="n">
        <f aca="false">IF(AND(J64&gt;0,K64&gt;0),(K64-J64)*L64,0)</f>
        <v>0</v>
      </c>
      <c r="F64" s="9" t="n">
        <f aca="false">IF(AND(J64&gt;0,K64&gt;0),(M64-L64)*K64,0)</f>
        <v>0</v>
      </c>
      <c r="G64" s="9" t="n">
        <f aca="false">IF(AND(J64&gt;0,K64&gt;0),0,IF(J64&gt;0,-D64,0)+IF(K64&gt;0,I64,0))</f>
        <v>9300000</v>
      </c>
      <c r="H64" s="9" t="n">
        <f aca="false">I64-D64-E64-F64-G64</f>
        <v>0</v>
      </c>
      <c r="I64" s="7" t="n">
        <f aca="false">'SKU Summary'!L36</f>
        <v>9300000</v>
      </c>
      <c r="J64" s="7" t="n">
        <f aca="false">'SKU Summary'!E36</f>
        <v>0</v>
      </c>
      <c r="K64" s="7" t="n">
        <f aca="false">'SKU Summary'!K36</f>
        <v>300</v>
      </c>
      <c r="L64" s="7" t="n">
        <f aca="false">'SKU Summary'!G36</f>
        <v>0</v>
      </c>
      <c r="M64" s="7" t="n">
        <f aca="false">'SKU Summary'!M36</f>
        <v>31000</v>
      </c>
    </row>
    <row r="65" customFormat="false" ht="15" hidden="false" customHeight="false" outlineLevel="0" collapsed="false">
      <c r="B65" s="25" t="s">
        <v>256</v>
      </c>
      <c r="D65" s="26" t="n">
        <f aca="false">SUM(D57:D64)</f>
        <v>2876425788.2</v>
      </c>
      <c r="E65" s="26" t="n">
        <f aca="false">SUM(E57:E64)</f>
        <v>1819718678.44818</v>
      </c>
      <c r="F65" s="26" t="n">
        <f aca="false">SUM(F57:F64)</f>
        <v>871047215.838395</v>
      </c>
      <c r="G65" s="26" t="n">
        <f aca="false">SUM(G57:G64)</f>
        <v>102882230</v>
      </c>
      <c r="H65" s="26" t="n">
        <f aca="false">SUM(H57:H64)</f>
        <v>0</v>
      </c>
      <c r="I65" s="26" t="n">
        <f aca="false">SUM(I57:I64)</f>
        <v>5670073912.48658</v>
      </c>
      <c r="J65" s="26" t="n">
        <f aca="false">SUM(J57:J64)</f>
        <v>86946.7</v>
      </c>
      <c r="K65" s="26" t="n">
        <f aca="false">SUM(K57:K64)</f>
        <v>168924.98</v>
      </c>
      <c r="L65" s="26" t="n">
        <f aca="false">IFERROR(D65/J65,0)</f>
        <v>33082.6332477253</v>
      </c>
      <c r="M65" s="26" t="n">
        <f aca="false">IFERROR(I65/K65,0)</f>
        <v>33565.6331732973</v>
      </c>
      <c r="N65" s="12" t="str">
        <f aca="false">IF(ROUND(I65-'Segment GP'!M7,0)=0,"ties to Segment GP","CHECK")</f>
        <v>ties to Segment GP</v>
      </c>
    </row>
    <row r="67" customFormat="false" ht="15" hidden="false" customHeight="false" outlineLevel="0" collapsed="false">
      <c r="B67" s="18" t="s">
        <v>257</v>
      </c>
    </row>
    <row r="68" customFormat="false" ht="39.75" hidden="false" customHeight="true" outlineLevel="0" collapsed="false">
      <c r="B68" s="5" t="s">
        <v>258</v>
      </c>
      <c r="C68" s="5"/>
      <c r="D68" s="5" t="s">
        <v>259</v>
      </c>
      <c r="E68" s="5" t="s">
        <v>260</v>
      </c>
      <c r="F68" s="5" t="s">
        <v>261</v>
      </c>
      <c r="G68" s="5" t="s">
        <v>262</v>
      </c>
      <c r="H68" s="5" t="s">
        <v>263</v>
      </c>
      <c r="I68" s="5" t="s">
        <v>264</v>
      </c>
      <c r="J68" s="5" t="s">
        <v>233</v>
      </c>
      <c r="K68" s="5" t="s">
        <v>265</v>
      </c>
      <c r="L68" s="5" t="s">
        <v>266</v>
      </c>
      <c r="M68" s="5" t="s">
        <v>267</v>
      </c>
      <c r="N68" s="5" t="s">
        <v>268</v>
      </c>
    </row>
    <row r="69" customFormat="false" ht="15" hidden="false" customHeight="false" outlineLevel="0" collapsed="false">
      <c r="B69" s="6" t="s">
        <v>269</v>
      </c>
      <c r="D69" s="7" t="n">
        <f aca="false">SUMIFS(I_Sales_Inv!$E$5:$E$228,I_Sales_Inv!$D$5:$D$228,$B69,I_Sales_Inv!$A$5:$A$228,7)</f>
        <v>0</v>
      </c>
      <c r="E69" s="7" t="n">
        <f aca="false">SUMIFS(I_Sales_Inv!$F$5:$F$228,I_Sales_Inv!$D$5:$D$228,$B69,I_Sales_Inv!$A$5:$A$228,7)</f>
        <v>183187190</v>
      </c>
      <c r="F69" s="7" t="n">
        <f aca="false">SUMIFS(I_Sales_Inv!$E$5:$E$228,I_Sales_Inv!$D$5:$D$228,$B69,I_Sales_Inv!$A$5:$A$228,8)</f>
        <v>450862780</v>
      </c>
      <c r="G69" s="7" t="n">
        <f aca="false">SUMIFS(I_Sales_Inv!$F$5:$F$228,I_Sales_Inv!$D$5:$D$228,$B69,I_Sales_Inv!$A$5:$A$228,8)</f>
        <v>1090890480</v>
      </c>
      <c r="H69" s="9" t="n">
        <f aca="false">F69+G69</f>
        <v>1541753260</v>
      </c>
      <c r="I69" s="9" t="n">
        <f aca="false">H69-D69-E69</f>
        <v>1358566070</v>
      </c>
      <c r="J69" s="7" t="n">
        <f aca="false">SUMIFS(I_Sales_Inv!$H$5:$H$228,I_Sales_Inv!$D$5:$D$228,$B69,I_Sales_Inv!$A$5:$A$228,8)+SUMIFS(I_Sales_Inv!$I$5:$I$228,I_Sales_Inv!$D$5:$D$228,$B69,I_Sales_Inv!$A$5:$A$228,8)</f>
        <v>49090.79</v>
      </c>
      <c r="K69" s="9" t="n">
        <f aca="false">IFERROR(H69/J69,0)</f>
        <v>31406.1611149464</v>
      </c>
      <c r="L69" s="7" t="n">
        <f aca="false">H69-SUMIFS(I_Sales_Inv!$K$5:$K$228,I_Sales_Inv!$D$5:$D$228,$B69,I_Sales_Inv!$A$5:$A$228,8)-SUMIFS(I_Sales_Inv!$L$5:$L$228,I_Sales_Inv!$D$5:$D$228,$B69,I_Sales_Inv!$A$5:$A$228,8)</f>
        <v>16389130.9427049</v>
      </c>
      <c r="M69" s="21" t="n">
        <f aca="false">IFERROR(L69/H69,0)</f>
        <v>0.0106301905550729</v>
      </c>
      <c r="N69" s="21" t="n">
        <f aca="false">IFERROR(H69/$H$104,0)</f>
        <v>0.184395293427196</v>
      </c>
    </row>
    <row r="70" customFormat="false" ht="15" hidden="false" customHeight="false" outlineLevel="0" collapsed="false">
      <c r="B70" s="6" t="s">
        <v>270</v>
      </c>
      <c r="D70" s="7" t="n">
        <f aca="false">SUMIFS(I_Sales_Inv!$E$5:$E$228,I_Sales_Inv!$D$5:$D$228,$B70,I_Sales_Inv!$A$5:$A$228,7)</f>
        <v>0</v>
      </c>
      <c r="E70" s="7" t="n">
        <f aca="false">SUMIFS(I_Sales_Inv!$F$5:$F$228,I_Sales_Inv!$D$5:$D$228,$B70,I_Sales_Inv!$A$5:$A$228,7)</f>
        <v>0</v>
      </c>
      <c r="F70" s="7" t="n">
        <f aca="false">SUMIFS(I_Sales_Inv!$E$5:$E$228,I_Sales_Inv!$D$5:$D$228,$B70,I_Sales_Inv!$A$5:$A$228,8)</f>
        <v>1035040175</v>
      </c>
      <c r="G70" s="7" t="n">
        <f aca="false">SUMIFS(I_Sales_Inv!$F$5:$F$228,I_Sales_Inv!$D$5:$D$228,$B70,I_Sales_Inv!$A$5:$A$228,8)</f>
        <v>0</v>
      </c>
      <c r="H70" s="9" t="n">
        <f aca="false">F70+G70</f>
        <v>1035040175</v>
      </c>
      <c r="I70" s="9" t="n">
        <f aca="false">H70-D70-E70</f>
        <v>1035040175</v>
      </c>
      <c r="J70" s="7" t="n">
        <f aca="false">SUMIFS(I_Sales_Inv!$H$5:$H$228,I_Sales_Inv!$D$5:$D$228,$B70,I_Sales_Inv!$A$5:$A$228,8)+SUMIFS(I_Sales_Inv!$I$5:$I$228,I_Sales_Inv!$D$5:$D$228,$B70,I_Sales_Inv!$A$5:$A$228,8)</f>
        <v>27923.4</v>
      </c>
      <c r="K70" s="9" t="n">
        <f aca="false">IFERROR(H70/J70,0)</f>
        <v>37067.1256007506</v>
      </c>
      <c r="L70" s="7" t="n">
        <f aca="false">H70-SUMIFS(I_Sales_Inv!$K$5:$K$228,I_Sales_Inv!$D$5:$D$228,$B70,I_Sales_Inv!$A$5:$A$228,8)-SUMIFS(I_Sales_Inv!$L$5:$L$228,I_Sales_Inv!$D$5:$D$228,$B70,I_Sales_Inv!$A$5:$A$228,8)</f>
        <v>-10908599.5562657</v>
      </c>
      <c r="M70" s="21" t="n">
        <f aca="false">IFERROR(L70/H70,0)</f>
        <v>-0.0105393006182255</v>
      </c>
      <c r="N70" s="21" t="n">
        <f aca="false">IFERROR(H70/$H$104,0)</f>
        <v>0.123791881444156</v>
      </c>
    </row>
    <row r="71" customFormat="false" ht="15" hidden="false" customHeight="false" outlineLevel="0" collapsed="false">
      <c r="B71" s="6" t="s">
        <v>271</v>
      </c>
      <c r="D71" s="7" t="n">
        <f aca="false">SUMIFS(I_Sales_Inv!$E$5:$E$228,I_Sales_Inv!$D$5:$D$228,$B71,I_Sales_Inv!$A$5:$A$228,7)</f>
        <v>0</v>
      </c>
      <c r="E71" s="7" t="n">
        <f aca="false">SUMIFS(I_Sales_Inv!$F$5:$F$228,I_Sales_Inv!$D$5:$D$228,$B71,I_Sales_Inv!$A$5:$A$228,7)</f>
        <v>0</v>
      </c>
      <c r="F71" s="7" t="n">
        <f aca="false">SUMIFS(I_Sales_Inv!$E$5:$E$228,I_Sales_Inv!$D$5:$D$228,$B71,I_Sales_Inv!$A$5:$A$228,8)</f>
        <v>0</v>
      </c>
      <c r="G71" s="7" t="n">
        <f aca="false">SUMIFS(I_Sales_Inv!$F$5:$F$228,I_Sales_Inv!$D$5:$D$228,$B71,I_Sales_Inv!$A$5:$A$228,8)</f>
        <v>806360640</v>
      </c>
      <c r="H71" s="9" t="n">
        <f aca="false">F71+G71</f>
        <v>806360640</v>
      </c>
      <c r="I71" s="9" t="n">
        <f aca="false">H71-D71-E71</f>
        <v>806360640</v>
      </c>
      <c r="J71" s="7" t="n">
        <f aca="false">SUMIFS(I_Sales_Inv!$H$5:$H$228,I_Sales_Inv!$D$5:$D$228,$B71,I_Sales_Inv!$A$5:$A$228,8)+SUMIFS(I_Sales_Inv!$I$5:$I$228,I_Sales_Inv!$D$5:$D$228,$B71,I_Sales_Inv!$A$5:$A$228,8)</f>
        <v>20038.35</v>
      </c>
      <c r="K71" s="9" t="n">
        <f aca="false">IFERROR(H71/J71,0)</f>
        <v>40240.8701315228</v>
      </c>
      <c r="L71" s="7" t="n">
        <f aca="false">H71-SUMIFS(I_Sales_Inv!$K$5:$K$228,I_Sales_Inv!$D$5:$D$228,$B71,I_Sales_Inv!$A$5:$A$228,8)-SUMIFS(I_Sales_Inv!$L$5:$L$228,I_Sales_Inv!$D$5:$D$228,$B71,I_Sales_Inv!$A$5:$A$228,8)</f>
        <v>52424154.458126</v>
      </c>
      <c r="M71" s="21" t="n">
        <f aca="false">IFERROR(L71/H71,0)</f>
        <v>0.0650132854427592</v>
      </c>
      <c r="N71" s="21" t="n">
        <f aca="false">IFERROR(H71/$H$104,0)</f>
        <v>0.0964415712154497</v>
      </c>
    </row>
    <row r="72" customFormat="false" ht="15" hidden="false" customHeight="false" outlineLevel="0" collapsed="false">
      <c r="B72" s="6" t="s">
        <v>272</v>
      </c>
      <c r="D72" s="7" t="n">
        <f aca="false">SUMIFS(I_Sales_Inv!$E$5:$E$228,I_Sales_Inv!$D$5:$D$228,$B72,I_Sales_Inv!$A$5:$A$228,7)</f>
        <v>54507200</v>
      </c>
      <c r="E72" s="7" t="n">
        <f aca="false">SUMIFS(I_Sales_Inv!$F$5:$F$228,I_Sales_Inv!$D$5:$D$228,$B72,I_Sales_Inv!$A$5:$A$228,7)</f>
        <v>440916045</v>
      </c>
      <c r="F72" s="7" t="n">
        <f aca="false">SUMIFS(I_Sales_Inv!$E$5:$E$228,I_Sales_Inv!$D$5:$D$228,$B72,I_Sales_Inv!$A$5:$A$228,8)</f>
        <v>197633740</v>
      </c>
      <c r="G72" s="7" t="n">
        <f aca="false">SUMIFS(I_Sales_Inv!$F$5:$F$228,I_Sales_Inv!$D$5:$D$228,$B72,I_Sales_Inv!$A$5:$A$228,8)</f>
        <v>571763670</v>
      </c>
      <c r="H72" s="9" t="n">
        <f aca="false">F72+G72</f>
        <v>769397410</v>
      </c>
      <c r="I72" s="9" t="n">
        <f aca="false">H72-D72-E72</f>
        <v>273974165</v>
      </c>
      <c r="J72" s="7" t="n">
        <f aca="false">SUMIFS(I_Sales_Inv!$H$5:$H$228,I_Sales_Inv!$D$5:$D$228,$B72,I_Sales_Inv!$A$5:$A$228,8)+SUMIFS(I_Sales_Inv!$I$5:$I$228,I_Sales_Inv!$D$5:$D$228,$B72,I_Sales_Inv!$A$5:$A$228,8)</f>
        <v>31750.83</v>
      </c>
      <c r="K72" s="9" t="n">
        <f aca="false">IFERROR(H72/J72,0)</f>
        <v>24232.3558155803</v>
      </c>
      <c r="L72" s="7" t="n">
        <f aca="false">H72-SUMIFS(I_Sales_Inv!$K$5:$K$228,I_Sales_Inv!$D$5:$D$228,$B72,I_Sales_Inv!$A$5:$A$228,8)-SUMIFS(I_Sales_Inv!$L$5:$L$228,I_Sales_Inv!$D$5:$D$228,$B72,I_Sales_Inv!$A$5:$A$228,8)</f>
        <v>15340541.6153579</v>
      </c>
      <c r="M72" s="21" t="n">
        <f aca="false">IFERROR(L72/H72,0)</f>
        <v>0.0199383847878535</v>
      </c>
      <c r="N72" s="21" t="n">
        <f aca="false">IFERROR(H72/$H$104,0)</f>
        <v>0.0920207304631059</v>
      </c>
    </row>
    <row r="73" customFormat="false" ht="15" hidden="false" customHeight="false" outlineLevel="0" collapsed="false">
      <c r="B73" s="6" t="s">
        <v>273</v>
      </c>
      <c r="D73" s="7" t="n">
        <f aca="false">SUMIFS(I_Sales_Inv!$E$5:$E$228,I_Sales_Inv!$D$5:$D$228,$B73,I_Sales_Inv!$A$5:$A$228,7)</f>
        <v>1596300</v>
      </c>
      <c r="E73" s="7" t="n">
        <f aca="false">SUMIFS(I_Sales_Inv!$F$5:$F$228,I_Sales_Inv!$D$5:$D$228,$B73,I_Sales_Inv!$A$5:$A$228,7)</f>
        <v>38178050</v>
      </c>
      <c r="F73" s="7" t="n">
        <f aca="false">SUMIFS(I_Sales_Inv!$E$5:$E$228,I_Sales_Inv!$D$5:$D$228,$B73,I_Sales_Inv!$A$5:$A$228,8)</f>
        <v>0</v>
      </c>
      <c r="G73" s="7" t="n">
        <f aca="false">SUMIFS(I_Sales_Inv!$F$5:$F$228,I_Sales_Inv!$D$5:$D$228,$B73,I_Sales_Inv!$A$5:$A$228,8)</f>
        <v>556983784</v>
      </c>
      <c r="H73" s="9" t="n">
        <f aca="false">F73+G73</f>
        <v>556983784</v>
      </c>
      <c r="I73" s="9" t="n">
        <f aca="false">H73-D73-E73</f>
        <v>517209434</v>
      </c>
      <c r="J73" s="7" t="n">
        <f aca="false">SUMIFS(I_Sales_Inv!$H$5:$H$228,I_Sales_Inv!$D$5:$D$228,$B73,I_Sales_Inv!$A$5:$A$228,8)+SUMIFS(I_Sales_Inv!$I$5:$I$228,I_Sales_Inv!$D$5:$D$228,$B73,I_Sales_Inv!$A$5:$A$228,8)</f>
        <v>16776.62</v>
      </c>
      <c r="K73" s="9" t="n">
        <f aca="false">IFERROR(H73/J73,0)</f>
        <v>33200</v>
      </c>
      <c r="L73" s="7" t="n">
        <f aca="false">H73-SUMIFS(I_Sales_Inv!$K$5:$K$228,I_Sales_Inv!$D$5:$D$228,$B73,I_Sales_Inv!$A$5:$A$228,8)-SUMIFS(I_Sales_Inv!$L$5:$L$228,I_Sales_Inv!$D$5:$D$228,$B73,I_Sales_Inv!$A$5:$A$228,8)</f>
        <v>72810981.6520917</v>
      </c>
      <c r="M73" s="21" t="n">
        <f aca="false">IFERROR(L73/H73,0)</f>
        <v>0.13072370101908</v>
      </c>
      <c r="N73" s="21" t="n">
        <f aca="false">IFERROR(H73/$H$104,0)</f>
        <v>0.066615839868482</v>
      </c>
    </row>
    <row r="74" customFormat="false" ht="15" hidden="false" customHeight="false" outlineLevel="0" collapsed="false">
      <c r="B74" s="6" t="s">
        <v>274</v>
      </c>
      <c r="D74" s="7" t="n">
        <f aca="false">SUMIFS(I_Sales_Inv!$E$5:$E$228,I_Sales_Inv!$D$5:$D$228,$B74,I_Sales_Inv!$A$5:$A$228,7)</f>
        <v>0</v>
      </c>
      <c r="E74" s="7" t="n">
        <f aca="false">SUMIFS(I_Sales_Inv!$F$5:$F$228,I_Sales_Inv!$D$5:$D$228,$B74,I_Sales_Inv!$A$5:$A$228,7)</f>
        <v>0</v>
      </c>
      <c r="F74" s="7" t="n">
        <f aca="false">SUMIFS(I_Sales_Inv!$E$5:$E$228,I_Sales_Inv!$D$5:$D$228,$B74,I_Sales_Inv!$A$5:$A$228,8)</f>
        <v>112011040</v>
      </c>
      <c r="G74" s="7" t="n">
        <f aca="false">SUMIFS(I_Sales_Inv!$F$5:$F$228,I_Sales_Inv!$D$5:$D$228,$B74,I_Sales_Inv!$A$5:$A$228,8)</f>
        <v>312902130</v>
      </c>
      <c r="H74" s="9" t="n">
        <f aca="false">F74+G74</f>
        <v>424913170</v>
      </c>
      <c r="I74" s="9" t="n">
        <f aca="false">H74-D74-E74</f>
        <v>424913170</v>
      </c>
      <c r="J74" s="7" t="n">
        <f aca="false">SUMIFS(I_Sales_Inv!$H$5:$H$228,I_Sales_Inv!$D$5:$D$228,$B74,I_Sales_Inv!$A$5:$A$228,8)+SUMIFS(I_Sales_Inv!$I$5:$I$228,I_Sales_Inv!$D$5:$D$228,$B74,I_Sales_Inv!$A$5:$A$228,8)</f>
        <v>11732.62</v>
      </c>
      <c r="K74" s="9" t="n">
        <f aca="false">IFERROR(H74/J74,0)</f>
        <v>36216.392417039</v>
      </c>
      <c r="L74" s="7" t="n">
        <f aca="false">H74-SUMIFS(I_Sales_Inv!$K$5:$K$228,I_Sales_Inv!$D$5:$D$228,$B74,I_Sales_Inv!$A$5:$A$228,8)-SUMIFS(I_Sales_Inv!$L$5:$L$228,I_Sales_Inv!$D$5:$D$228,$B74,I_Sales_Inv!$A$5:$A$228,8)</f>
        <v>31393534.8766475</v>
      </c>
      <c r="M74" s="21" t="n">
        <f aca="false">IFERROR(L74/H74,0)</f>
        <v>0.0738822354615357</v>
      </c>
      <c r="N74" s="21" t="n">
        <f aca="false">IFERROR(H74/$H$104,0)</f>
        <v>0.0508200570714085</v>
      </c>
    </row>
    <row r="75" customFormat="false" ht="15" hidden="false" customHeight="false" outlineLevel="0" collapsed="false">
      <c r="B75" s="6" t="s">
        <v>275</v>
      </c>
      <c r="D75" s="7" t="n">
        <f aca="false">SUMIFS(I_Sales_Inv!$E$5:$E$228,I_Sales_Inv!$D$5:$D$228,$B75,I_Sales_Inv!$A$5:$A$228,7)</f>
        <v>0</v>
      </c>
      <c r="E75" s="7" t="n">
        <f aca="false">SUMIFS(I_Sales_Inv!$F$5:$F$228,I_Sales_Inv!$D$5:$D$228,$B75,I_Sales_Inv!$A$5:$A$228,7)</f>
        <v>0</v>
      </c>
      <c r="F75" s="7" t="n">
        <f aca="false">SUMIFS(I_Sales_Inv!$E$5:$E$228,I_Sales_Inv!$D$5:$D$228,$B75,I_Sales_Inv!$A$5:$A$228,8)</f>
        <v>36464190</v>
      </c>
      <c r="G75" s="7" t="n">
        <f aca="false">SUMIFS(I_Sales_Inv!$F$5:$F$228,I_Sales_Inv!$D$5:$D$228,$B75,I_Sales_Inv!$A$5:$A$228,8)</f>
        <v>379607190</v>
      </c>
      <c r="H75" s="9" t="n">
        <f aca="false">F75+G75</f>
        <v>416071380</v>
      </c>
      <c r="I75" s="9" t="n">
        <f aca="false">H75-D75-E75</f>
        <v>416071380</v>
      </c>
      <c r="J75" s="7" t="n">
        <f aca="false">SUMIFS(I_Sales_Inv!$H$5:$H$228,I_Sales_Inv!$D$5:$D$228,$B75,I_Sales_Inv!$A$5:$A$228,8)+SUMIFS(I_Sales_Inv!$I$5:$I$228,I_Sales_Inv!$D$5:$D$228,$B75,I_Sales_Inv!$A$5:$A$228,8)</f>
        <v>13137.07</v>
      </c>
      <c r="K75" s="9" t="n">
        <f aca="false">IFERROR(H75/J75,0)</f>
        <v>31671.550810036</v>
      </c>
      <c r="L75" s="7" t="n">
        <f aca="false">H75-SUMIFS(I_Sales_Inv!$K$5:$K$228,I_Sales_Inv!$D$5:$D$228,$B75,I_Sales_Inv!$A$5:$A$228,8)-SUMIFS(I_Sales_Inv!$L$5:$L$228,I_Sales_Inv!$D$5:$D$228,$B75,I_Sales_Inv!$A$5:$A$228,8)</f>
        <v>8399466.53436846</v>
      </c>
      <c r="M75" s="21" t="n">
        <f aca="false">IFERROR(L75/H75,0)</f>
        <v>0.0201875614092189</v>
      </c>
      <c r="N75" s="21" t="n">
        <f aca="false">IFERROR(H75/$H$104,0)</f>
        <v>0.0497625697913286</v>
      </c>
    </row>
    <row r="76" customFormat="false" ht="15" hidden="false" customHeight="false" outlineLevel="0" collapsed="false">
      <c r="B76" s="6" t="s">
        <v>276</v>
      </c>
      <c r="D76" s="7" t="n">
        <f aca="false">SUMIFS(I_Sales_Inv!$E$5:$E$228,I_Sales_Inv!$D$5:$D$228,$B76,I_Sales_Inv!$A$5:$A$228,7)</f>
        <v>0</v>
      </c>
      <c r="E76" s="7" t="n">
        <f aca="false">SUMIFS(I_Sales_Inv!$F$5:$F$228,I_Sales_Inv!$D$5:$D$228,$B76,I_Sales_Inv!$A$5:$A$228,7)</f>
        <v>145134000</v>
      </c>
      <c r="F76" s="7" t="n">
        <f aca="false">SUMIFS(I_Sales_Inv!$E$5:$E$228,I_Sales_Inv!$D$5:$D$228,$B76,I_Sales_Inv!$A$5:$A$228,8)</f>
        <v>181069770</v>
      </c>
      <c r="G76" s="7" t="n">
        <f aca="false">SUMIFS(I_Sales_Inv!$F$5:$F$228,I_Sales_Inv!$D$5:$D$228,$B76,I_Sales_Inv!$A$5:$A$228,8)</f>
        <v>117285930</v>
      </c>
      <c r="H76" s="9" t="n">
        <f aca="false">F76+G76</f>
        <v>298355700</v>
      </c>
      <c r="I76" s="9" t="n">
        <f aca="false">H76-D76-E76</f>
        <v>153221700</v>
      </c>
      <c r="J76" s="7" t="n">
        <f aca="false">SUMIFS(I_Sales_Inv!$H$5:$H$228,I_Sales_Inv!$D$5:$D$228,$B76,I_Sales_Inv!$A$5:$A$228,8)+SUMIFS(I_Sales_Inv!$I$5:$I$228,I_Sales_Inv!$D$5:$D$228,$B76,I_Sales_Inv!$A$5:$A$228,8)</f>
        <v>7359.5</v>
      </c>
      <c r="K76" s="9" t="n">
        <f aca="false">IFERROR(H76/J76,0)</f>
        <v>40540.2133297099</v>
      </c>
      <c r="L76" s="7" t="n">
        <f aca="false">H76-SUMIFS(I_Sales_Inv!$K$5:$K$228,I_Sales_Inv!$D$5:$D$228,$B76,I_Sales_Inv!$A$5:$A$228,8)-SUMIFS(I_Sales_Inv!$L$5:$L$228,I_Sales_Inv!$D$5:$D$228,$B76,I_Sales_Inv!$A$5:$A$228,8)</f>
        <v>52487109.7149246</v>
      </c>
      <c r="M76" s="21" t="n">
        <f aca="false">IFERROR(L76/H76,0)</f>
        <v>0.175921256791556</v>
      </c>
      <c r="N76" s="21" t="n">
        <f aca="false">IFERROR(H76/$H$104,0)</f>
        <v>0.0356836520307903</v>
      </c>
    </row>
    <row r="77" customFormat="false" ht="15" hidden="false" customHeight="false" outlineLevel="0" collapsed="false">
      <c r="B77" s="6" t="s">
        <v>277</v>
      </c>
      <c r="D77" s="7" t="n">
        <f aca="false">SUMIFS(I_Sales_Inv!$E$5:$E$228,I_Sales_Inv!$D$5:$D$228,$B77,I_Sales_Inv!$A$5:$A$228,7)</f>
        <v>0</v>
      </c>
      <c r="E77" s="7" t="n">
        <f aca="false">SUMIFS(I_Sales_Inv!$F$5:$F$228,I_Sales_Inv!$D$5:$D$228,$B77,I_Sales_Inv!$A$5:$A$228,7)</f>
        <v>96205750</v>
      </c>
      <c r="F77" s="7" t="n">
        <f aca="false">SUMIFS(I_Sales_Inv!$E$5:$E$228,I_Sales_Inv!$D$5:$D$228,$B77,I_Sales_Inv!$A$5:$A$228,8)</f>
        <v>0</v>
      </c>
      <c r="G77" s="7" t="n">
        <f aca="false">SUMIFS(I_Sales_Inv!$F$5:$F$228,I_Sales_Inv!$D$5:$D$228,$B77,I_Sales_Inv!$A$5:$A$228,8)</f>
        <v>297727500</v>
      </c>
      <c r="H77" s="9" t="n">
        <f aca="false">F77+G77</f>
        <v>297727500</v>
      </c>
      <c r="I77" s="9" t="n">
        <f aca="false">H77-D77-E77</f>
        <v>201521750</v>
      </c>
      <c r="J77" s="7" t="n">
        <f aca="false">SUMIFS(I_Sales_Inv!$H$5:$H$228,I_Sales_Inv!$D$5:$D$228,$B77,I_Sales_Inv!$A$5:$A$228,8)+SUMIFS(I_Sales_Inv!$I$5:$I$228,I_Sales_Inv!$D$5:$D$228,$B77,I_Sales_Inv!$A$5:$A$228,8)</f>
        <v>6786.5</v>
      </c>
      <c r="K77" s="9" t="n">
        <f aca="false">IFERROR(H77/J77,0)</f>
        <v>43870.5518308406</v>
      </c>
      <c r="L77" s="7" t="n">
        <f aca="false">H77-SUMIFS(I_Sales_Inv!$K$5:$K$228,I_Sales_Inv!$D$5:$D$228,$B77,I_Sales_Inv!$A$5:$A$228,8)-SUMIFS(I_Sales_Inv!$L$5:$L$228,I_Sales_Inv!$D$5:$D$228,$B77,I_Sales_Inv!$A$5:$A$228,8)</f>
        <v>57610411.2092302</v>
      </c>
      <c r="M77" s="21" t="n">
        <f aca="false">IFERROR(L77/H77,0)</f>
        <v>0.193500470091712</v>
      </c>
      <c r="N77" s="21" t="n">
        <f aca="false">IFERROR(H77/$H$104,0)</f>
        <v>0.0356085186574183</v>
      </c>
    </row>
    <row r="78" customFormat="false" ht="15" hidden="false" customHeight="false" outlineLevel="0" collapsed="false">
      <c r="B78" s="6" t="s">
        <v>278</v>
      </c>
      <c r="D78" s="7" t="n">
        <f aca="false">SUMIFS(I_Sales_Inv!$E$5:$E$228,I_Sales_Inv!$D$5:$D$228,$B78,I_Sales_Inv!$A$5:$A$228,7)</f>
        <v>46002000</v>
      </c>
      <c r="E78" s="7" t="n">
        <f aca="false">SUMIFS(I_Sales_Inv!$F$5:$F$228,I_Sales_Inv!$D$5:$D$228,$B78,I_Sales_Inv!$A$5:$A$228,7)</f>
        <v>252474310</v>
      </c>
      <c r="F78" s="7" t="n">
        <f aca="false">SUMIFS(I_Sales_Inv!$E$5:$E$228,I_Sales_Inv!$D$5:$D$228,$B78,I_Sales_Inv!$A$5:$A$228,8)</f>
        <v>0</v>
      </c>
      <c r="G78" s="7" t="n">
        <f aca="false">SUMIFS(I_Sales_Inv!$F$5:$F$228,I_Sales_Inv!$D$5:$D$228,$B78,I_Sales_Inv!$A$5:$A$228,8)</f>
        <v>296885900</v>
      </c>
      <c r="H78" s="9" t="n">
        <f aca="false">F78+G78</f>
        <v>296885900</v>
      </c>
      <c r="I78" s="9" t="n">
        <f aca="false">H78-D78-E78</f>
        <v>-1590410</v>
      </c>
      <c r="J78" s="7" t="n">
        <f aca="false">SUMIFS(I_Sales_Inv!$H$5:$H$228,I_Sales_Inv!$D$5:$D$228,$B78,I_Sales_Inv!$A$5:$A$228,8)+SUMIFS(I_Sales_Inv!$I$5:$I$228,I_Sales_Inv!$D$5:$D$228,$B78,I_Sales_Inv!$A$5:$A$228,8)</f>
        <v>7551.8</v>
      </c>
      <c r="K78" s="9" t="n">
        <f aca="false">IFERROR(H78/J78,0)</f>
        <v>39313.2630631108</v>
      </c>
      <c r="L78" s="7" t="n">
        <f aca="false">H78-SUMIFS(I_Sales_Inv!$K$5:$K$228,I_Sales_Inv!$D$5:$D$228,$B78,I_Sales_Inv!$A$5:$A$228,8)-SUMIFS(I_Sales_Inv!$L$5:$L$228,I_Sales_Inv!$D$5:$D$228,$B78,I_Sales_Inv!$A$5:$A$228,8)</f>
        <v>68592531.7708699</v>
      </c>
      <c r="M78" s="21" t="n">
        <f aca="false">IFERROR(L78/H78,0)</f>
        <v>0.231040045252637</v>
      </c>
      <c r="N78" s="21" t="n">
        <f aca="false">IFERROR(H78/$H$104,0)</f>
        <v>0.0355078624220955</v>
      </c>
    </row>
    <row r="79" customFormat="false" ht="15" hidden="false" customHeight="false" outlineLevel="0" collapsed="false">
      <c r="B79" s="6" t="s">
        <v>279</v>
      </c>
      <c r="D79" s="7" t="n">
        <f aca="false">SUMIFS(I_Sales_Inv!$E$5:$E$228,I_Sales_Inv!$D$5:$D$228,$B79,I_Sales_Inv!$A$5:$A$228,7)</f>
        <v>0</v>
      </c>
      <c r="E79" s="7" t="n">
        <f aca="false">SUMIFS(I_Sales_Inv!$F$5:$F$228,I_Sales_Inv!$D$5:$D$228,$B79,I_Sales_Inv!$A$5:$A$228,7)</f>
        <v>127785000</v>
      </c>
      <c r="F79" s="7" t="n">
        <f aca="false">SUMIFS(I_Sales_Inv!$E$5:$E$228,I_Sales_Inv!$D$5:$D$228,$B79,I_Sales_Inv!$A$5:$A$228,8)</f>
        <v>0</v>
      </c>
      <c r="G79" s="7" t="n">
        <f aca="false">SUMIFS(I_Sales_Inv!$F$5:$F$228,I_Sales_Inv!$D$5:$D$228,$B79,I_Sales_Inv!$A$5:$A$228,8)</f>
        <v>292966300</v>
      </c>
      <c r="H79" s="9" t="n">
        <f aca="false">F79+G79</f>
        <v>292966300</v>
      </c>
      <c r="I79" s="9" t="n">
        <f aca="false">H79-D79-E79</f>
        <v>165181300</v>
      </c>
      <c r="J79" s="7" t="n">
        <f aca="false">SUMIFS(I_Sales_Inv!$H$5:$H$228,I_Sales_Inv!$D$5:$D$228,$B79,I_Sales_Inv!$A$5:$A$228,8)+SUMIFS(I_Sales_Inv!$I$5:$I$228,I_Sales_Inv!$D$5:$D$228,$B79,I_Sales_Inv!$A$5:$A$228,8)</f>
        <v>5938.5</v>
      </c>
      <c r="K79" s="9" t="n">
        <f aca="false">IFERROR(H79/J79,0)</f>
        <v>49333.3838511409</v>
      </c>
      <c r="L79" s="7" t="n">
        <f aca="false">H79-SUMIFS(I_Sales_Inv!$K$5:$K$228,I_Sales_Inv!$D$5:$D$228,$B79,I_Sales_Inv!$A$5:$A$228,8)-SUMIFS(I_Sales_Inv!$L$5:$L$228,I_Sales_Inv!$D$5:$D$228,$B79,I_Sales_Inv!$A$5:$A$228,8)</f>
        <v>28716921.7055654</v>
      </c>
      <c r="M79" s="21" t="n">
        <f aca="false">IFERROR(L79/H79,0)</f>
        <v>0.0980212458073347</v>
      </c>
      <c r="N79" s="21" t="n">
        <f aca="false">IFERROR(H79/$H$104,0)</f>
        <v>0.0350390741854374</v>
      </c>
    </row>
    <row r="80" customFormat="false" ht="15" hidden="false" customHeight="false" outlineLevel="0" collapsed="false">
      <c r="B80" s="6" t="s">
        <v>280</v>
      </c>
      <c r="D80" s="7" t="n">
        <f aca="false">SUMIFS(I_Sales_Inv!$E$5:$E$228,I_Sales_Inv!$D$5:$D$228,$B80,I_Sales_Inv!$A$5:$A$228,7)</f>
        <v>0</v>
      </c>
      <c r="E80" s="7" t="n">
        <f aca="false">SUMIFS(I_Sales_Inv!$F$5:$F$228,I_Sales_Inv!$D$5:$D$228,$B80,I_Sales_Inv!$A$5:$A$228,7)</f>
        <v>0</v>
      </c>
      <c r="F80" s="7" t="n">
        <f aca="false">SUMIFS(I_Sales_Inv!$E$5:$E$228,I_Sales_Inv!$D$5:$D$228,$B80,I_Sales_Inv!$A$5:$A$228,8)</f>
        <v>7204550</v>
      </c>
      <c r="G80" s="7" t="n">
        <f aca="false">SUMIFS(I_Sales_Inv!$F$5:$F$228,I_Sales_Inv!$D$5:$D$228,$B80,I_Sales_Inv!$A$5:$A$228,8)</f>
        <v>254667520</v>
      </c>
      <c r="H80" s="9" t="n">
        <f aca="false">F80+G80</f>
        <v>261872070</v>
      </c>
      <c r="I80" s="9" t="n">
        <f aca="false">H80-D80-E80</f>
        <v>261872070</v>
      </c>
      <c r="J80" s="7" t="n">
        <f aca="false">SUMIFS(I_Sales_Inv!$H$5:$H$228,I_Sales_Inv!$D$5:$D$228,$B80,I_Sales_Inv!$A$5:$A$228,8)+SUMIFS(I_Sales_Inv!$I$5:$I$228,I_Sales_Inv!$D$5:$D$228,$B80,I_Sales_Inv!$A$5:$A$228,8)</f>
        <v>8455.51</v>
      </c>
      <c r="K80" s="9" t="n">
        <f aca="false">IFERROR(H80/J80,0)</f>
        <v>30970.582495911</v>
      </c>
      <c r="L80" s="7" t="n">
        <f aca="false">H80-SUMIFS(I_Sales_Inv!$K$5:$K$228,I_Sales_Inv!$D$5:$D$228,$B80,I_Sales_Inv!$A$5:$A$228,8)-SUMIFS(I_Sales_Inv!$L$5:$L$228,I_Sales_Inv!$D$5:$D$228,$B80,I_Sales_Inv!$A$5:$A$228,8)</f>
        <v>6838760.66562808</v>
      </c>
      <c r="M80" s="21" t="n">
        <f aca="false">IFERROR(L80/H80,0)</f>
        <v>0.0261148913881044</v>
      </c>
      <c r="N80" s="21" t="n">
        <f aca="false">IFERROR(H80/$H$104,0)</f>
        <v>0.031320171937264</v>
      </c>
    </row>
    <row r="81" customFormat="false" ht="15" hidden="false" customHeight="false" outlineLevel="0" collapsed="false">
      <c r="B81" s="6" t="s">
        <v>281</v>
      </c>
      <c r="D81" s="7" t="n">
        <f aca="false">SUMIFS(I_Sales_Inv!$E$5:$E$228,I_Sales_Inv!$D$5:$D$228,$B81,I_Sales_Inv!$A$5:$A$228,7)</f>
        <v>0</v>
      </c>
      <c r="E81" s="7" t="n">
        <f aca="false">SUMIFS(I_Sales_Inv!$F$5:$F$228,I_Sales_Inv!$D$5:$D$228,$B81,I_Sales_Inv!$A$5:$A$228,7)</f>
        <v>0</v>
      </c>
      <c r="F81" s="7" t="n">
        <f aca="false">SUMIFS(I_Sales_Inv!$E$5:$E$228,I_Sales_Inv!$D$5:$D$228,$B81,I_Sales_Inv!$A$5:$A$228,8)</f>
        <v>252670475</v>
      </c>
      <c r="G81" s="7" t="n">
        <f aca="false">SUMIFS(I_Sales_Inv!$F$5:$F$228,I_Sales_Inv!$D$5:$D$228,$B81,I_Sales_Inv!$A$5:$A$228,8)</f>
        <v>0</v>
      </c>
      <c r="H81" s="9" t="n">
        <f aca="false">F81+G81</f>
        <v>252670475</v>
      </c>
      <c r="I81" s="9" t="n">
        <f aca="false">H81-D81-E81</f>
        <v>252670475</v>
      </c>
      <c r="J81" s="7" t="n">
        <f aca="false">SUMIFS(I_Sales_Inv!$H$5:$H$228,I_Sales_Inv!$D$5:$D$228,$B81,I_Sales_Inv!$A$5:$A$228,8)+SUMIFS(I_Sales_Inv!$I$5:$I$228,I_Sales_Inv!$D$5:$D$228,$B81,I_Sales_Inv!$A$5:$A$228,8)</f>
        <v>6783.1</v>
      </c>
      <c r="K81" s="9" t="n">
        <f aca="false">IFERROR(H81/J81,0)</f>
        <v>37250</v>
      </c>
      <c r="L81" s="7" t="n">
        <f aca="false">H81-SUMIFS(I_Sales_Inv!$K$5:$K$228,I_Sales_Inv!$D$5:$D$228,$B81,I_Sales_Inv!$A$5:$A$228,8)-SUMIFS(I_Sales_Inv!$L$5:$L$228,I_Sales_Inv!$D$5:$D$228,$B81,I_Sales_Inv!$A$5:$A$228,8)</f>
        <v>-4387771.19119161</v>
      </c>
      <c r="M81" s="21" t="n">
        <f aca="false">IFERROR(L81/H81,0)</f>
        <v>-0.01736558729781</v>
      </c>
      <c r="N81" s="21" t="n">
        <f aca="false">IFERROR(H81/$H$104,0)</f>
        <v>0.0302196516049618</v>
      </c>
    </row>
    <row r="82" customFormat="false" ht="15" hidden="false" customHeight="false" outlineLevel="0" collapsed="false">
      <c r="B82" s="6" t="s">
        <v>282</v>
      </c>
      <c r="D82" s="7" t="n">
        <f aca="false">SUMIFS(I_Sales_Inv!$E$5:$E$228,I_Sales_Inv!$D$5:$D$228,$B82,I_Sales_Inv!$A$5:$A$228,7)</f>
        <v>0</v>
      </c>
      <c r="E82" s="7" t="n">
        <f aca="false">SUMIFS(I_Sales_Inv!$F$5:$F$228,I_Sales_Inv!$D$5:$D$228,$B82,I_Sales_Inv!$A$5:$A$228,7)</f>
        <v>0</v>
      </c>
      <c r="F82" s="7" t="n">
        <f aca="false">SUMIFS(I_Sales_Inv!$E$5:$E$228,I_Sales_Inv!$D$5:$D$228,$B82,I_Sales_Inv!$A$5:$A$228,8)</f>
        <v>204514384</v>
      </c>
      <c r="G82" s="7" t="n">
        <f aca="false">SUMIFS(I_Sales_Inv!$F$5:$F$228,I_Sales_Inv!$D$5:$D$228,$B82,I_Sales_Inv!$A$5:$A$228,8)</f>
        <v>0</v>
      </c>
      <c r="H82" s="9" t="n">
        <f aca="false">F82+G82</f>
        <v>204514384</v>
      </c>
      <c r="I82" s="9" t="n">
        <f aca="false">H82-D82-E82</f>
        <v>204514384</v>
      </c>
      <c r="J82" s="7" t="n">
        <f aca="false">SUMIFS(I_Sales_Inv!$H$5:$H$228,I_Sales_Inv!$D$5:$D$228,$B82,I_Sales_Inv!$A$5:$A$228,8)+SUMIFS(I_Sales_Inv!$I$5:$I$228,I_Sales_Inv!$D$5:$D$228,$B82,I_Sales_Inv!$A$5:$A$228,8)</f>
        <v>6157.57</v>
      </c>
      <c r="K82" s="9" t="n">
        <f aca="false">IFERROR(H82/J82,0)</f>
        <v>33213.489087416</v>
      </c>
      <c r="L82" s="7" t="n">
        <f aca="false">H82-SUMIFS(I_Sales_Inv!$K$5:$K$228,I_Sales_Inv!$D$5:$D$228,$B82,I_Sales_Inv!$A$5:$A$228,8)-SUMIFS(I_Sales_Inv!$L$5:$L$228,I_Sales_Inv!$D$5:$D$228,$B82,I_Sales_Inv!$A$5:$A$228,8)</f>
        <v>-7090741.37557042</v>
      </c>
      <c r="M82" s="21" t="n">
        <f aca="false">IFERROR(L82/H82,0)</f>
        <v>-0.0346711132825279</v>
      </c>
      <c r="N82" s="21" t="n">
        <f aca="false">IFERROR(H82/$H$104,0)</f>
        <v>0.0244601330356599</v>
      </c>
    </row>
    <row r="83" customFormat="false" ht="15" hidden="false" customHeight="false" outlineLevel="0" collapsed="false">
      <c r="B83" s="6" t="s">
        <v>283</v>
      </c>
      <c r="D83" s="7" t="n">
        <f aca="false">SUMIFS(I_Sales_Inv!$E$5:$E$228,I_Sales_Inv!$D$5:$D$228,$B83,I_Sales_Inv!$A$5:$A$228,7)</f>
        <v>94505780</v>
      </c>
      <c r="E83" s="7" t="n">
        <f aca="false">SUMIFS(I_Sales_Inv!$F$5:$F$228,I_Sales_Inv!$D$5:$D$228,$B83,I_Sales_Inv!$A$5:$A$228,7)</f>
        <v>216299150</v>
      </c>
      <c r="F83" s="7" t="n">
        <f aca="false">SUMIFS(I_Sales_Inv!$E$5:$E$228,I_Sales_Inv!$D$5:$D$228,$B83,I_Sales_Inv!$A$5:$A$228,8)</f>
        <v>7858325</v>
      </c>
      <c r="G83" s="7" t="n">
        <f aca="false">SUMIFS(I_Sales_Inv!$F$5:$F$228,I_Sales_Inv!$D$5:$D$228,$B83,I_Sales_Inv!$A$5:$A$228,8)</f>
        <v>141785335</v>
      </c>
      <c r="H83" s="9" t="n">
        <f aca="false">F83+G83</f>
        <v>149643660</v>
      </c>
      <c r="I83" s="9" t="n">
        <f aca="false">H83-D83-E83</f>
        <v>-161161270</v>
      </c>
      <c r="J83" s="7" t="n">
        <f aca="false">SUMIFS(I_Sales_Inv!$H$5:$H$228,I_Sales_Inv!$D$5:$D$228,$B83,I_Sales_Inv!$A$5:$A$228,8)+SUMIFS(I_Sales_Inv!$I$5:$I$228,I_Sales_Inv!$D$5:$D$228,$B83,I_Sales_Inv!$A$5:$A$228,8)</f>
        <v>4128.45</v>
      </c>
      <c r="K83" s="9" t="n">
        <f aca="false">IFERROR(H83/J83,0)</f>
        <v>36246.9352904843</v>
      </c>
      <c r="L83" s="7" t="n">
        <f aca="false">H83-SUMIFS(I_Sales_Inv!$K$5:$K$228,I_Sales_Inv!$D$5:$D$228,$B83,I_Sales_Inv!$A$5:$A$228,8)-SUMIFS(I_Sales_Inv!$L$5:$L$228,I_Sales_Inv!$D$5:$D$228,$B83,I_Sales_Inv!$A$5:$A$228,8)</f>
        <v>17322139.1872504</v>
      </c>
      <c r="M83" s="21" t="n">
        <f aca="false">IFERROR(L83/H83,0)</f>
        <v>0.115755917673027</v>
      </c>
      <c r="N83" s="21" t="n">
        <f aca="false">IFERROR(H83/$H$104,0)</f>
        <v>0.0178975373758701</v>
      </c>
    </row>
    <row r="84" customFormat="false" ht="15" hidden="false" customHeight="false" outlineLevel="0" collapsed="false">
      <c r="B84" s="6" t="s">
        <v>284</v>
      </c>
      <c r="D84" s="7" t="n">
        <f aca="false">SUMIFS(I_Sales_Inv!$E$5:$E$228,I_Sales_Inv!$D$5:$D$228,$B84,I_Sales_Inv!$A$5:$A$228,7)</f>
        <v>0</v>
      </c>
      <c r="E84" s="7" t="n">
        <f aca="false">SUMIFS(I_Sales_Inv!$F$5:$F$228,I_Sales_Inv!$D$5:$D$228,$B84,I_Sales_Inv!$A$5:$A$228,7)</f>
        <v>139794620</v>
      </c>
      <c r="F84" s="7" t="n">
        <f aca="false">SUMIFS(I_Sales_Inv!$E$5:$E$228,I_Sales_Inv!$D$5:$D$228,$B84,I_Sales_Inv!$A$5:$A$228,8)</f>
        <v>0</v>
      </c>
      <c r="G84" s="7" t="n">
        <f aca="false">SUMIFS(I_Sales_Inv!$F$5:$F$228,I_Sales_Inv!$D$5:$D$228,$B84,I_Sales_Inv!$A$5:$A$228,8)</f>
        <v>137686970</v>
      </c>
      <c r="H84" s="9" t="n">
        <f aca="false">F84+G84</f>
        <v>137686970</v>
      </c>
      <c r="I84" s="9" t="n">
        <f aca="false">H84-D84-E84</f>
        <v>-2107650</v>
      </c>
      <c r="J84" s="7" t="n">
        <f aca="false">SUMIFS(I_Sales_Inv!$H$5:$H$228,I_Sales_Inv!$D$5:$D$228,$B84,I_Sales_Inv!$A$5:$A$228,8)+SUMIFS(I_Sales_Inv!$I$5:$I$228,I_Sales_Inv!$D$5:$D$228,$B84,I_Sales_Inv!$A$5:$A$228,8)</f>
        <v>3247.38</v>
      </c>
      <c r="K84" s="9" t="n">
        <f aca="false">IFERROR(H84/J84,0)</f>
        <v>42399.4019794419</v>
      </c>
      <c r="L84" s="7" t="n">
        <f aca="false">H84-SUMIFS(I_Sales_Inv!$K$5:$K$228,I_Sales_Inv!$D$5:$D$228,$B84,I_Sales_Inv!$A$5:$A$228,8)-SUMIFS(I_Sales_Inv!$L$5:$L$228,I_Sales_Inv!$D$5:$D$228,$B84,I_Sales_Inv!$A$5:$A$228,8)</f>
        <v>28511332.9589661</v>
      </c>
      <c r="M84" s="21" t="n">
        <f aca="false">IFERROR(L84/H84,0)</f>
        <v>0.20707357391165</v>
      </c>
      <c r="N84" s="21" t="n">
        <f aca="false">IFERROR(H84/$H$104,0)</f>
        <v>0.0164675048160764</v>
      </c>
    </row>
    <row r="85" customFormat="false" ht="15" hidden="false" customHeight="false" outlineLevel="0" collapsed="false">
      <c r="B85" s="6" t="s">
        <v>285</v>
      </c>
      <c r="D85" s="7" t="n">
        <f aca="false">SUMIFS(I_Sales_Inv!$E$5:$E$228,I_Sales_Inv!$D$5:$D$228,$B85,I_Sales_Inv!$A$5:$A$228,7)</f>
        <v>0</v>
      </c>
      <c r="E85" s="7" t="n">
        <f aca="false">SUMIFS(I_Sales_Inv!$F$5:$F$228,I_Sales_Inv!$D$5:$D$228,$B85,I_Sales_Inv!$A$5:$A$228,7)</f>
        <v>0</v>
      </c>
      <c r="F85" s="7" t="n">
        <f aca="false">SUMIFS(I_Sales_Inv!$E$5:$E$228,I_Sales_Inv!$D$5:$D$228,$B85,I_Sales_Inv!$A$5:$A$228,8)</f>
        <v>16860411.3134241</v>
      </c>
      <c r="G85" s="7" t="n">
        <f aca="false">SUMIFS(I_Sales_Inv!$F$5:$F$228,I_Sales_Inv!$D$5:$D$228,$B85,I_Sales_Inv!$A$5:$A$228,8)</f>
        <v>114622318.686576</v>
      </c>
      <c r="H85" s="9" t="n">
        <f aca="false">F85+G85</f>
        <v>131482730</v>
      </c>
      <c r="I85" s="9" t="n">
        <f aca="false">H85-D85-E85</f>
        <v>131482730</v>
      </c>
      <c r="J85" s="7" t="n">
        <f aca="false">SUMIFS(I_Sales_Inv!$H$5:$H$228,I_Sales_Inv!$D$5:$D$228,$B85,I_Sales_Inv!$A$5:$A$228,8)+SUMIFS(I_Sales_Inv!$I$5:$I$228,I_Sales_Inv!$D$5:$D$228,$B85,I_Sales_Inv!$A$5:$A$228,8)</f>
        <v>4156.96</v>
      </c>
      <c r="K85" s="9" t="n">
        <f aca="false">IFERROR(H85/J85,0)</f>
        <v>31629.5393749278</v>
      </c>
      <c r="L85" s="7" t="n">
        <f aca="false">H85-SUMIFS(I_Sales_Inv!$K$5:$K$228,I_Sales_Inv!$D$5:$D$228,$B85,I_Sales_Inv!$A$5:$A$228,8)-SUMIFS(I_Sales_Inv!$L$5:$L$228,I_Sales_Inv!$D$5:$D$228,$B85,I_Sales_Inv!$A$5:$A$228,8)</f>
        <v>4405983.52090208</v>
      </c>
      <c r="M85" s="21" t="n">
        <f aca="false">IFERROR(L85/H85,0)</f>
        <v>0.0335099789980181</v>
      </c>
      <c r="N85" s="21" t="n">
        <f aca="false">IFERROR(H85/$H$104,0)</f>
        <v>0.015725471259233</v>
      </c>
    </row>
    <row r="86" customFormat="false" ht="15" hidden="false" customHeight="false" outlineLevel="0" collapsed="false">
      <c r="B86" s="6" t="s">
        <v>286</v>
      </c>
      <c r="D86" s="7" t="n">
        <f aca="false">SUMIFS(I_Sales_Inv!$E$5:$E$228,I_Sales_Inv!$D$5:$D$228,$B86,I_Sales_Inv!$A$5:$A$228,7)</f>
        <v>0</v>
      </c>
      <c r="E86" s="7" t="n">
        <f aca="false">SUMIFS(I_Sales_Inv!$F$5:$F$228,I_Sales_Inv!$D$5:$D$228,$B86,I_Sales_Inv!$A$5:$A$228,7)</f>
        <v>0</v>
      </c>
      <c r="F86" s="7" t="n">
        <f aca="false">SUMIFS(I_Sales_Inv!$E$5:$E$228,I_Sales_Inv!$D$5:$D$228,$B86,I_Sales_Inv!$A$5:$A$228,8)</f>
        <v>29998500</v>
      </c>
      <c r="G86" s="7" t="n">
        <f aca="false">SUMIFS(I_Sales_Inv!$F$5:$F$228,I_Sales_Inv!$D$5:$D$228,$B86,I_Sales_Inv!$A$5:$A$228,8)</f>
        <v>67738050</v>
      </c>
      <c r="H86" s="9" t="n">
        <f aca="false">F86+G86</f>
        <v>97736550</v>
      </c>
      <c r="I86" s="9" t="n">
        <f aca="false">H86-D86-E86</f>
        <v>97736550</v>
      </c>
      <c r="J86" s="7" t="n">
        <f aca="false">SUMIFS(I_Sales_Inv!$H$5:$H$228,I_Sales_Inv!$D$5:$D$228,$B86,I_Sales_Inv!$A$5:$A$228,8)+SUMIFS(I_Sales_Inv!$I$5:$I$228,I_Sales_Inv!$D$5:$D$228,$B86,I_Sales_Inv!$A$5:$A$228,8)</f>
        <v>2362.39</v>
      </c>
      <c r="K86" s="9" t="n">
        <f aca="false">IFERROR(H86/J86,0)</f>
        <v>41371.894564403</v>
      </c>
      <c r="L86" s="7" t="n">
        <f aca="false">H86-SUMIFS(I_Sales_Inv!$K$5:$K$228,I_Sales_Inv!$D$5:$D$228,$B86,I_Sales_Inv!$A$5:$A$228,8)-SUMIFS(I_Sales_Inv!$L$5:$L$228,I_Sales_Inv!$D$5:$D$228,$B86,I_Sales_Inv!$A$5:$A$228,8)</f>
        <v>19098405.2529958</v>
      </c>
      <c r="M86" s="21" t="n">
        <f aca="false">IFERROR(L86/H86,0)</f>
        <v>0.195406992092475</v>
      </c>
      <c r="N86" s="21" t="n">
        <f aca="false">IFERROR(H86/$H$104,0)</f>
        <v>0.0116893930328461</v>
      </c>
    </row>
    <row r="87" customFormat="false" ht="15" hidden="false" customHeight="false" outlineLevel="0" collapsed="false">
      <c r="B87" s="6" t="s">
        <v>287</v>
      </c>
      <c r="D87" s="7" t="n">
        <f aca="false">SUMIFS(I_Sales_Inv!$E$5:$E$228,I_Sales_Inv!$D$5:$D$228,$B87,I_Sales_Inv!$A$5:$A$228,7)</f>
        <v>5806500</v>
      </c>
      <c r="E87" s="7" t="n">
        <f aca="false">SUMIFS(I_Sales_Inv!$F$5:$F$228,I_Sales_Inv!$D$5:$D$228,$B87,I_Sales_Inv!$A$5:$A$228,7)</f>
        <v>0</v>
      </c>
      <c r="F87" s="7" t="n">
        <f aca="false">SUMIFS(I_Sales_Inv!$E$5:$E$228,I_Sales_Inv!$D$5:$D$228,$B87,I_Sales_Inv!$A$5:$A$228,8)</f>
        <v>93112800</v>
      </c>
      <c r="G87" s="7" t="n">
        <f aca="false">SUMIFS(I_Sales_Inv!$F$5:$F$228,I_Sales_Inv!$D$5:$D$228,$B87,I_Sales_Inv!$A$5:$A$228,8)</f>
        <v>0</v>
      </c>
      <c r="H87" s="9" t="n">
        <f aca="false">F87+G87</f>
        <v>93112800</v>
      </c>
      <c r="I87" s="9" t="n">
        <f aca="false">H87-D87-E87</f>
        <v>87306300</v>
      </c>
      <c r="J87" s="7" t="n">
        <f aca="false">SUMIFS(I_Sales_Inv!$H$5:$H$228,I_Sales_Inv!$D$5:$D$228,$B87,I_Sales_Inv!$A$5:$A$228,8)+SUMIFS(I_Sales_Inv!$I$5:$I$228,I_Sales_Inv!$D$5:$D$228,$B87,I_Sales_Inv!$A$5:$A$228,8)</f>
        <v>22376.5</v>
      </c>
      <c r="K87" s="9" t="n">
        <f aca="false">IFERROR(H87/J87,0)</f>
        <v>4161.18695953344</v>
      </c>
      <c r="L87" s="7" t="n">
        <f aca="false">H87-SUMIFS(I_Sales_Inv!$K$5:$K$228,I_Sales_Inv!$D$5:$D$228,$B87,I_Sales_Inv!$A$5:$A$228,8)-SUMIFS(I_Sales_Inv!$L$5:$L$228,I_Sales_Inv!$D$5:$D$228,$B87,I_Sales_Inv!$A$5:$A$228,8)</f>
        <v>-83656889.7988158</v>
      </c>
      <c r="M87" s="21" t="n">
        <f aca="false">IFERROR(L87/H87,0)</f>
        <v>-0.898446720524093</v>
      </c>
      <c r="N87" s="21" t="n">
        <f aca="false">IFERROR(H87/$H$104,0)</f>
        <v>0.0111363877238228</v>
      </c>
    </row>
    <row r="88" customFormat="false" ht="15" hidden="false" customHeight="false" outlineLevel="0" collapsed="false">
      <c r="B88" s="6" t="s">
        <v>288</v>
      </c>
      <c r="D88" s="7" t="n">
        <f aca="false">SUMIFS(I_Sales_Inv!$E$5:$E$228,I_Sales_Inv!$D$5:$D$228,$B88,I_Sales_Inv!$A$5:$A$228,7)</f>
        <v>0</v>
      </c>
      <c r="E88" s="7" t="n">
        <f aca="false">SUMIFS(I_Sales_Inv!$F$5:$F$228,I_Sales_Inv!$D$5:$D$228,$B88,I_Sales_Inv!$A$5:$A$228,7)</f>
        <v>0</v>
      </c>
      <c r="F88" s="7" t="n">
        <f aca="false">SUMIFS(I_Sales_Inv!$E$5:$E$228,I_Sales_Inv!$D$5:$D$228,$B88,I_Sales_Inv!$A$5:$A$228,8)</f>
        <v>0</v>
      </c>
      <c r="G88" s="7" t="n">
        <f aca="false">SUMIFS(I_Sales_Inv!$F$5:$F$228,I_Sales_Inv!$D$5:$D$228,$B88,I_Sales_Inv!$A$5:$A$228,8)</f>
        <v>69034600</v>
      </c>
      <c r="H88" s="9" t="n">
        <f aca="false">F88+G88</f>
        <v>69034600</v>
      </c>
      <c r="I88" s="9" t="n">
        <f aca="false">H88-D88-E88</f>
        <v>69034600</v>
      </c>
      <c r="J88" s="7" t="n">
        <f aca="false">SUMIFS(I_Sales_Inv!$H$5:$H$228,I_Sales_Inv!$D$5:$D$228,$B88,I_Sales_Inv!$A$5:$A$228,8)+SUMIFS(I_Sales_Inv!$I$5:$I$228,I_Sales_Inv!$D$5:$D$228,$B88,I_Sales_Inv!$A$5:$A$228,8)</f>
        <v>1865.8</v>
      </c>
      <c r="K88" s="9" t="n">
        <f aca="false">IFERROR(H88/J88,0)</f>
        <v>37000</v>
      </c>
      <c r="L88" s="7" t="n">
        <f aca="false">H88-SUMIFS(I_Sales_Inv!$K$5:$K$228,I_Sales_Inv!$D$5:$D$228,$B88,I_Sales_Inv!$A$5:$A$228,8)-SUMIFS(I_Sales_Inv!$L$5:$L$228,I_Sales_Inv!$D$5:$D$228,$B88,I_Sales_Inv!$A$5:$A$228,8)</f>
        <v>5080977.64206637</v>
      </c>
      <c r="M88" s="21" t="n">
        <f aca="false">IFERROR(L88/H88,0)</f>
        <v>0.0736004502389581</v>
      </c>
      <c r="N88" s="21" t="n">
        <f aca="false">IFERROR(H88/$H$104,0)</f>
        <v>0.00825660996081118</v>
      </c>
    </row>
    <row r="89" customFormat="false" ht="15" hidden="false" customHeight="false" outlineLevel="0" collapsed="false">
      <c r="B89" s="6" t="s">
        <v>289</v>
      </c>
      <c r="D89" s="7" t="n">
        <f aca="false">SUMIFS(I_Sales_Inv!$E$5:$E$228,I_Sales_Inv!$D$5:$D$228,$B89,I_Sales_Inv!$A$5:$A$228,7)</f>
        <v>0</v>
      </c>
      <c r="E89" s="7" t="n">
        <f aca="false">SUMIFS(I_Sales_Inv!$F$5:$F$228,I_Sales_Inv!$D$5:$D$228,$B89,I_Sales_Inv!$A$5:$A$228,7)</f>
        <v>840039280</v>
      </c>
      <c r="F89" s="7" t="n">
        <f aca="false">SUMIFS(I_Sales_Inv!$E$5:$E$228,I_Sales_Inv!$D$5:$D$228,$B89,I_Sales_Inv!$A$5:$A$228,8)</f>
        <v>32349900</v>
      </c>
      <c r="G89" s="7" t="n">
        <f aca="false">SUMIFS(I_Sales_Inv!$F$5:$F$228,I_Sales_Inv!$D$5:$D$228,$B89,I_Sales_Inv!$A$5:$A$228,8)</f>
        <v>33474000</v>
      </c>
      <c r="H89" s="9" t="n">
        <f aca="false">F89+G89</f>
        <v>65823900</v>
      </c>
      <c r="I89" s="9" t="n">
        <f aca="false">H89-D89-E89</f>
        <v>-774215380</v>
      </c>
      <c r="J89" s="7" t="n">
        <f aca="false">SUMIFS(I_Sales_Inv!$H$5:$H$228,I_Sales_Inv!$D$5:$D$228,$B89,I_Sales_Inv!$A$5:$A$228,8)+SUMIFS(I_Sales_Inv!$I$5:$I$228,I_Sales_Inv!$D$5:$D$228,$B89,I_Sales_Inv!$A$5:$A$228,8)</f>
        <v>2194.13</v>
      </c>
      <c r="K89" s="9" t="n">
        <f aca="false">IFERROR(H89/J89,0)</f>
        <v>30000</v>
      </c>
      <c r="L89" s="7" t="n">
        <f aca="false">H89-SUMIFS(I_Sales_Inv!$K$5:$K$228,I_Sales_Inv!$D$5:$D$228,$B89,I_Sales_Inv!$A$5:$A$228,8)-SUMIFS(I_Sales_Inv!$L$5:$L$228,I_Sales_Inv!$D$5:$D$228,$B89,I_Sales_Inv!$A$5:$A$228,8)</f>
        <v>11296274.3265821</v>
      </c>
      <c r="M89" s="21" t="n">
        <f aca="false">IFERROR(L89/H89,0)</f>
        <v>0.171613567816281</v>
      </c>
      <c r="N89" s="21" t="n">
        <f aca="false">IFERROR(H89/$H$104,0)</f>
        <v>0.00787260690145868</v>
      </c>
    </row>
    <row r="90" customFormat="false" ht="15" hidden="false" customHeight="false" outlineLevel="0" collapsed="false">
      <c r="B90" s="6" t="s">
        <v>290</v>
      </c>
      <c r="D90" s="7" t="n">
        <f aca="false">SUMIFS(I_Sales_Inv!$E$5:$E$228,I_Sales_Inv!$D$5:$D$228,$B90,I_Sales_Inv!$A$5:$A$228,7)</f>
        <v>0</v>
      </c>
      <c r="E90" s="7" t="n">
        <f aca="false">SUMIFS(I_Sales_Inv!$F$5:$F$228,I_Sales_Inv!$D$5:$D$228,$B90,I_Sales_Inv!$A$5:$A$228,7)</f>
        <v>17136360</v>
      </c>
      <c r="F90" s="7" t="n">
        <f aca="false">SUMIFS(I_Sales_Inv!$E$5:$E$228,I_Sales_Inv!$D$5:$D$228,$B90,I_Sales_Inv!$A$5:$A$228,8)</f>
        <v>0</v>
      </c>
      <c r="G90" s="7" t="n">
        <f aca="false">SUMIFS(I_Sales_Inv!$F$5:$F$228,I_Sales_Inv!$D$5:$D$228,$B90,I_Sales_Inv!$A$5:$A$228,8)</f>
        <v>52688095</v>
      </c>
      <c r="H90" s="9" t="n">
        <f aca="false">F90+G90</f>
        <v>52688095</v>
      </c>
      <c r="I90" s="9" t="n">
        <f aca="false">H90-D90-E90</f>
        <v>35551735</v>
      </c>
      <c r="J90" s="7" t="n">
        <f aca="false">SUMIFS(I_Sales_Inv!$H$5:$H$228,I_Sales_Inv!$D$5:$D$228,$B90,I_Sales_Inv!$A$5:$A$228,8)+SUMIFS(I_Sales_Inv!$I$5:$I$228,I_Sales_Inv!$D$5:$D$228,$B90,I_Sales_Inv!$A$5:$A$228,8)</f>
        <v>1433.68</v>
      </c>
      <c r="K90" s="9" t="n">
        <f aca="false">IFERROR(H90/J90,0)</f>
        <v>36750.2476145304</v>
      </c>
      <c r="L90" s="7" t="n">
        <f aca="false">H90-SUMIFS(I_Sales_Inv!$K$5:$K$228,I_Sales_Inv!$D$5:$D$228,$B90,I_Sales_Inv!$A$5:$A$228,8)-SUMIFS(I_Sales_Inv!$L$5:$L$228,I_Sales_Inv!$D$5:$D$228,$B90,I_Sales_Inv!$A$5:$A$228,8)</f>
        <v>7022669.83266494</v>
      </c>
      <c r="M90" s="21" t="n">
        <f aca="false">IFERROR(L90/H90,0)</f>
        <v>0.133287601927246</v>
      </c>
      <c r="N90" s="21" t="n">
        <f aca="false">IFERROR(H90/$H$104,0)</f>
        <v>0.00630155096130297</v>
      </c>
    </row>
    <row r="91" customFormat="false" ht="15" hidden="false" customHeight="false" outlineLevel="0" collapsed="false">
      <c r="B91" s="6" t="s">
        <v>291</v>
      </c>
      <c r="D91" s="7" t="n">
        <f aca="false">SUMIFS(I_Sales_Inv!$E$5:$E$228,I_Sales_Inv!$D$5:$D$228,$B91,I_Sales_Inv!$A$5:$A$228,7)</f>
        <v>0</v>
      </c>
      <c r="E91" s="7" t="n">
        <f aca="false">SUMIFS(I_Sales_Inv!$F$5:$F$228,I_Sales_Inv!$D$5:$D$228,$B91,I_Sales_Inv!$A$5:$A$228,7)</f>
        <v>20654570</v>
      </c>
      <c r="F91" s="7" t="n">
        <f aca="false">SUMIFS(I_Sales_Inv!$E$5:$E$228,I_Sales_Inv!$D$5:$D$228,$B91,I_Sales_Inv!$A$5:$A$228,8)</f>
        <v>0</v>
      </c>
      <c r="G91" s="7" t="n">
        <f aca="false">SUMIFS(I_Sales_Inv!$F$5:$F$228,I_Sales_Inv!$D$5:$D$228,$B91,I_Sales_Inv!$A$5:$A$228,8)</f>
        <v>42686700</v>
      </c>
      <c r="H91" s="9" t="n">
        <f aca="false">F91+G91</f>
        <v>42686700</v>
      </c>
      <c r="I91" s="9" t="n">
        <f aca="false">H91-D91-E91</f>
        <v>22032130</v>
      </c>
      <c r="J91" s="7" t="n">
        <f aca="false">SUMIFS(I_Sales_Inv!$H$5:$H$228,I_Sales_Inv!$D$5:$D$228,$B91,I_Sales_Inv!$A$5:$A$228,8)+SUMIFS(I_Sales_Inv!$I$5:$I$228,I_Sales_Inv!$D$5:$D$228,$B91,I_Sales_Inv!$A$5:$A$228,8)</f>
        <v>1016.35</v>
      </c>
      <c r="K91" s="9" t="n">
        <f aca="false">IFERROR(H91/J91,0)</f>
        <v>42000</v>
      </c>
      <c r="L91" s="7" t="n">
        <f aca="false">H91-SUMIFS(I_Sales_Inv!$K$5:$K$228,I_Sales_Inv!$D$5:$D$228,$B91,I_Sales_Inv!$A$5:$A$228,8)-SUMIFS(I_Sales_Inv!$L$5:$L$228,I_Sales_Inv!$D$5:$D$228,$B91,I_Sales_Inv!$A$5:$A$228,8)</f>
        <v>11562124.1844671</v>
      </c>
      <c r="M91" s="21" t="n">
        <f aca="false">IFERROR(L91/H91,0)</f>
        <v>0.270860108288228</v>
      </c>
      <c r="N91" s="21" t="n">
        <f aca="false">IFERROR(H91/$H$104,0)</f>
        <v>0.00510537371715283</v>
      </c>
    </row>
    <row r="92" customFormat="false" ht="15" hidden="false" customHeight="false" outlineLevel="0" collapsed="false">
      <c r="B92" s="6" t="s">
        <v>292</v>
      </c>
      <c r="D92" s="7" t="n">
        <f aca="false">SUMIFS(I_Sales_Inv!$E$5:$E$228,I_Sales_Inv!$D$5:$D$228,$B92,I_Sales_Inv!$A$5:$A$228,7)</f>
        <v>0</v>
      </c>
      <c r="E92" s="7" t="n">
        <f aca="false">SUMIFS(I_Sales_Inv!$F$5:$F$228,I_Sales_Inv!$D$5:$D$228,$B92,I_Sales_Inv!$A$5:$A$228,7)</f>
        <v>0</v>
      </c>
      <c r="F92" s="7" t="n">
        <f aca="false">SUMIFS(I_Sales_Inv!$E$5:$E$228,I_Sales_Inv!$D$5:$D$228,$B92,I_Sales_Inv!$A$5:$A$228,8)</f>
        <v>33406350</v>
      </c>
      <c r="G92" s="7" t="n">
        <f aca="false">SUMIFS(I_Sales_Inv!$F$5:$F$228,I_Sales_Inv!$D$5:$D$228,$B92,I_Sales_Inv!$A$5:$A$228,8)</f>
        <v>0</v>
      </c>
      <c r="H92" s="9" t="n">
        <f aca="false">F92+G92</f>
        <v>33406350</v>
      </c>
      <c r="I92" s="9" t="n">
        <f aca="false">H92-D92-E92</f>
        <v>33406350</v>
      </c>
      <c r="J92" s="7" t="n">
        <f aca="false">SUMIFS(I_Sales_Inv!$H$5:$H$228,I_Sales_Inv!$D$5:$D$228,$B92,I_Sales_Inv!$A$5:$A$228,8)+SUMIFS(I_Sales_Inv!$I$5:$I$228,I_Sales_Inv!$D$5:$D$228,$B92,I_Sales_Inv!$A$5:$A$228,8)</f>
        <v>968.3</v>
      </c>
      <c r="K92" s="9" t="n">
        <f aca="false">IFERROR(H92/J92,0)</f>
        <v>34500</v>
      </c>
      <c r="L92" s="7" t="n">
        <f aca="false">H92-SUMIFS(I_Sales_Inv!$K$5:$K$228,I_Sales_Inv!$D$5:$D$228,$B92,I_Sales_Inv!$A$5:$A$228,8)-SUMIFS(I_Sales_Inv!$L$5:$L$228,I_Sales_Inv!$D$5:$D$228,$B92,I_Sales_Inv!$A$5:$A$228,8)</f>
        <v>-2665324.048065</v>
      </c>
      <c r="M92" s="21" t="n">
        <f aca="false">IFERROR(L92/H92,0)</f>
        <v>-0.0797849525034911</v>
      </c>
      <c r="N92" s="21" t="n">
        <f aca="false">IFERROR(H92/$H$104,0)</f>
        <v>0.00399543420493991</v>
      </c>
    </row>
    <row r="93" customFormat="false" ht="15" hidden="false" customHeight="false" outlineLevel="0" collapsed="false">
      <c r="B93" s="6" t="s">
        <v>293</v>
      </c>
      <c r="D93" s="7" t="n">
        <f aca="false">SUMIFS(I_Sales_Inv!$E$5:$E$228,I_Sales_Inv!$D$5:$D$228,$B93,I_Sales_Inv!$A$5:$A$228,7)</f>
        <v>0</v>
      </c>
      <c r="E93" s="7" t="n">
        <f aca="false">SUMIFS(I_Sales_Inv!$F$5:$F$228,I_Sales_Inv!$D$5:$D$228,$B93,I_Sales_Inv!$A$5:$A$228,7)</f>
        <v>0</v>
      </c>
      <c r="F93" s="7" t="n">
        <f aca="false">SUMIFS(I_Sales_Inv!$E$5:$E$228,I_Sales_Inv!$D$5:$D$228,$B93,I_Sales_Inv!$A$5:$A$228,8)</f>
        <v>0</v>
      </c>
      <c r="G93" s="7" t="n">
        <f aca="false">SUMIFS(I_Sales_Inv!$F$5:$F$228,I_Sales_Inv!$D$5:$D$228,$B93,I_Sales_Inv!$A$5:$A$228,8)</f>
        <v>30985800</v>
      </c>
      <c r="H93" s="9" t="n">
        <f aca="false">F93+G93</f>
        <v>30985800</v>
      </c>
      <c r="I93" s="9" t="n">
        <f aca="false">H93-D93-E93</f>
        <v>30985800</v>
      </c>
      <c r="J93" s="7" t="n">
        <f aca="false">SUMIFS(I_Sales_Inv!$H$5:$H$228,I_Sales_Inv!$D$5:$D$228,$B93,I_Sales_Inv!$A$5:$A$228,8)+SUMIFS(I_Sales_Inv!$I$5:$I$228,I_Sales_Inv!$D$5:$D$228,$B93,I_Sales_Inv!$A$5:$A$228,8)</f>
        <v>996.6</v>
      </c>
      <c r="K93" s="9" t="n">
        <f aca="false">IFERROR(H93/J93,0)</f>
        <v>31091.5111378688</v>
      </c>
      <c r="L93" s="7" t="n">
        <f aca="false">H93-SUMIFS(I_Sales_Inv!$K$5:$K$228,I_Sales_Inv!$D$5:$D$228,$B93,I_Sales_Inv!$A$5:$A$228,8)-SUMIFS(I_Sales_Inv!$L$5:$L$228,I_Sales_Inv!$D$5:$D$228,$B93,I_Sales_Inv!$A$5:$A$228,8)</f>
        <v>-991268.999291949</v>
      </c>
      <c r="M93" s="21" t="n">
        <f aca="false">IFERROR(L93/H93,0)</f>
        <v>-0.0319910733075134</v>
      </c>
      <c r="N93" s="21" t="n">
        <f aca="false">IFERROR(H93/$H$104,0)</f>
        <v>0.00370593390739866</v>
      </c>
    </row>
    <row r="94" customFormat="false" ht="15" hidden="false" customHeight="false" outlineLevel="0" collapsed="false">
      <c r="B94" s="6" t="s">
        <v>294</v>
      </c>
      <c r="D94" s="7" t="n">
        <f aca="false">SUMIFS(I_Sales_Inv!$E$5:$E$228,I_Sales_Inv!$D$5:$D$228,$B94,I_Sales_Inv!$A$5:$A$228,7)</f>
        <v>0</v>
      </c>
      <c r="E94" s="7" t="n">
        <f aca="false">SUMIFS(I_Sales_Inv!$F$5:$F$228,I_Sales_Inv!$D$5:$D$228,$B94,I_Sales_Inv!$A$5:$A$228,7)</f>
        <v>0</v>
      </c>
      <c r="F94" s="7" t="n">
        <f aca="false">SUMIFS(I_Sales_Inv!$E$5:$E$228,I_Sales_Inv!$D$5:$D$228,$B94,I_Sales_Inv!$A$5:$A$228,8)</f>
        <v>0</v>
      </c>
      <c r="G94" s="7" t="n">
        <f aca="false">SUMIFS(I_Sales_Inv!$F$5:$F$228,I_Sales_Inv!$D$5:$D$228,$B94,I_Sales_Inv!$A$5:$A$228,8)</f>
        <v>1331000</v>
      </c>
      <c r="H94" s="9" t="n">
        <f aca="false">F94+G94</f>
        <v>1331000</v>
      </c>
      <c r="I94" s="9" t="n">
        <f aca="false">H94-D94-E94</f>
        <v>1331000</v>
      </c>
      <c r="J94" s="7" t="n">
        <f aca="false">SUMIFS(I_Sales_Inv!$H$5:$H$228,I_Sales_Inv!$D$5:$D$228,$B94,I_Sales_Inv!$A$5:$A$228,8)+SUMIFS(I_Sales_Inv!$I$5:$I$228,I_Sales_Inv!$D$5:$D$228,$B94,I_Sales_Inv!$A$5:$A$228,8)</f>
        <v>242</v>
      </c>
      <c r="K94" s="9" t="n">
        <f aca="false">IFERROR(H94/J94,0)</f>
        <v>5500</v>
      </c>
      <c r="L94" s="7" t="n">
        <f aca="false">H94-SUMIFS(I_Sales_Inv!$K$5:$K$228,I_Sales_Inv!$D$5:$D$228,$B94,I_Sales_Inv!$A$5:$A$228,8)-SUMIFS(I_Sales_Inv!$L$5:$L$228,I_Sales_Inv!$D$5:$D$228,$B94,I_Sales_Inv!$A$5:$A$228,8)</f>
        <v>251534.765576491</v>
      </c>
      <c r="M94" s="21" t="n">
        <f aca="false">IFERROR(L94/H94,0)</f>
        <v>0.188981792318926</v>
      </c>
      <c r="N94" s="21" t="n">
        <f aca="false">IFERROR(H94/$H$104,0)</f>
        <v>0.000159188984333069</v>
      </c>
    </row>
    <row r="95" customFormat="false" ht="15" hidden="false" customHeight="false" outlineLevel="0" collapsed="false">
      <c r="B95" s="6" t="s">
        <v>295</v>
      </c>
      <c r="D95" s="7" t="n">
        <f aca="false">SUMIFS(I_Sales_Inv!$E$5:$E$228,I_Sales_Inv!$D$5:$D$228,$B95,I_Sales_Inv!$A$5:$A$228,7)</f>
        <v>0</v>
      </c>
      <c r="E95" s="7" t="n">
        <f aca="false">SUMIFS(I_Sales_Inv!$F$5:$F$228,I_Sales_Inv!$D$5:$D$228,$B95,I_Sales_Inv!$A$5:$A$228,7)</f>
        <v>156322530</v>
      </c>
      <c r="F95" s="7" t="n">
        <f aca="false">SUMIFS(I_Sales_Inv!$E$5:$E$228,I_Sales_Inv!$D$5:$D$228,$B95,I_Sales_Inv!$A$5:$A$228,8)</f>
        <v>0</v>
      </c>
      <c r="G95" s="7" t="n">
        <f aca="false">SUMIFS(I_Sales_Inv!$F$5:$F$228,I_Sales_Inv!$D$5:$D$228,$B95,I_Sales_Inv!$A$5:$A$228,8)</f>
        <v>0</v>
      </c>
      <c r="H95" s="9" t="n">
        <f aca="false">F95+G95</f>
        <v>0</v>
      </c>
      <c r="I95" s="9" t="n">
        <f aca="false">H95-D95-E95</f>
        <v>-156322530</v>
      </c>
      <c r="J95" s="7" t="n">
        <f aca="false">SUMIFS(I_Sales_Inv!$H$5:$H$228,I_Sales_Inv!$D$5:$D$228,$B95,I_Sales_Inv!$A$5:$A$228,8)+SUMIFS(I_Sales_Inv!$I$5:$I$228,I_Sales_Inv!$D$5:$D$228,$B95,I_Sales_Inv!$A$5:$A$228,8)</f>
        <v>0</v>
      </c>
      <c r="K95" s="9" t="n">
        <f aca="false">IFERROR(H95/J95,0)</f>
        <v>0</v>
      </c>
      <c r="L95" s="7" t="n">
        <f aca="false">H95-SUMIFS(I_Sales_Inv!$K$5:$K$228,I_Sales_Inv!$D$5:$D$228,$B95,I_Sales_Inv!$A$5:$A$228,8)-SUMIFS(I_Sales_Inv!$L$5:$L$228,I_Sales_Inv!$D$5:$D$228,$B95,I_Sales_Inv!$A$5:$A$228,8)</f>
        <v>0</v>
      </c>
      <c r="M95" s="21" t="n">
        <f aca="false">IFERROR(L95/H95,0)</f>
        <v>0</v>
      </c>
      <c r="N95" s="21" t="n">
        <f aca="false">IFERROR(H95/$H$104,0)</f>
        <v>0</v>
      </c>
    </row>
    <row r="96" customFormat="false" ht="15" hidden="false" customHeight="false" outlineLevel="0" collapsed="false">
      <c r="B96" s="6" t="s">
        <v>296</v>
      </c>
      <c r="D96" s="7" t="n">
        <f aca="false">SUMIFS(I_Sales_Inv!$E$5:$E$228,I_Sales_Inv!$D$5:$D$228,$B96,I_Sales_Inv!$A$5:$A$228,7)</f>
        <v>0</v>
      </c>
      <c r="E96" s="7" t="n">
        <f aca="false">SUMIFS(I_Sales_Inv!$F$5:$F$228,I_Sales_Inv!$D$5:$D$228,$B96,I_Sales_Inv!$A$5:$A$228,7)</f>
        <v>90813950</v>
      </c>
      <c r="F96" s="7" t="n">
        <f aca="false">SUMIFS(I_Sales_Inv!$E$5:$E$228,I_Sales_Inv!$D$5:$D$228,$B96,I_Sales_Inv!$A$5:$A$228,8)</f>
        <v>0</v>
      </c>
      <c r="G96" s="7" t="n">
        <f aca="false">SUMIFS(I_Sales_Inv!$F$5:$F$228,I_Sales_Inv!$D$5:$D$228,$B96,I_Sales_Inv!$A$5:$A$228,8)</f>
        <v>0</v>
      </c>
      <c r="H96" s="9" t="n">
        <f aca="false">F96+G96</f>
        <v>0</v>
      </c>
      <c r="I96" s="9" t="n">
        <f aca="false">H96-D96-E96</f>
        <v>-90813950</v>
      </c>
      <c r="J96" s="7" t="n">
        <f aca="false">SUMIFS(I_Sales_Inv!$H$5:$H$228,I_Sales_Inv!$D$5:$D$228,$B96,I_Sales_Inv!$A$5:$A$228,8)+SUMIFS(I_Sales_Inv!$I$5:$I$228,I_Sales_Inv!$D$5:$D$228,$B96,I_Sales_Inv!$A$5:$A$228,8)</f>
        <v>0</v>
      </c>
      <c r="K96" s="9" t="n">
        <f aca="false">IFERROR(H96/J96,0)</f>
        <v>0</v>
      </c>
      <c r="L96" s="7" t="n">
        <f aca="false">H96-SUMIFS(I_Sales_Inv!$K$5:$K$228,I_Sales_Inv!$D$5:$D$228,$B96,I_Sales_Inv!$A$5:$A$228,8)-SUMIFS(I_Sales_Inv!$L$5:$L$228,I_Sales_Inv!$D$5:$D$228,$B96,I_Sales_Inv!$A$5:$A$228,8)</f>
        <v>0</v>
      </c>
      <c r="M96" s="21" t="n">
        <f aca="false">IFERROR(L96/H96,0)</f>
        <v>0</v>
      </c>
      <c r="N96" s="21" t="n">
        <f aca="false">IFERROR(H96/$H$104,0)</f>
        <v>0</v>
      </c>
    </row>
    <row r="97" customFormat="false" ht="15" hidden="false" customHeight="false" outlineLevel="0" collapsed="false">
      <c r="B97" s="6" t="s">
        <v>297</v>
      </c>
      <c r="D97" s="7" t="n">
        <f aca="false">SUMIFS(I_Sales_Inv!$E$5:$E$228,I_Sales_Inv!$D$5:$D$228,$B97,I_Sales_Inv!$A$5:$A$228,7)</f>
        <v>0</v>
      </c>
      <c r="E97" s="7" t="n">
        <f aca="false">SUMIFS(I_Sales_Inv!$F$5:$F$228,I_Sales_Inv!$D$5:$D$228,$B97,I_Sales_Inv!$A$5:$A$228,7)</f>
        <v>82234110</v>
      </c>
      <c r="F97" s="7" t="n">
        <f aca="false">SUMIFS(I_Sales_Inv!$E$5:$E$228,I_Sales_Inv!$D$5:$D$228,$B97,I_Sales_Inv!$A$5:$A$228,8)</f>
        <v>0</v>
      </c>
      <c r="G97" s="7" t="n">
        <f aca="false">SUMIFS(I_Sales_Inv!$F$5:$F$228,I_Sales_Inv!$D$5:$D$228,$B97,I_Sales_Inv!$A$5:$A$228,8)</f>
        <v>0</v>
      </c>
      <c r="H97" s="9" t="n">
        <f aca="false">F97+G97</f>
        <v>0</v>
      </c>
      <c r="I97" s="9" t="n">
        <f aca="false">H97-D97-E97</f>
        <v>-82234110</v>
      </c>
      <c r="J97" s="7" t="n">
        <f aca="false">SUMIFS(I_Sales_Inv!$H$5:$H$228,I_Sales_Inv!$D$5:$D$228,$B97,I_Sales_Inv!$A$5:$A$228,8)+SUMIFS(I_Sales_Inv!$I$5:$I$228,I_Sales_Inv!$D$5:$D$228,$B97,I_Sales_Inv!$A$5:$A$228,8)</f>
        <v>0</v>
      </c>
      <c r="K97" s="9" t="n">
        <f aca="false">IFERROR(H97/J97,0)</f>
        <v>0</v>
      </c>
      <c r="L97" s="7" t="n">
        <f aca="false">H97-SUMIFS(I_Sales_Inv!$K$5:$K$228,I_Sales_Inv!$D$5:$D$228,$B97,I_Sales_Inv!$A$5:$A$228,8)-SUMIFS(I_Sales_Inv!$L$5:$L$228,I_Sales_Inv!$D$5:$D$228,$B97,I_Sales_Inv!$A$5:$A$228,8)</f>
        <v>0</v>
      </c>
      <c r="M97" s="21" t="n">
        <f aca="false">IFERROR(L97/H97,0)</f>
        <v>0</v>
      </c>
      <c r="N97" s="21" t="n">
        <f aca="false">IFERROR(H97/$H$104,0)</f>
        <v>0</v>
      </c>
    </row>
    <row r="98" customFormat="false" ht="15" hidden="false" customHeight="false" outlineLevel="0" collapsed="false">
      <c r="B98" s="6" t="s">
        <v>298</v>
      </c>
      <c r="D98" s="7" t="n">
        <f aca="false">SUMIFS(I_Sales_Inv!$E$5:$E$228,I_Sales_Inv!$D$5:$D$228,$B98,I_Sales_Inv!$A$5:$A$228,7)</f>
        <v>19145970</v>
      </c>
      <c r="E98" s="7" t="n">
        <f aca="false">SUMIFS(I_Sales_Inv!$F$5:$F$228,I_Sales_Inv!$D$5:$D$228,$B98,I_Sales_Inv!$A$5:$A$228,7)</f>
        <v>0</v>
      </c>
      <c r="F98" s="7" t="n">
        <f aca="false">SUMIFS(I_Sales_Inv!$E$5:$E$228,I_Sales_Inv!$D$5:$D$228,$B98,I_Sales_Inv!$A$5:$A$228,8)</f>
        <v>0</v>
      </c>
      <c r="G98" s="7" t="n">
        <f aca="false">SUMIFS(I_Sales_Inv!$F$5:$F$228,I_Sales_Inv!$D$5:$D$228,$B98,I_Sales_Inv!$A$5:$A$228,8)</f>
        <v>0</v>
      </c>
      <c r="H98" s="9" t="n">
        <f aca="false">F98+G98</f>
        <v>0</v>
      </c>
      <c r="I98" s="9" t="n">
        <f aca="false">H98-D98-E98</f>
        <v>-19145970</v>
      </c>
      <c r="J98" s="7" t="n">
        <f aca="false">SUMIFS(I_Sales_Inv!$H$5:$H$228,I_Sales_Inv!$D$5:$D$228,$B98,I_Sales_Inv!$A$5:$A$228,8)+SUMIFS(I_Sales_Inv!$I$5:$I$228,I_Sales_Inv!$D$5:$D$228,$B98,I_Sales_Inv!$A$5:$A$228,8)</f>
        <v>0</v>
      </c>
      <c r="K98" s="9" t="n">
        <f aca="false">IFERROR(H98/J98,0)</f>
        <v>0</v>
      </c>
      <c r="L98" s="7" t="n">
        <f aca="false">H98-SUMIFS(I_Sales_Inv!$K$5:$K$228,I_Sales_Inv!$D$5:$D$228,$B98,I_Sales_Inv!$A$5:$A$228,8)-SUMIFS(I_Sales_Inv!$L$5:$L$228,I_Sales_Inv!$D$5:$D$228,$B98,I_Sales_Inv!$A$5:$A$228,8)</f>
        <v>0</v>
      </c>
      <c r="M98" s="21" t="n">
        <f aca="false">IFERROR(L98/H98,0)</f>
        <v>0</v>
      </c>
      <c r="N98" s="21" t="n">
        <f aca="false">IFERROR(H98/$H$104,0)</f>
        <v>0</v>
      </c>
    </row>
    <row r="99" customFormat="false" ht="15" hidden="false" customHeight="false" outlineLevel="0" collapsed="false">
      <c r="B99" s="6" t="s">
        <v>299</v>
      </c>
      <c r="D99" s="7" t="n">
        <f aca="false">SUMIFS(I_Sales_Inv!$E$5:$E$228,I_Sales_Inv!$D$5:$D$228,$B99,I_Sales_Inv!$A$5:$A$228,7)</f>
        <v>18388410</v>
      </c>
      <c r="E99" s="7" t="n">
        <f aca="false">SUMIFS(I_Sales_Inv!$F$5:$F$228,I_Sales_Inv!$D$5:$D$228,$B99,I_Sales_Inv!$A$5:$A$228,7)</f>
        <v>0</v>
      </c>
      <c r="F99" s="7" t="n">
        <f aca="false">SUMIFS(I_Sales_Inv!$E$5:$E$228,I_Sales_Inv!$D$5:$D$228,$B99,I_Sales_Inv!$A$5:$A$228,8)</f>
        <v>0</v>
      </c>
      <c r="G99" s="7" t="n">
        <f aca="false">SUMIFS(I_Sales_Inv!$F$5:$F$228,I_Sales_Inv!$D$5:$D$228,$B99,I_Sales_Inv!$A$5:$A$228,8)</f>
        <v>0</v>
      </c>
      <c r="H99" s="9" t="n">
        <f aca="false">F99+G99</f>
        <v>0</v>
      </c>
      <c r="I99" s="9" t="n">
        <f aca="false">H99-D99-E99</f>
        <v>-18388410</v>
      </c>
      <c r="J99" s="7" t="n">
        <f aca="false">SUMIFS(I_Sales_Inv!$H$5:$H$228,I_Sales_Inv!$D$5:$D$228,$B99,I_Sales_Inv!$A$5:$A$228,8)+SUMIFS(I_Sales_Inv!$I$5:$I$228,I_Sales_Inv!$D$5:$D$228,$B99,I_Sales_Inv!$A$5:$A$228,8)</f>
        <v>0</v>
      </c>
      <c r="K99" s="9" t="n">
        <f aca="false">IFERROR(H99/J99,0)</f>
        <v>0</v>
      </c>
      <c r="L99" s="7" t="n">
        <f aca="false">H99-SUMIFS(I_Sales_Inv!$K$5:$K$228,I_Sales_Inv!$D$5:$D$228,$B99,I_Sales_Inv!$A$5:$A$228,8)-SUMIFS(I_Sales_Inv!$L$5:$L$228,I_Sales_Inv!$D$5:$D$228,$B99,I_Sales_Inv!$A$5:$A$228,8)</f>
        <v>0</v>
      </c>
      <c r="M99" s="21" t="n">
        <f aca="false">IFERROR(L99/H99,0)</f>
        <v>0</v>
      </c>
      <c r="N99" s="21" t="n">
        <f aca="false">IFERROR(H99/$H$104,0)</f>
        <v>0</v>
      </c>
    </row>
    <row r="100" customFormat="false" ht="15" hidden="false" customHeight="false" outlineLevel="0" collapsed="false">
      <c r="B100" s="6" t="s">
        <v>300</v>
      </c>
      <c r="D100" s="7" t="n">
        <f aca="false">SUMIFS(I_Sales_Inv!$E$5:$E$228,I_Sales_Inv!$D$5:$D$228,$B100,I_Sales_Inv!$A$5:$A$228,7)</f>
        <v>0</v>
      </c>
      <c r="E100" s="7" t="n">
        <f aca="false">SUMIFS(I_Sales_Inv!$F$5:$F$228,I_Sales_Inv!$D$5:$D$228,$B100,I_Sales_Inv!$A$5:$A$228,7)</f>
        <v>15421965</v>
      </c>
      <c r="F100" s="7" t="n">
        <f aca="false">SUMIFS(I_Sales_Inv!$E$5:$E$228,I_Sales_Inv!$D$5:$D$228,$B100,I_Sales_Inv!$A$5:$A$228,8)</f>
        <v>0</v>
      </c>
      <c r="G100" s="7" t="n">
        <f aca="false">SUMIFS(I_Sales_Inv!$F$5:$F$228,I_Sales_Inv!$D$5:$D$228,$B100,I_Sales_Inv!$A$5:$A$228,8)</f>
        <v>0</v>
      </c>
      <c r="H100" s="9" t="n">
        <f aca="false">F100+G100</f>
        <v>0</v>
      </c>
      <c r="I100" s="9" t="n">
        <f aca="false">H100-D100-E100</f>
        <v>-15421965</v>
      </c>
      <c r="J100" s="7" t="n">
        <f aca="false">SUMIFS(I_Sales_Inv!$H$5:$H$228,I_Sales_Inv!$D$5:$D$228,$B100,I_Sales_Inv!$A$5:$A$228,8)+SUMIFS(I_Sales_Inv!$I$5:$I$228,I_Sales_Inv!$D$5:$D$228,$B100,I_Sales_Inv!$A$5:$A$228,8)</f>
        <v>0</v>
      </c>
      <c r="K100" s="9" t="n">
        <f aca="false">IFERROR(H100/J100,0)</f>
        <v>0</v>
      </c>
      <c r="L100" s="7" t="n">
        <f aca="false">H100-SUMIFS(I_Sales_Inv!$K$5:$K$228,I_Sales_Inv!$D$5:$D$228,$B100,I_Sales_Inv!$A$5:$A$228,8)-SUMIFS(I_Sales_Inv!$L$5:$L$228,I_Sales_Inv!$D$5:$D$228,$B100,I_Sales_Inv!$A$5:$A$228,8)</f>
        <v>0</v>
      </c>
      <c r="M100" s="21" t="n">
        <f aca="false">IFERROR(L100/H100,0)</f>
        <v>0</v>
      </c>
      <c r="N100" s="21" t="n">
        <f aca="false">IFERROR(H100/$H$104,0)</f>
        <v>0</v>
      </c>
    </row>
    <row r="101" customFormat="false" ht="15" hidden="false" customHeight="false" outlineLevel="0" collapsed="false">
      <c r="B101" s="6" t="s">
        <v>301</v>
      </c>
      <c r="D101" s="7" t="n">
        <f aca="false">SUMIFS(I_Sales_Inv!$E$5:$E$228,I_Sales_Inv!$D$5:$D$228,$B101,I_Sales_Inv!$A$5:$A$228,7)</f>
        <v>0</v>
      </c>
      <c r="E101" s="7" t="n">
        <f aca="false">SUMIFS(I_Sales_Inv!$F$5:$F$228,I_Sales_Inv!$D$5:$D$228,$B101,I_Sales_Inv!$A$5:$A$228,7)</f>
        <v>12828900</v>
      </c>
      <c r="F101" s="7" t="n">
        <f aca="false">SUMIFS(I_Sales_Inv!$E$5:$E$228,I_Sales_Inv!$D$5:$D$228,$B101,I_Sales_Inv!$A$5:$A$228,8)</f>
        <v>0</v>
      </c>
      <c r="G101" s="7" t="n">
        <f aca="false">SUMIFS(I_Sales_Inv!$F$5:$F$228,I_Sales_Inv!$D$5:$D$228,$B101,I_Sales_Inv!$A$5:$A$228,8)</f>
        <v>0</v>
      </c>
      <c r="H101" s="9" t="n">
        <f aca="false">F101+G101</f>
        <v>0</v>
      </c>
      <c r="I101" s="9" t="n">
        <f aca="false">H101-D101-E101</f>
        <v>-12828900</v>
      </c>
      <c r="J101" s="7" t="n">
        <f aca="false">SUMIFS(I_Sales_Inv!$H$5:$H$228,I_Sales_Inv!$D$5:$D$228,$B101,I_Sales_Inv!$A$5:$A$228,8)+SUMIFS(I_Sales_Inv!$I$5:$I$228,I_Sales_Inv!$D$5:$D$228,$B101,I_Sales_Inv!$A$5:$A$228,8)</f>
        <v>0</v>
      </c>
      <c r="K101" s="9" t="n">
        <f aca="false">IFERROR(H101/J101,0)</f>
        <v>0</v>
      </c>
      <c r="L101" s="7" t="n">
        <f aca="false">H101-SUMIFS(I_Sales_Inv!$K$5:$K$228,I_Sales_Inv!$D$5:$D$228,$B101,I_Sales_Inv!$A$5:$A$228,8)-SUMIFS(I_Sales_Inv!$L$5:$L$228,I_Sales_Inv!$D$5:$D$228,$B101,I_Sales_Inv!$A$5:$A$228,8)</f>
        <v>0</v>
      </c>
      <c r="M101" s="21" t="n">
        <f aca="false">IFERROR(L101/H101,0)</f>
        <v>0</v>
      </c>
      <c r="N101" s="21" t="n">
        <f aca="false">IFERROR(H101/$H$104,0)</f>
        <v>0</v>
      </c>
    </row>
    <row r="102" customFormat="false" ht="15" hidden="false" customHeight="false" outlineLevel="0" collapsed="false">
      <c r="B102" s="6" t="s">
        <v>302</v>
      </c>
      <c r="D102" s="7" t="n">
        <f aca="false">SUMIFS(I_Sales_Inv!$E$5:$E$228,I_Sales_Inv!$D$5:$D$228,$B102,I_Sales_Inv!$A$5:$A$228,7)</f>
        <v>6580000</v>
      </c>
      <c r="E102" s="7" t="n">
        <f aca="false">SUMIFS(I_Sales_Inv!$F$5:$F$228,I_Sales_Inv!$D$5:$D$228,$B102,I_Sales_Inv!$A$5:$A$228,7)</f>
        <v>0</v>
      </c>
      <c r="F102" s="7" t="n">
        <f aca="false">SUMIFS(I_Sales_Inv!$E$5:$E$228,I_Sales_Inv!$D$5:$D$228,$B102,I_Sales_Inv!$A$5:$A$228,8)</f>
        <v>0</v>
      </c>
      <c r="G102" s="7" t="n">
        <f aca="false">SUMIFS(I_Sales_Inv!$F$5:$F$228,I_Sales_Inv!$D$5:$D$228,$B102,I_Sales_Inv!$A$5:$A$228,8)</f>
        <v>0</v>
      </c>
      <c r="H102" s="9" t="n">
        <f aca="false">F102+G102</f>
        <v>0</v>
      </c>
      <c r="I102" s="9" t="n">
        <f aca="false">H102-D102-E102</f>
        <v>-6580000</v>
      </c>
      <c r="J102" s="7" t="n">
        <f aca="false">SUMIFS(I_Sales_Inv!$H$5:$H$228,I_Sales_Inv!$D$5:$D$228,$B102,I_Sales_Inv!$A$5:$A$228,8)+SUMIFS(I_Sales_Inv!$I$5:$I$228,I_Sales_Inv!$D$5:$D$228,$B102,I_Sales_Inv!$A$5:$A$228,8)</f>
        <v>0</v>
      </c>
      <c r="K102" s="9" t="n">
        <f aca="false">IFERROR(H102/J102,0)</f>
        <v>0</v>
      </c>
      <c r="L102" s="7" t="n">
        <f aca="false">H102-SUMIFS(I_Sales_Inv!$K$5:$K$228,I_Sales_Inv!$D$5:$D$228,$B102,I_Sales_Inv!$A$5:$A$228,8)-SUMIFS(I_Sales_Inv!$L$5:$L$228,I_Sales_Inv!$D$5:$D$228,$B102,I_Sales_Inv!$A$5:$A$228,8)</f>
        <v>0</v>
      </c>
      <c r="M102" s="21" t="n">
        <f aca="false">IFERROR(L102/H102,0)</f>
        <v>0</v>
      </c>
      <c r="N102" s="21" t="n">
        <f aca="false">IFERROR(H102/$H$104,0)</f>
        <v>0</v>
      </c>
    </row>
    <row r="103" customFormat="false" ht="15" hidden="false" customHeight="false" outlineLevel="0" collapsed="false">
      <c r="B103" s="6" t="s">
        <v>303</v>
      </c>
      <c r="D103" s="7" t="n">
        <f aca="false">SUMIFS(I_Sales_Inv!$E$5:$E$228,I_Sales_Inv!$D$5:$D$228,$B103,I_Sales_Inv!$A$5:$A$228,7)</f>
        <v>0</v>
      </c>
      <c r="E103" s="7" t="n">
        <f aca="false">SUMIFS(I_Sales_Inv!$F$5:$F$228,I_Sales_Inv!$D$5:$D$228,$B103,I_Sales_Inv!$A$5:$A$228,7)</f>
        <v>1000008.2</v>
      </c>
      <c r="F103" s="7" t="n">
        <f aca="false">SUMIFS(I_Sales_Inv!$E$5:$E$228,I_Sales_Inv!$D$5:$D$228,$B103,I_Sales_Inv!$A$5:$A$228,8)</f>
        <v>0</v>
      </c>
      <c r="G103" s="7" t="n">
        <f aca="false">SUMIFS(I_Sales_Inv!$F$5:$F$228,I_Sales_Inv!$D$5:$D$228,$B103,I_Sales_Inv!$A$5:$A$228,8)</f>
        <v>0</v>
      </c>
      <c r="H103" s="9" t="n">
        <f aca="false">F103+G103</f>
        <v>0</v>
      </c>
      <c r="I103" s="9" t="n">
        <f aca="false">H103-D103-E103</f>
        <v>-1000008.2</v>
      </c>
      <c r="J103" s="7" t="n">
        <f aca="false">SUMIFS(I_Sales_Inv!$H$5:$H$228,I_Sales_Inv!$D$5:$D$228,$B103,I_Sales_Inv!$A$5:$A$228,8)+SUMIFS(I_Sales_Inv!$I$5:$I$228,I_Sales_Inv!$D$5:$D$228,$B103,I_Sales_Inv!$A$5:$A$228,8)</f>
        <v>0</v>
      </c>
      <c r="K103" s="9" t="n">
        <f aca="false">IFERROR(H103/J103,0)</f>
        <v>0</v>
      </c>
      <c r="L103" s="7" t="n">
        <f aca="false">H103-SUMIFS(I_Sales_Inv!$K$5:$K$228,I_Sales_Inv!$D$5:$D$228,$B103,I_Sales_Inv!$A$5:$A$228,8)-SUMIFS(I_Sales_Inv!$L$5:$L$228,I_Sales_Inv!$D$5:$D$228,$B103,I_Sales_Inv!$A$5:$A$228,8)</f>
        <v>0</v>
      </c>
      <c r="M103" s="21" t="n">
        <f aca="false">IFERROR(L103/H103,0)</f>
        <v>0</v>
      </c>
      <c r="N103" s="21" t="n">
        <f aca="false">IFERROR(H103/$H$104,0)</f>
        <v>0</v>
      </c>
    </row>
    <row r="104" customFormat="false" ht="15" hidden="false" customHeight="false" outlineLevel="0" collapsed="false">
      <c r="B104" s="25" t="s">
        <v>304</v>
      </c>
      <c r="D104" s="26" t="n">
        <f aca="false">SUM(D69:D103)</f>
        <v>246532160</v>
      </c>
      <c r="E104" s="26" t="n">
        <f aca="false">SUM(E69:E103)</f>
        <v>2876425788.2</v>
      </c>
      <c r="F104" s="26" t="n">
        <f aca="false">SUM(F69:F103)</f>
        <v>2691057390.31342</v>
      </c>
      <c r="G104" s="26" t="n">
        <f aca="false">SUM(G69:G103)</f>
        <v>5670073912.68658</v>
      </c>
      <c r="H104" s="26" t="n">
        <f aca="false">SUM(H69:H103)</f>
        <v>8361131303</v>
      </c>
      <c r="I104" s="26" t="n">
        <f aca="false">SUM(I69:I103)</f>
        <v>5238173354.8</v>
      </c>
      <c r="J104" s="26" t="n">
        <f aca="false">SUM(J69:J103)</f>
        <v>264470.7</v>
      </c>
      <c r="K104" s="26" t="n">
        <f aca="false">IFERROR(H104/J104,0)</f>
        <v>31614.5845380982</v>
      </c>
      <c r="L104" s="26" t="n">
        <f aca="false">SUM(L69:L103)</f>
        <v>405854391.847786</v>
      </c>
      <c r="M104" s="27" t="n">
        <f aca="false">IFERROR(L104/H104,0)</f>
        <v>0.0485406073819417</v>
      </c>
    </row>
    <row r="105" customFormat="false" ht="15" hidden="false" customHeight="false" outlineLevel="0" collapsed="false">
      <c r="B105" s="12" t="s">
        <v>305</v>
      </c>
      <c r="D105" s="9" t="n">
        <f aca="false">ROUND(D104+E104-'Segment GP'!H9,0)</f>
        <v>0</v>
      </c>
      <c r="H105" s="9" t="n">
        <f aca="false">ROUND(H104-('Segment GP'!M9-629600),0)</f>
        <v>0</v>
      </c>
    </row>
    <row r="107" customFormat="false" ht="15" hidden="false" customHeight="false" outlineLevel="0" collapsed="false">
      <c r="B107" s="18" t="s">
        <v>306</v>
      </c>
    </row>
    <row r="108" customFormat="false" ht="15" hidden="false" customHeight="false" outlineLevel="0" collapsed="false">
      <c r="B108" s="28" t="s">
        <v>307</v>
      </c>
    </row>
    <row r="109" customFormat="false" ht="19.5" hidden="false" customHeight="true" outlineLevel="0" collapsed="false">
      <c r="B109" s="5" t="s">
        <v>308</v>
      </c>
      <c r="C109" s="5"/>
      <c r="D109" s="5" t="s">
        <v>184</v>
      </c>
      <c r="E109" s="5" t="s">
        <v>185</v>
      </c>
      <c r="F109" s="5" t="s">
        <v>309</v>
      </c>
      <c r="G109" s="5"/>
      <c r="H109" s="5"/>
      <c r="I109" s="5"/>
      <c r="J109" s="5"/>
      <c r="K109" s="5"/>
      <c r="L109" s="5"/>
      <c r="M109" s="5"/>
      <c r="N109" s="5" t="s">
        <v>310</v>
      </c>
    </row>
    <row r="110" customFormat="false" ht="15" hidden="false" customHeight="false" outlineLevel="0" collapsed="false">
      <c r="B110" s="11" t="s">
        <v>311</v>
      </c>
      <c r="D110" s="7" t="n">
        <f aca="false">'Segment GP'!H6</f>
        <v>246532160</v>
      </c>
      <c r="E110" s="7" t="n">
        <f aca="false">'Segment GP'!M6</f>
        <v>2691686990.31342</v>
      </c>
      <c r="F110" s="9" t="n">
        <f aca="false">E110-D110</f>
        <v>2445154830.31342</v>
      </c>
      <c r="N110" s="12" t="s">
        <v>96</v>
      </c>
    </row>
    <row r="111" customFormat="false" ht="15" hidden="false" customHeight="false" outlineLevel="0" collapsed="false">
      <c r="B111" s="6" t="s">
        <v>312</v>
      </c>
      <c r="D111" s="7" t="n">
        <f aca="false">Vintage!I22</f>
        <v>2908421.86306542</v>
      </c>
      <c r="E111" s="7" t="n">
        <f aca="false">Vintage!I8</f>
        <v>1750432695.5689</v>
      </c>
      <c r="F111" s="9" t="n">
        <f aca="false">E111-D111</f>
        <v>1747524273.70583</v>
      </c>
      <c r="N111" s="12" t="s">
        <v>313</v>
      </c>
    </row>
    <row r="112" customFormat="false" ht="15" hidden="false" customHeight="false" outlineLevel="0" collapsed="false">
      <c r="B112" s="6" t="s">
        <v>314</v>
      </c>
      <c r="D112" s="7" t="n">
        <f aca="false">Vintage!I21</f>
        <v>243623738.136935</v>
      </c>
      <c r="E112" s="7" t="n">
        <f aca="false">Vintage!I6+Vintage!I7</f>
        <v>623131460.744527</v>
      </c>
      <c r="F112" s="9" t="n">
        <f aca="false">E112-D112</f>
        <v>379507722.607593</v>
      </c>
      <c r="N112" s="12" t="s">
        <v>315</v>
      </c>
    </row>
    <row r="113" customFormat="false" ht="15" hidden="false" customHeight="false" outlineLevel="0" collapsed="false">
      <c r="B113" s="6" t="s">
        <v>316</v>
      </c>
      <c r="D113" s="9" t="n">
        <f aca="false">D110-D111-D112</f>
        <v>0</v>
      </c>
      <c r="E113" s="9" t="n">
        <f aca="false">E110-E111-E112</f>
        <v>318122834</v>
      </c>
      <c r="F113" s="9" t="n">
        <f aca="false">E113-D113</f>
        <v>318122834</v>
      </c>
      <c r="N113" s="12"/>
    </row>
    <row r="114" customFormat="false" ht="15" hidden="false" customHeight="false" outlineLevel="0" collapsed="false">
      <c r="B114" s="6" t="s">
        <v>317</v>
      </c>
      <c r="D114" s="7" t="n">
        <f aca="false">Vintage!J22+Vintage!J23</f>
        <v>5342548.19302958</v>
      </c>
      <c r="E114" s="7" t="n">
        <f aca="false">Vintage!J8+Vintage!J9</f>
        <v>1866573064.18159</v>
      </c>
      <c r="F114" s="9" t="n">
        <f aca="false">E114-D114</f>
        <v>1861230515.98856</v>
      </c>
      <c r="N114" s="12" t="s">
        <v>318</v>
      </c>
    </row>
    <row r="115" customFormat="false" ht="15" hidden="false" customHeight="false" outlineLevel="0" collapsed="false">
      <c r="B115" s="6" t="s">
        <v>319</v>
      </c>
      <c r="D115" s="7" t="n">
        <f aca="false">Vintage!J21</f>
        <v>235787605.462776</v>
      </c>
      <c r="E115" s="7" t="n">
        <f aca="false">Vintage!J6+Vintage!J7</f>
        <v>575714909.399162</v>
      </c>
      <c r="F115" s="9" t="n">
        <f aca="false">E115-D115</f>
        <v>339927303.936386</v>
      </c>
      <c r="N115" s="12" t="s">
        <v>318</v>
      </c>
    </row>
    <row r="116" customFormat="false" ht="15" hidden="false" customHeight="false" outlineLevel="0" collapsed="false">
      <c r="B116" s="6" t="s">
        <v>320</v>
      </c>
      <c r="D116" s="7" t="n">
        <f aca="false">-'Segment GP'!H13-D114-D115</f>
        <v>6918638.87419418</v>
      </c>
      <c r="E116" s="7" t="n">
        <f aca="false">-'Segment GP'!M13-E114-E115</f>
        <v>312861259.677333</v>
      </c>
      <c r="F116" s="9" t="n">
        <f aca="false">E116-D116</f>
        <v>305942620.803139</v>
      </c>
      <c r="N116" s="12" t="s">
        <v>321</v>
      </c>
    </row>
    <row r="117" customFormat="false" ht="15" hidden="false" customHeight="false" outlineLevel="0" collapsed="false">
      <c r="B117" s="6" t="s">
        <v>19</v>
      </c>
      <c r="D117" s="7" t="n">
        <f aca="false">-'Segment GP'!H27</f>
        <v>-0</v>
      </c>
      <c r="E117" s="7" t="n">
        <f aca="false">-'Segment GP'!M27</f>
        <v>-0</v>
      </c>
      <c r="F117" s="9" t="n">
        <f aca="false">E117-D117</f>
        <v>0</v>
      </c>
      <c r="N117" s="12" t="s">
        <v>322</v>
      </c>
    </row>
    <row r="118" customFormat="false" ht="15" hidden="false" customHeight="false" outlineLevel="0" collapsed="false">
      <c r="B118" s="6" t="s">
        <v>323</v>
      </c>
      <c r="D118" s="21" t="n">
        <f aca="false">IF(D110=0,0,D112/D110)</f>
        <v>0.988202667501614</v>
      </c>
      <c r="E118" s="21" t="n">
        <f aca="false">IF(E110=0,0,E112/E110)</f>
        <v>0.231502200288143</v>
      </c>
      <c r="F118" s="14" t="n">
        <f aca="false">(E118-D118)*100</f>
        <v>-75.670046721347</v>
      </c>
      <c r="N118" s="12"/>
    </row>
    <row r="119" customFormat="false" ht="15" hidden="false" customHeight="false" outlineLevel="0" collapsed="false">
      <c r="B119" s="6" t="s">
        <v>324</v>
      </c>
      <c r="D119" s="21" t="n">
        <f aca="false">IF(D111=0,0,(D111-D114)/D111)</f>
        <v>-0.836923405395753</v>
      </c>
      <c r="E119" s="21" t="n">
        <f aca="false">IF(E111=0,0,(E111-E114)/E111)</f>
        <v>-0.0663495196968711</v>
      </c>
      <c r="F119" s="14" t="n">
        <f aca="false">(E119-D119)*100</f>
        <v>77.0573885698882</v>
      </c>
      <c r="N119" s="12"/>
    </row>
    <row r="120" customFormat="false" ht="15" hidden="false" customHeight="false" outlineLevel="0" collapsed="false">
      <c r="B120" s="6" t="s">
        <v>325</v>
      </c>
      <c r="D120" s="21" t="n">
        <f aca="false">IF(D112=0,0,(D112-D115)/D112)</f>
        <v>0.0321648979450181</v>
      </c>
      <c r="E120" s="21" t="n">
        <f aca="false">IF(E112=0,0,(E112-E115)/E112)</f>
        <v>0.0760939774870471</v>
      </c>
      <c r="F120" s="14" t="n">
        <f aca="false">(E120-D120)*100</f>
        <v>4.3929079542029</v>
      </c>
      <c r="N120" s="12"/>
    </row>
    <row r="121" customFormat="false" ht="15" hidden="false" customHeight="false" outlineLevel="0" collapsed="false">
      <c r="B121" s="29" t="s">
        <v>326</v>
      </c>
      <c r="D121" s="30" t="n">
        <f aca="false">'Segment GP'!H35</f>
        <v>-0.00615186485203403</v>
      </c>
      <c r="E121" s="30" t="n">
        <f aca="false">'Segment GP'!M35</f>
        <v>-0.0235771258593756</v>
      </c>
      <c r="F121" s="31" t="n">
        <f aca="false">(E121-D121)*100</f>
        <v>-1.74252610073416</v>
      </c>
      <c r="N121" s="12" t="s">
        <v>96</v>
      </c>
    </row>
    <row r="123" customFormat="false" ht="19.5" hidden="false" customHeight="true" outlineLevel="0" collapsed="false">
      <c r="B123" s="5" t="s">
        <v>327</v>
      </c>
      <c r="C123" s="5"/>
      <c r="D123" s="5" t="s">
        <v>328</v>
      </c>
      <c r="E123" s="5" t="s">
        <v>329</v>
      </c>
      <c r="F123" s="5"/>
      <c r="G123" s="5"/>
      <c r="H123" s="5"/>
      <c r="I123" s="5"/>
      <c r="J123" s="5"/>
      <c r="K123" s="5"/>
      <c r="L123" s="5"/>
      <c r="M123" s="5"/>
      <c r="N123" s="5" t="s">
        <v>330</v>
      </c>
    </row>
    <row r="124" customFormat="false" ht="15" hidden="false" customHeight="false" outlineLevel="0" collapsed="false">
      <c r="B124" s="11" t="s">
        <v>331</v>
      </c>
      <c r="D124" s="32" t="n">
        <f aca="false">D121</f>
        <v>-0.00615186485203403</v>
      </c>
      <c r="E124" s="32" t="n">
        <f aca="false">D124</f>
        <v>-0.00615186485203403</v>
      </c>
      <c r="N124" s="12" t="s">
        <v>96</v>
      </c>
    </row>
    <row r="125" customFormat="false" ht="15" hidden="false" customHeight="false" outlineLevel="0" collapsed="false">
      <c r="B125" s="6" t="s">
        <v>332</v>
      </c>
      <c r="D125" s="32" t="n">
        <f aca="false">E119-D119</f>
        <v>0.770573885698882</v>
      </c>
      <c r="E125" s="32" t="n">
        <f aca="false">E124+D125</f>
        <v>0.764422020846848</v>
      </c>
      <c r="N125" s="12" t="s">
        <v>333</v>
      </c>
    </row>
    <row r="126" customFormat="false" ht="15" hidden="false" customHeight="false" outlineLevel="0" collapsed="false">
      <c r="B126" s="6" t="s">
        <v>334</v>
      </c>
      <c r="D126" s="32" t="n">
        <f aca="false">E118*(E120-E119)-D118*(D120-D119)</f>
        <v>-0.825859396640986</v>
      </c>
      <c r="E126" s="32" t="n">
        <f aca="false">E125+D126</f>
        <v>-0.0614373757941386</v>
      </c>
      <c r="N126" s="12" t="s">
        <v>335</v>
      </c>
    </row>
    <row r="127" customFormat="false" ht="15" hidden="false" customHeight="false" outlineLevel="0" collapsed="false">
      <c r="B127" s="6" t="s">
        <v>336</v>
      </c>
      <c r="D127" s="32" t="n">
        <f aca="false">((E113-E116)/E110-E113/E110*E119)-((D113-D116)/D110-D113/D110*D119)</f>
        <v>0.037860249934763</v>
      </c>
      <c r="E127" s="32" t="n">
        <f aca="false">E126+D127</f>
        <v>-0.0235771258593755</v>
      </c>
      <c r="N127" s="12" t="s">
        <v>337</v>
      </c>
    </row>
    <row r="128" customFormat="false" ht="15" hidden="false" customHeight="false" outlineLevel="0" collapsed="false">
      <c r="B128" s="6" t="s">
        <v>338</v>
      </c>
      <c r="D128" s="32" t="n">
        <f aca="false">-(E117/E110-D117/D110)</f>
        <v>-0</v>
      </c>
      <c r="E128" s="32" t="n">
        <f aca="false">E127+D128</f>
        <v>-0.0235771258593755</v>
      </c>
      <c r="N128" s="12" t="s">
        <v>339</v>
      </c>
    </row>
    <row r="129" customFormat="false" ht="15" hidden="false" customHeight="false" outlineLevel="0" collapsed="false">
      <c r="B129" s="29" t="s">
        <v>340</v>
      </c>
      <c r="D129" s="33" t="n">
        <f aca="false">SUM(D124:D128)</f>
        <v>-0.0235771258593756</v>
      </c>
      <c r="E129" s="33" t="n">
        <f aca="false">D129</f>
        <v>-0.0235771258593756</v>
      </c>
    </row>
    <row r="130" customFormat="false" ht="15" hidden="false" customHeight="false" outlineLevel="0" collapsed="false">
      <c r="B130" s="12" t="s">
        <v>341</v>
      </c>
      <c r="D130" s="32" t="n">
        <f aca="false">ROUND(D129-E121,8)</f>
        <v>0</v>
      </c>
    </row>
    <row r="132" customFormat="false" ht="39.75" hidden="false" customHeight="true" outlineLevel="0" collapsed="false">
      <c r="B132" s="5" t="s">
        <v>342</v>
      </c>
      <c r="C132" s="5" t="s">
        <v>343</v>
      </c>
      <c r="D132" s="5" t="s">
        <v>344</v>
      </c>
      <c r="E132" s="5" t="s">
        <v>345</v>
      </c>
      <c r="F132" s="5" t="s">
        <v>346</v>
      </c>
      <c r="G132" s="5" t="s">
        <v>347</v>
      </c>
      <c r="H132" s="5" t="s">
        <v>348</v>
      </c>
      <c r="I132" s="5" t="s">
        <v>349</v>
      </c>
      <c r="J132" s="5" t="s">
        <v>350</v>
      </c>
      <c r="K132" s="5" t="s">
        <v>351</v>
      </c>
      <c r="L132" s="5" t="s">
        <v>352</v>
      </c>
      <c r="M132" s="5" t="s">
        <v>353</v>
      </c>
      <c r="N132" s="5" t="s">
        <v>354</v>
      </c>
      <c r="O132" s="5" t="s">
        <v>355</v>
      </c>
      <c r="P132" s="5" t="s">
        <v>356</v>
      </c>
      <c r="Q132" s="5" t="s">
        <v>357</v>
      </c>
      <c r="R132" s="5" t="s">
        <v>358</v>
      </c>
      <c r="S132" s="5" t="s">
        <v>359</v>
      </c>
    </row>
    <row r="133" customFormat="false" ht="15" hidden="false" customHeight="false" outlineLevel="0" collapsed="false">
      <c r="B133" s="6" t="s">
        <v>236</v>
      </c>
      <c r="C133" s="7" t="n">
        <f aca="false">SUMIFS(Vintage!$BH$36:$BH$127,Vintage!$C$36:$C$127,"RPA",Vintage!$D$36:$D$127,"BLD")</f>
        <v>0</v>
      </c>
      <c r="D133" s="7" t="n">
        <f aca="false">SUMIFS(Vintage!$AC$36:$AC$127,Vintage!$C$36:$C$127,"RPA",Vintage!$D$36:$D$127,"BLD")</f>
        <v>0</v>
      </c>
      <c r="E133" s="9" t="n">
        <f aca="false">IF(C133=0,0,P133/C133)</f>
        <v>0</v>
      </c>
      <c r="F133" s="9" t="n">
        <f aca="false">IF(D133=0,0,Q133/D133)</f>
        <v>0</v>
      </c>
      <c r="G133" s="9" t="n">
        <f aca="false">IF(C133=0,0,R133/C133)</f>
        <v>0</v>
      </c>
      <c r="H133" s="9" t="n">
        <f aca="false">IF(D133=0,0,S133/D133)</f>
        <v>0</v>
      </c>
      <c r="I133" s="21" t="n">
        <f aca="false">IF(P133=0,0,1-R133/P133)</f>
        <v>0</v>
      </c>
      <c r="J133" s="21" t="n">
        <f aca="false">IF(Q133=0,0,1-S133/Q133)</f>
        <v>0</v>
      </c>
      <c r="K133" s="32" t="n">
        <f aca="false">IF(AND(P133&lt;&gt;0,Q133&lt;&gt;0,E133&lt;&gt;0,F133&lt;&gt;0),(Q133/$Q$146)*(G133/E133-G133/F133),0)</f>
        <v>0</v>
      </c>
      <c r="L133" s="32" t="n">
        <f aca="false">IF(AND(P133&lt;&gt;0,Q133&lt;&gt;0,E133&lt;&gt;0,F133&lt;&gt;0),(Q133/$Q$146)*(G133/F133-H133/F133),0)</f>
        <v>0</v>
      </c>
      <c r="M133" s="32" t="n">
        <f aca="false">IF(AND(P133&lt;&gt;0,Q133&lt;&gt;0,E133&lt;&gt;0,F133&lt;&gt;0),((Q133/$Q$146)-(P133/$P$146))*I133,0)</f>
        <v>0</v>
      </c>
      <c r="N133" s="32" t="n">
        <f aca="false">IF(AND(P133&lt;&gt;0,Q133&lt;&gt;0,E133&lt;&gt;0,F133&lt;&gt;0),0,(Q133/$Q$146)*J133-(P133/$P$146)*I133)</f>
        <v>0</v>
      </c>
      <c r="O133" s="32" t="n">
        <f aca="false">SUM(K133:N133)</f>
        <v>0</v>
      </c>
      <c r="P133" s="7" t="n">
        <f aca="false">SUMIFS(Vintage!$BQ$36:$BQ$127,Vintage!$C$36:$C$127,"RPA",Vintage!$D$36:$D$127,"BLD")</f>
        <v>0</v>
      </c>
      <c r="Q133" s="7" t="n">
        <f aca="false">SUMIFS(Vintage!$AP$36:$AP$127,Vintage!$C$36:$C$127,"RPA",Vintage!$D$36:$D$127,"BLD")</f>
        <v>0</v>
      </c>
      <c r="R133" s="7" t="n">
        <f aca="false">SUMIFS(Vintage!$BM$36:$BM$127,Vintage!$C$36:$C$127,"RPA",Vintage!$D$36:$D$127,"BLD")</f>
        <v>0</v>
      </c>
      <c r="S133" s="7" t="n">
        <f aca="false">SUMIFS(Vintage!$AK$36:$AK$127,Vintage!$C$36:$C$127,"RPA",Vintage!$D$36:$D$127,"BLD")</f>
        <v>0</v>
      </c>
    </row>
    <row r="134" customFormat="false" ht="15" hidden="false" customHeight="false" outlineLevel="0" collapsed="false">
      <c r="B134" s="6" t="s">
        <v>239</v>
      </c>
      <c r="C134" s="7" t="n">
        <f aca="false">SUMIFS(Vintage!$BH$36:$BH$127,Vintage!$C$36:$C$127,"RPA",Vintage!$D$36:$D$127,"BLP")</f>
        <v>0</v>
      </c>
      <c r="D134" s="7" t="n">
        <f aca="false">SUMIFS(Vintage!$AC$36:$AC$127,Vintage!$C$36:$C$127,"RPA",Vintage!$D$36:$D$127,"BLP")</f>
        <v>0</v>
      </c>
      <c r="E134" s="9" t="n">
        <f aca="false">IF(C134=0,0,P134/C134)</f>
        <v>0</v>
      </c>
      <c r="F134" s="9" t="n">
        <f aca="false">IF(D134=0,0,Q134/D134)</f>
        <v>0</v>
      </c>
      <c r="G134" s="9" t="n">
        <f aca="false">IF(C134=0,0,R134/C134)</f>
        <v>0</v>
      </c>
      <c r="H134" s="9" t="n">
        <f aca="false">IF(D134=0,0,S134/D134)</f>
        <v>0</v>
      </c>
      <c r="I134" s="21" t="n">
        <f aca="false">IF(P134=0,0,1-R134/P134)</f>
        <v>0</v>
      </c>
      <c r="J134" s="21" t="n">
        <f aca="false">IF(Q134=0,0,1-S134/Q134)</f>
        <v>0</v>
      </c>
      <c r="K134" s="32" t="n">
        <f aca="false">IF(AND(P134&lt;&gt;0,Q134&lt;&gt;0,E134&lt;&gt;0,F134&lt;&gt;0),(Q134/$Q$146)*(G134/E134-G134/F134),0)</f>
        <v>0</v>
      </c>
      <c r="L134" s="32" t="n">
        <f aca="false">IF(AND(P134&lt;&gt;0,Q134&lt;&gt;0,E134&lt;&gt;0,F134&lt;&gt;0),(Q134/$Q$146)*(G134/F134-H134/F134),0)</f>
        <v>0</v>
      </c>
      <c r="M134" s="32" t="n">
        <f aca="false">IF(AND(P134&lt;&gt;0,Q134&lt;&gt;0,E134&lt;&gt;0,F134&lt;&gt;0),((Q134/$Q$146)-(P134/$P$146))*I134,0)</f>
        <v>0</v>
      </c>
      <c r="N134" s="32" t="n">
        <f aca="false">IF(AND(P134&lt;&gt;0,Q134&lt;&gt;0,E134&lt;&gt;0,F134&lt;&gt;0),0,(Q134/$Q$146)*J134-(P134/$P$146)*I134)</f>
        <v>0</v>
      </c>
      <c r="O134" s="32" t="n">
        <f aca="false">SUM(K134:N134)</f>
        <v>0</v>
      </c>
      <c r="P134" s="7" t="n">
        <f aca="false">SUMIFS(Vintage!$BQ$36:$BQ$127,Vintage!$C$36:$C$127,"RPA",Vintage!$D$36:$D$127,"BLP")</f>
        <v>0</v>
      </c>
      <c r="Q134" s="7" t="n">
        <f aca="false">SUMIFS(Vintage!$AP$36:$AP$127,Vintage!$C$36:$C$127,"RPA",Vintage!$D$36:$D$127,"BLP")</f>
        <v>0</v>
      </c>
      <c r="R134" s="7" t="n">
        <f aca="false">SUMIFS(Vintage!$BM$36:$BM$127,Vintage!$C$36:$C$127,"RPA",Vintage!$D$36:$D$127,"BLP")</f>
        <v>0</v>
      </c>
      <c r="S134" s="7" t="n">
        <f aca="false">SUMIFS(Vintage!$AK$36:$AK$127,Vintage!$C$36:$C$127,"RPA",Vintage!$D$36:$D$127,"BLP")</f>
        <v>0</v>
      </c>
    </row>
    <row r="135" customFormat="false" ht="15" hidden="false" customHeight="false" outlineLevel="0" collapsed="false">
      <c r="B135" s="6" t="s">
        <v>242</v>
      </c>
      <c r="C135" s="7" t="n">
        <f aca="false">SUMIFS(Vintage!$BH$36:$BH$127,Vintage!$C$36:$C$127,"RPA",Vintage!$D$36:$D$127,"Ceker")</f>
        <v>0</v>
      </c>
      <c r="D135" s="7" t="n">
        <f aca="false">SUMIFS(Vintage!$AC$36:$AC$127,Vintage!$C$36:$C$127,"RPA",Vintage!$D$36:$D$127,"Ceker")</f>
        <v>2249.86</v>
      </c>
      <c r="E135" s="9" t="n">
        <f aca="false">IF(C135=0,0,P135/C135)</f>
        <v>0</v>
      </c>
      <c r="F135" s="9" t="n">
        <f aca="false">IF(D135=0,0,Q135/D135)</f>
        <v>3100.85087814989</v>
      </c>
      <c r="G135" s="9" t="n">
        <f aca="false">IF(C135=0,0,R135/C135)</f>
        <v>0</v>
      </c>
      <c r="H135" s="9" t="n">
        <f aca="false">IF(D135=0,0,S135/D135)</f>
        <v>15556.9214569467</v>
      </c>
      <c r="I135" s="21" t="n">
        <f aca="false">IF(P135=0,0,1-R135/P135)</f>
        <v>0</v>
      </c>
      <c r="J135" s="21" t="n">
        <f aca="false">IF(Q135=0,0,1-S135/Q135)</f>
        <v>-4.01698471428226</v>
      </c>
      <c r="K135" s="32" t="n">
        <f aca="false">IF(AND(P135&lt;&gt;0,Q135&lt;&gt;0,E135&lt;&gt;0,F135&lt;&gt;0),(Q135/$Q$146)*(G135/E135-G135/F135),0)</f>
        <v>0</v>
      </c>
      <c r="L135" s="32" t="n">
        <f aca="false">IF(AND(P135&lt;&gt;0,Q135&lt;&gt;0,E135&lt;&gt;0,F135&lt;&gt;0),(Q135/$Q$146)*(G135/F135-H135/F135),0)</f>
        <v>0</v>
      </c>
      <c r="M135" s="32" t="n">
        <f aca="false">IF(AND(P135&lt;&gt;0,Q135&lt;&gt;0,E135&lt;&gt;0,F135&lt;&gt;0),((Q135/$Q$146)-(P135/$P$146))*I135,0)</f>
        <v>0</v>
      </c>
      <c r="N135" s="32" t="n">
        <f aca="false">IF(AND(P135&lt;&gt;0,Q135&lt;&gt;0,E135&lt;&gt;0,F135&lt;&gt;0),0,(Q135/$Q$146)*J135-(P135/$P$146)*I135)</f>
        <v>-0.0160099928568255</v>
      </c>
      <c r="O135" s="32" t="n">
        <f aca="false">SUM(K135:N135)</f>
        <v>-0.0160099928568255</v>
      </c>
      <c r="P135" s="7" t="n">
        <f aca="false">SUMIFS(Vintage!$BQ$36:$BQ$127,Vintage!$C$36:$C$127,"RPA",Vintage!$D$36:$D$127,"Ceker")</f>
        <v>0</v>
      </c>
      <c r="Q135" s="7" t="n">
        <f aca="false">SUMIFS(Vintage!$AP$36:$AP$127,Vintage!$C$36:$C$127,"RPA",Vintage!$D$36:$D$127,"Ceker")</f>
        <v>6976480.3567143</v>
      </c>
      <c r="R135" s="7" t="n">
        <f aca="false">SUMIFS(Vintage!$BM$36:$BM$127,Vintage!$C$36:$C$127,"RPA",Vintage!$D$36:$D$127,"Ceker")</f>
        <v>0</v>
      </c>
      <c r="S135" s="7" t="n">
        <f aca="false">SUMIFS(Vintage!$AK$36:$AK$127,Vintage!$C$36:$C$127,"RPA",Vintage!$D$36:$D$127,"Ceker")</f>
        <v>35000895.3091261</v>
      </c>
    </row>
    <row r="136" customFormat="false" ht="15" hidden="false" customHeight="false" outlineLevel="0" collapsed="false">
      <c r="B136" s="6" t="s">
        <v>244</v>
      </c>
      <c r="C136" s="7" t="n">
        <f aca="false">SUMIFS(Vintage!$BH$36:$BH$127,Vintage!$C$36:$C$127,"RPA",Vintage!$D$36:$D$127,"HJA (Hati/Jantung/Ampela)")</f>
        <v>0</v>
      </c>
      <c r="D136" s="7" t="n">
        <f aca="false">SUMIFS(Vintage!$AC$36:$AC$127,Vintage!$C$36:$C$127,"RPA",Vintage!$D$36:$D$127,"HJA (Hati/Jantung/Ampela)")</f>
        <v>1444</v>
      </c>
      <c r="E136" s="9" t="n">
        <f aca="false">IF(C136=0,0,P136/C136)</f>
        <v>0</v>
      </c>
      <c r="F136" s="9" t="n">
        <f aca="false">IF(D136=0,0,Q136/D136)</f>
        <v>4515.31782437746</v>
      </c>
      <c r="G136" s="9" t="n">
        <f aca="false">IF(C136=0,0,R136/C136)</f>
        <v>0</v>
      </c>
      <c r="H136" s="9" t="n">
        <f aca="false">IF(D136=0,0,S136/D136)</f>
        <v>4003.53357564193</v>
      </c>
      <c r="I136" s="21" t="n">
        <f aca="false">IF(P136=0,0,1-R136/P136)</f>
        <v>0</v>
      </c>
      <c r="J136" s="21" t="n">
        <f aca="false">IF(Q136=0,0,1-S136/Q136)</f>
        <v>0.113344014450653</v>
      </c>
      <c r="K136" s="32" t="n">
        <f aca="false">IF(AND(P136&lt;&gt;0,Q136&lt;&gt;0,E136&lt;&gt;0,F136&lt;&gt;0),(Q136/$Q$146)*(G136/E136-G136/F136),0)</f>
        <v>0</v>
      </c>
      <c r="L136" s="32" t="n">
        <f aca="false">IF(AND(P136&lt;&gt;0,Q136&lt;&gt;0,E136&lt;&gt;0,F136&lt;&gt;0),(Q136/$Q$146)*(G136/F136-H136/F136),0)</f>
        <v>0</v>
      </c>
      <c r="M136" s="32" t="n">
        <f aca="false">IF(AND(P136&lt;&gt;0,Q136&lt;&gt;0,E136&lt;&gt;0,F136&lt;&gt;0),((Q136/$Q$146)-(P136/$P$146))*I136,0)</f>
        <v>0</v>
      </c>
      <c r="N136" s="32" t="n">
        <f aca="false">IF(AND(P136&lt;&gt;0,Q136&lt;&gt;0,E136&lt;&gt;0,F136&lt;&gt;0),0,(Q136/$Q$146)*J136-(P136/$P$146)*I136)</f>
        <v>0.000422190728638053</v>
      </c>
      <c r="O136" s="32" t="n">
        <f aca="false">SUM(K136:N136)</f>
        <v>0.000422190728638053</v>
      </c>
      <c r="P136" s="7" t="n">
        <f aca="false">SUMIFS(Vintage!$BQ$36:$BQ$127,Vintage!$C$36:$C$127,"RPA",Vintage!$D$36:$D$127,"HJA (Hati/Jantung/Ampela)")</f>
        <v>0</v>
      </c>
      <c r="Q136" s="7" t="n">
        <f aca="false">SUMIFS(Vintage!$AP$36:$AP$127,Vintage!$C$36:$C$127,"RPA",Vintage!$D$36:$D$127,"HJA (Hati/Jantung/Ampela)")</f>
        <v>6520118.93840105</v>
      </c>
      <c r="R136" s="7" t="n">
        <f aca="false">SUMIFS(Vintage!$BM$36:$BM$127,Vintage!$C$36:$C$127,"RPA",Vintage!$D$36:$D$127,"HJA (Hati/Jantung/Ampela)")</f>
        <v>0</v>
      </c>
      <c r="S136" s="7" t="n">
        <f aca="false">SUMIFS(Vintage!$AK$36:$AK$127,Vintage!$C$36:$C$127,"RPA",Vintage!$D$36:$D$127,"HJA (Hati/Jantung/Ampela)")</f>
        <v>5781102.48322695</v>
      </c>
    </row>
    <row r="137" customFormat="false" ht="15" hidden="false" customHeight="false" outlineLevel="0" collapsed="false">
      <c r="B137" s="6" t="s">
        <v>245</v>
      </c>
      <c r="C137" s="7" t="n">
        <f aca="false">SUMIFS(Vintage!$BH$36:$BH$127,Vintage!$C$36:$C$127,"RPA",Vintage!$D$36:$D$127,"KRK (Kerangka)")</f>
        <v>563</v>
      </c>
      <c r="D137" s="7" t="n">
        <f aca="false">SUMIFS(Vintage!$AC$36:$AC$127,Vintage!$C$36:$C$127,"RPA",Vintage!$D$36:$D$127,"KRK (Kerangka)")</f>
        <v>0</v>
      </c>
      <c r="E137" s="9" t="n">
        <f aca="false">IF(C137=0,0,P137/C137)</f>
        <v>5000</v>
      </c>
      <c r="F137" s="9" t="n">
        <f aca="false">IF(D137=0,0,Q137/D137)</f>
        <v>0</v>
      </c>
      <c r="G137" s="9" t="n">
        <f aca="false">IF(C137=0,0,R137/C137)</f>
        <v>9344.90046940195</v>
      </c>
      <c r="H137" s="9" t="n">
        <f aca="false">IF(D137=0,0,S137/D137)</f>
        <v>0</v>
      </c>
      <c r="I137" s="21" t="n">
        <f aca="false">IF(P137=0,0,1-R137/P137)</f>
        <v>-0.86898009388039</v>
      </c>
      <c r="J137" s="21" t="n">
        <f aca="false">IF(Q137=0,0,1-S137/Q137)</f>
        <v>0</v>
      </c>
      <c r="K137" s="32" t="n">
        <f aca="false">IF(AND(P137&lt;&gt;0,Q137&lt;&gt;0,E137&lt;&gt;0,F137&lt;&gt;0),(Q137/$Q$146)*(G137/E137-G137/F137),0)</f>
        <v>0</v>
      </c>
      <c r="L137" s="32" t="n">
        <f aca="false">IF(AND(P137&lt;&gt;0,Q137&lt;&gt;0,E137&lt;&gt;0,F137&lt;&gt;0),(Q137/$Q$146)*(G137/F137-H137/F137),0)</f>
        <v>0</v>
      </c>
      <c r="M137" s="32" t="n">
        <f aca="false">IF(AND(P137&lt;&gt;0,Q137&lt;&gt;0,E137&lt;&gt;0,F137&lt;&gt;0),((Q137/$Q$146)-(P137/$P$146))*I137,0)</f>
        <v>0</v>
      </c>
      <c r="N137" s="32" t="n">
        <f aca="false">IF(AND(P137&lt;&gt;0,Q137&lt;&gt;0,E137&lt;&gt;0,F137&lt;&gt;0),0,(Q137/$Q$146)*J137-(P137/$P$146)*I137)</f>
        <v>0.841067451506184</v>
      </c>
      <c r="O137" s="32" t="n">
        <f aca="false">SUM(K137:N137)</f>
        <v>0.841067451506184</v>
      </c>
      <c r="P137" s="7" t="n">
        <f aca="false">SUMIFS(Vintage!$BQ$36:$BQ$127,Vintage!$C$36:$C$127,"RPA",Vintage!$D$36:$D$127,"KRK (Kerangka)")</f>
        <v>2815000</v>
      </c>
      <c r="Q137" s="7" t="n">
        <f aca="false">SUMIFS(Vintage!$AP$36:$AP$127,Vintage!$C$36:$C$127,"RPA",Vintage!$D$36:$D$127,"KRK (Kerangka)")</f>
        <v>0</v>
      </c>
      <c r="R137" s="7" t="n">
        <f aca="false">SUMIFS(Vintage!$BM$36:$BM$127,Vintage!$C$36:$C$127,"RPA",Vintage!$D$36:$D$127,"KRK (Kerangka)")</f>
        <v>5261178.9642733</v>
      </c>
      <c r="S137" s="7" t="n">
        <f aca="false">SUMIFS(Vintage!$AK$36:$AK$127,Vintage!$C$36:$C$127,"RPA",Vintage!$D$36:$D$127,"KRK (Kerangka)")</f>
        <v>0</v>
      </c>
    </row>
    <row r="138" customFormat="false" ht="15" hidden="false" customHeight="false" outlineLevel="0" collapsed="false">
      <c r="B138" s="6" t="s">
        <v>246</v>
      </c>
      <c r="C138" s="7" t="n">
        <f aca="false">SUMIFS(Vintage!$BH$36:$BH$127,Vintage!$C$36:$C$127,"RPA",Vintage!$D$36:$D$127,"Karkas")</f>
        <v>3.30000000000018</v>
      </c>
      <c r="D138" s="7" t="n">
        <f aca="false">SUMIFS(Vintage!$AC$36:$AC$127,Vintage!$C$36:$C$127,"RPA",Vintage!$D$36:$D$127,"Karkas")</f>
        <v>47397.07</v>
      </c>
      <c r="E138" s="9" t="n">
        <f aca="false">IF(C138=0,0,P138/C138)</f>
        <v>28309.6554743666</v>
      </c>
      <c r="F138" s="9" t="n">
        <f aca="false">IF(D138=0,0,Q138/D138)</f>
        <v>36205.9142972712</v>
      </c>
      <c r="G138" s="9" t="n">
        <f aca="false">IF(C138=0,0,R138/C138)</f>
        <v>24657.3420473585</v>
      </c>
      <c r="H138" s="9" t="n">
        <f aca="false">IF(D138=0,0,S138/D138)</f>
        <v>37135.4135677517</v>
      </c>
      <c r="I138" s="21" t="n">
        <f aca="false">IF(P138=0,0,1-R138/P138)</f>
        <v>0.129012994535211</v>
      </c>
      <c r="J138" s="21" t="n">
        <f aca="false">IF(Q138=0,0,1-S138/Q138)</f>
        <v>-0.025672581082991</v>
      </c>
      <c r="K138" s="32" t="n">
        <f aca="false">IF(AND(P138&lt;&gt;0,Q138&lt;&gt;0,E138&lt;&gt;0,F138&lt;&gt;0),(Q138/$Q$146)*(G138/E138-G138/F138),0)</f>
        <v>0.18622549156803</v>
      </c>
      <c r="L138" s="32" t="n">
        <f aca="false">IF(AND(P138&lt;&gt;0,Q138&lt;&gt;0,E138&lt;&gt;0,F138&lt;&gt;0),(Q138/$Q$146)*(G138/F138-H138/F138),0)</f>
        <v>-0.337873047512329</v>
      </c>
      <c r="M138" s="32" t="n">
        <f aca="false">IF(AND(P138&lt;&gt;0,Q138&lt;&gt;0,E138&lt;&gt;0,F138&lt;&gt;0),((Q138/$Q$146)-(P138/$P$146))*I138,0)</f>
        <v>0.122335137408331</v>
      </c>
      <c r="N138" s="32" t="n">
        <f aca="false">IF(AND(P138&lt;&gt;0,Q138&lt;&gt;0,E138&lt;&gt;0,F138&lt;&gt;0),0,(Q138/$Q$146)*J138-(P138/$P$146)*I138)</f>
        <v>0</v>
      </c>
      <c r="O138" s="32" t="n">
        <f aca="false">SUM(K138:N138)</f>
        <v>-0.0293124185359672</v>
      </c>
      <c r="P138" s="7" t="n">
        <f aca="false">SUMIFS(Vintage!$BQ$36:$BQ$127,Vintage!$C$36:$C$127,"RPA",Vintage!$D$36:$D$127,"Karkas")</f>
        <v>93421.863065415</v>
      </c>
      <c r="Q138" s="7" t="n">
        <f aca="false">SUMIFS(Vintage!$AP$36:$AP$127,Vintage!$C$36:$C$127,"RPA",Vintage!$D$36:$D$127,"Karkas")</f>
        <v>1716054254.36176</v>
      </c>
      <c r="R138" s="7" t="n">
        <f aca="false">SUMIFS(Vintage!$BM$36:$BM$127,Vintage!$C$36:$C$127,"RPA",Vintage!$D$36:$D$127,"Karkas")</f>
        <v>81369.2287562874</v>
      </c>
      <c r="S138" s="7" t="n">
        <f aca="false">SUMIFS(Vintage!$AK$36:$AK$127,Vintage!$C$36:$C$127,"RPA",Vintage!$D$36:$D$127,"Karkas")</f>
        <v>1760109796.34968</v>
      </c>
    </row>
    <row r="139" customFormat="false" ht="15" hidden="false" customHeight="false" outlineLevel="0" collapsed="false">
      <c r="B139" s="6" t="s">
        <v>248</v>
      </c>
      <c r="C139" s="7" t="n">
        <f aca="false">SUMIFS(Vintage!$BH$36:$BH$127,Vintage!$C$36:$C$127,"RPA",Vintage!$D$36:$D$127,"Kepala")</f>
        <v>0</v>
      </c>
      <c r="D139" s="7" t="n">
        <f aca="false">SUMIFS(Vintage!$AC$36:$AC$127,Vintage!$C$36:$C$127,"RPA",Vintage!$D$36:$D$127,"Kepala")</f>
        <v>4873.7</v>
      </c>
      <c r="E139" s="9" t="n">
        <f aca="false">IF(C139=0,0,P139/C139)</f>
        <v>0</v>
      </c>
      <c r="F139" s="9" t="n">
        <f aca="false">IF(D139=0,0,Q139/D139)</f>
        <v>4028.67675729326</v>
      </c>
      <c r="G139" s="9" t="n">
        <f aca="false">IF(C139=0,0,R139/C139)</f>
        <v>0</v>
      </c>
      <c r="H139" s="9" t="n">
        <f aca="false">IF(D139=0,0,S139/D139)</f>
        <v>12842.7934172126</v>
      </c>
      <c r="I139" s="21" t="n">
        <f aca="false">IF(P139=0,0,1-R139/P139)</f>
        <v>0</v>
      </c>
      <c r="J139" s="21" t="n">
        <f aca="false">IF(Q139=0,0,1-S139/Q139)</f>
        <v>-2.18784409644253</v>
      </c>
      <c r="K139" s="32" t="n">
        <f aca="false">IF(AND(P139&lt;&gt;0,Q139&lt;&gt;0,E139&lt;&gt;0,F139&lt;&gt;0),(Q139/$Q$146)*(G139/E139-G139/F139),0)</f>
        <v>0</v>
      </c>
      <c r="L139" s="32" t="n">
        <f aca="false">IF(AND(P139&lt;&gt;0,Q139&lt;&gt;0,E139&lt;&gt;0,F139&lt;&gt;0),(Q139/$Q$146)*(G139/F139-H139/F139),0)</f>
        <v>0</v>
      </c>
      <c r="M139" s="32" t="n">
        <f aca="false">IF(AND(P139&lt;&gt;0,Q139&lt;&gt;0,E139&lt;&gt;0,F139&lt;&gt;0),((Q139/$Q$146)-(P139/$P$146))*I139,0)</f>
        <v>0</v>
      </c>
      <c r="N139" s="32" t="n">
        <f aca="false">IF(AND(P139&lt;&gt;0,Q139&lt;&gt;0,E139&lt;&gt;0,F139&lt;&gt;0),0,(Q139/$Q$146)*J139-(P139/$P$146)*I139)</f>
        <v>-0.0245409951917559</v>
      </c>
      <c r="O139" s="32" t="n">
        <f aca="false">SUM(K139:N139)</f>
        <v>-0.0245409951917559</v>
      </c>
      <c r="P139" s="7" t="n">
        <f aca="false">SUMIFS(Vintage!$BQ$36:$BQ$127,Vintage!$C$36:$C$127,"RPA",Vintage!$D$36:$D$127,"Kepala")</f>
        <v>0</v>
      </c>
      <c r="Q139" s="7" t="n">
        <f aca="false">SUMIFS(Vintage!$AP$36:$AP$127,Vintage!$C$36:$C$127,"RPA",Vintage!$D$36:$D$127,"Kepala")</f>
        <v>19634561.9120201</v>
      </c>
      <c r="R139" s="7" t="n">
        <f aca="false">SUMIFS(Vintage!$BM$36:$BM$127,Vintage!$C$36:$C$127,"RPA",Vintage!$D$36:$D$127,"Kepala")</f>
        <v>0</v>
      </c>
      <c r="S139" s="7" t="n">
        <f aca="false">SUMIFS(Vintage!$AK$36:$AK$127,Vintage!$C$36:$C$127,"RPA",Vintage!$D$36:$D$127,"Kepala")</f>
        <v>62591922.2774688</v>
      </c>
    </row>
    <row r="140" customFormat="false" ht="15" hidden="false" customHeight="false" outlineLevel="0" collapsed="false">
      <c r="B140" s="6" t="s">
        <v>255</v>
      </c>
      <c r="C140" s="7" t="n">
        <f aca="false">SUMIFS(Vintage!$BH$36:$BH$127,Vintage!$C$36:$C$127,"RPA",Vintage!$D$36:$D$127,"Kulit")</f>
        <v>0</v>
      </c>
      <c r="D140" s="7" t="n">
        <f aca="false">SUMIFS(Vintage!$AC$36:$AC$127,Vintage!$C$36:$C$127,"RPA",Vintage!$D$36:$D$127,"Kulit")</f>
        <v>0</v>
      </c>
      <c r="E140" s="9" t="n">
        <f aca="false">IF(C140=0,0,P140/C140)</f>
        <v>0</v>
      </c>
      <c r="F140" s="9" t="n">
        <f aca="false">IF(D140=0,0,Q140/D140)</f>
        <v>0</v>
      </c>
      <c r="G140" s="9" t="n">
        <f aca="false">IF(C140=0,0,R140/C140)</f>
        <v>0</v>
      </c>
      <c r="H140" s="9" t="n">
        <f aca="false">IF(D140=0,0,S140/D140)</f>
        <v>0</v>
      </c>
      <c r="I140" s="21" t="n">
        <f aca="false">IF(P140=0,0,1-R140/P140)</f>
        <v>0</v>
      </c>
      <c r="J140" s="21" t="n">
        <f aca="false">IF(Q140=0,0,1-S140/Q140)</f>
        <v>0</v>
      </c>
      <c r="K140" s="32" t="n">
        <f aca="false">IF(AND(P140&lt;&gt;0,Q140&lt;&gt;0,E140&lt;&gt;0,F140&lt;&gt;0),(Q140/$Q$146)*(G140/E140-G140/F140),0)</f>
        <v>0</v>
      </c>
      <c r="L140" s="32" t="n">
        <f aca="false">IF(AND(P140&lt;&gt;0,Q140&lt;&gt;0,E140&lt;&gt;0,F140&lt;&gt;0),(Q140/$Q$146)*(G140/F140-H140/F140),0)</f>
        <v>0</v>
      </c>
      <c r="M140" s="32" t="n">
        <f aca="false">IF(AND(P140&lt;&gt;0,Q140&lt;&gt;0,E140&lt;&gt;0,F140&lt;&gt;0),((Q140/$Q$146)-(P140/$P$146))*I140,0)</f>
        <v>0</v>
      </c>
      <c r="N140" s="32" t="n">
        <f aca="false">IF(AND(P140&lt;&gt;0,Q140&lt;&gt;0,E140&lt;&gt;0,F140&lt;&gt;0),0,(Q140/$Q$146)*J140-(P140/$P$146)*I140)</f>
        <v>0</v>
      </c>
      <c r="O140" s="32" t="n">
        <f aca="false">SUM(K140:N140)</f>
        <v>0</v>
      </c>
      <c r="P140" s="7" t="n">
        <f aca="false">SUMIFS(Vintage!$BQ$36:$BQ$127,Vintage!$C$36:$C$127,"RPA",Vintage!$D$36:$D$127,"Kulit")</f>
        <v>0</v>
      </c>
      <c r="Q140" s="7" t="n">
        <f aca="false">SUMIFS(Vintage!$AP$36:$AP$127,Vintage!$C$36:$C$127,"RPA",Vintage!$D$36:$D$127,"Kulit")</f>
        <v>0</v>
      </c>
      <c r="R140" s="7" t="n">
        <f aca="false">SUMIFS(Vintage!$BM$36:$BM$127,Vintage!$C$36:$C$127,"RPA",Vintage!$D$36:$D$127,"Kulit")</f>
        <v>0</v>
      </c>
      <c r="S140" s="7" t="n">
        <f aca="false">SUMIFS(Vintage!$AK$36:$AK$127,Vintage!$C$36:$C$127,"RPA",Vintage!$D$36:$D$127,"Kulit")</f>
        <v>0</v>
      </c>
    </row>
    <row r="141" customFormat="false" ht="15" hidden="false" customHeight="false" outlineLevel="0" collapsed="false">
      <c r="B141" s="6" t="s">
        <v>360</v>
      </c>
      <c r="C141" s="7" t="n">
        <f aca="false">SUMIFS(Vintage!$BH$36:$BH$127,Vintage!$C$36:$C$127,"RPA",Vintage!$D$36:$D$127,"Lemak")</f>
        <v>0</v>
      </c>
      <c r="D141" s="7" t="n">
        <f aca="false">SUMIFS(Vintage!$AC$36:$AC$127,Vintage!$C$36:$C$127,"RPA",Vintage!$D$36:$D$127,"Lemak")</f>
        <v>0</v>
      </c>
      <c r="E141" s="9" t="n">
        <f aca="false">IF(C141=0,0,P141/C141)</f>
        <v>0</v>
      </c>
      <c r="F141" s="9" t="n">
        <f aca="false">IF(D141=0,0,Q141/D141)</f>
        <v>0</v>
      </c>
      <c r="G141" s="9" t="n">
        <f aca="false">IF(C141=0,0,R141/C141)</f>
        <v>0</v>
      </c>
      <c r="H141" s="9" t="n">
        <f aca="false">IF(D141=0,0,S141/D141)</f>
        <v>0</v>
      </c>
      <c r="I141" s="21" t="n">
        <f aca="false">IF(P141=0,0,1-R141/P141)</f>
        <v>0</v>
      </c>
      <c r="J141" s="21" t="n">
        <f aca="false">IF(Q141=0,0,1-S141/Q141)</f>
        <v>0</v>
      </c>
      <c r="K141" s="32" t="n">
        <f aca="false">IF(AND(P141&lt;&gt;0,Q141&lt;&gt;0,E141&lt;&gt;0,F141&lt;&gt;0),(Q141/$Q$146)*(G141/E141-G141/F141),0)</f>
        <v>0</v>
      </c>
      <c r="L141" s="32" t="n">
        <f aca="false">IF(AND(P141&lt;&gt;0,Q141&lt;&gt;0,E141&lt;&gt;0,F141&lt;&gt;0),(Q141/$Q$146)*(G141/F141-H141/F141),0)</f>
        <v>0</v>
      </c>
      <c r="M141" s="32" t="n">
        <f aca="false">IF(AND(P141&lt;&gt;0,Q141&lt;&gt;0,E141&lt;&gt;0,F141&lt;&gt;0),((Q141/$Q$146)-(P141/$P$146))*I141,0)</f>
        <v>0</v>
      </c>
      <c r="N141" s="32" t="n">
        <f aca="false">IF(AND(P141&lt;&gt;0,Q141&lt;&gt;0,E141&lt;&gt;0,F141&lt;&gt;0),0,(Q141/$Q$146)*J141-(P141/$P$146)*I141)</f>
        <v>0</v>
      </c>
      <c r="O141" s="32" t="n">
        <f aca="false">SUM(K141:N141)</f>
        <v>0</v>
      </c>
      <c r="P141" s="7" t="n">
        <f aca="false">SUMIFS(Vintage!$BQ$36:$BQ$127,Vintage!$C$36:$C$127,"RPA",Vintage!$D$36:$D$127,"Lemak")</f>
        <v>0</v>
      </c>
      <c r="Q141" s="7" t="n">
        <f aca="false">SUMIFS(Vintage!$AP$36:$AP$127,Vintage!$C$36:$C$127,"RPA",Vintage!$D$36:$D$127,"Lemak")</f>
        <v>0</v>
      </c>
      <c r="R141" s="7" t="n">
        <f aca="false">SUMIFS(Vintage!$BM$36:$BM$127,Vintage!$C$36:$C$127,"RPA",Vintage!$D$36:$D$127,"Lemak")</f>
        <v>0</v>
      </c>
      <c r="S141" s="7" t="n">
        <f aca="false">SUMIFS(Vintage!$AK$36:$AK$127,Vintage!$C$36:$C$127,"RPA",Vintage!$D$36:$D$127,"Lemak")</f>
        <v>0</v>
      </c>
    </row>
    <row r="142" customFormat="false" ht="15" hidden="false" customHeight="false" outlineLevel="0" collapsed="false">
      <c r="B142" s="6" t="s">
        <v>251</v>
      </c>
      <c r="C142" s="7" t="n">
        <f aca="false">SUMIFS(Vintage!$BH$36:$BH$127,Vintage!$C$36:$C$127,"RPA",Vintage!$D$36:$D$127,"Paha (parting)")</f>
        <v>0</v>
      </c>
      <c r="D142" s="7" t="n">
        <f aca="false">SUMIFS(Vintage!$AC$36:$AC$127,Vintage!$C$36:$C$127,"RPA",Vintage!$D$36:$D$127,"Paha (parting)")</f>
        <v>0</v>
      </c>
      <c r="E142" s="9" t="n">
        <f aca="false">IF(C142=0,0,P142/C142)</f>
        <v>0</v>
      </c>
      <c r="F142" s="9" t="n">
        <f aca="false">IF(D142=0,0,Q142/D142)</f>
        <v>0</v>
      </c>
      <c r="G142" s="9" t="n">
        <f aca="false">IF(C142=0,0,R142/C142)</f>
        <v>0</v>
      </c>
      <c r="H142" s="9" t="n">
        <f aca="false">IF(D142=0,0,S142/D142)</f>
        <v>0</v>
      </c>
      <c r="I142" s="21" t="n">
        <f aca="false">IF(P142=0,0,1-R142/P142)</f>
        <v>0</v>
      </c>
      <c r="J142" s="21" t="n">
        <f aca="false">IF(Q142=0,0,1-S142/Q142)</f>
        <v>0</v>
      </c>
      <c r="K142" s="32" t="n">
        <f aca="false">IF(AND(P142&lt;&gt;0,Q142&lt;&gt;0,E142&lt;&gt;0,F142&lt;&gt;0),(Q142/$Q$146)*(G142/E142-G142/F142),0)</f>
        <v>0</v>
      </c>
      <c r="L142" s="32" t="n">
        <f aca="false">IF(AND(P142&lt;&gt;0,Q142&lt;&gt;0,E142&lt;&gt;0,F142&lt;&gt;0),(Q142/$Q$146)*(G142/F142-H142/F142),0)</f>
        <v>0</v>
      </c>
      <c r="M142" s="32" t="n">
        <f aca="false">IF(AND(P142&lt;&gt;0,Q142&lt;&gt;0,E142&lt;&gt;0,F142&lt;&gt;0),((Q142/$Q$146)-(P142/$P$146))*I142,0)</f>
        <v>0</v>
      </c>
      <c r="N142" s="32" t="n">
        <f aca="false">IF(AND(P142&lt;&gt;0,Q142&lt;&gt;0,E142&lt;&gt;0,F142&lt;&gt;0),0,(Q142/$Q$146)*J142-(P142/$P$146)*I142)</f>
        <v>0</v>
      </c>
      <c r="O142" s="32" t="n">
        <f aca="false">SUM(K142:N142)</f>
        <v>0</v>
      </c>
      <c r="P142" s="7" t="n">
        <f aca="false">SUMIFS(Vintage!$BQ$36:$BQ$127,Vintage!$C$36:$C$127,"RPA",Vintage!$D$36:$D$127,"Paha (parting)")</f>
        <v>0</v>
      </c>
      <c r="Q142" s="7" t="n">
        <f aca="false">SUMIFS(Vintage!$AP$36:$AP$127,Vintage!$C$36:$C$127,"RPA",Vintage!$D$36:$D$127,"Paha (parting)")</f>
        <v>0</v>
      </c>
      <c r="R142" s="7" t="n">
        <f aca="false">SUMIFS(Vintage!$BM$36:$BM$127,Vintage!$C$36:$C$127,"RPA",Vintage!$D$36:$D$127,"Paha (parting)")</f>
        <v>0</v>
      </c>
      <c r="S142" s="7" t="n">
        <f aca="false">SUMIFS(Vintage!$AK$36:$AK$127,Vintage!$C$36:$C$127,"RPA",Vintage!$D$36:$D$127,"Paha (parting)")</f>
        <v>0</v>
      </c>
    </row>
    <row r="143" customFormat="false" ht="15" hidden="false" customHeight="false" outlineLevel="0" collapsed="false">
      <c r="B143" s="6" t="s">
        <v>252</v>
      </c>
      <c r="C143" s="7" t="n">
        <f aca="false">SUMIFS(Vintage!$BH$36:$BH$127,Vintage!$C$36:$C$127,"RPA",Vintage!$D$36:$D$127,"Sayap")</f>
        <v>0</v>
      </c>
      <c r="D143" s="7" t="n">
        <f aca="false">SUMIFS(Vintage!$AC$36:$AC$127,Vintage!$C$36:$C$127,"RPA",Vintage!$D$36:$D$127,"Sayap")</f>
        <v>0</v>
      </c>
      <c r="E143" s="9" t="n">
        <f aca="false">IF(C143=0,0,P143/C143)</f>
        <v>0</v>
      </c>
      <c r="F143" s="9" t="n">
        <f aca="false">IF(D143=0,0,Q143/D143)</f>
        <v>0</v>
      </c>
      <c r="G143" s="9" t="n">
        <f aca="false">IF(C143=0,0,R143/C143)</f>
        <v>0</v>
      </c>
      <c r="H143" s="9" t="n">
        <f aca="false">IF(D143=0,0,S143/D143)</f>
        <v>0</v>
      </c>
      <c r="I143" s="21" t="n">
        <f aca="false">IF(P143=0,0,1-R143/P143)</f>
        <v>0</v>
      </c>
      <c r="J143" s="21" t="n">
        <f aca="false">IF(Q143=0,0,1-S143/Q143)</f>
        <v>0</v>
      </c>
      <c r="K143" s="32" t="n">
        <f aca="false">IF(AND(P143&lt;&gt;0,Q143&lt;&gt;0,E143&lt;&gt;0,F143&lt;&gt;0),(Q143/$Q$146)*(G143/E143-G143/F143),0)</f>
        <v>0</v>
      </c>
      <c r="L143" s="32" t="n">
        <f aca="false">IF(AND(P143&lt;&gt;0,Q143&lt;&gt;0,E143&lt;&gt;0,F143&lt;&gt;0),(Q143/$Q$146)*(G143/F143-H143/F143),0)</f>
        <v>0</v>
      </c>
      <c r="M143" s="32" t="n">
        <f aca="false">IF(AND(P143&lt;&gt;0,Q143&lt;&gt;0,E143&lt;&gt;0,F143&lt;&gt;0),((Q143/$Q$146)-(P143/$P$146))*I143,0)</f>
        <v>0</v>
      </c>
      <c r="N143" s="32" t="n">
        <f aca="false">IF(AND(P143&lt;&gt;0,Q143&lt;&gt;0,E143&lt;&gt;0,F143&lt;&gt;0),0,(Q143/$Q$146)*J143-(P143/$P$146)*I143)</f>
        <v>0</v>
      </c>
      <c r="O143" s="32" t="n">
        <f aca="false">SUM(K143:N143)</f>
        <v>0</v>
      </c>
      <c r="P143" s="7" t="n">
        <f aca="false">SUMIFS(Vintage!$BQ$36:$BQ$127,Vintage!$C$36:$C$127,"RPA",Vintage!$D$36:$D$127,"Sayap")</f>
        <v>0</v>
      </c>
      <c r="Q143" s="7" t="n">
        <f aca="false">SUMIFS(Vintage!$AP$36:$AP$127,Vintage!$C$36:$C$127,"RPA",Vintage!$D$36:$D$127,"Sayap")</f>
        <v>0</v>
      </c>
      <c r="R143" s="7" t="n">
        <f aca="false">SUMIFS(Vintage!$BM$36:$BM$127,Vintage!$C$36:$C$127,"RPA",Vintage!$D$36:$D$127,"Sayap")</f>
        <v>0</v>
      </c>
      <c r="S143" s="7" t="n">
        <f aca="false">SUMIFS(Vintage!$AK$36:$AK$127,Vintage!$C$36:$C$127,"RPA",Vintage!$D$36:$D$127,"Sayap")</f>
        <v>0</v>
      </c>
    </row>
    <row r="144" customFormat="false" ht="15" hidden="false" customHeight="false" outlineLevel="0" collapsed="false">
      <c r="B144" s="6" t="s">
        <v>361</v>
      </c>
      <c r="C144" s="7" t="n">
        <f aca="false">SUMIFS(Vintage!$BH$36:$BH$127,Vintage!$C$36:$C$127,"RPA",Vintage!$D$36:$D$127,"TLP")</f>
        <v>0</v>
      </c>
      <c r="D144" s="7" t="n">
        <f aca="false">SUMIFS(Vintage!$AC$36:$AC$127,Vintage!$C$36:$C$127,"RPA",Vintage!$D$36:$D$127,"TLP")</f>
        <v>0</v>
      </c>
      <c r="E144" s="9" t="n">
        <f aca="false">IF(C144=0,0,P144/C144)</f>
        <v>0</v>
      </c>
      <c r="F144" s="9" t="n">
        <f aca="false">IF(D144=0,0,Q144/D144)</f>
        <v>0</v>
      </c>
      <c r="G144" s="9" t="n">
        <f aca="false">IF(C144=0,0,R144/C144)</f>
        <v>0</v>
      </c>
      <c r="H144" s="9" t="n">
        <f aca="false">IF(D144=0,0,S144/D144)</f>
        <v>0</v>
      </c>
      <c r="I144" s="21" t="n">
        <f aca="false">IF(P144=0,0,1-R144/P144)</f>
        <v>0</v>
      </c>
      <c r="J144" s="21" t="n">
        <f aca="false">IF(Q144=0,0,1-S144/Q144)</f>
        <v>0</v>
      </c>
      <c r="K144" s="32" t="n">
        <f aca="false">IF(AND(P144&lt;&gt;0,Q144&lt;&gt;0,E144&lt;&gt;0,F144&lt;&gt;0),(Q144/$Q$146)*(G144/E144-G144/F144),0)</f>
        <v>0</v>
      </c>
      <c r="L144" s="32" t="n">
        <f aca="false">IF(AND(P144&lt;&gt;0,Q144&lt;&gt;0,E144&lt;&gt;0,F144&lt;&gt;0),(Q144/$Q$146)*(G144/F144-H144/F144),0)</f>
        <v>0</v>
      </c>
      <c r="M144" s="32" t="n">
        <f aca="false">IF(AND(P144&lt;&gt;0,Q144&lt;&gt;0,E144&lt;&gt;0,F144&lt;&gt;0),((Q144/$Q$146)-(P144/$P$146))*I144,0)</f>
        <v>0</v>
      </c>
      <c r="N144" s="32" t="n">
        <f aca="false">IF(AND(P144&lt;&gt;0,Q144&lt;&gt;0,E144&lt;&gt;0,F144&lt;&gt;0),0,(Q144/$Q$146)*J144-(P144/$P$146)*I144)</f>
        <v>0</v>
      </c>
      <c r="O144" s="32" t="n">
        <f aca="false">SUM(K144:N144)</f>
        <v>0</v>
      </c>
      <c r="P144" s="7" t="n">
        <f aca="false">SUMIFS(Vintage!$BQ$36:$BQ$127,Vintage!$C$36:$C$127,"RPA",Vintage!$D$36:$D$127,"TLP")</f>
        <v>0</v>
      </c>
      <c r="Q144" s="7" t="n">
        <f aca="false">SUMIFS(Vintage!$AP$36:$AP$127,Vintage!$C$36:$C$127,"RPA",Vintage!$D$36:$D$127,"TLP")</f>
        <v>0</v>
      </c>
      <c r="R144" s="7" t="n">
        <f aca="false">SUMIFS(Vintage!$BM$36:$BM$127,Vintage!$C$36:$C$127,"RPA",Vintage!$D$36:$D$127,"TLP")</f>
        <v>0</v>
      </c>
      <c r="S144" s="7" t="n">
        <f aca="false">SUMIFS(Vintage!$AK$36:$AK$127,Vintage!$C$36:$C$127,"RPA",Vintage!$D$36:$D$127,"TLP")</f>
        <v>0</v>
      </c>
    </row>
    <row r="145" customFormat="false" ht="15" hidden="false" customHeight="false" outlineLevel="0" collapsed="false">
      <c r="B145" s="6" t="s">
        <v>253</v>
      </c>
      <c r="C145" s="7" t="n">
        <f aca="false">SUMIFS(Vintage!$BH$36:$BH$127,Vintage!$C$36:$C$127,"RPA",Vintage!$D$36:$D$127,"Usus")</f>
        <v>0</v>
      </c>
      <c r="D145" s="7" t="n">
        <f aca="false">SUMIFS(Vintage!$AC$36:$AC$127,Vintage!$C$36:$C$127,"RPA",Vintage!$D$36:$D$127,"Usus")</f>
        <v>831.52</v>
      </c>
      <c r="E145" s="9" t="n">
        <f aca="false">IF(C145=0,0,P145/C145)</f>
        <v>0</v>
      </c>
      <c r="F145" s="9" t="n">
        <f aca="false">IF(D145=0,0,Q145/D145)</f>
        <v>1500</v>
      </c>
      <c r="G145" s="9" t="n">
        <f aca="false">IF(C145=0,0,R145/C145)</f>
        <v>0</v>
      </c>
      <c r="H145" s="9" t="n">
        <f aca="false">IF(D145=0,0,S145/D145)</f>
        <v>3715.30181125587</v>
      </c>
      <c r="I145" s="21" t="n">
        <f aca="false">IF(P145=0,0,1-R145/P145)</f>
        <v>0</v>
      </c>
      <c r="J145" s="21" t="n">
        <f aca="false">IF(Q145=0,0,1-S145/Q145)</f>
        <v>-1.47686787417058</v>
      </c>
      <c r="K145" s="32" t="n">
        <f aca="false">IF(AND(P145&lt;&gt;0,Q145&lt;&gt;0,E145&lt;&gt;0,F145&lt;&gt;0),(Q145/$Q$146)*(G145/E145-G145/F145),0)</f>
        <v>0</v>
      </c>
      <c r="L145" s="32" t="n">
        <f aca="false">IF(AND(P145&lt;&gt;0,Q145&lt;&gt;0,E145&lt;&gt;0,F145&lt;&gt;0),(Q145/$Q$146)*(G145/F145-H145/F145),0)</f>
        <v>0</v>
      </c>
      <c r="M145" s="32" t="n">
        <f aca="false">IF(AND(P145&lt;&gt;0,Q145&lt;&gt;0,E145&lt;&gt;0,F145&lt;&gt;0),((Q145/$Q$146)-(P145/$P$146))*I145,0)</f>
        <v>0</v>
      </c>
      <c r="N145" s="32" t="n">
        <f aca="false">IF(AND(P145&lt;&gt;0,Q145&lt;&gt;0,E145&lt;&gt;0,F145&lt;&gt;0),0,(Q145/$Q$146)*J145-(P145/$P$146)*I145)</f>
        <v>-0.00105234995139119</v>
      </c>
      <c r="O145" s="32" t="n">
        <f aca="false">SUM(K145:N145)</f>
        <v>-0.00105234995139119</v>
      </c>
      <c r="P145" s="7" t="n">
        <f aca="false">SUMIFS(Vintage!$BQ$36:$BQ$127,Vintage!$C$36:$C$127,"RPA",Vintage!$D$36:$D$127,"Usus")</f>
        <v>0</v>
      </c>
      <c r="Q145" s="7" t="n">
        <f aca="false">SUMIFS(Vintage!$AP$36:$AP$127,Vintage!$C$36:$C$127,"RPA",Vintage!$D$36:$D$127,"Usus")</f>
        <v>1247280</v>
      </c>
      <c r="R145" s="7" t="n">
        <f aca="false">SUMIFS(Vintage!$BM$36:$BM$127,Vintage!$C$36:$C$127,"RPA",Vintage!$D$36:$D$127,"Usus")</f>
        <v>0</v>
      </c>
      <c r="S145" s="7" t="n">
        <f aca="false">SUMIFS(Vintage!$AK$36:$AK$127,Vintage!$C$36:$C$127,"RPA",Vintage!$D$36:$D$127,"Usus")</f>
        <v>3089347.76209548</v>
      </c>
    </row>
    <row r="146" customFormat="false" ht="15" hidden="false" customHeight="false" outlineLevel="0" collapsed="false">
      <c r="B146" s="25" t="s">
        <v>362</v>
      </c>
      <c r="C146" s="26" t="n">
        <f aca="false">SUM(C133:C145)</f>
        <v>566.3</v>
      </c>
      <c r="D146" s="26" t="n">
        <f aca="false">SUM(D133:D145)</f>
        <v>56796.15</v>
      </c>
      <c r="E146" s="26" t="n">
        <f aca="false">IF(C146=0,0,P146/C146)</f>
        <v>5135.8323557574</v>
      </c>
      <c r="F146" s="26" t="n">
        <f aca="false">IF(D146=0,0,Q146/D146)</f>
        <v>30819.5660369391</v>
      </c>
      <c r="G146" s="26" t="n">
        <f aca="false">IF(C146=0,0,R146/C146)</f>
        <v>9434.13066047957</v>
      </c>
      <c r="H146" s="26" t="n">
        <f aca="false">IF(D146=0,0,S146/D146)</f>
        <v>32864.429440756</v>
      </c>
      <c r="I146" s="27" t="n">
        <f aca="false">IF(P146=0,0,1-R146/P146)</f>
        <v>-0.836923405395753</v>
      </c>
      <c r="J146" s="27" t="n">
        <f aca="false">IF(Q146=0,0,1-S146/Q146)</f>
        <v>-0.0663495196968711</v>
      </c>
      <c r="K146" s="34" t="n">
        <f aca="false">SUM(K133:K145)</f>
        <v>0.18622549156803</v>
      </c>
      <c r="L146" s="34" t="n">
        <f aca="false">SUM(L133:L145)</f>
        <v>-0.337873047512329</v>
      </c>
      <c r="M146" s="34" t="n">
        <f aca="false">SUM(M133:M145)</f>
        <v>0.122335137408331</v>
      </c>
      <c r="N146" s="34" t="n">
        <f aca="false">SUM(N133:N145)</f>
        <v>0.79988630423485</v>
      </c>
      <c r="O146" s="34" t="n">
        <f aca="false">SUM(O133:O145)</f>
        <v>0.770573885698882</v>
      </c>
      <c r="P146" s="26" t="n">
        <f aca="false">SUM(P133:P145)</f>
        <v>2908421.86306542</v>
      </c>
      <c r="Q146" s="26" t="n">
        <f aca="false">SUM(Q133:Q145)</f>
        <v>1750432695.5689</v>
      </c>
      <c r="R146" s="26" t="n">
        <f aca="false">SUM(R133:R145)</f>
        <v>5342548.19302958</v>
      </c>
      <c r="S146" s="26" t="n">
        <f aca="false">SUM(S133:S145)</f>
        <v>1866573064.18159</v>
      </c>
    </row>
    <row r="147" customFormat="false" ht="15" hidden="false" customHeight="false" outlineLevel="0" collapsed="false">
      <c r="B147" s="12" t="s">
        <v>363</v>
      </c>
      <c r="O147" s="32" t="n">
        <f aca="false">ROUND(O146-D125,8)</f>
        <v>0</v>
      </c>
    </row>
    <row r="148" customFormat="false" ht="15" hidden="false" customHeight="false" outlineLevel="0" collapsed="false">
      <c r="B148" s="28" t="s">
        <v>364</v>
      </c>
    </row>
    <row r="149" customFormat="false" ht="15" hidden="false" customHeight="false" outlineLevel="0" collapsed="false">
      <c r="B149" s="28" t="s">
        <v>365</v>
      </c>
    </row>
    <row r="152" customFormat="false" ht="15" hidden="false" customHeight="false" outlineLevel="0" collapsed="false">
      <c r="B152" s="18" t="s">
        <v>366</v>
      </c>
    </row>
    <row r="153" customFormat="false" ht="15" hidden="false" customHeight="false" outlineLevel="0" collapsed="false">
      <c r="B153" s="28" t="s">
        <v>367</v>
      </c>
    </row>
    <row r="154" customFormat="false" ht="19.5" hidden="false" customHeight="true" outlineLevel="0" collapsed="false">
      <c r="B154" s="5" t="s">
        <v>308</v>
      </c>
      <c r="C154" s="5"/>
      <c r="D154" s="5" t="s">
        <v>184</v>
      </c>
      <c r="E154" s="5" t="s">
        <v>185</v>
      </c>
      <c r="F154" s="5" t="s">
        <v>309</v>
      </c>
      <c r="G154" s="5"/>
      <c r="H154" s="5"/>
      <c r="I154" s="5"/>
      <c r="J154" s="5"/>
      <c r="K154" s="5"/>
      <c r="L154" s="5"/>
      <c r="M154" s="5"/>
      <c r="N154" s="5" t="s">
        <v>310</v>
      </c>
    </row>
    <row r="155" customFormat="false" ht="15" hidden="false" customHeight="false" outlineLevel="0" collapsed="false">
      <c r="B155" s="11" t="s">
        <v>311</v>
      </c>
      <c r="D155" s="7" t="n">
        <f aca="false">'Segment GP'!H7</f>
        <v>2876425788.2</v>
      </c>
      <c r="E155" s="7" t="n">
        <f aca="false">'Segment GP'!M7</f>
        <v>5670073912.68658</v>
      </c>
      <c r="F155" s="9" t="n">
        <f aca="false">E155-D155</f>
        <v>2793648124.48658</v>
      </c>
      <c r="N155" s="12" t="s">
        <v>96</v>
      </c>
    </row>
    <row r="156" customFormat="false" ht="15" hidden="false" customHeight="false" outlineLevel="0" collapsed="false">
      <c r="B156" s="6" t="s">
        <v>368</v>
      </c>
      <c r="D156" s="7" t="n">
        <f aca="false">Vintage!I26</f>
        <v>1335119553.79825</v>
      </c>
      <c r="E156" s="7" t="n">
        <f aca="false">Vintage!I14</f>
        <v>2952645743.83725</v>
      </c>
      <c r="F156" s="9" t="n">
        <f aca="false">E156-D156</f>
        <v>1617526190.03899</v>
      </c>
      <c r="N156" s="12" t="s">
        <v>313</v>
      </c>
    </row>
    <row r="157" customFormat="false" ht="15" hidden="false" customHeight="false" outlineLevel="0" collapsed="false">
      <c r="B157" s="6" t="s">
        <v>314</v>
      </c>
      <c r="D157" s="7" t="n">
        <f aca="false">Vintage!I25</f>
        <v>1541306234.40175</v>
      </c>
      <c r="E157" s="7" t="n">
        <f aca="false">Vintage!I12+Vintage!I13</f>
        <v>2626901668.84933</v>
      </c>
      <c r="F157" s="9" t="n">
        <f aca="false">E157-D157</f>
        <v>1085595434.44758</v>
      </c>
      <c r="N157" s="12" t="s">
        <v>315</v>
      </c>
    </row>
    <row r="158" customFormat="false" ht="15" hidden="false" customHeight="false" outlineLevel="0" collapsed="false">
      <c r="B158" s="6" t="s">
        <v>316</v>
      </c>
      <c r="D158" s="9" t="n">
        <f aca="false">D155-D156-D157</f>
        <v>0</v>
      </c>
      <c r="E158" s="9" t="n">
        <f aca="false">E155-E156-E157</f>
        <v>90526500</v>
      </c>
      <c r="F158" s="9" t="n">
        <f aca="false">E158-D158</f>
        <v>90526500</v>
      </c>
      <c r="N158" s="12"/>
    </row>
    <row r="159" customFormat="false" ht="15" hidden="false" customHeight="false" outlineLevel="0" collapsed="false">
      <c r="B159" s="6" t="s">
        <v>369</v>
      </c>
      <c r="D159" s="7" t="n">
        <f aca="false">Vintage!J26+Vintage!J27</f>
        <v>1096371431.32376</v>
      </c>
      <c r="E159" s="7" t="n">
        <f aca="false">Vintage!J14+Vintage!J15</f>
        <v>2870081128.8234</v>
      </c>
      <c r="F159" s="9" t="n">
        <f aca="false">E159-D159</f>
        <v>1773709697.49964</v>
      </c>
      <c r="N159" s="12" t="s">
        <v>318</v>
      </c>
    </row>
    <row r="160" customFormat="false" ht="15" hidden="false" customHeight="false" outlineLevel="0" collapsed="false">
      <c r="B160" s="6" t="s">
        <v>319</v>
      </c>
      <c r="D160" s="7" t="n">
        <f aca="false">Vintage!J25</f>
        <v>1286663871.29943</v>
      </c>
      <c r="E160" s="7" t="n">
        <f aca="false">Vintage!J12+Vintage!J13</f>
        <v>2220875392.22806</v>
      </c>
      <c r="F160" s="9" t="n">
        <f aca="false">E160-D160</f>
        <v>934211520.92863</v>
      </c>
      <c r="N160" s="12" t="s">
        <v>318</v>
      </c>
    </row>
    <row r="161" customFormat="false" ht="15" hidden="false" customHeight="false" outlineLevel="0" collapsed="false">
      <c r="B161" s="6" t="s">
        <v>320</v>
      </c>
      <c r="D161" s="7" t="n">
        <f aca="false">-'Segment GP'!H14-D159-D160</f>
        <v>9218002.23681045</v>
      </c>
      <c r="E161" s="7" t="n">
        <f aca="false">-'Segment GP'!M14-E159-E160</f>
        <v>109171161.608867</v>
      </c>
      <c r="F161" s="9" t="n">
        <f aca="false">E161-D161</f>
        <v>99953159.3720563</v>
      </c>
      <c r="N161" s="12" t="s">
        <v>321</v>
      </c>
    </row>
    <row r="162" customFormat="false" ht="15" hidden="false" customHeight="false" outlineLevel="0" collapsed="false">
      <c r="B162" s="6" t="s">
        <v>19</v>
      </c>
      <c r="D162" s="7" t="n">
        <f aca="false">-'Segment GP'!H28</f>
        <v>-0</v>
      </c>
      <c r="E162" s="7" t="n">
        <f aca="false">-'Segment GP'!M28</f>
        <v>-0</v>
      </c>
      <c r="F162" s="9" t="n">
        <f aca="false">E162-D162</f>
        <v>0</v>
      </c>
      <c r="N162" s="12" t="s">
        <v>322</v>
      </c>
    </row>
    <row r="163" customFormat="false" ht="15" hidden="false" customHeight="false" outlineLevel="0" collapsed="false">
      <c r="B163" s="6" t="s">
        <v>323</v>
      </c>
      <c r="D163" s="21" t="n">
        <f aca="false">IF(D155=0,0,D157/D155)</f>
        <v>0.535840778762543</v>
      </c>
      <c r="E163" s="21" t="n">
        <f aca="false">IF(E155=0,0,E157/E155)</f>
        <v>0.463292314932921</v>
      </c>
      <c r="F163" s="14" t="n">
        <f aca="false">(E163-D163)*100</f>
        <v>-7.25484638296214</v>
      </c>
      <c r="N163" s="12"/>
    </row>
    <row r="164" customFormat="false" ht="15" hidden="false" customHeight="false" outlineLevel="0" collapsed="false">
      <c r="B164" s="6" t="s">
        <v>324</v>
      </c>
      <c r="D164" s="21" t="n">
        <f aca="false">IF(D156=0,0,(D156-D159)/D156)</f>
        <v>0.178821530847395</v>
      </c>
      <c r="E164" s="21" t="n">
        <f aca="false">IF(E156=0,0,(E156-E159)/E156)</f>
        <v>0.0279629261946432</v>
      </c>
      <c r="F164" s="14" t="n">
        <f aca="false">(E164-D164)*100</f>
        <v>-15.0858604652751</v>
      </c>
      <c r="N164" s="12"/>
    </row>
    <row r="165" customFormat="false" ht="15" hidden="false" customHeight="false" outlineLevel="0" collapsed="false">
      <c r="B165" s="6" t="s">
        <v>325</v>
      </c>
      <c r="D165" s="21" t="n">
        <f aca="false">IF(D157=0,0,(D157-D160)/D157)</f>
        <v>0.165212050284838</v>
      </c>
      <c r="E165" s="21" t="n">
        <f aca="false">IF(E157=0,0,(E157-E160)/E157)</f>
        <v>0.154564703139087</v>
      </c>
      <c r="F165" s="14" t="n">
        <f aca="false">(E165-D165)*100</f>
        <v>-1.06473471457515</v>
      </c>
      <c r="N165" s="12"/>
    </row>
    <row r="166" customFormat="false" ht="15" hidden="false" customHeight="false" outlineLevel="0" collapsed="false">
      <c r="B166" s="29" t="s">
        <v>326</v>
      </c>
      <c r="D166" s="30" t="n">
        <f aca="false">'Segment GP'!H36</f>
        <v>0.168324343818021</v>
      </c>
      <c r="E166" s="30" t="n">
        <f aca="false">'Segment GP'!M36</f>
        <v>0.0828818525583525</v>
      </c>
      <c r="F166" s="31" t="n">
        <f aca="false">(E166-D166)*100</f>
        <v>-8.54424912596688</v>
      </c>
      <c r="N166" s="12" t="s">
        <v>96</v>
      </c>
    </row>
    <row r="168" customFormat="false" ht="19.5" hidden="false" customHeight="true" outlineLevel="0" collapsed="false">
      <c r="B168" s="5" t="s">
        <v>327</v>
      </c>
      <c r="C168" s="5"/>
      <c r="D168" s="5" t="s">
        <v>328</v>
      </c>
      <c r="E168" s="5" t="s">
        <v>329</v>
      </c>
      <c r="F168" s="5"/>
      <c r="G168" s="5"/>
      <c r="H168" s="5"/>
      <c r="I168" s="5"/>
      <c r="J168" s="5"/>
      <c r="K168" s="5"/>
      <c r="L168" s="5"/>
      <c r="M168" s="5"/>
      <c r="N168" s="5" t="s">
        <v>330</v>
      </c>
    </row>
    <row r="169" customFormat="false" ht="15" hidden="false" customHeight="false" outlineLevel="0" collapsed="false">
      <c r="B169" s="11" t="s">
        <v>331</v>
      </c>
      <c r="D169" s="32" t="n">
        <f aca="false">D166</f>
        <v>0.168324343818021</v>
      </c>
      <c r="E169" s="32" t="n">
        <f aca="false">D169</f>
        <v>0.168324343818021</v>
      </c>
      <c r="N169" s="12" t="s">
        <v>96</v>
      </c>
    </row>
    <row r="170" customFormat="false" ht="15" hidden="false" customHeight="false" outlineLevel="0" collapsed="false">
      <c r="B170" s="6" t="s">
        <v>370</v>
      </c>
      <c r="D170" s="32" t="n">
        <f aca="false">E164-D164</f>
        <v>-0.150858604652751</v>
      </c>
      <c r="E170" s="32" t="n">
        <f aca="false">E169+D170</f>
        <v>0.0174657391652699</v>
      </c>
      <c r="N170" s="12" t="s">
        <v>333</v>
      </c>
    </row>
    <row r="171" customFormat="false" ht="15" hidden="false" customHeight="false" outlineLevel="0" collapsed="false">
      <c r="B171" s="6" t="s">
        <v>334</v>
      </c>
      <c r="D171" s="32" t="n">
        <f aca="false">E163*(E165-E164)-D163*(D165-D164)</f>
        <v>0.0659461449784065</v>
      </c>
      <c r="E171" s="32" t="n">
        <f aca="false">E170+D171</f>
        <v>0.0834118841436764</v>
      </c>
      <c r="N171" s="12" t="s">
        <v>335</v>
      </c>
    </row>
    <row r="172" customFormat="false" ht="15" hidden="false" customHeight="false" outlineLevel="0" collapsed="false">
      <c r="B172" s="6" t="s">
        <v>336</v>
      </c>
      <c r="D172" s="32" t="n">
        <f aca="false">((E158-E161)/E155-E158/E155*E164)-((D158-D161)/D155-D158/D155*D164)</f>
        <v>-0.000530031585323815</v>
      </c>
      <c r="E172" s="32" t="n">
        <f aca="false">E171+D172</f>
        <v>0.0828818525583526</v>
      </c>
      <c r="N172" s="12" t="s">
        <v>337</v>
      </c>
    </row>
    <row r="173" customFormat="false" ht="15" hidden="false" customHeight="false" outlineLevel="0" collapsed="false">
      <c r="B173" s="6" t="s">
        <v>338</v>
      </c>
      <c r="D173" s="32" t="n">
        <f aca="false">-(E162/E155-D162/D155)</f>
        <v>-0</v>
      </c>
      <c r="E173" s="32" t="n">
        <f aca="false">E172+D173</f>
        <v>0.0828818525583526</v>
      </c>
      <c r="N173" s="12" t="s">
        <v>339</v>
      </c>
    </row>
    <row r="174" customFormat="false" ht="15" hidden="false" customHeight="false" outlineLevel="0" collapsed="false">
      <c r="B174" s="29" t="s">
        <v>340</v>
      </c>
      <c r="D174" s="33" t="n">
        <f aca="false">SUM(D169:D173)</f>
        <v>0.0828818525583526</v>
      </c>
      <c r="E174" s="33" t="n">
        <f aca="false">D174</f>
        <v>0.0828818525583526</v>
      </c>
    </row>
    <row r="175" customFormat="false" ht="15" hidden="false" customHeight="false" outlineLevel="0" collapsed="false">
      <c r="B175" s="12" t="s">
        <v>341</v>
      </c>
      <c r="D175" s="32" t="n">
        <f aca="false">ROUND(D174-E166,8)</f>
        <v>0</v>
      </c>
    </row>
    <row r="177" customFormat="false" ht="39.75" hidden="false" customHeight="true" outlineLevel="0" collapsed="false">
      <c r="B177" s="5" t="s">
        <v>371</v>
      </c>
      <c r="C177" s="5" t="s">
        <v>343</v>
      </c>
      <c r="D177" s="5" t="s">
        <v>344</v>
      </c>
      <c r="E177" s="5" t="s">
        <v>345</v>
      </c>
      <c r="F177" s="5" t="s">
        <v>346</v>
      </c>
      <c r="G177" s="5" t="s">
        <v>347</v>
      </c>
      <c r="H177" s="5" t="s">
        <v>348</v>
      </c>
      <c r="I177" s="5" t="s">
        <v>349</v>
      </c>
      <c r="J177" s="5" t="s">
        <v>350</v>
      </c>
      <c r="K177" s="5" t="s">
        <v>351</v>
      </c>
      <c r="L177" s="5" t="s">
        <v>352</v>
      </c>
      <c r="M177" s="5" t="s">
        <v>353</v>
      </c>
      <c r="N177" s="5" t="s">
        <v>354</v>
      </c>
      <c r="O177" s="5" t="s">
        <v>355</v>
      </c>
      <c r="P177" s="5" t="s">
        <v>356</v>
      </c>
      <c r="Q177" s="5" t="s">
        <v>357</v>
      </c>
      <c r="R177" s="5" t="s">
        <v>358</v>
      </c>
      <c r="S177" s="5" t="s">
        <v>359</v>
      </c>
    </row>
    <row r="178" customFormat="false" ht="15" hidden="false" customHeight="false" outlineLevel="0" collapsed="false">
      <c r="B178" s="6" t="s">
        <v>236</v>
      </c>
      <c r="C178" s="7" t="n">
        <f aca="false">SUMIFS(Vintage!$BH$36:$BH$127,Vintage!$C$36:$C$127,"Trading",Vintage!$D$36:$D$127,"BLD")</f>
        <v>26075.94</v>
      </c>
      <c r="D178" s="7" t="n">
        <f aca="false">SUMIFS(Vintage!$AC$36:$AC$127,Vintage!$C$36:$C$127,"Trading",Vintage!$D$36:$D$127,"BLD")</f>
        <v>10457.36</v>
      </c>
      <c r="E178" s="9" t="n">
        <f aca="false">IF(C178=0,0,P178/C178)</f>
        <v>37614.9332946051</v>
      </c>
      <c r="F178" s="9" t="n">
        <f aca="false">IF(D178=0,0,Q178/D178)</f>
        <v>42083.4370417394</v>
      </c>
      <c r="G178" s="9" t="n">
        <f aca="false">IF(C178=0,0,R178/C178)</f>
        <v>30623.8754518944</v>
      </c>
      <c r="H178" s="9" t="n">
        <f aca="false">IF(D178=0,0,S178/D178)</f>
        <v>39180.6780736598</v>
      </c>
      <c r="I178" s="21" t="n">
        <f aca="false">IF(P178=0,0,1-R178/P178)</f>
        <v>0.185858573454213</v>
      </c>
      <c r="J178" s="21" t="n">
        <f aca="false">IF(Q178=0,0,1-S178/Q178)</f>
        <v>0.0689762807443818</v>
      </c>
      <c r="K178" s="32" t="n">
        <f aca="false">IF(AND(P178&lt;&gt;0,Q178&lt;&gt;0,E178&lt;&gt;0,F178&lt;&gt;0),(Q178/$Q$184)*(G178/E178-G178/F178),0)</f>
        <v>0.0128846520698852</v>
      </c>
      <c r="L178" s="32" t="n">
        <f aca="false">IF(AND(P178&lt;&gt;0,Q178&lt;&gt;0,E178&lt;&gt;0,F178&lt;&gt;0),(Q178/$Q$184)*(G178/F178-H178/F178),0)</f>
        <v>-0.0303055541463144</v>
      </c>
      <c r="M178" s="32" t="n">
        <f aca="false">IF(AND(P178&lt;&gt;0,Q178&lt;&gt;0,E178&lt;&gt;0,F178&lt;&gt;0),((Q178/$Q$184)-(P178/$P$184))*I178,0)</f>
        <v>-0.108839306028192</v>
      </c>
      <c r="N178" s="32" t="n">
        <f aca="false">IF(AND(P178&lt;&gt;0,Q178&lt;&gt;0,E178&lt;&gt;0,F178&lt;&gt;0),0,(Q178/$Q$184)*J178-(P178/$P$184)*I178)</f>
        <v>0</v>
      </c>
      <c r="O178" s="32" t="n">
        <f aca="false">SUM(K178:N178)</f>
        <v>-0.126260208104621</v>
      </c>
      <c r="P178" s="7" t="n">
        <f aca="false">SUMIFS(Vintage!$BQ$36:$BQ$127,Vintage!$C$36:$C$127,"Trading",Vintage!$D$36:$D$127,"BLD")</f>
        <v>980844743.694125</v>
      </c>
      <c r="Q178" s="7" t="n">
        <f aca="false">SUMIFS(Vintage!$AP$36:$AP$127,Vintage!$C$36:$C$127,"Trading",Vintage!$D$36:$D$127,"BLD")</f>
        <v>440081651.182803</v>
      </c>
      <c r="R178" s="7" t="n">
        <f aca="false">SUMIFS(Vintage!$BM$36:$BM$127,Vintage!$C$36:$C$127,"Trading",Vintage!$D$36:$D$127,"BLD")</f>
        <v>798546338.851072</v>
      </c>
      <c r="S178" s="7" t="n">
        <f aca="false">SUMIFS(Vintage!$AK$36:$AK$127,Vintage!$C$36:$C$127,"Trading",Vintage!$D$36:$D$127,"BLD")</f>
        <v>409726455.660367</v>
      </c>
    </row>
    <row r="179" customFormat="false" ht="15" hidden="false" customHeight="false" outlineLevel="0" collapsed="false">
      <c r="B179" s="6" t="s">
        <v>239</v>
      </c>
      <c r="C179" s="7" t="n">
        <f aca="false">SUMIFS(Vintage!$BH$36:$BH$127,Vintage!$C$36:$C$127,"Trading",Vintage!$D$36:$D$127,"BLP")</f>
        <v>9598.83</v>
      </c>
      <c r="D179" s="7" t="n">
        <f aca="false">SUMIFS(Vintage!$AC$36:$AC$127,Vintage!$C$36:$C$127,"Trading",Vintage!$D$36:$D$127,"BLP")</f>
        <v>18643.65</v>
      </c>
      <c r="E179" s="9" t="n">
        <f aca="false">IF(C179=0,0,P179/C179)</f>
        <v>33393.0078045061</v>
      </c>
      <c r="F179" s="9" t="n">
        <f aca="false">IF(D179=0,0,Q179/D179)</f>
        <v>43102.6709890834</v>
      </c>
      <c r="G179" s="9" t="n">
        <f aca="false">IF(C179=0,0,R179/C179)</f>
        <v>28336.8056641429</v>
      </c>
      <c r="H179" s="9" t="n">
        <f aca="false">IF(D179=0,0,S179/D179)</f>
        <v>40757.0391501571</v>
      </c>
      <c r="I179" s="21" t="n">
        <f aca="false">IF(P179=0,0,1-R179/P179)</f>
        <v>0.151414995916625</v>
      </c>
      <c r="J179" s="21" t="n">
        <f aca="false">IF(Q179=0,0,1-S179/Q179)</f>
        <v>0.0544196400153577</v>
      </c>
      <c r="K179" s="32" t="n">
        <f aca="false">IF(AND(P179&lt;&gt;0,Q179&lt;&gt;0,E179&lt;&gt;0,F179&lt;&gt;0),(Q179/$Q$184)*(G179/E179-G179/F179),0)</f>
        <v>0.052025841720433</v>
      </c>
      <c r="L179" s="32" t="n">
        <f aca="false">IF(AND(P179&lt;&gt;0,Q179&lt;&gt;0,E179&lt;&gt;0,F179&lt;&gt;0),(Q179/$Q$184)*(G179/F179-H179/F179),0)</f>
        <v>-0.0784240664545809</v>
      </c>
      <c r="M179" s="32" t="n">
        <f aca="false">IF(AND(P179&lt;&gt;0,Q179&lt;&gt;0,E179&lt;&gt;0,F179&lt;&gt;0),((Q179/$Q$184)-(P179/$P$184))*I179,0)</f>
        <v>0.00485753666216592</v>
      </c>
      <c r="N179" s="32" t="n">
        <f aca="false">IF(AND(P179&lt;&gt;0,Q179&lt;&gt;0,E179&lt;&gt;0,F179&lt;&gt;0),0,(Q179/$Q$184)*J179-(P179/$P$184)*I179)</f>
        <v>0</v>
      </c>
      <c r="O179" s="32" t="n">
        <f aca="false">SUM(K179:N179)</f>
        <v>-0.021540688071982</v>
      </c>
      <c r="P179" s="7" t="n">
        <f aca="false">SUMIFS(Vintage!$BQ$36:$BQ$127,Vintage!$C$36:$C$127,"Trading",Vintage!$D$36:$D$127,"BLP")</f>
        <v>320533805.104127</v>
      </c>
      <c r="Q179" s="7" t="n">
        <f aca="false">SUMIFS(Vintage!$AP$36:$AP$127,Vintage!$C$36:$C$127,"Trading",Vintage!$D$36:$D$127,"BLP")</f>
        <v>803591111.985625</v>
      </c>
      <c r="R179" s="7" t="n">
        <f aca="false">SUMIFS(Vintage!$BM$36:$BM$127,Vintage!$C$36:$C$127,"Trading",Vintage!$D$36:$D$127,"BLP")</f>
        <v>272000180.313145</v>
      </c>
      <c r="S179" s="7" t="n">
        <f aca="false">SUMIFS(Vintage!$AK$36:$AK$127,Vintage!$C$36:$C$127,"Trading",Vintage!$D$36:$D$127,"BLP")</f>
        <v>759859972.951826</v>
      </c>
    </row>
    <row r="180" customFormat="false" ht="15" hidden="false" customHeight="false" outlineLevel="0" collapsed="false">
      <c r="B180" s="6" t="s">
        <v>245</v>
      </c>
      <c r="C180" s="7" t="n">
        <f aca="false">SUMIFS(Vintage!$BH$36:$BH$127,Vintage!$C$36:$C$127,"Trading",Vintage!$D$36:$D$127,"KRK (Kerangka)")</f>
        <v>5789.56</v>
      </c>
      <c r="D180" s="7" t="n">
        <f aca="false">SUMIFS(Vintage!$AC$36:$AC$127,Vintage!$C$36:$C$127,"Trading",Vintage!$D$36:$D$127,"KRK (Kerangka)")</f>
        <v>10699.46</v>
      </c>
      <c r="E180" s="9" t="n">
        <f aca="false">IF(C180=0,0,P180/C180)</f>
        <v>5827.90488396355</v>
      </c>
      <c r="F180" s="9" t="n">
        <f aca="false">IF(D180=0,0,Q180/D180)</f>
        <v>10903.3251499877</v>
      </c>
      <c r="G180" s="9" t="n">
        <f aca="false">IF(C180=0,0,R180/C180)</f>
        <v>4460.60014224591</v>
      </c>
      <c r="H180" s="9" t="n">
        <f aca="false">IF(D180=0,0,S180/D180)</f>
        <v>10310.8720203527</v>
      </c>
      <c r="I180" s="21" t="n">
        <f aca="false">IF(P180=0,0,1-R180/P180)</f>
        <v>0.234613427799758</v>
      </c>
      <c r="J180" s="21" t="n">
        <f aca="false">IF(Q180=0,0,1-S180/Q180)</f>
        <v>0.054336922130181</v>
      </c>
      <c r="K180" s="32" t="n">
        <f aca="false">IF(AND(P180&lt;&gt;0,Q180&lt;&gt;0,E180&lt;&gt;0,F180&lt;&gt;0),(Q180/$Q$184)*(G180/E180-G180/F180),0)</f>
        <v>0.0140767813185685</v>
      </c>
      <c r="L180" s="32" t="n">
        <f aca="false">IF(AND(P180&lt;&gt;0,Q180&lt;&gt;0,E180&lt;&gt;0,F180&lt;&gt;0),(Q180/$Q$184)*(G180/F180-H180/F180),0)</f>
        <v>-0.0211995462305549</v>
      </c>
      <c r="M180" s="32" t="n">
        <f aca="false">IF(AND(P180&lt;&gt;0,Q180&lt;&gt;0,E180&lt;&gt;0,F180&lt;&gt;0),((Q180/$Q$184)-(P180/$P$184))*I180,0)</f>
        <v>0.00334050222892893</v>
      </c>
      <c r="N180" s="32" t="n">
        <f aca="false">IF(AND(P180&lt;&gt;0,Q180&lt;&gt;0,E180&lt;&gt;0,F180&lt;&gt;0),0,(Q180/$Q$184)*J180-(P180/$P$184)*I180)</f>
        <v>0</v>
      </c>
      <c r="O180" s="32" t="n">
        <f aca="false">SUM(K180:N180)</f>
        <v>-0.00378226268305743</v>
      </c>
      <c r="P180" s="7" t="n">
        <f aca="false">SUMIFS(Vintage!$BQ$36:$BQ$127,Vintage!$C$36:$C$127,"Trading",Vintage!$D$36:$D$127,"KRK (Kerangka)")</f>
        <v>33741005</v>
      </c>
      <c r="Q180" s="7" t="n">
        <f aca="false">SUMIFS(Vintage!$AP$36:$AP$127,Vintage!$C$36:$C$127,"Trading",Vintage!$D$36:$D$127,"KRK (Kerangka)")</f>
        <v>116659691.309287</v>
      </c>
      <c r="R180" s="7" t="n">
        <f aca="false">SUMIFS(Vintage!$BM$36:$BM$127,Vintage!$C$36:$C$127,"Trading",Vintage!$D$36:$D$127,"KRK (Kerangka)")</f>
        <v>25824912.1595412</v>
      </c>
      <c r="S180" s="7" t="n">
        <f aca="false">SUMIFS(Vintage!$AK$36:$AK$127,Vintage!$C$36:$C$127,"Trading",Vintage!$D$36:$D$127,"KRK (Kerangka)")</f>
        <v>110320762.746883</v>
      </c>
    </row>
    <row r="181" customFormat="false" ht="15" hidden="false" customHeight="false" outlineLevel="0" collapsed="false">
      <c r="B181" s="6" t="s">
        <v>246</v>
      </c>
      <c r="C181" s="7" t="n">
        <f aca="false">SUMIFS(Vintage!$BH$36:$BH$127,Vintage!$C$36:$C$127,"Trading",Vintage!$D$36:$D$127,"Karkas")</f>
        <v>0</v>
      </c>
      <c r="D181" s="7" t="n">
        <f aca="false">SUMIFS(Vintage!$AC$36:$AC$127,Vintage!$C$36:$C$127,"Trading",Vintage!$D$36:$D$127,"Karkas")</f>
        <v>50903.73</v>
      </c>
      <c r="E181" s="9" t="n">
        <f aca="false">IF(C181=0,0,P181/C181)</f>
        <v>0</v>
      </c>
      <c r="F181" s="9" t="n">
        <f aca="false">IF(D181=0,0,Q181/D181)</f>
        <v>31098.1786474102</v>
      </c>
      <c r="G181" s="9" t="n">
        <f aca="false">IF(C181=0,0,R181/C181)</f>
        <v>0</v>
      </c>
      <c r="H181" s="9" t="n">
        <f aca="false">IF(D181=0,0,S181/D181)</f>
        <v>31070.1023694013</v>
      </c>
      <c r="I181" s="21" t="n">
        <f aca="false">IF(P181=0,0,1-R181/P181)</f>
        <v>0</v>
      </c>
      <c r="J181" s="21" t="n">
        <f aca="false">IF(Q181=0,0,1-S181/Q181)</f>
        <v>0.000902827086022295</v>
      </c>
      <c r="K181" s="32" t="n">
        <f aca="false">IF(AND(P181&lt;&gt;0,Q181&lt;&gt;0,E181&lt;&gt;0,F181&lt;&gt;0),(Q181/$Q$184)*(G181/E181-G181/F181),0)</f>
        <v>0</v>
      </c>
      <c r="L181" s="32" t="n">
        <f aca="false">IF(AND(P181&lt;&gt;0,Q181&lt;&gt;0,E181&lt;&gt;0,F181&lt;&gt;0),(Q181/$Q$184)*(G181/F181-H181/F181),0)</f>
        <v>0</v>
      </c>
      <c r="M181" s="32" t="n">
        <f aca="false">IF(AND(P181&lt;&gt;0,Q181&lt;&gt;0,E181&lt;&gt;0,F181&lt;&gt;0),((Q181/$Q$184)-(P181/$P$184))*I181,0)</f>
        <v>0</v>
      </c>
      <c r="N181" s="32" t="n">
        <f aca="false">IF(AND(P181&lt;&gt;0,Q181&lt;&gt;0,E181&lt;&gt;0,F181&lt;&gt;0),0,(Q181/$Q$184)*J181-(P181/$P$184)*I181)</f>
        <v>0.000484036148986051</v>
      </c>
      <c r="O181" s="32" t="n">
        <f aca="false">SUM(K181:N181)</f>
        <v>0.000484036148986051</v>
      </c>
      <c r="P181" s="7" t="n">
        <f aca="false">SUMIFS(Vintage!$BQ$36:$BQ$127,Vintage!$C$36:$C$127,"Trading",Vintage!$D$36:$D$127,"Karkas")</f>
        <v>0</v>
      </c>
      <c r="Q181" s="7" t="n">
        <f aca="false">SUMIFS(Vintage!$AP$36:$AP$127,Vintage!$C$36:$C$127,"Trading",Vintage!$D$36:$D$127,"Karkas")</f>
        <v>1583013289.35953</v>
      </c>
      <c r="R181" s="7" t="n">
        <f aca="false">SUMIFS(Vintage!$BM$36:$BM$127,Vintage!$C$36:$C$127,"Trading",Vintage!$D$36:$D$127,"Karkas")</f>
        <v>0</v>
      </c>
      <c r="S181" s="7" t="n">
        <f aca="false">SUMIFS(Vintage!$AK$36:$AK$127,Vintage!$C$36:$C$127,"Trading",Vintage!$D$36:$D$127,"Karkas")</f>
        <v>1581584102.08436</v>
      </c>
    </row>
    <row r="182" customFormat="false" ht="15" hidden="false" customHeight="false" outlineLevel="0" collapsed="false">
      <c r="B182" s="6" t="s">
        <v>255</v>
      </c>
      <c r="C182" s="7" t="n">
        <f aca="false">SUMIFS(Vintage!$BH$36:$BH$127,Vintage!$C$36:$C$127,"Trading",Vintage!$D$36:$D$127,"Kulit")</f>
        <v>0</v>
      </c>
      <c r="D182" s="7" t="n">
        <f aca="false">SUMIFS(Vintage!$AC$36:$AC$127,Vintage!$C$36:$C$127,"Trading",Vintage!$D$36:$D$127,"Kulit")</f>
        <v>0</v>
      </c>
      <c r="E182" s="9" t="n">
        <f aca="false">IF(C182=0,0,P182/C182)</f>
        <v>0</v>
      </c>
      <c r="F182" s="9" t="n">
        <f aca="false">IF(D182=0,0,Q182/D182)</f>
        <v>0</v>
      </c>
      <c r="G182" s="9" t="n">
        <f aca="false">IF(C182=0,0,R182/C182)</f>
        <v>0</v>
      </c>
      <c r="H182" s="9" t="n">
        <f aca="false">IF(D182=0,0,S182/D182)</f>
        <v>0</v>
      </c>
      <c r="I182" s="21" t="n">
        <f aca="false">IF(P182=0,0,1-R182/P182)</f>
        <v>0</v>
      </c>
      <c r="J182" s="21" t="n">
        <f aca="false">IF(Q182=0,0,1-S182/Q182)</f>
        <v>0</v>
      </c>
      <c r="K182" s="32" t="n">
        <f aca="false">IF(AND(P182&lt;&gt;0,Q182&lt;&gt;0,E182&lt;&gt;0,F182&lt;&gt;0),(Q182/$Q$184)*(G182/E182-G182/F182),0)</f>
        <v>0</v>
      </c>
      <c r="L182" s="32" t="n">
        <f aca="false">IF(AND(P182&lt;&gt;0,Q182&lt;&gt;0,E182&lt;&gt;0,F182&lt;&gt;0),(Q182/$Q$184)*(G182/F182-H182/F182),0)</f>
        <v>0</v>
      </c>
      <c r="M182" s="32" t="n">
        <f aca="false">IF(AND(P182&lt;&gt;0,Q182&lt;&gt;0,E182&lt;&gt;0,F182&lt;&gt;0),((Q182/$Q$184)-(P182/$P$184))*I182,0)</f>
        <v>0</v>
      </c>
      <c r="N182" s="32" t="n">
        <f aca="false">IF(AND(P182&lt;&gt;0,Q182&lt;&gt;0,E182&lt;&gt;0,F182&lt;&gt;0),0,(Q182/$Q$184)*J182-(P182/$P$184)*I182)</f>
        <v>0</v>
      </c>
      <c r="O182" s="32" t="n">
        <f aca="false">SUM(K182:N182)</f>
        <v>0</v>
      </c>
      <c r="P182" s="7" t="n">
        <f aca="false">SUMIFS(Vintage!$BQ$36:$BQ$127,Vintage!$C$36:$C$127,"Trading",Vintage!$D$36:$D$127,"Kulit")</f>
        <v>0</v>
      </c>
      <c r="Q182" s="7" t="n">
        <f aca="false">SUMIFS(Vintage!$AP$36:$AP$127,Vintage!$C$36:$C$127,"Trading",Vintage!$D$36:$D$127,"Kulit")</f>
        <v>0</v>
      </c>
      <c r="R182" s="7" t="n">
        <f aca="false">SUMIFS(Vintage!$BM$36:$BM$127,Vintage!$C$36:$C$127,"Trading",Vintage!$D$36:$D$127,"Kulit")</f>
        <v>0</v>
      </c>
      <c r="S182" s="7" t="n">
        <f aca="false">SUMIFS(Vintage!$AK$36:$AK$127,Vintage!$C$36:$C$127,"Trading",Vintage!$D$36:$D$127,"Kulit")</f>
        <v>0</v>
      </c>
    </row>
    <row r="183" customFormat="false" ht="15" hidden="false" customHeight="false" outlineLevel="0" collapsed="false">
      <c r="B183" s="6" t="s">
        <v>252</v>
      </c>
      <c r="C183" s="7" t="n">
        <f aca="false">SUMIFS(Vintage!$BH$36:$BH$127,Vintage!$C$36:$C$127,"Trading",Vintage!$D$36:$D$127,"Sayap")</f>
        <v>0</v>
      </c>
      <c r="D183" s="7" t="n">
        <f aca="false">SUMIFS(Vintage!$AC$36:$AC$127,Vintage!$C$36:$C$127,"Trading",Vintage!$D$36:$D$127,"Sayap")</f>
        <v>300</v>
      </c>
      <c r="E183" s="9" t="n">
        <f aca="false">IF(C183=0,0,P183/C183)</f>
        <v>0</v>
      </c>
      <c r="F183" s="9" t="n">
        <f aca="false">IF(D183=0,0,Q183/D183)</f>
        <v>31000</v>
      </c>
      <c r="G183" s="9" t="n">
        <f aca="false">IF(C183=0,0,R183/C183)</f>
        <v>0</v>
      </c>
      <c r="H183" s="9" t="n">
        <f aca="false">IF(D183=0,0,S183/D183)</f>
        <v>28632.7845998568</v>
      </c>
      <c r="I183" s="21" t="n">
        <f aca="false">IF(P183=0,0,1-R183/P183)</f>
        <v>0</v>
      </c>
      <c r="J183" s="21" t="n">
        <f aca="false">IF(Q183=0,0,1-S183/Q183)</f>
        <v>0.0763617871013923</v>
      </c>
      <c r="K183" s="32" t="n">
        <f aca="false">IF(AND(P183&lt;&gt;0,Q183&lt;&gt;0,E183&lt;&gt;0,F183&lt;&gt;0),(Q183/$Q$184)*(G183/E183-G183/F183),0)</f>
        <v>0</v>
      </c>
      <c r="L183" s="32" t="n">
        <f aca="false">IF(AND(P183&lt;&gt;0,Q183&lt;&gt;0,E183&lt;&gt;0,F183&lt;&gt;0),(Q183/$Q$184)*(G183/F183-H183/F183),0)</f>
        <v>0</v>
      </c>
      <c r="M183" s="32" t="n">
        <f aca="false">IF(AND(P183&lt;&gt;0,Q183&lt;&gt;0,E183&lt;&gt;0,F183&lt;&gt;0),((Q183/$Q$184)-(P183/$P$184))*I183,0)</f>
        <v>0</v>
      </c>
      <c r="N183" s="32" t="n">
        <f aca="false">IF(AND(P183&lt;&gt;0,Q183&lt;&gt;0,E183&lt;&gt;0,F183&lt;&gt;0),0,(Q183/$Q$184)*J183-(P183/$P$184)*I183)</f>
        <v>0.000240518057923204</v>
      </c>
      <c r="O183" s="32" t="n">
        <f aca="false">SUM(K183:N183)</f>
        <v>0.000240518057923204</v>
      </c>
      <c r="P183" s="7" t="n">
        <f aca="false">SUMIFS(Vintage!$BQ$36:$BQ$127,Vintage!$C$36:$C$127,"Trading",Vintage!$D$36:$D$127,"Sayap")</f>
        <v>0</v>
      </c>
      <c r="Q183" s="7" t="n">
        <f aca="false">SUMIFS(Vintage!$AP$36:$AP$127,Vintage!$C$36:$C$127,"Trading",Vintage!$D$36:$D$127,"Sayap")</f>
        <v>9300000</v>
      </c>
      <c r="R183" s="7" t="n">
        <f aca="false">SUMIFS(Vintage!$BM$36:$BM$127,Vintage!$C$36:$C$127,"Trading",Vintage!$D$36:$D$127,"Sayap")</f>
        <v>0</v>
      </c>
      <c r="S183" s="7" t="n">
        <f aca="false">SUMIFS(Vintage!$AK$36:$AK$127,Vintage!$C$36:$C$127,"Trading",Vintage!$D$36:$D$127,"Sayap")</f>
        <v>8589835.37995705</v>
      </c>
    </row>
    <row r="184" customFormat="false" ht="15" hidden="false" customHeight="false" outlineLevel="0" collapsed="false">
      <c r="B184" s="25" t="s">
        <v>362</v>
      </c>
      <c r="C184" s="26" t="n">
        <f aca="false">SUM(C178:C183)</f>
        <v>41464.33</v>
      </c>
      <c r="D184" s="26" t="n">
        <f aca="false">SUM(D178:D183)</f>
        <v>91004.2</v>
      </c>
      <c r="E184" s="26" t="n">
        <f aca="false">IF(C184=0,0,P184/C184)</f>
        <v>32199.2313344567</v>
      </c>
      <c r="F184" s="26" t="n">
        <f aca="false">IF(D184=0,0,Q184/D184)</f>
        <v>32445.1590568045</v>
      </c>
      <c r="G184" s="26" t="n">
        <f aca="false">IF(C184=0,0,R184/C184)</f>
        <v>26441.3154951197</v>
      </c>
      <c r="H184" s="26" t="n">
        <f aca="false">IF(D184=0,0,S184/D184)</f>
        <v>31537.8974687256</v>
      </c>
      <c r="I184" s="27" t="n">
        <f aca="false">IF(P184=0,0,1-R184/P184)</f>
        <v>0.178821530847395</v>
      </c>
      <c r="J184" s="27" t="n">
        <f aca="false">IF(Q184=0,0,1-S184/Q184)</f>
        <v>0.0279629261946432</v>
      </c>
      <c r="K184" s="34" t="n">
        <f aca="false">SUM(K178:K183)</f>
        <v>0.0789872751088867</v>
      </c>
      <c r="L184" s="34" t="n">
        <f aca="false">SUM(L178:L183)</f>
        <v>-0.12992916683145</v>
      </c>
      <c r="M184" s="34" t="n">
        <f aca="false">SUM(M178:M183)</f>
        <v>-0.100641267137097</v>
      </c>
      <c r="N184" s="34" t="n">
        <f aca="false">SUM(N178:N183)</f>
        <v>0.000724554206909255</v>
      </c>
      <c r="O184" s="34" t="n">
        <f aca="false">SUM(O178:O183)</f>
        <v>-0.150858604652751</v>
      </c>
      <c r="P184" s="26" t="n">
        <f aca="false">SUM(P178:P183)</f>
        <v>1335119553.79825</v>
      </c>
      <c r="Q184" s="26" t="n">
        <f aca="false">SUM(Q178:Q183)</f>
        <v>2952645743.83725</v>
      </c>
      <c r="R184" s="26" t="n">
        <f aca="false">SUM(R178:R183)</f>
        <v>1096371431.32376</v>
      </c>
      <c r="S184" s="26" t="n">
        <f aca="false">SUM(S178:S183)</f>
        <v>2870081128.8234</v>
      </c>
    </row>
    <row r="185" customFormat="false" ht="15" hidden="false" customHeight="false" outlineLevel="0" collapsed="false">
      <c r="B185" s="12" t="s">
        <v>363</v>
      </c>
      <c r="O185" s="32" t="n">
        <f aca="false">ROUND(O184-D170,8)</f>
        <v>0</v>
      </c>
    </row>
    <row r="188" customFormat="false" ht="15" hidden="false" customHeight="false" outlineLevel="0" collapsed="false">
      <c r="B188" s="18" t="s">
        <v>372</v>
      </c>
    </row>
    <row r="189" customFormat="false" ht="30" hidden="false" customHeight="true" outlineLevel="0" collapsed="false">
      <c r="B189" s="5" t="s">
        <v>373</v>
      </c>
      <c r="C189" s="5"/>
      <c r="D189" s="5" t="s">
        <v>328</v>
      </c>
      <c r="E189" s="5" t="s">
        <v>374</v>
      </c>
      <c r="F189" s="5"/>
      <c r="G189" s="5"/>
      <c r="H189" s="5"/>
      <c r="I189" s="5"/>
      <c r="J189" s="5"/>
      <c r="K189" s="5"/>
      <c r="L189" s="5"/>
      <c r="M189" s="5"/>
      <c r="N189" s="5" t="s">
        <v>375</v>
      </c>
    </row>
    <row r="190" customFormat="false" ht="15" hidden="false" customHeight="false" outlineLevel="0" collapsed="false">
      <c r="B190" s="11" t="s">
        <v>376</v>
      </c>
      <c r="D190" s="35" t="n">
        <f aca="false">'Segment GP'!H38</f>
        <v>0.116252405357957</v>
      </c>
      <c r="E190" s="32" t="n">
        <f aca="false">D190</f>
        <v>0.116252405357957</v>
      </c>
      <c r="N190" s="12" t="s">
        <v>96</v>
      </c>
    </row>
    <row r="191" customFormat="false" ht="15" hidden="false" customHeight="false" outlineLevel="0" collapsed="false">
      <c r="B191" s="6" t="s">
        <v>377</v>
      </c>
      <c r="D191" s="35" t="n">
        <f aca="false">'Segment GP'!M6/'Segment GP'!M9*('Segment GP'!M35-'Segment GP'!H35)</f>
        <v>-0.00560926686380728</v>
      </c>
      <c r="E191" s="32" t="n">
        <f aca="false">E190+D191</f>
        <v>0.11064313849415</v>
      </c>
      <c r="N191" s="12" t="s">
        <v>378</v>
      </c>
    </row>
    <row r="192" customFormat="false" ht="15" hidden="false" customHeight="false" outlineLevel="0" collapsed="false">
      <c r="B192" s="6" t="s">
        <v>379</v>
      </c>
      <c r="D192" s="35" t="n">
        <f aca="false">'Segment GP'!M7/'Segment GP'!M9*('Segment GP'!M36-'Segment GP'!H36)</f>
        <v>-0.0579381838761479</v>
      </c>
      <c r="E192" s="32" t="n">
        <f aca="false">E191+D192</f>
        <v>0.0527049546180016</v>
      </c>
      <c r="N192" s="12" t="s">
        <v>380</v>
      </c>
    </row>
    <row r="193" customFormat="false" ht="15" hidden="false" customHeight="false" outlineLevel="0" collapsed="false">
      <c r="B193" s="6" t="s">
        <v>381</v>
      </c>
      <c r="D193" s="35" t="n">
        <f aca="false">('Segment GP'!M6/'Segment GP'!M9-'Segment GP'!H6/'Segment GP'!H9)*'Segment GP'!H35+('Segment GP'!M7/'Segment GP'!M9-'Segment GP'!H7/'Segment GP'!H9)*'Segment GP'!H36</f>
        <v>-0.0423911667130923</v>
      </c>
      <c r="E193" s="32" t="n">
        <f aca="false">E192+D193</f>
        <v>0.0103137879049093</v>
      </c>
      <c r="N193" s="12" t="s">
        <v>382</v>
      </c>
    </row>
    <row r="194" customFormat="false" ht="15" hidden="false" customHeight="false" outlineLevel="0" collapsed="false">
      <c r="B194" s="6" t="s">
        <v>383</v>
      </c>
      <c r="D194" s="35" t="n">
        <f aca="false">'Segment GP'!M33/'Segment GP'!M9-'Segment GP'!H33/'Segment GP'!H9</f>
        <v>0.026297894805577</v>
      </c>
      <c r="E194" s="32" t="n">
        <f aca="false">E193+D194</f>
        <v>0.0366116827104863</v>
      </c>
      <c r="N194" s="12" t="s">
        <v>384</v>
      </c>
    </row>
    <row r="195" customFormat="false" ht="15" hidden="false" customHeight="false" outlineLevel="0" collapsed="false">
      <c r="B195" s="29" t="s">
        <v>385</v>
      </c>
      <c r="D195" s="33" t="n">
        <f aca="false">SUM(D190:D194)</f>
        <v>0.0366116827104863</v>
      </c>
      <c r="E195" s="33" t="n">
        <f aca="false">D195</f>
        <v>0.0366116827104863</v>
      </c>
    </row>
    <row r="196" customFormat="false" ht="15" hidden="false" customHeight="false" outlineLevel="0" collapsed="false">
      <c r="B196" s="12" t="s">
        <v>341</v>
      </c>
      <c r="D196" s="32" t="n">
        <f aca="false">ROUND(D195-'Segment GP'!M38,8)</f>
        <v>-0</v>
      </c>
    </row>
    <row r="199" customFormat="false" ht="15" hidden="false" customHeight="false" outlineLevel="0" collapsed="false">
      <c r="B199" s="18" t="s">
        <v>386</v>
      </c>
    </row>
    <row r="200" customFormat="false" ht="39.75" hidden="false" customHeight="true" outlineLevel="0" collapsed="false">
      <c r="B200" s="5" t="s">
        <v>373</v>
      </c>
      <c r="C200" s="5"/>
      <c r="D200" s="5" t="s">
        <v>328</v>
      </c>
      <c r="E200" s="5" t="s">
        <v>374</v>
      </c>
      <c r="F200" s="5" t="s">
        <v>387</v>
      </c>
      <c r="G200" s="5" t="s">
        <v>388</v>
      </c>
      <c r="H200" s="5" t="s">
        <v>389</v>
      </c>
      <c r="I200" s="5"/>
      <c r="J200" s="5"/>
      <c r="K200" s="5"/>
      <c r="L200" s="5"/>
      <c r="M200" s="5"/>
      <c r="N200" s="5" t="s">
        <v>375</v>
      </c>
    </row>
    <row r="201" customFormat="false" ht="15" hidden="false" customHeight="false" outlineLevel="0" collapsed="false">
      <c r="B201" s="11" t="s">
        <v>331</v>
      </c>
      <c r="D201" s="35" t="n">
        <f aca="false">'Segment GP'!H35</f>
        <v>-0.00615186485203403</v>
      </c>
      <c r="E201" s="36" t="n">
        <f aca="false">D201</f>
        <v>-0.00615186485203403</v>
      </c>
      <c r="N201" s="12" t="s">
        <v>390</v>
      </c>
    </row>
    <row r="202" customFormat="false" ht="15" hidden="false" customHeight="false" outlineLevel="0" collapsed="false">
      <c r="B202" s="6" t="s">
        <v>391</v>
      </c>
      <c r="D202" s="32" t="n">
        <f aca="false">SUMIFS($L$221:$L$241,$B$221:$B$241,"BLD")</f>
        <v>-0.0226680351536639</v>
      </c>
      <c r="E202" s="32" t="n">
        <f aca="false">E201+D202</f>
        <v>-0.0288199000056979</v>
      </c>
      <c r="F202" s="32" t="n">
        <f aca="false">SUMIFS($H$221:$H$241,$B$221:$B$241,"BLD")</f>
        <v>8.48294507169386E-011</v>
      </c>
      <c r="G202" s="32" t="n">
        <f aca="false">SUMIFS($I$221:$I$241,$B$221:$B$241,"BLD")</f>
        <v>-0.0229704365180363</v>
      </c>
      <c r="H202" s="32" t="n">
        <f aca="false">SUMIFS($J$221:$J$241,$B$221:$B$241,"BLD")+SUMIFS($K$221:$K$241,$B$221:$B$241,"BLD")</f>
        <v>0.00030240127954299</v>
      </c>
    </row>
    <row r="203" customFormat="false" ht="15" hidden="false" customHeight="false" outlineLevel="0" collapsed="false">
      <c r="B203" s="6" t="s">
        <v>392</v>
      </c>
      <c r="D203" s="32" t="n">
        <f aca="false">SUMIFS($L$221:$L$241,$B$221:$B$241,"BLP")</f>
        <v>0.00439550098602748</v>
      </c>
      <c r="E203" s="32" t="n">
        <f aca="false">E202+D203</f>
        <v>-0.0244243990196704</v>
      </c>
      <c r="F203" s="32" t="n">
        <f aca="false">SUMIFS($H$221:$H$241,$B$221:$B$241,"BLP")</f>
        <v>0</v>
      </c>
      <c r="G203" s="32" t="n">
        <f aca="false">SUMIFS($I$221:$I$241,$B$221:$B$241,"BLP")</f>
        <v>0</v>
      </c>
      <c r="H203" s="32" t="n">
        <f aca="false">SUMIFS($J$221:$J$241,$B$221:$B$241,"BLP")+SUMIFS($K$221:$K$241,$B$221:$B$241,"BLP")</f>
        <v>0.00439550098602748</v>
      </c>
    </row>
    <row r="204" customFormat="false" ht="15" hidden="false" customHeight="false" outlineLevel="0" collapsed="false">
      <c r="B204" s="6" t="s">
        <v>393</v>
      </c>
      <c r="D204" s="32" t="n">
        <f aca="false">SUMIFS($L$221:$L$241,$B$221:$B$241,"Belum ada detail item")</f>
        <v>0.00172084404935236</v>
      </c>
      <c r="E204" s="32" t="n">
        <f aca="false">E203+D204</f>
        <v>-0.0227035549703181</v>
      </c>
      <c r="F204" s="32" t="n">
        <f aca="false">SUMIFS($H$221:$H$241,$B$221:$B$241,"Belum ada detail item")</f>
        <v>0</v>
      </c>
      <c r="G204" s="32" t="n">
        <f aca="false">SUMIFS($I$221:$I$241,$B$221:$B$241,"Belum ada detail item")</f>
        <v>0</v>
      </c>
      <c r="H204" s="32" t="n">
        <f aca="false">SUMIFS($J$221:$J$241,$B$221:$B$241,"Belum ada detail item")+SUMIFS($K$221:$K$241,$B$221:$B$241,"Belum ada detail item")</f>
        <v>0.00172084404935236</v>
      </c>
    </row>
    <row r="205" customFormat="false" ht="15" hidden="false" customHeight="false" outlineLevel="0" collapsed="false">
      <c r="B205" s="6" t="s">
        <v>394</v>
      </c>
      <c r="D205" s="32" t="n">
        <f aca="false">SUMIFS($L$221:$L$241,$B$221:$B$241,"Ceker")</f>
        <v>-0.00831155956176146</v>
      </c>
      <c r="E205" s="32" t="n">
        <f aca="false">E204+D205</f>
        <v>-0.0310151145320795</v>
      </c>
      <c r="F205" s="32" t="n">
        <f aca="false">SUMIFS($H$221:$H$241,$B$221:$B$241,"Ceker")</f>
        <v>0</v>
      </c>
      <c r="G205" s="32" t="n">
        <f aca="false">SUMIFS($I$221:$I$241,$B$221:$B$241,"Ceker")</f>
        <v>0</v>
      </c>
      <c r="H205" s="32" t="n">
        <f aca="false">SUMIFS($J$221:$J$241,$B$221:$B$241,"Ceker")+SUMIFS($K$221:$K$241,$B$221:$B$241,"Ceker")</f>
        <v>-0.00831155956176146</v>
      </c>
    </row>
    <row r="206" customFormat="false" ht="15" hidden="false" customHeight="false" outlineLevel="0" collapsed="false">
      <c r="B206" s="6" t="s">
        <v>395</v>
      </c>
      <c r="D206" s="32" t="n">
        <f aca="false">SUMIFS($L$221:$L$241,$B$221:$B$241,"GL adjustment")</f>
        <v>-0.000330021851915791</v>
      </c>
      <c r="E206" s="32" t="n">
        <f aca="false">E205+D206</f>
        <v>-0.0313451363839953</v>
      </c>
      <c r="F206" s="32" t="n">
        <f aca="false">SUMIFS($H$221:$H$241,$B$221:$B$241,"GL adjustment")</f>
        <v>0</v>
      </c>
      <c r="G206" s="32" t="n">
        <f aca="false">SUMIFS($I$221:$I$241,$B$221:$B$241,"GL adjustment")</f>
        <v>0</v>
      </c>
      <c r="H206" s="32" t="n">
        <f aca="false">SUMIFS($J$221:$J$241,$B$221:$B$241,"GL adjustment")+SUMIFS($K$221:$K$241,$B$221:$B$241,"GL adjustment")</f>
        <v>-0.000330021851915791</v>
      </c>
    </row>
    <row r="207" customFormat="false" ht="15" hidden="false" customHeight="false" outlineLevel="0" collapsed="false">
      <c r="B207" s="6" t="s">
        <v>396</v>
      </c>
      <c r="D207" s="32" t="n">
        <f aca="false">SUMIFS($L$221:$L$241,$B$221:$B$241,"HJA (Hati/Jantung/Ampela)")</f>
        <v>-0.00505318539523771</v>
      </c>
      <c r="E207" s="32" t="n">
        <f aca="false">E206+D207</f>
        <v>-0.036398321779233</v>
      </c>
      <c r="F207" s="32" t="n">
        <f aca="false">SUMIFS($H$221:$H$241,$B$221:$B$241,"HJA (Hati/Jantung/Ampela)")</f>
        <v>-0.00631167109161891</v>
      </c>
      <c r="G207" s="32" t="n">
        <f aca="false">SUMIFS($I$221:$I$241,$B$221:$B$241,"HJA (Hati/Jantung/Ampela)")</f>
        <v>0.0012584856963812</v>
      </c>
      <c r="H207" s="32" t="n">
        <f aca="false">SUMIFS($J$221:$J$241,$B$221:$B$241,"HJA (Hati/Jantung/Ampela)")+SUMIFS($K$221:$K$241,$B$221:$B$241,"HJA (Hati/Jantung/Ampela)")</f>
        <v>0</v>
      </c>
    </row>
    <row r="208" customFormat="false" ht="15" hidden="false" customHeight="false" outlineLevel="0" collapsed="false">
      <c r="B208" s="6" t="s">
        <v>397</v>
      </c>
      <c r="D208" s="32" t="n">
        <f aca="false">SUMIFS($L$221:$L$241,$B$221:$B$241,"KRK (Kerangka)")</f>
        <v>0.0466318831182106</v>
      </c>
      <c r="E208" s="32" t="n">
        <f aca="false">E207+D208</f>
        <v>0.0102335613389776</v>
      </c>
      <c r="F208" s="32" t="n">
        <f aca="false">SUMIFS($H$221:$H$241,$B$221:$B$241,"KRK (Kerangka)")</f>
        <v>0</v>
      </c>
      <c r="G208" s="32" t="n">
        <f aca="false">SUMIFS($I$221:$I$241,$B$221:$B$241,"KRK (Kerangka)")</f>
        <v>0</v>
      </c>
      <c r="H208" s="32" t="n">
        <f aca="false">SUMIFS($J$221:$J$241,$B$221:$B$241,"KRK (Kerangka)")+SUMIFS($K$221:$K$241,$B$221:$B$241,"KRK (Kerangka)")</f>
        <v>0.0466318831182106</v>
      </c>
    </row>
    <row r="209" customFormat="false" ht="15" hidden="false" customHeight="false" outlineLevel="0" collapsed="false">
      <c r="B209" s="6" t="s">
        <v>398</v>
      </c>
      <c r="D209" s="32" t="n">
        <f aca="false">SUMIFS($L$221:$L$241,$B$221:$B$241,"Karkas")</f>
        <v>-0.0580858192073024</v>
      </c>
      <c r="E209" s="32" t="n">
        <f aca="false">E208+D209</f>
        <v>-0.0478522578683248</v>
      </c>
      <c r="F209" s="32" t="n">
        <f aca="false">SUMIFS($H$221:$H$241,$B$221:$B$241,"Karkas")</f>
        <v>-0.0829245277255395</v>
      </c>
      <c r="G209" s="32" t="n">
        <f aca="false">SUMIFS($I$221:$I$241,$B$221:$B$241,"Karkas")</f>
        <v>0.023754144925476</v>
      </c>
      <c r="H209" s="32" t="n">
        <f aca="false">SUMIFS($J$221:$J$241,$B$221:$B$241,"Karkas")+SUMIFS($K$221:$K$241,$B$221:$B$241,"Karkas")</f>
        <v>0.00108456359276114</v>
      </c>
    </row>
    <row r="210" customFormat="false" ht="15" hidden="false" customHeight="false" outlineLevel="0" collapsed="false">
      <c r="B210" s="6" t="s">
        <v>399</v>
      </c>
      <c r="D210" s="32" t="n">
        <f aca="false">SUMIFS($L$221:$L$241,$B$221:$B$241,"Kepala")</f>
        <v>-0.0158824320339302</v>
      </c>
      <c r="E210" s="32" t="n">
        <f aca="false">E209+D210</f>
        <v>-0.063734689902255</v>
      </c>
      <c r="F210" s="32" t="n">
        <f aca="false">SUMIFS($H$221:$H$241,$B$221:$B$241,"Kepala")</f>
        <v>-3.93338216847697E-012</v>
      </c>
      <c r="G210" s="32" t="n">
        <f aca="false">SUMIFS($I$221:$I$241,$B$221:$B$241,"Kepala")</f>
        <v>0.00217965432154972</v>
      </c>
      <c r="H210" s="32" t="n">
        <f aca="false">SUMIFS($J$221:$J$241,$B$221:$B$241,"Kepala")+SUMIFS($K$221:$K$241,$B$221:$B$241,"Kepala")</f>
        <v>-0.0180620863515465</v>
      </c>
    </row>
    <row r="211" customFormat="false" ht="15" hidden="false" customHeight="false" outlineLevel="0" collapsed="false">
      <c r="B211" s="6" t="s">
        <v>400</v>
      </c>
      <c r="D211" s="32" t="n">
        <f aca="false">SUMIFS($L$221:$L$241,$B$221:$B$241,"Maklon expensed (5100006)")</f>
        <v>0.0283938614743001</v>
      </c>
      <c r="E211" s="32" t="n">
        <f aca="false">E210+D211</f>
        <v>-0.0353408284279548</v>
      </c>
      <c r="F211" s="32" t="n">
        <f aca="false">SUMIFS($H$221:$H$241,$B$221:$B$241,"Maklon expensed (5100006)")</f>
        <v>0</v>
      </c>
      <c r="G211" s="32" t="n">
        <f aca="false">SUMIFS($I$221:$I$241,$B$221:$B$241,"Maklon expensed (5100006)")</f>
        <v>0</v>
      </c>
      <c r="H211" s="32" t="n">
        <f aca="false">SUMIFS($J$221:$J$241,$B$221:$B$241,"Maklon expensed (5100006)")+SUMIFS($K$221:$K$241,$B$221:$B$241,"Maklon expensed (5100006)")</f>
        <v>0.0283938614743001</v>
      </c>
    </row>
    <row r="212" customFormat="false" ht="15" hidden="false" customHeight="false" outlineLevel="0" collapsed="false">
      <c r="B212" s="6" t="s">
        <v>401</v>
      </c>
      <c r="D212" s="32" t="n">
        <f aca="false">SUMIFS($L$221:$L$241,$B$221:$B$241,"Other revenue (no SI)")</f>
        <v>0.000233905354621745</v>
      </c>
      <c r="E212" s="32" t="n">
        <f aca="false">E211+D212</f>
        <v>-0.0351069230733331</v>
      </c>
      <c r="F212" s="32" t="n">
        <f aca="false">SUMIFS($H$221:$H$241,$B$221:$B$241,"Other revenue (no SI)")</f>
        <v>0</v>
      </c>
      <c r="G212" s="32" t="n">
        <f aca="false">SUMIFS($I$221:$I$241,$B$221:$B$241,"Other revenue (no SI)")</f>
        <v>0</v>
      </c>
      <c r="H212" s="32" t="n">
        <f aca="false">SUMIFS($J$221:$J$241,$B$221:$B$241,"Other revenue (no SI)")+SUMIFS($K$221:$K$241,$B$221:$B$241,"Other revenue (no SI)")</f>
        <v>0.000233905354621745</v>
      </c>
    </row>
    <row r="213" customFormat="false" ht="15" hidden="false" customHeight="false" outlineLevel="0" collapsed="false">
      <c r="B213" s="6" t="s">
        <v>402</v>
      </c>
      <c r="D213" s="32" t="n">
        <f aca="false">SUMIFS($L$221:$L$241,$B$221:$B$241,"Paha (parting)")</f>
        <v>0.00133600566305144</v>
      </c>
      <c r="E213" s="32" t="n">
        <f aca="false">E212+D213</f>
        <v>-0.0337709174102816</v>
      </c>
      <c r="F213" s="32" t="n">
        <f aca="false">SUMIFS($H$221:$H$241,$B$221:$B$241,"Paha (parting)")</f>
        <v>0</v>
      </c>
      <c r="G213" s="32" t="n">
        <f aca="false">SUMIFS($I$221:$I$241,$B$221:$B$241,"Paha (parting)")</f>
        <v>0</v>
      </c>
      <c r="H213" s="32" t="n">
        <f aca="false">SUMIFS($J$221:$J$241,$B$221:$B$241,"Paha (parting)")+SUMIFS($K$221:$K$241,$B$221:$B$241,"Paha (parting)")</f>
        <v>0.00133600566305144</v>
      </c>
    </row>
    <row r="214" customFormat="false" ht="15" hidden="false" customHeight="false" outlineLevel="0" collapsed="false">
      <c r="B214" s="6" t="s">
        <v>403</v>
      </c>
      <c r="D214" s="32" t="n">
        <f aca="false">SUMIFS($L$221:$L$241,$B$221:$B$241,"Sayap")</f>
        <v>0.0124016170953112</v>
      </c>
      <c r="E214" s="32" t="n">
        <f aca="false">E213+D214</f>
        <v>-0.0213693003149704</v>
      </c>
      <c r="F214" s="32" t="n">
        <f aca="false">SUMIFS($H$221:$H$241,$B$221:$B$241,"Sayap")</f>
        <v>0</v>
      </c>
      <c r="G214" s="32" t="n">
        <f aca="false">SUMIFS($I$221:$I$241,$B$221:$B$241,"Sayap")</f>
        <v>0</v>
      </c>
      <c r="H214" s="32" t="n">
        <f aca="false">SUMIFS($J$221:$J$241,$B$221:$B$241,"Sayap")+SUMIFS($K$221:$K$241,$B$221:$B$241,"Sayap")</f>
        <v>0.0124016170953112</v>
      </c>
    </row>
    <row r="215" customFormat="false" ht="15" hidden="false" customHeight="false" outlineLevel="0" collapsed="false">
      <c r="B215" s="6" t="s">
        <v>404</v>
      </c>
      <c r="D215" s="32" t="n">
        <f aca="false">SUMIFS($L$221:$L$241,$B$221:$B$241,"Usus")</f>
        <v>-0.00220782551067622</v>
      </c>
      <c r="E215" s="32" t="n">
        <f aca="false">E214+D215</f>
        <v>-0.0235771258256466</v>
      </c>
      <c r="F215" s="32" t="n">
        <f aca="false">SUMIFS($H$221:$H$241,$B$221:$B$241,"Usus")</f>
        <v>0</v>
      </c>
      <c r="G215" s="32" t="n">
        <f aca="false">SUMIFS($I$221:$I$241,$B$221:$B$241,"Usus")</f>
        <v>0</v>
      </c>
      <c r="H215" s="32" t="n">
        <f aca="false">SUMIFS($J$221:$J$241,$B$221:$B$241,"Usus")+SUMIFS($K$221:$K$241,$B$221:$B$241,"Usus")</f>
        <v>-0.00220782551067622</v>
      </c>
    </row>
    <row r="216" customFormat="false" ht="15" hidden="false" customHeight="false" outlineLevel="0" collapsed="false">
      <c r="B216" s="6" t="s">
        <v>405</v>
      </c>
      <c r="D216" s="35" t="n">
        <f aca="false">'Segment GP'!M27/'Segment GP'!M6-'Segment GP'!H27/'Segment GP'!H6</f>
        <v>0</v>
      </c>
      <c r="E216" s="32" t="n">
        <f aca="false">E215+D216</f>
        <v>-0.0235771258256466</v>
      </c>
      <c r="N216" s="12" t="s">
        <v>406</v>
      </c>
    </row>
    <row r="217" customFormat="false" ht="15" hidden="false" customHeight="false" outlineLevel="0" collapsed="false">
      <c r="B217" s="29" t="s">
        <v>340</v>
      </c>
      <c r="D217" s="33" t="n">
        <f aca="false">SUM(D201:D216)</f>
        <v>-0.0235771258256466</v>
      </c>
      <c r="E217" s="33" t="n">
        <f aca="false">D217</f>
        <v>-0.0235771258256466</v>
      </c>
      <c r="F217" s="33" t="n">
        <f aca="false">SUM(F202:F215)</f>
        <v>-0.0892361987362624</v>
      </c>
      <c r="G217" s="33" t="n">
        <f aca="false">SUM(G202:G215)</f>
        <v>0.00422184842537056</v>
      </c>
      <c r="H217" s="33" t="n">
        <f aca="false">SUM(H202:H215)</f>
        <v>0.0675890893372792</v>
      </c>
    </row>
    <row r="218" customFormat="false" ht="15" hidden="false" customHeight="false" outlineLevel="0" collapsed="false">
      <c r="B218" s="12" t="s">
        <v>341</v>
      </c>
      <c r="D218" s="32" t="n">
        <f aca="false">ROUND(D217-'Segment GP'!M35,8)</f>
        <v>0</v>
      </c>
    </row>
    <row r="219" customFormat="false" ht="15" hidden="false" customHeight="false" outlineLevel="0" collapsed="false">
      <c r="B219" s="28" t="s">
        <v>407</v>
      </c>
    </row>
    <row r="220" customFormat="false" ht="39.75" hidden="false" customHeight="true" outlineLevel="0" collapsed="false">
      <c r="B220" s="5" t="s">
        <v>224</v>
      </c>
      <c r="C220" s="5" t="s">
        <v>225</v>
      </c>
      <c r="D220" s="5" t="s">
        <v>408</v>
      </c>
      <c r="E220" s="5" t="s">
        <v>409</v>
      </c>
      <c r="F220" s="5" t="s">
        <v>410</v>
      </c>
      <c r="G220" s="5" t="s">
        <v>411</v>
      </c>
      <c r="H220" s="5" t="s">
        <v>412</v>
      </c>
      <c r="I220" s="5" t="s">
        <v>413</v>
      </c>
      <c r="J220" s="5" t="s">
        <v>414</v>
      </c>
      <c r="K220" s="5" t="s">
        <v>415</v>
      </c>
      <c r="L220" s="5" t="s">
        <v>355</v>
      </c>
      <c r="M220" s="5"/>
      <c r="N220" s="5" t="s">
        <v>416</v>
      </c>
    </row>
    <row r="221" customFormat="false" ht="15" hidden="false" customHeight="false" outlineLevel="0" collapsed="false">
      <c r="B221" s="6" t="s">
        <v>236</v>
      </c>
      <c r="C221" s="6" t="s">
        <v>237</v>
      </c>
      <c r="D221" s="22" t="n">
        <f aca="false">IFERROR('SKU Summary'!F6/'SKU Summary'!F27,0)</f>
        <v>0</v>
      </c>
      <c r="E221" s="22" t="n">
        <f aca="false">IFERROR('SKU Summary'!L6/'SKU Summary'!L27,0)</f>
        <v>0.0034480866584414</v>
      </c>
      <c r="F221" s="22" t="n">
        <f aca="false">IFERROR('SKU Summary'!I6/'SKU Summary'!F6,0)</f>
        <v>0</v>
      </c>
      <c r="G221" s="22" t="n">
        <f aca="false">IFERROR('SKU Summary'!O6/'SKU Summary'!L6,0)</f>
        <v>0.0877011831482453</v>
      </c>
      <c r="H221" s="32" t="n">
        <f aca="false">IF(AND('SKU Summary'!F6&lt;&gt;0,'SKU Summary'!L6&lt;&gt;0),E221*(G221-F221),0)</f>
        <v>0</v>
      </c>
      <c r="I221" s="32" t="n">
        <f aca="false">IF(AND('SKU Summary'!F6&lt;&gt;0,'SKU Summary'!L6&lt;&gt;0),(E221-D221)*F221,0)</f>
        <v>0</v>
      </c>
      <c r="J221" s="32" t="n">
        <f aca="false">IF(OR(AND('SKU Summary'!F6&lt;&gt;0,'SKU Summary'!L6&lt;&gt;0),AND('SKU Summary'!F6=0,'SKU Summary'!L6=0)),0,E221*G221-D221*F221)</f>
        <v>0.00030240127954299</v>
      </c>
      <c r="K221" s="32" t="n">
        <f aca="false">IF(AND('SKU Summary'!F6=0,'SKU Summary'!L6=0),IFERROR('SKU Summary'!O6/'SKU Summary'!L27,0)-IFERROR('SKU Summary'!I6/'SKU Summary'!F27,0),0)</f>
        <v>0</v>
      </c>
      <c r="L221" s="32" t="n">
        <f aca="false">SUM(H221:K221)</f>
        <v>0.00030240127954299</v>
      </c>
    </row>
    <row r="222" customFormat="false" ht="15" hidden="false" customHeight="false" outlineLevel="0" collapsed="false">
      <c r="B222" s="6" t="s">
        <v>236</v>
      </c>
      <c r="C222" s="6" t="s">
        <v>238</v>
      </c>
      <c r="D222" s="22" t="n">
        <f aca="false">IFERROR('SKU Summary'!F7/'SKU Summary'!F27,0)</f>
        <v>0.186596345077251</v>
      </c>
      <c r="E222" s="22" t="n">
        <f aca="false">IFERROR('SKU Summary'!L7/'SKU Summary'!L27,0)</f>
        <v>0.0239052312663247</v>
      </c>
      <c r="F222" s="22" t="n">
        <f aca="false">IFERROR('SKU Summary'!I7/'SKU Summary'!F7,0)</f>
        <v>0.141190480413895</v>
      </c>
      <c r="G222" s="22" t="n">
        <f aca="false">IFERROR('SKU Summary'!O7/'SKU Summary'!L7,0)</f>
        <v>0.141190483962468</v>
      </c>
      <c r="H222" s="32" t="n">
        <f aca="false">IF(AND('SKU Summary'!F7&lt;&gt;0,'SKU Summary'!L7&lt;&gt;0),E222*(G222-F222),0)</f>
        <v>8.48294507169386E-011</v>
      </c>
      <c r="I222" s="32" t="n">
        <f aca="false">IF(AND('SKU Summary'!F7&lt;&gt;0,'SKU Summary'!L7&lt;&gt;0),(E222-D222)*F222,0)</f>
        <v>-0.0229704365180363</v>
      </c>
      <c r="J222" s="32" t="n">
        <f aca="false">IF(OR(AND('SKU Summary'!F7&lt;&gt;0,'SKU Summary'!L7&lt;&gt;0),AND('SKU Summary'!F7=0,'SKU Summary'!L7=0)),0,E222*G222-D222*F222)</f>
        <v>0</v>
      </c>
      <c r="K222" s="32" t="n">
        <f aca="false">IF(AND('SKU Summary'!F7=0,'SKU Summary'!L7=0),IFERROR('SKU Summary'!O7/'SKU Summary'!L27,0)-IFERROR('SKU Summary'!I7/'SKU Summary'!F27,0),0)</f>
        <v>0</v>
      </c>
      <c r="L222" s="32" t="n">
        <f aca="false">SUM(H222:K222)</f>
        <v>-0.0229704364332069</v>
      </c>
    </row>
    <row r="223" customFormat="false" ht="15" hidden="false" customHeight="false" outlineLevel="0" collapsed="false">
      <c r="B223" s="6" t="s">
        <v>239</v>
      </c>
      <c r="C223" s="6" t="s">
        <v>237</v>
      </c>
      <c r="D223" s="22" t="n">
        <f aca="false">IFERROR('SKU Summary'!F8/'SKU Summary'!F27,0)</f>
        <v>0</v>
      </c>
      <c r="E223" s="22" t="n">
        <f aca="false">IFERROR('SKU Summary'!L8/'SKU Summary'!L27,0)</f>
        <v>0.00408026640524096</v>
      </c>
      <c r="F223" s="22" t="n">
        <f aca="false">IFERROR('SKU Summary'!I8/'SKU Summary'!F8,0)</f>
        <v>0</v>
      </c>
      <c r="G223" s="22" t="n">
        <f aca="false">IFERROR('SKU Summary'!O8/'SKU Summary'!L8,0)</f>
        <v>-0.0719719543285865</v>
      </c>
      <c r="H223" s="32" t="n">
        <f aca="false">IF(AND('SKU Summary'!F8&lt;&gt;0,'SKU Summary'!L8&lt;&gt;0),E223*(G223-F223),0)</f>
        <v>0</v>
      </c>
      <c r="I223" s="32" t="n">
        <f aca="false">IF(AND('SKU Summary'!F8&lt;&gt;0,'SKU Summary'!L8&lt;&gt;0),(E223-D223)*F223,0)</f>
        <v>0</v>
      </c>
      <c r="J223" s="32" t="n">
        <f aca="false">IF(OR(AND('SKU Summary'!F8&lt;&gt;0,'SKU Summary'!L8&lt;&gt;0),AND('SKU Summary'!F8=0,'SKU Summary'!L8=0)),0,E223*G223-D223*F223)</f>
        <v>-0.000293664747366468</v>
      </c>
      <c r="K223" s="32" t="n">
        <f aca="false">IF(AND('SKU Summary'!F8=0,'SKU Summary'!L8=0),IFERROR('SKU Summary'!O8/'SKU Summary'!L27,0)-IFERROR('SKU Summary'!I8/'SKU Summary'!F27,0),0)</f>
        <v>0</v>
      </c>
      <c r="L223" s="32" t="n">
        <f aca="false">SUM(H223:K223)</f>
        <v>-0.000293664747366468</v>
      </c>
    </row>
    <row r="224" customFormat="false" ht="15" hidden="false" customHeight="false" outlineLevel="0" collapsed="false">
      <c r="B224" s="6" t="s">
        <v>239</v>
      </c>
      <c r="C224" s="6" t="s">
        <v>238</v>
      </c>
      <c r="D224" s="22" t="n">
        <f aca="false">IFERROR('SKU Summary'!F9/'SKU Summary'!F27,0)</f>
        <v>0</v>
      </c>
      <c r="E224" s="22" t="n">
        <f aca="false">IFERROR('SKU Summary'!L9/'SKU Summary'!L27,0)</f>
        <v>0.0358364105288364</v>
      </c>
      <c r="F224" s="22" t="n">
        <f aca="false">IFERROR('SKU Summary'!I9/'SKU Summary'!F9,0)</f>
        <v>0</v>
      </c>
      <c r="G224" s="22" t="n">
        <f aca="false">IFERROR('SKU Summary'!O9/'SKU Summary'!L9,0)</f>
        <v>0.130849202366982</v>
      </c>
      <c r="H224" s="32" t="n">
        <f aca="false">IF(AND('SKU Summary'!F9&lt;&gt;0,'SKU Summary'!L9&lt;&gt;0),E224*(G224-F224),0)</f>
        <v>0</v>
      </c>
      <c r="I224" s="32" t="n">
        <f aca="false">IF(AND('SKU Summary'!F9&lt;&gt;0,'SKU Summary'!L9&lt;&gt;0),(E224-D224)*F224,0)</f>
        <v>0</v>
      </c>
      <c r="J224" s="32" t="n">
        <f aca="false">IF(OR(AND('SKU Summary'!F9&lt;&gt;0,'SKU Summary'!L9&lt;&gt;0),AND('SKU Summary'!F9=0,'SKU Summary'!L9=0)),0,E224*G224-D224*F224)</f>
        <v>0.00468916573339395</v>
      </c>
      <c r="K224" s="32" t="n">
        <f aca="false">IF(AND('SKU Summary'!F9=0,'SKU Summary'!L9=0),IFERROR('SKU Summary'!O9/'SKU Summary'!L27,0)-IFERROR('SKU Summary'!I9/'SKU Summary'!F27,0),0)</f>
        <v>0</v>
      </c>
      <c r="L224" s="32" t="n">
        <f aca="false">SUM(H224:K224)</f>
        <v>0.00468916573339395</v>
      </c>
    </row>
    <row r="225" customFormat="false" ht="15" hidden="false" customHeight="false" outlineLevel="0" collapsed="false">
      <c r="B225" s="6" t="s">
        <v>240</v>
      </c>
      <c r="C225" s="6" t="s">
        <v>241</v>
      </c>
      <c r="D225" s="22" t="n">
        <f aca="false">IFERROR('SKU Summary'!F10/'SKU Summary'!F27,0)</f>
        <v>0</v>
      </c>
      <c r="E225" s="22" t="n">
        <f aca="false">IFERROR('SKU Summary'!L10/'SKU Summary'!L27,0)</f>
        <v>0.117953252046974</v>
      </c>
      <c r="F225" s="22" t="n">
        <f aca="false">IFERROR('SKU Summary'!I10/'SKU Summary'!F10,0)</f>
        <v>0</v>
      </c>
      <c r="G225" s="22" t="n">
        <f aca="false">IFERROR('SKU Summary'!O10/'SKU Summary'!L10,0)</f>
        <v>0.0145892039387524</v>
      </c>
      <c r="H225" s="32" t="n">
        <f aca="false">IF(AND('SKU Summary'!F10&lt;&gt;0,'SKU Summary'!L10&lt;&gt;0),E225*(G225-F225),0)</f>
        <v>0</v>
      </c>
      <c r="I225" s="32" t="n">
        <f aca="false">IF(AND('SKU Summary'!F10&lt;&gt;0,'SKU Summary'!L10&lt;&gt;0),(E225-D225)*F225,0)</f>
        <v>0</v>
      </c>
      <c r="J225" s="32" t="n">
        <f aca="false">IF(OR(AND('SKU Summary'!F10&lt;&gt;0,'SKU Summary'!L10&lt;&gt;0),AND('SKU Summary'!F10=0,'SKU Summary'!L10=0)),0,E225*G225-D225*F225)</f>
        <v>0.00172084404935236</v>
      </c>
      <c r="K225" s="32" t="n">
        <f aca="false">IF(AND('SKU Summary'!F10=0,'SKU Summary'!L10=0),IFERROR('SKU Summary'!O10/'SKU Summary'!L27,0)-IFERROR('SKU Summary'!I10/'SKU Summary'!F27,0),0)</f>
        <v>0</v>
      </c>
      <c r="L225" s="32" t="n">
        <f aca="false">SUM(H225:K225)</f>
        <v>0.00172084404935236</v>
      </c>
    </row>
    <row r="226" customFormat="false" ht="15" hidden="false" customHeight="false" outlineLevel="0" collapsed="false">
      <c r="B226" s="6" t="s">
        <v>242</v>
      </c>
      <c r="C226" s="6" t="s">
        <v>237</v>
      </c>
      <c r="D226" s="22" t="n">
        <f aca="false">IFERROR('SKU Summary'!F11/'SKU Summary'!F27,0)</f>
        <v>0</v>
      </c>
      <c r="E226" s="22" t="n">
        <f aca="false">IFERROR('SKU Summary'!L11/'SKU Summary'!L27,0)</f>
        <v>0.00422419101512098</v>
      </c>
      <c r="F226" s="22" t="n">
        <f aca="false">IFERROR('SKU Summary'!I11/'SKU Summary'!F11,0)</f>
        <v>0</v>
      </c>
      <c r="G226" s="22" t="n">
        <f aca="false">IFERROR('SKU Summary'!O11/'SKU Summary'!L11,0)</f>
        <v>-3.4632056551903</v>
      </c>
      <c r="H226" s="32" t="n">
        <f aca="false">IF(AND('SKU Summary'!F11&lt;&gt;0,'SKU Summary'!L11&lt;&gt;0),E226*(G226-F226),0)</f>
        <v>0</v>
      </c>
      <c r="I226" s="32" t="n">
        <f aca="false">IF(AND('SKU Summary'!F11&lt;&gt;0,'SKU Summary'!L11&lt;&gt;0),(E226-D226)*F226,0)</f>
        <v>0</v>
      </c>
      <c r="J226" s="32" t="n">
        <f aca="false">IF(OR(AND('SKU Summary'!F11&lt;&gt;0,'SKU Summary'!L11&lt;&gt;0),AND('SKU Summary'!F11=0,'SKU Summary'!L11=0)),0,E226*G226-D226*F226)</f>
        <v>-0.014629242212171</v>
      </c>
      <c r="K226" s="32" t="n">
        <f aca="false">IF(AND('SKU Summary'!F11=0,'SKU Summary'!L11=0),IFERROR('SKU Summary'!O11/'SKU Summary'!L27,0)-IFERROR('SKU Summary'!I11/'SKU Summary'!F27,0),0)</f>
        <v>0</v>
      </c>
      <c r="L226" s="32" t="n">
        <f aca="false">SUM(H226:K226)</f>
        <v>-0.014629242212171</v>
      </c>
    </row>
    <row r="227" customFormat="false" ht="15" hidden="false" customHeight="false" outlineLevel="0" collapsed="false">
      <c r="B227" s="6" t="s">
        <v>242</v>
      </c>
      <c r="C227" s="6" t="s">
        <v>238</v>
      </c>
      <c r="D227" s="22" t="n">
        <f aca="false">IFERROR('SKU Summary'!F12/'SKU Summary'!F27,0)</f>
        <v>0.00937403055244395</v>
      </c>
      <c r="E227" s="22" t="n">
        <f aca="false">IFERROR('SKU Summary'!L12/'SKU Summary'!L27,0)</f>
        <v>0</v>
      </c>
      <c r="F227" s="22" t="n">
        <f aca="false">IFERROR('SKU Summary'!I12/'SKU Summary'!F12,0)</f>
        <v>-0.673955841627001</v>
      </c>
      <c r="G227" s="22" t="n">
        <f aca="false">IFERROR('SKU Summary'!O12/'SKU Summary'!L12,0)</f>
        <v>0</v>
      </c>
      <c r="H227" s="32" t="n">
        <f aca="false">IF(AND('SKU Summary'!F12&lt;&gt;0,'SKU Summary'!L12&lt;&gt;0),E227*(G227-F227),0)</f>
        <v>0</v>
      </c>
      <c r="I227" s="32" t="n">
        <f aca="false">IF(AND('SKU Summary'!F12&lt;&gt;0,'SKU Summary'!L12&lt;&gt;0),(E227-D227)*F227,0)</f>
        <v>0</v>
      </c>
      <c r="J227" s="32" t="n">
        <f aca="false">IF(OR(AND('SKU Summary'!F12&lt;&gt;0,'SKU Summary'!L12&lt;&gt;0),AND('SKU Summary'!F12=0,'SKU Summary'!L12=0)),0,E227*G227-D227*F227)</f>
        <v>0.00631768265040959</v>
      </c>
      <c r="K227" s="32" t="n">
        <f aca="false">IF(AND('SKU Summary'!F12=0,'SKU Summary'!L12=0),IFERROR('SKU Summary'!O12/'SKU Summary'!L27,0)-IFERROR('SKU Summary'!I12/'SKU Summary'!F27,0),0)</f>
        <v>0</v>
      </c>
      <c r="L227" s="32" t="n">
        <f aca="false">SUM(H227:K227)</f>
        <v>0.00631768265040959</v>
      </c>
    </row>
    <row r="228" customFormat="false" ht="15" hidden="false" customHeight="false" outlineLevel="0" collapsed="false">
      <c r="B228" s="6" t="s">
        <v>243</v>
      </c>
      <c r="C228" s="6" t="s">
        <v>241</v>
      </c>
      <c r="D228" s="22" t="n">
        <f aca="false">IFERROR('SKU Summary'!F13/'SKU Summary'!F27,0)</f>
        <v>0</v>
      </c>
      <c r="E228" s="22" t="n">
        <f aca="false">IFERROR('SKU Summary'!L13/'SKU Summary'!L27,0)</f>
        <v>0</v>
      </c>
      <c r="F228" s="22" t="n">
        <f aca="false">IFERROR('SKU Summary'!I13/'SKU Summary'!F13,0)</f>
        <v>0</v>
      </c>
      <c r="G228" s="22" t="n">
        <f aca="false">IFERROR('SKU Summary'!O13/'SKU Summary'!L13,0)</f>
        <v>0</v>
      </c>
      <c r="H228" s="32" t="n">
        <f aca="false">IF(AND('SKU Summary'!F13&lt;&gt;0,'SKU Summary'!L13&lt;&gt;0),E228*(G228-F228),0)</f>
        <v>0</v>
      </c>
      <c r="I228" s="32" t="n">
        <f aca="false">IF(AND('SKU Summary'!F13&lt;&gt;0,'SKU Summary'!L13&lt;&gt;0),(E228-D228)*F228,0)</f>
        <v>0</v>
      </c>
      <c r="J228" s="32" t="n">
        <f aca="false">IF(OR(AND('SKU Summary'!F13&lt;&gt;0,'SKU Summary'!L13&lt;&gt;0),AND('SKU Summary'!F13=0,'SKU Summary'!L13=0)),0,E228*G228-D228*F228)</f>
        <v>0</v>
      </c>
      <c r="K228" s="32" t="n">
        <f aca="false">IF(AND('SKU Summary'!F13=0,'SKU Summary'!L13=0),IFERROR('SKU Summary'!O13/'SKU Summary'!L27,0)-IFERROR('SKU Summary'!I13/'SKU Summary'!F27,0),0)</f>
        <v>-0.000330021851915791</v>
      </c>
      <c r="L228" s="32" t="n">
        <f aca="false">SUM(H228:K228)</f>
        <v>-0.000330021851915791</v>
      </c>
    </row>
    <row r="229" customFormat="false" ht="15" hidden="false" customHeight="false" outlineLevel="0" collapsed="false">
      <c r="B229" s="6" t="s">
        <v>244</v>
      </c>
      <c r="C229" s="6" t="s">
        <v>237</v>
      </c>
      <c r="D229" s="22" t="n">
        <f aca="false">IFERROR('SKU Summary'!F14/'SKU Summary'!F27,0)</f>
        <v>0.00745338863700379</v>
      </c>
      <c r="E229" s="22" t="n">
        <f aca="false">IFERROR('SKU Summary'!L14/'SKU Summary'!L27,0)</f>
        <v>0.0112634381743138</v>
      </c>
      <c r="F229" s="22" t="n">
        <f aca="false">IFERROR('SKU Summary'!I14/'SKU Summary'!F14,0)</f>
        <v>0.898568097959184</v>
      </c>
      <c r="G229" s="22" t="n">
        <f aca="false">IFERROR('SKU Summary'!O14/'SKU Summary'!L14,0)</f>
        <v>0.32199068040369</v>
      </c>
      <c r="H229" s="32" t="n">
        <f aca="false">IF(AND('SKU Summary'!F14&lt;&gt;0,'SKU Summary'!L14&lt;&gt;0),E229*(G229-F229),0)</f>
        <v>-0.00649424409534181</v>
      </c>
      <c r="I229" s="32" t="n">
        <f aca="false">IF(AND('SKU Summary'!F14&lt;&gt;0,'SKU Summary'!L14&lt;&gt;0),(E229-D229)*F229,0)</f>
        <v>0.00342358896587091</v>
      </c>
      <c r="J229" s="32" t="n">
        <f aca="false">IF(OR(AND('SKU Summary'!F14&lt;&gt;0,'SKU Summary'!L14&lt;&gt;0),AND('SKU Summary'!F14=0,'SKU Summary'!L14=0)),0,E229*G229-D229*F229)</f>
        <v>0</v>
      </c>
      <c r="K229" s="32" t="n">
        <f aca="false">IF(AND('SKU Summary'!F14=0,'SKU Summary'!L14=0),IFERROR('SKU Summary'!O14/'SKU Summary'!L27,0)-IFERROR('SKU Summary'!I14/'SKU Summary'!F27,0),0)</f>
        <v>0</v>
      </c>
      <c r="L229" s="32" t="n">
        <f aca="false">SUM(H229:K229)</f>
        <v>-0.0030706551294709</v>
      </c>
    </row>
    <row r="230" customFormat="false" ht="15" hidden="false" customHeight="false" outlineLevel="0" collapsed="false">
      <c r="B230" s="6" t="s">
        <v>244</v>
      </c>
      <c r="C230" s="6" t="s">
        <v>238</v>
      </c>
      <c r="D230" s="22" t="n">
        <f aca="false">IFERROR('SKU Summary'!F15/'SKU Summary'!F27,0)</f>
        <v>0.00527314570237003</v>
      </c>
      <c r="E230" s="22" t="n">
        <f aca="false">IFERROR('SKU Summary'!L15/'SKU Summary'!L27,0)</f>
        <v>0.000411452001657533</v>
      </c>
      <c r="F230" s="22" t="n">
        <f aca="false">IFERROR('SKU Summary'!I15/'SKU Summary'!F15,0)</f>
        <v>0.4453393</v>
      </c>
      <c r="G230" s="22" t="n">
        <f aca="false">IFERROR('SKU Summary'!O15/'SKU Summary'!L15,0)</f>
        <v>0.889067858829227</v>
      </c>
      <c r="H230" s="32" t="n">
        <f aca="false">IF(AND('SKU Summary'!F15&lt;&gt;0,'SKU Summary'!L15&lt;&gt;0),E230*(G230-F230),0)</f>
        <v>0.000182573003722898</v>
      </c>
      <c r="I230" s="32" t="n">
        <f aca="false">IF(AND('SKU Summary'!F15&lt;&gt;0,'SKU Summary'!L15&lt;&gt;0),(E230-D230)*F230,0)</f>
        <v>-0.00216510326948971</v>
      </c>
      <c r="J230" s="32" t="n">
        <f aca="false">IF(OR(AND('SKU Summary'!F15&lt;&gt;0,'SKU Summary'!L15&lt;&gt;0),AND('SKU Summary'!F15=0,'SKU Summary'!L15=0)),0,E230*G230-D230*F230)</f>
        <v>0</v>
      </c>
      <c r="K230" s="32" t="n">
        <f aca="false">IF(AND('SKU Summary'!F15=0,'SKU Summary'!L15=0),IFERROR('SKU Summary'!O15/'SKU Summary'!L27,0)-IFERROR('SKU Summary'!I15/'SKU Summary'!F27,0),0)</f>
        <v>0</v>
      </c>
      <c r="L230" s="32" t="n">
        <f aca="false">SUM(H230:K230)</f>
        <v>-0.00198253026576681</v>
      </c>
    </row>
    <row r="231" customFormat="false" ht="15" hidden="false" customHeight="false" outlineLevel="0" collapsed="false">
      <c r="B231" s="6" t="s">
        <v>245</v>
      </c>
      <c r="C231" s="6" t="s">
        <v>238</v>
      </c>
      <c r="D231" s="22" t="n">
        <f aca="false">IFERROR('SKU Summary'!F16/'SKU Summary'!F27,0)</f>
        <v>0.0536627756800573</v>
      </c>
      <c r="E231" s="22" t="n">
        <f aca="false">IFERROR('SKU Summary'!L16/'SKU Summary'!L27,0)</f>
        <v>0</v>
      </c>
      <c r="F231" s="22" t="n">
        <f aca="false">IFERROR('SKU Summary'!I16/'SKU Summary'!F16,0)</f>
        <v>-0.868980080274536</v>
      </c>
      <c r="G231" s="22" t="n">
        <f aca="false">IFERROR('SKU Summary'!O16/'SKU Summary'!L16,0)</f>
        <v>0</v>
      </c>
      <c r="H231" s="32" t="n">
        <f aca="false">IF(AND('SKU Summary'!F16&lt;&gt;0,'SKU Summary'!L16&lt;&gt;0),E231*(G231-F231),0)</f>
        <v>0</v>
      </c>
      <c r="I231" s="32" t="n">
        <f aca="false">IF(AND('SKU Summary'!F16&lt;&gt;0,'SKU Summary'!L16&lt;&gt;0),(E231-D231)*F231,0)</f>
        <v>0</v>
      </c>
      <c r="J231" s="32" t="n">
        <f aca="false">IF(OR(AND('SKU Summary'!F16&lt;&gt;0,'SKU Summary'!L16&lt;&gt;0),AND('SKU Summary'!F16=0,'SKU Summary'!L16=0)),0,E231*G231-D231*F231)</f>
        <v>0.0466318831182106</v>
      </c>
      <c r="K231" s="32" t="n">
        <f aca="false">IF(AND('SKU Summary'!F16=0,'SKU Summary'!L16=0),IFERROR('SKU Summary'!O16/'SKU Summary'!L27,0)-IFERROR('SKU Summary'!I16/'SKU Summary'!F27,0),0)</f>
        <v>0</v>
      </c>
      <c r="L231" s="32" t="n">
        <f aca="false">SUM(H231:K231)</f>
        <v>0.0466318831182106</v>
      </c>
    </row>
    <row r="232" customFormat="false" ht="15" hidden="false" customHeight="false" outlineLevel="0" collapsed="false">
      <c r="B232" s="6" t="s">
        <v>246</v>
      </c>
      <c r="C232" s="6" t="s">
        <v>237</v>
      </c>
      <c r="D232" s="22" t="n">
        <f aca="false">IFERROR('SKU Summary'!F17/'SKU Summary'!F27,0)</f>
        <v>0.0101516167302473</v>
      </c>
      <c r="E232" s="22" t="n">
        <f aca="false">IFERROR('SKU Summary'!L17/'SKU Summary'!L27,0)</f>
        <v>0.569035915213028</v>
      </c>
      <c r="F232" s="22" t="n">
        <f aca="false">IFERROR('SKU Summary'!I17/'SKU Summary'!F17,0)</f>
        <v>0.10877310504655</v>
      </c>
      <c r="G232" s="22" t="n">
        <f aca="false">IFERROR('SKU Summary'!O17/'SKU Summary'!L17,0)</f>
        <v>-0.0181479245135099</v>
      </c>
      <c r="H232" s="32" t="n">
        <f aca="false">IF(AND('SKU Summary'!F17&lt;&gt;0,'SKU Summary'!L17&lt;&gt;0),E232*(G232-F232),0)</f>
        <v>-0.0722226242154883</v>
      </c>
      <c r="I232" s="32" t="n">
        <f aca="false">IF(AND('SKU Summary'!F17&lt;&gt;0,'SKU Summary'!L17&lt;&gt;0),(E232-D232)*F232,0)</f>
        <v>0.0607915805077348</v>
      </c>
      <c r="J232" s="32" t="n">
        <f aca="false">IF(OR(AND('SKU Summary'!F17&lt;&gt;0,'SKU Summary'!L17&lt;&gt;0),AND('SKU Summary'!F17=0,'SKU Summary'!L17=0)),0,E232*G232-D232*F232)</f>
        <v>0</v>
      </c>
      <c r="K232" s="32" t="n">
        <f aca="false">IF(AND('SKU Summary'!F17=0,'SKU Summary'!L17=0),IFERROR('SKU Summary'!O17/'SKU Summary'!L27,0)-IFERROR('SKU Summary'!I17/'SKU Summary'!F27,0),0)</f>
        <v>0</v>
      </c>
      <c r="L232" s="32" t="n">
        <f aca="false">SUM(H232:K232)</f>
        <v>-0.0114310437077535</v>
      </c>
    </row>
    <row r="233" customFormat="false" ht="15" hidden="false" customHeight="false" outlineLevel="0" collapsed="false">
      <c r="B233" s="6" t="s">
        <v>246</v>
      </c>
      <c r="C233" s="6" t="s">
        <v>238</v>
      </c>
      <c r="D233" s="22" t="n">
        <f aca="false">IFERROR('SKU Summary'!F18/'SKU Summary'!F27,0)</f>
        <v>0.624210204461763</v>
      </c>
      <c r="E233" s="22" t="n">
        <f aca="false">IFERROR('SKU Summary'!L18/'SKU Summary'!L27,0)</f>
        <v>0.188964618408611</v>
      </c>
      <c r="F233" s="22" t="n">
        <f aca="false">IFERROR('SKU Summary'!I18/'SKU Summary'!F18,0)</f>
        <v>0.0850954880855148</v>
      </c>
      <c r="G233" s="22" t="n">
        <f aca="false">IFERROR('SKU Summary'!O18/'SKU Summary'!L18,0)</f>
        <v>0.0284610577875121</v>
      </c>
      <c r="H233" s="32" t="n">
        <f aca="false">IF(AND('SKU Summary'!F18&lt;&gt;0,'SKU Summary'!L18&lt;&gt;0),E233*(G233-F233),0)</f>
        <v>-0.0107019035100512</v>
      </c>
      <c r="I233" s="32" t="n">
        <f aca="false">IF(AND('SKU Summary'!F18&lt;&gt;0,'SKU Summary'!L18&lt;&gt;0),(E233-D233)*F233,0)</f>
        <v>-0.0370374355822588</v>
      </c>
      <c r="J233" s="32" t="n">
        <f aca="false">IF(OR(AND('SKU Summary'!F18&lt;&gt;0,'SKU Summary'!L18&lt;&gt;0),AND('SKU Summary'!F18=0,'SKU Summary'!L18=0)),0,E233*G233-D233*F233)</f>
        <v>0</v>
      </c>
      <c r="K233" s="32" t="n">
        <f aca="false">IF(AND('SKU Summary'!F18=0,'SKU Summary'!L18=0),IFERROR('SKU Summary'!O18/'SKU Summary'!L27,0)-IFERROR('SKU Summary'!I18/'SKU Summary'!F27,0),0)</f>
        <v>0</v>
      </c>
      <c r="L233" s="32" t="n">
        <f aca="false">SUM(H233:K233)</f>
        <v>-0.04773933909231</v>
      </c>
    </row>
    <row r="234" customFormat="false" ht="15" hidden="false" customHeight="false" outlineLevel="0" collapsed="false">
      <c r="B234" s="6" t="s">
        <v>246</v>
      </c>
      <c r="C234" s="6" t="s">
        <v>247</v>
      </c>
      <c r="D234" s="22" t="n">
        <f aca="false">IFERROR('SKU Summary'!F19/'SKU Summary'!F27,0)</f>
        <v>0</v>
      </c>
      <c r="E234" s="22" t="n">
        <f aca="false">IFERROR('SKU Summary'!L19/'SKU Summary'!L27,0)</f>
        <v>0.0153060558161805</v>
      </c>
      <c r="F234" s="22" t="n">
        <f aca="false">IFERROR('SKU Summary'!I19/'SKU Summary'!F19,0)</f>
        <v>0</v>
      </c>
      <c r="G234" s="22" t="n">
        <f aca="false">IFERROR('SKU Summary'!O19/'SKU Summary'!L19,0)</f>
        <v>0.0708584631982472</v>
      </c>
      <c r="H234" s="32" t="n">
        <f aca="false">IF(AND('SKU Summary'!F19&lt;&gt;0,'SKU Summary'!L19&lt;&gt;0),E234*(G234-F234),0)</f>
        <v>0</v>
      </c>
      <c r="I234" s="32" t="n">
        <f aca="false">IF(AND('SKU Summary'!F19&lt;&gt;0,'SKU Summary'!L19&lt;&gt;0),(E234-D234)*F234,0)</f>
        <v>0</v>
      </c>
      <c r="J234" s="32" t="n">
        <f aca="false">IF(OR(AND('SKU Summary'!F19&lt;&gt;0,'SKU Summary'!L19&lt;&gt;0),AND('SKU Summary'!F19=0,'SKU Summary'!L19=0)),0,E234*G234-D234*F234)</f>
        <v>0.00108456359276114</v>
      </c>
      <c r="K234" s="32" t="n">
        <f aca="false">IF(AND('SKU Summary'!F19=0,'SKU Summary'!L19=0),IFERROR('SKU Summary'!O19/'SKU Summary'!L27,0)-IFERROR('SKU Summary'!I19/'SKU Summary'!F27,0),0)</f>
        <v>0</v>
      </c>
      <c r="L234" s="32" t="n">
        <f aca="false">SUM(H234:K234)</f>
        <v>0.00108456359276114</v>
      </c>
    </row>
    <row r="235" customFormat="false" ht="15" hidden="false" customHeight="false" outlineLevel="0" collapsed="false">
      <c r="B235" s="6" t="s">
        <v>248</v>
      </c>
      <c r="C235" s="6" t="s">
        <v>237</v>
      </c>
      <c r="D235" s="22" t="n">
        <f aca="false">IFERROR('SKU Summary'!F20/'SKU Summary'!F27,0)</f>
        <v>0</v>
      </c>
      <c r="E235" s="22" t="n">
        <f aca="false">IFERROR('SKU Summary'!L20/'SKU Summary'!L27,0)</f>
        <v>0.00844474119085935</v>
      </c>
      <c r="F235" s="22" t="n">
        <f aca="false">IFERROR('SKU Summary'!I20/'SKU Summary'!F20,0)</f>
        <v>0</v>
      </c>
      <c r="G235" s="22" t="n">
        <f aca="false">IFERROR('SKU Summary'!O20/'SKU Summary'!L20,0)</f>
        <v>-2.138856116881</v>
      </c>
      <c r="H235" s="32" t="n">
        <f aca="false">IF(AND('SKU Summary'!F20&lt;&gt;0,'SKU Summary'!L20&lt;&gt;0),E235*(G235-F235),0)</f>
        <v>0</v>
      </c>
      <c r="I235" s="32" t="n">
        <f aca="false">IF(AND('SKU Summary'!F20&lt;&gt;0,'SKU Summary'!L20&lt;&gt;0),(E235-D235)*F235,0)</f>
        <v>0</v>
      </c>
      <c r="J235" s="32" t="n">
        <f aca="false">IF(OR(AND('SKU Summary'!F20&lt;&gt;0,'SKU Summary'!L20&lt;&gt;0),AND('SKU Summary'!F20=0,'SKU Summary'!L20=0)),0,E235*G235-D235*F235)</f>
        <v>-0.0180620863515465</v>
      </c>
      <c r="K235" s="32" t="n">
        <f aca="false">IF(AND('SKU Summary'!F20=0,'SKU Summary'!L20=0),IFERROR('SKU Summary'!O20/'SKU Summary'!L27,0)-IFERROR('SKU Summary'!I20/'SKU Summary'!F27,0),0)</f>
        <v>0</v>
      </c>
      <c r="L235" s="32" t="n">
        <f aca="false">SUM(H235:K235)</f>
        <v>-0.0180620863515465</v>
      </c>
    </row>
    <row r="236" customFormat="false" ht="15" hidden="false" customHeight="false" outlineLevel="0" collapsed="false">
      <c r="B236" s="6" t="s">
        <v>248</v>
      </c>
      <c r="C236" s="6" t="s">
        <v>238</v>
      </c>
      <c r="D236" s="22" t="n">
        <f aca="false">IFERROR('SKU Summary'!F21/'SKU Summary'!F27,0)</f>
        <v>0.00420026336523397</v>
      </c>
      <c r="E236" s="22" t="n">
        <f aca="false">IFERROR('SKU Summary'!L21/'SKU Summary'!L27,0)</f>
        <v>0.000304270148404081</v>
      </c>
      <c r="F236" s="22" t="n">
        <f aca="false">IFERROR('SKU Summary'!I21/'SKU Summary'!F21,0)</f>
        <v>-0.559460502172864</v>
      </c>
      <c r="G236" s="22" t="n">
        <f aca="false">IFERROR('SKU Summary'!O21/'SKU Summary'!L21,0)</f>
        <v>-0.559460515100133</v>
      </c>
      <c r="H236" s="32" t="n">
        <f aca="false">IF(AND('SKU Summary'!F21&lt;&gt;0,'SKU Summary'!L21&lt;&gt;0),E236*(G236-F236),0)</f>
        <v>-3.93338216847697E-012</v>
      </c>
      <c r="I236" s="32" t="n">
        <f aca="false">IF(AND('SKU Summary'!F21&lt;&gt;0,'SKU Summary'!L21&lt;&gt;0),(E236-D236)*F236,0)</f>
        <v>0.00217965432154972</v>
      </c>
      <c r="J236" s="32" t="n">
        <f aca="false">IF(OR(AND('SKU Summary'!F21&lt;&gt;0,'SKU Summary'!L21&lt;&gt;0),AND('SKU Summary'!F21=0,'SKU Summary'!L21=0)),0,E236*G236-D236*F236)</f>
        <v>0</v>
      </c>
      <c r="K236" s="32" t="n">
        <f aca="false">IF(AND('SKU Summary'!F21=0,'SKU Summary'!L21=0),IFERROR('SKU Summary'!O21/'SKU Summary'!L27,0)-IFERROR('SKU Summary'!I21/'SKU Summary'!F27,0),0)</f>
        <v>0</v>
      </c>
      <c r="L236" s="32" t="n">
        <f aca="false">SUM(H236:K236)</f>
        <v>0.00217965431761634</v>
      </c>
    </row>
    <row r="237" customFormat="false" ht="15" hidden="false" customHeight="false" outlineLevel="0" collapsed="false">
      <c r="B237" s="6" t="s">
        <v>249</v>
      </c>
      <c r="C237" s="6" t="s">
        <v>241</v>
      </c>
      <c r="D237" s="22" t="n">
        <f aca="false">IFERROR('SKU Summary'!F22/'SKU Summary'!F27,0)</f>
        <v>0</v>
      </c>
      <c r="E237" s="22" t="n">
        <f aca="false">IFERROR('SKU Summary'!L22/'SKU Summary'!L27,0)</f>
        <v>0</v>
      </c>
      <c r="F237" s="22" t="n">
        <f aca="false">IFERROR('SKU Summary'!I22/'SKU Summary'!F22,0)</f>
        <v>0</v>
      </c>
      <c r="G237" s="22" t="n">
        <f aca="false">IFERROR('SKU Summary'!O22/'SKU Summary'!L22,0)</f>
        <v>0</v>
      </c>
      <c r="H237" s="32" t="n">
        <f aca="false">IF(AND('SKU Summary'!F22&lt;&gt;0,'SKU Summary'!L22&lt;&gt;0),E237*(G237-F237),0)</f>
        <v>0</v>
      </c>
      <c r="I237" s="32" t="n">
        <f aca="false">IF(AND('SKU Summary'!F22&lt;&gt;0,'SKU Summary'!L22&lt;&gt;0),(E237-D237)*F237,0)</f>
        <v>0</v>
      </c>
      <c r="J237" s="32" t="n">
        <f aca="false">IF(OR(AND('SKU Summary'!F22&lt;&gt;0,'SKU Summary'!L22&lt;&gt;0),AND('SKU Summary'!F22=0,'SKU Summary'!L22=0)),0,E237*G237-D237*F237)</f>
        <v>0</v>
      </c>
      <c r="K237" s="32" t="n">
        <f aca="false">IF(AND('SKU Summary'!F22=0,'SKU Summary'!L22=0),IFERROR('SKU Summary'!O22/'SKU Summary'!L27,0)-IFERROR('SKU Summary'!I22/'SKU Summary'!F27,0),0)</f>
        <v>0.0283938614743001</v>
      </c>
      <c r="L237" s="32" t="n">
        <f aca="false">SUM(H237:K237)</f>
        <v>0.0283938614743001</v>
      </c>
    </row>
    <row r="238" customFormat="false" ht="15" hidden="false" customHeight="false" outlineLevel="0" collapsed="false">
      <c r="B238" s="6" t="s">
        <v>250</v>
      </c>
      <c r="C238" s="6" t="s">
        <v>241</v>
      </c>
      <c r="D238" s="22" t="n">
        <f aca="false">IFERROR('SKU Summary'!F23/'SKU Summary'!F27,0)</f>
        <v>0</v>
      </c>
      <c r="E238" s="22" t="n">
        <f aca="false">IFERROR('SKU Summary'!L23/'SKU Summary'!L27,0)</f>
        <v>0.000233905354621745</v>
      </c>
      <c r="F238" s="22" t="n">
        <f aca="false">IFERROR('SKU Summary'!I23/'SKU Summary'!F23,0)</f>
        <v>0</v>
      </c>
      <c r="G238" s="22" t="n">
        <f aca="false">IFERROR('SKU Summary'!O23/'SKU Summary'!L23,0)</f>
        <v>1</v>
      </c>
      <c r="H238" s="32" t="n">
        <f aca="false">IF(AND('SKU Summary'!F23&lt;&gt;0,'SKU Summary'!L23&lt;&gt;0),E238*(G238-F238),0)</f>
        <v>0</v>
      </c>
      <c r="I238" s="32" t="n">
        <f aca="false">IF(AND('SKU Summary'!F23&lt;&gt;0,'SKU Summary'!L23&lt;&gt;0),(E238-D238)*F238,0)</f>
        <v>0</v>
      </c>
      <c r="J238" s="32" t="n">
        <f aca="false">IF(OR(AND('SKU Summary'!F23&lt;&gt;0,'SKU Summary'!L23&lt;&gt;0),AND('SKU Summary'!F23=0,'SKU Summary'!L23=0)),0,E238*G238-D238*F238)</f>
        <v>0.000233905354621745</v>
      </c>
      <c r="K238" s="32" t="n">
        <f aca="false">IF(AND('SKU Summary'!F23=0,'SKU Summary'!L23=0),IFERROR('SKU Summary'!O23/'SKU Summary'!L27,0)-IFERROR('SKU Summary'!I23/'SKU Summary'!F27,0),0)</f>
        <v>0</v>
      </c>
      <c r="L238" s="32" t="n">
        <f aca="false">SUM(H238:K238)</f>
        <v>0.000233905354621745</v>
      </c>
    </row>
    <row r="239" customFormat="false" ht="15" hidden="false" customHeight="false" outlineLevel="0" collapsed="false">
      <c r="B239" s="6" t="s">
        <v>251</v>
      </c>
      <c r="C239" s="6" t="s">
        <v>238</v>
      </c>
      <c r="D239" s="22" t="n">
        <f aca="false">IFERROR('SKU Summary'!F24/'SKU Summary'!F27,0)</f>
        <v>0</v>
      </c>
      <c r="E239" s="22" t="n">
        <f aca="false">IFERROR('SKU Summary'!L24/'SKU Summary'!L27,0)</f>
        <v>0.0135543249015562</v>
      </c>
      <c r="F239" s="22" t="n">
        <f aca="false">IFERROR('SKU Summary'!I24/'SKU Summary'!F24,0)</f>
        <v>0</v>
      </c>
      <c r="G239" s="22" t="n">
        <f aca="false">IFERROR('SKU Summary'!O24/'SKU Summary'!L24,0)</f>
        <v>0.0985667432907745</v>
      </c>
      <c r="H239" s="32" t="n">
        <f aca="false">IF(AND('SKU Summary'!F24&lt;&gt;0,'SKU Summary'!L24&lt;&gt;0),E239*(G239-F239),0)</f>
        <v>0</v>
      </c>
      <c r="I239" s="32" t="n">
        <f aca="false">IF(AND('SKU Summary'!F24&lt;&gt;0,'SKU Summary'!L24&lt;&gt;0),(E239-D239)*F239,0)</f>
        <v>0</v>
      </c>
      <c r="J239" s="32" t="n">
        <f aca="false">IF(OR(AND('SKU Summary'!F24&lt;&gt;0,'SKU Summary'!L24&lt;&gt;0),AND('SKU Summary'!F24=0,'SKU Summary'!L24=0)),0,E239*G239-D239*F239)</f>
        <v>0.00133600566305144</v>
      </c>
      <c r="K239" s="32" t="n">
        <f aca="false">IF(AND('SKU Summary'!F24=0,'SKU Summary'!L24=0),IFERROR('SKU Summary'!O24/'SKU Summary'!L27,0)-IFERROR('SKU Summary'!I24/'SKU Summary'!F27,0),0)</f>
        <v>0</v>
      </c>
      <c r="L239" s="32" t="n">
        <f aca="false">SUM(H239:K239)</f>
        <v>0.00133600566305144</v>
      </c>
    </row>
    <row r="240" customFormat="false" ht="15" hidden="false" customHeight="false" outlineLevel="0" collapsed="false">
      <c r="B240" s="6" t="s">
        <v>252</v>
      </c>
      <c r="C240" s="6" t="s">
        <v>238</v>
      </c>
      <c r="D240" s="22" t="n">
        <f aca="false">IFERROR('SKU Summary'!F25/'SKU Summary'!F27,0)</f>
        <v>0.0990782297936302</v>
      </c>
      <c r="E240" s="22" t="n">
        <f aca="false">IFERROR('SKU Summary'!L25/'SKU Summary'!L27,0)</f>
        <v>0</v>
      </c>
      <c r="F240" s="22" t="n">
        <f aca="false">IFERROR('SKU Summary'!I25/'SKU Summary'!F25,0)</f>
        <v>-0.125169950261955</v>
      </c>
      <c r="G240" s="22" t="n">
        <f aca="false">IFERROR('SKU Summary'!O25/'SKU Summary'!L25,0)</f>
        <v>0</v>
      </c>
      <c r="H240" s="32" t="n">
        <f aca="false">IF(AND('SKU Summary'!F25&lt;&gt;0,'SKU Summary'!L25&lt;&gt;0),E240*(G240-F240),0)</f>
        <v>0</v>
      </c>
      <c r="I240" s="32" t="n">
        <f aca="false">IF(AND('SKU Summary'!F25&lt;&gt;0,'SKU Summary'!L25&lt;&gt;0),(E240-D240)*F240,0)</f>
        <v>0</v>
      </c>
      <c r="J240" s="32" t="n">
        <f aca="false">IF(OR(AND('SKU Summary'!F25&lt;&gt;0,'SKU Summary'!L25&lt;&gt;0),AND('SKU Summary'!F25=0,'SKU Summary'!L25=0)),0,E240*G240-D240*F240)</f>
        <v>0.0124016170953112</v>
      </c>
      <c r="K240" s="32" t="n">
        <f aca="false">IF(AND('SKU Summary'!F25=0,'SKU Summary'!L25=0),IFERROR('SKU Summary'!O25/'SKU Summary'!L27,0)-IFERROR('SKU Summary'!I25/'SKU Summary'!F27,0),0)</f>
        <v>0</v>
      </c>
      <c r="L240" s="32" t="n">
        <f aca="false">SUM(H240:K240)</f>
        <v>0.0124016170953112</v>
      </c>
    </row>
    <row r="241" customFormat="false" ht="15" hidden="false" customHeight="false" outlineLevel="0" collapsed="false">
      <c r="B241" s="6" t="s">
        <v>253</v>
      </c>
      <c r="C241" s="6" t="s">
        <v>237</v>
      </c>
      <c r="D241" s="22" t="n">
        <f aca="false">IFERROR('SKU Summary'!F26/'SKU Summary'!F27,0)</f>
        <v>0</v>
      </c>
      <c r="E241" s="22" t="n">
        <f aca="false">IFERROR('SKU Summary'!L26/'SKU Summary'!L27,0)</f>
        <v>0.00303384086982904</v>
      </c>
      <c r="F241" s="22" t="n">
        <f aca="false">IFERROR('SKU Summary'!I26/'SKU Summary'!F26,0)</f>
        <v>0</v>
      </c>
      <c r="G241" s="22" t="n">
        <f aca="false">IFERROR('SKU Summary'!O26/'SKU Summary'!L26,0)</f>
        <v>-0.727732799908069</v>
      </c>
      <c r="H241" s="32" t="n">
        <f aca="false">IF(AND('SKU Summary'!F26&lt;&gt;0,'SKU Summary'!L26&lt;&gt;0),E241*(G241-F241),0)</f>
        <v>0</v>
      </c>
      <c r="I241" s="32" t="n">
        <f aca="false">IF(AND('SKU Summary'!F26&lt;&gt;0,'SKU Summary'!L26&lt;&gt;0),(E241-D241)*F241,0)</f>
        <v>0</v>
      </c>
      <c r="J241" s="32" t="n">
        <f aca="false">IF(OR(AND('SKU Summary'!F26&lt;&gt;0,'SKU Summary'!L26&lt;&gt;0),AND('SKU Summary'!F26=0,'SKU Summary'!L26=0)),0,E241*G241-D241*F241)</f>
        <v>-0.00220782551067622</v>
      </c>
      <c r="K241" s="32" t="n">
        <f aca="false">IF(AND('SKU Summary'!F26=0,'SKU Summary'!L26=0),IFERROR('SKU Summary'!O26/'SKU Summary'!L27,0)-IFERROR('SKU Summary'!I26/'SKU Summary'!F27,0),0)</f>
        <v>0</v>
      </c>
      <c r="L241" s="32" t="n">
        <f aca="false">SUM(H241:K241)</f>
        <v>-0.00220782551067622</v>
      </c>
    </row>
    <row r="242" customFormat="false" ht="15" hidden="false" customHeight="false" outlineLevel="0" collapsed="false">
      <c r="B242" s="25" t="s">
        <v>417</v>
      </c>
      <c r="F242" s="22" t="n">
        <f aca="false">'SKU Summary'!J27</f>
        <v>-0.00615186517653514</v>
      </c>
      <c r="G242" s="22" t="n">
        <f aca="false">'SKU Summary'!P27</f>
        <v>-0.0235771261501477</v>
      </c>
      <c r="H242" s="34" t="n">
        <f aca="false">SUM(H221:H241)</f>
        <v>-0.0892361987362623</v>
      </c>
      <c r="I242" s="34" t="n">
        <f aca="false">SUM(I221:I241)</f>
        <v>0.00422184842537056</v>
      </c>
      <c r="J242" s="34" t="n">
        <f aca="false">SUM(J221:J241)</f>
        <v>0.0395252497148948</v>
      </c>
      <c r="K242" s="34" t="n">
        <f aca="false">SUM(K221:K241)</f>
        <v>0.0280638396223844</v>
      </c>
      <c r="L242" s="34" t="n">
        <f aca="false">SUM(L221:L241)</f>
        <v>-0.0174252609736126</v>
      </c>
    </row>
    <row r="243" customFormat="false" ht="15" hidden="false" customHeight="false" outlineLevel="0" collapsed="false">
      <c r="B243" s="6" t="s">
        <v>418</v>
      </c>
      <c r="L243" s="32" t="n">
        <f aca="false">D216</f>
        <v>0</v>
      </c>
    </row>
    <row r="244" customFormat="false" ht="15" hidden="false" customHeight="false" outlineLevel="0" collapsed="false">
      <c r="B244" s="29" t="s">
        <v>419</v>
      </c>
      <c r="L244" s="33" t="n">
        <f aca="false">L242+L243</f>
        <v>-0.0174252609736126</v>
      </c>
      <c r="N244" s="12" t="str">
        <f aca="false">IF(ROUND(L244-('Segment GP'!M35-'Segment GP'!H35),8)=0,"ties to Segment GP","CHECK")</f>
        <v>ties to Segment GP</v>
      </c>
    </row>
    <row r="247" customFormat="false" ht="15" hidden="false" customHeight="false" outlineLevel="0" collapsed="false">
      <c r="B247" s="18" t="s">
        <v>420</v>
      </c>
    </row>
    <row r="248" customFormat="false" ht="39.75" hidden="false" customHeight="true" outlineLevel="0" collapsed="false">
      <c r="B248" s="5" t="s">
        <v>373</v>
      </c>
      <c r="C248" s="5"/>
      <c r="D248" s="5" t="s">
        <v>328</v>
      </c>
      <c r="E248" s="5" t="s">
        <v>374</v>
      </c>
      <c r="F248" s="5" t="s">
        <v>387</v>
      </c>
      <c r="G248" s="5" t="s">
        <v>388</v>
      </c>
      <c r="H248" s="5" t="s">
        <v>389</v>
      </c>
      <c r="I248" s="5"/>
      <c r="J248" s="5"/>
      <c r="K248" s="5"/>
      <c r="L248" s="5"/>
      <c r="M248" s="5"/>
      <c r="N248" s="5" t="s">
        <v>375</v>
      </c>
    </row>
    <row r="249" customFormat="false" ht="15" hidden="false" customHeight="false" outlineLevel="0" collapsed="false">
      <c r="B249" s="11" t="s">
        <v>331</v>
      </c>
      <c r="D249" s="35" t="n">
        <f aca="false">'Segment GP'!H36</f>
        <v>0.168324343818021</v>
      </c>
      <c r="E249" s="36" t="n">
        <f aca="false">D249</f>
        <v>0.168324343818021</v>
      </c>
      <c r="N249" s="12" t="s">
        <v>390</v>
      </c>
    </row>
    <row r="250" customFormat="false" ht="15" hidden="false" customHeight="false" outlineLevel="0" collapsed="false">
      <c r="B250" s="6" t="s">
        <v>391</v>
      </c>
      <c r="D250" s="32" t="n">
        <f aca="false">SUMIFS($L$262:$L$269,$B$262:$B$269,"BLD")</f>
        <v>-0.0912451689456302</v>
      </c>
      <c r="E250" s="32" t="n">
        <f aca="false">E249+D250</f>
        <v>0.0770791748723911</v>
      </c>
      <c r="F250" s="32" t="n">
        <f aca="false">SUMIFS($H$262:$H$269,$B$262:$B$269,"BLD")</f>
        <v>-0.00391627701438168</v>
      </c>
      <c r="G250" s="32" t="n">
        <f aca="false">SUMIFS($I$262:$I$269,$B$262:$B$269,"BLD")</f>
        <v>-0.0873288919312486</v>
      </c>
      <c r="H250" s="32" t="n">
        <f aca="false">SUMIFS($J$262:$J$269,$B$262:$B$269,"BLD")+SUMIFS($K$262:$K$269,$B$262:$B$269,"BLD")</f>
        <v>0</v>
      </c>
    </row>
    <row r="251" customFormat="false" ht="15" hidden="false" customHeight="false" outlineLevel="0" collapsed="false">
      <c r="B251" s="6" t="s">
        <v>392</v>
      </c>
      <c r="D251" s="32" t="n">
        <f aca="false">SUMIFS($L$262:$L$269,$B$262:$B$269,"BLP")</f>
        <v>0.00758002768426002</v>
      </c>
      <c r="E251" s="32" t="n">
        <f aca="false">E250+D251</f>
        <v>0.0846592025566511</v>
      </c>
      <c r="F251" s="32" t="n">
        <f aca="false">SUMIFS($H$262:$H$269,$B$262:$B$269,"BLP")</f>
        <v>-0.00483490784233943</v>
      </c>
      <c r="G251" s="32" t="n">
        <f aca="false">SUMIFS($I$262:$I$269,$B$262:$B$269,"BLP")</f>
        <v>0.0124149355265995</v>
      </c>
      <c r="H251" s="32" t="n">
        <f aca="false">SUMIFS($J$262:$J$269,$B$262:$B$269,"BLP")+SUMIFS($K$262:$K$269,$B$262:$B$269,"BLP")</f>
        <v>0</v>
      </c>
    </row>
    <row r="252" customFormat="false" ht="15" hidden="false" customHeight="false" outlineLevel="0" collapsed="false">
      <c r="B252" s="6" t="s">
        <v>393</v>
      </c>
      <c r="D252" s="32" t="n">
        <f aca="false">SUMIFS($L$262:$L$269,$B$262:$B$269,"Belum ada detail item")</f>
        <v>-0.00328825626398643</v>
      </c>
      <c r="E252" s="32" t="n">
        <f aca="false">E251+D252</f>
        <v>0.0813709462926647</v>
      </c>
      <c r="F252" s="32" t="n">
        <f aca="false">SUMIFS($H$262:$H$269,$B$262:$B$269,"Belum ada detail item")</f>
        <v>0</v>
      </c>
      <c r="G252" s="32" t="n">
        <f aca="false">SUMIFS($I$262:$I$269,$B$262:$B$269,"Belum ada detail item")</f>
        <v>0</v>
      </c>
      <c r="H252" s="32" t="n">
        <f aca="false">SUMIFS($J$262:$J$269,$B$262:$B$269,"Belum ada detail item")+SUMIFS($K$262:$K$269,$B$262:$B$269,"Belum ada detail item")</f>
        <v>-0.00328825626398643</v>
      </c>
    </row>
    <row r="253" customFormat="false" ht="15" hidden="false" customHeight="false" outlineLevel="0" collapsed="false">
      <c r="B253" s="6" t="s">
        <v>397</v>
      </c>
      <c r="D253" s="32" t="n">
        <f aca="false">SUMIFS($L$262:$L$269,$B$262:$B$269,"KRK (Kerangka)")</f>
        <v>-0.00106380186159977</v>
      </c>
      <c r="E253" s="32" t="n">
        <f aca="false">E252+D253</f>
        <v>0.0803071444310649</v>
      </c>
      <c r="F253" s="32" t="n">
        <f aca="false">SUMIFS($H$262:$H$269,$B$262:$B$269,"KRK (Kerangka)")</f>
        <v>-0.00452311685964519</v>
      </c>
      <c r="G253" s="32" t="n">
        <f aca="false">SUMIFS($I$262:$I$269,$B$262:$B$269,"KRK (Kerangka)")</f>
        <v>0.00345931499804542</v>
      </c>
      <c r="H253" s="32" t="n">
        <f aca="false">SUMIFS($J$262:$J$269,$B$262:$B$269,"KRK (Kerangka)")+SUMIFS($K$262:$K$269,$B$262:$B$269,"KRK (Kerangka)")</f>
        <v>0</v>
      </c>
    </row>
    <row r="254" customFormat="false" ht="15" hidden="false" customHeight="false" outlineLevel="0" collapsed="false">
      <c r="B254" s="6" t="s">
        <v>398</v>
      </c>
      <c r="D254" s="32" t="n">
        <f aca="false">SUMIFS($L$262:$L$269,$B$262:$B$269,"Karkas")</f>
        <v>-0.000803881737549042</v>
      </c>
      <c r="E254" s="32" t="n">
        <f aca="false">E253+D254</f>
        <v>0.0795032626935159</v>
      </c>
      <c r="F254" s="32" t="n">
        <f aca="false">SUMIFS($H$262:$H$269,$B$262:$B$269,"Karkas")</f>
        <v>-0.0593597025499096</v>
      </c>
      <c r="G254" s="32" t="n">
        <f aca="false">SUMIFS($I$262:$I$269,$B$262:$B$269,"Karkas")</f>
        <v>0.0585558208123606</v>
      </c>
      <c r="H254" s="32" t="n">
        <f aca="false">SUMIFS($J$262:$J$269,$B$262:$B$269,"Karkas")+SUMIFS($K$262:$K$269,$B$262:$B$269,"Karkas")</f>
        <v>0</v>
      </c>
    </row>
    <row r="255" customFormat="false" ht="15" hidden="false" customHeight="false" outlineLevel="0" collapsed="false">
      <c r="B255" s="6" t="s">
        <v>421</v>
      </c>
      <c r="D255" s="32" t="n">
        <f aca="false">SUMIFS($L$262:$L$269,$B$262:$B$269,"Kulit")</f>
        <v>0.00325334273966581</v>
      </c>
      <c r="E255" s="32" t="n">
        <f aca="false">E254+D255</f>
        <v>0.0827566054331817</v>
      </c>
      <c r="F255" s="32" t="n">
        <f aca="false">SUMIFS($H$262:$H$269,$B$262:$B$269,"Kulit")</f>
        <v>0</v>
      </c>
      <c r="G255" s="32" t="n">
        <f aca="false">SUMIFS($I$262:$I$269,$B$262:$B$269,"Kulit")</f>
        <v>0</v>
      </c>
      <c r="H255" s="32" t="n">
        <f aca="false">SUMIFS($J$262:$J$269,$B$262:$B$269,"Kulit")+SUMIFS($K$262:$K$269,$B$262:$B$269,"Kulit")</f>
        <v>0.00325334273966581</v>
      </c>
    </row>
    <row r="256" customFormat="false" ht="15" hidden="false" customHeight="false" outlineLevel="0" collapsed="false">
      <c r="B256" s="6" t="s">
        <v>403</v>
      </c>
      <c r="D256" s="32" t="n">
        <f aca="false">SUMIFS($L$262:$L$269,$B$262:$B$269,"Sayap")</f>
        <v>0.000125247859376054</v>
      </c>
      <c r="E256" s="32" t="n">
        <f aca="false">E255+D256</f>
        <v>0.0828818532925577</v>
      </c>
      <c r="F256" s="32" t="n">
        <f aca="false">SUMIFS($H$262:$H$269,$B$262:$B$269,"Sayap")</f>
        <v>0</v>
      </c>
      <c r="G256" s="32" t="n">
        <f aca="false">SUMIFS($I$262:$I$269,$B$262:$B$269,"Sayap")</f>
        <v>0</v>
      </c>
      <c r="H256" s="32" t="n">
        <f aca="false">SUMIFS($J$262:$J$269,$B$262:$B$269,"Sayap")+SUMIFS($K$262:$K$269,$B$262:$B$269,"Sayap")</f>
        <v>0.000125247859376054</v>
      </c>
    </row>
    <row r="257" customFormat="false" ht="15" hidden="false" customHeight="false" outlineLevel="0" collapsed="false">
      <c r="B257" s="6" t="s">
        <v>405</v>
      </c>
      <c r="D257" s="35" t="n">
        <f aca="false">'Segment GP'!M28/'Segment GP'!M7-'Segment GP'!H28/'Segment GP'!H7</f>
        <v>0</v>
      </c>
      <c r="E257" s="32" t="n">
        <f aca="false">E256+D257</f>
        <v>0.0828818532925577</v>
      </c>
      <c r="N257" s="12" t="s">
        <v>406</v>
      </c>
    </row>
    <row r="258" customFormat="false" ht="15" hidden="false" customHeight="false" outlineLevel="0" collapsed="false">
      <c r="B258" s="29" t="s">
        <v>340</v>
      </c>
      <c r="D258" s="33" t="n">
        <f aca="false">SUM(D249:D257)</f>
        <v>0.0828818532925577</v>
      </c>
      <c r="E258" s="33" t="n">
        <f aca="false">D258</f>
        <v>0.0828818532925577</v>
      </c>
      <c r="F258" s="33" t="n">
        <f aca="false">SUM(F250:F256)</f>
        <v>-0.0726340042662759</v>
      </c>
      <c r="G258" s="33" t="n">
        <f aca="false">SUM(G250:G256)</f>
        <v>-0.0128988205942431</v>
      </c>
      <c r="H258" s="33" t="n">
        <f aca="false">SUM(H250:H256)</f>
        <v>9.03343350554426E-005</v>
      </c>
    </row>
    <row r="259" customFormat="false" ht="15" hidden="false" customHeight="false" outlineLevel="0" collapsed="false">
      <c r="B259" s="12" t="s">
        <v>341</v>
      </c>
      <c r="D259" s="32" t="n">
        <f aca="false">ROUND(D258-'Segment GP'!M36,8)</f>
        <v>0</v>
      </c>
    </row>
    <row r="260" customFormat="false" ht="15" hidden="false" customHeight="false" outlineLevel="0" collapsed="false">
      <c r="B260" s="28" t="s">
        <v>407</v>
      </c>
    </row>
    <row r="261" customFormat="false" ht="39.75" hidden="false" customHeight="true" outlineLevel="0" collapsed="false">
      <c r="B261" s="5" t="s">
        <v>224</v>
      </c>
      <c r="C261" s="5" t="s">
        <v>225</v>
      </c>
      <c r="D261" s="5" t="s">
        <v>408</v>
      </c>
      <c r="E261" s="5" t="s">
        <v>409</v>
      </c>
      <c r="F261" s="5" t="s">
        <v>410</v>
      </c>
      <c r="G261" s="5" t="s">
        <v>411</v>
      </c>
      <c r="H261" s="5" t="s">
        <v>412</v>
      </c>
      <c r="I261" s="5" t="s">
        <v>413</v>
      </c>
      <c r="J261" s="5" t="s">
        <v>414</v>
      </c>
      <c r="K261" s="5" t="s">
        <v>415</v>
      </c>
      <c r="L261" s="5" t="s">
        <v>355</v>
      </c>
      <c r="M261" s="5"/>
      <c r="N261" s="5" t="s">
        <v>416</v>
      </c>
    </row>
    <row r="262" customFormat="false" ht="15" hidden="false" customHeight="false" outlineLevel="0" collapsed="false">
      <c r="B262" s="6" t="s">
        <v>236</v>
      </c>
      <c r="C262" s="6" t="s">
        <v>238</v>
      </c>
      <c r="D262" s="22" t="n">
        <f aca="false">IFERROR('SKU Summary'!F29/'SKU Summary'!F37,0)</f>
        <v>0.668116381755362</v>
      </c>
      <c r="E262" s="22" t="n">
        <f aca="false">IFERROR('SKU Summary'!L29/'SKU Summary'!L37,0)</f>
        <v>0.177245852613456</v>
      </c>
      <c r="F262" s="22" t="n">
        <f aca="false">IFERROR('SKU Summary'!I29/'SKU Summary'!F29,0)</f>
        <v>0.177906162107366</v>
      </c>
      <c r="G262" s="22" t="n">
        <f aca="false">IFERROR('SKU Summary'!O29/'SKU Summary'!L29,0)</f>
        <v>0.155810993410119</v>
      </c>
      <c r="H262" s="32" t="n">
        <f aca="false">IF(AND('SKU Summary'!F29&lt;&gt;0,'SKU Summary'!L29&lt;&gt;0),E262*(G262-F262),0)</f>
        <v>-0.00391627701438168</v>
      </c>
      <c r="I262" s="32" t="n">
        <f aca="false">IF(AND('SKU Summary'!F29&lt;&gt;0,'SKU Summary'!L29&lt;&gt;0),(E262-D262)*F262,0)</f>
        <v>-0.0873288919312486</v>
      </c>
      <c r="J262" s="32" t="n">
        <f aca="false">IF(OR(AND('SKU Summary'!F29&lt;&gt;0,'SKU Summary'!L29&lt;&gt;0),AND('SKU Summary'!F29=0,'SKU Summary'!L29=0)),0,E262*G262-D262*F262)</f>
        <v>0</v>
      </c>
      <c r="K262" s="32" t="n">
        <f aca="false">IF(AND('SKU Summary'!F29=0,'SKU Summary'!L29=0),IFERROR('SKU Summary'!O29/'SKU Summary'!L37,0)-IFERROR('SKU Summary'!I29/'SKU Summary'!F37,0),0)</f>
        <v>0</v>
      </c>
      <c r="L262" s="32" t="n">
        <f aca="false">SUM(H262:K262)</f>
        <v>-0.0912451689456302</v>
      </c>
    </row>
    <row r="263" customFormat="false" ht="15" hidden="false" customHeight="false" outlineLevel="0" collapsed="false">
      <c r="B263" s="6" t="s">
        <v>239</v>
      </c>
      <c r="C263" s="6" t="s">
        <v>238</v>
      </c>
      <c r="D263" s="22" t="n">
        <f aca="false">IFERROR('SKU Summary'!F30/'SKU Summary'!F37,0)</f>
        <v>0.186636611798682</v>
      </c>
      <c r="E263" s="22" t="n">
        <f aca="false">IFERROR('SKU Summary'!L30/'SKU Summary'!L37,0)</f>
        <v>0.265778019291347</v>
      </c>
      <c r="F263" s="22" t="n">
        <f aca="false">IFERROR('SKU Summary'!I30/'SKU Summary'!F30,0)</f>
        <v>0.1568702897753</v>
      </c>
      <c r="G263" s="22" t="n">
        <f aca="false">IFERROR('SKU Summary'!O30/'SKU Summary'!L30,0)</f>
        <v>0.138678763420973</v>
      </c>
      <c r="H263" s="32" t="n">
        <f aca="false">IF(AND('SKU Summary'!F30&lt;&gt;0,'SKU Summary'!L30&lt;&gt;0),E263*(G263-F263),0)</f>
        <v>-0.00483490784233943</v>
      </c>
      <c r="I263" s="32" t="n">
        <f aca="false">IF(AND('SKU Summary'!F30&lt;&gt;0,'SKU Summary'!L30&lt;&gt;0),(E263-D263)*F263,0)</f>
        <v>0.0124149355265995</v>
      </c>
      <c r="J263" s="32" t="n">
        <f aca="false">IF(OR(AND('SKU Summary'!F30&lt;&gt;0,'SKU Summary'!L30&lt;&gt;0),AND('SKU Summary'!F30=0,'SKU Summary'!L30=0)),0,E263*G263-D263*F263)</f>
        <v>0</v>
      </c>
      <c r="K263" s="32" t="n">
        <f aca="false">IF(AND('SKU Summary'!F30=0,'SKU Summary'!L30=0),IFERROR('SKU Summary'!O30/'SKU Summary'!L37,0)-IFERROR('SKU Summary'!I30/'SKU Summary'!F37,0),0)</f>
        <v>0</v>
      </c>
      <c r="L263" s="32" t="n">
        <f aca="false">SUM(H263:K263)</f>
        <v>0.00758002768426002</v>
      </c>
    </row>
    <row r="264" customFormat="false" ht="15" hidden="false" customHeight="false" outlineLevel="0" collapsed="false">
      <c r="B264" s="6" t="s">
        <v>240</v>
      </c>
      <c r="C264" s="6" t="s">
        <v>241</v>
      </c>
      <c r="D264" s="22" t="n">
        <f aca="false">IFERROR('SKU Summary'!F31/'SKU Summary'!F37,0)</f>
        <v>0</v>
      </c>
      <c r="E264" s="22" t="n">
        <f aca="false">IFERROR('SKU Summary'!L31/'SKU Summary'!L37,0)</f>
        <v>0.0159656648920649</v>
      </c>
      <c r="F264" s="22" t="n">
        <f aca="false">IFERROR('SKU Summary'!I31/'SKU Summary'!F31,0)</f>
        <v>0</v>
      </c>
      <c r="G264" s="22" t="n">
        <f aca="false">IFERROR('SKU Summary'!O31/'SKU Summary'!L31,0)</f>
        <v>-0.205957990864554</v>
      </c>
      <c r="H264" s="32" t="n">
        <f aca="false">IF(AND('SKU Summary'!F31&lt;&gt;0,'SKU Summary'!L31&lt;&gt;0),E264*(G264-F264),0)</f>
        <v>0</v>
      </c>
      <c r="I264" s="32" t="n">
        <f aca="false">IF(AND('SKU Summary'!F31&lt;&gt;0,'SKU Summary'!L31&lt;&gt;0),(E264-D264)*F264,0)</f>
        <v>0</v>
      </c>
      <c r="J264" s="32" t="n">
        <f aca="false">IF(OR(AND('SKU Summary'!F31&lt;&gt;0,'SKU Summary'!L31&lt;&gt;0),AND('SKU Summary'!F31=0,'SKU Summary'!L31=0)),0,E264*G264-D264*F264)</f>
        <v>-0.00328825626398643</v>
      </c>
      <c r="K264" s="32" t="n">
        <f aca="false">IF(AND('SKU Summary'!F31=0,'SKU Summary'!L31=0),IFERROR('SKU Summary'!O31/'SKU Summary'!L37,0)-IFERROR('SKU Summary'!I31/'SKU Summary'!F37,0),0)</f>
        <v>0</v>
      </c>
      <c r="L264" s="32" t="n">
        <f aca="false">SUM(H264:K264)</f>
        <v>-0.00328825626398643</v>
      </c>
    </row>
    <row r="265" customFormat="false" ht="15" hidden="false" customHeight="false" outlineLevel="0" collapsed="false">
      <c r="B265" s="6" t="s">
        <v>245</v>
      </c>
      <c r="C265" s="6" t="s">
        <v>247</v>
      </c>
      <c r="D265" s="22" t="n">
        <f aca="false">IFERROR('SKU Summary'!F32/'SKU Summary'!F37,0)</f>
        <v>0.0117301844318098</v>
      </c>
      <c r="E265" s="22" t="n">
        <f aca="false">IFERROR('SKU Summary'!L32/'SKU Summary'!L37,0)</f>
        <v>0.026474928249069</v>
      </c>
      <c r="F265" s="22" t="n">
        <f aca="false">IFERROR('SKU Summary'!I32/'SKU Summary'!F32,0)</f>
        <v>0.234613435195543</v>
      </c>
      <c r="G265" s="22" t="n">
        <f aca="false">IFERROR('SKU Summary'!O32/'SKU Summary'!L32,0)</f>
        <v>0.0637681427326922</v>
      </c>
      <c r="H265" s="32" t="n">
        <f aca="false">IF(AND('SKU Summary'!F32&lt;&gt;0,'SKU Summary'!L32&lt;&gt;0),E265*(G265-F265),0)</f>
        <v>-0.00452311685964519</v>
      </c>
      <c r="I265" s="32" t="n">
        <f aca="false">IF(AND('SKU Summary'!F32&lt;&gt;0,'SKU Summary'!L32&lt;&gt;0),(E265-D265)*F265,0)</f>
        <v>0.00345931499804542</v>
      </c>
      <c r="J265" s="32" t="n">
        <f aca="false">IF(OR(AND('SKU Summary'!F32&lt;&gt;0,'SKU Summary'!L32&lt;&gt;0),AND('SKU Summary'!F32=0,'SKU Summary'!L32=0)),0,E265*G265-D265*F265)</f>
        <v>0</v>
      </c>
      <c r="K265" s="32" t="n">
        <f aca="false">IF(AND('SKU Summary'!F32=0,'SKU Summary'!L32=0),IFERROR('SKU Summary'!O32/'SKU Summary'!L37,0)-IFERROR('SKU Summary'!I32/'SKU Summary'!F37,0),0)</f>
        <v>0</v>
      </c>
      <c r="L265" s="32" t="n">
        <f aca="false">SUM(H265:K265)</f>
        <v>-0.00106380186159977</v>
      </c>
    </row>
    <row r="266" customFormat="false" ht="15" hidden="false" customHeight="false" outlineLevel="0" collapsed="false">
      <c r="B266" s="6" t="s">
        <v>246</v>
      </c>
      <c r="C266" s="6" t="s">
        <v>247</v>
      </c>
      <c r="D266" s="22" t="n">
        <f aca="false">IFERROR('SKU Summary'!F33/'SKU Summary'!F37,0)</f>
        <v>0.133516822014146</v>
      </c>
      <c r="E266" s="22" t="n">
        <f aca="false">IFERROR('SKU Summary'!L33/'SKU Summary'!L37,0)</f>
        <v>0.512356422266874</v>
      </c>
      <c r="F266" s="22" t="n">
        <f aca="false">IFERROR('SKU Summary'!I33/'SKU Summary'!F33,0)</f>
        <v>0.154566261745861</v>
      </c>
      <c r="G266" s="22" t="n">
        <f aca="false">IFERROR('SKU Summary'!O33/'SKU Summary'!L33,0)</f>
        <v>0.0387099945651397</v>
      </c>
      <c r="H266" s="32" t="n">
        <f aca="false">IF(AND('SKU Summary'!F33&lt;&gt;0,'SKU Summary'!L33&lt;&gt;0),E266*(G266-F266),0)</f>
        <v>-0.0593597025499096</v>
      </c>
      <c r="I266" s="32" t="n">
        <f aca="false">IF(AND('SKU Summary'!F33&lt;&gt;0,'SKU Summary'!L33&lt;&gt;0),(E266-D266)*F266,0)</f>
        <v>0.0585558208123606</v>
      </c>
      <c r="J266" s="32" t="n">
        <f aca="false">IF(OR(AND('SKU Summary'!F33&lt;&gt;0,'SKU Summary'!L33&lt;&gt;0),AND('SKU Summary'!F33=0,'SKU Summary'!L33=0)),0,E266*G266-D266*F266)</f>
        <v>0</v>
      </c>
      <c r="K266" s="32" t="n">
        <f aca="false">IF(AND('SKU Summary'!F33=0,'SKU Summary'!L33=0),IFERROR('SKU Summary'!O33/'SKU Summary'!L37,0)-IFERROR('SKU Summary'!I33/'SKU Summary'!F37,0),0)</f>
        <v>0</v>
      </c>
      <c r="L266" s="32" t="n">
        <f aca="false">SUM(H266:K266)</f>
        <v>-0.000803881737549042</v>
      </c>
    </row>
    <row r="267" customFormat="false" ht="15" hidden="false" customHeight="false" outlineLevel="0" collapsed="false">
      <c r="B267" s="6" t="s">
        <v>255</v>
      </c>
      <c r="C267" s="6" t="s">
        <v>238</v>
      </c>
      <c r="D267" s="22" t="n">
        <f aca="false">IFERROR('SKU Summary'!F34/'SKU Summary'!F37,0)</f>
        <v>0</v>
      </c>
      <c r="E267" s="22" t="n">
        <f aca="false">IFERROR('SKU Summary'!L34/'SKU Summary'!L37,0)</f>
        <v>0.000538922428025269</v>
      </c>
      <c r="F267" s="22" t="n">
        <f aca="false">IFERROR('SKU Summary'!I34/'SKU Summary'!F34,0)</f>
        <v>0</v>
      </c>
      <c r="G267" s="22" t="n">
        <f aca="false">IFERROR('SKU Summary'!O34/'SKU Summary'!L34,0)</f>
        <v>0.0903119792213764</v>
      </c>
      <c r="H267" s="32" t="n">
        <f aca="false">IF(AND('SKU Summary'!F34&lt;&gt;0,'SKU Summary'!L34&lt;&gt;0),E267*(G267-F267),0)</f>
        <v>0</v>
      </c>
      <c r="I267" s="32" t="n">
        <f aca="false">IF(AND('SKU Summary'!F34&lt;&gt;0,'SKU Summary'!L34&lt;&gt;0),(E267-D267)*F267,0)</f>
        <v>0</v>
      </c>
      <c r="J267" s="32" t="n">
        <f aca="false">IF(OR(AND('SKU Summary'!F34&lt;&gt;0,'SKU Summary'!L34&lt;&gt;0),AND('SKU Summary'!F34=0,'SKU Summary'!L34=0)),0,E267*G267-D267*F267)</f>
        <v>4.86711511217518E-005</v>
      </c>
      <c r="K267" s="32" t="n">
        <f aca="false">IF(AND('SKU Summary'!F34=0,'SKU Summary'!L34=0),IFERROR('SKU Summary'!O34/'SKU Summary'!L37,0)-IFERROR('SKU Summary'!I34/'SKU Summary'!F37,0),0)</f>
        <v>0</v>
      </c>
      <c r="L267" s="32" t="n">
        <f aca="false">SUM(H267:K267)</f>
        <v>4.86711511217518E-005</v>
      </c>
    </row>
    <row r="268" customFormat="false" ht="15" hidden="false" customHeight="false" outlineLevel="0" collapsed="false">
      <c r="B268" s="6" t="s">
        <v>255</v>
      </c>
      <c r="C268" s="6" t="s">
        <v>241</v>
      </c>
      <c r="D268" s="22" t="n">
        <f aca="false">IFERROR('SKU Summary'!F35/'SKU Summary'!F37,0)</f>
        <v>0</v>
      </c>
      <c r="E268" s="22" t="n">
        <f aca="false">IFERROR('SKU Summary'!L35/'SKU Summary'!L37,0)</f>
        <v>0</v>
      </c>
      <c r="F268" s="22" t="n">
        <f aca="false">IFERROR('SKU Summary'!I35/'SKU Summary'!F35,0)</f>
        <v>0</v>
      </c>
      <c r="G268" s="22" t="n">
        <f aca="false">IFERROR('SKU Summary'!O35/'SKU Summary'!L35,0)</f>
        <v>0</v>
      </c>
      <c r="H268" s="32" t="n">
        <f aca="false">IF(AND('SKU Summary'!F35&lt;&gt;0,'SKU Summary'!L35&lt;&gt;0),E268*(G268-F268),0)</f>
        <v>0</v>
      </c>
      <c r="I268" s="32" t="n">
        <f aca="false">IF(AND('SKU Summary'!F35&lt;&gt;0,'SKU Summary'!L35&lt;&gt;0),(E268-D268)*F268,0)</f>
        <v>0</v>
      </c>
      <c r="J268" s="32" t="n">
        <f aca="false">IF(OR(AND('SKU Summary'!F35&lt;&gt;0,'SKU Summary'!L35&lt;&gt;0),AND('SKU Summary'!F35=0,'SKU Summary'!L35=0)),0,E268*G268-D268*F268)</f>
        <v>0</v>
      </c>
      <c r="K268" s="32" t="n">
        <f aca="false">IF(AND('SKU Summary'!F35=0,'SKU Summary'!L35=0),IFERROR('SKU Summary'!O35/'SKU Summary'!L37,0)-IFERROR('SKU Summary'!I35/'SKU Summary'!F37,0),0)</f>
        <v>0.00320467158854406</v>
      </c>
      <c r="L268" s="32" t="n">
        <f aca="false">SUM(H268:K268)</f>
        <v>0.00320467158854406</v>
      </c>
    </row>
    <row r="269" customFormat="false" ht="15" hidden="false" customHeight="false" outlineLevel="0" collapsed="false">
      <c r="B269" s="6" t="s">
        <v>252</v>
      </c>
      <c r="C269" s="6" t="s">
        <v>247</v>
      </c>
      <c r="D269" s="22" t="n">
        <f aca="false">IFERROR('SKU Summary'!F36/'SKU Summary'!F37,0)</f>
        <v>0</v>
      </c>
      <c r="E269" s="22" t="n">
        <f aca="false">IFERROR('SKU Summary'!L36/'SKU Summary'!L37,0)</f>
        <v>0.00164019025916393</v>
      </c>
      <c r="F269" s="22" t="n">
        <f aca="false">IFERROR('SKU Summary'!I36/'SKU Summary'!F36,0)</f>
        <v>0</v>
      </c>
      <c r="G269" s="22" t="n">
        <f aca="false">IFERROR('SKU Summary'!O36/'SKU Summary'!L36,0)</f>
        <v>0.0763617871013923</v>
      </c>
      <c r="H269" s="32" t="n">
        <f aca="false">IF(AND('SKU Summary'!F36&lt;&gt;0,'SKU Summary'!L36&lt;&gt;0),E269*(G269-F269),0)</f>
        <v>0</v>
      </c>
      <c r="I269" s="32" t="n">
        <f aca="false">IF(AND('SKU Summary'!F36&lt;&gt;0,'SKU Summary'!L36&lt;&gt;0),(E269-D269)*F269,0)</f>
        <v>0</v>
      </c>
      <c r="J269" s="32" t="n">
        <f aca="false">IF(OR(AND('SKU Summary'!F36&lt;&gt;0,'SKU Summary'!L36&lt;&gt;0),AND('SKU Summary'!F36=0,'SKU Summary'!L36=0)),0,E269*G269-D269*F269)</f>
        <v>0.000125247859376054</v>
      </c>
      <c r="K269" s="32" t="n">
        <f aca="false">IF(AND('SKU Summary'!F36=0,'SKU Summary'!L36=0),IFERROR('SKU Summary'!O36/'SKU Summary'!L37,0)-IFERROR('SKU Summary'!I36/'SKU Summary'!F37,0),0)</f>
        <v>0</v>
      </c>
      <c r="L269" s="32" t="n">
        <f aca="false">SUM(H269:K269)</f>
        <v>0.000125247859376054</v>
      </c>
    </row>
    <row r="270" customFormat="false" ht="15" hidden="false" customHeight="false" outlineLevel="0" collapsed="false">
      <c r="B270" s="25" t="s">
        <v>422</v>
      </c>
      <c r="F270" s="22" t="n">
        <f aca="false">'SKU Summary'!J37</f>
        <v>0.16832434403009</v>
      </c>
      <c r="G270" s="22" t="n">
        <f aca="false">'SKU Summary'!P37</f>
        <v>0.0828818535046265</v>
      </c>
      <c r="H270" s="34" t="n">
        <f aca="false">SUM(H262:H269)</f>
        <v>-0.0726340042662759</v>
      </c>
      <c r="I270" s="34" t="n">
        <f aca="false">SUM(I262:I269)</f>
        <v>-0.0128988205942431</v>
      </c>
      <c r="J270" s="34" t="n">
        <f aca="false">SUM(J262:J269)</f>
        <v>-0.00311433725348862</v>
      </c>
      <c r="K270" s="34" t="n">
        <f aca="false">SUM(K262:K269)</f>
        <v>0.00320467158854406</v>
      </c>
      <c r="L270" s="34" t="n">
        <f aca="false">SUM(L262:L269)</f>
        <v>-0.0854424905254636</v>
      </c>
    </row>
    <row r="271" customFormat="false" ht="15" hidden="false" customHeight="false" outlineLevel="0" collapsed="false">
      <c r="B271" s="6" t="s">
        <v>423</v>
      </c>
      <c r="L271" s="32" t="n">
        <f aca="false">D257</f>
        <v>0</v>
      </c>
    </row>
    <row r="272" customFormat="false" ht="15" hidden="false" customHeight="false" outlineLevel="0" collapsed="false">
      <c r="B272" s="29" t="s">
        <v>424</v>
      </c>
      <c r="L272" s="33" t="n">
        <f aca="false">L270+L271</f>
        <v>-0.0854424905254636</v>
      </c>
      <c r="N272" s="12" t="str">
        <f aca="false">IF(ROUND(L272-('Segment GP'!M36-'Segment GP'!H36),8)=0,"ties to Segment GP","CHECK")</f>
        <v>ties to Segment GP</v>
      </c>
    </row>
    <row r="275" customFormat="false" ht="15" hidden="false" customHeight="false" outlineLevel="0" collapsed="false">
      <c r="B275" s="18" t="s">
        <v>425</v>
      </c>
    </row>
    <row r="276" customFormat="false" ht="39.75" hidden="false" customHeight="true" outlineLevel="0" collapsed="false">
      <c r="B276" s="5" t="s">
        <v>224</v>
      </c>
      <c r="C276" s="5"/>
      <c r="D276" s="5" t="s">
        <v>426</v>
      </c>
      <c r="E276" s="5" t="s">
        <v>427</v>
      </c>
      <c r="F276" s="5" t="s">
        <v>428</v>
      </c>
      <c r="G276" s="5" t="s">
        <v>345</v>
      </c>
      <c r="H276" s="5" t="s">
        <v>346</v>
      </c>
      <c r="I276" s="5" t="s">
        <v>429</v>
      </c>
      <c r="J276" s="5" t="s">
        <v>430</v>
      </c>
      <c r="K276" s="5" t="s">
        <v>431</v>
      </c>
      <c r="L276" s="5" t="s">
        <v>432</v>
      </c>
      <c r="M276" s="5"/>
      <c r="N276" s="5"/>
    </row>
    <row r="277" customFormat="false" ht="15" hidden="false" customHeight="false" outlineLevel="0" collapsed="false">
      <c r="B277" s="6" t="s">
        <v>246</v>
      </c>
      <c r="D277" s="7" t="n">
        <f aca="false">IFERROR(SUMIFS('MA Engine'!$L$6:$L$1110,'MA Engine'!$C$6:$C$1110,"Trading",'MA Engine'!$D$6:$D$1110,"Karkas",'MA Engine'!$H$6:$H$1110,7,'MA Engine'!$I$6:$I$1110,"Receipt")/SUMIFS('MA Engine'!$K$6:$K$1110,'MA Engine'!$C$6:$C$1110,"Trading",'MA Engine'!$D$6:$D$1110,"Karkas",'MA Engine'!$H$6:$H$1110,7,'MA Engine'!$I$6:$I$1110,"Receipt"),0)</f>
        <v>28550.7683470224</v>
      </c>
      <c r="E277" s="7" t="n">
        <f aca="false">IFERROR(SUMIFS('MA Engine'!$L$6:$L$1110,'MA Engine'!$C$6:$C$1110,"Trading",'MA Engine'!$D$6:$D$1110,"Karkas",'MA Engine'!$H$6:$H$1110,8,'MA Engine'!$I$6:$I$1110,"Receipt")/SUMIFS('MA Engine'!$K$6:$K$1110,'MA Engine'!$C$6:$C$1110,"Trading",'MA Engine'!$D$6:$D$1110,"Karkas",'MA Engine'!$H$6:$H$1110,8,'MA Engine'!$I$6:$I$1110,"Receipt"),0)</f>
        <v>30880.270563507</v>
      </c>
      <c r="F277" s="21" t="n">
        <f aca="false">IF(D277=0,0,E277/D277-1)</f>
        <v>0.0815915770871927</v>
      </c>
      <c r="G277" s="7" t="n">
        <f aca="false">IFERROR(SUMIFS('Data SKU'!$G$5:$G$116,'Data SKU'!$A$5:$A$116,"Trading",'Data SKU'!$B$5:$B$116,"Karkas",'Data SKU'!$D$5:$D$116,7)/SUMIFS('Data SKU'!$F$5:$F$116,'Data SKU'!$A$5:$A$116,"Trading",'Data SKU'!$B$5:$B$116,"Karkas",'Data SKU'!$D$5:$D$116,7,'Data SKU'!$F$5:$F$116,"&gt;0"),0)</f>
        <v>27452.8988252584</v>
      </c>
      <c r="H277" s="7" t="n">
        <f aca="false">IFERROR(SUMIFS('Data SKU'!$G$5:$G$116,'Data SKU'!$A$5:$A$116,"Trading",'Data SKU'!$B$5:$B$116,"Karkas",'Data SKU'!$D$5:$D$116,8)/SUMIFS('Data SKU'!$F$5:$F$116,'Data SKU'!$A$5:$A$116,"Trading",'Data SKU'!$B$5:$B$116,"Karkas",'Data SKU'!$D$5:$D$116,8,'Data SKU'!$F$5:$F$116,"&gt;0"),0)</f>
        <v>31274.4074324666</v>
      </c>
      <c r="I277" s="21" t="n">
        <f aca="false">IF(G277=0,0,H277/G277-1)</f>
        <v>0.139202370996689</v>
      </c>
      <c r="J277" s="7" t="n">
        <f aca="false">IFERROR(SUMIFS('Data SKU'!$H$5:$H$116,'Data SKU'!$A$5:$A$116,"Trading",'Data SKU'!$B$5:$B$116,"Karkas",'Data SKU'!$D$5:$D$116,7)/SUMIFS('Data SKU'!$F$5:$F$116,'Data SKU'!$A$5:$A$116,"Trading",'Data SKU'!$B$5:$B$116,"Karkas",'Data SKU'!$D$5:$D$116,7,'Data SKU'!$F$5:$F$116,"&gt;0"),0)</f>
        <v>23209.6068797509</v>
      </c>
      <c r="K277" s="7" t="n">
        <f aca="false">IFERROR(SUMIFS('Data SKU'!$H$5:$H$116,'Data SKU'!$A$5:$A$116,"Trading",'Data SKU'!$B$5:$B$116,"Karkas",'Data SKU'!$D$5:$D$116,8)/SUMIFS('Data SKU'!$F$5:$F$116,'Data SKU'!$A$5:$A$116,"Trading",'Data SKU'!$B$5:$B$116,"Karkas",'Data SKU'!$D$5:$D$116,8,'Data SKU'!$F$5:$F$116,"&gt;0"),0)</f>
        <v>30063.7752907279</v>
      </c>
      <c r="L277" s="21" t="n">
        <f aca="false">IF(J277=0,0,K277/J277-1)</f>
        <v>0.295316006276559</v>
      </c>
    </row>
    <row r="278" customFormat="false" ht="15" hidden="false" customHeight="false" outlineLevel="0" collapsed="false">
      <c r="B278" s="6" t="s">
        <v>236</v>
      </c>
      <c r="D278" s="7" t="n">
        <f aca="false">IFERROR(SUMIFS('MA Engine'!$L$6:$L$1110,'MA Engine'!$C$6:$C$1110,"Trading",'MA Engine'!$D$6:$D$1110,"BLD",'MA Engine'!$H$6:$H$1110,7,'MA Engine'!$I$6:$I$1110,"Receipt")/SUMIFS('MA Engine'!$K$6:$K$1110,'MA Engine'!$C$6:$C$1110,"Trading",'MA Engine'!$D$6:$D$1110,"BLD",'MA Engine'!$H$6:$H$1110,7,'MA Engine'!$I$6:$I$1110,"Receipt"),0)</f>
        <v>29613.7397707928</v>
      </c>
      <c r="E278" s="7" t="n">
        <f aca="false">IFERROR(SUMIFS('MA Engine'!$L$6:$L$1110,'MA Engine'!$C$6:$C$1110,"Trading",'MA Engine'!$D$6:$D$1110,"BLD",'MA Engine'!$H$6:$H$1110,8,'MA Engine'!$I$6:$I$1110,"Receipt")/SUMIFS('MA Engine'!$K$6:$K$1110,'MA Engine'!$C$6:$C$1110,"Trading",'MA Engine'!$D$6:$D$1110,"BLD",'MA Engine'!$H$6:$H$1110,8,'MA Engine'!$I$6:$I$1110,"Receipt"),0)</f>
        <v>41233.4701358247</v>
      </c>
      <c r="F278" s="21" t="n">
        <f aca="false">IF(D278=0,0,E278/D278-1)</f>
        <v>0.392376324468551</v>
      </c>
      <c r="G278" s="7" t="n">
        <f aca="false">IFERROR(SUMIFS('Data SKU'!$G$5:$G$116,'Data SKU'!$A$5:$A$116,"Trading",'Data SKU'!$B$5:$B$116,"BLD",'Data SKU'!$D$5:$D$116,7)/SUMIFS('Data SKU'!$F$5:$F$116,'Data SKU'!$A$5:$A$116,"Trading",'Data SKU'!$B$5:$B$116,"BLD",'Data SKU'!$D$5:$D$116,7,'Data SKU'!$F$5:$F$116,"&gt;0"),0)</f>
        <v>37614.9332946051</v>
      </c>
      <c r="H278" s="7" t="n">
        <f aca="false">IFERROR(SUMIFS('Data SKU'!$G$5:$G$116,'Data SKU'!$A$5:$A$116,"Trading",'Data SKU'!$B$5:$B$116,"BLD",'Data SKU'!$D$5:$D$116,8)/SUMIFS('Data SKU'!$F$5:$F$116,'Data SKU'!$A$5:$A$116,"Trading",'Data SKU'!$B$5:$B$116,"BLD",'Data SKU'!$D$5:$D$116,8,'Data SKU'!$F$5:$F$116,"&gt;0"),0)</f>
        <v>42083.4370417394</v>
      </c>
      <c r="I278" s="21" t="n">
        <f aca="false">IF(G278=0,0,H278/G278-1)</f>
        <v>0.11879600349511</v>
      </c>
      <c r="J278" s="7" t="n">
        <f aca="false">IFERROR(SUMIFS('Data SKU'!$H$5:$H$116,'Data SKU'!$A$5:$A$116,"Trading",'Data SKU'!$B$5:$B$116,"BLD",'Data SKU'!$D$5:$D$116,7)/SUMIFS('Data SKU'!$F$5:$F$116,'Data SKU'!$A$5:$A$116,"Trading",'Data SKU'!$B$5:$B$116,"BLD",'Data SKU'!$D$5:$D$116,7,'Data SKU'!$F$5:$F$116,"&gt;0"),0)</f>
        <v>30923.0048742373</v>
      </c>
      <c r="K278" s="7" t="n">
        <f aca="false">IFERROR(SUMIFS('Data SKU'!$H$5:$H$116,'Data SKU'!$A$5:$A$116,"Trading",'Data SKU'!$B$5:$B$116,"BLD",'Data SKU'!$D$5:$D$116,8)/SUMIFS('Data SKU'!$F$5:$F$116,'Data SKU'!$A$5:$A$116,"Trading",'Data SKU'!$B$5:$B$116,"BLD",'Data SKU'!$D$5:$D$116,8,'Data SKU'!$F$5:$F$116,"&gt;0"),0)</f>
        <v>35526.3749101537</v>
      </c>
      <c r="L278" s="21" t="n">
        <f aca="false">IF(J278=0,0,K278/J278-1)</f>
        <v>0.148865547013886</v>
      </c>
    </row>
    <row r="279" customFormat="false" ht="15" hidden="false" customHeight="false" outlineLevel="0" collapsed="false">
      <c r="B279" s="6" t="s">
        <v>239</v>
      </c>
      <c r="D279" s="7" t="n">
        <f aca="false">IFERROR(SUMIFS('MA Engine'!$L$6:$L$1110,'MA Engine'!$C$6:$C$1110,"Trading",'MA Engine'!$D$6:$D$1110,"BLP",'MA Engine'!$H$6:$H$1110,7,'MA Engine'!$I$6:$I$1110,"Receipt")/SUMIFS('MA Engine'!$K$6:$K$1110,'MA Engine'!$C$6:$C$1110,"Trading",'MA Engine'!$D$6:$D$1110,"BLP",'MA Engine'!$H$6:$H$1110,7,'MA Engine'!$I$6:$I$1110,"Receipt"),0)</f>
        <v>27869.0830654026</v>
      </c>
      <c r="E279" s="7" t="n">
        <f aca="false">IFERROR(SUMIFS('MA Engine'!$L$6:$L$1110,'MA Engine'!$C$6:$C$1110,"Trading",'MA Engine'!$D$6:$D$1110,"BLP",'MA Engine'!$H$6:$H$1110,8,'MA Engine'!$I$6:$I$1110,"Receipt")/SUMIFS('MA Engine'!$K$6:$K$1110,'MA Engine'!$C$6:$C$1110,"Trading",'MA Engine'!$D$6:$D$1110,"BLP",'MA Engine'!$H$6:$H$1110,8,'MA Engine'!$I$6:$I$1110,"Receipt"),0)</f>
        <v>45133.4028656575</v>
      </c>
      <c r="F279" s="21" t="n">
        <f aca="false">IF(D279=0,0,E279/D279-1)</f>
        <v>0.619479290356963</v>
      </c>
      <c r="G279" s="7" t="n">
        <f aca="false">IFERROR(SUMIFS('Data SKU'!$G$5:$G$116,'Data SKU'!$A$5:$A$116,"Trading",'Data SKU'!$B$5:$B$116,"BLP",'Data SKU'!$D$5:$D$116,7)/SUMIFS('Data SKU'!$F$5:$F$116,'Data SKU'!$A$5:$A$116,"Trading",'Data SKU'!$B$5:$B$116,"BLP",'Data SKU'!$D$5:$D$116,7,'Data SKU'!$F$5:$F$116,"&gt;0"),0)</f>
        <v>33393.0078045061</v>
      </c>
      <c r="H279" s="7" t="n">
        <f aca="false">IFERROR(SUMIFS('Data SKU'!$G$5:$G$116,'Data SKU'!$A$5:$A$116,"Trading",'Data SKU'!$B$5:$B$116,"BLP",'Data SKU'!$D$5:$D$116,8)/SUMIFS('Data SKU'!$F$5:$F$116,'Data SKU'!$A$5:$A$116,"Trading",'Data SKU'!$B$5:$B$116,"BLP",'Data SKU'!$D$5:$D$116,8,'Data SKU'!$F$5:$F$116,"&gt;0"),0)</f>
        <v>43102.6709890834</v>
      </c>
      <c r="I279" s="21" t="n">
        <f aca="false">IF(G279=0,0,H279/G279-1)</f>
        <v>0.290769350320911</v>
      </c>
      <c r="J279" s="7" t="n">
        <f aca="false">IFERROR(SUMIFS('Data SKU'!$H$5:$H$116,'Data SKU'!$A$5:$A$116,"Trading",'Data SKU'!$B$5:$B$116,"BLP",'Data SKU'!$D$5:$D$116,7)/SUMIFS('Data SKU'!$F$5:$F$116,'Data SKU'!$A$5:$A$116,"Trading",'Data SKU'!$B$5:$B$116,"BLP",'Data SKU'!$D$5:$D$116,7,'Data SKU'!$F$5:$F$116,"&gt;0"),0)</f>
        <v>28154.6369937443</v>
      </c>
      <c r="K279" s="7" t="n">
        <f aca="false">IFERROR(SUMIFS('Data SKU'!$H$5:$H$116,'Data SKU'!$A$5:$A$116,"Trading",'Data SKU'!$B$5:$B$116,"BLP",'Data SKU'!$D$5:$D$116,8)/SUMIFS('Data SKU'!$F$5:$F$116,'Data SKU'!$A$5:$A$116,"Trading",'Data SKU'!$B$5:$B$116,"BLP",'Data SKU'!$D$5:$D$116,8,'Data SKU'!$F$5:$F$116,"&gt;0"),0)</f>
        <v>37125.2458761763</v>
      </c>
      <c r="L279" s="21" t="n">
        <f aca="false">IF(J279=0,0,K279/J279-1)</f>
        <v>0.318619234352946</v>
      </c>
    </row>
    <row r="280" customFormat="false" ht="15" hidden="false" customHeight="false" outlineLevel="0" collapsed="false">
      <c r="B280" s="6" t="s">
        <v>245</v>
      </c>
      <c r="D280" s="7" t="n">
        <f aca="false">IFERROR(SUMIFS('MA Engine'!$L$6:$L$1110,'MA Engine'!$C$6:$C$1110,"Trading",'MA Engine'!$D$6:$D$1110,"KRK (Kerangka)",'MA Engine'!$H$6:$H$1110,7,'MA Engine'!$I$6:$I$1110,"Receipt")/SUMIFS('MA Engine'!$K$6:$K$1110,'MA Engine'!$C$6:$C$1110,"Trading",'MA Engine'!$D$6:$D$1110,"KRK (Kerangka)",'MA Engine'!$H$6:$H$1110,7,'MA Engine'!$I$6:$I$1110,"Receipt"),0)</f>
        <v>4460.60014224591</v>
      </c>
      <c r="E280" s="7" t="n">
        <f aca="false">IFERROR(SUMIFS('MA Engine'!$L$6:$L$1110,'MA Engine'!$C$6:$C$1110,"Trading",'MA Engine'!$D$6:$D$1110,"KRK (Kerangka)",'MA Engine'!$H$6:$H$1110,8,'MA Engine'!$I$6:$I$1110,"Receipt")/SUMIFS('MA Engine'!$K$6:$K$1110,'MA Engine'!$C$6:$C$1110,"Trading",'MA Engine'!$D$6:$D$1110,"KRK (Kerangka)",'MA Engine'!$H$6:$H$1110,8,'MA Engine'!$I$6:$I$1110,"Receipt"),0)</f>
        <v>10852.934511992</v>
      </c>
      <c r="F280" s="21" t="n">
        <f aca="false">IF(D280=0,0,E280/D280-1)</f>
        <v>1.43306599244459</v>
      </c>
      <c r="G280" s="7" t="n">
        <f aca="false">IFERROR(SUMIFS('Data SKU'!$G$5:$G$116,'Data SKU'!$A$5:$A$116,"Trading",'Data SKU'!$B$5:$B$116,"KRK (Kerangka)",'Data SKU'!$D$5:$D$116,7)/SUMIFS('Data SKU'!$F$5:$F$116,'Data SKU'!$A$5:$A$116,"Trading",'Data SKU'!$B$5:$B$116,"KRK (Kerangka)",'Data SKU'!$D$5:$D$116,7,'Data SKU'!$F$5:$F$116,"&gt;0"),0)</f>
        <v>5827.90488396355</v>
      </c>
      <c r="H280" s="7" t="n">
        <f aca="false">IFERROR(SUMIFS('Data SKU'!$G$5:$G$116,'Data SKU'!$A$5:$A$116,"Trading",'Data SKU'!$B$5:$B$116,"KRK (Kerangka)",'Data SKU'!$D$5:$D$116,8)/SUMIFS('Data SKU'!$F$5:$F$116,'Data SKU'!$A$5:$A$116,"Trading",'Data SKU'!$B$5:$B$116,"KRK (Kerangka)",'Data SKU'!$D$5:$D$116,8,'Data SKU'!$F$5:$F$116,"&gt;0"),0)</f>
        <v>10903.3251499877</v>
      </c>
      <c r="I280" s="21" t="n">
        <f aca="false">IF(G280=0,0,H280/G280-1)</f>
        <v>0.870882481282419</v>
      </c>
      <c r="J280" s="7" t="n">
        <f aca="false">IFERROR(SUMIFS('Data SKU'!$H$5:$H$116,'Data SKU'!$A$5:$A$116,"Trading",'Data SKU'!$B$5:$B$116,"KRK (Kerangka)",'Data SKU'!$D$5:$D$116,7)/SUMIFS('Data SKU'!$F$5:$F$116,'Data SKU'!$A$5:$A$116,"Trading",'Data SKU'!$B$5:$B$116,"KRK (Kerangka)",'Data SKU'!$D$5:$D$116,7,'Data SKU'!$F$5:$F$116,"&gt;0"),0)</f>
        <v>4460.60009914398</v>
      </c>
      <c r="K280" s="7" t="n">
        <f aca="false">IFERROR(SUMIFS('Data SKU'!$H$5:$H$116,'Data SKU'!$A$5:$A$116,"Trading",'Data SKU'!$B$5:$B$116,"KRK (Kerangka)",'Data SKU'!$D$5:$D$116,8)/SUMIFS('Data SKU'!$F$5:$F$116,'Data SKU'!$A$5:$A$116,"Trading",'Data SKU'!$B$5:$B$116,"KRK (Kerangka)",'Data SKU'!$D$5:$D$116,8,'Data SKU'!$F$5:$F$116,"&gt;0"),0)</f>
        <v>10208.0403555623</v>
      </c>
      <c r="L280" s="21" t="n">
        <f aca="false">IF(J280=0,0,K280/J280-1)</f>
        <v>1.28849036646914</v>
      </c>
    </row>
    <row r="281" customFormat="false" ht="15" hidden="false" customHeight="false" outlineLevel="0" collapsed="false">
      <c r="B281" s="6" t="s">
        <v>255</v>
      </c>
      <c r="D281" s="7" t="n">
        <f aca="false">IFERROR(SUMIFS('MA Engine'!$L$6:$L$1110,'MA Engine'!$C$6:$C$1110,"Trading",'MA Engine'!$D$6:$D$1110,"Kulit",'MA Engine'!$H$6:$H$1110,7,'MA Engine'!$I$6:$I$1110,"Receipt")/SUMIFS('MA Engine'!$K$6:$K$1110,'MA Engine'!$C$6:$C$1110,"Trading",'MA Engine'!$D$6:$D$1110,"Kulit",'MA Engine'!$H$6:$H$1110,7,'MA Engine'!$I$6:$I$1110,"Receipt"),0)</f>
        <v>17700.7153232658</v>
      </c>
      <c r="E281" s="7" t="n">
        <f aca="false">IFERROR(SUMIFS('MA Engine'!$L$6:$L$1110,'MA Engine'!$C$6:$C$1110,"Trading",'MA Engine'!$D$6:$D$1110,"Kulit",'MA Engine'!$H$6:$H$1110,8,'MA Engine'!$I$6:$I$1110,"Receipt")/SUMIFS('MA Engine'!$K$6:$K$1110,'MA Engine'!$C$6:$C$1110,"Trading",'MA Engine'!$D$6:$D$1110,"Kulit",'MA Engine'!$H$6:$H$1110,8,'MA Engine'!$I$6:$I$1110,"Receipt"),0)</f>
        <v>29577.1965990514</v>
      </c>
      <c r="F281" s="21" t="n">
        <f aca="false">IF(D281=0,0,E281/D281-1)</f>
        <v>0.670960526672902</v>
      </c>
      <c r="G281" s="7" t="n">
        <f aca="false">IFERROR(SUMIFS('Data SKU'!$G$5:$G$116,'Data SKU'!$A$5:$A$116,"Trading",'Data SKU'!$B$5:$B$116,"Kulit",'Data SKU'!$D$5:$D$116,7)/SUMIFS('Data SKU'!$F$5:$F$116,'Data SKU'!$A$5:$A$116,"Trading",'Data SKU'!$B$5:$B$116,"Kulit",'Data SKU'!$D$5:$D$116,7,'Data SKU'!$F$5:$F$116,"&gt;0"),0)</f>
        <v>0</v>
      </c>
      <c r="H281" s="7" t="n">
        <f aca="false">IFERROR(SUMIFS('Data SKU'!$G$5:$G$116,'Data SKU'!$A$5:$A$116,"Trading",'Data SKU'!$B$5:$B$116,"Kulit",'Data SKU'!$D$5:$D$116,8)/SUMIFS('Data SKU'!$F$5:$F$116,'Data SKU'!$A$5:$A$116,"Trading",'Data SKU'!$B$5:$B$116,"Kulit",'Data SKU'!$D$5:$D$116,8,'Data SKU'!$F$5:$F$116,"&gt;0"),0)</f>
        <v>29000</v>
      </c>
      <c r="I281" s="21" t="n">
        <f aca="false">IF(G281=0,0,H281/G281-1)</f>
        <v>0</v>
      </c>
      <c r="J281" s="7" t="n">
        <f aca="false">IFERROR(SUMIFS('Data SKU'!$H$5:$H$116,'Data SKU'!$A$5:$A$116,"Trading",'Data SKU'!$B$5:$B$116,"Kulit",'Data SKU'!$D$5:$D$116,7)/SUMIFS('Data SKU'!$F$5:$F$116,'Data SKU'!$A$5:$A$116,"Trading",'Data SKU'!$B$5:$B$116,"Kulit",'Data SKU'!$D$5:$D$116,7,'Data SKU'!$F$5:$F$116,"&gt;0"),0)</f>
        <v>0</v>
      </c>
      <c r="K281" s="7" t="n">
        <f aca="false">IFERROR(SUMIFS('Data SKU'!$H$5:$H$116,'Data SKU'!$A$5:$A$116,"Trading",'Data SKU'!$B$5:$B$116,"Kulit",'Data SKU'!$D$5:$D$116,8)/SUMIFS('Data SKU'!$F$5:$F$116,'Data SKU'!$A$5:$A$116,"Trading",'Data SKU'!$B$5:$B$116,"Kulit",'Data SKU'!$D$5:$D$116,8,'Data SKU'!$F$5:$F$116,"&gt;0"),0)</f>
        <v>26380.9526025801</v>
      </c>
      <c r="L281" s="21" t="n">
        <f aca="false">IF(J281=0,0,K281/J281-1)</f>
        <v>0</v>
      </c>
    </row>
    <row r="282" customFormat="false" ht="15" hidden="false" customHeight="false" outlineLevel="0" collapsed="false">
      <c r="B282" s="6" t="s">
        <v>252</v>
      </c>
      <c r="D282" s="7" t="n">
        <f aca="false">IFERROR(SUMIFS('MA Engine'!$L$6:$L$1110,'MA Engine'!$C$6:$C$1110,"Trading",'MA Engine'!$D$6:$D$1110,"Sayap",'MA Engine'!$H$6:$H$1110,7,'MA Engine'!$I$6:$I$1110,"Receipt")/SUMIFS('MA Engine'!$K$6:$K$1110,'MA Engine'!$C$6:$C$1110,"Trading",'MA Engine'!$D$6:$D$1110,"Sayap",'MA Engine'!$H$6:$H$1110,7,'MA Engine'!$I$6:$I$1110,"Receipt"),0)</f>
        <v>0</v>
      </c>
      <c r="E282" s="7" t="n">
        <f aca="false">IFERROR(SUMIFS('MA Engine'!$L$6:$L$1110,'MA Engine'!$C$6:$C$1110,"Trading",'MA Engine'!$D$6:$D$1110,"Sayap",'MA Engine'!$H$6:$H$1110,8,'MA Engine'!$I$6:$I$1110,"Receipt")/SUMIFS('MA Engine'!$K$6:$K$1110,'MA Engine'!$C$6:$C$1110,"Trading",'MA Engine'!$D$6:$D$1110,"Sayap",'MA Engine'!$H$6:$H$1110,8,'MA Engine'!$I$6:$I$1110,"Receipt"),0)</f>
        <v>28632.7845998568</v>
      </c>
      <c r="F282" s="21" t="n">
        <f aca="false">IF(D282=0,0,E282/D282-1)</f>
        <v>0</v>
      </c>
      <c r="G282" s="7" t="n">
        <f aca="false">IFERROR(SUMIFS('Data SKU'!$G$5:$G$116,'Data SKU'!$A$5:$A$116,"Trading",'Data SKU'!$B$5:$B$116,"Sayap",'Data SKU'!$D$5:$D$116,7)/SUMIFS('Data SKU'!$F$5:$F$116,'Data SKU'!$A$5:$A$116,"Trading",'Data SKU'!$B$5:$B$116,"Sayap",'Data SKU'!$D$5:$D$116,7,'Data SKU'!$F$5:$F$116,"&gt;0"),0)</f>
        <v>0</v>
      </c>
      <c r="H282" s="7" t="n">
        <f aca="false">IFERROR(SUMIFS('Data SKU'!$G$5:$G$116,'Data SKU'!$A$5:$A$116,"Trading",'Data SKU'!$B$5:$B$116,"Sayap",'Data SKU'!$D$5:$D$116,8)/SUMIFS('Data SKU'!$F$5:$F$116,'Data SKU'!$A$5:$A$116,"Trading",'Data SKU'!$B$5:$B$116,"Sayap",'Data SKU'!$D$5:$D$116,8,'Data SKU'!$F$5:$F$116,"&gt;0"),0)</f>
        <v>31000</v>
      </c>
      <c r="I282" s="21" t="n">
        <f aca="false">IF(G282=0,0,H282/G282-1)</f>
        <v>0</v>
      </c>
      <c r="J282" s="7" t="n">
        <f aca="false">IFERROR(SUMIFS('Data SKU'!$H$5:$H$116,'Data SKU'!$A$5:$A$116,"Trading",'Data SKU'!$B$5:$B$116,"Sayap",'Data SKU'!$D$5:$D$116,7)/SUMIFS('Data SKU'!$F$5:$F$116,'Data SKU'!$A$5:$A$116,"Trading",'Data SKU'!$B$5:$B$116,"Sayap",'Data SKU'!$D$5:$D$116,7,'Data SKU'!$F$5:$F$116,"&gt;0"),0)</f>
        <v>0</v>
      </c>
      <c r="K282" s="7" t="n">
        <f aca="false">IFERROR(SUMIFS('Data SKU'!$H$5:$H$116,'Data SKU'!$A$5:$A$116,"Trading",'Data SKU'!$B$5:$B$116,"Sayap",'Data SKU'!$D$5:$D$116,8)/SUMIFS('Data SKU'!$F$5:$F$116,'Data SKU'!$A$5:$A$116,"Trading",'Data SKU'!$B$5:$B$116,"Sayap",'Data SKU'!$D$5:$D$116,8,'Data SKU'!$F$5:$F$116,"&gt;0"),0)</f>
        <v>28632.7845998568</v>
      </c>
      <c r="L282" s="21" t="n">
        <f aca="false">IF(J282=0,0,K282/J282-1)</f>
        <v>0</v>
      </c>
    </row>
    <row r="283" customFormat="false" ht="15" hidden="false" customHeight="false" outlineLevel="0" collapsed="false">
      <c r="B283" s="28" t="s">
        <v>433</v>
      </c>
    </row>
    <row r="285" customFormat="false" ht="15" hidden="false" customHeight="false" outlineLevel="0" collapsed="false">
      <c r="B285" s="18" t="s">
        <v>434</v>
      </c>
    </row>
    <row r="286" customFormat="false" ht="30" hidden="false" customHeight="true" outlineLevel="0" collapsed="false">
      <c r="B286" s="5" t="s">
        <v>435</v>
      </c>
      <c r="C286" s="5"/>
      <c r="D286" s="5" t="s">
        <v>436</v>
      </c>
      <c r="E286" s="5" t="s">
        <v>437</v>
      </c>
      <c r="F286" s="5" t="s">
        <v>438</v>
      </c>
      <c r="G286" s="5"/>
      <c r="H286" s="5"/>
      <c r="I286" s="5"/>
      <c r="J286" s="5"/>
      <c r="K286" s="5"/>
      <c r="L286" s="5"/>
      <c r="M286" s="5"/>
      <c r="N286" s="5" t="s">
        <v>439</v>
      </c>
    </row>
    <row r="287" customFormat="false" ht="15" hidden="false" customHeight="false" outlineLevel="0" collapsed="false">
      <c r="B287" s="11" t="s">
        <v>440</v>
      </c>
      <c r="D287" s="7" t="n">
        <f aca="false">'RPA Loss Bridge'!C30</f>
        <v>-389369178.25288</v>
      </c>
      <c r="E287" s="32" t="n">
        <f aca="false">D287/'Segment GP'!M6</f>
        <v>-0.144656187608033</v>
      </c>
      <c r="F287" s="22" t="n">
        <f aca="false">'RPA Loss Bridge'!E30</f>
        <v>1</v>
      </c>
    </row>
    <row r="288" customFormat="false" ht="15" hidden="false" customHeight="false" outlineLevel="0" collapsed="false">
      <c r="B288" s="6" t="s">
        <v>441</v>
      </c>
      <c r="D288" s="7" t="n">
        <f aca="false">'RPA Loss Bridge'!C31</f>
        <v>-203009268.469142</v>
      </c>
      <c r="E288" s="32" t="n">
        <f aca="false">D288/'Segment GP'!M6</f>
        <v>-0.0754208305793771</v>
      </c>
      <c r="F288" s="22" t="n">
        <f aca="false">'RPA Loss Bridge'!E31</f>
        <v>0.521379913479684</v>
      </c>
    </row>
    <row r="289" customFormat="false" ht="15" hidden="false" customHeight="false" outlineLevel="0" collapsed="false">
      <c r="B289" s="6" t="s">
        <v>442</v>
      </c>
      <c r="D289" s="7" t="n">
        <f aca="false">'RPA Loss Bridge'!C32</f>
        <v>-145930681.954023</v>
      </c>
      <c r="E289" s="32" t="n">
        <f aca="false">D289/'Segment GP'!M6</f>
        <v>-0.0542153238765072</v>
      </c>
      <c r="F289" s="22" t="n">
        <f aca="false">'RPA Loss Bridge'!E32</f>
        <v>0.374787451356119</v>
      </c>
    </row>
    <row r="290" customFormat="false" ht="15" hidden="false" customHeight="false" outlineLevel="0" collapsed="false">
      <c r="B290" s="6" t="s">
        <v>443</v>
      </c>
      <c r="D290" s="7" t="n">
        <f aca="false">'RPA Loss Bridge'!C33</f>
        <v>-1408533.66076062</v>
      </c>
      <c r="E290" s="32" t="n">
        <f aca="false">D290/'Segment GP'!M6</f>
        <v>-0.000523290288146247</v>
      </c>
      <c r="F290" s="22" t="n">
        <f aca="false">'RPA Loss Bridge'!E33</f>
        <v>0.00361747600845239</v>
      </c>
    </row>
    <row r="291" customFormat="false" ht="15" hidden="false" customHeight="false" outlineLevel="0" collapsed="false">
      <c r="B291" s="6" t="s">
        <v>444</v>
      </c>
      <c r="D291" s="7" t="n">
        <f aca="false">'RPA Loss Bridge'!C34</f>
        <v>-40680960</v>
      </c>
      <c r="E291" s="32" t="n">
        <f aca="false">D291/'Segment GP'!M6</f>
        <v>-0.0151135552337247</v>
      </c>
      <c r="F291" s="22" t="n">
        <f aca="false">'RPA Loss Bridge'!E34</f>
        <v>0.104479147996607</v>
      </c>
    </row>
    <row r="292" customFormat="false" ht="15" hidden="false" customHeight="false" outlineLevel="0" collapsed="false">
      <c r="B292" s="6" t="s">
        <v>445</v>
      </c>
      <c r="D292" s="7" t="n">
        <f aca="false">'RPA Loss Bridge'!C35</f>
        <v>-3999999.99999997</v>
      </c>
      <c r="E292" s="32" t="n">
        <f aca="false">D292/'Segment GP'!M6</f>
        <v>-0.00148605689086241</v>
      </c>
      <c r="F292" s="22" t="n">
        <f aca="false">'RPA Loss Bridge'!E35</f>
        <v>0.0102730267915611</v>
      </c>
    </row>
    <row r="293" customFormat="false" ht="15" hidden="false" customHeight="false" outlineLevel="0" collapsed="false">
      <c r="B293" s="6" t="s">
        <v>446</v>
      </c>
      <c r="D293" s="7" t="n">
        <f aca="false">'RPA Loss Bridge'!C36</f>
        <v>5660265.83104581</v>
      </c>
      <c r="E293" s="32" t="n">
        <f aca="false">D293/'Segment GP'!M6</f>
        <v>0.00210286926058469</v>
      </c>
      <c r="F293" s="22" t="n">
        <f aca="false">'RPA Loss Bridge'!E36</f>
        <v>-0.014537015632423</v>
      </c>
    </row>
    <row r="294" customFormat="false" ht="15" hidden="false" customHeight="false" outlineLevel="0" collapsed="false">
      <c r="B294" s="6" t="s">
        <v>447</v>
      </c>
      <c r="D294" s="7" t="n">
        <f aca="false">'RPA Loss Bridge'!C16</f>
        <v>182623355.714445</v>
      </c>
      <c r="E294" s="32" t="n">
        <f aca="false">D294/'Segment GP'!M6</f>
        <v>0.0678471740479676</v>
      </c>
    </row>
    <row r="296" customFormat="false" ht="15" hidden="false" customHeight="false" outlineLevel="0" collapsed="false">
      <c r="B296" s="18" t="s">
        <v>448</v>
      </c>
    </row>
    <row r="297" customFormat="false" ht="30" hidden="false" customHeight="true" outlineLevel="0" collapsed="false">
      <c r="B297" s="5" t="s">
        <v>308</v>
      </c>
      <c r="C297" s="5"/>
      <c r="D297" s="5" t="s">
        <v>184</v>
      </c>
      <c r="E297" s="5" t="s">
        <v>185</v>
      </c>
      <c r="F297" s="5" t="s">
        <v>186</v>
      </c>
      <c r="G297" s="5" t="s">
        <v>187</v>
      </c>
      <c r="H297" s="5"/>
      <c r="I297" s="5"/>
      <c r="J297" s="5"/>
      <c r="K297" s="5"/>
      <c r="L297" s="5"/>
      <c r="M297" s="5"/>
      <c r="N297" s="5" t="s">
        <v>449</v>
      </c>
    </row>
    <row r="298" customFormat="false" ht="15" hidden="false" customHeight="false" outlineLevel="0" collapsed="false">
      <c r="B298" s="25" t="s">
        <v>450</v>
      </c>
      <c r="D298" s="8" t="n">
        <v>363051373.23</v>
      </c>
      <c r="E298" s="8" t="n">
        <v>306709757.030003</v>
      </c>
      <c r="F298" s="16" t="n">
        <f aca="false">E298-D298</f>
        <v>-56341616.1999974</v>
      </c>
      <c r="G298" s="21" t="n">
        <f aca="false">IFERROR(F298/ABS(D298),0)</f>
        <v>-0.155189100921824</v>
      </c>
      <c r="N298" s="12"/>
    </row>
    <row r="299" customFormat="false" ht="15" hidden="false" customHeight="false" outlineLevel="0" collapsed="false">
      <c r="B299" s="6" t="s">
        <v>451</v>
      </c>
      <c r="D299" s="8" t="n">
        <v>-15400000</v>
      </c>
      <c r="E299" s="8" t="n">
        <v>-45451519</v>
      </c>
      <c r="F299" s="9" t="n">
        <f aca="false">E299-D299</f>
        <v>-30051519</v>
      </c>
      <c r="G299" s="21" t="n">
        <f aca="false">IFERROR(F299/ABS(D299),0)</f>
        <v>-1.95139733766234</v>
      </c>
      <c r="N299" s="12" t="s">
        <v>452</v>
      </c>
    </row>
    <row r="300" customFormat="false" ht="15" hidden="false" customHeight="false" outlineLevel="0" collapsed="false">
      <c r="B300" s="6" t="s">
        <v>453</v>
      </c>
      <c r="D300" s="8" t="n">
        <v>-3619566</v>
      </c>
      <c r="E300" s="8" t="n">
        <v>241100</v>
      </c>
      <c r="F300" s="9" t="n">
        <f aca="false">E300-D300</f>
        <v>3860666</v>
      </c>
      <c r="G300" s="21" t="n">
        <f aca="false">IFERROR(F300/ABS(D300),0)</f>
        <v>1.06661019580801</v>
      </c>
      <c r="N300" s="12" t="s">
        <v>454</v>
      </c>
    </row>
    <row r="301" customFormat="false" ht="15" hidden="false" customHeight="false" outlineLevel="0" collapsed="false">
      <c r="B301" s="6" t="s">
        <v>455</v>
      </c>
      <c r="D301" s="8" t="n">
        <v>-38919766</v>
      </c>
      <c r="E301" s="8" t="n">
        <v>-11226650</v>
      </c>
      <c r="F301" s="9" t="n">
        <f aca="false">E301-D301</f>
        <v>27693116</v>
      </c>
      <c r="G301" s="21" t="n">
        <f aca="false">IFERROR(F301/ABS(D301),0)</f>
        <v>0.711543743608325</v>
      </c>
      <c r="N301" s="12" t="s">
        <v>456</v>
      </c>
    </row>
    <row r="302" customFormat="false" ht="15" hidden="false" customHeight="false" outlineLevel="0" collapsed="false">
      <c r="B302" s="6" t="s">
        <v>457</v>
      </c>
      <c r="D302" s="8" t="n">
        <v>-52186369</v>
      </c>
      <c r="E302" s="8" t="n">
        <v>-85565549</v>
      </c>
      <c r="F302" s="9" t="n">
        <f aca="false">E302-D302</f>
        <v>-33379180</v>
      </c>
      <c r="G302" s="21" t="n">
        <f aca="false">IFERROR(F302/ABS(D302),0)</f>
        <v>-0.639614915534744</v>
      </c>
      <c r="N302" s="12" t="s">
        <v>458</v>
      </c>
    </row>
    <row r="303" customFormat="false" ht="15" hidden="false" customHeight="false" outlineLevel="0" collapsed="false">
      <c r="B303" s="6" t="s">
        <v>459</v>
      </c>
      <c r="D303" s="8" t="n">
        <v>-82311725.9</v>
      </c>
      <c r="E303" s="8" t="n">
        <v>-97510200</v>
      </c>
      <c r="F303" s="9" t="n">
        <f aca="false">E303-D303</f>
        <v>-15198474.1</v>
      </c>
      <c r="G303" s="21" t="n">
        <f aca="false">IFERROR(F303/ABS(D303),0)</f>
        <v>-0.184645309447946</v>
      </c>
      <c r="N303" s="12" t="s">
        <v>460</v>
      </c>
    </row>
    <row r="304" customFormat="false" ht="15" hidden="false" customHeight="false" outlineLevel="0" collapsed="false">
      <c r="B304" s="6" t="s">
        <v>461</v>
      </c>
      <c r="D304" s="8" t="n">
        <v>-18858284</v>
      </c>
      <c r="E304" s="8" t="n">
        <v>-26194759</v>
      </c>
      <c r="F304" s="9" t="n">
        <f aca="false">E304-D304</f>
        <v>-7336475</v>
      </c>
      <c r="G304" s="21" t="n">
        <f aca="false">IFERROR(F304/ABS(D304),0)</f>
        <v>-0.389031950096838</v>
      </c>
      <c r="N304" s="12" t="s">
        <v>462</v>
      </c>
    </row>
    <row r="305" customFormat="false" ht="15" hidden="false" customHeight="false" outlineLevel="0" collapsed="false">
      <c r="B305" s="6" t="s">
        <v>463</v>
      </c>
      <c r="D305" s="8" t="n">
        <v>-3287526</v>
      </c>
      <c r="E305" s="8" t="n">
        <v>-10268250</v>
      </c>
      <c r="F305" s="9" t="n">
        <f aca="false">E305-D305</f>
        <v>-6980724</v>
      </c>
      <c r="G305" s="21" t="n">
        <f aca="false">IFERROR(F305/ABS(D305),0)</f>
        <v>-2.12339735107798</v>
      </c>
      <c r="N305" s="12" t="s">
        <v>464</v>
      </c>
    </row>
    <row r="306" customFormat="false" ht="15" hidden="false" customHeight="false" outlineLevel="0" collapsed="false">
      <c r="B306" s="6" t="s">
        <v>465</v>
      </c>
      <c r="D306" s="8" t="n">
        <v>0</v>
      </c>
      <c r="E306" s="8" t="n">
        <v>-5992793</v>
      </c>
      <c r="F306" s="9" t="n">
        <f aca="false">E306-D306</f>
        <v>-5992793</v>
      </c>
      <c r="G306" s="21" t="n">
        <f aca="false">IFERROR(F306/ABS(D306),0)</f>
        <v>0</v>
      </c>
      <c r="N306" s="12" t="s">
        <v>466</v>
      </c>
    </row>
    <row r="307" customFormat="false" ht="15" hidden="false" customHeight="false" outlineLevel="0" collapsed="false">
      <c r="B307" s="6" t="s">
        <v>467</v>
      </c>
      <c r="D307" s="8" t="n">
        <v>-5859100</v>
      </c>
      <c r="E307" s="8" t="n">
        <v>-1098500</v>
      </c>
      <c r="F307" s="9" t="n">
        <f aca="false">E307-D307</f>
        <v>4760600</v>
      </c>
      <c r="G307" s="21" t="n">
        <f aca="false">IFERROR(F307/ABS(D307),0)</f>
        <v>0.812513867317506</v>
      </c>
      <c r="N307" s="12"/>
    </row>
    <row r="308" customFormat="false" ht="15" hidden="false" customHeight="false" outlineLevel="0" collapsed="false">
      <c r="B308" s="6" t="s">
        <v>468</v>
      </c>
      <c r="D308" s="8" t="n">
        <v>163214</v>
      </c>
      <c r="E308" s="8" t="n">
        <v>-9448220.67</v>
      </c>
      <c r="F308" s="9" t="n">
        <f aca="false">E308-D308</f>
        <v>-9611434.67</v>
      </c>
      <c r="G308" s="21" t="n">
        <f aca="false">IFERROR(F308/ABS(D308),0)</f>
        <v>-58.8885430784124</v>
      </c>
      <c r="N308" s="12" t="s">
        <v>469</v>
      </c>
    </row>
    <row r="309" customFormat="false" ht="15" hidden="false" customHeight="false" outlineLevel="0" collapsed="false">
      <c r="B309" s="25" t="s">
        <v>470</v>
      </c>
      <c r="D309" s="8" t="n">
        <v>-220279122.9</v>
      </c>
      <c r="E309" s="8" t="n">
        <v>-292515340.67</v>
      </c>
      <c r="F309" s="16" t="n">
        <f aca="false">E309-D309</f>
        <v>-72236217.77</v>
      </c>
      <c r="G309" s="21" t="n">
        <f aca="false">IFERROR(F309/ABS(D309),0)</f>
        <v>-0.327930385862273</v>
      </c>
      <c r="N309" s="12"/>
    </row>
    <row r="310" customFormat="false" ht="15" hidden="false" customHeight="false" outlineLevel="0" collapsed="false">
      <c r="B310" s="25" t="s">
        <v>471</v>
      </c>
      <c r="D310" s="8" t="n">
        <v>142772250.33</v>
      </c>
      <c r="E310" s="8" t="n">
        <v>14194416.3600026</v>
      </c>
      <c r="F310" s="16" t="n">
        <f aca="false">E310-D310</f>
        <v>-128577833.969997</v>
      </c>
      <c r="G310" s="21" t="n">
        <f aca="false">IFERROR(F310/ABS(D310),0)</f>
        <v>-0.900580005377838</v>
      </c>
      <c r="N310" s="12"/>
    </row>
    <row r="311" customFormat="false" ht="15" hidden="false" customHeight="false" outlineLevel="0" collapsed="false">
      <c r="B311" s="6" t="s">
        <v>472</v>
      </c>
      <c r="D311" s="8" t="n">
        <v>-24441666</v>
      </c>
      <c r="E311" s="8" t="n">
        <v>-31911111</v>
      </c>
      <c r="F311" s="9" t="n">
        <f aca="false">E311-D311</f>
        <v>-7469445</v>
      </c>
      <c r="G311" s="21" t="n">
        <f aca="false">IFERROR(F311/ABS(D311),0)</f>
        <v>-0.305602940486954</v>
      </c>
      <c r="N311" s="12" t="s">
        <v>473</v>
      </c>
    </row>
    <row r="312" customFormat="false" ht="15" hidden="false" customHeight="false" outlineLevel="0" collapsed="false">
      <c r="B312" s="6" t="s">
        <v>474</v>
      </c>
      <c r="D312" s="8" t="n">
        <v>1812681.5400003</v>
      </c>
      <c r="E312" s="8" t="n">
        <v>1592295.48</v>
      </c>
      <c r="F312" s="9" t="n">
        <f aca="false">E312-D312</f>
        <v>-220386.060000296</v>
      </c>
      <c r="G312" s="21" t="n">
        <f aca="false">IFERROR(F312/ABS(D312),0)</f>
        <v>-0.12158013149969</v>
      </c>
      <c r="N312" s="12"/>
    </row>
    <row r="313" customFormat="false" ht="15" hidden="false" customHeight="false" outlineLevel="0" collapsed="false">
      <c r="B313" s="25" t="s">
        <v>475</v>
      </c>
      <c r="D313" s="8" t="n">
        <v>120143265.87</v>
      </c>
      <c r="E313" s="8" t="n">
        <v>-16124399.1599974</v>
      </c>
      <c r="F313" s="16" t="n">
        <f aca="false">E313-D313</f>
        <v>-136267665.029998</v>
      </c>
      <c r="G313" s="21" t="n">
        <f aca="false">IFERROR(F313/ABS(D313),0)</f>
        <v>-1.13420976234694</v>
      </c>
      <c r="N313" s="12"/>
    </row>
    <row r="314" customFormat="false" ht="15" hidden="false" customHeight="false" outlineLevel="0" collapsed="false">
      <c r="B314" s="6" t="s">
        <v>476</v>
      </c>
      <c r="D314" s="8" t="n">
        <v>-10393461.35</v>
      </c>
      <c r="E314" s="8" t="n">
        <v>-10393461.35</v>
      </c>
      <c r="F314" s="9" t="n">
        <f aca="false">E314-D314</f>
        <v>0</v>
      </c>
      <c r="G314" s="21" t="n">
        <f aca="false">IFERROR(F314/ABS(D314),0)</f>
        <v>0</v>
      </c>
      <c r="N314" s="12"/>
    </row>
    <row r="315" customFormat="false" ht="15" hidden="false" customHeight="false" outlineLevel="0" collapsed="false">
      <c r="B315" s="6" t="s">
        <v>477</v>
      </c>
      <c r="D315" s="8" t="n">
        <v>109749804.52</v>
      </c>
      <c r="E315" s="8" t="n">
        <v>-26517860.5099974</v>
      </c>
      <c r="F315" s="9" t="n">
        <f aca="false">E315-D315</f>
        <v>-136267665.029998</v>
      </c>
      <c r="G315" s="21" t="n">
        <f aca="false">IFERROR(F315/ABS(D315),0)</f>
        <v>-1.24162102726265</v>
      </c>
      <c r="N315" s="12"/>
    </row>
    <row r="316" customFormat="false" ht="15" hidden="false" customHeight="false" outlineLevel="0" collapsed="false">
      <c r="B316" s="12" t="s">
        <v>478</v>
      </c>
      <c r="D316" s="9" t="n">
        <f aca="false">ROUND(D298-'Segment GP'!H34,0)</f>
        <v>-0</v>
      </c>
      <c r="E316" s="9" t="n">
        <f aca="false">ROUND(E298-'Segment GP'!I34,0)</f>
        <v>0</v>
      </c>
    </row>
    <row r="317" customFormat="false" ht="15" hidden="false" customHeight="false" outlineLevel="0" collapsed="false">
      <c r="B317" s="28" t="s">
        <v>479</v>
      </c>
    </row>
    <row r="319" customFormat="false" ht="15" hidden="false" customHeight="false" outlineLevel="0" collapsed="false">
      <c r="B319" s="18" t="s">
        <v>480</v>
      </c>
    </row>
    <row r="320" customFormat="false" ht="19.5" hidden="false" customHeight="true" outlineLevel="0" collapsed="false">
      <c r="B320" s="5" t="s">
        <v>373</v>
      </c>
      <c r="C320" s="5"/>
      <c r="D320" s="5" t="s">
        <v>190</v>
      </c>
    </row>
    <row r="321" customFormat="false" ht="15" hidden="false" customHeight="false" outlineLevel="0" collapsed="false">
      <c r="B321" s="11" t="s">
        <v>481</v>
      </c>
      <c r="D321" s="20" t="n">
        <f aca="false">D310/1000000</f>
        <v>142.77225033</v>
      </c>
    </row>
    <row r="322" customFormat="false" ht="15" hidden="false" customHeight="false" outlineLevel="0" collapsed="false">
      <c r="B322" s="6" t="s">
        <v>482</v>
      </c>
      <c r="D322" s="20" t="n">
        <f aca="false">F298/1000000</f>
        <v>-56.3416161999974</v>
      </c>
    </row>
    <row r="323" customFormat="false" ht="15" hidden="false" customHeight="false" outlineLevel="0" collapsed="false">
      <c r="B323" s="6" t="str">
        <f aca="false">B299</f>
        <v>Delivery expenses (selling)</v>
      </c>
      <c r="D323" s="20" t="n">
        <f aca="false">F299/1000000</f>
        <v>-30.051519</v>
      </c>
    </row>
    <row r="324" customFormat="false" ht="15" hidden="false" customHeight="false" outlineLevel="0" collapsed="false">
      <c r="B324" s="6" t="str">
        <f aca="false">B300</f>
        <v>Commission</v>
      </c>
      <c r="D324" s="20" t="n">
        <f aca="false">F300/1000000</f>
        <v>3.860666</v>
      </c>
    </row>
    <row r="325" customFormat="false" ht="15" hidden="false" customHeight="false" outlineLevel="0" collapsed="false">
      <c r="B325" s="6" t="str">
        <f aca="false">B301</f>
        <v>Packaging</v>
      </c>
      <c r="D325" s="20" t="n">
        <f aca="false">F301/1000000</f>
        <v>27.693116</v>
      </c>
    </row>
    <row r="326" customFormat="false" ht="15" hidden="false" customHeight="false" outlineLevel="0" collapsed="false">
      <c r="B326" s="6" t="str">
        <f aca="false">B302</f>
        <v>Salaries and allowance</v>
      </c>
      <c r="D326" s="20" t="n">
        <f aca="false">F302/1000000</f>
        <v>-33.37918</v>
      </c>
    </row>
    <row r="327" customFormat="false" ht="15" hidden="false" customHeight="false" outlineLevel="0" collapsed="false">
      <c r="B327" s="6" t="str">
        <f aca="false">B303</f>
        <v>Storage and handling</v>
      </c>
      <c r="D327" s="20" t="n">
        <f aca="false">F303/1000000</f>
        <v>-15.1984741</v>
      </c>
    </row>
    <row r="328" customFormat="false" ht="15" hidden="false" customHeight="false" outlineLevel="0" collapsed="false">
      <c r="B328" s="6" t="str">
        <f aca="false">B304</f>
        <v>Office transportation</v>
      </c>
      <c r="D328" s="20" t="n">
        <f aca="false">F304/1000000</f>
        <v>-7.336475</v>
      </c>
    </row>
    <row r="329" customFormat="false" ht="15" hidden="false" customHeight="false" outlineLevel="0" collapsed="false">
      <c r="B329" s="6" t="str">
        <f aca="false">B305</f>
        <v>Rent</v>
      </c>
      <c r="D329" s="20" t="n">
        <f aca="false">F305/1000000</f>
        <v>-6.980724</v>
      </c>
    </row>
    <row r="330" customFormat="false" ht="15" hidden="false" customHeight="false" outlineLevel="0" collapsed="false">
      <c r="B330" s="6" t="str">
        <f aca="false">B306</f>
        <v>Professional fee</v>
      </c>
      <c r="D330" s="20" t="n">
        <f aca="false">F306/1000000</f>
        <v>-5.992793</v>
      </c>
    </row>
    <row r="331" customFormat="false" ht="15" hidden="false" customHeight="false" outlineLevel="0" collapsed="false">
      <c r="B331" s="6" t="str">
        <f aca="false">B307</f>
        <v>Office supplies</v>
      </c>
      <c r="D331" s="20" t="n">
        <f aca="false">F307/1000000</f>
        <v>4.7606</v>
      </c>
    </row>
    <row r="332" customFormat="false" ht="15" hidden="false" customHeight="false" outlineLevel="0" collapsed="false">
      <c r="B332" s="6" t="str">
        <f aca="false">B308</f>
        <v>Tax expenses</v>
      </c>
      <c r="D332" s="20" t="n">
        <f aca="false">F308/1000000</f>
        <v>-9.61143467</v>
      </c>
    </row>
    <row r="333" customFormat="false" ht="15" hidden="false" customHeight="false" outlineLevel="0" collapsed="false">
      <c r="B333" s="29" t="s">
        <v>483</v>
      </c>
      <c r="D333" s="37" t="n">
        <f aca="false">SUM(D321:D332)</f>
        <v>14.1944163600026</v>
      </c>
      <c r="E333" s="14" t="n">
        <f aca="false">ROUND(D333-E310/1000000,3)</f>
        <v>0</v>
      </c>
      <c r="F333" s="12" t="s">
        <v>484</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
    <col collapsed="false" customWidth="true" hidden="false" outlineLevel="0" max="3" min="3" style="0" width="30"/>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7" min="7" style="0" width="22"/>
    <col collapsed="false" customWidth="true" hidden="false" outlineLevel="0" max="8" min="8" style="0" width="11"/>
    <col collapsed="false" customWidth="true" hidden="false" outlineLevel="0" max="9" min="9" style="0" width="13"/>
    <col collapsed="false" customWidth="true" hidden="false" outlineLevel="0" max="10" min="10" style="0" width="11"/>
    <col collapsed="false" customWidth="true" hidden="false" outlineLevel="0" max="11" min="11" style="0" width="9"/>
    <col collapsed="false" customWidth="true" hidden="false" outlineLevel="0" max="14" min="12" style="0" width="10"/>
    <col collapsed="false" customWidth="true" hidden="false" outlineLevel="0" max="15" min="15" style="0" width="11"/>
    <col collapsed="false" customWidth="true" hidden="false" outlineLevel="0" max="18" min="16" style="0" width="10"/>
  </cols>
  <sheetData>
    <row r="1" customFormat="false" ht="15" hidden="false" customHeight="false" outlineLevel="0" collapsed="false">
      <c r="A1" s="1" t="s">
        <v>485</v>
      </c>
    </row>
    <row r="2" customFormat="false" ht="15" hidden="false" customHeight="false" outlineLevel="0" collapsed="false">
      <c r="A2" s="4" t="s">
        <v>486</v>
      </c>
    </row>
    <row r="4" customFormat="false" ht="15" hidden="false" customHeight="false" outlineLevel="0" collapsed="false">
      <c r="B4" s="18" t="s">
        <v>487</v>
      </c>
    </row>
    <row r="5" customFormat="false" ht="33.75" hidden="false" customHeight="true" outlineLevel="0" collapsed="false">
      <c r="B5" s="5" t="s">
        <v>31</v>
      </c>
      <c r="C5" s="5" t="s">
        <v>488</v>
      </c>
      <c r="D5" s="5" t="s">
        <v>489</v>
      </c>
      <c r="E5" s="5" t="s">
        <v>490</v>
      </c>
      <c r="F5" s="5" t="s">
        <v>491</v>
      </c>
      <c r="G5" s="5" t="s">
        <v>492</v>
      </c>
      <c r="H5" s="5" t="s">
        <v>493</v>
      </c>
      <c r="I5" s="5" t="s">
        <v>494</v>
      </c>
      <c r="J5" s="5" t="s">
        <v>495</v>
      </c>
      <c r="K5" s="5"/>
      <c r="L5" s="5"/>
      <c r="M5" s="5"/>
      <c r="N5" s="5"/>
    </row>
    <row r="6" customFormat="false" ht="25.5" hidden="false" customHeight="true" outlineLevel="0" collapsed="false">
      <c r="B6" s="38" t="s">
        <v>496</v>
      </c>
      <c r="C6" s="39" t="s">
        <v>497</v>
      </c>
      <c r="D6" s="40" t="n">
        <f aca="false">'Batch Economics'!L18</f>
        <v>24472.1203473247</v>
      </c>
      <c r="E6" s="41" t="s">
        <v>202</v>
      </c>
      <c r="F6" s="40" t="n">
        <f aca="false">'Batch Economics'!AL18</f>
        <v>21705.1232284353</v>
      </c>
      <c r="G6" s="41" t="s">
        <v>498</v>
      </c>
      <c r="H6" s="42" t="n">
        <f aca="false">D6-F6</f>
        <v>2766.99711888939</v>
      </c>
      <c r="I6" s="43"/>
      <c r="J6" s="44" t="s">
        <v>499</v>
      </c>
      <c r="K6" s="44"/>
      <c r="L6" s="44"/>
      <c r="M6" s="44"/>
      <c r="N6" s="44"/>
    </row>
    <row r="7" customFormat="false" ht="25.5" hidden="false" customHeight="true" outlineLevel="0" collapsed="false">
      <c r="B7" s="38"/>
      <c r="C7" s="44" t="s">
        <v>500</v>
      </c>
      <c r="D7" s="45" t="n">
        <f aca="false">'Batch Economics'!G18/1000</f>
        <v>140.71904</v>
      </c>
      <c r="E7" s="41" t="str">
        <f aca="false">"ton, "&amp;COUNT('Batch Economics'!B6:B17)&amp;" batch"</f>
        <v>ton, 12 batch</v>
      </c>
      <c r="F7" s="46"/>
      <c r="G7" s="41"/>
      <c r="H7" s="46"/>
      <c r="I7" s="43"/>
      <c r="J7" s="44"/>
      <c r="K7" s="44"/>
      <c r="L7" s="44"/>
      <c r="M7" s="44"/>
      <c r="N7" s="44"/>
    </row>
    <row r="8" customFormat="false" ht="25.5" hidden="false" customHeight="true" outlineLevel="0" collapsed="false">
      <c r="B8" s="38" t="s">
        <v>501</v>
      </c>
      <c r="C8" s="39" t="s">
        <v>502</v>
      </c>
      <c r="D8" s="47" t="n">
        <f aca="false">'Batch Economics'!O18</f>
        <v>0.0627977564372242</v>
      </c>
      <c r="E8" s="41" t="s">
        <v>503</v>
      </c>
      <c r="F8" s="47" t="n">
        <f aca="false">'RPA Loss Bridge'!C22</f>
        <v>0.02</v>
      </c>
      <c r="G8" s="41" t="s">
        <v>504</v>
      </c>
      <c r="H8" s="43" t="n">
        <f aca="false">D8-F8</f>
        <v>0.0427977564372242</v>
      </c>
      <c r="I8" s="47" t="n">
        <f aca="false">'RPA Loss Bridge'!E32</f>
        <v>0.374787451356119</v>
      </c>
      <c r="J8" s="44" t="s">
        <v>505</v>
      </c>
      <c r="K8" s="44"/>
      <c r="L8" s="44"/>
      <c r="M8" s="44"/>
      <c r="N8" s="44"/>
    </row>
    <row r="9" customFormat="false" ht="25.5" hidden="false" customHeight="true" outlineLevel="0" collapsed="false">
      <c r="B9" s="38"/>
      <c r="C9" s="44" t="s">
        <v>506</v>
      </c>
      <c r="D9" s="47" t="n">
        <f aca="false">MAX('Batch Economics'!O6:O17)</f>
        <v>0.0971791016893364</v>
      </c>
      <c r="E9" s="41" t="s">
        <v>507</v>
      </c>
      <c r="F9" s="47" t="n">
        <f aca="false">MIN('Batch Economics'!O6:O17)</f>
        <v>0.0432544411765853</v>
      </c>
      <c r="G9" s="41" t="s">
        <v>508</v>
      </c>
      <c r="H9" s="43"/>
      <c r="I9" s="43"/>
      <c r="J9" s="44" t="s">
        <v>509</v>
      </c>
      <c r="K9" s="44"/>
      <c r="L9" s="44"/>
      <c r="M9" s="44"/>
      <c r="N9" s="44"/>
    </row>
    <row r="10" customFormat="false" ht="25.5" hidden="false" customHeight="true" outlineLevel="0" collapsed="false">
      <c r="B10" s="38" t="s">
        <v>510</v>
      </c>
      <c r="C10" s="39" t="s">
        <v>511</v>
      </c>
      <c r="D10" s="40" t="n">
        <f aca="false">'Batch Economics'!AK18</f>
        <v>1289.09350149063</v>
      </c>
      <c r="E10" s="41" t="s">
        <v>216</v>
      </c>
      <c r="F10" s="40" t="n">
        <f aca="false">'RPA Loss Bridge'!C23</f>
        <v>1000</v>
      </c>
      <c r="G10" s="41" t="s">
        <v>512</v>
      </c>
      <c r="H10" s="42" t="n">
        <f aca="false">D10-F10</f>
        <v>289.09350149063</v>
      </c>
      <c r="I10" s="47" t="n">
        <f aca="false">'RPA Loss Bridge'!E34</f>
        <v>0.104479147996607</v>
      </c>
      <c r="J10" s="44" t="s">
        <v>513</v>
      </c>
      <c r="K10" s="44"/>
      <c r="L10" s="44"/>
      <c r="M10" s="44"/>
      <c r="N10" s="44"/>
    </row>
    <row r="11" customFormat="false" ht="25.5" hidden="false" customHeight="true" outlineLevel="0" collapsed="false">
      <c r="B11" s="38" t="s">
        <v>514</v>
      </c>
      <c r="C11" s="39" t="s">
        <v>515</v>
      </c>
      <c r="D11" s="47" t="n">
        <f aca="false">'Batch Economics'!AD18</f>
        <v>0.736709730350267</v>
      </c>
      <c r="E11" s="41" t="s">
        <v>195</v>
      </c>
      <c r="F11" s="47" t="n">
        <f aca="false">'RPA Loss Bridge'!C24</f>
        <v>0.737</v>
      </c>
      <c r="G11" s="41" t="s">
        <v>516</v>
      </c>
      <c r="H11" s="43" t="n">
        <f aca="false">D11-F11</f>
        <v>-0.000290269649732888</v>
      </c>
      <c r="I11" s="47" t="n">
        <f aca="false">'RPA Loss Bridge'!E33</f>
        <v>0.00361747600845239</v>
      </c>
      <c r="J11" s="44" t="s">
        <v>517</v>
      </c>
      <c r="K11" s="44"/>
      <c r="L11" s="44"/>
      <c r="M11" s="44"/>
      <c r="N11" s="44"/>
    </row>
    <row r="12" customFormat="false" ht="25.5" hidden="false" customHeight="true" outlineLevel="0" collapsed="false">
      <c r="B12" s="38"/>
      <c r="C12" s="44" t="s">
        <v>518</v>
      </c>
      <c r="D12" s="47" t="n">
        <f aca="false">'Batch Economics'!AP18</f>
        <v>0.860649703124751</v>
      </c>
      <c r="E12" s="41" t="s">
        <v>519</v>
      </c>
      <c r="F12" s="43"/>
      <c r="G12" s="41"/>
      <c r="H12" s="43"/>
      <c r="I12" s="43"/>
      <c r="J12" s="44"/>
      <c r="K12" s="44"/>
      <c r="L12" s="44"/>
      <c r="M12" s="44"/>
      <c r="N12" s="44"/>
    </row>
    <row r="13" customFormat="false" ht="25.5" hidden="false" customHeight="true" outlineLevel="0" collapsed="false">
      <c r="B13" s="38"/>
      <c r="C13" s="44" t="s">
        <v>520</v>
      </c>
      <c r="D13" s="47" t="n">
        <f aca="false">'Batch Economics'!AQ18</f>
        <v>0.690446012138798</v>
      </c>
      <c r="E13" s="41" t="s">
        <v>195</v>
      </c>
      <c r="F13" s="43"/>
      <c r="G13" s="41"/>
      <c r="H13" s="43"/>
      <c r="I13" s="43"/>
      <c r="J13" s="44"/>
      <c r="K13" s="44"/>
      <c r="L13" s="44"/>
      <c r="M13" s="44"/>
      <c r="N13" s="44"/>
    </row>
    <row r="14" customFormat="false" ht="25.5" hidden="false" customHeight="true" outlineLevel="0" collapsed="false">
      <c r="B14" s="38" t="s">
        <v>521</v>
      </c>
      <c r="C14" s="39" t="s">
        <v>522</v>
      </c>
      <c r="D14" s="47" t="n">
        <f aca="false">'Batch Economics'!AF18</f>
        <v>0.593207621741292</v>
      </c>
      <c r="E14" s="41" t="s">
        <v>523</v>
      </c>
      <c r="F14" s="43"/>
      <c r="G14" s="41"/>
      <c r="H14" s="43"/>
      <c r="I14" s="43"/>
      <c r="J14" s="44" t="s">
        <v>524</v>
      </c>
      <c r="K14" s="44"/>
      <c r="L14" s="44"/>
      <c r="M14" s="44"/>
      <c r="N14" s="44"/>
    </row>
    <row r="15" customFormat="false" ht="25.5" hidden="false" customHeight="true" outlineLevel="0" collapsed="false">
      <c r="B15" s="38"/>
      <c r="C15" s="44" t="s">
        <v>525</v>
      </c>
      <c r="D15" s="47" t="n">
        <f aca="false">IFERROR(SUMIFS(Vintage!$AC$36:$AC$127,Vintage!$C$36:$C$127,"RPA",Vintage!$BB$36:$BB$127,"Karkas fresh")/(SUMIFS(Vintage!$AC$36:$AC$127,Vintage!$C$36:$C$127,"RPA",Vintage!$BB$36:$BB$127,"Karkas fresh")+SUMIFS(Vintage!$AC$36:$AC$127,Vintage!$C$36:$C$127,"RPA",Vintage!$BB$36:$BB$127,"Karkas frozen")+SUMIFS(Vintage!$AC$36:$AC$127,Vintage!$C$36:$C$127,"RPA",Vintage!$BB$36:$BB$127,"Karkas mix")),0)</f>
        <v>0.876594481473222</v>
      </c>
      <c r="E15" s="41" t="s">
        <v>526</v>
      </c>
      <c r="F15" s="43"/>
      <c r="G15" s="41"/>
      <c r="H15" s="43"/>
      <c r="I15" s="43"/>
      <c r="J15" s="44" t="s">
        <v>527</v>
      </c>
      <c r="K15" s="44"/>
      <c r="L15" s="44"/>
      <c r="M15" s="44"/>
      <c r="N15" s="44"/>
    </row>
    <row r="16" customFormat="false" ht="25.5" hidden="false" customHeight="true" outlineLevel="0" collapsed="false">
      <c r="B16" s="38"/>
      <c r="C16" s="44" t="s">
        <v>528</v>
      </c>
      <c r="D16" s="40" t="n">
        <f aca="false">'Batch Economics'!D23</f>
        <v>36794.2045160545</v>
      </c>
      <c r="E16" s="41" t="s">
        <v>202</v>
      </c>
      <c r="F16" s="40" t="n">
        <f aca="false">'Batch Economics'!D24</f>
        <v>31657.7852093346</v>
      </c>
      <c r="G16" s="41" t="s">
        <v>529</v>
      </c>
      <c r="H16" s="42" t="n">
        <f aca="false">D16-F16</f>
        <v>5136.41930671986</v>
      </c>
      <c r="I16" s="47" t="n">
        <f aca="false">'RPA Loss Bridge'!E31</f>
        <v>0.521379913479684</v>
      </c>
      <c r="J16" s="44" t="s">
        <v>530</v>
      </c>
      <c r="K16" s="44"/>
      <c r="L16" s="44"/>
      <c r="M16" s="44"/>
      <c r="N16" s="44"/>
    </row>
    <row r="17" customFormat="false" ht="25.5" hidden="false" customHeight="true" outlineLevel="0" collapsed="false">
      <c r="B17" s="38" t="s">
        <v>531</v>
      </c>
      <c r="C17" s="39" t="s">
        <v>532</v>
      </c>
      <c r="D17" s="40" t="n">
        <f aca="false">'Batch Economics'!AI18</f>
        <v>31792.6316132664</v>
      </c>
      <c r="E17" s="41" t="s">
        <v>202</v>
      </c>
      <c r="F17" s="40" t="n">
        <f aca="false">'Batch Economics'!AJ18</f>
        <v>28569.0032270886</v>
      </c>
      <c r="G17" s="41" t="s">
        <v>533</v>
      </c>
      <c r="H17" s="42" t="n">
        <f aca="false">D17-F17</f>
        <v>3223.62838617787</v>
      </c>
      <c r="I17" s="43"/>
      <c r="J17" s="44" t="s">
        <v>534</v>
      </c>
      <c r="K17" s="44"/>
      <c r="L17" s="44"/>
      <c r="M17" s="44"/>
      <c r="N17" s="44"/>
    </row>
    <row r="18" customFormat="false" ht="25.5" hidden="false" customHeight="true" outlineLevel="0" collapsed="false">
      <c r="B18" s="38"/>
      <c r="C18" s="44" t="s">
        <v>535</v>
      </c>
      <c r="D18" s="40" t="n">
        <f aca="false">'Batch Economics'!C58</f>
        <v>37149.4866934475</v>
      </c>
      <c r="E18" s="41" t="s">
        <v>202</v>
      </c>
      <c r="F18" s="40" t="n">
        <f aca="false">'Batch Economics'!D23</f>
        <v>36794.2045160545</v>
      </c>
      <c r="G18" s="41" t="s">
        <v>528</v>
      </c>
      <c r="H18" s="42" t="n">
        <f aca="false">D18-F18</f>
        <v>355.282177393048</v>
      </c>
      <c r="I18" s="43"/>
      <c r="J18" s="44" t="s">
        <v>536</v>
      </c>
      <c r="K18" s="44"/>
      <c r="L18" s="44"/>
      <c r="M18" s="44"/>
      <c r="N18" s="44"/>
    </row>
    <row r="19" customFormat="false" ht="25.5" hidden="false" customHeight="true" outlineLevel="0" collapsed="false">
      <c r="B19" s="38"/>
      <c r="C19" s="44" t="s">
        <v>537</v>
      </c>
      <c r="D19" s="40" t="n">
        <f aca="false">'Batch Economics'!C59</f>
        <v>38712.2985844696</v>
      </c>
      <c r="E19" s="41" t="s">
        <v>202</v>
      </c>
      <c r="F19" s="40" t="n">
        <f aca="false">'Batch Economics'!D23</f>
        <v>36794.2045160545</v>
      </c>
      <c r="G19" s="41" t="s">
        <v>528</v>
      </c>
      <c r="H19" s="42" t="n">
        <f aca="false">D19-F19</f>
        <v>1918.09406841512</v>
      </c>
      <c r="I19" s="43"/>
      <c r="J19" s="44" t="s">
        <v>538</v>
      </c>
      <c r="K19" s="44"/>
      <c r="L19" s="44"/>
      <c r="M19" s="44"/>
      <c r="N19" s="44"/>
    </row>
    <row r="20" customFormat="false" ht="25.5" hidden="false" customHeight="true" outlineLevel="0" collapsed="false">
      <c r="B20" s="38" t="s">
        <v>539</v>
      </c>
      <c r="C20" s="39" t="s">
        <v>540</v>
      </c>
      <c r="D20" s="45" t="n">
        <f aca="false">F58/1000</f>
        <v>33.72738</v>
      </c>
      <c r="E20" s="41" t="s">
        <v>199</v>
      </c>
      <c r="F20" s="46"/>
      <c r="G20" s="41"/>
      <c r="H20" s="46"/>
      <c r="I20" s="43"/>
      <c r="J20" s="44" t="s">
        <v>541</v>
      </c>
      <c r="K20" s="44"/>
      <c r="L20" s="44"/>
      <c r="M20" s="44"/>
      <c r="N20" s="44"/>
    </row>
    <row r="21" customFormat="false" ht="25.5" hidden="false" customHeight="true" outlineLevel="0" collapsed="false">
      <c r="B21" s="38"/>
      <c r="C21" s="44" t="s">
        <v>542</v>
      </c>
      <c r="D21" s="45" t="n">
        <f aca="false">F59/1000</f>
        <v>12.11286</v>
      </c>
      <c r="E21" s="41" t="s">
        <v>199</v>
      </c>
      <c r="F21" s="46"/>
      <c r="G21" s="41"/>
      <c r="H21" s="46"/>
      <c r="I21" s="43"/>
      <c r="J21" s="44" t="s">
        <v>543</v>
      </c>
      <c r="K21" s="44"/>
      <c r="L21" s="44"/>
      <c r="M21" s="44"/>
      <c r="N21" s="44"/>
    </row>
    <row r="22" customFormat="false" ht="25.5" hidden="false" customHeight="true" outlineLevel="0" collapsed="false">
      <c r="B22" s="38"/>
      <c r="C22" s="44" t="s">
        <v>544</v>
      </c>
      <c r="D22" s="45" t="n">
        <f aca="false">F61/1000</f>
        <v>14.22802</v>
      </c>
      <c r="E22" s="41" t="s">
        <v>199</v>
      </c>
      <c r="F22" s="46"/>
      <c r="G22" s="41"/>
      <c r="H22" s="46"/>
      <c r="I22" s="43"/>
      <c r="J22" s="44"/>
      <c r="K22" s="44"/>
      <c r="L22" s="44"/>
      <c r="M22" s="44"/>
      <c r="N22" s="44"/>
    </row>
    <row r="23" customFormat="false" ht="25.5" hidden="false" customHeight="true" outlineLevel="0" collapsed="false">
      <c r="B23" s="38"/>
      <c r="C23" s="44" t="s">
        <v>545</v>
      </c>
      <c r="D23" s="45" t="n">
        <f aca="false">('RPA Loss Bridge'!C35+'RPA Loss Bridge'!C36)/1000000</f>
        <v>1.66026583104584</v>
      </c>
      <c r="E23" s="41" t="s">
        <v>546</v>
      </c>
      <c r="F23" s="46"/>
      <c r="G23" s="41"/>
      <c r="H23" s="46"/>
      <c r="I23" s="47" t="n">
        <f aca="false">'RPA Loss Bridge'!E35+'RPA Loss Bridge'!E36</f>
        <v>-0.00426398884086187</v>
      </c>
      <c r="J23" s="44" t="s">
        <v>547</v>
      </c>
      <c r="K23" s="44"/>
      <c r="L23" s="44"/>
      <c r="M23" s="44"/>
      <c r="N23" s="44"/>
    </row>
    <row r="24" customFormat="false" ht="25.5" hidden="false" customHeight="true" outlineLevel="0" collapsed="false">
      <c r="B24" s="48"/>
      <c r="C24" s="49" t="s">
        <v>548</v>
      </c>
      <c r="D24" s="50" t="n">
        <f aca="false">'RPA Loss Bridge'!C30/1000000</f>
        <v>-389.36917825288</v>
      </c>
      <c r="E24" s="49" t="s">
        <v>546</v>
      </c>
      <c r="F24" s="50"/>
      <c r="G24" s="49"/>
      <c r="H24" s="50"/>
      <c r="I24" s="51" t="n">
        <f aca="false">SUM(I8,I10,I11,I16)+I23</f>
        <v>1</v>
      </c>
      <c r="J24" s="49" t="s">
        <v>549</v>
      </c>
      <c r="K24" s="49"/>
      <c r="L24" s="49"/>
      <c r="M24" s="49"/>
      <c r="N24" s="49"/>
    </row>
    <row r="25" customFormat="false" ht="15" hidden="false" customHeight="false" outlineLevel="0" collapsed="false">
      <c r="B25" s="28" t="s">
        <v>550</v>
      </c>
    </row>
    <row r="32" customFormat="false" ht="15" hidden="false" customHeight="false" outlineLevel="0" collapsed="false">
      <c r="B32" s="18" t="s">
        <v>551</v>
      </c>
    </row>
    <row r="33" customFormat="false" ht="43.5" hidden="false" customHeight="true" outlineLevel="0" collapsed="false">
      <c r="B33" s="5" t="s">
        <v>552</v>
      </c>
      <c r="C33" s="5" t="s">
        <v>553</v>
      </c>
      <c r="D33" s="5" t="s">
        <v>554</v>
      </c>
      <c r="E33" s="5" t="s">
        <v>555</v>
      </c>
      <c r="F33" s="5" t="s">
        <v>556</v>
      </c>
      <c r="G33" s="5" t="s">
        <v>557</v>
      </c>
      <c r="H33" s="5" t="s">
        <v>558</v>
      </c>
      <c r="I33" s="5" t="s">
        <v>559</v>
      </c>
      <c r="J33" s="5" t="s">
        <v>560</v>
      </c>
      <c r="K33" s="5" t="s">
        <v>561</v>
      </c>
      <c r="L33" s="5" t="s">
        <v>562</v>
      </c>
      <c r="M33" s="5" t="s">
        <v>563</v>
      </c>
      <c r="N33" s="5" t="s">
        <v>564</v>
      </c>
      <c r="O33" s="5" t="s">
        <v>565</v>
      </c>
      <c r="P33" s="5" t="s">
        <v>566</v>
      </c>
      <c r="Q33" s="5" t="s">
        <v>567</v>
      </c>
      <c r="R33" s="5" t="s">
        <v>568</v>
      </c>
    </row>
    <row r="34" customFormat="false" ht="15" hidden="false" customHeight="false" outlineLevel="0" collapsed="false">
      <c r="B34" s="52" t="n">
        <f aca="false">I_Batch_Ops!B5</f>
        <v>46242</v>
      </c>
      <c r="C34" s="53" t="str">
        <f aca="false">I_Batch_Ops!E5</f>
        <v>Priyono</v>
      </c>
      <c r="D34" s="7" t="n">
        <f aca="false">'Batch Economics'!G6</f>
        <v>7000</v>
      </c>
      <c r="E34" s="7" t="n">
        <f aca="false">'Batch Economics'!L6</f>
        <v>24099.9999928571</v>
      </c>
      <c r="F34" s="22" t="n">
        <f aca="false">'Batch Economics'!O6</f>
        <v>0.0624285714285714</v>
      </c>
      <c r="G34" s="7" t="n">
        <f aca="false">'Batch Economics'!AK6</f>
        <v>1285.71428571429</v>
      </c>
      <c r="H34" s="22" t="n">
        <f aca="false">'Batch Economics'!AP6</f>
        <v>0.870442857142857</v>
      </c>
      <c r="I34" s="22" t="n">
        <f aca="false">'Batch Economics'!AQ6</f>
        <v>0.688657142857143</v>
      </c>
      <c r="J34" s="22" t="n">
        <f aca="false">'Batch Economics'!AD6</f>
        <v>0.734511656254762</v>
      </c>
      <c r="K34" s="22" t="n">
        <f aca="false">'Batch Economics'!AF6</f>
        <v>0.944674936729868</v>
      </c>
      <c r="L34" s="13" t="n">
        <f aca="false">'Batch Economics'!U65</f>
        <v>1.07865825830809</v>
      </c>
      <c r="M34" s="7" t="n">
        <f aca="false">'Batch Economics'!AI6</f>
        <v>32621.0805383669</v>
      </c>
      <c r="N34" s="7" t="n">
        <f aca="false">'Batch Economics'!AJ6</f>
        <v>31167.4358267223</v>
      </c>
      <c r="O34" s="9" t="n">
        <f aca="false">N34-M34</f>
        <v>-1453.64471164461</v>
      </c>
      <c r="P34" s="19" t="n">
        <f aca="false">'Batch Economics'!AH6/1000000</f>
        <v>-8.38651243489125</v>
      </c>
      <c r="Q34" s="7" t="n">
        <f aca="false">'Batch Economics'!AL6</f>
        <v>22901.9267878727</v>
      </c>
      <c r="R34" s="9" t="n">
        <f aca="false">E34-Q34</f>
        <v>1198.07320498447</v>
      </c>
    </row>
    <row r="35" customFormat="false" ht="15" hidden="false" customHeight="false" outlineLevel="0" collapsed="false">
      <c r="B35" s="52" t="n">
        <f aca="false">I_Batch_Ops!B6</f>
        <v>46244</v>
      </c>
      <c r="C35" s="53" t="str">
        <f aca="false">I_Batch_Ops!E6</f>
        <v>Alberus</v>
      </c>
      <c r="D35" s="7" t="n">
        <f aca="false">'Batch Economics'!G7</f>
        <v>11241.1</v>
      </c>
      <c r="E35" s="7" t="n">
        <f aca="false">'Batch Economics'!L7</f>
        <v>21700.0000071167</v>
      </c>
      <c r="F35" s="22" t="n">
        <f aca="false">'Batch Economics'!O7</f>
        <v>0.0971791016893364</v>
      </c>
      <c r="G35" s="7" t="n">
        <f aca="false">'Batch Economics'!AK7</f>
        <v>2135.02237325529</v>
      </c>
      <c r="H35" s="22" t="n">
        <f aca="false">'Batch Economics'!AP7</f>
        <v>0.844872832729893</v>
      </c>
      <c r="I35" s="22" t="n">
        <f aca="false">'Batch Economics'!AQ7</f>
        <v>0.670050084066506</v>
      </c>
      <c r="J35" s="22" t="n">
        <f aca="false">'Batch Economics'!AD7</f>
        <v>0.742173874486387</v>
      </c>
      <c r="K35" s="22" t="n">
        <f aca="false">'Batch Economics'!AF7</f>
        <v>0.830804158202892</v>
      </c>
      <c r="L35" s="13" t="n">
        <f aca="false">'Batch Economics'!U66</f>
        <v>1.06341259409726</v>
      </c>
      <c r="M35" s="7" t="n">
        <f aca="false">'Batch Economics'!AI7</f>
        <v>29921.1133774862</v>
      </c>
      <c r="N35" s="7" t="n">
        <f aca="false">'Batch Economics'!AJ7</f>
        <v>29178.0464980161</v>
      </c>
      <c r="O35" s="9" t="n">
        <f aca="false">N35-M35</f>
        <v>-743.066879470109</v>
      </c>
      <c r="P35" s="19" t="n">
        <f aca="false">'Batch Economics'!AH7/1000000</f>
        <v>-7.05712907439148</v>
      </c>
      <c r="Q35" s="7" t="n">
        <f aca="false">'Batch Economics'!AL7</f>
        <v>21072.2029877511</v>
      </c>
      <c r="R35" s="9" t="n">
        <f aca="false">E35-Q35</f>
        <v>627.797019365673</v>
      </c>
    </row>
    <row r="36" customFormat="false" ht="15" hidden="false" customHeight="false" outlineLevel="0" collapsed="false">
      <c r="B36" s="52" t="n">
        <f aca="false">I_Batch_Ops!B7</f>
        <v>46245</v>
      </c>
      <c r="C36" s="53" t="str">
        <f aca="false">I_Batch_Ops!E7</f>
        <v>PT Bounty Segar Distribution</v>
      </c>
      <c r="D36" s="7" t="n">
        <f aca="false">'Batch Economics'!G8</f>
        <v>7000</v>
      </c>
      <c r="E36" s="7" t="n">
        <f aca="false">'Batch Economics'!L8</f>
        <v>24000.00001</v>
      </c>
      <c r="F36" s="22" t="n">
        <f aca="false">'Batch Economics'!O8</f>
        <v>0.0577571428571429</v>
      </c>
      <c r="G36" s="7" t="n">
        <f aca="false">'Batch Economics'!AK8</f>
        <v>1000</v>
      </c>
      <c r="H36" s="22" t="n">
        <f aca="false">'Batch Economics'!AP8</f>
        <v>0.844985714285714</v>
      </c>
      <c r="I36" s="22" t="n">
        <f aca="false">'Batch Economics'!AQ8</f>
        <v>0.659642857142857</v>
      </c>
      <c r="J36" s="22" t="n">
        <f aca="false">'Batch Economics'!AD8</f>
        <v>0.700077323104447</v>
      </c>
      <c r="K36" s="22" t="n">
        <f aca="false">'Batch Economics'!AF8</f>
        <v>0.565912290200325</v>
      </c>
      <c r="L36" s="13" t="n">
        <f aca="false">'Batch Economics'!U67</f>
        <v>1.55166648619383</v>
      </c>
      <c r="M36" s="7" t="n">
        <f aca="false">'Batch Economics'!AI8</f>
        <v>31370.457669614</v>
      </c>
      <c r="N36" s="7" t="n">
        <f aca="false">'Batch Economics'!AJ8</f>
        <v>27716.417496197</v>
      </c>
      <c r="O36" s="9" t="n">
        <f aca="false">N36-M36</f>
        <v>-3654.04017341698</v>
      </c>
      <c r="P36" s="19" t="n">
        <f aca="false">'Batch Economics'!AH8/1000000</f>
        <v>-21.6132822217441</v>
      </c>
      <c r="Q36" s="7" t="n">
        <f aca="false">'Batch Economics'!AL8</f>
        <v>20912.3882640366</v>
      </c>
      <c r="R36" s="9" t="n">
        <f aca="false">E36-Q36</f>
        <v>3087.61174596344</v>
      </c>
    </row>
    <row r="37" customFormat="false" ht="15" hidden="false" customHeight="false" outlineLevel="0" collapsed="false">
      <c r="B37" s="52" t="n">
        <f aca="false">I_Batch_Ops!B8</f>
        <v>46248</v>
      </c>
      <c r="C37" s="53" t="str">
        <f aca="false">I_Batch_Ops!E8</f>
        <v>Alberus &amp; Priyono</v>
      </c>
      <c r="D37" s="7" t="n">
        <f aca="false">'Batch Economics'!G9</f>
        <v>15388.94</v>
      </c>
      <c r="E37" s="7" t="n">
        <f aca="false">'Batch Economics'!L9</f>
        <v>25377.978096607</v>
      </c>
      <c r="F37" s="22" t="n">
        <f aca="false">'Batch Economics'!O9</f>
        <v>0.0432544411765853</v>
      </c>
      <c r="G37" s="7" t="n">
        <f aca="false">'Batch Economics'!AK9</f>
        <v>1169.67120542416</v>
      </c>
      <c r="H37" s="22" t="n">
        <f aca="false">'Batch Economics'!AP9</f>
        <v>0.873913342959294</v>
      </c>
      <c r="I37" s="22" t="n">
        <f aca="false">'Batch Economics'!AQ9</f>
        <v>0.695551480478837</v>
      </c>
      <c r="J37" s="22" t="n">
        <f aca="false">'Batch Economics'!AD9</f>
        <v>0.726997344345358</v>
      </c>
      <c r="K37" s="22" t="n">
        <f aca="false">'Batch Economics'!AF9</f>
        <v>0.703152151572339</v>
      </c>
      <c r="L37" s="13" t="n">
        <f aca="false">'Batch Economics'!U68</f>
        <v>1.28321810945645</v>
      </c>
      <c r="M37" s="7" t="n">
        <f aca="false">'Batch Economics'!AI9</f>
        <v>32129.5497114941</v>
      </c>
      <c r="N37" s="7" t="n">
        <f aca="false">'Batch Economics'!AJ9</f>
        <v>28743.1512791389</v>
      </c>
      <c r="O37" s="9" t="n">
        <f aca="false">N37-M37</f>
        <v>-3386.39843235523</v>
      </c>
      <c r="P37" s="19" t="n">
        <f aca="false">'Batch Economics'!AH9/1000000</f>
        <v>-45.5423179573725</v>
      </c>
      <c r="Q37" s="7" t="n">
        <f aca="false">'Batch Economics'!AL9</f>
        <v>22418.5593219954</v>
      </c>
      <c r="R37" s="9" t="n">
        <f aca="false">E37-Q37</f>
        <v>2959.41877461167</v>
      </c>
    </row>
    <row r="38" customFormat="false" ht="15" hidden="false" customHeight="false" outlineLevel="0" collapsed="false">
      <c r="B38" s="52" t="n">
        <f aca="false">I_Batch_Ops!B9</f>
        <v>46253</v>
      </c>
      <c r="C38" s="53" t="str">
        <f aca="false">I_Batch_Ops!E9</f>
        <v>Alberus</v>
      </c>
      <c r="D38" s="7" t="n">
        <f aca="false">'Batch Economics'!G10</f>
        <v>16862.7</v>
      </c>
      <c r="E38" s="7" t="n">
        <f aca="false">'Batch Economics'!L10</f>
        <v>24435.7125294289</v>
      </c>
      <c r="F38" s="22" t="n">
        <f aca="false">'Batch Economics'!O10</f>
        <v>0.0760257847201219</v>
      </c>
      <c r="G38" s="7" t="n">
        <f aca="false">'Batch Economics'!AK10</f>
        <v>1482.56210452656</v>
      </c>
      <c r="H38" s="22" t="n">
        <f aca="false">'Batch Economics'!AP10</f>
        <v>0.847723081119868</v>
      </c>
      <c r="I38" s="22" t="n">
        <f aca="false">'Batch Economics'!AQ10</f>
        <v>0.684220201984261</v>
      </c>
      <c r="J38" s="22" t="n">
        <f aca="false">'Batch Economics'!AD10</f>
        <v>0.740518718671177</v>
      </c>
      <c r="K38" s="22" t="n">
        <f aca="false">'Batch Economics'!AF10</f>
        <v>0.732011301981314</v>
      </c>
      <c r="L38" s="13" t="n">
        <f aca="false">'Batch Economics'!U69</f>
        <v>1.25236786909116</v>
      </c>
      <c r="M38" s="7" t="n">
        <f aca="false">'Batch Economics'!AI10</f>
        <v>32317.904264458</v>
      </c>
      <c r="N38" s="7" t="n">
        <f aca="false">'Batch Economics'!AJ10</f>
        <v>29230.4525353836</v>
      </c>
      <c r="O38" s="9" t="n">
        <f aca="false">N38-M38</f>
        <v>-3087.45172907431</v>
      </c>
      <c r="P38" s="19" t="n">
        <f aca="false">'Batch Economics'!AH10/1000000</f>
        <v>-44.1348137219443</v>
      </c>
      <c r="Q38" s="7" t="n">
        <f aca="false">'Batch Economics'!AL10</f>
        <v>21818.4084368491</v>
      </c>
      <c r="R38" s="9" t="n">
        <f aca="false">E38-Q38</f>
        <v>2617.30409257974</v>
      </c>
    </row>
    <row r="39" customFormat="false" ht="15" hidden="false" customHeight="false" outlineLevel="0" collapsed="false">
      <c r="B39" s="52" t="n">
        <f aca="false">I_Batch_Ops!B10</f>
        <v>46254</v>
      </c>
      <c r="C39" s="53" t="str">
        <f aca="false">I_Batch_Ops!E10</f>
        <v>Alberus</v>
      </c>
      <c r="D39" s="7" t="n">
        <f aca="false">'Batch Economics'!G11</f>
        <v>8177.6</v>
      </c>
      <c r="E39" s="7" t="n">
        <f aca="false">'Batch Economics'!L11</f>
        <v>25100.0000269028</v>
      </c>
      <c r="F39" s="22" t="n">
        <f aca="false">'Batch Economics'!O11</f>
        <v>0.0495255331637644</v>
      </c>
      <c r="G39" s="7" t="n">
        <f aca="false">'Batch Economics'!AK11</f>
        <v>1100.56740363921</v>
      </c>
      <c r="H39" s="22" t="n">
        <f aca="false">'Batch Economics'!AP11</f>
        <v>0.871576012522011</v>
      </c>
      <c r="I39" s="22" t="n">
        <f aca="false">'Batch Economics'!AQ11</f>
        <v>0.689884562707885</v>
      </c>
      <c r="J39" s="22" t="n">
        <f aca="false">'Batch Economics'!AD11</f>
        <v>0.725831768005558</v>
      </c>
      <c r="K39" s="22" t="n">
        <f aca="false">'Batch Economics'!AF11</f>
        <v>0.279654707884288</v>
      </c>
      <c r="L39" s="13" t="n">
        <f aca="false">'Batch Economics'!U70</f>
        <v>0.968879395916052</v>
      </c>
      <c r="M39" s="7" t="n">
        <f aca="false">'Batch Economics'!AI11</f>
        <v>31805.9769649522</v>
      </c>
      <c r="N39" s="7" t="n">
        <f aca="false">'Batch Economics'!AJ11</f>
        <v>26881.5225649645</v>
      </c>
      <c r="O39" s="9" t="n">
        <f aca="false">N39-M39</f>
        <v>-4924.45439998767</v>
      </c>
      <c r="P39" s="19" t="n">
        <f aca="false">'Batch Economics'!AH11/1000000</f>
        <v>-35.0985562904721</v>
      </c>
      <c r="Q39" s="7" t="n">
        <f aca="false">'Batch Economics'!AL11</f>
        <v>20807.963697115</v>
      </c>
      <c r="R39" s="9" t="n">
        <f aca="false">E39-Q39</f>
        <v>4292.03632978773</v>
      </c>
    </row>
    <row r="40" customFormat="false" ht="15" hidden="false" customHeight="false" outlineLevel="0" collapsed="false">
      <c r="B40" s="52" t="n">
        <f aca="false">I_Batch_Ops!B11</f>
        <v>46255</v>
      </c>
      <c r="C40" s="53" t="str">
        <f aca="false">I_Batch_Ops!E11</f>
        <v>Alberus</v>
      </c>
      <c r="D40" s="7" t="n">
        <f aca="false">'Batch Economics'!G12</f>
        <v>7780.6</v>
      </c>
      <c r="E40" s="7" t="n">
        <f aca="false">'Batch Economics'!L12</f>
        <v>25100.0000141377</v>
      </c>
      <c r="F40" s="22" t="n">
        <f aca="false">'Batch Economics'!O12</f>
        <v>0.0613063259902835</v>
      </c>
      <c r="G40" s="7" t="n">
        <f aca="false">'Batch Economics'!AK12</f>
        <v>1156.72313189214</v>
      </c>
      <c r="H40" s="22" t="n">
        <f aca="false">'Batch Economics'!AP12</f>
        <v>0.85571806801532</v>
      </c>
      <c r="I40" s="22" t="n">
        <f aca="false">'Batch Economics'!AQ12</f>
        <v>0.68589825977431</v>
      </c>
      <c r="J40" s="22" t="n">
        <f aca="false">'Batch Economics'!AD12</f>
        <v>0.730694452051043</v>
      </c>
      <c r="K40" s="22" t="n">
        <f aca="false">'Batch Economics'!AF12</f>
        <v>0.23656941555643</v>
      </c>
      <c r="L40" s="13" t="n">
        <f aca="false">'Batch Economics'!U71</f>
        <v>1.0239174021399</v>
      </c>
      <c r="M40" s="7" t="n">
        <f aca="false">'Batch Economics'!AI12</f>
        <v>32438.9937083208</v>
      </c>
      <c r="N40" s="7" t="n">
        <f aca="false">'Batch Economics'!AJ12</f>
        <v>27011.7814045477</v>
      </c>
      <c r="O40" s="9" t="n">
        <f aca="false">N40-M40</f>
        <v>-5427.21230377311</v>
      </c>
      <c r="P40" s="19" t="n">
        <f aca="false">'Batch Economics'!AH12/1000000</f>
        <v>-36.1343795185213</v>
      </c>
      <c r="Q40" s="7" t="n">
        <f aca="false">'Batch Economics'!AL12</f>
        <v>20455.836386844</v>
      </c>
      <c r="R40" s="9" t="n">
        <f aca="false">E40-Q40</f>
        <v>4644.1636272937</v>
      </c>
    </row>
    <row r="41" customFormat="false" ht="15" hidden="false" customHeight="false" outlineLevel="0" collapsed="false">
      <c r="B41" s="52" t="n">
        <f aca="false">I_Batch_Ops!B12</f>
        <v>46259</v>
      </c>
      <c r="C41" s="53" t="str">
        <f aca="false">I_Batch_Ops!E12</f>
        <v>Alberus</v>
      </c>
      <c r="D41" s="7" t="n">
        <f aca="false">'Batch Economics'!G13</f>
        <v>12211.6</v>
      </c>
      <c r="E41" s="7" t="n">
        <f aca="false">'Batch Economics'!L13</f>
        <v>23659.9102558223</v>
      </c>
      <c r="F41" s="22" t="n">
        <f aca="false">'Batch Economics'!O13</f>
        <v>0.0446133184840644</v>
      </c>
      <c r="G41" s="7" t="n">
        <f aca="false">'Batch Economics'!AK13</f>
        <v>2088.17845327394</v>
      </c>
      <c r="H41" s="22" t="n">
        <f aca="false">'Batch Economics'!AP13</f>
        <v>0.859502440302663</v>
      </c>
      <c r="I41" s="22" t="n">
        <f aca="false">'Batch Economics'!AQ13</f>
        <v>0.702217563628026</v>
      </c>
      <c r="J41" s="22" t="n">
        <f aca="false">'Batch Economics'!AD13</f>
        <v>0.735008742757226</v>
      </c>
      <c r="K41" s="22" t="n">
        <f aca="false">'Batch Economics'!AF13</f>
        <v>0.721417576266443</v>
      </c>
      <c r="L41" s="13" t="n">
        <f aca="false">'Batch Economics'!U72</f>
        <v>1.28805392294057</v>
      </c>
      <c r="M41" s="7" t="n">
        <f aca="false">'Batch Economics'!AI13</f>
        <v>31735.4624262807</v>
      </c>
      <c r="N41" s="7" t="n">
        <f aca="false">'Batch Economics'!AJ13</f>
        <v>29491.4009656549</v>
      </c>
      <c r="O41" s="9" t="n">
        <f aca="false">N41-M41</f>
        <v>-2244.06146062583</v>
      </c>
      <c r="P41" s="19" t="n">
        <f aca="false">'Batch Economics'!AH13/1000000</f>
        <v>-23.5534446845827</v>
      </c>
      <c r="Q41" s="7" t="n">
        <f aca="false">'Batch Economics'!AL13</f>
        <v>21731.1339542253</v>
      </c>
      <c r="R41" s="9" t="n">
        <f aca="false">E41-Q41</f>
        <v>1928.77630159706</v>
      </c>
    </row>
    <row r="42" customFormat="false" ht="15" hidden="false" customHeight="false" outlineLevel="0" collapsed="false">
      <c r="B42" s="52" t="n">
        <f aca="false">I_Batch_Ops!B13</f>
        <v>46260</v>
      </c>
      <c r="C42" s="53" t="str">
        <f aca="false">I_Batch_Ops!E13</f>
        <v>Alberus</v>
      </c>
      <c r="D42" s="7" t="n">
        <f aca="false">'Batch Economics'!G14</f>
        <v>12089.6</v>
      </c>
      <c r="E42" s="7" t="n">
        <f aca="false">'Batch Economics'!L14</f>
        <v>24148.1405290498</v>
      </c>
      <c r="F42" s="22" t="n">
        <f aca="false">'Batch Economics'!O14</f>
        <v>0.0817479486500795</v>
      </c>
      <c r="G42" s="7" t="n">
        <f aca="false">'Batch Economics'!AK14</f>
        <v>1116.66225516146</v>
      </c>
      <c r="H42" s="22" t="n">
        <f aca="false">'Batch Economics'!AP14</f>
        <v>0.84611566966649</v>
      </c>
      <c r="I42" s="22" t="n">
        <f aca="false">'Batch Economics'!AQ14</f>
        <v>0.679857067231339</v>
      </c>
      <c r="J42" s="22" t="n">
        <f aca="false">'Batch Economics'!AD14</f>
        <v>0.740381757091512</v>
      </c>
      <c r="K42" s="22" t="n">
        <f aca="false">'Batch Economics'!AF14</f>
        <v>0.608903542923886</v>
      </c>
      <c r="L42" s="13" t="n">
        <f aca="false">'Batch Economics'!U73</f>
        <v>1.25144052949192</v>
      </c>
      <c r="M42" s="7" t="n">
        <f aca="false">'Batch Economics'!AI14</f>
        <v>31987.1974093771</v>
      </c>
      <c r="N42" s="7" t="n">
        <f aca="false">'Batch Economics'!AJ14</f>
        <v>28603.2379126345</v>
      </c>
      <c r="O42" s="9" t="n">
        <f aca="false">N42-M42</f>
        <v>-3383.9594967426</v>
      </c>
      <c r="P42" s="19" t="n">
        <f aca="false">'Batch Economics'!AH14/1000000</f>
        <v>-34.6151984840794</v>
      </c>
      <c r="Q42" s="7" t="n">
        <f aca="false">'Batch Economics'!AL14</f>
        <v>21284.9193733391</v>
      </c>
      <c r="R42" s="9" t="n">
        <f aca="false">E42-Q42</f>
        <v>2863.22115571065</v>
      </c>
    </row>
    <row r="43" customFormat="false" ht="15" hidden="false" customHeight="false" outlineLevel="0" collapsed="false">
      <c r="B43" s="52" t="n">
        <f aca="false">I_Batch_Ops!B14</f>
        <v>46261</v>
      </c>
      <c r="C43" s="53" t="str">
        <f aca="false">I_Batch_Ops!E14</f>
        <v>Alberus</v>
      </c>
      <c r="D43" s="7" t="n">
        <f aca="false">'Batch Economics'!G15</f>
        <v>11681.4</v>
      </c>
      <c r="E43" s="7" t="n">
        <f aca="false">'Batch Economics'!L15</f>
        <v>24599.9999674697</v>
      </c>
      <c r="F43" s="22" t="n">
        <f aca="false">'Batch Economics'!O15</f>
        <v>0.0642388754772544</v>
      </c>
      <c r="G43" s="7" t="n">
        <f aca="false">'Batch Economics'!AK15</f>
        <v>1232.7289537213</v>
      </c>
      <c r="H43" s="22" t="n">
        <f aca="false">'Batch Economics'!AP15</f>
        <v>0.862542161042341</v>
      </c>
      <c r="I43" s="22" t="n">
        <f aca="false">'Batch Economics'!AQ15</f>
        <v>0.695824130669269</v>
      </c>
      <c r="J43" s="22" t="n">
        <f aca="false">'Batch Economics'!AD15</f>
        <v>0.74359162016284</v>
      </c>
      <c r="K43" s="22" t="n">
        <f aca="false">'Batch Economics'!AF15</f>
        <v>0.675561624960016</v>
      </c>
      <c r="L43" s="13" t="n">
        <f aca="false">'Batch Economics'!U74</f>
        <v>1.22100834133018</v>
      </c>
      <c r="M43" s="7" t="n">
        <f aca="false">'Batch Economics'!AI15</f>
        <v>31685.3458935856</v>
      </c>
      <c r="N43" s="7" t="n">
        <f aca="false">'Batch Economics'!AJ15</f>
        <v>28979.8738712707</v>
      </c>
      <c r="O43" s="9" t="n">
        <f aca="false">N43-M43</f>
        <v>-2705.47202231489</v>
      </c>
      <c r="P43" s="19" t="n">
        <f aca="false">'Batch Economics'!AH15/1000000</f>
        <v>-27.2595244552381</v>
      </c>
      <c r="Q43" s="7" t="n">
        <f aca="false">'Batch Economics'!AL15</f>
        <v>22266.4162827026</v>
      </c>
      <c r="R43" s="9" t="n">
        <f aca="false">E43-Q43</f>
        <v>2333.58368476708</v>
      </c>
    </row>
    <row r="44" customFormat="false" ht="15" hidden="false" customHeight="false" outlineLevel="0" collapsed="false">
      <c r="B44" s="52" t="n">
        <f aca="false">I_Batch_Ops!B15</f>
        <v>46262</v>
      </c>
      <c r="C44" s="53" t="str">
        <f aca="false">I_Batch_Ops!E15</f>
        <v>Alberus</v>
      </c>
      <c r="D44" s="7" t="n">
        <f aca="false">'Batch Economics'!G16</f>
        <v>15537.2</v>
      </c>
      <c r="E44" s="7" t="n">
        <f aca="false">'Batch Economics'!L16</f>
        <v>25412.0433662436</v>
      </c>
      <c r="F44" s="22" t="n">
        <f aca="false">'Batch Economics'!O16</f>
        <v>0.0557951239605593</v>
      </c>
      <c r="G44" s="7" t="n">
        <f aca="false">'Batch Economics'!AK16</f>
        <v>965.424915686224</v>
      </c>
      <c r="H44" s="22" t="n">
        <f aca="false">'Batch Economics'!AP16</f>
        <v>0.871025667430425</v>
      </c>
      <c r="I44" s="22" t="n">
        <f aca="false">'Batch Economics'!AQ16</f>
        <v>0.70322194475195</v>
      </c>
      <c r="J44" s="22" t="n">
        <f aca="false">'Batch Economics'!AD16</f>
        <v>0.744776862095526</v>
      </c>
      <c r="K44" s="22" t="n">
        <f aca="false">'Batch Economics'!AF16</f>
        <v>0.42209022432524</v>
      </c>
      <c r="L44" s="13" t="n">
        <f aca="false">'Batch Economics'!U75</f>
        <v>1.2233560007688</v>
      </c>
      <c r="M44" s="7" t="n">
        <f aca="false">'Batch Economics'!AI16</f>
        <v>32017.6512890426</v>
      </c>
      <c r="N44" s="7" t="n">
        <f aca="false">'Batch Economics'!AJ16</f>
        <v>27945.3668446187</v>
      </c>
      <c r="O44" s="9" t="n">
        <f aca="false">N44-M44</f>
        <v>-4072.28444442384</v>
      </c>
      <c r="P44" s="19" t="n">
        <f aca="false">'Batch Economics'!AH16/1000000</f>
        <v>-55.1114470717212</v>
      </c>
      <c r="Q44" s="7" t="n">
        <f aca="false">'Batch Economics'!AL16</f>
        <v>21864.9790900728</v>
      </c>
      <c r="R44" s="9" t="n">
        <f aca="false">E44-Q44</f>
        <v>3547.06427617082</v>
      </c>
    </row>
    <row r="45" customFormat="false" ht="15" hidden="false" customHeight="false" outlineLevel="0" collapsed="false">
      <c r="B45" s="52" t="n">
        <f aca="false">I_Batch_Ops!B16</f>
        <v>46265</v>
      </c>
      <c r="C45" s="53" t="str">
        <f aca="false">I_Batch_Ops!E16</f>
        <v>Alberus</v>
      </c>
      <c r="D45" s="7" t="n">
        <f aca="false">'Batch Economics'!G17</f>
        <v>15748.3</v>
      </c>
      <c r="E45" s="7" t="n">
        <f aca="false">'Batch Economics'!L17</f>
        <v>25200.0000038099</v>
      </c>
      <c r="F45" s="22" t="n">
        <f aca="false">'Batch Economics'!O17</f>
        <v>0.0586158505997472</v>
      </c>
      <c r="G45" s="7" t="n">
        <f aca="false">'Batch Economics'!AK17</f>
        <v>761.987008121512</v>
      </c>
      <c r="H45" s="22" t="n">
        <f aca="false">'Batch Economics'!AP17</f>
        <v>0.872570372675146</v>
      </c>
      <c r="I45" s="22" t="n">
        <f aca="false">'Batch Economics'!AQ17</f>
        <v>0.706114310751002</v>
      </c>
      <c r="J45" s="22" t="n">
        <f aca="false">'Batch Economics'!AD17</f>
        <v>0.750080943258776</v>
      </c>
      <c r="K45" s="22" t="n">
        <f aca="false">'Batch Economics'!AF17</f>
        <v>0.369097400203236</v>
      </c>
      <c r="L45" s="13" t="n">
        <f aca="false">'Batch Economics'!U76</f>
        <v>1.3639922302857</v>
      </c>
      <c r="M45" s="7" t="n">
        <f aca="false">'Batch Economics'!AI17</f>
        <v>31479.6405094058</v>
      </c>
      <c r="N45" s="7" t="n">
        <f aca="false">'Batch Economics'!AJ17</f>
        <v>27778.2562108997</v>
      </c>
      <c r="O45" s="9" t="n">
        <f aca="false">N45-M45</f>
        <v>-3701.38429850611</v>
      </c>
      <c r="P45" s="19" t="n">
        <f aca="false">'Batch Economics'!AH17/1000000</f>
        <v>-50.8625723379217</v>
      </c>
      <c r="Q45" s="7" t="n">
        <f aca="false">'Batch Economics'!AL17</f>
        <v>21970.2817270485</v>
      </c>
      <c r="R45" s="9" t="n">
        <f aca="false">E45-Q45</f>
        <v>3229.71827676141</v>
      </c>
    </row>
    <row r="46" customFormat="false" ht="15" hidden="false" customHeight="false" outlineLevel="0" collapsed="false">
      <c r="B46" s="54" t="s">
        <v>304</v>
      </c>
      <c r="C46" s="25" t="s">
        <v>569</v>
      </c>
      <c r="D46" s="26" t="n">
        <f aca="false">'Batch Economics'!G18</f>
        <v>140719.04</v>
      </c>
      <c r="E46" s="26" t="n">
        <f aca="false">'Batch Economics'!L18</f>
        <v>24472.1203473247</v>
      </c>
      <c r="F46" s="27" t="n">
        <f aca="false">'Batch Economics'!O18</f>
        <v>0.0627977564372242</v>
      </c>
      <c r="G46" s="26" t="n">
        <f aca="false">'Batch Economics'!AK18</f>
        <v>1289.09350149063</v>
      </c>
      <c r="H46" s="27" t="n">
        <f aca="false">'Batch Economics'!AP18</f>
        <v>0.860649703124751</v>
      </c>
      <c r="I46" s="27" t="n">
        <f aca="false">'Batch Economics'!AQ18</f>
        <v>0.690446012138798</v>
      </c>
      <c r="J46" s="27" t="n">
        <f aca="false">'Batch Economics'!AD18</f>
        <v>0.736709730350267</v>
      </c>
      <c r="K46" s="27" t="n">
        <f aca="false">'Batch Economics'!AF18</f>
        <v>0.593207621741292</v>
      </c>
      <c r="L46" s="55" t="n">
        <f aca="false">'Batch Economics'!U77</f>
        <v>1.22767528244968</v>
      </c>
      <c r="M46" s="26" t="n">
        <f aca="false">'Batch Economics'!AI18</f>
        <v>31792.6316132664</v>
      </c>
      <c r="N46" s="26" t="n">
        <f aca="false">'Batch Economics'!AJ18</f>
        <v>28569.0032270886</v>
      </c>
      <c r="O46" s="26" t="n">
        <f aca="false">N46-M46</f>
        <v>-3223.62838617787</v>
      </c>
      <c r="P46" s="56" t="n">
        <f aca="false">'Batch Economics'!AH18/1000000</f>
        <v>-389.36917825288</v>
      </c>
      <c r="Q46" s="26" t="n">
        <f aca="false">'Batch Economics'!AL18</f>
        <v>21705.1232284353</v>
      </c>
      <c r="R46" s="26" t="n">
        <f aca="false">E46-Q46</f>
        <v>2766.99711888939</v>
      </c>
    </row>
    <row r="47" customFormat="false" ht="15" hidden="false" customHeight="false" outlineLevel="0" collapsed="false">
      <c r="B47" s="11" t="s">
        <v>516</v>
      </c>
      <c r="C47" s="6"/>
      <c r="D47" s="6"/>
      <c r="E47" s="6"/>
      <c r="F47" s="22" t="n">
        <f aca="false">'RPA Loss Bridge'!C22</f>
        <v>0.02</v>
      </c>
      <c r="G47" s="7" t="n">
        <f aca="false">'RPA Loss Bridge'!C23</f>
        <v>1000</v>
      </c>
      <c r="H47" s="6"/>
      <c r="I47" s="6"/>
      <c r="J47" s="22" t="n">
        <f aca="false">'RPA Loss Bridge'!C24</f>
        <v>0.737</v>
      </c>
      <c r="K47" s="6"/>
      <c r="L47" s="6"/>
      <c r="M47" s="6"/>
      <c r="N47" s="6"/>
      <c r="O47" s="9" t="n">
        <v>0</v>
      </c>
      <c r="P47" s="6"/>
      <c r="Q47" s="6"/>
      <c r="R47" s="6"/>
    </row>
    <row r="49" customFormat="false" ht="15" hidden="false" customHeight="false" outlineLevel="0" collapsed="false">
      <c r="B49" s="28" t="s">
        <v>570</v>
      </c>
    </row>
    <row r="50" customFormat="false" ht="15" hidden="false" customHeight="false" outlineLevel="0" collapsed="false">
      <c r="B50" s="28" t="s">
        <v>571</v>
      </c>
    </row>
    <row r="51" customFormat="false" ht="15" hidden="false" customHeight="false" outlineLevel="0" collapsed="false">
      <c r="B51" s="28" t="s">
        <v>572</v>
      </c>
    </row>
    <row r="53" customFormat="false" ht="15" hidden="false" customHeight="false" outlineLevel="0" collapsed="false">
      <c r="B53" s="18" t="s">
        <v>573</v>
      </c>
    </row>
    <row r="54" customFormat="false" ht="15" hidden="false" customHeight="false" outlineLevel="0" collapsed="false">
      <c r="B54" s="6" t="s">
        <v>574</v>
      </c>
      <c r="F54" s="7" t="n">
        <f aca="false">'Batch Economics'!V18</f>
        <v>97158.9</v>
      </c>
    </row>
    <row r="55" customFormat="false" ht="15" hidden="false" customHeight="false" outlineLevel="0" collapsed="false">
      <c r="B55" s="6" t="s">
        <v>575</v>
      </c>
      <c r="F55" s="7" t="n">
        <f aca="false">(SUMIFS('MA Engine'!$AJ$6:$AJ$1110,'MA Engine'!$C$6:$C$1110,"RPA",'MA Engine'!$D$6:$D$1110,"Karkas",'MA Engine'!$H$6:$H$1110,8,'MA Engine'!$I$6:$I$1110,"DO",'MA Engine'!$P$6:$P$1110,"&lt;&gt;Y")+SUMIFS('MA Engine'!$AJ$6:$AJ$1110,'MA Engine'!$C$6:$C$1110,"RPA",'MA Engine'!$D$6:$D$1110,"Karkas",'MA Engine'!$H$6:$H$1110,8,'MA Engine'!$I$6:$I$1110,"Unbilled"))</f>
        <v>47397.07</v>
      </c>
      <c r="H55" s="21" t="n">
        <f aca="false">IFERROR(F55/F54,0)</f>
        <v>0.487830450941705</v>
      </c>
    </row>
    <row r="56" customFormat="false" ht="15" hidden="false" customHeight="false" outlineLevel="0" collapsed="false">
      <c r="B56" s="6" t="s">
        <v>576</v>
      </c>
      <c r="F56" s="7" t="n">
        <f aca="false">SUMIFS('MA Engine'!$AJ$6:$AJ$1110,'MA Engine'!$C$6:$C$1110,"RPA",'MA Engine'!$D$6:$D$1110,"Karkas",'MA Engine'!$H$6:$H$1110,8)-(SUMIFS('MA Engine'!$AJ$6:$AJ$1110,'MA Engine'!$C$6:$C$1110,"RPA",'MA Engine'!$D$6:$D$1110,"Karkas",'MA Engine'!$H$6:$H$1110,8,'MA Engine'!$I$6:$I$1110,"DO",'MA Engine'!$P$6:$P$1110,"&lt;&gt;Y")+SUMIFS('MA Engine'!$AJ$6:$AJ$1110,'MA Engine'!$C$6:$C$1110,"RPA",'MA Engine'!$D$6:$D$1110,"Karkas",'MA Engine'!$H$6:$H$1110,8,'MA Engine'!$I$6:$I$1110,"Unbilled"))</f>
        <v>4121.43</v>
      </c>
      <c r="H56" s="21" t="n">
        <f aca="false">IFERROR(F56/F54,0)</f>
        <v>0.042419479841785</v>
      </c>
    </row>
    <row r="57" customFormat="false" ht="15" hidden="false" customHeight="false" outlineLevel="0" collapsed="false">
      <c r="B57" s="11" t="s">
        <v>577</v>
      </c>
      <c r="F57" s="7" t="n">
        <f aca="false">'Batch Economics'!V18-SUMIFS('MA Engine'!$AJ$6:$AJ$1110,'MA Engine'!$C$6:$C$1110,"RPA",'MA Engine'!$D$6:$D$1110,"Karkas",'MA Engine'!$H$6:$H$1110,8)</f>
        <v>45640.4</v>
      </c>
      <c r="H57" s="57" t="n">
        <f aca="false">IFERROR(F57/F54,0)</f>
        <v>0.46975006921651</v>
      </c>
    </row>
    <row r="58" customFormat="false" ht="15" hidden="false" customHeight="false" outlineLevel="0" collapsed="false">
      <c r="B58" s="6" t="s">
        <v>578</v>
      </c>
      <c r="F58" s="7" t="n">
        <f aca="false">'Batch Economics'!U18-SUMIFS('MA Engine'!$AJ$6:$AJ$1110,'MA Engine'!$C$6:$C$1110,"RPA",'MA Engine'!$D$6:$D$1110,"Karkas",'MA Engine'!$E$6:$E$1110,"Frozen",'MA Engine'!$H$6:$H$1110,8)</f>
        <v>33727.38</v>
      </c>
    </row>
    <row r="59" customFormat="false" ht="15" hidden="false" customHeight="false" outlineLevel="0" collapsed="false">
      <c r="B59" s="6" t="s">
        <v>579</v>
      </c>
      <c r="F59" s="7" t="n">
        <f aca="false">'Batch Economics'!T18-SUMIFS('MA Engine'!$AJ$6:$AJ$1110,'MA Engine'!$C$6:$C$1110,"RPA",'MA Engine'!$D$6:$D$1110,"Karkas",'MA Engine'!$E$6:$E$1110,"Fresh",'MA Engine'!$H$6:$H$1110,8)</f>
        <v>12112.86</v>
      </c>
    </row>
    <row r="60" customFormat="false" ht="15" hidden="false" customHeight="false" outlineLevel="0" collapsed="false">
      <c r="B60" s="6" t="s">
        <v>580</v>
      </c>
      <c r="F60" s="7" t="n">
        <f aca="false">'Batch Economics'!AB18</f>
        <v>23627.1</v>
      </c>
    </row>
    <row r="61" customFormat="false" ht="15" hidden="false" customHeight="false" outlineLevel="0" collapsed="false">
      <c r="B61" s="6" t="s">
        <v>577</v>
      </c>
      <c r="F61" s="7" t="n">
        <f aca="false">'Batch Economics'!AB18-(SUMIFS('MA Engine'!$AJ$6:$AJ$1110,'MA Engine'!$C$6:$C$1110,"RPA",'MA Engine'!$H$6:$H$1110,8)-SUMIFS('MA Engine'!$AJ$6:$AJ$1110,'MA Engine'!$C$6:$C$1110,"RPA",'MA Engine'!$D$6:$D$1110,"Karkas",'MA Engine'!$H$6:$H$1110,8))</f>
        <v>14228.02</v>
      </c>
      <c r="H61" s="21" t="n">
        <f aca="false">IFERROR(F61/F60,0)</f>
        <v>0.602190704741589</v>
      </c>
    </row>
    <row r="62" customFormat="false" ht="15" hidden="false" customHeight="false" outlineLevel="0" collapsed="false">
      <c r="B62" s="28" t="s">
        <v>581</v>
      </c>
    </row>
  </sheetData>
  <mergeCells count="20">
    <mergeCell ref="J5:N5"/>
    <mergeCell ref="J6:N6"/>
    <mergeCell ref="J7:N7"/>
    <mergeCell ref="J8:N8"/>
    <mergeCell ref="J9:N9"/>
    <mergeCell ref="J10:N10"/>
    <mergeCell ref="J11:N11"/>
    <mergeCell ref="J12:N12"/>
    <mergeCell ref="J13:N13"/>
    <mergeCell ref="J14:N14"/>
    <mergeCell ref="J15:N15"/>
    <mergeCell ref="J16:N16"/>
    <mergeCell ref="J17:N17"/>
    <mergeCell ref="J18:N18"/>
    <mergeCell ref="J19:N19"/>
    <mergeCell ref="J20:N20"/>
    <mergeCell ref="J21:N21"/>
    <mergeCell ref="J22:N22"/>
    <mergeCell ref="J23:N23"/>
    <mergeCell ref="J24:N24"/>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31" man="true" max="16383" min="0"/>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36"/>
    <col collapsed="false" customWidth="true" hidden="false" outlineLevel="0" max="4" min="4" style="0" width="40"/>
    <col collapsed="false" customWidth="true" hidden="false" outlineLevel="0" max="5" min="5" style="0" width="12"/>
    <col collapsed="false" customWidth="true" hidden="false" outlineLevel="0" max="6" min="6" style="0" width="13"/>
    <col collapsed="false" customWidth="true" hidden="false" outlineLevel="0" max="7" min="7" style="0" width="24"/>
    <col collapsed="false" customWidth="true" hidden="false" outlineLevel="0" max="9" min="8" style="0" width="13"/>
    <col collapsed="false" customWidth="true" hidden="false" outlineLevel="0" max="10" min="10" style="0" width="12"/>
    <col collapsed="false" customWidth="true" hidden="false" outlineLevel="0" max="11" min="11" style="0" width="11"/>
    <col collapsed="false" customWidth="true" hidden="false" outlineLevel="0" max="12" min="12" style="0" width="12"/>
    <col collapsed="false" customWidth="true" hidden="false" outlineLevel="0" max="13" min="13" style="0" width="20"/>
    <col collapsed="false" customWidth="true" hidden="false" outlineLevel="0" max="14" min="14" style="0" width="48"/>
  </cols>
  <sheetData>
    <row r="1" customFormat="false" ht="15" hidden="false" customHeight="false" outlineLevel="0" collapsed="false">
      <c r="A1" s="1" t="s">
        <v>582</v>
      </c>
    </row>
    <row r="2" customFormat="false" ht="15" hidden="false" customHeight="false" outlineLevel="0" collapsed="false">
      <c r="A2" s="4" t="s">
        <v>583</v>
      </c>
    </row>
    <row r="5" customFormat="false" ht="39.75" hidden="false" customHeight="true" outlineLevel="0" collapsed="false">
      <c r="B5" s="5" t="s">
        <v>31</v>
      </c>
      <c r="C5" s="5" t="s">
        <v>584</v>
      </c>
      <c r="D5" s="5" t="s">
        <v>585</v>
      </c>
      <c r="E5" s="5" t="s">
        <v>490</v>
      </c>
      <c r="F5" s="5" t="s">
        <v>586</v>
      </c>
      <c r="G5" s="5" t="s">
        <v>587</v>
      </c>
      <c r="H5" s="5" t="s">
        <v>588</v>
      </c>
      <c r="I5" s="5" t="s">
        <v>589</v>
      </c>
      <c r="J5" s="5" t="s">
        <v>590</v>
      </c>
      <c r="K5" s="5" t="s">
        <v>39</v>
      </c>
      <c r="L5" s="5" t="s">
        <v>591</v>
      </c>
      <c r="M5" s="5" t="s">
        <v>592</v>
      </c>
      <c r="N5" s="5" t="s">
        <v>593</v>
      </c>
    </row>
    <row r="6" customFormat="false" ht="15" hidden="false" customHeight="false" outlineLevel="0" collapsed="false">
      <c r="B6" s="18" t="s">
        <v>594</v>
      </c>
    </row>
    <row r="7" customFormat="false" ht="30" hidden="false" customHeight="true" outlineLevel="0" collapsed="false">
      <c r="B7" s="38" t="s">
        <v>496</v>
      </c>
      <c r="C7" s="39" t="s">
        <v>595</v>
      </c>
      <c r="D7" s="41" t="s">
        <v>596</v>
      </c>
      <c r="E7" s="58" t="s">
        <v>199</v>
      </c>
      <c r="F7" s="59" t="n">
        <v>432.286635477954</v>
      </c>
      <c r="G7" s="41" t="s">
        <v>597</v>
      </c>
      <c r="H7" s="60" t="s">
        <v>598</v>
      </c>
      <c r="I7" s="45" t="n">
        <f aca="false">'Batch Economics'!G18/1000</f>
        <v>140.71904</v>
      </c>
      <c r="J7" s="46" t="n">
        <f aca="false">IF(ISNUMBER(I7),I7-F7,"")</f>
        <v>-291.567595477954</v>
      </c>
      <c r="K7" s="38" t="str">
        <f aca="false">IF(ISNUMBER(I7),IF(I7&gt;=F7,"On","Off"),"—")</f>
        <v>Off</v>
      </c>
      <c r="L7" s="46"/>
      <c r="M7" s="44" t="s">
        <v>599</v>
      </c>
      <c r="N7" s="41" t="s">
        <v>600</v>
      </c>
    </row>
    <row r="8" customFormat="false" ht="30" hidden="false" customHeight="true" outlineLevel="0" collapsed="false">
      <c r="B8" s="38" t="s">
        <v>501</v>
      </c>
      <c r="C8" s="39" t="s">
        <v>601</v>
      </c>
      <c r="D8" s="41" t="s">
        <v>602</v>
      </c>
      <c r="E8" s="58" t="s">
        <v>603</v>
      </c>
      <c r="F8" s="61" t="n">
        <v>14265.4589707725</v>
      </c>
      <c r="G8" s="41" t="s">
        <v>604</v>
      </c>
      <c r="H8" s="62" t="n">
        <f aca="false">20000</f>
        <v>20000</v>
      </c>
      <c r="I8" s="40" t="n">
        <f aca="false">'Batch Economics'!M18/COUNT('Batch Economics'!B6:B17)</f>
        <v>10990.1833333333</v>
      </c>
      <c r="J8" s="42" t="n">
        <f aca="false">IF(ISNUMBER(I8),I8-F8,"")</f>
        <v>-3275.27563743916</v>
      </c>
      <c r="K8" s="38" t="str">
        <f aca="false">IF(ISNUMBER(I8),IF(I8&gt;=F8,"On","Off"),"—")</f>
        <v>Off</v>
      </c>
      <c r="L8" s="46"/>
      <c r="M8" s="44" t="s">
        <v>605</v>
      </c>
      <c r="N8" s="41" t="s">
        <v>606</v>
      </c>
    </row>
    <row r="9" customFormat="false" ht="30" hidden="false" customHeight="true" outlineLevel="0" collapsed="false">
      <c r="B9" s="38" t="s">
        <v>510</v>
      </c>
      <c r="C9" s="39" t="s">
        <v>607</v>
      </c>
      <c r="D9" s="41" t="s">
        <v>608</v>
      </c>
      <c r="E9" s="58" t="s">
        <v>195</v>
      </c>
      <c r="F9" s="63" t="n">
        <v>0.410845629203877</v>
      </c>
      <c r="G9" s="41" t="s">
        <v>609</v>
      </c>
      <c r="H9" s="60" t="s">
        <v>610</v>
      </c>
      <c r="I9" s="47" t="n">
        <f aca="false">'Batch Economics'!M18/1041665.625</f>
        <v>0.126607038607039</v>
      </c>
      <c r="J9" s="43" t="n">
        <f aca="false">IF(ISNUMBER(I9),I9-F9,"")</f>
        <v>-0.284238590596838</v>
      </c>
      <c r="K9" s="38" t="str">
        <f aca="false">IF(ISNUMBER(I9),IF(I9&gt;=F9,"On","Off"),"—")</f>
        <v>Off</v>
      </c>
      <c r="L9" s="46"/>
      <c r="M9" s="44" t="s">
        <v>605</v>
      </c>
      <c r="N9" s="41" t="s">
        <v>611</v>
      </c>
    </row>
    <row r="10" customFormat="false" ht="15" hidden="false" customHeight="false" outlineLevel="0" collapsed="false">
      <c r="B10" s="18" t="s">
        <v>612</v>
      </c>
    </row>
    <row r="11" customFormat="false" ht="30" hidden="false" customHeight="true" outlineLevel="0" collapsed="false">
      <c r="B11" s="38" t="s">
        <v>514</v>
      </c>
      <c r="C11" s="39" t="s">
        <v>613</v>
      </c>
      <c r="D11" s="41" t="s">
        <v>614</v>
      </c>
      <c r="E11" s="58" t="s">
        <v>202</v>
      </c>
      <c r="F11" s="61" t="n">
        <v>24805.3879939333</v>
      </c>
      <c r="G11" s="41" t="s">
        <v>615</v>
      </c>
      <c r="H11" s="60" t="s">
        <v>616</v>
      </c>
      <c r="I11" s="40" t="n">
        <f aca="false">'Batch Economics'!L18</f>
        <v>24472.1203473247</v>
      </c>
      <c r="J11" s="42" t="n">
        <f aca="false">IF(ISNUMBER(I11),I11-F11,"")</f>
        <v>-333.267646608609</v>
      </c>
      <c r="K11" s="38" t="str">
        <f aca="false">IF(ISNUMBER(I11),IF(I11&lt;=F11,"On","Off"),"—")</f>
        <v>On</v>
      </c>
      <c r="L11" s="46" t="n">
        <f aca="false">(F11-I11)*'Batch Economics'!G18/1000000</f>
        <v>46.8971032938227</v>
      </c>
      <c r="M11" s="44" t="s">
        <v>605</v>
      </c>
      <c r="N11" s="41" t="s">
        <v>617</v>
      </c>
    </row>
    <row r="12" customFormat="false" ht="30" hidden="false" customHeight="true" outlineLevel="0" collapsed="false">
      <c r="B12" s="38" t="s">
        <v>521</v>
      </c>
      <c r="C12" s="39" t="s">
        <v>618</v>
      </c>
      <c r="D12" s="41" t="s">
        <v>619</v>
      </c>
      <c r="E12" s="58" t="s">
        <v>216</v>
      </c>
      <c r="F12" s="61" t="n">
        <v>0</v>
      </c>
      <c r="G12" s="41" t="s">
        <v>620</v>
      </c>
      <c r="H12" s="60" t="s">
        <v>598</v>
      </c>
      <c r="I12" s="40" t="n">
        <f aca="false">'Batch Economics'!AK18</f>
        <v>1289.09350149063</v>
      </c>
      <c r="J12" s="42" t="n">
        <f aca="false">IF(ISNUMBER(I12),I12-F12,"")</f>
        <v>1289.09350149063</v>
      </c>
      <c r="K12" s="38" t="str">
        <f aca="false">IF(ISNUMBER(I12),IF(I12&lt;=F12,"On","Off"),"—")</f>
        <v>Off</v>
      </c>
      <c r="L12" s="46" t="n">
        <f aca="false">(F12-I12)*'Batch Economics'!G18/1000000</f>
        <v>-181.4</v>
      </c>
      <c r="M12" s="44" t="s">
        <v>605</v>
      </c>
      <c r="N12" s="41" t="s">
        <v>621</v>
      </c>
    </row>
    <row r="13" customFormat="false" ht="15" hidden="false" customHeight="false" outlineLevel="0" collapsed="false">
      <c r="B13" s="18" t="s">
        <v>622</v>
      </c>
    </row>
    <row r="14" customFormat="false" ht="30" hidden="false" customHeight="true" outlineLevel="0" collapsed="false">
      <c r="B14" s="38" t="s">
        <v>531</v>
      </c>
      <c r="C14" s="39" t="s">
        <v>623</v>
      </c>
      <c r="D14" s="41" t="s">
        <v>624</v>
      </c>
      <c r="E14" s="58" t="s">
        <v>195</v>
      </c>
      <c r="F14" s="63" t="n">
        <v>0.01</v>
      </c>
      <c r="G14" s="41" t="s">
        <v>625</v>
      </c>
      <c r="H14" s="60" t="s">
        <v>626</v>
      </c>
      <c r="I14" s="47" t="n">
        <f aca="false">'Batch Economics'!O18</f>
        <v>0.0627977564372242</v>
      </c>
      <c r="J14" s="43" t="n">
        <f aca="false">IF(ISNUMBER(I14),I14-F14,"")</f>
        <v>0.0527977564372242</v>
      </c>
      <c r="K14" s="38" t="str">
        <f aca="false">IF(ISNUMBER(I14),IF(I14&lt;=F14,"On","Off"),"—")</f>
        <v>Off</v>
      </c>
      <c r="L14" s="46" t="n">
        <f aca="false">(F14-I14)*'Batch Economics'!G18*'Batch Economics'!L18/1000000</f>
        <v>-181.819279149653</v>
      </c>
      <c r="M14" s="44" t="s">
        <v>627</v>
      </c>
      <c r="N14" s="41" t="s">
        <v>628</v>
      </c>
    </row>
    <row r="15" customFormat="false" ht="30" hidden="false" customHeight="true" outlineLevel="0" collapsed="false">
      <c r="B15" s="38" t="s">
        <v>539</v>
      </c>
      <c r="C15" s="39" t="s">
        <v>629</v>
      </c>
      <c r="D15" s="41" t="s">
        <v>630</v>
      </c>
      <c r="E15" s="58" t="s">
        <v>195</v>
      </c>
      <c r="F15" s="63" t="n">
        <v>0.8879778</v>
      </c>
      <c r="G15" s="41" t="s">
        <v>631</v>
      </c>
      <c r="H15" s="60" t="s">
        <v>632</v>
      </c>
      <c r="I15" s="47" t="n">
        <f aca="false">'Batch Economics'!AC18/'Batch Economics'!M18</f>
        <v>0.915862792704398</v>
      </c>
      <c r="J15" s="43" t="n">
        <f aca="false">IF(ISNUMBER(I15),I15-F15,"")</f>
        <v>0.027884992704398</v>
      </c>
      <c r="K15" s="38" t="str">
        <f aca="false">IF(ISNUMBER(I15),IF(I15&gt;=F15,"On","Off"),"—")</f>
        <v>On</v>
      </c>
      <c r="L15" s="46"/>
      <c r="M15" s="44" t="s">
        <v>633</v>
      </c>
      <c r="N15" s="41" t="s">
        <v>634</v>
      </c>
    </row>
    <row r="16" customFormat="false" ht="30" hidden="false" customHeight="true" outlineLevel="0" collapsed="false">
      <c r="B16" s="38" t="s">
        <v>635</v>
      </c>
      <c r="C16" s="39" t="s">
        <v>636</v>
      </c>
      <c r="D16" s="41" t="s">
        <v>637</v>
      </c>
      <c r="E16" s="58" t="s">
        <v>195</v>
      </c>
      <c r="F16" s="63" t="n">
        <v>0.69416</v>
      </c>
      <c r="G16" s="41" t="s">
        <v>638</v>
      </c>
      <c r="H16" s="60" t="s">
        <v>598</v>
      </c>
      <c r="I16" s="47" t="n">
        <f aca="false">'Batch Economics'!AD18</f>
        <v>0.736709730350267</v>
      </c>
      <c r="J16" s="43" t="n">
        <f aca="false">IF(ISNUMBER(I16),I16-F16,"")</f>
        <v>0.0425497303502672</v>
      </c>
      <c r="K16" s="38" t="str">
        <f aca="false">IF(ISNUMBER(I16),IF(I16&gt;=F16,"On","Off"),"—")</f>
        <v>On</v>
      </c>
      <c r="L16" s="46" t="n">
        <f aca="false">(I16-F16)*'Batch Economics'!M18*(('Batch Economics'!T18*'Batch Economics'!D23+'Batch Economics'!U18*'Batch Economics'!D24)/'Batch Economics'!V18)/1000000</f>
        <v>194.747501345105</v>
      </c>
      <c r="M16" s="44" t="s">
        <v>633</v>
      </c>
      <c r="N16" s="41" t="s">
        <v>639</v>
      </c>
    </row>
    <row r="17" customFormat="false" ht="30" hidden="false" customHeight="true" outlineLevel="0" collapsed="false">
      <c r="B17" s="38" t="s">
        <v>640</v>
      </c>
      <c r="C17" s="39" t="s">
        <v>641</v>
      </c>
      <c r="D17" s="41" t="s">
        <v>642</v>
      </c>
      <c r="E17" s="58" t="s">
        <v>195</v>
      </c>
      <c r="F17" s="47" t="n">
        <f aca="false">SUM(F42:F47)</f>
        <v>0.19828</v>
      </c>
      <c r="G17" s="41" t="s">
        <v>643</v>
      </c>
      <c r="H17" s="60" t="s">
        <v>644</v>
      </c>
      <c r="I17" s="47" t="n">
        <f aca="false">('Batch Economics'!AB18+'Batch Economics'!AN18)/'Batch Economics'!M18</f>
        <v>0.181608283756261</v>
      </c>
      <c r="J17" s="43" t="n">
        <f aca="false">IF(ISNUMBER(I17),I17-F17,"")</f>
        <v>-0.0166717162437388</v>
      </c>
      <c r="K17" s="38" t="str">
        <f aca="false">IF(ISNUMBER(I17),IF(I17&gt;=F17,"On","Off"),"—")</f>
        <v>Off</v>
      </c>
      <c r="L17" s="46" t="n">
        <f aca="false">(I17-F17)*'Batch Economics'!M18*(('Batch Economics'!W18*'Batch Economics'!D25+'Batch Economics'!X18*'Batch Economics'!D26+'Batch Economics'!Y18*'Batch Economics'!D27+'Batch Economics'!Z18*'Batch Economics'!D28+'Batch Economics'!AA18*'Batch Economics'!D29)/'Batch Economics'!AB18)/1000000</f>
        <v>-7.33863609712345</v>
      </c>
      <c r="M17" s="44" t="s">
        <v>633</v>
      </c>
      <c r="N17" s="41" t="s">
        <v>645</v>
      </c>
    </row>
    <row r="18" customFormat="false" ht="30" hidden="false" customHeight="true" outlineLevel="0" collapsed="false">
      <c r="B18" s="38" t="s">
        <v>646</v>
      </c>
      <c r="C18" s="39" t="s">
        <v>647</v>
      </c>
      <c r="D18" s="41" t="s">
        <v>648</v>
      </c>
      <c r="E18" s="58" t="s">
        <v>195</v>
      </c>
      <c r="F18" s="63" t="n">
        <v>0.005</v>
      </c>
      <c r="G18" s="41" t="s">
        <v>649</v>
      </c>
      <c r="H18" s="60" t="s">
        <v>650</v>
      </c>
      <c r="I18" s="58" t="s">
        <v>241</v>
      </c>
      <c r="J18" s="43"/>
      <c r="K18" s="38" t="str">
        <f aca="false">IF(ISNUMBER(I18),"info","—")</f>
        <v>—</v>
      </c>
      <c r="L18" s="46"/>
      <c r="M18" s="44" t="s">
        <v>651</v>
      </c>
      <c r="N18" s="41" t="s">
        <v>652</v>
      </c>
    </row>
    <row r="19" customFormat="false" ht="15" hidden="false" customHeight="false" outlineLevel="0" collapsed="false">
      <c r="B19" s="18" t="s">
        <v>653</v>
      </c>
    </row>
    <row r="20" customFormat="false" ht="30" hidden="false" customHeight="true" outlineLevel="0" collapsed="false">
      <c r="B20" s="38" t="s">
        <v>654</v>
      </c>
      <c r="C20" s="44" t="s">
        <v>655</v>
      </c>
      <c r="D20" s="41" t="s">
        <v>656</v>
      </c>
      <c r="E20" s="58" t="s">
        <v>195</v>
      </c>
      <c r="F20" s="63" t="n">
        <v>0.813285121585802</v>
      </c>
      <c r="G20" s="41" t="s">
        <v>657</v>
      </c>
      <c r="H20" s="60" t="s">
        <v>598</v>
      </c>
      <c r="I20" s="47" t="n">
        <f aca="false">'Batch Economics'!V18/('Batch Economics'!V18+SUMIFS('MA Engine'!$K$6:$K$1110,'MA Engine'!$C$6:$C$1110,"RPA",'MA Engine'!$H$6:$H$1110,8,'MA Engine'!$I$6:$I$1110,"Receipt",'MA Engine'!$D$6:$D$1110,"BLD")+SUMIFS('MA Engine'!$K$6:$K$1110,'MA Engine'!$C$6:$C$1110,"RPA",'MA Engine'!$H$6:$H$1110,8,'MA Engine'!$I$6:$I$1110,"Receipt",'MA Engine'!$D$6:$D$1110,"BLP"))</f>
        <v>1</v>
      </c>
      <c r="J20" s="43" t="n">
        <f aca="false">IF(ISNUMBER(I20),I20-F20,"")</f>
        <v>0.186714878414198</v>
      </c>
      <c r="K20" s="38" t="str">
        <f aca="false">IF(ISNUMBER(I20),"info","—")</f>
        <v>info</v>
      </c>
      <c r="L20" s="46"/>
      <c r="M20" s="44" t="s">
        <v>633</v>
      </c>
      <c r="N20" s="41" t="s">
        <v>658</v>
      </c>
    </row>
    <row r="21" customFormat="false" ht="30" hidden="false" customHeight="true" outlineLevel="0" collapsed="false">
      <c r="B21" s="38" t="s">
        <v>659</v>
      </c>
      <c r="C21" s="44" t="s">
        <v>660</v>
      </c>
      <c r="D21" s="41" t="s">
        <v>661</v>
      </c>
      <c r="E21" s="58" t="s">
        <v>195</v>
      </c>
      <c r="F21" s="63" t="n">
        <v>0.6</v>
      </c>
      <c r="G21" s="41" t="s">
        <v>662</v>
      </c>
      <c r="H21" s="60" t="s">
        <v>598</v>
      </c>
      <c r="I21" s="47" t="n">
        <f aca="false">SUMIFS('MA Engine'!$K$6:$K$1110,'MA Engine'!$C$6:$C$1110,"RPA",'MA Engine'!$H$6:$H$1110,8,'MA Engine'!$I$6:$I$1110,"Receipt",'MA Engine'!$E$6:$E$1110,"Frozen")/'Batch Economics'!AC18</f>
        <v>0.330361134568576</v>
      </c>
      <c r="J21" s="43" t="n">
        <f aca="false">IF(ISNUMBER(I21),I21-F21,"")</f>
        <v>-0.269638865431424</v>
      </c>
      <c r="K21" s="38" t="str">
        <f aca="false">IF(ISNUMBER(I21),"info","—")</f>
        <v>info</v>
      </c>
      <c r="L21" s="46" t="n">
        <f aca="false">'RPA Loss Bridge'!C31/1000000</f>
        <v>-203.009268469142</v>
      </c>
      <c r="M21" s="44" t="s">
        <v>663</v>
      </c>
      <c r="N21" s="41" t="s">
        <v>664</v>
      </c>
    </row>
    <row r="22" customFormat="false" ht="15" hidden="false" customHeight="false" outlineLevel="0" collapsed="false">
      <c r="B22" s="18" t="s">
        <v>665</v>
      </c>
    </row>
    <row r="23" customFormat="false" ht="30" hidden="false" customHeight="true" outlineLevel="0" collapsed="false">
      <c r="B23" s="38" t="s">
        <v>666</v>
      </c>
      <c r="C23" s="39" t="s">
        <v>667</v>
      </c>
      <c r="D23" s="41" t="s">
        <v>668</v>
      </c>
      <c r="E23" s="58" t="s">
        <v>202</v>
      </c>
      <c r="F23" s="61" t="n">
        <v>37150.0280806546</v>
      </c>
      <c r="G23" s="41" t="s">
        <v>669</v>
      </c>
      <c r="H23" s="60" t="s">
        <v>598</v>
      </c>
      <c r="I23" s="40" t="n">
        <f aca="false">(('Batch Economics'!T18*'Batch Economics'!D23+'Batch Economics'!U18*'Batch Economics'!D24)/'Batch Economics'!V18)</f>
        <v>34704.74829054</v>
      </c>
      <c r="J23" s="42" t="n">
        <f aca="false">IF(ISNUMBER(I23),I23-F23,"")</f>
        <v>-2445.27979011467</v>
      </c>
      <c r="K23" s="38" t="str">
        <f aca="false">IF(ISNUMBER(I23),IF(I23&gt;=F23,"On","Off"),"—")</f>
        <v>Off</v>
      </c>
      <c r="L23" s="46" t="n">
        <f aca="false">(I23-F23)*'Batch Economics'!V18/1000000</f>
        <v>-237.580694599772</v>
      </c>
      <c r="M23" s="44" t="s">
        <v>663</v>
      </c>
      <c r="N23" s="41" t="s">
        <v>670</v>
      </c>
    </row>
    <row r="24" customFormat="false" ht="30" hidden="false" customHeight="true" outlineLevel="0" collapsed="false">
      <c r="B24" s="38" t="s">
        <v>671</v>
      </c>
      <c r="C24" s="39" t="s">
        <v>672</v>
      </c>
      <c r="D24" s="41" t="s">
        <v>673</v>
      </c>
      <c r="E24" s="58" t="s">
        <v>202</v>
      </c>
      <c r="F24" s="40" t="n">
        <f aca="false">('Batch Economics'!W18*F50+'Batch Economics'!X18*F51+'Batch Economics'!Y18*F52+'Batch Economics'!Z18*F53+'Batch Economics'!AA18*F54)/'Batch Economics'!AB18</f>
        <v>7429.75109226657</v>
      </c>
      <c r="G24" s="41" t="s">
        <v>674</v>
      </c>
      <c r="H24" s="60" t="s">
        <v>598</v>
      </c>
      <c r="I24" s="40" t="n">
        <f aca="false">(('Batch Economics'!W18*'Batch Economics'!D25+'Batch Economics'!X18*'Batch Economics'!D26+'Batch Economics'!Y18*'Batch Economics'!D27+'Batch Economics'!Z18*'Batch Economics'!D28+'Batch Economics'!AA18*'Batch Economics'!D29)/'Batch Economics'!AB18)</f>
        <v>3337.71199602895</v>
      </c>
      <c r="J24" s="42" t="n">
        <f aca="false">IF(ISNUMBER(I24),I24-F24,"")</f>
        <v>-4092.03909623762</v>
      </c>
      <c r="K24" s="38" t="str">
        <f aca="false">IF(ISNUMBER(I24),IF(I24&gt;=F24,"On","Off"),"—")</f>
        <v>Off</v>
      </c>
      <c r="L24" s="46" t="n">
        <f aca="false">(I24-F24)*'Batch Economics'!AB18/1000000</f>
        <v>-96.6830169307159</v>
      </c>
      <c r="M24" s="44" t="s">
        <v>663</v>
      </c>
      <c r="N24" s="41" t="s">
        <v>675</v>
      </c>
    </row>
    <row r="25" customFormat="false" ht="15" hidden="false" customHeight="false" outlineLevel="0" collapsed="false">
      <c r="B25" s="18" t="s">
        <v>676</v>
      </c>
    </row>
    <row r="26" customFormat="false" ht="30" hidden="false" customHeight="true" outlineLevel="0" collapsed="false">
      <c r="B26" s="38" t="s">
        <v>677</v>
      </c>
      <c r="C26" s="39" t="s">
        <v>678</v>
      </c>
      <c r="D26" s="41" t="s">
        <v>679</v>
      </c>
      <c r="E26" s="58" t="s">
        <v>202</v>
      </c>
      <c r="F26" s="61" t="n">
        <v>1232.51068678243</v>
      </c>
      <c r="G26" s="41" t="s">
        <v>680</v>
      </c>
      <c r="H26" s="60" t="s">
        <v>598</v>
      </c>
      <c r="I26" s="40" t="n">
        <f aca="false">'Batch Economics'!J18/'Batch Economics'!M18</f>
        <v>1630.33009761742</v>
      </c>
      <c r="J26" s="42" t="n">
        <f aca="false">IF(ISNUMBER(I26),I26-F26,"")</f>
        <v>397.819410834992</v>
      </c>
      <c r="K26" s="38" t="str">
        <f aca="false">IF(ISNUMBER(I26),IF(I26&lt;=F26,"On","Off"),"—")</f>
        <v>Off</v>
      </c>
      <c r="L26" s="46" t="n">
        <f aca="false">(F26-I26)*'Batch Economics'!M18/1000000</f>
        <v>-52.4652991036226</v>
      </c>
      <c r="M26" s="44" t="s">
        <v>681</v>
      </c>
      <c r="N26" s="41" t="s">
        <v>682</v>
      </c>
    </row>
    <row r="27" customFormat="false" ht="15" hidden="false" customHeight="false" outlineLevel="0" collapsed="false">
      <c r="B27" s="18" t="s">
        <v>683</v>
      </c>
    </row>
    <row r="28" customFormat="false" ht="30" hidden="false" customHeight="true" outlineLevel="0" collapsed="false">
      <c r="B28" s="38" t="s">
        <v>684</v>
      </c>
      <c r="C28" s="39" t="s">
        <v>685</v>
      </c>
      <c r="D28" s="41" t="s">
        <v>686</v>
      </c>
      <c r="E28" s="58" t="s">
        <v>202</v>
      </c>
      <c r="F28" s="61" t="n">
        <v>27816.0219422855</v>
      </c>
      <c r="G28" s="41" t="s">
        <v>687</v>
      </c>
      <c r="H28" s="60" t="s">
        <v>598</v>
      </c>
      <c r="I28" s="40" t="n">
        <f aca="false">'Batch Economics'!AJ18</f>
        <v>28569.0032270886</v>
      </c>
      <c r="J28" s="42" t="n">
        <f aca="false">IF(ISNUMBER(I28),I28-F28,"")</f>
        <v>752.981284803049</v>
      </c>
      <c r="K28" s="38" t="str">
        <f aca="false">IF(ISNUMBER(I28),IF(I28&gt;=F28,"On","Off"),"—")</f>
        <v>On</v>
      </c>
      <c r="L28" s="46"/>
      <c r="M28" s="44" t="s">
        <v>663</v>
      </c>
      <c r="N28" s="41"/>
    </row>
    <row r="29" customFormat="false" ht="30" hidden="false" customHeight="true" outlineLevel="0" collapsed="false">
      <c r="B29" s="38" t="s">
        <v>688</v>
      </c>
      <c r="C29" s="39" t="s">
        <v>689</v>
      </c>
      <c r="D29" s="41" t="s">
        <v>690</v>
      </c>
      <c r="E29" s="58" t="s">
        <v>202</v>
      </c>
      <c r="F29" s="61" t="n">
        <v>30471.4998649477</v>
      </c>
      <c r="G29" s="41" t="s">
        <v>691</v>
      </c>
      <c r="H29" s="60" t="s">
        <v>598</v>
      </c>
      <c r="I29" s="40" t="n">
        <f aca="false">'Batch Economics'!AI18</f>
        <v>31792.6316132664</v>
      </c>
      <c r="J29" s="42" t="n">
        <f aca="false">IF(ISNUMBER(I29),I29-F29,"")</f>
        <v>1321.13174831874</v>
      </c>
      <c r="K29" s="38" t="str">
        <f aca="false">IF(ISNUMBER(I29),IF(I29&lt;=F29,"On","Off"),"—")</f>
        <v>Off</v>
      </c>
      <c r="L29" s="46"/>
      <c r="M29" s="44" t="s">
        <v>681</v>
      </c>
      <c r="N29" s="41" t="s">
        <v>692</v>
      </c>
    </row>
    <row r="30" customFormat="false" ht="30" hidden="false" customHeight="true" outlineLevel="0" collapsed="false">
      <c r="B30" s="38" t="s">
        <v>693</v>
      </c>
      <c r="C30" s="39" t="s">
        <v>694</v>
      </c>
      <c r="D30" s="41" t="s">
        <v>695</v>
      </c>
      <c r="E30" s="58" t="s">
        <v>202</v>
      </c>
      <c r="F30" s="61" t="n">
        <v>1835</v>
      </c>
      <c r="G30" s="41" t="s">
        <v>696</v>
      </c>
      <c r="H30" s="60" t="s">
        <v>697</v>
      </c>
      <c r="I30" s="40" t="n">
        <f aca="false">('Batch Economics'!AG18-'Batch Economics'!H18)/'Batch Economics'!G18</f>
        <v>-2766.99711888938</v>
      </c>
      <c r="J30" s="42" t="n">
        <f aca="false">IF(ISNUMBER(I30),I30-F30,"")</f>
        <v>-4601.99711888939</v>
      </c>
      <c r="K30" s="38" t="str">
        <f aca="false">IF(ISNUMBER(I30),IF(I30&gt;=F30,"On","Off"),"—")</f>
        <v>Off</v>
      </c>
      <c r="L30" s="46" t="n">
        <f aca="false">(I30-F30)*'Batch Economics'!G18/1000000</f>
        <v>-647.58861665288</v>
      </c>
      <c r="M30" s="44" t="s">
        <v>681</v>
      </c>
      <c r="N30" s="41" t="s">
        <v>698</v>
      </c>
    </row>
    <row r="31" customFormat="false" ht="30" hidden="false" customHeight="true" outlineLevel="0" collapsed="false">
      <c r="B31" s="38" t="s">
        <v>699</v>
      </c>
      <c r="C31" s="39" t="s">
        <v>700</v>
      </c>
      <c r="D31" s="41" t="s">
        <v>701</v>
      </c>
      <c r="E31" s="58" t="s">
        <v>202</v>
      </c>
      <c r="F31" s="61" t="n">
        <v>21912.6532626016</v>
      </c>
      <c r="G31" s="41" t="s">
        <v>702</v>
      </c>
      <c r="H31" s="60" t="s">
        <v>598</v>
      </c>
      <c r="I31" s="40" t="n">
        <f aca="false">'Batch Economics'!AL18</f>
        <v>21705.1232284353</v>
      </c>
      <c r="J31" s="42" t="n">
        <f aca="false">IF(ISNUMBER(I31),I31-F31,"")</f>
        <v>-207.530034166244</v>
      </c>
      <c r="K31" s="38" t="str">
        <f aca="false">IF(ISNUMBER(I31),IF(I31&gt;=F31,"On","Off"),"—")</f>
        <v>Off</v>
      </c>
      <c r="L31" s="46"/>
      <c r="M31" s="44" t="s">
        <v>605</v>
      </c>
      <c r="N31" s="41" t="s">
        <v>703</v>
      </c>
    </row>
    <row r="32" customFormat="false" ht="15" hidden="false" customHeight="false" outlineLevel="0" collapsed="false">
      <c r="B32" s="28" t="s">
        <v>704</v>
      </c>
    </row>
    <row r="40" customFormat="false" ht="15" hidden="false" customHeight="false" outlineLevel="0" collapsed="false">
      <c r="B40" s="18" t="s">
        <v>705</v>
      </c>
    </row>
    <row r="41" customFormat="false" ht="33.75" hidden="false" customHeight="true" outlineLevel="0" collapsed="false">
      <c r="B41" s="5"/>
      <c r="C41" s="5" t="s">
        <v>706</v>
      </c>
      <c r="D41" s="5"/>
      <c r="E41" s="5" t="s">
        <v>490</v>
      </c>
      <c r="F41" s="5" t="s">
        <v>707</v>
      </c>
      <c r="G41" s="5" t="s">
        <v>708</v>
      </c>
      <c r="H41" s="5"/>
      <c r="I41" s="5" t="s">
        <v>709</v>
      </c>
      <c r="J41" s="5" t="s">
        <v>493</v>
      </c>
      <c r="K41" s="5" t="s">
        <v>39</v>
      </c>
    </row>
    <row r="42" customFormat="false" ht="15" hidden="false" customHeight="false" outlineLevel="0" collapsed="false">
      <c r="C42" s="6" t="s">
        <v>710</v>
      </c>
      <c r="E42" s="6" t="s">
        <v>195</v>
      </c>
      <c r="F42" s="64" t="n">
        <v>0.03906</v>
      </c>
      <c r="G42" s="12" t="s">
        <v>711</v>
      </c>
      <c r="I42" s="32" t="n">
        <v>0</v>
      </c>
      <c r="J42" s="32" t="n">
        <f aca="false">I42-F42</f>
        <v>-0.03906</v>
      </c>
      <c r="K42" s="11" t="str">
        <f aca="false">IF(ABS(I42/F42-1)&lt;=5%,"On","Off")</f>
        <v>Off</v>
      </c>
    </row>
    <row r="43" customFormat="false" ht="15" hidden="false" customHeight="false" outlineLevel="0" collapsed="false">
      <c r="C43" s="6" t="s">
        <v>248</v>
      </c>
      <c r="E43" s="6" t="s">
        <v>195</v>
      </c>
      <c r="F43" s="64" t="n">
        <v>0.05267</v>
      </c>
      <c r="G43" s="12" t="s">
        <v>712</v>
      </c>
      <c r="I43" s="35" t="n">
        <f aca="false">'Batch Economics'!X18/'Batch Economics'!M18</f>
        <v>0.0467326144089195</v>
      </c>
      <c r="J43" s="32" t="n">
        <f aca="false">I43-F43</f>
        <v>-0.00593738559108054</v>
      </c>
      <c r="K43" s="11" t="str">
        <f aca="false">IF(ABS(I43/F43-1)&lt;=5%,"On","Off")</f>
        <v>Off</v>
      </c>
    </row>
    <row r="44" customFormat="false" ht="15" hidden="false" customHeight="false" outlineLevel="0" collapsed="false">
      <c r="C44" s="6" t="s">
        <v>242</v>
      </c>
      <c r="E44" s="6" t="s">
        <v>195</v>
      </c>
      <c r="F44" s="64" t="n">
        <v>0.03026</v>
      </c>
      <c r="G44" s="12" t="s">
        <v>713</v>
      </c>
      <c r="I44" s="35" t="n">
        <f aca="false">'Batch Economics'!Z18/'Batch Economics'!M18</f>
        <v>0.0294391509999075</v>
      </c>
      <c r="J44" s="32" t="n">
        <f aca="false">I44-F44</f>
        <v>-0.000820849000092508</v>
      </c>
      <c r="K44" s="11" t="str">
        <f aca="false">IF(ABS(I44/F44-1)&lt;=5%,"On","Off")</f>
        <v>On</v>
      </c>
    </row>
    <row r="45" customFormat="false" ht="15" hidden="false" customHeight="false" outlineLevel="0" collapsed="false">
      <c r="C45" s="6" t="s">
        <v>714</v>
      </c>
      <c r="E45" s="6" t="s">
        <v>195</v>
      </c>
      <c r="F45" s="64" t="n">
        <v>0.04192</v>
      </c>
      <c r="G45" s="12" t="s">
        <v>715</v>
      </c>
      <c r="I45" s="35" t="n">
        <f aca="false">('Batch Economics'!Y18+'Batch Economics'!AN18)/'Batch Economics'!M18</f>
        <v>0.0460297143966358</v>
      </c>
      <c r="J45" s="32" t="n">
        <f aca="false">I45-F45</f>
        <v>0.00410971439663578</v>
      </c>
      <c r="K45" s="11" t="str">
        <f aca="false">IF(ABS(I45/F45-1)&lt;=5%,"On","Off")</f>
        <v>Off</v>
      </c>
    </row>
    <row r="46" customFormat="false" ht="15" hidden="false" customHeight="false" outlineLevel="0" collapsed="false">
      <c r="C46" s="6" t="s">
        <v>716</v>
      </c>
      <c r="E46" s="6" t="s">
        <v>195</v>
      </c>
      <c r="F46" s="64" t="n">
        <v>0.03193</v>
      </c>
      <c r="G46" s="12" t="s">
        <v>717</v>
      </c>
      <c r="I46" s="35" t="n">
        <f aca="false">'Batch Economics'!W18/'Batch Economics'!M18</f>
        <v>0.0560409213677054</v>
      </c>
      <c r="J46" s="32" t="n">
        <f aca="false">I46-F46</f>
        <v>0.0241109213677054</v>
      </c>
      <c r="K46" s="11" t="str">
        <f aca="false">IF(ABS(I46/F46-1)&lt;=5%,"On","Off")</f>
        <v>Off</v>
      </c>
    </row>
    <row r="47" customFormat="false" ht="15" hidden="false" customHeight="false" outlineLevel="0" collapsed="false">
      <c r="C47" s="6" t="s">
        <v>360</v>
      </c>
      <c r="E47" s="6" t="s">
        <v>195</v>
      </c>
      <c r="F47" s="64" t="n">
        <v>0.00244</v>
      </c>
      <c r="G47" s="12" t="s">
        <v>718</v>
      </c>
      <c r="I47" s="35" t="n">
        <f aca="false">'Batch Economics'!AA18/'Batch Economics'!M18</f>
        <v>0.00336588258309309</v>
      </c>
      <c r="J47" s="32" t="n">
        <f aca="false">I47-F47</f>
        <v>0.000925882583093093</v>
      </c>
      <c r="K47" s="11" t="str">
        <f aca="false">IF(ABS(I47/F47-1)&lt;=5%,"On","Off")</f>
        <v>Off</v>
      </c>
    </row>
    <row r="48" customFormat="false" ht="15" hidden="false" customHeight="false" outlineLevel="0" collapsed="false">
      <c r="C48" s="25" t="s">
        <v>719</v>
      </c>
      <c r="F48" s="34" t="n">
        <f aca="false">SUM(F42:F47)</f>
        <v>0.19828</v>
      </c>
      <c r="I48" s="34" t="n">
        <f aca="false">SUM(I42:I47)</f>
        <v>0.181608283756261</v>
      </c>
      <c r="J48" s="34" t="n">
        <f aca="false">I48-F48</f>
        <v>-0.0166717162437388</v>
      </c>
    </row>
    <row r="49" customFormat="false" ht="33.75" hidden="false" customHeight="true" outlineLevel="0" collapsed="false">
      <c r="B49" s="5"/>
      <c r="C49" s="5" t="s">
        <v>706</v>
      </c>
      <c r="D49" s="5"/>
      <c r="E49" s="5" t="s">
        <v>490</v>
      </c>
      <c r="F49" s="5" t="s">
        <v>720</v>
      </c>
      <c r="G49" s="5" t="s">
        <v>708</v>
      </c>
      <c r="H49" s="5"/>
      <c r="I49" s="5" t="s">
        <v>721</v>
      </c>
      <c r="J49" s="5" t="s">
        <v>493</v>
      </c>
      <c r="K49" s="5" t="s">
        <v>39</v>
      </c>
    </row>
    <row r="50" customFormat="false" ht="15" hidden="false" customHeight="false" outlineLevel="0" collapsed="false">
      <c r="C50" s="6" t="s">
        <v>716</v>
      </c>
      <c r="E50" s="6" t="s">
        <v>202</v>
      </c>
      <c r="F50" s="8" t="n">
        <v>812.65686426432</v>
      </c>
      <c r="G50" s="12" t="s">
        <v>722</v>
      </c>
      <c r="I50" s="7" t="n">
        <f aca="false">'Batch Economics'!D25</f>
        <v>4515.31782437746</v>
      </c>
      <c r="J50" s="9" t="n">
        <f aca="false">I50-F50</f>
        <v>3702.66096011314</v>
      </c>
      <c r="K50" s="11" t="str">
        <f aca="false">IF(I50=0,"no sale",IF(I50&gt;=F50,"On","Off"))</f>
        <v>On</v>
      </c>
    </row>
    <row r="51" customFormat="false" ht="15" hidden="false" customHeight="false" outlineLevel="0" collapsed="false">
      <c r="C51" s="6" t="s">
        <v>248</v>
      </c>
      <c r="E51" s="6" t="s">
        <v>202</v>
      </c>
      <c r="F51" s="8" t="n">
        <v>11609.3837752046</v>
      </c>
      <c r="G51" s="12" t="s">
        <v>723</v>
      </c>
      <c r="I51" s="7" t="n">
        <f aca="false">'Batch Economics'!D26</f>
        <v>4028.67675729325</v>
      </c>
      <c r="J51" s="9" t="n">
        <f aca="false">I51-F51</f>
        <v>-7580.70701791133</v>
      </c>
      <c r="K51" s="11" t="str">
        <f aca="false">IF(I51=0,"no sale",IF(I51&gt;=F51,"On","Off"))</f>
        <v>Off</v>
      </c>
    </row>
    <row r="52" customFormat="false" ht="15" hidden="false" customHeight="false" outlineLevel="0" collapsed="false">
      <c r="C52" s="6" t="s">
        <v>253</v>
      </c>
      <c r="E52" s="6" t="s">
        <v>202</v>
      </c>
      <c r="F52" s="8" t="n">
        <v>6965.63026512275</v>
      </c>
      <c r="G52" s="12" t="s">
        <v>724</v>
      </c>
      <c r="I52" s="7" t="n">
        <f aca="false">'Batch Economics'!D27</f>
        <v>1500</v>
      </c>
      <c r="J52" s="9" t="n">
        <f aca="false">I52-F52</f>
        <v>-5465.63026512275</v>
      </c>
      <c r="K52" s="11" t="str">
        <f aca="false">IF(I52=0,"no sale",IF(I52&gt;=F52,"On","Off"))</f>
        <v>Off</v>
      </c>
    </row>
    <row r="53" customFormat="false" ht="15" hidden="false" customHeight="false" outlineLevel="0" collapsed="false">
      <c r="C53" s="6" t="s">
        <v>242</v>
      </c>
      <c r="E53" s="6" t="s">
        <v>202</v>
      </c>
      <c r="F53" s="8" t="n">
        <v>11609.3837752046</v>
      </c>
      <c r="G53" s="12" t="s">
        <v>725</v>
      </c>
      <c r="I53" s="7" t="n">
        <f aca="false">'Batch Economics'!D28</f>
        <v>3100.85087814989</v>
      </c>
      <c r="J53" s="9" t="n">
        <f aca="false">I53-F53</f>
        <v>-8508.53289705469</v>
      </c>
      <c r="K53" s="11" t="str">
        <f aca="false">IF(I53=0,"no sale",IF(I53&gt;=F53,"On","Off"))</f>
        <v>Off</v>
      </c>
    </row>
    <row r="54" customFormat="false" ht="15" hidden="false" customHeight="false" outlineLevel="0" collapsed="false">
      <c r="C54" s="6" t="s">
        <v>360</v>
      </c>
      <c r="E54" s="6" t="s">
        <v>202</v>
      </c>
      <c r="F54" s="8" t="n">
        <v>29023.4594380114</v>
      </c>
      <c r="G54" s="12" t="s">
        <v>726</v>
      </c>
      <c r="I54" s="7" t="n">
        <f aca="false">'Batch Economics'!D29</f>
        <v>0</v>
      </c>
      <c r="J54" s="9" t="n">
        <f aca="false">I54-F54</f>
        <v>-29023.4594380114</v>
      </c>
      <c r="K54" s="11" t="str">
        <f aca="false">IF(I54=0,"no sale",IF(I54&gt;=F54,"On","Off"))</f>
        <v>no sale</v>
      </c>
    </row>
    <row r="55" customFormat="false" ht="15" hidden="false" customHeight="false" outlineLevel="0" collapsed="false">
      <c r="B55" s="28" t="s">
        <v>727</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38" man="true" max="16383" min="0"/>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30"/>
    <col collapsed="false" customWidth="true" hidden="false" outlineLevel="0" max="8" min="4" style="0" width="15"/>
    <col collapsed="false" customWidth="true" hidden="false" outlineLevel="0" max="10" min="9" style="0" width="16"/>
    <col collapsed="false" customWidth="true" hidden="false" outlineLevel="0" max="12" min="11" style="0" width="15"/>
    <col collapsed="false" customWidth="true" hidden="false" outlineLevel="0" max="14" min="13" style="0" width="16"/>
  </cols>
  <sheetData>
    <row r="1" customFormat="false" ht="15" hidden="false" customHeight="false" outlineLevel="0" collapsed="false">
      <c r="A1" s="1" t="s">
        <v>728</v>
      </c>
    </row>
    <row r="2" customFormat="false" ht="15" hidden="false" customHeight="false" outlineLevel="0" collapsed="false">
      <c r="A2" s="4" t="s">
        <v>729</v>
      </c>
    </row>
    <row r="4" customFormat="false" ht="43.5" hidden="false" customHeight="true" outlineLevel="0" collapsed="false">
      <c r="B4" s="5" t="s">
        <v>308</v>
      </c>
      <c r="C4" s="5" t="s">
        <v>730</v>
      </c>
      <c r="D4" s="5" t="s">
        <v>731</v>
      </c>
      <c r="E4" s="5" t="s">
        <v>732</v>
      </c>
      <c r="F4" s="5" t="s">
        <v>733</v>
      </c>
      <c r="G4" s="5" t="s">
        <v>734</v>
      </c>
      <c r="H4" s="5" t="s">
        <v>184</v>
      </c>
      <c r="I4" s="5" t="s">
        <v>735</v>
      </c>
      <c r="J4" s="5" t="s">
        <v>736</v>
      </c>
      <c r="K4" s="5" t="s">
        <v>737</v>
      </c>
      <c r="L4" s="5" t="s">
        <v>738</v>
      </c>
      <c r="M4" s="5" t="s">
        <v>739</v>
      </c>
      <c r="N4" s="5" t="s">
        <v>740</v>
      </c>
    </row>
    <row r="5" customFormat="false" ht="15" hidden="false" customHeight="false" outlineLevel="0" collapsed="false">
      <c r="B5" s="18" t="s">
        <v>741</v>
      </c>
    </row>
    <row r="6" customFormat="false" ht="15" hidden="false" customHeight="false" outlineLevel="0" collapsed="false">
      <c r="B6" s="6" t="s">
        <v>189</v>
      </c>
      <c r="C6" s="12" t="s">
        <v>742</v>
      </c>
      <c r="D6" s="7" t="n">
        <f aca="false">-(SUMIFS(I_GL!$D$5:$D$29,I_GL!$C$5:$C$29,"Rev RPA")+SUMIFS(I_GL!$D$5:$D$29,I_GL!$C$5:$C$29,"Rev Unbilled"))</f>
        <v>190035900</v>
      </c>
      <c r="E6" s="7" t="n">
        <f aca="false">-(SUMIFS(I_GL!$E$5:$E$29,I_GL!$C$5:$C$29,"Rev RPA")+SUMIFS(I_GL!$E$5:$E$29,I_GL!$C$5:$C$29,"Rev Unbilled"))</f>
        <v>646041120</v>
      </c>
      <c r="F6" s="7" t="n">
        <f aca="false">-(SUMIFS(I_GL!$F$5:$F$29,I_GL!$C$5:$C$29,"Rev RPA")+SUMIFS(I_GL!$F$5:$F$29,I_GL!$C$5:$C$29,"Rev Unbilled"))</f>
        <v>1402180774</v>
      </c>
      <c r="G6" s="7" t="n">
        <f aca="false">-(SUMIFS(I_GL!$G$5:$G$29,I_GL!$C$5:$C$29,"Rev RPA")+SUMIFS(I_GL!$G$5:$G$29,I_GL!$C$5:$C$29,"Rev Unbilled"))</f>
        <v>500309443.5</v>
      </c>
      <c r="H6" s="7" t="n">
        <f aca="false">-(SUMIFS(I_GL!$H$5:$H$29,I_GL!$C$5:$C$29,"Rev RPA")+SUMIFS(I_GL!$H$5:$H$29,I_GL!$C$5:$C$29,"Rev Unbilled"))</f>
        <v>246532160</v>
      </c>
      <c r="I6" s="7" t="n">
        <f aca="false">-(SUMIFS(I_GL!$I$5:$I$29,I_GL!$C$5:$C$29,"Rev RPA")+SUMIFS(I_GL!$I$5:$I$29,I_GL!$C$5:$C$29,"Rev Unbilled"))</f>
        <v>3044438109</v>
      </c>
      <c r="J6" s="7" t="n">
        <f aca="false">SUMIFS(I_GL!$I$5:$I$29,I_GL!$C$5:$C$29,"Rev Unbilled")+Unbilled!J44</f>
        <v>-352751118.686576</v>
      </c>
      <c r="K6" s="9" t="n">
        <v>0</v>
      </c>
      <c r="L6" s="9" t="n">
        <v>0</v>
      </c>
      <c r="M6" s="9" t="n">
        <f aca="false">SUM(I6:L6)</f>
        <v>2691686990.31342</v>
      </c>
      <c r="N6" s="9" t="n">
        <f aca="false">SUM(D6:H6)+M6</f>
        <v>5676786387.81342</v>
      </c>
    </row>
    <row r="7" customFormat="false" ht="15" hidden="false" customHeight="false" outlineLevel="0" collapsed="false">
      <c r="B7" s="6" t="s">
        <v>191</v>
      </c>
      <c r="C7" s="12" t="s">
        <v>743</v>
      </c>
      <c r="D7" s="7" t="n">
        <f aca="false">-SUMIFS(I_GL!$D$5:$D$29,I_GL!$C$5:$C$29,"Rev Trading")</f>
        <v>-0</v>
      </c>
      <c r="E7" s="7" t="n">
        <f aca="false">-SUMIFS(I_GL!$E$5:$E$29,I_GL!$C$5:$C$29,"Rev Trading")</f>
        <v>149939860</v>
      </c>
      <c r="F7" s="7" t="n">
        <f aca="false">-SUMIFS(I_GL!$F$5:$F$29,I_GL!$C$5:$C$29,"Rev Trading")</f>
        <v>44220195</v>
      </c>
      <c r="G7" s="7" t="n">
        <f aca="false">-SUMIFS(I_GL!$G$5:$G$29,I_GL!$C$5:$C$29,"Rev Trading")</f>
        <v>922384240</v>
      </c>
      <c r="H7" s="7" t="n">
        <f aca="false">-SUMIFS(I_GL!$H$5:$H$29,I_GL!$C$5:$C$29,"Rev Trading")</f>
        <v>2876425788.2</v>
      </c>
      <c r="I7" s="7" t="n">
        <f aca="false">-SUMIFS(I_GL!$I$5:$I$29,I_GL!$C$5:$C$29,"Rev Trading")</f>
        <v>5317322794</v>
      </c>
      <c r="J7" s="7" t="n">
        <f aca="false">Unbilled!J45</f>
        <v>352751118.686576</v>
      </c>
      <c r="K7" s="9" t="n">
        <v>0</v>
      </c>
      <c r="L7" s="9" t="n">
        <v>0</v>
      </c>
      <c r="M7" s="9" t="n">
        <f aca="false">SUM(I7:L7)</f>
        <v>5670073912.68658</v>
      </c>
      <c r="N7" s="9" t="n">
        <f aca="false">SUM(D7:H7)+M7</f>
        <v>9663043995.88658</v>
      </c>
    </row>
    <row r="8" customFormat="false" ht="15" hidden="false" customHeight="false" outlineLevel="0" collapsed="false">
      <c r="B8" s="6" t="s">
        <v>744</v>
      </c>
      <c r="C8" s="12" t="s">
        <v>745</v>
      </c>
      <c r="D8" s="9" t="n">
        <v>0</v>
      </c>
      <c r="E8" s="9" t="n">
        <v>0</v>
      </c>
      <c r="F8" s="9" t="n">
        <v>0</v>
      </c>
      <c r="G8" s="9" t="n">
        <v>0</v>
      </c>
      <c r="H8" s="9" t="n">
        <v>0</v>
      </c>
      <c r="I8" s="9" t="n">
        <v>0</v>
      </c>
      <c r="J8" s="7" t="n">
        <f aca="false">Unbilled!J46</f>
        <v>0</v>
      </c>
      <c r="K8" s="9" t="n">
        <v>0</v>
      </c>
      <c r="L8" s="9" t="n">
        <v>0</v>
      </c>
      <c r="M8" s="9" t="n">
        <f aca="false">SUM(I8:L8)</f>
        <v>0</v>
      </c>
      <c r="N8" s="9" t="n">
        <f aca="false">SUM(D8:H8)+M8</f>
        <v>0</v>
      </c>
    </row>
    <row r="9" customFormat="false" ht="15" hidden="false" customHeight="false" outlineLevel="0" collapsed="false">
      <c r="B9" s="25" t="s">
        <v>746</v>
      </c>
      <c r="C9" s="65"/>
      <c r="D9" s="26" t="n">
        <f aca="false">SUM(D6:D8)</f>
        <v>190035900</v>
      </c>
      <c r="E9" s="26" t="n">
        <f aca="false">SUM(E6:E8)</f>
        <v>795980980</v>
      </c>
      <c r="F9" s="26" t="n">
        <f aca="false">SUM(F6:F8)</f>
        <v>1446400969</v>
      </c>
      <c r="G9" s="26" t="n">
        <f aca="false">SUM(G6:G8)</f>
        <v>1422693683.5</v>
      </c>
      <c r="H9" s="26" t="n">
        <f aca="false">SUM(H6:H8)</f>
        <v>3122957948.2</v>
      </c>
      <c r="I9" s="26" t="n">
        <f aca="false">SUM(I6:I8)</f>
        <v>8361760903</v>
      </c>
      <c r="J9" s="26" t="n">
        <f aca="false">SUM(J6:J8)</f>
        <v>0</v>
      </c>
      <c r="K9" s="26" t="n">
        <f aca="false">SUM(K6:K8)</f>
        <v>0</v>
      </c>
      <c r="L9" s="26" t="n">
        <f aca="false">SUM(L6:L8)</f>
        <v>0</v>
      </c>
      <c r="M9" s="26" t="n">
        <f aca="false">SUM(M6:M8)</f>
        <v>8361760903</v>
      </c>
      <c r="N9" s="26" t="n">
        <f aca="false">SUM(N6:N8)</f>
        <v>15339830383.7</v>
      </c>
    </row>
    <row r="10" customFormat="false" ht="15" hidden="false" customHeight="false" outlineLevel="0" collapsed="false">
      <c r="B10" s="18" t="s">
        <v>747</v>
      </c>
    </row>
    <row r="11" customFormat="false" ht="15" hidden="false" customHeight="false" outlineLevel="0" collapsed="false">
      <c r="B11" s="6" t="s">
        <v>748</v>
      </c>
      <c r="C11" s="12" t="s">
        <v>749</v>
      </c>
      <c r="D11" s="7" t="n">
        <f aca="false">-SUMIFS(I_GL!$D$5:$D$29,I_GL!$C$5:$C$29,"COGS RPA")</f>
        <v>-175151878.96</v>
      </c>
      <c r="E11" s="7" t="n">
        <f aca="false">-SUMIFS(I_GL!$E$5:$E$29,I_GL!$C$5:$C$29,"COGS RPA")</f>
        <v>-636894255.56</v>
      </c>
      <c r="F11" s="7" t="n">
        <f aca="false">-SUMIFS(I_GL!$F$5:$F$29,I_GL!$C$5:$C$29,"COGS RPA")</f>
        <v>-1485562512.17</v>
      </c>
      <c r="G11" s="7" t="n">
        <f aca="false">-SUMIFS(I_GL!$G$5:$G$29,I_GL!$C$5:$C$29,"COGS RPA")</f>
        <v>-484230773.79</v>
      </c>
      <c r="H11" s="7" t="n">
        <f aca="false">-SUMIFS(I_GL!$H$5:$H$29,I_GL!$C$5:$C$29,"COGS RPA")</f>
        <v>-248048792.53</v>
      </c>
      <c r="I11" s="7" t="n">
        <f aca="false">-SUMIFS(I_GL!$I$5:$I$29,I_GL!$C$5:$C$29,"COGS RPA")</f>
        <v>-3118984330.9</v>
      </c>
      <c r="J11" s="7" t="n">
        <f aca="false">Unbilled!L17-Unbilled!K44</f>
        <v>364421672.481</v>
      </c>
      <c r="K11" s="7" t="n">
        <f aca="false">-(Unbilled!F44-Unbilled!E44)</f>
        <v>-3023524.41660494</v>
      </c>
      <c r="L11" s="7" t="n">
        <f aca="false">-SUMIFS('MA Engine'!$AC$6:$AC$1110,'MA Engine'!$C$6:$C$1110,"RPA",'MA Engine'!$H$6:$H$1110,8,'MA Engine'!$P$6:$P$1110,"&lt;&gt;Y")</f>
        <v>2436949.57751734</v>
      </c>
      <c r="M11" s="9" t="n">
        <f aca="false">SUM(I11:L11)</f>
        <v>-2755149233.25809</v>
      </c>
      <c r="N11" s="9" t="n">
        <f aca="false">SUM(D11:H11)+M11</f>
        <v>-5785037446.26809</v>
      </c>
    </row>
    <row r="12" customFormat="false" ht="15" hidden="false" customHeight="false" outlineLevel="0" collapsed="false">
      <c r="B12" s="6" t="s">
        <v>750</v>
      </c>
      <c r="C12" s="12" t="s">
        <v>751</v>
      </c>
      <c r="D12" s="8" t="n">
        <v>0</v>
      </c>
      <c r="E12" s="8" t="n">
        <v>76362362.2</v>
      </c>
      <c r="F12" s="8" t="n">
        <v>-76362362.2</v>
      </c>
      <c r="G12" s="8" t="n">
        <v>0</v>
      </c>
      <c r="H12" s="8" t="n">
        <v>0</v>
      </c>
      <c r="I12" s="8" t="n">
        <v>0</v>
      </c>
      <c r="J12" s="9" t="n">
        <v>0</v>
      </c>
      <c r="K12" s="9" t="n">
        <v>0</v>
      </c>
      <c r="L12" s="9" t="n">
        <v>0</v>
      </c>
      <c r="M12" s="9" t="n">
        <f aca="false">SUM(I12:L12)</f>
        <v>0</v>
      </c>
      <c r="N12" s="9" t="n">
        <f aca="false">SUM(D12:H12)+M12</f>
        <v>0</v>
      </c>
    </row>
    <row r="13" customFormat="false" ht="15" hidden="false" customHeight="false" outlineLevel="0" collapsed="false">
      <c r="B13" s="11" t="s">
        <v>752</v>
      </c>
      <c r="C13" s="12"/>
      <c r="D13" s="16" t="n">
        <f aca="false">D11+D12</f>
        <v>-175151878.96</v>
      </c>
      <c r="E13" s="16" t="n">
        <f aca="false">E11+E12</f>
        <v>-560531893.36</v>
      </c>
      <c r="F13" s="16" t="n">
        <f aca="false">F11+F12</f>
        <v>-1561924874.37</v>
      </c>
      <c r="G13" s="16" t="n">
        <f aca="false">G11+G12</f>
        <v>-484230773.79</v>
      </c>
      <c r="H13" s="16" t="n">
        <f aca="false">H11+H12</f>
        <v>-248048792.53</v>
      </c>
      <c r="I13" s="16" t="n">
        <f aca="false">I11+I12</f>
        <v>-3118984330.9</v>
      </c>
      <c r="J13" s="16" t="n">
        <f aca="false">J11+J12</f>
        <v>364421672.481</v>
      </c>
      <c r="K13" s="16" t="n">
        <f aca="false">K11+K12</f>
        <v>-3023524.41660494</v>
      </c>
      <c r="L13" s="16" t="n">
        <f aca="false">L11+L12</f>
        <v>2436949.57751734</v>
      </c>
      <c r="M13" s="16" t="n">
        <f aca="false">SUM(I13:L13)</f>
        <v>-2755149233.25809</v>
      </c>
      <c r="N13" s="16" t="n">
        <f aca="false">SUM(D13:H13)+M13</f>
        <v>-5785037446.26809</v>
      </c>
    </row>
    <row r="14" customFormat="false" ht="15" hidden="false" customHeight="false" outlineLevel="0" collapsed="false">
      <c r="B14" s="6" t="s">
        <v>753</v>
      </c>
      <c r="C14" s="12" t="s">
        <v>754</v>
      </c>
      <c r="D14" s="7" t="n">
        <f aca="false">-SUMIFS(I_GL!$D$5:$D$29,I_GL!$C$5:$C$29,"COGS Trading")</f>
        <v>-0</v>
      </c>
      <c r="E14" s="7" t="n">
        <f aca="false">-SUMIFS(I_GL!$E$5:$E$29,I_GL!$C$5:$C$29,"COGS Trading")</f>
        <v>-141127370</v>
      </c>
      <c r="F14" s="7" t="n">
        <f aca="false">-SUMIFS(I_GL!$F$5:$F$29,I_GL!$C$5:$C$29,"COGS Trading")</f>
        <v>-40506060</v>
      </c>
      <c r="G14" s="7" t="n">
        <f aca="false">-SUMIFS(I_GL!$G$5:$G$29,I_GL!$C$5:$C$29,"COGS Trading")</f>
        <v>-807782400.1</v>
      </c>
      <c r="H14" s="7" t="n">
        <f aca="false">-SUMIFS(I_GL!$H$5:$H$29,I_GL!$C$5:$C$29,"COGS Trading")</f>
        <v>-2392253304.86</v>
      </c>
      <c r="I14" s="7" t="n">
        <f aca="false">-SUMIFS(I_GL!$I$5:$I$29,I_GL!$C$5:$C$29,"COGS Trading")</f>
        <v>-4835720965.07</v>
      </c>
      <c r="J14" s="7" t="n">
        <f aca="false">-Unbilled!K45</f>
        <v>-364421672.0911</v>
      </c>
      <c r="K14" s="7" t="n">
        <f aca="false">-(Unbilled!F45-Unbilled!E45)</f>
        <v>14954.5007735193</v>
      </c>
      <c r="L14" s="7" t="n">
        <f aca="false">-SUMIFS('MA Engine'!$AC$6:$AC$1110,'MA Engine'!$C$6:$C$1110,"Trading",'MA Engine'!$H$6:$H$1110,8,'MA Engine'!$P$6:$P$1110,"&lt;&gt;Y")</f>
        <v>-0</v>
      </c>
      <c r="M14" s="9" t="n">
        <f aca="false">SUM(I14:L14)</f>
        <v>-5200127682.66033</v>
      </c>
      <c r="N14" s="9" t="n">
        <f aca="false">SUM(D14:H14)+M14</f>
        <v>-8581796817.62033</v>
      </c>
    </row>
    <row r="15" customFormat="false" ht="15" hidden="false" customHeight="false" outlineLevel="0" collapsed="false">
      <c r="B15" s="6" t="s">
        <v>755</v>
      </c>
      <c r="C15" s="12" t="s">
        <v>756</v>
      </c>
      <c r="D15" s="9" t="n">
        <v>0</v>
      </c>
      <c r="E15" s="9" t="n">
        <v>0</v>
      </c>
      <c r="F15" s="9" t="n">
        <v>0</v>
      </c>
      <c r="G15" s="9" t="n">
        <v>0</v>
      </c>
      <c r="H15" s="9" t="n">
        <v>0</v>
      </c>
      <c r="I15" s="9" t="n">
        <v>0</v>
      </c>
      <c r="J15" s="7" t="n">
        <f aca="false">-Unbilled!K46</f>
        <v>-0</v>
      </c>
      <c r="K15" s="9" t="n">
        <v>0</v>
      </c>
      <c r="L15" s="9" t="n">
        <v>0</v>
      </c>
      <c r="M15" s="9" t="n">
        <f aca="false">SUM(I15:L15)</f>
        <v>0</v>
      </c>
      <c r="N15" s="9" t="n">
        <f aca="false">SUM(D15:H15)+M15</f>
        <v>0</v>
      </c>
    </row>
    <row r="16" customFormat="false" ht="15" hidden="false" customHeight="false" outlineLevel="0" collapsed="false">
      <c r="B16" s="25" t="s">
        <v>757</v>
      </c>
      <c r="C16" s="65"/>
      <c r="D16" s="26" t="n">
        <f aca="false">D13+D14+D15</f>
        <v>-175151878.96</v>
      </c>
      <c r="E16" s="26" t="n">
        <f aca="false">E13+E14+E15</f>
        <v>-701659263.36</v>
      </c>
      <c r="F16" s="26" t="n">
        <f aca="false">F13+F14+F15</f>
        <v>-1602430934.37</v>
      </c>
      <c r="G16" s="26" t="n">
        <f aca="false">G13+G14+G15</f>
        <v>-1292013173.89</v>
      </c>
      <c r="H16" s="26" t="n">
        <f aca="false">H13+H14+H15</f>
        <v>-2640302097.39</v>
      </c>
      <c r="I16" s="26" t="n">
        <f aca="false">I13+I14+I15</f>
        <v>-7954705295.97</v>
      </c>
      <c r="J16" s="26" t="n">
        <f aca="false">J13+J14+J15</f>
        <v>0.389899969100952</v>
      </c>
      <c r="K16" s="26" t="n">
        <f aca="false">K13+K14+K15</f>
        <v>-3008569.91583142</v>
      </c>
      <c r="L16" s="26" t="n">
        <f aca="false">L13+L14+L15</f>
        <v>2436949.57751734</v>
      </c>
      <c r="M16" s="26" t="n">
        <f aca="false">M13+M14+M15</f>
        <v>-7955276915.91841</v>
      </c>
      <c r="N16" s="26" t="n">
        <f aca="false">N13+N14+N15</f>
        <v>-14366834263.8884</v>
      </c>
    </row>
    <row r="17" customFormat="false" ht="15" hidden="false" customHeight="false" outlineLevel="0" collapsed="false">
      <c r="B17" s="18" t="s">
        <v>758</v>
      </c>
    </row>
    <row r="18" customFormat="false" ht="15" hidden="false" customHeight="false" outlineLevel="0" collapsed="false">
      <c r="B18" s="6" t="s">
        <v>759</v>
      </c>
      <c r="C18" s="12"/>
      <c r="D18" s="9" t="n">
        <f aca="false">D6+D13</f>
        <v>14884021.04</v>
      </c>
      <c r="E18" s="9" t="n">
        <f aca="false">E6+E13</f>
        <v>85509226.64</v>
      </c>
      <c r="F18" s="9" t="n">
        <f aca="false">F6+F13</f>
        <v>-159744100.37</v>
      </c>
      <c r="G18" s="9" t="n">
        <f aca="false">G6+G13</f>
        <v>16078669.71</v>
      </c>
      <c r="H18" s="9" t="n">
        <f aca="false">H6+H13</f>
        <v>-1516632.53000003</v>
      </c>
      <c r="I18" s="9" t="n">
        <f aca="false">I6+I13</f>
        <v>-74546221.9000001</v>
      </c>
      <c r="J18" s="9" t="n">
        <f aca="false">J6+J13</f>
        <v>11670553.7944241</v>
      </c>
      <c r="K18" s="9" t="n">
        <f aca="false">K6+K13</f>
        <v>-3023524.41660494</v>
      </c>
      <c r="L18" s="9" t="n">
        <f aca="false">L6+L13</f>
        <v>2436949.57751734</v>
      </c>
      <c r="M18" s="9" t="n">
        <f aca="false">M6+M13</f>
        <v>-63462242.9446635</v>
      </c>
      <c r="N18" s="9" t="n">
        <f aca="false">N6+N13</f>
        <v>-108251058.454663</v>
      </c>
    </row>
    <row r="19" customFormat="false" ht="15" hidden="false" customHeight="false" outlineLevel="0" collapsed="false">
      <c r="B19" s="6" t="s">
        <v>760</v>
      </c>
      <c r="C19" s="12"/>
      <c r="D19" s="9" t="n">
        <f aca="false">D7+D14</f>
        <v>-0</v>
      </c>
      <c r="E19" s="9" t="n">
        <f aca="false">E7+E14</f>
        <v>8812490</v>
      </c>
      <c r="F19" s="9" t="n">
        <f aca="false">F7+F14</f>
        <v>3714135</v>
      </c>
      <c r="G19" s="9" t="n">
        <f aca="false">G7+G14</f>
        <v>114601839.9</v>
      </c>
      <c r="H19" s="9" t="n">
        <f aca="false">H7+H14</f>
        <v>484172483.34</v>
      </c>
      <c r="I19" s="9" t="n">
        <f aca="false">I7+I14</f>
        <v>481601828.93</v>
      </c>
      <c r="J19" s="9" t="n">
        <f aca="false">J7+J14</f>
        <v>-11670553.4045241</v>
      </c>
      <c r="K19" s="9" t="n">
        <f aca="false">K7+K14</f>
        <v>14954.5007735193</v>
      </c>
      <c r="L19" s="9" t="n">
        <f aca="false">L7+L14</f>
        <v>0</v>
      </c>
      <c r="M19" s="9" t="n">
        <f aca="false">M7+M14</f>
        <v>469946230.02625</v>
      </c>
      <c r="N19" s="9" t="n">
        <f aca="false">N7+N14</f>
        <v>1081247178.26625</v>
      </c>
    </row>
    <row r="20" customFormat="false" ht="15" hidden="false" customHeight="false" outlineLevel="0" collapsed="false">
      <c r="B20" s="6" t="s">
        <v>761</v>
      </c>
      <c r="C20" s="12"/>
      <c r="D20" s="9" t="n">
        <f aca="false">D8+D15</f>
        <v>0</v>
      </c>
      <c r="E20" s="9" t="n">
        <f aca="false">E8+E15</f>
        <v>0</v>
      </c>
      <c r="F20" s="9" t="n">
        <f aca="false">F8+F15</f>
        <v>0</v>
      </c>
      <c r="G20" s="9" t="n">
        <f aca="false">G8+G15</f>
        <v>0</v>
      </c>
      <c r="H20" s="9" t="n">
        <f aca="false">H8+H15</f>
        <v>0</v>
      </c>
      <c r="I20" s="9" t="n">
        <f aca="false">I8+I15</f>
        <v>0</v>
      </c>
      <c r="J20" s="9" t="n">
        <f aca="false">J8+J15</f>
        <v>0</v>
      </c>
      <c r="K20" s="9" t="n">
        <f aca="false">K8+K15</f>
        <v>0</v>
      </c>
      <c r="L20" s="9" t="n">
        <f aca="false">L8+L15</f>
        <v>0</v>
      </c>
      <c r="M20" s="9" t="n">
        <f aca="false">M8+M15</f>
        <v>0</v>
      </c>
      <c r="N20" s="9" t="n">
        <f aca="false">N8+N15</f>
        <v>0</v>
      </c>
    </row>
    <row r="21" customFormat="false" ht="15" hidden="false" customHeight="false" outlineLevel="0" collapsed="false">
      <c r="B21" s="25" t="s">
        <v>762</v>
      </c>
      <c r="C21" s="65"/>
      <c r="D21" s="26" t="n">
        <f aca="false">D9+D16</f>
        <v>14884021.04</v>
      </c>
      <c r="E21" s="26" t="n">
        <f aca="false">E9+E16</f>
        <v>94321716.64</v>
      </c>
      <c r="F21" s="26" t="n">
        <f aca="false">F9+F16</f>
        <v>-156029965.37</v>
      </c>
      <c r="G21" s="26" t="n">
        <f aca="false">G9+G16</f>
        <v>130680509.61</v>
      </c>
      <c r="H21" s="26" t="n">
        <f aca="false">H9+H16</f>
        <v>482655850.809999</v>
      </c>
      <c r="I21" s="26" t="n">
        <f aca="false">I9+I16</f>
        <v>407055607.030001</v>
      </c>
      <c r="J21" s="26" t="n">
        <f aca="false">J9+J16</f>
        <v>0.389899969100952</v>
      </c>
      <c r="K21" s="26" t="n">
        <f aca="false">K9+K16</f>
        <v>-3008569.91583142</v>
      </c>
      <c r="L21" s="26" t="n">
        <f aca="false">L9+L16</f>
        <v>2436949.57751734</v>
      </c>
      <c r="M21" s="26" t="n">
        <f aca="false">M9+M16</f>
        <v>406483987.081587</v>
      </c>
      <c r="N21" s="26" t="n">
        <f aca="false">N9+N16</f>
        <v>972996119.811588</v>
      </c>
    </row>
    <row r="22" customFormat="false" ht="15" hidden="false" customHeight="false" outlineLevel="0" collapsed="false">
      <c r="B22" s="6" t="s">
        <v>763</v>
      </c>
      <c r="C22" s="12"/>
      <c r="D22" s="21" t="n">
        <f aca="false">IF(D6=0,0,D18/D6)</f>
        <v>0.0783221540772033</v>
      </c>
      <c r="E22" s="21" t="n">
        <f aca="false">IF(E6=0,0,E18/E6)</f>
        <v>0.132358798833115</v>
      </c>
      <c r="F22" s="21" t="n">
        <f aca="false">IF(F6=0,0,F18/F6)</f>
        <v>-0.11392546762305</v>
      </c>
      <c r="G22" s="21" t="n">
        <f aca="false">IF(G6=0,0,G18/G6)</f>
        <v>0.0321374499700004</v>
      </c>
      <c r="H22" s="21" t="n">
        <f aca="false">IF(H6=0,0,H18/H6)</f>
        <v>-0.00615186485203403</v>
      </c>
      <c r="I22" s="21" t="n">
        <f aca="false">IF(I6=0,0,I18/I6)</f>
        <v>-0.0244860362507044</v>
      </c>
      <c r="M22" s="21" t="n">
        <f aca="false">IF(M6=0,0,M18/M6)</f>
        <v>-0.0235771258593756</v>
      </c>
      <c r="N22" s="21" t="n">
        <f aca="false">IF(N6=0,0,N18/N6)</f>
        <v>-0.0190690737786171</v>
      </c>
    </row>
    <row r="23" customFormat="false" ht="15" hidden="false" customHeight="false" outlineLevel="0" collapsed="false">
      <c r="B23" s="6" t="s">
        <v>764</v>
      </c>
      <c r="C23" s="12"/>
      <c r="D23" s="21" t="n">
        <f aca="false">IF(D7=0,0,D19/D7)</f>
        <v>0</v>
      </c>
      <c r="E23" s="21" t="n">
        <f aca="false">IF(E7=0,0,E19/E7)</f>
        <v>0.0587734975876328</v>
      </c>
      <c r="F23" s="21" t="n">
        <f aca="false">IF(F7=0,0,F19/F7)</f>
        <v>0.0839918277158208</v>
      </c>
      <c r="G23" s="21" t="n">
        <f aca="false">IF(G7=0,0,G19/G7)</f>
        <v>0.124245227672147</v>
      </c>
      <c r="H23" s="21" t="n">
        <f aca="false">IF(H7=0,0,H19/H7)</f>
        <v>0.168324343818021</v>
      </c>
      <c r="I23" s="21" t="n">
        <f aca="false">IF(I7=0,0,I19/I7)</f>
        <v>0.090572238622307</v>
      </c>
      <c r="M23" s="21" t="n">
        <f aca="false">IF(M7=0,0,M19/M7)</f>
        <v>0.0828818525583525</v>
      </c>
      <c r="N23" s="21" t="n">
        <f aca="false">IF(N7=0,0,N19/N7)</f>
        <v>0.111895090069601</v>
      </c>
    </row>
    <row r="24" customFormat="false" ht="15" hidden="false" customHeight="false" outlineLevel="0" collapsed="false">
      <c r="B24" s="6" t="s">
        <v>765</v>
      </c>
      <c r="C24" s="12"/>
      <c r="D24" s="21" t="n">
        <f aca="false">IF(D8=0,0,D20/D8)</f>
        <v>0</v>
      </c>
      <c r="E24" s="21" t="n">
        <f aca="false">IF(E8=0,0,E20/E8)</f>
        <v>0</v>
      </c>
      <c r="F24" s="21" t="n">
        <f aca="false">IF(F8=0,0,F20/F8)</f>
        <v>0</v>
      </c>
      <c r="G24" s="21" t="n">
        <f aca="false">IF(G8=0,0,G20/G8)</f>
        <v>0</v>
      </c>
      <c r="H24" s="21" t="n">
        <f aca="false">IF(H8=0,0,H20/H8)</f>
        <v>0</v>
      </c>
      <c r="I24" s="21" t="n">
        <f aca="false">IF(I8=0,0,I20/I8)</f>
        <v>0</v>
      </c>
      <c r="M24" s="21" t="n">
        <f aca="false">IF(M8=0,0,M20/M8)</f>
        <v>0</v>
      </c>
      <c r="N24" s="21" t="n">
        <f aca="false">IF(N8=0,0,N20/N8)</f>
        <v>0</v>
      </c>
    </row>
    <row r="25" customFormat="false" ht="15" hidden="false" customHeight="false" outlineLevel="0" collapsed="false">
      <c r="B25" s="6" t="s">
        <v>766</v>
      </c>
      <c r="C25" s="12"/>
      <c r="D25" s="21" t="n">
        <f aca="false">IF(D9=0,0,D21/D9)</f>
        <v>0.0783221540772033</v>
      </c>
      <c r="E25" s="21" t="n">
        <f aca="false">IF(E9=0,0,E21/E9)</f>
        <v>0.118497450328524</v>
      </c>
      <c r="F25" s="21" t="n">
        <f aca="false">IF(F9=0,0,F21/F9)</f>
        <v>-0.107874627239689</v>
      </c>
      <c r="G25" s="21" t="n">
        <f aca="false">IF(G9=0,0,G21/G9)</f>
        <v>0.0918542839724359</v>
      </c>
      <c r="H25" s="21" t="n">
        <f aca="false">IF(H9=0,0,H21/H9)</f>
        <v>0.154550864537959</v>
      </c>
      <c r="I25" s="21" t="n">
        <f aca="false">IF(I9=0,0,I21/I9)</f>
        <v>0.0486806082776128</v>
      </c>
      <c r="M25" s="21" t="n">
        <f aca="false">IF(M9=0,0,M21/M9)</f>
        <v>0.0486122470849113</v>
      </c>
      <c r="N25" s="21" t="n">
        <f aca="false">IF(N9=0,0,N21/N9)</f>
        <v>0.0634293923383591</v>
      </c>
    </row>
    <row r="26" customFormat="false" ht="15" hidden="false" customHeight="false" outlineLevel="0" collapsed="false">
      <c r="B26" s="18" t="s">
        <v>767</v>
      </c>
    </row>
    <row r="27" customFormat="false" ht="15" hidden="false" customHeight="false" outlineLevel="0" collapsed="false">
      <c r="B27" s="6" t="s">
        <v>768</v>
      </c>
      <c r="C27" s="12" t="s">
        <v>769</v>
      </c>
      <c r="D27" s="7" t="n">
        <f aca="false">IF('COS Others'!$B$3="Yes",-'COS Others'!B16,0)</f>
        <v>0</v>
      </c>
      <c r="E27" s="7" t="n">
        <f aca="false">IF('COS Others'!$B$3="Yes",-'COS Others'!C16,0)</f>
        <v>0</v>
      </c>
      <c r="F27" s="7" t="n">
        <f aca="false">IF('COS Others'!$B$3="Yes",-'COS Others'!D16,0)</f>
        <v>0</v>
      </c>
      <c r="G27" s="7" t="n">
        <f aca="false">IF('COS Others'!$B$3="Yes",-'COS Others'!E16,0)</f>
        <v>0</v>
      </c>
      <c r="H27" s="7" t="n">
        <f aca="false">IF('COS Others'!$B$3="Yes",-'COS Others'!F16,0)</f>
        <v>0</v>
      </c>
      <c r="I27" s="7" t="n">
        <f aca="false">IF('COS Others'!$B$3="Yes",-'COS Others'!G16,0)</f>
        <v>0</v>
      </c>
      <c r="J27" s="9" t="n">
        <v>0</v>
      </c>
      <c r="K27" s="9" t="n">
        <v>0</v>
      </c>
      <c r="L27" s="9" t="n">
        <v>0</v>
      </c>
      <c r="M27" s="9" t="n">
        <f aca="false">SUM(I27:L27)</f>
        <v>0</v>
      </c>
      <c r="N27" s="9" t="n">
        <f aca="false">SUM(D27:H27)+M27</f>
        <v>0</v>
      </c>
    </row>
    <row r="28" customFormat="false" ht="15" hidden="false" customHeight="false" outlineLevel="0" collapsed="false">
      <c r="B28" s="6" t="s">
        <v>770</v>
      </c>
      <c r="C28" s="12" t="s">
        <v>769</v>
      </c>
      <c r="D28" s="7" t="n">
        <f aca="false">IF('COS Others'!$B$3="Yes",-'COS Others'!B17,0)</f>
        <v>0</v>
      </c>
      <c r="E28" s="7" t="n">
        <f aca="false">IF('COS Others'!$B$3="Yes",-'COS Others'!C17,0)</f>
        <v>0</v>
      </c>
      <c r="F28" s="7" t="n">
        <f aca="false">IF('COS Others'!$B$3="Yes",-'COS Others'!D17,0)</f>
        <v>0</v>
      </c>
      <c r="G28" s="7" t="n">
        <f aca="false">IF('COS Others'!$B$3="Yes",-'COS Others'!E17,0)</f>
        <v>0</v>
      </c>
      <c r="H28" s="7" t="n">
        <f aca="false">IF('COS Others'!$B$3="Yes",-'COS Others'!F17,0)</f>
        <v>0</v>
      </c>
      <c r="I28" s="7" t="n">
        <f aca="false">IF('COS Others'!$B$3="Yes",-'COS Others'!G17,0)</f>
        <v>0</v>
      </c>
      <c r="J28" s="9" t="n">
        <v>0</v>
      </c>
      <c r="K28" s="9" t="n">
        <v>0</v>
      </c>
      <c r="L28" s="9" t="n">
        <v>0</v>
      </c>
      <c r="M28" s="9" t="n">
        <f aca="false">SUM(I28:L28)</f>
        <v>0</v>
      </c>
      <c r="N28" s="9" t="n">
        <f aca="false">SUM(D28:H28)+M28</f>
        <v>0</v>
      </c>
    </row>
    <row r="29" customFormat="false" ht="15" hidden="false" customHeight="false" outlineLevel="0" collapsed="false">
      <c r="B29" s="25" t="s">
        <v>771</v>
      </c>
      <c r="C29" s="65" t="s">
        <v>772</v>
      </c>
      <c r="D29" s="66" t="n">
        <f aca="false">-'COS Others'!B12</f>
        <v>-784000</v>
      </c>
      <c r="E29" s="66" t="n">
        <f aca="false">-'COS Others'!C12</f>
        <v>-45272146</v>
      </c>
      <c r="F29" s="66" t="n">
        <f aca="false">-'COS Others'!D12</f>
        <v>-124487598.95</v>
      </c>
      <c r="G29" s="66" t="n">
        <f aca="false">-'COS Others'!E12</f>
        <v>-192660424.99</v>
      </c>
      <c r="H29" s="66" t="n">
        <f aca="false">-'COS Others'!F12</f>
        <v>-119604477.5</v>
      </c>
      <c r="I29" s="66" t="n">
        <f aca="false">-'COS Others'!G12</f>
        <v>-100345850</v>
      </c>
      <c r="J29" s="67" t="n">
        <v>0</v>
      </c>
      <c r="K29" s="67" t="n">
        <v>0</v>
      </c>
      <c r="L29" s="67" t="n">
        <v>0</v>
      </c>
      <c r="M29" s="26" t="n">
        <f aca="false">SUM(I29:L29)</f>
        <v>-100345850</v>
      </c>
      <c r="N29" s="26" t="n">
        <f aca="false">SUM(D29:H29)+M29</f>
        <v>-583154497.44</v>
      </c>
    </row>
    <row r="30" customFormat="false" ht="15" hidden="false" customHeight="false" outlineLevel="0" collapsed="false">
      <c r="B30" s="18" t="s">
        <v>773</v>
      </c>
    </row>
    <row r="31" customFormat="false" ht="15" hidden="false" customHeight="false" outlineLevel="0" collapsed="false">
      <c r="B31" s="29" t="s">
        <v>774</v>
      </c>
      <c r="C31" s="68"/>
      <c r="D31" s="69" t="n">
        <f aca="false">D18+D27</f>
        <v>14884021.04</v>
      </c>
      <c r="E31" s="69" t="n">
        <f aca="false">E18+E27</f>
        <v>85509226.64</v>
      </c>
      <c r="F31" s="69" t="n">
        <f aca="false">F18+F27</f>
        <v>-159744100.37</v>
      </c>
      <c r="G31" s="69" t="n">
        <f aca="false">G18+G27</f>
        <v>16078669.71</v>
      </c>
      <c r="H31" s="69" t="n">
        <f aca="false">H18+H27</f>
        <v>-1516632.53000003</v>
      </c>
      <c r="I31" s="69" t="n">
        <f aca="false">I18+I27</f>
        <v>-74546221.9000001</v>
      </c>
      <c r="J31" s="69" t="n">
        <f aca="false">J18+J27</f>
        <v>11670553.7944241</v>
      </c>
      <c r="K31" s="69" t="n">
        <f aca="false">K18+K27</f>
        <v>-3023524.41660494</v>
      </c>
      <c r="L31" s="69" t="n">
        <f aca="false">L18+L27</f>
        <v>2436949.57751734</v>
      </c>
      <c r="M31" s="69" t="n">
        <f aca="false">M18+M27</f>
        <v>-63462242.9446635</v>
      </c>
      <c r="N31" s="69" t="n">
        <f aca="false">N18+N27</f>
        <v>-108251058.454663</v>
      </c>
    </row>
    <row r="32" customFormat="false" ht="15" hidden="false" customHeight="false" outlineLevel="0" collapsed="false">
      <c r="B32" s="29" t="s">
        <v>775</v>
      </c>
      <c r="C32" s="68"/>
      <c r="D32" s="69" t="n">
        <f aca="false">D19+D28</f>
        <v>0</v>
      </c>
      <c r="E32" s="69" t="n">
        <f aca="false">E19+E28</f>
        <v>8812490</v>
      </c>
      <c r="F32" s="69" t="n">
        <f aca="false">F19+F28</f>
        <v>3714135</v>
      </c>
      <c r="G32" s="69" t="n">
        <f aca="false">G19+G28</f>
        <v>114601839.9</v>
      </c>
      <c r="H32" s="69" t="n">
        <f aca="false">H19+H28</f>
        <v>484172483.34</v>
      </c>
      <c r="I32" s="69" t="n">
        <f aca="false">I19+I28</f>
        <v>481601828.93</v>
      </c>
      <c r="J32" s="69" t="n">
        <f aca="false">J19+J28</f>
        <v>-11670553.4045241</v>
      </c>
      <c r="K32" s="69" t="n">
        <f aca="false">K19+K28</f>
        <v>14954.5007735193</v>
      </c>
      <c r="L32" s="69" t="n">
        <f aca="false">L19+L28</f>
        <v>0</v>
      </c>
      <c r="M32" s="69" t="n">
        <f aca="false">M19+M28</f>
        <v>469946230.02625</v>
      </c>
      <c r="N32" s="69" t="n">
        <f aca="false">N19+N28</f>
        <v>1081247178.26625</v>
      </c>
    </row>
    <row r="33" customFormat="false" ht="15" hidden="false" customHeight="false" outlineLevel="0" collapsed="false">
      <c r="B33" s="29" t="s">
        <v>776</v>
      </c>
      <c r="C33" s="68"/>
      <c r="D33" s="69" t="n">
        <f aca="false">D20+D29-D27-D28</f>
        <v>-784000</v>
      </c>
      <c r="E33" s="69" t="n">
        <f aca="false">E20+E29-E27-E28</f>
        <v>-45272146</v>
      </c>
      <c r="F33" s="69" t="n">
        <f aca="false">F20+F29-F27-F28</f>
        <v>-124487598.95</v>
      </c>
      <c r="G33" s="69" t="n">
        <f aca="false">G20+G29-G27-G28</f>
        <v>-192660424.99</v>
      </c>
      <c r="H33" s="69" t="n">
        <f aca="false">H20+H29-H27-H28</f>
        <v>-119604477.5</v>
      </c>
      <c r="I33" s="69" t="n">
        <f aca="false">I20+I29-I27-I28</f>
        <v>-100345850</v>
      </c>
      <c r="J33" s="69" t="n">
        <f aca="false">J20+J29-J27-J28</f>
        <v>0</v>
      </c>
      <c r="K33" s="69" t="n">
        <f aca="false">K20+K29-K27-K28</f>
        <v>0</v>
      </c>
      <c r="L33" s="69" t="n">
        <f aca="false">L20+L29-L27-L28</f>
        <v>0</v>
      </c>
      <c r="M33" s="69" t="n">
        <f aca="false">M20+M29-M27-M28</f>
        <v>-100345850</v>
      </c>
      <c r="N33" s="69" t="n">
        <f aca="false">N20+N29-N27-N28</f>
        <v>-583154497.44</v>
      </c>
    </row>
    <row r="34" customFormat="false" ht="15" hidden="false" customHeight="false" outlineLevel="0" collapsed="false">
      <c r="B34" s="70" t="s">
        <v>777</v>
      </c>
      <c r="C34" s="71"/>
      <c r="D34" s="72" t="n">
        <f aca="false">D21+D29</f>
        <v>14100021.04</v>
      </c>
      <c r="E34" s="72" t="n">
        <f aca="false">E21+E29</f>
        <v>49049570.64</v>
      </c>
      <c r="F34" s="72" t="n">
        <f aca="false">F21+F29</f>
        <v>-280517564.32</v>
      </c>
      <c r="G34" s="72" t="n">
        <f aca="false">G21+G29</f>
        <v>-61979915.3800001</v>
      </c>
      <c r="H34" s="72" t="n">
        <f aca="false">H21+H29</f>
        <v>363051373.309999</v>
      </c>
      <c r="I34" s="72" t="n">
        <f aca="false">I21+I29</f>
        <v>306709757.030001</v>
      </c>
      <c r="J34" s="72" t="n">
        <f aca="false">J21+J29</f>
        <v>0.389899969100952</v>
      </c>
      <c r="K34" s="72" t="n">
        <f aca="false">K21+K29</f>
        <v>-3008569.91583142</v>
      </c>
      <c r="L34" s="72" t="n">
        <f aca="false">L21+L29</f>
        <v>2436949.57751734</v>
      </c>
      <c r="M34" s="72" t="n">
        <f aca="false">M21+M29</f>
        <v>306138137.081587</v>
      </c>
      <c r="N34" s="72" t="n">
        <f aca="false">N21+N29</f>
        <v>389841622.371588</v>
      </c>
    </row>
    <row r="35" customFormat="false" ht="15" hidden="false" customHeight="false" outlineLevel="0" collapsed="false">
      <c r="B35" s="11" t="s">
        <v>194</v>
      </c>
      <c r="C35" s="12"/>
      <c r="D35" s="57" t="n">
        <f aca="false">IF(D6=0,0,D31/D6)</f>
        <v>0.0783221540772033</v>
      </c>
      <c r="E35" s="57" t="n">
        <f aca="false">IF(E6=0,0,E31/E6)</f>
        <v>0.132358798833115</v>
      </c>
      <c r="F35" s="57" t="n">
        <f aca="false">IF(F6=0,0,F31/F6)</f>
        <v>-0.11392546762305</v>
      </c>
      <c r="G35" s="57" t="n">
        <f aca="false">IF(G6=0,0,G31/G6)</f>
        <v>0.0321374499700004</v>
      </c>
      <c r="H35" s="57" t="n">
        <f aca="false">IF(H6=0,0,H31/H6)</f>
        <v>-0.00615186485203403</v>
      </c>
      <c r="I35" s="57" t="n">
        <f aca="false">IF(I6=0,0,I31/I6)</f>
        <v>-0.0244860362507044</v>
      </c>
      <c r="M35" s="57" t="n">
        <f aca="false">IF(M6=0,0,M31/M6)</f>
        <v>-0.0235771258593756</v>
      </c>
      <c r="N35" s="57" t="n">
        <f aca="false">IF(N6=0,0,N31/N6)</f>
        <v>-0.0190690737786171</v>
      </c>
    </row>
    <row r="36" customFormat="false" ht="15" hidden="false" customHeight="false" outlineLevel="0" collapsed="false">
      <c r="B36" s="11" t="s">
        <v>196</v>
      </c>
      <c r="C36" s="12"/>
      <c r="D36" s="57" t="n">
        <f aca="false">IF(D7=0,0,D32/D7)</f>
        <v>0</v>
      </c>
      <c r="E36" s="57" t="n">
        <f aca="false">IF(E7=0,0,E32/E7)</f>
        <v>0.0587734975876328</v>
      </c>
      <c r="F36" s="57" t="n">
        <f aca="false">IF(F7=0,0,F32/F7)</f>
        <v>0.0839918277158208</v>
      </c>
      <c r="G36" s="57" t="n">
        <f aca="false">IF(G7=0,0,G32/G7)</f>
        <v>0.124245227672147</v>
      </c>
      <c r="H36" s="57" t="n">
        <f aca="false">IF(H7=0,0,H32/H7)</f>
        <v>0.168324343818021</v>
      </c>
      <c r="I36" s="57" t="n">
        <f aca="false">IF(I7=0,0,I32/I7)</f>
        <v>0.090572238622307</v>
      </c>
      <c r="M36" s="57" t="n">
        <f aca="false">IF(M7=0,0,M32/M7)</f>
        <v>0.0828818525583525</v>
      </c>
      <c r="N36" s="57" t="n">
        <f aca="false">IF(N7=0,0,N32/N7)</f>
        <v>0.111895090069601</v>
      </c>
    </row>
    <row r="37" customFormat="false" ht="15" hidden="false" customHeight="false" outlineLevel="0" collapsed="false">
      <c r="B37" s="6" t="s">
        <v>778</v>
      </c>
      <c r="C37" s="12"/>
      <c r="D37" s="21" t="n">
        <f aca="false">IF(D9=0,0,D33/D9)</f>
        <v>-0.00412553628025021</v>
      </c>
      <c r="E37" s="21" t="n">
        <f aca="false">IF(E9=0,0,E33/E9)</f>
        <v>-0.0568759142963441</v>
      </c>
      <c r="F37" s="21" t="n">
        <f aca="false">IF(F9=0,0,F33/F9)</f>
        <v>-0.086067142941744</v>
      </c>
      <c r="G37" s="21" t="n">
        <f aca="false">IF(G9=0,0,G33/G9)</f>
        <v>-0.135419470279809</v>
      </c>
      <c r="H37" s="21" t="n">
        <f aca="false">IF(H9=0,0,H33/H9)</f>
        <v>-0.0382984591800018</v>
      </c>
      <c r="I37" s="21" t="n">
        <f aca="false">IF(I9=0,0,I33/I9)</f>
        <v>-0.0120005643744248</v>
      </c>
      <c r="M37" s="21" t="n">
        <f aca="false">IF(M9=0,0,M33/M9)</f>
        <v>-0.0120005643744248</v>
      </c>
      <c r="N37" s="21" t="n">
        <f aca="false">IF(N9=0,0,N33/N9)</f>
        <v>-0.0380157070093589</v>
      </c>
    </row>
    <row r="38" customFormat="false" ht="15" hidden="false" customHeight="false" outlineLevel="0" collapsed="false">
      <c r="B38" s="11" t="s">
        <v>779</v>
      </c>
      <c r="C38" s="12"/>
      <c r="D38" s="57" t="n">
        <f aca="false">IF(D9=0,0,D34/D9)</f>
        <v>0.0741966177969531</v>
      </c>
      <c r="E38" s="57" t="n">
        <f aca="false">IF(E9=0,0,E34/E9)</f>
        <v>0.0616215360321801</v>
      </c>
      <c r="F38" s="57" t="n">
        <f aca="false">IF(F9=0,0,F34/F9)</f>
        <v>-0.193941770181433</v>
      </c>
      <c r="G38" s="57" t="n">
        <f aca="false">IF(G9=0,0,G34/G9)</f>
        <v>-0.0435651863073729</v>
      </c>
      <c r="H38" s="57" t="n">
        <f aca="false">IF(H9=0,0,H34/H9)</f>
        <v>0.116252405357957</v>
      </c>
      <c r="I38" s="57" t="n">
        <f aca="false">IF(I9=0,0,I34/I9)</f>
        <v>0.036680043903188</v>
      </c>
      <c r="M38" s="57" t="n">
        <f aca="false">IF(M9=0,0,M34/M9)</f>
        <v>0.0366116827104865</v>
      </c>
      <c r="N38" s="57" t="n">
        <f aca="false">IF(N9=0,0,N34/N9)</f>
        <v>0.0254136853290002</v>
      </c>
    </row>
    <row r="39" customFormat="false" ht="15" hidden="false" customHeight="false" outlineLevel="0" collapsed="false">
      <c r="B39" s="18" t="s">
        <v>780</v>
      </c>
    </row>
    <row r="40" customFormat="false" ht="15" hidden="false" customHeight="false" outlineLevel="0" collapsed="false">
      <c r="B40" s="6" t="s">
        <v>781</v>
      </c>
      <c r="C40" s="12" t="s">
        <v>782</v>
      </c>
      <c r="D40" s="7" t="n">
        <f aca="false">SUMIFS('Data SKU'!$F$5:$F$116,'Data SKU'!$A$5:$A$116,"RPA",'Data SKU'!$D$5:$D$116,3,'Data SKU'!$N$5:$N$116,"Invoiced")</f>
        <v>7865.7</v>
      </c>
      <c r="E40" s="7" t="n">
        <f aca="false">SUMIFS('Data SKU'!$F$5:$F$116,'Data SKU'!$A$5:$A$116,"RPA",'Data SKU'!$D$5:$D$116,4,'Data SKU'!$N$5:$N$116,"Invoiced")</f>
        <v>39093.41</v>
      </c>
      <c r="F40" s="7" t="n">
        <f aca="false">SUMIFS('Data SKU'!$F$5:$F$116,'Data SKU'!$A$5:$A$116,"RPA",'Data SKU'!$D$5:$D$116,5,'Data SKU'!$N$5:$N$116,"Invoiced")</f>
        <v>69041.25</v>
      </c>
      <c r="G40" s="7" t="n">
        <f aca="false">SUMIFS('Data SKU'!$F$5:$F$116,'Data SKU'!$A$5:$A$116,"RPA",'Data SKU'!$D$5:$D$116,6,'Data SKU'!$N$5:$N$116,"Invoiced")</f>
        <v>15561.3</v>
      </c>
      <c r="H40" s="7" t="n">
        <f aca="false">SUMIFS('Data SKU'!$F$5:$F$116,'Data SKU'!$A$5:$A$116,"RPA",'Data SKU'!$D$5:$D$116,7,'Data SKU'!$N$5:$N$116,"Invoiced")</f>
        <v>12576.01</v>
      </c>
      <c r="I40" s="7" t="n">
        <f aca="false">SUMIFS('Data SKU'!$F$5:$F$116,'Data SKU'!$A$5:$A$116,"RPA",'Data SKU'!$D$5:$D$116,8,'Data SKU'!$N$5:$N$116,"Invoiced")+Unbilled!G17</f>
        <v>106896.28</v>
      </c>
      <c r="J40" s="7" t="n">
        <f aca="false">-Unbilled!G17+Unbilled!C44+Unbilled!G44</f>
        <v>-11350.56</v>
      </c>
      <c r="K40" s="9" t="n">
        <v>0</v>
      </c>
      <c r="L40" s="9" t="n">
        <v>0</v>
      </c>
      <c r="M40" s="9" t="n">
        <f aca="false">SUM(I40:L40)</f>
        <v>95545.72</v>
      </c>
      <c r="N40" s="9" t="n">
        <f aca="false">SUM(D40:H40)+M40</f>
        <v>239683.39</v>
      </c>
    </row>
    <row r="41" customFormat="false" ht="15" hidden="false" customHeight="false" outlineLevel="0" collapsed="false">
      <c r="B41" s="6" t="s">
        <v>783</v>
      </c>
      <c r="C41" s="12" t="s">
        <v>784</v>
      </c>
      <c r="D41" s="7" t="n">
        <f aca="false">SUMIFS('Data SKU'!$F$5:$F$116,'Data SKU'!$A$5:$A$116,"Trading",'Data SKU'!$D$5:$D$116,3,'Data SKU'!$N$5:$N$116,"Invoiced")</f>
        <v>0</v>
      </c>
      <c r="E41" s="7" t="n">
        <f aca="false">SUMIFS('Data SKU'!$F$5:$F$116,'Data SKU'!$A$5:$A$116,"Trading",'Data SKU'!$D$5:$D$116,4,'Data SKU'!$N$5:$N$116,"Invoiced")</f>
        <v>3550.57</v>
      </c>
      <c r="F41" s="7" t="n">
        <f aca="false">SUMIFS('Data SKU'!$F$5:$F$116,'Data SKU'!$A$5:$A$116,"Trading",'Data SKU'!$D$5:$D$116,5,'Data SKU'!$N$5:$N$116,"Invoiced")</f>
        <v>1598.33</v>
      </c>
      <c r="G41" s="7" t="n">
        <f aca="false">SUMIFS('Data SKU'!$F$5:$F$116,'Data SKU'!$A$5:$A$116,"Trading",'Data SKU'!$D$5:$D$116,6,'Data SKU'!$N$5:$N$116,"Invoiced")</f>
        <v>27413.79</v>
      </c>
      <c r="H41" s="7" t="n">
        <f aca="false">SUMIFS('Data SKU'!$F$5:$F$116,'Data SKU'!$A$5:$A$116,"Trading",'Data SKU'!$D$5:$D$116,7,'Data SKU'!$N$5:$N$116,"Invoiced")</f>
        <v>86946.7</v>
      </c>
      <c r="I41" s="7" t="n">
        <f aca="false">SUMIFS('Data SKU'!$F$5:$F$116,'Data SKU'!$A$5:$A$116,"Trading",'Data SKU'!$D$5:$D$116,8,'Data SKU'!$N$5:$N$116,"Invoiced")</f>
        <v>157574.42</v>
      </c>
      <c r="J41" s="7" t="n">
        <f aca="false">Unbilled!C45+Unbilled!G45</f>
        <v>11350.56</v>
      </c>
      <c r="K41" s="9" t="n">
        <v>0</v>
      </c>
      <c r="L41" s="9" t="n">
        <v>0</v>
      </c>
      <c r="M41" s="9" t="n">
        <f aca="false">SUM(I41:L41)</f>
        <v>168924.98</v>
      </c>
      <c r="N41" s="9" t="n">
        <f aca="false">SUM(D41:H41)+M41</f>
        <v>288434.37</v>
      </c>
    </row>
    <row r="42" customFormat="false" ht="15" hidden="false" customHeight="false" outlineLevel="0" collapsed="false">
      <c r="B42" s="6" t="s">
        <v>785</v>
      </c>
      <c r="C42" s="12"/>
      <c r="D42" s="9" t="n">
        <v>0</v>
      </c>
      <c r="E42" s="9" t="n">
        <v>0</v>
      </c>
      <c r="F42" s="9" t="n">
        <v>0</v>
      </c>
      <c r="G42" s="9" t="n">
        <v>0</v>
      </c>
      <c r="H42" s="9" t="n">
        <v>0</v>
      </c>
      <c r="I42" s="9" t="n">
        <v>0</v>
      </c>
      <c r="J42" s="7" t="n">
        <f aca="false">Unbilled!C46+Unbilled!G46</f>
        <v>0</v>
      </c>
      <c r="K42" s="9" t="n">
        <v>0</v>
      </c>
      <c r="L42" s="9" t="n">
        <v>0</v>
      </c>
      <c r="M42" s="9" t="n">
        <f aca="false">SUM(I42:L42)</f>
        <v>0</v>
      </c>
      <c r="N42" s="9" t="n">
        <f aca="false">SUM(D42:H42)+M42</f>
        <v>0</v>
      </c>
    </row>
    <row r="43" customFormat="false" ht="15" hidden="false" customHeight="false" outlineLevel="0" collapsed="false">
      <c r="B43" s="25" t="s">
        <v>786</v>
      </c>
      <c r="C43" s="65"/>
      <c r="D43" s="26" t="n">
        <f aca="false">SUM(D40:D42)</f>
        <v>7865.7</v>
      </c>
      <c r="E43" s="26" t="n">
        <f aca="false">SUM(E40:E42)</f>
        <v>42643.98</v>
      </c>
      <c r="F43" s="26" t="n">
        <f aca="false">SUM(F40:F42)</f>
        <v>70639.58</v>
      </c>
      <c r="G43" s="26" t="n">
        <f aca="false">SUM(G40:G42)</f>
        <v>42975.09</v>
      </c>
      <c r="H43" s="26" t="n">
        <f aca="false">SUM(H40:H42)</f>
        <v>99522.71</v>
      </c>
      <c r="I43" s="26" t="n">
        <f aca="false">SUM(I40:I42)</f>
        <v>264470.7</v>
      </c>
      <c r="J43" s="26" t="n">
        <f aca="false">SUM(J40:J42)</f>
        <v>0</v>
      </c>
      <c r="K43" s="26" t="n">
        <f aca="false">SUM(K40:K42)</f>
        <v>0</v>
      </c>
      <c r="L43" s="26" t="n">
        <f aca="false">SUM(L40:L42)</f>
        <v>0</v>
      </c>
      <c r="M43" s="26" t="n">
        <f aca="false">SUM(M40:M42)</f>
        <v>264470.7</v>
      </c>
      <c r="N43" s="26" t="n">
        <f aca="false">SUM(N40:N42)</f>
        <v>528117.76</v>
      </c>
    </row>
    <row r="44" customFormat="false" ht="15" hidden="false" customHeight="false" outlineLevel="0" collapsed="false">
      <c r="B44" s="6" t="s">
        <v>787</v>
      </c>
      <c r="C44" s="12"/>
      <c r="D44" s="9" t="n">
        <f aca="false">IF(D40=0,0,D6/D40)</f>
        <v>24160.0747549487</v>
      </c>
      <c r="E44" s="9" t="n">
        <f aca="false">IF(E40=0,0,E6/E40)</f>
        <v>16525.5760497741</v>
      </c>
      <c r="F44" s="9" t="n">
        <f aca="false">IF(F40=0,0,F6/F40)</f>
        <v>20309.319052016</v>
      </c>
      <c r="G44" s="9" t="n">
        <f aca="false">IF(G40=0,0,G6/G40)</f>
        <v>32150.8770796784</v>
      </c>
      <c r="H44" s="9" t="n">
        <f aca="false">IF(H40=0,0,H6/H40)</f>
        <v>19603.3686359982</v>
      </c>
      <c r="I44" s="9" t="n">
        <f aca="false">IF(I40=0,0,I6/I40)</f>
        <v>28480.2998663751</v>
      </c>
      <c r="M44" s="9" t="n">
        <f aca="false">IF(M40=0,0,M6/M40)</f>
        <v>28171.7170618781</v>
      </c>
      <c r="N44" s="9" t="n">
        <f aca="false">IF(N40=0,0,N6/N40)</f>
        <v>23684.5214339359</v>
      </c>
    </row>
    <row r="45" customFormat="false" ht="15" hidden="false" customHeight="false" outlineLevel="0" collapsed="false">
      <c r="B45" s="6" t="s">
        <v>788</v>
      </c>
      <c r="C45" s="12"/>
      <c r="D45" s="9" t="n">
        <f aca="false">IF(D40=0,0,D13/D40)</f>
        <v>-22267.8056574749</v>
      </c>
      <c r="E45" s="9" t="n">
        <f aca="false">IF(E40=0,0,E13/E40)</f>
        <v>-14338.2706538007</v>
      </c>
      <c r="F45" s="9" t="n">
        <f aca="false">IF(F40=0,0,F13/F40)</f>
        <v>-22623.0677221226</v>
      </c>
      <c r="G45" s="9" t="n">
        <f aca="false">IF(G40=0,0,G13/G40)</f>
        <v>-31117.6298760386</v>
      </c>
      <c r="H45" s="9" t="n">
        <f aca="false">IF(H40=0,0,H13/H40)</f>
        <v>-19723.9659104915</v>
      </c>
      <c r="I45" s="9" t="n">
        <f aca="false">IF(I40=0,0,I13/I40)</f>
        <v>-29177.6695213341</v>
      </c>
      <c r="M45" s="9" t="n">
        <f aca="false">IF(M40=0,0,M13/M40)</f>
        <v>-28835.9251807207</v>
      </c>
      <c r="N45" s="9" t="n">
        <f aca="false">IF(N40=0,0,N13/N40)</f>
        <v>-24136.1633205709</v>
      </c>
    </row>
    <row r="46" customFormat="false" ht="15" hidden="false" customHeight="false" outlineLevel="0" collapsed="false">
      <c r="B46" s="6" t="s">
        <v>789</v>
      </c>
      <c r="C46" s="12"/>
      <c r="D46" s="9" t="n">
        <f aca="false">IF(D40=0,0,D18/D40)</f>
        <v>1892.26909747384</v>
      </c>
      <c r="E46" s="9" t="n">
        <f aca="false">IF(E40=0,0,E18/E40)</f>
        <v>2187.30539597339</v>
      </c>
      <c r="F46" s="9" t="n">
        <f aca="false">IF(F40=0,0,F18/F40)</f>
        <v>-2313.74867010664</v>
      </c>
      <c r="G46" s="9" t="n">
        <f aca="false">IF(G40=0,0,G18/G40)</f>
        <v>1033.2472036398</v>
      </c>
      <c r="H46" s="9" t="n">
        <f aca="false">IF(H40=0,0,H18/H40)</f>
        <v>-120.597274493264</v>
      </c>
      <c r="I46" s="9" t="n">
        <f aca="false">IF(I40=0,0,I18/I40)</f>
        <v>-697.369654958995</v>
      </c>
      <c r="M46" s="9" t="n">
        <f aca="false">IF(M40=0,0,M18/M40)</f>
        <v>-664.208118842618</v>
      </c>
      <c r="N46" s="9" t="n">
        <f aca="false">IF(N40=0,0,N18/N40)</f>
        <v>-451.641886634962</v>
      </c>
    </row>
    <row r="47" customFormat="false" ht="15" hidden="false" customHeight="false" outlineLevel="0" collapsed="false">
      <c r="B47" s="6" t="s">
        <v>790</v>
      </c>
      <c r="C47" s="12"/>
      <c r="D47" s="9" t="n">
        <f aca="false">IF(D40=0,0,D31/D40)</f>
        <v>1892.26909747384</v>
      </c>
      <c r="E47" s="9" t="n">
        <f aca="false">IF(E40=0,0,E31/E40)</f>
        <v>2187.30539597339</v>
      </c>
      <c r="F47" s="9" t="n">
        <f aca="false">IF(F40=0,0,F31/F40)</f>
        <v>-2313.74867010664</v>
      </c>
      <c r="G47" s="9" t="n">
        <f aca="false">IF(G40=0,0,G31/G40)</f>
        <v>1033.2472036398</v>
      </c>
      <c r="H47" s="9" t="n">
        <f aca="false">IF(H40=0,0,H31/H40)</f>
        <v>-120.597274493264</v>
      </c>
      <c r="I47" s="9" t="n">
        <f aca="false">IF(I40=0,0,I31/I40)</f>
        <v>-697.369654958995</v>
      </c>
      <c r="M47" s="9" t="n">
        <f aca="false">IF(M40=0,0,M31/M40)</f>
        <v>-664.208118842618</v>
      </c>
      <c r="N47" s="9" t="n">
        <f aca="false">IF(N40=0,0,N31/N40)</f>
        <v>-451.641886634962</v>
      </c>
    </row>
    <row r="48" customFormat="false" ht="15" hidden="false" customHeight="false" outlineLevel="0" collapsed="false">
      <c r="B48" s="6" t="s">
        <v>791</v>
      </c>
      <c r="C48" s="12"/>
      <c r="D48" s="9" t="n">
        <f aca="false">IF(D41=0,0,D7/D41)</f>
        <v>0</v>
      </c>
      <c r="E48" s="9" t="n">
        <f aca="false">IF(E41=0,0,E7/E41)</f>
        <v>42229.7997222981</v>
      </c>
      <c r="F48" s="9" t="n">
        <f aca="false">IF(F41=0,0,F7/F41)</f>
        <v>27666.4987831049</v>
      </c>
      <c r="G48" s="9" t="n">
        <f aca="false">IF(G41=0,0,G7/G41)</f>
        <v>33646.7245134657</v>
      </c>
      <c r="H48" s="9" t="n">
        <f aca="false">IF(H41=0,0,H7/H41)</f>
        <v>33082.6332477253</v>
      </c>
      <c r="I48" s="9" t="n">
        <f aca="false">IF(I41=0,0,I7/I41)</f>
        <v>33744.8349421182</v>
      </c>
      <c r="M48" s="9" t="n">
        <f aca="false">IF(M41=0,0,M7/M41)</f>
        <v>33565.6331744812</v>
      </c>
      <c r="N48" s="9" t="n">
        <f aca="false">IF(N41=0,0,N7/N41)</f>
        <v>33501.707843925</v>
      </c>
    </row>
    <row r="49" customFormat="false" ht="15" hidden="false" customHeight="false" outlineLevel="0" collapsed="false">
      <c r="B49" s="6" t="s">
        <v>792</v>
      </c>
      <c r="C49" s="12"/>
      <c r="D49" s="9" t="n">
        <f aca="false">IF(D41=0,0,D14/D41)</f>
        <v>0</v>
      </c>
      <c r="E49" s="9" t="n">
        <f aca="false">IF(E41=0,0,E14/E41)</f>
        <v>-39747.8066901934</v>
      </c>
      <c r="F49" s="9" t="n">
        <f aca="false">IF(F41=0,0,F14/F41)</f>
        <v>-25342.7389838144</v>
      </c>
      <c r="G49" s="9" t="n">
        <f aca="false">IF(G41=0,0,G14/G41)</f>
        <v>-29466.2795658681</v>
      </c>
      <c r="H49" s="9" t="n">
        <f aca="false">IF(H41=0,0,H14/H41)</f>
        <v>-27514.0207145297</v>
      </c>
      <c r="I49" s="9" t="n">
        <f aca="false">IF(I41=0,0,I14/I41)</f>
        <v>-30688.4896994703</v>
      </c>
      <c r="M49" s="9" t="n">
        <f aca="false">IF(M41=0,0,M14/M41)</f>
        <v>-30783.6513146861</v>
      </c>
      <c r="N49" s="9" t="n">
        <f aca="false">IF(N41=0,0,N14/N41)</f>
        <v>-29753.0312272436</v>
      </c>
    </row>
    <row r="50" customFormat="false" ht="15" hidden="false" customHeight="false" outlineLevel="0" collapsed="false">
      <c r="B50" s="6" t="s">
        <v>793</v>
      </c>
      <c r="C50" s="12"/>
      <c r="D50" s="9" t="n">
        <f aca="false">IF(D41=0,0,D19/D41)</f>
        <v>0</v>
      </c>
      <c r="E50" s="9" t="n">
        <f aca="false">IF(E41=0,0,E19/E41)</f>
        <v>2481.9930321047</v>
      </c>
      <c r="F50" s="9" t="n">
        <f aca="false">IF(F41=0,0,F19/F41)</f>
        <v>2323.75979929051</v>
      </c>
      <c r="G50" s="9" t="n">
        <f aca="false">IF(G41=0,0,G19/G41)</f>
        <v>4180.44494759754</v>
      </c>
      <c r="H50" s="9" t="n">
        <f aca="false">IF(H41=0,0,H19/H41)</f>
        <v>5568.61253319562</v>
      </c>
      <c r="I50" s="9" t="n">
        <f aca="false">IF(I41=0,0,I19/I41)</f>
        <v>3056.34524264789</v>
      </c>
      <c r="M50" s="9" t="n">
        <f aca="false">IF(M41=0,0,M19/M41)</f>
        <v>2781.9818597951</v>
      </c>
      <c r="N50" s="9" t="n">
        <f aca="false">IF(N41=0,0,N19/N41)</f>
        <v>3748.67661668146</v>
      </c>
    </row>
    <row r="51" customFormat="false" ht="15" hidden="false" customHeight="false" outlineLevel="0" collapsed="false">
      <c r="B51" s="6" t="s">
        <v>794</v>
      </c>
      <c r="C51" s="12"/>
      <c r="D51" s="9" t="n">
        <f aca="false">IF(D41=0,0,D32/D41)</f>
        <v>0</v>
      </c>
      <c r="E51" s="9" t="n">
        <f aca="false">IF(E41=0,0,E32/E41)</f>
        <v>2481.9930321047</v>
      </c>
      <c r="F51" s="9" t="n">
        <f aca="false">IF(F41=0,0,F32/F41)</f>
        <v>2323.75979929051</v>
      </c>
      <c r="G51" s="9" t="n">
        <f aca="false">IF(G41=0,0,G32/G41)</f>
        <v>4180.44494759754</v>
      </c>
      <c r="H51" s="9" t="n">
        <f aca="false">IF(H41=0,0,H32/H41)</f>
        <v>5568.61253319562</v>
      </c>
      <c r="I51" s="9" t="n">
        <f aca="false">IF(I41=0,0,I32/I41)</f>
        <v>3056.34524264789</v>
      </c>
      <c r="M51" s="9" t="n">
        <f aca="false">IF(M41=0,0,M32/M41)</f>
        <v>2781.9818597951</v>
      </c>
      <c r="N51" s="9" t="n">
        <f aca="false">IF(N41=0,0,N32/N41)</f>
        <v>3748.67661668146</v>
      </c>
    </row>
    <row r="53" customFormat="false" ht="15" hidden="false" customHeight="false" outlineLevel="0" collapsed="false">
      <c r="B53" s="18" t="s">
        <v>795</v>
      </c>
    </row>
    <row r="54" customFormat="false" ht="15" hidden="false" customHeight="false" outlineLevel="0" collapsed="false">
      <c r="B54" s="6" t="s">
        <v>796</v>
      </c>
      <c r="C54" s="12" t="s">
        <v>797</v>
      </c>
      <c r="D54" s="8" t="n">
        <v>14100021.04</v>
      </c>
      <c r="E54" s="8" t="n">
        <v>49049570.64</v>
      </c>
      <c r="F54" s="8" t="n">
        <v>-280517564.32</v>
      </c>
      <c r="G54" s="8" t="n">
        <v>-61979915.38</v>
      </c>
      <c r="H54" s="8" t="n">
        <v>363051373.23</v>
      </c>
      <c r="I54" s="8" t="n">
        <v>306709757.030003</v>
      </c>
    </row>
    <row r="55" customFormat="false" ht="15" hidden="false" customHeight="false" outlineLevel="0" collapsed="false">
      <c r="B55" s="11" t="s">
        <v>798</v>
      </c>
      <c r="C55" s="12"/>
      <c r="D55" s="16" t="n">
        <f aca="false">ROUND(D34-D54,0)</f>
        <v>0</v>
      </c>
      <c r="E55" s="16" t="n">
        <f aca="false">ROUND(E34-E54,0)</f>
        <v>0</v>
      </c>
      <c r="F55" s="16" t="n">
        <f aca="false">ROUND(F34-F54,0)</f>
        <v>0</v>
      </c>
      <c r="G55" s="16" t="n">
        <f aca="false">ROUND(G34-G54,0)</f>
        <v>0</v>
      </c>
      <c r="H55" s="16" t="n">
        <f aca="false">ROUND(H34-H54,0)</f>
        <v>0</v>
      </c>
      <c r="I55" s="16" t="n">
        <f aca="false">ROUND(I34-I54,0)</f>
        <v>-0</v>
      </c>
    </row>
    <row r="56" customFormat="false" ht="15" hidden="false" customHeight="false" outlineLevel="0" collapsed="false">
      <c r="B56" s="6" t="s">
        <v>799</v>
      </c>
      <c r="C56" s="12"/>
      <c r="J56" s="6" t="str">
        <f aca="false">ROUND(J9,0)&amp;" / "&amp;ROUND(J16,0)</f>
        <v>0 / 0</v>
      </c>
    </row>
    <row r="57" customFormat="false" ht="15" hidden="false" customHeight="false" outlineLevel="0" collapsed="false">
      <c r="B57" s="6" t="s">
        <v>800</v>
      </c>
      <c r="C57" s="12"/>
      <c r="D57" s="9" t="n">
        <f aca="false">ROUND(D31+D32+D33-D34,0)</f>
        <v>0</v>
      </c>
      <c r="E57" s="9" t="n">
        <f aca="false">ROUND(E31+E32+E33-E34,0)</f>
        <v>0</v>
      </c>
      <c r="F57" s="9" t="n">
        <f aca="false">ROUND(F31+F32+F33-F34,0)</f>
        <v>0</v>
      </c>
      <c r="G57" s="9" t="n">
        <f aca="false">ROUND(G31+G32+G33-G34,0)</f>
        <v>0</v>
      </c>
      <c r="H57" s="9" t="n">
        <f aca="false">ROUND(H31+H32+H33-H34,0)</f>
        <v>0</v>
      </c>
      <c r="I57" s="9" t="n">
        <f aca="false">ROUND(I31+I32+I33-I34,0)</f>
        <v>0</v>
      </c>
      <c r="J57" s="9" t="n">
        <f aca="false">ROUND(J31+J32+J33-J34,0)</f>
        <v>0</v>
      </c>
      <c r="K57" s="9" t="n">
        <f aca="false">ROUND(K31+K32+K33-K34,0)</f>
        <v>0</v>
      </c>
      <c r="L57" s="9" t="n">
        <f aca="false">ROUND(L31+L32+L33-L34,0)</f>
        <v>0</v>
      </c>
      <c r="M57" s="9" t="n">
        <f aca="false">ROUND(M31+M32+M33-M34,0)</f>
        <v>0</v>
      </c>
      <c r="N57" s="9" t="n">
        <f aca="false">ROUND(N31+N32+N33-N34,0)</f>
        <v>-0</v>
      </c>
    </row>
    <row r="59" customFormat="false" ht="15" hidden="false" customHeight="false" outlineLevel="0" collapsed="false">
      <c r="B59" s="28" t="s">
        <v>801</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10" min="3" style="0" width="15"/>
    <col collapsed="false" customWidth="true" hidden="false" outlineLevel="0" max="11" min="11" style="0" width="12"/>
    <col collapsed="false" customWidth="true" hidden="false" outlineLevel="0" max="12" min="12" style="0" width="4"/>
    <col collapsed="false" customWidth="true" hidden="false" outlineLevel="0" max="13" min="13" style="0" width="14"/>
  </cols>
  <sheetData>
    <row r="1" customFormat="false" ht="15" hidden="false" customHeight="false" outlineLevel="0" collapsed="false">
      <c r="A1" s="1" t="s">
        <v>802</v>
      </c>
    </row>
    <row r="2" customFormat="false" ht="15" hidden="false" customHeight="false" outlineLevel="0" collapsed="false">
      <c r="A2" s="4" t="s">
        <v>803</v>
      </c>
    </row>
    <row r="4" customFormat="false" ht="15" hidden="false" customHeight="false" outlineLevel="0" collapsed="false">
      <c r="B4" s="18" t="s">
        <v>804</v>
      </c>
    </row>
    <row r="5" customFormat="false" ht="39.75" hidden="false" customHeight="true" outlineLevel="0" collapsed="false">
      <c r="B5" s="5"/>
      <c r="C5" s="5" t="s">
        <v>184</v>
      </c>
      <c r="D5" s="5" t="s">
        <v>805</v>
      </c>
      <c r="E5" s="5" t="s">
        <v>806</v>
      </c>
      <c r="F5" s="5" t="s">
        <v>807</v>
      </c>
      <c r="G5" s="5" t="s">
        <v>808</v>
      </c>
      <c r="H5" s="5" t="s">
        <v>809</v>
      </c>
      <c r="I5" s="5" t="s">
        <v>810</v>
      </c>
      <c r="J5" s="5" t="s">
        <v>811</v>
      </c>
    </row>
    <row r="6" customFormat="false" ht="15" hidden="false" customHeight="false" outlineLevel="0" collapsed="false">
      <c r="B6" s="6" t="s">
        <v>812</v>
      </c>
      <c r="C6" s="7" t="n">
        <f aca="false">'Segment GP'!H6</f>
        <v>246532160</v>
      </c>
      <c r="D6" s="7" t="n">
        <f aca="false">Vintage!I6</f>
        <v>541663321.142672</v>
      </c>
      <c r="E6" s="7" t="n">
        <f aca="false">Vintage!I7</f>
        <v>81468139.6018553</v>
      </c>
      <c r="F6" s="7" t="n">
        <f aca="false">Vintage!I8</f>
        <v>1750432695.5689</v>
      </c>
      <c r="G6" s="9" t="n">
        <f aca="false">H6-SUM(D6:F6)</f>
        <v>318122834</v>
      </c>
      <c r="H6" s="7" t="n">
        <f aca="false">'Segment GP'!M6</f>
        <v>2691686990.31342</v>
      </c>
      <c r="I6" s="9" t="n">
        <f aca="false">H6-C6</f>
        <v>2445154830.31342</v>
      </c>
      <c r="J6" s="21" t="n">
        <f aca="false">IF(C6=0,0,I6/ABS(C6))</f>
        <v>9.91819821930504</v>
      </c>
    </row>
    <row r="7" customFormat="false" ht="15" hidden="false" customHeight="false" outlineLevel="0" collapsed="false">
      <c r="B7" s="6" t="s">
        <v>813</v>
      </c>
      <c r="C7" s="7" t="n">
        <f aca="false">'Segment GP'!H13</f>
        <v>-248048792.53</v>
      </c>
      <c r="D7" s="7" t="n">
        <f aca="false">-Vintage!J6</f>
        <v>-504666414.51934</v>
      </c>
      <c r="E7" s="7" t="n">
        <f aca="false">-Vintage!J7</f>
        <v>-71048494.8798225</v>
      </c>
      <c r="F7" s="7" t="n">
        <f aca="false">-Vintage!J8-Vintage!J9</f>
        <v>-1866573064.18159</v>
      </c>
      <c r="G7" s="9" t="n">
        <f aca="false">H7-SUM(D7:F7)</f>
        <v>-312861259.677333</v>
      </c>
      <c r="H7" s="7" t="n">
        <f aca="false">'Segment GP'!M13</f>
        <v>-2755149233.25809</v>
      </c>
      <c r="I7" s="9" t="n">
        <f aca="false">H7-C7</f>
        <v>-2507100440.72809</v>
      </c>
      <c r="J7" s="21" t="n">
        <f aca="false">IF(C7=0,0,I7/ABS(C7))</f>
        <v>-10.1072874217877</v>
      </c>
    </row>
    <row r="8" customFormat="false" ht="15" hidden="false" customHeight="false" outlineLevel="0" collapsed="false">
      <c r="B8" s="6" t="s">
        <v>814</v>
      </c>
      <c r="C8" s="9" t="n">
        <f aca="false">C6+C7</f>
        <v>-1516632.53000003</v>
      </c>
      <c r="D8" s="9" t="n">
        <f aca="false">D6+D7</f>
        <v>36996906.623332</v>
      </c>
      <c r="E8" s="9" t="n">
        <f aca="false">E6+E7</f>
        <v>10419644.7220328</v>
      </c>
      <c r="F8" s="9" t="n">
        <f aca="false">F6+F7</f>
        <v>-116140368.612696</v>
      </c>
      <c r="G8" s="9" t="n">
        <f aca="false">G6+G7</f>
        <v>5261574.32266712</v>
      </c>
      <c r="H8" s="9" t="n">
        <f aca="false">H6+H7</f>
        <v>-63462242.9446635</v>
      </c>
      <c r="I8" s="9" t="n">
        <f aca="false">H8-C8</f>
        <v>-61945610.4146635</v>
      </c>
      <c r="J8" s="21" t="n">
        <f aca="false">IF(C8=0,0,I8/ABS(C8))</f>
        <v>-40.8441789222748</v>
      </c>
    </row>
    <row r="9" customFormat="false" ht="15" hidden="false" customHeight="false" outlineLevel="0" collapsed="false">
      <c r="B9" s="6" t="s">
        <v>815</v>
      </c>
      <c r="C9" s="7" t="n">
        <f aca="false">'Segment GP'!H27</f>
        <v>0</v>
      </c>
      <c r="D9" s="9"/>
      <c r="E9" s="9"/>
      <c r="F9" s="9"/>
      <c r="G9" s="9" t="n">
        <f aca="false">H9</f>
        <v>0</v>
      </c>
      <c r="H9" s="7" t="n">
        <f aca="false">'Segment GP'!M27</f>
        <v>0</v>
      </c>
      <c r="I9" s="9" t="n">
        <f aca="false">H9-C9</f>
        <v>0</v>
      </c>
      <c r="J9" s="21" t="n">
        <f aca="false">IF(C9=0,0,I9/ABS(C9))</f>
        <v>0</v>
      </c>
    </row>
    <row r="10" customFormat="false" ht="15" hidden="false" customHeight="false" outlineLevel="0" collapsed="false">
      <c r="B10" s="29" t="s">
        <v>816</v>
      </c>
      <c r="C10" s="69" t="n">
        <f aca="false">C8+N(C9)</f>
        <v>-1516632.53000003</v>
      </c>
      <c r="D10" s="69" t="n">
        <f aca="false">D8+N(D9)</f>
        <v>36996906.623332</v>
      </c>
      <c r="E10" s="69" t="n">
        <f aca="false">E8+N(E9)</f>
        <v>10419644.7220328</v>
      </c>
      <c r="F10" s="69" t="n">
        <f aca="false">F8+N(F9)</f>
        <v>-116140368.612696</v>
      </c>
      <c r="G10" s="69" t="n">
        <f aca="false">G8+N(G9)</f>
        <v>5261574.32266712</v>
      </c>
      <c r="H10" s="69" t="n">
        <f aca="false">H8+N(H9)</f>
        <v>-63462242.9446635</v>
      </c>
      <c r="I10" s="9" t="n">
        <f aca="false">H10-C10</f>
        <v>-61945610.4146635</v>
      </c>
      <c r="J10" s="21" t="n">
        <f aca="false">IF(C10=0,0,I10/ABS(C10))</f>
        <v>-40.8441789222748</v>
      </c>
    </row>
    <row r="11" customFormat="false" ht="15" hidden="false" customHeight="false" outlineLevel="0" collapsed="false">
      <c r="B11" s="11" t="s">
        <v>817</v>
      </c>
      <c r="C11" s="57" t="n">
        <f aca="false">IF(C6=0,0,C10/C6)</f>
        <v>-0.00615186485203403</v>
      </c>
      <c r="D11" s="57" t="n">
        <f aca="false">IF(D6=0,0,D10/D6)</f>
        <v>0.0683024033181438</v>
      </c>
      <c r="E11" s="57" t="n">
        <f aca="false">IF(E6=0,0,E10/E6)</f>
        <v>0.127898400196136</v>
      </c>
      <c r="F11" s="57" t="n">
        <f aca="false">IF(F6=0,0,F10/F6)</f>
        <v>-0.0663495196968711</v>
      </c>
      <c r="G11" s="57"/>
      <c r="H11" s="57" t="n">
        <f aca="false">IF(H6=0,0,H10/H6)</f>
        <v>-0.0235771258593756</v>
      </c>
      <c r="I11" s="57" t="n">
        <f aca="false">H11-C11</f>
        <v>-0.0174252610073416</v>
      </c>
    </row>
    <row r="12" customFormat="false" ht="15" hidden="false" customHeight="false" outlineLevel="0" collapsed="false">
      <c r="B12" s="28" t="s">
        <v>818</v>
      </c>
    </row>
    <row r="14" customFormat="false" ht="15" hidden="false" customHeight="false" outlineLevel="0" collapsed="false">
      <c r="B14" s="18" t="s">
        <v>819</v>
      </c>
    </row>
    <row r="15" customFormat="false" ht="39.75" hidden="false" customHeight="true" outlineLevel="0" collapsed="false">
      <c r="B15" s="5" t="s">
        <v>373</v>
      </c>
      <c r="C15" s="5" t="s">
        <v>820</v>
      </c>
      <c r="D15" s="5" t="s">
        <v>821</v>
      </c>
      <c r="E15" s="5" t="s">
        <v>822</v>
      </c>
      <c r="F15" s="5" t="s">
        <v>823</v>
      </c>
      <c r="G15" s="5" t="s">
        <v>330</v>
      </c>
    </row>
    <row r="16" customFormat="false" ht="15" hidden="false" customHeight="false" outlineLevel="0" collapsed="false">
      <c r="B16" s="11" t="s">
        <v>331</v>
      </c>
      <c r="C16" s="36" t="n">
        <f aca="false">C11</f>
        <v>-0.00615186485203403</v>
      </c>
      <c r="D16" s="36" t="n">
        <f aca="false">C11</f>
        <v>-0.00615186485203403</v>
      </c>
      <c r="G16" s="6" t="s">
        <v>824</v>
      </c>
    </row>
    <row r="17" customFormat="false" ht="15" hidden="false" customHeight="false" outlineLevel="0" collapsed="false">
      <c r="B17" s="6" t="s">
        <v>805</v>
      </c>
      <c r="C17" s="32" t="n">
        <f aca="false">E17*(F17-$C$16)</f>
        <v>0.0149828513922452</v>
      </c>
      <c r="D17" s="32" t="n">
        <f aca="false">IF(Vintage!Q6=0,0,Vintage!Q6/$H$6*((Vintage!Q6-Vintage!R6)/Vintage!Q6-$C$16))</f>
        <v>0.0150769380846776</v>
      </c>
      <c r="E17" s="21" t="n">
        <f aca="false">D6/$H$6</f>
        <v>0.201235627727873</v>
      </c>
      <c r="F17" s="21" t="n">
        <f aca="false">D11</f>
        <v>0.0683024033181438</v>
      </c>
      <c r="G17" s="6" t="s">
        <v>825</v>
      </c>
    </row>
    <row r="18" customFormat="false" ht="15" hidden="false" customHeight="false" outlineLevel="0" collapsed="false">
      <c r="B18" s="6" t="s">
        <v>806</v>
      </c>
      <c r="C18" s="32" t="n">
        <f aca="false">E18*(F18-$C$16)</f>
        <v>0.00405724207380383</v>
      </c>
      <c r="D18" s="32" t="n">
        <f aca="false">IF(Vintage!Q7=0,0,Vintage!Q7/$H$6*((Vintage!Q7-Vintage!R7)/Vintage!Q7-$C$16))</f>
        <v>0.00372353986309379</v>
      </c>
      <c r="E18" s="21" t="n">
        <f aca="false">E6/$H$6</f>
        <v>0.0302665725602697</v>
      </c>
      <c r="F18" s="21" t="n">
        <f aca="false">E11</f>
        <v>0.127898400196136</v>
      </c>
      <c r="G18" s="6" t="s">
        <v>825</v>
      </c>
    </row>
    <row r="19" customFormat="false" ht="15" hidden="false" customHeight="false" outlineLevel="0" collapsed="false">
      <c r="B19" s="6" t="s">
        <v>807</v>
      </c>
      <c r="C19" s="32" t="n">
        <f aca="false">E19*(F19-$C$16)</f>
        <v>-0.0391471755877174</v>
      </c>
      <c r="D19" s="32" t="n">
        <f aca="false">IF(Vintage!Q8=0,0,Vintage!Q8/$H$6*((Vintage!Q8-(Vintage!R8+Vintage!R9))/Vintage!Q8-$C$16))</f>
        <v>-0.0389075600694398</v>
      </c>
      <c r="E19" s="21" t="n">
        <f aca="false">F6/$H$6</f>
        <v>0.650310642310261</v>
      </c>
      <c r="F19" s="21" t="n">
        <f aca="false">F11</f>
        <v>-0.0663495196968711</v>
      </c>
      <c r="G19" s="6" t="s">
        <v>825</v>
      </c>
    </row>
    <row r="20" customFormat="false" ht="15" hidden="false" customHeight="false" outlineLevel="0" collapsed="false">
      <c r="B20" s="6" t="s">
        <v>19</v>
      </c>
      <c r="C20" s="32" t="n">
        <f aca="false">H9/H6</f>
        <v>0</v>
      </c>
      <c r="D20" s="32" t="n">
        <f aca="false">H9/H6</f>
        <v>0</v>
      </c>
      <c r="G20" s="6" t="s">
        <v>826</v>
      </c>
    </row>
    <row r="21" customFormat="false" ht="15" hidden="false" customHeight="false" outlineLevel="0" collapsed="false">
      <c r="B21" s="6" t="s">
        <v>827</v>
      </c>
      <c r="C21" s="32" t="n">
        <f aca="false">(G6+G7)/H6-G6/H6*C11</f>
        <v>0.00268182111432676</v>
      </c>
      <c r="D21" s="32" t="n">
        <f aca="false">(G6+G7)/H6-G6/H6*C11</f>
        <v>0.00268182111432676</v>
      </c>
      <c r="G21" s="6" t="s">
        <v>828</v>
      </c>
    </row>
    <row r="22" customFormat="false" ht="15" hidden="false" customHeight="false" outlineLevel="0" collapsed="false">
      <c r="B22" s="29" t="s">
        <v>340</v>
      </c>
      <c r="C22" s="33" t="n">
        <f aca="false">SUM(C16:C21)</f>
        <v>-0.0235771258593757</v>
      </c>
      <c r="D22" s="33" t="n">
        <f aca="false">SUM(D16:D21)</f>
        <v>-0.0235771258593758</v>
      </c>
    </row>
    <row r="23" customFormat="false" ht="15" hidden="false" customHeight="false" outlineLevel="0" collapsed="false">
      <c r="B23" s="6" t="s">
        <v>829</v>
      </c>
      <c r="C23" s="32" t="n">
        <f aca="false">ROUND(C22-'Segment GP'!M35,8)</f>
        <v>-0</v>
      </c>
      <c r="D23" s="32" t="n">
        <f aca="false">ROUND(D22-'Segment GP'!M35,8)</f>
        <v>-0</v>
      </c>
    </row>
    <row r="25" customFormat="false" ht="15" hidden="false" customHeight="false" outlineLevel="0" collapsed="false">
      <c r="B25" s="18" t="s">
        <v>830</v>
      </c>
    </row>
    <row r="26" customFormat="false" ht="39.75" hidden="false" customHeight="true" outlineLevel="0" collapsed="false">
      <c r="B26" s="5" t="s">
        <v>831</v>
      </c>
      <c r="C26" s="5" t="s">
        <v>805</v>
      </c>
      <c r="D26" s="5" t="s">
        <v>806</v>
      </c>
      <c r="E26" s="5" t="s">
        <v>807</v>
      </c>
      <c r="F26" s="5" t="s">
        <v>832</v>
      </c>
      <c r="G26" s="5" t="s">
        <v>833</v>
      </c>
      <c r="H26" s="5" t="s">
        <v>834</v>
      </c>
    </row>
    <row r="27" customFormat="false" ht="15" hidden="false" customHeight="false" outlineLevel="0" collapsed="false">
      <c r="B27" s="6" t="s">
        <v>835</v>
      </c>
      <c r="C27" s="35" t="n">
        <f aca="false">(SUMIFS(Vintage!$AN$36:$AN$127,Vintage!$C$36:$C$127,"RPA",Vintage!$BB$36:$BB$127,"Boneless &amp; parting (from earlier boneless runs)")-SUMIFS(Vintage!$AI$36:$AI$127,Vintage!$C$36:$C$127,"RPA",Vintage!$BB$36:$BB$127,"Boneless &amp; parting (from earlier boneless runs)")-$C$11*SUMIFS(Vintage!$AN$36:$AN$127,Vintage!$C$36:$C$127,"RPA",Vintage!$BB$36:$BB$127,"Boneless &amp; parting (from earlier boneless runs)"))/$H$6</f>
        <v>0.00602208195606694</v>
      </c>
      <c r="D27" s="35" t="n">
        <f aca="false">(SUMIFS(Vintage!$AO$36:$AO$127,Vintage!$C$36:$C$127,"RPA",Vintage!$BB$36:$BB$127,"Boneless &amp; parting (from earlier boneless runs)")-SUMIFS(Vintage!$AJ$36:$AJ$127,Vintage!$C$36:$C$127,"RPA",Vintage!$BB$36:$BB$127,"Boneless &amp; parting (from earlier boneless runs)")-$C$11*SUMIFS(Vintage!$AO$36:$AO$127,Vintage!$C$36:$C$127,"RPA",Vintage!$BB$36:$BB$127,"Boneless &amp; parting (from earlier boneless runs)"))/$H$6</f>
        <v>0.00388423743620565</v>
      </c>
      <c r="E27" s="35" t="n">
        <f aca="false">(SUMIFS(Vintage!$AP$36:$AP$127,Vintage!$C$36:$C$127,"RPA",Vintage!$BB$36:$BB$127,"Boneless &amp; parting (from earlier boneless runs)")-SUMIFS(Vintage!$AK$36:$AK$127,Vintage!$C$36:$C$127,"RPA",Vintage!$BB$36:$BB$127,"Boneless &amp; parting (from earlier boneless runs)")-$C$11*SUMIFS(Vintage!$AP$36:$AP$127,Vintage!$C$36:$C$127,"RPA",Vintage!$BB$36:$BB$127,"Boneless &amp; parting (from earlier boneless runs)"))/$H$6</f>
        <v>0</v>
      </c>
      <c r="F27" s="32" t="n">
        <f aca="false">SUM(C27:E27)</f>
        <v>0.00990631939227259</v>
      </c>
      <c r="G27" s="7" t="n">
        <f aca="false">SUMIFS(Vintage!$AP$36:$AP$127,Vintage!$C$36:$C$127,"RPA",Vintage!$BB$36:$BB$127,"Boneless &amp; parting (from earlier boneless runs)")</f>
        <v>0</v>
      </c>
      <c r="H27" s="22" t="n">
        <f aca="false">IFERROR((G27-SUMIFS(Vintage!$AK$36:$AK$127,Vintage!$C$36:$C$127,"RPA",Vintage!$BB$36:$BB$127,"Boneless &amp; parting (from earlier boneless runs)"))/G27,0)</f>
        <v>0</v>
      </c>
    </row>
    <row r="28" customFormat="false" ht="15" hidden="false" customHeight="false" outlineLevel="0" collapsed="false">
      <c r="B28" s="6" t="s">
        <v>836</v>
      </c>
      <c r="C28" s="35" t="n">
        <f aca="false">(SUMIFS(Vintage!$AN$36:$AN$127,Vintage!$C$36:$C$127,"RPA",Vintage!$BB$36:$BB$127,"By-product (kepala, ceker, usus, HJA, lemak)")-SUMIFS(Vintage!$AI$36:$AI$127,Vintage!$C$36:$C$127,"RPA",Vintage!$BB$36:$BB$127,"By-product (kepala, ceker, usus, HJA, lemak)")-$C$11*SUMIFS(Vintage!$AN$36:$AN$127,Vintage!$C$36:$C$127,"RPA",Vintage!$BB$36:$BB$127,"By-product (kepala, ceker, usus, HJA, lemak)"))/$H$6</f>
        <v>-0.00451684396948996</v>
      </c>
      <c r="D28" s="35" t="n">
        <f aca="false">(SUMIFS(Vintage!$AO$36:$AO$127,Vintage!$C$36:$C$127,"RPA",Vintage!$BB$36:$BB$127,"By-product (kepala, ceker, usus, HJA, lemak)")-SUMIFS(Vintage!$AJ$36:$AJ$127,Vintage!$C$36:$C$127,"RPA",Vintage!$BB$36:$BB$127,"By-product (kepala, ceker, usus, HJA, lemak)")-$C$11*SUMIFS(Vintage!$AO$36:$AO$127,Vintage!$C$36:$C$127,"RPA",Vintage!$BB$36:$BB$127,"By-product (kepala, ceker, usus, HJA, lemak)"))/$H$6</f>
        <v>0.000312255369715246</v>
      </c>
      <c r="E28" s="35" t="n">
        <f aca="false">(SUMIFS(Vintage!$AP$36:$AP$127,Vintage!$C$36:$C$127,"RPA",Vintage!$BB$36:$BB$127,"By-product (kepala, ceker, usus, HJA, lemak)")-SUMIFS(Vintage!$AK$36:$AK$127,Vintage!$C$36:$C$127,"RPA",Vintage!$BB$36:$BB$127,"By-product (kepala, ceker, usus, HJA, lemak)")-$C$11*SUMIFS(Vintage!$AP$36:$AP$127,Vintage!$C$36:$C$127,"RPA",Vintage!$BB$36:$BB$127,"By-product (kepala, ceker, usus, HJA, lemak)"))/$H$6</f>
        <v>-0.026701966223897</v>
      </c>
      <c r="F28" s="32" t="n">
        <f aca="false">SUM(C28:E28)</f>
        <v>-0.0309065548236717</v>
      </c>
      <c r="G28" s="7" t="n">
        <f aca="false">SUMIFS(Vintage!$AP$36:$AP$127,Vintage!$C$36:$C$127,"RPA",Vintage!$BB$36:$BB$127,"By-product (kepala, ceker, usus, HJA, lemak)")</f>
        <v>34378441.2071355</v>
      </c>
      <c r="H28" s="22" t="n">
        <f aca="false">IFERROR((G28-SUMIFS(Vintage!$AK$36:$AK$127,Vintage!$C$36:$C$127,"RPA",Vintage!$BB$36:$BB$127,"By-product (kepala, ceker, usus, HJA, lemak)"))/G28,0)</f>
        <v>-2.09680323172478</v>
      </c>
    </row>
    <row r="29" customFormat="false" ht="15" hidden="false" customHeight="false" outlineLevel="0" collapsed="false">
      <c r="B29" s="6" t="s">
        <v>837</v>
      </c>
      <c r="C29" s="35" t="n">
        <f aca="false">(SUMIFS(Vintage!$AN$36:$AN$127,Vintage!$C$36:$C$127,"RPA",Vintage!$BB$36:$BB$127,"Karkas fresh")-SUMIFS(Vintage!$AI$36:$AI$127,Vintage!$C$36:$C$127,"RPA",Vintage!$BB$36:$BB$127,"Karkas fresh")-$C$11*SUMIFS(Vintage!$AN$36:$AN$127,Vintage!$C$36:$C$127,"RPA",Vintage!$BB$36:$BB$127,"Karkas fresh"))/$H$6</f>
        <v>3.6500732525878E-005</v>
      </c>
      <c r="D29" s="35" t="n">
        <f aca="false">(SUMIFS(Vintage!$AO$36:$AO$127,Vintage!$C$36:$C$127,"RPA",Vintage!$BB$36:$BB$127,"Karkas fresh")-SUMIFS(Vintage!$AJ$36:$AJ$127,Vintage!$C$36:$C$127,"RPA",Vintage!$BB$36:$BB$127,"Karkas fresh")-$C$11*SUMIFS(Vintage!$AO$36:$AO$127,Vintage!$C$36:$C$127,"RPA",Vintage!$BB$36:$BB$127,"Karkas fresh"))/$H$6</f>
        <v>0</v>
      </c>
      <c r="E29" s="35" t="n">
        <f aca="false">(SUMIFS(Vintage!$AP$36:$AP$127,Vintage!$C$36:$C$127,"RPA",Vintage!$BB$36:$BB$127,"Karkas fresh")-SUMIFS(Vintage!$AK$36:$AK$127,Vintage!$C$36:$C$127,"RPA",Vintage!$BB$36:$BB$127,"Karkas fresh")-$C$11*SUMIFS(Vintage!$AP$36:$AP$127,Vintage!$C$36:$C$127,"RPA",Vintage!$BB$36:$BB$127,"Karkas fresh"))/$H$6</f>
        <v>-0.00686268952094388</v>
      </c>
      <c r="F29" s="32" t="n">
        <f aca="false">SUM(C29:E29)</f>
        <v>-0.006826188788418</v>
      </c>
      <c r="G29" s="7" t="n">
        <f aca="false">SUMIFS(Vintage!$AP$36:$AP$127,Vintage!$C$36:$C$127,"RPA",Vintage!$BB$36:$BB$127,"Karkas fresh")</f>
        <v>1528745068.03473</v>
      </c>
      <c r="H29" s="22" t="n">
        <f aca="false">IFERROR((G29-SUMIFS(Vintage!$AK$36:$AK$127,Vintage!$C$36:$C$127,"RPA",Vintage!$BB$36:$BB$127,"Karkas fresh"))/G29,0)</f>
        <v>-0.0182351169836872</v>
      </c>
    </row>
    <row r="30" customFormat="false" ht="15" hidden="false" customHeight="false" outlineLevel="0" collapsed="false">
      <c r="B30" s="6" t="s">
        <v>838</v>
      </c>
      <c r="C30" s="35" t="n">
        <f aca="false">(SUMIFS(Vintage!$AN$36:$AN$127,Vintage!$C$36:$C$127,"RPA",Vintage!$BB$36:$BB$127,"Karkas frozen")-SUMIFS(Vintage!$AI$36:$AI$127,Vintage!$C$36:$C$127,"RPA",Vintage!$BB$36:$BB$127,"Karkas frozen")-$C$11*SUMIFS(Vintage!$AN$36:$AN$127,Vintage!$C$36:$C$127,"RPA",Vintage!$BB$36:$BB$127,"Karkas frozen"))/$H$6</f>
        <v>0.0124291372742223</v>
      </c>
      <c r="D30" s="35" t="n">
        <f aca="false">(SUMIFS(Vintage!$AO$36:$AO$127,Vintage!$C$36:$C$127,"RPA",Vintage!$BB$36:$BB$127,"Karkas frozen")-SUMIFS(Vintage!$AJ$36:$AJ$127,Vintage!$C$36:$C$127,"RPA",Vintage!$BB$36:$BB$127,"Karkas frozen")-$C$11*SUMIFS(Vintage!$AO$36:$AO$127,Vintage!$C$36:$C$127,"RPA",Vintage!$BB$36:$BB$127,"Karkas frozen"))/$H$6</f>
        <v>-0.000139250732117061</v>
      </c>
      <c r="E30" s="35" t="n">
        <f aca="false">(SUMIFS(Vintage!$AP$36:$AP$127,Vintage!$C$36:$C$127,"RPA",Vintage!$BB$36:$BB$127,"Karkas frozen")-SUMIFS(Vintage!$AK$36:$AK$127,Vintage!$C$36:$C$127,"RPA",Vintage!$BB$36:$BB$127,"Karkas frozen")-$C$11*SUMIFS(Vintage!$AP$36:$AP$127,Vintage!$C$36:$C$127,"RPA",Vintage!$BB$36:$BB$127,"Karkas frozen"))/$H$6</f>
        <v>-0.00574926882351659</v>
      </c>
      <c r="F30" s="32" t="n">
        <f aca="false">SUM(C30:E30)</f>
        <v>0.00654061771858863</v>
      </c>
      <c r="G30" s="7" t="n">
        <f aca="false">SUMIFS(Vintage!$AP$36:$AP$127,Vintage!$C$36:$C$127,"RPA",Vintage!$BB$36:$BB$127,"Karkas frozen")</f>
        <v>181480928.310211</v>
      </c>
      <c r="H30" s="22" t="n">
        <f aca="false">IFERROR((G30-SUMIFS(Vintage!$AK$36:$AK$127,Vintage!$C$36:$C$127,"RPA",Vintage!$BB$36:$BB$127,"Karkas frozen"))/G30,0)</f>
        <v>-0.0914238118283129</v>
      </c>
    </row>
    <row r="31" customFormat="false" ht="15" hidden="false" customHeight="false" outlineLevel="0" collapsed="false">
      <c r="B31" s="6" t="s">
        <v>839</v>
      </c>
      <c r="C31" s="35" t="n">
        <f aca="false">(SUMIFS(Vintage!$AN$36:$AN$127,Vintage!$C$36:$C$127,"RPA",Vintage!$BB$36:$BB$127,"Karkas mix")-SUMIFS(Vintage!$AI$36:$AI$127,Vintage!$C$36:$C$127,"RPA",Vintage!$BB$36:$BB$127,"Karkas mix")-$C$11*SUMIFS(Vintage!$AN$36:$AN$127,Vintage!$C$36:$C$127,"RPA",Vintage!$BB$36:$BB$127,"Karkas mix"))/$H$6</f>
        <v>0.00101197539891999</v>
      </c>
      <c r="D31" s="35" t="n">
        <f aca="false">(SUMIFS(Vintage!$AO$36:$AO$127,Vintage!$C$36:$C$127,"RPA",Vintage!$BB$36:$BB$127,"Karkas mix")-SUMIFS(Vintage!$AJ$36:$AJ$127,Vintage!$C$36:$C$127,"RPA",Vintage!$BB$36:$BB$127,"Karkas mix")-$C$11*SUMIFS(Vintage!$AO$36:$AO$127,Vintage!$C$36:$C$127,"RPA",Vintage!$BB$36:$BB$127,"Karkas mix"))/$H$6</f>
        <v>0</v>
      </c>
      <c r="E31" s="35" t="n">
        <f aca="false">(SUMIFS(Vintage!$AP$36:$AP$127,Vintage!$C$36:$C$127,"RPA",Vintage!$BB$36:$BB$127,"Karkas mix")-SUMIFS(Vintage!$AK$36:$AK$127,Vintage!$C$36:$C$127,"RPA",Vintage!$BB$36:$BB$127,"Karkas mix")-$C$11*SUMIFS(Vintage!$AP$36:$AP$127,Vintage!$C$36:$C$127,"RPA",Vintage!$BB$36:$BB$127,"Karkas mix"))/$H$6</f>
        <v>0.000166748980639983</v>
      </c>
      <c r="F31" s="32" t="n">
        <f aca="false">SUM(C31:E31)</f>
        <v>0.00117872437955998</v>
      </c>
      <c r="G31" s="7" t="n">
        <f aca="false">SUMIFS(Vintage!$AP$36:$AP$127,Vintage!$C$36:$C$127,"RPA",Vintage!$BB$36:$BB$127,"Karkas mix")</f>
        <v>5828258.0168158</v>
      </c>
      <c r="H31" s="22" t="n">
        <f aca="false">IFERROR((G31-SUMIFS(Vintage!$AK$36:$AK$127,Vintage!$C$36:$C$127,"RPA",Vintage!$BB$36:$BB$127,"Karkas mix"))/G31,0)</f>
        <v>0.0708584631982475</v>
      </c>
    </row>
    <row r="32" customFormat="false" ht="15" hidden="false" customHeight="false" outlineLevel="0" collapsed="false">
      <c r="B32" s="25" t="s">
        <v>840</v>
      </c>
      <c r="C32" s="34" t="n">
        <f aca="false">SUM(C27:C31)</f>
        <v>0.0149828513922451</v>
      </c>
      <c r="D32" s="34" t="n">
        <f aca="false">SUM(D27:D31)</f>
        <v>0.00405724207380383</v>
      </c>
      <c r="E32" s="34" t="n">
        <f aca="false">SUM(E27:E31)</f>
        <v>-0.0391471755877175</v>
      </c>
      <c r="F32" s="34" t="n">
        <f aca="false">SUM(F27:F31)</f>
        <v>-0.0201070821216685</v>
      </c>
      <c r="G32" s="26" t="n">
        <f aca="false">SUM(G27:G31)</f>
        <v>1750432695.5689</v>
      </c>
      <c r="H32" s="73"/>
    </row>
    <row r="33" customFormat="false" ht="15" hidden="false" customHeight="false" outlineLevel="0" collapsed="false">
      <c r="B33" s="12" t="s">
        <v>841</v>
      </c>
      <c r="C33" s="32" t="n">
        <f aca="false">ROUND(C32-C17,8)</f>
        <v>0</v>
      </c>
      <c r="D33" s="32" t="n">
        <f aca="false">ROUND(D32-C18,8)</f>
        <v>0</v>
      </c>
      <c r="E33" s="32" t="n">
        <f aca="false">ROUND(E32-C19,8)</f>
        <v>0</v>
      </c>
    </row>
    <row r="36" customFormat="false" ht="15" hidden="false" customHeight="false" outlineLevel="0" collapsed="false">
      <c r="B36" s="18" t="s">
        <v>842</v>
      </c>
    </row>
    <row r="37" customFormat="false" ht="39.75" hidden="false" customHeight="true" outlineLevel="0" collapsed="false">
      <c r="B37" s="5"/>
      <c r="C37" s="5" t="s">
        <v>184</v>
      </c>
      <c r="D37" s="5" t="s">
        <v>805</v>
      </c>
      <c r="E37" s="5" t="s">
        <v>843</v>
      </c>
      <c r="F37" s="5" t="s">
        <v>844</v>
      </c>
      <c r="G37" s="5" t="s">
        <v>808</v>
      </c>
      <c r="H37" s="5" t="s">
        <v>809</v>
      </c>
      <c r="I37" s="5" t="s">
        <v>810</v>
      </c>
      <c r="J37" s="5" t="s">
        <v>811</v>
      </c>
    </row>
    <row r="38" customFormat="false" ht="15" hidden="false" customHeight="false" outlineLevel="0" collapsed="false">
      <c r="B38" s="6" t="s">
        <v>812</v>
      </c>
      <c r="C38" s="7" t="n">
        <f aca="false">'Segment GP'!H7</f>
        <v>2876425788.2</v>
      </c>
      <c r="D38" s="7" t="n">
        <f aca="false">Vintage!I12</f>
        <v>320324342.329987</v>
      </c>
      <c r="E38" s="7" t="n">
        <f aca="false">Vintage!I13</f>
        <v>2306577326.51934</v>
      </c>
      <c r="F38" s="7" t="n">
        <f aca="false">Vintage!I14</f>
        <v>2952645743.83725</v>
      </c>
      <c r="G38" s="9" t="n">
        <f aca="false">H38-SUM(D38:F38)</f>
        <v>90526500</v>
      </c>
      <c r="H38" s="7" t="n">
        <f aca="false">'Segment GP'!M7</f>
        <v>5670073912.68658</v>
      </c>
      <c r="I38" s="9" t="n">
        <f aca="false">H38-C38</f>
        <v>2793648124.48658</v>
      </c>
      <c r="J38" s="21" t="n">
        <f aca="false">IF(C38=0,0,I38/ABS(C38))</f>
        <v>0.971222040890815</v>
      </c>
    </row>
    <row r="39" customFormat="false" ht="15" hidden="false" customHeight="false" outlineLevel="0" collapsed="false">
      <c r="B39" s="6" t="s">
        <v>813</v>
      </c>
      <c r="C39" s="7" t="n">
        <f aca="false">'Segment GP'!H14</f>
        <v>-2392253304.86</v>
      </c>
      <c r="D39" s="7" t="n">
        <f aca="false">-Vintage!J12</f>
        <v>-283985179.072039</v>
      </c>
      <c r="E39" s="7" t="n">
        <f aca="false">-Vintage!J13</f>
        <v>-1936890213.15602</v>
      </c>
      <c r="F39" s="7" t="n">
        <f aca="false">-Vintage!J14-Vintage!J15</f>
        <v>-2870081128.8234</v>
      </c>
      <c r="G39" s="9" t="n">
        <f aca="false">H39-SUM(D39:F39)</f>
        <v>-109171161.608867</v>
      </c>
      <c r="H39" s="7" t="n">
        <f aca="false">'Segment GP'!M14</f>
        <v>-5200127682.66033</v>
      </c>
      <c r="I39" s="9" t="n">
        <f aca="false">H39-C39</f>
        <v>-2807874377.80033</v>
      </c>
      <c r="J39" s="21" t="n">
        <f aca="false">IF(C39=0,0,I39/ABS(C39))</f>
        <v>-1.17373623106548</v>
      </c>
    </row>
    <row r="40" customFormat="false" ht="15" hidden="false" customHeight="false" outlineLevel="0" collapsed="false">
      <c r="B40" s="6" t="s">
        <v>814</v>
      </c>
      <c r="C40" s="9" t="n">
        <f aca="false">C38+C39</f>
        <v>484172483.34</v>
      </c>
      <c r="D40" s="9" t="n">
        <f aca="false">D38+D39</f>
        <v>36339163.2579482</v>
      </c>
      <c r="E40" s="9" t="n">
        <f aca="false">E38+E39</f>
        <v>369687113.36332</v>
      </c>
      <c r="F40" s="9" t="n">
        <f aca="false">F38+F39</f>
        <v>82564615.0138483</v>
      </c>
      <c r="G40" s="9" t="n">
        <f aca="false">G38+G39</f>
        <v>-18644661.6088667</v>
      </c>
      <c r="H40" s="9" t="n">
        <f aca="false">H38+H39</f>
        <v>469946230.02625</v>
      </c>
      <c r="I40" s="9" t="n">
        <f aca="false">H40-C40</f>
        <v>-14226253.3137498</v>
      </c>
      <c r="J40" s="21" t="n">
        <f aca="false">IF(C40=0,0,I40/ABS(C40))</f>
        <v>-0.029382614260959</v>
      </c>
    </row>
    <row r="41" customFormat="false" ht="15" hidden="false" customHeight="false" outlineLevel="0" collapsed="false">
      <c r="B41" s="6" t="s">
        <v>815</v>
      </c>
      <c r="C41" s="7" t="n">
        <f aca="false">'Segment GP'!H28</f>
        <v>0</v>
      </c>
      <c r="D41" s="9"/>
      <c r="E41" s="9"/>
      <c r="F41" s="9"/>
      <c r="G41" s="9" t="n">
        <f aca="false">H41</f>
        <v>0</v>
      </c>
      <c r="H41" s="7" t="n">
        <f aca="false">'Segment GP'!M28</f>
        <v>0</v>
      </c>
      <c r="I41" s="9" t="n">
        <f aca="false">H41-C41</f>
        <v>0</v>
      </c>
      <c r="J41" s="21" t="n">
        <f aca="false">IF(C41=0,0,I41/ABS(C41))</f>
        <v>0</v>
      </c>
    </row>
    <row r="42" customFormat="false" ht="15" hidden="false" customHeight="false" outlineLevel="0" collapsed="false">
      <c r="B42" s="29" t="s">
        <v>816</v>
      </c>
      <c r="C42" s="69" t="n">
        <f aca="false">C40+N(C41)</f>
        <v>484172483.34</v>
      </c>
      <c r="D42" s="69" t="n">
        <f aca="false">D40+N(D41)</f>
        <v>36339163.2579482</v>
      </c>
      <c r="E42" s="69" t="n">
        <f aca="false">E40+N(E41)</f>
        <v>369687113.36332</v>
      </c>
      <c r="F42" s="69" t="n">
        <f aca="false">F40+N(F41)</f>
        <v>82564615.0138483</v>
      </c>
      <c r="G42" s="69" t="n">
        <f aca="false">G40+N(G41)</f>
        <v>-18644661.6088667</v>
      </c>
      <c r="H42" s="69" t="n">
        <f aca="false">H40+N(H41)</f>
        <v>469946230.02625</v>
      </c>
      <c r="I42" s="9" t="n">
        <f aca="false">H42-C42</f>
        <v>-14226253.3137498</v>
      </c>
      <c r="J42" s="21" t="n">
        <f aca="false">IF(C42=0,0,I42/ABS(C42))</f>
        <v>-0.029382614260959</v>
      </c>
    </row>
    <row r="43" customFormat="false" ht="15" hidden="false" customHeight="false" outlineLevel="0" collapsed="false">
      <c r="B43" s="11" t="s">
        <v>817</v>
      </c>
      <c r="C43" s="57" t="n">
        <f aca="false">IF(C38=0,0,C42/C38)</f>
        <v>0.168324343818021</v>
      </c>
      <c r="D43" s="57" t="n">
        <f aca="false">IF(D38=0,0,D42/D38)</f>
        <v>0.113444900857746</v>
      </c>
      <c r="E43" s="57" t="n">
        <f aca="false">IF(E38=0,0,E42/E38)</f>
        <v>0.160275187444586</v>
      </c>
      <c r="F43" s="57" t="n">
        <f aca="false">IF(F38=0,0,F42/F38)</f>
        <v>0.0279629261946432</v>
      </c>
      <c r="G43" s="57"/>
      <c r="H43" s="57" t="n">
        <f aca="false">IF(H38=0,0,H42/H38)</f>
        <v>0.0828818525583525</v>
      </c>
      <c r="I43" s="57" t="n">
        <f aca="false">H43-C43</f>
        <v>-0.0854424912596688</v>
      </c>
    </row>
    <row r="44" customFormat="false" ht="15" hidden="false" customHeight="false" outlineLevel="0" collapsed="false">
      <c r="B44" s="28" t="s">
        <v>818</v>
      </c>
    </row>
    <row r="46" customFormat="false" ht="15" hidden="false" customHeight="false" outlineLevel="0" collapsed="false">
      <c r="B46" s="18" t="s">
        <v>845</v>
      </c>
    </row>
    <row r="47" customFormat="false" ht="39.75" hidden="false" customHeight="true" outlineLevel="0" collapsed="false">
      <c r="B47" s="5" t="s">
        <v>373</v>
      </c>
      <c r="C47" s="5" t="s">
        <v>820</v>
      </c>
      <c r="D47" s="5" t="s">
        <v>821</v>
      </c>
      <c r="E47" s="5" t="s">
        <v>822</v>
      </c>
      <c r="F47" s="5" t="s">
        <v>823</v>
      </c>
      <c r="G47" s="5" t="s">
        <v>330</v>
      </c>
    </row>
    <row r="48" customFormat="false" ht="15" hidden="false" customHeight="false" outlineLevel="0" collapsed="false">
      <c r="B48" s="11" t="s">
        <v>331</v>
      </c>
      <c r="C48" s="36" t="n">
        <f aca="false">C43</f>
        <v>0.168324343818021</v>
      </c>
      <c r="D48" s="36" t="n">
        <f aca="false">C43</f>
        <v>0.168324343818021</v>
      </c>
      <c r="G48" s="6" t="s">
        <v>824</v>
      </c>
    </row>
    <row r="49" customFormat="false" ht="15" hidden="false" customHeight="false" outlineLevel="0" collapsed="false">
      <c r="B49" s="6" t="s">
        <v>805</v>
      </c>
      <c r="C49" s="32" t="n">
        <f aca="false">E49*(F49-$C$48)</f>
        <v>-0.00310035137890414</v>
      </c>
      <c r="D49" s="32" t="n">
        <f aca="false">IF(Vintage!Q12=0,0,Vintage!Q12/$H$38*((Vintage!Q12-Vintage!R12)/Vintage!Q12-$C$48))</f>
        <v>-4.68084494066902E-005</v>
      </c>
      <c r="E49" s="21" t="n">
        <f aca="false">D38/$H$38</f>
        <v>0.0564938565638931</v>
      </c>
      <c r="F49" s="21" t="n">
        <f aca="false">D43</f>
        <v>0.113444900857746</v>
      </c>
      <c r="G49" s="6" t="s">
        <v>825</v>
      </c>
    </row>
    <row r="50" customFormat="false" ht="15" hidden="false" customHeight="false" outlineLevel="0" collapsed="false">
      <c r="B50" s="6" t="s">
        <v>843</v>
      </c>
      <c r="C50" s="32" t="n">
        <f aca="false">E50*(F50-$C$48)</f>
        <v>-0.00327438440388464</v>
      </c>
      <c r="D50" s="32" t="n">
        <f aca="false">IF(Vintage!Q13=0,0,Vintage!Q13/$H$38*((Vintage!Q13-Vintage!R13)/Vintage!Q13-$C$48))</f>
        <v>-0.0194287888600614</v>
      </c>
      <c r="E50" s="21" t="n">
        <f aca="false">E38/$H$38</f>
        <v>0.406798458369028</v>
      </c>
      <c r="F50" s="21" t="n">
        <f aca="false">E43</f>
        <v>0.160275187444586</v>
      </c>
      <c r="G50" s="6" t="s">
        <v>825</v>
      </c>
    </row>
    <row r="51" customFormat="false" ht="15" hidden="false" customHeight="false" outlineLevel="0" collapsed="false">
      <c r="B51" s="6" t="s">
        <v>844</v>
      </c>
      <c r="C51" s="32" t="n">
        <f aca="false">E51*(F51-$C$48)</f>
        <v>-0.0730920881679057</v>
      </c>
      <c r="D51" s="32" t="n">
        <f aca="false">IF(Vintage!Q14=0,0,Vintage!Q14/$H$38*((Vintage!Q14-(Vintage!R14+Vintage!R15))/Vintage!Q14-$C$48))</f>
        <v>-0.0599912266412265</v>
      </c>
      <c r="E51" s="21" t="n">
        <f aca="false">F38/$H$38</f>
        <v>0.520742020175577</v>
      </c>
      <c r="F51" s="21" t="n">
        <f aca="false">F43</f>
        <v>0.0279629261946432</v>
      </c>
      <c r="G51" s="6" t="s">
        <v>825</v>
      </c>
    </row>
    <row r="52" customFormat="false" ht="15" hidden="false" customHeight="false" outlineLevel="0" collapsed="false">
      <c r="B52" s="6" t="s">
        <v>19</v>
      </c>
      <c r="C52" s="32" t="n">
        <f aca="false">H41/H38</f>
        <v>0</v>
      </c>
      <c r="D52" s="32" t="n">
        <f aca="false">H41/H38</f>
        <v>0</v>
      </c>
      <c r="G52" s="6" t="s">
        <v>826</v>
      </c>
    </row>
    <row r="53" customFormat="false" ht="15" hidden="false" customHeight="false" outlineLevel="0" collapsed="false">
      <c r="B53" s="6" t="s">
        <v>827</v>
      </c>
      <c r="C53" s="32" t="n">
        <f aca="false">(G38+G39)/H38-G38/H38*C43</f>
        <v>-0.00597566730897423</v>
      </c>
      <c r="D53" s="32" t="n">
        <f aca="false">(G38+G39)/H38-G38/H38*C43</f>
        <v>-0.00597566730897423</v>
      </c>
      <c r="G53" s="6" t="s">
        <v>828</v>
      </c>
    </row>
    <row r="54" customFormat="false" ht="15" hidden="false" customHeight="false" outlineLevel="0" collapsed="false">
      <c r="B54" s="29" t="s">
        <v>340</v>
      </c>
      <c r="C54" s="33" t="n">
        <f aca="false">SUM(C48:C53)</f>
        <v>0.0828818525583525</v>
      </c>
      <c r="D54" s="33" t="n">
        <f aca="false">SUM(D48:D53)</f>
        <v>0.0828818525583525</v>
      </c>
    </row>
    <row r="55" customFormat="false" ht="15" hidden="false" customHeight="false" outlineLevel="0" collapsed="false">
      <c r="B55" s="6" t="s">
        <v>829</v>
      </c>
      <c r="C55" s="32" t="n">
        <f aca="false">ROUND(C54-'Segment GP'!M36,8)</f>
        <v>0</v>
      </c>
      <c r="D55" s="32" t="n">
        <f aca="false">ROUND(D54-'Segment GP'!M36,8)</f>
        <v>0</v>
      </c>
    </row>
    <row r="57" customFormat="false" ht="15" hidden="false" customHeight="false" outlineLevel="0" collapsed="false">
      <c r="B57" s="18" t="s">
        <v>846</v>
      </c>
    </row>
    <row r="58" customFormat="false" ht="39.75" hidden="false" customHeight="true" outlineLevel="0" collapsed="false">
      <c r="B58" s="5" t="s">
        <v>831</v>
      </c>
      <c r="C58" s="5" t="s">
        <v>805</v>
      </c>
      <c r="D58" s="5" t="s">
        <v>843</v>
      </c>
      <c r="E58" s="5" t="s">
        <v>844</v>
      </c>
      <c r="F58" s="5" t="s">
        <v>832</v>
      </c>
      <c r="G58" s="5" t="s">
        <v>847</v>
      </c>
      <c r="H58" s="5" t="s">
        <v>848</v>
      </c>
    </row>
    <row r="59" customFormat="false" ht="15" hidden="false" customHeight="false" outlineLevel="0" collapsed="false">
      <c r="B59" s="6" t="s">
        <v>236</v>
      </c>
      <c r="C59" s="35" t="n">
        <f aca="false">(SUMIFS(Vintage!$AN$36:$AN$127,Vintage!$C$36:$C$127,"Trading",Vintage!$BB$36:$BB$127,"BLD")-SUMIFS(Vintage!$AI$36:$AI$127,Vintage!$C$36:$C$127,"Trading",Vintage!$BB$36:$BB$127,"BLD")-$C$43*SUMIFS(Vintage!$AN$36:$AN$127,Vintage!$C$36:$C$127,"Trading",Vintage!$BB$36:$BB$127,"BLD"))/$H$38</f>
        <v>0</v>
      </c>
      <c r="D59" s="35" t="n">
        <f aca="false">(SUMIFS(Vintage!$AO$36:$AO$127,Vintage!$C$36:$C$127,"Trading",Vintage!$BB$36:$BB$127,"BLD")-SUMIFS(Vintage!$AJ$36:$AJ$127,Vintage!$C$36:$C$127,"Trading",Vintage!$BB$36:$BB$127,"BLD")-$C$43*SUMIFS(Vintage!$AO$36:$AO$127,Vintage!$C$36:$C$127,"Trading",Vintage!$BB$36:$BB$127,"BLD"))/$H$38</f>
        <v>0.00549294055692092</v>
      </c>
      <c r="E59" s="35" t="n">
        <f aca="false">(SUMIFS(Vintage!$AP$36:$AP$127,Vintage!$C$36:$C$127,"Trading",Vintage!$BB$36:$BB$127,"BLD")-SUMIFS(Vintage!$AK$36:$AK$127,Vintage!$C$36:$C$127,"Trading",Vintage!$BB$36:$BB$127,"BLD")-$C$43*SUMIFS(Vintage!$AP$36:$AP$127,Vintage!$C$36:$C$127,"Trading",Vintage!$BB$36:$BB$127,"BLD"))/$H$38</f>
        <v>-0.00771088001894224</v>
      </c>
      <c r="F59" s="32" t="n">
        <f aca="false">SUM(C59:E59)</f>
        <v>-0.00221793946202131</v>
      </c>
      <c r="G59" s="7" t="n">
        <f aca="false">SUMIFS(Vintage!$AP$36:$AP$127,Vintage!$C$36:$C$127,"Trading",Vintage!$BB$36:$BB$127,"BLD")</f>
        <v>440081651.182803</v>
      </c>
      <c r="H59" s="22" t="n">
        <f aca="false">IFERROR((G59-SUMIFS(Vintage!$AK$36:$AK$127,Vintage!$C$36:$C$127,"Trading",Vintage!$BB$36:$BB$127,"BLD"))/G59,0)</f>
        <v>0.0689762807443817</v>
      </c>
    </row>
    <row r="60" customFormat="false" ht="15" hidden="false" customHeight="false" outlineLevel="0" collapsed="false">
      <c r="B60" s="6" t="s">
        <v>239</v>
      </c>
      <c r="C60" s="35" t="n">
        <f aca="false">(SUMIFS(Vintage!$AN$36:$AN$127,Vintage!$C$36:$C$127,"Trading",Vintage!$BB$36:$BB$127,"BLP")-SUMIFS(Vintage!$AI$36:$AI$127,Vintage!$C$36:$C$127,"Trading",Vintage!$BB$36:$BB$127,"BLP")-$C$43*SUMIFS(Vintage!$AN$36:$AN$127,Vintage!$C$36:$C$127,"Trading",Vintage!$BB$36:$BB$127,"BLP"))/$H$38</f>
        <v>0</v>
      </c>
      <c r="D60" s="35" t="n">
        <f aca="false">(SUMIFS(Vintage!$AO$36:$AO$127,Vintage!$C$36:$C$127,"Trading",Vintage!$BB$36:$BB$127,"BLP")-SUMIFS(Vintage!$AJ$36:$AJ$127,Vintage!$C$36:$C$127,"Trading",Vintage!$BB$36:$BB$127,"BLP")-$C$43*SUMIFS(Vintage!$AO$36:$AO$127,Vintage!$C$36:$C$127,"Trading",Vintage!$BB$36:$BB$127,"BLP"))/$H$38</f>
        <v>0.00826399823218828</v>
      </c>
      <c r="E60" s="35" t="n">
        <f aca="false">(SUMIFS(Vintage!$AP$36:$AP$127,Vintage!$C$36:$C$127,"Trading",Vintage!$BB$36:$BB$127,"BLP")-SUMIFS(Vintage!$AK$36:$AK$127,Vintage!$C$36:$C$127,"Trading",Vintage!$BB$36:$BB$127,"BLP")-$C$43*SUMIFS(Vintage!$AP$36:$AP$127,Vintage!$C$36:$C$127,"Trading",Vintage!$BB$36:$BB$127,"BLP"))/$H$38</f>
        <v>-0.0161431418705803</v>
      </c>
      <c r="F60" s="32" t="n">
        <f aca="false">SUM(C60:E60)</f>
        <v>-0.00787914363839202</v>
      </c>
      <c r="G60" s="7" t="n">
        <f aca="false">SUMIFS(Vintage!$AP$36:$AP$127,Vintage!$C$36:$C$127,"Trading",Vintage!$BB$36:$BB$127,"BLP")</f>
        <v>803591111.985625</v>
      </c>
      <c r="H60" s="22" t="n">
        <f aca="false">IFERROR((G60-SUMIFS(Vintage!$AK$36:$AK$127,Vintage!$C$36:$C$127,"Trading",Vintage!$BB$36:$BB$127,"BLP"))/G60,0)</f>
        <v>0.0544196400153577</v>
      </c>
    </row>
    <row r="61" customFormat="false" ht="15" hidden="false" customHeight="false" outlineLevel="0" collapsed="false">
      <c r="B61" s="6" t="s">
        <v>245</v>
      </c>
      <c r="C61" s="35" t="n">
        <f aca="false">(SUMIFS(Vintage!$AN$36:$AN$127,Vintage!$C$36:$C$127,"Trading",Vintage!$BB$36:$BB$127,"KRK (Kerangka)")-SUMIFS(Vintage!$AI$36:$AI$127,Vintage!$C$36:$C$127,"Trading",Vintage!$BB$36:$BB$127,"KRK (Kerangka)")-$C$43*SUMIFS(Vintage!$AN$36:$AN$127,Vintage!$C$36:$C$127,"Trading",Vintage!$BB$36:$BB$127,"KRK (Kerangka)"))/$H$38</f>
        <v>0</v>
      </c>
      <c r="D61" s="35" t="n">
        <f aca="false">(SUMIFS(Vintage!$AO$36:$AO$127,Vintage!$C$36:$C$127,"Trading",Vintage!$BB$36:$BB$127,"KRK (Kerangka)")-SUMIFS(Vintage!$AJ$36:$AJ$127,Vintage!$C$36:$C$127,"Trading",Vintage!$BB$36:$BB$127,"KRK (Kerangka)")-$C$43*SUMIFS(Vintage!$AO$36:$AO$127,Vintage!$C$36:$C$127,"Trading",Vintage!$BB$36:$BB$127,"KRK (Kerangka)"))/$H$38</f>
        <v>-0.000422868524178184</v>
      </c>
      <c r="E61" s="35" t="n">
        <f aca="false">(SUMIFS(Vintage!$AP$36:$AP$127,Vintage!$C$36:$C$127,"Trading",Vintage!$BB$36:$BB$127,"KRK (Kerangka)")-SUMIFS(Vintage!$AK$36:$AK$127,Vintage!$C$36:$C$127,"Trading",Vintage!$BB$36:$BB$127,"KRK (Kerangka)")-$C$43*SUMIFS(Vintage!$AP$36:$AP$127,Vintage!$C$36:$C$127,"Trading",Vintage!$BB$36:$BB$127,"KRK (Kerangka)"))/$H$38</f>
        <v>-0.00234524939745349</v>
      </c>
      <c r="F61" s="32" t="n">
        <f aca="false">SUM(C61:E61)</f>
        <v>-0.00276811792163168</v>
      </c>
      <c r="G61" s="7" t="n">
        <f aca="false">SUMIFS(Vintage!$AP$36:$AP$127,Vintage!$C$36:$C$127,"Trading",Vintage!$BB$36:$BB$127,"KRK (Kerangka)")</f>
        <v>116659691.309287</v>
      </c>
      <c r="H61" s="22" t="n">
        <f aca="false">IFERROR((G61-SUMIFS(Vintage!$AK$36:$AK$127,Vintage!$C$36:$C$127,"Trading",Vintage!$BB$36:$BB$127,"KRK (Kerangka)"))/G61,0)</f>
        <v>0.054336922130181</v>
      </c>
    </row>
    <row r="62" customFormat="false" ht="15" hidden="false" customHeight="false" outlineLevel="0" collapsed="false">
      <c r="B62" s="6" t="s">
        <v>246</v>
      </c>
      <c r="C62" s="35" t="n">
        <f aca="false">(SUMIFS(Vintage!$AN$36:$AN$127,Vintage!$C$36:$C$127,"Trading",Vintage!$BB$36:$BB$127,"Karkas")-SUMIFS(Vintage!$AI$36:$AI$127,Vintage!$C$36:$C$127,"Trading",Vintage!$BB$36:$BB$127,"Karkas")-$C$43*SUMIFS(Vintage!$AN$36:$AN$127,Vintage!$C$36:$C$127,"Trading",Vintage!$BB$36:$BB$127,"Karkas"))/$H$38</f>
        <v>-0.00310035137890414</v>
      </c>
      <c r="D62" s="35" t="n">
        <f aca="false">(SUMIFS(Vintage!$AO$36:$AO$127,Vintage!$C$36:$C$127,"Trading",Vintage!$BB$36:$BB$127,"Karkas")-SUMIFS(Vintage!$AJ$36:$AJ$127,Vintage!$C$36:$C$127,"Trading",Vintage!$BB$36:$BB$127,"Karkas")-$C$43*SUMIFS(Vintage!$AO$36:$AO$127,Vintage!$C$36:$C$127,"Trading",Vintage!$BB$36:$BB$127,"Karkas"))/$H$38</f>
        <v>-0.0165664120558727</v>
      </c>
      <c r="E62" s="35" t="n">
        <f aca="false">(SUMIFS(Vintage!$AP$36:$AP$127,Vintage!$C$36:$C$127,"Trading",Vintage!$BB$36:$BB$127,"Karkas")-SUMIFS(Vintage!$AK$36:$AK$127,Vintage!$C$36:$C$127,"Trading",Vintage!$BB$36:$BB$127,"Karkas")-$C$43*SUMIFS(Vintage!$AP$36:$AP$127,Vintage!$C$36:$C$127,"Trading",Vintage!$BB$36:$BB$127,"Karkas"))/$H$38</f>
        <v>-0.0467419807912006</v>
      </c>
      <c r="F62" s="32" t="n">
        <f aca="false">SUM(C62:E62)</f>
        <v>-0.0664087442259775</v>
      </c>
      <c r="G62" s="7" t="n">
        <f aca="false">SUMIFS(Vintage!$AP$36:$AP$127,Vintage!$C$36:$C$127,"Trading",Vintage!$BB$36:$BB$127,"Karkas")</f>
        <v>1583013289.35953</v>
      </c>
      <c r="H62" s="22" t="n">
        <f aca="false">IFERROR((G62-SUMIFS(Vintage!$AK$36:$AK$127,Vintage!$C$36:$C$127,"Trading",Vintage!$BB$36:$BB$127,"Karkas"))/G62,0)</f>
        <v>0.000902827086022266</v>
      </c>
    </row>
    <row r="63" customFormat="false" ht="15" hidden="false" customHeight="false" outlineLevel="0" collapsed="false">
      <c r="B63" s="6" t="s">
        <v>255</v>
      </c>
      <c r="C63" s="35" t="n">
        <f aca="false">(SUMIFS(Vintage!$AN$36:$AN$127,Vintage!$C$36:$C$127,"Trading",Vintage!$BB$36:$BB$127,"Kulit")-SUMIFS(Vintage!$AI$36:$AI$127,Vintage!$C$36:$C$127,"Trading",Vintage!$BB$36:$BB$127,"Kulit")-$C$43*SUMIFS(Vintage!$AN$36:$AN$127,Vintage!$C$36:$C$127,"Trading",Vintage!$BB$36:$BB$127,"Kulit"))/$H$38</f>
        <v>0</v>
      </c>
      <c r="D63" s="35" t="n">
        <f aca="false">(SUMIFS(Vintage!$AO$36:$AO$127,Vintage!$C$36:$C$127,"Trading",Vintage!$BB$36:$BB$127,"Kulit")-SUMIFS(Vintage!$AJ$36:$AJ$127,Vintage!$C$36:$C$127,"Trading",Vintage!$BB$36:$BB$127,"Kulit")-$C$43*SUMIFS(Vintage!$AO$36:$AO$127,Vintage!$C$36:$C$127,"Trading",Vintage!$BB$36:$BB$127,"Kulit"))/$H$38</f>
        <v>-4.20426129429334E-005</v>
      </c>
      <c r="E63" s="35" t="n">
        <f aca="false">(SUMIFS(Vintage!$AP$36:$AP$127,Vintage!$C$36:$C$127,"Trading",Vintage!$BB$36:$BB$127,"Kulit")-SUMIFS(Vintage!$AK$36:$AK$127,Vintage!$C$36:$C$127,"Trading",Vintage!$BB$36:$BB$127,"Kulit")-$C$43*SUMIFS(Vintage!$AP$36:$AP$127,Vintage!$C$36:$C$127,"Trading",Vintage!$BB$36:$BB$127,"Kulit"))/$H$38</f>
        <v>0</v>
      </c>
      <c r="F63" s="32" t="n">
        <f aca="false">SUM(C63:E63)</f>
        <v>-4.20426129429334E-005</v>
      </c>
      <c r="G63" s="7" t="n">
        <f aca="false">SUMIFS(Vintage!$AP$36:$AP$127,Vintage!$C$36:$C$127,"Trading",Vintage!$BB$36:$BB$127,"Kulit")</f>
        <v>0</v>
      </c>
      <c r="H63" s="22" t="n">
        <f aca="false">IFERROR((G63-SUMIFS(Vintage!$AK$36:$AK$127,Vintage!$C$36:$C$127,"Trading",Vintage!$BB$36:$BB$127,"Kulit"))/G63,0)</f>
        <v>0</v>
      </c>
    </row>
    <row r="64" customFormat="false" ht="15" hidden="false" customHeight="false" outlineLevel="0" collapsed="false">
      <c r="B64" s="6" t="s">
        <v>252</v>
      </c>
      <c r="C64" s="35" t="n">
        <f aca="false">(SUMIFS(Vintage!$AN$36:$AN$127,Vintage!$C$36:$C$127,"Trading",Vintage!$BB$36:$BB$127,"Sayap")-SUMIFS(Vintage!$AI$36:$AI$127,Vintage!$C$36:$C$127,"Trading",Vintage!$BB$36:$BB$127,"Sayap")-$C$43*SUMIFS(Vintage!$AN$36:$AN$127,Vintage!$C$36:$C$127,"Trading",Vintage!$BB$36:$BB$127,"Sayap"))/$H$38</f>
        <v>0</v>
      </c>
      <c r="D64" s="35" t="n">
        <f aca="false">(SUMIFS(Vintage!$AO$36:$AO$127,Vintage!$C$36:$C$127,"Trading",Vintage!$BB$36:$BB$127,"Sayap")-SUMIFS(Vintage!$AJ$36:$AJ$127,Vintage!$C$36:$C$127,"Trading",Vintage!$BB$36:$BB$127,"Sayap")-$C$43*SUMIFS(Vintage!$AO$36:$AO$127,Vintage!$C$36:$C$127,"Trading",Vintage!$BB$36:$BB$127,"Sayap"))/$H$38</f>
        <v>0</v>
      </c>
      <c r="E64" s="35" t="n">
        <f aca="false">(SUMIFS(Vintage!$AP$36:$AP$127,Vintage!$C$36:$C$127,"Trading",Vintage!$BB$36:$BB$127,"Sayap")-SUMIFS(Vintage!$AK$36:$AK$127,Vintage!$C$36:$C$127,"Trading",Vintage!$BB$36:$BB$127,"Sayap")-$C$43*SUMIFS(Vintage!$AP$36:$AP$127,Vintage!$C$36:$C$127,"Trading",Vintage!$BB$36:$BB$127,"Sayap"))/$H$38</f>
        <v>-0.000150836089729105</v>
      </c>
      <c r="F64" s="32" t="n">
        <f aca="false">SUM(C64:E64)</f>
        <v>-0.000150836089729105</v>
      </c>
      <c r="G64" s="7" t="n">
        <f aca="false">SUMIFS(Vintage!$AP$36:$AP$127,Vintage!$C$36:$C$127,"Trading",Vintage!$BB$36:$BB$127,"Sayap")</f>
        <v>9300000</v>
      </c>
      <c r="H64" s="22" t="n">
        <f aca="false">IFERROR((G64-SUMIFS(Vintage!$AK$36:$AK$127,Vintage!$C$36:$C$127,"Trading",Vintage!$BB$36:$BB$127,"Sayap"))/G64,0)</f>
        <v>0.0763617871013923</v>
      </c>
    </row>
    <row r="65" customFormat="false" ht="15" hidden="false" customHeight="false" outlineLevel="0" collapsed="false">
      <c r="B65" s="25" t="s">
        <v>840</v>
      </c>
      <c r="C65" s="34" t="n">
        <f aca="false">SUM(C59:C64)</f>
        <v>-0.00310035137890414</v>
      </c>
      <c r="D65" s="34" t="n">
        <f aca="false">SUM(D59:D64)</f>
        <v>-0.00327438440388465</v>
      </c>
      <c r="E65" s="34" t="n">
        <f aca="false">SUM(E59:E64)</f>
        <v>-0.0730920881679057</v>
      </c>
      <c r="F65" s="34" t="n">
        <f aca="false">SUM(F59:F64)</f>
        <v>-0.0794668239506945</v>
      </c>
      <c r="G65" s="26" t="n">
        <f aca="false">SUM(G59:G64)</f>
        <v>2952645743.83725</v>
      </c>
      <c r="H65" s="73"/>
    </row>
    <row r="66" customFormat="false" ht="15" hidden="false" customHeight="false" outlineLevel="0" collapsed="false">
      <c r="B66" s="12" t="s">
        <v>841</v>
      </c>
      <c r="C66" s="32" t="n">
        <f aca="false">ROUND(C65-C49,8)</f>
        <v>0</v>
      </c>
      <c r="D66" s="32" t="n">
        <f aca="false">ROUND(D65-C50,8)</f>
        <v>0</v>
      </c>
      <c r="E66" s="32" t="n">
        <f aca="false">ROUND(E65-C51,8)</f>
        <v>0</v>
      </c>
    </row>
    <row r="69" customFormat="false" ht="15" hidden="false" customHeight="false" outlineLevel="0" collapsed="false">
      <c r="B69" s="18" t="s">
        <v>849</v>
      </c>
    </row>
    <row r="70" customFormat="false" ht="30" hidden="false" customHeight="true" outlineLevel="0" collapsed="false">
      <c r="B70" s="5" t="s">
        <v>373</v>
      </c>
      <c r="C70" s="5" t="s">
        <v>850</v>
      </c>
      <c r="D70" s="5" t="s">
        <v>330</v>
      </c>
    </row>
    <row r="71" customFormat="false" ht="15" hidden="false" customHeight="false" outlineLevel="0" collapsed="false">
      <c r="B71" s="11" t="s">
        <v>376</v>
      </c>
      <c r="C71" s="35" t="n">
        <f aca="false">'Segment GP'!H38</f>
        <v>0.116252405357957</v>
      </c>
      <c r="D71" s="12" t="s">
        <v>96</v>
      </c>
    </row>
    <row r="72" customFormat="false" ht="15" hidden="false" customHeight="false" outlineLevel="0" collapsed="false">
      <c r="B72" s="6" t="s">
        <v>851</v>
      </c>
      <c r="C72" s="35" t="n">
        <f aca="false">'Segment GP'!M6/'Segment GP'!M9*('Segment GP'!M35-'Segment GP'!H35)</f>
        <v>-0.00560926686380728</v>
      </c>
      <c r="D72" s="12" t="s">
        <v>852</v>
      </c>
    </row>
    <row r="73" customFormat="false" ht="15" hidden="false" customHeight="false" outlineLevel="0" collapsed="false">
      <c r="B73" s="6" t="s">
        <v>853</v>
      </c>
      <c r="C73" s="35" t="n">
        <f aca="false">'Segment GP'!M7/'Segment GP'!M9*('Segment GP'!M36-'Segment GP'!H36)</f>
        <v>-0.0579381838761479</v>
      </c>
      <c r="D73" s="12" t="s">
        <v>854</v>
      </c>
    </row>
    <row r="74" customFormat="false" ht="15" hidden="false" customHeight="false" outlineLevel="0" collapsed="false">
      <c r="B74" s="6" t="s">
        <v>855</v>
      </c>
      <c r="C74" s="35" t="n">
        <f aca="false">('Segment GP'!M6/'Segment GP'!M9-'Segment GP'!H6/'Segment GP'!H9)*'Segment GP'!H35+('Segment GP'!M7/'Segment GP'!M9-'Segment GP'!H7/'Segment GP'!H9)*'Segment GP'!H36</f>
        <v>-0.0423911667130923</v>
      </c>
      <c r="D74" s="12" t="s">
        <v>382</v>
      </c>
    </row>
    <row r="75" customFormat="false" ht="15" hidden="false" customHeight="false" outlineLevel="0" collapsed="false">
      <c r="B75" s="6" t="s">
        <v>856</v>
      </c>
      <c r="C75" s="35" t="n">
        <f aca="false">'Segment GP'!M33/'Segment GP'!M9-'Segment GP'!H33/'Segment GP'!H9</f>
        <v>0.026297894805577</v>
      </c>
      <c r="D75" s="12" t="s">
        <v>857</v>
      </c>
    </row>
    <row r="76" customFormat="false" ht="15" hidden="false" customHeight="false" outlineLevel="0" collapsed="false">
      <c r="B76" s="29" t="s">
        <v>385</v>
      </c>
      <c r="C76" s="33" t="n">
        <f aca="false">SUM(C71:C75)</f>
        <v>0.0366116827104863</v>
      </c>
    </row>
    <row r="77" customFormat="false" ht="15" hidden="false" customHeight="false" outlineLevel="0" collapsed="false">
      <c r="B77" s="6" t="s">
        <v>858</v>
      </c>
      <c r="C77" s="32" t="n">
        <f aca="false">ROUND(C76-'Segment GP'!M38,8)</f>
        <v>-0</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Q1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5" topLeftCell="C36" activePane="bottomRight" state="frozen"/>
      <selection pane="topLeft" activeCell="A1" activeCellId="0" sqref="A1"/>
      <selection pane="topRight" activeCell="C1" activeCellId="0" sqref="C1"/>
      <selection pane="bottomLeft" activeCell="A36" activeCellId="0" sqref="A3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8"/>
    <col collapsed="false" customWidth="true" hidden="false" outlineLevel="0" max="5" min="4" style="0" width="20"/>
    <col collapsed="false" customWidth="true" hidden="false" outlineLevel="0" max="6" min="6" style="0" width="7"/>
    <col collapsed="false" customWidth="true" hidden="false" outlineLevel="0" max="7" min="7" style="0" width="5"/>
    <col collapsed="false" customWidth="true" hidden="false" outlineLevel="0" max="25" min="8" style="0" width="10"/>
    <col collapsed="false" customWidth="true" hidden="false" outlineLevel="0" max="26" min="26" style="0" width="8"/>
    <col collapsed="false" customWidth="true" hidden="false" outlineLevel="0" max="29" min="27" style="0" width="10"/>
    <col collapsed="false" customWidth="true" hidden="false" outlineLevel="0" max="30" min="30" style="0" width="11"/>
    <col collapsed="false" customWidth="true" hidden="false" outlineLevel="0" max="33" min="31" style="0" width="10"/>
    <col collapsed="false" customWidth="true" hidden="false" outlineLevel="0" max="34" min="34" style="0" width="13"/>
    <col collapsed="false" customWidth="true" hidden="false" outlineLevel="0" max="38" min="35" style="0" width="12"/>
    <col collapsed="false" customWidth="true" hidden="false" outlineLevel="0" max="39" min="39" style="0" width="13"/>
    <col collapsed="false" customWidth="true" hidden="false" outlineLevel="0" max="42" min="40" style="0" width="12"/>
    <col collapsed="false" customWidth="true" hidden="false" outlineLevel="0" max="46" min="43" style="0" width="10"/>
    <col collapsed="false" customWidth="true" hidden="false" outlineLevel="0" max="51" min="47" style="0" width="12"/>
    <col collapsed="false" customWidth="true" hidden="false" outlineLevel="0" max="52" min="52" style="0" width="5"/>
    <col collapsed="false" customWidth="true" hidden="false" outlineLevel="0" max="53" min="53" style="0" width="13"/>
    <col collapsed="false" customWidth="true" hidden="false" outlineLevel="0" max="69" min="55" style="0" width="11"/>
  </cols>
  <sheetData>
    <row r="1" customFormat="false" ht="15" hidden="false" customHeight="false" outlineLevel="0" collapsed="false">
      <c r="A1" s="1" t="s">
        <v>859</v>
      </c>
    </row>
    <row r="2" customFormat="false" ht="15" hidden="false" customHeight="false" outlineLevel="0" collapsed="false">
      <c r="A2" s="4" t="s">
        <v>860</v>
      </c>
    </row>
    <row r="4" customFormat="false" ht="15" hidden="false" customHeight="false" outlineLevel="0" collapsed="false">
      <c r="A4" s="18" t="s">
        <v>861</v>
      </c>
    </row>
    <row r="5" customFormat="false" ht="30" hidden="false" customHeight="true" outlineLevel="0" collapsed="false">
      <c r="A5" s="5" t="s">
        <v>862</v>
      </c>
      <c r="B5" s="5" t="s">
        <v>863</v>
      </c>
      <c r="H5" s="5" t="s">
        <v>864</v>
      </c>
      <c r="I5" s="5" t="s">
        <v>311</v>
      </c>
      <c r="J5" s="5" t="s">
        <v>865</v>
      </c>
      <c r="K5" s="5" t="s">
        <v>866</v>
      </c>
      <c r="L5" s="5" t="s">
        <v>867</v>
      </c>
      <c r="M5" s="5" t="s">
        <v>868</v>
      </c>
      <c r="N5" s="5" t="s">
        <v>869</v>
      </c>
      <c r="P5" s="5" t="s">
        <v>870</v>
      </c>
      <c r="Q5" s="5" t="s">
        <v>871</v>
      </c>
      <c r="R5" s="5" t="s">
        <v>872</v>
      </c>
      <c r="S5" s="5" t="s">
        <v>873</v>
      </c>
      <c r="T5" s="5" t="s">
        <v>874</v>
      </c>
    </row>
    <row r="6" customFormat="false" ht="15" hidden="false" customHeight="false" outlineLevel="0" collapsed="false">
      <c r="A6" s="11" t="s">
        <v>875</v>
      </c>
      <c r="B6" s="6" t="s">
        <v>805</v>
      </c>
      <c r="H6" s="9" t="n">
        <f aca="false">SUMIFS($AA$36:$AA$127,$C$36:$C$127,$A6)</f>
        <v>26511.85</v>
      </c>
      <c r="I6" s="9" t="n">
        <f aca="false">SUMIFS($AN$36:$AN$127,$C$36:$C$127,$A6)</f>
        <v>541663321.142672</v>
      </c>
      <c r="J6" s="9" t="n">
        <f aca="false">SUMIFS($AI$36:$AI$127,$C$36:$C$127,$A6)</f>
        <v>504666414.51934</v>
      </c>
      <c r="K6" s="9" t="n">
        <f aca="false">I6-J6</f>
        <v>36996906.623332</v>
      </c>
      <c r="L6" s="21" t="n">
        <f aca="false">IF(I6=0,0,K6/I6)</f>
        <v>0.0683024033181438</v>
      </c>
      <c r="M6" s="9" t="n">
        <f aca="false">IF(H6=0,0,I6/H6)</f>
        <v>20430.9892045509</v>
      </c>
      <c r="N6" s="9" t="n">
        <f aca="false">IF(H6=0,0,J6/H6)</f>
        <v>19035.503539713</v>
      </c>
      <c r="P6" s="9" t="n">
        <f aca="false">SUMIFS($AR$36:$AR$127,$C$36:$C$127,$A6)</f>
        <v>13153.5643980114</v>
      </c>
      <c r="Q6" s="9" t="n">
        <f aca="false">SUMIFS($AV$36:$AV$127,$C$36:$C$127,$A6)</f>
        <v>431532763.016228</v>
      </c>
      <c r="R6" s="9" t="n">
        <f aca="false">SUMPRODUCT(($C$36:$C$127=$A6)*$AR$36:$AR$127*$BA$36:$BA$127)</f>
        <v>393605096.157241</v>
      </c>
      <c r="S6" s="9" t="n">
        <f aca="false">Q6-R6</f>
        <v>37927666.8589869</v>
      </c>
      <c r="T6" s="21" t="n">
        <f aca="false">IF(Q6=0,0,S6/Q6)</f>
        <v>0.0878905847006583</v>
      </c>
    </row>
    <row r="7" customFormat="false" ht="15" hidden="false" customHeight="false" outlineLevel="0" collapsed="false">
      <c r="A7" s="11" t="s">
        <v>875</v>
      </c>
      <c r="B7" s="6" t="s">
        <v>806</v>
      </c>
      <c r="H7" s="9" t="n">
        <f aca="false">SUMIFS($AB$36:$AB$127,$C$36:$C$127,$A7)</f>
        <v>3176.24</v>
      </c>
      <c r="I7" s="9" t="n">
        <f aca="false">SUMIFS($AO$36:$AO$127,$C$36:$C$127,$A7)</f>
        <v>81468139.6018553</v>
      </c>
      <c r="J7" s="9" t="n">
        <f aca="false">SUMIFS($AJ$36:$AJ$127,$C$36:$C$127,$A7)</f>
        <v>71048494.8798225</v>
      </c>
      <c r="K7" s="9" t="n">
        <f aca="false">I7-J7</f>
        <v>10419644.7220328</v>
      </c>
      <c r="L7" s="21" t="n">
        <f aca="false">IF(I7=0,0,K7/I7)</f>
        <v>0.127898400196136</v>
      </c>
      <c r="M7" s="9" t="n">
        <f aca="false">IF(H7=0,0,I7/H7)</f>
        <v>25649.2392268391</v>
      </c>
      <c r="N7" s="9" t="n">
        <f aca="false">IF(H7=0,0,J7/H7)</f>
        <v>22368.7425634784</v>
      </c>
      <c r="P7" s="9" t="n">
        <f aca="false">SUMIFS($AS$36:$AS$127,$C$36:$C$127,$A7)</f>
        <v>1967.76367349568</v>
      </c>
      <c r="Q7" s="9" t="n">
        <f aca="false">SUMIFS($AW$36:$AW$127,$C$36:$C$127,$A7)</f>
        <v>74005647.8792092</v>
      </c>
      <c r="R7" s="9" t="n">
        <f aca="false">SUMPRODUCT(($C$36:$C$127=$A7)*$AS$36:$AS$127*$BA$36:$BA$127)</f>
        <v>64438316.8158464</v>
      </c>
      <c r="S7" s="9" t="n">
        <f aca="false">Q7-R7</f>
        <v>9567331.06336286</v>
      </c>
      <c r="T7" s="21" t="n">
        <f aca="false">IF(Q7=0,0,S7/Q7)</f>
        <v>0.129278390738211</v>
      </c>
    </row>
    <row r="8" customFormat="false" ht="15" hidden="false" customHeight="false" outlineLevel="0" collapsed="false">
      <c r="A8" s="11" t="s">
        <v>875</v>
      </c>
      <c r="B8" s="6" t="s">
        <v>807</v>
      </c>
      <c r="H8" s="9" t="n">
        <f aca="false">SUMIFS($AC$36:$AC$127,$C$36:$C$127,$A8)</f>
        <v>56796.15</v>
      </c>
      <c r="I8" s="9" t="n">
        <f aca="false">SUMIFS($AP$36:$AP$127,$C$36:$C$127,$A8)</f>
        <v>1750432695.5689</v>
      </c>
      <c r="J8" s="9" t="n">
        <f aca="false">SUMIFS($AK$36:$AK$127,$C$36:$C$127,$A8)</f>
        <v>1866573064.18159</v>
      </c>
      <c r="K8" s="9" t="n">
        <f aca="false">I8-J8</f>
        <v>-116140368.612696</v>
      </c>
      <c r="L8" s="21" t="n">
        <f aca="false">IF(I8=0,0,K8/I8)</f>
        <v>-0.0663495196968711</v>
      </c>
      <c r="M8" s="9" t="n">
        <f aca="false">IF(H8=0,0,I8/H8)</f>
        <v>30819.5660369391</v>
      </c>
      <c r="N8" s="9" t="n">
        <f aca="false">IF(H8=0,0,J8/H8)</f>
        <v>32864.429440756</v>
      </c>
      <c r="P8" s="9" t="n">
        <f aca="false">SUMIFS($AT$36:$AT$127,$C$36:$C$127,$A8)</f>
        <v>71362.9119284929</v>
      </c>
      <c r="Q8" s="9" t="n">
        <f aca="false">SUMIFS($AX$36:$AX$127,$C$36:$C$127,$A8)</f>
        <v>1868025745.41799</v>
      </c>
      <c r="R8" s="9" t="n">
        <f aca="false">SUMPRODUCT(($C$36:$C$127=$A8)*$AT$36:$AT$127*$BA$36:$BA$127)</f>
        <v>1984244560.60767</v>
      </c>
      <c r="S8" s="9" t="n">
        <f aca="false">Q8-R8</f>
        <v>-116218815.189681</v>
      </c>
      <c r="T8" s="21" t="n">
        <f aca="false">IF(Q8=0,0,S8/Q8)</f>
        <v>-0.0622147823576574</v>
      </c>
    </row>
    <row r="9" customFormat="false" ht="15" hidden="false" customHeight="false" outlineLevel="0" collapsed="false">
      <c r="A9" s="11" t="s">
        <v>875</v>
      </c>
      <c r="B9" s="6" t="s">
        <v>876</v>
      </c>
      <c r="H9" s="9" t="n">
        <v>0</v>
      </c>
      <c r="I9" s="9" t="n">
        <v>0</v>
      </c>
      <c r="J9" s="9" t="n">
        <f aca="false">SUMIFS($AL$36:$AL$127,$C$36:$C$127,$A9)</f>
        <v>0</v>
      </c>
      <c r="K9" s="9" t="n">
        <f aca="false">I9-J9</f>
        <v>0</v>
      </c>
      <c r="L9" s="21" t="n">
        <f aca="false">IF(I9=0,0,K9/I9)</f>
        <v>0</v>
      </c>
      <c r="M9" s="9" t="n">
        <f aca="false">IF(H9=0,0,I9/H9)</f>
        <v>0</v>
      </c>
      <c r="N9" s="9" t="n">
        <f aca="false">IF(H9=0,0,J9/H9)</f>
        <v>0</v>
      </c>
      <c r="P9" s="9" t="n">
        <v>0</v>
      </c>
      <c r="Q9" s="9" t="n">
        <v>0</v>
      </c>
      <c r="R9" s="9" t="n">
        <f aca="false">SUMIFS($AY$36:$AY$127,$C$36:$C$127,$A9)</f>
        <v>0</v>
      </c>
      <c r="S9" s="9" t="n">
        <f aca="false">Q9-R9</f>
        <v>0</v>
      </c>
      <c r="T9" s="21" t="n">
        <f aca="false">IF(Q9=0,0,S9/Q9)</f>
        <v>0</v>
      </c>
    </row>
    <row r="10" customFormat="false" ht="15" hidden="false" customHeight="false" outlineLevel="0" collapsed="false">
      <c r="A10" s="25" t="s">
        <v>875</v>
      </c>
      <c r="B10" s="25" t="s">
        <v>877</v>
      </c>
      <c r="H10" s="26" t="n">
        <f aca="false">SUM(H6:H9)</f>
        <v>86484.24</v>
      </c>
      <c r="I10" s="26" t="n">
        <f aca="false">SUM(I6:I9)</f>
        <v>2373564156.31342</v>
      </c>
      <c r="J10" s="26" t="n">
        <f aca="false">SUM(J6:J9)</f>
        <v>2442287973.58075</v>
      </c>
      <c r="K10" s="26" t="n">
        <f aca="false">I10-J10</f>
        <v>-68723817.2673307</v>
      </c>
      <c r="L10" s="27" t="n">
        <f aca="false">IF(I10=0,0,K10/I10)</f>
        <v>-0.0289538486181352</v>
      </c>
      <c r="M10" s="26" t="n">
        <f aca="false">IF(H10=0,0,I10/H10)</f>
        <v>27445.0484425073</v>
      </c>
      <c r="N10" s="26" t="n">
        <f aca="false">IF(H10=0,0,J10/H10)</f>
        <v>28239.688220429</v>
      </c>
      <c r="P10" s="26" t="n">
        <f aca="false">SUM(P6:P9)</f>
        <v>86484.24</v>
      </c>
      <c r="Q10" s="26" t="n">
        <f aca="false">SUM(Q6:Q9)</f>
        <v>2373564156.31342</v>
      </c>
      <c r="R10" s="26" t="n">
        <f aca="false">SUM(R6:R9)</f>
        <v>2442287973.58076</v>
      </c>
      <c r="S10" s="26" t="n">
        <f aca="false">Q10-R10</f>
        <v>-68723817.2673311</v>
      </c>
      <c r="T10" s="27" t="n">
        <f aca="false">IF(Q10=0,0,S10/Q10)</f>
        <v>-0.0289538486181354</v>
      </c>
    </row>
    <row r="12" customFormat="false" ht="15" hidden="false" customHeight="false" outlineLevel="0" collapsed="false">
      <c r="A12" s="11" t="s">
        <v>878</v>
      </c>
      <c r="B12" s="6" t="s">
        <v>805</v>
      </c>
      <c r="H12" s="9" t="n">
        <f aca="false">SUMIFS($AA$36:$AA$127,$C$36:$C$127,$A12)</f>
        <v>10408.05</v>
      </c>
      <c r="I12" s="9" t="n">
        <f aca="false">SUMIFS($AN$36:$AN$127,$C$36:$C$127,$A12)</f>
        <v>320324342.329987</v>
      </c>
      <c r="J12" s="9" t="n">
        <f aca="false">SUMIFS($AI$36:$AI$127,$C$36:$C$127,$A12)</f>
        <v>283985179.072039</v>
      </c>
      <c r="K12" s="9" t="n">
        <f aca="false">I12-J12</f>
        <v>36339163.2579482</v>
      </c>
      <c r="L12" s="21" t="n">
        <f aca="false">IF(I12=0,0,K12/I12)</f>
        <v>0.113444900857746</v>
      </c>
      <c r="M12" s="9" t="n">
        <f aca="false">IF(H12=0,0,I12/H12)</f>
        <v>30776.5952632806</v>
      </c>
      <c r="N12" s="9" t="n">
        <f aca="false">IF(H12=0,0,J12/H12)</f>
        <v>27285.1474648987</v>
      </c>
      <c r="P12" s="9" t="n">
        <f aca="false">SUMIFS($AR$36:$AR$127,$C$36:$C$127,$A12)</f>
        <v>2525.05</v>
      </c>
      <c r="Q12" s="9" t="n">
        <f aca="false">SUMIFS($AV$36:$AV$127,$C$36:$C$127,$A12)</f>
        <v>70379206.2451738</v>
      </c>
      <c r="R12" s="9" t="n">
        <f aca="false">SUMPRODUCT(($C$36:$C$127=$A12)*$AR$36:$AR$127*$BA$36:$BA$127)</f>
        <v>58798079.903396</v>
      </c>
      <c r="S12" s="9" t="n">
        <f aca="false">Q12-R12</f>
        <v>11581126.3417779</v>
      </c>
      <c r="T12" s="21" t="n">
        <f aca="false">IF(Q12=0,0,S12/Q12)</f>
        <v>0.164553238941538</v>
      </c>
    </row>
    <row r="13" customFormat="false" ht="15" hidden="false" customHeight="false" outlineLevel="0" collapsed="false">
      <c r="A13" s="11" t="s">
        <v>878</v>
      </c>
      <c r="B13" s="6" t="s">
        <v>843</v>
      </c>
      <c r="H13" s="9" t="n">
        <f aca="false">SUMIFS($AB$36:$AB$127,$C$36:$C$127,$A13)</f>
        <v>64495.18</v>
      </c>
      <c r="I13" s="9" t="n">
        <f aca="false">SUMIFS($AO$36:$AO$127,$C$36:$C$127,$A13)</f>
        <v>2306577326.51934</v>
      </c>
      <c r="J13" s="9" t="n">
        <f aca="false">SUMIFS($AJ$36:$AJ$127,$C$36:$C$127,$A13)</f>
        <v>1936890213.15602</v>
      </c>
      <c r="K13" s="9" t="n">
        <f aca="false">I13-J13</f>
        <v>369687113.36332</v>
      </c>
      <c r="L13" s="21" t="n">
        <f aca="false">IF(I13=0,0,K13/I13)</f>
        <v>0.160275187444586</v>
      </c>
      <c r="M13" s="9" t="n">
        <f aca="false">IF(H13=0,0,I13/H13)</f>
        <v>35763.5613470548</v>
      </c>
      <c r="N13" s="9" t="n">
        <f aca="false">IF(H13=0,0,J13/H13)</f>
        <v>30031.5498484696</v>
      </c>
      <c r="P13" s="9" t="n">
        <f aca="false">SUMIFS($AS$36:$AS$127,$C$36:$C$127,$A13)</f>
        <v>54865.03</v>
      </c>
      <c r="Q13" s="9" t="n">
        <f aca="false">SUMIFS($AW$36:$AW$127,$C$36:$C$127,$A13)</f>
        <v>2003110400.18406</v>
      </c>
      <c r="R13" s="9" t="n">
        <f aca="false">SUMPRODUCT(($C$36:$C$127=$A13)*$AS$36:$AS$127*$BA$36:$BA$127)</f>
        <v>1776100825.34855</v>
      </c>
      <c r="S13" s="9" t="n">
        <f aca="false">Q13-R13</f>
        <v>227009574.835506</v>
      </c>
      <c r="T13" s="21" t="n">
        <f aca="false">IF(Q13=0,0,S13/Q13)</f>
        <v>0.113328538863683</v>
      </c>
    </row>
    <row r="14" customFormat="false" ht="15" hidden="false" customHeight="false" outlineLevel="0" collapsed="false">
      <c r="A14" s="11" t="s">
        <v>878</v>
      </c>
      <c r="B14" s="6" t="s">
        <v>844</v>
      </c>
      <c r="H14" s="9" t="n">
        <f aca="false">SUMIFS($AC$36:$AC$127,$C$36:$C$127,$A14)</f>
        <v>91004.2</v>
      </c>
      <c r="I14" s="9" t="n">
        <f aca="false">SUMIFS($AP$36:$AP$127,$C$36:$C$127,$A14)</f>
        <v>2952645743.83725</v>
      </c>
      <c r="J14" s="9" t="n">
        <f aca="false">SUMIFS($AK$36:$AK$127,$C$36:$C$127,$A14)</f>
        <v>2870081128.8234</v>
      </c>
      <c r="K14" s="9" t="n">
        <f aca="false">I14-J14</f>
        <v>82564615.0138483</v>
      </c>
      <c r="L14" s="21" t="n">
        <f aca="false">IF(I14=0,0,K14/I14)</f>
        <v>0.0279629261946432</v>
      </c>
      <c r="M14" s="9" t="n">
        <f aca="false">IF(H14=0,0,I14/H14)</f>
        <v>32445.1590568045</v>
      </c>
      <c r="N14" s="9" t="n">
        <f aca="false">IF(H14=0,0,J14/H14)</f>
        <v>31537.8974687256</v>
      </c>
      <c r="P14" s="9" t="n">
        <f aca="false">SUMIFS($AT$36:$AT$127,$C$36:$C$127,$A14)</f>
        <v>108517.35</v>
      </c>
      <c r="Q14" s="9" t="n">
        <f aca="false">SUMIFS($AX$36:$AX$127,$C$36:$C$127,$A14)</f>
        <v>3506057806.25735</v>
      </c>
      <c r="R14" s="9" t="n">
        <f aca="false">SUMPRODUCT(($C$36:$C$127=$A14)*$AT$36:$AT$127*$BA$36:$BA$127)</f>
        <v>3256057615.79951</v>
      </c>
      <c r="S14" s="9" t="n">
        <f aca="false">Q14-R14</f>
        <v>250000190.457833</v>
      </c>
      <c r="T14" s="21" t="n">
        <f aca="false">IF(Q14=0,0,S14/Q14)</f>
        <v>0.0713052106590061</v>
      </c>
    </row>
    <row r="15" customFormat="false" ht="15" hidden="false" customHeight="false" outlineLevel="0" collapsed="false">
      <c r="A15" s="11" t="s">
        <v>878</v>
      </c>
      <c r="B15" s="6" t="s">
        <v>876</v>
      </c>
      <c r="H15" s="9" t="n">
        <v>0</v>
      </c>
      <c r="I15" s="9" t="n">
        <v>0</v>
      </c>
      <c r="J15" s="9" t="n">
        <f aca="false">SUMIFS($AL$36:$AL$127,$C$36:$C$127,$A15)</f>
        <v>0</v>
      </c>
      <c r="K15" s="9" t="n">
        <f aca="false">I15-J15</f>
        <v>0</v>
      </c>
      <c r="L15" s="21" t="n">
        <f aca="false">IF(I15=0,0,K15/I15)</f>
        <v>0</v>
      </c>
      <c r="M15" s="9" t="n">
        <f aca="false">IF(H15=0,0,I15/H15)</f>
        <v>0</v>
      </c>
      <c r="N15" s="9" t="n">
        <f aca="false">IF(H15=0,0,J15/H15)</f>
        <v>0</v>
      </c>
      <c r="P15" s="9" t="n">
        <v>0</v>
      </c>
      <c r="Q15" s="9" t="n">
        <v>0</v>
      </c>
      <c r="R15" s="9" t="n">
        <f aca="false">SUMIFS($AY$36:$AY$127,$C$36:$C$127,$A15)</f>
        <v>0</v>
      </c>
      <c r="S15" s="9" t="n">
        <f aca="false">Q15-R15</f>
        <v>0</v>
      </c>
      <c r="T15" s="21" t="n">
        <f aca="false">IF(Q15=0,0,S15/Q15)</f>
        <v>0</v>
      </c>
    </row>
    <row r="16" customFormat="false" ht="15" hidden="false" customHeight="false" outlineLevel="0" collapsed="false">
      <c r="A16" s="25" t="s">
        <v>878</v>
      </c>
      <c r="B16" s="25" t="s">
        <v>877</v>
      </c>
      <c r="H16" s="26" t="n">
        <f aca="false">SUM(H12:H15)</f>
        <v>165907.43</v>
      </c>
      <c r="I16" s="26" t="n">
        <f aca="false">SUM(I12:I15)</f>
        <v>5579547412.68658</v>
      </c>
      <c r="J16" s="26" t="n">
        <f aca="false">SUM(J12:J15)</f>
        <v>5090956521.05146</v>
      </c>
      <c r="K16" s="26" t="n">
        <f aca="false">I16-J16</f>
        <v>488590891.635117</v>
      </c>
      <c r="L16" s="27" t="n">
        <f aca="false">IF(I16=0,0,K16/I16)</f>
        <v>0.0875681942453211</v>
      </c>
      <c r="M16" s="26" t="n">
        <f aca="false">IF(H16=0,0,I16/H16)</f>
        <v>33630.4854622037</v>
      </c>
      <c r="N16" s="26" t="n">
        <f aca="false">IF(H16=0,0,J16/H16)</f>
        <v>30685.524578685</v>
      </c>
      <c r="P16" s="26" t="n">
        <f aca="false">SUM(P12:P15)</f>
        <v>165907.43</v>
      </c>
      <c r="Q16" s="26" t="n">
        <f aca="false">SUM(Q12:Q15)</f>
        <v>5579547412.68658</v>
      </c>
      <c r="R16" s="26" t="n">
        <f aca="false">SUM(R12:R15)</f>
        <v>5090956521.05146</v>
      </c>
      <c r="S16" s="26" t="n">
        <f aca="false">Q16-R16</f>
        <v>488590891.635117</v>
      </c>
      <c r="T16" s="27" t="n">
        <f aca="false">IF(Q16=0,0,S16/Q16)</f>
        <v>0.0875681942453211</v>
      </c>
    </row>
    <row r="19" customFormat="false" ht="15" hidden="false" customHeight="false" outlineLevel="0" collapsed="false">
      <c r="A19" s="18" t="s">
        <v>879</v>
      </c>
    </row>
    <row r="20" customFormat="false" ht="30" hidden="false" customHeight="true" outlineLevel="0" collapsed="false">
      <c r="A20" s="5" t="s">
        <v>862</v>
      </c>
      <c r="B20" s="5" t="s">
        <v>863</v>
      </c>
      <c r="H20" s="5" t="s">
        <v>864</v>
      </c>
      <c r="I20" s="5" t="s">
        <v>311</v>
      </c>
      <c r="J20" s="5" t="s">
        <v>865</v>
      </c>
      <c r="K20" s="5" t="s">
        <v>866</v>
      </c>
      <c r="L20" s="5" t="s">
        <v>867</v>
      </c>
      <c r="M20" s="5" t="s">
        <v>868</v>
      </c>
      <c r="N20" s="5" t="s">
        <v>869</v>
      </c>
    </row>
    <row r="21" customFormat="false" ht="15" hidden="false" customHeight="false" outlineLevel="0" collapsed="false">
      <c r="A21" s="11" t="s">
        <v>875</v>
      </c>
      <c r="B21" s="6" t="s">
        <v>880</v>
      </c>
      <c r="H21" s="9" t="n">
        <f aca="false">SUMIFS($BG$36:$BG$127,$C$36:$C$127,$A21)</f>
        <v>12009.71</v>
      </c>
      <c r="I21" s="9" t="n">
        <f aca="false">SUMIFS($BP$36:$BP$127,$C$36:$C$127,$A21)</f>
        <v>243623738.136935</v>
      </c>
      <c r="J21" s="9" t="n">
        <f aca="false">SUMIFS($BL$36:$BL$127,$C$36:$C$127,$A21)</f>
        <v>235787605.462776</v>
      </c>
      <c r="K21" s="9" t="n">
        <f aca="false">I21-J21</f>
        <v>7836132.67415831</v>
      </c>
      <c r="L21" s="21" t="n">
        <f aca="false">IF(I21=0,0,K21/I21)</f>
        <v>0.0321648979450181</v>
      </c>
      <c r="M21" s="9" t="n">
        <f aca="false">IF(H21=0,0,I21/H21)</f>
        <v>20285.5637760558</v>
      </c>
      <c r="N21" s="9" t="n">
        <f aca="false">IF(H21=0,0,J21/H21)</f>
        <v>19633.0806874418</v>
      </c>
    </row>
    <row r="22" customFormat="false" ht="15" hidden="false" customHeight="false" outlineLevel="0" collapsed="false">
      <c r="A22" s="11" t="s">
        <v>875</v>
      </c>
      <c r="B22" s="6" t="s">
        <v>806</v>
      </c>
      <c r="H22" s="9" t="n">
        <f aca="false">SUMIFS($BH$36:$BH$127,$C$36:$C$127,$A22)</f>
        <v>566.3</v>
      </c>
      <c r="I22" s="9" t="n">
        <f aca="false">SUMIFS($BQ$36:$BQ$127,$C$36:$C$127,$A22)</f>
        <v>2908421.86306542</v>
      </c>
      <c r="J22" s="9" t="n">
        <f aca="false">SUMIFS($BM$36:$BM$127,$C$36:$C$127,$A22)</f>
        <v>5342548.19302958</v>
      </c>
      <c r="K22" s="9" t="n">
        <f aca="false">I22-J22</f>
        <v>-2434126.32996417</v>
      </c>
      <c r="L22" s="21" t="n">
        <f aca="false">IF(I22=0,0,K22/I22)</f>
        <v>-0.836923405395753</v>
      </c>
      <c r="M22" s="9" t="n">
        <f aca="false">IF(H22=0,0,I22/H22)</f>
        <v>5135.8323557574</v>
      </c>
      <c r="N22" s="9" t="n">
        <f aca="false">IF(H22=0,0,J22/H22)</f>
        <v>9434.13066047957</v>
      </c>
    </row>
    <row r="23" customFormat="false" ht="15" hidden="false" customHeight="false" outlineLevel="0" collapsed="false">
      <c r="A23" s="11" t="s">
        <v>875</v>
      </c>
      <c r="B23" s="6" t="s">
        <v>876</v>
      </c>
      <c r="H23" s="9" t="n">
        <v>0</v>
      </c>
      <c r="I23" s="9" t="n">
        <v>0</v>
      </c>
      <c r="J23" s="9" t="n">
        <f aca="false">SUMIFS($BN$36:$BN$127,$C$36:$C$127,$A23)</f>
        <v>-1.16415321826935E-009</v>
      </c>
      <c r="K23" s="9" t="n">
        <f aca="false">I23-J23</f>
        <v>1.16415321826935E-009</v>
      </c>
      <c r="L23" s="21" t="n">
        <f aca="false">IF(I23=0,0,K23/I23)</f>
        <v>0</v>
      </c>
      <c r="M23" s="9" t="n">
        <f aca="false">IF(H23=0,0,I23/H23)</f>
        <v>0</v>
      </c>
      <c r="N23" s="9" t="n">
        <f aca="false">IF(H23=0,0,J23/H23)</f>
        <v>0</v>
      </c>
    </row>
    <row r="24" customFormat="false" ht="15" hidden="false" customHeight="false" outlineLevel="0" collapsed="false">
      <c r="A24" s="25" t="s">
        <v>875</v>
      </c>
      <c r="B24" s="25" t="s">
        <v>881</v>
      </c>
      <c r="H24" s="26" t="n">
        <f aca="false">SUM(H21:H23)</f>
        <v>12576.01</v>
      </c>
      <c r="I24" s="26" t="n">
        <f aca="false">SUM(I21:I23)</f>
        <v>246532160</v>
      </c>
      <c r="J24" s="26" t="n">
        <f aca="false">SUM(J21:J23)</f>
        <v>241130153.655806</v>
      </c>
      <c r="K24" s="26" t="n">
        <f aca="false">I24-J24</f>
        <v>5402006.34419414</v>
      </c>
      <c r="L24" s="27" t="n">
        <f aca="false">IF(I24=0,0,K24/I24)</f>
        <v>0.0219119742600484</v>
      </c>
      <c r="M24" s="26" t="n">
        <f aca="false">IF(H24=0,0,I24/H24)</f>
        <v>19603.3686359982</v>
      </c>
      <c r="N24" s="26" t="n">
        <f aca="false">IF(H24=0,0,J24/H24)</f>
        <v>19173.820127036</v>
      </c>
    </row>
    <row r="25" customFormat="false" ht="15" hidden="false" customHeight="false" outlineLevel="0" collapsed="false">
      <c r="A25" s="11" t="s">
        <v>878</v>
      </c>
      <c r="B25" s="6" t="s">
        <v>880</v>
      </c>
      <c r="H25" s="9" t="n">
        <f aca="false">SUMIFS($BG$36:$BG$127,$C$36:$C$127,$A25)</f>
        <v>45482.37</v>
      </c>
      <c r="I25" s="9" t="n">
        <f aca="false">SUMIFS($BP$36:$BP$127,$C$36:$C$127,$A25)</f>
        <v>1541306234.40175</v>
      </c>
      <c r="J25" s="9" t="n">
        <f aca="false">SUMIFS($BL$36:$BL$127,$C$36:$C$127,$A25)</f>
        <v>1286663871.29943</v>
      </c>
      <c r="K25" s="9" t="n">
        <f aca="false">I25-J25</f>
        <v>254642363.102316</v>
      </c>
      <c r="L25" s="21" t="n">
        <f aca="false">IF(I25=0,0,K25/I25)</f>
        <v>0.165212050284838</v>
      </c>
      <c r="M25" s="9" t="n">
        <f aca="false">IF(H25=0,0,I25/H25)</f>
        <v>33887.9929608274</v>
      </c>
      <c r="N25" s="9" t="n">
        <f aca="false">IF(H25=0,0,J25/H25)</f>
        <v>28289.288163731</v>
      </c>
    </row>
    <row r="26" customFormat="false" ht="15" hidden="false" customHeight="false" outlineLevel="0" collapsed="false">
      <c r="A26" s="11" t="s">
        <v>878</v>
      </c>
      <c r="B26" s="6" t="s">
        <v>843</v>
      </c>
      <c r="H26" s="9" t="n">
        <f aca="false">SUMIFS($BH$36:$BH$127,$C$36:$C$127,$A26)</f>
        <v>41464.33</v>
      </c>
      <c r="I26" s="9" t="n">
        <f aca="false">SUMIFS($BQ$36:$BQ$127,$C$36:$C$127,$A26)</f>
        <v>1335119553.79825</v>
      </c>
      <c r="J26" s="9" t="n">
        <f aca="false">SUMIFS($BM$36:$BM$127,$C$36:$C$127,$A26)</f>
        <v>1096371431.32376</v>
      </c>
      <c r="K26" s="9" t="n">
        <f aca="false">I26-J26</f>
        <v>238748122.474494</v>
      </c>
      <c r="L26" s="21" t="n">
        <f aca="false">IF(I26=0,0,K26/I26)</f>
        <v>0.178821530847395</v>
      </c>
      <c r="M26" s="9" t="n">
        <f aca="false">IF(H26=0,0,I26/H26)</f>
        <v>32199.2313344567</v>
      </c>
      <c r="N26" s="9" t="n">
        <f aca="false">IF(H26=0,0,J26/H26)</f>
        <v>26441.3154951197</v>
      </c>
    </row>
    <row r="27" customFormat="false" ht="15" hidden="false" customHeight="false" outlineLevel="0" collapsed="false">
      <c r="A27" s="11" t="s">
        <v>878</v>
      </c>
      <c r="B27" s="6" t="s">
        <v>876</v>
      </c>
      <c r="H27" s="9" t="n">
        <v>0</v>
      </c>
      <c r="I27" s="9" t="n">
        <v>0</v>
      </c>
      <c r="J27" s="9" t="n">
        <f aca="false">SUMIFS($BN$36:$BN$127,$C$36:$C$127,$A27)</f>
        <v>0</v>
      </c>
      <c r="K27" s="9" t="n">
        <f aca="false">I27-J27</f>
        <v>0</v>
      </c>
      <c r="L27" s="21" t="n">
        <f aca="false">IF(I27=0,0,K27/I27)</f>
        <v>0</v>
      </c>
      <c r="M27" s="9" t="n">
        <f aca="false">IF(H27=0,0,I27/H27)</f>
        <v>0</v>
      </c>
      <c r="N27" s="9" t="n">
        <f aca="false">IF(H27=0,0,J27/H27)</f>
        <v>0</v>
      </c>
    </row>
    <row r="28" customFormat="false" ht="15" hidden="false" customHeight="false" outlineLevel="0" collapsed="false">
      <c r="A28" s="25" t="s">
        <v>878</v>
      </c>
      <c r="B28" s="25" t="s">
        <v>881</v>
      </c>
      <c r="H28" s="26" t="n">
        <f aca="false">SUM(H25:H27)</f>
        <v>86946.7</v>
      </c>
      <c r="I28" s="26" t="n">
        <f aca="false">SUM(I25:I27)</f>
        <v>2876425788.2</v>
      </c>
      <c r="J28" s="26" t="n">
        <f aca="false">SUM(J25:J27)</f>
        <v>2383035302.62319</v>
      </c>
      <c r="K28" s="26" t="n">
        <f aca="false">I28-J28</f>
        <v>493390485.57681</v>
      </c>
      <c r="L28" s="27" t="n">
        <f aca="false">IF(I28=0,0,K28/I28)</f>
        <v>0.171529016184201</v>
      </c>
      <c r="M28" s="26" t="n">
        <f aca="false">IF(H28=0,0,I28/H28)</f>
        <v>33082.6332477253</v>
      </c>
      <c r="N28" s="26" t="n">
        <f aca="false">IF(H28=0,0,J28/H28)</f>
        <v>27408.0017139603</v>
      </c>
    </row>
    <row r="29" customFormat="false" ht="15" hidden="false" customHeight="false" outlineLevel="0" collapsed="false">
      <c r="A29" s="28" t="s">
        <v>882</v>
      </c>
    </row>
    <row r="35" customFormat="false" ht="43.5" hidden="false" customHeight="true" outlineLevel="0" collapsed="false">
      <c r="A35" s="5" t="s">
        <v>883</v>
      </c>
      <c r="B35" s="5" t="s">
        <v>182</v>
      </c>
      <c r="C35" s="5" t="s">
        <v>862</v>
      </c>
      <c r="D35" s="5" t="s">
        <v>224</v>
      </c>
      <c r="E35" s="5" t="s">
        <v>225</v>
      </c>
      <c r="F35" s="5" t="s">
        <v>884</v>
      </c>
      <c r="G35" s="5" t="s">
        <v>885</v>
      </c>
      <c r="H35" s="5" t="s">
        <v>886</v>
      </c>
      <c r="I35" s="5" t="s">
        <v>887</v>
      </c>
      <c r="J35" s="5" t="s">
        <v>888</v>
      </c>
      <c r="K35" s="5" t="s">
        <v>889</v>
      </c>
      <c r="L35" s="5" t="s">
        <v>890</v>
      </c>
      <c r="M35" s="5" t="s">
        <v>891</v>
      </c>
      <c r="N35" s="5" t="s">
        <v>892</v>
      </c>
      <c r="O35" s="5" t="s">
        <v>893</v>
      </c>
      <c r="P35" s="5" t="s">
        <v>894</v>
      </c>
      <c r="Q35" s="5" t="s">
        <v>895</v>
      </c>
      <c r="R35" s="5" t="s">
        <v>896</v>
      </c>
      <c r="S35" s="5" t="s">
        <v>897</v>
      </c>
      <c r="T35" s="5" t="s">
        <v>898</v>
      </c>
      <c r="U35" s="5" t="s">
        <v>899</v>
      </c>
      <c r="V35" s="5" t="s">
        <v>900</v>
      </c>
      <c r="W35" s="5" t="s">
        <v>901</v>
      </c>
      <c r="X35" s="5" t="s">
        <v>902</v>
      </c>
      <c r="Y35" s="5" t="s">
        <v>903</v>
      </c>
      <c r="Z35" s="5" t="s">
        <v>904</v>
      </c>
      <c r="AA35" s="5" t="s">
        <v>905</v>
      </c>
      <c r="AB35" s="5" t="s">
        <v>906</v>
      </c>
      <c r="AC35" s="5" t="s">
        <v>907</v>
      </c>
      <c r="AD35" s="5" t="s">
        <v>908</v>
      </c>
      <c r="AE35" s="5" t="s">
        <v>909</v>
      </c>
      <c r="AF35" s="5" t="s">
        <v>910</v>
      </c>
      <c r="AG35" s="5" t="s">
        <v>911</v>
      </c>
      <c r="AH35" s="5" t="s">
        <v>912</v>
      </c>
      <c r="AI35" s="5" t="s">
        <v>913</v>
      </c>
      <c r="AJ35" s="5" t="s">
        <v>914</v>
      </c>
      <c r="AK35" s="5" t="s">
        <v>915</v>
      </c>
      <c r="AL35" s="5" t="s">
        <v>916</v>
      </c>
      <c r="AM35" s="5" t="s">
        <v>917</v>
      </c>
      <c r="AN35" s="5" t="s">
        <v>918</v>
      </c>
      <c r="AO35" s="5" t="s">
        <v>919</v>
      </c>
      <c r="AP35" s="5" t="s">
        <v>920</v>
      </c>
      <c r="AQ35" s="5" t="s">
        <v>921</v>
      </c>
      <c r="AR35" s="5" t="s">
        <v>922</v>
      </c>
      <c r="AS35" s="5" t="s">
        <v>923</v>
      </c>
      <c r="AT35" s="5" t="s">
        <v>924</v>
      </c>
      <c r="AU35" s="5" t="s">
        <v>925</v>
      </c>
      <c r="AV35" s="5" t="s">
        <v>926</v>
      </c>
      <c r="AW35" s="5" t="s">
        <v>927</v>
      </c>
      <c r="AX35" s="5" t="s">
        <v>928</v>
      </c>
      <c r="AY35" s="5" t="s">
        <v>929</v>
      </c>
      <c r="AZ35" s="5" t="s">
        <v>930</v>
      </c>
      <c r="BA35" s="5" t="s">
        <v>931</v>
      </c>
      <c r="BB35" s="5" t="s">
        <v>932</v>
      </c>
      <c r="BC35" s="5" t="s">
        <v>933</v>
      </c>
      <c r="BD35" s="5" t="s">
        <v>934</v>
      </c>
      <c r="BE35" s="5" t="s">
        <v>935</v>
      </c>
      <c r="BF35" s="5" t="s">
        <v>936</v>
      </c>
      <c r="BG35" s="5" t="s">
        <v>937</v>
      </c>
      <c r="BH35" s="5" t="s">
        <v>938</v>
      </c>
      <c r="BI35" s="5" t="s">
        <v>939</v>
      </c>
      <c r="BJ35" s="5" t="s">
        <v>940</v>
      </c>
      <c r="BK35" s="5" t="s">
        <v>941</v>
      </c>
      <c r="BL35" s="5" t="s">
        <v>942</v>
      </c>
      <c r="BM35" s="5" t="s">
        <v>943</v>
      </c>
      <c r="BN35" s="5" t="s">
        <v>944</v>
      </c>
      <c r="BO35" s="5" t="s">
        <v>945</v>
      </c>
      <c r="BP35" s="5" t="s">
        <v>946</v>
      </c>
      <c r="BQ35" s="5" t="s">
        <v>947</v>
      </c>
    </row>
    <row r="36" customFormat="false" ht="15" hidden="false" customHeight="false" outlineLevel="0" collapsed="false">
      <c r="A36" s="74" t="s">
        <v>948</v>
      </c>
      <c r="B36" s="53" t="str">
        <f aca="false">INDEX(I_Items!$B$5:$B$133,MATCH($A36,I_Items!$A$5:$A$133,0))&amp;""</f>
        <v>Boneless BL Fresh Ceker</v>
      </c>
      <c r="C36" s="53" t="str">
        <f aca="false">INDEX(I_Items!$C$5:$C$133,MATCH($A36,I_Items!$A$5:$A$133,0))&amp;""</f>
        <v>RPA</v>
      </c>
      <c r="D36" s="53" t="str">
        <f aca="false">INDEX(I_Items!$D$5:$D$133,MATCH($A36,I_Items!$A$5:$A$133,0))&amp;""</f>
        <v>Ceker</v>
      </c>
      <c r="E36" s="53" t="str">
        <f aca="false">INDEX(I_Items!$F$5:$F$133,MATCH($A36,I_Items!$A$5:$A$133,0))&amp;""</f>
        <v>Fresh</v>
      </c>
      <c r="F36" s="53" t="str">
        <f aca="false">INDEX(I_Items!$E$5:$E$133,MATCH($A36,I_Items!$A$5:$A$133,0))&amp;""</f>
        <v/>
      </c>
      <c r="G36" s="6" t="str">
        <f aca="false">IF(P36=0,"-",IF(M36=0,"A",IF(K36&lt;=0,"C","B")))</f>
        <v>B</v>
      </c>
      <c r="H36" s="13" t="n">
        <f aca="false">SUMIFS('MA Engine'!$K$6:$K$1110,'MA Engine'!$B$6:$B$1110,$A36,'MA Engine'!$I$6:$I$1110,"Opening")</f>
        <v>1416.94</v>
      </c>
      <c r="I36" s="13" t="n">
        <f aca="false">SUMIFS('MA Engine'!$K$6:$K$1110,'MA Engine'!$B$6:$B$1110,$A36,'MA Engine'!$H$6:$H$1110,7,'MA Engine'!$I$6:$I$1110,"&lt;&gt;Opening")</f>
        <v>0</v>
      </c>
      <c r="J36" s="13" t="n">
        <f aca="false">SUMIFS('MA Engine'!$W$6:$W$1110,'MA Engine'!$B$6:$B$1110,$A36,'MA Engine'!$H$6:$H$1110,7)</f>
        <v>0</v>
      </c>
      <c r="K36" s="14" t="n">
        <f aca="false">H36+I36-J36</f>
        <v>1416.94</v>
      </c>
      <c r="L36" s="7" t="n">
        <f aca="false">SUMIFS('MA Engine'!$L$6:$L$1110,'MA Engine'!$B$6:$B$1110,$A36,'MA Engine'!$I$6:$I$1110,"Opening")+SUMIFS('MA Engine'!$L$6:$L$1110,'MA Engine'!$B$6:$B$1110,$A36,'MA Engine'!$H$6:$H$1110,7,'MA Engine'!$I$6:$I$1110,"&lt;&gt;Opening")-SUMIFS('MA Engine'!$X$6:$X$1110,'MA Engine'!$B$6:$B$1110,$A36,'MA Engine'!$H$6:$H$1110,7)</f>
        <v>12528305.73</v>
      </c>
      <c r="M36" s="13" t="n">
        <f aca="false">SUMIFS('MA Engine'!$K$6:$K$1110,'MA Engine'!$B$6:$B$1110,$A36,'MA Engine'!$H$6:$H$1110,8)</f>
        <v>3882.5</v>
      </c>
      <c r="N36" s="7" t="n">
        <f aca="false">SUMIFS('MA Engine'!$L$6:$L$1110,'MA Engine'!$B$6:$B$1110,$A36,'MA Engine'!$H$6:$H$1110,8)</f>
        <v>65077534.32</v>
      </c>
      <c r="O36" s="13" t="n">
        <f aca="false">SUMIFS('MA Engine'!$W$6:$W$1110,'MA Engine'!$B$6:$B$1110,$A36,'MA Engine'!$H$6:$H$1110,8)</f>
        <v>3666.8</v>
      </c>
      <c r="P36" s="14" t="n">
        <f aca="false">Q36+R36</f>
        <v>3666.8</v>
      </c>
      <c r="Q36" s="13" t="n">
        <f aca="false">SUMIFS('MA Engine'!$W$6:$W$1110,'MA Engine'!$B$6:$B$1110,$A36,'MA Engine'!$H$6:$H$1110,8,'MA Engine'!$I$6:$I$1110,"DO",'MA Engine'!$P$6:$P$1110,"&lt;&gt;Y")</f>
        <v>3666.8</v>
      </c>
      <c r="R36" s="13" t="n">
        <f aca="false">SUMIFS('MA Engine'!$W$6:$W$1110,'MA Engine'!$B$6:$B$1110,$A36,'MA Engine'!$H$6:$H$1110,8,'MA Engine'!$I$6:$I$1110,"Unbilled")</f>
        <v>0</v>
      </c>
      <c r="S36" s="13" t="n">
        <f aca="false">SUMIFS('MA Engine'!$W$6:$W$1110,'MA Engine'!$B$6:$B$1110,$A36,'MA Engine'!$H$6:$H$1110,8,'MA Engine'!$P$6:$P$1110,"Y")</f>
        <v>0</v>
      </c>
      <c r="T36" s="14" t="n">
        <f aca="false">O36-P36-S36</f>
        <v>0</v>
      </c>
      <c r="U36" s="14" t="n">
        <f aca="false">MAX(0,H36-J36)</f>
        <v>1416.94</v>
      </c>
      <c r="V36" s="14" t="n">
        <f aca="false">MAX(0,K36-U36)</f>
        <v>0</v>
      </c>
      <c r="W36" s="14" t="n">
        <f aca="false">MIN(U36,O36)</f>
        <v>1416.94</v>
      </c>
      <c r="X36" s="14" t="n">
        <f aca="false">MIN(V36,O36-W36)</f>
        <v>0</v>
      </c>
      <c r="Y36" s="14" t="n">
        <f aca="false">O36-W36-X36</f>
        <v>2249.86</v>
      </c>
      <c r="Z36" s="21" t="n">
        <f aca="false">IF(O36=0,0,P36/O36)</f>
        <v>1</v>
      </c>
      <c r="AA36" s="13" t="n">
        <f aca="false">SUMIFS('MA Engine'!$AH$6:$AH$1110,'MA Engine'!$B$6:$B$1110,$A36,'MA Engine'!$H$6:$H$1110,8,'MA Engine'!$I$6:$I$1110,"DO",'MA Engine'!$P$6:$P$1110,"&lt;&gt;Y")+SUMIFS('MA Engine'!$AH$6:$AH$1110,'MA Engine'!$B$6:$B$1110,$A36,'MA Engine'!$H$6:$H$1110,8,'MA Engine'!$I$6:$I$1110,"Unbilled")</f>
        <v>1416.94</v>
      </c>
      <c r="AB36" s="13" t="n">
        <f aca="false">SUMIFS('MA Engine'!$AI$6:$AI$1110,'MA Engine'!$B$6:$B$1110,$A36,'MA Engine'!$H$6:$H$1110,8,'MA Engine'!$I$6:$I$1110,"DO",'MA Engine'!$P$6:$P$1110,"&lt;&gt;Y")+SUMIFS('MA Engine'!$AI$6:$AI$1110,'MA Engine'!$B$6:$B$1110,$A36,'MA Engine'!$H$6:$H$1110,8,'MA Engine'!$I$6:$I$1110,"Unbilled")</f>
        <v>0</v>
      </c>
      <c r="AC36" s="13" t="n">
        <f aca="false">SUMIFS('MA Engine'!$AJ$6:$AJ$1110,'MA Engine'!$B$6:$B$1110,$A36,'MA Engine'!$H$6:$H$1110,8,'MA Engine'!$I$6:$I$1110,"DO",'MA Engine'!$P$6:$P$1110,"&lt;&gt;Y")+SUMIFS('MA Engine'!$AJ$6:$AJ$1110,'MA Engine'!$B$6:$B$1110,$A36,'MA Engine'!$H$6:$H$1110,8,'MA Engine'!$I$6:$I$1110,"Unbilled")</f>
        <v>2249.86</v>
      </c>
      <c r="AD36" s="7" t="n">
        <f aca="false">SUMIFS('MA Engine'!$L$6:$L$1110,'MA Engine'!$B$6:$B$1110,$A36,'MA Engine'!$H$6:$H$1110,7,'MA Engine'!$I$6:$I$1110,"&lt;&gt;Opening")</f>
        <v>0</v>
      </c>
      <c r="AE36" s="9" t="n">
        <f aca="false">IF(AND(U36&gt;0.0001,(L36-V36*IF(I36&gt;0,AD36/I36,IF(K36&gt;0,L36/K36,0)))&lt;0),IF(K36&gt;0,L36/K36,0),IF(I36&gt;0,AD36/I36,IF(K36&gt;0,L36/K36,0)))</f>
        <v>8841.80397899699</v>
      </c>
      <c r="AF36" s="9" t="n">
        <f aca="false">IF(U36&lt;=0.0001,IF(K36&gt;0,L36/K36,0),IF((L36-V36*IF(I36&gt;0,AD36/I36,IF(K36&gt;0,L36/K36,0)))&lt;0,IF(K36&gt;0,L36/K36,0),(L36-V36*IF(I36&gt;0,AD36/I36,IF(K36&gt;0,L36/K36,0)))/U36))</f>
        <v>8841.80397899699</v>
      </c>
      <c r="AG36" s="9" t="n">
        <f aca="false">IF(M36&gt;0,N36/M36,IF(K36&gt;0,L36/K36,0))</f>
        <v>16761.7602884739</v>
      </c>
      <c r="AH36" s="7" t="n">
        <f aca="false">SUMIFS('MA Engine'!$X$6:$X$1110,'MA Engine'!$B$6:$B$1110,$A36,'MA Engine'!$H$6:$H$1110,8,'MA Engine'!$I$6:$I$1110,"DO",'MA Engine'!$P$6:$P$1110,"&lt;&gt;Y")+SUMIFS('MA Engine'!$X$6:$X$1110,'MA Engine'!$B$6:$B$1110,$A36,'MA Engine'!$H$6:$H$1110,8,'MA Engine'!$I$6:$I$1110,"Unbilled")</f>
        <v>50747540.9406448</v>
      </c>
      <c r="AI36" s="7" t="n">
        <f aca="false">SUMIFS('MA Engine'!$AK$6:$AK$1110,'MA Engine'!$B$6:$B$1110,$A36,'MA Engine'!$H$6:$H$1110,8,'MA Engine'!$I$6:$I$1110,"DO",'MA Engine'!$P$6:$P$1110,"&lt;&gt;Y")+SUMIFS('MA Engine'!$AK$6:$AK$1110,'MA Engine'!$B$6:$B$1110,$A36,'MA Engine'!$H$6:$H$1110,8,'MA Engine'!$I$6:$I$1110,"Unbilled")</f>
        <v>15746645.6315187</v>
      </c>
      <c r="AJ36" s="7" t="n">
        <f aca="false">SUMIFS('MA Engine'!$AL$6:$AL$1110,'MA Engine'!$B$6:$B$1110,$A36,'MA Engine'!$H$6:$H$1110,8,'MA Engine'!$I$6:$I$1110,"DO",'MA Engine'!$P$6:$P$1110,"&lt;&gt;Y")+SUMIFS('MA Engine'!$AL$6:$AL$1110,'MA Engine'!$B$6:$B$1110,$A36,'MA Engine'!$H$6:$H$1110,8,'MA Engine'!$I$6:$I$1110,"Unbilled")</f>
        <v>0</v>
      </c>
      <c r="AK36" s="7" t="n">
        <f aca="false">SUMIFS('MA Engine'!$AM$6:$AM$1110,'MA Engine'!$B$6:$B$1110,$A36,'MA Engine'!$H$6:$H$1110,8,'MA Engine'!$I$6:$I$1110,"DO",'MA Engine'!$P$6:$P$1110,"&lt;&gt;Y")+SUMIFS('MA Engine'!$AM$6:$AM$1110,'MA Engine'!$B$6:$B$1110,$A36,'MA Engine'!$H$6:$H$1110,8,'MA Engine'!$I$6:$I$1110,"Unbilled")</f>
        <v>35000895.3091261</v>
      </c>
      <c r="AL36" s="9" t="n">
        <f aca="false">AH36-AI36-AJ36-AK36</f>
        <v>0</v>
      </c>
      <c r="AM36" s="7" t="n">
        <f aca="false">IF(Q36=0,0,IF($D36="Karkas",SUMIFS('Karkas Detail'!$E$6:$E$42,'Karkas Detail'!$A$6:$A$42,$C36,'Karkas Detail'!$B$6:$B$42,$F36,'Karkas Detail'!$C$6:$C$42,$E36)/SUMIFS($Q$36:$Q$127,$C$36:$C$127,$C36,$D$36:$D$127,"Karkas",$F$36:$F$127,$F36,$E$36:$E$127,$E36),SUMIFS('Data SKU'!$G$5:$G$116,'Data SKU'!$A$5:$A$116,$C36,'Data SKU'!$B$5:$B$116,$D36,'Data SKU'!$C$5:$C$116,$E36,'Data SKU'!$D$5:$D$116,8,'Data SKU'!$N$5:$N$116,"Invoiced")/SUMIFS($Q$36:$Q$127,$C$36:$C$127,$C36,$D$36:$D$127,$D36,$E$36:$E$127,$E36))*Q36)+SUMIFS(Unbilled!$U$22:$U$38,Unbilled!$E$22:$E$38,$A36)</f>
        <v>11370200</v>
      </c>
      <c r="AN36" s="9" t="n">
        <f aca="false">IF(P36=0,0,AM36*AA36/P36)</f>
        <v>4393719.6432857</v>
      </c>
      <c r="AO36" s="9" t="n">
        <f aca="false">IF(P36=0,0,AM36*AB36/P36)</f>
        <v>0</v>
      </c>
      <c r="AP36" s="9" t="n">
        <f aca="false">IF(P36=0,0,AM36*AC36/P36)</f>
        <v>6976480.3567143</v>
      </c>
      <c r="AQ36" s="14" t="n">
        <f aca="false">MIN(U36+V36,MAX(0,O36-M36))</f>
        <v>0</v>
      </c>
      <c r="AR36" s="14" t="n">
        <f aca="false">MAX(0,AQ36-V36)*Z36</f>
        <v>0</v>
      </c>
      <c r="AS36" s="14" t="n">
        <f aca="false">MIN(V36,AQ36)*Z36</f>
        <v>0</v>
      </c>
      <c r="AT36" s="14" t="n">
        <f aca="false">(O36-AQ36)*Z36</f>
        <v>3666.8</v>
      </c>
      <c r="AU36" s="9" t="n">
        <f aca="false">(AR36+AS36+AT36)*BA36</f>
        <v>50747540.9406448</v>
      </c>
      <c r="AV36" s="9" t="n">
        <f aca="false">IF(P36=0,0,AM36*AR36/P36)</f>
        <v>0</v>
      </c>
      <c r="AW36" s="9" t="n">
        <f aca="false">IF(P36=0,0,AM36*AS36/P36)</f>
        <v>0</v>
      </c>
      <c r="AX36" s="9" t="n">
        <f aca="false">IF(P36=0,0,AM36*AT36/P36)</f>
        <v>11370200</v>
      </c>
      <c r="AY36" s="9" t="n">
        <f aca="false">AH36-AU36</f>
        <v>0</v>
      </c>
      <c r="AZ36" s="9" t="n">
        <f aca="false">IF(M36&gt;0,P36*AG36,0)</f>
        <v>61462022.6257762</v>
      </c>
      <c r="BA36" s="9" t="n">
        <f aca="false">IF(P36=0,0,AH36/P36)</f>
        <v>13839.7351752604</v>
      </c>
      <c r="BB36" s="74" t="s">
        <v>836</v>
      </c>
      <c r="BC36" s="13" t="n">
        <f aca="false">SUMIFS('MA Engine'!$W$6:$W$1110,'MA Engine'!$B$6:$B$1110,$A36,'MA Engine'!$H$6:$H$1110,7,'MA Engine'!$I$6:$I$1110,"DO")</f>
        <v>0</v>
      </c>
      <c r="BD36" s="14" t="n">
        <f aca="false">MIN(MAX(0,H36),J36)</f>
        <v>0</v>
      </c>
      <c r="BE36" s="14" t="n">
        <f aca="false">J36-BD36</f>
        <v>0</v>
      </c>
      <c r="BF36" s="21" t="n">
        <f aca="false">IF(J36=0,0,BC36/J36)</f>
        <v>0</v>
      </c>
      <c r="BG36" s="13" t="n">
        <f aca="false">SUMIFS('MA Engine'!$AH$6:$AH$1110,'MA Engine'!$B$6:$B$1110,$A36,'MA Engine'!$H$6:$H$1110,7,'MA Engine'!$I$6:$I$1110,"DO")</f>
        <v>0</v>
      </c>
      <c r="BH36" s="13" t="n">
        <f aca="false">SUMIFS('MA Engine'!$AI$6:$AI$1110,'MA Engine'!$B$6:$B$1110,$A36,'MA Engine'!$H$6:$H$1110,7,'MA Engine'!$I$6:$I$1110,"DO")+SUMIFS('MA Engine'!$AJ$6:$AJ$1110,'MA Engine'!$B$6:$B$1110,$A36,'MA Engine'!$H$6:$H$1110,7,'MA Engine'!$I$6:$I$1110,"DO")</f>
        <v>0</v>
      </c>
      <c r="BI36" s="7" t="n">
        <f aca="false">IF(H36&gt;0,SUMIFS('MA Engine'!$L$6:$L$1110,'MA Engine'!$B$6:$B$1110,$A36,'MA Engine'!$I$6:$I$1110,"Opening")/H36,0)</f>
        <v>8841.80397899699</v>
      </c>
      <c r="BJ36" s="9" t="n">
        <f aca="false">IF(I36&gt;0,AD36/I36,BI36)</f>
        <v>8841.80397899699</v>
      </c>
      <c r="BK36" s="7" t="n">
        <f aca="false">SUMIFS('MA Engine'!$X$6:$X$1110,'MA Engine'!$B$6:$B$1110,$A36,'MA Engine'!$H$6:$H$1110,7,'MA Engine'!$I$6:$I$1110,"DO")</f>
        <v>0</v>
      </c>
      <c r="BL36" s="7" t="n">
        <f aca="false">SUMIFS('MA Engine'!$AK$6:$AK$1110,'MA Engine'!$B$6:$B$1110,$A36,'MA Engine'!$H$6:$H$1110,7,'MA Engine'!$I$6:$I$1110,"DO")</f>
        <v>0</v>
      </c>
      <c r="BM36" s="7" t="n">
        <f aca="false">SUMIFS('MA Engine'!$AL$6:$AL$1110,'MA Engine'!$B$6:$B$1110,$A36,'MA Engine'!$H$6:$H$1110,7,'MA Engine'!$I$6:$I$1110,"DO")+SUMIFS('MA Engine'!$AM$6:$AM$1110,'MA Engine'!$B$6:$B$1110,$A36,'MA Engine'!$H$6:$H$1110,7,'MA Engine'!$I$6:$I$1110,"DO")</f>
        <v>0</v>
      </c>
      <c r="BN36" s="9" t="n">
        <f aca="false">BK36-BL36-BM36</f>
        <v>0</v>
      </c>
      <c r="BO36" s="7" t="n">
        <f aca="false">IF(BC36=0,0,SUMIFS('Data SKU'!$G$5:$G$116,'Data SKU'!$A$5:$A$116,$C36,'Data SKU'!$B$5:$B$116,$D36,'Data SKU'!$C$5:$C$116,$E36,'Data SKU'!$D$5:$D$116,7,'Data SKU'!$N$5:$N$116,"Invoiced")/SUMIFS($BC$36:$BC$127,$C$36:$C$127,$C36,$D$36:$D$127,$D36,$E$36:$E$127,$E36)*BC36)</f>
        <v>0</v>
      </c>
      <c r="BP36" s="9" t="n">
        <f aca="false">IF(BC36=0,0,BO36*BG36/BC36)</f>
        <v>0</v>
      </c>
      <c r="BQ36" s="9" t="n">
        <f aca="false">IF(BC36=0,0,BO36*BH36/BC36)</f>
        <v>0</v>
      </c>
    </row>
    <row r="37" customFormat="false" ht="15" hidden="false" customHeight="false" outlineLevel="0" collapsed="false">
      <c r="A37" s="74" t="s">
        <v>949</v>
      </c>
      <c r="B37" s="53" t="str">
        <f aca="false">INDEX(I_Items!$B$5:$B$133,MATCH($A37,I_Items!$A$5:$A$133,0))&amp;""</f>
        <v>Boneless BL Fresh HJA</v>
      </c>
      <c r="C37" s="53" t="str">
        <f aca="false">INDEX(I_Items!$C$5:$C$133,MATCH($A37,I_Items!$A$5:$A$133,0))&amp;""</f>
        <v>RPA</v>
      </c>
      <c r="D37" s="53" t="str">
        <f aca="false">INDEX(I_Items!$D$5:$D$133,MATCH($A37,I_Items!$A$5:$A$133,0))&amp;""</f>
        <v>HJA (Hati/Jantung/Ampela)</v>
      </c>
      <c r="E37" s="53" t="str">
        <f aca="false">INDEX(I_Items!$F$5:$F$133,MATCH($A37,I_Items!$A$5:$A$133,0))&amp;""</f>
        <v>Fresh</v>
      </c>
      <c r="F37" s="53" t="str">
        <f aca="false">INDEX(I_Items!$E$5:$E$133,MATCH($A37,I_Items!$A$5:$A$133,0))&amp;""</f>
        <v/>
      </c>
      <c r="G37" s="6" t="str">
        <f aca="false">IF(P37=0,"-",IF(M37=0,"A",IF(K37&lt;=0,"C","B")))</f>
        <v>B</v>
      </c>
      <c r="H37" s="13" t="n">
        <f aca="false">SUMIFS('MA Engine'!$K$6:$K$1110,'MA Engine'!$B$6:$B$1110,$A37,'MA Engine'!$I$6:$I$1110,"Opening")</f>
        <v>4337.9</v>
      </c>
      <c r="I37" s="13" t="n">
        <f aca="false">SUMIFS('MA Engine'!$K$6:$K$1110,'MA Engine'!$B$6:$B$1110,$A37,'MA Engine'!$H$6:$H$1110,7,'MA Engine'!$I$6:$I$1110,"&lt;&gt;Opening")</f>
        <v>1300</v>
      </c>
      <c r="J37" s="13" t="n">
        <f aca="false">SUMIFS('MA Engine'!$W$6:$W$1110,'MA Engine'!$B$6:$B$1110,$A37,'MA Engine'!$H$6:$H$1110,7)</f>
        <v>367.5</v>
      </c>
      <c r="K37" s="14" t="n">
        <f aca="false">H37+I37-J37</f>
        <v>5270.4</v>
      </c>
      <c r="L37" s="7" t="n">
        <f aca="false">SUMIFS('MA Engine'!$L$6:$L$1110,'MA Engine'!$B$6:$B$1110,$A37,'MA Engine'!$I$6:$I$1110,"Opening")+SUMIFS('MA Engine'!$L$6:$L$1110,'MA Engine'!$B$6:$B$1110,$A37,'MA Engine'!$H$6:$H$1110,7,'MA Engine'!$I$6:$I$1110,"&lt;&gt;Opening")-SUMIFS('MA Engine'!$X$6:$X$1110,'MA Engine'!$B$6:$B$1110,$A37,'MA Engine'!$H$6:$H$1110,7)</f>
        <v>2672933.38668653</v>
      </c>
      <c r="M37" s="13" t="n">
        <f aca="false">SUMIFS('MA Engine'!$K$6:$K$1110,'MA Engine'!$B$6:$B$1110,$A37,'MA Engine'!$H$6:$H$1110,8)</f>
        <v>7390.8</v>
      </c>
      <c r="N37" s="7" t="n">
        <f aca="false">SUMIFS('MA Engine'!$L$6:$L$1110,'MA Engine'!$B$6:$B$1110,$A37,'MA Engine'!$H$6:$H$1110,8)</f>
        <v>42224515.44</v>
      </c>
      <c r="O37" s="13" t="n">
        <f aca="false">SUMIFS('MA Engine'!$W$6:$W$1110,'MA Engine'!$B$6:$B$1110,$A37,'MA Engine'!$H$6:$H$1110,8)</f>
        <v>6714.4</v>
      </c>
      <c r="P37" s="14" t="n">
        <f aca="false">Q37+R37</f>
        <v>6714.4</v>
      </c>
      <c r="Q37" s="13" t="n">
        <f aca="false">SUMIFS('MA Engine'!$W$6:$W$1110,'MA Engine'!$B$6:$B$1110,$A37,'MA Engine'!$H$6:$H$1110,8,'MA Engine'!$I$6:$I$1110,"DO",'MA Engine'!$P$6:$P$1110,"&lt;&gt;Y")</f>
        <v>6714.4</v>
      </c>
      <c r="R37" s="13" t="n">
        <f aca="false">SUMIFS('MA Engine'!$W$6:$W$1110,'MA Engine'!$B$6:$B$1110,$A37,'MA Engine'!$H$6:$H$1110,8,'MA Engine'!$I$6:$I$1110,"Unbilled")</f>
        <v>0</v>
      </c>
      <c r="S37" s="13" t="n">
        <f aca="false">SUMIFS('MA Engine'!$W$6:$W$1110,'MA Engine'!$B$6:$B$1110,$A37,'MA Engine'!$H$6:$H$1110,8,'MA Engine'!$P$6:$P$1110,"Y")</f>
        <v>0</v>
      </c>
      <c r="T37" s="14" t="n">
        <f aca="false">O37-P37-S37</f>
        <v>0</v>
      </c>
      <c r="U37" s="14" t="n">
        <f aca="false">MAX(0,H37-J37)</f>
        <v>3970.4</v>
      </c>
      <c r="V37" s="14" t="n">
        <f aca="false">MAX(0,K37-U37)</f>
        <v>1300</v>
      </c>
      <c r="W37" s="14" t="n">
        <f aca="false">MIN(U37,O37)</f>
        <v>3970.4</v>
      </c>
      <c r="X37" s="14" t="n">
        <f aca="false">MIN(V37,O37-W37)</f>
        <v>1300</v>
      </c>
      <c r="Y37" s="14" t="n">
        <f aca="false">O37-W37-X37</f>
        <v>1444</v>
      </c>
      <c r="Z37" s="21" t="n">
        <f aca="false">IF(O37=0,0,P37/O37)</f>
        <v>1</v>
      </c>
      <c r="AA37" s="13" t="n">
        <f aca="false">SUMIFS('MA Engine'!$AH$6:$AH$1110,'MA Engine'!$B$6:$B$1110,$A37,'MA Engine'!$H$6:$H$1110,8,'MA Engine'!$I$6:$I$1110,"DO",'MA Engine'!$P$6:$P$1110,"&lt;&gt;Y")+SUMIFS('MA Engine'!$AH$6:$AH$1110,'MA Engine'!$B$6:$B$1110,$A37,'MA Engine'!$H$6:$H$1110,8,'MA Engine'!$I$6:$I$1110,"Unbilled")</f>
        <v>3970.4</v>
      </c>
      <c r="AB37" s="13" t="n">
        <f aca="false">SUMIFS('MA Engine'!$AI$6:$AI$1110,'MA Engine'!$B$6:$B$1110,$A37,'MA Engine'!$H$6:$H$1110,8,'MA Engine'!$I$6:$I$1110,"DO",'MA Engine'!$P$6:$P$1110,"&lt;&gt;Y")+SUMIFS('MA Engine'!$AI$6:$AI$1110,'MA Engine'!$B$6:$B$1110,$A37,'MA Engine'!$H$6:$H$1110,8,'MA Engine'!$I$6:$I$1110,"Unbilled")</f>
        <v>1300</v>
      </c>
      <c r="AC37" s="13" t="n">
        <f aca="false">SUMIFS('MA Engine'!$AJ$6:$AJ$1110,'MA Engine'!$B$6:$B$1110,$A37,'MA Engine'!$H$6:$H$1110,8,'MA Engine'!$I$6:$I$1110,"DO",'MA Engine'!$P$6:$P$1110,"&lt;&gt;Y")+SUMIFS('MA Engine'!$AJ$6:$AJ$1110,'MA Engine'!$B$6:$B$1110,$A37,'MA Engine'!$H$6:$H$1110,8,'MA Engine'!$I$6:$I$1110,"Unbilled")</f>
        <v>1444</v>
      </c>
      <c r="AD37" s="7" t="n">
        <f aca="false">SUMIFS('MA Engine'!$L$6:$L$1110,'MA Engine'!$B$6:$B$1110,$A37,'MA Engine'!$H$6:$H$1110,7,'MA Engine'!$I$6:$I$1110,"&lt;&gt;Opening")</f>
        <v>0</v>
      </c>
      <c r="AE37" s="9" t="n">
        <f aca="false">IF(AND(U37&gt;0.0001,(L37-V37*IF(I37&gt;0,AD37/I37,IF(K37&gt;0,L37/K37,0)))&lt;0),IF(K37&gt;0,L37/K37,0),IF(I37&gt;0,AD37/I37,IF(K37&gt;0,L37/K37,0)))</f>
        <v>0</v>
      </c>
      <c r="AF37" s="9" t="n">
        <f aca="false">IF(U37&lt;=0.0001,IF(K37&gt;0,L37/K37,0),IF((L37-V37*IF(I37&gt;0,AD37/I37,IF(K37&gt;0,L37/K37,0)))&lt;0,IF(K37&gt;0,L37/K37,0),(L37-V37*IF(I37&gt;0,AD37/I37,IF(K37&gt;0,L37/K37,0)))/U37))</f>
        <v>673.215138697998</v>
      </c>
      <c r="AG37" s="9" t="n">
        <f aca="false">IF(M37&gt;0,N37/M37,IF(K37&gt;0,L37/K37,0))</f>
        <v>5713.11839584348</v>
      </c>
      <c r="AH37" s="7" t="n">
        <f aca="false">SUMIFS('MA Engine'!$X$6:$X$1110,'MA Engine'!$B$6:$B$1110,$A37,'MA Engine'!$H$6:$H$1110,8,'MA Engine'!$I$6:$I$1110,"DO",'MA Engine'!$P$6:$P$1110,"&lt;&gt;Y")+SUMIFS('MA Engine'!$X$6:$X$1110,'MA Engine'!$B$6:$B$1110,$A37,'MA Engine'!$H$6:$H$1110,8,'MA Engine'!$I$6:$I$1110,"Unbilled")</f>
        <v>20555649.2482591</v>
      </c>
      <c r="AI37" s="7" t="n">
        <f aca="false">SUMIFS('MA Engine'!$AK$6:$AK$1110,'MA Engine'!$B$6:$B$1110,$A37,'MA Engine'!$H$6:$H$1110,8,'MA Engine'!$I$6:$I$1110,"DO",'MA Engine'!$P$6:$P$1110,"&lt;&gt;Y")+SUMIFS('MA Engine'!$AK$6:$AK$1110,'MA Engine'!$B$6:$B$1110,$A37,'MA Engine'!$H$6:$H$1110,8,'MA Engine'!$I$6:$I$1110,"Unbilled")</f>
        <v>9709016.39713405</v>
      </c>
      <c r="AJ37" s="7" t="n">
        <f aca="false">SUMIFS('MA Engine'!$AL$6:$AL$1110,'MA Engine'!$B$6:$B$1110,$A37,'MA Engine'!$H$6:$H$1110,8,'MA Engine'!$I$6:$I$1110,"DO",'MA Engine'!$P$6:$P$1110,"&lt;&gt;Y")+SUMIFS('MA Engine'!$AL$6:$AL$1110,'MA Engine'!$B$6:$B$1110,$A37,'MA Engine'!$H$6:$H$1110,8,'MA Engine'!$I$6:$I$1110,"Unbilled")</f>
        <v>5065530.36789808</v>
      </c>
      <c r="AK37" s="7" t="n">
        <f aca="false">SUMIFS('MA Engine'!$AM$6:$AM$1110,'MA Engine'!$B$6:$B$1110,$A37,'MA Engine'!$H$6:$H$1110,8,'MA Engine'!$I$6:$I$1110,"DO",'MA Engine'!$P$6:$P$1110,"&lt;&gt;Y")+SUMIFS('MA Engine'!$AM$6:$AM$1110,'MA Engine'!$B$6:$B$1110,$A37,'MA Engine'!$H$6:$H$1110,8,'MA Engine'!$I$6:$I$1110,"Unbilled")</f>
        <v>5781102.48322695</v>
      </c>
      <c r="AL37" s="9" t="n">
        <f aca="false">AH37-AI37-AJ37-AK37</f>
        <v>0</v>
      </c>
      <c r="AM37" s="7" t="n">
        <f aca="false">IF(Q37=0,0,IF($D37="Karkas",SUMIFS('Karkas Detail'!$E$6:$E$42,'Karkas Detail'!$A$6:$A$42,$C37,'Karkas Detail'!$B$6:$B$42,$F37,'Karkas Detail'!$C$6:$C$42,$E37)/SUMIFS($Q$36:$Q$127,$C$36:$C$127,$C37,$D$36:$D$127,"Karkas",$F$36:$F$127,$F37,$E$36:$E$127,$E37),SUMIFS('Data SKU'!$G$5:$G$116,'Data SKU'!$A$5:$A$116,$C37,'Data SKU'!$B$5:$B$116,$D37,'Data SKU'!$C$5:$C$116,$E37,'Data SKU'!$D$5:$D$116,8,'Data SKU'!$N$5:$N$116,"Invoiced")/SUMIFS($Q$36:$Q$127,$C$36:$C$127,$C37,$D$36:$D$127,$D37,$E$36:$E$127,$E37))*Q37)+SUMIFS(Unbilled!$U$22:$U$38,Unbilled!$E$22:$E$38,$A37)</f>
        <v>30317650</v>
      </c>
      <c r="AN37" s="9" t="n">
        <f aca="false">IF(P37=0,0,AM37*AA37/P37)</f>
        <v>17927617.8899083</v>
      </c>
      <c r="AO37" s="9" t="n">
        <f aca="false">IF(P37=0,0,AM37*AB37/P37)</f>
        <v>5869913.17169069</v>
      </c>
      <c r="AP37" s="9" t="n">
        <f aca="false">IF(P37=0,0,AM37*AC37/P37)</f>
        <v>6520118.93840105</v>
      </c>
      <c r="AQ37" s="14" t="n">
        <f aca="false">MIN(U37+V37,MAX(0,O37-M37))</f>
        <v>0</v>
      </c>
      <c r="AR37" s="14" t="n">
        <f aca="false">MAX(0,AQ37-V37)*Z37</f>
        <v>0</v>
      </c>
      <c r="AS37" s="14" t="n">
        <f aca="false">MIN(V37,AQ37)*Z37</f>
        <v>0</v>
      </c>
      <c r="AT37" s="14" t="n">
        <f aca="false">(O37-AQ37)*Z37</f>
        <v>6714.4</v>
      </c>
      <c r="AU37" s="9" t="n">
        <f aca="false">(AR37+AS37+AT37)*BA37</f>
        <v>20555649.2482591</v>
      </c>
      <c r="AV37" s="9" t="n">
        <f aca="false">IF(P37=0,0,AM37*AR37/P37)</f>
        <v>0</v>
      </c>
      <c r="AW37" s="9" t="n">
        <f aca="false">IF(P37=0,0,AM37*AS37/P37)</f>
        <v>0</v>
      </c>
      <c r="AX37" s="9" t="n">
        <f aca="false">IF(P37=0,0,AM37*AT37/P37)</f>
        <v>30317650</v>
      </c>
      <c r="AY37" s="9" t="n">
        <f aca="false">AH37-AU37</f>
        <v>0</v>
      </c>
      <c r="AZ37" s="9" t="n">
        <f aca="false">IF(M37&gt;0,P37*AG37,0)</f>
        <v>38360162.1570515</v>
      </c>
      <c r="BA37" s="9" t="n">
        <f aca="false">IF(P37=0,0,AH37/P37)</f>
        <v>3061.42756586725</v>
      </c>
      <c r="BB37" s="74" t="s">
        <v>836</v>
      </c>
      <c r="BC37" s="13" t="n">
        <f aca="false">SUMIFS('MA Engine'!$W$6:$W$1110,'MA Engine'!$B$6:$B$1110,$A37,'MA Engine'!$H$6:$H$1110,7,'MA Engine'!$I$6:$I$1110,"DO")</f>
        <v>367.5</v>
      </c>
      <c r="BD37" s="14" t="n">
        <f aca="false">MIN(MAX(0,H37),J37)</f>
        <v>367.5</v>
      </c>
      <c r="BE37" s="14" t="n">
        <f aca="false">J37-BD37</f>
        <v>0</v>
      </c>
      <c r="BF37" s="21" t="n">
        <f aca="false">IF(J37=0,0,BC37/J37)</f>
        <v>1</v>
      </c>
      <c r="BG37" s="13" t="n">
        <f aca="false">SUMIFS('MA Engine'!$AH$6:$AH$1110,'MA Engine'!$B$6:$B$1110,$A37,'MA Engine'!$H$6:$H$1110,7,'MA Engine'!$I$6:$I$1110,"DO")</f>
        <v>367.5</v>
      </c>
      <c r="BH37" s="13" t="n">
        <f aca="false">SUMIFS('MA Engine'!$AI$6:$AI$1110,'MA Engine'!$B$6:$B$1110,$A37,'MA Engine'!$H$6:$H$1110,7,'MA Engine'!$I$6:$I$1110,"DO")+SUMIFS('MA Engine'!$AJ$6:$AJ$1110,'MA Engine'!$B$6:$B$1110,$A37,'MA Engine'!$H$6:$H$1110,7,'MA Engine'!$I$6:$I$1110,"DO")</f>
        <v>0</v>
      </c>
      <c r="BI37" s="7" t="n">
        <f aca="false">IF(H37&gt;0,SUMIFS('MA Engine'!$L$6:$L$1110,'MA Engine'!$B$6:$B$1110,$A37,'MA Engine'!$I$6:$I$1110,"Opening")/H37,0)</f>
        <v>659.147167984509</v>
      </c>
      <c r="BJ37" s="9" t="n">
        <f aca="false">IF(I37&gt;0,AD37/I37,BI37)</f>
        <v>0</v>
      </c>
      <c r="BK37" s="7" t="n">
        <f aca="false">SUMIFS('MA Engine'!$X$6:$X$1110,'MA Engine'!$B$6:$B$1110,$A37,'MA Engine'!$H$6:$H$1110,7,'MA Engine'!$I$6:$I$1110,"DO")</f>
        <v>186381.113313468</v>
      </c>
      <c r="BL37" s="7" t="n">
        <f aca="false">SUMIFS('MA Engine'!$AK$6:$AK$1110,'MA Engine'!$B$6:$B$1110,$A37,'MA Engine'!$H$6:$H$1110,7,'MA Engine'!$I$6:$I$1110,"DO")</f>
        <v>186381.113313468</v>
      </c>
      <c r="BM37" s="7" t="n">
        <f aca="false">SUMIFS('MA Engine'!$AL$6:$AL$1110,'MA Engine'!$B$6:$B$1110,$A37,'MA Engine'!$H$6:$H$1110,7,'MA Engine'!$I$6:$I$1110,"DO")+SUMIFS('MA Engine'!$AM$6:$AM$1110,'MA Engine'!$B$6:$B$1110,$A37,'MA Engine'!$H$6:$H$1110,7,'MA Engine'!$I$6:$I$1110,"DO")</f>
        <v>0</v>
      </c>
      <c r="BN37" s="9" t="n">
        <f aca="false">BK37-BL37-BM37</f>
        <v>0</v>
      </c>
      <c r="BO37" s="7" t="n">
        <f aca="false">IF(BC37=0,0,SUMIFS('Data SKU'!$G$5:$G$116,'Data SKU'!$A$5:$A$116,$C37,'Data SKU'!$B$5:$B$116,$D37,'Data SKU'!$C$5:$C$116,$E37,'Data SKU'!$D$5:$D$116,7,'Data SKU'!$N$5:$N$116,"Invoiced")/SUMIFS($BC$36:$BC$127,$C$36:$C$127,$C37,$D$36:$D$127,$D37,$E$36:$E$127,$E37)*BC37)</f>
        <v>1837500</v>
      </c>
      <c r="BP37" s="9" t="n">
        <f aca="false">IF(BC37=0,0,BO37*BG37/BC37)</f>
        <v>1837500</v>
      </c>
      <c r="BQ37" s="9" t="n">
        <f aca="false">IF(BC37=0,0,BO37*BH37/BC37)</f>
        <v>0</v>
      </c>
    </row>
    <row r="38" customFormat="false" ht="15" hidden="false" customHeight="false" outlineLevel="0" collapsed="false">
      <c r="A38" s="74" t="s">
        <v>950</v>
      </c>
      <c r="B38" s="53" t="str">
        <f aca="false">INDEX(I_Items!$B$5:$B$133,MATCH($A38,I_Items!$A$5:$A$133,0))&amp;""</f>
        <v>Boneless BL Fresh Kepala</v>
      </c>
      <c r="C38" s="53" t="str">
        <f aca="false">INDEX(I_Items!$C$5:$C$133,MATCH($A38,I_Items!$A$5:$A$133,0))&amp;""</f>
        <v>RPA</v>
      </c>
      <c r="D38" s="53" t="str">
        <f aca="false">INDEX(I_Items!$D$5:$D$133,MATCH($A38,I_Items!$A$5:$A$133,0))&amp;""</f>
        <v>Kepala</v>
      </c>
      <c r="E38" s="53" t="str">
        <f aca="false">INDEX(I_Items!$F$5:$F$133,MATCH($A38,I_Items!$A$5:$A$133,0))&amp;""</f>
        <v>Fresh</v>
      </c>
      <c r="F38" s="53" t="str">
        <f aca="false">INDEX(I_Items!$E$5:$E$133,MATCH($A38,I_Items!$A$5:$A$133,0))&amp;""</f>
        <v/>
      </c>
      <c r="G38" s="6" t="str">
        <f aca="false">IF(P38=0,"-",IF(M38=0,"A",IF(K38&lt;=0,"C","B")))</f>
        <v>B</v>
      </c>
      <c r="H38" s="13" t="n">
        <f aca="false">SUMIFS('MA Engine'!$K$6:$K$1110,'MA Engine'!$B$6:$B$1110,$A38,'MA Engine'!$I$6:$I$1110,"Opening")</f>
        <v>768.5</v>
      </c>
      <c r="I38" s="13" t="n">
        <f aca="false">SUMIFS('MA Engine'!$K$6:$K$1110,'MA Engine'!$B$6:$B$1110,$A38,'MA Engine'!$H$6:$H$1110,7,'MA Engine'!$I$6:$I$1110,"&lt;&gt;Opening")</f>
        <v>0</v>
      </c>
      <c r="J38" s="13" t="n">
        <f aca="false">SUMIFS('MA Engine'!$W$6:$W$1110,'MA Engine'!$B$6:$B$1110,$A38,'MA Engine'!$H$6:$H$1110,7)</f>
        <v>0</v>
      </c>
      <c r="K38" s="14" t="n">
        <f aca="false">H38+I38-J38</f>
        <v>768.5</v>
      </c>
      <c r="L38" s="7" t="n">
        <f aca="false">SUMIFS('MA Engine'!$L$6:$L$1110,'MA Engine'!$B$6:$B$1110,$A38,'MA Engine'!$I$6:$I$1110,"Opening")+SUMIFS('MA Engine'!$L$6:$L$1110,'MA Engine'!$B$6:$B$1110,$A38,'MA Engine'!$H$6:$H$1110,7,'MA Engine'!$I$6:$I$1110,"&lt;&gt;Opening")-SUMIFS('MA Engine'!$X$6:$X$1110,'MA Engine'!$B$6:$B$1110,$A38,'MA Engine'!$H$6:$H$1110,7)</f>
        <v>9341548.32</v>
      </c>
      <c r="M38" s="13" t="n">
        <f aca="false">SUMIFS('MA Engine'!$K$6:$K$1110,'MA Engine'!$B$6:$B$1110,$A38,'MA Engine'!$H$6:$H$1110,8)</f>
        <v>6163.2</v>
      </c>
      <c r="N38" s="7" t="n">
        <f aca="false">SUMIFS('MA Engine'!$L$6:$L$1110,'MA Engine'!$B$6:$B$1110,$A38,'MA Engine'!$H$6:$H$1110,8)</f>
        <v>79273555.67</v>
      </c>
      <c r="O38" s="13" t="n">
        <f aca="false">SUMIFS('MA Engine'!$W$6:$W$1110,'MA Engine'!$B$6:$B$1110,$A38,'MA Engine'!$H$6:$H$1110,8)</f>
        <v>5642.2</v>
      </c>
      <c r="P38" s="14" t="n">
        <f aca="false">Q38+R38</f>
        <v>5642.2</v>
      </c>
      <c r="Q38" s="13" t="n">
        <f aca="false">SUMIFS('MA Engine'!$W$6:$W$1110,'MA Engine'!$B$6:$B$1110,$A38,'MA Engine'!$H$6:$H$1110,8,'MA Engine'!$I$6:$I$1110,"DO",'MA Engine'!$P$6:$P$1110,"&lt;&gt;Y")</f>
        <v>5642.2</v>
      </c>
      <c r="R38" s="13" t="n">
        <f aca="false">SUMIFS('MA Engine'!$W$6:$W$1110,'MA Engine'!$B$6:$B$1110,$A38,'MA Engine'!$H$6:$H$1110,8,'MA Engine'!$I$6:$I$1110,"Unbilled")</f>
        <v>0</v>
      </c>
      <c r="S38" s="13" t="n">
        <f aca="false">SUMIFS('MA Engine'!$W$6:$W$1110,'MA Engine'!$B$6:$B$1110,$A38,'MA Engine'!$H$6:$H$1110,8,'MA Engine'!$P$6:$P$1110,"Y")</f>
        <v>0</v>
      </c>
      <c r="T38" s="14" t="n">
        <f aca="false">O38-P38-S38</f>
        <v>0</v>
      </c>
      <c r="U38" s="14" t="n">
        <f aca="false">MAX(0,H38-J38)</f>
        <v>768.5</v>
      </c>
      <c r="V38" s="14" t="n">
        <f aca="false">MAX(0,K38-U38)</f>
        <v>0</v>
      </c>
      <c r="W38" s="14" t="n">
        <f aca="false">MIN(U38,O38)</f>
        <v>768.5</v>
      </c>
      <c r="X38" s="14" t="n">
        <f aca="false">MIN(V38,O38-W38)</f>
        <v>0</v>
      </c>
      <c r="Y38" s="14" t="n">
        <f aca="false">O38-W38-X38</f>
        <v>4873.7</v>
      </c>
      <c r="Z38" s="21" t="n">
        <f aca="false">IF(O38=0,0,P38/O38)</f>
        <v>1</v>
      </c>
      <c r="AA38" s="13" t="n">
        <f aca="false">SUMIFS('MA Engine'!$AH$6:$AH$1110,'MA Engine'!$B$6:$B$1110,$A38,'MA Engine'!$H$6:$H$1110,8,'MA Engine'!$I$6:$I$1110,"DO",'MA Engine'!$P$6:$P$1110,"&lt;&gt;Y")+SUMIFS('MA Engine'!$AH$6:$AH$1110,'MA Engine'!$B$6:$B$1110,$A38,'MA Engine'!$H$6:$H$1110,8,'MA Engine'!$I$6:$I$1110,"Unbilled")</f>
        <v>768.5</v>
      </c>
      <c r="AB38" s="13" t="n">
        <f aca="false">SUMIFS('MA Engine'!$AI$6:$AI$1110,'MA Engine'!$B$6:$B$1110,$A38,'MA Engine'!$H$6:$H$1110,8,'MA Engine'!$I$6:$I$1110,"DO",'MA Engine'!$P$6:$P$1110,"&lt;&gt;Y")+SUMIFS('MA Engine'!$AI$6:$AI$1110,'MA Engine'!$B$6:$B$1110,$A38,'MA Engine'!$H$6:$H$1110,8,'MA Engine'!$I$6:$I$1110,"Unbilled")</f>
        <v>0</v>
      </c>
      <c r="AC38" s="13" t="n">
        <f aca="false">SUMIFS('MA Engine'!$AJ$6:$AJ$1110,'MA Engine'!$B$6:$B$1110,$A38,'MA Engine'!$H$6:$H$1110,8,'MA Engine'!$I$6:$I$1110,"DO",'MA Engine'!$P$6:$P$1110,"&lt;&gt;Y")+SUMIFS('MA Engine'!$AJ$6:$AJ$1110,'MA Engine'!$B$6:$B$1110,$A38,'MA Engine'!$H$6:$H$1110,8,'MA Engine'!$I$6:$I$1110,"Unbilled")</f>
        <v>4873.7</v>
      </c>
      <c r="AD38" s="7" t="n">
        <f aca="false">SUMIFS('MA Engine'!$L$6:$L$1110,'MA Engine'!$B$6:$B$1110,$A38,'MA Engine'!$H$6:$H$1110,7,'MA Engine'!$I$6:$I$1110,"&lt;&gt;Opening")</f>
        <v>0</v>
      </c>
      <c r="AE38" s="9" t="n">
        <f aca="false">IF(AND(U38&gt;0.0001,(L38-V38*IF(I38&gt;0,AD38/I38,IF(K38&gt;0,L38/K38,0)))&lt;0),IF(K38&gt;0,L38/K38,0),IF(I38&gt;0,AD38/I38,IF(K38&gt;0,L38/K38,0)))</f>
        <v>12155.5605985686</v>
      </c>
      <c r="AF38" s="9" t="n">
        <f aca="false">IF(U38&lt;=0.0001,IF(K38&gt;0,L38/K38,0),IF((L38-V38*IF(I38&gt;0,AD38/I38,IF(K38&gt;0,L38/K38,0)))&lt;0,IF(K38&gt;0,L38/K38,0),(L38-V38*IF(I38&gt;0,AD38/I38,IF(K38&gt;0,L38/K38,0)))/U38))</f>
        <v>12155.5605985686</v>
      </c>
      <c r="AG38" s="9" t="n">
        <f aca="false">IF(M38&gt;0,N38/M38,IF(K38&gt;0,L38/K38,0))</f>
        <v>12862.401945418</v>
      </c>
      <c r="AH38" s="7" t="n">
        <f aca="false">SUMIFS('MA Engine'!$X$6:$X$1110,'MA Engine'!$B$6:$B$1110,$A38,'MA Engine'!$H$6:$H$1110,8,'MA Engine'!$I$6:$I$1110,"DO",'MA Engine'!$P$6:$P$1110,"&lt;&gt;Y")+SUMIFS('MA Engine'!$X$6:$X$1110,'MA Engine'!$B$6:$B$1110,$A38,'MA Engine'!$H$6:$H$1110,8,'MA Engine'!$I$6:$I$1110,"Unbilled")</f>
        <v>71348082.8503753</v>
      </c>
      <c r="AI38" s="7" t="n">
        <f aca="false">SUMIFS('MA Engine'!$AK$6:$AK$1110,'MA Engine'!$B$6:$B$1110,$A38,'MA Engine'!$H$6:$H$1110,8,'MA Engine'!$I$6:$I$1110,"DO",'MA Engine'!$P$6:$P$1110,"&lt;&gt;Y")+SUMIFS('MA Engine'!$AK$6:$AK$1110,'MA Engine'!$B$6:$B$1110,$A38,'MA Engine'!$H$6:$H$1110,8,'MA Engine'!$I$6:$I$1110,"Unbilled")</f>
        <v>8756160.57290653</v>
      </c>
      <c r="AJ38" s="7" t="n">
        <f aca="false">SUMIFS('MA Engine'!$AL$6:$AL$1110,'MA Engine'!$B$6:$B$1110,$A38,'MA Engine'!$H$6:$H$1110,8,'MA Engine'!$I$6:$I$1110,"DO",'MA Engine'!$P$6:$P$1110,"&lt;&gt;Y")+SUMIFS('MA Engine'!$AL$6:$AL$1110,'MA Engine'!$B$6:$B$1110,$A38,'MA Engine'!$H$6:$H$1110,8,'MA Engine'!$I$6:$I$1110,"Unbilled")</f>
        <v>0</v>
      </c>
      <c r="AK38" s="7" t="n">
        <f aca="false">SUMIFS('MA Engine'!$AM$6:$AM$1110,'MA Engine'!$B$6:$B$1110,$A38,'MA Engine'!$H$6:$H$1110,8,'MA Engine'!$I$6:$I$1110,"DO",'MA Engine'!$P$6:$P$1110,"&lt;&gt;Y")+SUMIFS('MA Engine'!$AM$6:$AM$1110,'MA Engine'!$B$6:$B$1110,$A38,'MA Engine'!$H$6:$H$1110,8,'MA Engine'!$I$6:$I$1110,"Unbilled")</f>
        <v>62591922.2774688</v>
      </c>
      <c r="AL38" s="9" t="n">
        <f aca="false">AH38-AI38-AJ38-AK38</f>
        <v>0</v>
      </c>
      <c r="AM38" s="7" t="n">
        <f aca="false">IF(Q38=0,0,IF($D38="Karkas",SUMIFS('Karkas Detail'!$E$6:$E$42,'Karkas Detail'!$A$6:$A$42,$C38,'Karkas Detail'!$B$6:$B$42,$F38,'Karkas Detail'!$C$6:$C$42,$E38)/SUMIFS($Q$36:$Q$127,$C$36:$C$127,$C38,$D$36:$D$127,"Karkas",$F$36:$F$127,$F38,$E$36:$E$127,$E38),SUMIFS('Data SKU'!$G$5:$G$116,'Data SKU'!$A$5:$A$116,$C38,'Data SKU'!$B$5:$B$116,$D38,'Data SKU'!$C$5:$C$116,$E38,'Data SKU'!$D$5:$D$116,8,'Data SKU'!$N$5:$N$116,"Invoiced")/SUMIFS($Q$36:$Q$127,$C$36:$C$127,$C38,$D$36:$D$127,$D38,$E$36:$E$127,$E38))*Q38)+SUMIFS(Unbilled!$U$22:$U$38,Unbilled!$E$22:$E$38,$A38)</f>
        <v>22730600</v>
      </c>
      <c r="AN38" s="9" t="n">
        <f aca="false">IF(P38=0,0,AM38*AA38/P38)</f>
        <v>3096038.08797987</v>
      </c>
      <c r="AO38" s="9" t="n">
        <f aca="false">IF(P38=0,0,AM38*AB38/P38)</f>
        <v>0</v>
      </c>
      <c r="AP38" s="9" t="n">
        <f aca="false">IF(P38=0,0,AM38*AC38/P38)</f>
        <v>19634561.9120201</v>
      </c>
      <c r="AQ38" s="14" t="n">
        <f aca="false">MIN(U38+V38,MAX(0,O38-M38))</f>
        <v>0</v>
      </c>
      <c r="AR38" s="14" t="n">
        <f aca="false">MAX(0,AQ38-V38)*Z38</f>
        <v>0</v>
      </c>
      <c r="AS38" s="14" t="n">
        <f aca="false">MIN(V38,AQ38)*Z38</f>
        <v>0</v>
      </c>
      <c r="AT38" s="14" t="n">
        <f aca="false">(O38-AQ38)*Z38</f>
        <v>5642.2</v>
      </c>
      <c r="AU38" s="9" t="n">
        <f aca="false">(AR38+AS38+AT38)*BA38</f>
        <v>71348082.8503753</v>
      </c>
      <c r="AV38" s="9" t="n">
        <f aca="false">IF(P38=0,0,AM38*AR38/P38)</f>
        <v>0</v>
      </c>
      <c r="AW38" s="9" t="n">
        <f aca="false">IF(P38=0,0,AM38*AS38/P38)</f>
        <v>0</v>
      </c>
      <c r="AX38" s="9" t="n">
        <f aca="false">IF(P38=0,0,AM38*AT38/P38)</f>
        <v>22730600</v>
      </c>
      <c r="AY38" s="9" t="n">
        <f aca="false">AH38-AU38</f>
        <v>0</v>
      </c>
      <c r="AZ38" s="9" t="n">
        <f aca="false">IF(M38&gt;0,P38*AG38,0)</f>
        <v>72572244.2564372</v>
      </c>
      <c r="BA38" s="9" t="n">
        <f aca="false">IF(P38=0,0,AH38/P38)</f>
        <v>12645.4366825663</v>
      </c>
      <c r="BB38" s="74" t="s">
        <v>836</v>
      </c>
      <c r="BC38" s="13" t="n">
        <f aca="false">SUMIFS('MA Engine'!$W$6:$W$1110,'MA Engine'!$B$6:$B$1110,$A38,'MA Engine'!$H$6:$H$1110,7,'MA Engine'!$I$6:$I$1110,"DO")</f>
        <v>0</v>
      </c>
      <c r="BD38" s="14" t="n">
        <f aca="false">MIN(MAX(0,H38),J38)</f>
        <v>0</v>
      </c>
      <c r="BE38" s="14" t="n">
        <f aca="false">J38-BD38</f>
        <v>0</v>
      </c>
      <c r="BF38" s="21" t="n">
        <f aca="false">IF(J38=0,0,BC38/J38)</f>
        <v>0</v>
      </c>
      <c r="BG38" s="13" t="n">
        <f aca="false">SUMIFS('MA Engine'!$AH$6:$AH$1110,'MA Engine'!$B$6:$B$1110,$A38,'MA Engine'!$H$6:$H$1110,7,'MA Engine'!$I$6:$I$1110,"DO")</f>
        <v>0</v>
      </c>
      <c r="BH38" s="13" t="n">
        <f aca="false">SUMIFS('MA Engine'!$AI$6:$AI$1110,'MA Engine'!$B$6:$B$1110,$A38,'MA Engine'!$H$6:$H$1110,7,'MA Engine'!$I$6:$I$1110,"DO")+SUMIFS('MA Engine'!$AJ$6:$AJ$1110,'MA Engine'!$B$6:$B$1110,$A38,'MA Engine'!$H$6:$H$1110,7,'MA Engine'!$I$6:$I$1110,"DO")</f>
        <v>0</v>
      </c>
      <c r="BI38" s="7" t="n">
        <f aca="false">IF(H38&gt;0,SUMIFS('MA Engine'!$L$6:$L$1110,'MA Engine'!$B$6:$B$1110,$A38,'MA Engine'!$I$6:$I$1110,"Opening")/H38,0)</f>
        <v>12155.5605985686</v>
      </c>
      <c r="BJ38" s="9" t="n">
        <f aca="false">IF(I38&gt;0,AD38/I38,BI38)</f>
        <v>12155.5605985686</v>
      </c>
      <c r="BK38" s="7" t="n">
        <f aca="false">SUMIFS('MA Engine'!$X$6:$X$1110,'MA Engine'!$B$6:$B$1110,$A38,'MA Engine'!$H$6:$H$1110,7,'MA Engine'!$I$6:$I$1110,"DO")</f>
        <v>0</v>
      </c>
      <c r="BL38" s="7" t="n">
        <f aca="false">SUMIFS('MA Engine'!$AK$6:$AK$1110,'MA Engine'!$B$6:$B$1110,$A38,'MA Engine'!$H$6:$H$1110,7,'MA Engine'!$I$6:$I$1110,"DO")</f>
        <v>0</v>
      </c>
      <c r="BM38" s="7" t="n">
        <f aca="false">SUMIFS('MA Engine'!$AL$6:$AL$1110,'MA Engine'!$B$6:$B$1110,$A38,'MA Engine'!$H$6:$H$1110,7,'MA Engine'!$I$6:$I$1110,"DO")+SUMIFS('MA Engine'!$AM$6:$AM$1110,'MA Engine'!$B$6:$B$1110,$A38,'MA Engine'!$H$6:$H$1110,7,'MA Engine'!$I$6:$I$1110,"DO")</f>
        <v>0</v>
      </c>
      <c r="BN38" s="9" t="n">
        <f aca="false">BK38-BL38-BM38</f>
        <v>0</v>
      </c>
      <c r="BO38" s="7" t="n">
        <f aca="false">IF(BC38=0,0,SUMIFS('Data SKU'!$G$5:$G$116,'Data SKU'!$A$5:$A$116,$C38,'Data SKU'!$B$5:$B$116,$D38,'Data SKU'!$C$5:$C$116,$E38,'Data SKU'!$D$5:$D$116,7,'Data SKU'!$N$5:$N$116,"Invoiced")/SUMIFS($BC$36:$BC$127,$C$36:$C$127,$C38,$D$36:$D$127,$D38,$E$36:$E$127,$E38)*BC38)</f>
        <v>0</v>
      </c>
      <c r="BP38" s="9" t="n">
        <f aca="false">IF(BC38=0,0,BO38*BG38/BC38)</f>
        <v>0</v>
      </c>
      <c r="BQ38" s="9" t="n">
        <f aca="false">IF(BC38=0,0,BO38*BH38/BC38)</f>
        <v>0</v>
      </c>
    </row>
    <row r="39" customFormat="false" ht="15" hidden="false" customHeight="false" outlineLevel="0" collapsed="false">
      <c r="A39" s="74" t="s">
        <v>951</v>
      </c>
      <c r="B39" s="53" t="str">
        <f aca="false">INDEX(I_Items!$B$5:$B$133,MATCH($A39,I_Items!$A$5:$A$133,0))&amp;""</f>
        <v>Boneless BL Fresh Lemak</v>
      </c>
      <c r="C39" s="53" t="str">
        <f aca="false">INDEX(I_Items!$C$5:$C$133,MATCH($A39,I_Items!$A$5:$A$133,0))&amp;""</f>
        <v>RPA</v>
      </c>
      <c r="D39" s="53" t="str">
        <f aca="false">INDEX(I_Items!$D$5:$D$133,MATCH($A39,I_Items!$A$5:$A$133,0))&amp;""</f>
        <v>Lemak</v>
      </c>
      <c r="E39" s="53" t="str">
        <f aca="false">INDEX(I_Items!$F$5:$F$133,MATCH($A39,I_Items!$A$5:$A$133,0))&amp;""</f>
        <v>Fresh</v>
      </c>
      <c r="F39" s="53" t="str">
        <f aca="false">INDEX(I_Items!$E$5:$E$133,MATCH($A39,I_Items!$A$5:$A$133,0))&amp;""</f>
        <v/>
      </c>
      <c r="G39" s="6" t="str">
        <f aca="false">IF(P39=0,"-",IF(M39=0,"A",IF(K39&lt;=0,"C","B")))</f>
        <v>-</v>
      </c>
      <c r="H39" s="13" t="n">
        <f aca="false">SUMIFS('MA Engine'!$K$6:$K$1110,'MA Engine'!$B$6:$B$1110,$A39,'MA Engine'!$I$6:$I$1110,"Opening")</f>
        <v>172.5</v>
      </c>
      <c r="I39" s="13" t="n">
        <f aca="false">SUMIFS('MA Engine'!$K$6:$K$1110,'MA Engine'!$B$6:$B$1110,$A39,'MA Engine'!$H$6:$H$1110,7,'MA Engine'!$I$6:$I$1110,"&lt;&gt;Opening")</f>
        <v>0</v>
      </c>
      <c r="J39" s="13" t="n">
        <f aca="false">SUMIFS('MA Engine'!$W$6:$W$1110,'MA Engine'!$B$6:$B$1110,$A39,'MA Engine'!$H$6:$H$1110,7)</f>
        <v>0</v>
      </c>
      <c r="K39" s="14" t="n">
        <f aca="false">H39+I39-J39</f>
        <v>172.5</v>
      </c>
      <c r="L39" s="7" t="n">
        <f aca="false">SUMIFS('MA Engine'!$L$6:$L$1110,'MA Engine'!$B$6:$B$1110,$A39,'MA Engine'!$I$6:$I$1110,"Opening")+SUMIFS('MA Engine'!$L$6:$L$1110,'MA Engine'!$B$6:$B$1110,$A39,'MA Engine'!$H$6:$H$1110,7,'MA Engine'!$I$6:$I$1110,"&lt;&gt;Opening")-SUMIFS('MA Engine'!$X$6:$X$1110,'MA Engine'!$B$6:$B$1110,$A39,'MA Engine'!$H$6:$H$1110,7)</f>
        <v>1017669.74</v>
      </c>
      <c r="M39" s="13" t="n">
        <f aca="false">SUMIFS('MA Engine'!$K$6:$K$1110,'MA Engine'!$B$6:$B$1110,$A39,'MA Engine'!$H$6:$H$1110,8)</f>
        <v>64.4</v>
      </c>
      <c r="N39" s="7" t="n">
        <f aca="false">SUMIFS('MA Engine'!$L$6:$L$1110,'MA Engine'!$B$6:$B$1110,$A39,'MA Engine'!$H$6:$H$1110,8)</f>
        <v>1440138.06</v>
      </c>
      <c r="O39" s="13" t="n">
        <f aca="false">SUMIFS('MA Engine'!$W$6:$W$1110,'MA Engine'!$B$6:$B$1110,$A39,'MA Engine'!$H$6:$H$1110,8)</f>
        <v>11</v>
      </c>
      <c r="P39" s="14" t="n">
        <f aca="false">Q39+R39</f>
        <v>0</v>
      </c>
      <c r="Q39" s="13" t="n">
        <f aca="false">SUMIFS('MA Engine'!$W$6:$W$1110,'MA Engine'!$B$6:$B$1110,$A39,'MA Engine'!$H$6:$H$1110,8,'MA Engine'!$I$6:$I$1110,"DO",'MA Engine'!$P$6:$P$1110,"&lt;&gt;Y")</f>
        <v>0</v>
      </c>
      <c r="R39" s="13" t="n">
        <f aca="false">SUMIFS('MA Engine'!$W$6:$W$1110,'MA Engine'!$B$6:$B$1110,$A39,'MA Engine'!$H$6:$H$1110,8,'MA Engine'!$I$6:$I$1110,"Unbilled")</f>
        <v>0</v>
      </c>
      <c r="S39" s="13" t="n">
        <f aca="false">SUMIFS('MA Engine'!$W$6:$W$1110,'MA Engine'!$B$6:$B$1110,$A39,'MA Engine'!$H$6:$H$1110,8,'MA Engine'!$P$6:$P$1110,"Y")</f>
        <v>11</v>
      </c>
      <c r="T39" s="14" t="n">
        <f aca="false">O39-P39-S39</f>
        <v>0</v>
      </c>
      <c r="U39" s="14" t="n">
        <f aca="false">MAX(0,H39-J39)</f>
        <v>172.5</v>
      </c>
      <c r="V39" s="14" t="n">
        <f aca="false">MAX(0,K39-U39)</f>
        <v>0</v>
      </c>
      <c r="W39" s="14" t="n">
        <f aca="false">MIN(U39,O39)</f>
        <v>11</v>
      </c>
      <c r="X39" s="14" t="n">
        <f aca="false">MIN(V39,O39-W39)</f>
        <v>0</v>
      </c>
      <c r="Y39" s="14" t="n">
        <f aca="false">O39-W39-X39</f>
        <v>0</v>
      </c>
      <c r="Z39" s="21" t="n">
        <f aca="false">IF(O39=0,0,P39/O39)</f>
        <v>0</v>
      </c>
      <c r="AA39" s="13" t="n">
        <f aca="false">SUMIFS('MA Engine'!$AH$6:$AH$1110,'MA Engine'!$B$6:$B$1110,$A39,'MA Engine'!$H$6:$H$1110,8,'MA Engine'!$I$6:$I$1110,"DO",'MA Engine'!$P$6:$P$1110,"&lt;&gt;Y")+SUMIFS('MA Engine'!$AH$6:$AH$1110,'MA Engine'!$B$6:$B$1110,$A39,'MA Engine'!$H$6:$H$1110,8,'MA Engine'!$I$6:$I$1110,"Unbilled")</f>
        <v>0</v>
      </c>
      <c r="AB39" s="13" t="n">
        <f aca="false">SUMIFS('MA Engine'!$AI$6:$AI$1110,'MA Engine'!$B$6:$B$1110,$A39,'MA Engine'!$H$6:$H$1110,8,'MA Engine'!$I$6:$I$1110,"DO",'MA Engine'!$P$6:$P$1110,"&lt;&gt;Y")+SUMIFS('MA Engine'!$AI$6:$AI$1110,'MA Engine'!$B$6:$B$1110,$A39,'MA Engine'!$H$6:$H$1110,8,'MA Engine'!$I$6:$I$1110,"Unbilled")</f>
        <v>0</v>
      </c>
      <c r="AC39" s="13" t="n">
        <f aca="false">SUMIFS('MA Engine'!$AJ$6:$AJ$1110,'MA Engine'!$B$6:$B$1110,$A39,'MA Engine'!$H$6:$H$1110,8,'MA Engine'!$I$6:$I$1110,"DO",'MA Engine'!$P$6:$P$1110,"&lt;&gt;Y")+SUMIFS('MA Engine'!$AJ$6:$AJ$1110,'MA Engine'!$B$6:$B$1110,$A39,'MA Engine'!$H$6:$H$1110,8,'MA Engine'!$I$6:$I$1110,"Unbilled")</f>
        <v>0</v>
      </c>
      <c r="AD39" s="7" t="n">
        <f aca="false">SUMIFS('MA Engine'!$L$6:$L$1110,'MA Engine'!$B$6:$B$1110,$A39,'MA Engine'!$H$6:$H$1110,7,'MA Engine'!$I$6:$I$1110,"&lt;&gt;Opening")</f>
        <v>0</v>
      </c>
      <c r="AE39" s="9" t="n">
        <f aca="false">IF(AND(U39&gt;0.0001,(L39-V39*IF(I39&gt;0,AD39/I39,IF(K39&gt;0,L39/K39,0)))&lt;0),IF(K39&gt;0,L39/K39,0),IF(I39&gt;0,AD39/I39,IF(K39&gt;0,L39/K39,0)))</f>
        <v>5899.53472463768</v>
      </c>
      <c r="AF39" s="9" t="n">
        <f aca="false">IF(U39&lt;=0.0001,IF(K39&gt;0,L39/K39,0),IF((L39-V39*IF(I39&gt;0,AD39/I39,IF(K39&gt;0,L39/K39,0)))&lt;0,IF(K39&gt;0,L39/K39,0),(L39-V39*IF(I39&gt;0,AD39/I39,IF(K39&gt;0,L39/K39,0)))/U39))</f>
        <v>5899.53472463768</v>
      </c>
      <c r="AG39" s="9" t="n">
        <f aca="false">IF(M39&gt;0,N39/M39,IF(K39&gt;0,L39/K39,0))</f>
        <v>22362.3922360248</v>
      </c>
      <c r="AH39" s="7" t="n">
        <f aca="false">SUMIFS('MA Engine'!$X$6:$X$1110,'MA Engine'!$B$6:$B$1110,$A39,'MA Engine'!$H$6:$H$1110,8,'MA Engine'!$I$6:$I$1110,"DO",'MA Engine'!$P$6:$P$1110,"&lt;&gt;Y")+SUMIFS('MA Engine'!$X$6:$X$1110,'MA Engine'!$B$6:$B$1110,$A39,'MA Engine'!$H$6:$H$1110,8,'MA Engine'!$I$6:$I$1110,"Unbilled")</f>
        <v>0</v>
      </c>
      <c r="AI39" s="7" t="n">
        <f aca="false">SUMIFS('MA Engine'!$AK$6:$AK$1110,'MA Engine'!$B$6:$B$1110,$A39,'MA Engine'!$H$6:$H$1110,8,'MA Engine'!$I$6:$I$1110,"DO",'MA Engine'!$P$6:$P$1110,"&lt;&gt;Y")+SUMIFS('MA Engine'!$AK$6:$AK$1110,'MA Engine'!$B$6:$B$1110,$A39,'MA Engine'!$H$6:$H$1110,8,'MA Engine'!$I$6:$I$1110,"Unbilled")</f>
        <v>0</v>
      </c>
      <c r="AJ39" s="7" t="n">
        <f aca="false">SUMIFS('MA Engine'!$AL$6:$AL$1110,'MA Engine'!$B$6:$B$1110,$A39,'MA Engine'!$H$6:$H$1110,8,'MA Engine'!$I$6:$I$1110,"DO",'MA Engine'!$P$6:$P$1110,"&lt;&gt;Y")+SUMIFS('MA Engine'!$AL$6:$AL$1110,'MA Engine'!$B$6:$B$1110,$A39,'MA Engine'!$H$6:$H$1110,8,'MA Engine'!$I$6:$I$1110,"Unbilled")</f>
        <v>0</v>
      </c>
      <c r="AK39" s="7" t="n">
        <f aca="false">SUMIFS('MA Engine'!$AM$6:$AM$1110,'MA Engine'!$B$6:$B$1110,$A39,'MA Engine'!$H$6:$H$1110,8,'MA Engine'!$I$6:$I$1110,"DO",'MA Engine'!$P$6:$P$1110,"&lt;&gt;Y")+SUMIFS('MA Engine'!$AM$6:$AM$1110,'MA Engine'!$B$6:$B$1110,$A39,'MA Engine'!$H$6:$H$1110,8,'MA Engine'!$I$6:$I$1110,"Unbilled")</f>
        <v>0</v>
      </c>
      <c r="AL39" s="9" t="n">
        <f aca="false">AH39-AI39-AJ39-AK39</f>
        <v>0</v>
      </c>
      <c r="AM39" s="7" t="n">
        <f aca="false">IF(Q39=0,0,IF($D39="Karkas",SUMIFS('Karkas Detail'!$E$6:$E$42,'Karkas Detail'!$A$6:$A$42,$C39,'Karkas Detail'!$B$6:$B$42,$F39,'Karkas Detail'!$C$6:$C$42,$E39)/SUMIFS($Q$36:$Q$127,$C$36:$C$127,$C39,$D$36:$D$127,"Karkas",$F$36:$F$127,$F39,$E$36:$E$127,$E39),SUMIFS('Data SKU'!$G$5:$G$116,'Data SKU'!$A$5:$A$116,$C39,'Data SKU'!$B$5:$B$116,$D39,'Data SKU'!$C$5:$C$116,$E39,'Data SKU'!$D$5:$D$116,8,'Data SKU'!$N$5:$N$116,"Invoiced")/SUMIFS($Q$36:$Q$127,$C$36:$C$127,$C39,$D$36:$D$127,$D39,$E$36:$E$127,$E39))*Q39)+SUMIFS(Unbilled!$U$22:$U$38,Unbilled!$E$22:$E$38,$A39)</f>
        <v>0</v>
      </c>
      <c r="AN39" s="9" t="n">
        <f aca="false">IF(P39=0,0,AM39*AA39/P39)</f>
        <v>0</v>
      </c>
      <c r="AO39" s="9" t="n">
        <f aca="false">IF(P39=0,0,AM39*AB39/P39)</f>
        <v>0</v>
      </c>
      <c r="AP39" s="9" t="n">
        <f aca="false">IF(P39=0,0,AM39*AC39/P39)</f>
        <v>0</v>
      </c>
      <c r="AQ39" s="14" t="n">
        <f aca="false">MIN(U39+V39,MAX(0,O39-M39))</f>
        <v>0</v>
      </c>
      <c r="AR39" s="14" t="n">
        <f aca="false">MAX(0,AQ39-V39)*Z39</f>
        <v>0</v>
      </c>
      <c r="AS39" s="14" t="n">
        <f aca="false">MIN(V39,AQ39)*Z39</f>
        <v>0</v>
      </c>
      <c r="AT39" s="14" t="n">
        <f aca="false">(O39-AQ39)*Z39</f>
        <v>0</v>
      </c>
      <c r="AU39" s="9" t="n">
        <f aca="false">(AR39+AS39+AT39)*BA39</f>
        <v>0</v>
      </c>
      <c r="AV39" s="9" t="n">
        <f aca="false">IF(P39=0,0,AM39*AR39/P39)</f>
        <v>0</v>
      </c>
      <c r="AW39" s="9" t="n">
        <f aca="false">IF(P39=0,0,AM39*AS39/P39)</f>
        <v>0</v>
      </c>
      <c r="AX39" s="9" t="n">
        <f aca="false">IF(P39=0,0,AM39*AT39/P39)</f>
        <v>0</v>
      </c>
      <c r="AY39" s="9" t="n">
        <f aca="false">AH39-AU39</f>
        <v>0</v>
      </c>
      <c r="AZ39" s="9" t="n">
        <f aca="false">IF(M39&gt;0,P39*AG39,0)</f>
        <v>0</v>
      </c>
      <c r="BA39" s="9" t="n">
        <f aca="false">IF(P39=0,0,AH39/P39)</f>
        <v>0</v>
      </c>
      <c r="BB39" s="74" t="s">
        <v>836</v>
      </c>
      <c r="BC39" s="13" t="n">
        <f aca="false">SUMIFS('MA Engine'!$W$6:$W$1110,'MA Engine'!$B$6:$B$1110,$A39,'MA Engine'!$H$6:$H$1110,7,'MA Engine'!$I$6:$I$1110,"DO")</f>
        <v>0</v>
      </c>
      <c r="BD39" s="14" t="n">
        <f aca="false">MIN(MAX(0,H39),J39)</f>
        <v>0</v>
      </c>
      <c r="BE39" s="14" t="n">
        <f aca="false">J39-BD39</f>
        <v>0</v>
      </c>
      <c r="BF39" s="21" t="n">
        <f aca="false">IF(J39=0,0,BC39/J39)</f>
        <v>0</v>
      </c>
      <c r="BG39" s="13" t="n">
        <f aca="false">SUMIFS('MA Engine'!$AH$6:$AH$1110,'MA Engine'!$B$6:$B$1110,$A39,'MA Engine'!$H$6:$H$1110,7,'MA Engine'!$I$6:$I$1110,"DO")</f>
        <v>0</v>
      </c>
      <c r="BH39" s="13" t="n">
        <f aca="false">SUMIFS('MA Engine'!$AI$6:$AI$1110,'MA Engine'!$B$6:$B$1110,$A39,'MA Engine'!$H$6:$H$1110,7,'MA Engine'!$I$6:$I$1110,"DO")+SUMIFS('MA Engine'!$AJ$6:$AJ$1110,'MA Engine'!$B$6:$B$1110,$A39,'MA Engine'!$H$6:$H$1110,7,'MA Engine'!$I$6:$I$1110,"DO")</f>
        <v>0</v>
      </c>
      <c r="BI39" s="7" t="n">
        <f aca="false">IF(H39&gt;0,SUMIFS('MA Engine'!$L$6:$L$1110,'MA Engine'!$B$6:$B$1110,$A39,'MA Engine'!$I$6:$I$1110,"Opening")/H39,0)</f>
        <v>5899.53472463768</v>
      </c>
      <c r="BJ39" s="9" t="n">
        <f aca="false">IF(I39&gt;0,AD39/I39,BI39)</f>
        <v>5899.53472463768</v>
      </c>
      <c r="BK39" s="7" t="n">
        <f aca="false">SUMIFS('MA Engine'!$X$6:$X$1110,'MA Engine'!$B$6:$B$1110,$A39,'MA Engine'!$H$6:$H$1110,7,'MA Engine'!$I$6:$I$1110,"DO")</f>
        <v>0</v>
      </c>
      <c r="BL39" s="7" t="n">
        <f aca="false">SUMIFS('MA Engine'!$AK$6:$AK$1110,'MA Engine'!$B$6:$B$1110,$A39,'MA Engine'!$H$6:$H$1110,7,'MA Engine'!$I$6:$I$1110,"DO")</f>
        <v>0</v>
      </c>
      <c r="BM39" s="7" t="n">
        <f aca="false">SUMIFS('MA Engine'!$AL$6:$AL$1110,'MA Engine'!$B$6:$B$1110,$A39,'MA Engine'!$H$6:$H$1110,7,'MA Engine'!$I$6:$I$1110,"DO")+SUMIFS('MA Engine'!$AM$6:$AM$1110,'MA Engine'!$B$6:$B$1110,$A39,'MA Engine'!$H$6:$H$1110,7,'MA Engine'!$I$6:$I$1110,"DO")</f>
        <v>0</v>
      </c>
      <c r="BN39" s="9" t="n">
        <f aca="false">BK39-BL39-BM39</f>
        <v>0</v>
      </c>
      <c r="BO39" s="7" t="n">
        <f aca="false">IF(BC39=0,0,SUMIFS('Data SKU'!$G$5:$G$116,'Data SKU'!$A$5:$A$116,$C39,'Data SKU'!$B$5:$B$116,$D39,'Data SKU'!$C$5:$C$116,$E39,'Data SKU'!$D$5:$D$116,7,'Data SKU'!$N$5:$N$116,"Invoiced")/SUMIFS($BC$36:$BC$127,$C$36:$C$127,$C39,$D$36:$D$127,$D39,$E$36:$E$127,$E39)*BC39)</f>
        <v>0</v>
      </c>
      <c r="BP39" s="9" t="n">
        <f aca="false">IF(BC39=0,0,BO39*BG39/BC39)</f>
        <v>0</v>
      </c>
      <c r="BQ39" s="9" t="n">
        <f aca="false">IF(BC39=0,0,BO39*BH39/BC39)</f>
        <v>0</v>
      </c>
    </row>
    <row r="40" customFormat="false" ht="15" hidden="false" customHeight="false" outlineLevel="0" collapsed="false">
      <c r="A40" s="74" t="s">
        <v>952</v>
      </c>
      <c r="B40" s="53" t="str">
        <f aca="false">INDEX(I_Items!$B$5:$B$133,MATCH($A40,I_Items!$A$5:$A$133,0))&amp;""</f>
        <v>Boneless BL Fresh Sayap Premium</v>
      </c>
      <c r="C40" s="53" t="str">
        <f aca="false">INDEX(I_Items!$C$5:$C$133,MATCH($A40,I_Items!$A$5:$A$133,0))&amp;""</f>
        <v>RPA</v>
      </c>
      <c r="D40" s="53" t="str">
        <f aca="false">INDEX(I_Items!$D$5:$D$133,MATCH($A40,I_Items!$A$5:$A$133,0))&amp;""</f>
        <v>Sayap</v>
      </c>
      <c r="E40" s="53" t="str">
        <f aca="false">INDEX(I_Items!$F$5:$F$133,MATCH($A40,I_Items!$A$5:$A$133,0))&amp;""</f>
        <v>Fresh</v>
      </c>
      <c r="F40" s="53" t="str">
        <f aca="false">INDEX(I_Items!$E$5:$E$133,MATCH($A40,I_Items!$A$5:$A$133,0))&amp;""</f>
        <v/>
      </c>
      <c r="G40" s="6" t="str">
        <f aca="false">IF(P40=0,"-",IF(M40=0,"A",IF(K40&lt;=0,"C","B")))</f>
        <v>-</v>
      </c>
      <c r="H40" s="13" t="n">
        <f aca="false">SUMIFS('MA Engine'!$K$6:$K$1110,'MA Engine'!$B$6:$B$1110,$A40,'MA Engine'!$I$6:$I$1110,"Opening")</f>
        <v>0</v>
      </c>
      <c r="I40" s="13" t="n">
        <f aca="false">SUMIFS('MA Engine'!$K$6:$K$1110,'MA Engine'!$B$6:$B$1110,$A40,'MA Engine'!$H$6:$H$1110,7,'MA Engine'!$I$6:$I$1110,"&lt;&gt;Opening")</f>
        <v>240</v>
      </c>
      <c r="J40" s="13" t="n">
        <f aca="false">SUMIFS('MA Engine'!$W$6:$W$1110,'MA Engine'!$B$6:$B$1110,$A40,'MA Engine'!$H$6:$H$1110,7)</f>
        <v>0</v>
      </c>
      <c r="K40" s="14" t="n">
        <f aca="false">H40+I40-J40</f>
        <v>240</v>
      </c>
      <c r="L40" s="7" t="n">
        <f aca="false">SUMIFS('MA Engine'!$L$6:$L$1110,'MA Engine'!$B$6:$B$1110,$A40,'MA Engine'!$I$6:$I$1110,"Opening")+SUMIFS('MA Engine'!$L$6:$L$1110,'MA Engine'!$B$6:$B$1110,$A40,'MA Engine'!$H$6:$H$1110,7,'MA Engine'!$I$6:$I$1110,"&lt;&gt;Opening")-SUMIFS('MA Engine'!$X$6:$X$1110,'MA Engine'!$B$6:$B$1110,$A40,'MA Engine'!$H$6:$H$1110,7)</f>
        <v>3841765.17</v>
      </c>
      <c r="M40" s="13" t="n">
        <f aca="false">SUMIFS('MA Engine'!$K$6:$K$1110,'MA Engine'!$B$6:$B$1110,$A40,'MA Engine'!$H$6:$H$1110,8)</f>
        <v>0</v>
      </c>
      <c r="N40" s="7" t="n">
        <f aca="false">SUMIFS('MA Engine'!$L$6:$L$1110,'MA Engine'!$B$6:$B$1110,$A40,'MA Engine'!$H$6:$H$1110,8)</f>
        <v>0</v>
      </c>
      <c r="O40" s="13" t="n">
        <f aca="false">SUMIFS('MA Engine'!$W$6:$W$1110,'MA Engine'!$B$6:$B$1110,$A40,'MA Engine'!$H$6:$H$1110,8)</f>
        <v>0</v>
      </c>
      <c r="P40" s="14" t="n">
        <f aca="false">Q40+R40</f>
        <v>0</v>
      </c>
      <c r="Q40" s="13" t="n">
        <f aca="false">SUMIFS('MA Engine'!$W$6:$W$1110,'MA Engine'!$B$6:$B$1110,$A40,'MA Engine'!$H$6:$H$1110,8,'MA Engine'!$I$6:$I$1110,"DO",'MA Engine'!$P$6:$P$1110,"&lt;&gt;Y")</f>
        <v>0</v>
      </c>
      <c r="R40" s="13" t="n">
        <f aca="false">SUMIFS('MA Engine'!$W$6:$W$1110,'MA Engine'!$B$6:$B$1110,$A40,'MA Engine'!$H$6:$H$1110,8,'MA Engine'!$I$6:$I$1110,"Unbilled")</f>
        <v>0</v>
      </c>
      <c r="S40" s="13" t="n">
        <f aca="false">SUMIFS('MA Engine'!$W$6:$W$1110,'MA Engine'!$B$6:$B$1110,$A40,'MA Engine'!$H$6:$H$1110,8,'MA Engine'!$P$6:$P$1110,"Y")</f>
        <v>0</v>
      </c>
      <c r="T40" s="14" t="n">
        <f aca="false">O40-P40-S40</f>
        <v>0</v>
      </c>
      <c r="U40" s="14" t="n">
        <f aca="false">MAX(0,H40-J40)</f>
        <v>0</v>
      </c>
      <c r="V40" s="14" t="n">
        <f aca="false">MAX(0,K40-U40)</f>
        <v>240</v>
      </c>
      <c r="W40" s="14" t="n">
        <f aca="false">MIN(U40,O40)</f>
        <v>0</v>
      </c>
      <c r="X40" s="14" t="n">
        <f aca="false">MIN(V40,O40-W40)</f>
        <v>0</v>
      </c>
      <c r="Y40" s="14" t="n">
        <f aca="false">O40-W40-X40</f>
        <v>0</v>
      </c>
      <c r="Z40" s="21" t="n">
        <f aca="false">IF(O40=0,0,P40/O40)</f>
        <v>0</v>
      </c>
      <c r="AA40" s="13" t="n">
        <f aca="false">SUMIFS('MA Engine'!$AH$6:$AH$1110,'MA Engine'!$B$6:$B$1110,$A40,'MA Engine'!$H$6:$H$1110,8,'MA Engine'!$I$6:$I$1110,"DO",'MA Engine'!$P$6:$P$1110,"&lt;&gt;Y")+SUMIFS('MA Engine'!$AH$6:$AH$1110,'MA Engine'!$B$6:$B$1110,$A40,'MA Engine'!$H$6:$H$1110,8,'MA Engine'!$I$6:$I$1110,"Unbilled")</f>
        <v>0</v>
      </c>
      <c r="AB40" s="13" t="n">
        <f aca="false">SUMIFS('MA Engine'!$AI$6:$AI$1110,'MA Engine'!$B$6:$B$1110,$A40,'MA Engine'!$H$6:$H$1110,8,'MA Engine'!$I$6:$I$1110,"DO",'MA Engine'!$P$6:$P$1110,"&lt;&gt;Y")+SUMIFS('MA Engine'!$AI$6:$AI$1110,'MA Engine'!$B$6:$B$1110,$A40,'MA Engine'!$H$6:$H$1110,8,'MA Engine'!$I$6:$I$1110,"Unbilled")</f>
        <v>0</v>
      </c>
      <c r="AC40" s="13" t="n">
        <f aca="false">SUMIFS('MA Engine'!$AJ$6:$AJ$1110,'MA Engine'!$B$6:$B$1110,$A40,'MA Engine'!$H$6:$H$1110,8,'MA Engine'!$I$6:$I$1110,"DO",'MA Engine'!$P$6:$P$1110,"&lt;&gt;Y")+SUMIFS('MA Engine'!$AJ$6:$AJ$1110,'MA Engine'!$B$6:$B$1110,$A40,'MA Engine'!$H$6:$H$1110,8,'MA Engine'!$I$6:$I$1110,"Unbilled")</f>
        <v>0</v>
      </c>
      <c r="AD40" s="7" t="n">
        <f aca="false">SUMIFS('MA Engine'!$L$6:$L$1110,'MA Engine'!$B$6:$B$1110,$A40,'MA Engine'!$H$6:$H$1110,7,'MA Engine'!$I$6:$I$1110,"&lt;&gt;Opening")</f>
        <v>3841765.18</v>
      </c>
      <c r="AE40" s="9" t="n">
        <f aca="false">IF(AND(U40&gt;0.0001,(L40-V40*IF(I40&gt;0,AD40/I40,IF(K40&gt;0,L40/K40,0)))&lt;0),IF(K40&gt;0,L40/K40,0),IF(I40&gt;0,AD40/I40,IF(K40&gt;0,L40/K40,0)))</f>
        <v>16007.3549166667</v>
      </c>
      <c r="AF40" s="9" t="n">
        <f aca="false">IF(U40&lt;=0.0001,IF(K40&gt;0,L40/K40,0),IF((L40-V40*IF(I40&gt;0,AD40/I40,IF(K40&gt;0,L40/K40,0)))&lt;0,IF(K40&gt;0,L40/K40,0),(L40-V40*IF(I40&gt;0,AD40/I40,IF(K40&gt;0,L40/K40,0)))/U40))</f>
        <v>16007.354875</v>
      </c>
      <c r="AG40" s="9" t="n">
        <f aca="false">IF(M40&gt;0,N40/M40,IF(K40&gt;0,L40/K40,0))</f>
        <v>16007.354875</v>
      </c>
      <c r="AH40" s="7" t="n">
        <f aca="false">SUMIFS('MA Engine'!$X$6:$X$1110,'MA Engine'!$B$6:$B$1110,$A40,'MA Engine'!$H$6:$H$1110,8,'MA Engine'!$I$6:$I$1110,"DO",'MA Engine'!$P$6:$P$1110,"&lt;&gt;Y")+SUMIFS('MA Engine'!$X$6:$X$1110,'MA Engine'!$B$6:$B$1110,$A40,'MA Engine'!$H$6:$H$1110,8,'MA Engine'!$I$6:$I$1110,"Unbilled")</f>
        <v>0</v>
      </c>
      <c r="AI40" s="7" t="n">
        <f aca="false">SUMIFS('MA Engine'!$AK$6:$AK$1110,'MA Engine'!$B$6:$B$1110,$A40,'MA Engine'!$H$6:$H$1110,8,'MA Engine'!$I$6:$I$1110,"DO",'MA Engine'!$P$6:$P$1110,"&lt;&gt;Y")+SUMIFS('MA Engine'!$AK$6:$AK$1110,'MA Engine'!$B$6:$B$1110,$A40,'MA Engine'!$H$6:$H$1110,8,'MA Engine'!$I$6:$I$1110,"Unbilled")</f>
        <v>0</v>
      </c>
      <c r="AJ40" s="7" t="n">
        <f aca="false">SUMIFS('MA Engine'!$AL$6:$AL$1110,'MA Engine'!$B$6:$B$1110,$A40,'MA Engine'!$H$6:$H$1110,8,'MA Engine'!$I$6:$I$1110,"DO",'MA Engine'!$P$6:$P$1110,"&lt;&gt;Y")+SUMIFS('MA Engine'!$AL$6:$AL$1110,'MA Engine'!$B$6:$B$1110,$A40,'MA Engine'!$H$6:$H$1110,8,'MA Engine'!$I$6:$I$1110,"Unbilled")</f>
        <v>0</v>
      </c>
      <c r="AK40" s="7" t="n">
        <f aca="false">SUMIFS('MA Engine'!$AM$6:$AM$1110,'MA Engine'!$B$6:$B$1110,$A40,'MA Engine'!$H$6:$H$1110,8,'MA Engine'!$I$6:$I$1110,"DO",'MA Engine'!$P$6:$P$1110,"&lt;&gt;Y")+SUMIFS('MA Engine'!$AM$6:$AM$1110,'MA Engine'!$B$6:$B$1110,$A40,'MA Engine'!$H$6:$H$1110,8,'MA Engine'!$I$6:$I$1110,"Unbilled")</f>
        <v>0</v>
      </c>
      <c r="AL40" s="9" t="n">
        <f aca="false">AH40-AI40-AJ40-AK40</f>
        <v>0</v>
      </c>
      <c r="AM40" s="7" t="n">
        <f aca="false">IF(Q40=0,0,IF($D40="Karkas",SUMIFS('Karkas Detail'!$E$6:$E$42,'Karkas Detail'!$A$6:$A$42,$C40,'Karkas Detail'!$B$6:$B$42,$F40,'Karkas Detail'!$C$6:$C$42,$E40)/SUMIFS($Q$36:$Q$127,$C$36:$C$127,$C40,$D$36:$D$127,"Karkas",$F$36:$F$127,$F40,$E$36:$E$127,$E40),SUMIFS('Data SKU'!$G$5:$G$116,'Data SKU'!$A$5:$A$116,$C40,'Data SKU'!$B$5:$B$116,$D40,'Data SKU'!$C$5:$C$116,$E40,'Data SKU'!$D$5:$D$116,8,'Data SKU'!$N$5:$N$116,"Invoiced")/SUMIFS($Q$36:$Q$127,$C$36:$C$127,$C40,$D$36:$D$127,$D40,$E$36:$E$127,$E40))*Q40)+SUMIFS(Unbilled!$U$22:$U$38,Unbilled!$E$22:$E$38,$A40)</f>
        <v>0</v>
      </c>
      <c r="AN40" s="9" t="n">
        <f aca="false">IF(P40=0,0,AM40*AA40/P40)</f>
        <v>0</v>
      </c>
      <c r="AO40" s="9" t="n">
        <f aca="false">IF(P40=0,0,AM40*AB40/P40)</f>
        <v>0</v>
      </c>
      <c r="AP40" s="9" t="n">
        <f aca="false">IF(P40=0,0,AM40*AC40/P40)</f>
        <v>0</v>
      </c>
      <c r="AQ40" s="14" t="n">
        <f aca="false">MIN(U40+V40,MAX(0,O40-M40))</f>
        <v>0</v>
      </c>
      <c r="AR40" s="14" t="n">
        <f aca="false">MAX(0,AQ40-V40)*Z40</f>
        <v>0</v>
      </c>
      <c r="AS40" s="14" t="n">
        <f aca="false">MIN(V40,AQ40)*Z40</f>
        <v>0</v>
      </c>
      <c r="AT40" s="14" t="n">
        <f aca="false">(O40-AQ40)*Z40</f>
        <v>0</v>
      </c>
      <c r="AU40" s="9" t="n">
        <f aca="false">(AR40+AS40+AT40)*BA40</f>
        <v>0</v>
      </c>
      <c r="AV40" s="9" t="n">
        <f aca="false">IF(P40=0,0,AM40*AR40/P40)</f>
        <v>0</v>
      </c>
      <c r="AW40" s="9" t="n">
        <f aca="false">IF(P40=0,0,AM40*AS40/P40)</f>
        <v>0</v>
      </c>
      <c r="AX40" s="9" t="n">
        <f aca="false">IF(P40=0,0,AM40*AT40/P40)</f>
        <v>0</v>
      </c>
      <c r="AY40" s="9" t="n">
        <f aca="false">AH40-AU40</f>
        <v>0</v>
      </c>
      <c r="AZ40" s="9" t="n">
        <f aca="false">IF(M40&gt;0,P40*AG40,0)</f>
        <v>0</v>
      </c>
      <c r="BA40" s="9" t="n">
        <f aca="false">IF(P40=0,0,AH40/P40)</f>
        <v>0</v>
      </c>
      <c r="BB40" s="74" t="s">
        <v>835</v>
      </c>
      <c r="BC40" s="13" t="n">
        <f aca="false">SUMIFS('MA Engine'!$W$6:$W$1110,'MA Engine'!$B$6:$B$1110,$A40,'MA Engine'!$H$6:$H$1110,7,'MA Engine'!$I$6:$I$1110,"DO")</f>
        <v>0</v>
      </c>
      <c r="BD40" s="14" t="n">
        <f aca="false">MIN(MAX(0,H40),J40)</f>
        <v>0</v>
      </c>
      <c r="BE40" s="14" t="n">
        <f aca="false">J40-BD40</f>
        <v>0</v>
      </c>
      <c r="BF40" s="21" t="n">
        <f aca="false">IF(J40=0,0,BC40/J40)</f>
        <v>0</v>
      </c>
      <c r="BG40" s="13" t="n">
        <f aca="false">SUMIFS('MA Engine'!$AH$6:$AH$1110,'MA Engine'!$B$6:$B$1110,$A40,'MA Engine'!$H$6:$H$1110,7,'MA Engine'!$I$6:$I$1110,"DO")</f>
        <v>0</v>
      </c>
      <c r="BH40" s="13" t="n">
        <f aca="false">SUMIFS('MA Engine'!$AI$6:$AI$1110,'MA Engine'!$B$6:$B$1110,$A40,'MA Engine'!$H$6:$H$1110,7,'MA Engine'!$I$6:$I$1110,"DO")+SUMIFS('MA Engine'!$AJ$6:$AJ$1110,'MA Engine'!$B$6:$B$1110,$A40,'MA Engine'!$H$6:$H$1110,7,'MA Engine'!$I$6:$I$1110,"DO")</f>
        <v>0</v>
      </c>
      <c r="BI40" s="7" t="n">
        <f aca="false">IF(H40&gt;0,SUMIFS('MA Engine'!$L$6:$L$1110,'MA Engine'!$B$6:$B$1110,$A40,'MA Engine'!$I$6:$I$1110,"Opening")/H40,0)</f>
        <v>0</v>
      </c>
      <c r="BJ40" s="9" t="n">
        <f aca="false">IF(I40&gt;0,AD40/I40,BI40)</f>
        <v>16007.3549166667</v>
      </c>
      <c r="BK40" s="7" t="n">
        <f aca="false">SUMIFS('MA Engine'!$X$6:$X$1110,'MA Engine'!$B$6:$B$1110,$A40,'MA Engine'!$H$6:$H$1110,7,'MA Engine'!$I$6:$I$1110,"DO")</f>
        <v>0</v>
      </c>
      <c r="BL40" s="7" t="n">
        <f aca="false">SUMIFS('MA Engine'!$AK$6:$AK$1110,'MA Engine'!$B$6:$B$1110,$A40,'MA Engine'!$H$6:$H$1110,7,'MA Engine'!$I$6:$I$1110,"DO")</f>
        <v>0</v>
      </c>
      <c r="BM40" s="7" t="n">
        <f aca="false">SUMIFS('MA Engine'!$AL$6:$AL$1110,'MA Engine'!$B$6:$B$1110,$A40,'MA Engine'!$H$6:$H$1110,7,'MA Engine'!$I$6:$I$1110,"DO")+SUMIFS('MA Engine'!$AM$6:$AM$1110,'MA Engine'!$B$6:$B$1110,$A40,'MA Engine'!$H$6:$H$1110,7,'MA Engine'!$I$6:$I$1110,"DO")</f>
        <v>0</v>
      </c>
      <c r="BN40" s="9" t="n">
        <f aca="false">BK40-BL40-BM40</f>
        <v>0</v>
      </c>
      <c r="BO40" s="7" t="n">
        <f aca="false">IF(BC40=0,0,SUMIFS('Data SKU'!$G$5:$G$116,'Data SKU'!$A$5:$A$116,$C40,'Data SKU'!$B$5:$B$116,$D40,'Data SKU'!$C$5:$C$116,$E40,'Data SKU'!$D$5:$D$116,7,'Data SKU'!$N$5:$N$116,"Invoiced")/SUMIFS($BC$36:$BC$127,$C$36:$C$127,$C40,$D$36:$D$127,$D40,$E$36:$E$127,$E40)*BC40)</f>
        <v>0</v>
      </c>
      <c r="BP40" s="9" t="n">
        <f aca="false">IF(BC40=0,0,BO40*BG40/BC40)</f>
        <v>0</v>
      </c>
      <c r="BQ40" s="9" t="n">
        <f aca="false">IF(BC40=0,0,BO40*BH40/BC40)</f>
        <v>0</v>
      </c>
    </row>
    <row r="41" customFormat="false" ht="15" hidden="false" customHeight="false" outlineLevel="0" collapsed="false">
      <c r="A41" s="74" t="s">
        <v>953</v>
      </c>
      <c r="B41" s="53" t="str">
        <f aca="false">INDEX(I_Items!$B$5:$B$133,MATCH($A41,I_Items!$A$5:$A$133,0))&amp;""</f>
        <v>Boneless BL Fresh Usus Kotor</v>
      </c>
      <c r="C41" s="53" t="str">
        <f aca="false">INDEX(I_Items!$C$5:$C$133,MATCH($A41,I_Items!$A$5:$A$133,0))&amp;""</f>
        <v>RPA</v>
      </c>
      <c r="D41" s="53" t="str">
        <f aca="false">INDEX(I_Items!$D$5:$D$133,MATCH($A41,I_Items!$A$5:$A$133,0))&amp;""</f>
        <v>Usus</v>
      </c>
      <c r="E41" s="53" t="str">
        <f aca="false">INDEX(I_Items!$F$5:$F$133,MATCH($A41,I_Items!$A$5:$A$133,0))&amp;""</f>
        <v>Fresh</v>
      </c>
      <c r="F41" s="53" t="str">
        <f aca="false">INDEX(I_Items!$E$5:$E$133,MATCH($A41,I_Items!$A$5:$A$133,0))&amp;""</f>
        <v/>
      </c>
      <c r="G41" s="6" t="str">
        <f aca="false">IF(P41=0,"-",IF(M41=0,"A",IF(K41&lt;=0,"C","B")))</f>
        <v>B</v>
      </c>
      <c r="H41" s="13" t="n">
        <f aca="false">SUMIFS('MA Engine'!$K$6:$K$1110,'MA Engine'!$B$6:$B$1110,$A41,'MA Engine'!$I$6:$I$1110,"Opening")</f>
        <v>4612.58</v>
      </c>
      <c r="I41" s="13" t="n">
        <f aca="false">SUMIFS('MA Engine'!$K$6:$K$1110,'MA Engine'!$B$6:$B$1110,$A41,'MA Engine'!$H$6:$H$1110,7,'MA Engine'!$I$6:$I$1110,"&lt;&gt;Opening")</f>
        <v>0</v>
      </c>
      <c r="J41" s="13" t="n">
        <f aca="false">SUMIFS('MA Engine'!$W$6:$W$1110,'MA Engine'!$B$6:$B$1110,$A41,'MA Engine'!$H$6:$H$1110,7)</f>
        <v>0</v>
      </c>
      <c r="K41" s="14" t="n">
        <f aca="false">H41+I41-J41</f>
        <v>4612.58</v>
      </c>
      <c r="L41" s="7" t="n">
        <f aca="false">SUMIFS('MA Engine'!$L$6:$L$1110,'MA Engine'!$B$6:$B$1110,$A41,'MA Engine'!$I$6:$I$1110,"Opening")+SUMIFS('MA Engine'!$L$6:$L$1110,'MA Engine'!$B$6:$B$1110,$A41,'MA Engine'!$H$6:$H$1110,7,'MA Engine'!$I$6:$I$1110,"&lt;&gt;Opening")-SUMIFS('MA Engine'!$X$6:$X$1110,'MA Engine'!$B$6:$B$1110,$A41,'MA Engine'!$H$6:$H$1110,7)</f>
        <v>0</v>
      </c>
      <c r="M41" s="13" t="n">
        <f aca="false">SUMIFS('MA Engine'!$K$6:$K$1110,'MA Engine'!$B$6:$B$1110,$A41,'MA Engine'!$H$6:$H$1110,8)</f>
        <v>5746.7</v>
      </c>
      <c r="N41" s="7" t="n">
        <f aca="false">SUMIFS('MA Engine'!$L$6:$L$1110,'MA Engine'!$B$6:$B$1110,$A41,'MA Engine'!$H$6:$H$1110,8)</f>
        <v>32594086.03</v>
      </c>
      <c r="O41" s="13" t="n">
        <f aca="false">SUMIFS('MA Engine'!$W$6:$W$1110,'MA Engine'!$B$6:$B$1110,$A41,'MA Engine'!$H$6:$H$1110,8)</f>
        <v>5444.1</v>
      </c>
      <c r="P41" s="14" t="n">
        <f aca="false">Q41+R41</f>
        <v>5444.1</v>
      </c>
      <c r="Q41" s="13" t="n">
        <f aca="false">SUMIFS('MA Engine'!$W$6:$W$1110,'MA Engine'!$B$6:$B$1110,$A41,'MA Engine'!$H$6:$H$1110,8,'MA Engine'!$I$6:$I$1110,"DO",'MA Engine'!$P$6:$P$1110,"&lt;&gt;Y")</f>
        <v>5444.1</v>
      </c>
      <c r="R41" s="13" t="n">
        <f aca="false">SUMIFS('MA Engine'!$W$6:$W$1110,'MA Engine'!$B$6:$B$1110,$A41,'MA Engine'!$H$6:$H$1110,8,'MA Engine'!$I$6:$I$1110,"Unbilled")</f>
        <v>0</v>
      </c>
      <c r="S41" s="13" t="n">
        <f aca="false">SUMIFS('MA Engine'!$W$6:$W$1110,'MA Engine'!$B$6:$B$1110,$A41,'MA Engine'!$H$6:$H$1110,8,'MA Engine'!$P$6:$P$1110,"Y")</f>
        <v>0</v>
      </c>
      <c r="T41" s="14" t="n">
        <f aca="false">O41-P41-S41</f>
        <v>0</v>
      </c>
      <c r="U41" s="14" t="n">
        <f aca="false">MAX(0,H41-J41)</f>
        <v>4612.58</v>
      </c>
      <c r="V41" s="14" t="n">
        <f aca="false">MAX(0,K41-U41)</f>
        <v>0</v>
      </c>
      <c r="W41" s="14" t="n">
        <f aca="false">MIN(U41,O41)</f>
        <v>4612.58</v>
      </c>
      <c r="X41" s="14" t="n">
        <f aca="false">MIN(V41,O41-W41)</f>
        <v>0</v>
      </c>
      <c r="Y41" s="14" t="n">
        <f aca="false">O41-W41-X41</f>
        <v>831.52</v>
      </c>
      <c r="Z41" s="21" t="n">
        <f aca="false">IF(O41=0,0,P41/O41)</f>
        <v>1</v>
      </c>
      <c r="AA41" s="13" t="n">
        <f aca="false">SUMIFS('MA Engine'!$AH$6:$AH$1110,'MA Engine'!$B$6:$B$1110,$A41,'MA Engine'!$H$6:$H$1110,8,'MA Engine'!$I$6:$I$1110,"DO",'MA Engine'!$P$6:$P$1110,"&lt;&gt;Y")+SUMIFS('MA Engine'!$AH$6:$AH$1110,'MA Engine'!$B$6:$B$1110,$A41,'MA Engine'!$H$6:$H$1110,8,'MA Engine'!$I$6:$I$1110,"Unbilled")</f>
        <v>4612.58</v>
      </c>
      <c r="AB41" s="13" t="n">
        <f aca="false">SUMIFS('MA Engine'!$AI$6:$AI$1110,'MA Engine'!$B$6:$B$1110,$A41,'MA Engine'!$H$6:$H$1110,8,'MA Engine'!$I$6:$I$1110,"DO",'MA Engine'!$P$6:$P$1110,"&lt;&gt;Y")+SUMIFS('MA Engine'!$AI$6:$AI$1110,'MA Engine'!$B$6:$B$1110,$A41,'MA Engine'!$H$6:$H$1110,8,'MA Engine'!$I$6:$I$1110,"Unbilled")</f>
        <v>0</v>
      </c>
      <c r="AC41" s="13" t="n">
        <f aca="false">SUMIFS('MA Engine'!$AJ$6:$AJ$1110,'MA Engine'!$B$6:$B$1110,$A41,'MA Engine'!$H$6:$H$1110,8,'MA Engine'!$I$6:$I$1110,"DO",'MA Engine'!$P$6:$P$1110,"&lt;&gt;Y")+SUMIFS('MA Engine'!$AJ$6:$AJ$1110,'MA Engine'!$B$6:$B$1110,$A41,'MA Engine'!$H$6:$H$1110,8,'MA Engine'!$I$6:$I$1110,"Unbilled")</f>
        <v>831.52</v>
      </c>
      <c r="AD41" s="7" t="n">
        <f aca="false">SUMIFS('MA Engine'!$L$6:$L$1110,'MA Engine'!$B$6:$B$1110,$A41,'MA Engine'!$H$6:$H$1110,7,'MA Engine'!$I$6:$I$1110,"&lt;&gt;Opening")</f>
        <v>0</v>
      </c>
      <c r="AE41" s="9" t="n">
        <f aca="false">IF(AND(U41&gt;0.0001,(L41-V41*IF(I41&gt;0,AD41/I41,IF(K41&gt;0,L41/K41,0)))&lt;0),IF(K41&gt;0,L41/K41,0),IF(I41&gt;0,AD41/I41,IF(K41&gt;0,L41/K41,0)))</f>
        <v>0</v>
      </c>
      <c r="AF41" s="9" t="n">
        <f aca="false">IF(U41&lt;=0.0001,IF(K41&gt;0,L41/K41,0),IF((L41-V41*IF(I41&gt;0,AD41/I41,IF(K41&gt;0,L41/K41,0)))&lt;0,IF(K41&gt;0,L41/K41,0),(L41-V41*IF(I41&gt;0,AD41/I41,IF(K41&gt;0,L41/K41,0)))/U41))</f>
        <v>0</v>
      </c>
      <c r="AG41" s="9" t="n">
        <f aca="false">IF(M41&gt;0,N41/M41,IF(K41&gt;0,L41/K41,0))</f>
        <v>5671.79181617276</v>
      </c>
      <c r="AH41" s="7" t="n">
        <f aca="false">SUMIFS('MA Engine'!$X$6:$X$1110,'MA Engine'!$B$6:$B$1110,$A41,'MA Engine'!$H$6:$H$1110,8,'MA Engine'!$I$6:$I$1110,"DO",'MA Engine'!$P$6:$P$1110,"&lt;&gt;Y")+SUMIFS('MA Engine'!$X$6:$X$1110,'MA Engine'!$B$6:$B$1110,$A41,'MA Engine'!$H$6:$H$1110,8,'MA Engine'!$I$6:$I$1110,"Unbilled")</f>
        <v>14108925.2039693</v>
      </c>
      <c r="AI41" s="7" t="n">
        <f aca="false">SUMIFS('MA Engine'!$AK$6:$AK$1110,'MA Engine'!$B$6:$B$1110,$A41,'MA Engine'!$H$6:$H$1110,8,'MA Engine'!$I$6:$I$1110,"DO",'MA Engine'!$P$6:$P$1110,"&lt;&gt;Y")+SUMIFS('MA Engine'!$AK$6:$AK$1110,'MA Engine'!$B$6:$B$1110,$A41,'MA Engine'!$H$6:$H$1110,8,'MA Engine'!$I$6:$I$1110,"Unbilled")</f>
        <v>11019577.4418738</v>
      </c>
      <c r="AJ41" s="7" t="n">
        <f aca="false">SUMIFS('MA Engine'!$AL$6:$AL$1110,'MA Engine'!$B$6:$B$1110,$A41,'MA Engine'!$H$6:$H$1110,8,'MA Engine'!$I$6:$I$1110,"DO",'MA Engine'!$P$6:$P$1110,"&lt;&gt;Y")+SUMIFS('MA Engine'!$AL$6:$AL$1110,'MA Engine'!$B$6:$B$1110,$A41,'MA Engine'!$H$6:$H$1110,8,'MA Engine'!$I$6:$I$1110,"Unbilled")</f>
        <v>0</v>
      </c>
      <c r="AK41" s="7" t="n">
        <f aca="false">SUMIFS('MA Engine'!$AM$6:$AM$1110,'MA Engine'!$B$6:$B$1110,$A41,'MA Engine'!$H$6:$H$1110,8,'MA Engine'!$I$6:$I$1110,"DO",'MA Engine'!$P$6:$P$1110,"&lt;&gt;Y")+SUMIFS('MA Engine'!$AM$6:$AM$1110,'MA Engine'!$B$6:$B$1110,$A41,'MA Engine'!$H$6:$H$1110,8,'MA Engine'!$I$6:$I$1110,"Unbilled")</f>
        <v>3089347.76209548</v>
      </c>
      <c r="AL41" s="9" t="n">
        <f aca="false">AH41-AI41-AJ41-AK41</f>
        <v>0</v>
      </c>
      <c r="AM41" s="7" t="n">
        <f aca="false">IF(Q41=0,0,IF($D41="Karkas",SUMIFS('Karkas Detail'!$E$6:$E$42,'Karkas Detail'!$A$6:$A$42,$C41,'Karkas Detail'!$B$6:$B$42,$F41,'Karkas Detail'!$C$6:$C$42,$E41)/SUMIFS($Q$36:$Q$127,$C$36:$C$127,$C41,$D$36:$D$127,"Karkas",$F$36:$F$127,$F41,$E$36:$E$127,$E41),SUMIFS('Data SKU'!$G$5:$G$116,'Data SKU'!$A$5:$A$116,$C41,'Data SKU'!$B$5:$B$116,$D41,'Data SKU'!$C$5:$C$116,$E41,'Data SKU'!$D$5:$D$116,8,'Data SKU'!$N$5:$N$116,"Invoiced")/SUMIFS($Q$36:$Q$127,$C$36:$C$127,$C41,$D$36:$D$127,$D41,$E$36:$E$127,$E41))*Q41)+SUMIFS(Unbilled!$U$22:$U$38,Unbilled!$E$22:$E$38,$A41)</f>
        <v>8166150</v>
      </c>
      <c r="AN41" s="9" t="n">
        <f aca="false">IF(P41=0,0,AM41*AA41/P41)</f>
        <v>6918870</v>
      </c>
      <c r="AO41" s="9" t="n">
        <f aca="false">IF(P41=0,0,AM41*AB41/P41)</f>
        <v>0</v>
      </c>
      <c r="AP41" s="9" t="n">
        <f aca="false">IF(P41=0,0,AM41*AC41/P41)</f>
        <v>1247280</v>
      </c>
      <c r="AQ41" s="14" t="n">
        <f aca="false">MIN(U41+V41,MAX(0,O41-M41))</f>
        <v>0</v>
      </c>
      <c r="AR41" s="14" t="n">
        <f aca="false">MAX(0,AQ41-V41)*Z41</f>
        <v>0</v>
      </c>
      <c r="AS41" s="14" t="n">
        <f aca="false">MIN(V41,AQ41)*Z41</f>
        <v>0</v>
      </c>
      <c r="AT41" s="14" t="n">
        <f aca="false">(O41-AQ41)*Z41</f>
        <v>5444.1</v>
      </c>
      <c r="AU41" s="9" t="n">
        <f aca="false">(AR41+AS41+AT41)*BA41</f>
        <v>14108925.2039693</v>
      </c>
      <c r="AV41" s="9" t="n">
        <f aca="false">IF(P41=0,0,AM41*AR41/P41)</f>
        <v>0</v>
      </c>
      <c r="AW41" s="9" t="n">
        <f aca="false">IF(P41=0,0,AM41*AS41/P41)</f>
        <v>0</v>
      </c>
      <c r="AX41" s="9" t="n">
        <f aca="false">IF(P41=0,0,AM41*AT41/P41)</f>
        <v>8166150</v>
      </c>
      <c r="AY41" s="9" t="n">
        <f aca="false">AH41-AU41</f>
        <v>0</v>
      </c>
      <c r="AZ41" s="9" t="n">
        <f aca="false">IF(M41&gt;0,P41*AG41,0)</f>
        <v>30877801.8264261</v>
      </c>
      <c r="BA41" s="9" t="n">
        <f aca="false">IF(P41=0,0,AH41/P41)</f>
        <v>2591.5991998621</v>
      </c>
      <c r="BB41" s="74" t="s">
        <v>836</v>
      </c>
      <c r="BC41" s="13" t="n">
        <f aca="false">SUMIFS('MA Engine'!$W$6:$W$1110,'MA Engine'!$B$6:$B$1110,$A41,'MA Engine'!$H$6:$H$1110,7,'MA Engine'!$I$6:$I$1110,"DO")</f>
        <v>0</v>
      </c>
      <c r="BD41" s="14" t="n">
        <f aca="false">MIN(MAX(0,H41),J41)</f>
        <v>0</v>
      </c>
      <c r="BE41" s="14" t="n">
        <f aca="false">J41-BD41</f>
        <v>0</v>
      </c>
      <c r="BF41" s="21" t="n">
        <f aca="false">IF(J41=0,0,BC41/J41)</f>
        <v>0</v>
      </c>
      <c r="BG41" s="13" t="n">
        <f aca="false">SUMIFS('MA Engine'!$AH$6:$AH$1110,'MA Engine'!$B$6:$B$1110,$A41,'MA Engine'!$H$6:$H$1110,7,'MA Engine'!$I$6:$I$1110,"DO")</f>
        <v>0</v>
      </c>
      <c r="BH41" s="13" t="n">
        <f aca="false">SUMIFS('MA Engine'!$AI$6:$AI$1110,'MA Engine'!$B$6:$B$1110,$A41,'MA Engine'!$H$6:$H$1110,7,'MA Engine'!$I$6:$I$1110,"DO")+SUMIFS('MA Engine'!$AJ$6:$AJ$1110,'MA Engine'!$B$6:$B$1110,$A41,'MA Engine'!$H$6:$H$1110,7,'MA Engine'!$I$6:$I$1110,"DO")</f>
        <v>0</v>
      </c>
      <c r="BI41" s="7" t="n">
        <f aca="false">IF(H41&gt;0,SUMIFS('MA Engine'!$L$6:$L$1110,'MA Engine'!$B$6:$B$1110,$A41,'MA Engine'!$I$6:$I$1110,"Opening")/H41,0)</f>
        <v>0</v>
      </c>
      <c r="BJ41" s="9" t="n">
        <f aca="false">IF(I41&gt;0,AD41/I41,BI41)</f>
        <v>0</v>
      </c>
      <c r="BK41" s="7" t="n">
        <f aca="false">SUMIFS('MA Engine'!$X$6:$X$1110,'MA Engine'!$B$6:$B$1110,$A41,'MA Engine'!$H$6:$H$1110,7,'MA Engine'!$I$6:$I$1110,"DO")</f>
        <v>0</v>
      </c>
      <c r="BL41" s="7" t="n">
        <f aca="false">SUMIFS('MA Engine'!$AK$6:$AK$1110,'MA Engine'!$B$6:$B$1110,$A41,'MA Engine'!$H$6:$H$1110,7,'MA Engine'!$I$6:$I$1110,"DO")</f>
        <v>0</v>
      </c>
      <c r="BM41" s="7" t="n">
        <f aca="false">SUMIFS('MA Engine'!$AL$6:$AL$1110,'MA Engine'!$B$6:$B$1110,$A41,'MA Engine'!$H$6:$H$1110,7,'MA Engine'!$I$6:$I$1110,"DO")+SUMIFS('MA Engine'!$AM$6:$AM$1110,'MA Engine'!$B$6:$B$1110,$A41,'MA Engine'!$H$6:$H$1110,7,'MA Engine'!$I$6:$I$1110,"DO")</f>
        <v>0</v>
      </c>
      <c r="BN41" s="9" t="n">
        <f aca="false">BK41-BL41-BM41</f>
        <v>0</v>
      </c>
      <c r="BO41" s="7" t="n">
        <f aca="false">IF(BC41=0,0,SUMIFS('Data SKU'!$G$5:$G$116,'Data SKU'!$A$5:$A$116,$C41,'Data SKU'!$B$5:$B$116,$D41,'Data SKU'!$C$5:$C$116,$E41,'Data SKU'!$D$5:$D$116,7,'Data SKU'!$N$5:$N$116,"Invoiced")/SUMIFS($BC$36:$BC$127,$C$36:$C$127,$C41,$D$36:$D$127,$D41,$E$36:$E$127,$E41)*BC41)</f>
        <v>0</v>
      </c>
      <c r="BP41" s="9" t="n">
        <f aca="false">IF(BC41=0,0,BO41*BG41/BC41)</f>
        <v>0</v>
      </c>
      <c r="BQ41" s="9" t="n">
        <f aca="false">IF(BC41=0,0,BO41*BH41/BC41)</f>
        <v>0</v>
      </c>
    </row>
    <row r="42" customFormat="false" ht="15" hidden="false" customHeight="false" outlineLevel="0" collapsed="false">
      <c r="A42" s="74" t="s">
        <v>954</v>
      </c>
      <c r="B42" s="53" t="str">
        <f aca="false">INDEX(I_Items!$B$5:$B$133,MATCH($A42,I_Items!$A$5:$A$133,0))&amp;""</f>
        <v>Boneless BL Frozen Ceker</v>
      </c>
      <c r="C42" s="53" t="str">
        <f aca="false">INDEX(I_Items!$C$5:$C$133,MATCH($A42,I_Items!$A$5:$A$133,0))&amp;""</f>
        <v>RPA</v>
      </c>
      <c r="D42" s="53" t="str">
        <f aca="false">INDEX(I_Items!$D$5:$D$133,MATCH($A42,I_Items!$A$5:$A$133,0))&amp;""</f>
        <v>Ceker</v>
      </c>
      <c r="E42" s="53" t="str">
        <f aca="false">INDEX(I_Items!$F$5:$F$133,MATCH($A42,I_Items!$A$5:$A$133,0))&amp;""</f>
        <v>Frozen</v>
      </c>
      <c r="F42" s="53" t="str">
        <f aca="false">INDEX(I_Items!$E$5:$E$133,MATCH($A42,I_Items!$A$5:$A$133,0))&amp;""</f>
        <v/>
      </c>
      <c r="G42" s="6" t="str">
        <f aca="false">IF(P42=0,"-",IF(M42=0,"A",IF(K42&lt;=0,"C","B")))</f>
        <v>-</v>
      </c>
      <c r="H42" s="13" t="n">
        <f aca="false">SUMIFS('MA Engine'!$K$6:$K$1110,'MA Engine'!$B$6:$B$1110,$A42,'MA Engine'!$I$6:$I$1110,"Opening")</f>
        <v>1622.58</v>
      </c>
      <c r="I42" s="13" t="n">
        <f aca="false">SUMIFS('MA Engine'!$K$6:$K$1110,'MA Engine'!$B$6:$B$1110,$A42,'MA Engine'!$H$6:$H$1110,7,'MA Engine'!$I$6:$I$1110,"&lt;&gt;Opening")</f>
        <v>118</v>
      </c>
      <c r="J42" s="13" t="n">
        <f aca="false">SUMIFS('MA Engine'!$W$6:$W$1110,'MA Engine'!$B$6:$B$1110,$A42,'MA Engine'!$H$6:$H$1110,7)</f>
        <v>462.2</v>
      </c>
      <c r="K42" s="14" t="n">
        <f aca="false">H42+I42-J42</f>
        <v>1278.38</v>
      </c>
      <c r="L42" s="7" t="n">
        <f aca="false">SUMIFS('MA Engine'!$L$6:$L$1110,'MA Engine'!$B$6:$B$1110,$A42,'MA Engine'!$I$6:$I$1110,"Opening")+SUMIFS('MA Engine'!$L$6:$L$1110,'MA Engine'!$B$6:$B$1110,$A42,'MA Engine'!$H$6:$H$1110,7,'MA Engine'!$I$6:$I$1110,"&lt;&gt;Opening")-SUMIFS('MA Engine'!$X$6:$X$1110,'MA Engine'!$B$6:$B$1110,$A42,'MA Engine'!$H$6:$H$1110,7)</f>
        <v>10699758.3043648</v>
      </c>
      <c r="M42" s="13" t="n">
        <f aca="false">SUMIFS('MA Engine'!$K$6:$K$1110,'MA Engine'!$B$6:$B$1110,$A42,'MA Engine'!$H$6:$H$1110,8)</f>
        <v>0</v>
      </c>
      <c r="N42" s="7" t="n">
        <f aca="false">SUMIFS('MA Engine'!$L$6:$L$1110,'MA Engine'!$B$6:$B$1110,$A42,'MA Engine'!$H$6:$H$1110,8)</f>
        <v>0</v>
      </c>
      <c r="O42" s="13" t="n">
        <f aca="false">SUMIFS('MA Engine'!$W$6:$W$1110,'MA Engine'!$B$6:$B$1110,$A42,'MA Engine'!$H$6:$H$1110,8)</f>
        <v>0</v>
      </c>
      <c r="P42" s="14" t="n">
        <f aca="false">Q42+R42</f>
        <v>0</v>
      </c>
      <c r="Q42" s="13" t="n">
        <f aca="false">SUMIFS('MA Engine'!$W$6:$W$1110,'MA Engine'!$B$6:$B$1110,$A42,'MA Engine'!$H$6:$H$1110,8,'MA Engine'!$I$6:$I$1110,"DO",'MA Engine'!$P$6:$P$1110,"&lt;&gt;Y")</f>
        <v>0</v>
      </c>
      <c r="R42" s="13" t="n">
        <f aca="false">SUMIFS('MA Engine'!$W$6:$W$1110,'MA Engine'!$B$6:$B$1110,$A42,'MA Engine'!$H$6:$H$1110,8,'MA Engine'!$I$6:$I$1110,"Unbilled")</f>
        <v>0</v>
      </c>
      <c r="S42" s="13" t="n">
        <f aca="false">SUMIFS('MA Engine'!$W$6:$W$1110,'MA Engine'!$B$6:$B$1110,$A42,'MA Engine'!$H$6:$H$1110,8,'MA Engine'!$P$6:$P$1110,"Y")</f>
        <v>0</v>
      </c>
      <c r="T42" s="14" t="n">
        <f aca="false">O42-P42-S42</f>
        <v>0</v>
      </c>
      <c r="U42" s="14" t="n">
        <f aca="false">MAX(0,H42-J42)</f>
        <v>1160.38</v>
      </c>
      <c r="V42" s="14" t="n">
        <f aca="false">MAX(0,K42-U42)</f>
        <v>118</v>
      </c>
      <c r="W42" s="14" t="n">
        <f aca="false">MIN(U42,O42)</f>
        <v>0</v>
      </c>
      <c r="X42" s="14" t="n">
        <f aca="false">MIN(V42,O42-W42)</f>
        <v>0</v>
      </c>
      <c r="Y42" s="14" t="n">
        <f aca="false">O42-W42-X42</f>
        <v>0</v>
      </c>
      <c r="Z42" s="21" t="n">
        <f aca="false">IF(O42=0,0,P42/O42)</f>
        <v>0</v>
      </c>
      <c r="AA42" s="13" t="n">
        <f aca="false">SUMIFS('MA Engine'!$AH$6:$AH$1110,'MA Engine'!$B$6:$B$1110,$A42,'MA Engine'!$H$6:$H$1110,8,'MA Engine'!$I$6:$I$1110,"DO",'MA Engine'!$P$6:$P$1110,"&lt;&gt;Y")+SUMIFS('MA Engine'!$AH$6:$AH$1110,'MA Engine'!$B$6:$B$1110,$A42,'MA Engine'!$H$6:$H$1110,8,'MA Engine'!$I$6:$I$1110,"Unbilled")</f>
        <v>0</v>
      </c>
      <c r="AB42" s="13" t="n">
        <f aca="false">SUMIFS('MA Engine'!$AI$6:$AI$1110,'MA Engine'!$B$6:$B$1110,$A42,'MA Engine'!$H$6:$H$1110,8,'MA Engine'!$I$6:$I$1110,"DO",'MA Engine'!$P$6:$P$1110,"&lt;&gt;Y")+SUMIFS('MA Engine'!$AI$6:$AI$1110,'MA Engine'!$B$6:$B$1110,$A42,'MA Engine'!$H$6:$H$1110,8,'MA Engine'!$I$6:$I$1110,"Unbilled")</f>
        <v>0</v>
      </c>
      <c r="AC42" s="13" t="n">
        <f aca="false">SUMIFS('MA Engine'!$AJ$6:$AJ$1110,'MA Engine'!$B$6:$B$1110,$A42,'MA Engine'!$H$6:$H$1110,8,'MA Engine'!$I$6:$I$1110,"DO",'MA Engine'!$P$6:$P$1110,"&lt;&gt;Y")+SUMIFS('MA Engine'!$AJ$6:$AJ$1110,'MA Engine'!$B$6:$B$1110,$A42,'MA Engine'!$H$6:$H$1110,8,'MA Engine'!$I$6:$I$1110,"Unbilled")</f>
        <v>0</v>
      </c>
      <c r="AD42" s="7" t="n">
        <f aca="false">SUMIFS('MA Engine'!$L$6:$L$1110,'MA Engine'!$B$6:$B$1110,$A42,'MA Engine'!$H$6:$H$1110,7,'MA Engine'!$I$6:$I$1110,"&lt;&gt;Opening")</f>
        <v>944433.94</v>
      </c>
      <c r="AE42" s="9" t="n">
        <f aca="false">IF(AND(U42&gt;0.0001,(L42-V42*IF(I42&gt;0,AD42/I42,IF(K42&gt;0,L42/K42,0)))&lt;0),IF(K42&gt;0,L42/K42,0),IF(I42&gt;0,AD42/I42,IF(K42&gt;0,L42/K42,0)))</f>
        <v>8003.67745762712</v>
      </c>
      <c r="AF42" s="9" t="n">
        <f aca="false">IF(U42&lt;=0.0001,IF(K42&gt;0,L42/K42,0),IF((L42-V42*IF(I42&gt;0,AD42/I42,IF(K42&gt;0,L42/K42,0)))&lt;0,IF(K42&gt;0,L42/K42,0),(L42-V42*IF(I42&gt;0,AD42/I42,IF(K42&gt;0,L42/K42,0)))/U42))</f>
        <v>8407.00836309205</v>
      </c>
      <c r="AG42" s="9" t="n">
        <f aca="false">IF(M42&gt;0,N42/M42,IF(K42&gt;0,L42/K42,0))</f>
        <v>8369.77917705593</v>
      </c>
      <c r="AH42" s="7" t="n">
        <f aca="false">SUMIFS('MA Engine'!$X$6:$X$1110,'MA Engine'!$B$6:$B$1110,$A42,'MA Engine'!$H$6:$H$1110,8,'MA Engine'!$I$6:$I$1110,"DO",'MA Engine'!$P$6:$P$1110,"&lt;&gt;Y")+SUMIFS('MA Engine'!$X$6:$X$1110,'MA Engine'!$B$6:$B$1110,$A42,'MA Engine'!$H$6:$H$1110,8,'MA Engine'!$I$6:$I$1110,"Unbilled")</f>
        <v>0</v>
      </c>
      <c r="AI42" s="7" t="n">
        <f aca="false">SUMIFS('MA Engine'!$AK$6:$AK$1110,'MA Engine'!$B$6:$B$1110,$A42,'MA Engine'!$H$6:$H$1110,8,'MA Engine'!$I$6:$I$1110,"DO",'MA Engine'!$P$6:$P$1110,"&lt;&gt;Y")+SUMIFS('MA Engine'!$AK$6:$AK$1110,'MA Engine'!$B$6:$B$1110,$A42,'MA Engine'!$H$6:$H$1110,8,'MA Engine'!$I$6:$I$1110,"Unbilled")</f>
        <v>0</v>
      </c>
      <c r="AJ42" s="7" t="n">
        <f aca="false">SUMIFS('MA Engine'!$AL$6:$AL$1110,'MA Engine'!$B$6:$B$1110,$A42,'MA Engine'!$H$6:$H$1110,8,'MA Engine'!$I$6:$I$1110,"DO",'MA Engine'!$P$6:$P$1110,"&lt;&gt;Y")+SUMIFS('MA Engine'!$AL$6:$AL$1110,'MA Engine'!$B$6:$B$1110,$A42,'MA Engine'!$H$6:$H$1110,8,'MA Engine'!$I$6:$I$1110,"Unbilled")</f>
        <v>0</v>
      </c>
      <c r="AK42" s="7" t="n">
        <f aca="false">SUMIFS('MA Engine'!$AM$6:$AM$1110,'MA Engine'!$B$6:$B$1110,$A42,'MA Engine'!$H$6:$H$1110,8,'MA Engine'!$I$6:$I$1110,"DO",'MA Engine'!$P$6:$P$1110,"&lt;&gt;Y")+SUMIFS('MA Engine'!$AM$6:$AM$1110,'MA Engine'!$B$6:$B$1110,$A42,'MA Engine'!$H$6:$H$1110,8,'MA Engine'!$I$6:$I$1110,"Unbilled")</f>
        <v>0</v>
      </c>
      <c r="AL42" s="9" t="n">
        <f aca="false">AH42-AI42-AJ42-AK42</f>
        <v>0</v>
      </c>
      <c r="AM42" s="7" t="n">
        <f aca="false">IF(Q42=0,0,IF($D42="Karkas",SUMIFS('Karkas Detail'!$E$6:$E$42,'Karkas Detail'!$A$6:$A$42,$C42,'Karkas Detail'!$B$6:$B$42,$F42,'Karkas Detail'!$C$6:$C$42,$E42)/SUMIFS($Q$36:$Q$127,$C$36:$C$127,$C42,$D$36:$D$127,"Karkas",$F$36:$F$127,$F42,$E$36:$E$127,$E42),SUMIFS('Data SKU'!$G$5:$G$116,'Data SKU'!$A$5:$A$116,$C42,'Data SKU'!$B$5:$B$116,$D42,'Data SKU'!$C$5:$C$116,$E42,'Data SKU'!$D$5:$D$116,8,'Data SKU'!$N$5:$N$116,"Invoiced")/SUMIFS($Q$36:$Q$127,$C$36:$C$127,$C42,$D$36:$D$127,$D42,$E$36:$E$127,$E42))*Q42)+SUMIFS(Unbilled!$U$22:$U$38,Unbilled!$E$22:$E$38,$A42)</f>
        <v>0</v>
      </c>
      <c r="AN42" s="9" t="n">
        <f aca="false">IF(P42=0,0,AM42*AA42/P42)</f>
        <v>0</v>
      </c>
      <c r="AO42" s="9" t="n">
        <f aca="false">IF(P42=0,0,AM42*AB42/P42)</f>
        <v>0</v>
      </c>
      <c r="AP42" s="9" t="n">
        <f aca="false">IF(P42=0,0,AM42*AC42/P42)</f>
        <v>0</v>
      </c>
      <c r="AQ42" s="14" t="n">
        <f aca="false">MIN(U42+V42,MAX(0,O42-M42))</f>
        <v>0</v>
      </c>
      <c r="AR42" s="14" t="n">
        <f aca="false">MAX(0,AQ42-V42)*Z42</f>
        <v>0</v>
      </c>
      <c r="AS42" s="14" t="n">
        <f aca="false">MIN(V42,AQ42)*Z42</f>
        <v>0</v>
      </c>
      <c r="AT42" s="14" t="n">
        <f aca="false">(O42-AQ42)*Z42</f>
        <v>0</v>
      </c>
      <c r="AU42" s="9" t="n">
        <f aca="false">(AR42+AS42+AT42)*BA42</f>
        <v>0</v>
      </c>
      <c r="AV42" s="9" t="n">
        <f aca="false">IF(P42=0,0,AM42*AR42/P42)</f>
        <v>0</v>
      </c>
      <c r="AW42" s="9" t="n">
        <f aca="false">IF(P42=0,0,AM42*AS42/P42)</f>
        <v>0</v>
      </c>
      <c r="AX42" s="9" t="n">
        <f aca="false">IF(P42=0,0,AM42*AT42/P42)</f>
        <v>0</v>
      </c>
      <c r="AY42" s="9" t="n">
        <f aca="false">AH42-AU42</f>
        <v>0</v>
      </c>
      <c r="AZ42" s="9" t="n">
        <f aca="false">IF(M42&gt;0,P42*AG42,0)</f>
        <v>0</v>
      </c>
      <c r="BA42" s="9" t="n">
        <f aca="false">IF(P42=0,0,AH42/P42)</f>
        <v>0</v>
      </c>
      <c r="BB42" s="74" t="s">
        <v>836</v>
      </c>
      <c r="BC42" s="13" t="n">
        <f aca="false">SUMIFS('MA Engine'!$W$6:$W$1110,'MA Engine'!$B$6:$B$1110,$A42,'MA Engine'!$H$6:$H$1110,7,'MA Engine'!$I$6:$I$1110,"DO")</f>
        <v>462.2</v>
      </c>
      <c r="BD42" s="14" t="n">
        <f aca="false">MIN(MAX(0,H42),J42)</f>
        <v>462.2</v>
      </c>
      <c r="BE42" s="14" t="n">
        <f aca="false">J42-BD42</f>
        <v>0</v>
      </c>
      <c r="BF42" s="21" t="n">
        <f aca="false">IF(J42=0,0,BC42/J42)</f>
        <v>1</v>
      </c>
      <c r="BG42" s="13" t="n">
        <f aca="false">SUMIFS('MA Engine'!$AH$6:$AH$1110,'MA Engine'!$B$6:$B$1110,$A42,'MA Engine'!$H$6:$H$1110,7,'MA Engine'!$I$6:$I$1110,"DO")</f>
        <v>462.2</v>
      </c>
      <c r="BH42" s="13" t="n">
        <f aca="false">SUMIFS('MA Engine'!$AI$6:$AI$1110,'MA Engine'!$B$6:$B$1110,$A42,'MA Engine'!$H$6:$H$1110,7,'MA Engine'!$I$6:$I$1110,"DO")+SUMIFS('MA Engine'!$AJ$6:$AJ$1110,'MA Engine'!$B$6:$B$1110,$A42,'MA Engine'!$H$6:$H$1110,7,'MA Engine'!$I$6:$I$1110,"DO")</f>
        <v>0</v>
      </c>
      <c r="BI42" s="7" t="n">
        <f aca="false">IF(H42&gt;0,SUMIFS('MA Engine'!$L$6:$L$1110,'MA Engine'!$B$6:$B$1110,$A42,'MA Engine'!$I$6:$I$1110,"Opening")/H42,0)</f>
        <v>8396.40344389799</v>
      </c>
      <c r="BJ42" s="9" t="n">
        <f aca="false">IF(I42&gt;0,AD42/I42,BI42)</f>
        <v>8003.67745762712</v>
      </c>
      <c r="BK42" s="7" t="n">
        <f aca="false">SUMIFS('MA Engine'!$X$6:$X$1110,'MA Engine'!$B$6:$B$1110,$A42,'MA Engine'!$H$6:$H$1110,7,'MA Engine'!$I$6:$I$1110,"DO")</f>
        <v>3868511.93563525</v>
      </c>
      <c r="BL42" s="7" t="n">
        <f aca="false">SUMIFS('MA Engine'!$AK$6:$AK$1110,'MA Engine'!$B$6:$B$1110,$A42,'MA Engine'!$H$6:$H$1110,7,'MA Engine'!$I$6:$I$1110,"DO")</f>
        <v>3868511.93563525</v>
      </c>
      <c r="BM42" s="7" t="n">
        <f aca="false">SUMIFS('MA Engine'!$AL$6:$AL$1110,'MA Engine'!$B$6:$B$1110,$A42,'MA Engine'!$H$6:$H$1110,7,'MA Engine'!$I$6:$I$1110,"DO")+SUMIFS('MA Engine'!$AM$6:$AM$1110,'MA Engine'!$B$6:$B$1110,$A42,'MA Engine'!$H$6:$H$1110,7,'MA Engine'!$I$6:$I$1110,"DO")</f>
        <v>0</v>
      </c>
      <c r="BN42" s="9" t="n">
        <f aca="false">BK42-BL42-BM42</f>
        <v>0</v>
      </c>
      <c r="BO42" s="7" t="n">
        <f aca="false">IF(BC42=0,0,SUMIFS('Data SKU'!$G$5:$G$116,'Data SKU'!$A$5:$A$116,$C42,'Data SKU'!$B$5:$B$116,$D42,'Data SKU'!$C$5:$C$116,$E42,'Data SKU'!$D$5:$D$116,7,'Data SKU'!$N$5:$N$116,"Invoiced")/SUMIFS($BC$36:$BC$127,$C$36:$C$127,$C42,$D$36:$D$127,$D42,$E$36:$E$127,$E42)*BC42)</f>
        <v>2311000</v>
      </c>
      <c r="BP42" s="9" t="n">
        <f aca="false">IF(BC42=0,0,BO42*BG42/BC42)</f>
        <v>2311000</v>
      </c>
      <c r="BQ42" s="9" t="n">
        <f aca="false">IF(BC42=0,0,BO42*BH42/BC42)</f>
        <v>0</v>
      </c>
    </row>
    <row r="43" customFormat="false" ht="15" hidden="false" customHeight="false" outlineLevel="0" collapsed="false">
      <c r="A43" s="74" t="s">
        <v>955</v>
      </c>
      <c r="B43" s="53" t="str">
        <f aca="false">INDEX(I_Items!$B$5:$B$133,MATCH($A43,I_Items!$A$5:$A$133,0))&amp;""</f>
        <v>Boneless BL Frozen HJA</v>
      </c>
      <c r="C43" s="53" t="str">
        <f aca="false">INDEX(I_Items!$C$5:$C$133,MATCH($A43,I_Items!$A$5:$A$133,0))&amp;""</f>
        <v>RPA</v>
      </c>
      <c r="D43" s="53" t="str">
        <f aca="false">INDEX(I_Items!$D$5:$D$133,MATCH($A43,I_Items!$A$5:$A$133,0))&amp;""</f>
        <v>HJA (Hati/Jantung/Ampela)</v>
      </c>
      <c r="E43" s="53" t="str">
        <f aca="false">INDEX(I_Items!$F$5:$F$133,MATCH($A43,I_Items!$A$5:$A$133,0))&amp;""</f>
        <v>Frozen</v>
      </c>
      <c r="F43" s="53" t="str">
        <f aca="false">INDEX(I_Items!$E$5:$E$133,MATCH($A43,I_Items!$A$5:$A$133,0))&amp;""</f>
        <v/>
      </c>
      <c r="G43" s="6" t="str">
        <f aca="false">IF(P43=0,"-",IF(M43=0,"A",IF(K43&lt;=0,"C","B")))</f>
        <v>A</v>
      </c>
      <c r="H43" s="13" t="n">
        <f aca="false">SUMIFS('MA Engine'!$K$6:$K$1110,'MA Engine'!$B$6:$B$1110,$A43,'MA Engine'!$I$6:$I$1110,"Opening")</f>
        <v>1651.9</v>
      </c>
      <c r="I43" s="13" t="n">
        <f aca="false">SUMIFS('MA Engine'!$K$6:$K$1110,'MA Engine'!$B$6:$B$1110,$A43,'MA Engine'!$H$6:$H$1110,7,'MA Engine'!$I$6:$I$1110,"&lt;&gt;Opening")</f>
        <v>0</v>
      </c>
      <c r="J43" s="13" t="n">
        <f aca="false">SUMIFS('MA Engine'!$W$6:$W$1110,'MA Engine'!$B$6:$B$1110,$A43,'MA Engine'!$H$6:$H$1110,7)</f>
        <v>1300</v>
      </c>
      <c r="K43" s="14" t="n">
        <f aca="false">H43+I43-J43</f>
        <v>351.9</v>
      </c>
      <c r="L43" s="7" t="n">
        <f aca="false">SUMIFS('MA Engine'!$L$6:$L$1110,'MA Engine'!$B$6:$B$1110,$A43,'MA Engine'!$I$6:$I$1110,"Opening")+SUMIFS('MA Engine'!$L$6:$L$1110,'MA Engine'!$B$6:$B$1110,$A43,'MA Engine'!$H$6:$H$1110,7,'MA Engine'!$I$6:$I$1110,"&lt;&gt;Opening")-SUMIFS('MA Engine'!$X$6:$X$1110,'MA Engine'!$B$6:$B$1110,$A43,'MA Engine'!$H$6:$H$1110,7)</f>
        <v>195185.102389975</v>
      </c>
      <c r="M43" s="13" t="n">
        <f aca="false">SUMIFS('MA Engine'!$K$6:$K$1110,'MA Engine'!$B$6:$B$1110,$A43,'MA Engine'!$H$6:$H$1110,8)</f>
        <v>0</v>
      </c>
      <c r="N43" s="7" t="n">
        <f aca="false">SUMIFS('MA Engine'!$L$6:$L$1110,'MA Engine'!$B$6:$B$1110,$A43,'MA Engine'!$H$6:$H$1110,8)</f>
        <v>0</v>
      </c>
      <c r="O43" s="13" t="n">
        <f aca="false">SUMIFS('MA Engine'!$W$6:$W$1110,'MA Engine'!$B$6:$B$1110,$A43,'MA Engine'!$H$6:$H$1110,8)</f>
        <v>221.5</v>
      </c>
      <c r="P43" s="14" t="n">
        <f aca="false">Q43+R43</f>
        <v>221.5</v>
      </c>
      <c r="Q43" s="13" t="n">
        <f aca="false">SUMIFS('MA Engine'!$W$6:$W$1110,'MA Engine'!$B$6:$B$1110,$A43,'MA Engine'!$H$6:$H$1110,8,'MA Engine'!$I$6:$I$1110,"DO",'MA Engine'!$P$6:$P$1110,"&lt;&gt;Y")</f>
        <v>221.5</v>
      </c>
      <c r="R43" s="13" t="n">
        <f aca="false">SUMIFS('MA Engine'!$W$6:$W$1110,'MA Engine'!$B$6:$B$1110,$A43,'MA Engine'!$H$6:$H$1110,8,'MA Engine'!$I$6:$I$1110,"Unbilled")</f>
        <v>0</v>
      </c>
      <c r="S43" s="13" t="n">
        <f aca="false">SUMIFS('MA Engine'!$W$6:$W$1110,'MA Engine'!$B$6:$B$1110,$A43,'MA Engine'!$H$6:$H$1110,8,'MA Engine'!$P$6:$P$1110,"Y")</f>
        <v>0</v>
      </c>
      <c r="T43" s="14" t="n">
        <f aca="false">O43-P43-S43</f>
        <v>0</v>
      </c>
      <c r="U43" s="14" t="n">
        <f aca="false">MAX(0,H43-J43)</f>
        <v>351.9</v>
      </c>
      <c r="V43" s="14" t="n">
        <f aca="false">MAX(0,K43-U43)</f>
        <v>0</v>
      </c>
      <c r="W43" s="14" t="n">
        <f aca="false">MIN(U43,O43)</f>
        <v>221.5</v>
      </c>
      <c r="X43" s="14" t="n">
        <f aca="false">MIN(V43,O43-W43)</f>
        <v>0</v>
      </c>
      <c r="Y43" s="14" t="n">
        <f aca="false">O43-W43-X43</f>
        <v>0</v>
      </c>
      <c r="Z43" s="21" t="n">
        <f aca="false">IF(O43=0,0,P43/O43)</f>
        <v>1</v>
      </c>
      <c r="AA43" s="13" t="n">
        <f aca="false">SUMIFS('MA Engine'!$AH$6:$AH$1110,'MA Engine'!$B$6:$B$1110,$A43,'MA Engine'!$H$6:$H$1110,8,'MA Engine'!$I$6:$I$1110,"DO",'MA Engine'!$P$6:$P$1110,"&lt;&gt;Y")+SUMIFS('MA Engine'!$AH$6:$AH$1110,'MA Engine'!$B$6:$B$1110,$A43,'MA Engine'!$H$6:$H$1110,8,'MA Engine'!$I$6:$I$1110,"Unbilled")</f>
        <v>221.5</v>
      </c>
      <c r="AB43" s="13" t="n">
        <f aca="false">SUMIFS('MA Engine'!$AI$6:$AI$1110,'MA Engine'!$B$6:$B$1110,$A43,'MA Engine'!$H$6:$H$1110,8,'MA Engine'!$I$6:$I$1110,"DO",'MA Engine'!$P$6:$P$1110,"&lt;&gt;Y")+SUMIFS('MA Engine'!$AI$6:$AI$1110,'MA Engine'!$B$6:$B$1110,$A43,'MA Engine'!$H$6:$H$1110,8,'MA Engine'!$I$6:$I$1110,"Unbilled")</f>
        <v>0</v>
      </c>
      <c r="AC43" s="13" t="n">
        <f aca="false">SUMIFS('MA Engine'!$AJ$6:$AJ$1110,'MA Engine'!$B$6:$B$1110,$A43,'MA Engine'!$H$6:$H$1110,8,'MA Engine'!$I$6:$I$1110,"DO",'MA Engine'!$P$6:$P$1110,"&lt;&gt;Y")+SUMIFS('MA Engine'!$AJ$6:$AJ$1110,'MA Engine'!$B$6:$B$1110,$A43,'MA Engine'!$H$6:$H$1110,8,'MA Engine'!$I$6:$I$1110,"Unbilled")</f>
        <v>0</v>
      </c>
      <c r="AD43" s="7" t="n">
        <f aca="false">SUMIFS('MA Engine'!$L$6:$L$1110,'MA Engine'!$B$6:$B$1110,$A43,'MA Engine'!$H$6:$H$1110,7,'MA Engine'!$I$6:$I$1110,"&lt;&gt;Opening")</f>
        <v>0</v>
      </c>
      <c r="AE43" s="9" t="n">
        <f aca="false">IF(AND(U43&gt;0.0001,(L43-V43*IF(I43&gt;0,AD43/I43,IF(K43&gt;0,L43/K43,0)))&lt;0),IF(K43&gt;0,L43/K43,0),IF(I43&gt;0,AD43/I43,IF(K43&gt;0,L43/K43,0)))</f>
        <v>554.660705853865</v>
      </c>
      <c r="AF43" s="9" t="n">
        <f aca="false">IF(U43&lt;=0.0001,IF(K43&gt;0,L43/K43,0),IF((L43-V43*IF(I43&gt;0,AD43/I43,IF(K43&gt;0,L43/K43,0)))&lt;0,IF(K43&gt;0,L43/K43,0),(L43-V43*IF(I43&gt;0,AD43/I43,IF(K43&gt;0,L43/K43,0)))/U43))</f>
        <v>554.660705853865</v>
      </c>
      <c r="AG43" s="9" t="n">
        <f aca="false">IF(M43&gt;0,N43/M43,IF(K43&gt;0,L43/K43,0))</f>
        <v>554.660705853865</v>
      </c>
      <c r="AH43" s="7" t="n">
        <f aca="false">SUMIFS('MA Engine'!$X$6:$X$1110,'MA Engine'!$B$6:$B$1110,$A43,'MA Engine'!$H$6:$H$1110,8,'MA Engine'!$I$6:$I$1110,"DO",'MA Engine'!$P$6:$P$1110,"&lt;&gt;Y")+SUMIFS('MA Engine'!$X$6:$X$1110,'MA Engine'!$B$6:$B$1110,$A43,'MA Engine'!$H$6:$H$1110,8,'MA Engine'!$I$6:$I$1110,"Unbilled")</f>
        <v>122857.346346631</v>
      </c>
      <c r="AI43" s="7" t="n">
        <f aca="false">SUMIFS('MA Engine'!$AK$6:$AK$1110,'MA Engine'!$B$6:$B$1110,$A43,'MA Engine'!$H$6:$H$1110,8,'MA Engine'!$I$6:$I$1110,"DO",'MA Engine'!$P$6:$P$1110,"&lt;&gt;Y")+SUMIFS('MA Engine'!$AK$6:$AK$1110,'MA Engine'!$B$6:$B$1110,$A43,'MA Engine'!$H$6:$H$1110,8,'MA Engine'!$I$6:$I$1110,"Unbilled")</f>
        <v>122857.346346631</v>
      </c>
      <c r="AJ43" s="7" t="n">
        <f aca="false">SUMIFS('MA Engine'!$AL$6:$AL$1110,'MA Engine'!$B$6:$B$1110,$A43,'MA Engine'!$H$6:$H$1110,8,'MA Engine'!$I$6:$I$1110,"DO",'MA Engine'!$P$6:$P$1110,"&lt;&gt;Y")+SUMIFS('MA Engine'!$AL$6:$AL$1110,'MA Engine'!$B$6:$B$1110,$A43,'MA Engine'!$H$6:$H$1110,8,'MA Engine'!$I$6:$I$1110,"Unbilled")</f>
        <v>0</v>
      </c>
      <c r="AK43" s="7" t="n">
        <f aca="false">SUMIFS('MA Engine'!$AM$6:$AM$1110,'MA Engine'!$B$6:$B$1110,$A43,'MA Engine'!$H$6:$H$1110,8,'MA Engine'!$I$6:$I$1110,"DO",'MA Engine'!$P$6:$P$1110,"&lt;&gt;Y")+SUMIFS('MA Engine'!$AM$6:$AM$1110,'MA Engine'!$B$6:$B$1110,$A43,'MA Engine'!$H$6:$H$1110,8,'MA Engine'!$I$6:$I$1110,"Unbilled")</f>
        <v>0</v>
      </c>
      <c r="AL43" s="9" t="n">
        <f aca="false">AH43-AI43-AJ43-AK43</f>
        <v>0</v>
      </c>
      <c r="AM43" s="7" t="n">
        <f aca="false">IF(Q43=0,0,IF($D43="Karkas",SUMIFS('Karkas Detail'!$E$6:$E$42,'Karkas Detail'!$A$6:$A$42,$C43,'Karkas Detail'!$B$6:$B$42,$F43,'Karkas Detail'!$C$6:$C$42,$E43)/SUMIFS($Q$36:$Q$127,$C$36:$C$127,$C43,$D$36:$D$127,"Karkas",$F$36:$F$127,$F43,$E$36:$E$127,$E43),SUMIFS('Data SKU'!$G$5:$G$116,'Data SKU'!$A$5:$A$116,$C43,'Data SKU'!$B$5:$B$116,$D43,'Data SKU'!$C$5:$C$116,$E43,'Data SKU'!$D$5:$D$116,8,'Data SKU'!$N$5:$N$116,"Invoiced")/SUMIFS($Q$36:$Q$127,$C$36:$C$127,$C43,$D$36:$D$127,$D43,$E$36:$E$127,$E43))*Q43)+SUMIFS(Unbilled!$U$22:$U$38,Unbilled!$E$22:$E$38,$A43)</f>
        <v>1107500</v>
      </c>
      <c r="AN43" s="9" t="n">
        <f aca="false">IF(P43=0,0,AM43*AA43/P43)</f>
        <v>1107500</v>
      </c>
      <c r="AO43" s="9" t="n">
        <f aca="false">IF(P43=0,0,AM43*AB43/P43)</f>
        <v>0</v>
      </c>
      <c r="AP43" s="9" t="n">
        <f aca="false">IF(P43=0,0,AM43*AC43/P43)</f>
        <v>0</v>
      </c>
      <c r="AQ43" s="14" t="n">
        <f aca="false">MIN(U43+V43,MAX(0,O43-M43))</f>
        <v>221.5</v>
      </c>
      <c r="AR43" s="14" t="n">
        <f aca="false">MAX(0,AQ43-V43)*Z43</f>
        <v>221.5</v>
      </c>
      <c r="AS43" s="14" t="n">
        <f aca="false">MIN(V43,AQ43)*Z43</f>
        <v>0</v>
      </c>
      <c r="AT43" s="14" t="n">
        <f aca="false">(O43-AQ43)*Z43</f>
        <v>0</v>
      </c>
      <c r="AU43" s="9" t="n">
        <f aca="false">(AR43+AS43+AT43)*BA43</f>
        <v>122857.346346631</v>
      </c>
      <c r="AV43" s="9" t="n">
        <f aca="false">IF(P43=0,0,AM43*AR43/P43)</f>
        <v>1107500</v>
      </c>
      <c r="AW43" s="9" t="n">
        <f aca="false">IF(P43=0,0,AM43*AS43/P43)</f>
        <v>0</v>
      </c>
      <c r="AX43" s="9" t="n">
        <f aca="false">IF(P43=0,0,AM43*AT43/P43)</f>
        <v>0</v>
      </c>
      <c r="AY43" s="9" t="n">
        <f aca="false">AH43-AU43</f>
        <v>0</v>
      </c>
      <c r="AZ43" s="9" t="n">
        <f aca="false">IF(M43&gt;0,P43*AG43,0)</f>
        <v>0</v>
      </c>
      <c r="BA43" s="9" t="n">
        <f aca="false">IF(P43=0,0,AH43/P43)</f>
        <v>554.660705853865</v>
      </c>
      <c r="BB43" s="74" t="s">
        <v>836</v>
      </c>
      <c r="BC43" s="13" t="n">
        <f aca="false">SUMIFS('MA Engine'!$W$6:$W$1110,'MA Engine'!$B$6:$B$1110,$A43,'MA Engine'!$H$6:$H$1110,7,'MA Engine'!$I$6:$I$1110,"DO")</f>
        <v>1300</v>
      </c>
      <c r="BD43" s="14" t="n">
        <f aca="false">MIN(MAX(0,H43),J43)</f>
        <v>1300</v>
      </c>
      <c r="BE43" s="14" t="n">
        <f aca="false">J43-BD43</f>
        <v>0</v>
      </c>
      <c r="BF43" s="21" t="n">
        <f aca="false">IF(J43=0,0,BC43/J43)</f>
        <v>1</v>
      </c>
      <c r="BG43" s="13" t="n">
        <f aca="false">SUMIFS('MA Engine'!$AH$6:$AH$1110,'MA Engine'!$B$6:$B$1110,$A43,'MA Engine'!$H$6:$H$1110,7,'MA Engine'!$I$6:$I$1110,"DO")</f>
        <v>1300</v>
      </c>
      <c r="BH43" s="13" t="n">
        <f aca="false">SUMIFS('MA Engine'!$AI$6:$AI$1110,'MA Engine'!$B$6:$B$1110,$A43,'MA Engine'!$H$6:$H$1110,7,'MA Engine'!$I$6:$I$1110,"DO")+SUMIFS('MA Engine'!$AJ$6:$AJ$1110,'MA Engine'!$B$6:$B$1110,$A43,'MA Engine'!$H$6:$H$1110,7,'MA Engine'!$I$6:$I$1110,"DO")</f>
        <v>0</v>
      </c>
      <c r="BI43" s="7" t="n">
        <f aca="false">IF(H43&gt;0,SUMIFS('MA Engine'!$L$6:$L$1110,'MA Engine'!$B$6:$B$1110,$A43,'MA Engine'!$I$6:$I$1110,"Opening")/H43,0)</f>
        <v>554.660705853865</v>
      </c>
      <c r="BJ43" s="9" t="n">
        <f aca="false">IF(I43&gt;0,AD43/I43,BI43)</f>
        <v>554.660705853865</v>
      </c>
      <c r="BK43" s="7" t="n">
        <f aca="false">SUMIFS('MA Engine'!$X$6:$X$1110,'MA Engine'!$B$6:$B$1110,$A43,'MA Engine'!$H$6:$H$1110,7,'MA Engine'!$I$6:$I$1110,"DO")</f>
        <v>721058.917610025</v>
      </c>
      <c r="BL43" s="7" t="n">
        <f aca="false">SUMIFS('MA Engine'!$AK$6:$AK$1110,'MA Engine'!$B$6:$B$1110,$A43,'MA Engine'!$H$6:$H$1110,7,'MA Engine'!$I$6:$I$1110,"DO")</f>
        <v>721058.917610025</v>
      </c>
      <c r="BM43" s="7" t="n">
        <f aca="false">SUMIFS('MA Engine'!$AL$6:$AL$1110,'MA Engine'!$B$6:$B$1110,$A43,'MA Engine'!$H$6:$H$1110,7,'MA Engine'!$I$6:$I$1110,"DO")+SUMIFS('MA Engine'!$AM$6:$AM$1110,'MA Engine'!$B$6:$B$1110,$A43,'MA Engine'!$H$6:$H$1110,7,'MA Engine'!$I$6:$I$1110,"DO")</f>
        <v>0</v>
      </c>
      <c r="BN43" s="9" t="n">
        <f aca="false">BK43-BL43-BM43</f>
        <v>0</v>
      </c>
      <c r="BO43" s="7" t="n">
        <f aca="false">IF(BC43=0,0,SUMIFS('Data SKU'!$G$5:$G$116,'Data SKU'!$A$5:$A$116,$C43,'Data SKU'!$B$5:$B$116,$D43,'Data SKU'!$C$5:$C$116,$E43,'Data SKU'!$D$5:$D$116,7,'Data SKU'!$N$5:$N$116,"Invoiced")/SUMIFS($BC$36:$BC$127,$C$36:$C$127,$C43,$D$36:$D$127,$D43,$E$36:$E$127,$E43)*BC43)</f>
        <v>1300000</v>
      </c>
      <c r="BP43" s="9" t="n">
        <f aca="false">IF(BC43=0,0,BO43*BG43/BC43)</f>
        <v>1300000</v>
      </c>
      <c r="BQ43" s="9" t="n">
        <f aca="false">IF(BC43=0,0,BO43*BH43/BC43)</f>
        <v>0</v>
      </c>
    </row>
    <row r="44" customFormat="false" ht="15" hidden="false" customHeight="false" outlineLevel="0" collapsed="false">
      <c r="A44" s="74" t="s">
        <v>956</v>
      </c>
      <c r="B44" s="53" t="str">
        <f aca="false">INDEX(I_Items!$B$5:$B$133,MATCH($A44,I_Items!$A$5:$A$133,0))&amp;""</f>
        <v>Boneless BL Frozen Kepala</v>
      </c>
      <c r="C44" s="53" t="str">
        <f aca="false">INDEX(I_Items!$C$5:$C$133,MATCH($A44,I_Items!$A$5:$A$133,0))&amp;""</f>
        <v>RPA</v>
      </c>
      <c r="D44" s="53" t="str">
        <f aca="false">INDEX(I_Items!$D$5:$D$133,MATCH($A44,I_Items!$A$5:$A$133,0))&amp;""</f>
        <v>Kepala</v>
      </c>
      <c r="E44" s="53" t="str">
        <f aca="false">INDEX(I_Items!$F$5:$F$133,MATCH($A44,I_Items!$A$5:$A$133,0))&amp;""</f>
        <v>Frozen</v>
      </c>
      <c r="F44" s="53" t="str">
        <f aca="false">INDEX(I_Items!$E$5:$E$133,MATCH($A44,I_Items!$A$5:$A$133,0))&amp;""</f>
        <v/>
      </c>
      <c r="G44" s="6" t="str">
        <f aca="false">IF(P44=0,"-",IF(M44=0,"A",IF(K44&lt;=0,"C","B")))</f>
        <v>A</v>
      </c>
      <c r="H44" s="13" t="n">
        <f aca="false">SUMIFS('MA Engine'!$K$6:$K$1110,'MA Engine'!$B$6:$B$1110,$A44,'MA Engine'!$I$6:$I$1110,"Opening")</f>
        <v>1996.1</v>
      </c>
      <c r="I44" s="13" t="n">
        <f aca="false">SUMIFS('MA Engine'!$K$6:$K$1110,'MA Engine'!$B$6:$B$1110,$A44,'MA Engine'!$H$6:$H$1110,7,'MA Engine'!$I$6:$I$1110,"&lt;&gt;Opening")</f>
        <v>186</v>
      </c>
      <c r="J44" s="13" t="n">
        <f aca="false">SUMIFS('MA Engine'!$W$6:$W$1110,'MA Engine'!$B$6:$B$1110,$A44,'MA Engine'!$H$6:$H$1110,7)</f>
        <v>207.1</v>
      </c>
      <c r="K44" s="14" t="n">
        <f aca="false">H44+I44-J44</f>
        <v>1975</v>
      </c>
      <c r="L44" s="7" t="n">
        <f aca="false">SUMIFS('MA Engine'!$L$6:$L$1110,'MA Engine'!$B$6:$B$1110,$A44,'MA Engine'!$I$6:$I$1110,"Opening")+SUMIFS('MA Engine'!$L$6:$L$1110,'MA Engine'!$B$6:$B$1110,$A44,'MA Engine'!$H$6:$H$1110,7,'MA Engine'!$I$6:$I$1110,"&lt;&gt;Opening")-SUMIFS('MA Engine'!$X$6:$X$1110,'MA Engine'!$B$6:$B$1110,$A44,'MA Engine'!$H$6:$H$1110,7)</f>
        <v>15399672.5866138</v>
      </c>
      <c r="M44" s="13" t="n">
        <f aca="false">SUMIFS('MA Engine'!$K$6:$K$1110,'MA Engine'!$B$6:$B$1110,$A44,'MA Engine'!$H$6:$H$1110,8)</f>
        <v>0</v>
      </c>
      <c r="N44" s="7" t="n">
        <f aca="false">SUMIFS('MA Engine'!$L$6:$L$1110,'MA Engine'!$B$6:$B$1110,$A44,'MA Engine'!$H$6:$H$1110,8)</f>
        <v>0</v>
      </c>
      <c r="O44" s="13" t="n">
        <f aca="false">SUMIFS('MA Engine'!$W$6:$W$1110,'MA Engine'!$B$6:$B$1110,$A44,'MA Engine'!$H$6:$H$1110,8)</f>
        <v>163.8</v>
      </c>
      <c r="P44" s="14" t="n">
        <f aca="false">Q44+R44</f>
        <v>163.8</v>
      </c>
      <c r="Q44" s="13" t="n">
        <f aca="false">SUMIFS('MA Engine'!$W$6:$W$1110,'MA Engine'!$B$6:$B$1110,$A44,'MA Engine'!$H$6:$H$1110,8,'MA Engine'!$I$6:$I$1110,"DO",'MA Engine'!$P$6:$P$1110,"&lt;&gt;Y")</f>
        <v>163.8</v>
      </c>
      <c r="R44" s="13" t="n">
        <f aca="false">SUMIFS('MA Engine'!$W$6:$W$1110,'MA Engine'!$B$6:$B$1110,$A44,'MA Engine'!$H$6:$H$1110,8,'MA Engine'!$I$6:$I$1110,"Unbilled")</f>
        <v>0</v>
      </c>
      <c r="S44" s="13" t="n">
        <f aca="false">SUMIFS('MA Engine'!$W$6:$W$1110,'MA Engine'!$B$6:$B$1110,$A44,'MA Engine'!$H$6:$H$1110,8,'MA Engine'!$P$6:$P$1110,"Y")</f>
        <v>0</v>
      </c>
      <c r="T44" s="14" t="n">
        <f aca="false">O44-P44-S44</f>
        <v>0</v>
      </c>
      <c r="U44" s="14" t="n">
        <f aca="false">MAX(0,H44-J44)</f>
        <v>1789</v>
      </c>
      <c r="V44" s="14" t="n">
        <f aca="false">MAX(0,K44-U44)</f>
        <v>186</v>
      </c>
      <c r="W44" s="14" t="n">
        <f aca="false">MIN(U44,O44)</f>
        <v>163.8</v>
      </c>
      <c r="X44" s="14" t="n">
        <f aca="false">MIN(V44,O44-W44)</f>
        <v>0</v>
      </c>
      <c r="Y44" s="14" t="n">
        <f aca="false">O44-W44-X44</f>
        <v>0</v>
      </c>
      <c r="Z44" s="21" t="n">
        <f aca="false">IF(O44=0,0,P44/O44)</f>
        <v>1</v>
      </c>
      <c r="AA44" s="13" t="n">
        <f aca="false">SUMIFS('MA Engine'!$AH$6:$AH$1110,'MA Engine'!$B$6:$B$1110,$A44,'MA Engine'!$H$6:$H$1110,8,'MA Engine'!$I$6:$I$1110,"DO",'MA Engine'!$P$6:$P$1110,"&lt;&gt;Y")+SUMIFS('MA Engine'!$AH$6:$AH$1110,'MA Engine'!$B$6:$B$1110,$A44,'MA Engine'!$H$6:$H$1110,8,'MA Engine'!$I$6:$I$1110,"Unbilled")</f>
        <v>163.8</v>
      </c>
      <c r="AB44" s="13" t="n">
        <f aca="false">SUMIFS('MA Engine'!$AI$6:$AI$1110,'MA Engine'!$B$6:$B$1110,$A44,'MA Engine'!$H$6:$H$1110,8,'MA Engine'!$I$6:$I$1110,"DO",'MA Engine'!$P$6:$P$1110,"&lt;&gt;Y")+SUMIFS('MA Engine'!$AI$6:$AI$1110,'MA Engine'!$B$6:$B$1110,$A44,'MA Engine'!$H$6:$H$1110,8,'MA Engine'!$I$6:$I$1110,"Unbilled")</f>
        <v>0</v>
      </c>
      <c r="AC44" s="13" t="n">
        <f aca="false">SUMIFS('MA Engine'!$AJ$6:$AJ$1110,'MA Engine'!$B$6:$B$1110,$A44,'MA Engine'!$H$6:$H$1110,8,'MA Engine'!$I$6:$I$1110,"DO",'MA Engine'!$P$6:$P$1110,"&lt;&gt;Y")+SUMIFS('MA Engine'!$AJ$6:$AJ$1110,'MA Engine'!$B$6:$B$1110,$A44,'MA Engine'!$H$6:$H$1110,8,'MA Engine'!$I$6:$I$1110,"Unbilled")</f>
        <v>0</v>
      </c>
      <c r="AD44" s="7" t="n">
        <f aca="false">SUMIFS('MA Engine'!$L$6:$L$1110,'MA Engine'!$B$6:$B$1110,$A44,'MA Engine'!$H$6:$H$1110,7,'MA Engine'!$I$6:$I$1110,"&lt;&gt;Opening")</f>
        <v>1042078.8</v>
      </c>
      <c r="AE44" s="9" t="n">
        <f aca="false">IF(AND(U44&gt;0.0001,(L44-V44*IF(I44&gt;0,AD44/I44,IF(K44&gt;0,L44/K44,0)))&lt;0),IF(K44&gt;0,L44/K44,0),IF(I44&gt;0,AD44/I44,IF(K44&gt;0,L44/K44,0)))</f>
        <v>5602.57419354839</v>
      </c>
      <c r="AF44" s="9" t="n">
        <f aca="false">IF(U44&lt;=0.0001,IF(K44&gt;0,L44/K44,0),IF((L44-V44*IF(I44&gt;0,AD44/I44,IF(K44&gt;0,L44/K44,0)))&lt;0,IF(K44&gt;0,L44/K44,0),(L44-V44*IF(I44&gt;0,AD44/I44,IF(K44&gt;0,L44/K44,0)))/U44))</f>
        <v>8025.48562695015</v>
      </c>
      <c r="AG44" s="9" t="n">
        <f aca="false">IF(M44&gt;0,N44/M44,IF(K44&gt;0,L44/K44,0))</f>
        <v>7797.30257550066</v>
      </c>
      <c r="AH44" s="7" t="n">
        <f aca="false">SUMIFS('MA Engine'!$X$6:$X$1110,'MA Engine'!$B$6:$B$1110,$A44,'MA Engine'!$H$6:$H$1110,8,'MA Engine'!$I$6:$I$1110,"DO",'MA Engine'!$P$6:$P$1110,"&lt;&gt;Y")+SUMIFS('MA Engine'!$X$6:$X$1110,'MA Engine'!$B$6:$B$1110,$A44,'MA Engine'!$H$6:$H$1110,8,'MA Engine'!$I$6:$I$1110,"Unbilled")</f>
        <v>1277198.16186701</v>
      </c>
      <c r="AI44" s="7" t="n">
        <f aca="false">SUMIFS('MA Engine'!$AK$6:$AK$1110,'MA Engine'!$B$6:$B$1110,$A44,'MA Engine'!$H$6:$H$1110,8,'MA Engine'!$I$6:$I$1110,"DO",'MA Engine'!$P$6:$P$1110,"&lt;&gt;Y")+SUMIFS('MA Engine'!$AK$6:$AK$1110,'MA Engine'!$B$6:$B$1110,$A44,'MA Engine'!$H$6:$H$1110,8,'MA Engine'!$I$6:$I$1110,"Unbilled")</f>
        <v>1277198.16186701</v>
      </c>
      <c r="AJ44" s="7" t="n">
        <f aca="false">SUMIFS('MA Engine'!$AL$6:$AL$1110,'MA Engine'!$B$6:$B$1110,$A44,'MA Engine'!$H$6:$H$1110,8,'MA Engine'!$I$6:$I$1110,"DO",'MA Engine'!$P$6:$P$1110,"&lt;&gt;Y")+SUMIFS('MA Engine'!$AL$6:$AL$1110,'MA Engine'!$B$6:$B$1110,$A44,'MA Engine'!$H$6:$H$1110,8,'MA Engine'!$I$6:$I$1110,"Unbilled")</f>
        <v>0</v>
      </c>
      <c r="AK44" s="7" t="n">
        <f aca="false">SUMIFS('MA Engine'!$AM$6:$AM$1110,'MA Engine'!$B$6:$B$1110,$A44,'MA Engine'!$H$6:$H$1110,8,'MA Engine'!$I$6:$I$1110,"DO",'MA Engine'!$P$6:$P$1110,"&lt;&gt;Y")+SUMIFS('MA Engine'!$AM$6:$AM$1110,'MA Engine'!$B$6:$B$1110,$A44,'MA Engine'!$H$6:$H$1110,8,'MA Engine'!$I$6:$I$1110,"Unbilled")</f>
        <v>0</v>
      </c>
      <c r="AL44" s="9" t="n">
        <f aca="false">AH44-AI44-AJ44-AK44</f>
        <v>0</v>
      </c>
      <c r="AM44" s="7" t="n">
        <f aca="false">IF(Q44=0,0,IF($D44="Karkas",SUMIFS('Karkas Detail'!$E$6:$E$42,'Karkas Detail'!$A$6:$A$42,$C44,'Karkas Detail'!$B$6:$B$42,$F44,'Karkas Detail'!$C$6:$C$42,$E44)/SUMIFS($Q$36:$Q$127,$C$36:$C$127,$C44,$D$36:$D$127,"Karkas",$F$36:$F$127,$F44,$E$36:$E$127,$E44),SUMIFS('Data SKU'!$G$5:$G$116,'Data SKU'!$A$5:$A$116,$C44,'Data SKU'!$B$5:$B$116,$D44,'Data SKU'!$C$5:$C$116,$E44,'Data SKU'!$D$5:$D$116,8,'Data SKU'!$N$5:$N$116,"Invoiced")/SUMIFS($Q$36:$Q$127,$C$36:$C$127,$C44,$D$36:$D$127,$D44,$E$36:$E$127,$E44))*Q44)+SUMIFS(Unbilled!$U$22:$U$38,Unbilled!$E$22:$E$38,$A44)</f>
        <v>819000</v>
      </c>
      <c r="AN44" s="9" t="n">
        <f aca="false">IF(P44=0,0,AM44*AA44/P44)</f>
        <v>819000</v>
      </c>
      <c r="AO44" s="9" t="n">
        <f aca="false">IF(P44=0,0,AM44*AB44/P44)</f>
        <v>0</v>
      </c>
      <c r="AP44" s="9" t="n">
        <f aca="false">IF(P44=0,0,AM44*AC44/P44)</f>
        <v>0</v>
      </c>
      <c r="AQ44" s="14" t="n">
        <f aca="false">MIN(U44+V44,MAX(0,O44-M44))</f>
        <v>163.8</v>
      </c>
      <c r="AR44" s="14" t="n">
        <f aca="false">MAX(0,AQ44-V44)*Z44</f>
        <v>0</v>
      </c>
      <c r="AS44" s="14" t="n">
        <f aca="false">MIN(V44,AQ44)*Z44</f>
        <v>163.8</v>
      </c>
      <c r="AT44" s="14" t="n">
        <f aca="false">(O44-AQ44)*Z44</f>
        <v>0</v>
      </c>
      <c r="AU44" s="9" t="n">
        <f aca="false">(AR44+AS44+AT44)*BA44</f>
        <v>1277198.16186701</v>
      </c>
      <c r="AV44" s="9" t="n">
        <f aca="false">IF(P44=0,0,AM44*AR44/P44)</f>
        <v>0</v>
      </c>
      <c r="AW44" s="9" t="n">
        <f aca="false">IF(P44=0,0,AM44*AS44/P44)</f>
        <v>819000</v>
      </c>
      <c r="AX44" s="9" t="n">
        <f aca="false">IF(P44=0,0,AM44*AT44/P44)</f>
        <v>0</v>
      </c>
      <c r="AY44" s="9" t="n">
        <f aca="false">AH44-AU44</f>
        <v>0</v>
      </c>
      <c r="AZ44" s="9" t="n">
        <f aca="false">IF(M44&gt;0,P44*AG44,0)</f>
        <v>0</v>
      </c>
      <c r="BA44" s="9" t="n">
        <f aca="false">IF(P44=0,0,AH44/P44)</f>
        <v>7797.30257550066</v>
      </c>
      <c r="BB44" s="74" t="s">
        <v>836</v>
      </c>
      <c r="BC44" s="13" t="n">
        <f aca="false">SUMIFS('MA Engine'!$W$6:$W$1110,'MA Engine'!$B$6:$B$1110,$A44,'MA Engine'!$H$6:$H$1110,7,'MA Engine'!$I$6:$I$1110,"DO")</f>
        <v>207.1</v>
      </c>
      <c r="BD44" s="14" t="n">
        <f aca="false">MIN(MAX(0,H44),J44)</f>
        <v>207.1</v>
      </c>
      <c r="BE44" s="14" t="n">
        <f aca="false">J44-BD44</f>
        <v>0</v>
      </c>
      <c r="BF44" s="21" t="n">
        <f aca="false">IF(J44=0,0,BC44/J44)</f>
        <v>1</v>
      </c>
      <c r="BG44" s="13" t="n">
        <f aca="false">SUMIFS('MA Engine'!$AH$6:$AH$1110,'MA Engine'!$B$6:$B$1110,$A44,'MA Engine'!$H$6:$H$1110,7,'MA Engine'!$I$6:$I$1110,"DO")</f>
        <v>207.1</v>
      </c>
      <c r="BH44" s="13" t="n">
        <f aca="false">SUMIFS('MA Engine'!$AI$6:$AI$1110,'MA Engine'!$B$6:$B$1110,$A44,'MA Engine'!$H$6:$H$1110,7,'MA Engine'!$I$6:$I$1110,"DO")+SUMIFS('MA Engine'!$AJ$6:$AJ$1110,'MA Engine'!$B$6:$B$1110,$A44,'MA Engine'!$H$6:$H$1110,7,'MA Engine'!$I$6:$I$1110,"DO")</f>
        <v>0</v>
      </c>
      <c r="BI44" s="7" t="n">
        <f aca="false">IF(H44&gt;0,SUMIFS('MA Engine'!$L$6:$L$1110,'MA Engine'!$B$6:$B$1110,$A44,'MA Engine'!$I$6:$I$1110,"Opening")/H44,0)</f>
        <v>8001.81110665798</v>
      </c>
      <c r="BJ44" s="9" t="n">
        <f aca="false">IF(I44&gt;0,AD44/I44,BI44)</f>
        <v>5602.57419354839</v>
      </c>
      <c r="BK44" s="7" t="n">
        <f aca="false">SUMIFS('MA Engine'!$X$6:$X$1110,'MA Engine'!$B$6:$B$1110,$A44,'MA Engine'!$H$6:$H$1110,7,'MA Engine'!$I$6:$I$1110,"DO")</f>
        <v>1614821.36338619</v>
      </c>
      <c r="BL44" s="7" t="n">
        <f aca="false">SUMIFS('MA Engine'!$AK$6:$AK$1110,'MA Engine'!$B$6:$B$1110,$A44,'MA Engine'!$H$6:$H$1110,7,'MA Engine'!$I$6:$I$1110,"DO")</f>
        <v>1614821.36338619</v>
      </c>
      <c r="BM44" s="7" t="n">
        <f aca="false">SUMIFS('MA Engine'!$AL$6:$AL$1110,'MA Engine'!$B$6:$B$1110,$A44,'MA Engine'!$H$6:$H$1110,7,'MA Engine'!$I$6:$I$1110,"DO")+SUMIFS('MA Engine'!$AM$6:$AM$1110,'MA Engine'!$B$6:$B$1110,$A44,'MA Engine'!$H$6:$H$1110,7,'MA Engine'!$I$6:$I$1110,"DO")</f>
        <v>0</v>
      </c>
      <c r="BN44" s="9" t="n">
        <f aca="false">BK44-BL44-BM44</f>
        <v>0</v>
      </c>
      <c r="BO44" s="7" t="n">
        <f aca="false">IF(BC44=0,0,SUMIFS('Data SKU'!$G$5:$G$116,'Data SKU'!$A$5:$A$116,$C44,'Data SKU'!$B$5:$B$116,$D44,'Data SKU'!$C$5:$C$116,$E44,'Data SKU'!$D$5:$D$116,7,'Data SKU'!$N$5:$N$116,"Invoiced")/SUMIFS($BC$36:$BC$127,$C$36:$C$127,$C44,$D$36:$D$127,$D44,$E$36:$E$127,$E44)*BC44)</f>
        <v>1035500</v>
      </c>
      <c r="BP44" s="9" t="n">
        <f aca="false">IF(BC44=0,0,BO44*BG44/BC44)</f>
        <v>1035500</v>
      </c>
      <c r="BQ44" s="9" t="n">
        <f aca="false">IF(BC44=0,0,BO44*BH44/BC44)</f>
        <v>0</v>
      </c>
    </row>
    <row r="45" customFormat="false" ht="15" hidden="false" customHeight="false" outlineLevel="0" collapsed="false">
      <c r="A45" s="74" t="s">
        <v>957</v>
      </c>
      <c r="B45" s="53" t="str">
        <f aca="false">INDEX(I_Items!$B$5:$B$133,MATCH($A45,I_Items!$A$5:$A$133,0))&amp;""</f>
        <v>Boneless BL Frozen KRK</v>
      </c>
      <c r="C45" s="53" t="str">
        <f aca="false">INDEX(I_Items!$C$5:$C$133,MATCH($A45,I_Items!$A$5:$A$133,0))&amp;""</f>
        <v>RPA</v>
      </c>
      <c r="D45" s="53" t="str">
        <f aca="false">INDEX(I_Items!$D$5:$D$133,MATCH($A45,I_Items!$A$5:$A$133,0))&amp;""</f>
        <v>KRK (Kerangka)</v>
      </c>
      <c r="E45" s="53" t="str">
        <f aca="false">INDEX(I_Items!$F$5:$F$133,MATCH($A45,I_Items!$A$5:$A$133,0))&amp;""</f>
        <v>Frozen</v>
      </c>
      <c r="F45" s="53" t="str">
        <f aca="false">INDEX(I_Items!$E$5:$E$133,MATCH($A45,I_Items!$A$5:$A$133,0))&amp;""</f>
        <v/>
      </c>
      <c r="G45" s="6" t="str">
        <f aca="false">IF(P45=0,"-",IF(M45=0,"A",IF(K45&lt;=0,"C","B")))</f>
        <v>-</v>
      </c>
      <c r="H45" s="13" t="n">
        <f aca="false">SUMIFS('MA Engine'!$K$6:$K$1110,'MA Engine'!$B$6:$B$1110,$A45,'MA Engine'!$I$6:$I$1110,"Opening")</f>
        <v>2082.92</v>
      </c>
      <c r="I45" s="13" t="n">
        <f aca="false">SUMIFS('MA Engine'!$K$6:$K$1110,'MA Engine'!$B$6:$B$1110,$A45,'MA Engine'!$H$6:$H$1110,7,'MA Engine'!$I$6:$I$1110,"&lt;&gt;Opening")</f>
        <v>563</v>
      </c>
      <c r="J45" s="13" t="n">
        <f aca="false">SUMIFS('MA Engine'!$W$6:$W$1110,'MA Engine'!$B$6:$B$1110,$A45,'MA Engine'!$H$6:$H$1110,7)</f>
        <v>2645.92</v>
      </c>
      <c r="K45" s="14" t="n">
        <f aca="false">H45+I45-J45</f>
        <v>0</v>
      </c>
      <c r="L45" s="7" t="n">
        <f aca="false">SUMIFS('MA Engine'!$L$6:$L$1110,'MA Engine'!$B$6:$B$1110,$A45,'MA Engine'!$I$6:$I$1110,"Opening")+SUMIFS('MA Engine'!$L$6:$L$1110,'MA Engine'!$B$6:$B$1110,$A45,'MA Engine'!$H$6:$H$1110,7,'MA Engine'!$I$6:$I$1110,"&lt;&gt;Opening")-SUMIFS('MA Engine'!$X$6:$X$1110,'MA Engine'!$B$6:$B$1110,$A45,'MA Engine'!$H$6:$H$1110,7)</f>
        <v>0</v>
      </c>
      <c r="M45" s="13" t="n">
        <f aca="false">SUMIFS('MA Engine'!$K$6:$K$1110,'MA Engine'!$B$6:$B$1110,$A45,'MA Engine'!$H$6:$H$1110,8)</f>
        <v>0</v>
      </c>
      <c r="N45" s="7" t="n">
        <f aca="false">SUMIFS('MA Engine'!$L$6:$L$1110,'MA Engine'!$B$6:$B$1110,$A45,'MA Engine'!$H$6:$H$1110,8)</f>
        <v>0</v>
      </c>
      <c r="O45" s="13" t="n">
        <f aca="false">SUMIFS('MA Engine'!$W$6:$W$1110,'MA Engine'!$B$6:$B$1110,$A45,'MA Engine'!$H$6:$H$1110,8)</f>
        <v>0</v>
      </c>
      <c r="P45" s="14" t="n">
        <f aca="false">Q45+R45</f>
        <v>0</v>
      </c>
      <c r="Q45" s="13" t="n">
        <f aca="false">SUMIFS('MA Engine'!$W$6:$W$1110,'MA Engine'!$B$6:$B$1110,$A45,'MA Engine'!$H$6:$H$1110,8,'MA Engine'!$I$6:$I$1110,"DO",'MA Engine'!$P$6:$P$1110,"&lt;&gt;Y")</f>
        <v>0</v>
      </c>
      <c r="R45" s="13" t="n">
        <f aca="false">SUMIFS('MA Engine'!$W$6:$W$1110,'MA Engine'!$B$6:$B$1110,$A45,'MA Engine'!$H$6:$H$1110,8,'MA Engine'!$I$6:$I$1110,"Unbilled")</f>
        <v>0</v>
      </c>
      <c r="S45" s="13" t="n">
        <f aca="false">SUMIFS('MA Engine'!$W$6:$W$1110,'MA Engine'!$B$6:$B$1110,$A45,'MA Engine'!$H$6:$H$1110,8,'MA Engine'!$P$6:$P$1110,"Y")</f>
        <v>0</v>
      </c>
      <c r="T45" s="14" t="n">
        <f aca="false">O45-P45-S45</f>
        <v>0</v>
      </c>
      <c r="U45" s="14" t="n">
        <f aca="false">MAX(0,H45-J45)</f>
        <v>0</v>
      </c>
      <c r="V45" s="14" t="n">
        <f aca="false">MAX(0,K45-U45)</f>
        <v>0</v>
      </c>
      <c r="W45" s="14" t="n">
        <f aca="false">MIN(U45,O45)</f>
        <v>0</v>
      </c>
      <c r="X45" s="14" t="n">
        <f aca="false">MIN(V45,O45-W45)</f>
        <v>0</v>
      </c>
      <c r="Y45" s="14" t="n">
        <f aca="false">O45-W45-X45</f>
        <v>0</v>
      </c>
      <c r="Z45" s="21" t="n">
        <f aca="false">IF(O45=0,0,P45/O45)</f>
        <v>0</v>
      </c>
      <c r="AA45" s="13" t="n">
        <f aca="false">SUMIFS('MA Engine'!$AH$6:$AH$1110,'MA Engine'!$B$6:$B$1110,$A45,'MA Engine'!$H$6:$H$1110,8,'MA Engine'!$I$6:$I$1110,"DO",'MA Engine'!$P$6:$P$1110,"&lt;&gt;Y")+SUMIFS('MA Engine'!$AH$6:$AH$1110,'MA Engine'!$B$6:$B$1110,$A45,'MA Engine'!$H$6:$H$1110,8,'MA Engine'!$I$6:$I$1110,"Unbilled")</f>
        <v>0</v>
      </c>
      <c r="AB45" s="13" t="n">
        <f aca="false">SUMIFS('MA Engine'!$AI$6:$AI$1110,'MA Engine'!$B$6:$B$1110,$A45,'MA Engine'!$H$6:$H$1110,8,'MA Engine'!$I$6:$I$1110,"DO",'MA Engine'!$P$6:$P$1110,"&lt;&gt;Y")+SUMIFS('MA Engine'!$AI$6:$AI$1110,'MA Engine'!$B$6:$B$1110,$A45,'MA Engine'!$H$6:$H$1110,8,'MA Engine'!$I$6:$I$1110,"Unbilled")</f>
        <v>0</v>
      </c>
      <c r="AC45" s="13" t="n">
        <f aca="false">SUMIFS('MA Engine'!$AJ$6:$AJ$1110,'MA Engine'!$B$6:$B$1110,$A45,'MA Engine'!$H$6:$H$1110,8,'MA Engine'!$I$6:$I$1110,"DO",'MA Engine'!$P$6:$P$1110,"&lt;&gt;Y")+SUMIFS('MA Engine'!$AJ$6:$AJ$1110,'MA Engine'!$B$6:$B$1110,$A45,'MA Engine'!$H$6:$H$1110,8,'MA Engine'!$I$6:$I$1110,"Unbilled")</f>
        <v>0</v>
      </c>
      <c r="AD45" s="7" t="n">
        <f aca="false">SUMIFS('MA Engine'!$L$6:$L$1110,'MA Engine'!$B$6:$B$1110,$A45,'MA Engine'!$H$6:$H$1110,7,'MA Engine'!$I$6:$I$1110,"&lt;&gt;Opening")</f>
        <v>2027731.71</v>
      </c>
      <c r="AE45" s="9" t="n">
        <f aca="false">IF(AND(U45&gt;0.0001,(L45-V45*IF(I45&gt;0,AD45/I45,IF(K45&gt;0,L45/K45,0)))&lt;0),IF(K45&gt;0,L45/K45,0),IF(I45&gt;0,AD45/I45,IF(K45&gt;0,L45/K45,0)))</f>
        <v>3601.65490230906</v>
      </c>
      <c r="AF45" s="9" t="n">
        <f aca="false">IF(U45&lt;=0.0001,IF(K45&gt;0,L45/K45,0),IF((L45-V45*IF(I45&gt;0,AD45/I45,IF(K45&gt;0,L45/K45,0)))&lt;0,IF(K45&gt;0,L45/K45,0),(L45-V45*IF(I45&gt;0,AD45/I45,IF(K45&gt;0,L45/K45,0)))/U45))</f>
        <v>0</v>
      </c>
      <c r="AG45" s="9" t="n">
        <f aca="false">IF(M45&gt;0,N45/M45,IF(K45&gt;0,L45/K45,0))</f>
        <v>0</v>
      </c>
      <c r="AH45" s="7" t="n">
        <f aca="false">SUMIFS('MA Engine'!$X$6:$X$1110,'MA Engine'!$B$6:$B$1110,$A45,'MA Engine'!$H$6:$H$1110,8,'MA Engine'!$I$6:$I$1110,"DO",'MA Engine'!$P$6:$P$1110,"&lt;&gt;Y")+SUMIFS('MA Engine'!$X$6:$X$1110,'MA Engine'!$B$6:$B$1110,$A45,'MA Engine'!$H$6:$H$1110,8,'MA Engine'!$I$6:$I$1110,"Unbilled")</f>
        <v>0</v>
      </c>
      <c r="AI45" s="7" t="n">
        <f aca="false">SUMIFS('MA Engine'!$AK$6:$AK$1110,'MA Engine'!$B$6:$B$1110,$A45,'MA Engine'!$H$6:$H$1110,8,'MA Engine'!$I$6:$I$1110,"DO",'MA Engine'!$P$6:$P$1110,"&lt;&gt;Y")+SUMIFS('MA Engine'!$AK$6:$AK$1110,'MA Engine'!$B$6:$B$1110,$A45,'MA Engine'!$H$6:$H$1110,8,'MA Engine'!$I$6:$I$1110,"Unbilled")</f>
        <v>0</v>
      </c>
      <c r="AJ45" s="7" t="n">
        <f aca="false">SUMIFS('MA Engine'!$AL$6:$AL$1110,'MA Engine'!$B$6:$B$1110,$A45,'MA Engine'!$H$6:$H$1110,8,'MA Engine'!$I$6:$I$1110,"DO",'MA Engine'!$P$6:$P$1110,"&lt;&gt;Y")+SUMIFS('MA Engine'!$AL$6:$AL$1110,'MA Engine'!$B$6:$B$1110,$A45,'MA Engine'!$H$6:$H$1110,8,'MA Engine'!$I$6:$I$1110,"Unbilled")</f>
        <v>0</v>
      </c>
      <c r="AK45" s="7" t="n">
        <f aca="false">SUMIFS('MA Engine'!$AM$6:$AM$1110,'MA Engine'!$B$6:$B$1110,$A45,'MA Engine'!$H$6:$H$1110,8,'MA Engine'!$I$6:$I$1110,"DO",'MA Engine'!$P$6:$P$1110,"&lt;&gt;Y")+SUMIFS('MA Engine'!$AM$6:$AM$1110,'MA Engine'!$B$6:$B$1110,$A45,'MA Engine'!$H$6:$H$1110,8,'MA Engine'!$I$6:$I$1110,"Unbilled")</f>
        <v>0</v>
      </c>
      <c r="AL45" s="9" t="n">
        <f aca="false">AH45-AI45-AJ45-AK45</f>
        <v>0</v>
      </c>
      <c r="AM45" s="7" t="n">
        <f aca="false">IF(Q45=0,0,IF($D45="Karkas",SUMIFS('Karkas Detail'!$E$6:$E$42,'Karkas Detail'!$A$6:$A$42,$C45,'Karkas Detail'!$B$6:$B$42,$F45,'Karkas Detail'!$C$6:$C$42,$E45)/SUMIFS($Q$36:$Q$127,$C$36:$C$127,$C45,$D$36:$D$127,"Karkas",$F$36:$F$127,$F45,$E$36:$E$127,$E45),SUMIFS('Data SKU'!$G$5:$G$116,'Data SKU'!$A$5:$A$116,$C45,'Data SKU'!$B$5:$B$116,$D45,'Data SKU'!$C$5:$C$116,$E45,'Data SKU'!$D$5:$D$116,8,'Data SKU'!$N$5:$N$116,"Invoiced")/SUMIFS($Q$36:$Q$127,$C$36:$C$127,$C45,$D$36:$D$127,$D45,$E$36:$E$127,$E45))*Q45)+SUMIFS(Unbilled!$U$22:$U$38,Unbilled!$E$22:$E$38,$A45)</f>
        <v>0</v>
      </c>
      <c r="AN45" s="9" t="n">
        <f aca="false">IF(P45=0,0,AM45*AA45/P45)</f>
        <v>0</v>
      </c>
      <c r="AO45" s="9" t="n">
        <f aca="false">IF(P45=0,0,AM45*AB45/P45)</f>
        <v>0</v>
      </c>
      <c r="AP45" s="9" t="n">
        <f aca="false">IF(P45=0,0,AM45*AC45/P45)</f>
        <v>0</v>
      </c>
      <c r="AQ45" s="14" t="n">
        <f aca="false">MIN(U45+V45,MAX(0,O45-M45))</f>
        <v>0</v>
      </c>
      <c r="AR45" s="14" t="n">
        <f aca="false">MAX(0,AQ45-V45)*Z45</f>
        <v>0</v>
      </c>
      <c r="AS45" s="14" t="n">
        <f aca="false">MIN(V45,AQ45)*Z45</f>
        <v>0</v>
      </c>
      <c r="AT45" s="14" t="n">
        <f aca="false">(O45-AQ45)*Z45</f>
        <v>0</v>
      </c>
      <c r="AU45" s="9" t="n">
        <f aca="false">(AR45+AS45+AT45)*BA45</f>
        <v>0</v>
      </c>
      <c r="AV45" s="9" t="n">
        <f aca="false">IF(P45=0,0,AM45*AR45/P45)</f>
        <v>0</v>
      </c>
      <c r="AW45" s="9" t="n">
        <f aca="false">IF(P45=0,0,AM45*AS45/P45)</f>
        <v>0</v>
      </c>
      <c r="AX45" s="9" t="n">
        <f aca="false">IF(P45=0,0,AM45*AT45/P45)</f>
        <v>0</v>
      </c>
      <c r="AY45" s="9" t="n">
        <f aca="false">AH45-AU45</f>
        <v>0</v>
      </c>
      <c r="AZ45" s="9" t="n">
        <f aca="false">IF(M45&gt;0,P45*AG45,0)</f>
        <v>0</v>
      </c>
      <c r="BA45" s="9" t="n">
        <f aca="false">IF(P45=0,0,AH45/P45)</f>
        <v>0</v>
      </c>
      <c r="BB45" s="74" t="s">
        <v>835</v>
      </c>
      <c r="BC45" s="13" t="n">
        <f aca="false">SUMIFS('MA Engine'!$W$6:$W$1110,'MA Engine'!$B$6:$B$1110,$A45,'MA Engine'!$H$6:$H$1110,7,'MA Engine'!$I$6:$I$1110,"DO")</f>
        <v>2645.92</v>
      </c>
      <c r="BD45" s="14" t="n">
        <f aca="false">MIN(MAX(0,H45),J45)</f>
        <v>2082.92</v>
      </c>
      <c r="BE45" s="14" t="n">
        <f aca="false">J45-BD45</f>
        <v>563</v>
      </c>
      <c r="BF45" s="21" t="n">
        <f aca="false">IF(J45=0,0,BC45/J45)</f>
        <v>1</v>
      </c>
      <c r="BG45" s="13" t="n">
        <f aca="false">SUMIFS('MA Engine'!$AH$6:$AH$1110,'MA Engine'!$B$6:$B$1110,$A45,'MA Engine'!$H$6:$H$1110,7,'MA Engine'!$I$6:$I$1110,"DO")</f>
        <v>2082.92</v>
      </c>
      <c r="BH45" s="13" t="n">
        <f aca="false">SUMIFS('MA Engine'!$AI$6:$AI$1110,'MA Engine'!$B$6:$B$1110,$A45,'MA Engine'!$H$6:$H$1110,7,'MA Engine'!$I$6:$I$1110,"DO")+SUMIFS('MA Engine'!$AJ$6:$AJ$1110,'MA Engine'!$B$6:$B$1110,$A45,'MA Engine'!$H$6:$H$1110,7,'MA Engine'!$I$6:$I$1110,"DO")</f>
        <v>563</v>
      </c>
      <c r="BI45" s="7" t="n">
        <f aca="false">IF(H45&gt;0,SUMIFS('MA Engine'!$L$6:$L$1110,'MA Engine'!$B$6:$B$1110,$A45,'MA Engine'!$I$6:$I$1110,"Opening")/H45,0)</f>
        <v>10897.263140207</v>
      </c>
      <c r="BJ45" s="9" t="n">
        <f aca="false">IF(I45&gt;0,AD45/I45,BI45)</f>
        <v>3601.65490230906</v>
      </c>
      <c r="BK45" s="7" t="n">
        <f aca="false">SUMIFS('MA Engine'!$X$6:$X$1110,'MA Engine'!$B$6:$B$1110,$A45,'MA Engine'!$H$6:$H$1110,7,'MA Engine'!$I$6:$I$1110,"DO")</f>
        <v>24725859.05</v>
      </c>
      <c r="BL45" s="7" t="n">
        <f aca="false">SUMIFS('MA Engine'!$AK$6:$AK$1110,'MA Engine'!$B$6:$B$1110,$A45,'MA Engine'!$H$6:$H$1110,7,'MA Engine'!$I$6:$I$1110,"DO")</f>
        <v>19464680.0857267</v>
      </c>
      <c r="BM45" s="7" t="n">
        <f aca="false">SUMIFS('MA Engine'!$AL$6:$AL$1110,'MA Engine'!$B$6:$B$1110,$A45,'MA Engine'!$H$6:$H$1110,7,'MA Engine'!$I$6:$I$1110,"DO")+SUMIFS('MA Engine'!$AM$6:$AM$1110,'MA Engine'!$B$6:$B$1110,$A45,'MA Engine'!$H$6:$H$1110,7,'MA Engine'!$I$6:$I$1110,"DO")</f>
        <v>5261178.9642733</v>
      </c>
      <c r="BN45" s="9" t="n">
        <f aca="false">BK45-BL45-BM45</f>
        <v>0</v>
      </c>
      <c r="BO45" s="7" t="n">
        <f aca="false">IF(BC45=0,0,SUMIFS('Data SKU'!$G$5:$G$116,'Data SKU'!$A$5:$A$116,$C45,'Data SKU'!$B$5:$B$116,$D45,'Data SKU'!$C$5:$C$116,$E45,'Data SKU'!$D$5:$D$116,7,'Data SKU'!$N$5:$N$116,"Invoiced")/SUMIFS($BC$36:$BC$127,$C$36:$C$127,$C45,$D$36:$D$127,$D45,$E$36:$E$127,$E45)*BC45)</f>
        <v>13229600</v>
      </c>
      <c r="BP45" s="9" t="n">
        <f aca="false">IF(BC45=0,0,BO45*BG45/BC45)</f>
        <v>10414600</v>
      </c>
      <c r="BQ45" s="9" t="n">
        <f aca="false">IF(BC45=0,0,BO45*BH45/BC45)</f>
        <v>2815000</v>
      </c>
    </row>
    <row r="46" customFormat="false" ht="15" hidden="false" customHeight="false" outlineLevel="0" collapsed="false">
      <c r="A46" s="74" t="s">
        <v>958</v>
      </c>
      <c r="B46" s="53" t="str">
        <f aca="false">INDEX(I_Items!$B$5:$B$133,MATCH($A46,I_Items!$A$5:$A$133,0))&amp;""</f>
        <v>Boneless BL Frozen KRK - Tulang Muda</v>
      </c>
      <c r="C46" s="53" t="str">
        <f aca="false">INDEX(I_Items!$C$5:$C$133,MATCH($A46,I_Items!$A$5:$A$133,0))&amp;""</f>
        <v>RPA</v>
      </c>
      <c r="D46" s="53" t="str">
        <f aca="false">INDEX(I_Items!$D$5:$D$133,MATCH($A46,I_Items!$A$5:$A$133,0))&amp;""</f>
        <v>KRK (Kerangka)</v>
      </c>
      <c r="E46" s="53" t="str">
        <f aca="false">INDEX(I_Items!$F$5:$F$133,MATCH($A46,I_Items!$A$5:$A$133,0))&amp;""</f>
        <v>Frozen</v>
      </c>
      <c r="F46" s="53" t="str">
        <f aca="false">INDEX(I_Items!$E$5:$E$133,MATCH($A46,I_Items!$A$5:$A$133,0))&amp;""</f>
        <v/>
      </c>
      <c r="G46" s="6" t="str">
        <f aca="false">IF(P46=0,"-",IF(M46=0,"A",IF(K46&lt;=0,"C","B")))</f>
        <v>-</v>
      </c>
      <c r="H46" s="13" t="n">
        <f aca="false">SUMIFS('MA Engine'!$K$6:$K$1110,'MA Engine'!$B$6:$B$1110,$A46,'MA Engine'!$I$6:$I$1110,"Opening")</f>
        <v>0</v>
      </c>
      <c r="I46" s="13" t="n">
        <f aca="false">SUMIFS('MA Engine'!$K$6:$K$1110,'MA Engine'!$B$6:$B$1110,$A46,'MA Engine'!$H$6:$H$1110,7,'MA Engine'!$I$6:$I$1110,"&lt;&gt;Opening")</f>
        <v>17.9</v>
      </c>
      <c r="J46" s="13" t="n">
        <f aca="false">SUMIFS('MA Engine'!$W$6:$W$1110,'MA Engine'!$B$6:$B$1110,$A46,'MA Engine'!$H$6:$H$1110,7)</f>
        <v>17.9</v>
      </c>
      <c r="K46" s="14" t="n">
        <f aca="false">H46+I46-J46</f>
        <v>0</v>
      </c>
      <c r="L46" s="7" t="n">
        <f aca="false">SUMIFS('MA Engine'!$L$6:$L$1110,'MA Engine'!$B$6:$B$1110,$A46,'MA Engine'!$I$6:$I$1110,"Opening")+SUMIFS('MA Engine'!$L$6:$L$1110,'MA Engine'!$B$6:$B$1110,$A46,'MA Engine'!$H$6:$H$1110,7,'MA Engine'!$I$6:$I$1110,"&lt;&gt;Opening")-SUMIFS('MA Engine'!$X$6:$X$1110,'MA Engine'!$B$6:$B$1110,$A46,'MA Engine'!$H$6:$H$1110,7)</f>
        <v>0</v>
      </c>
      <c r="M46" s="13" t="n">
        <f aca="false">SUMIFS('MA Engine'!$K$6:$K$1110,'MA Engine'!$B$6:$B$1110,$A46,'MA Engine'!$H$6:$H$1110,8)</f>
        <v>0</v>
      </c>
      <c r="N46" s="7" t="n">
        <f aca="false">SUMIFS('MA Engine'!$L$6:$L$1110,'MA Engine'!$B$6:$B$1110,$A46,'MA Engine'!$H$6:$H$1110,8)</f>
        <v>0</v>
      </c>
      <c r="O46" s="13" t="n">
        <f aca="false">SUMIFS('MA Engine'!$W$6:$W$1110,'MA Engine'!$B$6:$B$1110,$A46,'MA Engine'!$H$6:$H$1110,8)</f>
        <v>0</v>
      </c>
      <c r="P46" s="14" t="n">
        <f aca="false">Q46+R46</f>
        <v>0</v>
      </c>
      <c r="Q46" s="13" t="n">
        <f aca="false">SUMIFS('MA Engine'!$W$6:$W$1110,'MA Engine'!$B$6:$B$1110,$A46,'MA Engine'!$H$6:$H$1110,8,'MA Engine'!$I$6:$I$1110,"DO",'MA Engine'!$P$6:$P$1110,"&lt;&gt;Y")</f>
        <v>0</v>
      </c>
      <c r="R46" s="13" t="n">
        <f aca="false">SUMIFS('MA Engine'!$W$6:$W$1110,'MA Engine'!$B$6:$B$1110,$A46,'MA Engine'!$H$6:$H$1110,8,'MA Engine'!$I$6:$I$1110,"Unbilled")</f>
        <v>0</v>
      </c>
      <c r="S46" s="13" t="n">
        <f aca="false">SUMIFS('MA Engine'!$W$6:$W$1110,'MA Engine'!$B$6:$B$1110,$A46,'MA Engine'!$H$6:$H$1110,8,'MA Engine'!$P$6:$P$1110,"Y")</f>
        <v>0</v>
      </c>
      <c r="T46" s="14" t="n">
        <f aca="false">O46-P46-S46</f>
        <v>0</v>
      </c>
      <c r="U46" s="14" t="n">
        <f aca="false">MAX(0,H46-J46)</f>
        <v>0</v>
      </c>
      <c r="V46" s="14" t="n">
        <f aca="false">MAX(0,K46-U46)</f>
        <v>0</v>
      </c>
      <c r="W46" s="14" t="n">
        <f aca="false">MIN(U46,O46)</f>
        <v>0</v>
      </c>
      <c r="X46" s="14" t="n">
        <f aca="false">MIN(V46,O46-W46)</f>
        <v>0</v>
      </c>
      <c r="Y46" s="14" t="n">
        <f aca="false">O46-W46-X46</f>
        <v>0</v>
      </c>
      <c r="Z46" s="21" t="n">
        <f aca="false">IF(O46=0,0,P46/O46)</f>
        <v>0</v>
      </c>
      <c r="AA46" s="13" t="n">
        <f aca="false">SUMIFS('MA Engine'!$AH$6:$AH$1110,'MA Engine'!$B$6:$B$1110,$A46,'MA Engine'!$H$6:$H$1110,8,'MA Engine'!$I$6:$I$1110,"DO",'MA Engine'!$P$6:$P$1110,"&lt;&gt;Y")+SUMIFS('MA Engine'!$AH$6:$AH$1110,'MA Engine'!$B$6:$B$1110,$A46,'MA Engine'!$H$6:$H$1110,8,'MA Engine'!$I$6:$I$1110,"Unbilled")</f>
        <v>0</v>
      </c>
      <c r="AB46" s="13" t="n">
        <f aca="false">SUMIFS('MA Engine'!$AI$6:$AI$1110,'MA Engine'!$B$6:$B$1110,$A46,'MA Engine'!$H$6:$H$1110,8,'MA Engine'!$I$6:$I$1110,"DO",'MA Engine'!$P$6:$P$1110,"&lt;&gt;Y")+SUMIFS('MA Engine'!$AI$6:$AI$1110,'MA Engine'!$B$6:$B$1110,$A46,'MA Engine'!$H$6:$H$1110,8,'MA Engine'!$I$6:$I$1110,"Unbilled")</f>
        <v>0</v>
      </c>
      <c r="AC46" s="13" t="n">
        <f aca="false">SUMIFS('MA Engine'!$AJ$6:$AJ$1110,'MA Engine'!$B$6:$B$1110,$A46,'MA Engine'!$H$6:$H$1110,8,'MA Engine'!$I$6:$I$1110,"DO",'MA Engine'!$P$6:$P$1110,"&lt;&gt;Y")+SUMIFS('MA Engine'!$AJ$6:$AJ$1110,'MA Engine'!$B$6:$B$1110,$A46,'MA Engine'!$H$6:$H$1110,8,'MA Engine'!$I$6:$I$1110,"Unbilled")</f>
        <v>0</v>
      </c>
      <c r="AD46" s="7" t="n">
        <f aca="false">SUMIFS('MA Engine'!$L$6:$L$1110,'MA Engine'!$B$6:$B$1110,$A46,'MA Engine'!$H$6:$H$1110,7,'MA Engine'!$I$6:$I$1110,"&lt;&gt;Opening")</f>
        <v>0</v>
      </c>
      <c r="AE46" s="9" t="n">
        <f aca="false">IF(AND(U46&gt;0.0001,(L46-V46*IF(I46&gt;0,AD46/I46,IF(K46&gt;0,L46/K46,0)))&lt;0),IF(K46&gt;0,L46/K46,0),IF(I46&gt;0,AD46/I46,IF(K46&gt;0,L46/K46,0)))</f>
        <v>0</v>
      </c>
      <c r="AF46" s="9" t="n">
        <f aca="false">IF(U46&lt;=0.0001,IF(K46&gt;0,L46/K46,0),IF((L46-V46*IF(I46&gt;0,AD46/I46,IF(K46&gt;0,L46/K46,0)))&lt;0,IF(K46&gt;0,L46/K46,0),(L46-V46*IF(I46&gt;0,AD46/I46,IF(K46&gt;0,L46/K46,0)))/U46))</f>
        <v>0</v>
      </c>
      <c r="AG46" s="9" t="n">
        <f aca="false">IF(M46&gt;0,N46/M46,IF(K46&gt;0,L46/K46,0))</f>
        <v>0</v>
      </c>
      <c r="AH46" s="7" t="n">
        <f aca="false">SUMIFS('MA Engine'!$X$6:$X$1110,'MA Engine'!$B$6:$B$1110,$A46,'MA Engine'!$H$6:$H$1110,8,'MA Engine'!$I$6:$I$1110,"DO",'MA Engine'!$P$6:$P$1110,"&lt;&gt;Y")+SUMIFS('MA Engine'!$X$6:$X$1110,'MA Engine'!$B$6:$B$1110,$A46,'MA Engine'!$H$6:$H$1110,8,'MA Engine'!$I$6:$I$1110,"Unbilled")</f>
        <v>0</v>
      </c>
      <c r="AI46" s="7" t="n">
        <f aca="false">SUMIFS('MA Engine'!$AK$6:$AK$1110,'MA Engine'!$B$6:$B$1110,$A46,'MA Engine'!$H$6:$H$1110,8,'MA Engine'!$I$6:$I$1110,"DO",'MA Engine'!$P$6:$P$1110,"&lt;&gt;Y")+SUMIFS('MA Engine'!$AK$6:$AK$1110,'MA Engine'!$B$6:$B$1110,$A46,'MA Engine'!$H$6:$H$1110,8,'MA Engine'!$I$6:$I$1110,"Unbilled")</f>
        <v>0</v>
      </c>
      <c r="AJ46" s="7" t="n">
        <f aca="false">SUMIFS('MA Engine'!$AL$6:$AL$1110,'MA Engine'!$B$6:$B$1110,$A46,'MA Engine'!$H$6:$H$1110,8,'MA Engine'!$I$6:$I$1110,"DO",'MA Engine'!$P$6:$P$1110,"&lt;&gt;Y")+SUMIFS('MA Engine'!$AL$6:$AL$1110,'MA Engine'!$B$6:$B$1110,$A46,'MA Engine'!$H$6:$H$1110,8,'MA Engine'!$I$6:$I$1110,"Unbilled")</f>
        <v>0</v>
      </c>
      <c r="AK46" s="7" t="n">
        <f aca="false">SUMIFS('MA Engine'!$AM$6:$AM$1110,'MA Engine'!$B$6:$B$1110,$A46,'MA Engine'!$H$6:$H$1110,8,'MA Engine'!$I$6:$I$1110,"DO",'MA Engine'!$P$6:$P$1110,"&lt;&gt;Y")+SUMIFS('MA Engine'!$AM$6:$AM$1110,'MA Engine'!$B$6:$B$1110,$A46,'MA Engine'!$H$6:$H$1110,8,'MA Engine'!$I$6:$I$1110,"Unbilled")</f>
        <v>0</v>
      </c>
      <c r="AL46" s="9" t="n">
        <f aca="false">AH46-AI46-AJ46-AK46</f>
        <v>0</v>
      </c>
      <c r="AM46" s="7" t="n">
        <f aca="false">IF(Q46=0,0,IF($D46="Karkas",SUMIFS('Karkas Detail'!$E$6:$E$42,'Karkas Detail'!$A$6:$A$42,$C46,'Karkas Detail'!$B$6:$B$42,$F46,'Karkas Detail'!$C$6:$C$42,$E46)/SUMIFS($Q$36:$Q$127,$C$36:$C$127,$C46,$D$36:$D$127,"Karkas",$F$36:$F$127,$F46,$E$36:$E$127,$E46),SUMIFS('Data SKU'!$G$5:$G$116,'Data SKU'!$A$5:$A$116,$C46,'Data SKU'!$B$5:$B$116,$D46,'Data SKU'!$C$5:$C$116,$E46,'Data SKU'!$D$5:$D$116,8,'Data SKU'!$N$5:$N$116,"Invoiced")/SUMIFS($Q$36:$Q$127,$C$36:$C$127,$C46,$D$36:$D$127,$D46,$E$36:$E$127,$E46))*Q46)+SUMIFS(Unbilled!$U$22:$U$38,Unbilled!$E$22:$E$38,$A46)</f>
        <v>0</v>
      </c>
      <c r="AN46" s="9" t="n">
        <f aca="false">IF(P46=0,0,AM46*AA46/P46)</f>
        <v>0</v>
      </c>
      <c r="AO46" s="9" t="n">
        <f aca="false">IF(P46=0,0,AM46*AB46/P46)</f>
        <v>0</v>
      </c>
      <c r="AP46" s="9" t="n">
        <f aca="false">IF(P46=0,0,AM46*AC46/P46)</f>
        <v>0</v>
      </c>
      <c r="AQ46" s="14" t="n">
        <f aca="false">MIN(U46+V46,MAX(0,O46-M46))</f>
        <v>0</v>
      </c>
      <c r="AR46" s="14" t="n">
        <f aca="false">MAX(0,AQ46-V46)*Z46</f>
        <v>0</v>
      </c>
      <c r="AS46" s="14" t="n">
        <f aca="false">MIN(V46,AQ46)*Z46</f>
        <v>0</v>
      </c>
      <c r="AT46" s="14" t="n">
        <f aca="false">(O46-AQ46)*Z46</f>
        <v>0</v>
      </c>
      <c r="AU46" s="9" t="n">
        <f aca="false">(AR46+AS46+AT46)*BA46</f>
        <v>0</v>
      </c>
      <c r="AV46" s="9" t="n">
        <f aca="false">IF(P46=0,0,AM46*AR46/P46)</f>
        <v>0</v>
      </c>
      <c r="AW46" s="9" t="n">
        <f aca="false">IF(P46=0,0,AM46*AS46/P46)</f>
        <v>0</v>
      </c>
      <c r="AX46" s="9" t="n">
        <f aca="false">IF(P46=0,0,AM46*AT46/P46)</f>
        <v>0</v>
      </c>
      <c r="AY46" s="9" t="n">
        <f aca="false">AH46-AU46</f>
        <v>0</v>
      </c>
      <c r="AZ46" s="9" t="n">
        <f aca="false">IF(M46&gt;0,P46*AG46,0)</f>
        <v>0</v>
      </c>
      <c r="BA46" s="9" t="n">
        <f aca="false">IF(P46=0,0,AH46/P46)</f>
        <v>0</v>
      </c>
      <c r="BB46" s="74" t="s">
        <v>835</v>
      </c>
      <c r="BC46" s="13" t="n">
        <f aca="false">SUMIFS('MA Engine'!$W$6:$W$1110,'MA Engine'!$B$6:$B$1110,$A46,'MA Engine'!$H$6:$H$1110,7,'MA Engine'!$I$6:$I$1110,"DO")</f>
        <v>0</v>
      </c>
      <c r="BD46" s="14" t="n">
        <f aca="false">MIN(MAX(0,H46),J46)</f>
        <v>0</v>
      </c>
      <c r="BE46" s="14" t="n">
        <f aca="false">J46-BD46</f>
        <v>17.9</v>
      </c>
      <c r="BF46" s="21" t="n">
        <f aca="false">IF(J46=0,0,BC46/J46)</f>
        <v>0</v>
      </c>
      <c r="BG46" s="13" t="n">
        <f aca="false">SUMIFS('MA Engine'!$AH$6:$AH$1110,'MA Engine'!$B$6:$B$1110,$A46,'MA Engine'!$H$6:$H$1110,7,'MA Engine'!$I$6:$I$1110,"DO")</f>
        <v>0</v>
      </c>
      <c r="BH46" s="13" t="n">
        <f aca="false">SUMIFS('MA Engine'!$AI$6:$AI$1110,'MA Engine'!$B$6:$B$1110,$A46,'MA Engine'!$H$6:$H$1110,7,'MA Engine'!$I$6:$I$1110,"DO")+SUMIFS('MA Engine'!$AJ$6:$AJ$1110,'MA Engine'!$B$6:$B$1110,$A46,'MA Engine'!$H$6:$H$1110,7,'MA Engine'!$I$6:$I$1110,"DO")</f>
        <v>0</v>
      </c>
      <c r="BI46" s="7" t="n">
        <f aca="false">IF(H46&gt;0,SUMIFS('MA Engine'!$L$6:$L$1110,'MA Engine'!$B$6:$B$1110,$A46,'MA Engine'!$I$6:$I$1110,"Opening")/H46,0)</f>
        <v>0</v>
      </c>
      <c r="BJ46" s="9" t="n">
        <f aca="false">IF(I46&gt;0,AD46/I46,BI46)</f>
        <v>0</v>
      </c>
      <c r="BK46" s="7" t="n">
        <f aca="false">SUMIFS('MA Engine'!$X$6:$X$1110,'MA Engine'!$B$6:$B$1110,$A46,'MA Engine'!$H$6:$H$1110,7,'MA Engine'!$I$6:$I$1110,"DO")</f>
        <v>0</v>
      </c>
      <c r="BL46" s="7" t="n">
        <f aca="false">SUMIFS('MA Engine'!$AK$6:$AK$1110,'MA Engine'!$B$6:$B$1110,$A46,'MA Engine'!$H$6:$H$1110,7,'MA Engine'!$I$6:$I$1110,"DO")</f>
        <v>0</v>
      </c>
      <c r="BM46" s="7" t="n">
        <f aca="false">SUMIFS('MA Engine'!$AL$6:$AL$1110,'MA Engine'!$B$6:$B$1110,$A46,'MA Engine'!$H$6:$H$1110,7,'MA Engine'!$I$6:$I$1110,"DO")+SUMIFS('MA Engine'!$AM$6:$AM$1110,'MA Engine'!$B$6:$B$1110,$A46,'MA Engine'!$H$6:$H$1110,7,'MA Engine'!$I$6:$I$1110,"DO")</f>
        <v>0</v>
      </c>
      <c r="BN46" s="9" t="n">
        <f aca="false">BK46-BL46-BM46</f>
        <v>0</v>
      </c>
      <c r="BO46" s="7" t="n">
        <f aca="false">IF(BC46=0,0,SUMIFS('Data SKU'!$G$5:$G$116,'Data SKU'!$A$5:$A$116,$C46,'Data SKU'!$B$5:$B$116,$D46,'Data SKU'!$C$5:$C$116,$E46,'Data SKU'!$D$5:$D$116,7,'Data SKU'!$N$5:$N$116,"Invoiced")/SUMIFS($BC$36:$BC$127,$C$36:$C$127,$C46,$D$36:$D$127,$D46,$E$36:$E$127,$E46)*BC46)</f>
        <v>0</v>
      </c>
      <c r="BP46" s="9" t="n">
        <f aca="false">IF(BC46=0,0,BO46*BG46/BC46)</f>
        <v>0</v>
      </c>
      <c r="BQ46" s="9" t="n">
        <f aca="false">IF(BC46=0,0,BO46*BH46/BC46)</f>
        <v>0</v>
      </c>
    </row>
    <row r="47" customFormat="false" ht="15" hidden="false" customHeight="false" outlineLevel="0" collapsed="false">
      <c r="A47" s="74" t="s">
        <v>959</v>
      </c>
      <c r="B47" s="53" t="str">
        <f aca="false">INDEX(I_Items!$B$5:$B$133,MATCH($A47,I_Items!$A$5:$A$133,0))&amp;""</f>
        <v>Boneless BL Frozen KRK - Tungir KRK</v>
      </c>
      <c r="C47" s="53" t="str">
        <f aca="false">INDEX(I_Items!$C$5:$C$133,MATCH($A47,I_Items!$A$5:$A$133,0))&amp;""</f>
        <v>RPA</v>
      </c>
      <c r="D47" s="53" t="str">
        <f aca="false">INDEX(I_Items!$D$5:$D$133,MATCH($A47,I_Items!$A$5:$A$133,0))&amp;""</f>
        <v>KRK (Kerangka)</v>
      </c>
      <c r="E47" s="53" t="str">
        <f aca="false">INDEX(I_Items!$F$5:$F$133,MATCH($A47,I_Items!$A$5:$A$133,0))&amp;""</f>
        <v>Frozen</v>
      </c>
      <c r="F47" s="53" t="str">
        <f aca="false">INDEX(I_Items!$E$5:$E$133,MATCH($A47,I_Items!$A$5:$A$133,0))&amp;""</f>
        <v/>
      </c>
      <c r="G47" s="6" t="str">
        <f aca="false">IF(P47=0,"-",IF(M47=0,"A",IF(K47&lt;=0,"C","B")))</f>
        <v>-</v>
      </c>
      <c r="H47" s="13" t="n">
        <f aca="false">SUMIFS('MA Engine'!$K$6:$K$1110,'MA Engine'!$B$6:$B$1110,$A47,'MA Engine'!$I$6:$I$1110,"Opening")</f>
        <v>108.29</v>
      </c>
      <c r="I47" s="13" t="n">
        <f aca="false">SUMIFS('MA Engine'!$K$6:$K$1110,'MA Engine'!$B$6:$B$1110,$A47,'MA Engine'!$H$6:$H$1110,7,'MA Engine'!$I$6:$I$1110,"&lt;&gt;Opening")</f>
        <v>11.2</v>
      </c>
      <c r="J47" s="13" t="n">
        <f aca="false">SUMIFS('MA Engine'!$W$6:$W$1110,'MA Engine'!$B$6:$B$1110,$A47,'MA Engine'!$H$6:$H$1110,7)</f>
        <v>0</v>
      </c>
      <c r="K47" s="14" t="n">
        <f aca="false">H47+I47-J47</f>
        <v>119.49</v>
      </c>
      <c r="L47" s="7" t="n">
        <f aca="false">SUMIFS('MA Engine'!$L$6:$L$1110,'MA Engine'!$B$6:$B$1110,$A47,'MA Engine'!$I$6:$I$1110,"Opening")+SUMIFS('MA Engine'!$L$6:$L$1110,'MA Engine'!$B$6:$B$1110,$A47,'MA Engine'!$H$6:$H$1110,7,'MA Engine'!$I$6:$I$1110,"&lt;&gt;Opening")-SUMIFS('MA Engine'!$X$6:$X$1110,'MA Engine'!$B$6:$B$1110,$A47,'MA Engine'!$H$6:$H$1110,7)</f>
        <v>2529631.63</v>
      </c>
      <c r="M47" s="13" t="n">
        <f aca="false">SUMIFS('MA Engine'!$K$6:$K$1110,'MA Engine'!$B$6:$B$1110,$A47,'MA Engine'!$H$6:$H$1110,8)</f>
        <v>0</v>
      </c>
      <c r="N47" s="7" t="n">
        <f aca="false">SUMIFS('MA Engine'!$L$6:$L$1110,'MA Engine'!$B$6:$B$1110,$A47,'MA Engine'!$H$6:$H$1110,8)</f>
        <v>0</v>
      </c>
      <c r="O47" s="13" t="n">
        <f aca="false">SUMIFS('MA Engine'!$W$6:$W$1110,'MA Engine'!$B$6:$B$1110,$A47,'MA Engine'!$H$6:$H$1110,8)</f>
        <v>0</v>
      </c>
      <c r="P47" s="14" t="n">
        <f aca="false">Q47+R47</f>
        <v>0</v>
      </c>
      <c r="Q47" s="13" t="n">
        <f aca="false">SUMIFS('MA Engine'!$W$6:$W$1110,'MA Engine'!$B$6:$B$1110,$A47,'MA Engine'!$H$6:$H$1110,8,'MA Engine'!$I$6:$I$1110,"DO",'MA Engine'!$P$6:$P$1110,"&lt;&gt;Y")</f>
        <v>0</v>
      </c>
      <c r="R47" s="13" t="n">
        <f aca="false">SUMIFS('MA Engine'!$W$6:$W$1110,'MA Engine'!$B$6:$B$1110,$A47,'MA Engine'!$H$6:$H$1110,8,'MA Engine'!$I$6:$I$1110,"Unbilled")</f>
        <v>0</v>
      </c>
      <c r="S47" s="13" t="n">
        <f aca="false">SUMIFS('MA Engine'!$W$6:$W$1110,'MA Engine'!$B$6:$B$1110,$A47,'MA Engine'!$H$6:$H$1110,8,'MA Engine'!$P$6:$P$1110,"Y")</f>
        <v>0</v>
      </c>
      <c r="T47" s="14" t="n">
        <f aca="false">O47-P47-S47</f>
        <v>0</v>
      </c>
      <c r="U47" s="14" t="n">
        <f aca="false">MAX(0,H47-J47)</f>
        <v>108.29</v>
      </c>
      <c r="V47" s="14" t="n">
        <f aca="false">MAX(0,K47-U47)</f>
        <v>11.2</v>
      </c>
      <c r="W47" s="14" t="n">
        <f aca="false">MIN(U47,O47)</f>
        <v>0</v>
      </c>
      <c r="X47" s="14" t="n">
        <f aca="false">MIN(V47,O47-W47)</f>
        <v>0</v>
      </c>
      <c r="Y47" s="14" t="n">
        <f aca="false">O47-W47-X47</f>
        <v>0</v>
      </c>
      <c r="Z47" s="21" t="n">
        <f aca="false">IF(O47=0,0,P47/O47)</f>
        <v>0</v>
      </c>
      <c r="AA47" s="13" t="n">
        <f aca="false">SUMIFS('MA Engine'!$AH$6:$AH$1110,'MA Engine'!$B$6:$B$1110,$A47,'MA Engine'!$H$6:$H$1110,8,'MA Engine'!$I$6:$I$1110,"DO",'MA Engine'!$P$6:$P$1110,"&lt;&gt;Y")+SUMIFS('MA Engine'!$AH$6:$AH$1110,'MA Engine'!$B$6:$B$1110,$A47,'MA Engine'!$H$6:$H$1110,8,'MA Engine'!$I$6:$I$1110,"Unbilled")</f>
        <v>0</v>
      </c>
      <c r="AB47" s="13" t="n">
        <f aca="false">SUMIFS('MA Engine'!$AI$6:$AI$1110,'MA Engine'!$B$6:$B$1110,$A47,'MA Engine'!$H$6:$H$1110,8,'MA Engine'!$I$6:$I$1110,"DO",'MA Engine'!$P$6:$P$1110,"&lt;&gt;Y")+SUMIFS('MA Engine'!$AI$6:$AI$1110,'MA Engine'!$B$6:$B$1110,$A47,'MA Engine'!$H$6:$H$1110,8,'MA Engine'!$I$6:$I$1110,"Unbilled")</f>
        <v>0</v>
      </c>
      <c r="AC47" s="13" t="n">
        <f aca="false">SUMIFS('MA Engine'!$AJ$6:$AJ$1110,'MA Engine'!$B$6:$B$1110,$A47,'MA Engine'!$H$6:$H$1110,8,'MA Engine'!$I$6:$I$1110,"DO",'MA Engine'!$P$6:$P$1110,"&lt;&gt;Y")+SUMIFS('MA Engine'!$AJ$6:$AJ$1110,'MA Engine'!$B$6:$B$1110,$A47,'MA Engine'!$H$6:$H$1110,8,'MA Engine'!$I$6:$I$1110,"Unbilled")</f>
        <v>0</v>
      </c>
      <c r="AD47" s="7" t="n">
        <f aca="false">SUMIFS('MA Engine'!$L$6:$L$1110,'MA Engine'!$B$6:$B$1110,$A47,'MA Engine'!$H$6:$H$1110,7,'MA Engine'!$I$6:$I$1110,"&lt;&gt;Opening")</f>
        <v>17928.24</v>
      </c>
      <c r="AE47" s="9" t="n">
        <f aca="false">IF(AND(U47&gt;0.0001,(L47-V47*IF(I47&gt;0,AD47/I47,IF(K47&gt;0,L47/K47,0)))&lt;0),IF(K47&gt;0,L47/K47,0),IF(I47&gt;0,AD47/I47,IF(K47&gt;0,L47/K47,0)))</f>
        <v>1600.73571428571</v>
      </c>
      <c r="AF47" s="9" t="n">
        <f aca="false">IF(U47&lt;=0.0001,IF(K47&gt;0,L47/K47,0),IF((L47-V47*IF(I47&gt;0,AD47/I47,IF(K47&gt;0,L47/K47,0)))&lt;0,IF(K47&gt;0,L47/K47,0),(L47-V47*IF(I47&gt;0,AD47/I47,IF(K47&gt;0,L47/K47,0)))/U47))</f>
        <v>23194.2320620556</v>
      </c>
      <c r="AG47" s="9" t="n">
        <f aca="false">IF(M47&gt;0,N47/M47,IF(K47&gt;0,L47/K47,0))</f>
        <v>21170.23709097</v>
      </c>
      <c r="AH47" s="7" t="n">
        <f aca="false">SUMIFS('MA Engine'!$X$6:$X$1110,'MA Engine'!$B$6:$B$1110,$A47,'MA Engine'!$H$6:$H$1110,8,'MA Engine'!$I$6:$I$1110,"DO",'MA Engine'!$P$6:$P$1110,"&lt;&gt;Y")+SUMIFS('MA Engine'!$X$6:$X$1110,'MA Engine'!$B$6:$B$1110,$A47,'MA Engine'!$H$6:$H$1110,8,'MA Engine'!$I$6:$I$1110,"Unbilled")</f>
        <v>0</v>
      </c>
      <c r="AI47" s="7" t="n">
        <f aca="false">SUMIFS('MA Engine'!$AK$6:$AK$1110,'MA Engine'!$B$6:$B$1110,$A47,'MA Engine'!$H$6:$H$1110,8,'MA Engine'!$I$6:$I$1110,"DO",'MA Engine'!$P$6:$P$1110,"&lt;&gt;Y")+SUMIFS('MA Engine'!$AK$6:$AK$1110,'MA Engine'!$B$6:$B$1110,$A47,'MA Engine'!$H$6:$H$1110,8,'MA Engine'!$I$6:$I$1110,"Unbilled")</f>
        <v>0</v>
      </c>
      <c r="AJ47" s="7" t="n">
        <f aca="false">SUMIFS('MA Engine'!$AL$6:$AL$1110,'MA Engine'!$B$6:$B$1110,$A47,'MA Engine'!$H$6:$H$1110,8,'MA Engine'!$I$6:$I$1110,"DO",'MA Engine'!$P$6:$P$1110,"&lt;&gt;Y")+SUMIFS('MA Engine'!$AL$6:$AL$1110,'MA Engine'!$B$6:$B$1110,$A47,'MA Engine'!$H$6:$H$1110,8,'MA Engine'!$I$6:$I$1110,"Unbilled")</f>
        <v>0</v>
      </c>
      <c r="AK47" s="7" t="n">
        <f aca="false">SUMIFS('MA Engine'!$AM$6:$AM$1110,'MA Engine'!$B$6:$B$1110,$A47,'MA Engine'!$H$6:$H$1110,8,'MA Engine'!$I$6:$I$1110,"DO",'MA Engine'!$P$6:$P$1110,"&lt;&gt;Y")+SUMIFS('MA Engine'!$AM$6:$AM$1110,'MA Engine'!$B$6:$B$1110,$A47,'MA Engine'!$H$6:$H$1110,8,'MA Engine'!$I$6:$I$1110,"Unbilled")</f>
        <v>0</v>
      </c>
      <c r="AL47" s="9" t="n">
        <f aca="false">AH47-AI47-AJ47-AK47</f>
        <v>0</v>
      </c>
      <c r="AM47" s="7" t="n">
        <f aca="false">IF(Q47=0,0,IF($D47="Karkas",SUMIFS('Karkas Detail'!$E$6:$E$42,'Karkas Detail'!$A$6:$A$42,$C47,'Karkas Detail'!$B$6:$B$42,$F47,'Karkas Detail'!$C$6:$C$42,$E47)/SUMIFS($Q$36:$Q$127,$C$36:$C$127,$C47,$D$36:$D$127,"Karkas",$F$36:$F$127,$F47,$E$36:$E$127,$E47),SUMIFS('Data SKU'!$G$5:$G$116,'Data SKU'!$A$5:$A$116,$C47,'Data SKU'!$B$5:$B$116,$D47,'Data SKU'!$C$5:$C$116,$E47,'Data SKU'!$D$5:$D$116,8,'Data SKU'!$N$5:$N$116,"Invoiced")/SUMIFS($Q$36:$Q$127,$C$36:$C$127,$C47,$D$36:$D$127,$D47,$E$36:$E$127,$E47))*Q47)+SUMIFS(Unbilled!$U$22:$U$38,Unbilled!$E$22:$E$38,$A47)</f>
        <v>0</v>
      </c>
      <c r="AN47" s="9" t="n">
        <f aca="false">IF(P47=0,0,AM47*AA47/P47)</f>
        <v>0</v>
      </c>
      <c r="AO47" s="9" t="n">
        <f aca="false">IF(P47=0,0,AM47*AB47/P47)</f>
        <v>0</v>
      </c>
      <c r="AP47" s="9" t="n">
        <f aca="false">IF(P47=0,0,AM47*AC47/P47)</f>
        <v>0</v>
      </c>
      <c r="AQ47" s="14" t="n">
        <f aca="false">MIN(U47+V47,MAX(0,O47-M47))</f>
        <v>0</v>
      </c>
      <c r="AR47" s="14" t="n">
        <f aca="false">MAX(0,AQ47-V47)*Z47</f>
        <v>0</v>
      </c>
      <c r="AS47" s="14" t="n">
        <f aca="false">MIN(V47,AQ47)*Z47</f>
        <v>0</v>
      </c>
      <c r="AT47" s="14" t="n">
        <f aca="false">(O47-AQ47)*Z47</f>
        <v>0</v>
      </c>
      <c r="AU47" s="9" t="n">
        <f aca="false">(AR47+AS47+AT47)*BA47</f>
        <v>0</v>
      </c>
      <c r="AV47" s="9" t="n">
        <f aca="false">IF(P47=0,0,AM47*AR47/P47)</f>
        <v>0</v>
      </c>
      <c r="AW47" s="9" t="n">
        <f aca="false">IF(P47=0,0,AM47*AS47/P47)</f>
        <v>0</v>
      </c>
      <c r="AX47" s="9" t="n">
        <f aca="false">IF(P47=0,0,AM47*AT47/P47)</f>
        <v>0</v>
      </c>
      <c r="AY47" s="9" t="n">
        <f aca="false">AH47-AU47</f>
        <v>0</v>
      </c>
      <c r="AZ47" s="9" t="n">
        <f aca="false">IF(M47&gt;0,P47*AG47,0)</f>
        <v>0</v>
      </c>
      <c r="BA47" s="9" t="n">
        <f aca="false">IF(P47=0,0,AH47/P47)</f>
        <v>0</v>
      </c>
      <c r="BB47" s="74" t="s">
        <v>835</v>
      </c>
      <c r="BC47" s="13" t="n">
        <f aca="false">SUMIFS('MA Engine'!$W$6:$W$1110,'MA Engine'!$B$6:$B$1110,$A47,'MA Engine'!$H$6:$H$1110,7,'MA Engine'!$I$6:$I$1110,"DO")</f>
        <v>0</v>
      </c>
      <c r="BD47" s="14" t="n">
        <f aca="false">MIN(MAX(0,H47),J47)</f>
        <v>0</v>
      </c>
      <c r="BE47" s="14" t="n">
        <f aca="false">J47-BD47</f>
        <v>0</v>
      </c>
      <c r="BF47" s="21" t="n">
        <f aca="false">IF(J47=0,0,BC47/J47)</f>
        <v>0</v>
      </c>
      <c r="BG47" s="13" t="n">
        <f aca="false">SUMIFS('MA Engine'!$AH$6:$AH$1110,'MA Engine'!$B$6:$B$1110,$A47,'MA Engine'!$H$6:$H$1110,7,'MA Engine'!$I$6:$I$1110,"DO")</f>
        <v>0</v>
      </c>
      <c r="BH47" s="13" t="n">
        <f aca="false">SUMIFS('MA Engine'!$AI$6:$AI$1110,'MA Engine'!$B$6:$B$1110,$A47,'MA Engine'!$H$6:$H$1110,7,'MA Engine'!$I$6:$I$1110,"DO")+SUMIFS('MA Engine'!$AJ$6:$AJ$1110,'MA Engine'!$B$6:$B$1110,$A47,'MA Engine'!$H$6:$H$1110,7,'MA Engine'!$I$6:$I$1110,"DO")</f>
        <v>0</v>
      </c>
      <c r="BI47" s="7" t="n">
        <f aca="false">IF(H47&gt;0,SUMIFS('MA Engine'!$L$6:$L$1110,'MA Engine'!$B$6:$B$1110,$A47,'MA Engine'!$I$6:$I$1110,"Opening")/H47,0)</f>
        <v>23194.2320620556</v>
      </c>
      <c r="BJ47" s="9" t="n">
        <f aca="false">IF(I47&gt;0,AD47/I47,BI47)</f>
        <v>1600.73571428571</v>
      </c>
      <c r="BK47" s="7" t="n">
        <f aca="false">SUMIFS('MA Engine'!$X$6:$X$1110,'MA Engine'!$B$6:$B$1110,$A47,'MA Engine'!$H$6:$H$1110,7,'MA Engine'!$I$6:$I$1110,"DO")</f>
        <v>0</v>
      </c>
      <c r="BL47" s="7" t="n">
        <f aca="false">SUMIFS('MA Engine'!$AK$6:$AK$1110,'MA Engine'!$B$6:$B$1110,$A47,'MA Engine'!$H$6:$H$1110,7,'MA Engine'!$I$6:$I$1110,"DO")</f>
        <v>0</v>
      </c>
      <c r="BM47" s="7" t="n">
        <f aca="false">SUMIFS('MA Engine'!$AL$6:$AL$1110,'MA Engine'!$B$6:$B$1110,$A47,'MA Engine'!$H$6:$H$1110,7,'MA Engine'!$I$6:$I$1110,"DO")+SUMIFS('MA Engine'!$AM$6:$AM$1110,'MA Engine'!$B$6:$B$1110,$A47,'MA Engine'!$H$6:$H$1110,7,'MA Engine'!$I$6:$I$1110,"DO")</f>
        <v>0</v>
      </c>
      <c r="BN47" s="9" t="n">
        <f aca="false">BK47-BL47-BM47</f>
        <v>0</v>
      </c>
      <c r="BO47" s="7" t="n">
        <f aca="false">IF(BC47=0,0,SUMIFS('Data SKU'!$G$5:$G$116,'Data SKU'!$A$5:$A$116,$C47,'Data SKU'!$B$5:$B$116,$D47,'Data SKU'!$C$5:$C$116,$E47,'Data SKU'!$D$5:$D$116,7,'Data SKU'!$N$5:$N$116,"Invoiced")/SUMIFS($BC$36:$BC$127,$C$36:$C$127,$C47,$D$36:$D$127,$D47,$E$36:$E$127,$E47)*BC47)</f>
        <v>0</v>
      </c>
      <c r="BP47" s="9" t="n">
        <f aca="false">IF(BC47=0,0,BO47*BG47/BC47)</f>
        <v>0</v>
      </c>
      <c r="BQ47" s="9" t="n">
        <f aca="false">IF(BC47=0,0,BO47*BH47/BC47)</f>
        <v>0</v>
      </c>
    </row>
    <row r="48" customFormat="false" ht="15" hidden="false" customHeight="false" outlineLevel="0" collapsed="false">
      <c r="A48" s="74" t="s">
        <v>960</v>
      </c>
      <c r="B48" s="53" t="str">
        <f aca="false">INDEX(I_Items!$B$5:$B$133,MATCH($A48,I_Items!$A$5:$A$133,0))&amp;""</f>
        <v>Boneless BL Frozen Kulit</v>
      </c>
      <c r="C48" s="53" t="str">
        <f aca="false">INDEX(I_Items!$C$5:$C$133,MATCH($A48,I_Items!$A$5:$A$133,0))&amp;""</f>
        <v>RPA</v>
      </c>
      <c r="D48" s="53" t="str">
        <f aca="false">INDEX(I_Items!$D$5:$D$133,MATCH($A48,I_Items!$A$5:$A$133,0))&amp;""</f>
        <v>Kulit</v>
      </c>
      <c r="E48" s="53" t="str">
        <f aca="false">INDEX(I_Items!$F$5:$F$133,MATCH($A48,I_Items!$A$5:$A$133,0))&amp;""</f>
        <v>Frozen</v>
      </c>
      <c r="F48" s="53" t="str">
        <f aca="false">INDEX(I_Items!$E$5:$E$133,MATCH($A48,I_Items!$A$5:$A$133,0))&amp;""</f>
        <v/>
      </c>
      <c r="G48" s="6" t="str">
        <f aca="false">IF(P48=0,"-",IF(M48=0,"A",IF(K48&lt;=0,"C","B")))</f>
        <v>-</v>
      </c>
      <c r="H48" s="13" t="n">
        <f aca="false">SUMIFS('MA Engine'!$K$6:$K$1110,'MA Engine'!$B$6:$B$1110,$A48,'MA Engine'!$I$6:$I$1110,"Opening")</f>
        <v>873.78</v>
      </c>
      <c r="I48" s="13" t="n">
        <f aca="false">SUMIFS('MA Engine'!$K$6:$K$1110,'MA Engine'!$B$6:$B$1110,$A48,'MA Engine'!$H$6:$H$1110,7,'MA Engine'!$I$6:$I$1110,"&lt;&gt;Opening")</f>
        <v>160</v>
      </c>
      <c r="J48" s="13" t="n">
        <f aca="false">SUMIFS('MA Engine'!$W$6:$W$1110,'MA Engine'!$B$6:$B$1110,$A48,'MA Engine'!$H$6:$H$1110,7)</f>
        <v>0</v>
      </c>
      <c r="K48" s="14" t="n">
        <f aca="false">H48+I48-J48</f>
        <v>1033.78</v>
      </c>
      <c r="L48" s="7" t="n">
        <f aca="false">SUMIFS('MA Engine'!$L$6:$L$1110,'MA Engine'!$B$6:$B$1110,$A48,'MA Engine'!$I$6:$I$1110,"Opening")+SUMIFS('MA Engine'!$L$6:$L$1110,'MA Engine'!$B$6:$B$1110,$A48,'MA Engine'!$H$6:$H$1110,7,'MA Engine'!$I$6:$I$1110,"&lt;&gt;Opening")-SUMIFS('MA Engine'!$X$6:$X$1110,'MA Engine'!$B$6:$B$1110,$A48,'MA Engine'!$H$6:$H$1110,7)</f>
        <v>25074700.01</v>
      </c>
      <c r="M48" s="13" t="n">
        <f aca="false">SUMIFS('MA Engine'!$K$6:$K$1110,'MA Engine'!$B$6:$B$1110,$A48,'MA Engine'!$H$6:$H$1110,8)</f>
        <v>0</v>
      </c>
      <c r="N48" s="7" t="n">
        <f aca="false">SUMIFS('MA Engine'!$L$6:$L$1110,'MA Engine'!$B$6:$B$1110,$A48,'MA Engine'!$H$6:$H$1110,8)</f>
        <v>0</v>
      </c>
      <c r="O48" s="13" t="n">
        <f aca="false">SUMIFS('MA Engine'!$W$6:$W$1110,'MA Engine'!$B$6:$B$1110,$A48,'MA Engine'!$H$6:$H$1110,8)</f>
        <v>0</v>
      </c>
      <c r="P48" s="14" t="n">
        <f aca="false">Q48+R48</f>
        <v>0</v>
      </c>
      <c r="Q48" s="13" t="n">
        <f aca="false">SUMIFS('MA Engine'!$W$6:$W$1110,'MA Engine'!$B$6:$B$1110,$A48,'MA Engine'!$H$6:$H$1110,8,'MA Engine'!$I$6:$I$1110,"DO",'MA Engine'!$P$6:$P$1110,"&lt;&gt;Y")</f>
        <v>0</v>
      </c>
      <c r="R48" s="13" t="n">
        <f aca="false">SUMIFS('MA Engine'!$W$6:$W$1110,'MA Engine'!$B$6:$B$1110,$A48,'MA Engine'!$H$6:$H$1110,8,'MA Engine'!$I$6:$I$1110,"Unbilled")</f>
        <v>0</v>
      </c>
      <c r="S48" s="13" t="n">
        <f aca="false">SUMIFS('MA Engine'!$W$6:$W$1110,'MA Engine'!$B$6:$B$1110,$A48,'MA Engine'!$H$6:$H$1110,8,'MA Engine'!$P$6:$P$1110,"Y")</f>
        <v>0</v>
      </c>
      <c r="T48" s="14" t="n">
        <f aca="false">O48-P48-S48</f>
        <v>0</v>
      </c>
      <c r="U48" s="14" t="n">
        <f aca="false">MAX(0,H48-J48)</f>
        <v>873.78</v>
      </c>
      <c r="V48" s="14" t="n">
        <f aca="false">MAX(0,K48-U48)</f>
        <v>160</v>
      </c>
      <c r="W48" s="14" t="n">
        <f aca="false">MIN(U48,O48)</f>
        <v>0</v>
      </c>
      <c r="X48" s="14" t="n">
        <f aca="false">MIN(V48,O48-W48)</f>
        <v>0</v>
      </c>
      <c r="Y48" s="14" t="n">
        <f aca="false">O48-W48-X48</f>
        <v>0</v>
      </c>
      <c r="Z48" s="21" t="n">
        <f aca="false">IF(O48=0,0,P48/O48)</f>
        <v>0</v>
      </c>
      <c r="AA48" s="13" t="n">
        <f aca="false">SUMIFS('MA Engine'!$AH$6:$AH$1110,'MA Engine'!$B$6:$B$1110,$A48,'MA Engine'!$H$6:$H$1110,8,'MA Engine'!$I$6:$I$1110,"DO",'MA Engine'!$P$6:$P$1110,"&lt;&gt;Y")+SUMIFS('MA Engine'!$AH$6:$AH$1110,'MA Engine'!$B$6:$B$1110,$A48,'MA Engine'!$H$6:$H$1110,8,'MA Engine'!$I$6:$I$1110,"Unbilled")</f>
        <v>0</v>
      </c>
      <c r="AB48" s="13" t="n">
        <f aca="false">SUMIFS('MA Engine'!$AI$6:$AI$1110,'MA Engine'!$B$6:$B$1110,$A48,'MA Engine'!$H$6:$H$1110,8,'MA Engine'!$I$6:$I$1110,"DO",'MA Engine'!$P$6:$P$1110,"&lt;&gt;Y")+SUMIFS('MA Engine'!$AI$6:$AI$1110,'MA Engine'!$B$6:$B$1110,$A48,'MA Engine'!$H$6:$H$1110,8,'MA Engine'!$I$6:$I$1110,"Unbilled")</f>
        <v>0</v>
      </c>
      <c r="AC48" s="13" t="n">
        <f aca="false">SUMIFS('MA Engine'!$AJ$6:$AJ$1110,'MA Engine'!$B$6:$B$1110,$A48,'MA Engine'!$H$6:$H$1110,8,'MA Engine'!$I$6:$I$1110,"DO",'MA Engine'!$P$6:$P$1110,"&lt;&gt;Y")+SUMIFS('MA Engine'!$AJ$6:$AJ$1110,'MA Engine'!$B$6:$B$1110,$A48,'MA Engine'!$H$6:$H$1110,8,'MA Engine'!$I$6:$I$1110,"Unbilled")</f>
        <v>0</v>
      </c>
      <c r="AD48" s="7" t="n">
        <f aca="false">SUMIFS('MA Engine'!$L$6:$L$1110,'MA Engine'!$B$6:$B$1110,$A48,'MA Engine'!$H$6:$H$1110,7,'MA Engine'!$I$6:$I$1110,"&lt;&gt;Opening")</f>
        <v>2561176.78</v>
      </c>
      <c r="AE48" s="9" t="n">
        <f aca="false">IF(AND(U48&gt;0.0001,(L48-V48*IF(I48&gt;0,AD48/I48,IF(K48&gt;0,L48/K48,0)))&lt;0),IF(K48&gt;0,L48/K48,0),IF(I48&gt;0,AD48/I48,IF(K48&gt;0,L48/K48,0)))</f>
        <v>16007.354875</v>
      </c>
      <c r="AF48" s="9" t="n">
        <f aca="false">IF(U48&lt;=0.0001,IF(K48&gt;0,L48/K48,0),IF((L48-V48*IF(I48&gt;0,AD48/I48,IF(K48&gt;0,L48/K48,0)))&lt;0,IF(K48&gt;0,L48/K48,0),(L48-V48*IF(I48&gt;0,AD48/I48,IF(K48&gt;0,L48/K48,0)))/U48))</f>
        <v>25765.6655336584</v>
      </c>
      <c r="AG48" s="9" t="n">
        <f aca="false">IF(M48&gt;0,N48/M48,IF(K48&gt;0,L48/K48,0))</f>
        <v>24255.3541469171</v>
      </c>
      <c r="AH48" s="7" t="n">
        <f aca="false">SUMIFS('MA Engine'!$X$6:$X$1110,'MA Engine'!$B$6:$B$1110,$A48,'MA Engine'!$H$6:$H$1110,8,'MA Engine'!$I$6:$I$1110,"DO",'MA Engine'!$P$6:$P$1110,"&lt;&gt;Y")+SUMIFS('MA Engine'!$X$6:$X$1110,'MA Engine'!$B$6:$B$1110,$A48,'MA Engine'!$H$6:$H$1110,8,'MA Engine'!$I$6:$I$1110,"Unbilled")</f>
        <v>0</v>
      </c>
      <c r="AI48" s="7" t="n">
        <f aca="false">SUMIFS('MA Engine'!$AK$6:$AK$1110,'MA Engine'!$B$6:$B$1110,$A48,'MA Engine'!$H$6:$H$1110,8,'MA Engine'!$I$6:$I$1110,"DO",'MA Engine'!$P$6:$P$1110,"&lt;&gt;Y")+SUMIFS('MA Engine'!$AK$6:$AK$1110,'MA Engine'!$B$6:$B$1110,$A48,'MA Engine'!$H$6:$H$1110,8,'MA Engine'!$I$6:$I$1110,"Unbilled")</f>
        <v>0</v>
      </c>
      <c r="AJ48" s="7" t="n">
        <f aca="false">SUMIFS('MA Engine'!$AL$6:$AL$1110,'MA Engine'!$B$6:$B$1110,$A48,'MA Engine'!$H$6:$H$1110,8,'MA Engine'!$I$6:$I$1110,"DO",'MA Engine'!$P$6:$P$1110,"&lt;&gt;Y")+SUMIFS('MA Engine'!$AL$6:$AL$1110,'MA Engine'!$B$6:$B$1110,$A48,'MA Engine'!$H$6:$H$1110,8,'MA Engine'!$I$6:$I$1110,"Unbilled")</f>
        <v>0</v>
      </c>
      <c r="AK48" s="7" t="n">
        <f aca="false">SUMIFS('MA Engine'!$AM$6:$AM$1110,'MA Engine'!$B$6:$B$1110,$A48,'MA Engine'!$H$6:$H$1110,8,'MA Engine'!$I$6:$I$1110,"DO",'MA Engine'!$P$6:$P$1110,"&lt;&gt;Y")+SUMIFS('MA Engine'!$AM$6:$AM$1110,'MA Engine'!$B$6:$B$1110,$A48,'MA Engine'!$H$6:$H$1110,8,'MA Engine'!$I$6:$I$1110,"Unbilled")</f>
        <v>0</v>
      </c>
      <c r="AL48" s="9" t="n">
        <f aca="false">AH48-AI48-AJ48-AK48</f>
        <v>0</v>
      </c>
      <c r="AM48" s="7" t="n">
        <f aca="false">IF(Q48=0,0,IF($D48="Karkas",SUMIFS('Karkas Detail'!$E$6:$E$42,'Karkas Detail'!$A$6:$A$42,$C48,'Karkas Detail'!$B$6:$B$42,$F48,'Karkas Detail'!$C$6:$C$42,$E48)/SUMIFS($Q$36:$Q$127,$C$36:$C$127,$C48,$D$36:$D$127,"Karkas",$F$36:$F$127,$F48,$E$36:$E$127,$E48),SUMIFS('Data SKU'!$G$5:$G$116,'Data SKU'!$A$5:$A$116,$C48,'Data SKU'!$B$5:$B$116,$D48,'Data SKU'!$C$5:$C$116,$E48,'Data SKU'!$D$5:$D$116,8,'Data SKU'!$N$5:$N$116,"Invoiced")/SUMIFS($Q$36:$Q$127,$C$36:$C$127,$C48,$D$36:$D$127,$D48,$E$36:$E$127,$E48))*Q48)+SUMIFS(Unbilled!$U$22:$U$38,Unbilled!$E$22:$E$38,$A48)</f>
        <v>0</v>
      </c>
      <c r="AN48" s="9" t="n">
        <f aca="false">IF(P48=0,0,AM48*AA48/P48)</f>
        <v>0</v>
      </c>
      <c r="AO48" s="9" t="n">
        <f aca="false">IF(P48=0,0,AM48*AB48/P48)</f>
        <v>0</v>
      </c>
      <c r="AP48" s="9" t="n">
        <f aca="false">IF(P48=0,0,AM48*AC48/P48)</f>
        <v>0</v>
      </c>
      <c r="AQ48" s="14" t="n">
        <f aca="false">MIN(U48+V48,MAX(0,O48-M48))</f>
        <v>0</v>
      </c>
      <c r="AR48" s="14" t="n">
        <f aca="false">MAX(0,AQ48-V48)*Z48</f>
        <v>0</v>
      </c>
      <c r="AS48" s="14" t="n">
        <f aca="false">MIN(V48,AQ48)*Z48</f>
        <v>0</v>
      </c>
      <c r="AT48" s="14" t="n">
        <f aca="false">(O48-AQ48)*Z48</f>
        <v>0</v>
      </c>
      <c r="AU48" s="9" t="n">
        <f aca="false">(AR48+AS48+AT48)*BA48</f>
        <v>0</v>
      </c>
      <c r="AV48" s="9" t="n">
        <f aca="false">IF(P48=0,0,AM48*AR48/P48)</f>
        <v>0</v>
      </c>
      <c r="AW48" s="9" t="n">
        <f aca="false">IF(P48=0,0,AM48*AS48/P48)</f>
        <v>0</v>
      </c>
      <c r="AX48" s="9" t="n">
        <f aca="false">IF(P48=0,0,AM48*AT48/P48)</f>
        <v>0</v>
      </c>
      <c r="AY48" s="9" t="n">
        <f aca="false">AH48-AU48</f>
        <v>0</v>
      </c>
      <c r="AZ48" s="9" t="n">
        <f aca="false">IF(M48&gt;0,P48*AG48,0)</f>
        <v>0</v>
      </c>
      <c r="BA48" s="9" t="n">
        <f aca="false">IF(P48=0,0,AH48/P48)</f>
        <v>0</v>
      </c>
      <c r="BB48" s="74" t="s">
        <v>835</v>
      </c>
      <c r="BC48" s="13" t="n">
        <f aca="false">SUMIFS('MA Engine'!$W$6:$W$1110,'MA Engine'!$B$6:$B$1110,$A48,'MA Engine'!$H$6:$H$1110,7,'MA Engine'!$I$6:$I$1110,"DO")</f>
        <v>0</v>
      </c>
      <c r="BD48" s="14" t="n">
        <f aca="false">MIN(MAX(0,H48),J48)</f>
        <v>0</v>
      </c>
      <c r="BE48" s="14" t="n">
        <f aca="false">J48-BD48</f>
        <v>0</v>
      </c>
      <c r="BF48" s="21" t="n">
        <f aca="false">IF(J48=0,0,BC48/J48)</f>
        <v>0</v>
      </c>
      <c r="BG48" s="13" t="n">
        <f aca="false">SUMIFS('MA Engine'!$AH$6:$AH$1110,'MA Engine'!$B$6:$B$1110,$A48,'MA Engine'!$H$6:$H$1110,7,'MA Engine'!$I$6:$I$1110,"DO")</f>
        <v>0</v>
      </c>
      <c r="BH48" s="13" t="n">
        <f aca="false">SUMIFS('MA Engine'!$AI$6:$AI$1110,'MA Engine'!$B$6:$B$1110,$A48,'MA Engine'!$H$6:$H$1110,7,'MA Engine'!$I$6:$I$1110,"DO")+SUMIFS('MA Engine'!$AJ$6:$AJ$1110,'MA Engine'!$B$6:$B$1110,$A48,'MA Engine'!$H$6:$H$1110,7,'MA Engine'!$I$6:$I$1110,"DO")</f>
        <v>0</v>
      </c>
      <c r="BI48" s="7" t="n">
        <f aca="false">IF(H48&gt;0,SUMIFS('MA Engine'!$L$6:$L$1110,'MA Engine'!$B$6:$B$1110,$A48,'MA Engine'!$I$6:$I$1110,"Opening")/H48,0)</f>
        <v>25765.6655336584</v>
      </c>
      <c r="BJ48" s="9" t="n">
        <f aca="false">IF(I48&gt;0,AD48/I48,BI48)</f>
        <v>16007.354875</v>
      </c>
      <c r="BK48" s="7" t="n">
        <f aca="false">SUMIFS('MA Engine'!$X$6:$X$1110,'MA Engine'!$B$6:$B$1110,$A48,'MA Engine'!$H$6:$H$1110,7,'MA Engine'!$I$6:$I$1110,"DO")</f>
        <v>0</v>
      </c>
      <c r="BL48" s="7" t="n">
        <f aca="false">SUMIFS('MA Engine'!$AK$6:$AK$1110,'MA Engine'!$B$6:$B$1110,$A48,'MA Engine'!$H$6:$H$1110,7,'MA Engine'!$I$6:$I$1110,"DO")</f>
        <v>0</v>
      </c>
      <c r="BM48" s="7" t="n">
        <f aca="false">SUMIFS('MA Engine'!$AL$6:$AL$1110,'MA Engine'!$B$6:$B$1110,$A48,'MA Engine'!$H$6:$H$1110,7,'MA Engine'!$I$6:$I$1110,"DO")+SUMIFS('MA Engine'!$AM$6:$AM$1110,'MA Engine'!$B$6:$B$1110,$A48,'MA Engine'!$H$6:$H$1110,7,'MA Engine'!$I$6:$I$1110,"DO")</f>
        <v>0</v>
      </c>
      <c r="BN48" s="9" t="n">
        <f aca="false">BK48-BL48-BM48</f>
        <v>0</v>
      </c>
      <c r="BO48" s="7" t="n">
        <f aca="false">IF(BC48=0,0,SUMIFS('Data SKU'!$G$5:$G$116,'Data SKU'!$A$5:$A$116,$C48,'Data SKU'!$B$5:$B$116,$D48,'Data SKU'!$C$5:$C$116,$E48,'Data SKU'!$D$5:$D$116,7,'Data SKU'!$N$5:$N$116,"Invoiced")/SUMIFS($BC$36:$BC$127,$C$36:$C$127,$C48,$D$36:$D$127,$D48,$E$36:$E$127,$E48)*BC48)</f>
        <v>0</v>
      </c>
      <c r="BP48" s="9" t="n">
        <f aca="false">IF(BC48=0,0,BO48*BG48/BC48)</f>
        <v>0</v>
      </c>
      <c r="BQ48" s="9" t="n">
        <f aca="false">IF(BC48=0,0,BO48*BH48/BC48)</f>
        <v>0</v>
      </c>
    </row>
    <row r="49" customFormat="false" ht="15" hidden="false" customHeight="false" outlineLevel="0" collapsed="false">
      <c r="A49" s="74" t="s">
        <v>961</v>
      </c>
      <c r="B49" s="53" t="str">
        <f aca="false">INDEX(I_Items!$B$5:$B$133,MATCH($A49,I_Items!$A$5:$A$133,0))&amp;""</f>
        <v>Boneless BL Frozen Lemak</v>
      </c>
      <c r="C49" s="53" t="str">
        <f aca="false">INDEX(I_Items!$C$5:$C$133,MATCH($A49,I_Items!$A$5:$A$133,0))&amp;""</f>
        <v>RPA</v>
      </c>
      <c r="D49" s="53" t="str">
        <f aca="false">INDEX(I_Items!$D$5:$D$133,MATCH($A49,I_Items!$A$5:$A$133,0))&amp;""</f>
        <v>Lemak</v>
      </c>
      <c r="E49" s="53" t="str">
        <f aca="false">INDEX(I_Items!$F$5:$F$133,MATCH($A49,I_Items!$A$5:$A$133,0))&amp;""</f>
        <v>Frozen</v>
      </c>
      <c r="F49" s="53" t="str">
        <f aca="false">INDEX(I_Items!$E$5:$E$133,MATCH($A49,I_Items!$A$5:$A$133,0))&amp;""</f>
        <v/>
      </c>
      <c r="G49" s="6" t="str">
        <f aca="false">IF(P49=0,"-",IF(M49=0,"A",IF(K49&lt;=0,"C","B")))</f>
        <v>-</v>
      </c>
      <c r="H49" s="13" t="n">
        <f aca="false">SUMIFS('MA Engine'!$K$6:$K$1110,'MA Engine'!$B$6:$B$1110,$A49,'MA Engine'!$I$6:$I$1110,"Opening")</f>
        <v>83.28</v>
      </c>
      <c r="I49" s="13" t="n">
        <f aca="false">SUMIFS('MA Engine'!$K$6:$K$1110,'MA Engine'!$B$6:$B$1110,$A49,'MA Engine'!$H$6:$H$1110,7,'MA Engine'!$I$6:$I$1110,"&lt;&gt;Opening")</f>
        <v>0</v>
      </c>
      <c r="J49" s="13" t="n">
        <f aca="false">SUMIFS('MA Engine'!$W$6:$W$1110,'MA Engine'!$B$6:$B$1110,$A49,'MA Engine'!$H$6:$H$1110,7)</f>
        <v>0</v>
      </c>
      <c r="K49" s="14" t="n">
        <f aca="false">H49+I49-J49</f>
        <v>83.28</v>
      </c>
      <c r="L49" s="7" t="n">
        <f aca="false">SUMIFS('MA Engine'!$L$6:$L$1110,'MA Engine'!$B$6:$B$1110,$A49,'MA Engine'!$I$6:$I$1110,"Opening")+SUMIFS('MA Engine'!$L$6:$L$1110,'MA Engine'!$B$6:$B$1110,$A49,'MA Engine'!$H$6:$H$1110,7,'MA Engine'!$I$6:$I$1110,"&lt;&gt;Opening")-SUMIFS('MA Engine'!$X$6:$X$1110,'MA Engine'!$B$6:$B$1110,$A49,'MA Engine'!$H$6:$H$1110,7)</f>
        <v>1771504.88</v>
      </c>
      <c r="M49" s="13" t="n">
        <f aca="false">SUMIFS('MA Engine'!$K$6:$K$1110,'MA Engine'!$B$6:$B$1110,$A49,'MA Engine'!$H$6:$H$1110,8)</f>
        <v>379.5</v>
      </c>
      <c r="N49" s="7" t="n">
        <f aca="false">SUMIFS('MA Engine'!$L$6:$L$1110,'MA Engine'!$B$6:$B$1110,$A49,'MA Engine'!$H$6:$H$1110,8)</f>
        <v>10091709.81</v>
      </c>
      <c r="O49" s="13" t="n">
        <f aca="false">SUMIFS('MA Engine'!$W$6:$W$1110,'MA Engine'!$B$6:$B$1110,$A49,'MA Engine'!$H$6:$H$1110,8)</f>
        <v>0</v>
      </c>
      <c r="P49" s="14" t="n">
        <f aca="false">Q49+R49</f>
        <v>0</v>
      </c>
      <c r="Q49" s="13" t="n">
        <f aca="false">SUMIFS('MA Engine'!$W$6:$W$1110,'MA Engine'!$B$6:$B$1110,$A49,'MA Engine'!$H$6:$H$1110,8,'MA Engine'!$I$6:$I$1110,"DO",'MA Engine'!$P$6:$P$1110,"&lt;&gt;Y")</f>
        <v>0</v>
      </c>
      <c r="R49" s="13" t="n">
        <f aca="false">SUMIFS('MA Engine'!$W$6:$W$1110,'MA Engine'!$B$6:$B$1110,$A49,'MA Engine'!$H$6:$H$1110,8,'MA Engine'!$I$6:$I$1110,"Unbilled")</f>
        <v>0</v>
      </c>
      <c r="S49" s="13" t="n">
        <f aca="false">SUMIFS('MA Engine'!$W$6:$W$1110,'MA Engine'!$B$6:$B$1110,$A49,'MA Engine'!$H$6:$H$1110,8,'MA Engine'!$P$6:$P$1110,"Y")</f>
        <v>0</v>
      </c>
      <c r="T49" s="14" t="n">
        <f aca="false">O49-P49-S49</f>
        <v>0</v>
      </c>
      <c r="U49" s="14" t="n">
        <f aca="false">MAX(0,H49-J49)</f>
        <v>83.28</v>
      </c>
      <c r="V49" s="14" t="n">
        <f aca="false">MAX(0,K49-U49)</f>
        <v>0</v>
      </c>
      <c r="W49" s="14" t="n">
        <f aca="false">MIN(U49,O49)</f>
        <v>0</v>
      </c>
      <c r="X49" s="14" t="n">
        <f aca="false">MIN(V49,O49-W49)</f>
        <v>0</v>
      </c>
      <c r="Y49" s="14" t="n">
        <f aca="false">O49-W49-X49</f>
        <v>0</v>
      </c>
      <c r="Z49" s="21" t="n">
        <f aca="false">IF(O49=0,0,P49/O49)</f>
        <v>0</v>
      </c>
      <c r="AA49" s="13" t="n">
        <f aca="false">SUMIFS('MA Engine'!$AH$6:$AH$1110,'MA Engine'!$B$6:$B$1110,$A49,'MA Engine'!$H$6:$H$1110,8,'MA Engine'!$I$6:$I$1110,"DO",'MA Engine'!$P$6:$P$1110,"&lt;&gt;Y")+SUMIFS('MA Engine'!$AH$6:$AH$1110,'MA Engine'!$B$6:$B$1110,$A49,'MA Engine'!$H$6:$H$1110,8,'MA Engine'!$I$6:$I$1110,"Unbilled")</f>
        <v>0</v>
      </c>
      <c r="AB49" s="13" t="n">
        <f aca="false">SUMIFS('MA Engine'!$AI$6:$AI$1110,'MA Engine'!$B$6:$B$1110,$A49,'MA Engine'!$H$6:$H$1110,8,'MA Engine'!$I$6:$I$1110,"DO",'MA Engine'!$P$6:$P$1110,"&lt;&gt;Y")+SUMIFS('MA Engine'!$AI$6:$AI$1110,'MA Engine'!$B$6:$B$1110,$A49,'MA Engine'!$H$6:$H$1110,8,'MA Engine'!$I$6:$I$1110,"Unbilled")</f>
        <v>0</v>
      </c>
      <c r="AC49" s="13" t="n">
        <f aca="false">SUMIFS('MA Engine'!$AJ$6:$AJ$1110,'MA Engine'!$B$6:$B$1110,$A49,'MA Engine'!$H$6:$H$1110,8,'MA Engine'!$I$6:$I$1110,"DO",'MA Engine'!$P$6:$P$1110,"&lt;&gt;Y")+SUMIFS('MA Engine'!$AJ$6:$AJ$1110,'MA Engine'!$B$6:$B$1110,$A49,'MA Engine'!$H$6:$H$1110,8,'MA Engine'!$I$6:$I$1110,"Unbilled")</f>
        <v>0</v>
      </c>
      <c r="AD49" s="7" t="n">
        <f aca="false">SUMIFS('MA Engine'!$L$6:$L$1110,'MA Engine'!$B$6:$B$1110,$A49,'MA Engine'!$H$6:$H$1110,7,'MA Engine'!$I$6:$I$1110,"&lt;&gt;Opening")</f>
        <v>0</v>
      </c>
      <c r="AE49" s="9" t="n">
        <f aca="false">IF(AND(U49&gt;0.0001,(L49-V49*IF(I49&gt;0,AD49/I49,IF(K49&gt;0,L49/K49,0)))&lt;0),IF(K49&gt;0,L49/K49,0),IF(I49&gt;0,AD49/I49,IF(K49&gt;0,L49/K49,0)))</f>
        <v>21271.6724303554</v>
      </c>
      <c r="AF49" s="9" t="n">
        <f aca="false">IF(U49&lt;=0.0001,IF(K49&gt;0,L49/K49,0),IF((L49-V49*IF(I49&gt;0,AD49/I49,IF(K49&gt;0,L49/K49,0)))&lt;0,IF(K49&gt;0,L49/K49,0),(L49-V49*IF(I49&gt;0,AD49/I49,IF(K49&gt;0,L49/K49,0)))/U49))</f>
        <v>21271.6724303554</v>
      </c>
      <c r="AG49" s="9" t="n">
        <f aca="false">IF(M49&gt;0,N49/M49,IF(K49&gt;0,L49/K49,0))</f>
        <v>26592.1207114625</v>
      </c>
      <c r="AH49" s="7" t="n">
        <f aca="false">SUMIFS('MA Engine'!$X$6:$X$1110,'MA Engine'!$B$6:$B$1110,$A49,'MA Engine'!$H$6:$H$1110,8,'MA Engine'!$I$6:$I$1110,"DO",'MA Engine'!$P$6:$P$1110,"&lt;&gt;Y")+SUMIFS('MA Engine'!$X$6:$X$1110,'MA Engine'!$B$6:$B$1110,$A49,'MA Engine'!$H$6:$H$1110,8,'MA Engine'!$I$6:$I$1110,"Unbilled")</f>
        <v>0</v>
      </c>
      <c r="AI49" s="7" t="n">
        <f aca="false">SUMIFS('MA Engine'!$AK$6:$AK$1110,'MA Engine'!$B$6:$B$1110,$A49,'MA Engine'!$H$6:$H$1110,8,'MA Engine'!$I$6:$I$1110,"DO",'MA Engine'!$P$6:$P$1110,"&lt;&gt;Y")+SUMIFS('MA Engine'!$AK$6:$AK$1110,'MA Engine'!$B$6:$B$1110,$A49,'MA Engine'!$H$6:$H$1110,8,'MA Engine'!$I$6:$I$1110,"Unbilled")</f>
        <v>0</v>
      </c>
      <c r="AJ49" s="7" t="n">
        <f aca="false">SUMIFS('MA Engine'!$AL$6:$AL$1110,'MA Engine'!$B$6:$B$1110,$A49,'MA Engine'!$H$6:$H$1110,8,'MA Engine'!$I$6:$I$1110,"DO",'MA Engine'!$P$6:$P$1110,"&lt;&gt;Y")+SUMIFS('MA Engine'!$AL$6:$AL$1110,'MA Engine'!$B$6:$B$1110,$A49,'MA Engine'!$H$6:$H$1110,8,'MA Engine'!$I$6:$I$1110,"Unbilled")</f>
        <v>0</v>
      </c>
      <c r="AK49" s="7" t="n">
        <f aca="false">SUMIFS('MA Engine'!$AM$6:$AM$1110,'MA Engine'!$B$6:$B$1110,$A49,'MA Engine'!$H$6:$H$1110,8,'MA Engine'!$I$6:$I$1110,"DO",'MA Engine'!$P$6:$P$1110,"&lt;&gt;Y")+SUMIFS('MA Engine'!$AM$6:$AM$1110,'MA Engine'!$B$6:$B$1110,$A49,'MA Engine'!$H$6:$H$1110,8,'MA Engine'!$I$6:$I$1110,"Unbilled")</f>
        <v>0</v>
      </c>
      <c r="AL49" s="9" t="n">
        <f aca="false">AH49-AI49-AJ49-AK49</f>
        <v>0</v>
      </c>
      <c r="AM49" s="7" t="n">
        <f aca="false">IF(Q49=0,0,IF($D49="Karkas",SUMIFS('Karkas Detail'!$E$6:$E$42,'Karkas Detail'!$A$6:$A$42,$C49,'Karkas Detail'!$B$6:$B$42,$F49,'Karkas Detail'!$C$6:$C$42,$E49)/SUMIFS($Q$36:$Q$127,$C$36:$C$127,$C49,$D$36:$D$127,"Karkas",$F$36:$F$127,$F49,$E$36:$E$127,$E49),SUMIFS('Data SKU'!$G$5:$G$116,'Data SKU'!$A$5:$A$116,$C49,'Data SKU'!$B$5:$B$116,$D49,'Data SKU'!$C$5:$C$116,$E49,'Data SKU'!$D$5:$D$116,8,'Data SKU'!$N$5:$N$116,"Invoiced")/SUMIFS($Q$36:$Q$127,$C$36:$C$127,$C49,$D$36:$D$127,$D49,$E$36:$E$127,$E49))*Q49)+SUMIFS(Unbilled!$U$22:$U$38,Unbilled!$E$22:$E$38,$A49)</f>
        <v>0</v>
      </c>
      <c r="AN49" s="9" t="n">
        <f aca="false">IF(P49=0,0,AM49*AA49/P49)</f>
        <v>0</v>
      </c>
      <c r="AO49" s="9" t="n">
        <f aca="false">IF(P49=0,0,AM49*AB49/P49)</f>
        <v>0</v>
      </c>
      <c r="AP49" s="9" t="n">
        <f aca="false">IF(P49=0,0,AM49*AC49/P49)</f>
        <v>0</v>
      </c>
      <c r="AQ49" s="14" t="n">
        <f aca="false">MIN(U49+V49,MAX(0,O49-M49))</f>
        <v>0</v>
      </c>
      <c r="AR49" s="14" t="n">
        <f aca="false">MAX(0,AQ49-V49)*Z49</f>
        <v>0</v>
      </c>
      <c r="AS49" s="14" t="n">
        <f aca="false">MIN(V49,AQ49)*Z49</f>
        <v>0</v>
      </c>
      <c r="AT49" s="14" t="n">
        <f aca="false">(O49-AQ49)*Z49</f>
        <v>0</v>
      </c>
      <c r="AU49" s="9" t="n">
        <f aca="false">(AR49+AS49+AT49)*BA49</f>
        <v>0</v>
      </c>
      <c r="AV49" s="9" t="n">
        <f aca="false">IF(P49=0,0,AM49*AR49/P49)</f>
        <v>0</v>
      </c>
      <c r="AW49" s="9" t="n">
        <f aca="false">IF(P49=0,0,AM49*AS49/P49)</f>
        <v>0</v>
      </c>
      <c r="AX49" s="9" t="n">
        <f aca="false">IF(P49=0,0,AM49*AT49/P49)</f>
        <v>0</v>
      </c>
      <c r="AY49" s="9" t="n">
        <f aca="false">AH49-AU49</f>
        <v>0</v>
      </c>
      <c r="AZ49" s="9" t="n">
        <f aca="false">IF(M49&gt;0,P49*AG49,0)</f>
        <v>0</v>
      </c>
      <c r="BA49" s="9" t="n">
        <f aca="false">IF(P49=0,0,AH49/P49)</f>
        <v>0</v>
      </c>
      <c r="BB49" s="74" t="s">
        <v>836</v>
      </c>
      <c r="BC49" s="13" t="n">
        <f aca="false">SUMIFS('MA Engine'!$W$6:$W$1110,'MA Engine'!$B$6:$B$1110,$A49,'MA Engine'!$H$6:$H$1110,7,'MA Engine'!$I$6:$I$1110,"DO")</f>
        <v>0</v>
      </c>
      <c r="BD49" s="14" t="n">
        <f aca="false">MIN(MAX(0,H49),J49)</f>
        <v>0</v>
      </c>
      <c r="BE49" s="14" t="n">
        <f aca="false">J49-BD49</f>
        <v>0</v>
      </c>
      <c r="BF49" s="21" t="n">
        <f aca="false">IF(J49=0,0,BC49/J49)</f>
        <v>0</v>
      </c>
      <c r="BG49" s="13" t="n">
        <f aca="false">SUMIFS('MA Engine'!$AH$6:$AH$1110,'MA Engine'!$B$6:$B$1110,$A49,'MA Engine'!$H$6:$H$1110,7,'MA Engine'!$I$6:$I$1110,"DO")</f>
        <v>0</v>
      </c>
      <c r="BH49" s="13" t="n">
        <f aca="false">SUMIFS('MA Engine'!$AI$6:$AI$1110,'MA Engine'!$B$6:$B$1110,$A49,'MA Engine'!$H$6:$H$1110,7,'MA Engine'!$I$6:$I$1110,"DO")+SUMIFS('MA Engine'!$AJ$6:$AJ$1110,'MA Engine'!$B$6:$B$1110,$A49,'MA Engine'!$H$6:$H$1110,7,'MA Engine'!$I$6:$I$1110,"DO")</f>
        <v>0</v>
      </c>
      <c r="BI49" s="7" t="n">
        <f aca="false">IF(H49&gt;0,SUMIFS('MA Engine'!$L$6:$L$1110,'MA Engine'!$B$6:$B$1110,$A49,'MA Engine'!$I$6:$I$1110,"Opening")/H49,0)</f>
        <v>21271.6724303554</v>
      </c>
      <c r="BJ49" s="9" t="n">
        <f aca="false">IF(I49&gt;0,AD49/I49,BI49)</f>
        <v>21271.6724303554</v>
      </c>
      <c r="BK49" s="7" t="n">
        <f aca="false">SUMIFS('MA Engine'!$X$6:$X$1110,'MA Engine'!$B$6:$B$1110,$A49,'MA Engine'!$H$6:$H$1110,7,'MA Engine'!$I$6:$I$1110,"DO")</f>
        <v>0</v>
      </c>
      <c r="BL49" s="7" t="n">
        <f aca="false">SUMIFS('MA Engine'!$AK$6:$AK$1110,'MA Engine'!$B$6:$B$1110,$A49,'MA Engine'!$H$6:$H$1110,7,'MA Engine'!$I$6:$I$1110,"DO")</f>
        <v>0</v>
      </c>
      <c r="BM49" s="7" t="n">
        <f aca="false">SUMIFS('MA Engine'!$AL$6:$AL$1110,'MA Engine'!$B$6:$B$1110,$A49,'MA Engine'!$H$6:$H$1110,7,'MA Engine'!$I$6:$I$1110,"DO")+SUMIFS('MA Engine'!$AM$6:$AM$1110,'MA Engine'!$B$6:$B$1110,$A49,'MA Engine'!$H$6:$H$1110,7,'MA Engine'!$I$6:$I$1110,"DO")</f>
        <v>0</v>
      </c>
      <c r="BN49" s="9" t="n">
        <f aca="false">BK49-BL49-BM49</f>
        <v>0</v>
      </c>
      <c r="BO49" s="7" t="n">
        <f aca="false">IF(BC49=0,0,SUMIFS('Data SKU'!$G$5:$G$116,'Data SKU'!$A$5:$A$116,$C49,'Data SKU'!$B$5:$B$116,$D49,'Data SKU'!$C$5:$C$116,$E49,'Data SKU'!$D$5:$D$116,7,'Data SKU'!$N$5:$N$116,"Invoiced")/SUMIFS($BC$36:$BC$127,$C$36:$C$127,$C49,$D$36:$D$127,$D49,$E$36:$E$127,$E49)*BC49)</f>
        <v>0</v>
      </c>
      <c r="BP49" s="9" t="n">
        <f aca="false">IF(BC49=0,0,BO49*BG49/BC49)</f>
        <v>0</v>
      </c>
      <c r="BQ49" s="9" t="n">
        <f aca="false">IF(BC49=0,0,BO49*BH49/BC49)</f>
        <v>0</v>
      </c>
    </row>
    <row r="50" customFormat="false" ht="15" hidden="false" customHeight="false" outlineLevel="0" collapsed="false">
      <c r="A50" s="74" t="s">
        <v>962</v>
      </c>
      <c r="B50" s="53" t="str">
        <f aca="false">INDEX(I_Items!$B$5:$B$133,MATCH($A50,I_Items!$A$5:$A$133,0))&amp;""</f>
        <v>Boneless BL Frozen Sayap Grade A</v>
      </c>
      <c r="C50" s="53" t="str">
        <f aca="false">INDEX(I_Items!$C$5:$C$133,MATCH($A50,I_Items!$A$5:$A$133,0))&amp;""</f>
        <v>RPA</v>
      </c>
      <c r="D50" s="53" t="str">
        <f aca="false">INDEX(I_Items!$D$5:$D$133,MATCH($A50,I_Items!$A$5:$A$133,0))&amp;""</f>
        <v>Sayap</v>
      </c>
      <c r="E50" s="53" t="str">
        <f aca="false">INDEX(I_Items!$F$5:$F$133,MATCH($A50,I_Items!$A$5:$A$133,0))&amp;""</f>
        <v>Frozen</v>
      </c>
      <c r="F50" s="53" t="str">
        <f aca="false">INDEX(I_Items!$E$5:$E$133,MATCH($A50,I_Items!$A$5:$A$133,0))&amp;""</f>
        <v/>
      </c>
      <c r="G50" s="6" t="str">
        <f aca="false">IF(P50=0,"-",IF(M50=0,"A",IF(K50&lt;=0,"C","B")))</f>
        <v>-</v>
      </c>
      <c r="H50" s="13" t="n">
        <f aca="false">SUMIFS('MA Engine'!$K$6:$K$1110,'MA Engine'!$B$6:$B$1110,$A50,'MA Engine'!$I$6:$I$1110,"Opening")</f>
        <v>271.15</v>
      </c>
      <c r="I50" s="13" t="n">
        <f aca="false">SUMIFS('MA Engine'!$K$6:$K$1110,'MA Engine'!$B$6:$B$1110,$A50,'MA Engine'!$H$6:$H$1110,7,'MA Engine'!$I$6:$I$1110,"&lt;&gt;Opening")</f>
        <v>40</v>
      </c>
      <c r="J50" s="13" t="n">
        <f aca="false">SUMIFS('MA Engine'!$W$6:$W$1110,'MA Engine'!$B$6:$B$1110,$A50,'MA Engine'!$H$6:$H$1110,7)</f>
        <v>0</v>
      </c>
      <c r="K50" s="14" t="n">
        <f aca="false">H50+I50-J50</f>
        <v>311.15</v>
      </c>
      <c r="L50" s="7" t="n">
        <f aca="false">SUMIFS('MA Engine'!$L$6:$L$1110,'MA Engine'!$B$6:$B$1110,$A50,'MA Engine'!$I$6:$I$1110,"Opening")+SUMIFS('MA Engine'!$L$6:$L$1110,'MA Engine'!$B$6:$B$1110,$A50,'MA Engine'!$H$6:$H$1110,7,'MA Engine'!$I$6:$I$1110,"&lt;&gt;Opening")-SUMIFS('MA Engine'!$X$6:$X$1110,'MA Engine'!$B$6:$B$1110,$A50,'MA Engine'!$H$6:$H$1110,7)</f>
        <v>7464397.45</v>
      </c>
      <c r="M50" s="13" t="n">
        <f aca="false">SUMIFS('MA Engine'!$K$6:$K$1110,'MA Engine'!$B$6:$B$1110,$A50,'MA Engine'!$H$6:$H$1110,8)</f>
        <v>0</v>
      </c>
      <c r="N50" s="7" t="n">
        <f aca="false">SUMIFS('MA Engine'!$L$6:$L$1110,'MA Engine'!$B$6:$B$1110,$A50,'MA Engine'!$H$6:$H$1110,8)</f>
        <v>0</v>
      </c>
      <c r="O50" s="13" t="n">
        <f aca="false">SUMIFS('MA Engine'!$W$6:$W$1110,'MA Engine'!$B$6:$B$1110,$A50,'MA Engine'!$H$6:$H$1110,8)</f>
        <v>0</v>
      </c>
      <c r="P50" s="14" t="n">
        <f aca="false">Q50+R50</f>
        <v>0</v>
      </c>
      <c r="Q50" s="13" t="n">
        <f aca="false">SUMIFS('MA Engine'!$W$6:$W$1110,'MA Engine'!$B$6:$B$1110,$A50,'MA Engine'!$H$6:$H$1110,8,'MA Engine'!$I$6:$I$1110,"DO",'MA Engine'!$P$6:$P$1110,"&lt;&gt;Y")</f>
        <v>0</v>
      </c>
      <c r="R50" s="13" t="n">
        <f aca="false">SUMIFS('MA Engine'!$W$6:$W$1110,'MA Engine'!$B$6:$B$1110,$A50,'MA Engine'!$H$6:$H$1110,8,'MA Engine'!$I$6:$I$1110,"Unbilled")</f>
        <v>0</v>
      </c>
      <c r="S50" s="13" t="n">
        <f aca="false">SUMIFS('MA Engine'!$W$6:$W$1110,'MA Engine'!$B$6:$B$1110,$A50,'MA Engine'!$H$6:$H$1110,8,'MA Engine'!$P$6:$P$1110,"Y")</f>
        <v>0</v>
      </c>
      <c r="T50" s="14" t="n">
        <f aca="false">O50-P50-S50</f>
        <v>0</v>
      </c>
      <c r="U50" s="14" t="n">
        <f aca="false">MAX(0,H50-J50)</f>
        <v>271.15</v>
      </c>
      <c r="V50" s="14" t="n">
        <f aca="false">MAX(0,K50-U50)</f>
        <v>40</v>
      </c>
      <c r="W50" s="14" t="n">
        <f aca="false">MIN(U50,O50)</f>
        <v>0</v>
      </c>
      <c r="X50" s="14" t="n">
        <f aca="false">MIN(V50,O50-W50)</f>
        <v>0</v>
      </c>
      <c r="Y50" s="14" t="n">
        <f aca="false">O50-W50-X50</f>
        <v>0</v>
      </c>
      <c r="Z50" s="21" t="n">
        <f aca="false">IF(O50=0,0,P50/O50)</f>
        <v>0</v>
      </c>
      <c r="AA50" s="13" t="n">
        <f aca="false">SUMIFS('MA Engine'!$AH$6:$AH$1110,'MA Engine'!$B$6:$B$1110,$A50,'MA Engine'!$H$6:$H$1110,8,'MA Engine'!$I$6:$I$1110,"DO",'MA Engine'!$P$6:$P$1110,"&lt;&gt;Y")+SUMIFS('MA Engine'!$AH$6:$AH$1110,'MA Engine'!$B$6:$B$1110,$A50,'MA Engine'!$H$6:$H$1110,8,'MA Engine'!$I$6:$I$1110,"Unbilled")</f>
        <v>0</v>
      </c>
      <c r="AB50" s="13" t="n">
        <f aca="false">SUMIFS('MA Engine'!$AI$6:$AI$1110,'MA Engine'!$B$6:$B$1110,$A50,'MA Engine'!$H$6:$H$1110,8,'MA Engine'!$I$6:$I$1110,"DO",'MA Engine'!$P$6:$P$1110,"&lt;&gt;Y")+SUMIFS('MA Engine'!$AI$6:$AI$1110,'MA Engine'!$B$6:$B$1110,$A50,'MA Engine'!$H$6:$H$1110,8,'MA Engine'!$I$6:$I$1110,"Unbilled")</f>
        <v>0</v>
      </c>
      <c r="AC50" s="13" t="n">
        <f aca="false">SUMIFS('MA Engine'!$AJ$6:$AJ$1110,'MA Engine'!$B$6:$B$1110,$A50,'MA Engine'!$H$6:$H$1110,8,'MA Engine'!$I$6:$I$1110,"DO",'MA Engine'!$P$6:$P$1110,"&lt;&gt;Y")+SUMIFS('MA Engine'!$AJ$6:$AJ$1110,'MA Engine'!$B$6:$B$1110,$A50,'MA Engine'!$H$6:$H$1110,8,'MA Engine'!$I$6:$I$1110,"Unbilled")</f>
        <v>0</v>
      </c>
      <c r="AD50" s="7" t="n">
        <f aca="false">SUMIFS('MA Engine'!$L$6:$L$1110,'MA Engine'!$B$6:$B$1110,$A50,'MA Engine'!$H$6:$H$1110,7,'MA Engine'!$I$6:$I$1110,"&lt;&gt;Opening")</f>
        <v>576264.78</v>
      </c>
      <c r="AE50" s="9" t="n">
        <f aca="false">IF(AND(U50&gt;0.0001,(L50-V50*IF(I50&gt;0,AD50/I50,IF(K50&gt;0,L50/K50,0)))&lt;0),IF(K50&gt;0,L50/K50,0),IF(I50&gt;0,AD50/I50,IF(K50&gt;0,L50/K50,0)))</f>
        <v>14406.6195</v>
      </c>
      <c r="AF50" s="9" t="n">
        <f aca="false">IF(U50&lt;=0.0001,IF(K50&gt;0,L50/K50,0),IF((L50-V50*IF(I50&gt;0,AD50/I50,IF(K50&gt;0,L50/K50,0)))&lt;0,IF(K50&gt;0,L50/K50,0),(L50-V50*IF(I50&gt;0,AD50/I50,IF(K50&gt;0,L50/K50,0)))/U50))</f>
        <v>25403.4028028766</v>
      </c>
      <c r="AG50" s="9" t="n">
        <f aca="false">IF(M50&gt;0,N50/M50,IF(K50&gt;0,L50/K50,0))</f>
        <v>23989.7073758637</v>
      </c>
      <c r="AH50" s="7" t="n">
        <f aca="false">SUMIFS('MA Engine'!$X$6:$X$1110,'MA Engine'!$B$6:$B$1110,$A50,'MA Engine'!$H$6:$H$1110,8,'MA Engine'!$I$6:$I$1110,"DO",'MA Engine'!$P$6:$P$1110,"&lt;&gt;Y")+SUMIFS('MA Engine'!$X$6:$X$1110,'MA Engine'!$B$6:$B$1110,$A50,'MA Engine'!$H$6:$H$1110,8,'MA Engine'!$I$6:$I$1110,"Unbilled")</f>
        <v>0</v>
      </c>
      <c r="AI50" s="7" t="n">
        <f aca="false">SUMIFS('MA Engine'!$AK$6:$AK$1110,'MA Engine'!$B$6:$B$1110,$A50,'MA Engine'!$H$6:$H$1110,8,'MA Engine'!$I$6:$I$1110,"DO",'MA Engine'!$P$6:$P$1110,"&lt;&gt;Y")+SUMIFS('MA Engine'!$AK$6:$AK$1110,'MA Engine'!$B$6:$B$1110,$A50,'MA Engine'!$H$6:$H$1110,8,'MA Engine'!$I$6:$I$1110,"Unbilled")</f>
        <v>0</v>
      </c>
      <c r="AJ50" s="7" t="n">
        <f aca="false">SUMIFS('MA Engine'!$AL$6:$AL$1110,'MA Engine'!$B$6:$B$1110,$A50,'MA Engine'!$H$6:$H$1110,8,'MA Engine'!$I$6:$I$1110,"DO",'MA Engine'!$P$6:$P$1110,"&lt;&gt;Y")+SUMIFS('MA Engine'!$AL$6:$AL$1110,'MA Engine'!$B$6:$B$1110,$A50,'MA Engine'!$H$6:$H$1110,8,'MA Engine'!$I$6:$I$1110,"Unbilled")</f>
        <v>0</v>
      </c>
      <c r="AK50" s="7" t="n">
        <f aca="false">SUMIFS('MA Engine'!$AM$6:$AM$1110,'MA Engine'!$B$6:$B$1110,$A50,'MA Engine'!$H$6:$H$1110,8,'MA Engine'!$I$6:$I$1110,"DO",'MA Engine'!$P$6:$P$1110,"&lt;&gt;Y")+SUMIFS('MA Engine'!$AM$6:$AM$1110,'MA Engine'!$B$6:$B$1110,$A50,'MA Engine'!$H$6:$H$1110,8,'MA Engine'!$I$6:$I$1110,"Unbilled")</f>
        <v>0</v>
      </c>
      <c r="AL50" s="9" t="n">
        <f aca="false">AH50-AI50-AJ50-AK50</f>
        <v>0</v>
      </c>
      <c r="AM50" s="7" t="n">
        <f aca="false">IF(Q50=0,0,IF($D50="Karkas",SUMIFS('Karkas Detail'!$E$6:$E$42,'Karkas Detail'!$A$6:$A$42,$C50,'Karkas Detail'!$B$6:$B$42,$F50,'Karkas Detail'!$C$6:$C$42,$E50)/SUMIFS($Q$36:$Q$127,$C$36:$C$127,$C50,$D$36:$D$127,"Karkas",$F$36:$F$127,$F50,$E$36:$E$127,$E50),SUMIFS('Data SKU'!$G$5:$G$116,'Data SKU'!$A$5:$A$116,$C50,'Data SKU'!$B$5:$B$116,$D50,'Data SKU'!$C$5:$C$116,$E50,'Data SKU'!$D$5:$D$116,8,'Data SKU'!$N$5:$N$116,"Invoiced")/SUMIFS($Q$36:$Q$127,$C$36:$C$127,$C50,$D$36:$D$127,$D50,$E$36:$E$127,$E50))*Q50)+SUMIFS(Unbilled!$U$22:$U$38,Unbilled!$E$22:$E$38,$A50)</f>
        <v>0</v>
      </c>
      <c r="AN50" s="9" t="n">
        <f aca="false">IF(P50=0,0,AM50*AA50/P50)</f>
        <v>0</v>
      </c>
      <c r="AO50" s="9" t="n">
        <f aca="false">IF(P50=0,0,AM50*AB50/P50)</f>
        <v>0</v>
      </c>
      <c r="AP50" s="9" t="n">
        <f aca="false">IF(P50=0,0,AM50*AC50/P50)</f>
        <v>0</v>
      </c>
      <c r="AQ50" s="14" t="n">
        <f aca="false">MIN(U50+V50,MAX(0,O50-M50))</f>
        <v>0</v>
      </c>
      <c r="AR50" s="14" t="n">
        <f aca="false">MAX(0,AQ50-V50)*Z50</f>
        <v>0</v>
      </c>
      <c r="AS50" s="14" t="n">
        <f aca="false">MIN(V50,AQ50)*Z50</f>
        <v>0</v>
      </c>
      <c r="AT50" s="14" t="n">
        <f aca="false">(O50-AQ50)*Z50</f>
        <v>0</v>
      </c>
      <c r="AU50" s="9" t="n">
        <f aca="false">(AR50+AS50+AT50)*BA50</f>
        <v>0</v>
      </c>
      <c r="AV50" s="9" t="n">
        <f aca="false">IF(P50=0,0,AM50*AR50/P50)</f>
        <v>0</v>
      </c>
      <c r="AW50" s="9" t="n">
        <f aca="false">IF(P50=0,0,AM50*AS50/P50)</f>
        <v>0</v>
      </c>
      <c r="AX50" s="9" t="n">
        <f aca="false">IF(P50=0,0,AM50*AT50/P50)</f>
        <v>0</v>
      </c>
      <c r="AY50" s="9" t="n">
        <f aca="false">AH50-AU50</f>
        <v>0</v>
      </c>
      <c r="AZ50" s="9" t="n">
        <f aca="false">IF(M50&gt;0,P50*AG50,0)</f>
        <v>0</v>
      </c>
      <c r="BA50" s="9" t="n">
        <f aca="false">IF(P50=0,0,AH50/P50)</f>
        <v>0</v>
      </c>
      <c r="BB50" s="74" t="s">
        <v>835</v>
      </c>
      <c r="BC50" s="13" t="n">
        <f aca="false">SUMIFS('MA Engine'!$W$6:$W$1110,'MA Engine'!$B$6:$B$1110,$A50,'MA Engine'!$H$6:$H$1110,7,'MA Engine'!$I$6:$I$1110,"DO")</f>
        <v>0</v>
      </c>
      <c r="BD50" s="14" t="n">
        <f aca="false">MIN(MAX(0,H50),J50)</f>
        <v>0</v>
      </c>
      <c r="BE50" s="14" t="n">
        <f aca="false">J50-BD50</f>
        <v>0</v>
      </c>
      <c r="BF50" s="21" t="n">
        <f aca="false">IF(J50=0,0,BC50/J50)</f>
        <v>0</v>
      </c>
      <c r="BG50" s="13" t="n">
        <f aca="false">SUMIFS('MA Engine'!$AH$6:$AH$1110,'MA Engine'!$B$6:$B$1110,$A50,'MA Engine'!$H$6:$H$1110,7,'MA Engine'!$I$6:$I$1110,"DO")</f>
        <v>0</v>
      </c>
      <c r="BH50" s="13" t="n">
        <f aca="false">SUMIFS('MA Engine'!$AI$6:$AI$1110,'MA Engine'!$B$6:$B$1110,$A50,'MA Engine'!$H$6:$H$1110,7,'MA Engine'!$I$6:$I$1110,"DO")+SUMIFS('MA Engine'!$AJ$6:$AJ$1110,'MA Engine'!$B$6:$B$1110,$A50,'MA Engine'!$H$6:$H$1110,7,'MA Engine'!$I$6:$I$1110,"DO")</f>
        <v>0</v>
      </c>
      <c r="BI50" s="7" t="n">
        <f aca="false">IF(H50&gt;0,SUMIFS('MA Engine'!$L$6:$L$1110,'MA Engine'!$B$6:$B$1110,$A50,'MA Engine'!$I$6:$I$1110,"Opening")/H50,0)</f>
        <v>25403.4028028766</v>
      </c>
      <c r="BJ50" s="9" t="n">
        <f aca="false">IF(I50&gt;0,AD50/I50,BI50)</f>
        <v>14406.6195</v>
      </c>
      <c r="BK50" s="7" t="n">
        <f aca="false">SUMIFS('MA Engine'!$X$6:$X$1110,'MA Engine'!$B$6:$B$1110,$A50,'MA Engine'!$H$6:$H$1110,7,'MA Engine'!$I$6:$I$1110,"DO")</f>
        <v>0</v>
      </c>
      <c r="BL50" s="7" t="n">
        <f aca="false">SUMIFS('MA Engine'!$AK$6:$AK$1110,'MA Engine'!$B$6:$B$1110,$A50,'MA Engine'!$H$6:$H$1110,7,'MA Engine'!$I$6:$I$1110,"DO")</f>
        <v>0</v>
      </c>
      <c r="BM50" s="7" t="n">
        <f aca="false">SUMIFS('MA Engine'!$AL$6:$AL$1110,'MA Engine'!$B$6:$B$1110,$A50,'MA Engine'!$H$6:$H$1110,7,'MA Engine'!$I$6:$I$1110,"DO")+SUMIFS('MA Engine'!$AM$6:$AM$1110,'MA Engine'!$B$6:$B$1110,$A50,'MA Engine'!$H$6:$H$1110,7,'MA Engine'!$I$6:$I$1110,"DO")</f>
        <v>0</v>
      </c>
      <c r="BN50" s="9" t="n">
        <f aca="false">BK50-BL50-BM50</f>
        <v>0</v>
      </c>
      <c r="BO50" s="7" t="n">
        <f aca="false">IF(BC50=0,0,SUMIFS('Data SKU'!$G$5:$G$116,'Data SKU'!$A$5:$A$116,$C50,'Data SKU'!$B$5:$B$116,$D50,'Data SKU'!$C$5:$C$116,$E50,'Data SKU'!$D$5:$D$116,7,'Data SKU'!$N$5:$N$116,"Invoiced")/SUMIFS($BC$36:$BC$127,$C$36:$C$127,$C50,$D$36:$D$127,$D50,$E$36:$E$127,$E50)*BC50)</f>
        <v>0</v>
      </c>
      <c r="BP50" s="9" t="n">
        <f aca="false">IF(BC50=0,0,BO50*BG50/BC50)</f>
        <v>0</v>
      </c>
      <c r="BQ50" s="9" t="n">
        <f aca="false">IF(BC50=0,0,BO50*BH50/BC50)</f>
        <v>0</v>
      </c>
    </row>
    <row r="51" customFormat="false" ht="15" hidden="false" customHeight="false" outlineLevel="0" collapsed="false">
      <c r="A51" s="74" t="s">
        <v>963</v>
      </c>
      <c r="B51" s="53" t="str">
        <f aca="false">INDEX(I_Items!$B$5:$B$133,MATCH($A51,I_Items!$A$5:$A$133,0))&amp;""</f>
        <v>Boneless BL Frozen Sayap Premium</v>
      </c>
      <c r="C51" s="53" t="str">
        <f aca="false">INDEX(I_Items!$C$5:$C$133,MATCH($A51,I_Items!$A$5:$A$133,0))&amp;""</f>
        <v>RPA</v>
      </c>
      <c r="D51" s="53" t="str">
        <f aca="false">INDEX(I_Items!$D$5:$D$133,MATCH($A51,I_Items!$A$5:$A$133,0))&amp;""</f>
        <v>Sayap</v>
      </c>
      <c r="E51" s="53" t="str">
        <f aca="false">INDEX(I_Items!$F$5:$F$133,MATCH($A51,I_Items!$A$5:$A$133,0))&amp;""</f>
        <v>Frozen</v>
      </c>
      <c r="F51" s="53" t="str">
        <f aca="false">INDEX(I_Items!$E$5:$E$133,MATCH($A51,I_Items!$A$5:$A$133,0))&amp;""</f>
        <v/>
      </c>
      <c r="G51" s="6" t="str">
        <f aca="false">IF(P51=0,"-",IF(M51=0,"A",IF(K51&lt;=0,"C","B")))</f>
        <v>-</v>
      </c>
      <c r="H51" s="13" t="n">
        <f aca="false">SUMIFS('MA Engine'!$K$6:$K$1110,'MA Engine'!$B$6:$B$1110,$A51,'MA Engine'!$I$6:$I$1110,"Opening")</f>
        <v>1236.19</v>
      </c>
      <c r="I51" s="13" t="n">
        <f aca="false">SUMIFS('MA Engine'!$K$6:$K$1110,'MA Engine'!$B$6:$B$1110,$A51,'MA Engine'!$H$6:$H$1110,7,'MA Engine'!$I$6:$I$1110,"&lt;&gt;Opening")</f>
        <v>0</v>
      </c>
      <c r="J51" s="13" t="n">
        <f aca="false">SUMIFS('MA Engine'!$W$6:$W$1110,'MA Engine'!$B$6:$B$1110,$A51,'MA Engine'!$H$6:$H$1110,7)</f>
        <v>949.11</v>
      </c>
      <c r="K51" s="14" t="n">
        <f aca="false">H51+I51-J51</f>
        <v>287.08</v>
      </c>
      <c r="L51" s="7" t="n">
        <f aca="false">SUMIFS('MA Engine'!$L$6:$L$1110,'MA Engine'!$B$6:$B$1110,$A51,'MA Engine'!$I$6:$I$1110,"Opening")+SUMIFS('MA Engine'!$L$6:$L$1110,'MA Engine'!$B$6:$B$1110,$A51,'MA Engine'!$H$6:$H$1110,7,'MA Engine'!$I$6:$I$1110,"&lt;&gt;Opening")-SUMIFS('MA Engine'!$X$6:$X$1110,'MA Engine'!$B$6:$B$1110,$A51,'MA Engine'!$H$6:$H$1110,7)</f>
        <v>8312972.29717309</v>
      </c>
      <c r="M51" s="13" t="n">
        <f aca="false">SUMIFS('MA Engine'!$K$6:$K$1110,'MA Engine'!$B$6:$B$1110,$A51,'MA Engine'!$H$6:$H$1110,8)</f>
        <v>0</v>
      </c>
      <c r="N51" s="7" t="n">
        <f aca="false">SUMIFS('MA Engine'!$L$6:$L$1110,'MA Engine'!$B$6:$B$1110,$A51,'MA Engine'!$H$6:$H$1110,8)</f>
        <v>0</v>
      </c>
      <c r="O51" s="13" t="n">
        <f aca="false">SUMIFS('MA Engine'!$W$6:$W$1110,'MA Engine'!$B$6:$B$1110,$A51,'MA Engine'!$H$6:$H$1110,8)</f>
        <v>0</v>
      </c>
      <c r="P51" s="14" t="n">
        <f aca="false">Q51+R51</f>
        <v>0</v>
      </c>
      <c r="Q51" s="13" t="n">
        <f aca="false">SUMIFS('MA Engine'!$W$6:$W$1110,'MA Engine'!$B$6:$B$1110,$A51,'MA Engine'!$H$6:$H$1110,8,'MA Engine'!$I$6:$I$1110,"DO",'MA Engine'!$P$6:$P$1110,"&lt;&gt;Y")</f>
        <v>0</v>
      </c>
      <c r="R51" s="13" t="n">
        <f aca="false">SUMIFS('MA Engine'!$W$6:$W$1110,'MA Engine'!$B$6:$B$1110,$A51,'MA Engine'!$H$6:$H$1110,8,'MA Engine'!$I$6:$I$1110,"Unbilled")</f>
        <v>0</v>
      </c>
      <c r="S51" s="13" t="n">
        <f aca="false">SUMIFS('MA Engine'!$W$6:$W$1110,'MA Engine'!$B$6:$B$1110,$A51,'MA Engine'!$H$6:$H$1110,8,'MA Engine'!$P$6:$P$1110,"Y")</f>
        <v>0</v>
      </c>
      <c r="T51" s="14" t="n">
        <f aca="false">O51-P51-S51</f>
        <v>0</v>
      </c>
      <c r="U51" s="14" t="n">
        <f aca="false">MAX(0,H51-J51)</f>
        <v>287.08</v>
      </c>
      <c r="V51" s="14" t="n">
        <f aca="false">MAX(0,K51-U51)</f>
        <v>0</v>
      </c>
      <c r="W51" s="14" t="n">
        <f aca="false">MIN(U51,O51)</f>
        <v>0</v>
      </c>
      <c r="X51" s="14" t="n">
        <f aca="false">MIN(V51,O51-W51)</f>
        <v>0</v>
      </c>
      <c r="Y51" s="14" t="n">
        <f aca="false">O51-W51-X51</f>
        <v>0</v>
      </c>
      <c r="Z51" s="21" t="n">
        <f aca="false">IF(O51=0,0,P51/O51)</f>
        <v>0</v>
      </c>
      <c r="AA51" s="13" t="n">
        <f aca="false">SUMIFS('MA Engine'!$AH$6:$AH$1110,'MA Engine'!$B$6:$B$1110,$A51,'MA Engine'!$H$6:$H$1110,8,'MA Engine'!$I$6:$I$1110,"DO",'MA Engine'!$P$6:$P$1110,"&lt;&gt;Y")+SUMIFS('MA Engine'!$AH$6:$AH$1110,'MA Engine'!$B$6:$B$1110,$A51,'MA Engine'!$H$6:$H$1110,8,'MA Engine'!$I$6:$I$1110,"Unbilled")</f>
        <v>0</v>
      </c>
      <c r="AB51" s="13" t="n">
        <f aca="false">SUMIFS('MA Engine'!$AI$6:$AI$1110,'MA Engine'!$B$6:$B$1110,$A51,'MA Engine'!$H$6:$H$1110,8,'MA Engine'!$I$6:$I$1110,"DO",'MA Engine'!$P$6:$P$1110,"&lt;&gt;Y")+SUMIFS('MA Engine'!$AI$6:$AI$1110,'MA Engine'!$B$6:$B$1110,$A51,'MA Engine'!$H$6:$H$1110,8,'MA Engine'!$I$6:$I$1110,"Unbilled")</f>
        <v>0</v>
      </c>
      <c r="AC51" s="13" t="n">
        <f aca="false">SUMIFS('MA Engine'!$AJ$6:$AJ$1110,'MA Engine'!$B$6:$B$1110,$A51,'MA Engine'!$H$6:$H$1110,8,'MA Engine'!$I$6:$I$1110,"DO",'MA Engine'!$P$6:$P$1110,"&lt;&gt;Y")+SUMIFS('MA Engine'!$AJ$6:$AJ$1110,'MA Engine'!$B$6:$B$1110,$A51,'MA Engine'!$H$6:$H$1110,8,'MA Engine'!$I$6:$I$1110,"Unbilled")</f>
        <v>0</v>
      </c>
      <c r="AD51" s="7" t="n">
        <f aca="false">SUMIFS('MA Engine'!$L$6:$L$1110,'MA Engine'!$B$6:$B$1110,$A51,'MA Engine'!$H$6:$H$1110,7,'MA Engine'!$I$6:$I$1110,"&lt;&gt;Opening")</f>
        <v>0</v>
      </c>
      <c r="AE51" s="9" t="n">
        <f aca="false">IF(AND(U51&gt;0.0001,(L51-V51*IF(I51&gt;0,AD51/I51,IF(K51&gt;0,L51/K51,0)))&lt;0),IF(K51&gt;0,L51/K51,0),IF(I51&gt;0,AD51/I51,IF(K51&gt;0,L51/K51,0)))</f>
        <v>28956.9886344332</v>
      </c>
      <c r="AF51" s="9" t="n">
        <f aca="false">IF(U51&lt;=0.0001,IF(K51&gt;0,L51/K51,0),IF((L51-V51*IF(I51&gt;0,AD51/I51,IF(K51&gt;0,L51/K51,0)))&lt;0,IF(K51&gt;0,L51/K51,0),(L51-V51*IF(I51&gt;0,AD51/I51,IF(K51&gt;0,L51/K51,0)))/U51))</f>
        <v>28956.9886344332</v>
      </c>
      <c r="AG51" s="9" t="n">
        <f aca="false">IF(M51&gt;0,N51/M51,IF(K51&gt;0,L51/K51,0))</f>
        <v>28956.9886344332</v>
      </c>
      <c r="AH51" s="7" t="n">
        <f aca="false">SUMIFS('MA Engine'!$X$6:$X$1110,'MA Engine'!$B$6:$B$1110,$A51,'MA Engine'!$H$6:$H$1110,8,'MA Engine'!$I$6:$I$1110,"DO",'MA Engine'!$P$6:$P$1110,"&lt;&gt;Y")+SUMIFS('MA Engine'!$X$6:$X$1110,'MA Engine'!$B$6:$B$1110,$A51,'MA Engine'!$H$6:$H$1110,8,'MA Engine'!$I$6:$I$1110,"Unbilled")</f>
        <v>0</v>
      </c>
      <c r="AI51" s="7" t="n">
        <f aca="false">SUMIFS('MA Engine'!$AK$6:$AK$1110,'MA Engine'!$B$6:$B$1110,$A51,'MA Engine'!$H$6:$H$1110,8,'MA Engine'!$I$6:$I$1110,"DO",'MA Engine'!$P$6:$P$1110,"&lt;&gt;Y")+SUMIFS('MA Engine'!$AK$6:$AK$1110,'MA Engine'!$B$6:$B$1110,$A51,'MA Engine'!$H$6:$H$1110,8,'MA Engine'!$I$6:$I$1110,"Unbilled")</f>
        <v>0</v>
      </c>
      <c r="AJ51" s="7" t="n">
        <f aca="false">SUMIFS('MA Engine'!$AL$6:$AL$1110,'MA Engine'!$B$6:$B$1110,$A51,'MA Engine'!$H$6:$H$1110,8,'MA Engine'!$I$6:$I$1110,"DO",'MA Engine'!$P$6:$P$1110,"&lt;&gt;Y")+SUMIFS('MA Engine'!$AL$6:$AL$1110,'MA Engine'!$B$6:$B$1110,$A51,'MA Engine'!$H$6:$H$1110,8,'MA Engine'!$I$6:$I$1110,"Unbilled")</f>
        <v>0</v>
      </c>
      <c r="AK51" s="7" t="n">
        <f aca="false">SUMIFS('MA Engine'!$AM$6:$AM$1110,'MA Engine'!$B$6:$B$1110,$A51,'MA Engine'!$H$6:$H$1110,8,'MA Engine'!$I$6:$I$1110,"DO",'MA Engine'!$P$6:$P$1110,"&lt;&gt;Y")+SUMIFS('MA Engine'!$AM$6:$AM$1110,'MA Engine'!$B$6:$B$1110,$A51,'MA Engine'!$H$6:$H$1110,8,'MA Engine'!$I$6:$I$1110,"Unbilled")</f>
        <v>0</v>
      </c>
      <c r="AL51" s="9" t="n">
        <f aca="false">AH51-AI51-AJ51-AK51</f>
        <v>0</v>
      </c>
      <c r="AM51" s="7" t="n">
        <f aca="false">IF(Q51=0,0,IF($D51="Karkas",SUMIFS('Karkas Detail'!$E$6:$E$42,'Karkas Detail'!$A$6:$A$42,$C51,'Karkas Detail'!$B$6:$B$42,$F51,'Karkas Detail'!$C$6:$C$42,$E51)/SUMIFS($Q$36:$Q$127,$C$36:$C$127,$C51,$D$36:$D$127,"Karkas",$F$36:$F$127,$F51,$E$36:$E$127,$E51),SUMIFS('Data SKU'!$G$5:$G$116,'Data SKU'!$A$5:$A$116,$C51,'Data SKU'!$B$5:$B$116,$D51,'Data SKU'!$C$5:$C$116,$E51,'Data SKU'!$D$5:$D$116,8,'Data SKU'!$N$5:$N$116,"Invoiced")/SUMIFS($Q$36:$Q$127,$C$36:$C$127,$C51,$D$36:$D$127,$D51,$E$36:$E$127,$E51))*Q51)+SUMIFS(Unbilled!$U$22:$U$38,Unbilled!$E$22:$E$38,$A51)</f>
        <v>0</v>
      </c>
      <c r="AN51" s="9" t="n">
        <f aca="false">IF(P51=0,0,AM51*AA51/P51)</f>
        <v>0</v>
      </c>
      <c r="AO51" s="9" t="n">
        <f aca="false">IF(P51=0,0,AM51*AB51/P51)</f>
        <v>0</v>
      </c>
      <c r="AP51" s="9" t="n">
        <f aca="false">IF(P51=0,0,AM51*AC51/P51)</f>
        <v>0</v>
      </c>
      <c r="AQ51" s="14" t="n">
        <f aca="false">MIN(U51+V51,MAX(0,O51-M51))</f>
        <v>0</v>
      </c>
      <c r="AR51" s="14" t="n">
        <f aca="false">MAX(0,AQ51-V51)*Z51</f>
        <v>0</v>
      </c>
      <c r="AS51" s="14" t="n">
        <f aca="false">MIN(V51,AQ51)*Z51</f>
        <v>0</v>
      </c>
      <c r="AT51" s="14" t="n">
        <f aca="false">(O51-AQ51)*Z51</f>
        <v>0</v>
      </c>
      <c r="AU51" s="9" t="n">
        <f aca="false">(AR51+AS51+AT51)*BA51</f>
        <v>0</v>
      </c>
      <c r="AV51" s="9" t="n">
        <f aca="false">IF(P51=0,0,AM51*AR51/P51)</f>
        <v>0</v>
      </c>
      <c r="AW51" s="9" t="n">
        <f aca="false">IF(P51=0,0,AM51*AS51/P51)</f>
        <v>0</v>
      </c>
      <c r="AX51" s="9" t="n">
        <f aca="false">IF(P51=0,0,AM51*AT51/P51)</f>
        <v>0</v>
      </c>
      <c r="AY51" s="9" t="n">
        <f aca="false">AH51-AU51</f>
        <v>0</v>
      </c>
      <c r="AZ51" s="9" t="n">
        <f aca="false">IF(M51&gt;0,P51*AG51,0)</f>
        <v>0</v>
      </c>
      <c r="BA51" s="9" t="n">
        <f aca="false">IF(P51=0,0,AH51/P51)</f>
        <v>0</v>
      </c>
      <c r="BB51" s="74" t="s">
        <v>835</v>
      </c>
      <c r="BC51" s="13" t="n">
        <f aca="false">SUMIFS('MA Engine'!$W$6:$W$1110,'MA Engine'!$B$6:$B$1110,$A51,'MA Engine'!$H$6:$H$1110,7,'MA Engine'!$I$6:$I$1110,"DO")</f>
        <v>949.11</v>
      </c>
      <c r="BD51" s="14" t="n">
        <f aca="false">MIN(MAX(0,H51),J51)</f>
        <v>949.11</v>
      </c>
      <c r="BE51" s="14" t="n">
        <f aca="false">J51-BD51</f>
        <v>0</v>
      </c>
      <c r="BF51" s="21" t="n">
        <f aca="false">IF(J51=0,0,BC51/J51)</f>
        <v>1</v>
      </c>
      <c r="BG51" s="13" t="n">
        <f aca="false">SUMIFS('MA Engine'!$AH$6:$AH$1110,'MA Engine'!$B$6:$B$1110,$A51,'MA Engine'!$H$6:$H$1110,7,'MA Engine'!$I$6:$I$1110,"DO")</f>
        <v>949.11</v>
      </c>
      <c r="BH51" s="13" t="n">
        <f aca="false">SUMIFS('MA Engine'!$AI$6:$AI$1110,'MA Engine'!$B$6:$B$1110,$A51,'MA Engine'!$H$6:$H$1110,7,'MA Engine'!$I$6:$I$1110,"DO")+SUMIFS('MA Engine'!$AJ$6:$AJ$1110,'MA Engine'!$B$6:$B$1110,$A51,'MA Engine'!$H$6:$H$1110,7,'MA Engine'!$I$6:$I$1110,"DO")</f>
        <v>0</v>
      </c>
      <c r="BI51" s="7" t="n">
        <f aca="false">IF(H51&gt;0,SUMIFS('MA Engine'!$L$6:$L$1110,'MA Engine'!$B$6:$B$1110,$A51,'MA Engine'!$I$6:$I$1110,"Opening")/H51,0)</f>
        <v>28956.9886344332</v>
      </c>
      <c r="BJ51" s="9" t="n">
        <f aca="false">IF(I51&gt;0,AD51/I51,BI51)</f>
        <v>28956.9886344332</v>
      </c>
      <c r="BK51" s="7" t="n">
        <f aca="false">SUMIFS('MA Engine'!$X$6:$X$1110,'MA Engine'!$B$6:$B$1110,$A51,'MA Engine'!$H$6:$H$1110,7,'MA Engine'!$I$6:$I$1110,"DO")</f>
        <v>27483367.4828269</v>
      </c>
      <c r="BL51" s="7" t="n">
        <f aca="false">SUMIFS('MA Engine'!$AK$6:$AK$1110,'MA Engine'!$B$6:$B$1110,$A51,'MA Engine'!$H$6:$H$1110,7,'MA Engine'!$I$6:$I$1110,"DO")</f>
        <v>27483367.4828269</v>
      </c>
      <c r="BM51" s="7" t="n">
        <f aca="false">SUMIFS('MA Engine'!$AL$6:$AL$1110,'MA Engine'!$B$6:$B$1110,$A51,'MA Engine'!$H$6:$H$1110,7,'MA Engine'!$I$6:$I$1110,"DO")+SUMIFS('MA Engine'!$AM$6:$AM$1110,'MA Engine'!$B$6:$B$1110,$A51,'MA Engine'!$H$6:$H$1110,7,'MA Engine'!$I$6:$I$1110,"DO")</f>
        <v>0</v>
      </c>
      <c r="BN51" s="9" t="n">
        <f aca="false">BK51-BL51-BM51</f>
        <v>0</v>
      </c>
      <c r="BO51" s="7" t="n">
        <f aca="false">IF(BC51=0,0,SUMIFS('Data SKU'!$G$5:$G$116,'Data SKU'!$A$5:$A$116,$C51,'Data SKU'!$B$5:$B$116,$D51,'Data SKU'!$C$5:$C$116,$E51,'Data SKU'!$D$5:$D$116,7,'Data SKU'!$N$5:$N$116,"Invoiced")/SUMIFS($BC$36:$BC$127,$C$36:$C$127,$C51,$D$36:$D$127,$D51,$E$36:$E$127,$E51)*BC51)</f>
        <v>24425970</v>
      </c>
      <c r="BP51" s="9" t="n">
        <f aca="false">IF(BC51=0,0,BO51*BG51/BC51)</f>
        <v>24425970</v>
      </c>
      <c r="BQ51" s="9" t="n">
        <f aca="false">IF(BC51=0,0,BO51*BH51/BC51)</f>
        <v>0</v>
      </c>
    </row>
    <row r="52" customFormat="false" ht="15" hidden="false" customHeight="false" outlineLevel="0" collapsed="false">
      <c r="A52" s="74" t="s">
        <v>964</v>
      </c>
      <c r="B52" s="53" t="str">
        <f aca="false">INDEX(I_Items!$B$5:$B$133,MATCH($A52,I_Items!$A$5:$A$133,0))&amp;""</f>
        <v>Boneless BL Frozen TLP</v>
      </c>
      <c r="C52" s="53" t="str">
        <f aca="false">INDEX(I_Items!$C$5:$C$133,MATCH($A52,I_Items!$A$5:$A$133,0))&amp;""</f>
        <v>RPA</v>
      </c>
      <c r="D52" s="53" t="str">
        <f aca="false">INDEX(I_Items!$D$5:$D$133,MATCH($A52,I_Items!$A$5:$A$133,0))&amp;""</f>
        <v>TLP</v>
      </c>
      <c r="E52" s="53" t="str">
        <f aca="false">INDEX(I_Items!$F$5:$F$133,MATCH($A52,I_Items!$A$5:$A$133,0))&amp;""</f>
        <v>Frozen</v>
      </c>
      <c r="F52" s="53" t="str">
        <f aca="false">INDEX(I_Items!$E$5:$E$133,MATCH($A52,I_Items!$A$5:$A$133,0))&amp;""</f>
        <v/>
      </c>
      <c r="G52" s="6" t="str">
        <f aca="false">IF(P52=0,"-",IF(M52=0,"A",IF(K52&lt;=0,"C","B")))</f>
        <v>-</v>
      </c>
      <c r="H52" s="13" t="n">
        <f aca="false">SUMIFS('MA Engine'!$K$6:$K$1110,'MA Engine'!$B$6:$B$1110,$A52,'MA Engine'!$I$6:$I$1110,"Opening")</f>
        <v>256.9</v>
      </c>
      <c r="I52" s="13" t="n">
        <f aca="false">SUMIFS('MA Engine'!$K$6:$K$1110,'MA Engine'!$B$6:$B$1110,$A52,'MA Engine'!$H$6:$H$1110,7,'MA Engine'!$I$6:$I$1110,"&lt;&gt;Opening")</f>
        <v>179.19</v>
      </c>
      <c r="J52" s="13" t="n">
        <f aca="false">SUMIFS('MA Engine'!$W$6:$W$1110,'MA Engine'!$B$6:$B$1110,$A52,'MA Engine'!$H$6:$H$1110,7)</f>
        <v>0</v>
      </c>
      <c r="K52" s="14" t="n">
        <f aca="false">H52+I52-J52</f>
        <v>436.09</v>
      </c>
      <c r="L52" s="7" t="n">
        <f aca="false">SUMIFS('MA Engine'!$L$6:$L$1110,'MA Engine'!$B$6:$B$1110,$A52,'MA Engine'!$I$6:$I$1110,"Opening")+SUMIFS('MA Engine'!$L$6:$L$1110,'MA Engine'!$B$6:$B$1110,$A52,'MA Engine'!$H$6:$H$1110,7,'MA Engine'!$I$6:$I$1110,"&lt;&gt;Opening")-SUMIFS('MA Engine'!$X$6:$X$1110,'MA Engine'!$B$6:$B$1110,$A52,'MA Engine'!$H$6:$H$1110,7)</f>
        <v>840656.44</v>
      </c>
      <c r="M52" s="13" t="n">
        <f aca="false">SUMIFS('MA Engine'!$K$6:$K$1110,'MA Engine'!$B$6:$B$1110,$A52,'MA Engine'!$H$6:$H$1110,8)</f>
        <v>0</v>
      </c>
      <c r="N52" s="7" t="n">
        <f aca="false">SUMIFS('MA Engine'!$L$6:$L$1110,'MA Engine'!$B$6:$B$1110,$A52,'MA Engine'!$H$6:$H$1110,8)</f>
        <v>0</v>
      </c>
      <c r="O52" s="13" t="n">
        <f aca="false">SUMIFS('MA Engine'!$W$6:$W$1110,'MA Engine'!$B$6:$B$1110,$A52,'MA Engine'!$H$6:$H$1110,8)</f>
        <v>0</v>
      </c>
      <c r="P52" s="14" t="n">
        <f aca="false">Q52+R52</f>
        <v>0</v>
      </c>
      <c r="Q52" s="13" t="n">
        <f aca="false">SUMIFS('MA Engine'!$W$6:$W$1110,'MA Engine'!$B$6:$B$1110,$A52,'MA Engine'!$H$6:$H$1110,8,'MA Engine'!$I$6:$I$1110,"DO",'MA Engine'!$P$6:$P$1110,"&lt;&gt;Y")</f>
        <v>0</v>
      </c>
      <c r="R52" s="13" t="n">
        <f aca="false">SUMIFS('MA Engine'!$W$6:$W$1110,'MA Engine'!$B$6:$B$1110,$A52,'MA Engine'!$H$6:$H$1110,8,'MA Engine'!$I$6:$I$1110,"Unbilled")</f>
        <v>0</v>
      </c>
      <c r="S52" s="13" t="n">
        <f aca="false">SUMIFS('MA Engine'!$W$6:$W$1110,'MA Engine'!$B$6:$B$1110,$A52,'MA Engine'!$H$6:$H$1110,8,'MA Engine'!$P$6:$P$1110,"Y")</f>
        <v>0</v>
      </c>
      <c r="T52" s="14" t="n">
        <f aca="false">O52-P52-S52</f>
        <v>0</v>
      </c>
      <c r="U52" s="14" t="n">
        <f aca="false">MAX(0,H52-J52)</f>
        <v>256.9</v>
      </c>
      <c r="V52" s="14" t="n">
        <f aca="false">MAX(0,K52-U52)</f>
        <v>179.19</v>
      </c>
      <c r="W52" s="14" t="n">
        <f aca="false">MIN(U52,O52)</f>
        <v>0</v>
      </c>
      <c r="X52" s="14" t="n">
        <f aca="false">MIN(V52,O52-W52)</f>
        <v>0</v>
      </c>
      <c r="Y52" s="14" t="n">
        <f aca="false">O52-W52-X52</f>
        <v>0</v>
      </c>
      <c r="Z52" s="21" t="n">
        <f aca="false">IF(O52=0,0,P52/O52)</f>
        <v>0</v>
      </c>
      <c r="AA52" s="13" t="n">
        <f aca="false">SUMIFS('MA Engine'!$AH$6:$AH$1110,'MA Engine'!$B$6:$B$1110,$A52,'MA Engine'!$H$6:$H$1110,8,'MA Engine'!$I$6:$I$1110,"DO",'MA Engine'!$P$6:$P$1110,"&lt;&gt;Y")+SUMIFS('MA Engine'!$AH$6:$AH$1110,'MA Engine'!$B$6:$B$1110,$A52,'MA Engine'!$H$6:$H$1110,8,'MA Engine'!$I$6:$I$1110,"Unbilled")</f>
        <v>0</v>
      </c>
      <c r="AB52" s="13" t="n">
        <f aca="false">SUMIFS('MA Engine'!$AI$6:$AI$1110,'MA Engine'!$B$6:$B$1110,$A52,'MA Engine'!$H$6:$H$1110,8,'MA Engine'!$I$6:$I$1110,"DO",'MA Engine'!$P$6:$P$1110,"&lt;&gt;Y")+SUMIFS('MA Engine'!$AI$6:$AI$1110,'MA Engine'!$B$6:$B$1110,$A52,'MA Engine'!$H$6:$H$1110,8,'MA Engine'!$I$6:$I$1110,"Unbilled")</f>
        <v>0</v>
      </c>
      <c r="AC52" s="13" t="n">
        <f aca="false">SUMIFS('MA Engine'!$AJ$6:$AJ$1110,'MA Engine'!$B$6:$B$1110,$A52,'MA Engine'!$H$6:$H$1110,8,'MA Engine'!$I$6:$I$1110,"DO",'MA Engine'!$P$6:$P$1110,"&lt;&gt;Y")+SUMIFS('MA Engine'!$AJ$6:$AJ$1110,'MA Engine'!$B$6:$B$1110,$A52,'MA Engine'!$H$6:$H$1110,8,'MA Engine'!$I$6:$I$1110,"Unbilled")</f>
        <v>0</v>
      </c>
      <c r="AD52" s="7" t="n">
        <f aca="false">SUMIFS('MA Engine'!$L$6:$L$1110,'MA Engine'!$B$6:$B$1110,$A52,'MA Engine'!$H$6:$H$1110,7,'MA Engine'!$I$6:$I$1110,"&lt;&gt;Opening")</f>
        <v>0</v>
      </c>
      <c r="AE52" s="9" t="n">
        <f aca="false">IF(AND(U52&gt;0.0001,(L52-V52*IF(I52&gt;0,AD52/I52,IF(K52&gt;0,L52/K52,0)))&lt;0),IF(K52&gt;0,L52/K52,0),IF(I52&gt;0,AD52/I52,IF(K52&gt;0,L52/K52,0)))</f>
        <v>0</v>
      </c>
      <c r="AF52" s="9" t="n">
        <f aca="false">IF(U52&lt;=0.0001,IF(K52&gt;0,L52/K52,0),IF((L52-V52*IF(I52&gt;0,AD52/I52,IF(K52&gt;0,L52/K52,0)))&lt;0,IF(K52&gt;0,L52/K52,0),(L52-V52*IF(I52&gt;0,AD52/I52,IF(K52&gt;0,L52/K52,0)))/U52))</f>
        <v>3272.31000389257</v>
      </c>
      <c r="AG52" s="9" t="n">
        <f aca="false">IF(M52&gt;0,N52/M52,IF(K52&gt;0,L52/K52,0))</f>
        <v>1927.71317847233</v>
      </c>
      <c r="AH52" s="7" t="n">
        <f aca="false">SUMIFS('MA Engine'!$X$6:$X$1110,'MA Engine'!$B$6:$B$1110,$A52,'MA Engine'!$H$6:$H$1110,8,'MA Engine'!$I$6:$I$1110,"DO",'MA Engine'!$P$6:$P$1110,"&lt;&gt;Y")+SUMIFS('MA Engine'!$X$6:$X$1110,'MA Engine'!$B$6:$B$1110,$A52,'MA Engine'!$H$6:$H$1110,8,'MA Engine'!$I$6:$I$1110,"Unbilled")</f>
        <v>0</v>
      </c>
      <c r="AI52" s="7" t="n">
        <f aca="false">SUMIFS('MA Engine'!$AK$6:$AK$1110,'MA Engine'!$B$6:$B$1110,$A52,'MA Engine'!$H$6:$H$1110,8,'MA Engine'!$I$6:$I$1110,"DO",'MA Engine'!$P$6:$P$1110,"&lt;&gt;Y")+SUMIFS('MA Engine'!$AK$6:$AK$1110,'MA Engine'!$B$6:$B$1110,$A52,'MA Engine'!$H$6:$H$1110,8,'MA Engine'!$I$6:$I$1110,"Unbilled")</f>
        <v>0</v>
      </c>
      <c r="AJ52" s="7" t="n">
        <f aca="false">SUMIFS('MA Engine'!$AL$6:$AL$1110,'MA Engine'!$B$6:$B$1110,$A52,'MA Engine'!$H$6:$H$1110,8,'MA Engine'!$I$6:$I$1110,"DO",'MA Engine'!$P$6:$P$1110,"&lt;&gt;Y")+SUMIFS('MA Engine'!$AL$6:$AL$1110,'MA Engine'!$B$6:$B$1110,$A52,'MA Engine'!$H$6:$H$1110,8,'MA Engine'!$I$6:$I$1110,"Unbilled")</f>
        <v>0</v>
      </c>
      <c r="AK52" s="7" t="n">
        <f aca="false">SUMIFS('MA Engine'!$AM$6:$AM$1110,'MA Engine'!$B$6:$B$1110,$A52,'MA Engine'!$H$6:$H$1110,8,'MA Engine'!$I$6:$I$1110,"DO",'MA Engine'!$P$6:$P$1110,"&lt;&gt;Y")+SUMIFS('MA Engine'!$AM$6:$AM$1110,'MA Engine'!$B$6:$B$1110,$A52,'MA Engine'!$H$6:$H$1110,8,'MA Engine'!$I$6:$I$1110,"Unbilled")</f>
        <v>0</v>
      </c>
      <c r="AL52" s="9" t="n">
        <f aca="false">AH52-AI52-AJ52-AK52</f>
        <v>0</v>
      </c>
      <c r="AM52" s="7" t="n">
        <f aca="false">IF(Q52=0,0,IF($D52="Karkas",SUMIFS('Karkas Detail'!$E$6:$E$42,'Karkas Detail'!$A$6:$A$42,$C52,'Karkas Detail'!$B$6:$B$42,$F52,'Karkas Detail'!$C$6:$C$42,$E52)/SUMIFS($Q$36:$Q$127,$C$36:$C$127,$C52,$D$36:$D$127,"Karkas",$F$36:$F$127,$F52,$E$36:$E$127,$E52),SUMIFS('Data SKU'!$G$5:$G$116,'Data SKU'!$A$5:$A$116,$C52,'Data SKU'!$B$5:$B$116,$D52,'Data SKU'!$C$5:$C$116,$E52,'Data SKU'!$D$5:$D$116,8,'Data SKU'!$N$5:$N$116,"Invoiced")/SUMIFS($Q$36:$Q$127,$C$36:$C$127,$C52,$D$36:$D$127,$D52,$E$36:$E$127,$E52))*Q52)+SUMIFS(Unbilled!$U$22:$U$38,Unbilled!$E$22:$E$38,$A52)</f>
        <v>0</v>
      </c>
      <c r="AN52" s="9" t="n">
        <f aca="false">IF(P52=0,0,AM52*AA52/P52)</f>
        <v>0</v>
      </c>
      <c r="AO52" s="9" t="n">
        <f aca="false">IF(P52=0,0,AM52*AB52/P52)</f>
        <v>0</v>
      </c>
      <c r="AP52" s="9" t="n">
        <f aca="false">IF(P52=0,0,AM52*AC52/P52)</f>
        <v>0</v>
      </c>
      <c r="AQ52" s="14" t="n">
        <f aca="false">MIN(U52+V52,MAX(0,O52-M52))</f>
        <v>0</v>
      </c>
      <c r="AR52" s="14" t="n">
        <f aca="false">MAX(0,AQ52-V52)*Z52</f>
        <v>0</v>
      </c>
      <c r="AS52" s="14" t="n">
        <f aca="false">MIN(V52,AQ52)*Z52</f>
        <v>0</v>
      </c>
      <c r="AT52" s="14" t="n">
        <f aca="false">(O52-AQ52)*Z52</f>
        <v>0</v>
      </c>
      <c r="AU52" s="9" t="n">
        <f aca="false">(AR52+AS52+AT52)*BA52</f>
        <v>0</v>
      </c>
      <c r="AV52" s="9" t="n">
        <f aca="false">IF(P52=0,0,AM52*AR52/P52)</f>
        <v>0</v>
      </c>
      <c r="AW52" s="9" t="n">
        <f aca="false">IF(P52=0,0,AM52*AS52/P52)</f>
        <v>0</v>
      </c>
      <c r="AX52" s="9" t="n">
        <f aca="false">IF(P52=0,0,AM52*AT52/P52)</f>
        <v>0</v>
      </c>
      <c r="AY52" s="9" t="n">
        <f aca="false">AH52-AU52</f>
        <v>0</v>
      </c>
      <c r="AZ52" s="9" t="n">
        <f aca="false">IF(M52&gt;0,P52*AG52,0)</f>
        <v>0</v>
      </c>
      <c r="BA52" s="9" t="n">
        <f aca="false">IF(P52=0,0,AH52/P52)</f>
        <v>0</v>
      </c>
      <c r="BB52" s="74" t="s">
        <v>835</v>
      </c>
      <c r="BC52" s="13" t="n">
        <f aca="false">SUMIFS('MA Engine'!$W$6:$W$1110,'MA Engine'!$B$6:$B$1110,$A52,'MA Engine'!$H$6:$H$1110,7,'MA Engine'!$I$6:$I$1110,"DO")</f>
        <v>0</v>
      </c>
      <c r="BD52" s="14" t="n">
        <f aca="false">MIN(MAX(0,H52),J52)</f>
        <v>0</v>
      </c>
      <c r="BE52" s="14" t="n">
        <f aca="false">J52-BD52</f>
        <v>0</v>
      </c>
      <c r="BF52" s="21" t="n">
        <f aca="false">IF(J52=0,0,BC52/J52)</f>
        <v>0</v>
      </c>
      <c r="BG52" s="13" t="n">
        <f aca="false">SUMIFS('MA Engine'!$AH$6:$AH$1110,'MA Engine'!$B$6:$B$1110,$A52,'MA Engine'!$H$6:$H$1110,7,'MA Engine'!$I$6:$I$1110,"DO")</f>
        <v>0</v>
      </c>
      <c r="BH52" s="13" t="n">
        <f aca="false">SUMIFS('MA Engine'!$AI$6:$AI$1110,'MA Engine'!$B$6:$B$1110,$A52,'MA Engine'!$H$6:$H$1110,7,'MA Engine'!$I$6:$I$1110,"DO")+SUMIFS('MA Engine'!$AJ$6:$AJ$1110,'MA Engine'!$B$6:$B$1110,$A52,'MA Engine'!$H$6:$H$1110,7,'MA Engine'!$I$6:$I$1110,"DO")</f>
        <v>0</v>
      </c>
      <c r="BI52" s="7" t="n">
        <f aca="false">IF(H52&gt;0,SUMIFS('MA Engine'!$L$6:$L$1110,'MA Engine'!$B$6:$B$1110,$A52,'MA Engine'!$I$6:$I$1110,"Opening")/H52,0)</f>
        <v>3272.31000389257</v>
      </c>
      <c r="BJ52" s="9" t="n">
        <f aca="false">IF(I52&gt;0,AD52/I52,BI52)</f>
        <v>0</v>
      </c>
      <c r="BK52" s="7" t="n">
        <f aca="false">SUMIFS('MA Engine'!$X$6:$X$1110,'MA Engine'!$B$6:$B$1110,$A52,'MA Engine'!$H$6:$H$1110,7,'MA Engine'!$I$6:$I$1110,"DO")</f>
        <v>0</v>
      </c>
      <c r="BL52" s="7" t="n">
        <f aca="false">SUMIFS('MA Engine'!$AK$6:$AK$1110,'MA Engine'!$B$6:$B$1110,$A52,'MA Engine'!$H$6:$H$1110,7,'MA Engine'!$I$6:$I$1110,"DO")</f>
        <v>0</v>
      </c>
      <c r="BM52" s="7" t="n">
        <f aca="false">SUMIFS('MA Engine'!$AL$6:$AL$1110,'MA Engine'!$B$6:$B$1110,$A52,'MA Engine'!$H$6:$H$1110,7,'MA Engine'!$I$6:$I$1110,"DO")+SUMIFS('MA Engine'!$AM$6:$AM$1110,'MA Engine'!$B$6:$B$1110,$A52,'MA Engine'!$H$6:$H$1110,7,'MA Engine'!$I$6:$I$1110,"DO")</f>
        <v>0</v>
      </c>
      <c r="BN52" s="9" t="n">
        <f aca="false">BK52-BL52-BM52</f>
        <v>0</v>
      </c>
      <c r="BO52" s="7" t="n">
        <f aca="false">IF(BC52=0,0,SUMIFS('Data SKU'!$G$5:$G$116,'Data SKU'!$A$5:$A$116,$C52,'Data SKU'!$B$5:$B$116,$D52,'Data SKU'!$C$5:$C$116,$E52,'Data SKU'!$D$5:$D$116,7,'Data SKU'!$N$5:$N$116,"Invoiced")/SUMIFS($BC$36:$BC$127,$C$36:$C$127,$C52,$D$36:$D$127,$D52,$E$36:$E$127,$E52)*BC52)</f>
        <v>0</v>
      </c>
      <c r="BP52" s="9" t="n">
        <f aca="false">IF(BC52=0,0,BO52*BG52/BC52)</f>
        <v>0</v>
      </c>
      <c r="BQ52" s="9" t="n">
        <f aca="false">IF(BC52=0,0,BO52*BH52/BC52)</f>
        <v>0</v>
      </c>
    </row>
    <row r="53" customFormat="false" ht="15" hidden="false" customHeight="false" outlineLevel="0" collapsed="false">
      <c r="A53" s="74" t="s">
        <v>965</v>
      </c>
      <c r="B53" s="53" t="str">
        <f aca="false">INDEX(I_Items!$B$5:$B$133,MATCH($A53,I_Items!$A$5:$A$133,0))&amp;""</f>
        <v>Boneless BL Frozen Usus Kotor</v>
      </c>
      <c r="C53" s="53" t="str">
        <f aca="false">INDEX(I_Items!$C$5:$C$133,MATCH($A53,I_Items!$A$5:$A$133,0))&amp;""</f>
        <v>RPA</v>
      </c>
      <c r="D53" s="53" t="str">
        <f aca="false">INDEX(I_Items!$D$5:$D$133,MATCH($A53,I_Items!$A$5:$A$133,0))&amp;""</f>
        <v>Usus</v>
      </c>
      <c r="E53" s="53" t="str">
        <f aca="false">INDEX(I_Items!$F$5:$F$133,MATCH($A53,I_Items!$A$5:$A$133,0))&amp;""</f>
        <v>Frozen</v>
      </c>
      <c r="F53" s="53" t="str">
        <f aca="false">INDEX(I_Items!$E$5:$E$133,MATCH($A53,I_Items!$A$5:$A$133,0))&amp;""</f>
        <v/>
      </c>
      <c r="G53" s="6" t="str">
        <f aca="false">IF(P53=0,"-",IF(M53=0,"A",IF(K53&lt;=0,"C","B")))</f>
        <v>-</v>
      </c>
      <c r="H53" s="13" t="n">
        <f aca="false">SUMIFS('MA Engine'!$K$6:$K$1110,'MA Engine'!$B$6:$B$1110,$A53,'MA Engine'!$I$6:$I$1110,"Opening")</f>
        <v>0</v>
      </c>
      <c r="I53" s="13" t="n">
        <f aca="false">SUMIFS('MA Engine'!$K$6:$K$1110,'MA Engine'!$B$6:$B$1110,$A53,'MA Engine'!$H$6:$H$1110,7,'MA Engine'!$I$6:$I$1110,"&lt;&gt;Opening")</f>
        <v>63</v>
      </c>
      <c r="J53" s="13" t="n">
        <f aca="false">SUMIFS('MA Engine'!$W$6:$W$1110,'MA Engine'!$B$6:$B$1110,$A53,'MA Engine'!$H$6:$H$1110,7)</f>
        <v>0</v>
      </c>
      <c r="K53" s="14" t="n">
        <f aca="false">H53+I53-J53</f>
        <v>63</v>
      </c>
      <c r="L53" s="7" t="n">
        <f aca="false">SUMIFS('MA Engine'!$L$6:$L$1110,'MA Engine'!$B$6:$B$1110,$A53,'MA Engine'!$I$6:$I$1110,"Opening")+SUMIFS('MA Engine'!$L$6:$L$1110,'MA Engine'!$B$6:$B$1110,$A53,'MA Engine'!$H$6:$H$1110,7,'MA Engine'!$I$6:$I$1110,"&lt;&gt;Opening")-SUMIFS('MA Engine'!$X$6:$X$1110,'MA Engine'!$B$6:$B$1110,$A53,'MA Engine'!$H$6:$H$1110,7)</f>
        <v>0</v>
      </c>
      <c r="M53" s="13" t="n">
        <f aca="false">SUMIFS('MA Engine'!$K$6:$K$1110,'MA Engine'!$B$6:$B$1110,$A53,'MA Engine'!$H$6:$H$1110,8)</f>
        <v>0</v>
      </c>
      <c r="N53" s="7" t="n">
        <f aca="false">SUMIFS('MA Engine'!$L$6:$L$1110,'MA Engine'!$B$6:$B$1110,$A53,'MA Engine'!$H$6:$H$1110,8)</f>
        <v>0</v>
      </c>
      <c r="O53" s="13" t="n">
        <f aca="false">SUMIFS('MA Engine'!$W$6:$W$1110,'MA Engine'!$B$6:$B$1110,$A53,'MA Engine'!$H$6:$H$1110,8)</f>
        <v>0</v>
      </c>
      <c r="P53" s="14" t="n">
        <f aca="false">Q53+R53</f>
        <v>0</v>
      </c>
      <c r="Q53" s="13" t="n">
        <f aca="false">SUMIFS('MA Engine'!$W$6:$W$1110,'MA Engine'!$B$6:$B$1110,$A53,'MA Engine'!$H$6:$H$1110,8,'MA Engine'!$I$6:$I$1110,"DO",'MA Engine'!$P$6:$P$1110,"&lt;&gt;Y")</f>
        <v>0</v>
      </c>
      <c r="R53" s="13" t="n">
        <f aca="false">SUMIFS('MA Engine'!$W$6:$W$1110,'MA Engine'!$B$6:$B$1110,$A53,'MA Engine'!$H$6:$H$1110,8,'MA Engine'!$I$6:$I$1110,"Unbilled")</f>
        <v>0</v>
      </c>
      <c r="S53" s="13" t="n">
        <f aca="false">SUMIFS('MA Engine'!$W$6:$W$1110,'MA Engine'!$B$6:$B$1110,$A53,'MA Engine'!$H$6:$H$1110,8,'MA Engine'!$P$6:$P$1110,"Y")</f>
        <v>0</v>
      </c>
      <c r="T53" s="14" t="n">
        <f aca="false">O53-P53-S53</f>
        <v>0</v>
      </c>
      <c r="U53" s="14" t="n">
        <f aca="false">MAX(0,H53-J53)</f>
        <v>0</v>
      </c>
      <c r="V53" s="14" t="n">
        <f aca="false">MAX(0,K53-U53)</f>
        <v>63</v>
      </c>
      <c r="W53" s="14" t="n">
        <f aca="false">MIN(U53,O53)</f>
        <v>0</v>
      </c>
      <c r="X53" s="14" t="n">
        <f aca="false">MIN(V53,O53-W53)</f>
        <v>0</v>
      </c>
      <c r="Y53" s="14" t="n">
        <f aca="false">O53-W53-X53</f>
        <v>0</v>
      </c>
      <c r="Z53" s="21" t="n">
        <f aca="false">IF(O53=0,0,P53/O53)</f>
        <v>0</v>
      </c>
      <c r="AA53" s="13" t="n">
        <f aca="false">SUMIFS('MA Engine'!$AH$6:$AH$1110,'MA Engine'!$B$6:$B$1110,$A53,'MA Engine'!$H$6:$H$1110,8,'MA Engine'!$I$6:$I$1110,"DO",'MA Engine'!$P$6:$P$1110,"&lt;&gt;Y")+SUMIFS('MA Engine'!$AH$6:$AH$1110,'MA Engine'!$B$6:$B$1110,$A53,'MA Engine'!$H$6:$H$1110,8,'MA Engine'!$I$6:$I$1110,"Unbilled")</f>
        <v>0</v>
      </c>
      <c r="AB53" s="13" t="n">
        <f aca="false">SUMIFS('MA Engine'!$AI$6:$AI$1110,'MA Engine'!$B$6:$B$1110,$A53,'MA Engine'!$H$6:$H$1110,8,'MA Engine'!$I$6:$I$1110,"DO",'MA Engine'!$P$6:$P$1110,"&lt;&gt;Y")+SUMIFS('MA Engine'!$AI$6:$AI$1110,'MA Engine'!$B$6:$B$1110,$A53,'MA Engine'!$H$6:$H$1110,8,'MA Engine'!$I$6:$I$1110,"Unbilled")</f>
        <v>0</v>
      </c>
      <c r="AC53" s="13" t="n">
        <f aca="false">SUMIFS('MA Engine'!$AJ$6:$AJ$1110,'MA Engine'!$B$6:$B$1110,$A53,'MA Engine'!$H$6:$H$1110,8,'MA Engine'!$I$6:$I$1110,"DO",'MA Engine'!$P$6:$P$1110,"&lt;&gt;Y")+SUMIFS('MA Engine'!$AJ$6:$AJ$1110,'MA Engine'!$B$6:$B$1110,$A53,'MA Engine'!$H$6:$H$1110,8,'MA Engine'!$I$6:$I$1110,"Unbilled")</f>
        <v>0</v>
      </c>
      <c r="AD53" s="7" t="n">
        <f aca="false">SUMIFS('MA Engine'!$L$6:$L$1110,'MA Engine'!$B$6:$B$1110,$A53,'MA Engine'!$H$6:$H$1110,7,'MA Engine'!$I$6:$I$1110,"&lt;&gt;Opening")</f>
        <v>0</v>
      </c>
      <c r="AE53" s="9" t="n">
        <f aca="false">IF(AND(U53&gt;0.0001,(L53-V53*IF(I53&gt;0,AD53/I53,IF(K53&gt;0,L53/K53,0)))&lt;0),IF(K53&gt;0,L53/K53,0),IF(I53&gt;0,AD53/I53,IF(K53&gt;0,L53/K53,0)))</f>
        <v>0</v>
      </c>
      <c r="AF53" s="9" t="n">
        <f aca="false">IF(U53&lt;=0.0001,IF(K53&gt;0,L53/K53,0),IF((L53-V53*IF(I53&gt;0,AD53/I53,IF(K53&gt;0,L53/K53,0)))&lt;0,IF(K53&gt;0,L53/K53,0),(L53-V53*IF(I53&gt;0,AD53/I53,IF(K53&gt;0,L53/K53,0)))/U53))</f>
        <v>0</v>
      </c>
      <c r="AG53" s="9" t="n">
        <f aca="false">IF(M53&gt;0,N53/M53,IF(K53&gt;0,L53/K53,0))</f>
        <v>0</v>
      </c>
      <c r="AH53" s="7" t="n">
        <f aca="false">SUMIFS('MA Engine'!$X$6:$X$1110,'MA Engine'!$B$6:$B$1110,$A53,'MA Engine'!$H$6:$H$1110,8,'MA Engine'!$I$6:$I$1110,"DO",'MA Engine'!$P$6:$P$1110,"&lt;&gt;Y")+SUMIFS('MA Engine'!$X$6:$X$1110,'MA Engine'!$B$6:$B$1110,$A53,'MA Engine'!$H$6:$H$1110,8,'MA Engine'!$I$6:$I$1110,"Unbilled")</f>
        <v>0</v>
      </c>
      <c r="AI53" s="7" t="n">
        <f aca="false">SUMIFS('MA Engine'!$AK$6:$AK$1110,'MA Engine'!$B$6:$B$1110,$A53,'MA Engine'!$H$6:$H$1110,8,'MA Engine'!$I$6:$I$1110,"DO",'MA Engine'!$P$6:$P$1110,"&lt;&gt;Y")+SUMIFS('MA Engine'!$AK$6:$AK$1110,'MA Engine'!$B$6:$B$1110,$A53,'MA Engine'!$H$6:$H$1110,8,'MA Engine'!$I$6:$I$1110,"Unbilled")</f>
        <v>0</v>
      </c>
      <c r="AJ53" s="7" t="n">
        <f aca="false">SUMIFS('MA Engine'!$AL$6:$AL$1110,'MA Engine'!$B$6:$B$1110,$A53,'MA Engine'!$H$6:$H$1110,8,'MA Engine'!$I$6:$I$1110,"DO",'MA Engine'!$P$6:$P$1110,"&lt;&gt;Y")+SUMIFS('MA Engine'!$AL$6:$AL$1110,'MA Engine'!$B$6:$B$1110,$A53,'MA Engine'!$H$6:$H$1110,8,'MA Engine'!$I$6:$I$1110,"Unbilled")</f>
        <v>0</v>
      </c>
      <c r="AK53" s="7" t="n">
        <f aca="false">SUMIFS('MA Engine'!$AM$6:$AM$1110,'MA Engine'!$B$6:$B$1110,$A53,'MA Engine'!$H$6:$H$1110,8,'MA Engine'!$I$6:$I$1110,"DO",'MA Engine'!$P$6:$P$1110,"&lt;&gt;Y")+SUMIFS('MA Engine'!$AM$6:$AM$1110,'MA Engine'!$B$6:$B$1110,$A53,'MA Engine'!$H$6:$H$1110,8,'MA Engine'!$I$6:$I$1110,"Unbilled")</f>
        <v>0</v>
      </c>
      <c r="AL53" s="9" t="n">
        <f aca="false">AH53-AI53-AJ53-AK53</f>
        <v>0</v>
      </c>
      <c r="AM53" s="7" t="n">
        <f aca="false">IF(Q53=0,0,IF($D53="Karkas",SUMIFS('Karkas Detail'!$E$6:$E$42,'Karkas Detail'!$A$6:$A$42,$C53,'Karkas Detail'!$B$6:$B$42,$F53,'Karkas Detail'!$C$6:$C$42,$E53)/SUMIFS($Q$36:$Q$127,$C$36:$C$127,$C53,$D$36:$D$127,"Karkas",$F$36:$F$127,$F53,$E$36:$E$127,$E53),SUMIFS('Data SKU'!$G$5:$G$116,'Data SKU'!$A$5:$A$116,$C53,'Data SKU'!$B$5:$B$116,$D53,'Data SKU'!$C$5:$C$116,$E53,'Data SKU'!$D$5:$D$116,8,'Data SKU'!$N$5:$N$116,"Invoiced")/SUMIFS($Q$36:$Q$127,$C$36:$C$127,$C53,$D$36:$D$127,$D53,$E$36:$E$127,$E53))*Q53)+SUMIFS(Unbilled!$U$22:$U$38,Unbilled!$E$22:$E$38,$A53)</f>
        <v>0</v>
      </c>
      <c r="AN53" s="9" t="n">
        <f aca="false">IF(P53=0,0,AM53*AA53/P53)</f>
        <v>0</v>
      </c>
      <c r="AO53" s="9" t="n">
        <f aca="false">IF(P53=0,0,AM53*AB53/P53)</f>
        <v>0</v>
      </c>
      <c r="AP53" s="9" t="n">
        <f aca="false">IF(P53=0,0,AM53*AC53/P53)</f>
        <v>0</v>
      </c>
      <c r="AQ53" s="14" t="n">
        <f aca="false">MIN(U53+V53,MAX(0,O53-M53))</f>
        <v>0</v>
      </c>
      <c r="AR53" s="14" t="n">
        <f aca="false">MAX(0,AQ53-V53)*Z53</f>
        <v>0</v>
      </c>
      <c r="AS53" s="14" t="n">
        <f aca="false">MIN(V53,AQ53)*Z53</f>
        <v>0</v>
      </c>
      <c r="AT53" s="14" t="n">
        <f aca="false">(O53-AQ53)*Z53</f>
        <v>0</v>
      </c>
      <c r="AU53" s="9" t="n">
        <f aca="false">(AR53+AS53+AT53)*BA53</f>
        <v>0</v>
      </c>
      <c r="AV53" s="9" t="n">
        <f aca="false">IF(P53=0,0,AM53*AR53/P53)</f>
        <v>0</v>
      </c>
      <c r="AW53" s="9" t="n">
        <f aca="false">IF(P53=0,0,AM53*AS53/P53)</f>
        <v>0</v>
      </c>
      <c r="AX53" s="9" t="n">
        <f aca="false">IF(P53=0,0,AM53*AT53/P53)</f>
        <v>0</v>
      </c>
      <c r="AY53" s="9" t="n">
        <f aca="false">AH53-AU53</f>
        <v>0</v>
      </c>
      <c r="AZ53" s="9" t="n">
        <f aca="false">IF(M53&gt;0,P53*AG53,0)</f>
        <v>0</v>
      </c>
      <c r="BA53" s="9" t="n">
        <f aca="false">IF(P53=0,0,AH53/P53)</f>
        <v>0</v>
      </c>
      <c r="BB53" s="74" t="s">
        <v>836</v>
      </c>
      <c r="BC53" s="13" t="n">
        <f aca="false">SUMIFS('MA Engine'!$W$6:$W$1110,'MA Engine'!$B$6:$B$1110,$A53,'MA Engine'!$H$6:$H$1110,7,'MA Engine'!$I$6:$I$1110,"DO")</f>
        <v>0</v>
      </c>
      <c r="BD53" s="14" t="n">
        <f aca="false">MIN(MAX(0,H53),J53)</f>
        <v>0</v>
      </c>
      <c r="BE53" s="14" t="n">
        <f aca="false">J53-BD53</f>
        <v>0</v>
      </c>
      <c r="BF53" s="21" t="n">
        <f aca="false">IF(J53=0,0,BC53/J53)</f>
        <v>0</v>
      </c>
      <c r="BG53" s="13" t="n">
        <f aca="false">SUMIFS('MA Engine'!$AH$6:$AH$1110,'MA Engine'!$B$6:$B$1110,$A53,'MA Engine'!$H$6:$H$1110,7,'MA Engine'!$I$6:$I$1110,"DO")</f>
        <v>0</v>
      </c>
      <c r="BH53" s="13" t="n">
        <f aca="false">SUMIFS('MA Engine'!$AI$6:$AI$1110,'MA Engine'!$B$6:$B$1110,$A53,'MA Engine'!$H$6:$H$1110,7,'MA Engine'!$I$6:$I$1110,"DO")+SUMIFS('MA Engine'!$AJ$6:$AJ$1110,'MA Engine'!$B$6:$B$1110,$A53,'MA Engine'!$H$6:$H$1110,7,'MA Engine'!$I$6:$I$1110,"DO")</f>
        <v>0</v>
      </c>
      <c r="BI53" s="7" t="n">
        <f aca="false">IF(H53&gt;0,SUMIFS('MA Engine'!$L$6:$L$1110,'MA Engine'!$B$6:$B$1110,$A53,'MA Engine'!$I$6:$I$1110,"Opening")/H53,0)</f>
        <v>0</v>
      </c>
      <c r="BJ53" s="9" t="n">
        <f aca="false">IF(I53&gt;0,AD53/I53,BI53)</f>
        <v>0</v>
      </c>
      <c r="BK53" s="7" t="n">
        <f aca="false">SUMIFS('MA Engine'!$X$6:$X$1110,'MA Engine'!$B$6:$B$1110,$A53,'MA Engine'!$H$6:$H$1110,7,'MA Engine'!$I$6:$I$1110,"DO")</f>
        <v>0</v>
      </c>
      <c r="BL53" s="7" t="n">
        <f aca="false">SUMIFS('MA Engine'!$AK$6:$AK$1110,'MA Engine'!$B$6:$B$1110,$A53,'MA Engine'!$H$6:$H$1110,7,'MA Engine'!$I$6:$I$1110,"DO")</f>
        <v>0</v>
      </c>
      <c r="BM53" s="7" t="n">
        <f aca="false">SUMIFS('MA Engine'!$AL$6:$AL$1110,'MA Engine'!$B$6:$B$1110,$A53,'MA Engine'!$H$6:$H$1110,7,'MA Engine'!$I$6:$I$1110,"DO")+SUMIFS('MA Engine'!$AM$6:$AM$1110,'MA Engine'!$B$6:$B$1110,$A53,'MA Engine'!$H$6:$H$1110,7,'MA Engine'!$I$6:$I$1110,"DO")</f>
        <v>0</v>
      </c>
      <c r="BN53" s="9" t="n">
        <f aca="false">BK53-BL53-BM53</f>
        <v>0</v>
      </c>
      <c r="BO53" s="7" t="n">
        <f aca="false">IF(BC53=0,0,SUMIFS('Data SKU'!$G$5:$G$116,'Data SKU'!$A$5:$A$116,$C53,'Data SKU'!$B$5:$B$116,$D53,'Data SKU'!$C$5:$C$116,$E53,'Data SKU'!$D$5:$D$116,7,'Data SKU'!$N$5:$N$116,"Invoiced")/SUMIFS($BC$36:$BC$127,$C$36:$C$127,$C53,$D$36:$D$127,$D53,$E$36:$E$127,$E53)*BC53)</f>
        <v>0</v>
      </c>
      <c r="BP53" s="9" t="n">
        <f aca="false">IF(BC53=0,0,BO53*BG53/BC53)</f>
        <v>0</v>
      </c>
      <c r="BQ53" s="9" t="n">
        <f aca="false">IF(BC53=0,0,BO53*BH53/BC53)</f>
        <v>0</v>
      </c>
    </row>
    <row r="54" customFormat="false" ht="15" hidden="false" customHeight="false" outlineLevel="0" collapsed="false">
      <c r="A54" s="74" t="s">
        <v>966</v>
      </c>
      <c r="B54" s="53" t="str">
        <f aca="false">INDEX(I_Items!$B$5:$B$133,MATCH($A54,I_Items!$A$5:$A$133,0))&amp;""</f>
        <v>Boneless BLD Fresh Premium</v>
      </c>
      <c r="C54" s="53" t="str">
        <f aca="false">INDEX(I_Items!$C$5:$C$133,MATCH($A54,I_Items!$A$5:$A$133,0))&amp;""</f>
        <v>RPA</v>
      </c>
      <c r="D54" s="53" t="str">
        <f aca="false">INDEX(I_Items!$D$5:$D$133,MATCH($A54,I_Items!$A$5:$A$133,0))&amp;""</f>
        <v>BLD</v>
      </c>
      <c r="E54" s="53" t="str">
        <f aca="false">INDEX(I_Items!$F$5:$F$133,MATCH($A54,I_Items!$A$5:$A$133,0))&amp;""</f>
        <v>Fresh</v>
      </c>
      <c r="F54" s="53" t="str">
        <f aca="false">INDEX(I_Items!$E$5:$E$133,MATCH($A54,I_Items!$A$5:$A$133,0))&amp;""</f>
        <v/>
      </c>
      <c r="G54" s="6" t="str">
        <f aca="false">IF(P54=0,"-",IF(M54=0,"A",IF(K54&lt;=0,"C","B")))</f>
        <v>A</v>
      </c>
      <c r="H54" s="13" t="n">
        <f aca="false">SUMIFS('MA Engine'!$K$6:$K$1110,'MA Engine'!$B$6:$B$1110,$A54,'MA Engine'!$I$6:$I$1110,"Opening")</f>
        <v>226.37</v>
      </c>
      <c r="I54" s="13" t="n">
        <f aca="false">SUMIFS('MA Engine'!$K$6:$K$1110,'MA Engine'!$B$6:$B$1110,$A54,'MA Engine'!$H$6:$H$1110,7,'MA Engine'!$I$6:$I$1110,"&lt;&gt;Opening")</f>
        <v>0</v>
      </c>
      <c r="J54" s="13" t="n">
        <f aca="false">SUMIFS('MA Engine'!$W$6:$W$1110,'MA Engine'!$B$6:$B$1110,$A54,'MA Engine'!$H$6:$H$1110,7)</f>
        <v>0</v>
      </c>
      <c r="K54" s="14" t="n">
        <f aca="false">H54+I54-J54</f>
        <v>226.37</v>
      </c>
      <c r="L54" s="7" t="n">
        <f aca="false">SUMIFS('MA Engine'!$L$6:$L$1110,'MA Engine'!$B$6:$B$1110,$A54,'MA Engine'!$I$6:$I$1110,"Opening")+SUMIFS('MA Engine'!$L$6:$L$1110,'MA Engine'!$B$6:$B$1110,$A54,'MA Engine'!$H$6:$H$1110,7,'MA Engine'!$I$6:$I$1110,"&lt;&gt;Opening")-SUMIFS('MA Engine'!$X$6:$X$1110,'MA Engine'!$B$6:$B$1110,$A54,'MA Engine'!$H$6:$H$1110,7)</f>
        <v>8467200.41</v>
      </c>
      <c r="M54" s="13" t="n">
        <f aca="false">SUMIFS('MA Engine'!$K$6:$K$1110,'MA Engine'!$B$6:$B$1110,$A54,'MA Engine'!$H$6:$H$1110,8)</f>
        <v>0</v>
      </c>
      <c r="N54" s="7" t="n">
        <f aca="false">SUMIFS('MA Engine'!$L$6:$L$1110,'MA Engine'!$B$6:$B$1110,$A54,'MA Engine'!$H$6:$H$1110,8)</f>
        <v>0</v>
      </c>
      <c r="O54" s="13" t="n">
        <f aca="false">SUMIFS('MA Engine'!$W$6:$W$1110,'MA Engine'!$B$6:$B$1110,$A54,'MA Engine'!$H$6:$H$1110,8)</f>
        <v>226.37</v>
      </c>
      <c r="P54" s="14" t="n">
        <f aca="false">Q54+R54</f>
        <v>226.37</v>
      </c>
      <c r="Q54" s="13" t="n">
        <f aca="false">SUMIFS('MA Engine'!$W$6:$W$1110,'MA Engine'!$B$6:$B$1110,$A54,'MA Engine'!$H$6:$H$1110,8,'MA Engine'!$I$6:$I$1110,"DO",'MA Engine'!$P$6:$P$1110,"&lt;&gt;Y")</f>
        <v>226.37</v>
      </c>
      <c r="R54" s="13" t="n">
        <f aca="false">SUMIFS('MA Engine'!$W$6:$W$1110,'MA Engine'!$B$6:$B$1110,$A54,'MA Engine'!$H$6:$H$1110,8,'MA Engine'!$I$6:$I$1110,"Unbilled")</f>
        <v>0</v>
      </c>
      <c r="S54" s="13" t="n">
        <f aca="false">SUMIFS('MA Engine'!$W$6:$W$1110,'MA Engine'!$B$6:$B$1110,$A54,'MA Engine'!$H$6:$H$1110,8,'MA Engine'!$P$6:$P$1110,"Y")</f>
        <v>0</v>
      </c>
      <c r="T54" s="14" t="n">
        <f aca="false">O54-P54-S54</f>
        <v>0</v>
      </c>
      <c r="U54" s="14" t="n">
        <f aca="false">MAX(0,H54-J54)</f>
        <v>226.37</v>
      </c>
      <c r="V54" s="14" t="n">
        <f aca="false">MAX(0,K54-U54)</f>
        <v>0</v>
      </c>
      <c r="W54" s="14" t="n">
        <f aca="false">MIN(U54,O54)</f>
        <v>226.37</v>
      </c>
      <c r="X54" s="14" t="n">
        <f aca="false">MIN(V54,O54-W54)</f>
        <v>0</v>
      </c>
      <c r="Y54" s="14" t="n">
        <f aca="false">O54-W54-X54</f>
        <v>0</v>
      </c>
      <c r="Z54" s="21" t="n">
        <f aca="false">IF(O54=0,0,P54/O54)</f>
        <v>1</v>
      </c>
      <c r="AA54" s="13" t="n">
        <f aca="false">SUMIFS('MA Engine'!$AH$6:$AH$1110,'MA Engine'!$B$6:$B$1110,$A54,'MA Engine'!$H$6:$H$1110,8,'MA Engine'!$I$6:$I$1110,"DO",'MA Engine'!$P$6:$P$1110,"&lt;&gt;Y")+SUMIFS('MA Engine'!$AH$6:$AH$1110,'MA Engine'!$B$6:$B$1110,$A54,'MA Engine'!$H$6:$H$1110,8,'MA Engine'!$I$6:$I$1110,"Unbilled")</f>
        <v>226.37</v>
      </c>
      <c r="AB54" s="13" t="n">
        <f aca="false">SUMIFS('MA Engine'!$AI$6:$AI$1110,'MA Engine'!$B$6:$B$1110,$A54,'MA Engine'!$H$6:$H$1110,8,'MA Engine'!$I$6:$I$1110,"DO",'MA Engine'!$P$6:$P$1110,"&lt;&gt;Y")+SUMIFS('MA Engine'!$AI$6:$AI$1110,'MA Engine'!$B$6:$B$1110,$A54,'MA Engine'!$H$6:$H$1110,8,'MA Engine'!$I$6:$I$1110,"Unbilled")</f>
        <v>0</v>
      </c>
      <c r="AC54" s="13" t="n">
        <f aca="false">SUMIFS('MA Engine'!$AJ$6:$AJ$1110,'MA Engine'!$B$6:$B$1110,$A54,'MA Engine'!$H$6:$H$1110,8,'MA Engine'!$I$6:$I$1110,"DO",'MA Engine'!$P$6:$P$1110,"&lt;&gt;Y")+SUMIFS('MA Engine'!$AJ$6:$AJ$1110,'MA Engine'!$B$6:$B$1110,$A54,'MA Engine'!$H$6:$H$1110,8,'MA Engine'!$I$6:$I$1110,"Unbilled")</f>
        <v>0</v>
      </c>
      <c r="AD54" s="7" t="n">
        <f aca="false">SUMIFS('MA Engine'!$L$6:$L$1110,'MA Engine'!$B$6:$B$1110,$A54,'MA Engine'!$H$6:$H$1110,7,'MA Engine'!$I$6:$I$1110,"&lt;&gt;Opening")</f>
        <v>0</v>
      </c>
      <c r="AE54" s="9" t="n">
        <f aca="false">IF(AND(U54&gt;0.0001,(L54-V54*IF(I54&gt;0,AD54/I54,IF(K54&gt;0,L54/K54,0)))&lt;0),IF(K54&gt;0,L54/K54,0),IF(I54&gt;0,AD54/I54,IF(K54&gt;0,L54/K54,0)))</f>
        <v>37404.2514909219</v>
      </c>
      <c r="AF54" s="9" t="n">
        <f aca="false">IF(U54&lt;=0.0001,IF(K54&gt;0,L54/K54,0),IF((L54-V54*IF(I54&gt;0,AD54/I54,IF(K54&gt;0,L54/K54,0)))&lt;0,IF(K54&gt;0,L54/K54,0),(L54-V54*IF(I54&gt;0,AD54/I54,IF(K54&gt;0,L54/K54,0)))/U54))</f>
        <v>37404.2514909219</v>
      </c>
      <c r="AG54" s="9" t="n">
        <f aca="false">IF(M54&gt;0,N54/M54,IF(K54&gt;0,L54/K54,0))</f>
        <v>37404.2514909219</v>
      </c>
      <c r="AH54" s="7" t="n">
        <f aca="false">SUMIFS('MA Engine'!$X$6:$X$1110,'MA Engine'!$B$6:$B$1110,$A54,'MA Engine'!$H$6:$H$1110,8,'MA Engine'!$I$6:$I$1110,"DO",'MA Engine'!$P$6:$P$1110,"&lt;&gt;Y")+SUMIFS('MA Engine'!$X$6:$X$1110,'MA Engine'!$B$6:$B$1110,$A54,'MA Engine'!$H$6:$H$1110,8,'MA Engine'!$I$6:$I$1110,"Unbilled")</f>
        <v>8467200.41</v>
      </c>
      <c r="AI54" s="7" t="n">
        <f aca="false">SUMIFS('MA Engine'!$AK$6:$AK$1110,'MA Engine'!$B$6:$B$1110,$A54,'MA Engine'!$H$6:$H$1110,8,'MA Engine'!$I$6:$I$1110,"DO",'MA Engine'!$P$6:$P$1110,"&lt;&gt;Y")+SUMIFS('MA Engine'!$AK$6:$AK$1110,'MA Engine'!$B$6:$B$1110,$A54,'MA Engine'!$H$6:$H$1110,8,'MA Engine'!$I$6:$I$1110,"Unbilled")</f>
        <v>8467200.41</v>
      </c>
      <c r="AJ54" s="7" t="n">
        <f aca="false">SUMIFS('MA Engine'!$AL$6:$AL$1110,'MA Engine'!$B$6:$B$1110,$A54,'MA Engine'!$H$6:$H$1110,8,'MA Engine'!$I$6:$I$1110,"DO",'MA Engine'!$P$6:$P$1110,"&lt;&gt;Y")+SUMIFS('MA Engine'!$AL$6:$AL$1110,'MA Engine'!$B$6:$B$1110,$A54,'MA Engine'!$H$6:$H$1110,8,'MA Engine'!$I$6:$I$1110,"Unbilled")</f>
        <v>0</v>
      </c>
      <c r="AK54" s="7" t="n">
        <f aca="false">SUMIFS('MA Engine'!$AM$6:$AM$1110,'MA Engine'!$B$6:$B$1110,$A54,'MA Engine'!$H$6:$H$1110,8,'MA Engine'!$I$6:$I$1110,"DO",'MA Engine'!$P$6:$P$1110,"&lt;&gt;Y")+SUMIFS('MA Engine'!$AM$6:$AM$1110,'MA Engine'!$B$6:$B$1110,$A54,'MA Engine'!$H$6:$H$1110,8,'MA Engine'!$I$6:$I$1110,"Unbilled")</f>
        <v>0</v>
      </c>
      <c r="AL54" s="9" t="n">
        <f aca="false">AH54-AI54-AJ54-AK54</f>
        <v>0</v>
      </c>
      <c r="AM54" s="7" t="n">
        <f aca="false">IF(Q54=0,0,IF($D54="Karkas",SUMIFS('Karkas Detail'!$E$6:$E$42,'Karkas Detail'!$A$6:$A$42,$C54,'Karkas Detail'!$B$6:$B$42,$F54,'Karkas Detail'!$C$6:$C$42,$E54)/SUMIFS($Q$36:$Q$127,$C$36:$C$127,$C54,$D$36:$D$127,"Karkas",$F$36:$F$127,$F54,$E$36:$E$127,$E54),SUMIFS('Data SKU'!$G$5:$G$116,'Data SKU'!$A$5:$A$116,$C54,'Data SKU'!$B$5:$B$116,$D54,'Data SKU'!$C$5:$C$116,$E54,'Data SKU'!$D$5:$D$116,8,'Data SKU'!$N$5:$N$116,"Invoiced")/SUMIFS($Q$36:$Q$127,$C$36:$C$127,$C54,$D$36:$D$127,$D54,$E$36:$E$127,$E54))*Q54)+SUMIFS(Unbilled!$U$22:$U$38,Unbilled!$E$22:$E$38,$A54)</f>
        <v>9281170</v>
      </c>
      <c r="AN54" s="9" t="n">
        <f aca="false">IF(P54=0,0,AM54*AA54/P54)</f>
        <v>9281170</v>
      </c>
      <c r="AO54" s="9" t="n">
        <f aca="false">IF(P54=0,0,AM54*AB54/P54)</f>
        <v>0</v>
      </c>
      <c r="AP54" s="9" t="n">
        <f aca="false">IF(P54=0,0,AM54*AC54/P54)</f>
        <v>0</v>
      </c>
      <c r="AQ54" s="14" t="n">
        <f aca="false">MIN(U54+V54,MAX(0,O54-M54))</f>
        <v>226.37</v>
      </c>
      <c r="AR54" s="14" t="n">
        <f aca="false">MAX(0,AQ54-V54)*Z54</f>
        <v>226.37</v>
      </c>
      <c r="AS54" s="14" t="n">
        <f aca="false">MIN(V54,AQ54)*Z54</f>
        <v>0</v>
      </c>
      <c r="AT54" s="14" t="n">
        <f aca="false">(O54-AQ54)*Z54</f>
        <v>0</v>
      </c>
      <c r="AU54" s="9" t="n">
        <f aca="false">(AR54+AS54+AT54)*BA54</f>
        <v>8467200.41</v>
      </c>
      <c r="AV54" s="9" t="n">
        <f aca="false">IF(P54=0,0,AM54*AR54/P54)</f>
        <v>9281170</v>
      </c>
      <c r="AW54" s="9" t="n">
        <f aca="false">IF(P54=0,0,AM54*AS54/P54)</f>
        <v>0</v>
      </c>
      <c r="AX54" s="9" t="n">
        <f aca="false">IF(P54=0,0,AM54*AT54/P54)</f>
        <v>0</v>
      </c>
      <c r="AY54" s="9" t="n">
        <f aca="false">AH54-AU54</f>
        <v>0</v>
      </c>
      <c r="AZ54" s="9" t="n">
        <f aca="false">IF(M54&gt;0,P54*AG54,0)</f>
        <v>0</v>
      </c>
      <c r="BA54" s="9" t="n">
        <f aca="false">IF(P54=0,0,AH54/P54)</f>
        <v>37404.2514909219</v>
      </c>
      <c r="BB54" s="74" t="s">
        <v>835</v>
      </c>
      <c r="BC54" s="13" t="n">
        <f aca="false">SUMIFS('MA Engine'!$W$6:$W$1110,'MA Engine'!$B$6:$B$1110,$A54,'MA Engine'!$H$6:$H$1110,7,'MA Engine'!$I$6:$I$1110,"DO")</f>
        <v>0</v>
      </c>
      <c r="BD54" s="14" t="n">
        <f aca="false">MIN(MAX(0,H54),J54)</f>
        <v>0</v>
      </c>
      <c r="BE54" s="14" t="n">
        <f aca="false">J54-BD54</f>
        <v>0</v>
      </c>
      <c r="BF54" s="21" t="n">
        <f aca="false">IF(J54=0,0,BC54/J54)</f>
        <v>0</v>
      </c>
      <c r="BG54" s="13" t="n">
        <f aca="false">SUMIFS('MA Engine'!$AH$6:$AH$1110,'MA Engine'!$B$6:$B$1110,$A54,'MA Engine'!$H$6:$H$1110,7,'MA Engine'!$I$6:$I$1110,"DO")</f>
        <v>0</v>
      </c>
      <c r="BH54" s="13" t="n">
        <f aca="false">SUMIFS('MA Engine'!$AI$6:$AI$1110,'MA Engine'!$B$6:$B$1110,$A54,'MA Engine'!$H$6:$H$1110,7,'MA Engine'!$I$6:$I$1110,"DO")+SUMIFS('MA Engine'!$AJ$6:$AJ$1110,'MA Engine'!$B$6:$B$1110,$A54,'MA Engine'!$H$6:$H$1110,7,'MA Engine'!$I$6:$I$1110,"DO")</f>
        <v>0</v>
      </c>
      <c r="BI54" s="7" t="n">
        <f aca="false">IF(H54&gt;0,SUMIFS('MA Engine'!$L$6:$L$1110,'MA Engine'!$B$6:$B$1110,$A54,'MA Engine'!$I$6:$I$1110,"Opening")/H54,0)</f>
        <v>37404.2514909219</v>
      </c>
      <c r="BJ54" s="9" t="n">
        <f aca="false">IF(I54&gt;0,AD54/I54,BI54)</f>
        <v>37404.2514909219</v>
      </c>
      <c r="BK54" s="7" t="n">
        <f aca="false">SUMIFS('MA Engine'!$X$6:$X$1110,'MA Engine'!$B$6:$B$1110,$A54,'MA Engine'!$H$6:$H$1110,7,'MA Engine'!$I$6:$I$1110,"DO")</f>
        <v>0</v>
      </c>
      <c r="BL54" s="7" t="n">
        <f aca="false">SUMIFS('MA Engine'!$AK$6:$AK$1110,'MA Engine'!$B$6:$B$1110,$A54,'MA Engine'!$H$6:$H$1110,7,'MA Engine'!$I$6:$I$1110,"DO")</f>
        <v>0</v>
      </c>
      <c r="BM54" s="7" t="n">
        <f aca="false">SUMIFS('MA Engine'!$AL$6:$AL$1110,'MA Engine'!$B$6:$B$1110,$A54,'MA Engine'!$H$6:$H$1110,7,'MA Engine'!$I$6:$I$1110,"DO")+SUMIFS('MA Engine'!$AM$6:$AM$1110,'MA Engine'!$B$6:$B$1110,$A54,'MA Engine'!$H$6:$H$1110,7,'MA Engine'!$I$6:$I$1110,"DO")</f>
        <v>0</v>
      </c>
      <c r="BN54" s="9" t="n">
        <f aca="false">BK54-BL54-BM54</f>
        <v>0</v>
      </c>
      <c r="BO54" s="7" t="n">
        <f aca="false">IF(BC54=0,0,SUMIFS('Data SKU'!$G$5:$G$116,'Data SKU'!$A$5:$A$116,$C54,'Data SKU'!$B$5:$B$116,$D54,'Data SKU'!$C$5:$C$116,$E54,'Data SKU'!$D$5:$D$116,7,'Data SKU'!$N$5:$N$116,"Invoiced")/SUMIFS($BC$36:$BC$127,$C$36:$C$127,$C54,$D$36:$D$127,$D54,$E$36:$E$127,$E54)*BC54)</f>
        <v>0</v>
      </c>
      <c r="BP54" s="9" t="n">
        <f aca="false">IF(BC54=0,0,BO54*BG54/BC54)</f>
        <v>0</v>
      </c>
      <c r="BQ54" s="9" t="n">
        <f aca="false">IF(BC54=0,0,BO54*BH54/BC54)</f>
        <v>0</v>
      </c>
    </row>
    <row r="55" customFormat="false" ht="15" hidden="false" customHeight="false" outlineLevel="0" collapsed="false">
      <c r="A55" s="74" t="s">
        <v>967</v>
      </c>
      <c r="B55" s="53" t="str">
        <f aca="false">INDEX(I_Items!$B$5:$B$133,MATCH($A55,I_Items!$A$5:$A$133,0))&amp;""</f>
        <v>Boneless BLD Frozen Premium</v>
      </c>
      <c r="C55" s="53" t="str">
        <f aca="false">INDEX(I_Items!$C$5:$C$133,MATCH($A55,I_Items!$A$5:$A$133,0))&amp;""</f>
        <v>RPA</v>
      </c>
      <c r="D55" s="53" t="str">
        <f aca="false">INDEX(I_Items!$D$5:$D$133,MATCH($A55,I_Items!$A$5:$A$133,0))&amp;""</f>
        <v>BLD</v>
      </c>
      <c r="E55" s="53" t="str">
        <f aca="false">INDEX(I_Items!$F$5:$F$133,MATCH($A55,I_Items!$A$5:$A$133,0))&amp;""</f>
        <v>Frozen</v>
      </c>
      <c r="F55" s="53" t="str">
        <f aca="false">INDEX(I_Items!$E$5:$E$133,MATCH($A55,I_Items!$A$5:$A$133,0))&amp;""</f>
        <v/>
      </c>
      <c r="G55" s="6" t="str">
        <f aca="false">IF(P55=0,"-",IF(M55=0,"A",IF(K55&lt;=0,"C","B")))</f>
        <v>A</v>
      </c>
      <c r="H55" s="13" t="n">
        <f aca="false">SUMIFS('MA Engine'!$K$6:$K$1110,'MA Engine'!$B$6:$B$1110,$A55,'MA Engine'!$I$6:$I$1110,"Opening")</f>
        <v>1569.4</v>
      </c>
      <c r="I55" s="13" t="n">
        <f aca="false">SUMIFS('MA Engine'!$K$6:$K$1110,'MA Engine'!$B$6:$B$1110,$A55,'MA Engine'!$H$6:$H$1110,7,'MA Engine'!$I$6:$I$1110,"&lt;&gt;Opening")</f>
        <v>1122</v>
      </c>
      <c r="J55" s="13" t="n">
        <f aca="false">SUMIFS('MA Engine'!$W$6:$W$1110,'MA Engine'!$B$6:$B$1110,$A55,'MA Engine'!$H$6:$H$1110,7)</f>
        <v>1122</v>
      </c>
      <c r="K55" s="14" t="n">
        <f aca="false">H55+I55-J55</f>
        <v>1569.4</v>
      </c>
      <c r="L55" s="7" t="n">
        <f aca="false">SUMIFS('MA Engine'!$L$6:$L$1110,'MA Engine'!$B$6:$B$1110,$A55,'MA Engine'!$I$6:$I$1110,"Opening")+SUMIFS('MA Engine'!$L$6:$L$1110,'MA Engine'!$B$6:$B$1110,$A55,'MA Engine'!$H$6:$H$1110,7,'MA Engine'!$I$6:$I$1110,"&lt;&gt;Opening")-SUMIFS('MA Engine'!$X$6:$X$1110,'MA Engine'!$B$6:$B$1110,$A55,'MA Engine'!$H$6:$H$1110,7)</f>
        <v>55260441.8332414</v>
      </c>
      <c r="M55" s="13" t="n">
        <f aca="false">SUMIFS('MA Engine'!$K$6:$K$1110,'MA Engine'!$B$6:$B$1110,$A55,'MA Engine'!$H$6:$H$1110,8)</f>
        <v>0</v>
      </c>
      <c r="N55" s="7" t="n">
        <f aca="false">SUMIFS('MA Engine'!$L$6:$L$1110,'MA Engine'!$B$6:$B$1110,$A55,'MA Engine'!$H$6:$H$1110,8)</f>
        <v>0</v>
      </c>
      <c r="O55" s="13" t="n">
        <f aca="false">SUMIFS('MA Engine'!$W$6:$W$1110,'MA Engine'!$B$6:$B$1110,$A55,'MA Engine'!$H$6:$H$1110,8)</f>
        <v>1569.4</v>
      </c>
      <c r="P55" s="14" t="n">
        <f aca="false">Q55+R55</f>
        <v>1569.4</v>
      </c>
      <c r="Q55" s="13" t="n">
        <f aca="false">SUMIFS('MA Engine'!$W$6:$W$1110,'MA Engine'!$B$6:$B$1110,$A55,'MA Engine'!$H$6:$H$1110,8,'MA Engine'!$I$6:$I$1110,"DO",'MA Engine'!$P$6:$P$1110,"&lt;&gt;Y")</f>
        <v>1569.4</v>
      </c>
      <c r="R55" s="13" t="n">
        <f aca="false">SUMIFS('MA Engine'!$W$6:$W$1110,'MA Engine'!$B$6:$B$1110,$A55,'MA Engine'!$H$6:$H$1110,8,'MA Engine'!$I$6:$I$1110,"Unbilled")</f>
        <v>0</v>
      </c>
      <c r="S55" s="13" t="n">
        <f aca="false">SUMIFS('MA Engine'!$W$6:$W$1110,'MA Engine'!$B$6:$B$1110,$A55,'MA Engine'!$H$6:$H$1110,8,'MA Engine'!$P$6:$P$1110,"Y")</f>
        <v>0</v>
      </c>
      <c r="T55" s="14" t="n">
        <f aca="false">O55-P55-S55</f>
        <v>0</v>
      </c>
      <c r="U55" s="14" t="n">
        <f aca="false">MAX(0,H55-J55)</f>
        <v>447.4</v>
      </c>
      <c r="V55" s="14" t="n">
        <f aca="false">MAX(0,K55-U55)</f>
        <v>1122</v>
      </c>
      <c r="W55" s="14" t="n">
        <f aca="false">MIN(U55,O55)</f>
        <v>447.4</v>
      </c>
      <c r="X55" s="14" t="n">
        <f aca="false">MIN(V55,O55-W55)</f>
        <v>1122</v>
      </c>
      <c r="Y55" s="14" t="n">
        <f aca="false">O55-W55-X55</f>
        <v>0</v>
      </c>
      <c r="Z55" s="21" t="n">
        <f aca="false">IF(O55=0,0,P55/O55)</f>
        <v>1</v>
      </c>
      <c r="AA55" s="13" t="n">
        <f aca="false">SUMIFS('MA Engine'!$AH$6:$AH$1110,'MA Engine'!$B$6:$B$1110,$A55,'MA Engine'!$H$6:$H$1110,8,'MA Engine'!$I$6:$I$1110,"DO",'MA Engine'!$P$6:$P$1110,"&lt;&gt;Y")+SUMIFS('MA Engine'!$AH$6:$AH$1110,'MA Engine'!$B$6:$B$1110,$A55,'MA Engine'!$H$6:$H$1110,8,'MA Engine'!$I$6:$I$1110,"Unbilled")</f>
        <v>447.4</v>
      </c>
      <c r="AB55" s="13" t="n">
        <f aca="false">SUMIFS('MA Engine'!$AI$6:$AI$1110,'MA Engine'!$B$6:$B$1110,$A55,'MA Engine'!$H$6:$H$1110,8,'MA Engine'!$I$6:$I$1110,"DO",'MA Engine'!$P$6:$P$1110,"&lt;&gt;Y")+SUMIFS('MA Engine'!$AI$6:$AI$1110,'MA Engine'!$B$6:$B$1110,$A55,'MA Engine'!$H$6:$H$1110,8,'MA Engine'!$I$6:$I$1110,"Unbilled")</f>
        <v>1122</v>
      </c>
      <c r="AC55" s="13" t="n">
        <f aca="false">SUMIFS('MA Engine'!$AJ$6:$AJ$1110,'MA Engine'!$B$6:$B$1110,$A55,'MA Engine'!$H$6:$H$1110,8,'MA Engine'!$I$6:$I$1110,"DO",'MA Engine'!$P$6:$P$1110,"&lt;&gt;Y")+SUMIFS('MA Engine'!$AJ$6:$AJ$1110,'MA Engine'!$B$6:$B$1110,$A55,'MA Engine'!$H$6:$H$1110,8,'MA Engine'!$I$6:$I$1110,"Unbilled")</f>
        <v>0</v>
      </c>
      <c r="AD55" s="7" t="n">
        <f aca="false">SUMIFS('MA Engine'!$L$6:$L$1110,'MA Engine'!$B$6:$B$1110,$A55,'MA Engine'!$H$6:$H$1110,7,'MA Engine'!$I$6:$I$1110,"&lt;&gt;Opening")</f>
        <v>25144353.12</v>
      </c>
      <c r="AE55" s="9" t="n">
        <f aca="false">IF(AND(U55&gt;0.0001,(L55-V55*IF(I55&gt;0,AD55/I55,IF(K55&gt;0,L55/K55,0)))&lt;0),IF(K55&gt;0,L55/K55,0),IF(I55&gt;0,AD55/I55,IF(K55&gt;0,L55/K55,0)))</f>
        <v>22410.2968983957</v>
      </c>
      <c r="AF55" s="9" t="n">
        <f aca="false">IF(U55&lt;=0.0001,IF(K55&gt;0,L55/K55,0),IF((L55-V55*IF(I55&gt;0,AD55/I55,IF(K55&gt;0,L55/K55,0)))&lt;0,IF(K55&gt;0,L55/K55,0),(L55-V55*IF(I55&gt;0,AD55/I55,IF(K55&gt;0,L55/K55,0)))/U55))</f>
        <v>67313.5644015231</v>
      </c>
      <c r="AG55" s="9" t="n">
        <f aca="false">IF(M55&gt;0,N55/M55,IF(K55&gt;0,L55/K55,0))</f>
        <v>35211.1901575388</v>
      </c>
      <c r="AH55" s="7" t="n">
        <f aca="false">SUMIFS('MA Engine'!$X$6:$X$1110,'MA Engine'!$B$6:$B$1110,$A55,'MA Engine'!$H$6:$H$1110,8,'MA Engine'!$I$6:$I$1110,"DO",'MA Engine'!$P$6:$P$1110,"&lt;&gt;Y")+SUMIFS('MA Engine'!$X$6:$X$1110,'MA Engine'!$B$6:$B$1110,$A55,'MA Engine'!$H$6:$H$1110,8,'MA Engine'!$I$6:$I$1110,"Unbilled")</f>
        <v>55260441.8332414</v>
      </c>
      <c r="AI55" s="7" t="n">
        <f aca="false">SUMIFS('MA Engine'!$AK$6:$AK$1110,'MA Engine'!$B$6:$B$1110,$A55,'MA Engine'!$H$6:$H$1110,8,'MA Engine'!$I$6:$I$1110,"DO",'MA Engine'!$P$6:$P$1110,"&lt;&gt;Y")+SUMIFS('MA Engine'!$AK$6:$AK$1110,'MA Engine'!$B$6:$B$1110,$A55,'MA Engine'!$H$6:$H$1110,8,'MA Engine'!$I$6:$I$1110,"Unbilled")</f>
        <v>15753486.4764829</v>
      </c>
      <c r="AJ55" s="7" t="n">
        <f aca="false">SUMIFS('MA Engine'!$AL$6:$AL$1110,'MA Engine'!$B$6:$B$1110,$A55,'MA Engine'!$H$6:$H$1110,8,'MA Engine'!$I$6:$I$1110,"DO",'MA Engine'!$P$6:$P$1110,"&lt;&gt;Y")+SUMIFS('MA Engine'!$AL$6:$AL$1110,'MA Engine'!$B$6:$B$1110,$A55,'MA Engine'!$H$6:$H$1110,8,'MA Engine'!$I$6:$I$1110,"Unbilled")</f>
        <v>39506955.3567586</v>
      </c>
      <c r="AK55" s="7" t="n">
        <f aca="false">SUMIFS('MA Engine'!$AM$6:$AM$1110,'MA Engine'!$B$6:$B$1110,$A55,'MA Engine'!$H$6:$H$1110,8,'MA Engine'!$I$6:$I$1110,"DO",'MA Engine'!$P$6:$P$1110,"&lt;&gt;Y")+SUMIFS('MA Engine'!$AM$6:$AM$1110,'MA Engine'!$B$6:$B$1110,$A55,'MA Engine'!$H$6:$H$1110,8,'MA Engine'!$I$6:$I$1110,"Unbilled")</f>
        <v>0</v>
      </c>
      <c r="AL55" s="9" t="n">
        <f aca="false">AH55-AI55-AJ55-AK55</f>
        <v>0</v>
      </c>
      <c r="AM55" s="7" t="n">
        <f aca="false">IF(Q55=0,0,IF($D55="Karkas",SUMIFS('Karkas Detail'!$E$6:$E$42,'Karkas Detail'!$A$6:$A$42,$C55,'Karkas Detail'!$B$6:$B$42,$F55,'Karkas Detail'!$C$6:$C$42,$E55)/SUMIFS($Q$36:$Q$127,$C$36:$C$127,$C55,$D$36:$D$127,"Karkas",$F$36:$F$127,$F55,$E$36:$E$127,$E55),SUMIFS('Data SKU'!$G$5:$G$116,'Data SKU'!$A$5:$A$116,$C55,'Data SKU'!$B$5:$B$116,$D55,'Data SKU'!$C$5:$C$116,$E55,'Data SKU'!$D$5:$D$116,8,'Data SKU'!$N$5:$N$116,"Invoiced")/SUMIFS($Q$36:$Q$127,$C$36:$C$127,$C55,$D$36:$D$127,$D55,$E$36:$E$127,$E55))*Q55)+SUMIFS(Unbilled!$U$22:$U$38,Unbilled!$E$22:$E$38,$A55)</f>
        <v>64345400</v>
      </c>
      <c r="AN55" s="9" t="n">
        <f aca="false">IF(P55=0,0,AM55*AA55/P55)</f>
        <v>18343400</v>
      </c>
      <c r="AO55" s="9" t="n">
        <f aca="false">IF(P55=0,0,AM55*AB55/P55)</f>
        <v>46002000</v>
      </c>
      <c r="AP55" s="9" t="n">
        <f aca="false">IF(P55=0,0,AM55*AC55/P55)</f>
        <v>0</v>
      </c>
      <c r="AQ55" s="14" t="n">
        <f aca="false">MIN(U55+V55,MAX(0,O55-M55))</f>
        <v>1569.4</v>
      </c>
      <c r="AR55" s="14" t="n">
        <f aca="false">MAX(0,AQ55-V55)*Z55</f>
        <v>447.4</v>
      </c>
      <c r="AS55" s="14" t="n">
        <f aca="false">MIN(V55,AQ55)*Z55</f>
        <v>1122</v>
      </c>
      <c r="AT55" s="14" t="n">
        <f aca="false">(O55-AQ55)*Z55</f>
        <v>0</v>
      </c>
      <c r="AU55" s="9" t="n">
        <f aca="false">(AR55+AS55+AT55)*BA55</f>
        <v>55260441.8332414</v>
      </c>
      <c r="AV55" s="9" t="n">
        <f aca="false">IF(P55=0,0,AM55*AR55/P55)</f>
        <v>18343400</v>
      </c>
      <c r="AW55" s="9" t="n">
        <f aca="false">IF(P55=0,0,AM55*AS55/P55)</f>
        <v>46002000</v>
      </c>
      <c r="AX55" s="9" t="n">
        <f aca="false">IF(P55=0,0,AM55*AT55/P55)</f>
        <v>0</v>
      </c>
      <c r="AY55" s="9" t="n">
        <f aca="false">AH55-AU55</f>
        <v>0</v>
      </c>
      <c r="AZ55" s="9" t="n">
        <f aca="false">IF(M55&gt;0,P55*AG55,0)</f>
        <v>0</v>
      </c>
      <c r="BA55" s="9" t="n">
        <f aca="false">IF(P55=0,0,AH55/P55)</f>
        <v>35211.1901575388</v>
      </c>
      <c r="BB55" s="74" t="s">
        <v>835</v>
      </c>
      <c r="BC55" s="13" t="n">
        <f aca="false">SUMIFS('MA Engine'!$W$6:$W$1110,'MA Engine'!$B$6:$B$1110,$A55,'MA Engine'!$H$6:$H$1110,7,'MA Engine'!$I$6:$I$1110,"DO")</f>
        <v>1122</v>
      </c>
      <c r="BD55" s="14" t="n">
        <f aca="false">MIN(MAX(0,H55),J55)</f>
        <v>1122</v>
      </c>
      <c r="BE55" s="14" t="n">
        <f aca="false">J55-BD55</f>
        <v>0</v>
      </c>
      <c r="BF55" s="21" t="n">
        <f aca="false">IF(J55=0,0,BC55/J55)</f>
        <v>1</v>
      </c>
      <c r="BG55" s="13" t="n">
        <f aca="false">SUMIFS('MA Engine'!$AH$6:$AH$1110,'MA Engine'!$B$6:$B$1110,$A55,'MA Engine'!$H$6:$H$1110,7,'MA Engine'!$I$6:$I$1110,"DO")</f>
        <v>1122</v>
      </c>
      <c r="BH55" s="13" t="n">
        <f aca="false">SUMIFS('MA Engine'!$AI$6:$AI$1110,'MA Engine'!$B$6:$B$1110,$A55,'MA Engine'!$H$6:$H$1110,7,'MA Engine'!$I$6:$I$1110,"DO")+SUMIFS('MA Engine'!$AJ$6:$AJ$1110,'MA Engine'!$B$6:$B$1110,$A55,'MA Engine'!$H$6:$H$1110,7,'MA Engine'!$I$6:$I$1110,"DO")</f>
        <v>0</v>
      </c>
      <c r="BI55" s="7" t="n">
        <f aca="false">IF(H55&gt;0,SUMIFS('MA Engine'!$L$6:$L$1110,'MA Engine'!$B$6:$B$1110,$A55,'MA Engine'!$I$6:$I$1110,"Opening")/H55,0)</f>
        <v>44362.8418949917</v>
      </c>
      <c r="BJ55" s="9" t="n">
        <f aca="false">IF(I55&gt;0,AD55/I55,BI55)</f>
        <v>22410.2968983957</v>
      </c>
      <c r="BK55" s="7" t="n">
        <f aca="false">SUMIFS('MA Engine'!$X$6:$X$1110,'MA Engine'!$B$6:$B$1110,$A55,'MA Engine'!$H$6:$H$1110,7,'MA Engine'!$I$6:$I$1110,"DO")</f>
        <v>39506955.3567586</v>
      </c>
      <c r="BL55" s="7" t="n">
        <f aca="false">SUMIFS('MA Engine'!$AK$6:$AK$1110,'MA Engine'!$B$6:$B$1110,$A55,'MA Engine'!$H$6:$H$1110,7,'MA Engine'!$I$6:$I$1110,"DO")</f>
        <v>39506955.3567586</v>
      </c>
      <c r="BM55" s="7" t="n">
        <f aca="false">SUMIFS('MA Engine'!$AL$6:$AL$1110,'MA Engine'!$B$6:$B$1110,$A55,'MA Engine'!$H$6:$H$1110,7,'MA Engine'!$I$6:$I$1110,"DO")+SUMIFS('MA Engine'!$AM$6:$AM$1110,'MA Engine'!$B$6:$B$1110,$A55,'MA Engine'!$H$6:$H$1110,7,'MA Engine'!$I$6:$I$1110,"DO")</f>
        <v>0</v>
      </c>
      <c r="BN55" s="9" t="n">
        <f aca="false">BK55-BL55-BM55</f>
        <v>0</v>
      </c>
      <c r="BO55" s="7" t="n">
        <f aca="false">IF(BC55=0,0,SUMIFS('Data SKU'!$G$5:$G$116,'Data SKU'!$A$5:$A$116,$C55,'Data SKU'!$B$5:$B$116,$D55,'Data SKU'!$C$5:$C$116,$E55,'Data SKU'!$D$5:$D$116,7,'Data SKU'!$N$5:$N$116,"Invoiced")/SUMIFS($BC$36:$BC$127,$C$36:$C$127,$C55,$D$36:$D$127,$D55,$E$36:$E$127,$E55)*BC55)</f>
        <v>46002000</v>
      </c>
      <c r="BP55" s="9" t="n">
        <f aca="false">IF(BC55=0,0,BO55*BG55/BC55)</f>
        <v>46002000</v>
      </c>
      <c r="BQ55" s="9" t="n">
        <f aca="false">IF(BC55=0,0,BO55*BH55/BC55)</f>
        <v>0</v>
      </c>
    </row>
    <row r="56" customFormat="false" ht="15" hidden="false" customHeight="false" outlineLevel="0" collapsed="false">
      <c r="A56" s="74" t="s">
        <v>968</v>
      </c>
      <c r="B56" s="53" t="str">
        <f aca="false">INDEX(I_Items!$B$5:$B$133,MATCH($A56,I_Items!$A$5:$A$133,0))&amp;""</f>
        <v>Boneless BLP Fresh Premium</v>
      </c>
      <c r="C56" s="53" t="str">
        <f aca="false">INDEX(I_Items!$C$5:$C$133,MATCH($A56,I_Items!$A$5:$A$133,0))&amp;""</f>
        <v>RPA</v>
      </c>
      <c r="D56" s="53" t="str">
        <f aca="false">INDEX(I_Items!$D$5:$D$133,MATCH($A56,I_Items!$A$5:$A$133,0))&amp;""</f>
        <v>BLP</v>
      </c>
      <c r="E56" s="53" t="str">
        <f aca="false">INDEX(I_Items!$F$5:$F$133,MATCH($A56,I_Items!$A$5:$A$133,0))&amp;""</f>
        <v>Fresh</v>
      </c>
      <c r="F56" s="53" t="str">
        <f aca="false">INDEX(I_Items!$E$5:$E$133,MATCH($A56,I_Items!$A$5:$A$133,0))&amp;""</f>
        <v/>
      </c>
      <c r="G56" s="6" t="str">
        <f aca="false">IF(P56=0,"-",IF(M56=0,"A",IF(K56&lt;=0,"C","B")))</f>
        <v>A</v>
      </c>
      <c r="H56" s="13" t="n">
        <f aca="false">SUMIFS('MA Engine'!$K$6:$K$1110,'MA Engine'!$B$6:$B$1110,$A56,'MA Engine'!$I$6:$I$1110,"Opening")</f>
        <v>274.57</v>
      </c>
      <c r="I56" s="13" t="n">
        <f aca="false">SUMIFS('MA Engine'!$K$6:$K$1110,'MA Engine'!$B$6:$B$1110,$A56,'MA Engine'!$H$6:$H$1110,7,'MA Engine'!$I$6:$I$1110,"&lt;&gt;Opening")</f>
        <v>0</v>
      </c>
      <c r="J56" s="13" t="n">
        <f aca="false">SUMIFS('MA Engine'!$W$6:$W$1110,'MA Engine'!$B$6:$B$1110,$A56,'MA Engine'!$H$6:$H$1110,7)</f>
        <v>0</v>
      </c>
      <c r="K56" s="14" t="n">
        <f aca="false">H56+I56-J56</f>
        <v>274.57</v>
      </c>
      <c r="L56" s="7" t="n">
        <f aca="false">SUMIFS('MA Engine'!$L$6:$L$1110,'MA Engine'!$B$6:$B$1110,$A56,'MA Engine'!$I$6:$I$1110,"Opening")+SUMIFS('MA Engine'!$L$6:$L$1110,'MA Engine'!$B$6:$B$1110,$A56,'MA Engine'!$H$6:$H$1110,7,'MA Engine'!$I$6:$I$1110,"&lt;&gt;Opening")-SUMIFS('MA Engine'!$X$6:$X$1110,'MA Engine'!$B$6:$B$1110,$A56,'MA Engine'!$H$6:$H$1110,7)</f>
        <v>11773253.58</v>
      </c>
      <c r="M56" s="13" t="n">
        <f aca="false">SUMIFS('MA Engine'!$K$6:$K$1110,'MA Engine'!$B$6:$B$1110,$A56,'MA Engine'!$H$6:$H$1110,8)</f>
        <v>0</v>
      </c>
      <c r="N56" s="7" t="n">
        <f aca="false">SUMIFS('MA Engine'!$L$6:$L$1110,'MA Engine'!$B$6:$B$1110,$A56,'MA Engine'!$H$6:$H$1110,8)</f>
        <v>0</v>
      </c>
      <c r="O56" s="13" t="n">
        <f aca="false">SUMIFS('MA Engine'!$W$6:$W$1110,'MA Engine'!$B$6:$B$1110,$A56,'MA Engine'!$H$6:$H$1110,8)</f>
        <v>274.57</v>
      </c>
      <c r="P56" s="14" t="n">
        <f aca="false">Q56+R56</f>
        <v>274.57</v>
      </c>
      <c r="Q56" s="13" t="n">
        <f aca="false">SUMIFS('MA Engine'!$W$6:$W$1110,'MA Engine'!$B$6:$B$1110,$A56,'MA Engine'!$H$6:$H$1110,8,'MA Engine'!$I$6:$I$1110,"DO",'MA Engine'!$P$6:$P$1110,"&lt;&gt;Y")</f>
        <v>274.57</v>
      </c>
      <c r="R56" s="13" t="n">
        <f aca="false">SUMIFS('MA Engine'!$W$6:$W$1110,'MA Engine'!$B$6:$B$1110,$A56,'MA Engine'!$H$6:$H$1110,8,'MA Engine'!$I$6:$I$1110,"Unbilled")</f>
        <v>0</v>
      </c>
      <c r="S56" s="13" t="n">
        <f aca="false">SUMIFS('MA Engine'!$W$6:$W$1110,'MA Engine'!$B$6:$B$1110,$A56,'MA Engine'!$H$6:$H$1110,8,'MA Engine'!$P$6:$P$1110,"Y")</f>
        <v>0</v>
      </c>
      <c r="T56" s="14" t="n">
        <f aca="false">O56-P56-S56</f>
        <v>0</v>
      </c>
      <c r="U56" s="14" t="n">
        <f aca="false">MAX(0,H56-J56)</f>
        <v>274.57</v>
      </c>
      <c r="V56" s="14" t="n">
        <f aca="false">MAX(0,K56-U56)</f>
        <v>0</v>
      </c>
      <c r="W56" s="14" t="n">
        <f aca="false">MIN(U56,O56)</f>
        <v>274.57</v>
      </c>
      <c r="X56" s="14" t="n">
        <f aca="false">MIN(V56,O56-W56)</f>
        <v>0</v>
      </c>
      <c r="Y56" s="14" t="n">
        <f aca="false">O56-W56-X56</f>
        <v>0</v>
      </c>
      <c r="Z56" s="21" t="n">
        <f aca="false">IF(O56=0,0,P56/O56)</f>
        <v>1</v>
      </c>
      <c r="AA56" s="13" t="n">
        <f aca="false">SUMIFS('MA Engine'!$AH$6:$AH$1110,'MA Engine'!$B$6:$B$1110,$A56,'MA Engine'!$H$6:$H$1110,8,'MA Engine'!$I$6:$I$1110,"DO",'MA Engine'!$P$6:$P$1110,"&lt;&gt;Y")+SUMIFS('MA Engine'!$AH$6:$AH$1110,'MA Engine'!$B$6:$B$1110,$A56,'MA Engine'!$H$6:$H$1110,8,'MA Engine'!$I$6:$I$1110,"Unbilled")</f>
        <v>274.57</v>
      </c>
      <c r="AB56" s="13" t="n">
        <f aca="false">SUMIFS('MA Engine'!$AI$6:$AI$1110,'MA Engine'!$B$6:$B$1110,$A56,'MA Engine'!$H$6:$H$1110,8,'MA Engine'!$I$6:$I$1110,"DO",'MA Engine'!$P$6:$P$1110,"&lt;&gt;Y")+SUMIFS('MA Engine'!$AI$6:$AI$1110,'MA Engine'!$B$6:$B$1110,$A56,'MA Engine'!$H$6:$H$1110,8,'MA Engine'!$I$6:$I$1110,"Unbilled")</f>
        <v>0</v>
      </c>
      <c r="AC56" s="13" t="n">
        <f aca="false">SUMIFS('MA Engine'!$AJ$6:$AJ$1110,'MA Engine'!$B$6:$B$1110,$A56,'MA Engine'!$H$6:$H$1110,8,'MA Engine'!$I$6:$I$1110,"DO",'MA Engine'!$P$6:$P$1110,"&lt;&gt;Y")+SUMIFS('MA Engine'!$AJ$6:$AJ$1110,'MA Engine'!$B$6:$B$1110,$A56,'MA Engine'!$H$6:$H$1110,8,'MA Engine'!$I$6:$I$1110,"Unbilled")</f>
        <v>0</v>
      </c>
      <c r="AD56" s="7" t="n">
        <f aca="false">SUMIFS('MA Engine'!$L$6:$L$1110,'MA Engine'!$B$6:$B$1110,$A56,'MA Engine'!$H$6:$H$1110,7,'MA Engine'!$I$6:$I$1110,"&lt;&gt;Opening")</f>
        <v>0</v>
      </c>
      <c r="AE56" s="9" t="n">
        <f aca="false">IF(AND(U56&gt;0.0001,(L56-V56*IF(I56&gt;0,AD56/I56,IF(K56&gt;0,L56/K56,0)))&lt;0),IF(K56&gt;0,L56/K56,0),IF(I56&gt;0,AD56/I56,IF(K56&gt;0,L56/K56,0)))</f>
        <v>42878.8781731435</v>
      </c>
      <c r="AF56" s="9" t="n">
        <f aca="false">IF(U56&lt;=0.0001,IF(K56&gt;0,L56/K56,0),IF((L56-V56*IF(I56&gt;0,AD56/I56,IF(K56&gt;0,L56/K56,0)))&lt;0,IF(K56&gt;0,L56/K56,0),(L56-V56*IF(I56&gt;0,AD56/I56,IF(K56&gt;0,L56/K56,0)))/U56))</f>
        <v>42878.8781731435</v>
      </c>
      <c r="AG56" s="9" t="n">
        <f aca="false">IF(M56&gt;0,N56/M56,IF(K56&gt;0,L56/K56,0))</f>
        <v>42878.8781731435</v>
      </c>
      <c r="AH56" s="7" t="n">
        <f aca="false">SUMIFS('MA Engine'!$X$6:$X$1110,'MA Engine'!$B$6:$B$1110,$A56,'MA Engine'!$H$6:$H$1110,8,'MA Engine'!$I$6:$I$1110,"DO",'MA Engine'!$P$6:$P$1110,"&lt;&gt;Y")+SUMIFS('MA Engine'!$X$6:$X$1110,'MA Engine'!$B$6:$B$1110,$A56,'MA Engine'!$H$6:$H$1110,8,'MA Engine'!$I$6:$I$1110,"Unbilled")</f>
        <v>11773253.58</v>
      </c>
      <c r="AI56" s="7" t="n">
        <f aca="false">SUMIFS('MA Engine'!$AK$6:$AK$1110,'MA Engine'!$B$6:$B$1110,$A56,'MA Engine'!$H$6:$H$1110,8,'MA Engine'!$I$6:$I$1110,"DO",'MA Engine'!$P$6:$P$1110,"&lt;&gt;Y")+SUMIFS('MA Engine'!$AK$6:$AK$1110,'MA Engine'!$B$6:$B$1110,$A56,'MA Engine'!$H$6:$H$1110,8,'MA Engine'!$I$6:$I$1110,"Unbilled")</f>
        <v>11773253.58</v>
      </c>
      <c r="AJ56" s="7" t="n">
        <f aca="false">SUMIFS('MA Engine'!$AL$6:$AL$1110,'MA Engine'!$B$6:$B$1110,$A56,'MA Engine'!$H$6:$H$1110,8,'MA Engine'!$I$6:$I$1110,"DO",'MA Engine'!$P$6:$P$1110,"&lt;&gt;Y")+SUMIFS('MA Engine'!$AL$6:$AL$1110,'MA Engine'!$B$6:$B$1110,$A56,'MA Engine'!$H$6:$H$1110,8,'MA Engine'!$I$6:$I$1110,"Unbilled")</f>
        <v>0</v>
      </c>
      <c r="AK56" s="7" t="n">
        <f aca="false">SUMIFS('MA Engine'!$AM$6:$AM$1110,'MA Engine'!$B$6:$B$1110,$A56,'MA Engine'!$H$6:$H$1110,8,'MA Engine'!$I$6:$I$1110,"DO",'MA Engine'!$P$6:$P$1110,"&lt;&gt;Y")+SUMIFS('MA Engine'!$AM$6:$AM$1110,'MA Engine'!$B$6:$B$1110,$A56,'MA Engine'!$H$6:$H$1110,8,'MA Engine'!$I$6:$I$1110,"Unbilled")</f>
        <v>0</v>
      </c>
      <c r="AL56" s="9" t="n">
        <f aca="false">AH56-AI56-AJ56-AK56</f>
        <v>0</v>
      </c>
      <c r="AM56" s="7" t="n">
        <f aca="false">IF(Q56=0,0,IF($D56="Karkas",SUMIFS('Karkas Detail'!$E$6:$E$42,'Karkas Detail'!$A$6:$A$42,$C56,'Karkas Detail'!$B$6:$B$42,$F56,'Karkas Detail'!$C$6:$C$42,$E56)/SUMIFS($Q$36:$Q$127,$C$36:$C$127,$C56,$D$36:$D$127,"Karkas",$F$36:$F$127,$F56,$E$36:$E$127,$E56),SUMIFS('Data SKU'!$G$5:$G$116,'Data SKU'!$A$5:$A$116,$C56,'Data SKU'!$B$5:$B$116,$D56,'Data SKU'!$C$5:$C$116,$E56,'Data SKU'!$D$5:$D$116,8,'Data SKU'!$N$5:$N$116,"Invoiced")/SUMIFS($Q$36:$Q$127,$C$36:$C$127,$C56,$D$36:$D$127,$D56,$E$36:$E$127,$E56))*Q56)+SUMIFS(Unbilled!$U$22:$U$38,Unbilled!$E$22:$E$38,$A56)</f>
        <v>10982800</v>
      </c>
      <c r="AN56" s="9" t="n">
        <f aca="false">IF(P56=0,0,AM56*AA56/P56)</f>
        <v>10982800</v>
      </c>
      <c r="AO56" s="9" t="n">
        <f aca="false">IF(P56=0,0,AM56*AB56/P56)</f>
        <v>0</v>
      </c>
      <c r="AP56" s="9" t="n">
        <f aca="false">IF(P56=0,0,AM56*AC56/P56)</f>
        <v>0</v>
      </c>
      <c r="AQ56" s="14" t="n">
        <f aca="false">MIN(U56+V56,MAX(0,O56-M56))</f>
        <v>274.57</v>
      </c>
      <c r="AR56" s="14" t="n">
        <f aca="false">MAX(0,AQ56-V56)*Z56</f>
        <v>274.57</v>
      </c>
      <c r="AS56" s="14" t="n">
        <f aca="false">MIN(V56,AQ56)*Z56</f>
        <v>0</v>
      </c>
      <c r="AT56" s="14" t="n">
        <f aca="false">(O56-AQ56)*Z56</f>
        <v>0</v>
      </c>
      <c r="AU56" s="9" t="n">
        <f aca="false">(AR56+AS56+AT56)*BA56</f>
        <v>11773253.58</v>
      </c>
      <c r="AV56" s="9" t="n">
        <f aca="false">IF(P56=0,0,AM56*AR56/P56)</f>
        <v>10982800</v>
      </c>
      <c r="AW56" s="9" t="n">
        <f aca="false">IF(P56=0,0,AM56*AS56/P56)</f>
        <v>0</v>
      </c>
      <c r="AX56" s="9" t="n">
        <f aca="false">IF(P56=0,0,AM56*AT56/P56)</f>
        <v>0</v>
      </c>
      <c r="AY56" s="9" t="n">
        <f aca="false">AH56-AU56</f>
        <v>0</v>
      </c>
      <c r="AZ56" s="9" t="n">
        <f aca="false">IF(M56&gt;0,P56*AG56,0)</f>
        <v>0</v>
      </c>
      <c r="BA56" s="9" t="n">
        <f aca="false">IF(P56=0,0,AH56/P56)</f>
        <v>42878.8781731435</v>
      </c>
      <c r="BB56" s="74" t="s">
        <v>835</v>
      </c>
      <c r="BC56" s="13" t="n">
        <f aca="false">SUMIFS('MA Engine'!$W$6:$W$1110,'MA Engine'!$B$6:$B$1110,$A56,'MA Engine'!$H$6:$H$1110,7,'MA Engine'!$I$6:$I$1110,"DO")</f>
        <v>0</v>
      </c>
      <c r="BD56" s="14" t="n">
        <f aca="false">MIN(MAX(0,H56),J56)</f>
        <v>0</v>
      </c>
      <c r="BE56" s="14" t="n">
        <f aca="false">J56-BD56</f>
        <v>0</v>
      </c>
      <c r="BF56" s="21" t="n">
        <f aca="false">IF(J56=0,0,BC56/J56)</f>
        <v>0</v>
      </c>
      <c r="BG56" s="13" t="n">
        <f aca="false">SUMIFS('MA Engine'!$AH$6:$AH$1110,'MA Engine'!$B$6:$B$1110,$A56,'MA Engine'!$H$6:$H$1110,7,'MA Engine'!$I$6:$I$1110,"DO")</f>
        <v>0</v>
      </c>
      <c r="BH56" s="13" t="n">
        <f aca="false">SUMIFS('MA Engine'!$AI$6:$AI$1110,'MA Engine'!$B$6:$B$1110,$A56,'MA Engine'!$H$6:$H$1110,7,'MA Engine'!$I$6:$I$1110,"DO")+SUMIFS('MA Engine'!$AJ$6:$AJ$1110,'MA Engine'!$B$6:$B$1110,$A56,'MA Engine'!$H$6:$H$1110,7,'MA Engine'!$I$6:$I$1110,"DO")</f>
        <v>0</v>
      </c>
      <c r="BI56" s="7" t="n">
        <f aca="false">IF(H56&gt;0,SUMIFS('MA Engine'!$L$6:$L$1110,'MA Engine'!$B$6:$B$1110,$A56,'MA Engine'!$I$6:$I$1110,"Opening")/H56,0)</f>
        <v>42878.8781731435</v>
      </c>
      <c r="BJ56" s="9" t="n">
        <f aca="false">IF(I56&gt;0,AD56/I56,BI56)</f>
        <v>42878.8781731435</v>
      </c>
      <c r="BK56" s="7" t="n">
        <f aca="false">SUMIFS('MA Engine'!$X$6:$X$1110,'MA Engine'!$B$6:$B$1110,$A56,'MA Engine'!$H$6:$H$1110,7,'MA Engine'!$I$6:$I$1110,"DO")</f>
        <v>0</v>
      </c>
      <c r="BL56" s="7" t="n">
        <f aca="false">SUMIFS('MA Engine'!$AK$6:$AK$1110,'MA Engine'!$B$6:$B$1110,$A56,'MA Engine'!$H$6:$H$1110,7,'MA Engine'!$I$6:$I$1110,"DO")</f>
        <v>0</v>
      </c>
      <c r="BM56" s="7" t="n">
        <f aca="false">SUMIFS('MA Engine'!$AL$6:$AL$1110,'MA Engine'!$B$6:$B$1110,$A56,'MA Engine'!$H$6:$H$1110,7,'MA Engine'!$I$6:$I$1110,"DO")+SUMIFS('MA Engine'!$AM$6:$AM$1110,'MA Engine'!$B$6:$B$1110,$A56,'MA Engine'!$H$6:$H$1110,7,'MA Engine'!$I$6:$I$1110,"DO")</f>
        <v>0</v>
      </c>
      <c r="BN56" s="9" t="n">
        <f aca="false">BK56-BL56-BM56</f>
        <v>0</v>
      </c>
      <c r="BO56" s="7" t="n">
        <f aca="false">IF(BC56=0,0,SUMIFS('Data SKU'!$G$5:$G$116,'Data SKU'!$A$5:$A$116,$C56,'Data SKU'!$B$5:$B$116,$D56,'Data SKU'!$C$5:$C$116,$E56,'Data SKU'!$D$5:$D$116,7,'Data SKU'!$N$5:$N$116,"Invoiced")/SUMIFS($BC$36:$BC$127,$C$36:$C$127,$C56,$D$36:$D$127,$D56,$E$36:$E$127,$E56)*BC56)</f>
        <v>0</v>
      </c>
      <c r="BP56" s="9" t="n">
        <f aca="false">IF(BC56=0,0,BO56*BG56/BC56)</f>
        <v>0</v>
      </c>
      <c r="BQ56" s="9" t="n">
        <f aca="false">IF(BC56=0,0,BO56*BH56/BC56)</f>
        <v>0</v>
      </c>
    </row>
    <row r="57" customFormat="false" ht="15" hidden="false" customHeight="false" outlineLevel="0" collapsed="false">
      <c r="A57" s="74" t="s">
        <v>969</v>
      </c>
      <c r="B57" s="53" t="str">
        <f aca="false">INDEX(I_Items!$B$5:$B$133,MATCH($A57,I_Items!$A$5:$A$133,0))&amp;""</f>
        <v>Boneless BLP Frozen Premium</v>
      </c>
      <c r="C57" s="53" t="str">
        <f aca="false">INDEX(I_Items!$C$5:$C$133,MATCH($A57,I_Items!$A$5:$A$133,0))&amp;""</f>
        <v>RPA</v>
      </c>
      <c r="D57" s="53" t="str">
        <f aca="false">INDEX(I_Items!$D$5:$D$133,MATCH($A57,I_Items!$A$5:$A$133,0))&amp;""</f>
        <v>BLP</v>
      </c>
      <c r="E57" s="53" t="str">
        <f aca="false">INDEX(I_Items!$F$5:$F$133,MATCH($A57,I_Items!$A$5:$A$133,0))&amp;""</f>
        <v>Frozen</v>
      </c>
      <c r="F57" s="53" t="str">
        <f aca="false">INDEX(I_Items!$E$5:$E$133,MATCH($A57,I_Items!$A$5:$A$133,0))&amp;""</f>
        <v/>
      </c>
      <c r="G57" s="6" t="str">
        <f aca="false">IF(P57=0,"-",IF(M57=0,"A",IF(K57&lt;=0,"C","B")))</f>
        <v>A</v>
      </c>
      <c r="H57" s="13" t="n">
        <f aca="false">SUMIFS('MA Engine'!$K$6:$K$1110,'MA Engine'!$B$6:$B$1110,$A57,'MA Engine'!$I$6:$I$1110,"Opening")</f>
        <v>1740.51</v>
      </c>
      <c r="I57" s="13" t="n">
        <f aca="false">SUMIFS('MA Engine'!$K$6:$K$1110,'MA Engine'!$B$6:$B$1110,$A57,'MA Engine'!$H$6:$H$1110,7,'MA Engine'!$I$6:$I$1110,"&lt;&gt;Opening")</f>
        <v>671</v>
      </c>
      <c r="J57" s="13" t="n">
        <f aca="false">SUMIFS('MA Engine'!$W$6:$W$1110,'MA Engine'!$B$6:$B$1110,$A57,'MA Engine'!$H$6:$H$1110,7)</f>
        <v>0</v>
      </c>
      <c r="K57" s="14" t="n">
        <f aca="false">H57+I57-J57</f>
        <v>2411.51</v>
      </c>
      <c r="L57" s="7" t="n">
        <f aca="false">SUMIFS('MA Engine'!$L$6:$L$1110,'MA Engine'!$B$6:$B$1110,$A57,'MA Engine'!$I$6:$I$1110,"Opening")+SUMIFS('MA Engine'!$L$6:$L$1110,'MA Engine'!$B$6:$B$1110,$A57,'MA Engine'!$H$6:$H$1110,7,'MA Engine'!$I$6:$I$1110,"&lt;&gt;Opening")-SUMIFS('MA Engine'!$X$6:$X$1110,'MA Engine'!$B$6:$B$1110,$A57,'MA Engine'!$H$6:$H$1110,7)</f>
        <v>83838633.6</v>
      </c>
      <c r="M57" s="13" t="n">
        <f aca="false">SUMIFS('MA Engine'!$K$6:$K$1110,'MA Engine'!$B$6:$B$1110,$A57,'MA Engine'!$H$6:$H$1110,8)</f>
        <v>0</v>
      </c>
      <c r="N57" s="7" t="n">
        <f aca="false">SUMIFS('MA Engine'!$L$6:$L$1110,'MA Engine'!$B$6:$B$1110,$A57,'MA Engine'!$H$6:$H$1110,8)</f>
        <v>0</v>
      </c>
      <c r="O57" s="13" t="n">
        <f aca="false">SUMIFS('MA Engine'!$W$6:$W$1110,'MA Engine'!$B$6:$B$1110,$A57,'MA Engine'!$H$6:$H$1110,8)</f>
        <v>2411.51</v>
      </c>
      <c r="P57" s="14" t="n">
        <f aca="false">Q57+R57</f>
        <v>2411.51</v>
      </c>
      <c r="Q57" s="13" t="n">
        <f aca="false">SUMIFS('MA Engine'!$W$6:$W$1110,'MA Engine'!$B$6:$B$1110,$A57,'MA Engine'!$H$6:$H$1110,8,'MA Engine'!$I$6:$I$1110,"DO",'MA Engine'!$P$6:$P$1110,"&lt;&gt;Y")</f>
        <v>2411.51</v>
      </c>
      <c r="R57" s="13" t="n">
        <f aca="false">SUMIFS('MA Engine'!$W$6:$W$1110,'MA Engine'!$B$6:$B$1110,$A57,'MA Engine'!$H$6:$H$1110,8,'MA Engine'!$I$6:$I$1110,"Unbilled")</f>
        <v>0</v>
      </c>
      <c r="S57" s="13" t="n">
        <f aca="false">SUMIFS('MA Engine'!$W$6:$W$1110,'MA Engine'!$B$6:$B$1110,$A57,'MA Engine'!$H$6:$H$1110,8,'MA Engine'!$P$6:$P$1110,"Y")</f>
        <v>0</v>
      </c>
      <c r="T57" s="14" t="n">
        <f aca="false">O57-P57-S57</f>
        <v>0</v>
      </c>
      <c r="U57" s="14" t="n">
        <f aca="false">MAX(0,H57-J57)</f>
        <v>1740.51</v>
      </c>
      <c r="V57" s="14" t="n">
        <f aca="false">MAX(0,K57-U57)</f>
        <v>671</v>
      </c>
      <c r="W57" s="14" t="n">
        <f aca="false">MIN(U57,O57)</f>
        <v>1740.51</v>
      </c>
      <c r="X57" s="14" t="n">
        <f aca="false">MIN(V57,O57-W57)</f>
        <v>671</v>
      </c>
      <c r="Y57" s="14" t="n">
        <f aca="false">O57-W57-X57</f>
        <v>0</v>
      </c>
      <c r="Z57" s="21" t="n">
        <f aca="false">IF(O57=0,0,P57/O57)</f>
        <v>1</v>
      </c>
      <c r="AA57" s="13" t="n">
        <f aca="false">SUMIFS('MA Engine'!$AH$6:$AH$1110,'MA Engine'!$B$6:$B$1110,$A57,'MA Engine'!$H$6:$H$1110,8,'MA Engine'!$I$6:$I$1110,"DO",'MA Engine'!$P$6:$P$1110,"&lt;&gt;Y")+SUMIFS('MA Engine'!$AH$6:$AH$1110,'MA Engine'!$B$6:$B$1110,$A57,'MA Engine'!$H$6:$H$1110,8,'MA Engine'!$I$6:$I$1110,"Unbilled")</f>
        <v>1740.51</v>
      </c>
      <c r="AB57" s="13" t="n">
        <f aca="false">SUMIFS('MA Engine'!$AI$6:$AI$1110,'MA Engine'!$B$6:$B$1110,$A57,'MA Engine'!$H$6:$H$1110,8,'MA Engine'!$I$6:$I$1110,"DO",'MA Engine'!$P$6:$P$1110,"&lt;&gt;Y")+SUMIFS('MA Engine'!$AI$6:$AI$1110,'MA Engine'!$B$6:$B$1110,$A57,'MA Engine'!$H$6:$H$1110,8,'MA Engine'!$I$6:$I$1110,"Unbilled")</f>
        <v>671</v>
      </c>
      <c r="AC57" s="13" t="n">
        <f aca="false">SUMIFS('MA Engine'!$AJ$6:$AJ$1110,'MA Engine'!$B$6:$B$1110,$A57,'MA Engine'!$H$6:$H$1110,8,'MA Engine'!$I$6:$I$1110,"DO",'MA Engine'!$P$6:$P$1110,"&lt;&gt;Y")+SUMIFS('MA Engine'!$AJ$6:$AJ$1110,'MA Engine'!$B$6:$B$1110,$A57,'MA Engine'!$H$6:$H$1110,8,'MA Engine'!$I$6:$I$1110,"Unbilled")</f>
        <v>0</v>
      </c>
      <c r="AD57" s="7" t="n">
        <f aca="false">SUMIFS('MA Engine'!$L$6:$L$1110,'MA Engine'!$B$6:$B$1110,$A57,'MA Engine'!$H$6:$H$1110,7,'MA Engine'!$I$6:$I$1110,"&lt;&gt;Opening")</f>
        <v>14500262.49</v>
      </c>
      <c r="AE57" s="9" t="n">
        <f aca="false">IF(AND(U57&gt;0.0001,(L57-V57*IF(I57&gt;0,AD57/I57,IF(K57&gt;0,L57/K57,0)))&lt;0),IF(K57&gt;0,L57/K57,0),IF(I57&gt;0,AD57/I57,IF(K57&gt;0,L57/K57,0)))</f>
        <v>21609.929195231</v>
      </c>
      <c r="AF57" s="9" t="n">
        <f aca="false">IF(U57&lt;=0.0001,IF(K57&gt;0,L57/K57,0),IF((L57-V57*IF(I57&gt;0,AD57/I57,IF(K57&gt;0,L57/K57,0)))&lt;0,IF(K57&gt;0,L57/K57,0),(L57-V57*IF(I57&gt;0,AD57/I57,IF(K57&gt;0,L57/K57,0)))/U57))</f>
        <v>39837.961924953</v>
      </c>
      <c r="AG57" s="9" t="n">
        <f aca="false">IF(M57&gt;0,N57/M57,IF(K57&gt;0,L57/K57,0))</f>
        <v>34766.0319053207</v>
      </c>
      <c r="AH57" s="7" t="n">
        <f aca="false">SUMIFS('MA Engine'!$X$6:$X$1110,'MA Engine'!$B$6:$B$1110,$A57,'MA Engine'!$H$6:$H$1110,8,'MA Engine'!$I$6:$I$1110,"DO",'MA Engine'!$P$6:$P$1110,"&lt;&gt;Y")+SUMIFS('MA Engine'!$X$6:$X$1110,'MA Engine'!$B$6:$B$1110,$A57,'MA Engine'!$H$6:$H$1110,8,'MA Engine'!$I$6:$I$1110,"Unbilled")</f>
        <v>83838633.6</v>
      </c>
      <c r="AI57" s="7" t="n">
        <f aca="false">SUMIFS('MA Engine'!$AK$6:$AK$1110,'MA Engine'!$B$6:$B$1110,$A57,'MA Engine'!$H$6:$H$1110,8,'MA Engine'!$I$6:$I$1110,"DO",'MA Engine'!$P$6:$P$1110,"&lt;&gt;Y")+SUMIFS('MA Engine'!$AK$6:$AK$1110,'MA Engine'!$B$6:$B$1110,$A57,'MA Engine'!$H$6:$H$1110,8,'MA Engine'!$I$6:$I$1110,"Unbilled")</f>
        <v>60510626.1915298</v>
      </c>
      <c r="AJ57" s="7" t="n">
        <f aca="false">SUMIFS('MA Engine'!$AL$6:$AL$1110,'MA Engine'!$B$6:$B$1110,$A57,'MA Engine'!$H$6:$H$1110,8,'MA Engine'!$I$6:$I$1110,"DO",'MA Engine'!$P$6:$P$1110,"&lt;&gt;Y")+SUMIFS('MA Engine'!$AL$6:$AL$1110,'MA Engine'!$B$6:$B$1110,$A57,'MA Engine'!$H$6:$H$1110,8,'MA Engine'!$I$6:$I$1110,"Unbilled")</f>
        <v>23328007.4084702</v>
      </c>
      <c r="AK57" s="7" t="n">
        <f aca="false">SUMIFS('MA Engine'!$AM$6:$AM$1110,'MA Engine'!$B$6:$B$1110,$A57,'MA Engine'!$H$6:$H$1110,8,'MA Engine'!$I$6:$I$1110,"DO",'MA Engine'!$P$6:$P$1110,"&lt;&gt;Y")+SUMIFS('MA Engine'!$AM$6:$AM$1110,'MA Engine'!$B$6:$B$1110,$A57,'MA Engine'!$H$6:$H$1110,8,'MA Engine'!$I$6:$I$1110,"Unbilled")</f>
        <v>0</v>
      </c>
      <c r="AL57" s="9" t="n">
        <f aca="false">AH57-AI57-AJ57-AK57</f>
        <v>0</v>
      </c>
      <c r="AM57" s="7" t="n">
        <f aca="false">IF(Q57=0,0,IF($D57="Karkas",SUMIFS('Karkas Detail'!$E$6:$E$42,'Karkas Detail'!$A$6:$A$42,$C57,'Karkas Detail'!$B$6:$B$42,$F57,'Karkas Detail'!$C$6:$C$42,$E57)/SUMIFS($Q$36:$Q$127,$C$36:$C$127,$C57,$D$36:$D$127,"Karkas",$F$36:$F$127,$F57,$E$36:$E$127,$E57),SUMIFS('Data SKU'!$G$5:$G$116,'Data SKU'!$A$5:$A$116,$C57,'Data SKU'!$B$5:$B$116,$D57,'Data SKU'!$C$5:$C$116,$E57,'Data SKU'!$D$5:$D$116,8,'Data SKU'!$N$5:$N$116,"Invoiced")/SUMIFS($Q$36:$Q$127,$C$36:$C$127,$C57,$D$36:$D$127,$D57,$E$36:$E$127,$E57))*Q57)+SUMIFS(Unbilled!$U$22:$U$38,Unbilled!$E$22:$E$38,$A57)</f>
        <v>96460400</v>
      </c>
      <c r="AN57" s="9" t="n">
        <f aca="false">IF(P57=0,0,AM57*AA57/P57)</f>
        <v>69620400</v>
      </c>
      <c r="AO57" s="9" t="n">
        <f aca="false">IF(P57=0,0,AM57*AB57/P57)</f>
        <v>26840000</v>
      </c>
      <c r="AP57" s="9" t="n">
        <f aca="false">IF(P57=0,0,AM57*AC57/P57)</f>
        <v>0</v>
      </c>
      <c r="AQ57" s="14" t="n">
        <f aca="false">MIN(U57+V57,MAX(0,O57-M57))</f>
        <v>2411.51</v>
      </c>
      <c r="AR57" s="14" t="n">
        <f aca="false">MAX(0,AQ57-V57)*Z57</f>
        <v>1740.51</v>
      </c>
      <c r="AS57" s="14" t="n">
        <f aca="false">MIN(V57,AQ57)*Z57</f>
        <v>671</v>
      </c>
      <c r="AT57" s="14" t="n">
        <f aca="false">(O57-AQ57)*Z57</f>
        <v>0</v>
      </c>
      <c r="AU57" s="9" t="n">
        <f aca="false">(AR57+AS57+AT57)*BA57</f>
        <v>83838633.6</v>
      </c>
      <c r="AV57" s="9" t="n">
        <f aca="false">IF(P57=0,0,AM57*AR57/P57)</f>
        <v>69620400</v>
      </c>
      <c r="AW57" s="9" t="n">
        <f aca="false">IF(P57=0,0,AM57*AS57/P57)</f>
        <v>26840000</v>
      </c>
      <c r="AX57" s="9" t="n">
        <f aca="false">IF(P57=0,0,AM57*AT57/P57)</f>
        <v>0</v>
      </c>
      <c r="AY57" s="9" t="n">
        <f aca="false">AH57-AU57</f>
        <v>0</v>
      </c>
      <c r="AZ57" s="9" t="n">
        <f aca="false">IF(M57&gt;0,P57*AG57,0)</f>
        <v>0</v>
      </c>
      <c r="BA57" s="9" t="n">
        <f aca="false">IF(P57=0,0,AH57/P57)</f>
        <v>34766.0319053207</v>
      </c>
      <c r="BB57" s="74" t="s">
        <v>835</v>
      </c>
      <c r="BC57" s="13" t="n">
        <f aca="false">SUMIFS('MA Engine'!$W$6:$W$1110,'MA Engine'!$B$6:$B$1110,$A57,'MA Engine'!$H$6:$H$1110,7,'MA Engine'!$I$6:$I$1110,"DO")</f>
        <v>0</v>
      </c>
      <c r="BD57" s="14" t="n">
        <f aca="false">MIN(MAX(0,H57),J57)</f>
        <v>0</v>
      </c>
      <c r="BE57" s="14" t="n">
        <f aca="false">J57-BD57</f>
        <v>0</v>
      </c>
      <c r="BF57" s="21" t="n">
        <f aca="false">IF(J57=0,0,BC57/J57)</f>
        <v>0</v>
      </c>
      <c r="BG57" s="13" t="n">
        <f aca="false">SUMIFS('MA Engine'!$AH$6:$AH$1110,'MA Engine'!$B$6:$B$1110,$A57,'MA Engine'!$H$6:$H$1110,7,'MA Engine'!$I$6:$I$1110,"DO")</f>
        <v>0</v>
      </c>
      <c r="BH57" s="13" t="n">
        <f aca="false">SUMIFS('MA Engine'!$AI$6:$AI$1110,'MA Engine'!$B$6:$B$1110,$A57,'MA Engine'!$H$6:$H$1110,7,'MA Engine'!$I$6:$I$1110,"DO")+SUMIFS('MA Engine'!$AJ$6:$AJ$1110,'MA Engine'!$B$6:$B$1110,$A57,'MA Engine'!$H$6:$H$1110,7,'MA Engine'!$I$6:$I$1110,"DO")</f>
        <v>0</v>
      </c>
      <c r="BI57" s="7" t="n">
        <f aca="false">IF(H57&gt;0,SUMIFS('MA Engine'!$L$6:$L$1110,'MA Engine'!$B$6:$B$1110,$A57,'MA Engine'!$I$6:$I$1110,"Opening")/H57,0)</f>
        <v>39837.961924953</v>
      </c>
      <c r="BJ57" s="9" t="n">
        <f aca="false">IF(I57&gt;0,AD57/I57,BI57)</f>
        <v>21609.929195231</v>
      </c>
      <c r="BK57" s="7" t="n">
        <f aca="false">SUMIFS('MA Engine'!$X$6:$X$1110,'MA Engine'!$B$6:$B$1110,$A57,'MA Engine'!$H$6:$H$1110,7,'MA Engine'!$I$6:$I$1110,"DO")</f>
        <v>0</v>
      </c>
      <c r="BL57" s="7" t="n">
        <f aca="false">SUMIFS('MA Engine'!$AK$6:$AK$1110,'MA Engine'!$B$6:$B$1110,$A57,'MA Engine'!$H$6:$H$1110,7,'MA Engine'!$I$6:$I$1110,"DO")</f>
        <v>0</v>
      </c>
      <c r="BM57" s="7" t="n">
        <f aca="false">SUMIFS('MA Engine'!$AL$6:$AL$1110,'MA Engine'!$B$6:$B$1110,$A57,'MA Engine'!$H$6:$H$1110,7,'MA Engine'!$I$6:$I$1110,"DO")+SUMIFS('MA Engine'!$AM$6:$AM$1110,'MA Engine'!$B$6:$B$1110,$A57,'MA Engine'!$H$6:$H$1110,7,'MA Engine'!$I$6:$I$1110,"DO")</f>
        <v>0</v>
      </c>
      <c r="BN57" s="9" t="n">
        <f aca="false">BK57-BL57-BM57</f>
        <v>0</v>
      </c>
      <c r="BO57" s="7" t="n">
        <f aca="false">IF(BC57=0,0,SUMIFS('Data SKU'!$G$5:$G$116,'Data SKU'!$A$5:$A$116,$C57,'Data SKU'!$B$5:$B$116,$D57,'Data SKU'!$C$5:$C$116,$E57,'Data SKU'!$D$5:$D$116,7,'Data SKU'!$N$5:$N$116,"Invoiced")/SUMIFS($BC$36:$BC$127,$C$36:$C$127,$C57,$D$36:$D$127,$D57,$E$36:$E$127,$E57)*BC57)</f>
        <v>0</v>
      </c>
      <c r="BP57" s="9" t="n">
        <f aca="false">IF(BC57=0,0,BO57*BG57/BC57)</f>
        <v>0</v>
      </c>
      <c r="BQ57" s="9" t="n">
        <f aca="false">IF(BC57=0,0,BO57*BH57/BC57)</f>
        <v>0</v>
      </c>
    </row>
    <row r="58" customFormat="false" ht="15" hidden="false" customHeight="false" outlineLevel="0" collapsed="false">
      <c r="A58" s="74" t="s">
        <v>970</v>
      </c>
      <c r="B58" s="53" t="str">
        <f aca="false">INDEX(I_Items!$B$5:$B$133,MATCH($A58,I_Items!$A$5:$A$133,0))&amp;""</f>
        <v>Karkas Uk 0.4 Karkas Uk 0.4 Frozen Grade A</v>
      </c>
      <c r="C58" s="53" t="str">
        <f aca="false">INDEX(I_Items!$C$5:$C$133,MATCH($A58,I_Items!$A$5:$A$133,0))&amp;""</f>
        <v>RPA</v>
      </c>
      <c r="D58" s="53" t="str">
        <f aca="false">INDEX(I_Items!$D$5:$D$133,MATCH($A58,I_Items!$A$5:$A$133,0))&amp;""</f>
        <v>Karkas</v>
      </c>
      <c r="E58" s="53" t="str">
        <f aca="false">INDEX(I_Items!$F$5:$F$133,MATCH($A58,I_Items!$A$5:$A$133,0))&amp;""</f>
        <v>Frozen</v>
      </c>
      <c r="F58" s="53" t="str">
        <f aca="false">INDEX(I_Items!$E$5:$E$133,MATCH($A58,I_Items!$A$5:$A$133,0))&amp;""</f>
        <v>Uk 0.4</v>
      </c>
      <c r="G58" s="6" t="str">
        <f aca="false">IF(P58=0,"-",IF(M58=0,"A",IF(K58&lt;=0,"C","B")))</f>
        <v>A</v>
      </c>
      <c r="H58" s="13" t="n">
        <f aca="false">SUMIFS('MA Engine'!$K$6:$K$1110,'MA Engine'!$B$6:$B$1110,$A58,'MA Engine'!$I$6:$I$1110,"Opening")</f>
        <v>24</v>
      </c>
      <c r="I58" s="13" t="n">
        <f aca="false">SUMIFS('MA Engine'!$K$6:$K$1110,'MA Engine'!$B$6:$B$1110,$A58,'MA Engine'!$H$6:$H$1110,7,'MA Engine'!$I$6:$I$1110,"&lt;&gt;Opening")</f>
        <v>0</v>
      </c>
      <c r="J58" s="13" t="n">
        <f aca="false">SUMIFS('MA Engine'!$W$6:$W$1110,'MA Engine'!$B$6:$B$1110,$A58,'MA Engine'!$H$6:$H$1110,7)</f>
        <v>0</v>
      </c>
      <c r="K58" s="14" t="n">
        <f aca="false">H58+I58-J58</f>
        <v>24</v>
      </c>
      <c r="L58" s="7" t="n">
        <f aca="false">SUMIFS('MA Engine'!$L$6:$L$1110,'MA Engine'!$B$6:$B$1110,$A58,'MA Engine'!$I$6:$I$1110,"Opening")+SUMIFS('MA Engine'!$L$6:$L$1110,'MA Engine'!$B$6:$B$1110,$A58,'MA Engine'!$H$6:$H$1110,7,'MA Engine'!$I$6:$I$1110,"&lt;&gt;Opening")-SUMIFS('MA Engine'!$X$6:$X$1110,'MA Engine'!$B$6:$B$1110,$A58,'MA Engine'!$H$6:$H$1110,7)</f>
        <v>569442.41</v>
      </c>
      <c r="M58" s="13" t="n">
        <f aca="false">SUMIFS('MA Engine'!$K$6:$K$1110,'MA Engine'!$B$6:$B$1110,$A58,'MA Engine'!$H$6:$H$1110,8)</f>
        <v>0</v>
      </c>
      <c r="N58" s="7" t="n">
        <f aca="false">SUMIFS('MA Engine'!$L$6:$L$1110,'MA Engine'!$B$6:$B$1110,$A58,'MA Engine'!$H$6:$H$1110,8)</f>
        <v>0</v>
      </c>
      <c r="O58" s="13" t="n">
        <f aca="false">SUMIFS('MA Engine'!$W$6:$W$1110,'MA Engine'!$B$6:$B$1110,$A58,'MA Engine'!$H$6:$H$1110,8)</f>
        <v>14.4</v>
      </c>
      <c r="P58" s="14" t="n">
        <f aca="false">Q58+R58</f>
        <v>14.4</v>
      </c>
      <c r="Q58" s="13" t="n">
        <f aca="false">SUMIFS('MA Engine'!$W$6:$W$1110,'MA Engine'!$B$6:$B$1110,$A58,'MA Engine'!$H$6:$H$1110,8,'MA Engine'!$I$6:$I$1110,"DO",'MA Engine'!$P$6:$P$1110,"&lt;&gt;Y")</f>
        <v>14.4</v>
      </c>
      <c r="R58" s="13" t="n">
        <f aca="false">SUMIFS('MA Engine'!$W$6:$W$1110,'MA Engine'!$B$6:$B$1110,$A58,'MA Engine'!$H$6:$H$1110,8,'MA Engine'!$I$6:$I$1110,"Unbilled")</f>
        <v>0</v>
      </c>
      <c r="S58" s="13" t="n">
        <f aca="false">SUMIFS('MA Engine'!$W$6:$W$1110,'MA Engine'!$B$6:$B$1110,$A58,'MA Engine'!$H$6:$H$1110,8,'MA Engine'!$P$6:$P$1110,"Y")</f>
        <v>0</v>
      </c>
      <c r="T58" s="14" t="n">
        <f aca="false">O58-P58-S58</f>
        <v>0</v>
      </c>
      <c r="U58" s="14" t="n">
        <f aca="false">MAX(0,H58-J58)</f>
        <v>24</v>
      </c>
      <c r="V58" s="14" t="n">
        <f aca="false">MAX(0,K58-U58)</f>
        <v>0</v>
      </c>
      <c r="W58" s="14" t="n">
        <f aca="false">MIN(U58,O58)</f>
        <v>14.4</v>
      </c>
      <c r="X58" s="14" t="n">
        <f aca="false">MIN(V58,O58-W58)</f>
        <v>0</v>
      </c>
      <c r="Y58" s="14" t="n">
        <f aca="false">O58-W58-X58</f>
        <v>0</v>
      </c>
      <c r="Z58" s="21" t="n">
        <f aca="false">IF(O58=0,0,P58/O58)</f>
        <v>1</v>
      </c>
      <c r="AA58" s="13" t="n">
        <f aca="false">SUMIFS('MA Engine'!$AH$6:$AH$1110,'MA Engine'!$B$6:$B$1110,$A58,'MA Engine'!$H$6:$H$1110,8,'MA Engine'!$I$6:$I$1110,"DO",'MA Engine'!$P$6:$P$1110,"&lt;&gt;Y")+SUMIFS('MA Engine'!$AH$6:$AH$1110,'MA Engine'!$B$6:$B$1110,$A58,'MA Engine'!$H$6:$H$1110,8,'MA Engine'!$I$6:$I$1110,"Unbilled")</f>
        <v>14.4</v>
      </c>
      <c r="AB58" s="13" t="n">
        <f aca="false">SUMIFS('MA Engine'!$AI$6:$AI$1110,'MA Engine'!$B$6:$B$1110,$A58,'MA Engine'!$H$6:$H$1110,8,'MA Engine'!$I$6:$I$1110,"DO",'MA Engine'!$P$6:$P$1110,"&lt;&gt;Y")+SUMIFS('MA Engine'!$AI$6:$AI$1110,'MA Engine'!$B$6:$B$1110,$A58,'MA Engine'!$H$6:$H$1110,8,'MA Engine'!$I$6:$I$1110,"Unbilled")</f>
        <v>0</v>
      </c>
      <c r="AC58" s="13" t="n">
        <f aca="false">SUMIFS('MA Engine'!$AJ$6:$AJ$1110,'MA Engine'!$B$6:$B$1110,$A58,'MA Engine'!$H$6:$H$1110,8,'MA Engine'!$I$6:$I$1110,"DO",'MA Engine'!$P$6:$P$1110,"&lt;&gt;Y")+SUMIFS('MA Engine'!$AJ$6:$AJ$1110,'MA Engine'!$B$6:$B$1110,$A58,'MA Engine'!$H$6:$H$1110,8,'MA Engine'!$I$6:$I$1110,"Unbilled")</f>
        <v>0</v>
      </c>
      <c r="AD58" s="7" t="n">
        <f aca="false">SUMIFS('MA Engine'!$L$6:$L$1110,'MA Engine'!$B$6:$B$1110,$A58,'MA Engine'!$H$6:$H$1110,7,'MA Engine'!$I$6:$I$1110,"&lt;&gt;Opening")</f>
        <v>0</v>
      </c>
      <c r="AE58" s="9" t="n">
        <f aca="false">IF(AND(U58&gt;0.0001,(L58-V58*IF(I58&gt;0,AD58/I58,IF(K58&gt;0,L58/K58,0)))&lt;0),IF(K58&gt;0,L58/K58,0),IF(I58&gt;0,AD58/I58,IF(K58&gt;0,L58/K58,0)))</f>
        <v>23726.7670833333</v>
      </c>
      <c r="AF58" s="9" t="n">
        <f aca="false">IF(U58&lt;=0.0001,IF(K58&gt;0,L58/K58,0),IF((L58-V58*IF(I58&gt;0,AD58/I58,IF(K58&gt;0,L58/K58,0)))&lt;0,IF(K58&gt;0,L58/K58,0),(L58-V58*IF(I58&gt;0,AD58/I58,IF(K58&gt;0,L58/K58,0)))/U58))</f>
        <v>23726.7670833333</v>
      </c>
      <c r="AG58" s="9" t="n">
        <f aca="false">IF(M58&gt;0,N58/M58,IF(K58&gt;0,L58/K58,0))</f>
        <v>23726.7670833333</v>
      </c>
      <c r="AH58" s="7" t="n">
        <f aca="false">SUMIFS('MA Engine'!$X$6:$X$1110,'MA Engine'!$B$6:$B$1110,$A58,'MA Engine'!$H$6:$H$1110,8,'MA Engine'!$I$6:$I$1110,"DO",'MA Engine'!$P$6:$P$1110,"&lt;&gt;Y")+SUMIFS('MA Engine'!$X$6:$X$1110,'MA Engine'!$B$6:$B$1110,$A58,'MA Engine'!$H$6:$H$1110,8,'MA Engine'!$I$6:$I$1110,"Unbilled")</f>
        <v>341665.446</v>
      </c>
      <c r="AI58" s="7" t="n">
        <f aca="false">SUMIFS('MA Engine'!$AK$6:$AK$1110,'MA Engine'!$B$6:$B$1110,$A58,'MA Engine'!$H$6:$H$1110,8,'MA Engine'!$I$6:$I$1110,"DO",'MA Engine'!$P$6:$P$1110,"&lt;&gt;Y")+SUMIFS('MA Engine'!$AK$6:$AK$1110,'MA Engine'!$B$6:$B$1110,$A58,'MA Engine'!$H$6:$H$1110,8,'MA Engine'!$I$6:$I$1110,"Unbilled")</f>
        <v>341665.446</v>
      </c>
      <c r="AJ58" s="7" t="n">
        <f aca="false">SUMIFS('MA Engine'!$AL$6:$AL$1110,'MA Engine'!$B$6:$B$1110,$A58,'MA Engine'!$H$6:$H$1110,8,'MA Engine'!$I$6:$I$1110,"DO",'MA Engine'!$P$6:$P$1110,"&lt;&gt;Y")+SUMIFS('MA Engine'!$AL$6:$AL$1110,'MA Engine'!$B$6:$B$1110,$A58,'MA Engine'!$H$6:$H$1110,8,'MA Engine'!$I$6:$I$1110,"Unbilled")</f>
        <v>0</v>
      </c>
      <c r="AK58" s="7" t="n">
        <f aca="false">SUMIFS('MA Engine'!$AM$6:$AM$1110,'MA Engine'!$B$6:$B$1110,$A58,'MA Engine'!$H$6:$H$1110,8,'MA Engine'!$I$6:$I$1110,"DO",'MA Engine'!$P$6:$P$1110,"&lt;&gt;Y")+SUMIFS('MA Engine'!$AM$6:$AM$1110,'MA Engine'!$B$6:$B$1110,$A58,'MA Engine'!$H$6:$H$1110,8,'MA Engine'!$I$6:$I$1110,"Unbilled")</f>
        <v>0</v>
      </c>
      <c r="AL58" s="9" t="n">
        <f aca="false">AH58-AI58-AJ58-AK58</f>
        <v>0</v>
      </c>
      <c r="AM58" s="7" t="n">
        <f aca="false">IF(Q58=0,0,IF($D58="Karkas",SUMIFS('Karkas Detail'!$E$6:$E$42,'Karkas Detail'!$A$6:$A$42,$C58,'Karkas Detail'!$B$6:$B$42,$F58,'Karkas Detail'!$C$6:$C$42,$E58)/SUMIFS($Q$36:$Q$127,$C$36:$C$127,$C58,$D$36:$D$127,"Karkas",$F$36:$F$127,$F58,$E$36:$E$127,$E58),SUMIFS('Data SKU'!$G$5:$G$116,'Data SKU'!$A$5:$A$116,$C58,'Data SKU'!$B$5:$B$116,$D58,'Data SKU'!$C$5:$C$116,$E58,'Data SKU'!$D$5:$D$116,8,'Data SKU'!$N$5:$N$116,"Invoiced")/SUMIFS($Q$36:$Q$127,$C$36:$C$127,$C58,$D$36:$D$127,$D58,$E$36:$E$127,$E58))*Q58)+SUMIFS(Unbilled!$U$22:$U$38,Unbilled!$E$22:$E$38,$A58)</f>
        <v>432000</v>
      </c>
      <c r="AN58" s="9" t="n">
        <f aca="false">IF(P58=0,0,AM58*AA58/P58)</f>
        <v>432000</v>
      </c>
      <c r="AO58" s="9" t="n">
        <f aca="false">IF(P58=0,0,AM58*AB58/P58)</f>
        <v>0</v>
      </c>
      <c r="AP58" s="9" t="n">
        <f aca="false">IF(P58=0,0,AM58*AC58/P58)</f>
        <v>0</v>
      </c>
      <c r="AQ58" s="14" t="n">
        <f aca="false">MIN(U58+V58,MAX(0,O58-M58))</f>
        <v>14.4</v>
      </c>
      <c r="AR58" s="14" t="n">
        <f aca="false">MAX(0,AQ58-V58)*Z58</f>
        <v>14.4</v>
      </c>
      <c r="AS58" s="14" t="n">
        <f aca="false">MIN(V58,AQ58)*Z58</f>
        <v>0</v>
      </c>
      <c r="AT58" s="14" t="n">
        <f aca="false">(O58-AQ58)*Z58</f>
        <v>0</v>
      </c>
      <c r="AU58" s="9" t="n">
        <f aca="false">(AR58+AS58+AT58)*BA58</f>
        <v>341665.446</v>
      </c>
      <c r="AV58" s="9" t="n">
        <f aca="false">IF(P58=0,0,AM58*AR58/P58)</f>
        <v>432000</v>
      </c>
      <c r="AW58" s="9" t="n">
        <f aca="false">IF(P58=0,0,AM58*AS58/P58)</f>
        <v>0</v>
      </c>
      <c r="AX58" s="9" t="n">
        <f aca="false">IF(P58=0,0,AM58*AT58/P58)</f>
        <v>0</v>
      </c>
      <c r="AY58" s="9" t="n">
        <f aca="false">AH58-AU58</f>
        <v>0</v>
      </c>
      <c r="AZ58" s="9" t="n">
        <f aca="false">IF(M58&gt;0,P58*AG58,0)</f>
        <v>0</v>
      </c>
      <c r="BA58" s="9" t="n">
        <f aca="false">IF(P58=0,0,AH58/P58)</f>
        <v>23726.7670833333</v>
      </c>
      <c r="BB58" s="74" t="s">
        <v>838</v>
      </c>
      <c r="BC58" s="13" t="n">
        <f aca="false">SUMIFS('MA Engine'!$W$6:$W$1110,'MA Engine'!$B$6:$B$1110,$A58,'MA Engine'!$H$6:$H$1110,7,'MA Engine'!$I$6:$I$1110,"DO")</f>
        <v>0</v>
      </c>
      <c r="BD58" s="14" t="n">
        <f aca="false">MIN(MAX(0,H58),J58)</f>
        <v>0</v>
      </c>
      <c r="BE58" s="14" t="n">
        <f aca="false">J58-BD58</f>
        <v>0</v>
      </c>
      <c r="BF58" s="21" t="n">
        <f aca="false">IF(J58=0,0,BC58/J58)</f>
        <v>0</v>
      </c>
      <c r="BG58" s="13" t="n">
        <f aca="false">SUMIFS('MA Engine'!$AH$6:$AH$1110,'MA Engine'!$B$6:$B$1110,$A58,'MA Engine'!$H$6:$H$1110,7,'MA Engine'!$I$6:$I$1110,"DO")</f>
        <v>0</v>
      </c>
      <c r="BH58" s="13" t="n">
        <f aca="false">SUMIFS('MA Engine'!$AI$6:$AI$1110,'MA Engine'!$B$6:$B$1110,$A58,'MA Engine'!$H$6:$H$1110,7,'MA Engine'!$I$6:$I$1110,"DO")+SUMIFS('MA Engine'!$AJ$6:$AJ$1110,'MA Engine'!$B$6:$B$1110,$A58,'MA Engine'!$H$6:$H$1110,7,'MA Engine'!$I$6:$I$1110,"DO")</f>
        <v>0</v>
      </c>
      <c r="BI58" s="7" t="n">
        <f aca="false">IF(H58&gt;0,SUMIFS('MA Engine'!$L$6:$L$1110,'MA Engine'!$B$6:$B$1110,$A58,'MA Engine'!$I$6:$I$1110,"Opening")/H58,0)</f>
        <v>23726.7670833333</v>
      </c>
      <c r="BJ58" s="9" t="n">
        <f aca="false">IF(I58&gt;0,AD58/I58,BI58)</f>
        <v>23726.7670833333</v>
      </c>
      <c r="BK58" s="7" t="n">
        <f aca="false">SUMIFS('MA Engine'!$X$6:$X$1110,'MA Engine'!$B$6:$B$1110,$A58,'MA Engine'!$H$6:$H$1110,7,'MA Engine'!$I$6:$I$1110,"DO")</f>
        <v>0</v>
      </c>
      <c r="BL58" s="7" t="n">
        <f aca="false">SUMIFS('MA Engine'!$AK$6:$AK$1110,'MA Engine'!$B$6:$B$1110,$A58,'MA Engine'!$H$6:$H$1110,7,'MA Engine'!$I$6:$I$1110,"DO")</f>
        <v>0</v>
      </c>
      <c r="BM58" s="7" t="n">
        <f aca="false">SUMIFS('MA Engine'!$AL$6:$AL$1110,'MA Engine'!$B$6:$B$1110,$A58,'MA Engine'!$H$6:$H$1110,7,'MA Engine'!$I$6:$I$1110,"DO")+SUMIFS('MA Engine'!$AM$6:$AM$1110,'MA Engine'!$B$6:$B$1110,$A58,'MA Engine'!$H$6:$H$1110,7,'MA Engine'!$I$6:$I$1110,"DO")</f>
        <v>0</v>
      </c>
      <c r="BN58" s="9" t="n">
        <f aca="false">BK58-BL58-BM58</f>
        <v>0</v>
      </c>
      <c r="BO58" s="7" t="n">
        <f aca="false">IF(BC58=0,0,SUMIFS('Data SKU'!$G$5:$G$116,'Data SKU'!$A$5:$A$116,$C58,'Data SKU'!$B$5:$B$116,$D58,'Data SKU'!$C$5:$C$116,$E58,'Data SKU'!$D$5:$D$116,7,'Data SKU'!$N$5:$N$116,"Invoiced")/SUMIFS($BC$36:$BC$127,$C$36:$C$127,$C58,$D$36:$D$127,$D58,$E$36:$E$127,$E58)*BC58)</f>
        <v>0</v>
      </c>
      <c r="BP58" s="9" t="n">
        <f aca="false">IF(BC58=0,0,BO58*BG58/BC58)</f>
        <v>0</v>
      </c>
      <c r="BQ58" s="9" t="n">
        <f aca="false">IF(BC58=0,0,BO58*BH58/BC58)</f>
        <v>0</v>
      </c>
    </row>
    <row r="59" customFormat="false" ht="15" hidden="false" customHeight="false" outlineLevel="0" collapsed="false">
      <c r="A59" s="74" t="s">
        <v>971</v>
      </c>
      <c r="B59" s="53" t="str">
        <f aca="false">INDEX(I_Items!$B$5:$B$133,MATCH($A59,I_Items!$A$5:$A$133,0))&amp;""</f>
        <v>Karkas Uk 0.5 Karkas Uk 0.5 Frozen Grade A</v>
      </c>
      <c r="C59" s="53" t="str">
        <f aca="false">INDEX(I_Items!$C$5:$C$133,MATCH($A59,I_Items!$A$5:$A$133,0))&amp;""</f>
        <v>RPA</v>
      </c>
      <c r="D59" s="53" t="str">
        <f aca="false">INDEX(I_Items!$D$5:$D$133,MATCH($A59,I_Items!$A$5:$A$133,0))&amp;""</f>
        <v>Karkas</v>
      </c>
      <c r="E59" s="53" t="str">
        <f aca="false">INDEX(I_Items!$F$5:$F$133,MATCH($A59,I_Items!$A$5:$A$133,0))&amp;""</f>
        <v>Frozen</v>
      </c>
      <c r="F59" s="53" t="str">
        <f aca="false">INDEX(I_Items!$E$5:$E$133,MATCH($A59,I_Items!$A$5:$A$133,0))&amp;""</f>
        <v>Uk 0.5</v>
      </c>
      <c r="G59" s="6" t="str">
        <f aca="false">IF(P59=0,"-",IF(M59=0,"A",IF(K59&lt;=0,"C","B")))</f>
        <v>-</v>
      </c>
      <c r="H59" s="13" t="n">
        <f aca="false">SUMIFS('MA Engine'!$K$6:$K$1110,'MA Engine'!$B$6:$B$1110,$A59,'MA Engine'!$I$6:$I$1110,"Opening")</f>
        <v>78.9</v>
      </c>
      <c r="I59" s="13" t="n">
        <f aca="false">SUMIFS('MA Engine'!$K$6:$K$1110,'MA Engine'!$B$6:$B$1110,$A59,'MA Engine'!$H$6:$H$1110,7,'MA Engine'!$I$6:$I$1110,"&lt;&gt;Opening")</f>
        <v>0</v>
      </c>
      <c r="J59" s="13" t="n">
        <f aca="false">SUMIFS('MA Engine'!$W$6:$W$1110,'MA Engine'!$B$6:$B$1110,$A59,'MA Engine'!$H$6:$H$1110,7)</f>
        <v>0</v>
      </c>
      <c r="K59" s="14" t="n">
        <f aca="false">H59+I59-J59</f>
        <v>78.9</v>
      </c>
      <c r="L59" s="7" t="n">
        <f aca="false">SUMIFS('MA Engine'!$L$6:$L$1110,'MA Engine'!$B$6:$B$1110,$A59,'MA Engine'!$I$6:$I$1110,"Opening")+SUMIFS('MA Engine'!$L$6:$L$1110,'MA Engine'!$B$6:$B$1110,$A59,'MA Engine'!$H$6:$H$1110,7,'MA Engine'!$I$6:$I$1110,"&lt;&gt;Opening")-SUMIFS('MA Engine'!$X$6:$X$1110,'MA Engine'!$B$6:$B$1110,$A59,'MA Engine'!$H$6:$H$1110,7)</f>
        <v>1864644.95</v>
      </c>
      <c r="M59" s="13" t="n">
        <f aca="false">SUMIFS('MA Engine'!$K$6:$K$1110,'MA Engine'!$B$6:$B$1110,$A59,'MA Engine'!$H$6:$H$1110,8)</f>
        <v>12.9</v>
      </c>
      <c r="N59" s="7" t="n">
        <f aca="false">SUMIFS('MA Engine'!$L$6:$L$1110,'MA Engine'!$B$6:$B$1110,$A59,'MA Engine'!$H$6:$H$1110,8)</f>
        <v>448165</v>
      </c>
      <c r="O59" s="13" t="n">
        <f aca="false">SUMIFS('MA Engine'!$W$6:$W$1110,'MA Engine'!$B$6:$B$1110,$A59,'MA Engine'!$H$6:$H$1110,8)</f>
        <v>0</v>
      </c>
      <c r="P59" s="14" t="n">
        <f aca="false">Q59+R59</f>
        <v>0</v>
      </c>
      <c r="Q59" s="13" t="n">
        <f aca="false">SUMIFS('MA Engine'!$W$6:$W$1110,'MA Engine'!$B$6:$B$1110,$A59,'MA Engine'!$H$6:$H$1110,8,'MA Engine'!$I$6:$I$1110,"DO",'MA Engine'!$P$6:$P$1110,"&lt;&gt;Y")</f>
        <v>0</v>
      </c>
      <c r="R59" s="13" t="n">
        <f aca="false">SUMIFS('MA Engine'!$W$6:$W$1110,'MA Engine'!$B$6:$B$1110,$A59,'MA Engine'!$H$6:$H$1110,8,'MA Engine'!$I$6:$I$1110,"Unbilled")</f>
        <v>0</v>
      </c>
      <c r="S59" s="13" t="n">
        <f aca="false">SUMIFS('MA Engine'!$W$6:$W$1110,'MA Engine'!$B$6:$B$1110,$A59,'MA Engine'!$H$6:$H$1110,8,'MA Engine'!$P$6:$P$1110,"Y")</f>
        <v>0</v>
      </c>
      <c r="T59" s="14" t="n">
        <f aca="false">O59-P59-S59</f>
        <v>0</v>
      </c>
      <c r="U59" s="14" t="n">
        <f aca="false">MAX(0,H59-J59)</f>
        <v>78.9</v>
      </c>
      <c r="V59" s="14" t="n">
        <f aca="false">MAX(0,K59-U59)</f>
        <v>0</v>
      </c>
      <c r="W59" s="14" t="n">
        <f aca="false">MIN(U59,O59)</f>
        <v>0</v>
      </c>
      <c r="X59" s="14" t="n">
        <f aca="false">MIN(V59,O59-W59)</f>
        <v>0</v>
      </c>
      <c r="Y59" s="14" t="n">
        <f aca="false">O59-W59-X59</f>
        <v>0</v>
      </c>
      <c r="Z59" s="21" t="n">
        <f aca="false">IF(O59=0,0,P59/O59)</f>
        <v>0</v>
      </c>
      <c r="AA59" s="13" t="n">
        <f aca="false">SUMIFS('MA Engine'!$AH$6:$AH$1110,'MA Engine'!$B$6:$B$1110,$A59,'MA Engine'!$H$6:$H$1110,8,'MA Engine'!$I$6:$I$1110,"DO",'MA Engine'!$P$6:$P$1110,"&lt;&gt;Y")+SUMIFS('MA Engine'!$AH$6:$AH$1110,'MA Engine'!$B$6:$B$1110,$A59,'MA Engine'!$H$6:$H$1110,8,'MA Engine'!$I$6:$I$1110,"Unbilled")</f>
        <v>0</v>
      </c>
      <c r="AB59" s="13" t="n">
        <f aca="false">SUMIFS('MA Engine'!$AI$6:$AI$1110,'MA Engine'!$B$6:$B$1110,$A59,'MA Engine'!$H$6:$H$1110,8,'MA Engine'!$I$6:$I$1110,"DO",'MA Engine'!$P$6:$P$1110,"&lt;&gt;Y")+SUMIFS('MA Engine'!$AI$6:$AI$1110,'MA Engine'!$B$6:$B$1110,$A59,'MA Engine'!$H$6:$H$1110,8,'MA Engine'!$I$6:$I$1110,"Unbilled")</f>
        <v>0</v>
      </c>
      <c r="AC59" s="13" t="n">
        <f aca="false">SUMIFS('MA Engine'!$AJ$6:$AJ$1110,'MA Engine'!$B$6:$B$1110,$A59,'MA Engine'!$H$6:$H$1110,8,'MA Engine'!$I$6:$I$1110,"DO",'MA Engine'!$P$6:$P$1110,"&lt;&gt;Y")+SUMIFS('MA Engine'!$AJ$6:$AJ$1110,'MA Engine'!$B$6:$B$1110,$A59,'MA Engine'!$H$6:$H$1110,8,'MA Engine'!$I$6:$I$1110,"Unbilled")</f>
        <v>0</v>
      </c>
      <c r="AD59" s="7" t="n">
        <f aca="false">SUMIFS('MA Engine'!$L$6:$L$1110,'MA Engine'!$B$6:$B$1110,$A59,'MA Engine'!$H$6:$H$1110,7,'MA Engine'!$I$6:$I$1110,"&lt;&gt;Opening")</f>
        <v>0</v>
      </c>
      <c r="AE59" s="9" t="n">
        <f aca="false">IF(AND(U59&gt;0.0001,(L59-V59*IF(I59&gt;0,AD59/I59,IF(K59&gt;0,L59/K59,0)))&lt;0),IF(K59&gt;0,L59/K59,0),IF(I59&gt;0,AD59/I59,IF(K59&gt;0,L59/K59,0)))</f>
        <v>23633.015842839</v>
      </c>
      <c r="AF59" s="9" t="n">
        <f aca="false">IF(U59&lt;=0.0001,IF(K59&gt;0,L59/K59,0),IF((L59-V59*IF(I59&gt;0,AD59/I59,IF(K59&gt;0,L59/K59,0)))&lt;0,IF(K59&gt;0,L59/K59,0),(L59-V59*IF(I59&gt;0,AD59/I59,IF(K59&gt;0,L59/K59,0)))/U59))</f>
        <v>23633.015842839</v>
      </c>
      <c r="AG59" s="9" t="n">
        <f aca="false">IF(M59&gt;0,N59/M59,IF(K59&gt;0,L59/K59,0))</f>
        <v>34741.4728682171</v>
      </c>
      <c r="AH59" s="7" t="n">
        <f aca="false">SUMIFS('MA Engine'!$X$6:$X$1110,'MA Engine'!$B$6:$B$1110,$A59,'MA Engine'!$H$6:$H$1110,8,'MA Engine'!$I$6:$I$1110,"DO",'MA Engine'!$P$6:$P$1110,"&lt;&gt;Y")+SUMIFS('MA Engine'!$X$6:$X$1110,'MA Engine'!$B$6:$B$1110,$A59,'MA Engine'!$H$6:$H$1110,8,'MA Engine'!$I$6:$I$1110,"Unbilled")</f>
        <v>0</v>
      </c>
      <c r="AI59" s="7" t="n">
        <f aca="false">SUMIFS('MA Engine'!$AK$6:$AK$1110,'MA Engine'!$B$6:$B$1110,$A59,'MA Engine'!$H$6:$H$1110,8,'MA Engine'!$I$6:$I$1110,"DO",'MA Engine'!$P$6:$P$1110,"&lt;&gt;Y")+SUMIFS('MA Engine'!$AK$6:$AK$1110,'MA Engine'!$B$6:$B$1110,$A59,'MA Engine'!$H$6:$H$1110,8,'MA Engine'!$I$6:$I$1110,"Unbilled")</f>
        <v>0</v>
      </c>
      <c r="AJ59" s="7" t="n">
        <f aca="false">SUMIFS('MA Engine'!$AL$6:$AL$1110,'MA Engine'!$B$6:$B$1110,$A59,'MA Engine'!$H$6:$H$1110,8,'MA Engine'!$I$6:$I$1110,"DO",'MA Engine'!$P$6:$P$1110,"&lt;&gt;Y")+SUMIFS('MA Engine'!$AL$6:$AL$1110,'MA Engine'!$B$6:$B$1110,$A59,'MA Engine'!$H$6:$H$1110,8,'MA Engine'!$I$6:$I$1110,"Unbilled")</f>
        <v>0</v>
      </c>
      <c r="AK59" s="7" t="n">
        <f aca="false">SUMIFS('MA Engine'!$AM$6:$AM$1110,'MA Engine'!$B$6:$B$1110,$A59,'MA Engine'!$H$6:$H$1110,8,'MA Engine'!$I$6:$I$1110,"DO",'MA Engine'!$P$6:$P$1110,"&lt;&gt;Y")+SUMIFS('MA Engine'!$AM$6:$AM$1110,'MA Engine'!$B$6:$B$1110,$A59,'MA Engine'!$H$6:$H$1110,8,'MA Engine'!$I$6:$I$1110,"Unbilled")</f>
        <v>0</v>
      </c>
      <c r="AL59" s="9" t="n">
        <f aca="false">AH59-AI59-AJ59-AK59</f>
        <v>0</v>
      </c>
      <c r="AM59" s="7" t="n">
        <f aca="false">IF(Q59=0,0,IF($D59="Karkas",SUMIFS('Karkas Detail'!$E$6:$E$42,'Karkas Detail'!$A$6:$A$42,$C59,'Karkas Detail'!$B$6:$B$42,$F59,'Karkas Detail'!$C$6:$C$42,$E59)/SUMIFS($Q$36:$Q$127,$C$36:$C$127,$C59,$D$36:$D$127,"Karkas",$F$36:$F$127,$F59,$E$36:$E$127,$E59),SUMIFS('Data SKU'!$G$5:$G$116,'Data SKU'!$A$5:$A$116,$C59,'Data SKU'!$B$5:$B$116,$D59,'Data SKU'!$C$5:$C$116,$E59,'Data SKU'!$D$5:$D$116,8,'Data SKU'!$N$5:$N$116,"Invoiced")/SUMIFS($Q$36:$Q$127,$C$36:$C$127,$C59,$D$36:$D$127,$D59,$E$36:$E$127,$E59))*Q59)+SUMIFS(Unbilled!$U$22:$U$38,Unbilled!$E$22:$E$38,$A59)</f>
        <v>0</v>
      </c>
      <c r="AN59" s="9" t="n">
        <f aca="false">IF(P59=0,0,AM59*AA59/P59)</f>
        <v>0</v>
      </c>
      <c r="AO59" s="9" t="n">
        <f aca="false">IF(P59=0,0,AM59*AB59/P59)</f>
        <v>0</v>
      </c>
      <c r="AP59" s="9" t="n">
        <f aca="false">IF(P59=0,0,AM59*AC59/P59)</f>
        <v>0</v>
      </c>
      <c r="AQ59" s="14" t="n">
        <f aca="false">MIN(U59+V59,MAX(0,O59-M59))</f>
        <v>0</v>
      </c>
      <c r="AR59" s="14" t="n">
        <f aca="false">MAX(0,AQ59-V59)*Z59</f>
        <v>0</v>
      </c>
      <c r="AS59" s="14" t="n">
        <f aca="false">MIN(V59,AQ59)*Z59</f>
        <v>0</v>
      </c>
      <c r="AT59" s="14" t="n">
        <f aca="false">(O59-AQ59)*Z59</f>
        <v>0</v>
      </c>
      <c r="AU59" s="9" t="n">
        <f aca="false">(AR59+AS59+AT59)*BA59</f>
        <v>0</v>
      </c>
      <c r="AV59" s="9" t="n">
        <f aca="false">IF(P59=0,0,AM59*AR59/P59)</f>
        <v>0</v>
      </c>
      <c r="AW59" s="9" t="n">
        <f aca="false">IF(P59=0,0,AM59*AS59/P59)</f>
        <v>0</v>
      </c>
      <c r="AX59" s="9" t="n">
        <f aca="false">IF(P59=0,0,AM59*AT59/P59)</f>
        <v>0</v>
      </c>
      <c r="AY59" s="9" t="n">
        <f aca="false">AH59-AU59</f>
        <v>0</v>
      </c>
      <c r="AZ59" s="9" t="n">
        <f aca="false">IF(M59&gt;0,P59*AG59,0)</f>
        <v>0</v>
      </c>
      <c r="BA59" s="9" t="n">
        <f aca="false">IF(P59=0,0,AH59/P59)</f>
        <v>0</v>
      </c>
      <c r="BB59" s="74" t="s">
        <v>838</v>
      </c>
      <c r="BC59" s="13" t="n">
        <f aca="false">SUMIFS('MA Engine'!$W$6:$W$1110,'MA Engine'!$B$6:$B$1110,$A59,'MA Engine'!$H$6:$H$1110,7,'MA Engine'!$I$6:$I$1110,"DO")</f>
        <v>0</v>
      </c>
      <c r="BD59" s="14" t="n">
        <f aca="false">MIN(MAX(0,H59),J59)</f>
        <v>0</v>
      </c>
      <c r="BE59" s="14" t="n">
        <f aca="false">J59-BD59</f>
        <v>0</v>
      </c>
      <c r="BF59" s="21" t="n">
        <f aca="false">IF(J59=0,0,BC59/J59)</f>
        <v>0</v>
      </c>
      <c r="BG59" s="13" t="n">
        <f aca="false">SUMIFS('MA Engine'!$AH$6:$AH$1110,'MA Engine'!$B$6:$B$1110,$A59,'MA Engine'!$H$6:$H$1110,7,'MA Engine'!$I$6:$I$1110,"DO")</f>
        <v>0</v>
      </c>
      <c r="BH59" s="13" t="n">
        <f aca="false">SUMIFS('MA Engine'!$AI$6:$AI$1110,'MA Engine'!$B$6:$B$1110,$A59,'MA Engine'!$H$6:$H$1110,7,'MA Engine'!$I$6:$I$1110,"DO")+SUMIFS('MA Engine'!$AJ$6:$AJ$1110,'MA Engine'!$B$6:$B$1110,$A59,'MA Engine'!$H$6:$H$1110,7,'MA Engine'!$I$6:$I$1110,"DO")</f>
        <v>0</v>
      </c>
      <c r="BI59" s="7" t="n">
        <f aca="false">IF(H59&gt;0,SUMIFS('MA Engine'!$L$6:$L$1110,'MA Engine'!$B$6:$B$1110,$A59,'MA Engine'!$I$6:$I$1110,"Opening")/H59,0)</f>
        <v>23633.015842839</v>
      </c>
      <c r="BJ59" s="9" t="n">
        <f aca="false">IF(I59&gt;0,AD59/I59,BI59)</f>
        <v>23633.015842839</v>
      </c>
      <c r="BK59" s="7" t="n">
        <f aca="false">SUMIFS('MA Engine'!$X$6:$X$1110,'MA Engine'!$B$6:$B$1110,$A59,'MA Engine'!$H$6:$H$1110,7,'MA Engine'!$I$6:$I$1110,"DO")</f>
        <v>0</v>
      </c>
      <c r="BL59" s="7" t="n">
        <f aca="false">SUMIFS('MA Engine'!$AK$6:$AK$1110,'MA Engine'!$B$6:$B$1110,$A59,'MA Engine'!$H$6:$H$1110,7,'MA Engine'!$I$6:$I$1110,"DO")</f>
        <v>0</v>
      </c>
      <c r="BM59" s="7" t="n">
        <f aca="false">SUMIFS('MA Engine'!$AL$6:$AL$1110,'MA Engine'!$B$6:$B$1110,$A59,'MA Engine'!$H$6:$H$1110,7,'MA Engine'!$I$6:$I$1110,"DO")+SUMIFS('MA Engine'!$AM$6:$AM$1110,'MA Engine'!$B$6:$B$1110,$A59,'MA Engine'!$H$6:$H$1110,7,'MA Engine'!$I$6:$I$1110,"DO")</f>
        <v>0</v>
      </c>
      <c r="BN59" s="9" t="n">
        <f aca="false">BK59-BL59-BM59</f>
        <v>0</v>
      </c>
      <c r="BO59" s="7" t="n">
        <f aca="false">IF(BC59=0,0,SUMIFS('Data SKU'!$G$5:$G$116,'Data SKU'!$A$5:$A$116,$C59,'Data SKU'!$B$5:$B$116,$D59,'Data SKU'!$C$5:$C$116,$E59,'Data SKU'!$D$5:$D$116,7,'Data SKU'!$N$5:$N$116,"Invoiced")/SUMIFS($BC$36:$BC$127,$C$36:$C$127,$C59,$D$36:$D$127,$D59,$E$36:$E$127,$E59)*BC59)</f>
        <v>0</v>
      </c>
      <c r="BP59" s="9" t="n">
        <f aca="false">IF(BC59=0,0,BO59*BG59/BC59)</f>
        <v>0</v>
      </c>
      <c r="BQ59" s="9" t="n">
        <f aca="false">IF(BC59=0,0,BO59*BH59/BC59)</f>
        <v>0</v>
      </c>
    </row>
    <row r="60" customFormat="false" ht="15" hidden="false" customHeight="false" outlineLevel="0" collapsed="false">
      <c r="A60" s="74" t="s">
        <v>972</v>
      </c>
      <c r="B60" s="53" t="str">
        <f aca="false">INDEX(I_Items!$B$5:$B$133,MATCH($A60,I_Items!$A$5:$A$133,0))&amp;""</f>
        <v>Karkas Uk 0.6 Karkas Uk 0.6 Frozen Grade A</v>
      </c>
      <c r="C60" s="53" t="str">
        <f aca="false">INDEX(I_Items!$C$5:$C$133,MATCH($A60,I_Items!$A$5:$A$133,0))&amp;""</f>
        <v>RPA</v>
      </c>
      <c r="D60" s="53" t="str">
        <f aca="false">INDEX(I_Items!$D$5:$D$133,MATCH($A60,I_Items!$A$5:$A$133,0))&amp;""</f>
        <v>Karkas</v>
      </c>
      <c r="E60" s="53" t="str">
        <f aca="false">INDEX(I_Items!$F$5:$F$133,MATCH($A60,I_Items!$A$5:$A$133,0))&amp;""</f>
        <v>Frozen</v>
      </c>
      <c r="F60" s="53" t="str">
        <f aca="false">INDEX(I_Items!$E$5:$E$133,MATCH($A60,I_Items!$A$5:$A$133,0))&amp;""</f>
        <v>Uk 0.6</v>
      </c>
      <c r="G60" s="6" t="str">
        <f aca="false">IF(P60=0,"-",IF(M60=0,"A",IF(K60&lt;=0,"C","B")))</f>
        <v>-</v>
      </c>
      <c r="H60" s="13" t="n">
        <f aca="false">SUMIFS('MA Engine'!$K$6:$K$1110,'MA Engine'!$B$6:$B$1110,$A60,'MA Engine'!$I$6:$I$1110,"Opening")</f>
        <v>162.2</v>
      </c>
      <c r="I60" s="13" t="n">
        <f aca="false">SUMIFS('MA Engine'!$K$6:$K$1110,'MA Engine'!$B$6:$B$1110,$A60,'MA Engine'!$H$6:$H$1110,7,'MA Engine'!$I$6:$I$1110,"&lt;&gt;Opening")</f>
        <v>0</v>
      </c>
      <c r="J60" s="13" t="n">
        <f aca="false">SUMIFS('MA Engine'!$W$6:$W$1110,'MA Engine'!$B$6:$B$1110,$A60,'MA Engine'!$H$6:$H$1110,7)</f>
        <v>0</v>
      </c>
      <c r="K60" s="14" t="n">
        <f aca="false">H60+I60-J60</f>
        <v>162.2</v>
      </c>
      <c r="L60" s="7" t="n">
        <f aca="false">SUMIFS('MA Engine'!$L$6:$L$1110,'MA Engine'!$B$6:$B$1110,$A60,'MA Engine'!$I$6:$I$1110,"Opening")+SUMIFS('MA Engine'!$L$6:$L$1110,'MA Engine'!$B$6:$B$1110,$A60,'MA Engine'!$H$6:$H$1110,7,'MA Engine'!$I$6:$I$1110,"&lt;&gt;Opening")-SUMIFS('MA Engine'!$X$6:$X$1110,'MA Engine'!$B$6:$B$1110,$A60,'MA Engine'!$H$6:$H$1110,7)</f>
        <v>3841499.01</v>
      </c>
      <c r="M60" s="13" t="n">
        <f aca="false">SUMIFS('MA Engine'!$K$6:$K$1110,'MA Engine'!$B$6:$B$1110,$A60,'MA Engine'!$H$6:$H$1110,8)</f>
        <v>19.9</v>
      </c>
      <c r="N60" s="7" t="n">
        <f aca="false">SUMIFS('MA Engine'!$L$6:$L$1110,'MA Engine'!$B$6:$B$1110,$A60,'MA Engine'!$H$6:$H$1110,8)</f>
        <v>667422.91</v>
      </c>
      <c r="O60" s="13" t="n">
        <f aca="false">SUMIFS('MA Engine'!$W$6:$W$1110,'MA Engine'!$B$6:$B$1110,$A60,'MA Engine'!$H$6:$H$1110,8)</f>
        <v>0</v>
      </c>
      <c r="P60" s="14" t="n">
        <f aca="false">Q60+R60</f>
        <v>0</v>
      </c>
      <c r="Q60" s="13" t="n">
        <f aca="false">SUMIFS('MA Engine'!$W$6:$W$1110,'MA Engine'!$B$6:$B$1110,$A60,'MA Engine'!$H$6:$H$1110,8,'MA Engine'!$I$6:$I$1110,"DO",'MA Engine'!$P$6:$P$1110,"&lt;&gt;Y")</f>
        <v>0</v>
      </c>
      <c r="R60" s="13" t="n">
        <f aca="false">SUMIFS('MA Engine'!$W$6:$W$1110,'MA Engine'!$B$6:$B$1110,$A60,'MA Engine'!$H$6:$H$1110,8,'MA Engine'!$I$6:$I$1110,"Unbilled")</f>
        <v>0</v>
      </c>
      <c r="S60" s="13" t="n">
        <f aca="false">SUMIFS('MA Engine'!$W$6:$W$1110,'MA Engine'!$B$6:$B$1110,$A60,'MA Engine'!$H$6:$H$1110,8,'MA Engine'!$P$6:$P$1110,"Y")</f>
        <v>0</v>
      </c>
      <c r="T60" s="14" t="n">
        <f aca="false">O60-P60-S60</f>
        <v>0</v>
      </c>
      <c r="U60" s="14" t="n">
        <f aca="false">MAX(0,H60-J60)</f>
        <v>162.2</v>
      </c>
      <c r="V60" s="14" t="n">
        <f aca="false">MAX(0,K60-U60)</f>
        <v>0</v>
      </c>
      <c r="W60" s="14" t="n">
        <f aca="false">MIN(U60,O60)</f>
        <v>0</v>
      </c>
      <c r="X60" s="14" t="n">
        <f aca="false">MIN(V60,O60-W60)</f>
        <v>0</v>
      </c>
      <c r="Y60" s="14" t="n">
        <f aca="false">O60-W60-X60</f>
        <v>0</v>
      </c>
      <c r="Z60" s="21" t="n">
        <f aca="false">IF(O60=0,0,P60/O60)</f>
        <v>0</v>
      </c>
      <c r="AA60" s="13" t="n">
        <f aca="false">SUMIFS('MA Engine'!$AH$6:$AH$1110,'MA Engine'!$B$6:$B$1110,$A60,'MA Engine'!$H$6:$H$1110,8,'MA Engine'!$I$6:$I$1110,"DO",'MA Engine'!$P$6:$P$1110,"&lt;&gt;Y")+SUMIFS('MA Engine'!$AH$6:$AH$1110,'MA Engine'!$B$6:$B$1110,$A60,'MA Engine'!$H$6:$H$1110,8,'MA Engine'!$I$6:$I$1110,"Unbilled")</f>
        <v>0</v>
      </c>
      <c r="AB60" s="13" t="n">
        <f aca="false">SUMIFS('MA Engine'!$AI$6:$AI$1110,'MA Engine'!$B$6:$B$1110,$A60,'MA Engine'!$H$6:$H$1110,8,'MA Engine'!$I$6:$I$1110,"DO",'MA Engine'!$P$6:$P$1110,"&lt;&gt;Y")+SUMIFS('MA Engine'!$AI$6:$AI$1110,'MA Engine'!$B$6:$B$1110,$A60,'MA Engine'!$H$6:$H$1110,8,'MA Engine'!$I$6:$I$1110,"Unbilled")</f>
        <v>0</v>
      </c>
      <c r="AC60" s="13" t="n">
        <f aca="false">SUMIFS('MA Engine'!$AJ$6:$AJ$1110,'MA Engine'!$B$6:$B$1110,$A60,'MA Engine'!$H$6:$H$1110,8,'MA Engine'!$I$6:$I$1110,"DO",'MA Engine'!$P$6:$P$1110,"&lt;&gt;Y")+SUMIFS('MA Engine'!$AJ$6:$AJ$1110,'MA Engine'!$B$6:$B$1110,$A60,'MA Engine'!$H$6:$H$1110,8,'MA Engine'!$I$6:$I$1110,"Unbilled")</f>
        <v>0</v>
      </c>
      <c r="AD60" s="7" t="n">
        <f aca="false">SUMIFS('MA Engine'!$L$6:$L$1110,'MA Engine'!$B$6:$B$1110,$A60,'MA Engine'!$H$6:$H$1110,7,'MA Engine'!$I$6:$I$1110,"&lt;&gt;Opening")</f>
        <v>0</v>
      </c>
      <c r="AE60" s="9" t="n">
        <f aca="false">IF(AND(U60&gt;0.0001,(L60-V60*IF(I60&gt;0,AD60/I60,IF(K60&gt;0,L60/K60,0)))&lt;0),IF(K60&gt;0,L60/K60,0),IF(I60&gt;0,AD60/I60,IF(K60&gt;0,L60/K60,0)))</f>
        <v>23683.7176942047</v>
      </c>
      <c r="AF60" s="9" t="n">
        <f aca="false">IF(U60&lt;=0.0001,IF(K60&gt;0,L60/K60,0),IF((L60-V60*IF(I60&gt;0,AD60/I60,IF(K60&gt;0,L60/K60,0)))&lt;0,IF(K60&gt;0,L60/K60,0),(L60-V60*IF(I60&gt;0,AD60/I60,IF(K60&gt;0,L60/K60,0)))/U60))</f>
        <v>23683.7176942047</v>
      </c>
      <c r="AG60" s="9" t="n">
        <f aca="false">IF(M60&gt;0,N60/M60,IF(K60&gt;0,L60/K60,0))</f>
        <v>33538.8396984925</v>
      </c>
      <c r="AH60" s="7" t="n">
        <f aca="false">SUMIFS('MA Engine'!$X$6:$X$1110,'MA Engine'!$B$6:$B$1110,$A60,'MA Engine'!$H$6:$H$1110,8,'MA Engine'!$I$6:$I$1110,"DO",'MA Engine'!$P$6:$P$1110,"&lt;&gt;Y")+SUMIFS('MA Engine'!$X$6:$X$1110,'MA Engine'!$B$6:$B$1110,$A60,'MA Engine'!$H$6:$H$1110,8,'MA Engine'!$I$6:$I$1110,"Unbilled")</f>
        <v>0</v>
      </c>
      <c r="AI60" s="7" t="n">
        <f aca="false">SUMIFS('MA Engine'!$AK$6:$AK$1110,'MA Engine'!$B$6:$B$1110,$A60,'MA Engine'!$H$6:$H$1110,8,'MA Engine'!$I$6:$I$1110,"DO",'MA Engine'!$P$6:$P$1110,"&lt;&gt;Y")+SUMIFS('MA Engine'!$AK$6:$AK$1110,'MA Engine'!$B$6:$B$1110,$A60,'MA Engine'!$H$6:$H$1110,8,'MA Engine'!$I$6:$I$1110,"Unbilled")</f>
        <v>0</v>
      </c>
      <c r="AJ60" s="7" t="n">
        <f aca="false">SUMIFS('MA Engine'!$AL$6:$AL$1110,'MA Engine'!$B$6:$B$1110,$A60,'MA Engine'!$H$6:$H$1110,8,'MA Engine'!$I$6:$I$1110,"DO",'MA Engine'!$P$6:$P$1110,"&lt;&gt;Y")+SUMIFS('MA Engine'!$AL$6:$AL$1110,'MA Engine'!$B$6:$B$1110,$A60,'MA Engine'!$H$6:$H$1110,8,'MA Engine'!$I$6:$I$1110,"Unbilled")</f>
        <v>0</v>
      </c>
      <c r="AK60" s="7" t="n">
        <f aca="false">SUMIFS('MA Engine'!$AM$6:$AM$1110,'MA Engine'!$B$6:$B$1110,$A60,'MA Engine'!$H$6:$H$1110,8,'MA Engine'!$I$6:$I$1110,"DO",'MA Engine'!$P$6:$P$1110,"&lt;&gt;Y")+SUMIFS('MA Engine'!$AM$6:$AM$1110,'MA Engine'!$B$6:$B$1110,$A60,'MA Engine'!$H$6:$H$1110,8,'MA Engine'!$I$6:$I$1110,"Unbilled")</f>
        <v>0</v>
      </c>
      <c r="AL60" s="9" t="n">
        <f aca="false">AH60-AI60-AJ60-AK60</f>
        <v>0</v>
      </c>
      <c r="AM60" s="7" t="n">
        <f aca="false">IF(Q60=0,0,IF($D60="Karkas",SUMIFS('Karkas Detail'!$E$6:$E$42,'Karkas Detail'!$A$6:$A$42,$C60,'Karkas Detail'!$B$6:$B$42,$F60,'Karkas Detail'!$C$6:$C$42,$E60)/SUMIFS($Q$36:$Q$127,$C$36:$C$127,$C60,$D$36:$D$127,"Karkas",$F$36:$F$127,$F60,$E$36:$E$127,$E60),SUMIFS('Data SKU'!$G$5:$G$116,'Data SKU'!$A$5:$A$116,$C60,'Data SKU'!$B$5:$B$116,$D60,'Data SKU'!$C$5:$C$116,$E60,'Data SKU'!$D$5:$D$116,8,'Data SKU'!$N$5:$N$116,"Invoiced")/SUMIFS($Q$36:$Q$127,$C$36:$C$127,$C60,$D$36:$D$127,$D60,$E$36:$E$127,$E60))*Q60)+SUMIFS(Unbilled!$U$22:$U$38,Unbilled!$E$22:$E$38,$A60)</f>
        <v>0</v>
      </c>
      <c r="AN60" s="9" t="n">
        <f aca="false">IF(P60=0,0,AM60*AA60/P60)</f>
        <v>0</v>
      </c>
      <c r="AO60" s="9" t="n">
        <f aca="false">IF(P60=0,0,AM60*AB60/P60)</f>
        <v>0</v>
      </c>
      <c r="AP60" s="9" t="n">
        <f aca="false">IF(P60=0,0,AM60*AC60/P60)</f>
        <v>0</v>
      </c>
      <c r="AQ60" s="14" t="n">
        <f aca="false">MIN(U60+V60,MAX(0,O60-M60))</f>
        <v>0</v>
      </c>
      <c r="AR60" s="14" t="n">
        <f aca="false">MAX(0,AQ60-V60)*Z60</f>
        <v>0</v>
      </c>
      <c r="AS60" s="14" t="n">
        <f aca="false">MIN(V60,AQ60)*Z60</f>
        <v>0</v>
      </c>
      <c r="AT60" s="14" t="n">
        <f aca="false">(O60-AQ60)*Z60</f>
        <v>0</v>
      </c>
      <c r="AU60" s="9" t="n">
        <f aca="false">(AR60+AS60+AT60)*BA60</f>
        <v>0</v>
      </c>
      <c r="AV60" s="9" t="n">
        <f aca="false">IF(P60=0,0,AM60*AR60/P60)</f>
        <v>0</v>
      </c>
      <c r="AW60" s="9" t="n">
        <f aca="false">IF(P60=0,0,AM60*AS60/P60)</f>
        <v>0</v>
      </c>
      <c r="AX60" s="9" t="n">
        <f aca="false">IF(P60=0,0,AM60*AT60/P60)</f>
        <v>0</v>
      </c>
      <c r="AY60" s="9" t="n">
        <f aca="false">AH60-AU60</f>
        <v>0</v>
      </c>
      <c r="AZ60" s="9" t="n">
        <f aca="false">IF(M60&gt;0,P60*AG60,0)</f>
        <v>0</v>
      </c>
      <c r="BA60" s="9" t="n">
        <f aca="false">IF(P60=0,0,AH60/P60)</f>
        <v>0</v>
      </c>
      <c r="BB60" s="74" t="s">
        <v>838</v>
      </c>
      <c r="BC60" s="13" t="n">
        <f aca="false">SUMIFS('MA Engine'!$W$6:$W$1110,'MA Engine'!$B$6:$B$1110,$A60,'MA Engine'!$H$6:$H$1110,7,'MA Engine'!$I$6:$I$1110,"DO")</f>
        <v>0</v>
      </c>
      <c r="BD60" s="14" t="n">
        <f aca="false">MIN(MAX(0,H60),J60)</f>
        <v>0</v>
      </c>
      <c r="BE60" s="14" t="n">
        <f aca="false">J60-BD60</f>
        <v>0</v>
      </c>
      <c r="BF60" s="21" t="n">
        <f aca="false">IF(J60=0,0,BC60/J60)</f>
        <v>0</v>
      </c>
      <c r="BG60" s="13" t="n">
        <f aca="false">SUMIFS('MA Engine'!$AH$6:$AH$1110,'MA Engine'!$B$6:$B$1110,$A60,'MA Engine'!$H$6:$H$1110,7,'MA Engine'!$I$6:$I$1110,"DO")</f>
        <v>0</v>
      </c>
      <c r="BH60" s="13" t="n">
        <f aca="false">SUMIFS('MA Engine'!$AI$6:$AI$1110,'MA Engine'!$B$6:$B$1110,$A60,'MA Engine'!$H$6:$H$1110,7,'MA Engine'!$I$6:$I$1110,"DO")+SUMIFS('MA Engine'!$AJ$6:$AJ$1110,'MA Engine'!$B$6:$B$1110,$A60,'MA Engine'!$H$6:$H$1110,7,'MA Engine'!$I$6:$I$1110,"DO")</f>
        <v>0</v>
      </c>
      <c r="BI60" s="7" t="n">
        <f aca="false">IF(H60&gt;0,SUMIFS('MA Engine'!$L$6:$L$1110,'MA Engine'!$B$6:$B$1110,$A60,'MA Engine'!$I$6:$I$1110,"Opening")/H60,0)</f>
        <v>23683.7176942047</v>
      </c>
      <c r="BJ60" s="9" t="n">
        <f aca="false">IF(I60&gt;0,AD60/I60,BI60)</f>
        <v>23683.7176942047</v>
      </c>
      <c r="BK60" s="7" t="n">
        <f aca="false">SUMIFS('MA Engine'!$X$6:$X$1110,'MA Engine'!$B$6:$B$1110,$A60,'MA Engine'!$H$6:$H$1110,7,'MA Engine'!$I$6:$I$1110,"DO")</f>
        <v>0</v>
      </c>
      <c r="BL60" s="7" t="n">
        <f aca="false">SUMIFS('MA Engine'!$AK$6:$AK$1110,'MA Engine'!$B$6:$B$1110,$A60,'MA Engine'!$H$6:$H$1110,7,'MA Engine'!$I$6:$I$1110,"DO")</f>
        <v>0</v>
      </c>
      <c r="BM60" s="7" t="n">
        <f aca="false">SUMIFS('MA Engine'!$AL$6:$AL$1110,'MA Engine'!$B$6:$B$1110,$A60,'MA Engine'!$H$6:$H$1110,7,'MA Engine'!$I$6:$I$1110,"DO")+SUMIFS('MA Engine'!$AM$6:$AM$1110,'MA Engine'!$B$6:$B$1110,$A60,'MA Engine'!$H$6:$H$1110,7,'MA Engine'!$I$6:$I$1110,"DO")</f>
        <v>0</v>
      </c>
      <c r="BN60" s="9" t="n">
        <f aca="false">BK60-BL60-BM60</f>
        <v>0</v>
      </c>
      <c r="BO60" s="7" t="n">
        <f aca="false">IF(BC60=0,0,SUMIFS('Data SKU'!$G$5:$G$116,'Data SKU'!$A$5:$A$116,$C60,'Data SKU'!$B$5:$B$116,$D60,'Data SKU'!$C$5:$C$116,$E60,'Data SKU'!$D$5:$D$116,7,'Data SKU'!$N$5:$N$116,"Invoiced")/SUMIFS($BC$36:$BC$127,$C$36:$C$127,$C60,$D$36:$D$127,$D60,$E$36:$E$127,$E60)*BC60)</f>
        <v>0</v>
      </c>
      <c r="BP60" s="9" t="n">
        <f aca="false">IF(BC60=0,0,BO60*BG60/BC60)</f>
        <v>0</v>
      </c>
      <c r="BQ60" s="9" t="n">
        <f aca="false">IF(BC60=0,0,BO60*BH60/BC60)</f>
        <v>0</v>
      </c>
    </row>
    <row r="61" customFormat="false" ht="15" hidden="false" customHeight="false" outlineLevel="0" collapsed="false">
      <c r="A61" s="74" t="s">
        <v>973</v>
      </c>
      <c r="B61" s="53" t="str">
        <f aca="false">INDEX(I_Items!$B$5:$B$133,MATCH($A61,I_Items!$A$5:$A$133,0))&amp;""</f>
        <v>Karkas Uk 0.7 Karkas Uk 0.7 Frozen Grade A</v>
      </c>
      <c r="C61" s="53" t="str">
        <f aca="false">INDEX(I_Items!$C$5:$C$133,MATCH($A61,I_Items!$A$5:$A$133,0))&amp;""</f>
        <v>RPA</v>
      </c>
      <c r="D61" s="53" t="str">
        <f aca="false">INDEX(I_Items!$D$5:$D$133,MATCH($A61,I_Items!$A$5:$A$133,0))&amp;""</f>
        <v>Karkas</v>
      </c>
      <c r="E61" s="53" t="str">
        <f aca="false">INDEX(I_Items!$F$5:$F$133,MATCH($A61,I_Items!$A$5:$A$133,0))&amp;""</f>
        <v>Frozen</v>
      </c>
      <c r="F61" s="53" t="str">
        <f aca="false">INDEX(I_Items!$E$5:$E$133,MATCH($A61,I_Items!$A$5:$A$133,0))&amp;""</f>
        <v>Uk 0.7</v>
      </c>
      <c r="G61" s="6" t="str">
        <f aca="false">IF(P61=0,"-",IF(M61=0,"A",IF(K61&lt;=0,"C","B")))</f>
        <v>B</v>
      </c>
      <c r="H61" s="13" t="n">
        <f aca="false">SUMIFS('MA Engine'!$K$6:$K$1110,'MA Engine'!$B$6:$B$1110,$A61,'MA Engine'!$I$6:$I$1110,"Opening")</f>
        <v>319.9</v>
      </c>
      <c r="I61" s="13" t="n">
        <f aca="false">SUMIFS('MA Engine'!$K$6:$K$1110,'MA Engine'!$B$6:$B$1110,$A61,'MA Engine'!$H$6:$H$1110,7,'MA Engine'!$I$6:$I$1110,"&lt;&gt;Opening")</f>
        <v>0</v>
      </c>
      <c r="J61" s="13" t="n">
        <f aca="false">SUMIFS('MA Engine'!$W$6:$W$1110,'MA Engine'!$B$6:$B$1110,$A61,'MA Engine'!$H$6:$H$1110,7)</f>
        <v>13.5</v>
      </c>
      <c r="K61" s="14" t="n">
        <f aca="false">H61+I61-J61</f>
        <v>306.4</v>
      </c>
      <c r="L61" s="7" t="n">
        <f aca="false">SUMIFS('MA Engine'!$L$6:$L$1110,'MA Engine'!$B$6:$B$1110,$A61,'MA Engine'!$I$6:$I$1110,"Opening")+SUMIFS('MA Engine'!$L$6:$L$1110,'MA Engine'!$B$6:$B$1110,$A61,'MA Engine'!$H$6:$H$1110,7,'MA Engine'!$I$6:$I$1110,"&lt;&gt;Opening")-SUMIFS('MA Engine'!$X$6:$X$1110,'MA Engine'!$B$6:$B$1110,$A61,'MA Engine'!$H$6:$H$1110,7)</f>
        <v>7271665.1536105</v>
      </c>
      <c r="M61" s="13" t="n">
        <f aca="false">SUMIFS('MA Engine'!$K$6:$K$1110,'MA Engine'!$B$6:$B$1110,$A61,'MA Engine'!$H$6:$H$1110,8)</f>
        <v>162.3</v>
      </c>
      <c r="N61" s="7" t="n">
        <f aca="false">SUMIFS('MA Engine'!$L$6:$L$1110,'MA Engine'!$B$6:$B$1110,$A61,'MA Engine'!$H$6:$H$1110,8)</f>
        <v>5478623.17</v>
      </c>
      <c r="O61" s="13" t="n">
        <f aca="false">SUMIFS('MA Engine'!$W$6:$W$1110,'MA Engine'!$B$6:$B$1110,$A61,'MA Engine'!$H$6:$H$1110,8)</f>
        <v>36.4</v>
      </c>
      <c r="P61" s="14" t="n">
        <f aca="false">Q61+R61</f>
        <v>36.4</v>
      </c>
      <c r="Q61" s="13" t="n">
        <f aca="false">SUMIFS('MA Engine'!$W$6:$W$1110,'MA Engine'!$B$6:$B$1110,$A61,'MA Engine'!$H$6:$H$1110,8,'MA Engine'!$I$6:$I$1110,"DO",'MA Engine'!$P$6:$P$1110,"&lt;&gt;Y")</f>
        <v>36.4</v>
      </c>
      <c r="R61" s="13" t="n">
        <f aca="false">SUMIFS('MA Engine'!$W$6:$W$1110,'MA Engine'!$B$6:$B$1110,$A61,'MA Engine'!$H$6:$H$1110,8,'MA Engine'!$I$6:$I$1110,"Unbilled")</f>
        <v>0</v>
      </c>
      <c r="S61" s="13" t="n">
        <f aca="false">SUMIFS('MA Engine'!$W$6:$W$1110,'MA Engine'!$B$6:$B$1110,$A61,'MA Engine'!$H$6:$H$1110,8,'MA Engine'!$P$6:$P$1110,"Y")</f>
        <v>0</v>
      </c>
      <c r="T61" s="14" t="n">
        <f aca="false">O61-P61-S61</f>
        <v>0</v>
      </c>
      <c r="U61" s="14" t="n">
        <f aca="false">MAX(0,H61-J61)</f>
        <v>306.4</v>
      </c>
      <c r="V61" s="14" t="n">
        <f aca="false">MAX(0,K61-U61)</f>
        <v>0</v>
      </c>
      <c r="W61" s="14" t="n">
        <f aca="false">MIN(U61,O61)</f>
        <v>36.4</v>
      </c>
      <c r="X61" s="14" t="n">
        <f aca="false">MIN(V61,O61-W61)</f>
        <v>0</v>
      </c>
      <c r="Y61" s="14" t="n">
        <f aca="false">O61-W61-X61</f>
        <v>0</v>
      </c>
      <c r="Z61" s="21" t="n">
        <f aca="false">IF(O61=0,0,P61/O61)</f>
        <v>1</v>
      </c>
      <c r="AA61" s="13" t="n">
        <f aca="false">SUMIFS('MA Engine'!$AH$6:$AH$1110,'MA Engine'!$B$6:$B$1110,$A61,'MA Engine'!$H$6:$H$1110,8,'MA Engine'!$I$6:$I$1110,"DO",'MA Engine'!$P$6:$P$1110,"&lt;&gt;Y")+SUMIFS('MA Engine'!$AH$6:$AH$1110,'MA Engine'!$B$6:$B$1110,$A61,'MA Engine'!$H$6:$H$1110,8,'MA Engine'!$I$6:$I$1110,"Unbilled")</f>
        <v>36.4</v>
      </c>
      <c r="AB61" s="13" t="n">
        <f aca="false">SUMIFS('MA Engine'!$AI$6:$AI$1110,'MA Engine'!$B$6:$B$1110,$A61,'MA Engine'!$H$6:$H$1110,8,'MA Engine'!$I$6:$I$1110,"DO",'MA Engine'!$P$6:$P$1110,"&lt;&gt;Y")+SUMIFS('MA Engine'!$AI$6:$AI$1110,'MA Engine'!$B$6:$B$1110,$A61,'MA Engine'!$H$6:$H$1110,8,'MA Engine'!$I$6:$I$1110,"Unbilled")</f>
        <v>0</v>
      </c>
      <c r="AC61" s="13" t="n">
        <f aca="false">SUMIFS('MA Engine'!$AJ$6:$AJ$1110,'MA Engine'!$B$6:$B$1110,$A61,'MA Engine'!$H$6:$H$1110,8,'MA Engine'!$I$6:$I$1110,"DO",'MA Engine'!$P$6:$P$1110,"&lt;&gt;Y")+SUMIFS('MA Engine'!$AJ$6:$AJ$1110,'MA Engine'!$B$6:$B$1110,$A61,'MA Engine'!$H$6:$H$1110,8,'MA Engine'!$I$6:$I$1110,"Unbilled")</f>
        <v>0</v>
      </c>
      <c r="AD61" s="7" t="n">
        <f aca="false">SUMIFS('MA Engine'!$L$6:$L$1110,'MA Engine'!$B$6:$B$1110,$A61,'MA Engine'!$H$6:$H$1110,7,'MA Engine'!$I$6:$I$1110,"&lt;&gt;Opening")</f>
        <v>0</v>
      </c>
      <c r="AE61" s="9" t="n">
        <f aca="false">IF(AND(U61&gt;0.0001,(L61-V61*IF(I61&gt;0,AD61/I61,IF(K61&gt;0,L61/K61,0)))&lt;0),IF(K61&gt;0,L61/K61,0),IF(I61&gt;0,AD61/I61,IF(K61&gt;0,L61/K61,0)))</f>
        <v>23732.5886214442</v>
      </c>
      <c r="AF61" s="9" t="n">
        <f aca="false">IF(U61&lt;=0.0001,IF(K61&gt;0,L61/K61,0),IF((L61-V61*IF(I61&gt;0,AD61/I61,IF(K61&gt;0,L61/K61,0)))&lt;0,IF(K61&gt;0,L61/K61,0),(L61-V61*IF(I61&gt;0,AD61/I61,IF(K61&gt;0,L61/K61,0)))/U61))</f>
        <v>23732.5886214442</v>
      </c>
      <c r="AG61" s="9" t="n">
        <f aca="false">IF(M61&gt;0,N61/M61,IF(K61&gt;0,L61/K61,0))</f>
        <v>33756.1501540357</v>
      </c>
      <c r="AH61" s="7" t="n">
        <f aca="false">SUMIFS('MA Engine'!$X$6:$X$1110,'MA Engine'!$B$6:$B$1110,$A61,'MA Engine'!$H$6:$H$1110,8,'MA Engine'!$I$6:$I$1110,"DO",'MA Engine'!$P$6:$P$1110,"&lt;&gt;Y")+SUMIFS('MA Engine'!$X$6:$X$1110,'MA Engine'!$B$6:$B$1110,$A61,'MA Engine'!$H$6:$H$1110,8,'MA Engine'!$I$6:$I$1110,"Unbilled")</f>
        <v>952049.990980891</v>
      </c>
      <c r="AI61" s="7" t="n">
        <f aca="false">SUMIFS('MA Engine'!$AK$6:$AK$1110,'MA Engine'!$B$6:$B$1110,$A61,'MA Engine'!$H$6:$H$1110,8,'MA Engine'!$I$6:$I$1110,"DO",'MA Engine'!$P$6:$P$1110,"&lt;&gt;Y")+SUMIFS('MA Engine'!$AK$6:$AK$1110,'MA Engine'!$B$6:$B$1110,$A61,'MA Engine'!$H$6:$H$1110,8,'MA Engine'!$I$6:$I$1110,"Unbilled")</f>
        <v>952049.990980891</v>
      </c>
      <c r="AJ61" s="7" t="n">
        <f aca="false">SUMIFS('MA Engine'!$AL$6:$AL$1110,'MA Engine'!$B$6:$B$1110,$A61,'MA Engine'!$H$6:$H$1110,8,'MA Engine'!$I$6:$I$1110,"DO",'MA Engine'!$P$6:$P$1110,"&lt;&gt;Y")+SUMIFS('MA Engine'!$AL$6:$AL$1110,'MA Engine'!$B$6:$B$1110,$A61,'MA Engine'!$H$6:$H$1110,8,'MA Engine'!$I$6:$I$1110,"Unbilled")</f>
        <v>0</v>
      </c>
      <c r="AK61" s="7" t="n">
        <f aca="false">SUMIFS('MA Engine'!$AM$6:$AM$1110,'MA Engine'!$B$6:$B$1110,$A61,'MA Engine'!$H$6:$H$1110,8,'MA Engine'!$I$6:$I$1110,"DO",'MA Engine'!$P$6:$P$1110,"&lt;&gt;Y")+SUMIFS('MA Engine'!$AM$6:$AM$1110,'MA Engine'!$B$6:$B$1110,$A61,'MA Engine'!$H$6:$H$1110,8,'MA Engine'!$I$6:$I$1110,"Unbilled")</f>
        <v>0</v>
      </c>
      <c r="AL61" s="9" t="n">
        <f aca="false">AH61-AI61-AJ61-AK61</f>
        <v>0</v>
      </c>
      <c r="AM61" s="7" t="n">
        <f aca="false">IF(Q61=0,0,IF($D61="Karkas",SUMIFS('Karkas Detail'!$E$6:$E$42,'Karkas Detail'!$A$6:$A$42,$C61,'Karkas Detail'!$B$6:$B$42,$F61,'Karkas Detail'!$C$6:$C$42,$E61)/SUMIFS($Q$36:$Q$127,$C$36:$C$127,$C61,$D$36:$D$127,"Karkas",$F$36:$F$127,$F61,$E$36:$E$127,$E61),SUMIFS('Data SKU'!$G$5:$G$116,'Data SKU'!$A$5:$A$116,$C61,'Data SKU'!$B$5:$B$116,$D61,'Data SKU'!$C$5:$C$116,$E61,'Data SKU'!$D$5:$D$116,8,'Data SKU'!$N$5:$N$116,"Invoiced")/SUMIFS($Q$36:$Q$127,$C$36:$C$127,$C61,$D$36:$D$127,$D61,$E$36:$E$127,$E61))*Q61)+SUMIFS(Unbilled!$U$22:$U$38,Unbilled!$E$22:$E$38,$A61)</f>
        <v>1162031.18115986</v>
      </c>
      <c r="AN61" s="9" t="n">
        <f aca="false">IF(P61=0,0,AM61*AA61/P61)</f>
        <v>1162031.18115986</v>
      </c>
      <c r="AO61" s="9" t="n">
        <f aca="false">IF(P61=0,0,AM61*AB61/P61)</f>
        <v>0</v>
      </c>
      <c r="AP61" s="9" t="n">
        <f aca="false">IF(P61=0,0,AM61*AC61/P61)</f>
        <v>0</v>
      </c>
      <c r="AQ61" s="14" t="n">
        <f aca="false">MIN(U61+V61,MAX(0,O61-M61))</f>
        <v>0</v>
      </c>
      <c r="AR61" s="14" t="n">
        <f aca="false">MAX(0,AQ61-V61)*Z61</f>
        <v>0</v>
      </c>
      <c r="AS61" s="14" t="n">
        <f aca="false">MIN(V61,AQ61)*Z61</f>
        <v>0</v>
      </c>
      <c r="AT61" s="14" t="n">
        <f aca="false">(O61-AQ61)*Z61</f>
        <v>36.4</v>
      </c>
      <c r="AU61" s="9" t="n">
        <f aca="false">(AR61+AS61+AT61)*BA61</f>
        <v>952049.990980891</v>
      </c>
      <c r="AV61" s="9" t="n">
        <f aca="false">IF(P61=0,0,AM61*AR61/P61)</f>
        <v>0</v>
      </c>
      <c r="AW61" s="9" t="n">
        <f aca="false">IF(P61=0,0,AM61*AS61/P61)</f>
        <v>0</v>
      </c>
      <c r="AX61" s="9" t="n">
        <f aca="false">IF(P61=0,0,AM61*AT61/P61)</f>
        <v>1162031.18115986</v>
      </c>
      <c r="AY61" s="9" t="n">
        <f aca="false">AH61-AU61</f>
        <v>0</v>
      </c>
      <c r="AZ61" s="9" t="n">
        <f aca="false">IF(M61&gt;0,P61*AG61,0)</f>
        <v>1228723.8656069</v>
      </c>
      <c r="BA61" s="9" t="n">
        <f aca="false">IF(P61=0,0,AH61/P61)</f>
        <v>26155.219532442</v>
      </c>
      <c r="BB61" s="74" t="s">
        <v>838</v>
      </c>
      <c r="BC61" s="13" t="n">
        <f aca="false">SUMIFS('MA Engine'!$W$6:$W$1110,'MA Engine'!$B$6:$B$1110,$A61,'MA Engine'!$H$6:$H$1110,7,'MA Engine'!$I$6:$I$1110,"DO")</f>
        <v>13.5</v>
      </c>
      <c r="BD61" s="14" t="n">
        <f aca="false">MIN(MAX(0,H61),J61)</f>
        <v>13.5</v>
      </c>
      <c r="BE61" s="14" t="n">
        <f aca="false">J61-BD61</f>
        <v>0</v>
      </c>
      <c r="BF61" s="21" t="n">
        <f aca="false">IF(J61=0,0,BC61/J61)</f>
        <v>1</v>
      </c>
      <c r="BG61" s="13" t="n">
        <f aca="false">SUMIFS('MA Engine'!$AH$6:$AH$1110,'MA Engine'!$B$6:$B$1110,$A61,'MA Engine'!$H$6:$H$1110,7,'MA Engine'!$I$6:$I$1110,"DO")</f>
        <v>13.5</v>
      </c>
      <c r="BH61" s="13" t="n">
        <f aca="false">SUMIFS('MA Engine'!$AI$6:$AI$1110,'MA Engine'!$B$6:$B$1110,$A61,'MA Engine'!$H$6:$H$1110,7,'MA Engine'!$I$6:$I$1110,"DO")+SUMIFS('MA Engine'!$AJ$6:$AJ$1110,'MA Engine'!$B$6:$B$1110,$A61,'MA Engine'!$H$6:$H$1110,7,'MA Engine'!$I$6:$I$1110,"DO")</f>
        <v>0</v>
      </c>
      <c r="BI61" s="7" t="n">
        <f aca="false">IF(H61&gt;0,SUMIFS('MA Engine'!$L$6:$L$1110,'MA Engine'!$B$6:$B$1110,$A61,'MA Engine'!$I$6:$I$1110,"Opening")/H61,0)</f>
        <v>23732.5886214442</v>
      </c>
      <c r="BJ61" s="9" t="n">
        <f aca="false">IF(I61&gt;0,AD61/I61,BI61)</f>
        <v>23732.5886214442</v>
      </c>
      <c r="BK61" s="7" t="n">
        <f aca="false">SUMIFS('MA Engine'!$X$6:$X$1110,'MA Engine'!$B$6:$B$1110,$A61,'MA Engine'!$H$6:$H$1110,7,'MA Engine'!$I$6:$I$1110,"DO")</f>
        <v>320389.946389497</v>
      </c>
      <c r="BL61" s="7" t="n">
        <f aca="false">SUMIFS('MA Engine'!$AK$6:$AK$1110,'MA Engine'!$B$6:$B$1110,$A61,'MA Engine'!$H$6:$H$1110,7,'MA Engine'!$I$6:$I$1110,"DO")</f>
        <v>320389.946389497</v>
      </c>
      <c r="BM61" s="7" t="n">
        <f aca="false">SUMIFS('MA Engine'!$AL$6:$AL$1110,'MA Engine'!$B$6:$B$1110,$A61,'MA Engine'!$H$6:$H$1110,7,'MA Engine'!$I$6:$I$1110,"DO")+SUMIFS('MA Engine'!$AM$6:$AM$1110,'MA Engine'!$B$6:$B$1110,$A61,'MA Engine'!$H$6:$H$1110,7,'MA Engine'!$I$6:$I$1110,"DO")</f>
        <v>0</v>
      </c>
      <c r="BN61" s="9" t="n">
        <f aca="false">BK61-BL61-BM61</f>
        <v>0</v>
      </c>
      <c r="BO61" s="7" t="n">
        <f aca="false">IF(BC61=0,0,SUMIFS('Data SKU'!$G$5:$G$116,'Data SKU'!$A$5:$A$116,$C61,'Data SKU'!$B$5:$B$116,$D61,'Data SKU'!$C$5:$C$116,$E61,'Data SKU'!$D$5:$D$116,7,'Data SKU'!$N$5:$N$116,"Invoiced")/SUMIFS($BC$36:$BC$127,$C$36:$C$127,$C61,$D$36:$D$127,$D61,$E$36:$E$127,$E61)*BC61)</f>
        <v>382180.348903949</v>
      </c>
      <c r="BP61" s="9" t="n">
        <f aca="false">IF(BC61=0,0,BO61*BG61/BC61)</f>
        <v>382180.348903949</v>
      </c>
      <c r="BQ61" s="9" t="n">
        <f aca="false">IF(BC61=0,0,BO61*BH61/BC61)</f>
        <v>0</v>
      </c>
    </row>
    <row r="62" customFormat="false" ht="15" hidden="false" customHeight="false" outlineLevel="0" collapsed="false">
      <c r="A62" s="74" t="s">
        <v>974</v>
      </c>
      <c r="B62" s="53" t="str">
        <f aca="false">INDEX(I_Items!$B$5:$B$133,MATCH($A62,I_Items!$A$5:$A$133,0))&amp;""</f>
        <v>Karkas Uk 0.8 Karkas Uk 0.8 Frozen Grade A</v>
      </c>
      <c r="C62" s="53" t="str">
        <f aca="false">INDEX(I_Items!$C$5:$C$133,MATCH($A62,I_Items!$A$5:$A$133,0))&amp;""</f>
        <v>RPA</v>
      </c>
      <c r="D62" s="53" t="str">
        <f aca="false">INDEX(I_Items!$D$5:$D$133,MATCH($A62,I_Items!$A$5:$A$133,0))&amp;""</f>
        <v>Karkas</v>
      </c>
      <c r="E62" s="53" t="str">
        <f aca="false">INDEX(I_Items!$F$5:$F$133,MATCH($A62,I_Items!$A$5:$A$133,0))&amp;""</f>
        <v>Frozen</v>
      </c>
      <c r="F62" s="53" t="str">
        <f aca="false">INDEX(I_Items!$E$5:$E$133,MATCH($A62,I_Items!$A$5:$A$133,0))&amp;""</f>
        <v>Uk 0.8</v>
      </c>
      <c r="G62" s="6" t="str">
        <f aca="false">IF(P62=0,"-",IF(M62=0,"A",IF(K62&lt;=0,"C","B")))</f>
        <v>B</v>
      </c>
      <c r="H62" s="13" t="n">
        <f aca="false">SUMIFS('MA Engine'!$K$6:$K$1110,'MA Engine'!$B$6:$B$1110,$A62,'MA Engine'!$I$6:$I$1110,"Opening")</f>
        <v>347.3</v>
      </c>
      <c r="I62" s="13" t="n">
        <f aca="false">SUMIFS('MA Engine'!$K$6:$K$1110,'MA Engine'!$B$6:$B$1110,$A62,'MA Engine'!$H$6:$H$1110,7,'MA Engine'!$I$6:$I$1110,"&lt;&gt;Opening")</f>
        <v>0</v>
      </c>
      <c r="J62" s="13" t="n">
        <f aca="false">SUMIFS('MA Engine'!$W$6:$W$1110,'MA Engine'!$B$6:$B$1110,$A62,'MA Engine'!$H$6:$H$1110,7)</f>
        <v>11.7</v>
      </c>
      <c r="K62" s="14" t="n">
        <f aca="false">H62+I62-J62</f>
        <v>335.6</v>
      </c>
      <c r="L62" s="7" t="n">
        <f aca="false">SUMIFS('MA Engine'!$L$6:$L$1110,'MA Engine'!$B$6:$B$1110,$A62,'MA Engine'!$I$6:$I$1110,"Opening")+SUMIFS('MA Engine'!$L$6:$L$1110,'MA Engine'!$B$6:$B$1110,$A62,'MA Engine'!$H$6:$H$1110,7,'MA Engine'!$I$6:$I$1110,"&lt;&gt;Opening")-SUMIFS('MA Engine'!$X$6:$X$1110,'MA Engine'!$B$6:$B$1110,$A62,'MA Engine'!$H$6:$H$1110,7)</f>
        <v>8033157.35</v>
      </c>
      <c r="M62" s="13" t="n">
        <f aca="false">SUMIFS('MA Engine'!$K$6:$K$1110,'MA Engine'!$B$6:$B$1110,$A62,'MA Engine'!$H$6:$H$1110,8)</f>
        <v>305.7</v>
      </c>
      <c r="N62" s="7" t="n">
        <f aca="false">SUMIFS('MA Engine'!$L$6:$L$1110,'MA Engine'!$B$6:$B$1110,$A62,'MA Engine'!$H$6:$H$1110,8)</f>
        <v>10272869.84</v>
      </c>
      <c r="O62" s="13" t="n">
        <f aca="false">SUMIFS('MA Engine'!$W$6:$W$1110,'MA Engine'!$B$6:$B$1110,$A62,'MA Engine'!$H$6:$H$1110,8)</f>
        <v>1.6</v>
      </c>
      <c r="P62" s="14" t="n">
        <f aca="false">Q62+R62</f>
        <v>1.6</v>
      </c>
      <c r="Q62" s="13" t="n">
        <f aca="false">SUMIFS('MA Engine'!$W$6:$W$1110,'MA Engine'!$B$6:$B$1110,$A62,'MA Engine'!$H$6:$H$1110,8,'MA Engine'!$I$6:$I$1110,"DO",'MA Engine'!$P$6:$P$1110,"&lt;&gt;Y")</f>
        <v>1.6</v>
      </c>
      <c r="R62" s="13" t="n">
        <f aca="false">SUMIFS('MA Engine'!$W$6:$W$1110,'MA Engine'!$B$6:$B$1110,$A62,'MA Engine'!$H$6:$H$1110,8,'MA Engine'!$I$6:$I$1110,"Unbilled")</f>
        <v>0</v>
      </c>
      <c r="S62" s="13" t="n">
        <f aca="false">SUMIFS('MA Engine'!$W$6:$W$1110,'MA Engine'!$B$6:$B$1110,$A62,'MA Engine'!$H$6:$H$1110,8,'MA Engine'!$P$6:$P$1110,"Y")</f>
        <v>0</v>
      </c>
      <c r="T62" s="14" t="n">
        <f aca="false">O62-P62-S62</f>
        <v>0</v>
      </c>
      <c r="U62" s="14" t="n">
        <f aca="false">MAX(0,H62-J62)</f>
        <v>335.6</v>
      </c>
      <c r="V62" s="14" t="n">
        <f aca="false">MAX(0,K62-U62)</f>
        <v>0</v>
      </c>
      <c r="W62" s="14" t="n">
        <f aca="false">MIN(U62,O62)</f>
        <v>1.6</v>
      </c>
      <c r="X62" s="14" t="n">
        <f aca="false">MIN(V62,O62-W62)</f>
        <v>0</v>
      </c>
      <c r="Y62" s="14" t="n">
        <f aca="false">O62-W62-X62</f>
        <v>0</v>
      </c>
      <c r="Z62" s="21" t="n">
        <f aca="false">IF(O62=0,0,P62/O62)</f>
        <v>1</v>
      </c>
      <c r="AA62" s="13" t="n">
        <f aca="false">SUMIFS('MA Engine'!$AH$6:$AH$1110,'MA Engine'!$B$6:$B$1110,$A62,'MA Engine'!$H$6:$H$1110,8,'MA Engine'!$I$6:$I$1110,"DO",'MA Engine'!$P$6:$P$1110,"&lt;&gt;Y")+SUMIFS('MA Engine'!$AH$6:$AH$1110,'MA Engine'!$B$6:$B$1110,$A62,'MA Engine'!$H$6:$H$1110,8,'MA Engine'!$I$6:$I$1110,"Unbilled")</f>
        <v>1.6</v>
      </c>
      <c r="AB62" s="13" t="n">
        <f aca="false">SUMIFS('MA Engine'!$AI$6:$AI$1110,'MA Engine'!$B$6:$B$1110,$A62,'MA Engine'!$H$6:$H$1110,8,'MA Engine'!$I$6:$I$1110,"DO",'MA Engine'!$P$6:$P$1110,"&lt;&gt;Y")+SUMIFS('MA Engine'!$AI$6:$AI$1110,'MA Engine'!$B$6:$B$1110,$A62,'MA Engine'!$H$6:$H$1110,8,'MA Engine'!$I$6:$I$1110,"Unbilled")</f>
        <v>0</v>
      </c>
      <c r="AC62" s="13" t="n">
        <f aca="false">SUMIFS('MA Engine'!$AJ$6:$AJ$1110,'MA Engine'!$B$6:$B$1110,$A62,'MA Engine'!$H$6:$H$1110,8,'MA Engine'!$I$6:$I$1110,"DO",'MA Engine'!$P$6:$P$1110,"&lt;&gt;Y")+SUMIFS('MA Engine'!$AJ$6:$AJ$1110,'MA Engine'!$B$6:$B$1110,$A62,'MA Engine'!$H$6:$H$1110,8,'MA Engine'!$I$6:$I$1110,"Unbilled")</f>
        <v>0</v>
      </c>
      <c r="AD62" s="7" t="n">
        <f aca="false">SUMIFS('MA Engine'!$L$6:$L$1110,'MA Engine'!$B$6:$B$1110,$A62,'MA Engine'!$H$6:$H$1110,7,'MA Engine'!$I$6:$I$1110,"&lt;&gt;Opening")</f>
        <v>0</v>
      </c>
      <c r="AE62" s="9" t="n">
        <f aca="false">IF(AND(U62&gt;0.0001,(L62-V62*IF(I62&gt;0,AD62/I62,IF(K62&gt;0,L62/K62,0)))&lt;0),IF(K62&gt;0,L62/K62,0),IF(I62&gt;0,AD62/I62,IF(K62&gt;0,L62/K62,0)))</f>
        <v>23936.7024731824</v>
      </c>
      <c r="AF62" s="9" t="n">
        <f aca="false">IF(U62&lt;=0.0001,IF(K62&gt;0,L62/K62,0),IF((L62-V62*IF(I62&gt;0,AD62/I62,IF(K62&gt;0,L62/K62,0)))&lt;0,IF(K62&gt;0,L62/K62,0),(L62-V62*IF(I62&gt;0,AD62/I62,IF(K62&gt;0,L62/K62,0)))/U62))</f>
        <v>23936.7024731824</v>
      </c>
      <c r="AG62" s="9" t="n">
        <f aca="false">IF(M62&gt;0,N62/M62,IF(K62&gt;0,L62/K62,0))</f>
        <v>33604.4155708211</v>
      </c>
      <c r="AH62" s="7" t="n">
        <f aca="false">SUMIFS('MA Engine'!$X$6:$X$1110,'MA Engine'!$B$6:$B$1110,$A62,'MA Engine'!$H$6:$H$1110,8,'MA Engine'!$I$6:$I$1110,"DO",'MA Engine'!$P$6:$P$1110,"&lt;&gt;Y")+SUMIFS('MA Engine'!$X$6:$X$1110,'MA Engine'!$B$6:$B$1110,$A62,'MA Engine'!$H$6:$H$1110,8,'MA Engine'!$I$6:$I$1110,"Unbilled")</f>
        <v>45672.2961234992</v>
      </c>
      <c r="AI62" s="7" t="n">
        <f aca="false">SUMIFS('MA Engine'!$AK$6:$AK$1110,'MA Engine'!$B$6:$B$1110,$A62,'MA Engine'!$H$6:$H$1110,8,'MA Engine'!$I$6:$I$1110,"DO",'MA Engine'!$P$6:$P$1110,"&lt;&gt;Y")+SUMIFS('MA Engine'!$AK$6:$AK$1110,'MA Engine'!$B$6:$B$1110,$A62,'MA Engine'!$H$6:$H$1110,8,'MA Engine'!$I$6:$I$1110,"Unbilled")</f>
        <v>45672.2961234991</v>
      </c>
      <c r="AJ62" s="7" t="n">
        <f aca="false">SUMIFS('MA Engine'!$AL$6:$AL$1110,'MA Engine'!$B$6:$B$1110,$A62,'MA Engine'!$H$6:$H$1110,8,'MA Engine'!$I$6:$I$1110,"DO",'MA Engine'!$P$6:$P$1110,"&lt;&gt;Y")+SUMIFS('MA Engine'!$AL$6:$AL$1110,'MA Engine'!$B$6:$B$1110,$A62,'MA Engine'!$H$6:$H$1110,8,'MA Engine'!$I$6:$I$1110,"Unbilled")</f>
        <v>0</v>
      </c>
      <c r="AK62" s="7" t="n">
        <f aca="false">SUMIFS('MA Engine'!$AM$6:$AM$1110,'MA Engine'!$B$6:$B$1110,$A62,'MA Engine'!$H$6:$H$1110,8,'MA Engine'!$I$6:$I$1110,"DO",'MA Engine'!$P$6:$P$1110,"&lt;&gt;Y")+SUMIFS('MA Engine'!$AM$6:$AM$1110,'MA Engine'!$B$6:$B$1110,$A62,'MA Engine'!$H$6:$H$1110,8,'MA Engine'!$I$6:$I$1110,"Unbilled")</f>
        <v>0</v>
      </c>
      <c r="AL62" s="9" t="n">
        <f aca="false">AH62-AI62-AJ62-AK62</f>
        <v>0</v>
      </c>
      <c r="AM62" s="7" t="n">
        <f aca="false">IF(Q62=0,0,IF($D62="Karkas",SUMIFS('Karkas Detail'!$E$6:$E$42,'Karkas Detail'!$A$6:$A$42,$C62,'Karkas Detail'!$B$6:$B$42,$F62,'Karkas Detail'!$C$6:$C$42,$E62)/SUMIFS($Q$36:$Q$127,$C$36:$C$127,$C62,$D$36:$D$127,"Karkas",$F$36:$F$127,$F62,$E$36:$E$127,$E62),SUMIFS('Data SKU'!$G$5:$G$116,'Data SKU'!$A$5:$A$116,$C62,'Data SKU'!$B$5:$B$116,$D62,'Data SKU'!$C$5:$C$116,$E62,'Data SKU'!$D$5:$D$116,8,'Data SKU'!$N$5:$N$116,"Invoiced")/SUMIFS($Q$36:$Q$127,$C$36:$C$127,$C62,$D$36:$D$127,$D62,$E$36:$E$127,$E62))*Q62)+SUMIFS(Unbilled!$U$22:$U$38,Unbilled!$E$22:$E$38,$A62)</f>
        <v>50296.7009143475</v>
      </c>
      <c r="AN62" s="9" t="n">
        <f aca="false">IF(P62=0,0,AM62*AA62/P62)</f>
        <v>50296.7009143475</v>
      </c>
      <c r="AO62" s="9" t="n">
        <f aca="false">IF(P62=0,0,AM62*AB62/P62)</f>
        <v>0</v>
      </c>
      <c r="AP62" s="9" t="n">
        <f aca="false">IF(P62=0,0,AM62*AC62/P62)</f>
        <v>0</v>
      </c>
      <c r="AQ62" s="14" t="n">
        <f aca="false">MIN(U62+V62,MAX(0,O62-M62))</f>
        <v>0</v>
      </c>
      <c r="AR62" s="14" t="n">
        <f aca="false">MAX(0,AQ62-V62)*Z62</f>
        <v>0</v>
      </c>
      <c r="AS62" s="14" t="n">
        <f aca="false">MIN(V62,AQ62)*Z62</f>
        <v>0</v>
      </c>
      <c r="AT62" s="14" t="n">
        <f aca="false">(O62-AQ62)*Z62</f>
        <v>1.6</v>
      </c>
      <c r="AU62" s="9" t="n">
        <f aca="false">(AR62+AS62+AT62)*BA62</f>
        <v>45672.2961234992</v>
      </c>
      <c r="AV62" s="9" t="n">
        <f aca="false">IF(P62=0,0,AM62*AR62/P62)</f>
        <v>0</v>
      </c>
      <c r="AW62" s="9" t="n">
        <f aca="false">IF(P62=0,0,AM62*AS62/P62)</f>
        <v>0</v>
      </c>
      <c r="AX62" s="9" t="n">
        <f aca="false">IF(P62=0,0,AM62*AT62/P62)</f>
        <v>50296.7009143475</v>
      </c>
      <c r="AY62" s="9" t="n">
        <f aca="false">AH62-AU62</f>
        <v>0</v>
      </c>
      <c r="AZ62" s="9" t="n">
        <f aca="false">IF(M62&gt;0,P62*AG62,0)</f>
        <v>53767.0649133137</v>
      </c>
      <c r="BA62" s="9" t="n">
        <f aca="false">IF(P62=0,0,AH62/P62)</f>
        <v>28545.185077187</v>
      </c>
      <c r="BB62" s="74" t="s">
        <v>838</v>
      </c>
      <c r="BC62" s="13" t="n">
        <f aca="false">SUMIFS('MA Engine'!$W$6:$W$1110,'MA Engine'!$B$6:$B$1110,$A62,'MA Engine'!$H$6:$H$1110,7,'MA Engine'!$I$6:$I$1110,"DO")</f>
        <v>0</v>
      </c>
      <c r="BD62" s="14" t="n">
        <f aca="false">MIN(MAX(0,H62),J62)</f>
        <v>11.7</v>
      </c>
      <c r="BE62" s="14" t="n">
        <f aca="false">J62-BD62</f>
        <v>0</v>
      </c>
      <c r="BF62" s="21" t="n">
        <f aca="false">IF(J62=0,0,BC62/J62)</f>
        <v>0</v>
      </c>
      <c r="BG62" s="13" t="n">
        <f aca="false">SUMIFS('MA Engine'!$AH$6:$AH$1110,'MA Engine'!$B$6:$B$1110,$A62,'MA Engine'!$H$6:$H$1110,7,'MA Engine'!$I$6:$I$1110,"DO")</f>
        <v>0</v>
      </c>
      <c r="BH62" s="13" t="n">
        <f aca="false">SUMIFS('MA Engine'!$AI$6:$AI$1110,'MA Engine'!$B$6:$B$1110,$A62,'MA Engine'!$H$6:$H$1110,7,'MA Engine'!$I$6:$I$1110,"DO")+SUMIFS('MA Engine'!$AJ$6:$AJ$1110,'MA Engine'!$B$6:$B$1110,$A62,'MA Engine'!$H$6:$H$1110,7,'MA Engine'!$I$6:$I$1110,"DO")</f>
        <v>0</v>
      </c>
      <c r="BI62" s="7" t="n">
        <f aca="false">IF(H62&gt;0,SUMIFS('MA Engine'!$L$6:$L$1110,'MA Engine'!$B$6:$B$1110,$A62,'MA Engine'!$I$6:$I$1110,"Opening")/H62,0)</f>
        <v>23998.7763892888</v>
      </c>
      <c r="BJ62" s="9" t="n">
        <f aca="false">IF(I62&gt;0,AD62/I62,BI62)</f>
        <v>23998.7763892888</v>
      </c>
      <c r="BK62" s="7" t="n">
        <f aca="false">SUMIFS('MA Engine'!$X$6:$X$1110,'MA Engine'!$B$6:$B$1110,$A62,'MA Engine'!$H$6:$H$1110,7,'MA Engine'!$I$6:$I$1110,"DO")</f>
        <v>0</v>
      </c>
      <c r="BL62" s="7" t="n">
        <f aca="false">SUMIFS('MA Engine'!$AK$6:$AK$1110,'MA Engine'!$B$6:$B$1110,$A62,'MA Engine'!$H$6:$H$1110,7,'MA Engine'!$I$6:$I$1110,"DO")</f>
        <v>0</v>
      </c>
      <c r="BM62" s="7" t="n">
        <f aca="false">SUMIFS('MA Engine'!$AL$6:$AL$1110,'MA Engine'!$B$6:$B$1110,$A62,'MA Engine'!$H$6:$H$1110,7,'MA Engine'!$I$6:$I$1110,"DO")+SUMIFS('MA Engine'!$AM$6:$AM$1110,'MA Engine'!$B$6:$B$1110,$A62,'MA Engine'!$H$6:$H$1110,7,'MA Engine'!$I$6:$I$1110,"DO")</f>
        <v>0</v>
      </c>
      <c r="BN62" s="9" t="n">
        <f aca="false">BK62-BL62-BM62</f>
        <v>0</v>
      </c>
      <c r="BO62" s="7" t="n">
        <f aca="false">IF(BC62=0,0,SUMIFS('Data SKU'!$G$5:$G$116,'Data SKU'!$A$5:$A$116,$C62,'Data SKU'!$B$5:$B$116,$D62,'Data SKU'!$C$5:$C$116,$E62,'Data SKU'!$D$5:$D$116,7,'Data SKU'!$N$5:$N$116,"Invoiced")/SUMIFS($BC$36:$BC$127,$C$36:$C$127,$C62,$D$36:$D$127,$D62,$E$36:$E$127,$E62)*BC62)</f>
        <v>0</v>
      </c>
      <c r="BP62" s="9" t="n">
        <f aca="false">IF(BC62=0,0,BO62*BG62/BC62)</f>
        <v>0</v>
      </c>
      <c r="BQ62" s="9" t="n">
        <f aca="false">IF(BC62=0,0,BO62*BH62/BC62)</f>
        <v>0</v>
      </c>
    </row>
    <row r="63" customFormat="false" ht="15" hidden="false" customHeight="false" outlineLevel="0" collapsed="false">
      <c r="A63" s="74" t="s">
        <v>975</v>
      </c>
      <c r="B63" s="53" t="str">
        <f aca="false">INDEX(I_Items!$B$5:$B$133,MATCH($A63,I_Items!$A$5:$A$133,0))&amp;""</f>
        <v>Karkas Uk 0.9 Karkas Uk 0.9 Fresh Premium</v>
      </c>
      <c r="C63" s="53" t="str">
        <f aca="false">INDEX(I_Items!$C$5:$C$133,MATCH($A63,I_Items!$A$5:$A$133,0))&amp;""</f>
        <v>RPA</v>
      </c>
      <c r="D63" s="53" t="str">
        <f aca="false">INDEX(I_Items!$D$5:$D$133,MATCH($A63,I_Items!$A$5:$A$133,0))&amp;""</f>
        <v>Karkas</v>
      </c>
      <c r="E63" s="53" t="str">
        <f aca="false">INDEX(I_Items!$F$5:$F$133,MATCH($A63,I_Items!$A$5:$A$133,0))&amp;""</f>
        <v>Fresh</v>
      </c>
      <c r="F63" s="53" t="str">
        <f aca="false">INDEX(I_Items!$E$5:$E$133,MATCH($A63,I_Items!$A$5:$A$133,0))&amp;""</f>
        <v>Uk 0.9</v>
      </c>
      <c r="G63" s="6" t="str">
        <f aca="false">IF(P63=0,"-",IF(M63=0,"A",IF(K63&lt;=0,"C","B")))</f>
        <v>C</v>
      </c>
      <c r="H63" s="13" t="n">
        <f aca="false">SUMIFS('MA Engine'!$K$6:$K$1110,'MA Engine'!$B$6:$B$1110,$A63,'MA Engine'!$I$6:$I$1110,"Opening")</f>
        <v>0</v>
      </c>
      <c r="I63" s="13" t="n">
        <f aca="false">SUMIFS('MA Engine'!$K$6:$K$1110,'MA Engine'!$B$6:$B$1110,$A63,'MA Engine'!$H$6:$H$1110,7,'MA Engine'!$I$6:$I$1110,"&lt;&gt;Opening")</f>
        <v>0</v>
      </c>
      <c r="J63" s="13" t="n">
        <f aca="false">SUMIFS('MA Engine'!$W$6:$W$1110,'MA Engine'!$B$6:$B$1110,$A63,'MA Engine'!$H$6:$H$1110,7)</f>
        <v>0</v>
      </c>
      <c r="K63" s="14" t="n">
        <f aca="false">H63+I63-J63</f>
        <v>0</v>
      </c>
      <c r="L63" s="7" t="n">
        <f aca="false">SUMIFS('MA Engine'!$L$6:$L$1110,'MA Engine'!$B$6:$B$1110,$A63,'MA Engine'!$I$6:$I$1110,"Opening")+SUMIFS('MA Engine'!$L$6:$L$1110,'MA Engine'!$B$6:$B$1110,$A63,'MA Engine'!$H$6:$H$1110,7,'MA Engine'!$I$6:$I$1110,"&lt;&gt;Opening")-SUMIFS('MA Engine'!$X$6:$X$1110,'MA Engine'!$B$6:$B$1110,$A63,'MA Engine'!$H$6:$H$1110,7)</f>
        <v>0</v>
      </c>
      <c r="M63" s="13" t="n">
        <f aca="false">SUMIFS('MA Engine'!$K$6:$K$1110,'MA Engine'!$B$6:$B$1110,$A63,'MA Engine'!$H$6:$H$1110,8)</f>
        <v>1281.5</v>
      </c>
      <c r="N63" s="7" t="n">
        <f aca="false">SUMIFS('MA Engine'!$L$6:$L$1110,'MA Engine'!$B$6:$B$1110,$A63,'MA Engine'!$H$6:$H$1110,8)</f>
        <v>47116113.29</v>
      </c>
      <c r="O63" s="13" t="n">
        <f aca="false">SUMIFS('MA Engine'!$W$6:$W$1110,'MA Engine'!$B$6:$B$1110,$A63,'MA Engine'!$H$6:$H$1110,8)</f>
        <v>730.65</v>
      </c>
      <c r="P63" s="14" t="n">
        <f aca="false">Q63+R63</f>
        <v>443.75</v>
      </c>
      <c r="Q63" s="13" t="n">
        <f aca="false">SUMIFS('MA Engine'!$W$6:$W$1110,'MA Engine'!$B$6:$B$1110,$A63,'MA Engine'!$H$6:$H$1110,8,'MA Engine'!$I$6:$I$1110,"DO",'MA Engine'!$P$6:$P$1110,"&lt;&gt;Y")</f>
        <v>443.75</v>
      </c>
      <c r="R63" s="13" t="n">
        <f aca="false">SUMIFS('MA Engine'!$W$6:$W$1110,'MA Engine'!$B$6:$B$1110,$A63,'MA Engine'!$H$6:$H$1110,8,'MA Engine'!$I$6:$I$1110,"Unbilled")</f>
        <v>0</v>
      </c>
      <c r="S63" s="13" t="n">
        <f aca="false">SUMIFS('MA Engine'!$W$6:$W$1110,'MA Engine'!$B$6:$B$1110,$A63,'MA Engine'!$H$6:$H$1110,8,'MA Engine'!$P$6:$P$1110,"Y")</f>
        <v>286.9</v>
      </c>
      <c r="T63" s="14" t="n">
        <f aca="false">O63-P63-S63</f>
        <v>0</v>
      </c>
      <c r="U63" s="14" t="n">
        <f aca="false">MAX(0,H63-J63)</f>
        <v>0</v>
      </c>
      <c r="V63" s="14" t="n">
        <f aca="false">MAX(0,K63-U63)</f>
        <v>0</v>
      </c>
      <c r="W63" s="14" t="n">
        <f aca="false">MIN(U63,O63)</f>
        <v>0</v>
      </c>
      <c r="X63" s="14" t="n">
        <f aca="false">MIN(V63,O63-W63)</f>
        <v>0</v>
      </c>
      <c r="Y63" s="14" t="n">
        <f aca="false">O63-W63-X63</f>
        <v>730.65</v>
      </c>
      <c r="Z63" s="21" t="n">
        <f aca="false">IF(O63=0,0,P63/O63)</f>
        <v>0.607335933757613</v>
      </c>
      <c r="AA63" s="13" t="n">
        <f aca="false">SUMIFS('MA Engine'!$AH$6:$AH$1110,'MA Engine'!$B$6:$B$1110,$A63,'MA Engine'!$H$6:$H$1110,8,'MA Engine'!$I$6:$I$1110,"DO",'MA Engine'!$P$6:$P$1110,"&lt;&gt;Y")+SUMIFS('MA Engine'!$AH$6:$AH$1110,'MA Engine'!$B$6:$B$1110,$A63,'MA Engine'!$H$6:$H$1110,8,'MA Engine'!$I$6:$I$1110,"Unbilled")</f>
        <v>0</v>
      </c>
      <c r="AB63" s="13" t="n">
        <f aca="false">SUMIFS('MA Engine'!$AI$6:$AI$1110,'MA Engine'!$B$6:$B$1110,$A63,'MA Engine'!$H$6:$H$1110,8,'MA Engine'!$I$6:$I$1110,"DO",'MA Engine'!$P$6:$P$1110,"&lt;&gt;Y")+SUMIFS('MA Engine'!$AI$6:$AI$1110,'MA Engine'!$B$6:$B$1110,$A63,'MA Engine'!$H$6:$H$1110,8,'MA Engine'!$I$6:$I$1110,"Unbilled")</f>
        <v>0</v>
      </c>
      <c r="AC63" s="13" t="n">
        <f aca="false">SUMIFS('MA Engine'!$AJ$6:$AJ$1110,'MA Engine'!$B$6:$B$1110,$A63,'MA Engine'!$H$6:$H$1110,8,'MA Engine'!$I$6:$I$1110,"DO",'MA Engine'!$P$6:$P$1110,"&lt;&gt;Y")+SUMIFS('MA Engine'!$AJ$6:$AJ$1110,'MA Engine'!$B$6:$B$1110,$A63,'MA Engine'!$H$6:$H$1110,8,'MA Engine'!$I$6:$I$1110,"Unbilled")</f>
        <v>443.75</v>
      </c>
      <c r="AD63" s="7" t="n">
        <f aca="false">SUMIFS('MA Engine'!$L$6:$L$1110,'MA Engine'!$B$6:$B$1110,$A63,'MA Engine'!$H$6:$H$1110,7,'MA Engine'!$I$6:$I$1110,"&lt;&gt;Opening")</f>
        <v>0</v>
      </c>
      <c r="AE63" s="9" t="n">
        <f aca="false">IF(AND(U63&gt;0.0001,(L63-V63*IF(I63&gt;0,AD63/I63,IF(K63&gt;0,L63/K63,0)))&lt;0),IF(K63&gt;0,L63/K63,0),IF(I63&gt;0,AD63/I63,IF(K63&gt;0,L63/K63,0)))</f>
        <v>0</v>
      </c>
      <c r="AF63" s="9" t="n">
        <f aca="false">IF(U63&lt;=0.0001,IF(K63&gt;0,L63/K63,0),IF((L63-V63*IF(I63&gt;0,AD63/I63,IF(K63&gt;0,L63/K63,0)))&lt;0,IF(K63&gt;0,L63/K63,0),(L63-V63*IF(I63&gt;0,AD63/I63,IF(K63&gt;0,L63/K63,0)))/U63))</f>
        <v>0</v>
      </c>
      <c r="AG63" s="9" t="n">
        <f aca="false">IF(M63&gt;0,N63/M63,IF(K63&gt;0,L63/K63,0))</f>
        <v>36766.3779087007</v>
      </c>
      <c r="AH63" s="7" t="n">
        <f aca="false">SUMIFS('MA Engine'!$X$6:$X$1110,'MA Engine'!$B$6:$B$1110,$A63,'MA Engine'!$H$6:$H$1110,8,'MA Engine'!$I$6:$I$1110,"DO",'MA Engine'!$P$6:$P$1110,"&lt;&gt;Y")+SUMIFS('MA Engine'!$X$6:$X$1110,'MA Engine'!$B$6:$B$1110,$A63,'MA Engine'!$H$6:$H$1110,8,'MA Engine'!$I$6:$I$1110,"Unbilled")</f>
        <v>16315080.196986</v>
      </c>
      <c r="AI63" s="7" t="n">
        <f aca="false">SUMIFS('MA Engine'!$AK$6:$AK$1110,'MA Engine'!$B$6:$B$1110,$A63,'MA Engine'!$H$6:$H$1110,8,'MA Engine'!$I$6:$I$1110,"DO",'MA Engine'!$P$6:$P$1110,"&lt;&gt;Y")+SUMIFS('MA Engine'!$AK$6:$AK$1110,'MA Engine'!$B$6:$B$1110,$A63,'MA Engine'!$H$6:$H$1110,8,'MA Engine'!$I$6:$I$1110,"Unbilled")</f>
        <v>0</v>
      </c>
      <c r="AJ63" s="7" t="n">
        <f aca="false">SUMIFS('MA Engine'!$AL$6:$AL$1110,'MA Engine'!$B$6:$B$1110,$A63,'MA Engine'!$H$6:$H$1110,8,'MA Engine'!$I$6:$I$1110,"DO",'MA Engine'!$P$6:$P$1110,"&lt;&gt;Y")+SUMIFS('MA Engine'!$AL$6:$AL$1110,'MA Engine'!$B$6:$B$1110,$A63,'MA Engine'!$H$6:$H$1110,8,'MA Engine'!$I$6:$I$1110,"Unbilled")</f>
        <v>0</v>
      </c>
      <c r="AK63" s="7" t="n">
        <f aca="false">SUMIFS('MA Engine'!$AM$6:$AM$1110,'MA Engine'!$B$6:$B$1110,$A63,'MA Engine'!$H$6:$H$1110,8,'MA Engine'!$I$6:$I$1110,"DO",'MA Engine'!$P$6:$P$1110,"&lt;&gt;Y")+SUMIFS('MA Engine'!$AM$6:$AM$1110,'MA Engine'!$B$6:$B$1110,$A63,'MA Engine'!$H$6:$H$1110,8,'MA Engine'!$I$6:$I$1110,"Unbilled")</f>
        <v>16315080.196986</v>
      </c>
      <c r="AL63" s="9" t="n">
        <f aca="false">AH63-AI63-AJ63-AK63</f>
        <v>0</v>
      </c>
      <c r="AM63" s="7" t="n">
        <f aca="false">IF(Q63=0,0,IF($D63="Karkas",SUMIFS('Karkas Detail'!$E$6:$E$42,'Karkas Detail'!$A$6:$A$42,$C63,'Karkas Detail'!$B$6:$B$42,$F63,'Karkas Detail'!$C$6:$C$42,$E63)/SUMIFS($Q$36:$Q$127,$C$36:$C$127,$C63,$D$36:$D$127,"Karkas",$F$36:$F$127,$F63,$E$36:$E$127,$E63),SUMIFS('Data SKU'!$G$5:$G$116,'Data SKU'!$A$5:$A$116,$C63,'Data SKU'!$B$5:$B$116,$D63,'Data SKU'!$C$5:$C$116,$E63,'Data SKU'!$D$5:$D$116,8,'Data SKU'!$N$5:$N$116,"Invoiced")/SUMIFS($Q$36:$Q$127,$C$36:$C$127,$C63,$D$36:$D$127,$D63,$E$36:$E$127,$E63))*Q63)+SUMIFS(Unbilled!$U$22:$U$38,Unbilled!$E$22:$E$38,$A63)</f>
        <v>15454625</v>
      </c>
      <c r="AN63" s="9" t="n">
        <f aca="false">IF(P63=0,0,AM63*AA63/P63)</f>
        <v>0</v>
      </c>
      <c r="AO63" s="9" t="n">
        <f aca="false">IF(P63=0,0,AM63*AB63/P63)</f>
        <v>0</v>
      </c>
      <c r="AP63" s="9" t="n">
        <f aca="false">IF(P63=0,0,AM63*AC63/P63)</f>
        <v>15454625</v>
      </c>
      <c r="AQ63" s="14" t="n">
        <f aca="false">MIN(U63+V63,MAX(0,O63-M63))</f>
        <v>0</v>
      </c>
      <c r="AR63" s="14" t="n">
        <f aca="false">MAX(0,AQ63-V63)*Z63</f>
        <v>0</v>
      </c>
      <c r="AS63" s="14" t="n">
        <f aca="false">MIN(V63,AQ63)*Z63</f>
        <v>0</v>
      </c>
      <c r="AT63" s="14" t="n">
        <f aca="false">(O63-AQ63)*Z63</f>
        <v>443.75</v>
      </c>
      <c r="AU63" s="9" t="n">
        <f aca="false">(AR63+AS63+AT63)*BA63</f>
        <v>16315080.196986</v>
      </c>
      <c r="AV63" s="9" t="n">
        <f aca="false">IF(P63=0,0,AM63*AR63/P63)</f>
        <v>0</v>
      </c>
      <c r="AW63" s="9" t="n">
        <f aca="false">IF(P63=0,0,AM63*AS63/P63)</f>
        <v>0</v>
      </c>
      <c r="AX63" s="9" t="n">
        <f aca="false">IF(P63=0,0,AM63*AT63/P63)</f>
        <v>15454625</v>
      </c>
      <c r="AY63" s="9" t="n">
        <f aca="false">AH63-AU63</f>
        <v>0</v>
      </c>
      <c r="AZ63" s="9" t="n">
        <f aca="false">IF(M63&gt;0,P63*AG63,0)</f>
        <v>16315080.196986</v>
      </c>
      <c r="BA63" s="9" t="n">
        <f aca="false">IF(P63=0,0,AH63/P63)</f>
        <v>36766.3779087007</v>
      </c>
      <c r="BB63" s="74" t="s">
        <v>837</v>
      </c>
      <c r="BC63" s="13" t="n">
        <f aca="false">SUMIFS('MA Engine'!$W$6:$W$1110,'MA Engine'!$B$6:$B$1110,$A63,'MA Engine'!$H$6:$H$1110,7,'MA Engine'!$I$6:$I$1110,"DO")</f>
        <v>0</v>
      </c>
      <c r="BD63" s="14" t="n">
        <f aca="false">MIN(MAX(0,H63),J63)</f>
        <v>0</v>
      </c>
      <c r="BE63" s="14" t="n">
        <f aca="false">J63-BD63</f>
        <v>0</v>
      </c>
      <c r="BF63" s="21" t="n">
        <f aca="false">IF(J63=0,0,BC63/J63)</f>
        <v>0</v>
      </c>
      <c r="BG63" s="13" t="n">
        <f aca="false">SUMIFS('MA Engine'!$AH$6:$AH$1110,'MA Engine'!$B$6:$B$1110,$A63,'MA Engine'!$H$6:$H$1110,7,'MA Engine'!$I$6:$I$1110,"DO")</f>
        <v>0</v>
      </c>
      <c r="BH63" s="13" t="n">
        <f aca="false">SUMIFS('MA Engine'!$AI$6:$AI$1110,'MA Engine'!$B$6:$B$1110,$A63,'MA Engine'!$H$6:$H$1110,7,'MA Engine'!$I$6:$I$1110,"DO")+SUMIFS('MA Engine'!$AJ$6:$AJ$1110,'MA Engine'!$B$6:$B$1110,$A63,'MA Engine'!$H$6:$H$1110,7,'MA Engine'!$I$6:$I$1110,"DO")</f>
        <v>0</v>
      </c>
      <c r="BI63" s="7" t="n">
        <f aca="false">IF(H63&gt;0,SUMIFS('MA Engine'!$L$6:$L$1110,'MA Engine'!$B$6:$B$1110,$A63,'MA Engine'!$I$6:$I$1110,"Opening")/H63,0)</f>
        <v>0</v>
      </c>
      <c r="BJ63" s="9" t="n">
        <f aca="false">IF(I63&gt;0,AD63/I63,BI63)</f>
        <v>0</v>
      </c>
      <c r="BK63" s="7" t="n">
        <f aca="false">SUMIFS('MA Engine'!$X$6:$X$1110,'MA Engine'!$B$6:$B$1110,$A63,'MA Engine'!$H$6:$H$1110,7,'MA Engine'!$I$6:$I$1110,"DO")</f>
        <v>0</v>
      </c>
      <c r="BL63" s="7" t="n">
        <f aca="false">SUMIFS('MA Engine'!$AK$6:$AK$1110,'MA Engine'!$B$6:$B$1110,$A63,'MA Engine'!$H$6:$H$1110,7,'MA Engine'!$I$6:$I$1110,"DO")</f>
        <v>0</v>
      </c>
      <c r="BM63" s="7" t="n">
        <f aca="false">SUMIFS('MA Engine'!$AL$6:$AL$1110,'MA Engine'!$B$6:$B$1110,$A63,'MA Engine'!$H$6:$H$1110,7,'MA Engine'!$I$6:$I$1110,"DO")+SUMIFS('MA Engine'!$AM$6:$AM$1110,'MA Engine'!$B$6:$B$1110,$A63,'MA Engine'!$H$6:$H$1110,7,'MA Engine'!$I$6:$I$1110,"DO")</f>
        <v>0</v>
      </c>
      <c r="BN63" s="9" t="n">
        <f aca="false">BK63-BL63-BM63</f>
        <v>0</v>
      </c>
      <c r="BO63" s="7" t="n">
        <f aca="false">IF(BC63=0,0,SUMIFS('Data SKU'!$G$5:$G$116,'Data SKU'!$A$5:$A$116,$C63,'Data SKU'!$B$5:$B$116,$D63,'Data SKU'!$C$5:$C$116,$E63,'Data SKU'!$D$5:$D$116,7,'Data SKU'!$N$5:$N$116,"Invoiced")/SUMIFS($BC$36:$BC$127,$C$36:$C$127,$C63,$D$36:$D$127,$D63,$E$36:$E$127,$E63)*BC63)</f>
        <v>0</v>
      </c>
      <c r="BP63" s="9" t="n">
        <f aca="false">IF(BC63=0,0,BO63*BG63/BC63)</f>
        <v>0</v>
      </c>
      <c r="BQ63" s="9" t="n">
        <f aca="false">IF(BC63=0,0,BO63*BH63/BC63)</f>
        <v>0</v>
      </c>
    </row>
    <row r="64" customFormat="false" ht="15" hidden="false" customHeight="false" outlineLevel="0" collapsed="false">
      <c r="A64" s="74" t="s">
        <v>976</v>
      </c>
      <c r="B64" s="53" t="str">
        <f aca="false">INDEX(I_Items!$B$5:$B$133,MATCH($A64,I_Items!$A$5:$A$133,0))&amp;""</f>
        <v>Karkas Uk 0.9 Karkas Uk 0.9 Frozen Grade A</v>
      </c>
      <c r="C64" s="53" t="str">
        <f aca="false">INDEX(I_Items!$C$5:$C$133,MATCH($A64,I_Items!$A$5:$A$133,0))&amp;""</f>
        <v>RPA</v>
      </c>
      <c r="D64" s="53" t="str">
        <f aca="false">INDEX(I_Items!$D$5:$D$133,MATCH($A64,I_Items!$A$5:$A$133,0))&amp;""</f>
        <v>Karkas</v>
      </c>
      <c r="E64" s="53" t="str">
        <f aca="false">INDEX(I_Items!$F$5:$F$133,MATCH($A64,I_Items!$A$5:$A$133,0))&amp;""</f>
        <v>Frozen</v>
      </c>
      <c r="F64" s="53" t="str">
        <f aca="false">INDEX(I_Items!$E$5:$E$133,MATCH($A64,I_Items!$A$5:$A$133,0))&amp;""</f>
        <v>Uk 0.9</v>
      </c>
      <c r="G64" s="6" t="str">
        <f aca="false">IF(P64=0,"-",IF(M64=0,"A",IF(K64&lt;=0,"C","B")))</f>
        <v>B</v>
      </c>
      <c r="H64" s="13" t="n">
        <f aca="false">SUMIFS('MA Engine'!$K$6:$K$1110,'MA Engine'!$B$6:$B$1110,$A64,'MA Engine'!$I$6:$I$1110,"Opening")</f>
        <v>330.54</v>
      </c>
      <c r="I64" s="13" t="n">
        <f aca="false">SUMIFS('MA Engine'!$K$6:$K$1110,'MA Engine'!$B$6:$B$1110,$A64,'MA Engine'!$H$6:$H$1110,7,'MA Engine'!$I$6:$I$1110,"&lt;&gt;Opening")</f>
        <v>30.6</v>
      </c>
      <c r="J64" s="13" t="n">
        <f aca="false">SUMIFS('MA Engine'!$W$6:$W$1110,'MA Engine'!$B$6:$B$1110,$A64,'MA Engine'!$H$6:$H$1110,7)</f>
        <v>51.54</v>
      </c>
      <c r="K64" s="14" t="n">
        <f aca="false">H64+I64-J64</f>
        <v>309.6</v>
      </c>
      <c r="L64" s="7" t="n">
        <f aca="false">SUMIFS('MA Engine'!$L$6:$L$1110,'MA Engine'!$B$6:$B$1110,$A64,'MA Engine'!$I$6:$I$1110,"Opening")+SUMIFS('MA Engine'!$L$6:$L$1110,'MA Engine'!$B$6:$B$1110,$A64,'MA Engine'!$H$6:$H$1110,7,'MA Engine'!$I$6:$I$1110,"&lt;&gt;Opening")-SUMIFS('MA Engine'!$X$6:$X$1110,'MA Engine'!$B$6:$B$1110,$A64,'MA Engine'!$H$6:$H$1110,7)</f>
        <v>7486587.45</v>
      </c>
      <c r="M64" s="13" t="n">
        <f aca="false">SUMIFS('MA Engine'!$K$6:$K$1110,'MA Engine'!$B$6:$B$1110,$A64,'MA Engine'!$H$6:$H$1110,8)</f>
        <v>632.3</v>
      </c>
      <c r="N64" s="7" t="n">
        <f aca="false">SUMIFS('MA Engine'!$L$6:$L$1110,'MA Engine'!$B$6:$B$1110,$A64,'MA Engine'!$H$6:$H$1110,8)</f>
        <v>21205601.94</v>
      </c>
      <c r="O64" s="13" t="n">
        <f aca="false">SUMIFS('MA Engine'!$W$6:$W$1110,'MA Engine'!$B$6:$B$1110,$A64,'MA Engine'!$H$6:$H$1110,8)</f>
        <v>13.1</v>
      </c>
      <c r="P64" s="14" t="n">
        <f aca="false">Q64+R64</f>
        <v>13.1</v>
      </c>
      <c r="Q64" s="13" t="n">
        <f aca="false">SUMIFS('MA Engine'!$W$6:$W$1110,'MA Engine'!$B$6:$B$1110,$A64,'MA Engine'!$H$6:$H$1110,8,'MA Engine'!$I$6:$I$1110,"DO",'MA Engine'!$P$6:$P$1110,"&lt;&gt;Y")</f>
        <v>13.1</v>
      </c>
      <c r="R64" s="13" t="n">
        <f aca="false">SUMIFS('MA Engine'!$W$6:$W$1110,'MA Engine'!$B$6:$B$1110,$A64,'MA Engine'!$H$6:$H$1110,8,'MA Engine'!$I$6:$I$1110,"Unbilled")</f>
        <v>0</v>
      </c>
      <c r="S64" s="13" t="n">
        <f aca="false">SUMIFS('MA Engine'!$W$6:$W$1110,'MA Engine'!$B$6:$B$1110,$A64,'MA Engine'!$H$6:$H$1110,8,'MA Engine'!$P$6:$P$1110,"Y")</f>
        <v>0</v>
      </c>
      <c r="T64" s="14" t="n">
        <f aca="false">O64-P64-S64</f>
        <v>0</v>
      </c>
      <c r="U64" s="14" t="n">
        <f aca="false">MAX(0,H64-J64)</f>
        <v>279</v>
      </c>
      <c r="V64" s="14" t="n">
        <f aca="false">MAX(0,K64-U64)</f>
        <v>30.6</v>
      </c>
      <c r="W64" s="14" t="n">
        <f aca="false">MIN(U64,O64)</f>
        <v>13.1</v>
      </c>
      <c r="X64" s="14" t="n">
        <f aca="false">MIN(V64,O64-W64)</f>
        <v>0</v>
      </c>
      <c r="Y64" s="14" t="n">
        <f aca="false">O64-W64-X64</f>
        <v>0</v>
      </c>
      <c r="Z64" s="21" t="n">
        <f aca="false">IF(O64=0,0,P64/O64)</f>
        <v>1</v>
      </c>
      <c r="AA64" s="13" t="n">
        <f aca="false">SUMIFS('MA Engine'!$AH$6:$AH$1110,'MA Engine'!$B$6:$B$1110,$A64,'MA Engine'!$H$6:$H$1110,8,'MA Engine'!$I$6:$I$1110,"DO",'MA Engine'!$P$6:$P$1110,"&lt;&gt;Y")+SUMIFS('MA Engine'!$AH$6:$AH$1110,'MA Engine'!$B$6:$B$1110,$A64,'MA Engine'!$H$6:$H$1110,8,'MA Engine'!$I$6:$I$1110,"Unbilled")</f>
        <v>13.1</v>
      </c>
      <c r="AB64" s="13" t="n">
        <f aca="false">SUMIFS('MA Engine'!$AI$6:$AI$1110,'MA Engine'!$B$6:$B$1110,$A64,'MA Engine'!$H$6:$H$1110,8,'MA Engine'!$I$6:$I$1110,"DO",'MA Engine'!$P$6:$P$1110,"&lt;&gt;Y")+SUMIFS('MA Engine'!$AI$6:$AI$1110,'MA Engine'!$B$6:$B$1110,$A64,'MA Engine'!$H$6:$H$1110,8,'MA Engine'!$I$6:$I$1110,"Unbilled")</f>
        <v>0</v>
      </c>
      <c r="AC64" s="13" t="n">
        <f aca="false">SUMIFS('MA Engine'!$AJ$6:$AJ$1110,'MA Engine'!$B$6:$B$1110,$A64,'MA Engine'!$H$6:$H$1110,8,'MA Engine'!$I$6:$I$1110,"DO",'MA Engine'!$P$6:$P$1110,"&lt;&gt;Y")+SUMIFS('MA Engine'!$AJ$6:$AJ$1110,'MA Engine'!$B$6:$B$1110,$A64,'MA Engine'!$H$6:$H$1110,8,'MA Engine'!$I$6:$I$1110,"Unbilled")</f>
        <v>0</v>
      </c>
      <c r="AD64" s="7" t="n">
        <f aca="false">SUMIFS('MA Engine'!$L$6:$L$1110,'MA Engine'!$B$6:$B$1110,$A64,'MA Engine'!$H$6:$H$1110,7,'MA Engine'!$I$6:$I$1110,"&lt;&gt;Opening")</f>
        <v>818147.21</v>
      </c>
      <c r="AE64" s="9" t="n">
        <f aca="false">IF(AND(U64&gt;0.0001,(L64-V64*IF(I64&gt;0,AD64/I64,IF(K64&gt;0,L64/K64,0)))&lt;0),IF(K64&gt;0,L64/K64,0),IF(I64&gt;0,AD64/I64,IF(K64&gt;0,L64/K64,0)))</f>
        <v>26736.8369281046</v>
      </c>
      <c r="AF64" s="9" t="n">
        <f aca="false">IF(U64&lt;=0.0001,IF(K64&gt;0,L64/K64,0),IF((L64-V64*IF(I64&gt;0,AD64/I64,IF(K64&gt;0,L64/K64,0)))&lt;0,IF(K64&gt;0,L64/K64,0),(L64-V64*IF(I64&gt;0,AD64/I64,IF(K64&gt;0,L64/K64,0)))/U64))</f>
        <v>23901.2194982079</v>
      </c>
      <c r="AG64" s="9" t="n">
        <f aca="false">IF(M64&gt;0,N64/M64,IF(K64&gt;0,L64/K64,0))</f>
        <v>33537.2480468132</v>
      </c>
      <c r="AH64" s="7" t="n">
        <f aca="false">SUMIFS('MA Engine'!$X$6:$X$1110,'MA Engine'!$B$6:$B$1110,$A64,'MA Engine'!$H$6:$H$1110,8,'MA Engine'!$I$6:$I$1110,"DO",'MA Engine'!$P$6:$P$1110,"&lt;&gt;Y")+SUMIFS('MA Engine'!$X$6:$X$1110,'MA Engine'!$B$6:$B$1110,$A64,'MA Engine'!$H$6:$H$1110,8,'MA Engine'!$I$6:$I$1110,"Unbilled")</f>
        <v>395104.879866836</v>
      </c>
      <c r="AI64" s="7" t="n">
        <f aca="false">SUMIFS('MA Engine'!$AK$6:$AK$1110,'MA Engine'!$B$6:$B$1110,$A64,'MA Engine'!$H$6:$H$1110,8,'MA Engine'!$I$6:$I$1110,"DO",'MA Engine'!$P$6:$P$1110,"&lt;&gt;Y")+SUMIFS('MA Engine'!$AK$6:$AK$1110,'MA Engine'!$B$6:$B$1110,$A64,'MA Engine'!$H$6:$H$1110,8,'MA Engine'!$I$6:$I$1110,"Unbilled")</f>
        <v>395104.879866836</v>
      </c>
      <c r="AJ64" s="7" t="n">
        <f aca="false">SUMIFS('MA Engine'!$AL$6:$AL$1110,'MA Engine'!$B$6:$B$1110,$A64,'MA Engine'!$H$6:$H$1110,8,'MA Engine'!$I$6:$I$1110,"DO",'MA Engine'!$P$6:$P$1110,"&lt;&gt;Y")+SUMIFS('MA Engine'!$AL$6:$AL$1110,'MA Engine'!$B$6:$B$1110,$A64,'MA Engine'!$H$6:$H$1110,8,'MA Engine'!$I$6:$I$1110,"Unbilled")</f>
        <v>0</v>
      </c>
      <c r="AK64" s="7" t="n">
        <f aca="false">SUMIFS('MA Engine'!$AM$6:$AM$1110,'MA Engine'!$B$6:$B$1110,$A64,'MA Engine'!$H$6:$H$1110,8,'MA Engine'!$I$6:$I$1110,"DO",'MA Engine'!$P$6:$P$1110,"&lt;&gt;Y")+SUMIFS('MA Engine'!$AM$6:$AM$1110,'MA Engine'!$B$6:$B$1110,$A64,'MA Engine'!$H$6:$H$1110,8,'MA Engine'!$I$6:$I$1110,"Unbilled")</f>
        <v>0</v>
      </c>
      <c r="AL64" s="9" t="n">
        <f aca="false">AH64-AI64-AJ64-AK64</f>
        <v>0</v>
      </c>
      <c r="AM64" s="7" t="n">
        <f aca="false">IF(Q64=0,0,IF($D64="Karkas",SUMIFS('Karkas Detail'!$E$6:$E$42,'Karkas Detail'!$A$6:$A$42,$C64,'Karkas Detail'!$B$6:$B$42,$F64,'Karkas Detail'!$C$6:$C$42,$E64)/SUMIFS($Q$36:$Q$127,$C$36:$C$127,$C64,$D$36:$D$127,"Karkas",$F$36:$F$127,$F64,$E$36:$E$127,$E64),SUMIFS('Data SKU'!$G$5:$G$116,'Data SKU'!$A$5:$A$116,$C64,'Data SKU'!$B$5:$B$116,$D64,'Data SKU'!$C$5:$C$116,$E64,'Data SKU'!$D$5:$D$116,8,'Data SKU'!$N$5:$N$116,"Invoiced")/SUMIFS($Q$36:$Q$127,$C$36:$C$127,$C64,$D$36:$D$127,$D64,$E$36:$E$127,$E64))*Q64)+SUMIFS(Unbilled!$U$22:$U$38,Unbilled!$E$22:$E$38,$A64)</f>
        <v>419210.21771135</v>
      </c>
      <c r="AN64" s="9" t="n">
        <f aca="false">IF(P64=0,0,AM64*AA64/P64)</f>
        <v>419210.21771135</v>
      </c>
      <c r="AO64" s="9" t="n">
        <f aca="false">IF(P64=0,0,AM64*AB64/P64)</f>
        <v>0</v>
      </c>
      <c r="AP64" s="9" t="n">
        <f aca="false">IF(P64=0,0,AM64*AC64/P64)</f>
        <v>0</v>
      </c>
      <c r="AQ64" s="14" t="n">
        <f aca="false">MIN(U64+V64,MAX(0,O64-M64))</f>
        <v>0</v>
      </c>
      <c r="AR64" s="14" t="n">
        <f aca="false">MAX(0,AQ64-V64)*Z64</f>
        <v>0</v>
      </c>
      <c r="AS64" s="14" t="n">
        <f aca="false">MIN(V64,AQ64)*Z64</f>
        <v>0</v>
      </c>
      <c r="AT64" s="14" t="n">
        <f aca="false">(O64-AQ64)*Z64</f>
        <v>13.1</v>
      </c>
      <c r="AU64" s="9" t="n">
        <f aca="false">(AR64+AS64+AT64)*BA64</f>
        <v>395104.879866836</v>
      </c>
      <c r="AV64" s="9" t="n">
        <f aca="false">IF(P64=0,0,AM64*AR64/P64)</f>
        <v>0</v>
      </c>
      <c r="AW64" s="9" t="n">
        <f aca="false">IF(P64=0,0,AM64*AS64/P64)</f>
        <v>0</v>
      </c>
      <c r="AX64" s="9" t="n">
        <f aca="false">IF(P64=0,0,AM64*AT64/P64)</f>
        <v>419210.21771135</v>
      </c>
      <c r="AY64" s="9" t="n">
        <f aca="false">AH64-AU64</f>
        <v>0</v>
      </c>
      <c r="AZ64" s="9" t="n">
        <f aca="false">IF(M64&gt;0,P64*AG64,0)</f>
        <v>439337.949413253</v>
      </c>
      <c r="BA64" s="9" t="n">
        <f aca="false">IF(P64=0,0,AH64/P64)</f>
        <v>30160.6778524302</v>
      </c>
      <c r="BB64" s="74" t="s">
        <v>838</v>
      </c>
      <c r="BC64" s="13" t="n">
        <f aca="false">SUMIFS('MA Engine'!$W$6:$W$1110,'MA Engine'!$B$6:$B$1110,$A64,'MA Engine'!$H$6:$H$1110,7,'MA Engine'!$I$6:$I$1110,"DO")</f>
        <v>0</v>
      </c>
      <c r="BD64" s="14" t="n">
        <f aca="false">MIN(MAX(0,H64),J64)</f>
        <v>51.54</v>
      </c>
      <c r="BE64" s="14" t="n">
        <f aca="false">J64-BD64</f>
        <v>0</v>
      </c>
      <c r="BF64" s="21" t="n">
        <f aca="false">IF(J64=0,0,BC64/J64)</f>
        <v>0</v>
      </c>
      <c r="BG64" s="13" t="n">
        <f aca="false">SUMIFS('MA Engine'!$AH$6:$AH$1110,'MA Engine'!$B$6:$B$1110,$A64,'MA Engine'!$H$6:$H$1110,7,'MA Engine'!$I$6:$I$1110,"DO")</f>
        <v>0</v>
      </c>
      <c r="BH64" s="13" t="n">
        <f aca="false">SUMIFS('MA Engine'!$AI$6:$AI$1110,'MA Engine'!$B$6:$B$1110,$A64,'MA Engine'!$H$6:$H$1110,7,'MA Engine'!$I$6:$I$1110,"DO")+SUMIFS('MA Engine'!$AJ$6:$AJ$1110,'MA Engine'!$B$6:$B$1110,$A64,'MA Engine'!$H$6:$H$1110,7,'MA Engine'!$I$6:$I$1110,"DO")</f>
        <v>0</v>
      </c>
      <c r="BI64" s="7" t="n">
        <f aca="false">IF(H64&gt;0,SUMIFS('MA Engine'!$L$6:$L$1110,'MA Engine'!$B$6:$B$1110,$A64,'MA Engine'!$I$6:$I$1110,"Opening")/H64,0)</f>
        <v>24552.203424699</v>
      </c>
      <c r="BJ64" s="9" t="n">
        <f aca="false">IF(I64&gt;0,AD64/I64,BI64)</f>
        <v>26736.8369281046</v>
      </c>
      <c r="BK64" s="7" t="n">
        <f aca="false">SUMIFS('MA Engine'!$X$6:$X$1110,'MA Engine'!$B$6:$B$1110,$A64,'MA Engine'!$H$6:$H$1110,7,'MA Engine'!$I$6:$I$1110,"DO")</f>
        <v>0</v>
      </c>
      <c r="BL64" s="7" t="n">
        <f aca="false">SUMIFS('MA Engine'!$AK$6:$AK$1110,'MA Engine'!$B$6:$B$1110,$A64,'MA Engine'!$H$6:$H$1110,7,'MA Engine'!$I$6:$I$1110,"DO")</f>
        <v>0</v>
      </c>
      <c r="BM64" s="7" t="n">
        <f aca="false">SUMIFS('MA Engine'!$AL$6:$AL$1110,'MA Engine'!$B$6:$B$1110,$A64,'MA Engine'!$H$6:$H$1110,7,'MA Engine'!$I$6:$I$1110,"DO")+SUMIFS('MA Engine'!$AM$6:$AM$1110,'MA Engine'!$B$6:$B$1110,$A64,'MA Engine'!$H$6:$H$1110,7,'MA Engine'!$I$6:$I$1110,"DO")</f>
        <v>0</v>
      </c>
      <c r="BN64" s="9" t="n">
        <f aca="false">BK64-BL64-BM64</f>
        <v>0</v>
      </c>
      <c r="BO64" s="7" t="n">
        <f aca="false">IF(BC64=0,0,SUMIFS('Data SKU'!$G$5:$G$116,'Data SKU'!$A$5:$A$116,$C64,'Data SKU'!$B$5:$B$116,$D64,'Data SKU'!$C$5:$C$116,$E64,'Data SKU'!$D$5:$D$116,7,'Data SKU'!$N$5:$N$116,"Invoiced")/SUMIFS($BC$36:$BC$127,$C$36:$C$127,$C64,$D$36:$D$127,$D64,$E$36:$E$127,$E64)*BC64)</f>
        <v>0</v>
      </c>
      <c r="BP64" s="9" t="n">
        <f aca="false">IF(BC64=0,0,BO64*BG64/BC64)</f>
        <v>0</v>
      </c>
      <c r="BQ64" s="9" t="n">
        <f aca="false">IF(BC64=0,0,BO64*BH64/BC64)</f>
        <v>0</v>
      </c>
    </row>
    <row r="65" customFormat="false" ht="15" hidden="false" customHeight="false" outlineLevel="0" collapsed="false">
      <c r="A65" s="74" t="s">
        <v>977</v>
      </c>
      <c r="B65" s="53" t="str">
        <f aca="false">INDEX(I_Items!$B$5:$B$133,MATCH($A65,I_Items!$A$5:$A$133,0))&amp;""</f>
        <v>Karkas Uk 0.9 Karkas Uk 0.9 Frozen Grade B</v>
      </c>
      <c r="C65" s="53" t="str">
        <f aca="false">INDEX(I_Items!$C$5:$C$133,MATCH($A65,I_Items!$A$5:$A$133,0))&amp;""</f>
        <v>RPA</v>
      </c>
      <c r="D65" s="53" t="str">
        <f aca="false">INDEX(I_Items!$D$5:$D$133,MATCH($A65,I_Items!$A$5:$A$133,0))&amp;""</f>
        <v>Karkas</v>
      </c>
      <c r="E65" s="53" t="str">
        <f aca="false">INDEX(I_Items!$F$5:$F$133,MATCH($A65,I_Items!$A$5:$A$133,0))&amp;""</f>
        <v>Frozen</v>
      </c>
      <c r="F65" s="53" t="str">
        <f aca="false">INDEX(I_Items!$E$5:$E$133,MATCH($A65,I_Items!$A$5:$A$133,0))&amp;""</f>
        <v>Uk 0.9</v>
      </c>
      <c r="G65" s="6" t="str">
        <f aca="false">IF(P65=0,"-",IF(M65=0,"A",IF(K65&lt;=0,"C","B")))</f>
        <v>-</v>
      </c>
      <c r="H65" s="13" t="n">
        <f aca="false">SUMIFS('MA Engine'!$K$6:$K$1110,'MA Engine'!$B$6:$B$1110,$A65,'MA Engine'!$I$6:$I$1110,"Opening")</f>
        <v>30.6</v>
      </c>
      <c r="I65" s="13" t="n">
        <f aca="false">SUMIFS('MA Engine'!$K$6:$K$1110,'MA Engine'!$B$6:$B$1110,$A65,'MA Engine'!$H$6:$H$1110,7,'MA Engine'!$I$6:$I$1110,"&lt;&gt;Opening")</f>
        <v>0</v>
      </c>
      <c r="J65" s="13" t="n">
        <f aca="false">SUMIFS('MA Engine'!$W$6:$W$1110,'MA Engine'!$B$6:$B$1110,$A65,'MA Engine'!$H$6:$H$1110,7)</f>
        <v>30.6</v>
      </c>
      <c r="K65" s="14" t="n">
        <f aca="false">H65+I65-J65</f>
        <v>0</v>
      </c>
      <c r="L65" s="7" t="n">
        <f aca="false">SUMIFS('MA Engine'!$L$6:$L$1110,'MA Engine'!$B$6:$B$1110,$A65,'MA Engine'!$I$6:$I$1110,"Opening")+SUMIFS('MA Engine'!$L$6:$L$1110,'MA Engine'!$B$6:$B$1110,$A65,'MA Engine'!$H$6:$H$1110,7,'MA Engine'!$I$6:$I$1110,"&lt;&gt;Opening")-SUMIFS('MA Engine'!$X$6:$X$1110,'MA Engine'!$B$6:$B$1110,$A65,'MA Engine'!$H$6:$H$1110,7)</f>
        <v>0</v>
      </c>
      <c r="M65" s="13" t="n">
        <f aca="false">SUMIFS('MA Engine'!$K$6:$K$1110,'MA Engine'!$B$6:$B$1110,$A65,'MA Engine'!$H$6:$H$1110,8)</f>
        <v>0</v>
      </c>
      <c r="N65" s="7" t="n">
        <f aca="false">SUMIFS('MA Engine'!$L$6:$L$1110,'MA Engine'!$B$6:$B$1110,$A65,'MA Engine'!$H$6:$H$1110,8)</f>
        <v>0</v>
      </c>
      <c r="O65" s="13" t="n">
        <f aca="false">SUMIFS('MA Engine'!$W$6:$W$1110,'MA Engine'!$B$6:$B$1110,$A65,'MA Engine'!$H$6:$H$1110,8)</f>
        <v>0</v>
      </c>
      <c r="P65" s="14" t="n">
        <f aca="false">Q65+R65</f>
        <v>0</v>
      </c>
      <c r="Q65" s="13" t="n">
        <f aca="false">SUMIFS('MA Engine'!$W$6:$W$1110,'MA Engine'!$B$6:$B$1110,$A65,'MA Engine'!$H$6:$H$1110,8,'MA Engine'!$I$6:$I$1110,"DO",'MA Engine'!$P$6:$P$1110,"&lt;&gt;Y")</f>
        <v>0</v>
      </c>
      <c r="R65" s="13" t="n">
        <f aca="false">SUMIFS('MA Engine'!$W$6:$W$1110,'MA Engine'!$B$6:$B$1110,$A65,'MA Engine'!$H$6:$H$1110,8,'MA Engine'!$I$6:$I$1110,"Unbilled")</f>
        <v>0</v>
      </c>
      <c r="S65" s="13" t="n">
        <f aca="false">SUMIFS('MA Engine'!$W$6:$W$1110,'MA Engine'!$B$6:$B$1110,$A65,'MA Engine'!$H$6:$H$1110,8,'MA Engine'!$P$6:$P$1110,"Y")</f>
        <v>0</v>
      </c>
      <c r="T65" s="14" t="n">
        <f aca="false">O65-P65-S65</f>
        <v>0</v>
      </c>
      <c r="U65" s="14" t="n">
        <f aca="false">MAX(0,H65-J65)</f>
        <v>0</v>
      </c>
      <c r="V65" s="14" t="n">
        <f aca="false">MAX(0,K65-U65)</f>
        <v>0</v>
      </c>
      <c r="W65" s="14" t="n">
        <f aca="false">MIN(U65,O65)</f>
        <v>0</v>
      </c>
      <c r="X65" s="14" t="n">
        <f aca="false">MIN(V65,O65-W65)</f>
        <v>0</v>
      </c>
      <c r="Y65" s="14" t="n">
        <f aca="false">O65-W65-X65</f>
        <v>0</v>
      </c>
      <c r="Z65" s="21" t="n">
        <f aca="false">IF(O65=0,0,P65/O65)</f>
        <v>0</v>
      </c>
      <c r="AA65" s="13" t="n">
        <f aca="false">SUMIFS('MA Engine'!$AH$6:$AH$1110,'MA Engine'!$B$6:$B$1110,$A65,'MA Engine'!$H$6:$H$1110,8,'MA Engine'!$I$6:$I$1110,"DO",'MA Engine'!$P$6:$P$1110,"&lt;&gt;Y")+SUMIFS('MA Engine'!$AH$6:$AH$1110,'MA Engine'!$B$6:$B$1110,$A65,'MA Engine'!$H$6:$H$1110,8,'MA Engine'!$I$6:$I$1110,"Unbilled")</f>
        <v>0</v>
      </c>
      <c r="AB65" s="13" t="n">
        <f aca="false">SUMIFS('MA Engine'!$AI$6:$AI$1110,'MA Engine'!$B$6:$B$1110,$A65,'MA Engine'!$H$6:$H$1110,8,'MA Engine'!$I$6:$I$1110,"DO",'MA Engine'!$P$6:$P$1110,"&lt;&gt;Y")+SUMIFS('MA Engine'!$AI$6:$AI$1110,'MA Engine'!$B$6:$B$1110,$A65,'MA Engine'!$H$6:$H$1110,8,'MA Engine'!$I$6:$I$1110,"Unbilled")</f>
        <v>0</v>
      </c>
      <c r="AC65" s="13" t="n">
        <f aca="false">SUMIFS('MA Engine'!$AJ$6:$AJ$1110,'MA Engine'!$B$6:$B$1110,$A65,'MA Engine'!$H$6:$H$1110,8,'MA Engine'!$I$6:$I$1110,"DO",'MA Engine'!$P$6:$P$1110,"&lt;&gt;Y")+SUMIFS('MA Engine'!$AJ$6:$AJ$1110,'MA Engine'!$B$6:$B$1110,$A65,'MA Engine'!$H$6:$H$1110,8,'MA Engine'!$I$6:$I$1110,"Unbilled")</f>
        <v>0</v>
      </c>
      <c r="AD65" s="7" t="n">
        <f aca="false">SUMIFS('MA Engine'!$L$6:$L$1110,'MA Engine'!$B$6:$B$1110,$A65,'MA Engine'!$H$6:$H$1110,7,'MA Engine'!$I$6:$I$1110,"&lt;&gt;Opening")</f>
        <v>0</v>
      </c>
      <c r="AE65" s="9" t="n">
        <f aca="false">IF(AND(U65&gt;0.0001,(L65-V65*IF(I65&gt;0,AD65/I65,IF(K65&gt;0,L65/K65,0)))&lt;0),IF(K65&gt;0,L65/K65,0),IF(I65&gt;0,AD65/I65,IF(K65&gt;0,L65/K65,0)))</f>
        <v>0</v>
      </c>
      <c r="AF65" s="9" t="n">
        <f aca="false">IF(U65&lt;=0.0001,IF(K65&gt;0,L65/K65,0),IF((L65-V65*IF(I65&gt;0,AD65/I65,IF(K65&gt;0,L65/K65,0)))&lt;0,IF(K65&gt;0,L65/K65,0),(L65-V65*IF(I65&gt;0,AD65/I65,IF(K65&gt;0,L65/K65,0)))/U65))</f>
        <v>0</v>
      </c>
      <c r="AG65" s="9" t="n">
        <f aca="false">IF(M65&gt;0,N65/M65,IF(K65&gt;0,L65/K65,0))</f>
        <v>0</v>
      </c>
      <c r="AH65" s="7" t="n">
        <f aca="false">SUMIFS('MA Engine'!$X$6:$X$1110,'MA Engine'!$B$6:$B$1110,$A65,'MA Engine'!$H$6:$H$1110,8,'MA Engine'!$I$6:$I$1110,"DO",'MA Engine'!$P$6:$P$1110,"&lt;&gt;Y")+SUMIFS('MA Engine'!$X$6:$X$1110,'MA Engine'!$B$6:$B$1110,$A65,'MA Engine'!$H$6:$H$1110,8,'MA Engine'!$I$6:$I$1110,"Unbilled")</f>
        <v>0</v>
      </c>
      <c r="AI65" s="7" t="n">
        <f aca="false">SUMIFS('MA Engine'!$AK$6:$AK$1110,'MA Engine'!$B$6:$B$1110,$A65,'MA Engine'!$H$6:$H$1110,8,'MA Engine'!$I$6:$I$1110,"DO",'MA Engine'!$P$6:$P$1110,"&lt;&gt;Y")+SUMIFS('MA Engine'!$AK$6:$AK$1110,'MA Engine'!$B$6:$B$1110,$A65,'MA Engine'!$H$6:$H$1110,8,'MA Engine'!$I$6:$I$1110,"Unbilled")</f>
        <v>0</v>
      </c>
      <c r="AJ65" s="7" t="n">
        <f aca="false">SUMIFS('MA Engine'!$AL$6:$AL$1110,'MA Engine'!$B$6:$B$1110,$A65,'MA Engine'!$H$6:$H$1110,8,'MA Engine'!$I$6:$I$1110,"DO",'MA Engine'!$P$6:$P$1110,"&lt;&gt;Y")+SUMIFS('MA Engine'!$AL$6:$AL$1110,'MA Engine'!$B$6:$B$1110,$A65,'MA Engine'!$H$6:$H$1110,8,'MA Engine'!$I$6:$I$1110,"Unbilled")</f>
        <v>0</v>
      </c>
      <c r="AK65" s="7" t="n">
        <f aca="false">SUMIFS('MA Engine'!$AM$6:$AM$1110,'MA Engine'!$B$6:$B$1110,$A65,'MA Engine'!$H$6:$H$1110,8,'MA Engine'!$I$6:$I$1110,"DO",'MA Engine'!$P$6:$P$1110,"&lt;&gt;Y")+SUMIFS('MA Engine'!$AM$6:$AM$1110,'MA Engine'!$B$6:$B$1110,$A65,'MA Engine'!$H$6:$H$1110,8,'MA Engine'!$I$6:$I$1110,"Unbilled")</f>
        <v>0</v>
      </c>
      <c r="AL65" s="9" t="n">
        <f aca="false">AH65-AI65-AJ65-AK65</f>
        <v>0</v>
      </c>
      <c r="AM65" s="7" t="n">
        <f aca="false">IF(Q65=0,0,IF($D65="Karkas",SUMIFS('Karkas Detail'!$E$6:$E$42,'Karkas Detail'!$A$6:$A$42,$C65,'Karkas Detail'!$B$6:$B$42,$F65,'Karkas Detail'!$C$6:$C$42,$E65)/SUMIFS($Q$36:$Q$127,$C$36:$C$127,$C65,$D$36:$D$127,"Karkas",$F$36:$F$127,$F65,$E$36:$E$127,$E65),SUMIFS('Data SKU'!$G$5:$G$116,'Data SKU'!$A$5:$A$116,$C65,'Data SKU'!$B$5:$B$116,$D65,'Data SKU'!$C$5:$C$116,$E65,'Data SKU'!$D$5:$D$116,8,'Data SKU'!$N$5:$N$116,"Invoiced")/SUMIFS($Q$36:$Q$127,$C$36:$C$127,$C65,$D$36:$D$127,$D65,$E$36:$E$127,$E65))*Q65)+SUMIFS(Unbilled!$U$22:$U$38,Unbilled!$E$22:$E$38,$A65)</f>
        <v>0</v>
      </c>
      <c r="AN65" s="9" t="n">
        <f aca="false">IF(P65=0,0,AM65*AA65/P65)</f>
        <v>0</v>
      </c>
      <c r="AO65" s="9" t="n">
        <f aca="false">IF(P65=0,0,AM65*AB65/P65)</f>
        <v>0</v>
      </c>
      <c r="AP65" s="9" t="n">
        <f aca="false">IF(P65=0,0,AM65*AC65/P65)</f>
        <v>0</v>
      </c>
      <c r="AQ65" s="14" t="n">
        <f aca="false">MIN(U65+V65,MAX(0,O65-M65))</f>
        <v>0</v>
      </c>
      <c r="AR65" s="14" t="n">
        <f aca="false">MAX(0,AQ65-V65)*Z65</f>
        <v>0</v>
      </c>
      <c r="AS65" s="14" t="n">
        <f aca="false">MIN(V65,AQ65)*Z65</f>
        <v>0</v>
      </c>
      <c r="AT65" s="14" t="n">
        <f aca="false">(O65-AQ65)*Z65</f>
        <v>0</v>
      </c>
      <c r="AU65" s="9" t="n">
        <f aca="false">(AR65+AS65+AT65)*BA65</f>
        <v>0</v>
      </c>
      <c r="AV65" s="9" t="n">
        <f aca="false">IF(P65=0,0,AM65*AR65/P65)</f>
        <v>0</v>
      </c>
      <c r="AW65" s="9" t="n">
        <f aca="false">IF(P65=0,0,AM65*AS65/P65)</f>
        <v>0</v>
      </c>
      <c r="AX65" s="9" t="n">
        <f aca="false">IF(P65=0,0,AM65*AT65/P65)</f>
        <v>0</v>
      </c>
      <c r="AY65" s="9" t="n">
        <f aca="false">AH65-AU65</f>
        <v>0</v>
      </c>
      <c r="AZ65" s="9" t="n">
        <f aca="false">IF(M65&gt;0,P65*AG65,0)</f>
        <v>0</v>
      </c>
      <c r="BA65" s="9" t="n">
        <f aca="false">IF(P65=0,0,AH65/P65)</f>
        <v>0</v>
      </c>
      <c r="BB65" s="74" t="s">
        <v>838</v>
      </c>
      <c r="BC65" s="13" t="n">
        <f aca="false">SUMIFS('MA Engine'!$W$6:$W$1110,'MA Engine'!$B$6:$B$1110,$A65,'MA Engine'!$H$6:$H$1110,7,'MA Engine'!$I$6:$I$1110,"DO")</f>
        <v>0</v>
      </c>
      <c r="BD65" s="14" t="n">
        <f aca="false">MIN(MAX(0,H65),J65)</f>
        <v>30.6</v>
      </c>
      <c r="BE65" s="14" t="n">
        <f aca="false">J65-BD65</f>
        <v>0</v>
      </c>
      <c r="BF65" s="21" t="n">
        <f aca="false">IF(J65=0,0,BC65/J65)</f>
        <v>0</v>
      </c>
      <c r="BG65" s="13" t="n">
        <f aca="false">SUMIFS('MA Engine'!$AH$6:$AH$1110,'MA Engine'!$B$6:$B$1110,$A65,'MA Engine'!$H$6:$H$1110,7,'MA Engine'!$I$6:$I$1110,"DO")</f>
        <v>0</v>
      </c>
      <c r="BH65" s="13" t="n">
        <f aca="false">SUMIFS('MA Engine'!$AI$6:$AI$1110,'MA Engine'!$B$6:$B$1110,$A65,'MA Engine'!$H$6:$H$1110,7,'MA Engine'!$I$6:$I$1110,"DO")+SUMIFS('MA Engine'!$AJ$6:$AJ$1110,'MA Engine'!$B$6:$B$1110,$A65,'MA Engine'!$H$6:$H$1110,7,'MA Engine'!$I$6:$I$1110,"DO")</f>
        <v>0</v>
      </c>
      <c r="BI65" s="7" t="n">
        <f aca="false">IF(H65&gt;0,SUMIFS('MA Engine'!$L$6:$L$1110,'MA Engine'!$B$6:$B$1110,$A65,'MA Engine'!$I$6:$I$1110,"Opening")/H65,0)</f>
        <v>26736.8369281046</v>
      </c>
      <c r="BJ65" s="9" t="n">
        <f aca="false">IF(I65&gt;0,AD65/I65,BI65)</f>
        <v>26736.8369281046</v>
      </c>
      <c r="BK65" s="7" t="n">
        <f aca="false">SUMIFS('MA Engine'!$X$6:$X$1110,'MA Engine'!$B$6:$B$1110,$A65,'MA Engine'!$H$6:$H$1110,7,'MA Engine'!$I$6:$I$1110,"DO")</f>
        <v>0</v>
      </c>
      <c r="BL65" s="7" t="n">
        <f aca="false">SUMIFS('MA Engine'!$AK$6:$AK$1110,'MA Engine'!$B$6:$B$1110,$A65,'MA Engine'!$H$6:$H$1110,7,'MA Engine'!$I$6:$I$1110,"DO")</f>
        <v>0</v>
      </c>
      <c r="BM65" s="7" t="n">
        <f aca="false">SUMIFS('MA Engine'!$AL$6:$AL$1110,'MA Engine'!$B$6:$B$1110,$A65,'MA Engine'!$H$6:$H$1110,7,'MA Engine'!$I$6:$I$1110,"DO")+SUMIFS('MA Engine'!$AM$6:$AM$1110,'MA Engine'!$B$6:$B$1110,$A65,'MA Engine'!$H$6:$H$1110,7,'MA Engine'!$I$6:$I$1110,"DO")</f>
        <v>0</v>
      </c>
      <c r="BN65" s="9" t="n">
        <f aca="false">BK65-BL65-BM65</f>
        <v>0</v>
      </c>
      <c r="BO65" s="7" t="n">
        <f aca="false">IF(BC65=0,0,SUMIFS('Data SKU'!$G$5:$G$116,'Data SKU'!$A$5:$A$116,$C65,'Data SKU'!$B$5:$B$116,$D65,'Data SKU'!$C$5:$C$116,$E65,'Data SKU'!$D$5:$D$116,7,'Data SKU'!$N$5:$N$116,"Invoiced")/SUMIFS($BC$36:$BC$127,$C$36:$C$127,$C65,$D$36:$D$127,$D65,$E$36:$E$127,$E65)*BC65)</f>
        <v>0</v>
      </c>
      <c r="BP65" s="9" t="n">
        <f aca="false">IF(BC65=0,0,BO65*BG65/BC65)</f>
        <v>0</v>
      </c>
      <c r="BQ65" s="9" t="n">
        <f aca="false">IF(BC65=0,0,BO65*BH65/BC65)</f>
        <v>0</v>
      </c>
    </row>
    <row r="66" customFormat="false" ht="15" hidden="false" customHeight="false" outlineLevel="0" collapsed="false">
      <c r="A66" s="74" t="s">
        <v>978</v>
      </c>
      <c r="B66" s="53" t="str">
        <f aca="false">INDEX(I_Items!$B$5:$B$133,MATCH($A66,I_Items!$A$5:$A$133,0))&amp;""</f>
        <v>Karkas Uk 1.0 Karkas Uk 1.0 Fresh Premium</v>
      </c>
      <c r="C66" s="53" t="str">
        <f aca="false">INDEX(I_Items!$C$5:$C$133,MATCH($A66,I_Items!$A$5:$A$133,0))&amp;""</f>
        <v>RPA</v>
      </c>
      <c r="D66" s="53" t="str">
        <f aca="false">INDEX(I_Items!$D$5:$D$133,MATCH($A66,I_Items!$A$5:$A$133,0))&amp;""</f>
        <v>Karkas</v>
      </c>
      <c r="E66" s="53" t="str">
        <f aca="false">INDEX(I_Items!$F$5:$F$133,MATCH($A66,I_Items!$A$5:$A$133,0))&amp;""</f>
        <v>Fresh</v>
      </c>
      <c r="F66" s="53" t="str">
        <f aca="false">INDEX(I_Items!$E$5:$E$133,MATCH($A66,I_Items!$A$5:$A$133,0))&amp;""</f>
        <v>Uk 1.0</v>
      </c>
      <c r="G66" s="6" t="str">
        <f aca="false">IF(P66=0,"-",IF(M66=0,"A",IF(K66&lt;=0,"C","B")))</f>
        <v>C</v>
      </c>
      <c r="H66" s="13" t="n">
        <f aca="false">SUMIFS('MA Engine'!$K$6:$K$1110,'MA Engine'!$B$6:$B$1110,$A66,'MA Engine'!$I$6:$I$1110,"Opening")</f>
        <v>0</v>
      </c>
      <c r="I66" s="13" t="n">
        <f aca="false">SUMIFS('MA Engine'!$K$6:$K$1110,'MA Engine'!$B$6:$B$1110,$A66,'MA Engine'!$H$6:$H$1110,7,'MA Engine'!$I$6:$I$1110,"&lt;&gt;Opening")</f>
        <v>0</v>
      </c>
      <c r="J66" s="13" t="n">
        <f aca="false">SUMIFS('MA Engine'!$W$6:$W$1110,'MA Engine'!$B$6:$B$1110,$A66,'MA Engine'!$H$6:$H$1110,7)</f>
        <v>0</v>
      </c>
      <c r="K66" s="14" t="n">
        <f aca="false">H66+I66-J66</f>
        <v>0</v>
      </c>
      <c r="L66" s="7" t="n">
        <f aca="false">SUMIFS('MA Engine'!$L$6:$L$1110,'MA Engine'!$B$6:$B$1110,$A66,'MA Engine'!$I$6:$I$1110,"Opening")+SUMIFS('MA Engine'!$L$6:$L$1110,'MA Engine'!$B$6:$B$1110,$A66,'MA Engine'!$H$6:$H$1110,7,'MA Engine'!$I$6:$I$1110,"&lt;&gt;Opening")-SUMIFS('MA Engine'!$X$6:$X$1110,'MA Engine'!$B$6:$B$1110,$A66,'MA Engine'!$H$6:$H$1110,7)</f>
        <v>0</v>
      </c>
      <c r="M66" s="13" t="n">
        <f aca="false">SUMIFS('MA Engine'!$K$6:$K$1110,'MA Engine'!$B$6:$B$1110,$A66,'MA Engine'!$H$6:$H$1110,8)</f>
        <v>8992.8</v>
      </c>
      <c r="N66" s="7" t="n">
        <f aca="false">SUMIFS('MA Engine'!$L$6:$L$1110,'MA Engine'!$B$6:$B$1110,$A66,'MA Engine'!$H$6:$H$1110,8)</f>
        <v>335460891.7</v>
      </c>
      <c r="O66" s="13" t="n">
        <f aca="false">SUMIFS('MA Engine'!$W$6:$W$1110,'MA Engine'!$B$6:$B$1110,$A66,'MA Engine'!$H$6:$H$1110,8)</f>
        <v>6669.32</v>
      </c>
      <c r="P66" s="14" t="n">
        <f aca="false">Q66+R66</f>
        <v>6505.4</v>
      </c>
      <c r="Q66" s="13" t="n">
        <f aca="false">SUMIFS('MA Engine'!$W$6:$W$1110,'MA Engine'!$B$6:$B$1110,$A66,'MA Engine'!$H$6:$H$1110,8,'MA Engine'!$I$6:$I$1110,"DO",'MA Engine'!$P$6:$P$1110,"&lt;&gt;Y")</f>
        <v>6505.4</v>
      </c>
      <c r="R66" s="13" t="n">
        <f aca="false">SUMIFS('MA Engine'!$W$6:$W$1110,'MA Engine'!$B$6:$B$1110,$A66,'MA Engine'!$H$6:$H$1110,8,'MA Engine'!$I$6:$I$1110,"Unbilled")</f>
        <v>0</v>
      </c>
      <c r="S66" s="13" t="n">
        <f aca="false">SUMIFS('MA Engine'!$W$6:$W$1110,'MA Engine'!$B$6:$B$1110,$A66,'MA Engine'!$H$6:$H$1110,8,'MA Engine'!$P$6:$P$1110,"Y")</f>
        <v>163.92</v>
      </c>
      <c r="T66" s="14" t="n">
        <f aca="false">O66-P66-S66</f>
        <v>0</v>
      </c>
      <c r="U66" s="14" t="n">
        <f aca="false">MAX(0,H66-J66)</f>
        <v>0</v>
      </c>
      <c r="V66" s="14" t="n">
        <f aca="false">MAX(0,K66-U66)</f>
        <v>0</v>
      </c>
      <c r="W66" s="14" t="n">
        <f aca="false">MIN(U66,O66)</f>
        <v>0</v>
      </c>
      <c r="X66" s="14" t="n">
        <f aca="false">MIN(V66,O66-W66)</f>
        <v>0</v>
      </c>
      <c r="Y66" s="14" t="n">
        <f aca="false">O66-W66-X66</f>
        <v>6669.32</v>
      </c>
      <c r="Z66" s="21" t="n">
        <f aca="false">IF(O66=0,0,P66/O66)</f>
        <v>0.975421782130712</v>
      </c>
      <c r="AA66" s="13" t="n">
        <f aca="false">SUMIFS('MA Engine'!$AH$6:$AH$1110,'MA Engine'!$B$6:$B$1110,$A66,'MA Engine'!$H$6:$H$1110,8,'MA Engine'!$I$6:$I$1110,"DO",'MA Engine'!$P$6:$P$1110,"&lt;&gt;Y")+SUMIFS('MA Engine'!$AH$6:$AH$1110,'MA Engine'!$B$6:$B$1110,$A66,'MA Engine'!$H$6:$H$1110,8,'MA Engine'!$I$6:$I$1110,"Unbilled")</f>
        <v>0</v>
      </c>
      <c r="AB66" s="13" t="n">
        <f aca="false">SUMIFS('MA Engine'!$AI$6:$AI$1110,'MA Engine'!$B$6:$B$1110,$A66,'MA Engine'!$H$6:$H$1110,8,'MA Engine'!$I$6:$I$1110,"DO",'MA Engine'!$P$6:$P$1110,"&lt;&gt;Y")+SUMIFS('MA Engine'!$AI$6:$AI$1110,'MA Engine'!$B$6:$B$1110,$A66,'MA Engine'!$H$6:$H$1110,8,'MA Engine'!$I$6:$I$1110,"Unbilled")</f>
        <v>0</v>
      </c>
      <c r="AC66" s="13" t="n">
        <f aca="false">SUMIFS('MA Engine'!$AJ$6:$AJ$1110,'MA Engine'!$B$6:$B$1110,$A66,'MA Engine'!$H$6:$H$1110,8,'MA Engine'!$I$6:$I$1110,"DO",'MA Engine'!$P$6:$P$1110,"&lt;&gt;Y")+SUMIFS('MA Engine'!$AJ$6:$AJ$1110,'MA Engine'!$B$6:$B$1110,$A66,'MA Engine'!$H$6:$H$1110,8,'MA Engine'!$I$6:$I$1110,"Unbilled")</f>
        <v>6505.4</v>
      </c>
      <c r="AD66" s="7" t="n">
        <f aca="false">SUMIFS('MA Engine'!$L$6:$L$1110,'MA Engine'!$B$6:$B$1110,$A66,'MA Engine'!$H$6:$H$1110,7,'MA Engine'!$I$6:$I$1110,"&lt;&gt;Opening")</f>
        <v>0</v>
      </c>
      <c r="AE66" s="9" t="n">
        <f aca="false">IF(AND(U66&gt;0.0001,(L66-V66*IF(I66&gt;0,AD66/I66,IF(K66&gt;0,L66/K66,0)))&lt;0),IF(K66&gt;0,L66/K66,0),IF(I66&gt;0,AD66/I66,IF(K66&gt;0,L66/K66,0)))</f>
        <v>0</v>
      </c>
      <c r="AF66" s="9" t="n">
        <f aca="false">IF(U66&lt;=0.0001,IF(K66&gt;0,L66/K66,0),IF((L66-V66*IF(I66&gt;0,AD66/I66,IF(K66&gt;0,L66/K66,0)))&lt;0,IF(K66&gt;0,L66/K66,0),(L66-V66*IF(I66&gt;0,AD66/I66,IF(K66&gt;0,L66/K66,0)))/U66))</f>
        <v>0</v>
      </c>
      <c r="AG66" s="9" t="n">
        <f aca="false">IF(M66&gt;0,N66/M66,IF(K66&gt;0,L66/K66,0))</f>
        <v>37303.275031136</v>
      </c>
      <c r="AH66" s="7" t="n">
        <f aca="false">SUMIFS('MA Engine'!$X$6:$X$1110,'MA Engine'!$B$6:$B$1110,$A66,'MA Engine'!$H$6:$H$1110,8,'MA Engine'!$I$6:$I$1110,"DO",'MA Engine'!$P$6:$P$1110,"&lt;&gt;Y")+SUMIFS('MA Engine'!$X$6:$X$1110,'MA Engine'!$B$6:$B$1110,$A66,'MA Engine'!$H$6:$H$1110,8,'MA Engine'!$I$6:$I$1110,"Unbilled")</f>
        <v>242824380.660402</v>
      </c>
      <c r="AI66" s="7" t="n">
        <f aca="false">SUMIFS('MA Engine'!$AK$6:$AK$1110,'MA Engine'!$B$6:$B$1110,$A66,'MA Engine'!$H$6:$H$1110,8,'MA Engine'!$I$6:$I$1110,"DO",'MA Engine'!$P$6:$P$1110,"&lt;&gt;Y")+SUMIFS('MA Engine'!$AK$6:$AK$1110,'MA Engine'!$B$6:$B$1110,$A66,'MA Engine'!$H$6:$H$1110,8,'MA Engine'!$I$6:$I$1110,"Unbilled")</f>
        <v>0</v>
      </c>
      <c r="AJ66" s="7" t="n">
        <f aca="false">SUMIFS('MA Engine'!$AL$6:$AL$1110,'MA Engine'!$B$6:$B$1110,$A66,'MA Engine'!$H$6:$H$1110,8,'MA Engine'!$I$6:$I$1110,"DO",'MA Engine'!$P$6:$P$1110,"&lt;&gt;Y")+SUMIFS('MA Engine'!$AL$6:$AL$1110,'MA Engine'!$B$6:$B$1110,$A66,'MA Engine'!$H$6:$H$1110,8,'MA Engine'!$I$6:$I$1110,"Unbilled")</f>
        <v>0</v>
      </c>
      <c r="AK66" s="7" t="n">
        <f aca="false">SUMIFS('MA Engine'!$AM$6:$AM$1110,'MA Engine'!$B$6:$B$1110,$A66,'MA Engine'!$H$6:$H$1110,8,'MA Engine'!$I$6:$I$1110,"DO",'MA Engine'!$P$6:$P$1110,"&lt;&gt;Y")+SUMIFS('MA Engine'!$AM$6:$AM$1110,'MA Engine'!$B$6:$B$1110,$A66,'MA Engine'!$H$6:$H$1110,8,'MA Engine'!$I$6:$I$1110,"Unbilled")</f>
        <v>242824380.660402</v>
      </c>
      <c r="AL66" s="9" t="n">
        <f aca="false">AH66-AI66-AJ66-AK66</f>
        <v>0</v>
      </c>
      <c r="AM66" s="7" t="n">
        <f aca="false">IF(Q66=0,0,IF($D66="Karkas",SUMIFS('Karkas Detail'!$E$6:$E$42,'Karkas Detail'!$A$6:$A$42,$C66,'Karkas Detail'!$B$6:$B$42,$F66,'Karkas Detail'!$C$6:$C$42,$E66)/SUMIFS($Q$36:$Q$127,$C$36:$C$127,$C66,$D$36:$D$127,"Karkas",$F$36:$F$127,$F66,$E$36:$E$127,$E66),SUMIFS('Data SKU'!$G$5:$G$116,'Data SKU'!$A$5:$A$116,$C66,'Data SKU'!$B$5:$B$116,$D66,'Data SKU'!$C$5:$C$116,$E66,'Data SKU'!$D$5:$D$116,8,'Data SKU'!$N$5:$N$116,"Invoiced")/SUMIFS($Q$36:$Q$127,$C$36:$C$127,$C66,$D$36:$D$127,$D66,$E$36:$E$127,$E66))*Q66)+SUMIFS(Unbilled!$U$22:$U$38,Unbilled!$E$22:$E$38,$A66)</f>
        <v>240130250</v>
      </c>
      <c r="AN66" s="9" t="n">
        <f aca="false">IF(P66=0,0,AM66*AA66/P66)</f>
        <v>0</v>
      </c>
      <c r="AO66" s="9" t="n">
        <f aca="false">IF(P66=0,0,AM66*AB66/P66)</f>
        <v>0</v>
      </c>
      <c r="AP66" s="9" t="n">
        <f aca="false">IF(P66=0,0,AM66*AC66/P66)</f>
        <v>240130250</v>
      </c>
      <c r="AQ66" s="14" t="n">
        <f aca="false">MIN(U66+V66,MAX(0,O66-M66))</f>
        <v>0</v>
      </c>
      <c r="AR66" s="14" t="n">
        <f aca="false">MAX(0,AQ66-V66)*Z66</f>
        <v>0</v>
      </c>
      <c r="AS66" s="14" t="n">
        <f aca="false">MIN(V66,AQ66)*Z66</f>
        <v>0</v>
      </c>
      <c r="AT66" s="14" t="n">
        <f aca="false">(O66-AQ66)*Z66</f>
        <v>6505.4</v>
      </c>
      <c r="AU66" s="9" t="n">
        <f aca="false">(AR66+AS66+AT66)*BA66</f>
        <v>242824380.660402</v>
      </c>
      <c r="AV66" s="9" t="n">
        <f aca="false">IF(P66=0,0,AM66*AR66/P66)</f>
        <v>0</v>
      </c>
      <c r="AW66" s="9" t="n">
        <f aca="false">IF(P66=0,0,AM66*AS66/P66)</f>
        <v>0</v>
      </c>
      <c r="AX66" s="9" t="n">
        <f aca="false">IF(P66=0,0,AM66*AT66/P66)</f>
        <v>240130250</v>
      </c>
      <c r="AY66" s="9" t="n">
        <f aca="false">AH66-AU66</f>
        <v>0</v>
      </c>
      <c r="AZ66" s="9" t="n">
        <f aca="false">IF(M66&gt;0,P66*AG66,0)</f>
        <v>242672725.387552</v>
      </c>
      <c r="BA66" s="9" t="n">
        <f aca="false">IF(P66=0,0,AH66/P66)</f>
        <v>37326.5872445049</v>
      </c>
      <c r="BB66" s="74" t="s">
        <v>837</v>
      </c>
      <c r="BC66" s="13" t="n">
        <f aca="false">SUMIFS('MA Engine'!$W$6:$W$1110,'MA Engine'!$B$6:$B$1110,$A66,'MA Engine'!$H$6:$H$1110,7,'MA Engine'!$I$6:$I$1110,"DO")</f>
        <v>0</v>
      </c>
      <c r="BD66" s="14" t="n">
        <f aca="false">MIN(MAX(0,H66),J66)</f>
        <v>0</v>
      </c>
      <c r="BE66" s="14" t="n">
        <f aca="false">J66-BD66</f>
        <v>0</v>
      </c>
      <c r="BF66" s="21" t="n">
        <f aca="false">IF(J66=0,0,BC66/J66)</f>
        <v>0</v>
      </c>
      <c r="BG66" s="13" t="n">
        <f aca="false">SUMIFS('MA Engine'!$AH$6:$AH$1110,'MA Engine'!$B$6:$B$1110,$A66,'MA Engine'!$H$6:$H$1110,7,'MA Engine'!$I$6:$I$1110,"DO")</f>
        <v>0</v>
      </c>
      <c r="BH66" s="13" t="n">
        <f aca="false">SUMIFS('MA Engine'!$AI$6:$AI$1110,'MA Engine'!$B$6:$B$1110,$A66,'MA Engine'!$H$6:$H$1110,7,'MA Engine'!$I$6:$I$1110,"DO")+SUMIFS('MA Engine'!$AJ$6:$AJ$1110,'MA Engine'!$B$6:$B$1110,$A66,'MA Engine'!$H$6:$H$1110,7,'MA Engine'!$I$6:$I$1110,"DO")</f>
        <v>0</v>
      </c>
      <c r="BI66" s="7" t="n">
        <f aca="false">IF(H66&gt;0,SUMIFS('MA Engine'!$L$6:$L$1110,'MA Engine'!$B$6:$B$1110,$A66,'MA Engine'!$I$6:$I$1110,"Opening")/H66,0)</f>
        <v>0</v>
      </c>
      <c r="BJ66" s="9" t="n">
        <f aca="false">IF(I66&gt;0,AD66/I66,BI66)</f>
        <v>0</v>
      </c>
      <c r="BK66" s="7" t="n">
        <f aca="false">SUMIFS('MA Engine'!$X$6:$X$1110,'MA Engine'!$B$6:$B$1110,$A66,'MA Engine'!$H$6:$H$1110,7,'MA Engine'!$I$6:$I$1110,"DO")</f>
        <v>0</v>
      </c>
      <c r="BL66" s="7" t="n">
        <f aca="false">SUMIFS('MA Engine'!$AK$6:$AK$1110,'MA Engine'!$B$6:$B$1110,$A66,'MA Engine'!$H$6:$H$1110,7,'MA Engine'!$I$6:$I$1110,"DO")</f>
        <v>0</v>
      </c>
      <c r="BM66" s="7" t="n">
        <f aca="false">SUMIFS('MA Engine'!$AL$6:$AL$1110,'MA Engine'!$B$6:$B$1110,$A66,'MA Engine'!$H$6:$H$1110,7,'MA Engine'!$I$6:$I$1110,"DO")+SUMIFS('MA Engine'!$AM$6:$AM$1110,'MA Engine'!$B$6:$B$1110,$A66,'MA Engine'!$H$6:$H$1110,7,'MA Engine'!$I$6:$I$1110,"DO")</f>
        <v>0</v>
      </c>
      <c r="BN66" s="9" t="n">
        <f aca="false">BK66-BL66-BM66</f>
        <v>0</v>
      </c>
      <c r="BO66" s="7" t="n">
        <f aca="false">IF(BC66=0,0,SUMIFS('Data SKU'!$G$5:$G$116,'Data SKU'!$A$5:$A$116,$C66,'Data SKU'!$B$5:$B$116,$D66,'Data SKU'!$C$5:$C$116,$E66,'Data SKU'!$D$5:$D$116,7,'Data SKU'!$N$5:$N$116,"Invoiced")/SUMIFS($BC$36:$BC$127,$C$36:$C$127,$C66,$D$36:$D$127,$D66,$E$36:$E$127,$E66)*BC66)</f>
        <v>0</v>
      </c>
      <c r="BP66" s="9" t="n">
        <f aca="false">IF(BC66=0,0,BO66*BG66/BC66)</f>
        <v>0</v>
      </c>
      <c r="BQ66" s="9" t="n">
        <f aca="false">IF(BC66=0,0,BO66*BH66/BC66)</f>
        <v>0</v>
      </c>
    </row>
    <row r="67" customFormat="false" ht="15" hidden="false" customHeight="false" outlineLevel="0" collapsed="false">
      <c r="A67" s="74" t="s">
        <v>979</v>
      </c>
      <c r="B67" s="53" t="str">
        <f aca="false">INDEX(I_Items!$B$5:$B$133,MATCH($A67,I_Items!$A$5:$A$133,0))&amp;""</f>
        <v>Karkas Uk 1.0 Karkas Uk 1.0 Frozen Grade A</v>
      </c>
      <c r="C67" s="53" t="str">
        <f aca="false">INDEX(I_Items!$C$5:$C$133,MATCH($A67,I_Items!$A$5:$A$133,0))&amp;""</f>
        <v>RPA</v>
      </c>
      <c r="D67" s="53" t="str">
        <f aca="false">INDEX(I_Items!$D$5:$D$133,MATCH($A67,I_Items!$A$5:$A$133,0))&amp;""</f>
        <v>Karkas</v>
      </c>
      <c r="E67" s="53" t="str">
        <f aca="false">INDEX(I_Items!$F$5:$F$133,MATCH($A67,I_Items!$A$5:$A$133,0))&amp;""</f>
        <v>Frozen</v>
      </c>
      <c r="F67" s="53" t="str">
        <f aca="false">INDEX(I_Items!$E$5:$E$133,MATCH($A67,I_Items!$A$5:$A$133,0))&amp;""</f>
        <v>Uk 1.0</v>
      </c>
      <c r="G67" s="6" t="str">
        <f aca="false">IF(P67=0,"-",IF(M67=0,"A",IF(K67&lt;=0,"C","B")))</f>
        <v>C</v>
      </c>
      <c r="H67" s="13" t="n">
        <f aca="false">SUMIFS('MA Engine'!$K$6:$K$1110,'MA Engine'!$B$6:$B$1110,$A67,'MA Engine'!$I$6:$I$1110,"Opening")</f>
        <v>1787.3</v>
      </c>
      <c r="I67" s="13" t="n">
        <f aca="false">SUMIFS('MA Engine'!$K$6:$K$1110,'MA Engine'!$B$6:$B$1110,$A67,'MA Engine'!$H$6:$H$1110,7,'MA Engine'!$I$6:$I$1110,"&lt;&gt;Opening")</f>
        <v>3.3</v>
      </c>
      <c r="J67" s="13" t="n">
        <f aca="false">SUMIFS('MA Engine'!$W$6:$W$1110,'MA Engine'!$B$6:$B$1110,$A67,'MA Engine'!$H$6:$H$1110,7)</f>
        <v>1790.6</v>
      </c>
      <c r="K67" s="14" t="n">
        <f aca="false">H67+I67-J67</f>
        <v>0</v>
      </c>
      <c r="L67" s="7" t="n">
        <f aca="false">SUMIFS('MA Engine'!$L$6:$L$1110,'MA Engine'!$B$6:$B$1110,$A67,'MA Engine'!$I$6:$I$1110,"Opening")+SUMIFS('MA Engine'!$L$6:$L$1110,'MA Engine'!$B$6:$B$1110,$A67,'MA Engine'!$H$6:$H$1110,7,'MA Engine'!$I$6:$I$1110,"&lt;&gt;Opening")-SUMIFS('MA Engine'!$X$6:$X$1110,'MA Engine'!$B$6:$B$1110,$A67,'MA Engine'!$H$6:$H$1110,7)</f>
        <v>0</v>
      </c>
      <c r="M67" s="13" t="n">
        <f aca="false">SUMIFS('MA Engine'!$K$6:$K$1110,'MA Engine'!$B$6:$B$1110,$A67,'MA Engine'!$H$6:$H$1110,8)</f>
        <v>966.8</v>
      </c>
      <c r="N67" s="7" t="n">
        <f aca="false">SUMIFS('MA Engine'!$L$6:$L$1110,'MA Engine'!$B$6:$B$1110,$A67,'MA Engine'!$H$6:$H$1110,8)</f>
        <v>32773901.56</v>
      </c>
      <c r="O67" s="13" t="n">
        <f aca="false">SUMIFS('MA Engine'!$W$6:$W$1110,'MA Engine'!$B$6:$B$1110,$A67,'MA Engine'!$H$6:$H$1110,8)</f>
        <v>33</v>
      </c>
      <c r="P67" s="14" t="n">
        <f aca="false">Q67+R67</f>
        <v>33</v>
      </c>
      <c r="Q67" s="13" t="n">
        <f aca="false">SUMIFS('MA Engine'!$W$6:$W$1110,'MA Engine'!$B$6:$B$1110,$A67,'MA Engine'!$H$6:$H$1110,8,'MA Engine'!$I$6:$I$1110,"DO",'MA Engine'!$P$6:$P$1110,"&lt;&gt;Y")</f>
        <v>33</v>
      </c>
      <c r="R67" s="13" t="n">
        <f aca="false">SUMIFS('MA Engine'!$W$6:$W$1110,'MA Engine'!$B$6:$B$1110,$A67,'MA Engine'!$H$6:$H$1110,8,'MA Engine'!$I$6:$I$1110,"Unbilled")</f>
        <v>0</v>
      </c>
      <c r="S67" s="13" t="n">
        <f aca="false">SUMIFS('MA Engine'!$W$6:$W$1110,'MA Engine'!$B$6:$B$1110,$A67,'MA Engine'!$H$6:$H$1110,8,'MA Engine'!$P$6:$P$1110,"Y")</f>
        <v>0</v>
      </c>
      <c r="T67" s="14" t="n">
        <f aca="false">O67-P67-S67</f>
        <v>0</v>
      </c>
      <c r="U67" s="14" t="n">
        <f aca="false">MAX(0,H67-J67)</f>
        <v>0</v>
      </c>
      <c r="V67" s="14" t="n">
        <f aca="false">MAX(0,K67-U67)</f>
        <v>0</v>
      </c>
      <c r="W67" s="14" t="n">
        <f aca="false">MIN(U67,O67)</f>
        <v>0</v>
      </c>
      <c r="X67" s="14" t="n">
        <f aca="false">MIN(V67,O67-W67)</f>
        <v>0</v>
      </c>
      <c r="Y67" s="14" t="n">
        <f aca="false">O67-W67-X67</f>
        <v>33</v>
      </c>
      <c r="Z67" s="21" t="n">
        <f aca="false">IF(O67=0,0,P67/O67)</f>
        <v>1</v>
      </c>
      <c r="AA67" s="13" t="n">
        <f aca="false">SUMIFS('MA Engine'!$AH$6:$AH$1110,'MA Engine'!$B$6:$B$1110,$A67,'MA Engine'!$H$6:$H$1110,8,'MA Engine'!$I$6:$I$1110,"DO",'MA Engine'!$P$6:$P$1110,"&lt;&gt;Y")+SUMIFS('MA Engine'!$AH$6:$AH$1110,'MA Engine'!$B$6:$B$1110,$A67,'MA Engine'!$H$6:$H$1110,8,'MA Engine'!$I$6:$I$1110,"Unbilled")</f>
        <v>0</v>
      </c>
      <c r="AB67" s="13" t="n">
        <f aca="false">SUMIFS('MA Engine'!$AI$6:$AI$1110,'MA Engine'!$B$6:$B$1110,$A67,'MA Engine'!$H$6:$H$1110,8,'MA Engine'!$I$6:$I$1110,"DO",'MA Engine'!$P$6:$P$1110,"&lt;&gt;Y")+SUMIFS('MA Engine'!$AI$6:$AI$1110,'MA Engine'!$B$6:$B$1110,$A67,'MA Engine'!$H$6:$H$1110,8,'MA Engine'!$I$6:$I$1110,"Unbilled")</f>
        <v>0</v>
      </c>
      <c r="AC67" s="13" t="n">
        <f aca="false">SUMIFS('MA Engine'!$AJ$6:$AJ$1110,'MA Engine'!$B$6:$B$1110,$A67,'MA Engine'!$H$6:$H$1110,8,'MA Engine'!$I$6:$I$1110,"DO",'MA Engine'!$P$6:$P$1110,"&lt;&gt;Y")+SUMIFS('MA Engine'!$AJ$6:$AJ$1110,'MA Engine'!$B$6:$B$1110,$A67,'MA Engine'!$H$6:$H$1110,8,'MA Engine'!$I$6:$I$1110,"Unbilled")</f>
        <v>33</v>
      </c>
      <c r="AD67" s="7" t="n">
        <f aca="false">SUMIFS('MA Engine'!$L$6:$L$1110,'MA Engine'!$B$6:$B$1110,$A67,'MA Engine'!$H$6:$H$1110,7,'MA Engine'!$I$6:$I$1110,"&lt;&gt;Opening")</f>
        <v>85456.24</v>
      </c>
      <c r="AE67" s="9" t="n">
        <f aca="false">IF(AND(U67&gt;0.0001,(L67-V67*IF(I67&gt;0,AD67/I67,IF(K67&gt;0,L67/K67,0)))&lt;0),IF(K67&gt;0,L67/K67,0),IF(I67&gt;0,AD67/I67,IF(K67&gt;0,L67/K67,0)))</f>
        <v>25895.8303030303</v>
      </c>
      <c r="AF67" s="9" t="n">
        <f aca="false">IF(U67&lt;=0.0001,IF(K67&gt;0,L67/K67,0),IF((L67-V67*IF(I67&gt;0,AD67/I67,IF(K67&gt;0,L67/K67,0)))&lt;0,IF(K67&gt;0,L67/K67,0),(L67-V67*IF(I67&gt;0,AD67/I67,IF(K67&gt;0,L67/K67,0)))/U67))</f>
        <v>0</v>
      </c>
      <c r="AG67" s="9" t="n">
        <f aca="false">IF(M67&gt;0,N67/M67,IF(K67&gt;0,L67/K67,0))</f>
        <v>33899.3603227141</v>
      </c>
      <c r="AH67" s="7" t="n">
        <f aca="false">SUMIFS('MA Engine'!$X$6:$X$1110,'MA Engine'!$B$6:$B$1110,$A67,'MA Engine'!$H$6:$H$1110,8,'MA Engine'!$I$6:$I$1110,"DO",'MA Engine'!$P$6:$P$1110,"&lt;&gt;Y")+SUMIFS('MA Engine'!$X$6:$X$1110,'MA Engine'!$B$6:$B$1110,$A67,'MA Engine'!$H$6:$H$1110,8,'MA Engine'!$I$6:$I$1110,"Unbilled")</f>
        <v>1080378.65379769</v>
      </c>
      <c r="AI67" s="7" t="n">
        <f aca="false">SUMIFS('MA Engine'!$AK$6:$AK$1110,'MA Engine'!$B$6:$B$1110,$A67,'MA Engine'!$H$6:$H$1110,8,'MA Engine'!$I$6:$I$1110,"DO",'MA Engine'!$P$6:$P$1110,"&lt;&gt;Y")+SUMIFS('MA Engine'!$AK$6:$AK$1110,'MA Engine'!$B$6:$B$1110,$A67,'MA Engine'!$H$6:$H$1110,8,'MA Engine'!$I$6:$I$1110,"Unbilled")</f>
        <v>0</v>
      </c>
      <c r="AJ67" s="7" t="n">
        <f aca="false">SUMIFS('MA Engine'!$AL$6:$AL$1110,'MA Engine'!$B$6:$B$1110,$A67,'MA Engine'!$H$6:$H$1110,8,'MA Engine'!$I$6:$I$1110,"DO",'MA Engine'!$P$6:$P$1110,"&lt;&gt;Y")+SUMIFS('MA Engine'!$AL$6:$AL$1110,'MA Engine'!$B$6:$B$1110,$A67,'MA Engine'!$H$6:$H$1110,8,'MA Engine'!$I$6:$I$1110,"Unbilled")</f>
        <v>0</v>
      </c>
      <c r="AK67" s="7" t="n">
        <f aca="false">SUMIFS('MA Engine'!$AM$6:$AM$1110,'MA Engine'!$B$6:$B$1110,$A67,'MA Engine'!$H$6:$H$1110,8,'MA Engine'!$I$6:$I$1110,"DO",'MA Engine'!$P$6:$P$1110,"&lt;&gt;Y")+SUMIFS('MA Engine'!$AM$6:$AM$1110,'MA Engine'!$B$6:$B$1110,$A67,'MA Engine'!$H$6:$H$1110,8,'MA Engine'!$I$6:$I$1110,"Unbilled")</f>
        <v>1080378.65379769</v>
      </c>
      <c r="AL67" s="9" t="n">
        <f aca="false">AH67-AI67-AJ67-AK67</f>
        <v>0</v>
      </c>
      <c r="AM67" s="7" t="n">
        <f aca="false">IF(Q67=0,0,IF($D67="Karkas",SUMIFS('Karkas Detail'!$E$6:$E$42,'Karkas Detail'!$A$6:$A$42,$C67,'Karkas Detail'!$B$6:$B$42,$F67,'Karkas Detail'!$C$6:$C$42,$E67)/SUMIFS($Q$36:$Q$127,$C$36:$C$127,$C67,$D$36:$D$127,"Karkas",$F$36:$F$127,$F67,$E$36:$E$127,$E67),SUMIFS('Data SKU'!$G$5:$G$116,'Data SKU'!$A$5:$A$116,$C67,'Data SKU'!$B$5:$B$116,$D67,'Data SKU'!$C$5:$C$116,$E67,'Data SKU'!$D$5:$D$116,8,'Data SKU'!$N$5:$N$116,"Invoiced")/SUMIFS($Q$36:$Q$127,$C$36:$C$127,$C67,$D$36:$D$127,$D67,$E$36:$E$127,$E67))*Q67)+SUMIFS(Unbilled!$U$22:$U$38,Unbilled!$E$22:$E$38,$A67)</f>
        <v>1046302.02312139</v>
      </c>
      <c r="AN67" s="9" t="n">
        <f aca="false">IF(P67=0,0,AM67*AA67/P67)</f>
        <v>0</v>
      </c>
      <c r="AO67" s="9" t="n">
        <f aca="false">IF(P67=0,0,AM67*AB67/P67)</f>
        <v>0</v>
      </c>
      <c r="AP67" s="9" t="n">
        <f aca="false">IF(P67=0,0,AM67*AC67/P67)</f>
        <v>1046302.02312139</v>
      </c>
      <c r="AQ67" s="14" t="n">
        <f aca="false">MIN(U67+V67,MAX(0,O67-M67))</f>
        <v>0</v>
      </c>
      <c r="AR67" s="14" t="n">
        <f aca="false">MAX(0,AQ67-V67)*Z67</f>
        <v>0</v>
      </c>
      <c r="AS67" s="14" t="n">
        <f aca="false">MIN(V67,AQ67)*Z67</f>
        <v>0</v>
      </c>
      <c r="AT67" s="14" t="n">
        <f aca="false">(O67-AQ67)*Z67</f>
        <v>33</v>
      </c>
      <c r="AU67" s="9" t="n">
        <f aca="false">(AR67+AS67+AT67)*BA67</f>
        <v>1080378.65379769</v>
      </c>
      <c r="AV67" s="9" t="n">
        <f aca="false">IF(P67=0,0,AM67*AR67/P67)</f>
        <v>0</v>
      </c>
      <c r="AW67" s="9" t="n">
        <f aca="false">IF(P67=0,0,AM67*AS67/P67)</f>
        <v>0</v>
      </c>
      <c r="AX67" s="9" t="n">
        <f aca="false">IF(P67=0,0,AM67*AT67/P67)</f>
        <v>1046302.02312139</v>
      </c>
      <c r="AY67" s="9" t="n">
        <f aca="false">AH67-AU67</f>
        <v>0</v>
      </c>
      <c r="AZ67" s="9" t="n">
        <f aca="false">IF(M67&gt;0,P67*AG67,0)</f>
        <v>1118678.89064957</v>
      </c>
      <c r="BA67" s="9" t="n">
        <f aca="false">IF(P67=0,0,AH67/P67)</f>
        <v>32738.7470847786</v>
      </c>
      <c r="BB67" s="74" t="s">
        <v>838</v>
      </c>
      <c r="BC67" s="13" t="n">
        <f aca="false">SUMIFS('MA Engine'!$W$6:$W$1110,'MA Engine'!$B$6:$B$1110,$A67,'MA Engine'!$H$6:$H$1110,7,'MA Engine'!$I$6:$I$1110,"DO")</f>
        <v>1790.6</v>
      </c>
      <c r="BD67" s="14" t="n">
        <f aca="false">MIN(MAX(0,H67),J67)</f>
        <v>1787.3</v>
      </c>
      <c r="BE67" s="14" t="n">
        <f aca="false">J67-BD67</f>
        <v>3.30000000000018</v>
      </c>
      <c r="BF67" s="21" t="n">
        <f aca="false">IF(J67=0,0,BC67/J67)</f>
        <v>1</v>
      </c>
      <c r="BG67" s="13" t="n">
        <f aca="false">SUMIFS('MA Engine'!$AH$6:$AH$1110,'MA Engine'!$B$6:$B$1110,$A67,'MA Engine'!$H$6:$H$1110,7,'MA Engine'!$I$6:$I$1110,"DO")</f>
        <v>1787.3</v>
      </c>
      <c r="BH67" s="13" t="n">
        <f aca="false">SUMIFS('MA Engine'!$AI$6:$AI$1110,'MA Engine'!$B$6:$B$1110,$A67,'MA Engine'!$H$6:$H$1110,7,'MA Engine'!$I$6:$I$1110,"DO")+SUMIFS('MA Engine'!$AJ$6:$AJ$1110,'MA Engine'!$B$6:$B$1110,$A67,'MA Engine'!$H$6:$H$1110,7,'MA Engine'!$I$6:$I$1110,"DO")</f>
        <v>3.30000000000018</v>
      </c>
      <c r="BI67" s="7" t="n">
        <f aca="false">IF(H67&gt;0,SUMIFS('MA Engine'!$L$6:$L$1110,'MA Engine'!$B$6:$B$1110,$A67,'MA Engine'!$I$6:$I$1110,"Opening")/H67,0)</f>
        <v>24655.0553516477</v>
      </c>
      <c r="BJ67" s="9" t="n">
        <f aca="false">IF(I67&gt;0,AD67/I67,BI67)</f>
        <v>25895.8303030303</v>
      </c>
      <c r="BK67" s="7" t="n">
        <f aca="false">SUMIFS('MA Engine'!$X$6:$X$1110,'MA Engine'!$B$6:$B$1110,$A67,'MA Engine'!$H$6:$H$1110,7,'MA Engine'!$I$6:$I$1110,"DO")</f>
        <v>44151436.67</v>
      </c>
      <c r="BL67" s="7" t="n">
        <f aca="false">SUMIFS('MA Engine'!$AK$6:$AK$1110,'MA Engine'!$B$6:$B$1110,$A67,'MA Engine'!$H$6:$H$1110,7,'MA Engine'!$I$6:$I$1110,"DO")</f>
        <v>44070067.4412437</v>
      </c>
      <c r="BM67" s="7" t="n">
        <f aca="false">SUMIFS('MA Engine'!$AL$6:$AL$1110,'MA Engine'!$B$6:$B$1110,$A67,'MA Engine'!$H$6:$H$1110,7,'MA Engine'!$I$6:$I$1110,"DO")+SUMIFS('MA Engine'!$AM$6:$AM$1110,'MA Engine'!$B$6:$B$1110,$A67,'MA Engine'!$H$6:$H$1110,7,'MA Engine'!$I$6:$I$1110,"DO")</f>
        <v>81369.2287562874</v>
      </c>
      <c r="BN67" s="9" t="n">
        <f aca="false">BK67-BL67-BM67</f>
        <v>-1.16415321826935E-009</v>
      </c>
      <c r="BO67" s="7" t="n">
        <f aca="false">IF(BC67=0,0,SUMIFS('Data SKU'!$G$5:$G$116,'Data SKU'!$A$5:$A$116,$C67,'Data SKU'!$B$5:$B$116,$D67,'Data SKU'!$C$5:$C$116,$E67,'Data SKU'!$D$5:$D$116,7,'Data SKU'!$N$5:$N$116,"Invoiced")/SUMIFS($BC$36:$BC$127,$C$36:$C$127,$C67,$D$36:$D$127,$D67,$E$36:$E$127,$E67)*BC67)</f>
        <v>50691269.0924009</v>
      </c>
      <c r="BP67" s="9" t="n">
        <f aca="false">IF(BC67=0,0,BO67*BG67/BC67)</f>
        <v>50597847.2293355</v>
      </c>
      <c r="BQ67" s="9" t="n">
        <f aca="false">IF(BC67=0,0,BO67*BH67/BC67)</f>
        <v>93421.863065415</v>
      </c>
    </row>
    <row r="68" customFormat="false" ht="15" hidden="false" customHeight="false" outlineLevel="0" collapsed="false">
      <c r="A68" s="74" t="s">
        <v>980</v>
      </c>
      <c r="B68" s="53" t="str">
        <f aca="false">INDEX(I_Items!$B$5:$B$133,MATCH($A68,I_Items!$A$5:$A$133,0))&amp;""</f>
        <v>Karkas Uk 1.0 Karkas Uk 1.0 Frozen Premium</v>
      </c>
      <c r="C68" s="53" t="str">
        <f aca="false">INDEX(I_Items!$C$5:$C$133,MATCH($A68,I_Items!$A$5:$A$133,0))&amp;""</f>
        <v>RPA</v>
      </c>
      <c r="D68" s="53" t="str">
        <f aca="false">INDEX(I_Items!$D$5:$D$133,MATCH($A68,I_Items!$A$5:$A$133,0))&amp;""</f>
        <v>Karkas</v>
      </c>
      <c r="E68" s="53" t="str">
        <f aca="false">INDEX(I_Items!$F$5:$F$133,MATCH($A68,I_Items!$A$5:$A$133,0))&amp;""</f>
        <v>Frozen</v>
      </c>
      <c r="F68" s="53" t="str">
        <f aca="false">INDEX(I_Items!$E$5:$E$133,MATCH($A68,I_Items!$A$5:$A$133,0))&amp;""</f>
        <v>Uk 1.0</v>
      </c>
      <c r="G68" s="6" t="str">
        <f aca="false">IF(P68=0,"-",IF(M68=0,"A",IF(K68&lt;=0,"C","B")))</f>
        <v>C</v>
      </c>
      <c r="H68" s="13" t="n">
        <f aca="false">SUMIFS('MA Engine'!$K$6:$K$1110,'MA Engine'!$B$6:$B$1110,$A68,'MA Engine'!$I$6:$I$1110,"Opening")</f>
        <v>489.71</v>
      </c>
      <c r="I68" s="13" t="n">
        <f aca="false">SUMIFS('MA Engine'!$K$6:$K$1110,'MA Engine'!$B$6:$B$1110,$A68,'MA Engine'!$H$6:$H$1110,7,'MA Engine'!$I$6:$I$1110,"&lt;&gt;Opening")</f>
        <v>0</v>
      </c>
      <c r="J68" s="13" t="n">
        <f aca="false">SUMIFS('MA Engine'!$W$6:$W$1110,'MA Engine'!$B$6:$B$1110,$A68,'MA Engine'!$H$6:$H$1110,7)</f>
        <v>489.71</v>
      </c>
      <c r="K68" s="14" t="n">
        <f aca="false">H68+I68-J68</f>
        <v>0</v>
      </c>
      <c r="L68" s="7" t="n">
        <f aca="false">SUMIFS('MA Engine'!$L$6:$L$1110,'MA Engine'!$B$6:$B$1110,$A68,'MA Engine'!$I$6:$I$1110,"Opening")+SUMIFS('MA Engine'!$L$6:$L$1110,'MA Engine'!$B$6:$B$1110,$A68,'MA Engine'!$H$6:$H$1110,7,'MA Engine'!$I$6:$I$1110,"&lt;&gt;Opening")-SUMIFS('MA Engine'!$X$6:$X$1110,'MA Engine'!$B$6:$B$1110,$A68,'MA Engine'!$H$6:$H$1110,7)</f>
        <v>0</v>
      </c>
      <c r="M68" s="13" t="n">
        <f aca="false">SUMIFS('MA Engine'!$K$6:$K$1110,'MA Engine'!$B$6:$B$1110,$A68,'MA Engine'!$H$6:$H$1110,8)</f>
        <v>1539.4</v>
      </c>
      <c r="N68" s="7" t="n">
        <f aca="false">SUMIFS('MA Engine'!$L$6:$L$1110,'MA Engine'!$B$6:$B$1110,$A68,'MA Engine'!$H$6:$H$1110,8)</f>
        <v>58013983.21</v>
      </c>
      <c r="O68" s="13" t="n">
        <f aca="false">SUMIFS('MA Engine'!$W$6:$W$1110,'MA Engine'!$B$6:$B$1110,$A68,'MA Engine'!$H$6:$H$1110,8)</f>
        <v>342.26</v>
      </c>
      <c r="P68" s="14" t="n">
        <f aca="false">Q68+R68</f>
        <v>195.36</v>
      </c>
      <c r="Q68" s="13" t="n">
        <f aca="false">SUMIFS('MA Engine'!$W$6:$W$1110,'MA Engine'!$B$6:$B$1110,$A68,'MA Engine'!$H$6:$H$1110,8,'MA Engine'!$I$6:$I$1110,"DO",'MA Engine'!$P$6:$P$1110,"&lt;&gt;Y")</f>
        <v>195.36</v>
      </c>
      <c r="R68" s="13" t="n">
        <f aca="false">SUMIFS('MA Engine'!$W$6:$W$1110,'MA Engine'!$B$6:$B$1110,$A68,'MA Engine'!$H$6:$H$1110,8,'MA Engine'!$I$6:$I$1110,"Unbilled")</f>
        <v>0</v>
      </c>
      <c r="S68" s="13" t="n">
        <f aca="false">SUMIFS('MA Engine'!$W$6:$W$1110,'MA Engine'!$B$6:$B$1110,$A68,'MA Engine'!$H$6:$H$1110,8,'MA Engine'!$P$6:$P$1110,"Y")</f>
        <v>0</v>
      </c>
      <c r="T68" s="14" t="n">
        <f aca="false">O68-P68-S68</f>
        <v>146.9</v>
      </c>
      <c r="U68" s="14" t="n">
        <f aca="false">MAX(0,H68-J68)</f>
        <v>0</v>
      </c>
      <c r="V68" s="14" t="n">
        <f aca="false">MAX(0,K68-U68)</f>
        <v>0</v>
      </c>
      <c r="W68" s="14" t="n">
        <f aca="false">MIN(U68,O68)</f>
        <v>0</v>
      </c>
      <c r="X68" s="14" t="n">
        <f aca="false">MIN(V68,O68-W68)</f>
        <v>0</v>
      </c>
      <c r="Y68" s="14" t="n">
        <f aca="false">O68-W68-X68</f>
        <v>342.26</v>
      </c>
      <c r="Z68" s="21" t="n">
        <f aca="false">IF(O68=0,0,P68/O68)</f>
        <v>0.570794133115176</v>
      </c>
      <c r="AA68" s="13" t="n">
        <f aca="false">SUMIFS('MA Engine'!$AH$6:$AH$1110,'MA Engine'!$B$6:$B$1110,$A68,'MA Engine'!$H$6:$H$1110,8,'MA Engine'!$I$6:$I$1110,"DO",'MA Engine'!$P$6:$P$1110,"&lt;&gt;Y")+SUMIFS('MA Engine'!$AH$6:$AH$1110,'MA Engine'!$B$6:$B$1110,$A68,'MA Engine'!$H$6:$H$1110,8,'MA Engine'!$I$6:$I$1110,"Unbilled")</f>
        <v>0</v>
      </c>
      <c r="AB68" s="13" t="n">
        <f aca="false">SUMIFS('MA Engine'!$AI$6:$AI$1110,'MA Engine'!$B$6:$B$1110,$A68,'MA Engine'!$H$6:$H$1110,8,'MA Engine'!$I$6:$I$1110,"DO",'MA Engine'!$P$6:$P$1110,"&lt;&gt;Y")+SUMIFS('MA Engine'!$AI$6:$AI$1110,'MA Engine'!$B$6:$B$1110,$A68,'MA Engine'!$H$6:$H$1110,8,'MA Engine'!$I$6:$I$1110,"Unbilled")</f>
        <v>0</v>
      </c>
      <c r="AC68" s="13" t="n">
        <f aca="false">SUMIFS('MA Engine'!$AJ$6:$AJ$1110,'MA Engine'!$B$6:$B$1110,$A68,'MA Engine'!$H$6:$H$1110,8,'MA Engine'!$I$6:$I$1110,"DO",'MA Engine'!$P$6:$P$1110,"&lt;&gt;Y")+SUMIFS('MA Engine'!$AJ$6:$AJ$1110,'MA Engine'!$B$6:$B$1110,$A68,'MA Engine'!$H$6:$H$1110,8,'MA Engine'!$I$6:$I$1110,"Unbilled")</f>
        <v>195.36</v>
      </c>
      <c r="AD68" s="7" t="n">
        <f aca="false">SUMIFS('MA Engine'!$L$6:$L$1110,'MA Engine'!$B$6:$B$1110,$A68,'MA Engine'!$H$6:$H$1110,7,'MA Engine'!$I$6:$I$1110,"&lt;&gt;Opening")</f>
        <v>0</v>
      </c>
      <c r="AE68" s="9" t="n">
        <f aca="false">IF(AND(U68&gt;0.0001,(L68-V68*IF(I68&gt;0,AD68/I68,IF(K68&gt;0,L68/K68,0)))&lt;0),IF(K68&gt;0,L68/K68,0),IF(I68&gt;0,AD68/I68,IF(K68&gt;0,L68/K68,0)))</f>
        <v>0</v>
      </c>
      <c r="AF68" s="9" t="n">
        <f aca="false">IF(U68&lt;=0.0001,IF(K68&gt;0,L68/K68,0),IF((L68-V68*IF(I68&gt;0,AD68/I68,IF(K68&gt;0,L68/K68,0)))&lt;0,IF(K68&gt;0,L68/K68,0),(L68-V68*IF(I68&gt;0,AD68/I68,IF(K68&gt;0,L68/K68,0)))/U68))</f>
        <v>0</v>
      </c>
      <c r="AG68" s="9" t="n">
        <f aca="false">IF(M68&gt;0,N68/M68,IF(K68&gt;0,L68/K68,0))</f>
        <v>37686.1005651553</v>
      </c>
      <c r="AH68" s="7" t="n">
        <f aca="false">SUMIFS('MA Engine'!$X$6:$X$1110,'MA Engine'!$B$6:$B$1110,$A68,'MA Engine'!$H$6:$H$1110,8,'MA Engine'!$I$6:$I$1110,"DO",'MA Engine'!$P$6:$P$1110,"&lt;&gt;Y")+SUMIFS('MA Engine'!$X$6:$X$1110,'MA Engine'!$B$6:$B$1110,$A68,'MA Engine'!$H$6:$H$1110,8,'MA Engine'!$I$6:$I$1110,"Unbilled")</f>
        <v>7350268.49604022</v>
      </c>
      <c r="AI68" s="7" t="n">
        <f aca="false">SUMIFS('MA Engine'!$AK$6:$AK$1110,'MA Engine'!$B$6:$B$1110,$A68,'MA Engine'!$H$6:$H$1110,8,'MA Engine'!$I$6:$I$1110,"DO",'MA Engine'!$P$6:$P$1110,"&lt;&gt;Y")+SUMIFS('MA Engine'!$AK$6:$AK$1110,'MA Engine'!$B$6:$B$1110,$A68,'MA Engine'!$H$6:$H$1110,8,'MA Engine'!$I$6:$I$1110,"Unbilled")</f>
        <v>0</v>
      </c>
      <c r="AJ68" s="7" t="n">
        <f aca="false">SUMIFS('MA Engine'!$AL$6:$AL$1110,'MA Engine'!$B$6:$B$1110,$A68,'MA Engine'!$H$6:$H$1110,8,'MA Engine'!$I$6:$I$1110,"DO",'MA Engine'!$P$6:$P$1110,"&lt;&gt;Y")+SUMIFS('MA Engine'!$AL$6:$AL$1110,'MA Engine'!$B$6:$B$1110,$A68,'MA Engine'!$H$6:$H$1110,8,'MA Engine'!$I$6:$I$1110,"Unbilled")</f>
        <v>0</v>
      </c>
      <c r="AK68" s="7" t="n">
        <f aca="false">SUMIFS('MA Engine'!$AM$6:$AM$1110,'MA Engine'!$B$6:$B$1110,$A68,'MA Engine'!$H$6:$H$1110,8,'MA Engine'!$I$6:$I$1110,"DO",'MA Engine'!$P$6:$P$1110,"&lt;&gt;Y")+SUMIFS('MA Engine'!$AM$6:$AM$1110,'MA Engine'!$B$6:$B$1110,$A68,'MA Engine'!$H$6:$H$1110,8,'MA Engine'!$I$6:$I$1110,"Unbilled")</f>
        <v>7350268.49604022</v>
      </c>
      <c r="AL68" s="9" t="n">
        <f aca="false">AH68-AI68-AJ68-AK68</f>
        <v>0</v>
      </c>
      <c r="AM68" s="7" t="n">
        <f aca="false">IF(Q68=0,0,IF($D68="Karkas",SUMIFS('Karkas Detail'!$E$6:$E$42,'Karkas Detail'!$A$6:$A$42,$C68,'Karkas Detail'!$B$6:$B$42,$F68,'Karkas Detail'!$C$6:$C$42,$E68)/SUMIFS($Q$36:$Q$127,$C$36:$C$127,$C68,$D$36:$D$127,"Karkas",$F$36:$F$127,$F68,$E$36:$E$127,$E68),SUMIFS('Data SKU'!$G$5:$G$116,'Data SKU'!$A$5:$A$116,$C68,'Data SKU'!$B$5:$B$116,$D68,'Data SKU'!$C$5:$C$116,$E68,'Data SKU'!$D$5:$D$116,8,'Data SKU'!$N$5:$N$116,"Invoiced")/SUMIFS($Q$36:$Q$127,$C$36:$C$127,$C68,$D$36:$D$127,$D68,$E$36:$E$127,$E68))*Q68)+SUMIFS(Unbilled!$U$22:$U$38,Unbilled!$E$22:$E$38,$A68)</f>
        <v>6194107.97687861</v>
      </c>
      <c r="AN68" s="9" t="n">
        <f aca="false">IF(P68=0,0,AM68*AA68/P68)</f>
        <v>0</v>
      </c>
      <c r="AO68" s="9" t="n">
        <f aca="false">IF(P68=0,0,AM68*AB68/P68)</f>
        <v>0</v>
      </c>
      <c r="AP68" s="9" t="n">
        <f aca="false">IF(P68=0,0,AM68*AC68/P68)</f>
        <v>6194107.97687861</v>
      </c>
      <c r="AQ68" s="14" t="n">
        <f aca="false">MIN(U68+V68,MAX(0,O68-M68))</f>
        <v>0</v>
      </c>
      <c r="AR68" s="14" t="n">
        <f aca="false">MAX(0,AQ68-V68)*Z68</f>
        <v>0</v>
      </c>
      <c r="AS68" s="14" t="n">
        <f aca="false">MIN(V68,AQ68)*Z68</f>
        <v>0</v>
      </c>
      <c r="AT68" s="14" t="n">
        <f aca="false">(O68-AQ68)*Z68</f>
        <v>195.36</v>
      </c>
      <c r="AU68" s="9" t="n">
        <f aca="false">(AR68+AS68+AT68)*BA68</f>
        <v>7350268.49604022</v>
      </c>
      <c r="AV68" s="9" t="n">
        <f aca="false">IF(P68=0,0,AM68*AR68/P68)</f>
        <v>0</v>
      </c>
      <c r="AW68" s="9" t="n">
        <f aca="false">IF(P68=0,0,AM68*AS68/P68)</f>
        <v>0</v>
      </c>
      <c r="AX68" s="9" t="n">
        <f aca="false">IF(P68=0,0,AM68*AT68/P68)</f>
        <v>6194107.97687861</v>
      </c>
      <c r="AY68" s="9" t="n">
        <f aca="false">AH68-AU68</f>
        <v>0</v>
      </c>
      <c r="AZ68" s="9" t="n">
        <f aca="false">IF(M68&gt;0,P68*AG68,0)</f>
        <v>7362356.60640873</v>
      </c>
      <c r="BA68" s="9" t="n">
        <f aca="false">IF(P68=0,0,AH68/P68)</f>
        <v>37624.2244883303</v>
      </c>
      <c r="BB68" s="74" t="s">
        <v>838</v>
      </c>
      <c r="BC68" s="13" t="n">
        <f aca="false">SUMIFS('MA Engine'!$W$6:$W$1110,'MA Engine'!$B$6:$B$1110,$A68,'MA Engine'!$H$6:$H$1110,7,'MA Engine'!$I$6:$I$1110,"DO")</f>
        <v>489.71</v>
      </c>
      <c r="BD68" s="14" t="n">
        <f aca="false">MIN(MAX(0,H68),J68)</f>
        <v>489.71</v>
      </c>
      <c r="BE68" s="14" t="n">
        <f aca="false">J68-BD68</f>
        <v>0</v>
      </c>
      <c r="BF68" s="21" t="n">
        <f aca="false">IF(J68=0,0,BC68/J68)</f>
        <v>1</v>
      </c>
      <c r="BG68" s="13" t="n">
        <f aca="false">SUMIFS('MA Engine'!$AH$6:$AH$1110,'MA Engine'!$B$6:$B$1110,$A68,'MA Engine'!$H$6:$H$1110,7,'MA Engine'!$I$6:$I$1110,"DO")</f>
        <v>489.71</v>
      </c>
      <c r="BH68" s="13" t="n">
        <f aca="false">SUMIFS('MA Engine'!$AI$6:$AI$1110,'MA Engine'!$B$6:$B$1110,$A68,'MA Engine'!$H$6:$H$1110,7,'MA Engine'!$I$6:$I$1110,"DO")+SUMIFS('MA Engine'!$AJ$6:$AJ$1110,'MA Engine'!$B$6:$B$1110,$A68,'MA Engine'!$H$6:$H$1110,7,'MA Engine'!$I$6:$I$1110,"DO")</f>
        <v>0</v>
      </c>
      <c r="BI68" s="7" t="n">
        <f aca="false">IF(H68&gt;0,SUMIFS('MA Engine'!$L$6:$L$1110,'MA Engine'!$B$6:$B$1110,$A68,'MA Engine'!$I$6:$I$1110,"Opening")/H68,0)</f>
        <v>26959.5371342223</v>
      </c>
      <c r="BJ68" s="9" t="n">
        <f aca="false">IF(I68&gt;0,AD68/I68,BI68)</f>
        <v>26959.5371342223</v>
      </c>
      <c r="BK68" s="7" t="n">
        <f aca="false">SUMIFS('MA Engine'!$X$6:$X$1110,'MA Engine'!$B$6:$B$1110,$A68,'MA Engine'!$H$6:$H$1110,7,'MA Engine'!$I$6:$I$1110,"DO")</f>
        <v>13202354.93</v>
      </c>
      <c r="BL68" s="7" t="n">
        <f aca="false">SUMIFS('MA Engine'!$AK$6:$AK$1110,'MA Engine'!$B$6:$B$1110,$A68,'MA Engine'!$H$6:$H$1110,7,'MA Engine'!$I$6:$I$1110,"DO")</f>
        <v>13202354.93</v>
      </c>
      <c r="BM68" s="7" t="n">
        <f aca="false">SUMIFS('MA Engine'!$AL$6:$AL$1110,'MA Engine'!$B$6:$B$1110,$A68,'MA Engine'!$H$6:$H$1110,7,'MA Engine'!$I$6:$I$1110,"DO")+SUMIFS('MA Engine'!$AM$6:$AM$1110,'MA Engine'!$B$6:$B$1110,$A68,'MA Engine'!$H$6:$H$1110,7,'MA Engine'!$I$6:$I$1110,"DO")</f>
        <v>0</v>
      </c>
      <c r="BN68" s="9" t="n">
        <f aca="false">BK68-BL68-BM68</f>
        <v>0</v>
      </c>
      <c r="BO68" s="7" t="n">
        <f aca="false">IF(BC68=0,0,SUMIFS('Data SKU'!$G$5:$G$116,'Data SKU'!$A$5:$A$116,$C68,'Data SKU'!$B$5:$B$116,$D68,'Data SKU'!$C$5:$C$116,$E68,'Data SKU'!$D$5:$D$116,7,'Data SKU'!$N$5:$N$116,"Invoiced")/SUMIFS($BC$36:$BC$127,$C$36:$C$127,$C68,$D$36:$D$127,$D68,$E$36:$E$127,$E68)*BC68)</f>
        <v>13863521.3823521</v>
      </c>
      <c r="BP68" s="9" t="n">
        <f aca="false">IF(BC68=0,0,BO68*BG68/BC68)</f>
        <v>13863521.3823521</v>
      </c>
      <c r="BQ68" s="9" t="n">
        <f aca="false">IF(BC68=0,0,BO68*BH68/BC68)</f>
        <v>0</v>
      </c>
    </row>
    <row r="69" customFormat="false" ht="15" hidden="false" customHeight="false" outlineLevel="0" collapsed="false">
      <c r="A69" s="74" t="s">
        <v>981</v>
      </c>
      <c r="B69" s="53" t="str">
        <f aca="false">INDEX(I_Items!$B$5:$B$133,MATCH($A69,I_Items!$A$5:$A$133,0))&amp;""</f>
        <v>Karkas Uk 1.1 Karkas Uk 1.1 Fresh Grade A</v>
      </c>
      <c r="C69" s="53" t="str">
        <f aca="false">INDEX(I_Items!$C$5:$C$133,MATCH($A69,I_Items!$A$5:$A$133,0))&amp;""</f>
        <v>RPA</v>
      </c>
      <c r="D69" s="53" t="str">
        <f aca="false">INDEX(I_Items!$D$5:$D$133,MATCH($A69,I_Items!$A$5:$A$133,0))&amp;""</f>
        <v>Karkas</v>
      </c>
      <c r="E69" s="53" t="str">
        <f aca="false">INDEX(I_Items!$F$5:$F$133,MATCH($A69,I_Items!$A$5:$A$133,0))&amp;""</f>
        <v>Fresh</v>
      </c>
      <c r="F69" s="53" t="str">
        <f aca="false">INDEX(I_Items!$E$5:$E$133,MATCH($A69,I_Items!$A$5:$A$133,0))&amp;""</f>
        <v>Uk 1.1</v>
      </c>
      <c r="G69" s="6" t="str">
        <f aca="false">IF(P69=0,"-",IF(M69=0,"A",IF(K69&lt;=0,"C","B")))</f>
        <v>-</v>
      </c>
      <c r="H69" s="13" t="n">
        <f aca="false">SUMIFS('MA Engine'!$K$6:$K$1110,'MA Engine'!$B$6:$B$1110,$A69,'MA Engine'!$I$6:$I$1110,"Opening")</f>
        <v>0</v>
      </c>
      <c r="I69" s="13" t="n">
        <f aca="false">SUMIFS('MA Engine'!$K$6:$K$1110,'MA Engine'!$B$6:$B$1110,$A69,'MA Engine'!$H$6:$H$1110,7,'MA Engine'!$I$6:$I$1110,"&lt;&gt;Opening")</f>
        <v>0</v>
      </c>
      <c r="J69" s="13" t="n">
        <f aca="false">SUMIFS('MA Engine'!$W$6:$W$1110,'MA Engine'!$B$6:$B$1110,$A69,'MA Engine'!$H$6:$H$1110,7)</f>
        <v>0</v>
      </c>
      <c r="K69" s="14" t="n">
        <f aca="false">H69+I69-J69</f>
        <v>0</v>
      </c>
      <c r="L69" s="7" t="n">
        <f aca="false">SUMIFS('MA Engine'!$L$6:$L$1110,'MA Engine'!$B$6:$B$1110,$A69,'MA Engine'!$I$6:$I$1110,"Opening")+SUMIFS('MA Engine'!$L$6:$L$1110,'MA Engine'!$B$6:$B$1110,$A69,'MA Engine'!$H$6:$H$1110,7,'MA Engine'!$I$6:$I$1110,"&lt;&gt;Opening")-SUMIFS('MA Engine'!$X$6:$X$1110,'MA Engine'!$B$6:$B$1110,$A69,'MA Engine'!$H$6:$H$1110,7)</f>
        <v>0</v>
      </c>
      <c r="M69" s="13" t="n">
        <f aca="false">SUMIFS('MA Engine'!$K$6:$K$1110,'MA Engine'!$B$6:$B$1110,$A69,'MA Engine'!$H$6:$H$1110,8)</f>
        <v>168.2</v>
      </c>
      <c r="N69" s="7" t="n">
        <f aca="false">SUMIFS('MA Engine'!$L$6:$L$1110,'MA Engine'!$B$6:$B$1110,$A69,'MA Engine'!$H$6:$H$1110,8)</f>
        <v>5129075.96</v>
      </c>
      <c r="O69" s="13" t="n">
        <f aca="false">SUMIFS('MA Engine'!$W$6:$W$1110,'MA Engine'!$B$6:$B$1110,$A69,'MA Engine'!$H$6:$H$1110,8)</f>
        <v>168.2</v>
      </c>
      <c r="P69" s="14" t="n">
        <f aca="false">Q69+R69</f>
        <v>0</v>
      </c>
      <c r="Q69" s="13" t="n">
        <f aca="false">SUMIFS('MA Engine'!$W$6:$W$1110,'MA Engine'!$B$6:$B$1110,$A69,'MA Engine'!$H$6:$H$1110,8,'MA Engine'!$I$6:$I$1110,"DO",'MA Engine'!$P$6:$P$1110,"&lt;&gt;Y")</f>
        <v>0</v>
      </c>
      <c r="R69" s="13" t="n">
        <f aca="false">SUMIFS('MA Engine'!$W$6:$W$1110,'MA Engine'!$B$6:$B$1110,$A69,'MA Engine'!$H$6:$H$1110,8,'MA Engine'!$I$6:$I$1110,"Unbilled")</f>
        <v>0</v>
      </c>
      <c r="S69" s="13" t="n">
        <f aca="false">SUMIFS('MA Engine'!$W$6:$W$1110,'MA Engine'!$B$6:$B$1110,$A69,'MA Engine'!$H$6:$H$1110,8,'MA Engine'!$P$6:$P$1110,"Y")</f>
        <v>168.2</v>
      </c>
      <c r="T69" s="14" t="n">
        <f aca="false">O69-P69-S69</f>
        <v>0</v>
      </c>
      <c r="U69" s="14" t="n">
        <f aca="false">MAX(0,H69-J69)</f>
        <v>0</v>
      </c>
      <c r="V69" s="14" t="n">
        <f aca="false">MAX(0,K69-U69)</f>
        <v>0</v>
      </c>
      <c r="W69" s="14" t="n">
        <f aca="false">MIN(U69,O69)</f>
        <v>0</v>
      </c>
      <c r="X69" s="14" t="n">
        <f aca="false">MIN(V69,O69-W69)</f>
        <v>0</v>
      </c>
      <c r="Y69" s="14" t="n">
        <f aca="false">O69-W69-X69</f>
        <v>168.2</v>
      </c>
      <c r="Z69" s="21" t="n">
        <f aca="false">IF(O69=0,0,P69/O69)</f>
        <v>0</v>
      </c>
      <c r="AA69" s="13" t="n">
        <f aca="false">SUMIFS('MA Engine'!$AH$6:$AH$1110,'MA Engine'!$B$6:$B$1110,$A69,'MA Engine'!$H$6:$H$1110,8,'MA Engine'!$I$6:$I$1110,"DO",'MA Engine'!$P$6:$P$1110,"&lt;&gt;Y")+SUMIFS('MA Engine'!$AH$6:$AH$1110,'MA Engine'!$B$6:$B$1110,$A69,'MA Engine'!$H$6:$H$1110,8,'MA Engine'!$I$6:$I$1110,"Unbilled")</f>
        <v>0</v>
      </c>
      <c r="AB69" s="13" t="n">
        <f aca="false">SUMIFS('MA Engine'!$AI$6:$AI$1110,'MA Engine'!$B$6:$B$1110,$A69,'MA Engine'!$H$6:$H$1110,8,'MA Engine'!$I$6:$I$1110,"DO",'MA Engine'!$P$6:$P$1110,"&lt;&gt;Y")+SUMIFS('MA Engine'!$AI$6:$AI$1110,'MA Engine'!$B$6:$B$1110,$A69,'MA Engine'!$H$6:$H$1110,8,'MA Engine'!$I$6:$I$1110,"Unbilled")</f>
        <v>0</v>
      </c>
      <c r="AC69" s="13" t="n">
        <f aca="false">SUMIFS('MA Engine'!$AJ$6:$AJ$1110,'MA Engine'!$B$6:$B$1110,$A69,'MA Engine'!$H$6:$H$1110,8,'MA Engine'!$I$6:$I$1110,"DO",'MA Engine'!$P$6:$P$1110,"&lt;&gt;Y")+SUMIFS('MA Engine'!$AJ$6:$AJ$1110,'MA Engine'!$B$6:$B$1110,$A69,'MA Engine'!$H$6:$H$1110,8,'MA Engine'!$I$6:$I$1110,"Unbilled")</f>
        <v>0</v>
      </c>
      <c r="AD69" s="7" t="n">
        <f aca="false">SUMIFS('MA Engine'!$L$6:$L$1110,'MA Engine'!$B$6:$B$1110,$A69,'MA Engine'!$H$6:$H$1110,7,'MA Engine'!$I$6:$I$1110,"&lt;&gt;Opening")</f>
        <v>0</v>
      </c>
      <c r="AE69" s="9" t="n">
        <f aca="false">IF(AND(U69&gt;0.0001,(L69-V69*IF(I69&gt;0,AD69/I69,IF(K69&gt;0,L69/K69,0)))&lt;0),IF(K69&gt;0,L69/K69,0),IF(I69&gt;0,AD69/I69,IF(K69&gt;0,L69/K69,0)))</f>
        <v>0</v>
      </c>
      <c r="AF69" s="9" t="n">
        <f aca="false">IF(U69&lt;=0.0001,IF(K69&gt;0,L69/K69,0),IF((L69-V69*IF(I69&gt;0,AD69/I69,IF(K69&gt;0,L69/K69,0)))&lt;0,IF(K69&gt;0,L69/K69,0),(L69-V69*IF(I69&gt;0,AD69/I69,IF(K69&gt;0,L69/K69,0)))/U69))</f>
        <v>0</v>
      </c>
      <c r="AG69" s="9" t="n">
        <f aca="false">IF(M69&gt;0,N69/M69,IF(K69&gt;0,L69/K69,0))</f>
        <v>30493.9117717004</v>
      </c>
      <c r="AH69" s="7" t="n">
        <f aca="false">SUMIFS('MA Engine'!$X$6:$X$1110,'MA Engine'!$B$6:$B$1110,$A69,'MA Engine'!$H$6:$H$1110,8,'MA Engine'!$I$6:$I$1110,"DO",'MA Engine'!$P$6:$P$1110,"&lt;&gt;Y")+SUMIFS('MA Engine'!$X$6:$X$1110,'MA Engine'!$B$6:$B$1110,$A69,'MA Engine'!$H$6:$H$1110,8,'MA Engine'!$I$6:$I$1110,"Unbilled")</f>
        <v>0</v>
      </c>
      <c r="AI69" s="7" t="n">
        <f aca="false">SUMIFS('MA Engine'!$AK$6:$AK$1110,'MA Engine'!$B$6:$B$1110,$A69,'MA Engine'!$H$6:$H$1110,8,'MA Engine'!$I$6:$I$1110,"DO",'MA Engine'!$P$6:$P$1110,"&lt;&gt;Y")+SUMIFS('MA Engine'!$AK$6:$AK$1110,'MA Engine'!$B$6:$B$1110,$A69,'MA Engine'!$H$6:$H$1110,8,'MA Engine'!$I$6:$I$1110,"Unbilled")</f>
        <v>0</v>
      </c>
      <c r="AJ69" s="7" t="n">
        <f aca="false">SUMIFS('MA Engine'!$AL$6:$AL$1110,'MA Engine'!$B$6:$B$1110,$A69,'MA Engine'!$H$6:$H$1110,8,'MA Engine'!$I$6:$I$1110,"DO",'MA Engine'!$P$6:$P$1110,"&lt;&gt;Y")+SUMIFS('MA Engine'!$AL$6:$AL$1110,'MA Engine'!$B$6:$B$1110,$A69,'MA Engine'!$H$6:$H$1110,8,'MA Engine'!$I$6:$I$1110,"Unbilled")</f>
        <v>0</v>
      </c>
      <c r="AK69" s="7" t="n">
        <f aca="false">SUMIFS('MA Engine'!$AM$6:$AM$1110,'MA Engine'!$B$6:$B$1110,$A69,'MA Engine'!$H$6:$H$1110,8,'MA Engine'!$I$6:$I$1110,"DO",'MA Engine'!$P$6:$P$1110,"&lt;&gt;Y")+SUMIFS('MA Engine'!$AM$6:$AM$1110,'MA Engine'!$B$6:$B$1110,$A69,'MA Engine'!$H$6:$H$1110,8,'MA Engine'!$I$6:$I$1110,"Unbilled")</f>
        <v>0</v>
      </c>
      <c r="AL69" s="9" t="n">
        <f aca="false">AH69-AI69-AJ69-AK69</f>
        <v>0</v>
      </c>
      <c r="AM69" s="7" t="n">
        <f aca="false">IF(Q69=0,0,IF($D69="Karkas",SUMIFS('Karkas Detail'!$E$6:$E$42,'Karkas Detail'!$A$6:$A$42,$C69,'Karkas Detail'!$B$6:$B$42,$F69,'Karkas Detail'!$C$6:$C$42,$E69)/SUMIFS($Q$36:$Q$127,$C$36:$C$127,$C69,$D$36:$D$127,"Karkas",$F$36:$F$127,$F69,$E$36:$E$127,$E69),SUMIFS('Data SKU'!$G$5:$G$116,'Data SKU'!$A$5:$A$116,$C69,'Data SKU'!$B$5:$B$116,$D69,'Data SKU'!$C$5:$C$116,$E69,'Data SKU'!$D$5:$D$116,8,'Data SKU'!$N$5:$N$116,"Invoiced")/SUMIFS($Q$36:$Q$127,$C$36:$C$127,$C69,$D$36:$D$127,$D69,$E$36:$E$127,$E69))*Q69)+SUMIFS(Unbilled!$U$22:$U$38,Unbilled!$E$22:$E$38,$A69)</f>
        <v>0</v>
      </c>
      <c r="AN69" s="9" t="n">
        <f aca="false">IF(P69=0,0,AM69*AA69/P69)</f>
        <v>0</v>
      </c>
      <c r="AO69" s="9" t="n">
        <f aca="false">IF(P69=0,0,AM69*AB69/P69)</f>
        <v>0</v>
      </c>
      <c r="AP69" s="9" t="n">
        <f aca="false">IF(P69=0,0,AM69*AC69/P69)</f>
        <v>0</v>
      </c>
      <c r="AQ69" s="14" t="n">
        <f aca="false">MIN(U69+V69,MAX(0,O69-M69))</f>
        <v>0</v>
      </c>
      <c r="AR69" s="14" t="n">
        <f aca="false">MAX(0,AQ69-V69)*Z69</f>
        <v>0</v>
      </c>
      <c r="AS69" s="14" t="n">
        <f aca="false">MIN(V69,AQ69)*Z69</f>
        <v>0</v>
      </c>
      <c r="AT69" s="14" t="n">
        <f aca="false">(O69-AQ69)*Z69</f>
        <v>0</v>
      </c>
      <c r="AU69" s="9" t="n">
        <f aca="false">(AR69+AS69+AT69)*BA69</f>
        <v>0</v>
      </c>
      <c r="AV69" s="9" t="n">
        <f aca="false">IF(P69=0,0,AM69*AR69/P69)</f>
        <v>0</v>
      </c>
      <c r="AW69" s="9" t="n">
        <f aca="false">IF(P69=0,0,AM69*AS69/P69)</f>
        <v>0</v>
      </c>
      <c r="AX69" s="9" t="n">
        <f aca="false">IF(P69=0,0,AM69*AT69/P69)</f>
        <v>0</v>
      </c>
      <c r="AY69" s="9" t="n">
        <f aca="false">AH69-AU69</f>
        <v>0</v>
      </c>
      <c r="AZ69" s="9" t="n">
        <f aca="false">IF(M69&gt;0,P69*AG69,0)</f>
        <v>0</v>
      </c>
      <c r="BA69" s="9" t="n">
        <f aca="false">IF(P69=0,0,AH69/P69)</f>
        <v>0</v>
      </c>
      <c r="BB69" s="74" t="s">
        <v>837</v>
      </c>
      <c r="BC69" s="13" t="n">
        <f aca="false">SUMIFS('MA Engine'!$W$6:$W$1110,'MA Engine'!$B$6:$B$1110,$A69,'MA Engine'!$H$6:$H$1110,7,'MA Engine'!$I$6:$I$1110,"DO")</f>
        <v>0</v>
      </c>
      <c r="BD69" s="14" t="n">
        <f aca="false">MIN(MAX(0,H69),J69)</f>
        <v>0</v>
      </c>
      <c r="BE69" s="14" t="n">
        <f aca="false">J69-BD69</f>
        <v>0</v>
      </c>
      <c r="BF69" s="21" t="n">
        <f aca="false">IF(J69=0,0,BC69/J69)</f>
        <v>0</v>
      </c>
      <c r="BG69" s="13" t="n">
        <f aca="false">SUMIFS('MA Engine'!$AH$6:$AH$1110,'MA Engine'!$B$6:$B$1110,$A69,'MA Engine'!$H$6:$H$1110,7,'MA Engine'!$I$6:$I$1110,"DO")</f>
        <v>0</v>
      </c>
      <c r="BH69" s="13" t="n">
        <f aca="false">SUMIFS('MA Engine'!$AI$6:$AI$1110,'MA Engine'!$B$6:$B$1110,$A69,'MA Engine'!$H$6:$H$1110,7,'MA Engine'!$I$6:$I$1110,"DO")+SUMIFS('MA Engine'!$AJ$6:$AJ$1110,'MA Engine'!$B$6:$B$1110,$A69,'MA Engine'!$H$6:$H$1110,7,'MA Engine'!$I$6:$I$1110,"DO")</f>
        <v>0</v>
      </c>
      <c r="BI69" s="7" t="n">
        <f aca="false">IF(H69&gt;0,SUMIFS('MA Engine'!$L$6:$L$1110,'MA Engine'!$B$6:$B$1110,$A69,'MA Engine'!$I$6:$I$1110,"Opening")/H69,0)</f>
        <v>0</v>
      </c>
      <c r="BJ69" s="9" t="n">
        <f aca="false">IF(I69&gt;0,AD69/I69,BI69)</f>
        <v>0</v>
      </c>
      <c r="BK69" s="7" t="n">
        <f aca="false">SUMIFS('MA Engine'!$X$6:$X$1110,'MA Engine'!$B$6:$B$1110,$A69,'MA Engine'!$H$6:$H$1110,7,'MA Engine'!$I$6:$I$1110,"DO")</f>
        <v>0</v>
      </c>
      <c r="BL69" s="7" t="n">
        <f aca="false">SUMIFS('MA Engine'!$AK$6:$AK$1110,'MA Engine'!$B$6:$B$1110,$A69,'MA Engine'!$H$6:$H$1110,7,'MA Engine'!$I$6:$I$1110,"DO")</f>
        <v>0</v>
      </c>
      <c r="BM69" s="7" t="n">
        <f aca="false">SUMIFS('MA Engine'!$AL$6:$AL$1110,'MA Engine'!$B$6:$B$1110,$A69,'MA Engine'!$H$6:$H$1110,7,'MA Engine'!$I$6:$I$1110,"DO")+SUMIFS('MA Engine'!$AM$6:$AM$1110,'MA Engine'!$B$6:$B$1110,$A69,'MA Engine'!$H$6:$H$1110,7,'MA Engine'!$I$6:$I$1110,"DO")</f>
        <v>0</v>
      </c>
      <c r="BN69" s="9" t="n">
        <f aca="false">BK69-BL69-BM69</f>
        <v>0</v>
      </c>
      <c r="BO69" s="7" t="n">
        <f aca="false">IF(BC69=0,0,SUMIFS('Data SKU'!$G$5:$G$116,'Data SKU'!$A$5:$A$116,$C69,'Data SKU'!$B$5:$B$116,$D69,'Data SKU'!$C$5:$C$116,$E69,'Data SKU'!$D$5:$D$116,7,'Data SKU'!$N$5:$N$116,"Invoiced")/SUMIFS($BC$36:$BC$127,$C$36:$C$127,$C69,$D$36:$D$127,$D69,$E$36:$E$127,$E69)*BC69)</f>
        <v>0</v>
      </c>
      <c r="BP69" s="9" t="n">
        <f aca="false">IF(BC69=0,0,BO69*BG69/BC69)</f>
        <v>0</v>
      </c>
      <c r="BQ69" s="9" t="n">
        <f aca="false">IF(BC69=0,0,BO69*BH69/BC69)</f>
        <v>0</v>
      </c>
    </row>
    <row r="70" customFormat="false" ht="15" hidden="false" customHeight="false" outlineLevel="0" collapsed="false">
      <c r="A70" s="74" t="s">
        <v>982</v>
      </c>
      <c r="B70" s="53" t="str">
        <f aca="false">INDEX(I_Items!$B$5:$B$133,MATCH($A70,I_Items!$A$5:$A$133,0))&amp;""</f>
        <v>Karkas Uk 1.1 Karkas Uk 1.1 Fresh Premium</v>
      </c>
      <c r="C70" s="53" t="str">
        <f aca="false">INDEX(I_Items!$C$5:$C$133,MATCH($A70,I_Items!$A$5:$A$133,0))&amp;""</f>
        <v>RPA</v>
      </c>
      <c r="D70" s="53" t="str">
        <f aca="false">INDEX(I_Items!$D$5:$D$133,MATCH($A70,I_Items!$A$5:$A$133,0))&amp;""</f>
        <v>Karkas</v>
      </c>
      <c r="E70" s="53" t="str">
        <f aca="false">INDEX(I_Items!$F$5:$F$133,MATCH($A70,I_Items!$A$5:$A$133,0))&amp;""</f>
        <v>Fresh</v>
      </c>
      <c r="F70" s="53" t="str">
        <f aca="false">INDEX(I_Items!$E$5:$E$133,MATCH($A70,I_Items!$A$5:$A$133,0))&amp;""</f>
        <v>Uk 1.1</v>
      </c>
      <c r="G70" s="6" t="str">
        <f aca="false">IF(P70=0,"-",IF(M70=0,"A",IF(K70&lt;=0,"C","B")))</f>
        <v>C</v>
      </c>
      <c r="H70" s="13" t="n">
        <f aca="false">SUMIFS('MA Engine'!$K$6:$K$1110,'MA Engine'!$B$6:$B$1110,$A70,'MA Engine'!$I$6:$I$1110,"Opening")</f>
        <v>86.3</v>
      </c>
      <c r="I70" s="13" t="n">
        <f aca="false">SUMIFS('MA Engine'!$K$6:$K$1110,'MA Engine'!$B$6:$B$1110,$A70,'MA Engine'!$H$6:$H$1110,7,'MA Engine'!$I$6:$I$1110,"&lt;&gt;Opening")</f>
        <v>0</v>
      </c>
      <c r="J70" s="13" t="n">
        <f aca="false">SUMIFS('MA Engine'!$W$6:$W$1110,'MA Engine'!$B$6:$B$1110,$A70,'MA Engine'!$H$6:$H$1110,7)</f>
        <v>86.3</v>
      </c>
      <c r="K70" s="14" t="n">
        <f aca="false">H70+I70-J70</f>
        <v>0</v>
      </c>
      <c r="L70" s="7" t="n">
        <f aca="false">SUMIFS('MA Engine'!$L$6:$L$1110,'MA Engine'!$B$6:$B$1110,$A70,'MA Engine'!$I$6:$I$1110,"Opening")+SUMIFS('MA Engine'!$L$6:$L$1110,'MA Engine'!$B$6:$B$1110,$A70,'MA Engine'!$H$6:$H$1110,7,'MA Engine'!$I$6:$I$1110,"&lt;&gt;Opening")-SUMIFS('MA Engine'!$X$6:$X$1110,'MA Engine'!$B$6:$B$1110,$A70,'MA Engine'!$H$6:$H$1110,7)</f>
        <v>0</v>
      </c>
      <c r="M70" s="13" t="n">
        <f aca="false">SUMIFS('MA Engine'!$K$6:$K$1110,'MA Engine'!$B$6:$B$1110,$A70,'MA Engine'!$H$6:$H$1110,8)</f>
        <v>3060.8</v>
      </c>
      <c r="N70" s="7" t="n">
        <f aca="false">SUMIFS('MA Engine'!$L$6:$L$1110,'MA Engine'!$B$6:$B$1110,$A70,'MA Engine'!$H$6:$H$1110,8)</f>
        <v>112780726.36</v>
      </c>
      <c r="O70" s="13" t="n">
        <f aca="false">SUMIFS('MA Engine'!$W$6:$W$1110,'MA Engine'!$B$6:$B$1110,$A70,'MA Engine'!$H$6:$H$1110,8)</f>
        <v>2643.61</v>
      </c>
      <c r="P70" s="14" t="n">
        <f aca="false">Q70+R70</f>
        <v>1533.54</v>
      </c>
      <c r="Q70" s="13" t="n">
        <f aca="false">SUMIFS('MA Engine'!$W$6:$W$1110,'MA Engine'!$B$6:$B$1110,$A70,'MA Engine'!$H$6:$H$1110,8,'MA Engine'!$I$6:$I$1110,"DO",'MA Engine'!$P$6:$P$1110,"&lt;&gt;Y")</f>
        <v>1533.54</v>
      </c>
      <c r="R70" s="13" t="n">
        <f aca="false">SUMIFS('MA Engine'!$W$6:$W$1110,'MA Engine'!$B$6:$B$1110,$A70,'MA Engine'!$H$6:$H$1110,8,'MA Engine'!$I$6:$I$1110,"Unbilled")</f>
        <v>0</v>
      </c>
      <c r="S70" s="13" t="n">
        <f aca="false">SUMIFS('MA Engine'!$W$6:$W$1110,'MA Engine'!$B$6:$B$1110,$A70,'MA Engine'!$H$6:$H$1110,8,'MA Engine'!$P$6:$P$1110,"Y")</f>
        <v>1110.07</v>
      </c>
      <c r="T70" s="14" t="n">
        <f aca="false">O70-P70-S70</f>
        <v>0</v>
      </c>
      <c r="U70" s="14" t="n">
        <f aca="false">MAX(0,H70-J70)</f>
        <v>0</v>
      </c>
      <c r="V70" s="14" t="n">
        <f aca="false">MAX(0,K70-U70)</f>
        <v>0</v>
      </c>
      <c r="W70" s="14" t="n">
        <f aca="false">MIN(U70,O70)</f>
        <v>0</v>
      </c>
      <c r="X70" s="14" t="n">
        <f aca="false">MIN(V70,O70-W70)</f>
        <v>0</v>
      </c>
      <c r="Y70" s="14" t="n">
        <f aca="false">O70-W70-X70</f>
        <v>2643.61</v>
      </c>
      <c r="Z70" s="21" t="n">
        <f aca="false">IF(O70=0,0,P70/O70)</f>
        <v>0.580093130227227</v>
      </c>
      <c r="AA70" s="13" t="n">
        <f aca="false">SUMIFS('MA Engine'!$AH$6:$AH$1110,'MA Engine'!$B$6:$B$1110,$A70,'MA Engine'!$H$6:$H$1110,8,'MA Engine'!$I$6:$I$1110,"DO",'MA Engine'!$P$6:$P$1110,"&lt;&gt;Y")+SUMIFS('MA Engine'!$AH$6:$AH$1110,'MA Engine'!$B$6:$B$1110,$A70,'MA Engine'!$H$6:$H$1110,8,'MA Engine'!$I$6:$I$1110,"Unbilled")</f>
        <v>0</v>
      </c>
      <c r="AB70" s="13" t="n">
        <f aca="false">SUMIFS('MA Engine'!$AI$6:$AI$1110,'MA Engine'!$B$6:$B$1110,$A70,'MA Engine'!$H$6:$H$1110,8,'MA Engine'!$I$6:$I$1110,"DO",'MA Engine'!$P$6:$P$1110,"&lt;&gt;Y")+SUMIFS('MA Engine'!$AI$6:$AI$1110,'MA Engine'!$B$6:$B$1110,$A70,'MA Engine'!$H$6:$H$1110,8,'MA Engine'!$I$6:$I$1110,"Unbilled")</f>
        <v>0</v>
      </c>
      <c r="AC70" s="13" t="n">
        <f aca="false">SUMIFS('MA Engine'!$AJ$6:$AJ$1110,'MA Engine'!$B$6:$B$1110,$A70,'MA Engine'!$H$6:$H$1110,8,'MA Engine'!$I$6:$I$1110,"DO",'MA Engine'!$P$6:$P$1110,"&lt;&gt;Y")+SUMIFS('MA Engine'!$AJ$6:$AJ$1110,'MA Engine'!$B$6:$B$1110,$A70,'MA Engine'!$H$6:$H$1110,8,'MA Engine'!$I$6:$I$1110,"Unbilled")</f>
        <v>1533.54</v>
      </c>
      <c r="AD70" s="7" t="n">
        <f aca="false">SUMIFS('MA Engine'!$L$6:$L$1110,'MA Engine'!$B$6:$B$1110,$A70,'MA Engine'!$H$6:$H$1110,7,'MA Engine'!$I$6:$I$1110,"&lt;&gt;Opening")</f>
        <v>0</v>
      </c>
      <c r="AE70" s="9" t="n">
        <f aca="false">IF(AND(U70&gt;0.0001,(L70-V70*IF(I70&gt;0,AD70/I70,IF(K70&gt;0,L70/K70,0)))&lt;0),IF(K70&gt;0,L70/K70,0),IF(I70&gt;0,AD70/I70,IF(K70&gt;0,L70/K70,0)))</f>
        <v>0</v>
      </c>
      <c r="AF70" s="9" t="n">
        <f aca="false">IF(U70&lt;=0.0001,IF(K70&gt;0,L70/K70,0),IF((L70-V70*IF(I70&gt;0,AD70/I70,IF(K70&gt;0,L70/K70,0)))&lt;0,IF(K70&gt;0,L70/K70,0),(L70-V70*IF(I70&gt;0,AD70/I70,IF(K70&gt;0,L70/K70,0)))/U70))</f>
        <v>0</v>
      </c>
      <c r="AG70" s="9" t="n">
        <f aca="false">IF(M70&gt;0,N70/M70,IF(K70&gt;0,L70/K70,0))</f>
        <v>36846.8133690538</v>
      </c>
      <c r="AH70" s="7" t="n">
        <f aca="false">SUMIFS('MA Engine'!$X$6:$X$1110,'MA Engine'!$B$6:$B$1110,$A70,'MA Engine'!$H$6:$H$1110,8,'MA Engine'!$I$6:$I$1110,"DO",'MA Engine'!$P$6:$P$1110,"&lt;&gt;Y")+SUMIFS('MA Engine'!$X$6:$X$1110,'MA Engine'!$B$6:$B$1110,$A70,'MA Engine'!$H$6:$H$1110,8,'MA Engine'!$I$6:$I$1110,"Unbilled")</f>
        <v>56506062.1739788</v>
      </c>
      <c r="AI70" s="7" t="n">
        <f aca="false">SUMIFS('MA Engine'!$AK$6:$AK$1110,'MA Engine'!$B$6:$B$1110,$A70,'MA Engine'!$H$6:$H$1110,8,'MA Engine'!$I$6:$I$1110,"DO",'MA Engine'!$P$6:$P$1110,"&lt;&gt;Y")+SUMIFS('MA Engine'!$AK$6:$AK$1110,'MA Engine'!$B$6:$B$1110,$A70,'MA Engine'!$H$6:$H$1110,8,'MA Engine'!$I$6:$I$1110,"Unbilled")</f>
        <v>0</v>
      </c>
      <c r="AJ70" s="7" t="n">
        <f aca="false">SUMIFS('MA Engine'!$AL$6:$AL$1110,'MA Engine'!$B$6:$B$1110,$A70,'MA Engine'!$H$6:$H$1110,8,'MA Engine'!$I$6:$I$1110,"DO",'MA Engine'!$P$6:$P$1110,"&lt;&gt;Y")+SUMIFS('MA Engine'!$AL$6:$AL$1110,'MA Engine'!$B$6:$B$1110,$A70,'MA Engine'!$H$6:$H$1110,8,'MA Engine'!$I$6:$I$1110,"Unbilled")</f>
        <v>0</v>
      </c>
      <c r="AK70" s="7" t="n">
        <f aca="false">SUMIFS('MA Engine'!$AM$6:$AM$1110,'MA Engine'!$B$6:$B$1110,$A70,'MA Engine'!$H$6:$H$1110,8,'MA Engine'!$I$6:$I$1110,"DO",'MA Engine'!$P$6:$P$1110,"&lt;&gt;Y")+SUMIFS('MA Engine'!$AM$6:$AM$1110,'MA Engine'!$B$6:$B$1110,$A70,'MA Engine'!$H$6:$H$1110,8,'MA Engine'!$I$6:$I$1110,"Unbilled")</f>
        <v>56506062.1739788</v>
      </c>
      <c r="AL70" s="9" t="n">
        <f aca="false">AH70-AI70-AJ70-AK70</f>
        <v>0</v>
      </c>
      <c r="AM70" s="7" t="n">
        <f aca="false">IF(Q70=0,0,IF($D70="Karkas",SUMIFS('Karkas Detail'!$E$6:$E$42,'Karkas Detail'!$A$6:$A$42,$C70,'Karkas Detail'!$B$6:$B$42,$F70,'Karkas Detail'!$C$6:$C$42,$E70)/SUMIFS($Q$36:$Q$127,$C$36:$C$127,$C70,$D$36:$D$127,"Karkas",$F$36:$F$127,$F70,$E$36:$E$127,$E70),SUMIFS('Data SKU'!$G$5:$G$116,'Data SKU'!$A$5:$A$116,$C70,'Data SKU'!$B$5:$B$116,$D70,'Data SKU'!$C$5:$C$116,$E70,'Data SKU'!$D$5:$D$116,8,'Data SKU'!$N$5:$N$116,"Invoiced")/SUMIFS($Q$36:$Q$127,$C$36:$C$127,$C70,$D$36:$D$127,$D70,$E$36:$E$127,$E70))*Q70)+SUMIFS(Unbilled!$U$22:$U$38,Unbilled!$E$22:$E$38,$A70)</f>
        <v>52003670</v>
      </c>
      <c r="AN70" s="9" t="n">
        <f aca="false">IF(P70=0,0,AM70*AA70/P70)</f>
        <v>0</v>
      </c>
      <c r="AO70" s="9" t="n">
        <f aca="false">IF(P70=0,0,AM70*AB70/P70)</f>
        <v>0</v>
      </c>
      <c r="AP70" s="9" t="n">
        <f aca="false">IF(P70=0,0,AM70*AC70/P70)</f>
        <v>52003670</v>
      </c>
      <c r="AQ70" s="14" t="n">
        <f aca="false">MIN(U70+V70,MAX(0,O70-M70))</f>
        <v>0</v>
      </c>
      <c r="AR70" s="14" t="n">
        <f aca="false">MAX(0,AQ70-V70)*Z70</f>
        <v>0</v>
      </c>
      <c r="AS70" s="14" t="n">
        <f aca="false">MIN(V70,AQ70)*Z70</f>
        <v>0</v>
      </c>
      <c r="AT70" s="14" t="n">
        <f aca="false">(O70-AQ70)*Z70</f>
        <v>1533.54</v>
      </c>
      <c r="AU70" s="9" t="n">
        <f aca="false">(AR70+AS70+AT70)*BA70</f>
        <v>56506062.1739788</v>
      </c>
      <c r="AV70" s="9" t="n">
        <f aca="false">IF(P70=0,0,AM70*AR70/P70)</f>
        <v>0</v>
      </c>
      <c r="AW70" s="9" t="n">
        <f aca="false">IF(P70=0,0,AM70*AS70/P70)</f>
        <v>0</v>
      </c>
      <c r="AX70" s="9" t="n">
        <f aca="false">IF(P70=0,0,AM70*AT70/P70)</f>
        <v>52003670</v>
      </c>
      <c r="AY70" s="9" t="n">
        <f aca="false">AH70-AU70</f>
        <v>0</v>
      </c>
      <c r="AZ70" s="9" t="n">
        <f aca="false">IF(M70&gt;0,P70*AG70,0)</f>
        <v>56506062.1739788</v>
      </c>
      <c r="BA70" s="9" t="n">
        <f aca="false">IF(P70=0,0,AH70/P70)</f>
        <v>36846.8133690538</v>
      </c>
      <c r="BB70" s="74" t="s">
        <v>837</v>
      </c>
      <c r="BC70" s="13" t="n">
        <f aca="false">SUMIFS('MA Engine'!$W$6:$W$1110,'MA Engine'!$B$6:$B$1110,$A70,'MA Engine'!$H$6:$H$1110,7,'MA Engine'!$I$6:$I$1110,"DO")</f>
        <v>86.3</v>
      </c>
      <c r="BD70" s="14" t="n">
        <f aca="false">MIN(MAX(0,H70),J70)</f>
        <v>86.3</v>
      </c>
      <c r="BE70" s="14" t="n">
        <f aca="false">J70-BD70</f>
        <v>0</v>
      </c>
      <c r="BF70" s="21" t="n">
        <f aca="false">IF(J70=0,0,BC70/J70)</f>
        <v>1</v>
      </c>
      <c r="BG70" s="13" t="n">
        <f aca="false">SUMIFS('MA Engine'!$AH$6:$AH$1110,'MA Engine'!$B$6:$B$1110,$A70,'MA Engine'!$H$6:$H$1110,7,'MA Engine'!$I$6:$I$1110,"DO")</f>
        <v>86.3</v>
      </c>
      <c r="BH70" s="13" t="n">
        <f aca="false">SUMIFS('MA Engine'!$AI$6:$AI$1110,'MA Engine'!$B$6:$B$1110,$A70,'MA Engine'!$H$6:$H$1110,7,'MA Engine'!$I$6:$I$1110,"DO")+SUMIFS('MA Engine'!$AJ$6:$AJ$1110,'MA Engine'!$B$6:$B$1110,$A70,'MA Engine'!$H$6:$H$1110,7,'MA Engine'!$I$6:$I$1110,"DO")</f>
        <v>0</v>
      </c>
      <c r="BI70" s="7" t="n">
        <f aca="false">IF(H70&gt;0,SUMIFS('MA Engine'!$L$6:$L$1110,'MA Engine'!$B$6:$B$1110,$A70,'MA Engine'!$I$6:$I$1110,"Opening")/H70,0)</f>
        <v>25845.5799536501</v>
      </c>
      <c r="BJ70" s="9" t="n">
        <f aca="false">IF(I70&gt;0,AD70/I70,BI70)</f>
        <v>25845.5799536501</v>
      </c>
      <c r="BK70" s="7" t="n">
        <f aca="false">SUMIFS('MA Engine'!$X$6:$X$1110,'MA Engine'!$B$6:$B$1110,$A70,'MA Engine'!$H$6:$H$1110,7,'MA Engine'!$I$6:$I$1110,"DO")</f>
        <v>2230473.55</v>
      </c>
      <c r="BL70" s="7" t="n">
        <f aca="false">SUMIFS('MA Engine'!$AK$6:$AK$1110,'MA Engine'!$B$6:$B$1110,$A70,'MA Engine'!$H$6:$H$1110,7,'MA Engine'!$I$6:$I$1110,"DO")</f>
        <v>2230473.55</v>
      </c>
      <c r="BM70" s="7" t="n">
        <f aca="false">SUMIFS('MA Engine'!$AL$6:$AL$1110,'MA Engine'!$B$6:$B$1110,$A70,'MA Engine'!$H$6:$H$1110,7,'MA Engine'!$I$6:$I$1110,"DO")+SUMIFS('MA Engine'!$AM$6:$AM$1110,'MA Engine'!$B$6:$B$1110,$A70,'MA Engine'!$H$6:$H$1110,7,'MA Engine'!$I$6:$I$1110,"DO")</f>
        <v>0</v>
      </c>
      <c r="BN70" s="9" t="n">
        <f aca="false">BK70-BL70-BM70</f>
        <v>0</v>
      </c>
      <c r="BO70" s="7" t="n">
        <f aca="false">IF(BC70=0,0,SUMIFS('Data SKU'!$G$5:$G$116,'Data SKU'!$A$5:$A$116,$C70,'Data SKU'!$B$5:$B$116,$D70,'Data SKU'!$C$5:$C$116,$E70,'Data SKU'!$D$5:$D$116,7,'Data SKU'!$N$5:$N$116,"Invoiced")/SUMIFS($BC$36:$BC$127,$C$36:$C$127,$C70,$D$36:$D$127,$D70,$E$36:$E$127,$E70)*BC70)</f>
        <v>2502700</v>
      </c>
      <c r="BP70" s="9" t="n">
        <f aca="false">IF(BC70=0,0,BO70*BG70/BC70)</f>
        <v>2502700</v>
      </c>
      <c r="BQ70" s="9" t="n">
        <f aca="false">IF(BC70=0,0,BO70*BH70/BC70)</f>
        <v>0</v>
      </c>
    </row>
    <row r="71" customFormat="false" ht="15" hidden="false" customHeight="false" outlineLevel="0" collapsed="false">
      <c r="A71" s="74" t="s">
        <v>983</v>
      </c>
      <c r="B71" s="53" t="str">
        <f aca="false">INDEX(I_Items!$B$5:$B$133,MATCH($A71,I_Items!$A$5:$A$133,0))&amp;""</f>
        <v>Karkas Uk 1.1 Karkas Uk 1.1 Frozen Grade A</v>
      </c>
      <c r="C71" s="53" t="str">
        <f aca="false">INDEX(I_Items!$C$5:$C$133,MATCH($A71,I_Items!$A$5:$A$133,0))&amp;""</f>
        <v>RPA</v>
      </c>
      <c r="D71" s="53" t="str">
        <f aca="false">INDEX(I_Items!$D$5:$D$133,MATCH($A71,I_Items!$A$5:$A$133,0))&amp;""</f>
        <v>Karkas</v>
      </c>
      <c r="E71" s="53" t="str">
        <f aca="false">INDEX(I_Items!$F$5:$F$133,MATCH($A71,I_Items!$A$5:$A$133,0))&amp;""</f>
        <v>Frozen</v>
      </c>
      <c r="F71" s="53" t="str">
        <f aca="false">INDEX(I_Items!$E$5:$E$133,MATCH($A71,I_Items!$A$5:$A$133,0))&amp;""</f>
        <v>Uk 1.1</v>
      </c>
      <c r="G71" s="6" t="str">
        <f aca="false">IF(P71=0,"-",IF(M71=0,"A",IF(K71&lt;=0,"C","B")))</f>
        <v>C</v>
      </c>
      <c r="H71" s="13" t="n">
        <f aca="false">SUMIFS('MA Engine'!$K$6:$K$1110,'MA Engine'!$B$6:$B$1110,$A71,'MA Engine'!$I$6:$I$1110,"Opening")</f>
        <v>92.3</v>
      </c>
      <c r="I71" s="13" t="n">
        <f aca="false">SUMIFS('MA Engine'!$K$6:$K$1110,'MA Engine'!$B$6:$B$1110,$A71,'MA Engine'!$H$6:$H$1110,7,'MA Engine'!$I$6:$I$1110,"&lt;&gt;Opening")</f>
        <v>0</v>
      </c>
      <c r="J71" s="13" t="n">
        <f aca="false">SUMIFS('MA Engine'!$W$6:$W$1110,'MA Engine'!$B$6:$B$1110,$A71,'MA Engine'!$H$6:$H$1110,7)</f>
        <v>92.3</v>
      </c>
      <c r="K71" s="14" t="n">
        <f aca="false">H71+I71-J71</f>
        <v>0</v>
      </c>
      <c r="L71" s="7" t="n">
        <f aca="false">SUMIFS('MA Engine'!$L$6:$L$1110,'MA Engine'!$B$6:$B$1110,$A71,'MA Engine'!$I$6:$I$1110,"Opening")+SUMIFS('MA Engine'!$L$6:$L$1110,'MA Engine'!$B$6:$B$1110,$A71,'MA Engine'!$H$6:$H$1110,7,'MA Engine'!$I$6:$I$1110,"&lt;&gt;Opening")-SUMIFS('MA Engine'!$X$6:$X$1110,'MA Engine'!$B$6:$B$1110,$A71,'MA Engine'!$H$6:$H$1110,7)</f>
        <v>0</v>
      </c>
      <c r="M71" s="13" t="n">
        <f aca="false">SUMIFS('MA Engine'!$K$6:$K$1110,'MA Engine'!$B$6:$B$1110,$A71,'MA Engine'!$H$6:$H$1110,8)</f>
        <v>1149</v>
      </c>
      <c r="N71" s="7" t="n">
        <f aca="false">SUMIFS('MA Engine'!$L$6:$L$1110,'MA Engine'!$B$6:$B$1110,$A71,'MA Engine'!$H$6:$H$1110,8)</f>
        <v>39052413.99</v>
      </c>
      <c r="O71" s="13" t="n">
        <f aca="false">SUMIFS('MA Engine'!$W$6:$W$1110,'MA Engine'!$B$6:$B$1110,$A71,'MA Engine'!$H$6:$H$1110,8)</f>
        <v>33.4</v>
      </c>
      <c r="P71" s="14" t="n">
        <f aca="false">Q71+R71</f>
        <v>33.4</v>
      </c>
      <c r="Q71" s="13" t="n">
        <f aca="false">SUMIFS('MA Engine'!$W$6:$W$1110,'MA Engine'!$B$6:$B$1110,$A71,'MA Engine'!$H$6:$H$1110,8,'MA Engine'!$I$6:$I$1110,"DO",'MA Engine'!$P$6:$P$1110,"&lt;&gt;Y")</f>
        <v>33.4</v>
      </c>
      <c r="R71" s="13" t="n">
        <f aca="false">SUMIFS('MA Engine'!$W$6:$W$1110,'MA Engine'!$B$6:$B$1110,$A71,'MA Engine'!$H$6:$H$1110,8,'MA Engine'!$I$6:$I$1110,"Unbilled")</f>
        <v>0</v>
      </c>
      <c r="S71" s="13" t="n">
        <f aca="false">SUMIFS('MA Engine'!$W$6:$W$1110,'MA Engine'!$B$6:$B$1110,$A71,'MA Engine'!$H$6:$H$1110,8,'MA Engine'!$P$6:$P$1110,"Y")</f>
        <v>0</v>
      </c>
      <c r="T71" s="14" t="n">
        <f aca="false">O71-P71-S71</f>
        <v>0</v>
      </c>
      <c r="U71" s="14" t="n">
        <f aca="false">MAX(0,H71-J71)</f>
        <v>0</v>
      </c>
      <c r="V71" s="14" t="n">
        <f aca="false">MAX(0,K71-U71)</f>
        <v>0</v>
      </c>
      <c r="W71" s="14" t="n">
        <f aca="false">MIN(U71,O71)</f>
        <v>0</v>
      </c>
      <c r="X71" s="14" t="n">
        <f aca="false">MIN(V71,O71-W71)</f>
        <v>0</v>
      </c>
      <c r="Y71" s="14" t="n">
        <f aca="false">O71-W71-X71</f>
        <v>33.4</v>
      </c>
      <c r="Z71" s="21" t="n">
        <f aca="false">IF(O71=0,0,P71/O71)</f>
        <v>1</v>
      </c>
      <c r="AA71" s="13" t="n">
        <f aca="false">SUMIFS('MA Engine'!$AH$6:$AH$1110,'MA Engine'!$B$6:$B$1110,$A71,'MA Engine'!$H$6:$H$1110,8,'MA Engine'!$I$6:$I$1110,"DO",'MA Engine'!$P$6:$P$1110,"&lt;&gt;Y")+SUMIFS('MA Engine'!$AH$6:$AH$1110,'MA Engine'!$B$6:$B$1110,$A71,'MA Engine'!$H$6:$H$1110,8,'MA Engine'!$I$6:$I$1110,"Unbilled")</f>
        <v>0</v>
      </c>
      <c r="AB71" s="13" t="n">
        <f aca="false">SUMIFS('MA Engine'!$AI$6:$AI$1110,'MA Engine'!$B$6:$B$1110,$A71,'MA Engine'!$H$6:$H$1110,8,'MA Engine'!$I$6:$I$1110,"DO",'MA Engine'!$P$6:$P$1110,"&lt;&gt;Y")+SUMIFS('MA Engine'!$AI$6:$AI$1110,'MA Engine'!$B$6:$B$1110,$A71,'MA Engine'!$H$6:$H$1110,8,'MA Engine'!$I$6:$I$1110,"Unbilled")</f>
        <v>0</v>
      </c>
      <c r="AC71" s="13" t="n">
        <f aca="false">SUMIFS('MA Engine'!$AJ$6:$AJ$1110,'MA Engine'!$B$6:$B$1110,$A71,'MA Engine'!$H$6:$H$1110,8,'MA Engine'!$I$6:$I$1110,"DO",'MA Engine'!$P$6:$P$1110,"&lt;&gt;Y")+SUMIFS('MA Engine'!$AJ$6:$AJ$1110,'MA Engine'!$B$6:$B$1110,$A71,'MA Engine'!$H$6:$H$1110,8,'MA Engine'!$I$6:$I$1110,"Unbilled")</f>
        <v>33.4</v>
      </c>
      <c r="AD71" s="7" t="n">
        <f aca="false">SUMIFS('MA Engine'!$L$6:$L$1110,'MA Engine'!$B$6:$B$1110,$A71,'MA Engine'!$H$6:$H$1110,7,'MA Engine'!$I$6:$I$1110,"&lt;&gt;Opening")</f>
        <v>0</v>
      </c>
      <c r="AE71" s="9" t="n">
        <f aca="false">IF(AND(U71&gt;0.0001,(L71-V71*IF(I71&gt;0,AD71/I71,IF(K71&gt;0,L71/K71,0)))&lt;0),IF(K71&gt;0,L71/K71,0),IF(I71&gt;0,AD71/I71,IF(K71&gt;0,L71/K71,0)))</f>
        <v>0</v>
      </c>
      <c r="AF71" s="9" t="n">
        <f aca="false">IF(U71&lt;=0.0001,IF(K71&gt;0,L71/K71,0),IF((L71-V71*IF(I71&gt;0,AD71/I71,IF(K71&gt;0,L71/K71,0)))&lt;0,IF(K71&gt;0,L71/K71,0),(L71-V71*IF(I71&gt;0,AD71/I71,IF(K71&gt;0,L71/K71,0)))/U71))</f>
        <v>0</v>
      </c>
      <c r="AG71" s="9" t="n">
        <f aca="false">IF(M71&gt;0,N71/M71,IF(K71&gt;0,L71/K71,0))</f>
        <v>33988.1757963447</v>
      </c>
      <c r="AH71" s="7" t="n">
        <f aca="false">SUMIFS('MA Engine'!$X$6:$X$1110,'MA Engine'!$B$6:$B$1110,$A71,'MA Engine'!$H$6:$H$1110,8,'MA Engine'!$I$6:$I$1110,"DO",'MA Engine'!$P$6:$P$1110,"&lt;&gt;Y")+SUMIFS('MA Engine'!$X$6:$X$1110,'MA Engine'!$B$6:$B$1110,$A71,'MA Engine'!$H$6:$H$1110,8,'MA Engine'!$I$6:$I$1110,"Unbilled")</f>
        <v>1135205.07159791</v>
      </c>
      <c r="AI71" s="7" t="n">
        <f aca="false">SUMIFS('MA Engine'!$AK$6:$AK$1110,'MA Engine'!$B$6:$B$1110,$A71,'MA Engine'!$H$6:$H$1110,8,'MA Engine'!$I$6:$I$1110,"DO",'MA Engine'!$P$6:$P$1110,"&lt;&gt;Y")+SUMIFS('MA Engine'!$AK$6:$AK$1110,'MA Engine'!$B$6:$B$1110,$A71,'MA Engine'!$H$6:$H$1110,8,'MA Engine'!$I$6:$I$1110,"Unbilled")</f>
        <v>0</v>
      </c>
      <c r="AJ71" s="7" t="n">
        <f aca="false">SUMIFS('MA Engine'!$AL$6:$AL$1110,'MA Engine'!$B$6:$B$1110,$A71,'MA Engine'!$H$6:$H$1110,8,'MA Engine'!$I$6:$I$1110,"DO",'MA Engine'!$P$6:$P$1110,"&lt;&gt;Y")+SUMIFS('MA Engine'!$AL$6:$AL$1110,'MA Engine'!$B$6:$B$1110,$A71,'MA Engine'!$H$6:$H$1110,8,'MA Engine'!$I$6:$I$1110,"Unbilled")</f>
        <v>0</v>
      </c>
      <c r="AK71" s="7" t="n">
        <f aca="false">SUMIFS('MA Engine'!$AM$6:$AM$1110,'MA Engine'!$B$6:$B$1110,$A71,'MA Engine'!$H$6:$H$1110,8,'MA Engine'!$I$6:$I$1110,"DO",'MA Engine'!$P$6:$P$1110,"&lt;&gt;Y")+SUMIFS('MA Engine'!$AM$6:$AM$1110,'MA Engine'!$B$6:$B$1110,$A71,'MA Engine'!$H$6:$H$1110,8,'MA Engine'!$I$6:$I$1110,"Unbilled")</f>
        <v>1135205.07159791</v>
      </c>
      <c r="AL71" s="9" t="n">
        <f aca="false">AH71-AI71-AJ71-AK71</f>
        <v>0</v>
      </c>
      <c r="AM71" s="7" t="n">
        <f aca="false">IF(Q71=0,0,IF($D71="Karkas",SUMIFS('Karkas Detail'!$E$6:$E$42,'Karkas Detail'!$A$6:$A$42,$C71,'Karkas Detail'!$B$6:$B$42,$F71,'Karkas Detail'!$C$6:$C$42,$E71)/SUMIFS($Q$36:$Q$127,$C$36:$C$127,$C71,$D$36:$D$127,"Karkas",$F$36:$F$127,$F71,$E$36:$E$127,$E71),SUMIFS('Data SKU'!$G$5:$G$116,'Data SKU'!$A$5:$A$116,$C71,'Data SKU'!$B$5:$B$116,$D71,'Data SKU'!$C$5:$C$116,$E71,'Data SKU'!$D$5:$D$116,8,'Data SKU'!$N$5:$N$116,"Invoiced")/SUMIFS($Q$36:$Q$127,$C$36:$C$127,$C71,$D$36:$D$127,$D71,$E$36:$E$127,$E71))*Q71)+SUMIFS(Unbilled!$U$22:$U$38,Unbilled!$E$22:$E$38,$A71)</f>
        <v>1135012.48443337</v>
      </c>
      <c r="AN71" s="9" t="n">
        <f aca="false">IF(P71=0,0,AM71*AA71/P71)</f>
        <v>0</v>
      </c>
      <c r="AO71" s="9" t="n">
        <f aca="false">IF(P71=0,0,AM71*AB71/P71)</f>
        <v>0</v>
      </c>
      <c r="AP71" s="9" t="n">
        <f aca="false">IF(P71=0,0,AM71*AC71/P71)</f>
        <v>1135012.48443337</v>
      </c>
      <c r="AQ71" s="14" t="n">
        <f aca="false">MIN(U71+V71,MAX(0,O71-M71))</f>
        <v>0</v>
      </c>
      <c r="AR71" s="14" t="n">
        <f aca="false">MAX(0,AQ71-V71)*Z71</f>
        <v>0</v>
      </c>
      <c r="AS71" s="14" t="n">
        <f aca="false">MIN(V71,AQ71)*Z71</f>
        <v>0</v>
      </c>
      <c r="AT71" s="14" t="n">
        <f aca="false">(O71-AQ71)*Z71</f>
        <v>33.4</v>
      </c>
      <c r="AU71" s="9" t="n">
        <f aca="false">(AR71+AS71+AT71)*BA71</f>
        <v>1135205.07159791</v>
      </c>
      <c r="AV71" s="9" t="n">
        <f aca="false">IF(P71=0,0,AM71*AR71/P71)</f>
        <v>0</v>
      </c>
      <c r="AW71" s="9" t="n">
        <f aca="false">IF(P71=0,0,AM71*AS71/P71)</f>
        <v>0</v>
      </c>
      <c r="AX71" s="9" t="n">
        <f aca="false">IF(P71=0,0,AM71*AT71/P71)</f>
        <v>1135012.48443337</v>
      </c>
      <c r="AY71" s="9" t="n">
        <f aca="false">AH71-AU71</f>
        <v>0</v>
      </c>
      <c r="AZ71" s="9" t="n">
        <f aca="false">IF(M71&gt;0,P71*AG71,0)</f>
        <v>1135205.07159791</v>
      </c>
      <c r="BA71" s="9" t="n">
        <f aca="false">IF(P71=0,0,AH71/P71)</f>
        <v>33988.1757963447</v>
      </c>
      <c r="BB71" s="74" t="s">
        <v>838</v>
      </c>
      <c r="BC71" s="13" t="n">
        <f aca="false">SUMIFS('MA Engine'!$W$6:$W$1110,'MA Engine'!$B$6:$B$1110,$A71,'MA Engine'!$H$6:$H$1110,7,'MA Engine'!$I$6:$I$1110,"DO")</f>
        <v>89</v>
      </c>
      <c r="BD71" s="14" t="n">
        <f aca="false">MIN(MAX(0,H71),J71)</f>
        <v>92.3</v>
      </c>
      <c r="BE71" s="14" t="n">
        <f aca="false">J71-BD71</f>
        <v>0</v>
      </c>
      <c r="BF71" s="21" t="n">
        <f aca="false">IF(J71=0,0,BC71/J71)</f>
        <v>0.964247020585049</v>
      </c>
      <c r="BG71" s="13" t="n">
        <f aca="false">SUMIFS('MA Engine'!$AH$6:$AH$1110,'MA Engine'!$B$6:$B$1110,$A71,'MA Engine'!$H$6:$H$1110,7,'MA Engine'!$I$6:$I$1110,"DO")</f>
        <v>89</v>
      </c>
      <c r="BH71" s="13" t="n">
        <f aca="false">SUMIFS('MA Engine'!$AI$6:$AI$1110,'MA Engine'!$B$6:$B$1110,$A71,'MA Engine'!$H$6:$H$1110,7,'MA Engine'!$I$6:$I$1110,"DO")+SUMIFS('MA Engine'!$AJ$6:$AJ$1110,'MA Engine'!$B$6:$B$1110,$A71,'MA Engine'!$H$6:$H$1110,7,'MA Engine'!$I$6:$I$1110,"DO")</f>
        <v>0</v>
      </c>
      <c r="BI71" s="7" t="n">
        <f aca="false">IF(H71&gt;0,SUMIFS('MA Engine'!$L$6:$L$1110,'MA Engine'!$B$6:$B$1110,$A71,'MA Engine'!$I$6:$I$1110,"Opening")/H71,0)</f>
        <v>23914.8769230769</v>
      </c>
      <c r="BJ71" s="9" t="n">
        <f aca="false">IF(I71&gt;0,AD71/I71,BI71)</f>
        <v>23914.8769230769</v>
      </c>
      <c r="BK71" s="7" t="n">
        <f aca="false">SUMIFS('MA Engine'!$X$6:$X$1110,'MA Engine'!$B$6:$B$1110,$A71,'MA Engine'!$H$6:$H$1110,7,'MA Engine'!$I$6:$I$1110,"DO")</f>
        <v>2121886.9</v>
      </c>
      <c r="BL71" s="7" t="n">
        <f aca="false">SUMIFS('MA Engine'!$AK$6:$AK$1110,'MA Engine'!$B$6:$B$1110,$A71,'MA Engine'!$H$6:$H$1110,7,'MA Engine'!$I$6:$I$1110,"DO")</f>
        <v>2121886.9</v>
      </c>
      <c r="BM71" s="7" t="n">
        <f aca="false">SUMIFS('MA Engine'!$AL$6:$AL$1110,'MA Engine'!$B$6:$B$1110,$A71,'MA Engine'!$H$6:$H$1110,7,'MA Engine'!$I$6:$I$1110,"DO")+SUMIFS('MA Engine'!$AM$6:$AM$1110,'MA Engine'!$B$6:$B$1110,$A71,'MA Engine'!$H$6:$H$1110,7,'MA Engine'!$I$6:$I$1110,"DO")</f>
        <v>0</v>
      </c>
      <c r="BN71" s="9" t="n">
        <f aca="false">BK71-BL71-BM71</f>
        <v>0</v>
      </c>
      <c r="BO71" s="7" t="n">
        <f aca="false">IF(BC71=0,0,SUMIFS('Data SKU'!$G$5:$G$116,'Data SKU'!$A$5:$A$116,$C71,'Data SKU'!$B$5:$B$116,$D71,'Data SKU'!$C$5:$C$116,$E71,'Data SKU'!$D$5:$D$116,7,'Data SKU'!$N$5:$N$116,"Invoiced")/SUMIFS($BC$36:$BC$127,$C$36:$C$127,$C71,$D$36:$D$127,$D71,$E$36:$E$127,$E71)*BC71)</f>
        <v>2519559.33721863</v>
      </c>
      <c r="BP71" s="9" t="n">
        <f aca="false">IF(BC71=0,0,BO71*BG71/BC71)</f>
        <v>2519559.33721863</v>
      </c>
      <c r="BQ71" s="9" t="n">
        <f aca="false">IF(BC71=0,0,BO71*BH71/BC71)</f>
        <v>0</v>
      </c>
    </row>
    <row r="72" customFormat="false" ht="15" hidden="false" customHeight="false" outlineLevel="0" collapsed="false">
      <c r="A72" s="74" t="s">
        <v>984</v>
      </c>
      <c r="B72" s="53" t="str">
        <f aca="false">INDEX(I_Items!$B$5:$B$133,MATCH($A72,I_Items!$A$5:$A$133,0))&amp;""</f>
        <v>Karkas Uk 1.1 Karkas Uk 1.1 Frozen Premium</v>
      </c>
      <c r="C72" s="53" t="str">
        <f aca="false">INDEX(I_Items!$C$5:$C$133,MATCH($A72,I_Items!$A$5:$A$133,0))&amp;""</f>
        <v>RPA</v>
      </c>
      <c r="D72" s="53" t="str">
        <f aca="false">INDEX(I_Items!$D$5:$D$133,MATCH($A72,I_Items!$A$5:$A$133,0))&amp;""</f>
        <v>Karkas</v>
      </c>
      <c r="E72" s="53" t="str">
        <f aca="false">INDEX(I_Items!$F$5:$F$133,MATCH($A72,I_Items!$A$5:$A$133,0))&amp;""</f>
        <v>Frozen</v>
      </c>
      <c r="F72" s="53" t="str">
        <f aca="false">INDEX(I_Items!$E$5:$E$133,MATCH($A72,I_Items!$A$5:$A$133,0))&amp;""</f>
        <v>Uk 1.1</v>
      </c>
      <c r="G72" s="6" t="str">
        <f aca="false">IF(P72=0,"-",IF(M72=0,"A",IF(K72&lt;=0,"C","B")))</f>
        <v>C</v>
      </c>
      <c r="H72" s="13" t="n">
        <f aca="false">SUMIFS('MA Engine'!$K$6:$K$1110,'MA Engine'!$B$6:$B$1110,$A72,'MA Engine'!$I$6:$I$1110,"Opening")</f>
        <v>1125.96</v>
      </c>
      <c r="I72" s="13" t="n">
        <f aca="false">SUMIFS('MA Engine'!$K$6:$K$1110,'MA Engine'!$B$6:$B$1110,$A72,'MA Engine'!$H$6:$H$1110,7,'MA Engine'!$I$6:$I$1110,"&lt;&gt;Opening")</f>
        <v>0</v>
      </c>
      <c r="J72" s="13" t="n">
        <f aca="false">SUMIFS('MA Engine'!$W$6:$W$1110,'MA Engine'!$B$6:$B$1110,$A72,'MA Engine'!$H$6:$H$1110,7)</f>
        <v>1125.96</v>
      </c>
      <c r="K72" s="14" t="n">
        <f aca="false">H72+I72-J72</f>
        <v>0</v>
      </c>
      <c r="L72" s="7" t="n">
        <f aca="false">SUMIFS('MA Engine'!$L$6:$L$1110,'MA Engine'!$B$6:$B$1110,$A72,'MA Engine'!$I$6:$I$1110,"Opening")+SUMIFS('MA Engine'!$L$6:$L$1110,'MA Engine'!$B$6:$B$1110,$A72,'MA Engine'!$H$6:$H$1110,7,'MA Engine'!$I$6:$I$1110,"&lt;&gt;Opening")-SUMIFS('MA Engine'!$X$6:$X$1110,'MA Engine'!$B$6:$B$1110,$A72,'MA Engine'!$H$6:$H$1110,7)</f>
        <v>0</v>
      </c>
      <c r="M72" s="13" t="n">
        <f aca="false">SUMIFS('MA Engine'!$K$6:$K$1110,'MA Engine'!$B$6:$B$1110,$A72,'MA Engine'!$H$6:$H$1110,8)</f>
        <v>11303.9</v>
      </c>
      <c r="N72" s="7" t="n">
        <f aca="false">SUMIFS('MA Engine'!$L$6:$L$1110,'MA Engine'!$B$6:$B$1110,$A72,'MA Engine'!$H$6:$H$1110,8)</f>
        <v>425300711.96</v>
      </c>
      <c r="O72" s="13" t="n">
        <f aca="false">SUMIFS('MA Engine'!$W$6:$W$1110,'MA Engine'!$B$6:$B$1110,$A72,'MA Engine'!$H$6:$H$1110,8)</f>
        <v>609</v>
      </c>
      <c r="P72" s="14" t="n">
        <f aca="false">Q72+R72</f>
        <v>609</v>
      </c>
      <c r="Q72" s="13" t="n">
        <f aca="false">SUMIFS('MA Engine'!$W$6:$W$1110,'MA Engine'!$B$6:$B$1110,$A72,'MA Engine'!$H$6:$H$1110,8,'MA Engine'!$I$6:$I$1110,"DO",'MA Engine'!$P$6:$P$1110,"&lt;&gt;Y")</f>
        <v>609</v>
      </c>
      <c r="R72" s="13" t="n">
        <f aca="false">SUMIFS('MA Engine'!$W$6:$W$1110,'MA Engine'!$B$6:$B$1110,$A72,'MA Engine'!$H$6:$H$1110,8,'MA Engine'!$I$6:$I$1110,"Unbilled")</f>
        <v>0</v>
      </c>
      <c r="S72" s="13" t="n">
        <f aca="false">SUMIFS('MA Engine'!$W$6:$W$1110,'MA Engine'!$B$6:$B$1110,$A72,'MA Engine'!$H$6:$H$1110,8,'MA Engine'!$P$6:$P$1110,"Y")</f>
        <v>0</v>
      </c>
      <c r="T72" s="14" t="n">
        <f aca="false">O72-P72-S72</f>
        <v>0</v>
      </c>
      <c r="U72" s="14" t="n">
        <f aca="false">MAX(0,H72-J72)</f>
        <v>0</v>
      </c>
      <c r="V72" s="14" t="n">
        <f aca="false">MAX(0,K72-U72)</f>
        <v>0</v>
      </c>
      <c r="W72" s="14" t="n">
        <f aca="false">MIN(U72,O72)</f>
        <v>0</v>
      </c>
      <c r="X72" s="14" t="n">
        <f aca="false">MIN(V72,O72-W72)</f>
        <v>0</v>
      </c>
      <c r="Y72" s="14" t="n">
        <f aca="false">O72-W72-X72</f>
        <v>609</v>
      </c>
      <c r="Z72" s="21" t="n">
        <f aca="false">IF(O72=0,0,P72/O72)</f>
        <v>1</v>
      </c>
      <c r="AA72" s="13" t="n">
        <f aca="false">SUMIFS('MA Engine'!$AH$6:$AH$1110,'MA Engine'!$B$6:$B$1110,$A72,'MA Engine'!$H$6:$H$1110,8,'MA Engine'!$I$6:$I$1110,"DO",'MA Engine'!$P$6:$P$1110,"&lt;&gt;Y")+SUMIFS('MA Engine'!$AH$6:$AH$1110,'MA Engine'!$B$6:$B$1110,$A72,'MA Engine'!$H$6:$H$1110,8,'MA Engine'!$I$6:$I$1110,"Unbilled")</f>
        <v>0</v>
      </c>
      <c r="AB72" s="13" t="n">
        <f aca="false">SUMIFS('MA Engine'!$AI$6:$AI$1110,'MA Engine'!$B$6:$B$1110,$A72,'MA Engine'!$H$6:$H$1110,8,'MA Engine'!$I$6:$I$1110,"DO",'MA Engine'!$P$6:$P$1110,"&lt;&gt;Y")+SUMIFS('MA Engine'!$AI$6:$AI$1110,'MA Engine'!$B$6:$B$1110,$A72,'MA Engine'!$H$6:$H$1110,8,'MA Engine'!$I$6:$I$1110,"Unbilled")</f>
        <v>0</v>
      </c>
      <c r="AC72" s="13" t="n">
        <f aca="false">SUMIFS('MA Engine'!$AJ$6:$AJ$1110,'MA Engine'!$B$6:$B$1110,$A72,'MA Engine'!$H$6:$H$1110,8,'MA Engine'!$I$6:$I$1110,"DO",'MA Engine'!$P$6:$P$1110,"&lt;&gt;Y")+SUMIFS('MA Engine'!$AJ$6:$AJ$1110,'MA Engine'!$B$6:$B$1110,$A72,'MA Engine'!$H$6:$H$1110,8,'MA Engine'!$I$6:$I$1110,"Unbilled")</f>
        <v>609</v>
      </c>
      <c r="AD72" s="7" t="n">
        <f aca="false">SUMIFS('MA Engine'!$L$6:$L$1110,'MA Engine'!$B$6:$B$1110,$A72,'MA Engine'!$H$6:$H$1110,7,'MA Engine'!$I$6:$I$1110,"&lt;&gt;Opening")</f>
        <v>0</v>
      </c>
      <c r="AE72" s="9" t="n">
        <f aca="false">IF(AND(U72&gt;0.0001,(L72-V72*IF(I72&gt;0,AD72/I72,IF(K72&gt;0,L72/K72,0)))&lt;0),IF(K72&gt;0,L72/K72,0),IF(I72&gt;0,AD72/I72,IF(K72&gt;0,L72/K72,0)))</f>
        <v>0</v>
      </c>
      <c r="AF72" s="9" t="n">
        <f aca="false">IF(U72&lt;=0.0001,IF(K72&gt;0,L72/K72,0),IF((L72-V72*IF(I72&gt;0,AD72/I72,IF(K72&gt;0,L72/K72,0)))&lt;0,IF(K72&gt;0,L72/K72,0),(L72-V72*IF(I72&gt;0,AD72/I72,IF(K72&gt;0,L72/K72,0)))/U72))</f>
        <v>0</v>
      </c>
      <c r="AG72" s="9" t="n">
        <f aca="false">IF(M72&gt;0,N72/M72,IF(K72&gt;0,L72/K72,0))</f>
        <v>37624.245787737</v>
      </c>
      <c r="AH72" s="7" t="n">
        <f aca="false">SUMIFS('MA Engine'!$X$6:$X$1110,'MA Engine'!$B$6:$B$1110,$A72,'MA Engine'!$H$6:$H$1110,8,'MA Engine'!$I$6:$I$1110,"DO",'MA Engine'!$P$6:$P$1110,"&lt;&gt;Y")+SUMIFS('MA Engine'!$X$6:$X$1110,'MA Engine'!$B$6:$B$1110,$A72,'MA Engine'!$H$6:$H$1110,8,'MA Engine'!$I$6:$I$1110,"Unbilled")</f>
        <v>22957935.5047928</v>
      </c>
      <c r="AI72" s="7" t="n">
        <f aca="false">SUMIFS('MA Engine'!$AK$6:$AK$1110,'MA Engine'!$B$6:$B$1110,$A72,'MA Engine'!$H$6:$H$1110,8,'MA Engine'!$I$6:$I$1110,"DO",'MA Engine'!$P$6:$P$1110,"&lt;&gt;Y")+SUMIFS('MA Engine'!$AK$6:$AK$1110,'MA Engine'!$B$6:$B$1110,$A72,'MA Engine'!$H$6:$H$1110,8,'MA Engine'!$I$6:$I$1110,"Unbilled")</f>
        <v>0</v>
      </c>
      <c r="AJ72" s="7" t="n">
        <f aca="false">SUMIFS('MA Engine'!$AL$6:$AL$1110,'MA Engine'!$B$6:$B$1110,$A72,'MA Engine'!$H$6:$H$1110,8,'MA Engine'!$I$6:$I$1110,"DO",'MA Engine'!$P$6:$P$1110,"&lt;&gt;Y")+SUMIFS('MA Engine'!$AL$6:$AL$1110,'MA Engine'!$B$6:$B$1110,$A72,'MA Engine'!$H$6:$H$1110,8,'MA Engine'!$I$6:$I$1110,"Unbilled")</f>
        <v>0</v>
      </c>
      <c r="AK72" s="7" t="n">
        <f aca="false">SUMIFS('MA Engine'!$AM$6:$AM$1110,'MA Engine'!$B$6:$B$1110,$A72,'MA Engine'!$H$6:$H$1110,8,'MA Engine'!$I$6:$I$1110,"DO",'MA Engine'!$P$6:$P$1110,"&lt;&gt;Y")+SUMIFS('MA Engine'!$AM$6:$AM$1110,'MA Engine'!$B$6:$B$1110,$A72,'MA Engine'!$H$6:$H$1110,8,'MA Engine'!$I$6:$I$1110,"Unbilled")</f>
        <v>22957935.5047928</v>
      </c>
      <c r="AL72" s="9" t="n">
        <f aca="false">AH72-AI72-AJ72-AK72</f>
        <v>0</v>
      </c>
      <c r="AM72" s="7" t="n">
        <f aca="false">IF(Q72=0,0,IF($D72="Karkas",SUMIFS('Karkas Detail'!$E$6:$E$42,'Karkas Detail'!$A$6:$A$42,$C72,'Karkas Detail'!$B$6:$B$42,$F72,'Karkas Detail'!$C$6:$C$42,$E72)/SUMIFS($Q$36:$Q$127,$C$36:$C$127,$C72,$D$36:$D$127,"Karkas",$F$36:$F$127,$F72,$E$36:$E$127,$E72),SUMIFS('Data SKU'!$G$5:$G$116,'Data SKU'!$A$5:$A$116,$C72,'Data SKU'!$B$5:$B$116,$D72,'Data SKU'!$C$5:$C$116,$E72,'Data SKU'!$D$5:$D$116,8,'Data SKU'!$N$5:$N$116,"Invoiced")/SUMIFS($Q$36:$Q$127,$C$36:$C$127,$C72,$D$36:$D$127,$D72,$E$36:$E$127,$E72))*Q72)+SUMIFS(Unbilled!$U$22:$U$38,Unbilled!$E$22:$E$38,$A72)</f>
        <v>20695287.5155666</v>
      </c>
      <c r="AN72" s="9" t="n">
        <f aca="false">IF(P72=0,0,AM72*AA72/P72)</f>
        <v>0</v>
      </c>
      <c r="AO72" s="9" t="n">
        <f aca="false">IF(P72=0,0,AM72*AB72/P72)</f>
        <v>0</v>
      </c>
      <c r="AP72" s="9" t="n">
        <f aca="false">IF(P72=0,0,AM72*AC72/P72)</f>
        <v>20695287.5155666</v>
      </c>
      <c r="AQ72" s="14" t="n">
        <f aca="false">MIN(U72+V72,MAX(0,O72-M72))</f>
        <v>0</v>
      </c>
      <c r="AR72" s="14" t="n">
        <f aca="false">MAX(0,AQ72-V72)*Z72</f>
        <v>0</v>
      </c>
      <c r="AS72" s="14" t="n">
        <f aca="false">MIN(V72,AQ72)*Z72</f>
        <v>0</v>
      </c>
      <c r="AT72" s="14" t="n">
        <f aca="false">(O72-AQ72)*Z72</f>
        <v>609</v>
      </c>
      <c r="AU72" s="9" t="n">
        <f aca="false">(AR72+AS72+AT72)*BA72</f>
        <v>22957935.5047928</v>
      </c>
      <c r="AV72" s="9" t="n">
        <f aca="false">IF(P72=0,0,AM72*AR72/P72)</f>
        <v>0</v>
      </c>
      <c r="AW72" s="9" t="n">
        <f aca="false">IF(P72=0,0,AM72*AS72/P72)</f>
        <v>0</v>
      </c>
      <c r="AX72" s="9" t="n">
        <f aca="false">IF(P72=0,0,AM72*AT72/P72)</f>
        <v>20695287.5155666</v>
      </c>
      <c r="AY72" s="9" t="n">
        <f aca="false">AH72-AU72</f>
        <v>0</v>
      </c>
      <c r="AZ72" s="9" t="n">
        <f aca="false">IF(M72&gt;0,P72*AG72,0)</f>
        <v>22913165.6847318</v>
      </c>
      <c r="BA72" s="9" t="n">
        <f aca="false">IF(P72=0,0,AH72/P72)</f>
        <v>37697.7594495777</v>
      </c>
      <c r="BB72" s="74" t="s">
        <v>838</v>
      </c>
      <c r="BC72" s="13" t="n">
        <f aca="false">SUMIFS('MA Engine'!$W$6:$W$1110,'MA Engine'!$B$6:$B$1110,$A72,'MA Engine'!$H$6:$H$1110,7,'MA Engine'!$I$6:$I$1110,"DO")</f>
        <v>1125.96</v>
      </c>
      <c r="BD72" s="14" t="n">
        <f aca="false">MIN(MAX(0,H72),J72)</f>
        <v>1125.96</v>
      </c>
      <c r="BE72" s="14" t="n">
        <f aca="false">J72-BD72</f>
        <v>0</v>
      </c>
      <c r="BF72" s="21" t="n">
        <f aca="false">IF(J72=0,0,BC72/J72)</f>
        <v>1</v>
      </c>
      <c r="BG72" s="13" t="n">
        <f aca="false">SUMIFS('MA Engine'!$AH$6:$AH$1110,'MA Engine'!$B$6:$B$1110,$A72,'MA Engine'!$H$6:$H$1110,7,'MA Engine'!$I$6:$I$1110,"DO")</f>
        <v>1125.96</v>
      </c>
      <c r="BH72" s="13" t="n">
        <f aca="false">SUMIFS('MA Engine'!$AI$6:$AI$1110,'MA Engine'!$B$6:$B$1110,$A72,'MA Engine'!$H$6:$H$1110,7,'MA Engine'!$I$6:$I$1110,"DO")+SUMIFS('MA Engine'!$AJ$6:$AJ$1110,'MA Engine'!$B$6:$B$1110,$A72,'MA Engine'!$H$6:$H$1110,7,'MA Engine'!$I$6:$I$1110,"DO")</f>
        <v>0</v>
      </c>
      <c r="BI72" s="7" t="n">
        <f aca="false">IF(H72&gt;0,SUMIFS('MA Engine'!$L$6:$L$1110,'MA Engine'!$B$6:$B$1110,$A72,'MA Engine'!$I$6:$I$1110,"Opening")/H72,0)</f>
        <v>25163.2428594266</v>
      </c>
      <c r="BJ72" s="9" t="n">
        <f aca="false">IF(I72&gt;0,AD72/I72,BI72)</f>
        <v>25163.2428594266</v>
      </c>
      <c r="BK72" s="7" t="n">
        <f aca="false">SUMIFS('MA Engine'!$X$6:$X$1110,'MA Engine'!$B$6:$B$1110,$A72,'MA Engine'!$H$6:$H$1110,7,'MA Engine'!$I$6:$I$1110,"DO")</f>
        <v>28332804.93</v>
      </c>
      <c r="BL72" s="7" t="n">
        <f aca="false">SUMIFS('MA Engine'!$AK$6:$AK$1110,'MA Engine'!$B$6:$B$1110,$A72,'MA Engine'!$H$6:$H$1110,7,'MA Engine'!$I$6:$I$1110,"DO")</f>
        <v>28332804.93</v>
      </c>
      <c r="BM72" s="7" t="n">
        <f aca="false">SUMIFS('MA Engine'!$AL$6:$AL$1110,'MA Engine'!$B$6:$B$1110,$A72,'MA Engine'!$H$6:$H$1110,7,'MA Engine'!$I$6:$I$1110,"DO")+SUMIFS('MA Engine'!$AM$6:$AM$1110,'MA Engine'!$B$6:$B$1110,$A72,'MA Engine'!$H$6:$H$1110,7,'MA Engine'!$I$6:$I$1110,"DO")</f>
        <v>0</v>
      </c>
      <c r="BN72" s="9" t="n">
        <f aca="false">BK72-BL72-BM72</f>
        <v>0</v>
      </c>
      <c r="BO72" s="7" t="n">
        <f aca="false">IF(BC72=0,0,SUMIFS('Data SKU'!$G$5:$G$116,'Data SKU'!$A$5:$A$116,$C72,'Data SKU'!$B$5:$B$116,$D72,'Data SKU'!$C$5:$C$116,$E72,'Data SKU'!$D$5:$D$116,7,'Data SKU'!$N$5:$N$116,"Invoiced")/SUMIFS($BC$36:$BC$127,$C$36:$C$127,$C72,$D$36:$D$127,$D72,$E$36:$E$127,$E72)*BC72)</f>
        <v>31875539.6779178</v>
      </c>
      <c r="BP72" s="9" t="n">
        <f aca="false">IF(BC72=0,0,BO72*BG72/BC72)</f>
        <v>31875539.6779178</v>
      </c>
      <c r="BQ72" s="9" t="n">
        <f aca="false">IF(BC72=0,0,BO72*BH72/BC72)</f>
        <v>0</v>
      </c>
    </row>
    <row r="73" customFormat="false" ht="15" hidden="false" customHeight="false" outlineLevel="0" collapsed="false">
      <c r="A73" s="74" t="s">
        <v>985</v>
      </c>
      <c r="B73" s="53" t="str">
        <f aca="false">INDEX(I_Items!$B$5:$B$133,MATCH($A73,I_Items!$A$5:$A$133,0))&amp;""</f>
        <v>Karkas Uk 1.2 Karkas Uk 1.2 Fresh Grade A</v>
      </c>
      <c r="C73" s="53" t="str">
        <f aca="false">INDEX(I_Items!$C$5:$C$133,MATCH($A73,I_Items!$A$5:$A$133,0))&amp;""</f>
        <v>RPA</v>
      </c>
      <c r="D73" s="53" t="str">
        <f aca="false">INDEX(I_Items!$D$5:$D$133,MATCH($A73,I_Items!$A$5:$A$133,0))&amp;""</f>
        <v>Karkas</v>
      </c>
      <c r="E73" s="53" t="str">
        <f aca="false">INDEX(I_Items!$F$5:$F$133,MATCH($A73,I_Items!$A$5:$A$133,0))&amp;""</f>
        <v>Fresh</v>
      </c>
      <c r="F73" s="53" t="str">
        <f aca="false">INDEX(I_Items!$E$5:$E$133,MATCH($A73,I_Items!$A$5:$A$133,0))&amp;""</f>
        <v>Uk 1.2</v>
      </c>
      <c r="G73" s="6" t="str">
        <f aca="false">IF(P73=0,"-",IF(M73=0,"A",IF(K73&lt;=0,"C","B")))</f>
        <v>-</v>
      </c>
      <c r="H73" s="13" t="n">
        <f aca="false">SUMIFS('MA Engine'!$K$6:$K$1110,'MA Engine'!$B$6:$B$1110,$A73,'MA Engine'!$I$6:$I$1110,"Opening")</f>
        <v>0</v>
      </c>
      <c r="I73" s="13" t="n">
        <f aca="false">SUMIFS('MA Engine'!$K$6:$K$1110,'MA Engine'!$B$6:$B$1110,$A73,'MA Engine'!$H$6:$H$1110,7,'MA Engine'!$I$6:$I$1110,"&lt;&gt;Opening")</f>
        <v>0</v>
      </c>
      <c r="J73" s="13" t="n">
        <f aca="false">SUMIFS('MA Engine'!$W$6:$W$1110,'MA Engine'!$B$6:$B$1110,$A73,'MA Engine'!$H$6:$H$1110,7)</f>
        <v>0</v>
      </c>
      <c r="K73" s="14" t="n">
        <f aca="false">H73+I73-J73</f>
        <v>0</v>
      </c>
      <c r="L73" s="7" t="n">
        <f aca="false">SUMIFS('MA Engine'!$L$6:$L$1110,'MA Engine'!$B$6:$B$1110,$A73,'MA Engine'!$I$6:$I$1110,"Opening")+SUMIFS('MA Engine'!$L$6:$L$1110,'MA Engine'!$B$6:$B$1110,$A73,'MA Engine'!$H$6:$H$1110,7,'MA Engine'!$I$6:$I$1110,"&lt;&gt;Opening")-SUMIFS('MA Engine'!$X$6:$X$1110,'MA Engine'!$B$6:$B$1110,$A73,'MA Engine'!$H$6:$H$1110,7)</f>
        <v>0</v>
      </c>
      <c r="M73" s="13" t="n">
        <f aca="false">SUMIFS('MA Engine'!$K$6:$K$1110,'MA Engine'!$B$6:$B$1110,$A73,'MA Engine'!$H$6:$H$1110,8)</f>
        <v>120.8</v>
      </c>
      <c r="N73" s="7" t="n">
        <f aca="false">SUMIFS('MA Engine'!$L$6:$L$1110,'MA Engine'!$B$6:$B$1110,$A73,'MA Engine'!$H$6:$H$1110,8)</f>
        <v>3683664.55</v>
      </c>
      <c r="O73" s="13" t="n">
        <f aca="false">SUMIFS('MA Engine'!$W$6:$W$1110,'MA Engine'!$B$6:$B$1110,$A73,'MA Engine'!$H$6:$H$1110,8)</f>
        <v>0</v>
      </c>
      <c r="P73" s="14" t="n">
        <f aca="false">Q73+R73</f>
        <v>0</v>
      </c>
      <c r="Q73" s="13" t="n">
        <f aca="false">SUMIFS('MA Engine'!$W$6:$W$1110,'MA Engine'!$B$6:$B$1110,$A73,'MA Engine'!$H$6:$H$1110,8,'MA Engine'!$I$6:$I$1110,"DO",'MA Engine'!$P$6:$P$1110,"&lt;&gt;Y")</f>
        <v>0</v>
      </c>
      <c r="R73" s="13" t="n">
        <f aca="false">SUMIFS('MA Engine'!$W$6:$W$1110,'MA Engine'!$B$6:$B$1110,$A73,'MA Engine'!$H$6:$H$1110,8,'MA Engine'!$I$6:$I$1110,"Unbilled")</f>
        <v>0</v>
      </c>
      <c r="S73" s="13" t="n">
        <f aca="false">SUMIFS('MA Engine'!$W$6:$W$1110,'MA Engine'!$B$6:$B$1110,$A73,'MA Engine'!$H$6:$H$1110,8,'MA Engine'!$P$6:$P$1110,"Y")</f>
        <v>0</v>
      </c>
      <c r="T73" s="14" t="n">
        <f aca="false">O73-P73-S73</f>
        <v>0</v>
      </c>
      <c r="U73" s="14" t="n">
        <f aca="false">MAX(0,H73-J73)</f>
        <v>0</v>
      </c>
      <c r="V73" s="14" t="n">
        <f aca="false">MAX(0,K73-U73)</f>
        <v>0</v>
      </c>
      <c r="W73" s="14" t="n">
        <f aca="false">MIN(U73,O73)</f>
        <v>0</v>
      </c>
      <c r="X73" s="14" t="n">
        <f aca="false">MIN(V73,O73-W73)</f>
        <v>0</v>
      </c>
      <c r="Y73" s="14" t="n">
        <f aca="false">O73-W73-X73</f>
        <v>0</v>
      </c>
      <c r="Z73" s="21" t="n">
        <f aca="false">IF(O73=0,0,P73/O73)</f>
        <v>0</v>
      </c>
      <c r="AA73" s="13" t="n">
        <f aca="false">SUMIFS('MA Engine'!$AH$6:$AH$1110,'MA Engine'!$B$6:$B$1110,$A73,'MA Engine'!$H$6:$H$1110,8,'MA Engine'!$I$6:$I$1110,"DO",'MA Engine'!$P$6:$P$1110,"&lt;&gt;Y")+SUMIFS('MA Engine'!$AH$6:$AH$1110,'MA Engine'!$B$6:$B$1110,$A73,'MA Engine'!$H$6:$H$1110,8,'MA Engine'!$I$6:$I$1110,"Unbilled")</f>
        <v>0</v>
      </c>
      <c r="AB73" s="13" t="n">
        <f aca="false">SUMIFS('MA Engine'!$AI$6:$AI$1110,'MA Engine'!$B$6:$B$1110,$A73,'MA Engine'!$H$6:$H$1110,8,'MA Engine'!$I$6:$I$1110,"DO",'MA Engine'!$P$6:$P$1110,"&lt;&gt;Y")+SUMIFS('MA Engine'!$AI$6:$AI$1110,'MA Engine'!$B$6:$B$1110,$A73,'MA Engine'!$H$6:$H$1110,8,'MA Engine'!$I$6:$I$1110,"Unbilled")</f>
        <v>0</v>
      </c>
      <c r="AC73" s="13" t="n">
        <f aca="false">SUMIFS('MA Engine'!$AJ$6:$AJ$1110,'MA Engine'!$B$6:$B$1110,$A73,'MA Engine'!$H$6:$H$1110,8,'MA Engine'!$I$6:$I$1110,"DO",'MA Engine'!$P$6:$P$1110,"&lt;&gt;Y")+SUMIFS('MA Engine'!$AJ$6:$AJ$1110,'MA Engine'!$B$6:$B$1110,$A73,'MA Engine'!$H$6:$H$1110,8,'MA Engine'!$I$6:$I$1110,"Unbilled")</f>
        <v>0</v>
      </c>
      <c r="AD73" s="7" t="n">
        <f aca="false">SUMIFS('MA Engine'!$L$6:$L$1110,'MA Engine'!$B$6:$B$1110,$A73,'MA Engine'!$H$6:$H$1110,7,'MA Engine'!$I$6:$I$1110,"&lt;&gt;Opening")</f>
        <v>0</v>
      </c>
      <c r="AE73" s="9" t="n">
        <f aca="false">IF(AND(U73&gt;0.0001,(L73-V73*IF(I73&gt;0,AD73/I73,IF(K73&gt;0,L73/K73,0)))&lt;0),IF(K73&gt;0,L73/K73,0),IF(I73&gt;0,AD73/I73,IF(K73&gt;0,L73/K73,0)))</f>
        <v>0</v>
      </c>
      <c r="AF73" s="9" t="n">
        <f aca="false">IF(U73&lt;=0.0001,IF(K73&gt;0,L73/K73,0),IF((L73-V73*IF(I73&gt;0,AD73/I73,IF(K73&gt;0,L73/K73,0)))&lt;0,IF(K73&gt;0,L73/K73,0),(L73-V73*IF(I73&gt;0,AD73/I73,IF(K73&gt;0,L73/K73,0)))/U73))</f>
        <v>0</v>
      </c>
      <c r="AG73" s="9" t="n">
        <f aca="false">IF(M73&gt;0,N73/M73,IF(K73&gt;0,L73/K73,0))</f>
        <v>30493.9118377483</v>
      </c>
      <c r="AH73" s="7" t="n">
        <f aca="false">SUMIFS('MA Engine'!$X$6:$X$1110,'MA Engine'!$B$6:$B$1110,$A73,'MA Engine'!$H$6:$H$1110,8,'MA Engine'!$I$6:$I$1110,"DO",'MA Engine'!$P$6:$P$1110,"&lt;&gt;Y")+SUMIFS('MA Engine'!$X$6:$X$1110,'MA Engine'!$B$6:$B$1110,$A73,'MA Engine'!$H$6:$H$1110,8,'MA Engine'!$I$6:$I$1110,"Unbilled")</f>
        <v>0</v>
      </c>
      <c r="AI73" s="7" t="n">
        <f aca="false">SUMIFS('MA Engine'!$AK$6:$AK$1110,'MA Engine'!$B$6:$B$1110,$A73,'MA Engine'!$H$6:$H$1110,8,'MA Engine'!$I$6:$I$1110,"DO",'MA Engine'!$P$6:$P$1110,"&lt;&gt;Y")+SUMIFS('MA Engine'!$AK$6:$AK$1110,'MA Engine'!$B$6:$B$1110,$A73,'MA Engine'!$H$6:$H$1110,8,'MA Engine'!$I$6:$I$1110,"Unbilled")</f>
        <v>0</v>
      </c>
      <c r="AJ73" s="7" t="n">
        <f aca="false">SUMIFS('MA Engine'!$AL$6:$AL$1110,'MA Engine'!$B$6:$B$1110,$A73,'MA Engine'!$H$6:$H$1110,8,'MA Engine'!$I$6:$I$1110,"DO",'MA Engine'!$P$6:$P$1110,"&lt;&gt;Y")+SUMIFS('MA Engine'!$AL$6:$AL$1110,'MA Engine'!$B$6:$B$1110,$A73,'MA Engine'!$H$6:$H$1110,8,'MA Engine'!$I$6:$I$1110,"Unbilled")</f>
        <v>0</v>
      </c>
      <c r="AK73" s="7" t="n">
        <f aca="false">SUMIFS('MA Engine'!$AM$6:$AM$1110,'MA Engine'!$B$6:$B$1110,$A73,'MA Engine'!$H$6:$H$1110,8,'MA Engine'!$I$6:$I$1110,"DO",'MA Engine'!$P$6:$P$1110,"&lt;&gt;Y")+SUMIFS('MA Engine'!$AM$6:$AM$1110,'MA Engine'!$B$6:$B$1110,$A73,'MA Engine'!$H$6:$H$1110,8,'MA Engine'!$I$6:$I$1110,"Unbilled")</f>
        <v>0</v>
      </c>
      <c r="AL73" s="9" t="n">
        <f aca="false">AH73-AI73-AJ73-AK73</f>
        <v>0</v>
      </c>
      <c r="AM73" s="7" t="n">
        <f aca="false">IF(Q73=0,0,IF($D73="Karkas",SUMIFS('Karkas Detail'!$E$6:$E$42,'Karkas Detail'!$A$6:$A$42,$C73,'Karkas Detail'!$B$6:$B$42,$F73,'Karkas Detail'!$C$6:$C$42,$E73)/SUMIFS($Q$36:$Q$127,$C$36:$C$127,$C73,$D$36:$D$127,"Karkas",$F$36:$F$127,$F73,$E$36:$E$127,$E73),SUMIFS('Data SKU'!$G$5:$G$116,'Data SKU'!$A$5:$A$116,$C73,'Data SKU'!$B$5:$B$116,$D73,'Data SKU'!$C$5:$C$116,$E73,'Data SKU'!$D$5:$D$116,8,'Data SKU'!$N$5:$N$116,"Invoiced")/SUMIFS($Q$36:$Q$127,$C$36:$C$127,$C73,$D$36:$D$127,$D73,$E$36:$E$127,$E73))*Q73)+SUMIFS(Unbilled!$U$22:$U$38,Unbilled!$E$22:$E$38,$A73)</f>
        <v>0</v>
      </c>
      <c r="AN73" s="9" t="n">
        <f aca="false">IF(P73=0,0,AM73*AA73/P73)</f>
        <v>0</v>
      </c>
      <c r="AO73" s="9" t="n">
        <f aca="false">IF(P73=0,0,AM73*AB73/P73)</f>
        <v>0</v>
      </c>
      <c r="AP73" s="9" t="n">
        <f aca="false">IF(P73=0,0,AM73*AC73/P73)</f>
        <v>0</v>
      </c>
      <c r="AQ73" s="14" t="n">
        <f aca="false">MIN(U73+V73,MAX(0,O73-M73))</f>
        <v>0</v>
      </c>
      <c r="AR73" s="14" t="n">
        <f aca="false">MAX(0,AQ73-V73)*Z73</f>
        <v>0</v>
      </c>
      <c r="AS73" s="14" t="n">
        <f aca="false">MIN(V73,AQ73)*Z73</f>
        <v>0</v>
      </c>
      <c r="AT73" s="14" t="n">
        <f aca="false">(O73-AQ73)*Z73</f>
        <v>0</v>
      </c>
      <c r="AU73" s="9" t="n">
        <f aca="false">(AR73+AS73+AT73)*BA73</f>
        <v>0</v>
      </c>
      <c r="AV73" s="9" t="n">
        <f aca="false">IF(P73=0,0,AM73*AR73/P73)</f>
        <v>0</v>
      </c>
      <c r="AW73" s="9" t="n">
        <f aca="false">IF(P73=0,0,AM73*AS73/P73)</f>
        <v>0</v>
      </c>
      <c r="AX73" s="9" t="n">
        <f aca="false">IF(P73=0,0,AM73*AT73/P73)</f>
        <v>0</v>
      </c>
      <c r="AY73" s="9" t="n">
        <f aca="false">AH73-AU73</f>
        <v>0</v>
      </c>
      <c r="AZ73" s="9" t="n">
        <f aca="false">IF(M73&gt;0,P73*AG73,0)</f>
        <v>0</v>
      </c>
      <c r="BA73" s="9" t="n">
        <f aca="false">IF(P73=0,0,AH73/P73)</f>
        <v>0</v>
      </c>
      <c r="BB73" s="74" t="s">
        <v>837</v>
      </c>
      <c r="BC73" s="13" t="n">
        <f aca="false">SUMIFS('MA Engine'!$W$6:$W$1110,'MA Engine'!$B$6:$B$1110,$A73,'MA Engine'!$H$6:$H$1110,7,'MA Engine'!$I$6:$I$1110,"DO")</f>
        <v>0</v>
      </c>
      <c r="BD73" s="14" t="n">
        <f aca="false">MIN(MAX(0,H73),J73)</f>
        <v>0</v>
      </c>
      <c r="BE73" s="14" t="n">
        <f aca="false">J73-BD73</f>
        <v>0</v>
      </c>
      <c r="BF73" s="21" t="n">
        <f aca="false">IF(J73=0,0,BC73/J73)</f>
        <v>0</v>
      </c>
      <c r="BG73" s="13" t="n">
        <f aca="false">SUMIFS('MA Engine'!$AH$6:$AH$1110,'MA Engine'!$B$6:$B$1110,$A73,'MA Engine'!$H$6:$H$1110,7,'MA Engine'!$I$6:$I$1110,"DO")</f>
        <v>0</v>
      </c>
      <c r="BH73" s="13" t="n">
        <f aca="false">SUMIFS('MA Engine'!$AI$6:$AI$1110,'MA Engine'!$B$6:$B$1110,$A73,'MA Engine'!$H$6:$H$1110,7,'MA Engine'!$I$6:$I$1110,"DO")+SUMIFS('MA Engine'!$AJ$6:$AJ$1110,'MA Engine'!$B$6:$B$1110,$A73,'MA Engine'!$H$6:$H$1110,7,'MA Engine'!$I$6:$I$1110,"DO")</f>
        <v>0</v>
      </c>
      <c r="BI73" s="7" t="n">
        <f aca="false">IF(H73&gt;0,SUMIFS('MA Engine'!$L$6:$L$1110,'MA Engine'!$B$6:$B$1110,$A73,'MA Engine'!$I$6:$I$1110,"Opening")/H73,0)</f>
        <v>0</v>
      </c>
      <c r="BJ73" s="9" t="n">
        <f aca="false">IF(I73&gt;0,AD73/I73,BI73)</f>
        <v>0</v>
      </c>
      <c r="BK73" s="7" t="n">
        <f aca="false">SUMIFS('MA Engine'!$X$6:$X$1110,'MA Engine'!$B$6:$B$1110,$A73,'MA Engine'!$H$6:$H$1110,7,'MA Engine'!$I$6:$I$1110,"DO")</f>
        <v>0</v>
      </c>
      <c r="BL73" s="7" t="n">
        <f aca="false">SUMIFS('MA Engine'!$AK$6:$AK$1110,'MA Engine'!$B$6:$B$1110,$A73,'MA Engine'!$H$6:$H$1110,7,'MA Engine'!$I$6:$I$1110,"DO")</f>
        <v>0</v>
      </c>
      <c r="BM73" s="7" t="n">
        <f aca="false">SUMIFS('MA Engine'!$AL$6:$AL$1110,'MA Engine'!$B$6:$B$1110,$A73,'MA Engine'!$H$6:$H$1110,7,'MA Engine'!$I$6:$I$1110,"DO")+SUMIFS('MA Engine'!$AM$6:$AM$1110,'MA Engine'!$B$6:$B$1110,$A73,'MA Engine'!$H$6:$H$1110,7,'MA Engine'!$I$6:$I$1110,"DO")</f>
        <v>0</v>
      </c>
      <c r="BN73" s="9" t="n">
        <f aca="false">BK73-BL73-BM73</f>
        <v>0</v>
      </c>
      <c r="BO73" s="7" t="n">
        <f aca="false">IF(BC73=0,0,SUMIFS('Data SKU'!$G$5:$G$116,'Data SKU'!$A$5:$A$116,$C73,'Data SKU'!$B$5:$B$116,$D73,'Data SKU'!$C$5:$C$116,$E73,'Data SKU'!$D$5:$D$116,7,'Data SKU'!$N$5:$N$116,"Invoiced")/SUMIFS($BC$36:$BC$127,$C$36:$C$127,$C73,$D$36:$D$127,$D73,$E$36:$E$127,$E73)*BC73)</f>
        <v>0</v>
      </c>
      <c r="BP73" s="9" t="n">
        <f aca="false">IF(BC73=0,0,BO73*BG73/BC73)</f>
        <v>0</v>
      </c>
      <c r="BQ73" s="9" t="n">
        <f aca="false">IF(BC73=0,0,BO73*BH73/BC73)</f>
        <v>0</v>
      </c>
    </row>
    <row r="74" customFormat="false" ht="15" hidden="false" customHeight="false" outlineLevel="0" collapsed="false">
      <c r="A74" s="74" t="s">
        <v>986</v>
      </c>
      <c r="B74" s="53" t="str">
        <f aca="false">INDEX(I_Items!$B$5:$B$133,MATCH($A74,I_Items!$A$5:$A$133,0))&amp;""</f>
        <v>Karkas Uk 1.2 Karkas Uk 1.2 Fresh Premium</v>
      </c>
      <c r="C74" s="53" t="str">
        <f aca="false">INDEX(I_Items!$C$5:$C$133,MATCH($A74,I_Items!$A$5:$A$133,0))&amp;""</f>
        <v>RPA</v>
      </c>
      <c r="D74" s="53" t="str">
        <f aca="false">INDEX(I_Items!$D$5:$D$133,MATCH($A74,I_Items!$A$5:$A$133,0))&amp;""</f>
        <v>Karkas</v>
      </c>
      <c r="E74" s="53" t="str">
        <f aca="false">INDEX(I_Items!$F$5:$F$133,MATCH($A74,I_Items!$A$5:$A$133,0))&amp;""</f>
        <v>Fresh</v>
      </c>
      <c r="F74" s="53" t="str">
        <f aca="false">INDEX(I_Items!$E$5:$E$133,MATCH($A74,I_Items!$A$5:$A$133,0))&amp;""</f>
        <v>Uk 1.2</v>
      </c>
      <c r="G74" s="6" t="str">
        <f aca="false">IF(P74=0,"-",IF(M74=0,"A",IF(K74&lt;=0,"C","B")))</f>
        <v>B</v>
      </c>
      <c r="H74" s="13" t="n">
        <f aca="false">SUMIFS('MA Engine'!$K$6:$K$1110,'MA Engine'!$B$6:$B$1110,$A74,'MA Engine'!$I$6:$I$1110,"Opening")</f>
        <v>283.6</v>
      </c>
      <c r="I74" s="13" t="n">
        <f aca="false">SUMIFS('MA Engine'!$K$6:$K$1110,'MA Engine'!$B$6:$B$1110,$A74,'MA Engine'!$H$6:$H$1110,7,'MA Engine'!$I$6:$I$1110,"&lt;&gt;Opening")</f>
        <v>0</v>
      </c>
      <c r="J74" s="13" t="n">
        <f aca="false">SUMIFS('MA Engine'!$W$6:$W$1110,'MA Engine'!$B$6:$B$1110,$A74,'MA Engine'!$H$6:$H$1110,7)</f>
        <v>0</v>
      </c>
      <c r="K74" s="14" t="n">
        <f aca="false">H74+I74-J74</f>
        <v>283.6</v>
      </c>
      <c r="L74" s="7" t="n">
        <f aca="false">SUMIFS('MA Engine'!$L$6:$L$1110,'MA Engine'!$B$6:$B$1110,$A74,'MA Engine'!$I$6:$I$1110,"Opening")+SUMIFS('MA Engine'!$L$6:$L$1110,'MA Engine'!$B$6:$B$1110,$A74,'MA Engine'!$H$6:$H$1110,7,'MA Engine'!$I$6:$I$1110,"&lt;&gt;Opening")-SUMIFS('MA Engine'!$X$6:$X$1110,'MA Engine'!$B$6:$B$1110,$A74,'MA Engine'!$H$6:$H$1110,7)</f>
        <v>7329806.49</v>
      </c>
      <c r="M74" s="13" t="n">
        <f aca="false">SUMIFS('MA Engine'!$K$6:$K$1110,'MA Engine'!$B$6:$B$1110,$A74,'MA Engine'!$H$6:$H$1110,8)</f>
        <v>11397.5</v>
      </c>
      <c r="N74" s="7" t="n">
        <f aca="false">SUMIFS('MA Engine'!$L$6:$L$1110,'MA Engine'!$B$6:$B$1110,$A74,'MA Engine'!$H$6:$H$1110,8)</f>
        <v>426569154.72</v>
      </c>
      <c r="O74" s="13" t="n">
        <f aca="false">SUMIFS('MA Engine'!$W$6:$W$1110,'MA Engine'!$B$6:$B$1110,$A74,'MA Engine'!$H$6:$H$1110,8)</f>
        <v>8268.29</v>
      </c>
      <c r="P74" s="14" t="n">
        <f aca="false">Q74+R74</f>
        <v>7735.08</v>
      </c>
      <c r="Q74" s="13" t="n">
        <f aca="false">SUMIFS('MA Engine'!$W$6:$W$1110,'MA Engine'!$B$6:$B$1110,$A74,'MA Engine'!$H$6:$H$1110,8,'MA Engine'!$I$6:$I$1110,"DO",'MA Engine'!$P$6:$P$1110,"&lt;&gt;Y")</f>
        <v>5528.18</v>
      </c>
      <c r="R74" s="13" t="n">
        <f aca="false">SUMIFS('MA Engine'!$W$6:$W$1110,'MA Engine'!$B$6:$B$1110,$A74,'MA Engine'!$H$6:$H$1110,8,'MA Engine'!$I$6:$I$1110,"Unbilled")</f>
        <v>2206.9</v>
      </c>
      <c r="S74" s="13" t="n">
        <f aca="false">SUMIFS('MA Engine'!$W$6:$W$1110,'MA Engine'!$B$6:$B$1110,$A74,'MA Engine'!$H$6:$H$1110,8,'MA Engine'!$P$6:$P$1110,"Y")</f>
        <v>329.53</v>
      </c>
      <c r="T74" s="14" t="n">
        <f aca="false">O74-P74-S74</f>
        <v>203.680000000001</v>
      </c>
      <c r="U74" s="14" t="n">
        <f aca="false">MAX(0,H74-J74)</f>
        <v>283.6</v>
      </c>
      <c r="V74" s="14" t="n">
        <f aca="false">MAX(0,K74-U74)</f>
        <v>0</v>
      </c>
      <c r="W74" s="14" t="n">
        <f aca="false">MIN(U74,O74)</f>
        <v>283.6</v>
      </c>
      <c r="X74" s="14" t="n">
        <f aca="false">MIN(V74,O74-W74)</f>
        <v>0</v>
      </c>
      <c r="Y74" s="14" t="n">
        <f aca="false">O74-W74-X74</f>
        <v>7984.69</v>
      </c>
      <c r="Z74" s="21" t="n">
        <f aca="false">IF(O74=0,0,P74/O74)</f>
        <v>0.935511454000767</v>
      </c>
      <c r="AA74" s="13" t="n">
        <f aca="false">SUMIFS('MA Engine'!$AH$6:$AH$1110,'MA Engine'!$B$6:$B$1110,$A74,'MA Engine'!$H$6:$H$1110,8,'MA Engine'!$I$6:$I$1110,"DO",'MA Engine'!$P$6:$P$1110,"&lt;&gt;Y")+SUMIFS('MA Engine'!$AH$6:$AH$1110,'MA Engine'!$B$6:$B$1110,$A74,'MA Engine'!$H$6:$H$1110,8,'MA Engine'!$I$6:$I$1110,"Unbilled")</f>
        <v>79.92</v>
      </c>
      <c r="AB74" s="13" t="n">
        <f aca="false">SUMIFS('MA Engine'!$AI$6:$AI$1110,'MA Engine'!$B$6:$B$1110,$A74,'MA Engine'!$H$6:$H$1110,8,'MA Engine'!$I$6:$I$1110,"DO",'MA Engine'!$P$6:$P$1110,"&lt;&gt;Y")+SUMIFS('MA Engine'!$AI$6:$AI$1110,'MA Engine'!$B$6:$B$1110,$A74,'MA Engine'!$H$6:$H$1110,8,'MA Engine'!$I$6:$I$1110,"Unbilled")</f>
        <v>0</v>
      </c>
      <c r="AC74" s="13" t="n">
        <f aca="false">SUMIFS('MA Engine'!$AJ$6:$AJ$1110,'MA Engine'!$B$6:$B$1110,$A74,'MA Engine'!$H$6:$H$1110,8,'MA Engine'!$I$6:$I$1110,"DO",'MA Engine'!$P$6:$P$1110,"&lt;&gt;Y")+SUMIFS('MA Engine'!$AJ$6:$AJ$1110,'MA Engine'!$B$6:$B$1110,$A74,'MA Engine'!$H$6:$H$1110,8,'MA Engine'!$I$6:$I$1110,"Unbilled")</f>
        <v>7655.16</v>
      </c>
      <c r="AD74" s="7" t="n">
        <f aca="false">SUMIFS('MA Engine'!$L$6:$L$1110,'MA Engine'!$B$6:$B$1110,$A74,'MA Engine'!$H$6:$H$1110,7,'MA Engine'!$I$6:$I$1110,"&lt;&gt;Opening")</f>
        <v>0</v>
      </c>
      <c r="AE74" s="9" t="n">
        <f aca="false">IF(AND(U74&gt;0.0001,(L74-V74*IF(I74&gt;0,AD74/I74,IF(K74&gt;0,L74/K74,0)))&lt;0),IF(K74&gt;0,L74/K74,0),IF(I74&gt;0,AD74/I74,IF(K74&gt;0,L74/K74,0)))</f>
        <v>25845.5800070522</v>
      </c>
      <c r="AF74" s="9" t="n">
        <f aca="false">IF(U74&lt;=0.0001,IF(K74&gt;0,L74/K74,0),IF((L74-V74*IF(I74&gt;0,AD74/I74,IF(K74&gt;0,L74/K74,0)))&lt;0,IF(K74&gt;0,L74/K74,0),(L74-V74*IF(I74&gt;0,AD74/I74,IF(K74&gt;0,L74/K74,0)))/U74))</f>
        <v>25845.5800070522</v>
      </c>
      <c r="AG74" s="9" t="n">
        <f aca="false">IF(M74&gt;0,N74/M74,IF(K74&gt;0,L74/K74,0))</f>
        <v>37426.5544830007</v>
      </c>
      <c r="AH74" s="7" t="n">
        <f aca="false">SUMIFS('MA Engine'!$X$6:$X$1110,'MA Engine'!$B$6:$B$1110,$A74,'MA Engine'!$H$6:$H$1110,8,'MA Engine'!$I$6:$I$1110,"DO",'MA Engine'!$P$6:$P$1110,"&lt;&gt;Y")+SUMIFS('MA Engine'!$X$6:$X$1110,'MA Engine'!$B$6:$B$1110,$A74,'MA Engine'!$H$6:$H$1110,8,'MA Engine'!$I$6:$I$1110,"Unbilled")</f>
        <v>287119380.969959</v>
      </c>
      <c r="AI74" s="7" t="n">
        <f aca="false">SUMIFS('MA Engine'!$AK$6:$AK$1110,'MA Engine'!$B$6:$B$1110,$A74,'MA Engine'!$H$6:$H$1110,8,'MA Engine'!$I$6:$I$1110,"DO",'MA Engine'!$P$6:$P$1110,"&lt;&gt;Y")+SUMIFS('MA Engine'!$AK$6:$AK$1110,'MA Engine'!$B$6:$B$1110,$A74,'MA Engine'!$H$6:$H$1110,8,'MA Engine'!$I$6:$I$1110,"Unbilled")</f>
        <v>2841226.10364385</v>
      </c>
      <c r="AJ74" s="7" t="n">
        <f aca="false">SUMIFS('MA Engine'!$AL$6:$AL$1110,'MA Engine'!$B$6:$B$1110,$A74,'MA Engine'!$H$6:$H$1110,8,'MA Engine'!$I$6:$I$1110,"DO",'MA Engine'!$P$6:$P$1110,"&lt;&gt;Y")+SUMIFS('MA Engine'!$AL$6:$AL$1110,'MA Engine'!$B$6:$B$1110,$A74,'MA Engine'!$H$6:$H$1110,8,'MA Engine'!$I$6:$I$1110,"Unbilled")</f>
        <v>0</v>
      </c>
      <c r="AK74" s="7" t="n">
        <f aca="false">SUMIFS('MA Engine'!$AM$6:$AM$1110,'MA Engine'!$B$6:$B$1110,$A74,'MA Engine'!$H$6:$H$1110,8,'MA Engine'!$I$6:$I$1110,"DO",'MA Engine'!$P$6:$P$1110,"&lt;&gt;Y")+SUMIFS('MA Engine'!$AM$6:$AM$1110,'MA Engine'!$B$6:$B$1110,$A74,'MA Engine'!$H$6:$H$1110,8,'MA Engine'!$I$6:$I$1110,"Unbilled")</f>
        <v>284278154.866316</v>
      </c>
      <c r="AL74" s="9" t="n">
        <f aca="false">AH74-AI74-AJ74-AK74</f>
        <v>0</v>
      </c>
      <c r="AM74" s="7" t="n">
        <f aca="false">IF(Q74=0,0,IF($D74="Karkas",SUMIFS('Karkas Detail'!$E$6:$E$42,'Karkas Detail'!$A$6:$A$42,$C74,'Karkas Detail'!$B$6:$B$42,$F74,'Karkas Detail'!$C$6:$C$42,$E74)/SUMIFS($Q$36:$Q$127,$C$36:$C$127,$C74,$D$36:$D$127,"Karkas",$F$36:$F$127,$F74,$E$36:$E$127,$E74),SUMIFS('Data SKU'!$G$5:$G$116,'Data SKU'!$A$5:$A$116,$C74,'Data SKU'!$B$5:$B$116,$D74,'Data SKU'!$C$5:$C$116,$E74,'Data SKU'!$D$5:$D$116,8,'Data SKU'!$N$5:$N$116,"Invoiced")/SUMIFS($Q$36:$Q$127,$C$36:$C$127,$C74,$D$36:$D$127,$D74,$E$36:$E$127,$E74))*Q74)+SUMIFS(Unbilled!$U$22:$U$38,Unbilled!$E$22:$E$38,$A74)</f>
        <v>282758401.169734</v>
      </c>
      <c r="AN74" s="9" t="n">
        <f aca="false">IF(P74=0,0,AM74*AA74/P74)</f>
        <v>2921501.96526541</v>
      </c>
      <c r="AO74" s="9" t="n">
        <f aca="false">IF(P74=0,0,AM74*AB74/P74)</f>
        <v>0</v>
      </c>
      <c r="AP74" s="9" t="n">
        <f aca="false">IF(P74=0,0,AM74*AC74/P74)</f>
        <v>279836899.204469</v>
      </c>
      <c r="AQ74" s="14" t="n">
        <f aca="false">MIN(U74+V74,MAX(0,O74-M74))</f>
        <v>0</v>
      </c>
      <c r="AR74" s="14" t="n">
        <f aca="false">MAX(0,AQ74-V74)*Z74</f>
        <v>0</v>
      </c>
      <c r="AS74" s="14" t="n">
        <f aca="false">MIN(V74,AQ74)*Z74</f>
        <v>0</v>
      </c>
      <c r="AT74" s="14" t="n">
        <f aca="false">(O74-AQ74)*Z74</f>
        <v>7735.08</v>
      </c>
      <c r="AU74" s="9" t="n">
        <f aca="false">(AR74+AS74+AT74)*BA74</f>
        <v>287119380.969959</v>
      </c>
      <c r="AV74" s="9" t="n">
        <f aca="false">IF(P74=0,0,AM74*AR74/P74)</f>
        <v>0</v>
      </c>
      <c r="AW74" s="9" t="n">
        <f aca="false">IF(P74=0,0,AM74*AS74/P74)</f>
        <v>0</v>
      </c>
      <c r="AX74" s="9" t="n">
        <f aca="false">IF(P74=0,0,AM74*AT74/P74)</f>
        <v>282758401.169734</v>
      </c>
      <c r="AY74" s="9" t="n">
        <f aca="false">AH74-AU74</f>
        <v>0</v>
      </c>
      <c r="AZ74" s="9" t="n">
        <f aca="false">IF(M74&gt;0,P74*AG74,0)</f>
        <v>289497393.050369</v>
      </c>
      <c r="BA74" s="9" t="n">
        <f aca="false">IF(P74=0,0,AH74/P74)</f>
        <v>37119.1223581346</v>
      </c>
      <c r="BB74" s="74" t="s">
        <v>837</v>
      </c>
      <c r="BC74" s="13" t="n">
        <f aca="false">SUMIFS('MA Engine'!$W$6:$W$1110,'MA Engine'!$B$6:$B$1110,$A74,'MA Engine'!$H$6:$H$1110,7,'MA Engine'!$I$6:$I$1110,"DO")</f>
        <v>0</v>
      </c>
      <c r="BD74" s="14" t="n">
        <f aca="false">MIN(MAX(0,H74),J74)</f>
        <v>0</v>
      </c>
      <c r="BE74" s="14" t="n">
        <f aca="false">J74-BD74</f>
        <v>0</v>
      </c>
      <c r="BF74" s="21" t="n">
        <f aca="false">IF(J74=0,0,BC74/J74)</f>
        <v>0</v>
      </c>
      <c r="BG74" s="13" t="n">
        <f aca="false">SUMIFS('MA Engine'!$AH$6:$AH$1110,'MA Engine'!$B$6:$B$1110,$A74,'MA Engine'!$H$6:$H$1110,7,'MA Engine'!$I$6:$I$1110,"DO")</f>
        <v>0</v>
      </c>
      <c r="BH74" s="13" t="n">
        <f aca="false">SUMIFS('MA Engine'!$AI$6:$AI$1110,'MA Engine'!$B$6:$B$1110,$A74,'MA Engine'!$H$6:$H$1110,7,'MA Engine'!$I$6:$I$1110,"DO")+SUMIFS('MA Engine'!$AJ$6:$AJ$1110,'MA Engine'!$B$6:$B$1110,$A74,'MA Engine'!$H$6:$H$1110,7,'MA Engine'!$I$6:$I$1110,"DO")</f>
        <v>0</v>
      </c>
      <c r="BI74" s="7" t="n">
        <f aca="false">IF(H74&gt;0,SUMIFS('MA Engine'!$L$6:$L$1110,'MA Engine'!$B$6:$B$1110,$A74,'MA Engine'!$I$6:$I$1110,"Opening")/H74,0)</f>
        <v>25845.5800070522</v>
      </c>
      <c r="BJ74" s="9" t="n">
        <f aca="false">IF(I74&gt;0,AD74/I74,BI74)</f>
        <v>25845.5800070522</v>
      </c>
      <c r="BK74" s="7" t="n">
        <f aca="false">SUMIFS('MA Engine'!$X$6:$X$1110,'MA Engine'!$B$6:$B$1110,$A74,'MA Engine'!$H$6:$H$1110,7,'MA Engine'!$I$6:$I$1110,"DO")</f>
        <v>0</v>
      </c>
      <c r="BL74" s="7" t="n">
        <f aca="false">SUMIFS('MA Engine'!$AK$6:$AK$1110,'MA Engine'!$B$6:$B$1110,$A74,'MA Engine'!$H$6:$H$1110,7,'MA Engine'!$I$6:$I$1110,"DO")</f>
        <v>0</v>
      </c>
      <c r="BM74" s="7" t="n">
        <f aca="false">SUMIFS('MA Engine'!$AL$6:$AL$1110,'MA Engine'!$B$6:$B$1110,$A74,'MA Engine'!$H$6:$H$1110,7,'MA Engine'!$I$6:$I$1110,"DO")+SUMIFS('MA Engine'!$AM$6:$AM$1110,'MA Engine'!$B$6:$B$1110,$A74,'MA Engine'!$H$6:$H$1110,7,'MA Engine'!$I$6:$I$1110,"DO")</f>
        <v>0</v>
      </c>
      <c r="BN74" s="9" t="n">
        <f aca="false">BK74-BL74-BM74</f>
        <v>0</v>
      </c>
      <c r="BO74" s="7" t="n">
        <f aca="false">IF(BC74=0,0,SUMIFS('Data SKU'!$G$5:$G$116,'Data SKU'!$A$5:$A$116,$C74,'Data SKU'!$B$5:$B$116,$D74,'Data SKU'!$C$5:$C$116,$E74,'Data SKU'!$D$5:$D$116,7,'Data SKU'!$N$5:$N$116,"Invoiced")/SUMIFS($BC$36:$BC$127,$C$36:$C$127,$C74,$D$36:$D$127,$D74,$E$36:$E$127,$E74)*BC74)</f>
        <v>0</v>
      </c>
      <c r="BP74" s="9" t="n">
        <f aca="false">IF(BC74=0,0,BO74*BG74/BC74)</f>
        <v>0</v>
      </c>
      <c r="BQ74" s="9" t="n">
        <f aca="false">IF(BC74=0,0,BO74*BH74/BC74)</f>
        <v>0</v>
      </c>
    </row>
    <row r="75" customFormat="false" ht="15" hidden="false" customHeight="false" outlineLevel="0" collapsed="false">
      <c r="A75" s="74" t="s">
        <v>987</v>
      </c>
      <c r="B75" s="53" t="str">
        <f aca="false">INDEX(I_Items!$B$5:$B$133,MATCH($A75,I_Items!$A$5:$A$133,0))&amp;""</f>
        <v>Karkas Uk 1.2 Karkas Uk 1.2 Frozen Grade A</v>
      </c>
      <c r="C75" s="53" t="str">
        <f aca="false">INDEX(I_Items!$C$5:$C$133,MATCH($A75,I_Items!$A$5:$A$133,0))&amp;""</f>
        <v>RPA</v>
      </c>
      <c r="D75" s="53" t="str">
        <f aca="false">INDEX(I_Items!$D$5:$D$133,MATCH($A75,I_Items!$A$5:$A$133,0))&amp;""</f>
        <v>Karkas</v>
      </c>
      <c r="E75" s="53" t="str">
        <f aca="false">INDEX(I_Items!$F$5:$F$133,MATCH($A75,I_Items!$A$5:$A$133,0))&amp;""</f>
        <v>Frozen</v>
      </c>
      <c r="F75" s="53" t="str">
        <f aca="false">INDEX(I_Items!$E$5:$E$133,MATCH($A75,I_Items!$A$5:$A$133,0))&amp;""</f>
        <v>Uk 1.2</v>
      </c>
      <c r="G75" s="6" t="str">
        <f aca="false">IF(P75=0,"-",IF(M75=0,"A",IF(K75&lt;=0,"C","B")))</f>
        <v>B</v>
      </c>
      <c r="H75" s="13" t="n">
        <f aca="false">SUMIFS('MA Engine'!$K$6:$K$1110,'MA Engine'!$B$6:$B$1110,$A75,'MA Engine'!$I$6:$I$1110,"Opening")</f>
        <v>132.97</v>
      </c>
      <c r="I75" s="13" t="n">
        <f aca="false">SUMIFS('MA Engine'!$K$6:$K$1110,'MA Engine'!$B$6:$B$1110,$A75,'MA Engine'!$H$6:$H$1110,7,'MA Engine'!$I$6:$I$1110,"&lt;&gt;Opening")</f>
        <v>0</v>
      </c>
      <c r="J75" s="13" t="n">
        <f aca="false">SUMIFS('MA Engine'!$W$6:$W$1110,'MA Engine'!$B$6:$B$1110,$A75,'MA Engine'!$H$6:$H$1110,7)</f>
        <v>0</v>
      </c>
      <c r="K75" s="14" t="n">
        <f aca="false">H75+I75-J75</f>
        <v>132.97</v>
      </c>
      <c r="L75" s="7" t="n">
        <f aca="false">SUMIFS('MA Engine'!$L$6:$L$1110,'MA Engine'!$B$6:$B$1110,$A75,'MA Engine'!$I$6:$I$1110,"Opening")+SUMIFS('MA Engine'!$L$6:$L$1110,'MA Engine'!$B$6:$B$1110,$A75,'MA Engine'!$H$6:$H$1110,7,'MA Engine'!$I$6:$I$1110,"&lt;&gt;Opening")-SUMIFS('MA Engine'!$X$6:$X$1110,'MA Engine'!$B$6:$B$1110,$A75,'MA Engine'!$H$6:$H$1110,7)</f>
        <v>3244024.9</v>
      </c>
      <c r="M75" s="13" t="n">
        <f aca="false">SUMIFS('MA Engine'!$K$6:$K$1110,'MA Engine'!$B$6:$B$1110,$A75,'MA Engine'!$H$6:$H$1110,8)</f>
        <v>1497.78</v>
      </c>
      <c r="N75" s="7" t="n">
        <f aca="false">SUMIFS('MA Engine'!$L$6:$L$1110,'MA Engine'!$B$6:$B$1110,$A75,'MA Engine'!$H$6:$H$1110,8)</f>
        <v>51216765.82</v>
      </c>
      <c r="O75" s="13" t="n">
        <f aca="false">SUMIFS('MA Engine'!$W$6:$W$1110,'MA Engine'!$B$6:$B$1110,$A75,'MA Engine'!$H$6:$H$1110,8)</f>
        <v>59.9</v>
      </c>
      <c r="P75" s="14" t="n">
        <f aca="false">Q75+R75</f>
        <v>59.9</v>
      </c>
      <c r="Q75" s="13" t="n">
        <f aca="false">SUMIFS('MA Engine'!$W$6:$W$1110,'MA Engine'!$B$6:$B$1110,$A75,'MA Engine'!$H$6:$H$1110,8,'MA Engine'!$I$6:$I$1110,"DO",'MA Engine'!$P$6:$P$1110,"&lt;&gt;Y")</f>
        <v>59.9</v>
      </c>
      <c r="R75" s="13" t="n">
        <f aca="false">SUMIFS('MA Engine'!$W$6:$W$1110,'MA Engine'!$B$6:$B$1110,$A75,'MA Engine'!$H$6:$H$1110,8,'MA Engine'!$I$6:$I$1110,"Unbilled")</f>
        <v>0</v>
      </c>
      <c r="S75" s="13" t="n">
        <f aca="false">SUMIFS('MA Engine'!$W$6:$W$1110,'MA Engine'!$B$6:$B$1110,$A75,'MA Engine'!$H$6:$H$1110,8,'MA Engine'!$P$6:$P$1110,"Y")</f>
        <v>0</v>
      </c>
      <c r="T75" s="14" t="n">
        <f aca="false">O75-P75-S75</f>
        <v>0</v>
      </c>
      <c r="U75" s="14" t="n">
        <f aca="false">MAX(0,H75-J75)</f>
        <v>132.97</v>
      </c>
      <c r="V75" s="14" t="n">
        <f aca="false">MAX(0,K75-U75)</f>
        <v>0</v>
      </c>
      <c r="W75" s="14" t="n">
        <f aca="false">MIN(U75,O75)</f>
        <v>59.9</v>
      </c>
      <c r="X75" s="14" t="n">
        <f aca="false">MIN(V75,O75-W75)</f>
        <v>0</v>
      </c>
      <c r="Y75" s="14" t="n">
        <f aca="false">O75-W75-X75</f>
        <v>0</v>
      </c>
      <c r="Z75" s="21" t="n">
        <f aca="false">IF(O75=0,0,P75/O75)</f>
        <v>1</v>
      </c>
      <c r="AA75" s="13" t="n">
        <f aca="false">SUMIFS('MA Engine'!$AH$6:$AH$1110,'MA Engine'!$B$6:$B$1110,$A75,'MA Engine'!$H$6:$H$1110,8,'MA Engine'!$I$6:$I$1110,"DO",'MA Engine'!$P$6:$P$1110,"&lt;&gt;Y")+SUMIFS('MA Engine'!$AH$6:$AH$1110,'MA Engine'!$B$6:$B$1110,$A75,'MA Engine'!$H$6:$H$1110,8,'MA Engine'!$I$6:$I$1110,"Unbilled")</f>
        <v>59.9</v>
      </c>
      <c r="AB75" s="13" t="n">
        <f aca="false">SUMIFS('MA Engine'!$AI$6:$AI$1110,'MA Engine'!$B$6:$B$1110,$A75,'MA Engine'!$H$6:$H$1110,8,'MA Engine'!$I$6:$I$1110,"DO",'MA Engine'!$P$6:$P$1110,"&lt;&gt;Y")+SUMIFS('MA Engine'!$AI$6:$AI$1110,'MA Engine'!$B$6:$B$1110,$A75,'MA Engine'!$H$6:$H$1110,8,'MA Engine'!$I$6:$I$1110,"Unbilled")</f>
        <v>0</v>
      </c>
      <c r="AC75" s="13" t="n">
        <f aca="false">SUMIFS('MA Engine'!$AJ$6:$AJ$1110,'MA Engine'!$B$6:$B$1110,$A75,'MA Engine'!$H$6:$H$1110,8,'MA Engine'!$I$6:$I$1110,"DO",'MA Engine'!$P$6:$P$1110,"&lt;&gt;Y")+SUMIFS('MA Engine'!$AJ$6:$AJ$1110,'MA Engine'!$B$6:$B$1110,$A75,'MA Engine'!$H$6:$H$1110,8,'MA Engine'!$I$6:$I$1110,"Unbilled")</f>
        <v>0</v>
      </c>
      <c r="AD75" s="7" t="n">
        <f aca="false">SUMIFS('MA Engine'!$L$6:$L$1110,'MA Engine'!$B$6:$B$1110,$A75,'MA Engine'!$H$6:$H$1110,7,'MA Engine'!$I$6:$I$1110,"&lt;&gt;Opening")</f>
        <v>0</v>
      </c>
      <c r="AE75" s="9" t="n">
        <f aca="false">IF(AND(U75&gt;0.0001,(L75-V75*IF(I75&gt;0,AD75/I75,IF(K75&gt;0,L75/K75,0)))&lt;0),IF(K75&gt;0,L75/K75,0),IF(I75&gt;0,AD75/I75,IF(K75&gt;0,L75/K75,0)))</f>
        <v>24396.6676693991</v>
      </c>
      <c r="AF75" s="9" t="n">
        <f aca="false">IF(U75&lt;=0.0001,IF(K75&gt;0,L75/K75,0),IF((L75-V75*IF(I75&gt;0,AD75/I75,IF(K75&gt;0,L75/K75,0)))&lt;0,IF(K75&gt;0,L75/K75,0),(L75-V75*IF(I75&gt;0,AD75/I75,IF(K75&gt;0,L75/K75,0)))/U75))</f>
        <v>24396.6676693991</v>
      </c>
      <c r="AG75" s="9" t="n">
        <f aca="false">IF(M75&gt;0,N75/M75,IF(K75&gt;0,L75/K75,0))</f>
        <v>34195.1193232651</v>
      </c>
      <c r="AH75" s="7" t="n">
        <f aca="false">SUMIFS('MA Engine'!$X$6:$X$1110,'MA Engine'!$B$6:$B$1110,$A75,'MA Engine'!$H$6:$H$1110,8,'MA Engine'!$I$6:$I$1110,"DO",'MA Engine'!$P$6:$P$1110,"&lt;&gt;Y")+SUMIFS('MA Engine'!$X$6:$X$1110,'MA Engine'!$B$6:$B$1110,$A75,'MA Engine'!$H$6:$H$1110,8,'MA Engine'!$I$6:$I$1110,"Unbilled")</f>
        <v>1984905.54428483</v>
      </c>
      <c r="AI75" s="7" t="n">
        <f aca="false">SUMIFS('MA Engine'!$AK$6:$AK$1110,'MA Engine'!$B$6:$B$1110,$A75,'MA Engine'!$H$6:$H$1110,8,'MA Engine'!$I$6:$I$1110,"DO",'MA Engine'!$P$6:$P$1110,"&lt;&gt;Y")+SUMIFS('MA Engine'!$AK$6:$AK$1110,'MA Engine'!$B$6:$B$1110,$A75,'MA Engine'!$H$6:$H$1110,8,'MA Engine'!$I$6:$I$1110,"Unbilled")</f>
        <v>1984905.54428483</v>
      </c>
      <c r="AJ75" s="7" t="n">
        <f aca="false">SUMIFS('MA Engine'!$AL$6:$AL$1110,'MA Engine'!$B$6:$B$1110,$A75,'MA Engine'!$H$6:$H$1110,8,'MA Engine'!$I$6:$I$1110,"DO",'MA Engine'!$P$6:$P$1110,"&lt;&gt;Y")+SUMIFS('MA Engine'!$AL$6:$AL$1110,'MA Engine'!$B$6:$B$1110,$A75,'MA Engine'!$H$6:$H$1110,8,'MA Engine'!$I$6:$I$1110,"Unbilled")</f>
        <v>0</v>
      </c>
      <c r="AK75" s="7" t="n">
        <f aca="false">SUMIFS('MA Engine'!$AM$6:$AM$1110,'MA Engine'!$B$6:$B$1110,$A75,'MA Engine'!$H$6:$H$1110,8,'MA Engine'!$I$6:$I$1110,"DO",'MA Engine'!$P$6:$P$1110,"&lt;&gt;Y")+SUMIFS('MA Engine'!$AM$6:$AM$1110,'MA Engine'!$B$6:$B$1110,$A75,'MA Engine'!$H$6:$H$1110,8,'MA Engine'!$I$6:$I$1110,"Unbilled")</f>
        <v>0</v>
      </c>
      <c r="AL75" s="9" t="n">
        <f aca="false">AH75-AI75-AJ75-AK75</f>
        <v>0</v>
      </c>
      <c r="AM75" s="7" t="n">
        <f aca="false">IF(Q75=0,0,IF($D75="Karkas",SUMIFS('Karkas Detail'!$E$6:$E$42,'Karkas Detail'!$A$6:$A$42,$C75,'Karkas Detail'!$B$6:$B$42,$F75,'Karkas Detail'!$C$6:$C$42,$E75)/SUMIFS($Q$36:$Q$127,$C$36:$C$127,$C75,$D$36:$D$127,"Karkas",$F$36:$F$127,$F75,$E$36:$E$127,$E75),SUMIFS('Data SKU'!$G$5:$G$116,'Data SKU'!$A$5:$A$116,$C75,'Data SKU'!$B$5:$B$116,$D75,'Data SKU'!$C$5:$C$116,$E75,'Data SKU'!$D$5:$D$116,8,'Data SKU'!$N$5:$N$116,"Invoiced")/SUMIFS($Q$36:$Q$127,$C$36:$C$127,$C75,$D$36:$D$127,$D75,$E$36:$E$127,$E75))*Q75)+SUMIFS(Unbilled!$U$22:$U$38,Unbilled!$E$22:$E$38,$A75)</f>
        <v>1870955.66999796</v>
      </c>
      <c r="AN75" s="9" t="n">
        <f aca="false">IF(P75=0,0,AM75*AA75/P75)</f>
        <v>1870955.66999796</v>
      </c>
      <c r="AO75" s="9" t="n">
        <f aca="false">IF(P75=0,0,AM75*AB75/P75)</f>
        <v>0</v>
      </c>
      <c r="AP75" s="9" t="n">
        <f aca="false">IF(P75=0,0,AM75*AC75/P75)</f>
        <v>0</v>
      </c>
      <c r="AQ75" s="14" t="n">
        <f aca="false">MIN(U75+V75,MAX(0,O75-M75))</f>
        <v>0</v>
      </c>
      <c r="AR75" s="14" t="n">
        <f aca="false">MAX(0,AQ75-V75)*Z75</f>
        <v>0</v>
      </c>
      <c r="AS75" s="14" t="n">
        <f aca="false">MIN(V75,AQ75)*Z75</f>
        <v>0</v>
      </c>
      <c r="AT75" s="14" t="n">
        <f aca="false">(O75-AQ75)*Z75</f>
        <v>59.9</v>
      </c>
      <c r="AU75" s="9" t="n">
        <f aca="false">(AR75+AS75+AT75)*BA75</f>
        <v>1984905.54428483</v>
      </c>
      <c r="AV75" s="9" t="n">
        <f aca="false">IF(P75=0,0,AM75*AR75/P75)</f>
        <v>0</v>
      </c>
      <c r="AW75" s="9" t="n">
        <f aca="false">IF(P75=0,0,AM75*AS75/P75)</f>
        <v>0</v>
      </c>
      <c r="AX75" s="9" t="n">
        <f aca="false">IF(P75=0,0,AM75*AT75/P75)</f>
        <v>1870955.66999796</v>
      </c>
      <c r="AY75" s="9" t="n">
        <f aca="false">AH75-AU75</f>
        <v>0</v>
      </c>
      <c r="AZ75" s="9" t="n">
        <f aca="false">IF(M75&gt;0,P75*AG75,0)</f>
        <v>2048287.64746358</v>
      </c>
      <c r="BA75" s="9" t="n">
        <f aca="false">IF(P75=0,0,AH75/P75)</f>
        <v>33136.98738372</v>
      </c>
      <c r="BB75" s="74" t="s">
        <v>838</v>
      </c>
      <c r="BC75" s="13" t="n">
        <f aca="false">SUMIFS('MA Engine'!$W$6:$W$1110,'MA Engine'!$B$6:$B$1110,$A75,'MA Engine'!$H$6:$H$1110,7,'MA Engine'!$I$6:$I$1110,"DO")</f>
        <v>0</v>
      </c>
      <c r="BD75" s="14" t="n">
        <f aca="false">MIN(MAX(0,H75),J75)</f>
        <v>0</v>
      </c>
      <c r="BE75" s="14" t="n">
        <f aca="false">J75-BD75</f>
        <v>0</v>
      </c>
      <c r="BF75" s="21" t="n">
        <f aca="false">IF(J75=0,0,BC75/J75)</f>
        <v>0</v>
      </c>
      <c r="BG75" s="13" t="n">
        <f aca="false">SUMIFS('MA Engine'!$AH$6:$AH$1110,'MA Engine'!$B$6:$B$1110,$A75,'MA Engine'!$H$6:$H$1110,7,'MA Engine'!$I$6:$I$1110,"DO")</f>
        <v>0</v>
      </c>
      <c r="BH75" s="13" t="n">
        <f aca="false">SUMIFS('MA Engine'!$AI$6:$AI$1110,'MA Engine'!$B$6:$B$1110,$A75,'MA Engine'!$H$6:$H$1110,7,'MA Engine'!$I$6:$I$1110,"DO")+SUMIFS('MA Engine'!$AJ$6:$AJ$1110,'MA Engine'!$B$6:$B$1110,$A75,'MA Engine'!$H$6:$H$1110,7,'MA Engine'!$I$6:$I$1110,"DO")</f>
        <v>0</v>
      </c>
      <c r="BI75" s="7" t="n">
        <f aca="false">IF(H75&gt;0,SUMIFS('MA Engine'!$L$6:$L$1110,'MA Engine'!$B$6:$B$1110,$A75,'MA Engine'!$I$6:$I$1110,"Opening")/H75,0)</f>
        <v>24396.6676693991</v>
      </c>
      <c r="BJ75" s="9" t="n">
        <f aca="false">IF(I75&gt;0,AD75/I75,BI75)</f>
        <v>24396.6676693991</v>
      </c>
      <c r="BK75" s="7" t="n">
        <f aca="false">SUMIFS('MA Engine'!$X$6:$X$1110,'MA Engine'!$B$6:$B$1110,$A75,'MA Engine'!$H$6:$H$1110,7,'MA Engine'!$I$6:$I$1110,"DO")</f>
        <v>0</v>
      </c>
      <c r="BL75" s="7" t="n">
        <f aca="false">SUMIFS('MA Engine'!$AK$6:$AK$1110,'MA Engine'!$B$6:$B$1110,$A75,'MA Engine'!$H$6:$H$1110,7,'MA Engine'!$I$6:$I$1110,"DO")</f>
        <v>0</v>
      </c>
      <c r="BM75" s="7" t="n">
        <f aca="false">SUMIFS('MA Engine'!$AL$6:$AL$1110,'MA Engine'!$B$6:$B$1110,$A75,'MA Engine'!$H$6:$H$1110,7,'MA Engine'!$I$6:$I$1110,"DO")+SUMIFS('MA Engine'!$AM$6:$AM$1110,'MA Engine'!$B$6:$B$1110,$A75,'MA Engine'!$H$6:$H$1110,7,'MA Engine'!$I$6:$I$1110,"DO")</f>
        <v>0</v>
      </c>
      <c r="BN75" s="9" t="n">
        <f aca="false">BK75-BL75-BM75</f>
        <v>0</v>
      </c>
      <c r="BO75" s="7" t="n">
        <f aca="false">IF(BC75=0,0,SUMIFS('Data SKU'!$G$5:$G$116,'Data SKU'!$A$5:$A$116,$C75,'Data SKU'!$B$5:$B$116,$D75,'Data SKU'!$C$5:$C$116,$E75,'Data SKU'!$D$5:$D$116,7,'Data SKU'!$N$5:$N$116,"Invoiced")/SUMIFS($BC$36:$BC$127,$C$36:$C$127,$C75,$D$36:$D$127,$D75,$E$36:$E$127,$E75)*BC75)</f>
        <v>0</v>
      </c>
      <c r="BP75" s="9" t="n">
        <f aca="false">IF(BC75=0,0,BO75*BG75/BC75)</f>
        <v>0</v>
      </c>
      <c r="BQ75" s="9" t="n">
        <f aca="false">IF(BC75=0,0,BO75*BH75/BC75)</f>
        <v>0</v>
      </c>
    </row>
    <row r="76" customFormat="false" ht="15" hidden="false" customHeight="false" outlineLevel="0" collapsed="false">
      <c r="A76" s="74" t="s">
        <v>988</v>
      </c>
      <c r="B76" s="53" t="str">
        <f aca="false">INDEX(I_Items!$B$5:$B$133,MATCH($A76,I_Items!$A$5:$A$133,0))&amp;""</f>
        <v>Karkas Uk 1.2 Karkas Uk 1.2 Frozen Premium</v>
      </c>
      <c r="C76" s="53" t="str">
        <f aca="false">INDEX(I_Items!$C$5:$C$133,MATCH($A76,I_Items!$A$5:$A$133,0))&amp;""</f>
        <v>RPA</v>
      </c>
      <c r="D76" s="53" t="str">
        <f aca="false">INDEX(I_Items!$D$5:$D$133,MATCH($A76,I_Items!$A$5:$A$133,0))&amp;""</f>
        <v>Karkas</v>
      </c>
      <c r="E76" s="53" t="str">
        <f aca="false">INDEX(I_Items!$F$5:$F$133,MATCH($A76,I_Items!$A$5:$A$133,0))&amp;""</f>
        <v>Frozen</v>
      </c>
      <c r="F76" s="53" t="str">
        <f aca="false">INDEX(I_Items!$E$5:$E$133,MATCH($A76,I_Items!$A$5:$A$133,0))&amp;""</f>
        <v>Uk 1.2</v>
      </c>
      <c r="G76" s="6" t="str">
        <f aca="false">IF(P76=0,"-",IF(M76=0,"A",IF(K76&lt;=0,"C","B")))</f>
        <v>B</v>
      </c>
      <c r="H76" s="13" t="n">
        <f aca="false">SUMIFS('MA Engine'!$K$6:$K$1110,'MA Engine'!$B$6:$B$1110,$A76,'MA Engine'!$I$6:$I$1110,"Opening")</f>
        <v>30.12</v>
      </c>
      <c r="I76" s="13" t="n">
        <f aca="false">SUMIFS('MA Engine'!$K$6:$K$1110,'MA Engine'!$B$6:$B$1110,$A76,'MA Engine'!$H$6:$H$1110,7,'MA Engine'!$I$6:$I$1110,"&lt;&gt;Opening")</f>
        <v>0</v>
      </c>
      <c r="J76" s="13" t="n">
        <f aca="false">SUMIFS('MA Engine'!$W$6:$W$1110,'MA Engine'!$B$6:$B$1110,$A76,'MA Engine'!$H$6:$H$1110,7)</f>
        <v>0</v>
      </c>
      <c r="K76" s="14" t="n">
        <f aca="false">H76+I76-J76</f>
        <v>30.12</v>
      </c>
      <c r="L76" s="7" t="n">
        <f aca="false">SUMIFS('MA Engine'!$L$6:$L$1110,'MA Engine'!$B$6:$B$1110,$A76,'MA Engine'!$I$6:$I$1110,"Opening")+SUMIFS('MA Engine'!$L$6:$L$1110,'MA Engine'!$B$6:$B$1110,$A76,'MA Engine'!$H$6:$H$1110,7,'MA Engine'!$I$6:$I$1110,"&lt;&gt;Opening")-SUMIFS('MA Engine'!$X$6:$X$1110,'MA Engine'!$B$6:$B$1110,$A76,'MA Engine'!$H$6:$H$1110,7)</f>
        <v>677275.68</v>
      </c>
      <c r="M76" s="13" t="n">
        <f aca="false">SUMIFS('MA Engine'!$K$6:$K$1110,'MA Engine'!$B$6:$B$1110,$A76,'MA Engine'!$H$6:$H$1110,8)</f>
        <v>4368.4</v>
      </c>
      <c r="N76" s="7" t="n">
        <f aca="false">SUMIFS('MA Engine'!$L$6:$L$1110,'MA Engine'!$B$6:$B$1110,$A76,'MA Engine'!$H$6:$H$1110,8)</f>
        <v>163700207.44</v>
      </c>
      <c r="O76" s="13" t="n">
        <f aca="false">SUMIFS('MA Engine'!$W$6:$W$1110,'MA Engine'!$B$6:$B$1110,$A76,'MA Engine'!$H$6:$H$1110,8)</f>
        <v>675.55</v>
      </c>
      <c r="P76" s="14" t="n">
        <f aca="false">Q76+R76</f>
        <v>675.55</v>
      </c>
      <c r="Q76" s="13" t="n">
        <f aca="false">SUMIFS('MA Engine'!$W$6:$W$1110,'MA Engine'!$B$6:$B$1110,$A76,'MA Engine'!$H$6:$H$1110,8,'MA Engine'!$I$6:$I$1110,"DO",'MA Engine'!$P$6:$P$1110,"&lt;&gt;Y")</f>
        <v>675.55</v>
      </c>
      <c r="R76" s="13" t="n">
        <f aca="false">SUMIFS('MA Engine'!$W$6:$W$1110,'MA Engine'!$B$6:$B$1110,$A76,'MA Engine'!$H$6:$H$1110,8,'MA Engine'!$I$6:$I$1110,"Unbilled")</f>
        <v>0</v>
      </c>
      <c r="S76" s="13" t="n">
        <f aca="false">SUMIFS('MA Engine'!$W$6:$W$1110,'MA Engine'!$B$6:$B$1110,$A76,'MA Engine'!$H$6:$H$1110,8,'MA Engine'!$P$6:$P$1110,"Y")</f>
        <v>0</v>
      </c>
      <c r="T76" s="14" t="n">
        <f aca="false">O76-P76-S76</f>
        <v>0</v>
      </c>
      <c r="U76" s="14" t="n">
        <f aca="false">MAX(0,H76-J76)</f>
        <v>30.12</v>
      </c>
      <c r="V76" s="14" t="n">
        <f aca="false">MAX(0,K76-U76)</f>
        <v>0</v>
      </c>
      <c r="W76" s="14" t="n">
        <f aca="false">MIN(U76,O76)</f>
        <v>30.12</v>
      </c>
      <c r="X76" s="14" t="n">
        <f aca="false">MIN(V76,O76-W76)</f>
        <v>0</v>
      </c>
      <c r="Y76" s="14" t="n">
        <f aca="false">O76-W76-X76</f>
        <v>645.43</v>
      </c>
      <c r="Z76" s="21" t="n">
        <f aca="false">IF(O76=0,0,P76/O76)</f>
        <v>1</v>
      </c>
      <c r="AA76" s="13" t="n">
        <f aca="false">SUMIFS('MA Engine'!$AH$6:$AH$1110,'MA Engine'!$B$6:$B$1110,$A76,'MA Engine'!$H$6:$H$1110,8,'MA Engine'!$I$6:$I$1110,"DO",'MA Engine'!$P$6:$P$1110,"&lt;&gt;Y")+SUMIFS('MA Engine'!$AH$6:$AH$1110,'MA Engine'!$B$6:$B$1110,$A76,'MA Engine'!$H$6:$H$1110,8,'MA Engine'!$I$6:$I$1110,"Unbilled")</f>
        <v>30.12</v>
      </c>
      <c r="AB76" s="13" t="n">
        <f aca="false">SUMIFS('MA Engine'!$AI$6:$AI$1110,'MA Engine'!$B$6:$B$1110,$A76,'MA Engine'!$H$6:$H$1110,8,'MA Engine'!$I$6:$I$1110,"DO",'MA Engine'!$P$6:$P$1110,"&lt;&gt;Y")+SUMIFS('MA Engine'!$AI$6:$AI$1110,'MA Engine'!$B$6:$B$1110,$A76,'MA Engine'!$H$6:$H$1110,8,'MA Engine'!$I$6:$I$1110,"Unbilled")</f>
        <v>0</v>
      </c>
      <c r="AC76" s="13" t="n">
        <f aca="false">SUMIFS('MA Engine'!$AJ$6:$AJ$1110,'MA Engine'!$B$6:$B$1110,$A76,'MA Engine'!$H$6:$H$1110,8,'MA Engine'!$I$6:$I$1110,"DO",'MA Engine'!$P$6:$P$1110,"&lt;&gt;Y")+SUMIFS('MA Engine'!$AJ$6:$AJ$1110,'MA Engine'!$B$6:$B$1110,$A76,'MA Engine'!$H$6:$H$1110,8,'MA Engine'!$I$6:$I$1110,"Unbilled")</f>
        <v>645.43</v>
      </c>
      <c r="AD76" s="7" t="n">
        <f aca="false">SUMIFS('MA Engine'!$L$6:$L$1110,'MA Engine'!$B$6:$B$1110,$A76,'MA Engine'!$H$6:$H$1110,7,'MA Engine'!$I$6:$I$1110,"&lt;&gt;Opening")</f>
        <v>0</v>
      </c>
      <c r="AE76" s="9" t="n">
        <f aca="false">IF(AND(U76&gt;0.0001,(L76-V76*IF(I76&gt;0,AD76/I76,IF(K76&gt;0,L76/K76,0)))&lt;0),IF(K76&gt;0,L76/K76,0),IF(I76&gt;0,AD76/I76,IF(K76&gt;0,L76/K76,0)))</f>
        <v>22485.9123505976</v>
      </c>
      <c r="AF76" s="9" t="n">
        <f aca="false">IF(U76&lt;=0.0001,IF(K76&gt;0,L76/K76,0),IF((L76-V76*IF(I76&gt;0,AD76/I76,IF(K76&gt;0,L76/K76,0)))&lt;0,IF(K76&gt;0,L76/K76,0),(L76-V76*IF(I76&gt;0,AD76/I76,IF(K76&gt;0,L76/K76,0)))/U76))</f>
        <v>22485.9123505976</v>
      </c>
      <c r="AG76" s="9" t="n">
        <f aca="false">IF(M76&gt;0,N76/M76,IF(K76&gt;0,L76/K76,0))</f>
        <v>37473.7220584196</v>
      </c>
      <c r="AH76" s="7" t="n">
        <f aca="false">SUMIFS('MA Engine'!$X$6:$X$1110,'MA Engine'!$B$6:$B$1110,$A76,'MA Engine'!$H$6:$H$1110,8,'MA Engine'!$I$6:$I$1110,"DO",'MA Engine'!$P$6:$P$1110,"&lt;&gt;Y")+SUMIFS('MA Engine'!$X$6:$X$1110,'MA Engine'!$B$6:$B$1110,$A76,'MA Engine'!$H$6:$H$1110,8,'MA Engine'!$I$6:$I$1110,"Unbilled")</f>
        <v>25375293.1446676</v>
      </c>
      <c r="AI76" s="7" t="n">
        <f aca="false">SUMIFS('MA Engine'!$AK$6:$AK$1110,'MA Engine'!$B$6:$B$1110,$A76,'MA Engine'!$H$6:$H$1110,8,'MA Engine'!$I$6:$I$1110,"DO",'MA Engine'!$P$6:$P$1110,"&lt;&gt;Y")+SUMIFS('MA Engine'!$AK$6:$AK$1110,'MA Engine'!$B$6:$B$1110,$A76,'MA Engine'!$H$6:$H$1110,8,'MA Engine'!$I$6:$I$1110,"Unbilled")</f>
        <v>1120097.93065011</v>
      </c>
      <c r="AJ76" s="7" t="n">
        <f aca="false">SUMIFS('MA Engine'!$AL$6:$AL$1110,'MA Engine'!$B$6:$B$1110,$A76,'MA Engine'!$H$6:$H$1110,8,'MA Engine'!$I$6:$I$1110,"DO",'MA Engine'!$P$6:$P$1110,"&lt;&gt;Y")+SUMIFS('MA Engine'!$AL$6:$AL$1110,'MA Engine'!$B$6:$B$1110,$A76,'MA Engine'!$H$6:$H$1110,8,'MA Engine'!$I$6:$I$1110,"Unbilled")</f>
        <v>0</v>
      </c>
      <c r="AK76" s="7" t="n">
        <f aca="false">SUMIFS('MA Engine'!$AM$6:$AM$1110,'MA Engine'!$B$6:$B$1110,$A76,'MA Engine'!$H$6:$H$1110,8,'MA Engine'!$I$6:$I$1110,"DO",'MA Engine'!$P$6:$P$1110,"&lt;&gt;Y")+SUMIFS('MA Engine'!$AM$6:$AM$1110,'MA Engine'!$B$6:$B$1110,$A76,'MA Engine'!$H$6:$H$1110,8,'MA Engine'!$I$6:$I$1110,"Unbilled")</f>
        <v>24255195.2140174</v>
      </c>
      <c r="AL76" s="9" t="n">
        <f aca="false">AH76-AI76-AJ76-AK76</f>
        <v>0</v>
      </c>
      <c r="AM76" s="7" t="n">
        <f aca="false">IF(Q76=0,0,IF($D76="Karkas",SUMIFS('Karkas Detail'!$E$6:$E$42,'Karkas Detail'!$A$6:$A$42,$C76,'Karkas Detail'!$B$6:$B$42,$F76,'Karkas Detail'!$C$6:$C$42,$E76)/SUMIFS($Q$36:$Q$127,$C$36:$C$127,$C76,$D$36:$D$127,"Karkas",$F$36:$F$127,$F76,$E$36:$E$127,$E76),SUMIFS('Data SKU'!$G$5:$G$116,'Data SKU'!$A$5:$A$116,$C76,'Data SKU'!$B$5:$B$116,$D76,'Data SKU'!$C$5:$C$116,$E76,'Data SKU'!$D$5:$D$116,8,'Data SKU'!$N$5:$N$116,"Invoiced")/SUMIFS($Q$36:$Q$127,$C$36:$C$127,$C76,$D$36:$D$127,$D76,$E$36:$E$127,$E76))*Q76)+SUMIFS(Unbilled!$U$22:$U$38,Unbilled!$E$22:$E$38,$A76)</f>
        <v>21100569.330002</v>
      </c>
      <c r="AN76" s="9" t="n">
        <f aca="false">IF(P76=0,0,AM76*AA76/P76)</f>
        <v>940787.725882113</v>
      </c>
      <c r="AO76" s="9" t="n">
        <f aca="false">IF(P76=0,0,AM76*AB76/P76)</f>
        <v>0</v>
      </c>
      <c r="AP76" s="9" t="n">
        <f aca="false">IF(P76=0,0,AM76*AC76/P76)</f>
        <v>20159781.6041199</v>
      </c>
      <c r="AQ76" s="14" t="n">
        <f aca="false">MIN(U76+V76,MAX(0,O76-M76))</f>
        <v>0</v>
      </c>
      <c r="AR76" s="14" t="n">
        <f aca="false">MAX(0,AQ76-V76)*Z76</f>
        <v>0</v>
      </c>
      <c r="AS76" s="14" t="n">
        <f aca="false">MIN(V76,AQ76)*Z76</f>
        <v>0</v>
      </c>
      <c r="AT76" s="14" t="n">
        <f aca="false">(O76-AQ76)*Z76</f>
        <v>675.55</v>
      </c>
      <c r="AU76" s="9" t="n">
        <f aca="false">(AR76+AS76+AT76)*BA76</f>
        <v>25375293.1446676</v>
      </c>
      <c r="AV76" s="9" t="n">
        <f aca="false">IF(P76=0,0,AM76*AR76/P76)</f>
        <v>0</v>
      </c>
      <c r="AW76" s="9" t="n">
        <f aca="false">IF(P76=0,0,AM76*AS76/P76)</f>
        <v>0</v>
      </c>
      <c r="AX76" s="9" t="n">
        <f aca="false">IF(P76=0,0,AM76*AT76/P76)</f>
        <v>21100569.330002</v>
      </c>
      <c r="AY76" s="9" t="n">
        <f aca="false">AH76-AU76</f>
        <v>0</v>
      </c>
      <c r="AZ76" s="9" t="n">
        <f aca="false">IF(M76&gt;0,P76*AG76,0)</f>
        <v>25315372.9365653</v>
      </c>
      <c r="BA76" s="9" t="n">
        <f aca="false">IF(P76=0,0,AH76/P76)</f>
        <v>37562.4204643143</v>
      </c>
      <c r="BB76" s="74" t="s">
        <v>838</v>
      </c>
      <c r="BC76" s="13" t="n">
        <f aca="false">SUMIFS('MA Engine'!$W$6:$W$1110,'MA Engine'!$B$6:$B$1110,$A76,'MA Engine'!$H$6:$H$1110,7,'MA Engine'!$I$6:$I$1110,"DO")</f>
        <v>0</v>
      </c>
      <c r="BD76" s="14" t="n">
        <f aca="false">MIN(MAX(0,H76),J76)</f>
        <v>0</v>
      </c>
      <c r="BE76" s="14" t="n">
        <f aca="false">J76-BD76</f>
        <v>0</v>
      </c>
      <c r="BF76" s="21" t="n">
        <f aca="false">IF(J76=0,0,BC76/J76)</f>
        <v>0</v>
      </c>
      <c r="BG76" s="13" t="n">
        <f aca="false">SUMIFS('MA Engine'!$AH$6:$AH$1110,'MA Engine'!$B$6:$B$1110,$A76,'MA Engine'!$H$6:$H$1110,7,'MA Engine'!$I$6:$I$1110,"DO")</f>
        <v>0</v>
      </c>
      <c r="BH76" s="13" t="n">
        <f aca="false">SUMIFS('MA Engine'!$AI$6:$AI$1110,'MA Engine'!$B$6:$B$1110,$A76,'MA Engine'!$H$6:$H$1110,7,'MA Engine'!$I$6:$I$1110,"DO")+SUMIFS('MA Engine'!$AJ$6:$AJ$1110,'MA Engine'!$B$6:$B$1110,$A76,'MA Engine'!$H$6:$H$1110,7,'MA Engine'!$I$6:$I$1110,"DO")</f>
        <v>0</v>
      </c>
      <c r="BI76" s="7" t="n">
        <f aca="false">IF(H76&gt;0,SUMIFS('MA Engine'!$L$6:$L$1110,'MA Engine'!$B$6:$B$1110,$A76,'MA Engine'!$I$6:$I$1110,"Opening")/H76,0)</f>
        <v>22485.9123505976</v>
      </c>
      <c r="BJ76" s="9" t="n">
        <f aca="false">IF(I76&gt;0,AD76/I76,BI76)</f>
        <v>22485.9123505976</v>
      </c>
      <c r="BK76" s="7" t="n">
        <f aca="false">SUMIFS('MA Engine'!$X$6:$X$1110,'MA Engine'!$B$6:$B$1110,$A76,'MA Engine'!$H$6:$H$1110,7,'MA Engine'!$I$6:$I$1110,"DO")</f>
        <v>0</v>
      </c>
      <c r="BL76" s="7" t="n">
        <f aca="false">SUMIFS('MA Engine'!$AK$6:$AK$1110,'MA Engine'!$B$6:$B$1110,$A76,'MA Engine'!$H$6:$H$1110,7,'MA Engine'!$I$6:$I$1110,"DO")</f>
        <v>0</v>
      </c>
      <c r="BM76" s="7" t="n">
        <f aca="false">SUMIFS('MA Engine'!$AL$6:$AL$1110,'MA Engine'!$B$6:$B$1110,$A76,'MA Engine'!$H$6:$H$1110,7,'MA Engine'!$I$6:$I$1110,"DO")+SUMIFS('MA Engine'!$AM$6:$AM$1110,'MA Engine'!$B$6:$B$1110,$A76,'MA Engine'!$H$6:$H$1110,7,'MA Engine'!$I$6:$I$1110,"DO")</f>
        <v>0</v>
      </c>
      <c r="BN76" s="9" t="n">
        <f aca="false">BK76-BL76-BM76</f>
        <v>0</v>
      </c>
      <c r="BO76" s="7" t="n">
        <f aca="false">IF(BC76=0,0,SUMIFS('Data SKU'!$G$5:$G$116,'Data SKU'!$A$5:$A$116,$C76,'Data SKU'!$B$5:$B$116,$D76,'Data SKU'!$C$5:$C$116,$E76,'Data SKU'!$D$5:$D$116,7,'Data SKU'!$N$5:$N$116,"Invoiced")/SUMIFS($BC$36:$BC$127,$C$36:$C$127,$C76,$D$36:$D$127,$D76,$E$36:$E$127,$E76)*BC76)</f>
        <v>0</v>
      </c>
      <c r="BP76" s="9" t="n">
        <f aca="false">IF(BC76=0,0,BO76*BG76/BC76)</f>
        <v>0</v>
      </c>
      <c r="BQ76" s="9" t="n">
        <f aca="false">IF(BC76=0,0,BO76*BH76/BC76)</f>
        <v>0</v>
      </c>
    </row>
    <row r="77" customFormat="false" ht="15" hidden="false" customHeight="false" outlineLevel="0" collapsed="false">
      <c r="A77" s="74" t="s">
        <v>989</v>
      </c>
      <c r="B77" s="53" t="str">
        <f aca="false">INDEX(I_Items!$B$5:$B$133,MATCH($A77,I_Items!$A$5:$A$133,0))&amp;""</f>
        <v>Karkas Uk 1.3 Karkas Uk 1.3 Fresh Grade A</v>
      </c>
      <c r="C77" s="53" t="str">
        <f aca="false">INDEX(I_Items!$C$5:$C$133,MATCH($A77,I_Items!$A$5:$A$133,0))&amp;""</f>
        <v>RPA</v>
      </c>
      <c r="D77" s="53" t="str">
        <f aca="false">INDEX(I_Items!$D$5:$D$133,MATCH($A77,I_Items!$A$5:$A$133,0))&amp;""</f>
        <v>Karkas</v>
      </c>
      <c r="E77" s="53" t="str">
        <f aca="false">INDEX(I_Items!$F$5:$F$133,MATCH($A77,I_Items!$A$5:$A$133,0))&amp;""</f>
        <v>Fresh</v>
      </c>
      <c r="F77" s="53" t="str">
        <f aca="false">INDEX(I_Items!$E$5:$E$133,MATCH($A77,I_Items!$A$5:$A$133,0))&amp;""</f>
        <v>Uk 1.3</v>
      </c>
      <c r="G77" s="6" t="str">
        <f aca="false">IF(P77=0,"-",IF(M77=0,"A",IF(K77&lt;=0,"C","B")))</f>
        <v>-</v>
      </c>
      <c r="H77" s="13" t="n">
        <f aca="false">SUMIFS('MA Engine'!$K$6:$K$1110,'MA Engine'!$B$6:$B$1110,$A77,'MA Engine'!$I$6:$I$1110,"Opening")</f>
        <v>0</v>
      </c>
      <c r="I77" s="13" t="n">
        <f aca="false">SUMIFS('MA Engine'!$K$6:$K$1110,'MA Engine'!$B$6:$B$1110,$A77,'MA Engine'!$H$6:$H$1110,7,'MA Engine'!$I$6:$I$1110,"&lt;&gt;Opening")</f>
        <v>0</v>
      </c>
      <c r="J77" s="13" t="n">
        <f aca="false">SUMIFS('MA Engine'!$W$6:$W$1110,'MA Engine'!$B$6:$B$1110,$A77,'MA Engine'!$H$6:$H$1110,7)</f>
        <v>0</v>
      </c>
      <c r="K77" s="14" t="n">
        <f aca="false">H77+I77-J77</f>
        <v>0</v>
      </c>
      <c r="L77" s="7" t="n">
        <f aca="false">SUMIFS('MA Engine'!$L$6:$L$1110,'MA Engine'!$B$6:$B$1110,$A77,'MA Engine'!$I$6:$I$1110,"Opening")+SUMIFS('MA Engine'!$L$6:$L$1110,'MA Engine'!$B$6:$B$1110,$A77,'MA Engine'!$H$6:$H$1110,7,'MA Engine'!$I$6:$I$1110,"&lt;&gt;Opening")-SUMIFS('MA Engine'!$X$6:$X$1110,'MA Engine'!$B$6:$B$1110,$A77,'MA Engine'!$H$6:$H$1110,7)</f>
        <v>0</v>
      </c>
      <c r="M77" s="13" t="n">
        <f aca="false">SUMIFS('MA Engine'!$K$6:$K$1110,'MA Engine'!$B$6:$B$1110,$A77,'MA Engine'!$H$6:$H$1110,8)</f>
        <v>26.9</v>
      </c>
      <c r="N77" s="7" t="n">
        <f aca="false">SUMIFS('MA Engine'!$L$6:$L$1110,'MA Engine'!$B$6:$B$1110,$A77,'MA Engine'!$H$6:$H$1110,8)</f>
        <v>820286.23</v>
      </c>
      <c r="O77" s="13" t="n">
        <f aca="false">SUMIFS('MA Engine'!$W$6:$W$1110,'MA Engine'!$B$6:$B$1110,$A77,'MA Engine'!$H$6:$H$1110,8)</f>
        <v>0</v>
      </c>
      <c r="P77" s="14" t="n">
        <f aca="false">Q77+R77</f>
        <v>0</v>
      </c>
      <c r="Q77" s="13" t="n">
        <f aca="false">SUMIFS('MA Engine'!$W$6:$W$1110,'MA Engine'!$B$6:$B$1110,$A77,'MA Engine'!$H$6:$H$1110,8,'MA Engine'!$I$6:$I$1110,"DO",'MA Engine'!$P$6:$P$1110,"&lt;&gt;Y")</f>
        <v>0</v>
      </c>
      <c r="R77" s="13" t="n">
        <f aca="false">SUMIFS('MA Engine'!$W$6:$W$1110,'MA Engine'!$B$6:$B$1110,$A77,'MA Engine'!$H$6:$H$1110,8,'MA Engine'!$I$6:$I$1110,"Unbilled")</f>
        <v>0</v>
      </c>
      <c r="S77" s="13" t="n">
        <f aca="false">SUMIFS('MA Engine'!$W$6:$W$1110,'MA Engine'!$B$6:$B$1110,$A77,'MA Engine'!$H$6:$H$1110,8,'MA Engine'!$P$6:$P$1110,"Y")</f>
        <v>0</v>
      </c>
      <c r="T77" s="14" t="n">
        <f aca="false">O77-P77-S77</f>
        <v>0</v>
      </c>
      <c r="U77" s="14" t="n">
        <f aca="false">MAX(0,H77-J77)</f>
        <v>0</v>
      </c>
      <c r="V77" s="14" t="n">
        <f aca="false">MAX(0,K77-U77)</f>
        <v>0</v>
      </c>
      <c r="W77" s="14" t="n">
        <f aca="false">MIN(U77,O77)</f>
        <v>0</v>
      </c>
      <c r="X77" s="14" t="n">
        <f aca="false">MIN(V77,O77-W77)</f>
        <v>0</v>
      </c>
      <c r="Y77" s="14" t="n">
        <f aca="false">O77-W77-X77</f>
        <v>0</v>
      </c>
      <c r="Z77" s="21" t="n">
        <f aca="false">IF(O77=0,0,P77/O77)</f>
        <v>0</v>
      </c>
      <c r="AA77" s="13" t="n">
        <f aca="false">SUMIFS('MA Engine'!$AH$6:$AH$1110,'MA Engine'!$B$6:$B$1110,$A77,'MA Engine'!$H$6:$H$1110,8,'MA Engine'!$I$6:$I$1110,"DO",'MA Engine'!$P$6:$P$1110,"&lt;&gt;Y")+SUMIFS('MA Engine'!$AH$6:$AH$1110,'MA Engine'!$B$6:$B$1110,$A77,'MA Engine'!$H$6:$H$1110,8,'MA Engine'!$I$6:$I$1110,"Unbilled")</f>
        <v>0</v>
      </c>
      <c r="AB77" s="13" t="n">
        <f aca="false">SUMIFS('MA Engine'!$AI$6:$AI$1110,'MA Engine'!$B$6:$B$1110,$A77,'MA Engine'!$H$6:$H$1110,8,'MA Engine'!$I$6:$I$1110,"DO",'MA Engine'!$P$6:$P$1110,"&lt;&gt;Y")+SUMIFS('MA Engine'!$AI$6:$AI$1110,'MA Engine'!$B$6:$B$1110,$A77,'MA Engine'!$H$6:$H$1110,8,'MA Engine'!$I$6:$I$1110,"Unbilled")</f>
        <v>0</v>
      </c>
      <c r="AC77" s="13" t="n">
        <f aca="false">SUMIFS('MA Engine'!$AJ$6:$AJ$1110,'MA Engine'!$B$6:$B$1110,$A77,'MA Engine'!$H$6:$H$1110,8,'MA Engine'!$I$6:$I$1110,"DO",'MA Engine'!$P$6:$P$1110,"&lt;&gt;Y")+SUMIFS('MA Engine'!$AJ$6:$AJ$1110,'MA Engine'!$B$6:$B$1110,$A77,'MA Engine'!$H$6:$H$1110,8,'MA Engine'!$I$6:$I$1110,"Unbilled")</f>
        <v>0</v>
      </c>
      <c r="AD77" s="7" t="n">
        <f aca="false">SUMIFS('MA Engine'!$L$6:$L$1110,'MA Engine'!$B$6:$B$1110,$A77,'MA Engine'!$H$6:$H$1110,7,'MA Engine'!$I$6:$I$1110,"&lt;&gt;Opening")</f>
        <v>0</v>
      </c>
      <c r="AE77" s="9" t="n">
        <f aca="false">IF(AND(U77&gt;0.0001,(L77-V77*IF(I77&gt;0,AD77/I77,IF(K77&gt;0,L77/K77,0)))&lt;0),IF(K77&gt;0,L77/K77,0),IF(I77&gt;0,AD77/I77,IF(K77&gt;0,L77/K77,0)))</f>
        <v>0</v>
      </c>
      <c r="AF77" s="9" t="n">
        <f aca="false">IF(U77&lt;=0.0001,IF(K77&gt;0,L77/K77,0),IF((L77-V77*IF(I77&gt;0,AD77/I77,IF(K77&gt;0,L77/K77,0)))&lt;0,IF(K77&gt;0,L77/K77,0),(L77-V77*IF(I77&gt;0,AD77/I77,IF(K77&gt;0,L77/K77,0)))/U77))</f>
        <v>0</v>
      </c>
      <c r="AG77" s="9" t="n">
        <f aca="false">IF(M77&gt;0,N77/M77,IF(K77&gt;0,L77/K77,0))</f>
        <v>30493.9118959108</v>
      </c>
      <c r="AH77" s="7" t="n">
        <f aca="false">SUMIFS('MA Engine'!$X$6:$X$1110,'MA Engine'!$B$6:$B$1110,$A77,'MA Engine'!$H$6:$H$1110,8,'MA Engine'!$I$6:$I$1110,"DO",'MA Engine'!$P$6:$P$1110,"&lt;&gt;Y")+SUMIFS('MA Engine'!$X$6:$X$1110,'MA Engine'!$B$6:$B$1110,$A77,'MA Engine'!$H$6:$H$1110,8,'MA Engine'!$I$6:$I$1110,"Unbilled")</f>
        <v>0</v>
      </c>
      <c r="AI77" s="7" t="n">
        <f aca="false">SUMIFS('MA Engine'!$AK$6:$AK$1110,'MA Engine'!$B$6:$B$1110,$A77,'MA Engine'!$H$6:$H$1110,8,'MA Engine'!$I$6:$I$1110,"DO",'MA Engine'!$P$6:$P$1110,"&lt;&gt;Y")+SUMIFS('MA Engine'!$AK$6:$AK$1110,'MA Engine'!$B$6:$B$1110,$A77,'MA Engine'!$H$6:$H$1110,8,'MA Engine'!$I$6:$I$1110,"Unbilled")</f>
        <v>0</v>
      </c>
      <c r="AJ77" s="7" t="n">
        <f aca="false">SUMIFS('MA Engine'!$AL$6:$AL$1110,'MA Engine'!$B$6:$B$1110,$A77,'MA Engine'!$H$6:$H$1110,8,'MA Engine'!$I$6:$I$1110,"DO",'MA Engine'!$P$6:$P$1110,"&lt;&gt;Y")+SUMIFS('MA Engine'!$AL$6:$AL$1110,'MA Engine'!$B$6:$B$1110,$A77,'MA Engine'!$H$6:$H$1110,8,'MA Engine'!$I$6:$I$1110,"Unbilled")</f>
        <v>0</v>
      </c>
      <c r="AK77" s="7" t="n">
        <f aca="false">SUMIFS('MA Engine'!$AM$6:$AM$1110,'MA Engine'!$B$6:$B$1110,$A77,'MA Engine'!$H$6:$H$1110,8,'MA Engine'!$I$6:$I$1110,"DO",'MA Engine'!$P$6:$P$1110,"&lt;&gt;Y")+SUMIFS('MA Engine'!$AM$6:$AM$1110,'MA Engine'!$B$6:$B$1110,$A77,'MA Engine'!$H$6:$H$1110,8,'MA Engine'!$I$6:$I$1110,"Unbilled")</f>
        <v>0</v>
      </c>
      <c r="AL77" s="9" t="n">
        <f aca="false">AH77-AI77-AJ77-AK77</f>
        <v>0</v>
      </c>
      <c r="AM77" s="7" t="n">
        <f aca="false">IF(Q77=0,0,IF($D77="Karkas",SUMIFS('Karkas Detail'!$E$6:$E$42,'Karkas Detail'!$A$6:$A$42,$C77,'Karkas Detail'!$B$6:$B$42,$F77,'Karkas Detail'!$C$6:$C$42,$E77)/SUMIFS($Q$36:$Q$127,$C$36:$C$127,$C77,$D$36:$D$127,"Karkas",$F$36:$F$127,$F77,$E$36:$E$127,$E77),SUMIFS('Data SKU'!$G$5:$G$116,'Data SKU'!$A$5:$A$116,$C77,'Data SKU'!$B$5:$B$116,$D77,'Data SKU'!$C$5:$C$116,$E77,'Data SKU'!$D$5:$D$116,8,'Data SKU'!$N$5:$N$116,"Invoiced")/SUMIFS($Q$36:$Q$127,$C$36:$C$127,$C77,$D$36:$D$127,$D77,$E$36:$E$127,$E77))*Q77)+SUMIFS(Unbilled!$U$22:$U$38,Unbilled!$E$22:$E$38,$A77)</f>
        <v>0</v>
      </c>
      <c r="AN77" s="9" t="n">
        <f aca="false">IF(P77=0,0,AM77*AA77/P77)</f>
        <v>0</v>
      </c>
      <c r="AO77" s="9" t="n">
        <f aca="false">IF(P77=0,0,AM77*AB77/P77)</f>
        <v>0</v>
      </c>
      <c r="AP77" s="9" t="n">
        <f aca="false">IF(P77=0,0,AM77*AC77/P77)</f>
        <v>0</v>
      </c>
      <c r="AQ77" s="14" t="n">
        <f aca="false">MIN(U77+V77,MAX(0,O77-M77))</f>
        <v>0</v>
      </c>
      <c r="AR77" s="14" t="n">
        <f aca="false">MAX(0,AQ77-V77)*Z77</f>
        <v>0</v>
      </c>
      <c r="AS77" s="14" t="n">
        <f aca="false">MIN(V77,AQ77)*Z77</f>
        <v>0</v>
      </c>
      <c r="AT77" s="14" t="n">
        <f aca="false">(O77-AQ77)*Z77</f>
        <v>0</v>
      </c>
      <c r="AU77" s="9" t="n">
        <f aca="false">(AR77+AS77+AT77)*BA77</f>
        <v>0</v>
      </c>
      <c r="AV77" s="9" t="n">
        <f aca="false">IF(P77=0,0,AM77*AR77/P77)</f>
        <v>0</v>
      </c>
      <c r="AW77" s="9" t="n">
        <f aca="false">IF(P77=0,0,AM77*AS77/P77)</f>
        <v>0</v>
      </c>
      <c r="AX77" s="9" t="n">
        <f aca="false">IF(P77=0,0,AM77*AT77/P77)</f>
        <v>0</v>
      </c>
      <c r="AY77" s="9" t="n">
        <f aca="false">AH77-AU77</f>
        <v>0</v>
      </c>
      <c r="AZ77" s="9" t="n">
        <f aca="false">IF(M77&gt;0,P77*AG77,0)</f>
        <v>0</v>
      </c>
      <c r="BA77" s="9" t="n">
        <f aca="false">IF(P77=0,0,AH77/P77)</f>
        <v>0</v>
      </c>
      <c r="BB77" s="74" t="s">
        <v>837</v>
      </c>
      <c r="BC77" s="13" t="n">
        <f aca="false">SUMIFS('MA Engine'!$W$6:$W$1110,'MA Engine'!$B$6:$B$1110,$A77,'MA Engine'!$H$6:$H$1110,7,'MA Engine'!$I$6:$I$1110,"DO")</f>
        <v>0</v>
      </c>
      <c r="BD77" s="14" t="n">
        <f aca="false">MIN(MAX(0,H77),J77)</f>
        <v>0</v>
      </c>
      <c r="BE77" s="14" t="n">
        <f aca="false">J77-BD77</f>
        <v>0</v>
      </c>
      <c r="BF77" s="21" t="n">
        <f aca="false">IF(J77=0,0,BC77/J77)</f>
        <v>0</v>
      </c>
      <c r="BG77" s="13" t="n">
        <f aca="false">SUMIFS('MA Engine'!$AH$6:$AH$1110,'MA Engine'!$B$6:$B$1110,$A77,'MA Engine'!$H$6:$H$1110,7,'MA Engine'!$I$6:$I$1110,"DO")</f>
        <v>0</v>
      </c>
      <c r="BH77" s="13" t="n">
        <f aca="false">SUMIFS('MA Engine'!$AI$6:$AI$1110,'MA Engine'!$B$6:$B$1110,$A77,'MA Engine'!$H$6:$H$1110,7,'MA Engine'!$I$6:$I$1110,"DO")+SUMIFS('MA Engine'!$AJ$6:$AJ$1110,'MA Engine'!$B$6:$B$1110,$A77,'MA Engine'!$H$6:$H$1110,7,'MA Engine'!$I$6:$I$1110,"DO")</f>
        <v>0</v>
      </c>
      <c r="BI77" s="7" t="n">
        <f aca="false">IF(H77&gt;0,SUMIFS('MA Engine'!$L$6:$L$1110,'MA Engine'!$B$6:$B$1110,$A77,'MA Engine'!$I$6:$I$1110,"Opening")/H77,0)</f>
        <v>0</v>
      </c>
      <c r="BJ77" s="9" t="n">
        <f aca="false">IF(I77&gt;0,AD77/I77,BI77)</f>
        <v>0</v>
      </c>
      <c r="BK77" s="7" t="n">
        <f aca="false">SUMIFS('MA Engine'!$X$6:$X$1110,'MA Engine'!$B$6:$B$1110,$A77,'MA Engine'!$H$6:$H$1110,7,'MA Engine'!$I$6:$I$1110,"DO")</f>
        <v>0</v>
      </c>
      <c r="BL77" s="7" t="n">
        <f aca="false">SUMIFS('MA Engine'!$AK$6:$AK$1110,'MA Engine'!$B$6:$B$1110,$A77,'MA Engine'!$H$6:$H$1110,7,'MA Engine'!$I$6:$I$1110,"DO")</f>
        <v>0</v>
      </c>
      <c r="BM77" s="7" t="n">
        <f aca="false">SUMIFS('MA Engine'!$AL$6:$AL$1110,'MA Engine'!$B$6:$B$1110,$A77,'MA Engine'!$H$6:$H$1110,7,'MA Engine'!$I$6:$I$1110,"DO")+SUMIFS('MA Engine'!$AM$6:$AM$1110,'MA Engine'!$B$6:$B$1110,$A77,'MA Engine'!$H$6:$H$1110,7,'MA Engine'!$I$6:$I$1110,"DO")</f>
        <v>0</v>
      </c>
      <c r="BN77" s="9" t="n">
        <f aca="false">BK77-BL77-BM77</f>
        <v>0</v>
      </c>
      <c r="BO77" s="7" t="n">
        <f aca="false">IF(BC77=0,0,SUMIFS('Data SKU'!$G$5:$G$116,'Data SKU'!$A$5:$A$116,$C77,'Data SKU'!$B$5:$B$116,$D77,'Data SKU'!$C$5:$C$116,$E77,'Data SKU'!$D$5:$D$116,7,'Data SKU'!$N$5:$N$116,"Invoiced")/SUMIFS($BC$36:$BC$127,$C$36:$C$127,$C77,$D$36:$D$127,$D77,$E$36:$E$127,$E77)*BC77)</f>
        <v>0</v>
      </c>
      <c r="BP77" s="9" t="n">
        <f aca="false">IF(BC77=0,0,BO77*BG77/BC77)</f>
        <v>0</v>
      </c>
      <c r="BQ77" s="9" t="n">
        <f aca="false">IF(BC77=0,0,BO77*BH77/BC77)</f>
        <v>0</v>
      </c>
    </row>
    <row r="78" customFormat="false" ht="15" hidden="false" customHeight="false" outlineLevel="0" collapsed="false">
      <c r="A78" s="74" t="s">
        <v>990</v>
      </c>
      <c r="B78" s="53" t="str">
        <f aca="false">INDEX(I_Items!$B$5:$B$133,MATCH($A78,I_Items!$A$5:$A$133,0))&amp;""</f>
        <v>Karkas Uk 1.3 Karkas Uk 1.3 Fresh Premium</v>
      </c>
      <c r="C78" s="53" t="str">
        <f aca="false">INDEX(I_Items!$C$5:$C$133,MATCH($A78,I_Items!$A$5:$A$133,0))&amp;""</f>
        <v>RPA</v>
      </c>
      <c r="D78" s="53" t="str">
        <f aca="false">INDEX(I_Items!$D$5:$D$133,MATCH($A78,I_Items!$A$5:$A$133,0))&amp;""</f>
        <v>Karkas</v>
      </c>
      <c r="E78" s="53" t="str">
        <f aca="false">INDEX(I_Items!$F$5:$F$133,MATCH($A78,I_Items!$A$5:$A$133,0))&amp;""</f>
        <v>Fresh</v>
      </c>
      <c r="F78" s="53" t="str">
        <f aca="false">INDEX(I_Items!$E$5:$E$133,MATCH($A78,I_Items!$A$5:$A$133,0))&amp;""</f>
        <v>Uk 1.3</v>
      </c>
      <c r="G78" s="6" t="str">
        <f aca="false">IF(P78=0,"-",IF(M78=0,"A",IF(K78&lt;=0,"C","B")))</f>
        <v>C</v>
      </c>
      <c r="H78" s="13" t="n">
        <f aca="false">SUMIFS('MA Engine'!$K$6:$K$1110,'MA Engine'!$B$6:$B$1110,$A78,'MA Engine'!$I$6:$I$1110,"Opening")</f>
        <v>0</v>
      </c>
      <c r="I78" s="13" t="n">
        <f aca="false">SUMIFS('MA Engine'!$K$6:$K$1110,'MA Engine'!$B$6:$B$1110,$A78,'MA Engine'!$H$6:$H$1110,7,'MA Engine'!$I$6:$I$1110,"&lt;&gt;Opening")</f>
        <v>0</v>
      </c>
      <c r="J78" s="13" t="n">
        <f aca="false">SUMIFS('MA Engine'!$W$6:$W$1110,'MA Engine'!$B$6:$B$1110,$A78,'MA Engine'!$H$6:$H$1110,7)</f>
        <v>0</v>
      </c>
      <c r="K78" s="14" t="n">
        <f aca="false">H78+I78-J78</f>
        <v>0</v>
      </c>
      <c r="L78" s="7" t="n">
        <f aca="false">SUMIFS('MA Engine'!$L$6:$L$1110,'MA Engine'!$B$6:$B$1110,$A78,'MA Engine'!$I$6:$I$1110,"Opening")+SUMIFS('MA Engine'!$L$6:$L$1110,'MA Engine'!$B$6:$B$1110,$A78,'MA Engine'!$H$6:$H$1110,7,'MA Engine'!$I$6:$I$1110,"&lt;&gt;Opening")-SUMIFS('MA Engine'!$X$6:$X$1110,'MA Engine'!$B$6:$B$1110,$A78,'MA Engine'!$H$6:$H$1110,7)</f>
        <v>0</v>
      </c>
      <c r="M78" s="13" t="n">
        <f aca="false">SUMIFS('MA Engine'!$K$6:$K$1110,'MA Engine'!$B$6:$B$1110,$A78,'MA Engine'!$H$6:$H$1110,8)</f>
        <v>14352.9</v>
      </c>
      <c r="N78" s="7" t="n">
        <f aca="false">SUMIFS('MA Engine'!$L$6:$L$1110,'MA Engine'!$B$6:$B$1110,$A78,'MA Engine'!$H$6:$H$1110,8)</f>
        <v>537589128.31</v>
      </c>
      <c r="O78" s="13" t="n">
        <f aca="false">SUMIFS('MA Engine'!$W$6:$W$1110,'MA Engine'!$B$6:$B$1110,$A78,'MA Engine'!$H$6:$H$1110,8)</f>
        <v>10918.06</v>
      </c>
      <c r="P78" s="14" t="n">
        <f aca="false">Q78+R78</f>
        <v>10432.28</v>
      </c>
      <c r="Q78" s="13" t="n">
        <f aca="false">SUMIFS('MA Engine'!$W$6:$W$1110,'MA Engine'!$B$6:$B$1110,$A78,'MA Engine'!$H$6:$H$1110,8,'MA Engine'!$I$6:$I$1110,"DO",'MA Engine'!$P$6:$P$1110,"&lt;&gt;Y")</f>
        <v>8668.98</v>
      </c>
      <c r="R78" s="13" t="n">
        <f aca="false">SUMIFS('MA Engine'!$W$6:$W$1110,'MA Engine'!$B$6:$B$1110,$A78,'MA Engine'!$H$6:$H$1110,8,'MA Engine'!$I$6:$I$1110,"Unbilled")</f>
        <v>1763.3</v>
      </c>
      <c r="S78" s="13" t="n">
        <f aca="false">SUMIFS('MA Engine'!$W$6:$W$1110,'MA Engine'!$B$6:$B$1110,$A78,'MA Engine'!$H$6:$H$1110,8,'MA Engine'!$P$6:$P$1110,"Y")</f>
        <v>128.88</v>
      </c>
      <c r="T78" s="14" t="n">
        <f aca="false">O78-P78-S78</f>
        <v>356.900000000001</v>
      </c>
      <c r="U78" s="14" t="n">
        <f aca="false">MAX(0,H78-J78)</f>
        <v>0</v>
      </c>
      <c r="V78" s="14" t="n">
        <f aca="false">MAX(0,K78-U78)</f>
        <v>0</v>
      </c>
      <c r="W78" s="14" t="n">
        <f aca="false">MIN(U78,O78)</f>
        <v>0</v>
      </c>
      <c r="X78" s="14" t="n">
        <f aca="false">MIN(V78,O78-W78)</f>
        <v>0</v>
      </c>
      <c r="Y78" s="14" t="n">
        <f aca="false">O78-W78-X78</f>
        <v>10918.06</v>
      </c>
      <c r="Z78" s="21" t="n">
        <f aca="false">IF(O78=0,0,P78/O78)</f>
        <v>0.955506747535734</v>
      </c>
      <c r="AA78" s="13" t="n">
        <f aca="false">SUMIFS('MA Engine'!$AH$6:$AH$1110,'MA Engine'!$B$6:$B$1110,$A78,'MA Engine'!$H$6:$H$1110,8,'MA Engine'!$I$6:$I$1110,"DO",'MA Engine'!$P$6:$P$1110,"&lt;&gt;Y")+SUMIFS('MA Engine'!$AH$6:$AH$1110,'MA Engine'!$B$6:$B$1110,$A78,'MA Engine'!$H$6:$H$1110,8,'MA Engine'!$I$6:$I$1110,"Unbilled")</f>
        <v>0</v>
      </c>
      <c r="AB78" s="13" t="n">
        <f aca="false">SUMIFS('MA Engine'!$AI$6:$AI$1110,'MA Engine'!$B$6:$B$1110,$A78,'MA Engine'!$H$6:$H$1110,8,'MA Engine'!$I$6:$I$1110,"DO",'MA Engine'!$P$6:$P$1110,"&lt;&gt;Y")+SUMIFS('MA Engine'!$AI$6:$AI$1110,'MA Engine'!$B$6:$B$1110,$A78,'MA Engine'!$H$6:$H$1110,8,'MA Engine'!$I$6:$I$1110,"Unbilled")</f>
        <v>0</v>
      </c>
      <c r="AC78" s="13" t="n">
        <f aca="false">SUMIFS('MA Engine'!$AJ$6:$AJ$1110,'MA Engine'!$B$6:$B$1110,$A78,'MA Engine'!$H$6:$H$1110,8,'MA Engine'!$I$6:$I$1110,"DO",'MA Engine'!$P$6:$P$1110,"&lt;&gt;Y")+SUMIFS('MA Engine'!$AJ$6:$AJ$1110,'MA Engine'!$B$6:$B$1110,$A78,'MA Engine'!$H$6:$H$1110,8,'MA Engine'!$I$6:$I$1110,"Unbilled")</f>
        <v>10432.28</v>
      </c>
      <c r="AD78" s="7" t="n">
        <f aca="false">SUMIFS('MA Engine'!$L$6:$L$1110,'MA Engine'!$B$6:$B$1110,$A78,'MA Engine'!$H$6:$H$1110,7,'MA Engine'!$I$6:$I$1110,"&lt;&gt;Opening")</f>
        <v>0</v>
      </c>
      <c r="AE78" s="9" t="n">
        <f aca="false">IF(AND(U78&gt;0.0001,(L78-V78*IF(I78&gt;0,AD78/I78,IF(K78&gt;0,L78/K78,0)))&lt;0),IF(K78&gt;0,L78/K78,0),IF(I78&gt;0,AD78/I78,IF(K78&gt;0,L78/K78,0)))</f>
        <v>0</v>
      </c>
      <c r="AF78" s="9" t="n">
        <f aca="false">IF(U78&lt;=0.0001,IF(K78&gt;0,L78/K78,0),IF((L78-V78*IF(I78&gt;0,AD78/I78,IF(K78&gt;0,L78/K78,0)))&lt;0,IF(K78&gt;0,L78/K78,0),(L78-V78*IF(I78&gt;0,AD78/I78,IF(K78&gt;0,L78/K78,0)))/U78))</f>
        <v>0</v>
      </c>
      <c r="AG78" s="9" t="n">
        <f aca="false">IF(M78&gt;0,N78/M78,IF(K78&gt;0,L78/K78,0))</f>
        <v>37455.087704227</v>
      </c>
      <c r="AH78" s="7" t="n">
        <f aca="false">SUMIFS('MA Engine'!$X$6:$X$1110,'MA Engine'!$B$6:$B$1110,$A78,'MA Engine'!$H$6:$H$1110,8,'MA Engine'!$I$6:$I$1110,"DO",'MA Engine'!$P$6:$P$1110,"&lt;&gt;Y")+SUMIFS('MA Engine'!$X$6:$X$1110,'MA Engine'!$B$6:$B$1110,$A78,'MA Engine'!$H$6:$H$1110,8,'MA Engine'!$I$6:$I$1110,"Unbilled")</f>
        <v>391959880.462053</v>
      </c>
      <c r="AI78" s="7" t="n">
        <f aca="false">SUMIFS('MA Engine'!$AK$6:$AK$1110,'MA Engine'!$B$6:$B$1110,$A78,'MA Engine'!$H$6:$H$1110,8,'MA Engine'!$I$6:$I$1110,"DO",'MA Engine'!$P$6:$P$1110,"&lt;&gt;Y")+SUMIFS('MA Engine'!$AK$6:$AK$1110,'MA Engine'!$B$6:$B$1110,$A78,'MA Engine'!$H$6:$H$1110,8,'MA Engine'!$I$6:$I$1110,"Unbilled")</f>
        <v>0</v>
      </c>
      <c r="AJ78" s="7" t="n">
        <f aca="false">SUMIFS('MA Engine'!$AL$6:$AL$1110,'MA Engine'!$B$6:$B$1110,$A78,'MA Engine'!$H$6:$H$1110,8,'MA Engine'!$I$6:$I$1110,"DO",'MA Engine'!$P$6:$P$1110,"&lt;&gt;Y")+SUMIFS('MA Engine'!$AL$6:$AL$1110,'MA Engine'!$B$6:$B$1110,$A78,'MA Engine'!$H$6:$H$1110,8,'MA Engine'!$I$6:$I$1110,"Unbilled")</f>
        <v>0</v>
      </c>
      <c r="AK78" s="7" t="n">
        <f aca="false">SUMIFS('MA Engine'!$AM$6:$AM$1110,'MA Engine'!$B$6:$B$1110,$A78,'MA Engine'!$H$6:$H$1110,8,'MA Engine'!$I$6:$I$1110,"DO",'MA Engine'!$P$6:$P$1110,"&lt;&gt;Y")+SUMIFS('MA Engine'!$AM$6:$AM$1110,'MA Engine'!$B$6:$B$1110,$A78,'MA Engine'!$H$6:$H$1110,8,'MA Engine'!$I$6:$I$1110,"Unbilled")</f>
        <v>391959880.462053</v>
      </c>
      <c r="AL78" s="9" t="n">
        <f aca="false">AH78-AI78-AJ78-AK78</f>
        <v>0</v>
      </c>
      <c r="AM78" s="7" t="n">
        <f aca="false">IF(Q78=0,0,IF($D78="Karkas",SUMIFS('Karkas Detail'!$E$6:$E$42,'Karkas Detail'!$A$6:$A$42,$C78,'Karkas Detail'!$B$6:$B$42,$F78,'Karkas Detail'!$C$6:$C$42,$E78)/SUMIFS($Q$36:$Q$127,$C$36:$C$127,$C78,$D$36:$D$127,"Karkas",$F$36:$F$127,$F78,$E$36:$E$127,$E78),SUMIFS('Data SKU'!$G$5:$G$116,'Data SKU'!$A$5:$A$116,$C78,'Data SKU'!$B$5:$B$116,$D78,'Data SKU'!$C$5:$C$116,$E78,'Data SKU'!$D$5:$D$116,8,'Data SKU'!$N$5:$N$116,"Invoiced")/SUMIFS($Q$36:$Q$127,$C$36:$C$127,$C78,$D$36:$D$127,$D78,$E$36:$E$127,$E78))*Q78)+SUMIFS(Unbilled!$U$22:$U$38,Unbilled!$E$22:$E$38,$A78)</f>
        <v>386926366.296891</v>
      </c>
      <c r="AN78" s="9" t="n">
        <f aca="false">IF(P78=0,0,AM78*AA78/P78)</f>
        <v>0</v>
      </c>
      <c r="AO78" s="9" t="n">
        <f aca="false">IF(P78=0,0,AM78*AB78/P78)</f>
        <v>0</v>
      </c>
      <c r="AP78" s="9" t="n">
        <f aca="false">IF(P78=0,0,AM78*AC78/P78)</f>
        <v>386926366.296891</v>
      </c>
      <c r="AQ78" s="14" t="n">
        <f aca="false">MIN(U78+V78,MAX(0,O78-M78))</f>
        <v>0</v>
      </c>
      <c r="AR78" s="14" t="n">
        <f aca="false">MAX(0,AQ78-V78)*Z78</f>
        <v>0</v>
      </c>
      <c r="AS78" s="14" t="n">
        <f aca="false">MIN(V78,AQ78)*Z78</f>
        <v>0</v>
      </c>
      <c r="AT78" s="14" t="n">
        <f aca="false">(O78-AQ78)*Z78</f>
        <v>10432.28</v>
      </c>
      <c r="AU78" s="9" t="n">
        <f aca="false">(AR78+AS78+AT78)*BA78</f>
        <v>391959880.462053</v>
      </c>
      <c r="AV78" s="9" t="n">
        <f aca="false">IF(P78=0,0,AM78*AR78/P78)</f>
        <v>0</v>
      </c>
      <c r="AW78" s="9" t="n">
        <f aca="false">IF(P78=0,0,AM78*AS78/P78)</f>
        <v>0</v>
      </c>
      <c r="AX78" s="9" t="n">
        <f aca="false">IF(P78=0,0,AM78*AT78/P78)</f>
        <v>386926366.296891</v>
      </c>
      <c r="AY78" s="9" t="n">
        <f aca="false">AH78-AU78</f>
        <v>0</v>
      </c>
      <c r="AZ78" s="9" t="n">
        <f aca="false">IF(M78&gt;0,P78*AG78,0)</f>
        <v>390741962.355053</v>
      </c>
      <c r="BA78" s="9" t="n">
        <f aca="false">IF(P78=0,0,AH78/P78)</f>
        <v>37571.8328555266</v>
      </c>
      <c r="BB78" s="74" t="s">
        <v>837</v>
      </c>
      <c r="BC78" s="13" t="n">
        <f aca="false">SUMIFS('MA Engine'!$W$6:$W$1110,'MA Engine'!$B$6:$B$1110,$A78,'MA Engine'!$H$6:$H$1110,7,'MA Engine'!$I$6:$I$1110,"DO")</f>
        <v>0</v>
      </c>
      <c r="BD78" s="14" t="n">
        <f aca="false">MIN(MAX(0,H78),J78)</f>
        <v>0</v>
      </c>
      <c r="BE78" s="14" t="n">
        <f aca="false">J78-BD78</f>
        <v>0</v>
      </c>
      <c r="BF78" s="21" t="n">
        <f aca="false">IF(J78=0,0,BC78/J78)</f>
        <v>0</v>
      </c>
      <c r="BG78" s="13" t="n">
        <f aca="false">SUMIFS('MA Engine'!$AH$6:$AH$1110,'MA Engine'!$B$6:$B$1110,$A78,'MA Engine'!$H$6:$H$1110,7,'MA Engine'!$I$6:$I$1110,"DO")</f>
        <v>0</v>
      </c>
      <c r="BH78" s="13" t="n">
        <f aca="false">SUMIFS('MA Engine'!$AI$6:$AI$1110,'MA Engine'!$B$6:$B$1110,$A78,'MA Engine'!$H$6:$H$1110,7,'MA Engine'!$I$6:$I$1110,"DO")+SUMIFS('MA Engine'!$AJ$6:$AJ$1110,'MA Engine'!$B$6:$B$1110,$A78,'MA Engine'!$H$6:$H$1110,7,'MA Engine'!$I$6:$I$1110,"DO")</f>
        <v>0</v>
      </c>
      <c r="BI78" s="7" t="n">
        <f aca="false">IF(H78&gt;0,SUMIFS('MA Engine'!$L$6:$L$1110,'MA Engine'!$B$6:$B$1110,$A78,'MA Engine'!$I$6:$I$1110,"Opening")/H78,0)</f>
        <v>0</v>
      </c>
      <c r="BJ78" s="9" t="n">
        <f aca="false">IF(I78&gt;0,AD78/I78,BI78)</f>
        <v>0</v>
      </c>
      <c r="BK78" s="7" t="n">
        <f aca="false">SUMIFS('MA Engine'!$X$6:$X$1110,'MA Engine'!$B$6:$B$1110,$A78,'MA Engine'!$H$6:$H$1110,7,'MA Engine'!$I$6:$I$1110,"DO")</f>
        <v>0</v>
      </c>
      <c r="BL78" s="7" t="n">
        <f aca="false">SUMIFS('MA Engine'!$AK$6:$AK$1110,'MA Engine'!$B$6:$B$1110,$A78,'MA Engine'!$H$6:$H$1110,7,'MA Engine'!$I$6:$I$1110,"DO")</f>
        <v>0</v>
      </c>
      <c r="BM78" s="7" t="n">
        <f aca="false">SUMIFS('MA Engine'!$AL$6:$AL$1110,'MA Engine'!$B$6:$B$1110,$A78,'MA Engine'!$H$6:$H$1110,7,'MA Engine'!$I$6:$I$1110,"DO")+SUMIFS('MA Engine'!$AM$6:$AM$1110,'MA Engine'!$B$6:$B$1110,$A78,'MA Engine'!$H$6:$H$1110,7,'MA Engine'!$I$6:$I$1110,"DO")</f>
        <v>0</v>
      </c>
      <c r="BN78" s="9" t="n">
        <f aca="false">BK78-BL78-BM78</f>
        <v>0</v>
      </c>
      <c r="BO78" s="7" t="n">
        <f aca="false">IF(BC78=0,0,SUMIFS('Data SKU'!$G$5:$G$116,'Data SKU'!$A$5:$A$116,$C78,'Data SKU'!$B$5:$B$116,$D78,'Data SKU'!$C$5:$C$116,$E78,'Data SKU'!$D$5:$D$116,7,'Data SKU'!$N$5:$N$116,"Invoiced")/SUMIFS($BC$36:$BC$127,$C$36:$C$127,$C78,$D$36:$D$127,$D78,$E$36:$E$127,$E78)*BC78)</f>
        <v>0</v>
      </c>
      <c r="BP78" s="9" t="n">
        <f aca="false">IF(BC78=0,0,BO78*BG78/BC78)</f>
        <v>0</v>
      </c>
      <c r="BQ78" s="9" t="n">
        <f aca="false">IF(BC78=0,0,BO78*BH78/BC78)</f>
        <v>0</v>
      </c>
    </row>
    <row r="79" customFormat="false" ht="15" hidden="false" customHeight="false" outlineLevel="0" collapsed="false">
      <c r="A79" s="74" t="s">
        <v>991</v>
      </c>
      <c r="B79" s="53" t="str">
        <f aca="false">INDEX(I_Items!$B$5:$B$133,MATCH($A79,I_Items!$A$5:$A$133,0))&amp;""</f>
        <v>Karkas Uk 1.3 Karkas Uk 1.3 Frozen Grade A</v>
      </c>
      <c r="C79" s="53" t="str">
        <f aca="false">INDEX(I_Items!$C$5:$C$133,MATCH($A79,I_Items!$A$5:$A$133,0))&amp;""</f>
        <v>RPA</v>
      </c>
      <c r="D79" s="53" t="str">
        <f aca="false">INDEX(I_Items!$D$5:$D$133,MATCH($A79,I_Items!$A$5:$A$133,0))&amp;""</f>
        <v>Karkas</v>
      </c>
      <c r="E79" s="53" t="str">
        <f aca="false">INDEX(I_Items!$F$5:$F$133,MATCH($A79,I_Items!$A$5:$A$133,0))&amp;""</f>
        <v>Frozen</v>
      </c>
      <c r="F79" s="53" t="str">
        <f aca="false">INDEX(I_Items!$E$5:$E$133,MATCH($A79,I_Items!$A$5:$A$133,0))&amp;""</f>
        <v>Uk 1.3</v>
      </c>
      <c r="G79" s="6" t="str">
        <f aca="false">IF(P79=0,"-",IF(M79=0,"A",IF(K79&lt;=0,"C","B")))</f>
        <v>B</v>
      </c>
      <c r="H79" s="13" t="n">
        <f aca="false">SUMIFS('MA Engine'!$K$6:$K$1110,'MA Engine'!$B$6:$B$1110,$A79,'MA Engine'!$I$6:$I$1110,"Opening")</f>
        <v>84.9</v>
      </c>
      <c r="I79" s="13" t="n">
        <f aca="false">SUMIFS('MA Engine'!$K$6:$K$1110,'MA Engine'!$B$6:$B$1110,$A79,'MA Engine'!$H$6:$H$1110,7,'MA Engine'!$I$6:$I$1110,"&lt;&gt;Opening")</f>
        <v>68.7</v>
      </c>
      <c r="J79" s="13" t="n">
        <f aca="false">SUMIFS('MA Engine'!$W$6:$W$1110,'MA Engine'!$B$6:$B$1110,$A79,'MA Engine'!$H$6:$H$1110,7)</f>
        <v>0</v>
      </c>
      <c r="K79" s="14" t="n">
        <f aca="false">H79+I79-J79</f>
        <v>153.6</v>
      </c>
      <c r="L79" s="7" t="n">
        <f aca="false">SUMIFS('MA Engine'!$L$6:$L$1110,'MA Engine'!$B$6:$B$1110,$A79,'MA Engine'!$I$6:$I$1110,"Opening")+SUMIFS('MA Engine'!$L$6:$L$1110,'MA Engine'!$B$6:$B$1110,$A79,'MA Engine'!$H$6:$H$1110,7,'MA Engine'!$I$6:$I$1110,"&lt;&gt;Opening")-SUMIFS('MA Engine'!$X$6:$X$1110,'MA Engine'!$B$6:$B$1110,$A79,'MA Engine'!$H$6:$H$1110,7)</f>
        <v>3844436.41</v>
      </c>
      <c r="M79" s="13" t="n">
        <f aca="false">SUMIFS('MA Engine'!$K$6:$K$1110,'MA Engine'!$B$6:$B$1110,$A79,'MA Engine'!$H$6:$H$1110,8)</f>
        <v>1181.2</v>
      </c>
      <c r="N79" s="7" t="n">
        <f aca="false">SUMIFS('MA Engine'!$L$6:$L$1110,'MA Engine'!$B$6:$B$1110,$A79,'MA Engine'!$H$6:$H$1110,8)</f>
        <v>40176718.8</v>
      </c>
      <c r="O79" s="13" t="n">
        <f aca="false">SUMIFS('MA Engine'!$W$6:$W$1110,'MA Engine'!$B$6:$B$1110,$A79,'MA Engine'!$H$6:$H$1110,8)</f>
        <v>23.6</v>
      </c>
      <c r="P79" s="14" t="n">
        <f aca="false">Q79+R79</f>
        <v>23.6</v>
      </c>
      <c r="Q79" s="13" t="n">
        <f aca="false">SUMIFS('MA Engine'!$W$6:$W$1110,'MA Engine'!$B$6:$B$1110,$A79,'MA Engine'!$H$6:$H$1110,8,'MA Engine'!$I$6:$I$1110,"DO",'MA Engine'!$P$6:$P$1110,"&lt;&gt;Y")</f>
        <v>23.6</v>
      </c>
      <c r="R79" s="13" t="n">
        <f aca="false">SUMIFS('MA Engine'!$W$6:$W$1110,'MA Engine'!$B$6:$B$1110,$A79,'MA Engine'!$H$6:$H$1110,8,'MA Engine'!$I$6:$I$1110,"Unbilled")</f>
        <v>0</v>
      </c>
      <c r="S79" s="13" t="n">
        <f aca="false">SUMIFS('MA Engine'!$W$6:$W$1110,'MA Engine'!$B$6:$B$1110,$A79,'MA Engine'!$H$6:$H$1110,8,'MA Engine'!$P$6:$P$1110,"Y")</f>
        <v>0</v>
      </c>
      <c r="T79" s="14" t="n">
        <f aca="false">O79-P79-S79</f>
        <v>0</v>
      </c>
      <c r="U79" s="14" t="n">
        <f aca="false">MAX(0,H79-J79)</f>
        <v>84.9</v>
      </c>
      <c r="V79" s="14" t="n">
        <f aca="false">MAX(0,K79-U79)</f>
        <v>68.7</v>
      </c>
      <c r="W79" s="14" t="n">
        <f aca="false">MIN(U79,O79)</f>
        <v>23.6</v>
      </c>
      <c r="X79" s="14" t="n">
        <f aca="false">MIN(V79,O79-W79)</f>
        <v>0</v>
      </c>
      <c r="Y79" s="14" t="n">
        <f aca="false">O79-W79-X79</f>
        <v>0</v>
      </c>
      <c r="Z79" s="21" t="n">
        <f aca="false">IF(O79=0,0,P79/O79)</f>
        <v>1</v>
      </c>
      <c r="AA79" s="13" t="n">
        <f aca="false">SUMIFS('MA Engine'!$AH$6:$AH$1110,'MA Engine'!$B$6:$B$1110,$A79,'MA Engine'!$H$6:$H$1110,8,'MA Engine'!$I$6:$I$1110,"DO",'MA Engine'!$P$6:$P$1110,"&lt;&gt;Y")+SUMIFS('MA Engine'!$AH$6:$AH$1110,'MA Engine'!$B$6:$B$1110,$A79,'MA Engine'!$H$6:$H$1110,8,'MA Engine'!$I$6:$I$1110,"Unbilled")</f>
        <v>23.6</v>
      </c>
      <c r="AB79" s="13" t="n">
        <f aca="false">SUMIFS('MA Engine'!$AI$6:$AI$1110,'MA Engine'!$B$6:$B$1110,$A79,'MA Engine'!$H$6:$H$1110,8,'MA Engine'!$I$6:$I$1110,"DO",'MA Engine'!$P$6:$P$1110,"&lt;&gt;Y")+SUMIFS('MA Engine'!$AI$6:$AI$1110,'MA Engine'!$B$6:$B$1110,$A79,'MA Engine'!$H$6:$H$1110,8,'MA Engine'!$I$6:$I$1110,"Unbilled")</f>
        <v>0</v>
      </c>
      <c r="AC79" s="13" t="n">
        <f aca="false">SUMIFS('MA Engine'!$AJ$6:$AJ$1110,'MA Engine'!$B$6:$B$1110,$A79,'MA Engine'!$H$6:$H$1110,8,'MA Engine'!$I$6:$I$1110,"DO",'MA Engine'!$P$6:$P$1110,"&lt;&gt;Y")+SUMIFS('MA Engine'!$AJ$6:$AJ$1110,'MA Engine'!$B$6:$B$1110,$A79,'MA Engine'!$H$6:$H$1110,8,'MA Engine'!$I$6:$I$1110,"Unbilled")</f>
        <v>0</v>
      </c>
      <c r="AD79" s="7" t="n">
        <f aca="false">SUMIFS('MA Engine'!$L$6:$L$1110,'MA Engine'!$B$6:$B$1110,$A79,'MA Engine'!$H$6:$H$1110,7,'MA Engine'!$I$6:$I$1110,"&lt;&gt;Opening")</f>
        <v>1779043.51</v>
      </c>
      <c r="AE79" s="9" t="n">
        <f aca="false">IF(AND(U79&gt;0.0001,(L79-V79*IF(I79&gt;0,AD79/I79,IF(K79&gt;0,L79/K79,0)))&lt;0),IF(K79&gt;0,L79/K79,0),IF(I79&gt;0,AD79/I79,IF(K79&gt;0,L79/K79,0)))</f>
        <v>25895.8298398836</v>
      </c>
      <c r="AF79" s="9" t="n">
        <f aca="false">IF(U79&lt;=0.0001,IF(K79&gt;0,L79/K79,0),IF((L79-V79*IF(I79&gt;0,AD79/I79,IF(K79&gt;0,L79/K79,0)))&lt;0,IF(K79&gt;0,L79/K79,0),(L79-V79*IF(I79&gt;0,AD79/I79,IF(K79&gt;0,L79/K79,0)))/U79))</f>
        <v>24327.3604240283</v>
      </c>
      <c r="AG79" s="9" t="n">
        <f aca="false">IF(M79&gt;0,N79/M79,IF(K79&gt;0,L79/K79,0))</f>
        <v>34013.4768032509</v>
      </c>
      <c r="AH79" s="7" t="n">
        <f aca="false">SUMIFS('MA Engine'!$X$6:$X$1110,'MA Engine'!$B$6:$B$1110,$A79,'MA Engine'!$H$6:$H$1110,8,'MA Engine'!$I$6:$I$1110,"DO",'MA Engine'!$P$6:$P$1110,"&lt;&gt;Y")+SUMIFS('MA Engine'!$X$6:$X$1110,'MA Engine'!$B$6:$B$1110,$A79,'MA Engine'!$H$6:$H$1110,8,'MA Engine'!$I$6:$I$1110,"Unbilled")</f>
        <v>685077.212230204</v>
      </c>
      <c r="AI79" s="7" t="n">
        <f aca="false">SUMIFS('MA Engine'!$AK$6:$AK$1110,'MA Engine'!$B$6:$B$1110,$A79,'MA Engine'!$H$6:$H$1110,8,'MA Engine'!$I$6:$I$1110,"DO",'MA Engine'!$P$6:$P$1110,"&lt;&gt;Y")+SUMIFS('MA Engine'!$AK$6:$AK$1110,'MA Engine'!$B$6:$B$1110,$A79,'MA Engine'!$H$6:$H$1110,8,'MA Engine'!$I$6:$I$1110,"Unbilled")</f>
        <v>685077.212230204</v>
      </c>
      <c r="AJ79" s="7" t="n">
        <f aca="false">SUMIFS('MA Engine'!$AL$6:$AL$1110,'MA Engine'!$B$6:$B$1110,$A79,'MA Engine'!$H$6:$H$1110,8,'MA Engine'!$I$6:$I$1110,"DO",'MA Engine'!$P$6:$P$1110,"&lt;&gt;Y")+SUMIFS('MA Engine'!$AL$6:$AL$1110,'MA Engine'!$B$6:$B$1110,$A79,'MA Engine'!$H$6:$H$1110,8,'MA Engine'!$I$6:$I$1110,"Unbilled")</f>
        <v>0</v>
      </c>
      <c r="AK79" s="7" t="n">
        <f aca="false">SUMIFS('MA Engine'!$AM$6:$AM$1110,'MA Engine'!$B$6:$B$1110,$A79,'MA Engine'!$H$6:$H$1110,8,'MA Engine'!$I$6:$I$1110,"DO",'MA Engine'!$P$6:$P$1110,"&lt;&gt;Y")+SUMIFS('MA Engine'!$AM$6:$AM$1110,'MA Engine'!$B$6:$B$1110,$A79,'MA Engine'!$H$6:$H$1110,8,'MA Engine'!$I$6:$I$1110,"Unbilled")</f>
        <v>0</v>
      </c>
      <c r="AL79" s="9" t="n">
        <f aca="false">AH79-AI79-AJ79-AK79</f>
        <v>0</v>
      </c>
      <c r="AM79" s="7" t="n">
        <f aca="false">IF(Q79=0,0,IF($D79="Karkas",SUMIFS('Karkas Detail'!$E$6:$E$42,'Karkas Detail'!$A$6:$A$42,$C79,'Karkas Detail'!$B$6:$B$42,$F79,'Karkas Detail'!$C$6:$C$42,$E79)/SUMIFS($Q$36:$Q$127,$C$36:$C$127,$C79,$D$36:$D$127,"Karkas",$F$36:$F$127,$F79,$E$36:$E$127,$E79),SUMIFS('Data SKU'!$G$5:$G$116,'Data SKU'!$A$5:$A$116,$C79,'Data SKU'!$B$5:$B$116,$D79,'Data SKU'!$C$5:$C$116,$E79,'Data SKU'!$D$5:$D$116,8,'Data SKU'!$N$5:$N$116,"Invoiced")/SUMIFS($Q$36:$Q$127,$C$36:$C$127,$C79,$D$36:$D$127,$D79,$E$36:$E$127,$E79))*Q79)+SUMIFS(Unbilled!$U$22:$U$38,Unbilled!$E$22:$E$38,$A79)</f>
        <v>757474.698795181</v>
      </c>
      <c r="AN79" s="9" t="n">
        <f aca="false">IF(P79=0,0,AM79*AA79/P79)</f>
        <v>757474.698795181</v>
      </c>
      <c r="AO79" s="9" t="n">
        <f aca="false">IF(P79=0,0,AM79*AB79/P79)</f>
        <v>0</v>
      </c>
      <c r="AP79" s="9" t="n">
        <f aca="false">IF(P79=0,0,AM79*AC79/P79)</f>
        <v>0</v>
      </c>
      <c r="AQ79" s="14" t="n">
        <f aca="false">MIN(U79+V79,MAX(0,O79-M79))</f>
        <v>0</v>
      </c>
      <c r="AR79" s="14" t="n">
        <f aca="false">MAX(0,AQ79-V79)*Z79</f>
        <v>0</v>
      </c>
      <c r="AS79" s="14" t="n">
        <f aca="false">MIN(V79,AQ79)*Z79</f>
        <v>0</v>
      </c>
      <c r="AT79" s="14" t="n">
        <f aca="false">(O79-AQ79)*Z79</f>
        <v>23.6</v>
      </c>
      <c r="AU79" s="9" t="n">
        <f aca="false">(AR79+AS79+AT79)*BA79</f>
        <v>685077.212230204</v>
      </c>
      <c r="AV79" s="9" t="n">
        <f aca="false">IF(P79=0,0,AM79*AR79/P79)</f>
        <v>0</v>
      </c>
      <c r="AW79" s="9" t="n">
        <f aca="false">IF(P79=0,0,AM79*AS79/P79)</f>
        <v>0</v>
      </c>
      <c r="AX79" s="9" t="n">
        <f aca="false">IF(P79=0,0,AM79*AT79/P79)</f>
        <v>757474.698795181</v>
      </c>
      <c r="AY79" s="9" t="n">
        <f aca="false">AH79-AU79</f>
        <v>0</v>
      </c>
      <c r="AZ79" s="9" t="n">
        <f aca="false">IF(M79&gt;0,P79*AG79,0)</f>
        <v>802718.052556722</v>
      </c>
      <c r="BA79" s="9" t="n">
        <f aca="false">IF(P79=0,0,AH79/P79)</f>
        <v>29028.6954334832</v>
      </c>
      <c r="BB79" s="74" t="s">
        <v>838</v>
      </c>
      <c r="BC79" s="13" t="n">
        <f aca="false">SUMIFS('MA Engine'!$W$6:$W$1110,'MA Engine'!$B$6:$B$1110,$A79,'MA Engine'!$H$6:$H$1110,7,'MA Engine'!$I$6:$I$1110,"DO")</f>
        <v>0</v>
      </c>
      <c r="BD79" s="14" t="n">
        <f aca="false">MIN(MAX(0,H79),J79)</f>
        <v>0</v>
      </c>
      <c r="BE79" s="14" t="n">
        <f aca="false">J79-BD79</f>
        <v>0</v>
      </c>
      <c r="BF79" s="21" t="n">
        <f aca="false">IF(J79=0,0,BC79/J79)</f>
        <v>0</v>
      </c>
      <c r="BG79" s="13" t="n">
        <f aca="false">SUMIFS('MA Engine'!$AH$6:$AH$1110,'MA Engine'!$B$6:$B$1110,$A79,'MA Engine'!$H$6:$H$1110,7,'MA Engine'!$I$6:$I$1110,"DO")</f>
        <v>0</v>
      </c>
      <c r="BH79" s="13" t="n">
        <f aca="false">SUMIFS('MA Engine'!$AI$6:$AI$1110,'MA Engine'!$B$6:$B$1110,$A79,'MA Engine'!$H$6:$H$1110,7,'MA Engine'!$I$6:$I$1110,"DO")+SUMIFS('MA Engine'!$AJ$6:$AJ$1110,'MA Engine'!$B$6:$B$1110,$A79,'MA Engine'!$H$6:$H$1110,7,'MA Engine'!$I$6:$I$1110,"DO")</f>
        <v>0</v>
      </c>
      <c r="BI79" s="7" t="n">
        <f aca="false">IF(H79&gt;0,SUMIFS('MA Engine'!$L$6:$L$1110,'MA Engine'!$B$6:$B$1110,$A79,'MA Engine'!$I$6:$I$1110,"Opening")/H79,0)</f>
        <v>24327.3604240283</v>
      </c>
      <c r="BJ79" s="9" t="n">
        <f aca="false">IF(I79&gt;0,AD79/I79,BI79)</f>
        <v>25895.8298398836</v>
      </c>
      <c r="BK79" s="7" t="n">
        <f aca="false">SUMIFS('MA Engine'!$X$6:$X$1110,'MA Engine'!$B$6:$B$1110,$A79,'MA Engine'!$H$6:$H$1110,7,'MA Engine'!$I$6:$I$1110,"DO")</f>
        <v>0</v>
      </c>
      <c r="BL79" s="7" t="n">
        <f aca="false">SUMIFS('MA Engine'!$AK$6:$AK$1110,'MA Engine'!$B$6:$B$1110,$A79,'MA Engine'!$H$6:$H$1110,7,'MA Engine'!$I$6:$I$1110,"DO")</f>
        <v>0</v>
      </c>
      <c r="BM79" s="7" t="n">
        <f aca="false">SUMIFS('MA Engine'!$AL$6:$AL$1110,'MA Engine'!$B$6:$B$1110,$A79,'MA Engine'!$H$6:$H$1110,7,'MA Engine'!$I$6:$I$1110,"DO")+SUMIFS('MA Engine'!$AM$6:$AM$1110,'MA Engine'!$B$6:$B$1110,$A79,'MA Engine'!$H$6:$H$1110,7,'MA Engine'!$I$6:$I$1110,"DO")</f>
        <v>0</v>
      </c>
      <c r="BN79" s="9" t="n">
        <f aca="false">BK79-BL79-BM79</f>
        <v>0</v>
      </c>
      <c r="BO79" s="7" t="n">
        <f aca="false">IF(BC79=0,0,SUMIFS('Data SKU'!$G$5:$G$116,'Data SKU'!$A$5:$A$116,$C79,'Data SKU'!$B$5:$B$116,$D79,'Data SKU'!$C$5:$C$116,$E79,'Data SKU'!$D$5:$D$116,7,'Data SKU'!$N$5:$N$116,"Invoiced")/SUMIFS($BC$36:$BC$127,$C$36:$C$127,$C79,$D$36:$D$127,$D79,$E$36:$E$127,$E79)*BC79)</f>
        <v>0</v>
      </c>
      <c r="BP79" s="9" t="n">
        <f aca="false">IF(BC79=0,0,BO79*BG79/BC79)</f>
        <v>0</v>
      </c>
      <c r="BQ79" s="9" t="n">
        <f aca="false">IF(BC79=0,0,BO79*BH79/BC79)</f>
        <v>0</v>
      </c>
    </row>
    <row r="80" customFormat="false" ht="15" hidden="false" customHeight="false" outlineLevel="0" collapsed="false">
      <c r="A80" s="74" t="s">
        <v>992</v>
      </c>
      <c r="B80" s="53" t="str">
        <f aca="false">INDEX(I_Items!$B$5:$B$133,MATCH($A80,I_Items!$A$5:$A$133,0))&amp;""</f>
        <v>Karkas Uk 1.3 Karkas Uk 1.3 Frozen Premium</v>
      </c>
      <c r="C80" s="53" t="str">
        <f aca="false">INDEX(I_Items!$C$5:$C$133,MATCH($A80,I_Items!$A$5:$A$133,0))&amp;""</f>
        <v>RPA</v>
      </c>
      <c r="D80" s="53" t="str">
        <f aca="false">INDEX(I_Items!$D$5:$D$133,MATCH($A80,I_Items!$A$5:$A$133,0))&amp;""</f>
        <v>Karkas</v>
      </c>
      <c r="E80" s="53" t="str">
        <f aca="false">INDEX(I_Items!$F$5:$F$133,MATCH($A80,I_Items!$A$5:$A$133,0))&amp;""</f>
        <v>Frozen</v>
      </c>
      <c r="F80" s="53" t="str">
        <f aca="false">INDEX(I_Items!$E$5:$E$133,MATCH($A80,I_Items!$A$5:$A$133,0))&amp;""</f>
        <v>Uk 1.3</v>
      </c>
      <c r="G80" s="6" t="str">
        <f aca="false">IF(P80=0,"-",IF(M80=0,"A",IF(K80&lt;=0,"C","B")))</f>
        <v>B</v>
      </c>
      <c r="H80" s="13" t="n">
        <f aca="false">SUMIFS('MA Engine'!$K$6:$K$1110,'MA Engine'!$B$6:$B$1110,$A80,'MA Engine'!$I$6:$I$1110,"Opening")</f>
        <v>405.32</v>
      </c>
      <c r="I80" s="13" t="n">
        <f aca="false">SUMIFS('MA Engine'!$K$6:$K$1110,'MA Engine'!$B$6:$B$1110,$A80,'MA Engine'!$H$6:$H$1110,7,'MA Engine'!$I$6:$I$1110,"&lt;&gt;Opening")</f>
        <v>0</v>
      </c>
      <c r="J80" s="13" t="n">
        <f aca="false">SUMIFS('MA Engine'!$W$6:$W$1110,'MA Engine'!$B$6:$B$1110,$A80,'MA Engine'!$H$6:$H$1110,7)</f>
        <v>0</v>
      </c>
      <c r="K80" s="14" t="n">
        <f aca="false">H80+I80-J80</f>
        <v>405.32</v>
      </c>
      <c r="L80" s="7" t="n">
        <f aca="false">SUMIFS('MA Engine'!$L$6:$L$1110,'MA Engine'!$B$6:$B$1110,$A80,'MA Engine'!$I$6:$I$1110,"Opening")+SUMIFS('MA Engine'!$L$6:$L$1110,'MA Engine'!$B$6:$B$1110,$A80,'MA Engine'!$H$6:$H$1110,7,'MA Engine'!$I$6:$I$1110,"&lt;&gt;Opening")-SUMIFS('MA Engine'!$X$6:$X$1110,'MA Engine'!$B$6:$B$1110,$A80,'MA Engine'!$H$6:$H$1110,7)</f>
        <v>11073143.97</v>
      </c>
      <c r="M80" s="13" t="n">
        <f aca="false">SUMIFS('MA Engine'!$K$6:$K$1110,'MA Engine'!$B$6:$B$1110,$A80,'MA Engine'!$H$6:$H$1110,8)</f>
        <v>335.3</v>
      </c>
      <c r="N80" s="7" t="n">
        <f aca="false">SUMIFS('MA Engine'!$L$6:$L$1110,'MA Engine'!$B$6:$B$1110,$A80,'MA Engine'!$H$6:$H$1110,8)</f>
        <v>12777019.32</v>
      </c>
      <c r="O80" s="13" t="n">
        <f aca="false">SUMIFS('MA Engine'!$W$6:$W$1110,'MA Engine'!$B$6:$B$1110,$A80,'MA Engine'!$H$6:$H$1110,8)</f>
        <v>439.36</v>
      </c>
      <c r="P80" s="14" t="n">
        <f aca="false">Q80+R80</f>
        <v>42.8</v>
      </c>
      <c r="Q80" s="13" t="n">
        <f aca="false">SUMIFS('MA Engine'!$W$6:$W$1110,'MA Engine'!$B$6:$B$1110,$A80,'MA Engine'!$H$6:$H$1110,8,'MA Engine'!$I$6:$I$1110,"DO",'MA Engine'!$P$6:$P$1110,"&lt;&gt;Y")</f>
        <v>42.8</v>
      </c>
      <c r="R80" s="13" t="n">
        <f aca="false">SUMIFS('MA Engine'!$W$6:$W$1110,'MA Engine'!$B$6:$B$1110,$A80,'MA Engine'!$H$6:$H$1110,8,'MA Engine'!$I$6:$I$1110,"Unbilled")</f>
        <v>0</v>
      </c>
      <c r="S80" s="13" t="n">
        <f aca="false">SUMIFS('MA Engine'!$W$6:$W$1110,'MA Engine'!$B$6:$B$1110,$A80,'MA Engine'!$H$6:$H$1110,8,'MA Engine'!$P$6:$P$1110,"Y")</f>
        <v>396.56</v>
      </c>
      <c r="T80" s="14" t="n">
        <f aca="false">O80-P80-S80</f>
        <v>0</v>
      </c>
      <c r="U80" s="14" t="n">
        <f aca="false">MAX(0,H80-J80)</f>
        <v>405.32</v>
      </c>
      <c r="V80" s="14" t="n">
        <f aca="false">MAX(0,K80-U80)</f>
        <v>0</v>
      </c>
      <c r="W80" s="14" t="n">
        <f aca="false">MIN(U80,O80)</f>
        <v>405.32</v>
      </c>
      <c r="X80" s="14" t="n">
        <f aca="false">MIN(V80,O80-W80)</f>
        <v>0</v>
      </c>
      <c r="Y80" s="14" t="n">
        <f aca="false">O80-W80-X80</f>
        <v>34.04</v>
      </c>
      <c r="Z80" s="21" t="n">
        <f aca="false">IF(O80=0,0,P80/O80)</f>
        <v>0.097414420975965</v>
      </c>
      <c r="AA80" s="13" t="n">
        <f aca="false">SUMIFS('MA Engine'!$AH$6:$AH$1110,'MA Engine'!$B$6:$B$1110,$A80,'MA Engine'!$H$6:$H$1110,8,'MA Engine'!$I$6:$I$1110,"DO",'MA Engine'!$P$6:$P$1110,"&lt;&gt;Y")+SUMIFS('MA Engine'!$AH$6:$AH$1110,'MA Engine'!$B$6:$B$1110,$A80,'MA Engine'!$H$6:$H$1110,8,'MA Engine'!$I$6:$I$1110,"Unbilled")</f>
        <v>8.75999999999999</v>
      </c>
      <c r="AB80" s="13" t="n">
        <f aca="false">SUMIFS('MA Engine'!$AI$6:$AI$1110,'MA Engine'!$B$6:$B$1110,$A80,'MA Engine'!$H$6:$H$1110,8,'MA Engine'!$I$6:$I$1110,"DO",'MA Engine'!$P$6:$P$1110,"&lt;&gt;Y")+SUMIFS('MA Engine'!$AI$6:$AI$1110,'MA Engine'!$B$6:$B$1110,$A80,'MA Engine'!$H$6:$H$1110,8,'MA Engine'!$I$6:$I$1110,"Unbilled")</f>
        <v>0</v>
      </c>
      <c r="AC80" s="13" t="n">
        <f aca="false">SUMIFS('MA Engine'!$AJ$6:$AJ$1110,'MA Engine'!$B$6:$B$1110,$A80,'MA Engine'!$H$6:$H$1110,8,'MA Engine'!$I$6:$I$1110,"DO",'MA Engine'!$P$6:$P$1110,"&lt;&gt;Y")+SUMIFS('MA Engine'!$AJ$6:$AJ$1110,'MA Engine'!$B$6:$B$1110,$A80,'MA Engine'!$H$6:$H$1110,8,'MA Engine'!$I$6:$I$1110,"Unbilled")</f>
        <v>34.04</v>
      </c>
      <c r="AD80" s="7" t="n">
        <f aca="false">SUMIFS('MA Engine'!$L$6:$L$1110,'MA Engine'!$B$6:$B$1110,$A80,'MA Engine'!$H$6:$H$1110,7,'MA Engine'!$I$6:$I$1110,"&lt;&gt;Opening")</f>
        <v>0</v>
      </c>
      <c r="AE80" s="9" t="n">
        <f aca="false">IF(AND(U80&gt;0.0001,(L80-V80*IF(I80&gt;0,AD80/I80,IF(K80&gt;0,L80/K80,0)))&lt;0),IF(K80&gt;0,L80/K80,0),IF(I80&gt;0,AD80/I80,IF(K80&gt;0,L80/K80,0)))</f>
        <v>27319.5104361986</v>
      </c>
      <c r="AF80" s="9" t="n">
        <f aca="false">IF(U80&lt;=0.0001,IF(K80&gt;0,L80/K80,0),IF((L80-V80*IF(I80&gt;0,AD80/I80,IF(K80&gt;0,L80/K80,0)))&lt;0,IF(K80&gt;0,L80/K80,0),(L80-V80*IF(I80&gt;0,AD80/I80,IF(K80&gt;0,L80/K80,0)))/U80))</f>
        <v>27319.5104361986</v>
      </c>
      <c r="AG80" s="9" t="n">
        <f aca="false">IF(M80&gt;0,N80/M80,IF(K80&gt;0,L80/K80,0))</f>
        <v>38106.2311959439</v>
      </c>
      <c r="AH80" s="7" t="n">
        <f aca="false">SUMIFS('MA Engine'!$X$6:$X$1110,'MA Engine'!$B$6:$B$1110,$A80,'MA Engine'!$H$6:$H$1110,8,'MA Engine'!$I$6:$I$1110,"DO",'MA Engine'!$P$6:$P$1110,"&lt;&gt;Y")+SUMIFS('MA Engine'!$X$6:$X$1110,'MA Engine'!$B$6:$B$1110,$A80,'MA Engine'!$H$6:$H$1110,8,'MA Engine'!$I$6:$I$1110,"Unbilled")</f>
        <v>1619192.22317277</v>
      </c>
      <c r="AI80" s="7" t="n">
        <f aca="false">SUMIFS('MA Engine'!$AK$6:$AK$1110,'MA Engine'!$B$6:$B$1110,$A80,'MA Engine'!$H$6:$H$1110,8,'MA Engine'!$I$6:$I$1110,"DO",'MA Engine'!$P$6:$P$1110,"&lt;&gt;Y")+SUMIFS('MA Engine'!$AK$6:$AK$1110,'MA Engine'!$B$6:$B$1110,$A80,'MA Engine'!$H$6:$H$1110,8,'MA Engine'!$I$6:$I$1110,"Unbilled")</f>
        <v>331404.763434426</v>
      </c>
      <c r="AJ80" s="7" t="n">
        <f aca="false">SUMIFS('MA Engine'!$AL$6:$AL$1110,'MA Engine'!$B$6:$B$1110,$A80,'MA Engine'!$H$6:$H$1110,8,'MA Engine'!$I$6:$I$1110,"DO",'MA Engine'!$P$6:$P$1110,"&lt;&gt;Y")+SUMIFS('MA Engine'!$AL$6:$AL$1110,'MA Engine'!$B$6:$B$1110,$A80,'MA Engine'!$H$6:$H$1110,8,'MA Engine'!$I$6:$I$1110,"Unbilled")</f>
        <v>0</v>
      </c>
      <c r="AK80" s="7" t="n">
        <f aca="false">SUMIFS('MA Engine'!$AM$6:$AM$1110,'MA Engine'!$B$6:$B$1110,$A80,'MA Engine'!$H$6:$H$1110,8,'MA Engine'!$I$6:$I$1110,"DO",'MA Engine'!$P$6:$P$1110,"&lt;&gt;Y")+SUMIFS('MA Engine'!$AM$6:$AM$1110,'MA Engine'!$B$6:$B$1110,$A80,'MA Engine'!$H$6:$H$1110,8,'MA Engine'!$I$6:$I$1110,"Unbilled")</f>
        <v>1287787.45973834</v>
      </c>
      <c r="AL80" s="9" t="n">
        <f aca="false">AH80-AI80-AJ80-AK80</f>
        <v>0</v>
      </c>
      <c r="AM80" s="7" t="n">
        <f aca="false">IF(Q80=0,0,IF($D80="Karkas",SUMIFS('Karkas Detail'!$E$6:$E$42,'Karkas Detail'!$A$6:$A$42,$C80,'Karkas Detail'!$B$6:$B$42,$F80,'Karkas Detail'!$C$6:$C$42,$E80)/SUMIFS($Q$36:$Q$127,$C$36:$C$127,$C80,$D$36:$D$127,"Karkas",$F$36:$F$127,$F80,$E$36:$E$127,$E80),SUMIFS('Data SKU'!$G$5:$G$116,'Data SKU'!$A$5:$A$116,$C80,'Data SKU'!$B$5:$B$116,$D80,'Data SKU'!$C$5:$C$116,$E80,'Data SKU'!$D$5:$D$116,8,'Data SKU'!$N$5:$N$116,"Invoiced")/SUMIFS($Q$36:$Q$127,$C$36:$C$127,$C80,$D$36:$D$127,$D80,$E$36:$E$127,$E80))*Q80)+SUMIFS(Unbilled!$U$22:$U$38,Unbilled!$E$22:$E$38,$A80)</f>
        <v>1373725.30120482</v>
      </c>
      <c r="AN80" s="9" t="n">
        <f aca="false">IF(P80=0,0,AM80*AA80/P80)</f>
        <v>281164.337349397</v>
      </c>
      <c r="AO80" s="9" t="n">
        <f aca="false">IF(P80=0,0,AM80*AB80/P80)</f>
        <v>0</v>
      </c>
      <c r="AP80" s="9" t="n">
        <f aca="false">IF(P80=0,0,AM80*AC80/P80)</f>
        <v>1092560.96385542</v>
      </c>
      <c r="AQ80" s="14" t="n">
        <f aca="false">MIN(U80+V80,MAX(0,O80-M80))</f>
        <v>104.06</v>
      </c>
      <c r="AR80" s="14" t="n">
        <f aca="false">MAX(0,AQ80-V80)*Z80</f>
        <v>10.1369446467589</v>
      </c>
      <c r="AS80" s="14" t="n">
        <f aca="false">MIN(V80,AQ80)*Z80</f>
        <v>0</v>
      </c>
      <c r="AT80" s="14" t="n">
        <f aca="false">(O80-AQ80)*Z80</f>
        <v>32.6630553532411</v>
      </c>
      <c r="AU80" s="9" t="n">
        <f aca="false">(AR80+AS80+AT80)*BA80</f>
        <v>1619192.22317277</v>
      </c>
      <c r="AV80" s="9" t="n">
        <f aca="false">IF(P80=0,0,AM80*AR80/P80)</f>
        <v>325359.283601997</v>
      </c>
      <c r="AW80" s="9" t="n">
        <f aca="false">IF(P80=0,0,AM80*AS80/P80)</f>
        <v>0</v>
      </c>
      <c r="AX80" s="9" t="n">
        <f aca="false">IF(P80=0,0,AM80*AT80/P80)</f>
        <v>1048366.01760282</v>
      </c>
      <c r="AY80" s="9" t="n">
        <f aca="false">AH80-AU80</f>
        <v>0</v>
      </c>
      <c r="AZ80" s="9" t="n">
        <f aca="false">IF(M80&gt;0,P80*AG80,0)</f>
        <v>1630946.6951864</v>
      </c>
      <c r="BA80" s="9" t="n">
        <f aca="false">IF(P80=0,0,AH80/P80)</f>
        <v>37831.5939993638</v>
      </c>
      <c r="BB80" s="74" t="s">
        <v>838</v>
      </c>
      <c r="BC80" s="13" t="n">
        <f aca="false">SUMIFS('MA Engine'!$W$6:$W$1110,'MA Engine'!$B$6:$B$1110,$A80,'MA Engine'!$H$6:$H$1110,7,'MA Engine'!$I$6:$I$1110,"DO")</f>
        <v>0</v>
      </c>
      <c r="BD80" s="14" t="n">
        <f aca="false">MIN(MAX(0,H80),J80)</f>
        <v>0</v>
      </c>
      <c r="BE80" s="14" t="n">
        <f aca="false">J80-BD80</f>
        <v>0</v>
      </c>
      <c r="BF80" s="21" t="n">
        <f aca="false">IF(J80=0,0,BC80/J80)</f>
        <v>0</v>
      </c>
      <c r="BG80" s="13" t="n">
        <f aca="false">SUMIFS('MA Engine'!$AH$6:$AH$1110,'MA Engine'!$B$6:$B$1110,$A80,'MA Engine'!$H$6:$H$1110,7,'MA Engine'!$I$6:$I$1110,"DO")</f>
        <v>0</v>
      </c>
      <c r="BH80" s="13" t="n">
        <f aca="false">SUMIFS('MA Engine'!$AI$6:$AI$1110,'MA Engine'!$B$6:$B$1110,$A80,'MA Engine'!$H$6:$H$1110,7,'MA Engine'!$I$6:$I$1110,"DO")+SUMIFS('MA Engine'!$AJ$6:$AJ$1110,'MA Engine'!$B$6:$B$1110,$A80,'MA Engine'!$H$6:$H$1110,7,'MA Engine'!$I$6:$I$1110,"DO")</f>
        <v>0</v>
      </c>
      <c r="BI80" s="7" t="n">
        <f aca="false">IF(H80&gt;0,SUMIFS('MA Engine'!$L$6:$L$1110,'MA Engine'!$B$6:$B$1110,$A80,'MA Engine'!$I$6:$I$1110,"Opening")/H80,0)</f>
        <v>27319.5104361986</v>
      </c>
      <c r="BJ80" s="9" t="n">
        <f aca="false">IF(I80&gt;0,AD80/I80,BI80)</f>
        <v>27319.5104361986</v>
      </c>
      <c r="BK80" s="7" t="n">
        <f aca="false">SUMIFS('MA Engine'!$X$6:$X$1110,'MA Engine'!$B$6:$B$1110,$A80,'MA Engine'!$H$6:$H$1110,7,'MA Engine'!$I$6:$I$1110,"DO")</f>
        <v>0</v>
      </c>
      <c r="BL80" s="7" t="n">
        <f aca="false">SUMIFS('MA Engine'!$AK$6:$AK$1110,'MA Engine'!$B$6:$B$1110,$A80,'MA Engine'!$H$6:$H$1110,7,'MA Engine'!$I$6:$I$1110,"DO")</f>
        <v>0</v>
      </c>
      <c r="BM80" s="7" t="n">
        <f aca="false">SUMIFS('MA Engine'!$AL$6:$AL$1110,'MA Engine'!$B$6:$B$1110,$A80,'MA Engine'!$H$6:$H$1110,7,'MA Engine'!$I$6:$I$1110,"DO")+SUMIFS('MA Engine'!$AM$6:$AM$1110,'MA Engine'!$B$6:$B$1110,$A80,'MA Engine'!$H$6:$H$1110,7,'MA Engine'!$I$6:$I$1110,"DO")</f>
        <v>0</v>
      </c>
      <c r="BN80" s="9" t="n">
        <f aca="false">BK80-BL80-BM80</f>
        <v>0</v>
      </c>
      <c r="BO80" s="7" t="n">
        <f aca="false">IF(BC80=0,0,SUMIFS('Data SKU'!$G$5:$G$116,'Data SKU'!$A$5:$A$116,$C80,'Data SKU'!$B$5:$B$116,$D80,'Data SKU'!$C$5:$C$116,$E80,'Data SKU'!$D$5:$D$116,7,'Data SKU'!$N$5:$N$116,"Invoiced")/SUMIFS($BC$36:$BC$127,$C$36:$C$127,$C80,$D$36:$D$127,$D80,$E$36:$E$127,$E80)*BC80)</f>
        <v>0</v>
      </c>
      <c r="BP80" s="9" t="n">
        <f aca="false">IF(BC80=0,0,BO80*BG80/BC80)</f>
        <v>0</v>
      </c>
      <c r="BQ80" s="9" t="n">
        <f aca="false">IF(BC80=0,0,BO80*BH80/BC80)</f>
        <v>0</v>
      </c>
    </row>
    <row r="81" customFormat="false" ht="15" hidden="false" customHeight="false" outlineLevel="0" collapsed="false">
      <c r="A81" s="74" t="s">
        <v>993</v>
      </c>
      <c r="B81" s="53" t="str">
        <f aca="false">INDEX(I_Items!$B$5:$B$133,MATCH($A81,I_Items!$A$5:$A$133,0))&amp;""</f>
        <v>Karkas Uk 1.4 Karkas Uk 1.4 Fresh Premium</v>
      </c>
      <c r="C81" s="53" t="str">
        <f aca="false">INDEX(I_Items!$C$5:$C$133,MATCH($A81,I_Items!$A$5:$A$133,0))&amp;""</f>
        <v>RPA</v>
      </c>
      <c r="D81" s="53" t="str">
        <f aca="false">INDEX(I_Items!$D$5:$D$133,MATCH($A81,I_Items!$A$5:$A$133,0))&amp;""</f>
        <v>Karkas</v>
      </c>
      <c r="E81" s="53" t="str">
        <f aca="false">INDEX(I_Items!$F$5:$F$133,MATCH($A81,I_Items!$A$5:$A$133,0))&amp;""</f>
        <v>Fresh</v>
      </c>
      <c r="F81" s="53" t="str">
        <f aca="false">INDEX(I_Items!$E$5:$E$133,MATCH($A81,I_Items!$A$5:$A$133,0))&amp;""</f>
        <v>Uk 1.4</v>
      </c>
      <c r="G81" s="6" t="str">
        <f aca="false">IF(P81=0,"-",IF(M81=0,"A",IF(K81&lt;=0,"C","B")))</f>
        <v>C</v>
      </c>
      <c r="H81" s="13" t="n">
        <f aca="false">SUMIFS('MA Engine'!$K$6:$K$1110,'MA Engine'!$B$6:$B$1110,$A81,'MA Engine'!$I$6:$I$1110,"Opening")</f>
        <v>0</v>
      </c>
      <c r="I81" s="13" t="n">
        <f aca="false">SUMIFS('MA Engine'!$K$6:$K$1110,'MA Engine'!$B$6:$B$1110,$A81,'MA Engine'!$H$6:$H$1110,7,'MA Engine'!$I$6:$I$1110,"&lt;&gt;Opening")</f>
        <v>0</v>
      </c>
      <c r="J81" s="13" t="n">
        <f aca="false">SUMIFS('MA Engine'!$W$6:$W$1110,'MA Engine'!$B$6:$B$1110,$A81,'MA Engine'!$H$6:$H$1110,7)</f>
        <v>0</v>
      </c>
      <c r="K81" s="14" t="n">
        <f aca="false">H81+I81-J81</f>
        <v>0</v>
      </c>
      <c r="L81" s="7" t="n">
        <f aca="false">SUMIFS('MA Engine'!$L$6:$L$1110,'MA Engine'!$B$6:$B$1110,$A81,'MA Engine'!$I$6:$I$1110,"Opening")+SUMIFS('MA Engine'!$L$6:$L$1110,'MA Engine'!$B$6:$B$1110,$A81,'MA Engine'!$H$6:$H$1110,7,'MA Engine'!$I$6:$I$1110,"&lt;&gt;Opening")-SUMIFS('MA Engine'!$X$6:$X$1110,'MA Engine'!$B$6:$B$1110,$A81,'MA Engine'!$H$6:$H$1110,7)</f>
        <v>0.08</v>
      </c>
      <c r="M81" s="13" t="n">
        <f aca="false">SUMIFS('MA Engine'!$K$6:$K$1110,'MA Engine'!$B$6:$B$1110,$A81,'MA Engine'!$H$6:$H$1110,8)</f>
        <v>11304.8</v>
      </c>
      <c r="N81" s="7" t="n">
        <f aca="false">SUMIFS('MA Engine'!$L$6:$L$1110,'MA Engine'!$B$6:$B$1110,$A81,'MA Engine'!$H$6:$H$1110,8)</f>
        <v>423599223.83</v>
      </c>
      <c r="O81" s="13" t="n">
        <f aca="false">SUMIFS('MA Engine'!$W$6:$W$1110,'MA Engine'!$B$6:$B$1110,$A81,'MA Engine'!$H$6:$H$1110,8)</f>
        <v>9100.46</v>
      </c>
      <c r="P81" s="14" t="n">
        <f aca="false">Q81+R81</f>
        <v>8477.43</v>
      </c>
      <c r="Q81" s="13" t="n">
        <f aca="false">SUMIFS('MA Engine'!$W$6:$W$1110,'MA Engine'!$B$6:$B$1110,$A81,'MA Engine'!$H$6:$H$1110,8,'MA Engine'!$I$6:$I$1110,"DO",'MA Engine'!$P$6:$P$1110,"&lt;&gt;Y")</f>
        <v>6967.03</v>
      </c>
      <c r="R81" s="13" t="n">
        <f aca="false">SUMIFS('MA Engine'!$W$6:$W$1110,'MA Engine'!$B$6:$B$1110,$A81,'MA Engine'!$H$6:$H$1110,8,'MA Engine'!$I$6:$I$1110,"Unbilled")</f>
        <v>1510.4</v>
      </c>
      <c r="S81" s="13" t="n">
        <f aca="false">SUMIFS('MA Engine'!$W$6:$W$1110,'MA Engine'!$B$6:$B$1110,$A81,'MA Engine'!$H$6:$H$1110,8,'MA Engine'!$P$6:$P$1110,"Y")</f>
        <v>14.63</v>
      </c>
      <c r="T81" s="14" t="n">
        <f aca="false">O81-P81-S81</f>
        <v>608.400000000001</v>
      </c>
      <c r="U81" s="14" t="n">
        <f aca="false">MAX(0,H81-J81)</f>
        <v>0</v>
      </c>
      <c r="V81" s="14" t="n">
        <f aca="false">MAX(0,K81-U81)</f>
        <v>0</v>
      </c>
      <c r="W81" s="14" t="n">
        <f aca="false">MIN(U81,O81)</f>
        <v>0</v>
      </c>
      <c r="X81" s="14" t="n">
        <f aca="false">MIN(V81,O81-W81)</f>
        <v>0</v>
      </c>
      <c r="Y81" s="14" t="n">
        <f aca="false">O81-W81-X81</f>
        <v>9100.46</v>
      </c>
      <c r="Z81" s="21" t="n">
        <f aca="false">IF(O81=0,0,P81/O81)</f>
        <v>0.931538625520029</v>
      </c>
      <c r="AA81" s="13" t="n">
        <f aca="false">SUMIFS('MA Engine'!$AH$6:$AH$1110,'MA Engine'!$B$6:$B$1110,$A81,'MA Engine'!$H$6:$H$1110,8,'MA Engine'!$I$6:$I$1110,"DO",'MA Engine'!$P$6:$P$1110,"&lt;&gt;Y")+SUMIFS('MA Engine'!$AH$6:$AH$1110,'MA Engine'!$B$6:$B$1110,$A81,'MA Engine'!$H$6:$H$1110,8,'MA Engine'!$I$6:$I$1110,"Unbilled")</f>
        <v>0</v>
      </c>
      <c r="AB81" s="13" t="n">
        <f aca="false">SUMIFS('MA Engine'!$AI$6:$AI$1110,'MA Engine'!$B$6:$B$1110,$A81,'MA Engine'!$H$6:$H$1110,8,'MA Engine'!$I$6:$I$1110,"DO",'MA Engine'!$P$6:$P$1110,"&lt;&gt;Y")+SUMIFS('MA Engine'!$AI$6:$AI$1110,'MA Engine'!$B$6:$B$1110,$A81,'MA Engine'!$H$6:$H$1110,8,'MA Engine'!$I$6:$I$1110,"Unbilled")</f>
        <v>0</v>
      </c>
      <c r="AC81" s="13" t="n">
        <f aca="false">SUMIFS('MA Engine'!$AJ$6:$AJ$1110,'MA Engine'!$B$6:$B$1110,$A81,'MA Engine'!$H$6:$H$1110,8,'MA Engine'!$I$6:$I$1110,"DO",'MA Engine'!$P$6:$P$1110,"&lt;&gt;Y")+SUMIFS('MA Engine'!$AJ$6:$AJ$1110,'MA Engine'!$B$6:$B$1110,$A81,'MA Engine'!$H$6:$H$1110,8,'MA Engine'!$I$6:$I$1110,"Unbilled")</f>
        <v>8477.43</v>
      </c>
      <c r="AD81" s="7" t="n">
        <f aca="false">SUMIFS('MA Engine'!$L$6:$L$1110,'MA Engine'!$B$6:$B$1110,$A81,'MA Engine'!$H$6:$H$1110,7,'MA Engine'!$I$6:$I$1110,"&lt;&gt;Opening")</f>
        <v>0</v>
      </c>
      <c r="AE81" s="9" t="n">
        <f aca="false">IF(AND(U81&gt;0.0001,(L81-V81*IF(I81&gt;0,AD81/I81,IF(K81&gt;0,L81/K81,0)))&lt;0),IF(K81&gt;0,L81/K81,0),IF(I81&gt;0,AD81/I81,IF(K81&gt;0,L81/K81,0)))</f>
        <v>0</v>
      </c>
      <c r="AF81" s="9" t="n">
        <f aca="false">IF(U81&lt;=0.0001,IF(K81&gt;0,L81/K81,0),IF((L81-V81*IF(I81&gt;0,AD81/I81,IF(K81&gt;0,L81/K81,0)))&lt;0,IF(K81&gt;0,L81/K81,0),(L81-V81*IF(I81&gt;0,AD81/I81,IF(K81&gt;0,L81/K81,0)))/U81))</f>
        <v>0</v>
      </c>
      <c r="AG81" s="9" t="n">
        <f aca="false">IF(M81&gt;0,N81/M81,IF(K81&gt;0,L81/K81,0))</f>
        <v>37470.7402015073</v>
      </c>
      <c r="AH81" s="7" t="n">
        <f aca="false">SUMIFS('MA Engine'!$X$6:$X$1110,'MA Engine'!$B$6:$B$1110,$A81,'MA Engine'!$H$6:$H$1110,8,'MA Engine'!$I$6:$I$1110,"DO",'MA Engine'!$P$6:$P$1110,"&lt;&gt;Y")+SUMIFS('MA Engine'!$X$6:$X$1110,'MA Engine'!$B$6:$B$1110,$A81,'MA Engine'!$H$6:$H$1110,8,'MA Engine'!$I$6:$I$1110,"Unbilled")</f>
        <v>318713846.491109</v>
      </c>
      <c r="AI81" s="7" t="n">
        <f aca="false">SUMIFS('MA Engine'!$AK$6:$AK$1110,'MA Engine'!$B$6:$B$1110,$A81,'MA Engine'!$H$6:$H$1110,8,'MA Engine'!$I$6:$I$1110,"DO",'MA Engine'!$P$6:$P$1110,"&lt;&gt;Y")+SUMIFS('MA Engine'!$AK$6:$AK$1110,'MA Engine'!$B$6:$B$1110,$A81,'MA Engine'!$H$6:$H$1110,8,'MA Engine'!$I$6:$I$1110,"Unbilled")</f>
        <v>0</v>
      </c>
      <c r="AJ81" s="7" t="n">
        <f aca="false">SUMIFS('MA Engine'!$AL$6:$AL$1110,'MA Engine'!$B$6:$B$1110,$A81,'MA Engine'!$H$6:$H$1110,8,'MA Engine'!$I$6:$I$1110,"DO",'MA Engine'!$P$6:$P$1110,"&lt;&gt;Y")+SUMIFS('MA Engine'!$AL$6:$AL$1110,'MA Engine'!$B$6:$B$1110,$A81,'MA Engine'!$H$6:$H$1110,8,'MA Engine'!$I$6:$I$1110,"Unbilled")</f>
        <v>0</v>
      </c>
      <c r="AK81" s="7" t="n">
        <f aca="false">SUMIFS('MA Engine'!$AM$6:$AM$1110,'MA Engine'!$B$6:$B$1110,$A81,'MA Engine'!$H$6:$H$1110,8,'MA Engine'!$I$6:$I$1110,"DO",'MA Engine'!$P$6:$P$1110,"&lt;&gt;Y")+SUMIFS('MA Engine'!$AM$6:$AM$1110,'MA Engine'!$B$6:$B$1110,$A81,'MA Engine'!$H$6:$H$1110,8,'MA Engine'!$I$6:$I$1110,"Unbilled")</f>
        <v>318713846.491109</v>
      </c>
      <c r="AL81" s="9" t="n">
        <f aca="false">AH81-AI81-AJ81-AK81</f>
        <v>0</v>
      </c>
      <c r="AM81" s="7" t="n">
        <f aca="false">IF(Q81=0,0,IF($D81="Karkas",SUMIFS('Karkas Detail'!$E$6:$E$42,'Karkas Detail'!$A$6:$A$42,$C81,'Karkas Detail'!$B$6:$B$42,$F81,'Karkas Detail'!$C$6:$C$42,$E81)/SUMIFS($Q$36:$Q$127,$C$36:$C$127,$C81,$D$36:$D$127,"Karkas",$F$36:$F$127,$F81,$E$36:$E$127,$E81),SUMIFS('Data SKU'!$G$5:$G$116,'Data SKU'!$A$5:$A$116,$C81,'Data SKU'!$B$5:$B$116,$D81,'Data SKU'!$C$5:$C$116,$E81,'Data SKU'!$D$5:$D$116,8,'Data SKU'!$N$5:$N$116,"Invoiced")/SUMIFS($Q$36:$Q$127,$C$36:$C$127,$C81,$D$36:$D$127,$D81,$E$36:$E$127,$E81))*Q81)+SUMIFS(Unbilled!$U$22:$U$38,Unbilled!$E$22:$E$38,$A81)</f>
        <v>315517074.088156</v>
      </c>
      <c r="AN81" s="9" t="n">
        <f aca="false">IF(P81=0,0,AM81*AA81/P81)</f>
        <v>0</v>
      </c>
      <c r="AO81" s="9" t="n">
        <f aca="false">IF(P81=0,0,AM81*AB81/P81)</f>
        <v>0</v>
      </c>
      <c r="AP81" s="9" t="n">
        <f aca="false">IF(P81=0,0,AM81*AC81/P81)</f>
        <v>315517074.088156</v>
      </c>
      <c r="AQ81" s="14" t="n">
        <f aca="false">MIN(U81+V81,MAX(0,O81-M81))</f>
        <v>0</v>
      </c>
      <c r="AR81" s="14" t="n">
        <f aca="false">MAX(0,AQ81-V81)*Z81</f>
        <v>0</v>
      </c>
      <c r="AS81" s="14" t="n">
        <f aca="false">MIN(V81,AQ81)*Z81</f>
        <v>0</v>
      </c>
      <c r="AT81" s="14" t="n">
        <f aca="false">(O81-AQ81)*Z81</f>
        <v>8477.43</v>
      </c>
      <c r="AU81" s="9" t="n">
        <f aca="false">(AR81+AS81+AT81)*BA81</f>
        <v>318713846.491109</v>
      </c>
      <c r="AV81" s="9" t="n">
        <f aca="false">IF(P81=0,0,AM81*AR81/P81)</f>
        <v>0</v>
      </c>
      <c r="AW81" s="9" t="n">
        <f aca="false">IF(P81=0,0,AM81*AS81/P81)</f>
        <v>0</v>
      </c>
      <c r="AX81" s="9" t="n">
        <f aca="false">IF(P81=0,0,AM81*AT81/P81)</f>
        <v>315517074.088156</v>
      </c>
      <c r="AY81" s="9" t="n">
        <f aca="false">AH81-AU81</f>
        <v>0</v>
      </c>
      <c r="AZ81" s="9" t="n">
        <f aca="false">IF(M81&gt;0,P81*AG81,0)</f>
        <v>317655577.106464</v>
      </c>
      <c r="BA81" s="9" t="n">
        <f aca="false">IF(P81=0,0,AH81/P81)</f>
        <v>37595.5739523781</v>
      </c>
      <c r="BB81" s="74" t="s">
        <v>837</v>
      </c>
      <c r="BC81" s="13" t="n">
        <f aca="false">SUMIFS('MA Engine'!$W$6:$W$1110,'MA Engine'!$B$6:$B$1110,$A81,'MA Engine'!$H$6:$H$1110,7,'MA Engine'!$I$6:$I$1110,"DO")</f>
        <v>0</v>
      </c>
      <c r="BD81" s="14" t="n">
        <f aca="false">MIN(MAX(0,H81),J81)</f>
        <v>0</v>
      </c>
      <c r="BE81" s="14" t="n">
        <f aca="false">J81-BD81</f>
        <v>0</v>
      </c>
      <c r="BF81" s="21" t="n">
        <f aca="false">IF(J81=0,0,BC81/J81)</f>
        <v>0</v>
      </c>
      <c r="BG81" s="13" t="n">
        <f aca="false">SUMIFS('MA Engine'!$AH$6:$AH$1110,'MA Engine'!$B$6:$B$1110,$A81,'MA Engine'!$H$6:$H$1110,7,'MA Engine'!$I$6:$I$1110,"DO")</f>
        <v>0</v>
      </c>
      <c r="BH81" s="13" t="n">
        <f aca="false">SUMIFS('MA Engine'!$AI$6:$AI$1110,'MA Engine'!$B$6:$B$1110,$A81,'MA Engine'!$H$6:$H$1110,7,'MA Engine'!$I$6:$I$1110,"DO")+SUMIFS('MA Engine'!$AJ$6:$AJ$1110,'MA Engine'!$B$6:$B$1110,$A81,'MA Engine'!$H$6:$H$1110,7,'MA Engine'!$I$6:$I$1110,"DO")</f>
        <v>0</v>
      </c>
      <c r="BI81" s="7" t="n">
        <f aca="false">IF(H81&gt;0,SUMIFS('MA Engine'!$L$6:$L$1110,'MA Engine'!$B$6:$B$1110,$A81,'MA Engine'!$I$6:$I$1110,"Opening")/H81,0)</f>
        <v>0</v>
      </c>
      <c r="BJ81" s="9" t="n">
        <f aca="false">IF(I81&gt;0,AD81/I81,BI81)</f>
        <v>0</v>
      </c>
      <c r="BK81" s="7" t="n">
        <f aca="false">SUMIFS('MA Engine'!$X$6:$X$1110,'MA Engine'!$B$6:$B$1110,$A81,'MA Engine'!$H$6:$H$1110,7,'MA Engine'!$I$6:$I$1110,"DO")</f>
        <v>0</v>
      </c>
      <c r="BL81" s="7" t="n">
        <f aca="false">SUMIFS('MA Engine'!$AK$6:$AK$1110,'MA Engine'!$B$6:$B$1110,$A81,'MA Engine'!$H$6:$H$1110,7,'MA Engine'!$I$6:$I$1110,"DO")</f>
        <v>0</v>
      </c>
      <c r="BM81" s="7" t="n">
        <f aca="false">SUMIFS('MA Engine'!$AL$6:$AL$1110,'MA Engine'!$B$6:$B$1110,$A81,'MA Engine'!$H$6:$H$1110,7,'MA Engine'!$I$6:$I$1110,"DO")+SUMIFS('MA Engine'!$AM$6:$AM$1110,'MA Engine'!$B$6:$B$1110,$A81,'MA Engine'!$H$6:$H$1110,7,'MA Engine'!$I$6:$I$1110,"DO")</f>
        <v>0</v>
      </c>
      <c r="BN81" s="9" t="n">
        <f aca="false">BK81-BL81-BM81</f>
        <v>0</v>
      </c>
      <c r="BO81" s="7" t="n">
        <f aca="false">IF(BC81=0,0,SUMIFS('Data SKU'!$G$5:$G$116,'Data SKU'!$A$5:$A$116,$C81,'Data SKU'!$B$5:$B$116,$D81,'Data SKU'!$C$5:$C$116,$E81,'Data SKU'!$D$5:$D$116,7,'Data SKU'!$N$5:$N$116,"Invoiced")/SUMIFS($BC$36:$BC$127,$C$36:$C$127,$C81,$D$36:$D$127,$D81,$E$36:$E$127,$E81)*BC81)</f>
        <v>0</v>
      </c>
      <c r="BP81" s="9" t="n">
        <f aca="false">IF(BC81=0,0,BO81*BG81/BC81)</f>
        <v>0</v>
      </c>
      <c r="BQ81" s="9" t="n">
        <f aca="false">IF(BC81=0,0,BO81*BH81/BC81)</f>
        <v>0</v>
      </c>
    </row>
    <row r="82" customFormat="false" ht="15" hidden="false" customHeight="false" outlineLevel="0" collapsed="false">
      <c r="A82" s="74" t="s">
        <v>994</v>
      </c>
      <c r="B82" s="53" t="str">
        <f aca="false">INDEX(I_Items!$B$5:$B$133,MATCH($A82,I_Items!$A$5:$A$133,0))&amp;""</f>
        <v>Karkas Uk 1.4 Karkas Uk 1.4 Frozen Grade A</v>
      </c>
      <c r="C82" s="53" t="str">
        <f aca="false">INDEX(I_Items!$C$5:$C$133,MATCH($A82,I_Items!$A$5:$A$133,0))&amp;""</f>
        <v>RPA</v>
      </c>
      <c r="D82" s="53" t="str">
        <f aca="false">INDEX(I_Items!$D$5:$D$133,MATCH($A82,I_Items!$A$5:$A$133,0))&amp;""</f>
        <v>Karkas</v>
      </c>
      <c r="E82" s="53" t="str">
        <f aca="false">INDEX(I_Items!$F$5:$F$133,MATCH($A82,I_Items!$A$5:$A$133,0))&amp;""</f>
        <v>Frozen</v>
      </c>
      <c r="F82" s="53" t="str">
        <f aca="false">INDEX(I_Items!$E$5:$E$133,MATCH($A82,I_Items!$A$5:$A$133,0))&amp;""</f>
        <v>Uk 1.4</v>
      </c>
      <c r="G82" s="6" t="str">
        <f aca="false">IF(P82=0,"-",IF(M82=0,"A",IF(K82&lt;=0,"C","B")))</f>
        <v>B</v>
      </c>
      <c r="H82" s="13" t="n">
        <f aca="false">SUMIFS('MA Engine'!$K$6:$K$1110,'MA Engine'!$B$6:$B$1110,$A82,'MA Engine'!$I$6:$I$1110,"Opening")</f>
        <v>567.72</v>
      </c>
      <c r="I82" s="13" t="n">
        <f aca="false">SUMIFS('MA Engine'!$K$6:$K$1110,'MA Engine'!$B$6:$B$1110,$A82,'MA Engine'!$H$6:$H$1110,7,'MA Engine'!$I$6:$I$1110,"&lt;&gt;Opening")</f>
        <v>48.4</v>
      </c>
      <c r="J82" s="13" t="n">
        <f aca="false">SUMIFS('MA Engine'!$W$6:$W$1110,'MA Engine'!$B$6:$B$1110,$A82,'MA Engine'!$H$6:$H$1110,7)</f>
        <v>68.7</v>
      </c>
      <c r="K82" s="14" t="n">
        <f aca="false">H82+I82-J82</f>
        <v>547.42</v>
      </c>
      <c r="L82" s="7" t="n">
        <f aca="false">SUMIFS('MA Engine'!$L$6:$L$1110,'MA Engine'!$B$6:$B$1110,$A82,'MA Engine'!$I$6:$I$1110,"Opening")+SUMIFS('MA Engine'!$L$6:$L$1110,'MA Engine'!$B$6:$B$1110,$A82,'MA Engine'!$H$6:$H$1110,7,'MA Engine'!$I$6:$I$1110,"&lt;&gt;Opening")-SUMIFS('MA Engine'!$X$6:$X$1110,'MA Engine'!$B$6:$B$1110,$A82,'MA Engine'!$H$6:$H$1110,7)</f>
        <v>13426126.16</v>
      </c>
      <c r="M82" s="13" t="n">
        <f aca="false">SUMIFS('MA Engine'!$K$6:$K$1110,'MA Engine'!$B$6:$B$1110,$A82,'MA Engine'!$H$6:$H$1110,8)</f>
        <v>983.5</v>
      </c>
      <c r="N82" s="7" t="n">
        <f aca="false">SUMIFS('MA Engine'!$L$6:$L$1110,'MA Engine'!$B$6:$B$1110,$A82,'MA Engine'!$H$6:$H$1110,8)</f>
        <v>33416294.06</v>
      </c>
      <c r="O82" s="13" t="n">
        <f aca="false">SUMIFS('MA Engine'!$W$6:$W$1110,'MA Engine'!$B$6:$B$1110,$A82,'MA Engine'!$H$6:$H$1110,8)</f>
        <v>477.93</v>
      </c>
      <c r="P82" s="14" t="n">
        <f aca="false">Q82+R82</f>
        <v>477.93</v>
      </c>
      <c r="Q82" s="13" t="n">
        <f aca="false">SUMIFS('MA Engine'!$W$6:$W$1110,'MA Engine'!$B$6:$B$1110,$A82,'MA Engine'!$H$6:$H$1110,8,'MA Engine'!$I$6:$I$1110,"DO",'MA Engine'!$P$6:$P$1110,"&lt;&gt;Y")</f>
        <v>477.93</v>
      </c>
      <c r="R82" s="13" t="n">
        <f aca="false">SUMIFS('MA Engine'!$W$6:$W$1110,'MA Engine'!$B$6:$B$1110,$A82,'MA Engine'!$H$6:$H$1110,8,'MA Engine'!$I$6:$I$1110,"Unbilled")</f>
        <v>0</v>
      </c>
      <c r="S82" s="13" t="n">
        <f aca="false">SUMIFS('MA Engine'!$W$6:$W$1110,'MA Engine'!$B$6:$B$1110,$A82,'MA Engine'!$H$6:$H$1110,8,'MA Engine'!$P$6:$P$1110,"Y")</f>
        <v>0</v>
      </c>
      <c r="T82" s="14" t="n">
        <f aca="false">O82-P82-S82</f>
        <v>0</v>
      </c>
      <c r="U82" s="14" t="n">
        <f aca="false">MAX(0,H82-J82)</f>
        <v>499.02</v>
      </c>
      <c r="V82" s="14" t="n">
        <f aca="false">MAX(0,K82-U82)</f>
        <v>48.3999999999999</v>
      </c>
      <c r="W82" s="14" t="n">
        <f aca="false">MIN(U82,O82)</f>
        <v>477.93</v>
      </c>
      <c r="X82" s="14" t="n">
        <f aca="false">MIN(V82,O82-W82)</f>
        <v>0</v>
      </c>
      <c r="Y82" s="14" t="n">
        <f aca="false">O82-W82-X82</f>
        <v>0</v>
      </c>
      <c r="Z82" s="21" t="n">
        <f aca="false">IF(O82=0,0,P82/O82)</f>
        <v>1</v>
      </c>
      <c r="AA82" s="13" t="n">
        <f aca="false">SUMIFS('MA Engine'!$AH$6:$AH$1110,'MA Engine'!$B$6:$B$1110,$A82,'MA Engine'!$H$6:$H$1110,8,'MA Engine'!$I$6:$I$1110,"DO",'MA Engine'!$P$6:$P$1110,"&lt;&gt;Y")+SUMIFS('MA Engine'!$AH$6:$AH$1110,'MA Engine'!$B$6:$B$1110,$A82,'MA Engine'!$H$6:$H$1110,8,'MA Engine'!$I$6:$I$1110,"Unbilled")</f>
        <v>477.93</v>
      </c>
      <c r="AB82" s="13" t="n">
        <f aca="false">SUMIFS('MA Engine'!$AI$6:$AI$1110,'MA Engine'!$B$6:$B$1110,$A82,'MA Engine'!$H$6:$H$1110,8,'MA Engine'!$I$6:$I$1110,"DO",'MA Engine'!$P$6:$P$1110,"&lt;&gt;Y")+SUMIFS('MA Engine'!$AI$6:$AI$1110,'MA Engine'!$B$6:$B$1110,$A82,'MA Engine'!$H$6:$H$1110,8,'MA Engine'!$I$6:$I$1110,"Unbilled")</f>
        <v>0</v>
      </c>
      <c r="AC82" s="13" t="n">
        <f aca="false">SUMIFS('MA Engine'!$AJ$6:$AJ$1110,'MA Engine'!$B$6:$B$1110,$A82,'MA Engine'!$H$6:$H$1110,8,'MA Engine'!$I$6:$I$1110,"DO",'MA Engine'!$P$6:$P$1110,"&lt;&gt;Y")+SUMIFS('MA Engine'!$AJ$6:$AJ$1110,'MA Engine'!$B$6:$B$1110,$A82,'MA Engine'!$H$6:$H$1110,8,'MA Engine'!$I$6:$I$1110,"Unbilled")</f>
        <v>0</v>
      </c>
      <c r="AD82" s="7" t="n">
        <f aca="false">SUMIFS('MA Engine'!$L$6:$L$1110,'MA Engine'!$B$6:$B$1110,$A82,'MA Engine'!$H$6:$H$1110,7,'MA Engine'!$I$6:$I$1110,"&lt;&gt;Opening")</f>
        <v>1253358.17</v>
      </c>
      <c r="AE82" s="9" t="n">
        <f aca="false">IF(AND(U82&gt;0.0001,(L82-V82*IF(I82&gt;0,AD82/I82,IF(K82&gt;0,L82/K82,0)))&lt;0),IF(K82&gt;0,L82/K82,0),IF(I82&gt;0,AD82/I82,IF(K82&gt;0,L82/K82,0)))</f>
        <v>25895.8299586777</v>
      </c>
      <c r="AF82" s="9" t="n">
        <f aca="false">IF(U82&lt;=0.0001,IF(K82&gt;0,L82/K82,0),IF((L82-V82*IF(I82&gt;0,AD82/I82,IF(K82&gt;0,L82/K82,0)))&lt;0,IF(K82&gt;0,L82/K82,0),(L82-V82*IF(I82&gt;0,AD82/I82,IF(K82&gt;0,L82/K82,0)))/U82))</f>
        <v>24393.3469400024</v>
      </c>
      <c r="AG82" s="9" t="n">
        <f aca="false">IF(M82&gt;0,N82/M82,IF(K82&gt;0,L82/K82,0))</f>
        <v>33976.9131265887</v>
      </c>
      <c r="AH82" s="7" t="n">
        <f aca="false">SUMIFS('MA Engine'!$X$6:$X$1110,'MA Engine'!$B$6:$B$1110,$A82,'MA Engine'!$H$6:$H$1110,8,'MA Engine'!$I$6:$I$1110,"DO",'MA Engine'!$P$6:$P$1110,"&lt;&gt;Y")+SUMIFS('MA Engine'!$X$6:$X$1110,'MA Engine'!$B$6:$B$1110,$A82,'MA Engine'!$H$6:$H$1110,8,'MA Engine'!$I$6:$I$1110,"Unbilled")</f>
        <v>11721801.3146191</v>
      </c>
      <c r="AI82" s="7" t="n">
        <f aca="false">SUMIFS('MA Engine'!$AK$6:$AK$1110,'MA Engine'!$B$6:$B$1110,$A82,'MA Engine'!$H$6:$H$1110,8,'MA Engine'!$I$6:$I$1110,"DO",'MA Engine'!$P$6:$P$1110,"&lt;&gt;Y")+SUMIFS('MA Engine'!$AK$6:$AK$1110,'MA Engine'!$B$6:$B$1110,$A82,'MA Engine'!$H$6:$H$1110,8,'MA Engine'!$I$6:$I$1110,"Unbilled")</f>
        <v>11721801.3146191</v>
      </c>
      <c r="AJ82" s="7" t="n">
        <f aca="false">SUMIFS('MA Engine'!$AL$6:$AL$1110,'MA Engine'!$B$6:$B$1110,$A82,'MA Engine'!$H$6:$H$1110,8,'MA Engine'!$I$6:$I$1110,"DO",'MA Engine'!$P$6:$P$1110,"&lt;&gt;Y")+SUMIFS('MA Engine'!$AL$6:$AL$1110,'MA Engine'!$B$6:$B$1110,$A82,'MA Engine'!$H$6:$H$1110,8,'MA Engine'!$I$6:$I$1110,"Unbilled")</f>
        <v>0</v>
      </c>
      <c r="AK82" s="7" t="n">
        <f aca="false">SUMIFS('MA Engine'!$AM$6:$AM$1110,'MA Engine'!$B$6:$B$1110,$A82,'MA Engine'!$H$6:$H$1110,8,'MA Engine'!$I$6:$I$1110,"DO",'MA Engine'!$P$6:$P$1110,"&lt;&gt;Y")+SUMIFS('MA Engine'!$AM$6:$AM$1110,'MA Engine'!$B$6:$B$1110,$A82,'MA Engine'!$H$6:$H$1110,8,'MA Engine'!$I$6:$I$1110,"Unbilled")</f>
        <v>0</v>
      </c>
      <c r="AL82" s="9" t="n">
        <f aca="false">AH82-AI82-AJ82-AK82</f>
        <v>0</v>
      </c>
      <c r="AM82" s="7" t="n">
        <f aca="false">IF(Q82=0,0,IF($D82="Karkas",SUMIFS('Karkas Detail'!$E$6:$E$42,'Karkas Detail'!$A$6:$A$42,$C82,'Karkas Detail'!$B$6:$B$42,$F82,'Karkas Detail'!$C$6:$C$42,$E82)/SUMIFS($Q$36:$Q$127,$C$36:$C$127,$C82,$D$36:$D$127,"Karkas",$F$36:$F$127,$F82,$E$36:$E$127,$E82),SUMIFS('Data SKU'!$G$5:$G$116,'Data SKU'!$A$5:$A$116,$C82,'Data SKU'!$B$5:$B$116,$D82,'Data SKU'!$C$5:$C$116,$E82,'Data SKU'!$D$5:$D$116,8,'Data SKU'!$N$5:$N$116,"Invoiced")/SUMIFS($Q$36:$Q$127,$C$36:$C$127,$C82,$D$36:$D$127,$D82,$E$36:$E$127,$E82))*Q82)+SUMIFS(Unbilled!$U$22:$U$38,Unbilled!$E$22:$E$38,$A82)</f>
        <v>14337900</v>
      </c>
      <c r="AN82" s="9" t="n">
        <f aca="false">IF(P82=0,0,AM82*AA82/P82)</f>
        <v>14337900</v>
      </c>
      <c r="AO82" s="9" t="n">
        <f aca="false">IF(P82=0,0,AM82*AB82/P82)</f>
        <v>0</v>
      </c>
      <c r="AP82" s="9" t="n">
        <f aca="false">IF(P82=0,0,AM82*AC82/P82)</f>
        <v>0</v>
      </c>
      <c r="AQ82" s="14" t="n">
        <f aca="false">MIN(U82+V82,MAX(0,O82-M82))</f>
        <v>0</v>
      </c>
      <c r="AR82" s="14" t="n">
        <f aca="false">MAX(0,AQ82-V82)*Z82</f>
        <v>0</v>
      </c>
      <c r="AS82" s="14" t="n">
        <f aca="false">MIN(V82,AQ82)*Z82</f>
        <v>0</v>
      </c>
      <c r="AT82" s="14" t="n">
        <f aca="false">(O82-AQ82)*Z82</f>
        <v>477.93</v>
      </c>
      <c r="AU82" s="9" t="n">
        <f aca="false">(AR82+AS82+AT82)*BA82</f>
        <v>11721801.3146191</v>
      </c>
      <c r="AV82" s="9" t="n">
        <f aca="false">IF(P82=0,0,AM82*AR82/P82)</f>
        <v>0</v>
      </c>
      <c r="AW82" s="9" t="n">
        <f aca="false">IF(P82=0,0,AM82*AS82/P82)</f>
        <v>0</v>
      </c>
      <c r="AX82" s="9" t="n">
        <f aca="false">IF(P82=0,0,AM82*AT82/P82)</f>
        <v>14337900</v>
      </c>
      <c r="AY82" s="9" t="n">
        <f aca="false">AH82-AU82</f>
        <v>0</v>
      </c>
      <c r="AZ82" s="9" t="n">
        <f aca="false">IF(M82&gt;0,P82*AG82,0)</f>
        <v>16238586.0905905</v>
      </c>
      <c r="BA82" s="9" t="n">
        <f aca="false">IF(P82=0,0,AH82/P82)</f>
        <v>24526.1885937671</v>
      </c>
      <c r="BB82" s="74" t="s">
        <v>838</v>
      </c>
      <c r="BC82" s="13" t="n">
        <f aca="false">SUMIFS('MA Engine'!$W$6:$W$1110,'MA Engine'!$B$6:$B$1110,$A82,'MA Engine'!$H$6:$H$1110,7,'MA Engine'!$I$6:$I$1110,"DO")</f>
        <v>0</v>
      </c>
      <c r="BD82" s="14" t="n">
        <f aca="false">MIN(MAX(0,H82),J82)</f>
        <v>68.7</v>
      </c>
      <c r="BE82" s="14" t="n">
        <f aca="false">J82-BD82</f>
        <v>0</v>
      </c>
      <c r="BF82" s="21" t="n">
        <f aca="false">IF(J82=0,0,BC82/J82)</f>
        <v>0</v>
      </c>
      <c r="BG82" s="13" t="n">
        <f aca="false">SUMIFS('MA Engine'!$AH$6:$AH$1110,'MA Engine'!$B$6:$B$1110,$A82,'MA Engine'!$H$6:$H$1110,7,'MA Engine'!$I$6:$I$1110,"DO")</f>
        <v>0</v>
      </c>
      <c r="BH82" s="13" t="n">
        <f aca="false">SUMIFS('MA Engine'!$AI$6:$AI$1110,'MA Engine'!$B$6:$B$1110,$A82,'MA Engine'!$H$6:$H$1110,7,'MA Engine'!$I$6:$I$1110,"DO")+SUMIFS('MA Engine'!$AJ$6:$AJ$1110,'MA Engine'!$B$6:$B$1110,$A82,'MA Engine'!$H$6:$H$1110,7,'MA Engine'!$I$6:$I$1110,"DO")</f>
        <v>0</v>
      </c>
      <c r="BI82" s="7" t="n">
        <f aca="false">IF(H82&gt;0,SUMIFS('MA Engine'!$L$6:$L$1110,'MA Engine'!$B$6:$B$1110,$A82,'MA Engine'!$I$6:$I$1110,"Opening")/H82,0)</f>
        <v>24575.1629500458</v>
      </c>
      <c r="BJ82" s="9" t="n">
        <f aca="false">IF(I82&gt;0,AD82/I82,BI82)</f>
        <v>25895.8299586777</v>
      </c>
      <c r="BK82" s="7" t="n">
        <f aca="false">SUMIFS('MA Engine'!$X$6:$X$1110,'MA Engine'!$B$6:$B$1110,$A82,'MA Engine'!$H$6:$H$1110,7,'MA Engine'!$I$6:$I$1110,"DO")</f>
        <v>0</v>
      </c>
      <c r="BL82" s="7" t="n">
        <f aca="false">SUMIFS('MA Engine'!$AK$6:$AK$1110,'MA Engine'!$B$6:$B$1110,$A82,'MA Engine'!$H$6:$H$1110,7,'MA Engine'!$I$6:$I$1110,"DO")</f>
        <v>0</v>
      </c>
      <c r="BM82" s="7" t="n">
        <f aca="false">SUMIFS('MA Engine'!$AL$6:$AL$1110,'MA Engine'!$B$6:$B$1110,$A82,'MA Engine'!$H$6:$H$1110,7,'MA Engine'!$I$6:$I$1110,"DO")+SUMIFS('MA Engine'!$AM$6:$AM$1110,'MA Engine'!$B$6:$B$1110,$A82,'MA Engine'!$H$6:$H$1110,7,'MA Engine'!$I$6:$I$1110,"DO")</f>
        <v>0</v>
      </c>
      <c r="BN82" s="9" t="n">
        <f aca="false">BK82-BL82-BM82</f>
        <v>0</v>
      </c>
      <c r="BO82" s="7" t="n">
        <f aca="false">IF(BC82=0,0,SUMIFS('Data SKU'!$G$5:$G$116,'Data SKU'!$A$5:$A$116,$C82,'Data SKU'!$B$5:$B$116,$D82,'Data SKU'!$C$5:$C$116,$E82,'Data SKU'!$D$5:$D$116,7,'Data SKU'!$N$5:$N$116,"Invoiced")/SUMIFS($BC$36:$BC$127,$C$36:$C$127,$C82,$D$36:$D$127,$D82,$E$36:$E$127,$E82)*BC82)</f>
        <v>0</v>
      </c>
      <c r="BP82" s="9" t="n">
        <f aca="false">IF(BC82=0,0,BO82*BG82/BC82)</f>
        <v>0</v>
      </c>
      <c r="BQ82" s="9" t="n">
        <f aca="false">IF(BC82=0,0,BO82*BH82/BC82)</f>
        <v>0</v>
      </c>
    </row>
    <row r="83" customFormat="false" ht="15" hidden="false" customHeight="false" outlineLevel="0" collapsed="false">
      <c r="A83" s="74" t="s">
        <v>995</v>
      </c>
      <c r="B83" s="53" t="str">
        <f aca="false">INDEX(I_Items!$B$5:$B$133,MATCH($A83,I_Items!$A$5:$A$133,0))&amp;""</f>
        <v>Karkas Uk 1.4 Karkas Uk 1.4 Frozen Premium</v>
      </c>
      <c r="C83" s="53" t="str">
        <f aca="false">INDEX(I_Items!$C$5:$C$133,MATCH($A83,I_Items!$A$5:$A$133,0))&amp;""</f>
        <v>RPA</v>
      </c>
      <c r="D83" s="53" t="str">
        <f aca="false">INDEX(I_Items!$D$5:$D$133,MATCH($A83,I_Items!$A$5:$A$133,0))&amp;""</f>
        <v>Karkas</v>
      </c>
      <c r="E83" s="53" t="str">
        <f aca="false">INDEX(I_Items!$F$5:$F$133,MATCH($A83,I_Items!$A$5:$A$133,0))&amp;""</f>
        <v>Frozen</v>
      </c>
      <c r="F83" s="53" t="str">
        <f aca="false">INDEX(I_Items!$E$5:$E$133,MATCH($A83,I_Items!$A$5:$A$133,0))&amp;""</f>
        <v>Uk 1.4</v>
      </c>
      <c r="G83" s="6" t="str">
        <f aca="false">IF(P83=0,"-",IF(M83=0,"A",IF(K83&lt;=0,"C","B")))</f>
        <v>B</v>
      </c>
      <c r="H83" s="13" t="n">
        <f aca="false">SUMIFS('MA Engine'!$K$6:$K$1110,'MA Engine'!$B$6:$B$1110,$A83,'MA Engine'!$I$6:$I$1110,"Opening")</f>
        <v>3940.88</v>
      </c>
      <c r="I83" s="13" t="n">
        <f aca="false">SUMIFS('MA Engine'!$K$6:$K$1110,'MA Engine'!$B$6:$B$1110,$A83,'MA Engine'!$H$6:$H$1110,7,'MA Engine'!$I$6:$I$1110,"&lt;&gt;Opening")</f>
        <v>0</v>
      </c>
      <c r="J83" s="13" t="n">
        <f aca="false">SUMIFS('MA Engine'!$W$6:$W$1110,'MA Engine'!$B$6:$B$1110,$A83,'MA Engine'!$H$6:$H$1110,7)</f>
        <v>1528.8</v>
      </c>
      <c r="K83" s="14" t="n">
        <f aca="false">H83+I83-J83</f>
        <v>2412.08</v>
      </c>
      <c r="L83" s="7" t="n">
        <f aca="false">SUMIFS('MA Engine'!$L$6:$L$1110,'MA Engine'!$B$6:$B$1110,$A83,'MA Engine'!$I$6:$I$1110,"Opening")+SUMIFS('MA Engine'!$L$6:$L$1110,'MA Engine'!$B$6:$B$1110,$A83,'MA Engine'!$H$6:$H$1110,7,'MA Engine'!$I$6:$I$1110,"&lt;&gt;Opening")-SUMIFS('MA Engine'!$X$6:$X$1110,'MA Engine'!$B$6:$B$1110,$A83,'MA Engine'!$H$6:$H$1110,7)</f>
        <v>67012029.4904103</v>
      </c>
      <c r="M83" s="13" t="n">
        <f aca="false">SUMIFS('MA Engine'!$K$6:$K$1110,'MA Engine'!$B$6:$B$1110,$A83,'MA Engine'!$H$6:$H$1110,8)</f>
        <v>70.8</v>
      </c>
      <c r="N83" s="7" t="n">
        <f aca="false">SUMIFS('MA Engine'!$L$6:$L$1110,'MA Engine'!$B$6:$B$1110,$A83,'MA Engine'!$H$6:$H$1110,8)</f>
        <v>2695756.62</v>
      </c>
      <c r="O83" s="13" t="n">
        <f aca="false">SUMIFS('MA Engine'!$W$6:$W$1110,'MA Engine'!$B$6:$B$1110,$A83,'MA Engine'!$H$6:$H$1110,8)</f>
        <v>600.4</v>
      </c>
      <c r="P83" s="14" t="n">
        <f aca="false">Q83+R83</f>
        <v>600.4</v>
      </c>
      <c r="Q83" s="13" t="n">
        <f aca="false">SUMIFS('MA Engine'!$W$6:$W$1110,'MA Engine'!$B$6:$B$1110,$A83,'MA Engine'!$H$6:$H$1110,8,'MA Engine'!$I$6:$I$1110,"DO",'MA Engine'!$P$6:$P$1110,"&lt;&gt;Y")</f>
        <v>600.4</v>
      </c>
      <c r="R83" s="13" t="n">
        <f aca="false">SUMIFS('MA Engine'!$W$6:$W$1110,'MA Engine'!$B$6:$B$1110,$A83,'MA Engine'!$H$6:$H$1110,8,'MA Engine'!$I$6:$I$1110,"Unbilled")</f>
        <v>0</v>
      </c>
      <c r="S83" s="13" t="n">
        <f aca="false">SUMIFS('MA Engine'!$W$6:$W$1110,'MA Engine'!$B$6:$B$1110,$A83,'MA Engine'!$H$6:$H$1110,8,'MA Engine'!$P$6:$P$1110,"Y")</f>
        <v>0</v>
      </c>
      <c r="T83" s="14" t="n">
        <f aca="false">O83-P83-S83</f>
        <v>0</v>
      </c>
      <c r="U83" s="14" t="n">
        <f aca="false">MAX(0,H83-J83)</f>
        <v>2412.08</v>
      </c>
      <c r="V83" s="14" t="n">
        <f aca="false">MAX(0,K83-U83)</f>
        <v>0</v>
      </c>
      <c r="W83" s="14" t="n">
        <f aca="false">MIN(U83,O83)</f>
        <v>600.4</v>
      </c>
      <c r="X83" s="14" t="n">
        <f aca="false">MIN(V83,O83-W83)</f>
        <v>0</v>
      </c>
      <c r="Y83" s="14" t="n">
        <f aca="false">O83-W83-X83</f>
        <v>0</v>
      </c>
      <c r="Z83" s="21" t="n">
        <f aca="false">IF(O83=0,0,P83/O83)</f>
        <v>1</v>
      </c>
      <c r="AA83" s="13" t="n">
        <f aca="false">SUMIFS('MA Engine'!$AH$6:$AH$1110,'MA Engine'!$B$6:$B$1110,$A83,'MA Engine'!$H$6:$H$1110,8,'MA Engine'!$I$6:$I$1110,"DO",'MA Engine'!$P$6:$P$1110,"&lt;&gt;Y")+SUMIFS('MA Engine'!$AH$6:$AH$1110,'MA Engine'!$B$6:$B$1110,$A83,'MA Engine'!$H$6:$H$1110,8,'MA Engine'!$I$6:$I$1110,"Unbilled")</f>
        <v>600.4</v>
      </c>
      <c r="AB83" s="13" t="n">
        <f aca="false">SUMIFS('MA Engine'!$AI$6:$AI$1110,'MA Engine'!$B$6:$B$1110,$A83,'MA Engine'!$H$6:$H$1110,8,'MA Engine'!$I$6:$I$1110,"DO",'MA Engine'!$P$6:$P$1110,"&lt;&gt;Y")+SUMIFS('MA Engine'!$AI$6:$AI$1110,'MA Engine'!$B$6:$B$1110,$A83,'MA Engine'!$H$6:$H$1110,8,'MA Engine'!$I$6:$I$1110,"Unbilled")</f>
        <v>0</v>
      </c>
      <c r="AC83" s="13" t="n">
        <f aca="false">SUMIFS('MA Engine'!$AJ$6:$AJ$1110,'MA Engine'!$B$6:$B$1110,$A83,'MA Engine'!$H$6:$H$1110,8,'MA Engine'!$I$6:$I$1110,"DO",'MA Engine'!$P$6:$P$1110,"&lt;&gt;Y")+SUMIFS('MA Engine'!$AJ$6:$AJ$1110,'MA Engine'!$B$6:$B$1110,$A83,'MA Engine'!$H$6:$H$1110,8,'MA Engine'!$I$6:$I$1110,"Unbilled")</f>
        <v>0</v>
      </c>
      <c r="AD83" s="7" t="n">
        <f aca="false">SUMIFS('MA Engine'!$L$6:$L$1110,'MA Engine'!$B$6:$B$1110,$A83,'MA Engine'!$H$6:$H$1110,7,'MA Engine'!$I$6:$I$1110,"&lt;&gt;Opening")</f>
        <v>0</v>
      </c>
      <c r="AE83" s="9" t="n">
        <f aca="false">IF(AND(U83&gt;0.0001,(L83-V83*IF(I83&gt;0,AD83/I83,IF(K83&gt;0,L83/K83,0)))&lt;0),IF(K83&gt;0,L83/K83,0),IF(I83&gt;0,AD83/I83,IF(K83&gt;0,L83/K83,0)))</f>
        <v>27781.8436745092</v>
      </c>
      <c r="AF83" s="9" t="n">
        <f aca="false">IF(U83&lt;=0.0001,IF(K83&gt;0,L83/K83,0),IF((L83-V83*IF(I83&gt;0,AD83/I83,IF(K83&gt;0,L83/K83,0)))&lt;0,IF(K83&gt;0,L83/K83,0),(L83-V83*IF(I83&gt;0,AD83/I83,IF(K83&gt;0,L83/K83,0)))/U83))</f>
        <v>27781.8436745092</v>
      </c>
      <c r="AG83" s="9" t="n">
        <f aca="false">IF(M83&gt;0,N83/M83,IF(K83&gt;0,L83/K83,0))</f>
        <v>38075.6584745763</v>
      </c>
      <c r="AH83" s="7" t="n">
        <f aca="false">SUMIFS('MA Engine'!$X$6:$X$1110,'MA Engine'!$B$6:$B$1110,$A83,'MA Engine'!$H$6:$H$1110,8,'MA Engine'!$I$6:$I$1110,"DO",'MA Engine'!$P$6:$P$1110,"&lt;&gt;Y")+SUMIFS('MA Engine'!$X$6:$X$1110,'MA Engine'!$B$6:$B$1110,$A83,'MA Engine'!$H$6:$H$1110,8,'MA Engine'!$I$6:$I$1110,"Unbilled")</f>
        <v>16680218.9421754</v>
      </c>
      <c r="AI83" s="7" t="n">
        <f aca="false">SUMIFS('MA Engine'!$AK$6:$AK$1110,'MA Engine'!$B$6:$B$1110,$A83,'MA Engine'!$H$6:$H$1110,8,'MA Engine'!$I$6:$I$1110,"DO",'MA Engine'!$P$6:$P$1110,"&lt;&gt;Y")+SUMIFS('MA Engine'!$AK$6:$AK$1110,'MA Engine'!$B$6:$B$1110,$A83,'MA Engine'!$H$6:$H$1110,8,'MA Engine'!$I$6:$I$1110,"Unbilled")</f>
        <v>16680218.9421754</v>
      </c>
      <c r="AJ83" s="7" t="n">
        <f aca="false">SUMIFS('MA Engine'!$AL$6:$AL$1110,'MA Engine'!$B$6:$B$1110,$A83,'MA Engine'!$H$6:$H$1110,8,'MA Engine'!$I$6:$I$1110,"DO",'MA Engine'!$P$6:$P$1110,"&lt;&gt;Y")+SUMIFS('MA Engine'!$AL$6:$AL$1110,'MA Engine'!$B$6:$B$1110,$A83,'MA Engine'!$H$6:$H$1110,8,'MA Engine'!$I$6:$I$1110,"Unbilled")</f>
        <v>0</v>
      </c>
      <c r="AK83" s="7" t="n">
        <f aca="false">SUMIFS('MA Engine'!$AM$6:$AM$1110,'MA Engine'!$B$6:$B$1110,$A83,'MA Engine'!$H$6:$H$1110,8,'MA Engine'!$I$6:$I$1110,"DO",'MA Engine'!$P$6:$P$1110,"&lt;&gt;Y")+SUMIFS('MA Engine'!$AM$6:$AM$1110,'MA Engine'!$B$6:$B$1110,$A83,'MA Engine'!$H$6:$H$1110,8,'MA Engine'!$I$6:$I$1110,"Unbilled")</f>
        <v>0</v>
      </c>
      <c r="AL83" s="9" t="n">
        <f aca="false">AH83-AI83-AJ83-AK83</f>
        <v>0</v>
      </c>
      <c r="AM83" s="7" t="n">
        <f aca="false">IF(Q83=0,0,IF($D83="Karkas",SUMIFS('Karkas Detail'!$E$6:$E$42,'Karkas Detail'!$A$6:$A$42,$C83,'Karkas Detail'!$B$6:$B$42,$F83,'Karkas Detail'!$C$6:$C$42,$E83)/SUMIFS($Q$36:$Q$127,$C$36:$C$127,$C83,$D$36:$D$127,"Karkas",$F$36:$F$127,$F83,$E$36:$E$127,$E83),SUMIFS('Data SKU'!$G$5:$G$116,'Data SKU'!$A$5:$A$116,$C83,'Data SKU'!$B$5:$B$116,$D83,'Data SKU'!$C$5:$C$116,$E83,'Data SKU'!$D$5:$D$116,8,'Data SKU'!$N$5:$N$116,"Invoiced")/SUMIFS($Q$36:$Q$127,$C$36:$C$127,$C83,$D$36:$D$127,$D83,$E$36:$E$127,$E83))*Q83)+SUMIFS(Unbilled!$U$22:$U$38,Unbilled!$E$22:$E$38,$A83)</f>
        <v>18012000</v>
      </c>
      <c r="AN83" s="9" t="n">
        <f aca="false">IF(P83=0,0,AM83*AA83/P83)</f>
        <v>18012000</v>
      </c>
      <c r="AO83" s="9" t="n">
        <f aca="false">IF(P83=0,0,AM83*AB83/P83)</f>
        <v>0</v>
      </c>
      <c r="AP83" s="9" t="n">
        <f aca="false">IF(P83=0,0,AM83*AC83/P83)</f>
        <v>0</v>
      </c>
      <c r="AQ83" s="14" t="n">
        <f aca="false">MIN(U83+V83,MAX(0,O83-M83))</f>
        <v>529.6</v>
      </c>
      <c r="AR83" s="14" t="n">
        <f aca="false">MAX(0,AQ83-V83)*Z83</f>
        <v>529.6</v>
      </c>
      <c r="AS83" s="14" t="n">
        <f aca="false">MIN(V83,AQ83)*Z83</f>
        <v>0</v>
      </c>
      <c r="AT83" s="14" t="n">
        <f aca="false">(O83-AQ83)*Z83</f>
        <v>70.8</v>
      </c>
      <c r="AU83" s="9" t="n">
        <f aca="false">(AR83+AS83+AT83)*BA83</f>
        <v>16680218.9421754</v>
      </c>
      <c r="AV83" s="9" t="n">
        <f aca="false">IF(P83=0,0,AM83*AR83/P83)</f>
        <v>15888000</v>
      </c>
      <c r="AW83" s="9" t="n">
        <f aca="false">IF(P83=0,0,AM83*AS83/P83)</f>
        <v>0</v>
      </c>
      <c r="AX83" s="9" t="n">
        <f aca="false">IF(P83=0,0,AM83*AT83/P83)</f>
        <v>2124000</v>
      </c>
      <c r="AY83" s="9" t="n">
        <f aca="false">AH83-AU83</f>
        <v>0</v>
      </c>
      <c r="AZ83" s="9" t="n">
        <f aca="false">IF(M83&gt;0,P83*AG83,0)</f>
        <v>22860625.3481356</v>
      </c>
      <c r="BA83" s="9" t="n">
        <f aca="false">IF(P83=0,0,AH83/P83)</f>
        <v>27781.8436745092</v>
      </c>
      <c r="BB83" s="74" t="s">
        <v>838</v>
      </c>
      <c r="BC83" s="13" t="n">
        <f aca="false">SUMIFS('MA Engine'!$W$6:$W$1110,'MA Engine'!$B$6:$B$1110,$A83,'MA Engine'!$H$6:$H$1110,7,'MA Engine'!$I$6:$I$1110,"DO")</f>
        <v>1528.8</v>
      </c>
      <c r="BD83" s="14" t="n">
        <f aca="false">MIN(MAX(0,H83),J83)</f>
        <v>1528.8</v>
      </c>
      <c r="BE83" s="14" t="n">
        <f aca="false">J83-BD83</f>
        <v>0</v>
      </c>
      <c r="BF83" s="21" t="n">
        <f aca="false">IF(J83=0,0,BC83/J83)</f>
        <v>1</v>
      </c>
      <c r="BG83" s="13" t="n">
        <f aca="false">SUMIFS('MA Engine'!$AH$6:$AH$1110,'MA Engine'!$B$6:$B$1110,$A83,'MA Engine'!$H$6:$H$1110,7,'MA Engine'!$I$6:$I$1110,"DO")</f>
        <v>1528.8</v>
      </c>
      <c r="BH83" s="13" t="n">
        <f aca="false">SUMIFS('MA Engine'!$AI$6:$AI$1110,'MA Engine'!$B$6:$B$1110,$A83,'MA Engine'!$H$6:$H$1110,7,'MA Engine'!$I$6:$I$1110,"DO")+SUMIFS('MA Engine'!$AJ$6:$AJ$1110,'MA Engine'!$B$6:$B$1110,$A83,'MA Engine'!$H$6:$H$1110,7,'MA Engine'!$I$6:$I$1110,"DO")</f>
        <v>0</v>
      </c>
      <c r="BI83" s="7" t="n">
        <f aca="false">IF(H83&gt;0,SUMIFS('MA Engine'!$L$6:$L$1110,'MA Engine'!$B$6:$B$1110,$A83,'MA Engine'!$I$6:$I$1110,"Opening")/H83,0)</f>
        <v>27781.8436745092</v>
      </c>
      <c r="BJ83" s="9" t="n">
        <f aca="false">IF(I83&gt;0,AD83/I83,BI83)</f>
        <v>27781.8436745092</v>
      </c>
      <c r="BK83" s="7" t="n">
        <f aca="false">SUMIFS('MA Engine'!$X$6:$X$1110,'MA Engine'!$B$6:$B$1110,$A83,'MA Engine'!$H$6:$H$1110,7,'MA Engine'!$I$6:$I$1110,"DO")</f>
        <v>42472882.6095897</v>
      </c>
      <c r="BL83" s="7" t="n">
        <f aca="false">SUMIFS('MA Engine'!$AK$6:$AK$1110,'MA Engine'!$B$6:$B$1110,$A83,'MA Engine'!$H$6:$H$1110,7,'MA Engine'!$I$6:$I$1110,"DO")</f>
        <v>42472882.6095897</v>
      </c>
      <c r="BM83" s="7" t="n">
        <f aca="false">SUMIFS('MA Engine'!$AL$6:$AL$1110,'MA Engine'!$B$6:$B$1110,$A83,'MA Engine'!$H$6:$H$1110,7,'MA Engine'!$I$6:$I$1110,"DO")+SUMIFS('MA Engine'!$AM$6:$AM$1110,'MA Engine'!$B$6:$B$1110,$A83,'MA Engine'!$H$6:$H$1110,7,'MA Engine'!$I$6:$I$1110,"DO")</f>
        <v>0</v>
      </c>
      <c r="BN83" s="9" t="n">
        <f aca="false">BK83-BL83-BM83</f>
        <v>0</v>
      </c>
      <c r="BO83" s="7" t="n">
        <f aca="false">IF(BC83=0,0,SUMIFS('Data SKU'!$G$5:$G$116,'Data SKU'!$A$5:$A$116,$C83,'Data SKU'!$B$5:$B$116,$D83,'Data SKU'!$C$5:$C$116,$E83,'Data SKU'!$D$5:$D$116,7,'Data SKU'!$N$5:$N$116,"Invoiced")/SUMIFS($BC$36:$BC$127,$C$36:$C$127,$C83,$D$36:$D$127,$D83,$E$36:$E$127,$E83)*BC83)</f>
        <v>43279801.2892117</v>
      </c>
      <c r="BP83" s="9" t="n">
        <f aca="false">IF(BC83=0,0,BO83*BG83/BC83)</f>
        <v>43279801.2892117</v>
      </c>
      <c r="BQ83" s="9" t="n">
        <f aca="false">IF(BC83=0,0,BO83*BH83/BC83)</f>
        <v>0</v>
      </c>
    </row>
    <row r="84" customFormat="false" ht="15" hidden="false" customHeight="false" outlineLevel="0" collapsed="false">
      <c r="A84" s="74" t="s">
        <v>996</v>
      </c>
      <c r="B84" s="53" t="str">
        <f aca="false">INDEX(I_Items!$B$5:$B$133,MATCH($A84,I_Items!$A$5:$A$133,0))&amp;""</f>
        <v>Karkas Uk 1.5 Karkas Uk 1.5 Fresh Premium</v>
      </c>
      <c r="C84" s="53" t="str">
        <f aca="false">INDEX(I_Items!$C$5:$C$133,MATCH($A84,I_Items!$A$5:$A$133,0))&amp;""</f>
        <v>RPA</v>
      </c>
      <c r="D84" s="53" t="str">
        <f aca="false">INDEX(I_Items!$D$5:$D$133,MATCH($A84,I_Items!$A$5:$A$133,0))&amp;""</f>
        <v>Karkas</v>
      </c>
      <c r="E84" s="53" t="str">
        <f aca="false">INDEX(I_Items!$F$5:$F$133,MATCH($A84,I_Items!$A$5:$A$133,0))&amp;""</f>
        <v>Fresh</v>
      </c>
      <c r="F84" s="53" t="str">
        <f aca="false">INDEX(I_Items!$E$5:$E$133,MATCH($A84,I_Items!$A$5:$A$133,0))&amp;""</f>
        <v>Uk 1.5</v>
      </c>
      <c r="G84" s="6" t="str">
        <f aca="false">IF(P84=0,"-",IF(M84=0,"A",IF(K84&lt;=0,"C","B")))</f>
        <v>C</v>
      </c>
      <c r="H84" s="13" t="n">
        <f aca="false">SUMIFS('MA Engine'!$K$6:$K$1110,'MA Engine'!$B$6:$B$1110,$A84,'MA Engine'!$I$6:$I$1110,"Opening")</f>
        <v>0</v>
      </c>
      <c r="I84" s="13" t="n">
        <f aca="false">SUMIFS('MA Engine'!$K$6:$K$1110,'MA Engine'!$B$6:$B$1110,$A84,'MA Engine'!$H$6:$H$1110,7,'MA Engine'!$I$6:$I$1110,"&lt;&gt;Opening")</f>
        <v>0</v>
      </c>
      <c r="J84" s="13" t="n">
        <f aca="false">SUMIFS('MA Engine'!$W$6:$W$1110,'MA Engine'!$B$6:$B$1110,$A84,'MA Engine'!$H$6:$H$1110,7)</f>
        <v>0</v>
      </c>
      <c r="K84" s="14" t="n">
        <f aca="false">H84+I84-J84</f>
        <v>0</v>
      </c>
      <c r="L84" s="7" t="n">
        <f aca="false">SUMIFS('MA Engine'!$L$6:$L$1110,'MA Engine'!$B$6:$B$1110,$A84,'MA Engine'!$I$6:$I$1110,"Opening")+SUMIFS('MA Engine'!$L$6:$L$1110,'MA Engine'!$B$6:$B$1110,$A84,'MA Engine'!$H$6:$H$1110,7,'MA Engine'!$I$6:$I$1110,"&lt;&gt;Opening")-SUMIFS('MA Engine'!$X$6:$X$1110,'MA Engine'!$B$6:$B$1110,$A84,'MA Engine'!$H$6:$H$1110,7)</f>
        <v>0.41</v>
      </c>
      <c r="M84" s="13" t="n">
        <f aca="false">SUMIFS('MA Engine'!$K$6:$K$1110,'MA Engine'!$B$6:$B$1110,$A84,'MA Engine'!$H$6:$H$1110,8)</f>
        <v>6238.4</v>
      </c>
      <c r="N84" s="7" t="n">
        <f aca="false">SUMIFS('MA Engine'!$L$6:$L$1110,'MA Engine'!$B$6:$B$1110,$A84,'MA Engine'!$H$6:$H$1110,8)</f>
        <v>235422954.88</v>
      </c>
      <c r="O84" s="13" t="n">
        <f aca="false">SUMIFS('MA Engine'!$W$6:$W$1110,'MA Engine'!$B$6:$B$1110,$A84,'MA Engine'!$H$6:$H$1110,8)</f>
        <v>5210.3</v>
      </c>
      <c r="P84" s="14" t="n">
        <f aca="false">Q84+R84</f>
        <v>5210.3</v>
      </c>
      <c r="Q84" s="13" t="n">
        <f aca="false">SUMIFS('MA Engine'!$W$6:$W$1110,'MA Engine'!$B$6:$B$1110,$A84,'MA Engine'!$H$6:$H$1110,8,'MA Engine'!$I$6:$I$1110,"DO",'MA Engine'!$P$6:$P$1110,"&lt;&gt;Y")</f>
        <v>4403.1</v>
      </c>
      <c r="R84" s="13" t="n">
        <f aca="false">SUMIFS('MA Engine'!$W$6:$W$1110,'MA Engine'!$B$6:$B$1110,$A84,'MA Engine'!$H$6:$H$1110,8,'MA Engine'!$I$6:$I$1110,"Unbilled")</f>
        <v>807.2</v>
      </c>
      <c r="S84" s="13" t="n">
        <f aca="false">SUMIFS('MA Engine'!$W$6:$W$1110,'MA Engine'!$B$6:$B$1110,$A84,'MA Engine'!$H$6:$H$1110,8,'MA Engine'!$P$6:$P$1110,"Y")</f>
        <v>0</v>
      </c>
      <c r="T84" s="14" t="n">
        <f aca="false">O84-P84-S84</f>
        <v>0</v>
      </c>
      <c r="U84" s="14" t="n">
        <f aca="false">MAX(0,H84-J84)</f>
        <v>0</v>
      </c>
      <c r="V84" s="14" t="n">
        <f aca="false">MAX(0,K84-U84)</f>
        <v>0</v>
      </c>
      <c r="W84" s="14" t="n">
        <f aca="false">MIN(U84,O84)</f>
        <v>0</v>
      </c>
      <c r="X84" s="14" t="n">
        <f aca="false">MIN(V84,O84-W84)</f>
        <v>0</v>
      </c>
      <c r="Y84" s="14" t="n">
        <f aca="false">O84-W84-X84</f>
        <v>5210.3</v>
      </c>
      <c r="Z84" s="21" t="n">
        <f aca="false">IF(O84=0,0,P84/O84)</f>
        <v>1</v>
      </c>
      <c r="AA84" s="13" t="n">
        <f aca="false">SUMIFS('MA Engine'!$AH$6:$AH$1110,'MA Engine'!$B$6:$B$1110,$A84,'MA Engine'!$H$6:$H$1110,8,'MA Engine'!$I$6:$I$1110,"DO",'MA Engine'!$P$6:$P$1110,"&lt;&gt;Y")+SUMIFS('MA Engine'!$AH$6:$AH$1110,'MA Engine'!$B$6:$B$1110,$A84,'MA Engine'!$H$6:$H$1110,8,'MA Engine'!$I$6:$I$1110,"Unbilled")</f>
        <v>0</v>
      </c>
      <c r="AB84" s="13" t="n">
        <f aca="false">SUMIFS('MA Engine'!$AI$6:$AI$1110,'MA Engine'!$B$6:$B$1110,$A84,'MA Engine'!$H$6:$H$1110,8,'MA Engine'!$I$6:$I$1110,"DO",'MA Engine'!$P$6:$P$1110,"&lt;&gt;Y")+SUMIFS('MA Engine'!$AI$6:$AI$1110,'MA Engine'!$B$6:$B$1110,$A84,'MA Engine'!$H$6:$H$1110,8,'MA Engine'!$I$6:$I$1110,"Unbilled")</f>
        <v>0</v>
      </c>
      <c r="AC84" s="13" t="n">
        <f aca="false">SUMIFS('MA Engine'!$AJ$6:$AJ$1110,'MA Engine'!$B$6:$B$1110,$A84,'MA Engine'!$H$6:$H$1110,8,'MA Engine'!$I$6:$I$1110,"DO",'MA Engine'!$P$6:$P$1110,"&lt;&gt;Y")+SUMIFS('MA Engine'!$AJ$6:$AJ$1110,'MA Engine'!$B$6:$B$1110,$A84,'MA Engine'!$H$6:$H$1110,8,'MA Engine'!$I$6:$I$1110,"Unbilled")</f>
        <v>5210.3</v>
      </c>
      <c r="AD84" s="7" t="n">
        <f aca="false">SUMIFS('MA Engine'!$L$6:$L$1110,'MA Engine'!$B$6:$B$1110,$A84,'MA Engine'!$H$6:$H$1110,7,'MA Engine'!$I$6:$I$1110,"&lt;&gt;Opening")</f>
        <v>0</v>
      </c>
      <c r="AE84" s="9" t="n">
        <f aca="false">IF(AND(U84&gt;0.0001,(L84-V84*IF(I84&gt;0,AD84/I84,IF(K84&gt;0,L84/K84,0)))&lt;0),IF(K84&gt;0,L84/K84,0),IF(I84&gt;0,AD84/I84,IF(K84&gt;0,L84/K84,0)))</f>
        <v>0</v>
      </c>
      <c r="AF84" s="9" t="n">
        <f aca="false">IF(U84&lt;=0.0001,IF(K84&gt;0,L84/K84,0),IF((L84-V84*IF(I84&gt;0,AD84/I84,IF(K84&gt;0,L84/K84,0)))&lt;0,IF(K84&gt;0,L84/K84,0),(L84-V84*IF(I84&gt;0,AD84/I84,IF(K84&gt;0,L84/K84,0)))/U84))</f>
        <v>0</v>
      </c>
      <c r="AG84" s="9" t="n">
        <f aca="false">IF(M84&gt;0,N84/M84,IF(K84&gt;0,L84/K84,0))</f>
        <v>37737.7139779431</v>
      </c>
      <c r="AH84" s="7" t="n">
        <f aca="false">SUMIFS('MA Engine'!$X$6:$X$1110,'MA Engine'!$B$6:$B$1110,$A84,'MA Engine'!$H$6:$H$1110,8,'MA Engine'!$I$6:$I$1110,"DO",'MA Engine'!$P$6:$P$1110,"&lt;&gt;Y")+SUMIFS('MA Engine'!$X$6:$X$1110,'MA Engine'!$B$6:$B$1110,$A84,'MA Engine'!$H$6:$H$1110,8,'MA Engine'!$I$6:$I$1110,"Unbilled")</f>
        <v>197026512.632823</v>
      </c>
      <c r="AI84" s="7" t="n">
        <f aca="false">SUMIFS('MA Engine'!$AK$6:$AK$1110,'MA Engine'!$B$6:$B$1110,$A84,'MA Engine'!$H$6:$H$1110,8,'MA Engine'!$I$6:$I$1110,"DO",'MA Engine'!$P$6:$P$1110,"&lt;&gt;Y")+SUMIFS('MA Engine'!$AK$6:$AK$1110,'MA Engine'!$B$6:$B$1110,$A84,'MA Engine'!$H$6:$H$1110,8,'MA Engine'!$I$6:$I$1110,"Unbilled")</f>
        <v>0</v>
      </c>
      <c r="AJ84" s="7" t="n">
        <f aca="false">SUMIFS('MA Engine'!$AL$6:$AL$1110,'MA Engine'!$B$6:$B$1110,$A84,'MA Engine'!$H$6:$H$1110,8,'MA Engine'!$I$6:$I$1110,"DO",'MA Engine'!$P$6:$P$1110,"&lt;&gt;Y")+SUMIFS('MA Engine'!$AL$6:$AL$1110,'MA Engine'!$B$6:$B$1110,$A84,'MA Engine'!$H$6:$H$1110,8,'MA Engine'!$I$6:$I$1110,"Unbilled")</f>
        <v>0</v>
      </c>
      <c r="AK84" s="7" t="n">
        <f aca="false">SUMIFS('MA Engine'!$AM$6:$AM$1110,'MA Engine'!$B$6:$B$1110,$A84,'MA Engine'!$H$6:$H$1110,8,'MA Engine'!$I$6:$I$1110,"DO",'MA Engine'!$P$6:$P$1110,"&lt;&gt;Y")+SUMIFS('MA Engine'!$AM$6:$AM$1110,'MA Engine'!$B$6:$B$1110,$A84,'MA Engine'!$H$6:$H$1110,8,'MA Engine'!$I$6:$I$1110,"Unbilled")</f>
        <v>197026512.632823</v>
      </c>
      <c r="AL84" s="9" t="n">
        <f aca="false">AH84-AI84-AJ84-AK84</f>
        <v>0</v>
      </c>
      <c r="AM84" s="7" t="n">
        <f aca="false">IF(Q84=0,0,IF($D84="Karkas",SUMIFS('Karkas Detail'!$E$6:$E$42,'Karkas Detail'!$A$6:$A$42,$C84,'Karkas Detail'!$B$6:$B$42,$F84,'Karkas Detail'!$C$6:$C$42,$E84)/SUMIFS($Q$36:$Q$127,$C$36:$C$127,$C84,$D$36:$D$127,"Karkas",$F$36:$F$127,$F84,$E$36:$E$127,$E84),SUMIFS('Data SKU'!$G$5:$G$116,'Data SKU'!$A$5:$A$116,$C84,'Data SKU'!$B$5:$B$116,$D84,'Data SKU'!$C$5:$C$116,$E84,'Data SKU'!$D$5:$D$116,8,'Data SKU'!$N$5:$N$116,"Invoiced")/SUMIFS($Q$36:$Q$127,$C$36:$C$127,$C84,$D$36:$D$127,$D84,$E$36:$E$127,$E84))*Q84)+SUMIFS(Unbilled!$U$22:$U$38,Unbilled!$E$22:$E$38,$A84)</f>
        <v>190463164.570175</v>
      </c>
      <c r="AN84" s="9" t="n">
        <f aca="false">IF(P84=0,0,AM84*AA84/P84)</f>
        <v>0</v>
      </c>
      <c r="AO84" s="9" t="n">
        <f aca="false">IF(P84=0,0,AM84*AB84/P84)</f>
        <v>0</v>
      </c>
      <c r="AP84" s="9" t="n">
        <f aca="false">IF(P84=0,0,AM84*AC84/P84)</f>
        <v>190463164.570175</v>
      </c>
      <c r="AQ84" s="14" t="n">
        <f aca="false">MIN(U84+V84,MAX(0,O84-M84))</f>
        <v>0</v>
      </c>
      <c r="AR84" s="14" t="n">
        <f aca="false">MAX(0,AQ84-V84)*Z84</f>
        <v>0</v>
      </c>
      <c r="AS84" s="14" t="n">
        <f aca="false">MIN(V84,AQ84)*Z84</f>
        <v>0</v>
      </c>
      <c r="AT84" s="14" t="n">
        <f aca="false">(O84-AQ84)*Z84</f>
        <v>5210.3</v>
      </c>
      <c r="AU84" s="9" t="n">
        <f aca="false">(AR84+AS84+AT84)*BA84</f>
        <v>197026512.632823</v>
      </c>
      <c r="AV84" s="9" t="n">
        <f aca="false">IF(P84=0,0,AM84*AR84/P84)</f>
        <v>0</v>
      </c>
      <c r="AW84" s="9" t="n">
        <f aca="false">IF(P84=0,0,AM84*AS84/P84)</f>
        <v>0</v>
      </c>
      <c r="AX84" s="9" t="n">
        <f aca="false">IF(P84=0,0,AM84*AT84/P84)</f>
        <v>190463164.570175</v>
      </c>
      <c r="AY84" s="9" t="n">
        <f aca="false">AH84-AU84</f>
        <v>0</v>
      </c>
      <c r="AZ84" s="9" t="n">
        <f aca="false">IF(M84&gt;0,P84*AG84,0)</f>
        <v>196624811.139277</v>
      </c>
      <c r="BA84" s="9" t="n">
        <f aca="false">IF(P84=0,0,AH84/P84)</f>
        <v>37814.8115526597</v>
      </c>
      <c r="BB84" s="74" t="s">
        <v>837</v>
      </c>
      <c r="BC84" s="13" t="n">
        <f aca="false">SUMIFS('MA Engine'!$W$6:$W$1110,'MA Engine'!$B$6:$B$1110,$A84,'MA Engine'!$H$6:$H$1110,7,'MA Engine'!$I$6:$I$1110,"DO")</f>
        <v>0</v>
      </c>
      <c r="BD84" s="14" t="n">
        <f aca="false">MIN(MAX(0,H84),J84)</f>
        <v>0</v>
      </c>
      <c r="BE84" s="14" t="n">
        <f aca="false">J84-BD84</f>
        <v>0</v>
      </c>
      <c r="BF84" s="21" t="n">
        <f aca="false">IF(J84=0,0,BC84/J84)</f>
        <v>0</v>
      </c>
      <c r="BG84" s="13" t="n">
        <f aca="false">SUMIFS('MA Engine'!$AH$6:$AH$1110,'MA Engine'!$B$6:$B$1110,$A84,'MA Engine'!$H$6:$H$1110,7,'MA Engine'!$I$6:$I$1110,"DO")</f>
        <v>0</v>
      </c>
      <c r="BH84" s="13" t="n">
        <f aca="false">SUMIFS('MA Engine'!$AI$6:$AI$1110,'MA Engine'!$B$6:$B$1110,$A84,'MA Engine'!$H$6:$H$1110,7,'MA Engine'!$I$6:$I$1110,"DO")+SUMIFS('MA Engine'!$AJ$6:$AJ$1110,'MA Engine'!$B$6:$B$1110,$A84,'MA Engine'!$H$6:$H$1110,7,'MA Engine'!$I$6:$I$1110,"DO")</f>
        <v>0</v>
      </c>
      <c r="BI84" s="7" t="n">
        <f aca="false">IF(H84&gt;0,SUMIFS('MA Engine'!$L$6:$L$1110,'MA Engine'!$B$6:$B$1110,$A84,'MA Engine'!$I$6:$I$1110,"Opening")/H84,0)</f>
        <v>0</v>
      </c>
      <c r="BJ84" s="9" t="n">
        <f aca="false">IF(I84&gt;0,AD84/I84,BI84)</f>
        <v>0</v>
      </c>
      <c r="BK84" s="7" t="n">
        <f aca="false">SUMIFS('MA Engine'!$X$6:$X$1110,'MA Engine'!$B$6:$B$1110,$A84,'MA Engine'!$H$6:$H$1110,7,'MA Engine'!$I$6:$I$1110,"DO")</f>
        <v>0</v>
      </c>
      <c r="BL84" s="7" t="n">
        <f aca="false">SUMIFS('MA Engine'!$AK$6:$AK$1110,'MA Engine'!$B$6:$B$1110,$A84,'MA Engine'!$H$6:$H$1110,7,'MA Engine'!$I$6:$I$1110,"DO")</f>
        <v>0</v>
      </c>
      <c r="BM84" s="7" t="n">
        <f aca="false">SUMIFS('MA Engine'!$AL$6:$AL$1110,'MA Engine'!$B$6:$B$1110,$A84,'MA Engine'!$H$6:$H$1110,7,'MA Engine'!$I$6:$I$1110,"DO")+SUMIFS('MA Engine'!$AM$6:$AM$1110,'MA Engine'!$B$6:$B$1110,$A84,'MA Engine'!$H$6:$H$1110,7,'MA Engine'!$I$6:$I$1110,"DO")</f>
        <v>0</v>
      </c>
      <c r="BN84" s="9" t="n">
        <f aca="false">BK84-BL84-BM84</f>
        <v>0</v>
      </c>
      <c r="BO84" s="7" t="n">
        <f aca="false">IF(BC84=0,0,SUMIFS('Data SKU'!$G$5:$G$116,'Data SKU'!$A$5:$A$116,$C84,'Data SKU'!$B$5:$B$116,$D84,'Data SKU'!$C$5:$C$116,$E84,'Data SKU'!$D$5:$D$116,7,'Data SKU'!$N$5:$N$116,"Invoiced")/SUMIFS($BC$36:$BC$127,$C$36:$C$127,$C84,$D$36:$D$127,$D84,$E$36:$E$127,$E84)*BC84)</f>
        <v>0</v>
      </c>
      <c r="BP84" s="9" t="n">
        <f aca="false">IF(BC84=0,0,BO84*BG84/BC84)</f>
        <v>0</v>
      </c>
      <c r="BQ84" s="9" t="n">
        <f aca="false">IF(BC84=0,0,BO84*BH84/BC84)</f>
        <v>0</v>
      </c>
    </row>
    <row r="85" customFormat="false" ht="15" hidden="false" customHeight="false" outlineLevel="0" collapsed="false">
      <c r="A85" s="74" t="s">
        <v>997</v>
      </c>
      <c r="B85" s="53" t="str">
        <f aca="false">INDEX(I_Items!$B$5:$B$133,MATCH($A85,I_Items!$A$5:$A$133,0))&amp;""</f>
        <v>Karkas Uk 1.5 Karkas Uk 1.5 Frozen Grade A</v>
      </c>
      <c r="C85" s="53" t="str">
        <f aca="false">INDEX(I_Items!$C$5:$C$133,MATCH($A85,I_Items!$A$5:$A$133,0))&amp;""</f>
        <v>RPA</v>
      </c>
      <c r="D85" s="53" t="str">
        <f aca="false">INDEX(I_Items!$D$5:$D$133,MATCH($A85,I_Items!$A$5:$A$133,0))&amp;""</f>
        <v>Karkas</v>
      </c>
      <c r="E85" s="53" t="str">
        <f aca="false">INDEX(I_Items!$F$5:$F$133,MATCH($A85,I_Items!$A$5:$A$133,0))&amp;""</f>
        <v>Frozen</v>
      </c>
      <c r="F85" s="53" t="str">
        <f aca="false">INDEX(I_Items!$E$5:$E$133,MATCH($A85,I_Items!$A$5:$A$133,0))&amp;""</f>
        <v>Uk 1.5</v>
      </c>
      <c r="G85" s="6" t="str">
        <f aca="false">IF(P85=0,"-",IF(M85=0,"A",IF(K85&lt;=0,"C","B")))</f>
        <v>B</v>
      </c>
      <c r="H85" s="13" t="n">
        <f aca="false">SUMIFS('MA Engine'!$K$6:$K$1110,'MA Engine'!$B$6:$B$1110,$A85,'MA Engine'!$I$6:$I$1110,"Opening")</f>
        <v>0</v>
      </c>
      <c r="I85" s="13" t="n">
        <f aca="false">SUMIFS('MA Engine'!$K$6:$K$1110,'MA Engine'!$B$6:$B$1110,$A85,'MA Engine'!$H$6:$H$1110,7,'MA Engine'!$I$6:$I$1110,"&lt;&gt;Opening")</f>
        <v>129.2</v>
      </c>
      <c r="J85" s="13" t="n">
        <f aca="false">SUMIFS('MA Engine'!$W$6:$W$1110,'MA Engine'!$B$6:$B$1110,$A85,'MA Engine'!$H$6:$H$1110,7)</f>
        <v>48.4</v>
      </c>
      <c r="K85" s="14" t="n">
        <f aca="false">H85+I85-J85</f>
        <v>80.8</v>
      </c>
      <c r="L85" s="7" t="n">
        <f aca="false">SUMIFS('MA Engine'!$L$6:$L$1110,'MA Engine'!$B$6:$B$1110,$A85,'MA Engine'!$I$6:$I$1110,"Opening")+SUMIFS('MA Engine'!$L$6:$L$1110,'MA Engine'!$B$6:$B$1110,$A85,'MA Engine'!$H$6:$H$1110,7,'MA Engine'!$I$6:$I$1110,"&lt;&gt;Opening")-SUMIFS('MA Engine'!$X$6:$X$1110,'MA Engine'!$B$6:$B$1110,$A85,'MA Engine'!$H$6:$H$1110,7)</f>
        <v>2092383.04</v>
      </c>
      <c r="M85" s="13" t="n">
        <f aca="false">SUMIFS('MA Engine'!$K$6:$K$1110,'MA Engine'!$B$6:$B$1110,$A85,'MA Engine'!$H$6:$H$1110,8)</f>
        <v>612.5</v>
      </c>
      <c r="N85" s="7" t="n">
        <f aca="false">SUMIFS('MA Engine'!$L$6:$L$1110,'MA Engine'!$B$6:$B$1110,$A85,'MA Engine'!$H$6:$H$1110,8)</f>
        <v>20806035.69</v>
      </c>
      <c r="O85" s="13" t="n">
        <f aca="false">SUMIFS('MA Engine'!$W$6:$W$1110,'MA Engine'!$B$6:$B$1110,$A85,'MA Engine'!$H$6:$H$1110,8)</f>
        <v>20</v>
      </c>
      <c r="P85" s="14" t="n">
        <f aca="false">Q85+R85</f>
        <v>20</v>
      </c>
      <c r="Q85" s="13" t="n">
        <f aca="false">SUMIFS('MA Engine'!$W$6:$W$1110,'MA Engine'!$B$6:$B$1110,$A85,'MA Engine'!$H$6:$H$1110,8,'MA Engine'!$I$6:$I$1110,"DO",'MA Engine'!$P$6:$P$1110,"&lt;&gt;Y")</f>
        <v>20</v>
      </c>
      <c r="R85" s="13" t="n">
        <f aca="false">SUMIFS('MA Engine'!$W$6:$W$1110,'MA Engine'!$B$6:$B$1110,$A85,'MA Engine'!$H$6:$H$1110,8,'MA Engine'!$I$6:$I$1110,"Unbilled")</f>
        <v>0</v>
      </c>
      <c r="S85" s="13" t="n">
        <f aca="false">SUMIFS('MA Engine'!$W$6:$W$1110,'MA Engine'!$B$6:$B$1110,$A85,'MA Engine'!$H$6:$H$1110,8,'MA Engine'!$P$6:$P$1110,"Y")</f>
        <v>0</v>
      </c>
      <c r="T85" s="14" t="n">
        <f aca="false">O85-P85-S85</f>
        <v>0</v>
      </c>
      <c r="U85" s="14" t="n">
        <f aca="false">MAX(0,H85-J85)</f>
        <v>0</v>
      </c>
      <c r="V85" s="14" t="n">
        <f aca="false">MAX(0,K85-U85)</f>
        <v>80.8</v>
      </c>
      <c r="W85" s="14" t="n">
        <f aca="false">MIN(U85,O85)</f>
        <v>0</v>
      </c>
      <c r="X85" s="14" t="n">
        <f aca="false">MIN(V85,O85-W85)</f>
        <v>20</v>
      </c>
      <c r="Y85" s="14" t="n">
        <f aca="false">O85-W85-X85</f>
        <v>0</v>
      </c>
      <c r="Z85" s="21" t="n">
        <f aca="false">IF(O85=0,0,P85/O85)</f>
        <v>1</v>
      </c>
      <c r="AA85" s="13" t="n">
        <f aca="false">SUMIFS('MA Engine'!$AH$6:$AH$1110,'MA Engine'!$B$6:$B$1110,$A85,'MA Engine'!$H$6:$H$1110,8,'MA Engine'!$I$6:$I$1110,"DO",'MA Engine'!$P$6:$P$1110,"&lt;&gt;Y")+SUMIFS('MA Engine'!$AH$6:$AH$1110,'MA Engine'!$B$6:$B$1110,$A85,'MA Engine'!$H$6:$H$1110,8,'MA Engine'!$I$6:$I$1110,"Unbilled")</f>
        <v>0</v>
      </c>
      <c r="AB85" s="13" t="n">
        <f aca="false">SUMIFS('MA Engine'!$AI$6:$AI$1110,'MA Engine'!$B$6:$B$1110,$A85,'MA Engine'!$H$6:$H$1110,8,'MA Engine'!$I$6:$I$1110,"DO",'MA Engine'!$P$6:$P$1110,"&lt;&gt;Y")+SUMIFS('MA Engine'!$AI$6:$AI$1110,'MA Engine'!$B$6:$B$1110,$A85,'MA Engine'!$H$6:$H$1110,8,'MA Engine'!$I$6:$I$1110,"Unbilled")</f>
        <v>20</v>
      </c>
      <c r="AC85" s="13" t="n">
        <f aca="false">SUMIFS('MA Engine'!$AJ$6:$AJ$1110,'MA Engine'!$B$6:$B$1110,$A85,'MA Engine'!$H$6:$H$1110,8,'MA Engine'!$I$6:$I$1110,"DO",'MA Engine'!$P$6:$P$1110,"&lt;&gt;Y")+SUMIFS('MA Engine'!$AJ$6:$AJ$1110,'MA Engine'!$B$6:$B$1110,$A85,'MA Engine'!$H$6:$H$1110,8,'MA Engine'!$I$6:$I$1110,"Unbilled")</f>
        <v>0</v>
      </c>
      <c r="AD85" s="7" t="n">
        <f aca="false">SUMIFS('MA Engine'!$L$6:$L$1110,'MA Engine'!$B$6:$B$1110,$A85,'MA Engine'!$H$6:$H$1110,7,'MA Engine'!$I$6:$I$1110,"&lt;&gt;Opening")</f>
        <v>3345741.24</v>
      </c>
      <c r="AE85" s="9" t="n">
        <f aca="false">IF(AND(U85&gt;0.0001,(L85-V85*IF(I85&gt;0,AD85/I85,IF(K85&gt;0,L85/K85,0)))&lt;0),IF(K85&gt;0,L85/K85,0),IF(I85&gt;0,AD85/I85,IF(K85&gt;0,L85/K85,0)))</f>
        <v>25895.8300309598</v>
      </c>
      <c r="AF85" s="9" t="n">
        <f aca="false">IF(U85&lt;=0.0001,IF(K85&gt;0,L85/K85,0),IF((L85-V85*IF(I85&gt;0,AD85/I85,IF(K85&gt;0,L85/K85,0)))&lt;0,IF(K85&gt;0,L85/K85,0),(L85-V85*IF(I85&gt;0,AD85/I85,IF(K85&gt;0,L85/K85,0)))/U85))</f>
        <v>25895.8297029703</v>
      </c>
      <c r="AG85" s="9" t="n">
        <f aca="false">IF(M85&gt;0,N85/M85,IF(K85&gt;0,L85/K85,0))</f>
        <v>33969.0378612245</v>
      </c>
      <c r="AH85" s="7" t="n">
        <f aca="false">SUMIFS('MA Engine'!$X$6:$X$1110,'MA Engine'!$B$6:$B$1110,$A85,'MA Engine'!$H$6:$H$1110,8,'MA Engine'!$I$6:$I$1110,"DO",'MA Engine'!$P$6:$P$1110,"&lt;&gt;Y")+SUMIFS('MA Engine'!$X$6:$X$1110,'MA Engine'!$B$6:$B$1110,$A85,'MA Engine'!$H$6:$H$1110,8,'MA Engine'!$I$6:$I$1110,"Unbilled")</f>
        <v>643613.935356201</v>
      </c>
      <c r="AI85" s="7" t="n">
        <f aca="false">SUMIFS('MA Engine'!$AK$6:$AK$1110,'MA Engine'!$B$6:$B$1110,$A85,'MA Engine'!$H$6:$H$1110,8,'MA Engine'!$I$6:$I$1110,"DO",'MA Engine'!$P$6:$P$1110,"&lt;&gt;Y")+SUMIFS('MA Engine'!$AK$6:$AK$1110,'MA Engine'!$B$6:$B$1110,$A85,'MA Engine'!$H$6:$H$1110,8,'MA Engine'!$I$6:$I$1110,"Unbilled")</f>
        <v>0</v>
      </c>
      <c r="AJ85" s="7" t="n">
        <f aca="false">SUMIFS('MA Engine'!$AL$6:$AL$1110,'MA Engine'!$B$6:$B$1110,$A85,'MA Engine'!$H$6:$H$1110,8,'MA Engine'!$I$6:$I$1110,"DO",'MA Engine'!$P$6:$P$1110,"&lt;&gt;Y")+SUMIFS('MA Engine'!$AL$6:$AL$1110,'MA Engine'!$B$6:$B$1110,$A85,'MA Engine'!$H$6:$H$1110,8,'MA Engine'!$I$6:$I$1110,"Unbilled")</f>
        <v>643613.935356201</v>
      </c>
      <c r="AK85" s="7" t="n">
        <f aca="false">SUMIFS('MA Engine'!$AM$6:$AM$1110,'MA Engine'!$B$6:$B$1110,$A85,'MA Engine'!$H$6:$H$1110,8,'MA Engine'!$I$6:$I$1110,"DO",'MA Engine'!$P$6:$P$1110,"&lt;&gt;Y")+SUMIFS('MA Engine'!$AM$6:$AM$1110,'MA Engine'!$B$6:$B$1110,$A85,'MA Engine'!$H$6:$H$1110,8,'MA Engine'!$I$6:$I$1110,"Unbilled")</f>
        <v>0</v>
      </c>
      <c r="AL85" s="9" t="n">
        <f aca="false">AH85-AI85-AJ85-AK85</f>
        <v>0</v>
      </c>
      <c r="AM85" s="7" t="n">
        <f aca="false">IF(Q85=0,0,IF($D85="Karkas",SUMIFS('Karkas Detail'!$E$6:$E$42,'Karkas Detail'!$A$6:$A$42,$C85,'Karkas Detail'!$B$6:$B$42,$F85,'Karkas Detail'!$C$6:$C$42,$E85)/SUMIFS($Q$36:$Q$127,$C$36:$C$127,$C85,$D$36:$D$127,"Karkas",$F$36:$F$127,$F85,$E$36:$E$127,$E85),SUMIFS('Data SKU'!$G$5:$G$116,'Data SKU'!$A$5:$A$116,$C85,'Data SKU'!$B$5:$B$116,$D85,'Data SKU'!$C$5:$C$116,$E85,'Data SKU'!$D$5:$D$116,8,'Data SKU'!$N$5:$N$116,"Invoiced")/SUMIFS($Q$36:$Q$127,$C$36:$C$127,$C85,$D$36:$D$127,$D85,$E$36:$E$127,$E85))*Q85)+SUMIFS(Unbilled!$U$22:$U$38,Unbilled!$E$22:$E$38,$A85)</f>
        <v>739111.604664076</v>
      </c>
      <c r="AN85" s="9" t="n">
        <f aca="false">IF(P85=0,0,AM85*AA85/P85)</f>
        <v>0</v>
      </c>
      <c r="AO85" s="9" t="n">
        <f aca="false">IF(P85=0,0,AM85*AB85/P85)</f>
        <v>739111.604664076</v>
      </c>
      <c r="AP85" s="9" t="n">
        <f aca="false">IF(P85=0,0,AM85*AC85/P85)</f>
        <v>0</v>
      </c>
      <c r="AQ85" s="14" t="n">
        <f aca="false">MIN(U85+V85,MAX(0,O85-M85))</f>
        <v>0</v>
      </c>
      <c r="AR85" s="14" t="n">
        <f aca="false">MAX(0,AQ85-V85)*Z85</f>
        <v>0</v>
      </c>
      <c r="AS85" s="14" t="n">
        <f aca="false">MIN(V85,AQ85)*Z85</f>
        <v>0</v>
      </c>
      <c r="AT85" s="14" t="n">
        <f aca="false">(O85-AQ85)*Z85</f>
        <v>20</v>
      </c>
      <c r="AU85" s="9" t="n">
        <f aca="false">(AR85+AS85+AT85)*BA85</f>
        <v>643613.935356201</v>
      </c>
      <c r="AV85" s="9" t="n">
        <f aca="false">IF(P85=0,0,AM85*AR85/P85)</f>
        <v>0</v>
      </c>
      <c r="AW85" s="9" t="n">
        <f aca="false">IF(P85=0,0,AM85*AS85/P85)</f>
        <v>0</v>
      </c>
      <c r="AX85" s="9" t="n">
        <f aca="false">IF(P85=0,0,AM85*AT85/P85)</f>
        <v>739111.604664076</v>
      </c>
      <c r="AY85" s="9" t="n">
        <f aca="false">AH85-AU85</f>
        <v>0</v>
      </c>
      <c r="AZ85" s="9" t="n">
        <f aca="false">IF(M85&gt;0,P85*AG85,0)</f>
        <v>679380.75722449</v>
      </c>
      <c r="BA85" s="9" t="n">
        <f aca="false">IF(P85=0,0,AH85/P85)</f>
        <v>32180.69676781</v>
      </c>
      <c r="BB85" s="74" t="s">
        <v>838</v>
      </c>
      <c r="BC85" s="13" t="n">
        <f aca="false">SUMIFS('MA Engine'!$W$6:$W$1110,'MA Engine'!$B$6:$B$1110,$A85,'MA Engine'!$H$6:$H$1110,7,'MA Engine'!$I$6:$I$1110,"DO")</f>
        <v>0</v>
      </c>
      <c r="BD85" s="14" t="n">
        <f aca="false">MIN(MAX(0,H85),J85)</f>
        <v>0</v>
      </c>
      <c r="BE85" s="14" t="n">
        <f aca="false">J85-BD85</f>
        <v>48.4</v>
      </c>
      <c r="BF85" s="21" t="n">
        <f aca="false">IF(J85=0,0,BC85/J85)</f>
        <v>0</v>
      </c>
      <c r="BG85" s="13" t="n">
        <f aca="false">SUMIFS('MA Engine'!$AH$6:$AH$1110,'MA Engine'!$B$6:$B$1110,$A85,'MA Engine'!$H$6:$H$1110,7,'MA Engine'!$I$6:$I$1110,"DO")</f>
        <v>0</v>
      </c>
      <c r="BH85" s="13" t="n">
        <f aca="false">SUMIFS('MA Engine'!$AI$6:$AI$1110,'MA Engine'!$B$6:$B$1110,$A85,'MA Engine'!$H$6:$H$1110,7,'MA Engine'!$I$6:$I$1110,"DO")+SUMIFS('MA Engine'!$AJ$6:$AJ$1110,'MA Engine'!$B$6:$B$1110,$A85,'MA Engine'!$H$6:$H$1110,7,'MA Engine'!$I$6:$I$1110,"DO")</f>
        <v>0</v>
      </c>
      <c r="BI85" s="7" t="n">
        <f aca="false">IF(H85&gt;0,SUMIFS('MA Engine'!$L$6:$L$1110,'MA Engine'!$B$6:$B$1110,$A85,'MA Engine'!$I$6:$I$1110,"Opening")/H85,0)</f>
        <v>0</v>
      </c>
      <c r="BJ85" s="9" t="n">
        <f aca="false">IF(I85&gt;0,AD85/I85,BI85)</f>
        <v>25895.8300309598</v>
      </c>
      <c r="BK85" s="7" t="n">
        <f aca="false">SUMIFS('MA Engine'!$X$6:$X$1110,'MA Engine'!$B$6:$B$1110,$A85,'MA Engine'!$H$6:$H$1110,7,'MA Engine'!$I$6:$I$1110,"DO")</f>
        <v>0</v>
      </c>
      <c r="BL85" s="7" t="n">
        <f aca="false">SUMIFS('MA Engine'!$AK$6:$AK$1110,'MA Engine'!$B$6:$B$1110,$A85,'MA Engine'!$H$6:$H$1110,7,'MA Engine'!$I$6:$I$1110,"DO")</f>
        <v>0</v>
      </c>
      <c r="BM85" s="7" t="n">
        <f aca="false">SUMIFS('MA Engine'!$AL$6:$AL$1110,'MA Engine'!$B$6:$B$1110,$A85,'MA Engine'!$H$6:$H$1110,7,'MA Engine'!$I$6:$I$1110,"DO")+SUMIFS('MA Engine'!$AM$6:$AM$1110,'MA Engine'!$B$6:$B$1110,$A85,'MA Engine'!$H$6:$H$1110,7,'MA Engine'!$I$6:$I$1110,"DO")</f>
        <v>0</v>
      </c>
      <c r="BN85" s="9" t="n">
        <f aca="false">BK85-BL85-BM85</f>
        <v>0</v>
      </c>
      <c r="BO85" s="7" t="n">
        <f aca="false">IF(BC85=0,0,SUMIFS('Data SKU'!$G$5:$G$116,'Data SKU'!$A$5:$A$116,$C85,'Data SKU'!$B$5:$B$116,$D85,'Data SKU'!$C$5:$C$116,$E85,'Data SKU'!$D$5:$D$116,7,'Data SKU'!$N$5:$N$116,"Invoiced")/SUMIFS($BC$36:$BC$127,$C$36:$C$127,$C85,$D$36:$D$127,$D85,$E$36:$E$127,$E85)*BC85)</f>
        <v>0</v>
      </c>
      <c r="BP85" s="9" t="n">
        <f aca="false">IF(BC85=0,0,BO85*BG85/BC85)</f>
        <v>0</v>
      </c>
      <c r="BQ85" s="9" t="n">
        <f aca="false">IF(BC85=0,0,BO85*BH85/BC85)</f>
        <v>0</v>
      </c>
    </row>
    <row r="86" customFormat="false" ht="15" hidden="false" customHeight="false" outlineLevel="0" collapsed="false">
      <c r="A86" s="74" t="s">
        <v>998</v>
      </c>
      <c r="B86" s="53" t="str">
        <f aca="false">INDEX(I_Items!$B$5:$B$133,MATCH($A86,I_Items!$A$5:$A$133,0))&amp;""</f>
        <v>Karkas Uk 1.5 Karkas Uk 1.5 Frozen Premium</v>
      </c>
      <c r="C86" s="53" t="str">
        <f aca="false">INDEX(I_Items!$C$5:$C$133,MATCH($A86,I_Items!$A$5:$A$133,0))&amp;""</f>
        <v>RPA</v>
      </c>
      <c r="D86" s="53" t="str">
        <f aca="false">INDEX(I_Items!$D$5:$D$133,MATCH($A86,I_Items!$A$5:$A$133,0))&amp;""</f>
        <v>Karkas</v>
      </c>
      <c r="E86" s="53" t="str">
        <f aca="false">INDEX(I_Items!$F$5:$F$133,MATCH($A86,I_Items!$A$5:$A$133,0))&amp;""</f>
        <v>Frozen</v>
      </c>
      <c r="F86" s="53" t="str">
        <f aca="false">INDEX(I_Items!$E$5:$E$133,MATCH($A86,I_Items!$A$5:$A$133,0))&amp;""</f>
        <v>Uk 1.5</v>
      </c>
      <c r="G86" s="6" t="str">
        <f aca="false">IF(P86=0,"-",IF(M86=0,"A",IF(K86&lt;=0,"C","B")))</f>
        <v>B</v>
      </c>
      <c r="H86" s="13" t="n">
        <f aca="false">SUMIFS('MA Engine'!$K$6:$K$1110,'MA Engine'!$B$6:$B$1110,$A86,'MA Engine'!$I$6:$I$1110,"Opening")</f>
        <v>189.25</v>
      </c>
      <c r="I86" s="13" t="n">
        <f aca="false">SUMIFS('MA Engine'!$K$6:$K$1110,'MA Engine'!$B$6:$B$1110,$A86,'MA Engine'!$H$6:$H$1110,7,'MA Engine'!$I$6:$I$1110,"&lt;&gt;Opening")</f>
        <v>0</v>
      </c>
      <c r="J86" s="13" t="n">
        <f aca="false">SUMIFS('MA Engine'!$W$6:$W$1110,'MA Engine'!$B$6:$B$1110,$A86,'MA Engine'!$H$6:$H$1110,7)</f>
        <v>0</v>
      </c>
      <c r="K86" s="14" t="n">
        <f aca="false">H86+I86-J86</f>
        <v>189.25</v>
      </c>
      <c r="L86" s="7" t="n">
        <f aca="false">SUMIFS('MA Engine'!$L$6:$L$1110,'MA Engine'!$B$6:$B$1110,$A86,'MA Engine'!$I$6:$I$1110,"Opening")+SUMIFS('MA Engine'!$L$6:$L$1110,'MA Engine'!$B$6:$B$1110,$A86,'MA Engine'!$H$6:$H$1110,7,'MA Engine'!$I$6:$I$1110,"&lt;&gt;Opening")-SUMIFS('MA Engine'!$X$6:$X$1110,'MA Engine'!$B$6:$B$1110,$A86,'MA Engine'!$H$6:$H$1110,7)</f>
        <v>5188372.47</v>
      </c>
      <c r="M86" s="13" t="n">
        <f aca="false">SUMIFS('MA Engine'!$K$6:$K$1110,'MA Engine'!$B$6:$B$1110,$A86,'MA Engine'!$H$6:$H$1110,8)</f>
        <v>2460.6</v>
      </c>
      <c r="N86" s="7" t="n">
        <f aca="false">SUMIFS('MA Engine'!$L$6:$L$1110,'MA Engine'!$B$6:$B$1110,$A86,'MA Engine'!$H$6:$H$1110,8)</f>
        <v>91297242.96</v>
      </c>
      <c r="O86" s="13" t="n">
        <f aca="false">SUMIFS('MA Engine'!$W$6:$W$1110,'MA Engine'!$B$6:$B$1110,$A86,'MA Engine'!$H$6:$H$1110,8)</f>
        <v>430.25</v>
      </c>
      <c r="P86" s="14" t="n">
        <f aca="false">Q86+R86</f>
        <v>430.25</v>
      </c>
      <c r="Q86" s="13" t="n">
        <f aca="false">SUMIFS('MA Engine'!$W$6:$W$1110,'MA Engine'!$B$6:$B$1110,$A86,'MA Engine'!$H$6:$H$1110,8,'MA Engine'!$I$6:$I$1110,"DO",'MA Engine'!$P$6:$P$1110,"&lt;&gt;Y")</f>
        <v>430.25</v>
      </c>
      <c r="R86" s="13" t="n">
        <f aca="false">SUMIFS('MA Engine'!$W$6:$W$1110,'MA Engine'!$B$6:$B$1110,$A86,'MA Engine'!$H$6:$H$1110,8,'MA Engine'!$I$6:$I$1110,"Unbilled")</f>
        <v>0</v>
      </c>
      <c r="S86" s="13" t="n">
        <f aca="false">SUMIFS('MA Engine'!$W$6:$W$1110,'MA Engine'!$B$6:$B$1110,$A86,'MA Engine'!$H$6:$H$1110,8,'MA Engine'!$P$6:$P$1110,"Y")</f>
        <v>0</v>
      </c>
      <c r="T86" s="14" t="n">
        <f aca="false">O86-P86-S86</f>
        <v>0</v>
      </c>
      <c r="U86" s="14" t="n">
        <f aca="false">MAX(0,H86-J86)</f>
        <v>189.25</v>
      </c>
      <c r="V86" s="14" t="n">
        <f aca="false">MAX(0,K86-U86)</f>
        <v>0</v>
      </c>
      <c r="W86" s="14" t="n">
        <f aca="false">MIN(U86,O86)</f>
        <v>189.25</v>
      </c>
      <c r="X86" s="14" t="n">
        <f aca="false">MIN(V86,O86-W86)</f>
        <v>0</v>
      </c>
      <c r="Y86" s="14" t="n">
        <f aca="false">O86-W86-X86</f>
        <v>241</v>
      </c>
      <c r="Z86" s="21" t="n">
        <f aca="false">IF(O86=0,0,P86/O86)</f>
        <v>1</v>
      </c>
      <c r="AA86" s="13" t="n">
        <f aca="false">SUMIFS('MA Engine'!$AH$6:$AH$1110,'MA Engine'!$B$6:$B$1110,$A86,'MA Engine'!$H$6:$H$1110,8,'MA Engine'!$I$6:$I$1110,"DO",'MA Engine'!$P$6:$P$1110,"&lt;&gt;Y")+SUMIFS('MA Engine'!$AH$6:$AH$1110,'MA Engine'!$B$6:$B$1110,$A86,'MA Engine'!$H$6:$H$1110,8,'MA Engine'!$I$6:$I$1110,"Unbilled")</f>
        <v>189.25</v>
      </c>
      <c r="AB86" s="13" t="n">
        <f aca="false">SUMIFS('MA Engine'!$AI$6:$AI$1110,'MA Engine'!$B$6:$B$1110,$A86,'MA Engine'!$H$6:$H$1110,8,'MA Engine'!$I$6:$I$1110,"DO",'MA Engine'!$P$6:$P$1110,"&lt;&gt;Y")+SUMIFS('MA Engine'!$AI$6:$AI$1110,'MA Engine'!$B$6:$B$1110,$A86,'MA Engine'!$H$6:$H$1110,8,'MA Engine'!$I$6:$I$1110,"Unbilled")</f>
        <v>0</v>
      </c>
      <c r="AC86" s="13" t="n">
        <f aca="false">SUMIFS('MA Engine'!$AJ$6:$AJ$1110,'MA Engine'!$B$6:$B$1110,$A86,'MA Engine'!$H$6:$H$1110,8,'MA Engine'!$I$6:$I$1110,"DO",'MA Engine'!$P$6:$P$1110,"&lt;&gt;Y")+SUMIFS('MA Engine'!$AJ$6:$AJ$1110,'MA Engine'!$B$6:$B$1110,$A86,'MA Engine'!$H$6:$H$1110,8,'MA Engine'!$I$6:$I$1110,"Unbilled")</f>
        <v>241</v>
      </c>
      <c r="AD86" s="7" t="n">
        <f aca="false">SUMIFS('MA Engine'!$L$6:$L$1110,'MA Engine'!$B$6:$B$1110,$A86,'MA Engine'!$H$6:$H$1110,7,'MA Engine'!$I$6:$I$1110,"&lt;&gt;Opening")</f>
        <v>0</v>
      </c>
      <c r="AE86" s="9" t="n">
        <f aca="false">IF(AND(U86&gt;0.0001,(L86-V86*IF(I86&gt;0,AD86/I86,IF(K86&gt;0,L86/K86,0)))&lt;0),IF(K86&gt;0,L86/K86,0),IF(I86&gt;0,AD86/I86,IF(K86&gt;0,L86/K86,0)))</f>
        <v>27415.4423778071</v>
      </c>
      <c r="AF86" s="9" t="n">
        <f aca="false">IF(U86&lt;=0.0001,IF(K86&gt;0,L86/K86,0),IF((L86-V86*IF(I86&gt;0,AD86/I86,IF(K86&gt;0,L86/K86,0)))&lt;0,IF(K86&gt;0,L86/K86,0),(L86-V86*IF(I86&gt;0,AD86/I86,IF(K86&gt;0,L86/K86,0)))/U86))</f>
        <v>27415.4423778071</v>
      </c>
      <c r="AG86" s="9" t="n">
        <f aca="false">IF(M86&gt;0,N86/M86,IF(K86&gt;0,L86/K86,0))</f>
        <v>37103.6507193367</v>
      </c>
      <c r="AH86" s="7" t="n">
        <f aca="false">SUMIFS('MA Engine'!$X$6:$X$1110,'MA Engine'!$B$6:$B$1110,$A86,'MA Engine'!$H$6:$H$1110,8,'MA Engine'!$I$6:$I$1110,"DO",'MA Engine'!$P$6:$P$1110,"&lt;&gt;Y")+SUMIFS('MA Engine'!$X$6:$X$1110,'MA Engine'!$B$6:$B$1110,$A86,'MA Engine'!$H$6:$H$1110,8,'MA Engine'!$I$6:$I$1110,"Unbilled")</f>
        <v>15429583.543316</v>
      </c>
      <c r="AI86" s="7" t="n">
        <f aca="false">SUMIFS('MA Engine'!$AK$6:$AK$1110,'MA Engine'!$B$6:$B$1110,$A86,'MA Engine'!$H$6:$H$1110,8,'MA Engine'!$I$6:$I$1110,"DO",'MA Engine'!$P$6:$P$1110,"&lt;&gt;Y")+SUMIFS('MA Engine'!$AK$6:$AK$1110,'MA Engine'!$B$6:$B$1110,$A86,'MA Engine'!$H$6:$H$1110,8,'MA Engine'!$I$6:$I$1110,"Unbilled")</f>
        <v>6786865.04491004</v>
      </c>
      <c r="AJ86" s="7" t="n">
        <f aca="false">SUMIFS('MA Engine'!$AL$6:$AL$1110,'MA Engine'!$B$6:$B$1110,$A86,'MA Engine'!$H$6:$H$1110,8,'MA Engine'!$I$6:$I$1110,"DO",'MA Engine'!$P$6:$P$1110,"&lt;&gt;Y")+SUMIFS('MA Engine'!$AL$6:$AL$1110,'MA Engine'!$B$6:$B$1110,$A86,'MA Engine'!$H$6:$H$1110,8,'MA Engine'!$I$6:$I$1110,"Unbilled")</f>
        <v>0</v>
      </c>
      <c r="AK86" s="7" t="n">
        <f aca="false">SUMIFS('MA Engine'!$AM$6:$AM$1110,'MA Engine'!$B$6:$B$1110,$A86,'MA Engine'!$H$6:$H$1110,8,'MA Engine'!$I$6:$I$1110,"DO",'MA Engine'!$P$6:$P$1110,"&lt;&gt;Y")+SUMIFS('MA Engine'!$AM$6:$AM$1110,'MA Engine'!$B$6:$B$1110,$A86,'MA Engine'!$H$6:$H$1110,8,'MA Engine'!$I$6:$I$1110,"Unbilled")</f>
        <v>8642718.49840592</v>
      </c>
      <c r="AL86" s="9" t="n">
        <f aca="false">AH86-AI86-AJ86-AK86</f>
        <v>0</v>
      </c>
      <c r="AM86" s="7" t="n">
        <f aca="false">IF(Q86=0,0,IF($D86="Karkas",SUMIFS('Karkas Detail'!$E$6:$E$42,'Karkas Detail'!$A$6:$A$42,$C86,'Karkas Detail'!$B$6:$B$42,$F86,'Karkas Detail'!$C$6:$C$42,$E86)/SUMIFS($Q$36:$Q$127,$C$36:$C$127,$C86,$D$36:$D$127,"Karkas",$F$36:$F$127,$F86,$E$36:$E$127,$E86),SUMIFS('Data SKU'!$G$5:$G$116,'Data SKU'!$A$5:$A$116,$C86,'Data SKU'!$B$5:$B$116,$D86,'Data SKU'!$C$5:$C$116,$E86,'Data SKU'!$D$5:$D$116,8,'Data SKU'!$N$5:$N$116,"Invoiced")/SUMIFS($Q$36:$Q$127,$C$36:$C$127,$C86,$D$36:$D$127,$D86,$E$36:$E$127,$E86))*Q86)+SUMIFS(Unbilled!$U$22:$U$38,Unbilled!$E$22:$E$38,$A86)</f>
        <v>15900138.3953359</v>
      </c>
      <c r="AN86" s="9" t="n">
        <f aca="false">IF(P86=0,0,AM86*AA86/P86)</f>
        <v>6993843.55913382</v>
      </c>
      <c r="AO86" s="9" t="n">
        <f aca="false">IF(P86=0,0,AM86*AB86/P86)</f>
        <v>0</v>
      </c>
      <c r="AP86" s="9" t="n">
        <f aca="false">IF(P86=0,0,AM86*AC86/P86)</f>
        <v>8906294.83620211</v>
      </c>
      <c r="AQ86" s="14" t="n">
        <f aca="false">MIN(U86+V86,MAX(0,O86-M86))</f>
        <v>0</v>
      </c>
      <c r="AR86" s="14" t="n">
        <f aca="false">MAX(0,AQ86-V86)*Z86</f>
        <v>0</v>
      </c>
      <c r="AS86" s="14" t="n">
        <f aca="false">MIN(V86,AQ86)*Z86</f>
        <v>0</v>
      </c>
      <c r="AT86" s="14" t="n">
        <f aca="false">(O86-AQ86)*Z86</f>
        <v>430.25</v>
      </c>
      <c r="AU86" s="9" t="n">
        <f aca="false">(AR86+AS86+AT86)*BA86</f>
        <v>15429583.543316</v>
      </c>
      <c r="AV86" s="9" t="n">
        <f aca="false">IF(P86=0,0,AM86*AR86/P86)</f>
        <v>0</v>
      </c>
      <c r="AW86" s="9" t="n">
        <f aca="false">IF(P86=0,0,AM86*AS86/P86)</f>
        <v>0</v>
      </c>
      <c r="AX86" s="9" t="n">
        <f aca="false">IF(P86=0,0,AM86*AT86/P86)</f>
        <v>15900138.3953359</v>
      </c>
      <c r="AY86" s="9" t="n">
        <f aca="false">AH86-AU86</f>
        <v>0</v>
      </c>
      <c r="AZ86" s="9" t="n">
        <f aca="false">IF(M86&gt;0,P86*AG86,0)</f>
        <v>15963845.7219946</v>
      </c>
      <c r="BA86" s="9" t="n">
        <f aca="false">IF(P86=0,0,AH86/P86)</f>
        <v>35861.9024830121</v>
      </c>
      <c r="BB86" s="74" t="s">
        <v>838</v>
      </c>
      <c r="BC86" s="13" t="n">
        <f aca="false">SUMIFS('MA Engine'!$W$6:$W$1110,'MA Engine'!$B$6:$B$1110,$A86,'MA Engine'!$H$6:$H$1110,7,'MA Engine'!$I$6:$I$1110,"DO")</f>
        <v>0</v>
      </c>
      <c r="BD86" s="14" t="n">
        <f aca="false">MIN(MAX(0,H86),J86)</f>
        <v>0</v>
      </c>
      <c r="BE86" s="14" t="n">
        <f aca="false">J86-BD86</f>
        <v>0</v>
      </c>
      <c r="BF86" s="21" t="n">
        <f aca="false">IF(J86=0,0,BC86/J86)</f>
        <v>0</v>
      </c>
      <c r="BG86" s="13" t="n">
        <f aca="false">SUMIFS('MA Engine'!$AH$6:$AH$1110,'MA Engine'!$B$6:$B$1110,$A86,'MA Engine'!$H$6:$H$1110,7,'MA Engine'!$I$6:$I$1110,"DO")</f>
        <v>0</v>
      </c>
      <c r="BH86" s="13" t="n">
        <f aca="false">SUMIFS('MA Engine'!$AI$6:$AI$1110,'MA Engine'!$B$6:$B$1110,$A86,'MA Engine'!$H$6:$H$1110,7,'MA Engine'!$I$6:$I$1110,"DO")+SUMIFS('MA Engine'!$AJ$6:$AJ$1110,'MA Engine'!$B$6:$B$1110,$A86,'MA Engine'!$H$6:$H$1110,7,'MA Engine'!$I$6:$I$1110,"DO")</f>
        <v>0</v>
      </c>
      <c r="BI86" s="7" t="n">
        <f aca="false">IF(H86&gt;0,SUMIFS('MA Engine'!$L$6:$L$1110,'MA Engine'!$B$6:$B$1110,$A86,'MA Engine'!$I$6:$I$1110,"Opening")/H86,0)</f>
        <v>27415.4423778071</v>
      </c>
      <c r="BJ86" s="9" t="n">
        <f aca="false">IF(I86&gt;0,AD86/I86,BI86)</f>
        <v>27415.4423778071</v>
      </c>
      <c r="BK86" s="7" t="n">
        <f aca="false">SUMIFS('MA Engine'!$X$6:$X$1110,'MA Engine'!$B$6:$B$1110,$A86,'MA Engine'!$H$6:$H$1110,7,'MA Engine'!$I$6:$I$1110,"DO")</f>
        <v>0</v>
      </c>
      <c r="BL86" s="7" t="n">
        <f aca="false">SUMIFS('MA Engine'!$AK$6:$AK$1110,'MA Engine'!$B$6:$B$1110,$A86,'MA Engine'!$H$6:$H$1110,7,'MA Engine'!$I$6:$I$1110,"DO")</f>
        <v>0</v>
      </c>
      <c r="BM86" s="7" t="n">
        <f aca="false">SUMIFS('MA Engine'!$AL$6:$AL$1110,'MA Engine'!$B$6:$B$1110,$A86,'MA Engine'!$H$6:$H$1110,7,'MA Engine'!$I$6:$I$1110,"DO")+SUMIFS('MA Engine'!$AM$6:$AM$1110,'MA Engine'!$B$6:$B$1110,$A86,'MA Engine'!$H$6:$H$1110,7,'MA Engine'!$I$6:$I$1110,"DO")</f>
        <v>0</v>
      </c>
      <c r="BN86" s="9" t="n">
        <f aca="false">BK86-BL86-BM86</f>
        <v>0</v>
      </c>
      <c r="BO86" s="7" t="n">
        <f aca="false">IF(BC86=0,0,SUMIFS('Data SKU'!$G$5:$G$116,'Data SKU'!$A$5:$A$116,$C86,'Data SKU'!$B$5:$B$116,$D86,'Data SKU'!$C$5:$C$116,$E86,'Data SKU'!$D$5:$D$116,7,'Data SKU'!$N$5:$N$116,"Invoiced")/SUMIFS($BC$36:$BC$127,$C$36:$C$127,$C86,$D$36:$D$127,$D86,$E$36:$E$127,$E86)*BC86)</f>
        <v>0</v>
      </c>
      <c r="BP86" s="9" t="n">
        <f aca="false">IF(BC86=0,0,BO86*BG86/BC86)</f>
        <v>0</v>
      </c>
      <c r="BQ86" s="9" t="n">
        <f aca="false">IF(BC86=0,0,BO86*BH86/BC86)</f>
        <v>0</v>
      </c>
    </row>
    <row r="87" customFormat="false" ht="15" hidden="false" customHeight="false" outlineLevel="0" collapsed="false">
      <c r="A87" s="74" t="s">
        <v>999</v>
      </c>
      <c r="B87" s="53" t="str">
        <f aca="false">INDEX(I_Items!$B$5:$B$133,MATCH($A87,I_Items!$A$5:$A$133,0))&amp;""</f>
        <v>Karkas Uk 1.6 Karkas Uk 1.6 Fresh Premium</v>
      </c>
      <c r="C87" s="53" t="str">
        <f aca="false">INDEX(I_Items!$C$5:$C$133,MATCH($A87,I_Items!$A$5:$A$133,0))&amp;""</f>
        <v>RPA</v>
      </c>
      <c r="D87" s="53" t="str">
        <f aca="false">INDEX(I_Items!$D$5:$D$133,MATCH($A87,I_Items!$A$5:$A$133,0))&amp;""</f>
        <v>Karkas</v>
      </c>
      <c r="E87" s="53" t="str">
        <f aca="false">INDEX(I_Items!$F$5:$F$133,MATCH($A87,I_Items!$A$5:$A$133,0))&amp;""</f>
        <v>Fresh</v>
      </c>
      <c r="F87" s="53" t="str">
        <f aca="false">INDEX(I_Items!$E$5:$E$133,MATCH($A87,I_Items!$A$5:$A$133,0))&amp;""</f>
        <v>Uk 1.6</v>
      </c>
      <c r="G87" s="6" t="str">
        <f aca="false">IF(P87=0,"-",IF(M87=0,"A",IF(K87&lt;=0,"C","B")))</f>
        <v>C</v>
      </c>
      <c r="H87" s="13" t="n">
        <f aca="false">SUMIFS('MA Engine'!$K$6:$K$1110,'MA Engine'!$B$6:$B$1110,$A87,'MA Engine'!$I$6:$I$1110,"Opening")</f>
        <v>0</v>
      </c>
      <c r="I87" s="13" t="n">
        <f aca="false">SUMIFS('MA Engine'!$K$6:$K$1110,'MA Engine'!$B$6:$B$1110,$A87,'MA Engine'!$H$6:$H$1110,7,'MA Engine'!$I$6:$I$1110,"&lt;&gt;Opening")</f>
        <v>0</v>
      </c>
      <c r="J87" s="13" t="n">
        <f aca="false">SUMIFS('MA Engine'!$W$6:$W$1110,'MA Engine'!$B$6:$B$1110,$A87,'MA Engine'!$H$6:$H$1110,7)</f>
        <v>0</v>
      </c>
      <c r="K87" s="14" t="n">
        <f aca="false">H87+I87-J87</f>
        <v>0</v>
      </c>
      <c r="L87" s="7" t="n">
        <f aca="false">SUMIFS('MA Engine'!$L$6:$L$1110,'MA Engine'!$B$6:$B$1110,$A87,'MA Engine'!$I$6:$I$1110,"Opening")+SUMIFS('MA Engine'!$L$6:$L$1110,'MA Engine'!$B$6:$B$1110,$A87,'MA Engine'!$H$6:$H$1110,7,'MA Engine'!$I$6:$I$1110,"&lt;&gt;Opening")-SUMIFS('MA Engine'!$X$6:$X$1110,'MA Engine'!$B$6:$B$1110,$A87,'MA Engine'!$H$6:$H$1110,7)</f>
        <v>0</v>
      </c>
      <c r="M87" s="13" t="n">
        <f aca="false">SUMIFS('MA Engine'!$K$6:$K$1110,'MA Engine'!$B$6:$B$1110,$A87,'MA Engine'!$H$6:$H$1110,8)</f>
        <v>2221.6</v>
      </c>
      <c r="N87" s="7" t="n">
        <f aca="false">SUMIFS('MA Engine'!$L$6:$L$1110,'MA Engine'!$B$6:$B$1110,$A87,'MA Engine'!$H$6:$H$1110,8)</f>
        <v>84050888.88</v>
      </c>
      <c r="O87" s="13" t="n">
        <f aca="false">SUMIFS('MA Engine'!$W$6:$W$1110,'MA Engine'!$B$6:$B$1110,$A87,'MA Engine'!$H$6:$H$1110,8)</f>
        <v>1866.25</v>
      </c>
      <c r="P87" s="14" t="n">
        <f aca="false">Q87+R87</f>
        <v>1059.15</v>
      </c>
      <c r="Q87" s="13" t="n">
        <f aca="false">SUMIFS('MA Engine'!$W$6:$W$1110,'MA Engine'!$B$6:$B$1110,$A87,'MA Engine'!$H$6:$H$1110,8,'MA Engine'!$I$6:$I$1110,"DO",'MA Engine'!$P$6:$P$1110,"&lt;&gt;Y")</f>
        <v>563.85</v>
      </c>
      <c r="R87" s="13" t="n">
        <f aca="false">SUMIFS('MA Engine'!$W$6:$W$1110,'MA Engine'!$B$6:$B$1110,$A87,'MA Engine'!$H$6:$H$1110,8,'MA Engine'!$I$6:$I$1110,"Unbilled")</f>
        <v>495.3</v>
      </c>
      <c r="S87" s="13" t="n">
        <f aca="false">SUMIFS('MA Engine'!$W$6:$W$1110,'MA Engine'!$B$6:$B$1110,$A87,'MA Engine'!$H$6:$H$1110,8,'MA Engine'!$P$6:$P$1110,"Y")</f>
        <v>0</v>
      </c>
      <c r="T87" s="14" t="n">
        <f aca="false">O87-P87-S87</f>
        <v>807.1</v>
      </c>
      <c r="U87" s="14" t="n">
        <f aca="false">MAX(0,H87-J87)</f>
        <v>0</v>
      </c>
      <c r="V87" s="14" t="n">
        <f aca="false">MAX(0,K87-U87)</f>
        <v>0</v>
      </c>
      <c r="W87" s="14" t="n">
        <f aca="false">MIN(U87,O87)</f>
        <v>0</v>
      </c>
      <c r="X87" s="14" t="n">
        <f aca="false">MIN(V87,O87-W87)</f>
        <v>0</v>
      </c>
      <c r="Y87" s="14" t="n">
        <f aca="false">O87-W87-X87</f>
        <v>1866.25</v>
      </c>
      <c r="Z87" s="21" t="n">
        <f aca="false">IF(O87=0,0,P87/O87)</f>
        <v>0.567528466175486</v>
      </c>
      <c r="AA87" s="13" t="n">
        <f aca="false">SUMIFS('MA Engine'!$AH$6:$AH$1110,'MA Engine'!$B$6:$B$1110,$A87,'MA Engine'!$H$6:$H$1110,8,'MA Engine'!$I$6:$I$1110,"DO",'MA Engine'!$P$6:$P$1110,"&lt;&gt;Y")+SUMIFS('MA Engine'!$AH$6:$AH$1110,'MA Engine'!$B$6:$B$1110,$A87,'MA Engine'!$H$6:$H$1110,8,'MA Engine'!$I$6:$I$1110,"Unbilled")</f>
        <v>0</v>
      </c>
      <c r="AB87" s="13" t="n">
        <f aca="false">SUMIFS('MA Engine'!$AI$6:$AI$1110,'MA Engine'!$B$6:$B$1110,$A87,'MA Engine'!$H$6:$H$1110,8,'MA Engine'!$I$6:$I$1110,"DO",'MA Engine'!$P$6:$P$1110,"&lt;&gt;Y")+SUMIFS('MA Engine'!$AI$6:$AI$1110,'MA Engine'!$B$6:$B$1110,$A87,'MA Engine'!$H$6:$H$1110,8,'MA Engine'!$I$6:$I$1110,"Unbilled")</f>
        <v>0</v>
      </c>
      <c r="AC87" s="13" t="n">
        <f aca="false">SUMIFS('MA Engine'!$AJ$6:$AJ$1110,'MA Engine'!$B$6:$B$1110,$A87,'MA Engine'!$H$6:$H$1110,8,'MA Engine'!$I$6:$I$1110,"DO",'MA Engine'!$P$6:$P$1110,"&lt;&gt;Y")+SUMIFS('MA Engine'!$AJ$6:$AJ$1110,'MA Engine'!$B$6:$B$1110,$A87,'MA Engine'!$H$6:$H$1110,8,'MA Engine'!$I$6:$I$1110,"Unbilled")</f>
        <v>1059.15</v>
      </c>
      <c r="AD87" s="7" t="n">
        <f aca="false">SUMIFS('MA Engine'!$L$6:$L$1110,'MA Engine'!$B$6:$B$1110,$A87,'MA Engine'!$H$6:$H$1110,7,'MA Engine'!$I$6:$I$1110,"&lt;&gt;Opening")</f>
        <v>0</v>
      </c>
      <c r="AE87" s="9" t="n">
        <f aca="false">IF(AND(U87&gt;0.0001,(L87-V87*IF(I87&gt;0,AD87/I87,IF(K87&gt;0,L87/K87,0)))&lt;0),IF(K87&gt;0,L87/K87,0),IF(I87&gt;0,AD87/I87,IF(K87&gt;0,L87/K87,0)))</f>
        <v>0</v>
      </c>
      <c r="AF87" s="9" t="n">
        <f aca="false">IF(U87&lt;=0.0001,IF(K87&gt;0,L87/K87,0),IF((L87-V87*IF(I87&gt;0,AD87/I87,IF(K87&gt;0,L87/K87,0)))&lt;0,IF(K87&gt;0,L87/K87,0),(L87-V87*IF(I87&gt;0,AD87/I87,IF(K87&gt;0,L87/K87,0)))/U87))</f>
        <v>0</v>
      </c>
      <c r="AG87" s="9" t="n">
        <f aca="false">IF(M87&gt;0,N87/M87,IF(K87&gt;0,L87/K87,0))</f>
        <v>37833.4933741448</v>
      </c>
      <c r="AH87" s="7" t="n">
        <f aca="false">SUMIFS('MA Engine'!$X$6:$X$1110,'MA Engine'!$B$6:$B$1110,$A87,'MA Engine'!$H$6:$H$1110,8,'MA Engine'!$I$6:$I$1110,"DO",'MA Engine'!$P$6:$P$1110,"&lt;&gt;Y")+SUMIFS('MA Engine'!$X$6:$X$1110,'MA Engine'!$B$6:$B$1110,$A87,'MA Engine'!$H$6:$H$1110,8,'MA Engine'!$I$6:$I$1110,"Unbilled")</f>
        <v>40269270.4525982</v>
      </c>
      <c r="AI87" s="7" t="n">
        <f aca="false">SUMIFS('MA Engine'!$AK$6:$AK$1110,'MA Engine'!$B$6:$B$1110,$A87,'MA Engine'!$H$6:$H$1110,8,'MA Engine'!$I$6:$I$1110,"DO",'MA Engine'!$P$6:$P$1110,"&lt;&gt;Y")+SUMIFS('MA Engine'!$AK$6:$AK$1110,'MA Engine'!$B$6:$B$1110,$A87,'MA Engine'!$H$6:$H$1110,8,'MA Engine'!$I$6:$I$1110,"Unbilled")</f>
        <v>0</v>
      </c>
      <c r="AJ87" s="7" t="n">
        <f aca="false">SUMIFS('MA Engine'!$AL$6:$AL$1110,'MA Engine'!$B$6:$B$1110,$A87,'MA Engine'!$H$6:$H$1110,8,'MA Engine'!$I$6:$I$1110,"DO",'MA Engine'!$P$6:$P$1110,"&lt;&gt;Y")+SUMIFS('MA Engine'!$AL$6:$AL$1110,'MA Engine'!$B$6:$B$1110,$A87,'MA Engine'!$H$6:$H$1110,8,'MA Engine'!$I$6:$I$1110,"Unbilled")</f>
        <v>0</v>
      </c>
      <c r="AK87" s="7" t="n">
        <f aca="false">SUMIFS('MA Engine'!$AM$6:$AM$1110,'MA Engine'!$B$6:$B$1110,$A87,'MA Engine'!$H$6:$H$1110,8,'MA Engine'!$I$6:$I$1110,"DO",'MA Engine'!$P$6:$P$1110,"&lt;&gt;Y")+SUMIFS('MA Engine'!$AM$6:$AM$1110,'MA Engine'!$B$6:$B$1110,$A87,'MA Engine'!$H$6:$H$1110,8,'MA Engine'!$I$6:$I$1110,"Unbilled")</f>
        <v>40269270.4525982</v>
      </c>
      <c r="AL87" s="9" t="n">
        <f aca="false">AH87-AI87-AJ87-AK87</f>
        <v>0</v>
      </c>
      <c r="AM87" s="7" t="n">
        <f aca="false">IF(Q87=0,0,IF($D87="Karkas",SUMIFS('Karkas Detail'!$E$6:$E$42,'Karkas Detail'!$A$6:$A$42,$C87,'Karkas Detail'!$B$6:$B$42,$F87,'Karkas Detail'!$C$6:$C$42,$E87)/SUMIFS($Q$36:$Q$127,$C$36:$C$127,$C87,$D$36:$D$127,"Karkas",$F$36:$F$127,$F87,$E$36:$E$127,$E87),SUMIFS('Data SKU'!$G$5:$G$116,'Data SKU'!$A$5:$A$116,$C87,'Data SKU'!$B$5:$B$116,$D87,'Data SKU'!$C$5:$C$116,$E87,'Data SKU'!$D$5:$D$116,8,'Data SKU'!$N$5:$N$116,"Invoiced")/SUMIFS($Q$36:$Q$127,$C$36:$C$127,$C87,$D$36:$D$127,$D87,$E$36:$E$127,$E87))*Q87)+SUMIFS(Unbilled!$U$22:$U$38,Unbilled!$E$22:$E$38,$A87)</f>
        <v>39750518.8750434</v>
      </c>
      <c r="AN87" s="9" t="n">
        <f aca="false">IF(P87=0,0,AM87*AA87/P87)</f>
        <v>0</v>
      </c>
      <c r="AO87" s="9" t="n">
        <f aca="false">IF(P87=0,0,AM87*AB87/P87)</f>
        <v>0</v>
      </c>
      <c r="AP87" s="9" t="n">
        <f aca="false">IF(P87=0,0,AM87*AC87/P87)</f>
        <v>39750518.8750434</v>
      </c>
      <c r="AQ87" s="14" t="n">
        <f aca="false">MIN(U87+V87,MAX(0,O87-M87))</f>
        <v>0</v>
      </c>
      <c r="AR87" s="14" t="n">
        <f aca="false">MAX(0,AQ87-V87)*Z87</f>
        <v>0</v>
      </c>
      <c r="AS87" s="14" t="n">
        <f aca="false">MIN(V87,AQ87)*Z87</f>
        <v>0</v>
      </c>
      <c r="AT87" s="14" t="n">
        <f aca="false">(O87-AQ87)*Z87</f>
        <v>1059.15</v>
      </c>
      <c r="AU87" s="9" t="n">
        <f aca="false">(AR87+AS87+AT87)*BA87</f>
        <v>40269270.4525982</v>
      </c>
      <c r="AV87" s="9" t="n">
        <f aca="false">IF(P87=0,0,AM87*AR87/P87)</f>
        <v>0</v>
      </c>
      <c r="AW87" s="9" t="n">
        <f aca="false">IF(P87=0,0,AM87*AS87/P87)</f>
        <v>0</v>
      </c>
      <c r="AX87" s="9" t="n">
        <f aca="false">IF(P87=0,0,AM87*AT87/P87)</f>
        <v>39750518.8750434</v>
      </c>
      <c r="AY87" s="9" t="n">
        <f aca="false">AH87-AU87</f>
        <v>0</v>
      </c>
      <c r="AZ87" s="9" t="n">
        <f aca="false">IF(M87&gt;0,P87*AG87,0)</f>
        <v>40071344.5072254</v>
      </c>
      <c r="BA87" s="9" t="n">
        <f aca="false">IF(P87=0,0,AH87/P87)</f>
        <v>38020.365814661</v>
      </c>
      <c r="BB87" s="74" t="s">
        <v>837</v>
      </c>
      <c r="BC87" s="13" t="n">
        <f aca="false">SUMIFS('MA Engine'!$W$6:$W$1110,'MA Engine'!$B$6:$B$1110,$A87,'MA Engine'!$H$6:$H$1110,7,'MA Engine'!$I$6:$I$1110,"DO")</f>
        <v>0</v>
      </c>
      <c r="BD87" s="14" t="n">
        <f aca="false">MIN(MAX(0,H87),J87)</f>
        <v>0</v>
      </c>
      <c r="BE87" s="14" t="n">
        <f aca="false">J87-BD87</f>
        <v>0</v>
      </c>
      <c r="BF87" s="21" t="n">
        <f aca="false">IF(J87=0,0,BC87/J87)</f>
        <v>0</v>
      </c>
      <c r="BG87" s="13" t="n">
        <f aca="false">SUMIFS('MA Engine'!$AH$6:$AH$1110,'MA Engine'!$B$6:$B$1110,$A87,'MA Engine'!$H$6:$H$1110,7,'MA Engine'!$I$6:$I$1110,"DO")</f>
        <v>0</v>
      </c>
      <c r="BH87" s="13" t="n">
        <f aca="false">SUMIFS('MA Engine'!$AI$6:$AI$1110,'MA Engine'!$B$6:$B$1110,$A87,'MA Engine'!$H$6:$H$1110,7,'MA Engine'!$I$6:$I$1110,"DO")+SUMIFS('MA Engine'!$AJ$6:$AJ$1110,'MA Engine'!$B$6:$B$1110,$A87,'MA Engine'!$H$6:$H$1110,7,'MA Engine'!$I$6:$I$1110,"DO")</f>
        <v>0</v>
      </c>
      <c r="BI87" s="7" t="n">
        <f aca="false">IF(H87&gt;0,SUMIFS('MA Engine'!$L$6:$L$1110,'MA Engine'!$B$6:$B$1110,$A87,'MA Engine'!$I$6:$I$1110,"Opening")/H87,0)</f>
        <v>0</v>
      </c>
      <c r="BJ87" s="9" t="n">
        <f aca="false">IF(I87&gt;0,AD87/I87,BI87)</f>
        <v>0</v>
      </c>
      <c r="BK87" s="7" t="n">
        <f aca="false">SUMIFS('MA Engine'!$X$6:$X$1110,'MA Engine'!$B$6:$B$1110,$A87,'MA Engine'!$H$6:$H$1110,7,'MA Engine'!$I$6:$I$1110,"DO")</f>
        <v>0</v>
      </c>
      <c r="BL87" s="7" t="n">
        <f aca="false">SUMIFS('MA Engine'!$AK$6:$AK$1110,'MA Engine'!$B$6:$B$1110,$A87,'MA Engine'!$H$6:$H$1110,7,'MA Engine'!$I$6:$I$1110,"DO")</f>
        <v>0</v>
      </c>
      <c r="BM87" s="7" t="n">
        <f aca="false">SUMIFS('MA Engine'!$AL$6:$AL$1110,'MA Engine'!$B$6:$B$1110,$A87,'MA Engine'!$H$6:$H$1110,7,'MA Engine'!$I$6:$I$1110,"DO")+SUMIFS('MA Engine'!$AM$6:$AM$1110,'MA Engine'!$B$6:$B$1110,$A87,'MA Engine'!$H$6:$H$1110,7,'MA Engine'!$I$6:$I$1110,"DO")</f>
        <v>0</v>
      </c>
      <c r="BN87" s="9" t="n">
        <f aca="false">BK87-BL87-BM87</f>
        <v>0</v>
      </c>
      <c r="BO87" s="7" t="n">
        <f aca="false">IF(BC87=0,0,SUMIFS('Data SKU'!$G$5:$G$116,'Data SKU'!$A$5:$A$116,$C87,'Data SKU'!$B$5:$B$116,$D87,'Data SKU'!$C$5:$C$116,$E87,'Data SKU'!$D$5:$D$116,7,'Data SKU'!$N$5:$N$116,"Invoiced")/SUMIFS($BC$36:$BC$127,$C$36:$C$127,$C87,$D$36:$D$127,$D87,$E$36:$E$127,$E87)*BC87)</f>
        <v>0</v>
      </c>
      <c r="BP87" s="9" t="n">
        <f aca="false">IF(BC87=0,0,BO87*BG87/BC87)</f>
        <v>0</v>
      </c>
      <c r="BQ87" s="9" t="n">
        <f aca="false">IF(BC87=0,0,BO87*BH87/BC87)</f>
        <v>0</v>
      </c>
    </row>
    <row r="88" customFormat="false" ht="15" hidden="false" customHeight="false" outlineLevel="0" collapsed="false">
      <c r="A88" s="74" t="s">
        <v>1000</v>
      </c>
      <c r="B88" s="53" t="str">
        <f aca="false">INDEX(I_Items!$B$5:$B$133,MATCH($A88,I_Items!$A$5:$A$133,0))&amp;""</f>
        <v>Karkas Uk 1.6 Karkas Uk 1.6 Frozen Grade A</v>
      </c>
      <c r="C88" s="53" t="str">
        <f aca="false">INDEX(I_Items!$C$5:$C$133,MATCH($A88,I_Items!$A$5:$A$133,0))&amp;""</f>
        <v>RPA</v>
      </c>
      <c r="D88" s="53" t="str">
        <f aca="false">INDEX(I_Items!$D$5:$D$133,MATCH($A88,I_Items!$A$5:$A$133,0))&amp;""</f>
        <v>Karkas</v>
      </c>
      <c r="E88" s="53" t="str">
        <f aca="false">INDEX(I_Items!$F$5:$F$133,MATCH($A88,I_Items!$A$5:$A$133,0))&amp;""</f>
        <v>Frozen</v>
      </c>
      <c r="F88" s="53" t="str">
        <f aca="false">INDEX(I_Items!$E$5:$E$133,MATCH($A88,I_Items!$A$5:$A$133,0))&amp;""</f>
        <v>Uk 1.6</v>
      </c>
      <c r="G88" s="6" t="str">
        <f aca="false">IF(P88=0,"-",IF(M88=0,"A",IF(K88&lt;=0,"C","B")))</f>
        <v>-</v>
      </c>
      <c r="H88" s="13" t="n">
        <f aca="false">SUMIFS('MA Engine'!$K$6:$K$1110,'MA Engine'!$B$6:$B$1110,$A88,'MA Engine'!$I$6:$I$1110,"Opening")</f>
        <v>77.1</v>
      </c>
      <c r="I88" s="13" t="n">
        <f aca="false">SUMIFS('MA Engine'!$K$6:$K$1110,'MA Engine'!$B$6:$B$1110,$A88,'MA Engine'!$H$6:$H$1110,7,'MA Engine'!$I$6:$I$1110,"&lt;&gt;Opening")</f>
        <v>52.1</v>
      </c>
      <c r="J88" s="13" t="n">
        <f aca="false">SUMIFS('MA Engine'!$W$6:$W$1110,'MA Engine'!$B$6:$B$1110,$A88,'MA Engine'!$H$6:$H$1110,7)</f>
        <v>129.2</v>
      </c>
      <c r="K88" s="14" t="n">
        <f aca="false">H88+I88-J88</f>
        <v>0</v>
      </c>
      <c r="L88" s="7" t="n">
        <f aca="false">SUMIFS('MA Engine'!$L$6:$L$1110,'MA Engine'!$B$6:$B$1110,$A88,'MA Engine'!$I$6:$I$1110,"Opening")+SUMIFS('MA Engine'!$L$6:$L$1110,'MA Engine'!$B$6:$B$1110,$A88,'MA Engine'!$H$6:$H$1110,7,'MA Engine'!$I$6:$I$1110,"&lt;&gt;Opening")-SUMIFS('MA Engine'!$X$6:$X$1110,'MA Engine'!$B$6:$B$1110,$A88,'MA Engine'!$H$6:$H$1110,7)</f>
        <v>-64757.04</v>
      </c>
      <c r="M88" s="13" t="n">
        <f aca="false">SUMIFS('MA Engine'!$K$6:$K$1110,'MA Engine'!$B$6:$B$1110,$A88,'MA Engine'!$H$6:$H$1110,8)</f>
        <v>323.6</v>
      </c>
      <c r="N88" s="7" t="n">
        <f aca="false">SUMIFS('MA Engine'!$L$6:$L$1110,'MA Engine'!$B$6:$B$1110,$A88,'MA Engine'!$H$6:$H$1110,8)</f>
        <v>10983112.61</v>
      </c>
      <c r="O88" s="13" t="n">
        <f aca="false">SUMIFS('MA Engine'!$W$6:$W$1110,'MA Engine'!$B$6:$B$1110,$A88,'MA Engine'!$H$6:$H$1110,8)</f>
        <v>0</v>
      </c>
      <c r="P88" s="14" t="n">
        <f aca="false">Q88+R88</f>
        <v>0</v>
      </c>
      <c r="Q88" s="13" t="n">
        <f aca="false">SUMIFS('MA Engine'!$W$6:$W$1110,'MA Engine'!$B$6:$B$1110,$A88,'MA Engine'!$H$6:$H$1110,8,'MA Engine'!$I$6:$I$1110,"DO",'MA Engine'!$P$6:$P$1110,"&lt;&gt;Y")</f>
        <v>0</v>
      </c>
      <c r="R88" s="13" t="n">
        <f aca="false">SUMIFS('MA Engine'!$W$6:$W$1110,'MA Engine'!$B$6:$B$1110,$A88,'MA Engine'!$H$6:$H$1110,8,'MA Engine'!$I$6:$I$1110,"Unbilled")</f>
        <v>0</v>
      </c>
      <c r="S88" s="13" t="n">
        <f aca="false">SUMIFS('MA Engine'!$W$6:$W$1110,'MA Engine'!$B$6:$B$1110,$A88,'MA Engine'!$H$6:$H$1110,8,'MA Engine'!$P$6:$P$1110,"Y")</f>
        <v>0</v>
      </c>
      <c r="T88" s="14" t="n">
        <f aca="false">O88-P88-S88</f>
        <v>0</v>
      </c>
      <c r="U88" s="14" t="n">
        <f aca="false">MAX(0,H88-J88)</f>
        <v>0</v>
      </c>
      <c r="V88" s="14" t="n">
        <f aca="false">MAX(0,K88-U88)</f>
        <v>0</v>
      </c>
      <c r="W88" s="14" t="n">
        <f aca="false">MIN(U88,O88)</f>
        <v>0</v>
      </c>
      <c r="X88" s="14" t="n">
        <f aca="false">MIN(V88,O88-W88)</f>
        <v>0</v>
      </c>
      <c r="Y88" s="14" t="n">
        <f aca="false">O88-W88-X88</f>
        <v>0</v>
      </c>
      <c r="Z88" s="21" t="n">
        <f aca="false">IF(O88=0,0,P88/O88)</f>
        <v>0</v>
      </c>
      <c r="AA88" s="13" t="n">
        <f aca="false">SUMIFS('MA Engine'!$AH$6:$AH$1110,'MA Engine'!$B$6:$B$1110,$A88,'MA Engine'!$H$6:$H$1110,8,'MA Engine'!$I$6:$I$1110,"DO",'MA Engine'!$P$6:$P$1110,"&lt;&gt;Y")+SUMIFS('MA Engine'!$AH$6:$AH$1110,'MA Engine'!$B$6:$B$1110,$A88,'MA Engine'!$H$6:$H$1110,8,'MA Engine'!$I$6:$I$1110,"Unbilled")</f>
        <v>0</v>
      </c>
      <c r="AB88" s="13" t="n">
        <f aca="false">SUMIFS('MA Engine'!$AI$6:$AI$1110,'MA Engine'!$B$6:$B$1110,$A88,'MA Engine'!$H$6:$H$1110,8,'MA Engine'!$I$6:$I$1110,"DO",'MA Engine'!$P$6:$P$1110,"&lt;&gt;Y")+SUMIFS('MA Engine'!$AI$6:$AI$1110,'MA Engine'!$B$6:$B$1110,$A88,'MA Engine'!$H$6:$H$1110,8,'MA Engine'!$I$6:$I$1110,"Unbilled")</f>
        <v>0</v>
      </c>
      <c r="AC88" s="13" t="n">
        <f aca="false">SUMIFS('MA Engine'!$AJ$6:$AJ$1110,'MA Engine'!$B$6:$B$1110,$A88,'MA Engine'!$H$6:$H$1110,8,'MA Engine'!$I$6:$I$1110,"DO",'MA Engine'!$P$6:$P$1110,"&lt;&gt;Y")+SUMIFS('MA Engine'!$AJ$6:$AJ$1110,'MA Engine'!$B$6:$B$1110,$A88,'MA Engine'!$H$6:$H$1110,8,'MA Engine'!$I$6:$I$1110,"Unbilled")</f>
        <v>0</v>
      </c>
      <c r="AD88" s="7" t="n">
        <f aca="false">SUMIFS('MA Engine'!$L$6:$L$1110,'MA Engine'!$B$6:$B$1110,$A88,'MA Engine'!$H$6:$H$1110,7,'MA Engine'!$I$6:$I$1110,"&lt;&gt;Opening")</f>
        <v>1349172.74</v>
      </c>
      <c r="AE88" s="9" t="n">
        <f aca="false">IF(AND(U88&gt;0.0001,(L88-V88*IF(I88&gt;0,AD88/I88,IF(K88&gt;0,L88/K88,0)))&lt;0),IF(K88&gt;0,L88/K88,0),IF(I88&gt;0,AD88/I88,IF(K88&gt;0,L88/K88,0)))</f>
        <v>25895.8299424184</v>
      </c>
      <c r="AF88" s="9" t="n">
        <f aca="false">IF(U88&lt;=0.0001,IF(K88&gt;0,L88/K88,0),IF((L88-V88*IF(I88&gt;0,AD88/I88,IF(K88&gt;0,L88/K88,0)))&lt;0,IF(K88&gt;0,L88/K88,0),(L88-V88*IF(I88&gt;0,AD88/I88,IF(K88&gt;0,L88/K88,0)))/U88))</f>
        <v>0</v>
      </c>
      <c r="AG88" s="9" t="n">
        <f aca="false">IF(M88&gt;0,N88/M88,IF(K88&gt;0,L88/K88,0))</f>
        <v>33940.3974351051</v>
      </c>
      <c r="AH88" s="7" t="n">
        <f aca="false">SUMIFS('MA Engine'!$X$6:$X$1110,'MA Engine'!$B$6:$B$1110,$A88,'MA Engine'!$H$6:$H$1110,8,'MA Engine'!$I$6:$I$1110,"DO",'MA Engine'!$P$6:$P$1110,"&lt;&gt;Y")+SUMIFS('MA Engine'!$X$6:$X$1110,'MA Engine'!$B$6:$B$1110,$A88,'MA Engine'!$H$6:$H$1110,8,'MA Engine'!$I$6:$I$1110,"Unbilled")</f>
        <v>0</v>
      </c>
      <c r="AI88" s="7" t="n">
        <f aca="false">SUMIFS('MA Engine'!$AK$6:$AK$1110,'MA Engine'!$B$6:$B$1110,$A88,'MA Engine'!$H$6:$H$1110,8,'MA Engine'!$I$6:$I$1110,"DO",'MA Engine'!$P$6:$P$1110,"&lt;&gt;Y")+SUMIFS('MA Engine'!$AK$6:$AK$1110,'MA Engine'!$B$6:$B$1110,$A88,'MA Engine'!$H$6:$H$1110,8,'MA Engine'!$I$6:$I$1110,"Unbilled")</f>
        <v>0</v>
      </c>
      <c r="AJ88" s="7" t="n">
        <f aca="false">SUMIFS('MA Engine'!$AL$6:$AL$1110,'MA Engine'!$B$6:$B$1110,$A88,'MA Engine'!$H$6:$H$1110,8,'MA Engine'!$I$6:$I$1110,"DO",'MA Engine'!$P$6:$P$1110,"&lt;&gt;Y")+SUMIFS('MA Engine'!$AL$6:$AL$1110,'MA Engine'!$B$6:$B$1110,$A88,'MA Engine'!$H$6:$H$1110,8,'MA Engine'!$I$6:$I$1110,"Unbilled")</f>
        <v>0</v>
      </c>
      <c r="AK88" s="7" t="n">
        <f aca="false">SUMIFS('MA Engine'!$AM$6:$AM$1110,'MA Engine'!$B$6:$B$1110,$A88,'MA Engine'!$H$6:$H$1110,8,'MA Engine'!$I$6:$I$1110,"DO",'MA Engine'!$P$6:$P$1110,"&lt;&gt;Y")+SUMIFS('MA Engine'!$AM$6:$AM$1110,'MA Engine'!$B$6:$B$1110,$A88,'MA Engine'!$H$6:$H$1110,8,'MA Engine'!$I$6:$I$1110,"Unbilled")</f>
        <v>0</v>
      </c>
      <c r="AL88" s="9" t="n">
        <f aca="false">AH88-AI88-AJ88-AK88</f>
        <v>0</v>
      </c>
      <c r="AM88" s="7" t="n">
        <f aca="false">IF(Q88=0,0,IF($D88="Karkas",SUMIFS('Karkas Detail'!$E$6:$E$42,'Karkas Detail'!$A$6:$A$42,$C88,'Karkas Detail'!$B$6:$B$42,$F88,'Karkas Detail'!$C$6:$C$42,$E88)/SUMIFS($Q$36:$Q$127,$C$36:$C$127,$C88,$D$36:$D$127,"Karkas",$F$36:$F$127,$F88,$E$36:$E$127,$E88),SUMIFS('Data SKU'!$G$5:$G$116,'Data SKU'!$A$5:$A$116,$C88,'Data SKU'!$B$5:$B$116,$D88,'Data SKU'!$C$5:$C$116,$E88,'Data SKU'!$D$5:$D$116,8,'Data SKU'!$N$5:$N$116,"Invoiced")/SUMIFS($Q$36:$Q$127,$C$36:$C$127,$C88,$D$36:$D$127,$D88,$E$36:$E$127,$E88))*Q88)+SUMIFS(Unbilled!$U$22:$U$38,Unbilled!$E$22:$E$38,$A88)</f>
        <v>0</v>
      </c>
      <c r="AN88" s="9" t="n">
        <f aca="false">IF(P88=0,0,AM88*AA88/P88)</f>
        <v>0</v>
      </c>
      <c r="AO88" s="9" t="n">
        <f aca="false">IF(P88=0,0,AM88*AB88/P88)</f>
        <v>0</v>
      </c>
      <c r="AP88" s="9" t="n">
        <f aca="false">IF(P88=0,0,AM88*AC88/P88)</f>
        <v>0</v>
      </c>
      <c r="AQ88" s="14" t="n">
        <f aca="false">MIN(U88+V88,MAX(0,O88-M88))</f>
        <v>0</v>
      </c>
      <c r="AR88" s="14" t="n">
        <f aca="false">MAX(0,AQ88-V88)*Z88</f>
        <v>0</v>
      </c>
      <c r="AS88" s="14" t="n">
        <f aca="false">MIN(V88,AQ88)*Z88</f>
        <v>0</v>
      </c>
      <c r="AT88" s="14" t="n">
        <f aca="false">(O88-AQ88)*Z88</f>
        <v>0</v>
      </c>
      <c r="AU88" s="9" t="n">
        <f aca="false">(AR88+AS88+AT88)*BA88</f>
        <v>0</v>
      </c>
      <c r="AV88" s="9" t="n">
        <f aca="false">IF(P88=0,0,AM88*AR88/P88)</f>
        <v>0</v>
      </c>
      <c r="AW88" s="9" t="n">
        <f aca="false">IF(P88=0,0,AM88*AS88/P88)</f>
        <v>0</v>
      </c>
      <c r="AX88" s="9" t="n">
        <f aca="false">IF(P88=0,0,AM88*AT88/P88)</f>
        <v>0</v>
      </c>
      <c r="AY88" s="9" t="n">
        <f aca="false">AH88-AU88</f>
        <v>0</v>
      </c>
      <c r="AZ88" s="9" t="n">
        <f aca="false">IF(M88&gt;0,P88*AG88,0)</f>
        <v>0</v>
      </c>
      <c r="BA88" s="9" t="n">
        <f aca="false">IF(P88=0,0,AH88/P88)</f>
        <v>0</v>
      </c>
      <c r="BB88" s="74" t="s">
        <v>838</v>
      </c>
      <c r="BC88" s="13" t="n">
        <f aca="false">SUMIFS('MA Engine'!$W$6:$W$1110,'MA Engine'!$B$6:$B$1110,$A88,'MA Engine'!$H$6:$H$1110,7,'MA Engine'!$I$6:$I$1110,"DO")</f>
        <v>0</v>
      </c>
      <c r="BD88" s="14" t="n">
        <f aca="false">MIN(MAX(0,H88),J88)</f>
        <v>77.1</v>
      </c>
      <c r="BE88" s="14" t="n">
        <f aca="false">J88-BD88</f>
        <v>52.1</v>
      </c>
      <c r="BF88" s="21" t="n">
        <f aca="false">IF(J88=0,0,BC88/J88)</f>
        <v>0</v>
      </c>
      <c r="BG88" s="13" t="n">
        <f aca="false">SUMIFS('MA Engine'!$AH$6:$AH$1110,'MA Engine'!$B$6:$B$1110,$A88,'MA Engine'!$H$6:$H$1110,7,'MA Engine'!$I$6:$I$1110,"DO")</f>
        <v>0</v>
      </c>
      <c r="BH88" s="13" t="n">
        <f aca="false">SUMIFS('MA Engine'!$AI$6:$AI$1110,'MA Engine'!$B$6:$B$1110,$A88,'MA Engine'!$H$6:$H$1110,7,'MA Engine'!$I$6:$I$1110,"DO")+SUMIFS('MA Engine'!$AJ$6:$AJ$1110,'MA Engine'!$B$6:$B$1110,$A88,'MA Engine'!$H$6:$H$1110,7,'MA Engine'!$I$6:$I$1110,"DO")</f>
        <v>0</v>
      </c>
      <c r="BI88" s="7" t="n">
        <f aca="false">IF(H88&gt;0,SUMIFS('MA Engine'!$L$6:$L$1110,'MA Engine'!$B$6:$B$1110,$A88,'MA Engine'!$I$6:$I$1110,"Opening")/H88,0)</f>
        <v>25055.9203631647</v>
      </c>
      <c r="BJ88" s="9" t="n">
        <f aca="false">IF(I88&gt;0,AD88/I88,BI88)</f>
        <v>25895.8299424184</v>
      </c>
      <c r="BK88" s="7" t="n">
        <f aca="false">SUMIFS('MA Engine'!$X$6:$X$1110,'MA Engine'!$B$6:$B$1110,$A88,'MA Engine'!$H$6:$H$1110,7,'MA Engine'!$I$6:$I$1110,"DO")</f>
        <v>0</v>
      </c>
      <c r="BL88" s="7" t="n">
        <f aca="false">SUMIFS('MA Engine'!$AK$6:$AK$1110,'MA Engine'!$B$6:$B$1110,$A88,'MA Engine'!$H$6:$H$1110,7,'MA Engine'!$I$6:$I$1110,"DO")</f>
        <v>0</v>
      </c>
      <c r="BM88" s="7" t="n">
        <f aca="false">SUMIFS('MA Engine'!$AL$6:$AL$1110,'MA Engine'!$B$6:$B$1110,$A88,'MA Engine'!$H$6:$H$1110,7,'MA Engine'!$I$6:$I$1110,"DO")+SUMIFS('MA Engine'!$AM$6:$AM$1110,'MA Engine'!$B$6:$B$1110,$A88,'MA Engine'!$H$6:$H$1110,7,'MA Engine'!$I$6:$I$1110,"DO")</f>
        <v>0</v>
      </c>
      <c r="BN88" s="9" t="n">
        <f aca="false">BK88-BL88-BM88</f>
        <v>0</v>
      </c>
      <c r="BO88" s="7" t="n">
        <f aca="false">IF(BC88=0,0,SUMIFS('Data SKU'!$G$5:$G$116,'Data SKU'!$A$5:$A$116,$C88,'Data SKU'!$B$5:$B$116,$D88,'Data SKU'!$C$5:$C$116,$E88,'Data SKU'!$D$5:$D$116,7,'Data SKU'!$N$5:$N$116,"Invoiced")/SUMIFS($BC$36:$BC$127,$C$36:$C$127,$C88,$D$36:$D$127,$D88,$E$36:$E$127,$E88)*BC88)</f>
        <v>0</v>
      </c>
      <c r="BP88" s="9" t="n">
        <f aca="false">IF(BC88=0,0,BO88*BG88/BC88)</f>
        <v>0</v>
      </c>
      <c r="BQ88" s="9" t="n">
        <f aca="false">IF(BC88=0,0,BO88*BH88/BC88)</f>
        <v>0</v>
      </c>
    </row>
    <row r="89" customFormat="false" ht="15" hidden="false" customHeight="false" outlineLevel="0" collapsed="false">
      <c r="A89" s="74" t="s">
        <v>1001</v>
      </c>
      <c r="B89" s="53" t="str">
        <f aca="false">INDEX(I_Items!$B$5:$B$133,MATCH($A89,I_Items!$A$5:$A$133,0))&amp;""</f>
        <v>Karkas Uk 1.6 Karkas Uk 1.6 Frozen Premium</v>
      </c>
      <c r="C89" s="53" t="str">
        <f aca="false">INDEX(I_Items!$C$5:$C$133,MATCH($A89,I_Items!$A$5:$A$133,0))&amp;""</f>
        <v>RPA</v>
      </c>
      <c r="D89" s="53" t="str">
        <f aca="false">INDEX(I_Items!$D$5:$D$133,MATCH($A89,I_Items!$A$5:$A$133,0))&amp;""</f>
        <v>Karkas</v>
      </c>
      <c r="E89" s="53" t="str">
        <f aca="false">INDEX(I_Items!$F$5:$F$133,MATCH($A89,I_Items!$A$5:$A$133,0))&amp;""</f>
        <v>Frozen</v>
      </c>
      <c r="F89" s="53" t="str">
        <f aca="false">INDEX(I_Items!$E$5:$E$133,MATCH($A89,I_Items!$A$5:$A$133,0))&amp;""</f>
        <v>Uk 1.6</v>
      </c>
      <c r="G89" s="6" t="str">
        <f aca="false">IF(P89=0,"-",IF(M89=0,"A",IF(K89&lt;=0,"C","B")))</f>
        <v>-</v>
      </c>
      <c r="H89" s="13" t="n">
        <f aca="false">SUMIFS('MA Engine'!$K$6:$K$1110,'MA Engine'!$B$6:$B$1110,$A89,'MA Engine'!$I$6:$I$1110,"Opening")</f>
        <v>0</v>
      </c>
      <c r="I89" s="13" t="n">
        <f aca="false">SUMIFS('MA Engine'!$K$6:$K$1110,'MA Engine'!$B$6:$B$1110,$A89,'MA Engine'!$H$6:$H$1110,7,'MA Engine'!$I$6:$I$1110,"&lt;&gt;Opening")</f>
        <v>0</v>
      </c>
      <c r="J89" s="13" t="n">
        <f aca="false">SUMIFS('MA Engine'!$W$6:$W$1110,'MA Engine'!$B$6:$B$1110,$A89,'MA Engine'!$H$6:$H$1110,7)</f>
        <v>0</v>
      </c>
      <c r="K89" s="14" t="n">
        <f aca="false">H89+I89-J89</f>
        <v>0</v>
      </c>
      <c r="L89" s="7" t="n">
        <f aca="false">SUMIFS('MA Engine'!$L$6:$L$1110,'MA Engine'!$B$6:$B$1110,$A89,'MA Engine'!$I$6:$I$1110,"Opening")+SUMIFS('MA Engine'!$L$6:$L$1110,'MA Engine'!$B$6:$B$1110,$A89,'MA Engine'!$H$6:$H$1110,7,'MA Engine'!$I$6:$I$1110,"&lt;&gt;Opening")-SUMIFS('MA Engine'!$X$6:$X$1110,'MA Engine'!$B$6:$B$1110,$A89,'MA Engine'!$H$6:$H$1110,7)</f>
        <v>0</v>
      </c>
      <c r="M89" s="13" t="n">
        <f aca="false">SUMIFS('MA Engine'!$K$6:$K$1110,'MA Engine'!$B$6:$B$1110,$A89,'MA Engine'!$H$6:$H$1110,8)</f>
        <v>1767.4</v>
      </c>
      <c r="N89" s="7" t="n">
        <f aca="false">SUMIFS('MA Engine'!$L$6:$L$1110,'MA Engine'!$B$6:$B$1110,$A89,'MA Engine'!$H$6:$H$1110,8)</f>
        <v>65558782.59</v>
      </c>
      <c r="O89" s="13" t="n">
        <f aca="false">SUMIFS('MA Engine'!$W$6:$W$1110,'MA Engine'!$B$6:$B$1110,$A89,'MA Engine'!$H$6:$H$1110,8)</f>
        <v>0</v>
      </c>
      <c r="P89" s="14" t="n">
        <f aca="false">Q89+R89</f>
        <v>0</v>
      </c>
      <c r="Q89" s="13" t="n">
        <f aca="false">SUMIFS('MA Engine'!$W$6:$W$1110,'MA Engine'!$B$6:$B$1110,$A89,'MA Engine'!$H$6:$H$1110,8,'MA Engine'!$I$6:$I$1110,"DO",'MA Engine'!$P$6:$P$1110,"&lt;&gt;Y")</f>
        <v>0</v>
      </c>
      <c r="R89" s="13" t="n">
        <f aca="false">SUMIFS('MA Engine'!$W$6:$W$1110,'MA Engine'!$B$6:$B$1110,$A89,'MA Engine'!$H$6:$H$1110,8,'MA Engine'!$I$6:$I$1110,"Unbilled")</f>
        <v>0</v>
      </c>
      <c r="S89" s="13" t="n">
        <f aca="false">SUMIFS('MA Engine'!$W$6:$W$1110,'MA Engine'!$B$6:$B$1110,$A89,'MA Engine'!$H$6:$H$1110,8,'MA Engine'!$P$6:$P$1110,"Y")</f>
        <v>0</v>
      </c>
      <c r="T89" s="14" t="n">
        <f aca="false">O89-P89-S89</f>
        <v>0</v>
      </c>
      <c r="U89" s="14" t="n">
        <f aca="false">MAX(0,H89-J89)</f>
        <v>0</v>
      </c>
      <c r="V89" s="14" t="n">
        <f aca="false">MAX(0,K89-U89)</f>
        <v>0</v>
      </c>
      <c r="W89" s="14" t="n">
        <f aca="false">MIN(U89,O89)</f>
        <v>0</v>
      </c>
      <c r="X89" s="14" t="n">
        <f aca="false">MIN(V89,O89-W89)</f>
        <v>0</v>
      </c>
      <c r="Y89" s="14" t="n">
        <f aca="false">O89-W89-X89</f>
        <v>0</v>
      </c>
      <c r="Z89" s="21" t="n">
        <f aca="false">IF(O89=0,0,P89/O89)</f>
        <v>0</v>
      </c>
      <c r="AA89" s="13" t="n">
        <f aca="false">SUMIFS('MA Engine'!$AH$6:$AH$1110,'MA Engine'!$B$6:$B$1110,$A89,'MA Engine'!$H$6:$H$1110,8,'MA Engine'!$I$6:$I$1110,"DO",'MA Engine'!$P$6:$P$1110,"&lt;&gt;Y")+SUMIFS('MA Engine'!$AH$6:$AH$1110,'MA Engine'!$B$6:$B$1110,$A89,'MA Engine'!$H$6:$H$1110,8,'MA Engine'!$I$6:$I$1110,"Unbilled")</f>
        <v>0</v>
      </c>
      <c r="AB89" s="13" t="n">
        <f aca="false">SUMIFS('MA Engine'!$AI$6:$AI$1110,'MA Engine'!$B$6:$B$1110,$A89,'MA Engine'!$H$6:$H$1110,8,'MA Engine'!$I$6:$I$1110,"DO",'MA Engine'!$P$6:$P$1110,"&lt;&gt;Y")+SUMIFS('MA Engine'!$AI$6:$AI$1110,'MA Engine'!$B$6:$B$1110,$A89,'MA Engine'!$H$6:$H$1110,8,'MA Engine'!$I$6:$I$1110,"Unbilled")</f>
        <v>0</v>
      </c>
      <c r="AC89" s="13" t="n">
        <f aca="false">SUMIFS('MA Engine'!$AJ$6:$AJ$1110,'MA Engine'!$B$6:$B$1110,$A89,'MA Engine'!$H$6:$H$1110,8,'MA Engine'!$I$6:$I$1110,"DO",'MA Engine'!$P$6:$P$1110,"&lt;&gt;Y")+SUMIFS('MA Engine'!$AJ$6:$AJ$1110,'MA Engine'!$B$6:$B$1110,$A89,'MA Engine'!$H$6:$H$1110,8,'MA Engine'!$I$6:$I$1110,"Unbilled")</f>
        <v>0</v>
      </c>
      <c r="AD89" s="7" t="n">
        <f aca="false">SUMIFS('MA Engine'!$L$6:$L$1110,'MA Engine'!$B$6:$B$1110,$A89,'MA Engine'!$H$6:$H$1110,7,'MA Engine'!$I$6:$I$1110,"&lt;&gt;Opening")</f>
        <v>0</v>
      </c>
      <c r="AE89" s="9" t="n">
        <f aca="false">IF(AND(U89&gt;0.0001,(L89-V89*IF(I89&gt;0,AD89/I89,IF(K89&gt;0,L89/K89,0)))&lt;0),IF(K89&gt;0,L89/K89,0),IF(I89&gt;0,AD89/I89,IF(K89&gt;0,L89/K89,0)))</f>
        <v>0</v>
      </c>
      <c r="AF89" s="9" t="n">
        <f aca="false">IF(U89&lt;=0.0001,IF(K89&gt;0,L89/K89,0),IF((L89-V89*IF(I89&gt;0,AD89/I89,IF(K89&gt;0,L89/K89,0)))&lt;0,IF(K89&gt;0,L89/K89,0),(L89-V89*IF(I89&gt;0,AD89/I89,IF(K89&gt;0,L89/K89,0)))/U89))</f>
        <v>0</v>
      </c>
      <c r="AG89" s="9" t="n">
        <f aca="false">IF(M89&gt;0,N89/M89,IF(K89&gt;0,L89/K89,0))</f>
        <v>37093.3476236279</v>
      </c>
      <c r="AH89" s="7" t="n">
        <f aca="false">SUMIFS('MA Engine'!$X$6:$X$1110,'MA Engine'!$B$6:$B$1110,$A89,'MA Engine'!$H$6:$H$1110,8,'MA Engine'!$I$6:$I$1110,"DO",'MA Engine'!$P$6:$P$1110,"&lt;&gt;Y")+SUMIFS('MA Engine'!$X$6:$X$1110,'MA Engine'!$B$6:$B$1110,$A89,'MA Engine'!$H$6:$H$1110,8,'MA Engine'!$I$6:$I$1110,"Unbilled")</f>
        <v>0</v>
      </c>
      <c r="AI89" s="7" t="n">
        <f aca="false">SUMIFS('MA Engine'!$AK$6:$AK$1110,'MA Engine'!$B$6:$B$1110,$A89,'MA Engine'!$H$6:$H$1110,8,'MA Engine'!$I$6:$I$1110,"DO",'MA Engine'!$P$6:$P$1110,"&lt;&gt;Y")+SUMIFS('MA Engine'!$AK$6:$AK$1110,'MA Engine'!$B$6:$B$1110,$A89,'MA Engine'!$H$6:$H$1110,8,'MA Engine'!$I$6:$I$1110,"Unbilled")</f>
        <v>0</v>
      </c>
      <c r="AJ89" s="7" t="n">
        <f aca="false">SUMIFS('MA Engine'!$AL$6:$AL$1110,'MA Engine'!$B$6:$B$1110,$A89,'MA Engine'!$H$6:$H$1110,8,'MA Engine'!$I$6:$I$1110,"DO",'MA Engine'!$P$6:$P$1110,"&lt;&gt;Y")+SUMIFS('MA Engine'!$AL$6:$AL$1110,'MA Engine'!$B$6:$B$1110,$A89,'MA Engine'!$H$6:$H$1110,8,'MA Engine'!$I$6:$I$1110,"Unbilled")</f>
        <v>0</v>
      </c>
      <c r="AK89" s="7" t="n">
        <f aca="false">SUMIFS('MA Engine'!$AM$6:$AM$1110,'MA Engine'!$B$6:$B$1110,$A89,'MA Engine'!$H$6:$H$1110,8,'MA Engine'!$I$6:$I$1110,"DO",'MA Engine'!$P$6:$P$1110,"&lt;&gt;Y")+SUMIFS('MA Engine'!$AM$6:$AM$1110,'MA Engine'!$B$6:$B$1110,$A89,'MA Engine'!$H$6:$H$1110,8,'MA Engine'!$I$6:$I$1110,"Unbilled")</f>
        <v>0</v>
      </c>
      <c r="AL89" s="9" t="n">
        <f aca="false">AH89-AI89-AJ89-AK89</f>
        <v>0</v>
      </c>
      <c r="AM89" s="7" t="n">
        <f aca="false">IF(Q89=0,0,IF($D89="Karkas",SUMIFS('Karkas Detail'!$E$6:$E$42,'Karkas Detail'!$A$6:$A$42,$C89,'Karkas Detail'!$B$6:$B$42,$F89,'Karkas Detail'!$C$6:$C$42,$E89)/SUMIFS($Q$36:$Q$127,$C$36:$C$127,$C89,$D$36:$D$127,"Karkas",$F$36:$F$127,$F89,$E$36:$E$127,$E89),SUMIFS('Data SKU'!$G$5:$G$116,'Data SKU'!$A$5:$A$116,$C89,'Data SKU'!$B$5:$B$116,$D89,'Data SKU'!$C$5:$C$116,$E89,'Data SKU'!$D$5:$D$116,8,'Data SKU'!$N$5:$N$116,"Invoiced")/SUMIFS($Q$36:$Q$127,$C$36:$C$127,$C89,$D$36:$D$127,$D89,$E$36:$E$127,$E89))*Q89)+SUMIFS(Unbilled!$U$22:$U$38,Unbilled!$E$22:$E$38,$A89)</f>
        <v>0</v>
      </c>
      <c r="AN89" s="9" t="n">
        <f aca="false">IF(P89=0,0,AM89*AA89/P89)</f>
        <v>0</v>
      </c>
      <c r="AO89" s="9" t="n">
        <f aca="false">IF(P89=0,0,AM89*AB89/P89)</f>
        <v>0</v>
      </c>
      <c r="AP89" s="9" t="n">
        <f aca="false">IF(P89=0,0,AM89*AC89/P89)</f>
        <v>0</v>
      </c>
      <c r="AQ89" s="14" t="n">
        <f aca="false">MIN(U89+V89,MAX(0,O89-M89))</f>
        <v>0</v>
      </c>
      <c r="AR89" s="14" t="n">
        <f aca="false">MAX(0,AQ89-V89)*Z89</f>
        <v>0</v>
      </c>
      <c r="AS89" s="14" t="n">
        <f aca="false">MIN(V89,AQ89)*Z89</f>
        <v>0</v>
      </c>
      <c r="AT89" s="14" t="n">
        <f aca="false">(O89-AQ89)*Z89</f>
        <v>0</v>
      </c>
      <c r="AU89" s="9" t="n">
        <f aca="false">(AR89+AS89+AT89)*BA89</f>
        <v>0</v>
      </c>
      <c r="AV89" s="9" t="n">
        <f aca="false">IF(P89=0,0,AM89*AR89/P89)</f>
        <v>0</v>
      </c>
      <c r="AW89" s="9" t="n">
        <f aca="false">IF(P89=0,0,AM89*AS89/P89)</f>
        <v>0</v>
      </c>
      <c r="AX89" s="9" t="n">
        <f aca="false">IF(P89=0,0,AM89*AT89/P89)</f>
        <v>0</v>
      </c>
      <c r="AY89" s="9" t="n">
        <f aca="false">AH89-AU89</f>
        <v>0</v>
      </c>
      <c r="AZ89" s="9" t="n">
        <f aca="false">IF(M89&gt;0,P89*AG89,0)</f>
        <v>0</v>
      </c>
      <c r="BA89" s="9" t="n">
        <f aca="false">IF(P89=0,0,AH89/P89)</f>
        <v>0</v>
      </c>
      <c r="BB89" s="74" t="s">
        <v>838</v>
      </c>
      <c r="BC89" s="13" t="n">
        <f aca="false">SUMIFS('MA Engine'!$W$6:$W$1110,'MA Engine'!$B$6:$B$1110,$A89,'MA Engine'!$H$6:$H$1110,7,'MA Engine'!$I$6:$I$1110,"DO")</f>
        <v>0</v>
      </c>
      <c r="BD89" s="14" t="n">
        <f aca="false">MIN(MAX(0,H89),J89)</f>
        <v>0</v>
      </c>
      <c r="BE89" s="14" t="n">
        <f aca="false">J89-BD89</f>
        <v>0</v>
      </c>
      <c r="BF89" s="21" t="n">
        <f aca="false">IF(J89=0,0,BC89/J89)</f>
        <v>0</v>
      </c>
      <c r="BG89" s="13" t="n">
        <f aca="false">SUMIFS('MA Engine'!$AH$6:$AH$1110,'MA Engine'!$B$6:$B$1110,$A89,'MA Engine'!$H$6:$H$1110,7,'MA Engine'!$I$6:$I$1110,"DO")</f>
        <v>0</v>
      </c>
      <c r="BH89" s="13" t="n">
        <f aca="false">SUMIFS('MA Engine'!$AI$6:$AI$1110,'MA Engine'!$B$6:$B$1110,$A89,'MA Engine'!$H$6:$H$1110,7,'MA Engine'!$I$6:$I$1110,"DO")+SUMIFS('MA Engine'!$AJ$6:$AJ$1110,'MA Engine'!$B$6:$B$1110,$A89,'MA Engine'!$H$6:$H$1110,7,'MA Engine'!$I$6:$I$1110,"DO")</f>
        <v>0</v>
      </c>
      <c r="BI89" s="7" t="n">
        <f aca="false">IF(H89&gt;0,SUMIFS('MA Engine'!$L$6:$L$1110,'MA Engine'!$B$6:$B$1110,$A89,'MA Engine'!$I$6:$I$1110,"Opening")/H89,0)</f>
        <v>0</v>
      </c>
      <c r="BJ89" s="9" t="n">
        <f aca="false">IF(I89&gt;0,AD89/I89,BI89)</f>
        <v>0</v>
      </c>
      <c r="BK89" s="7" t="n">
        <f aca="false">SUMIFS('MA Engine'!$X$6:$X$1110,'MA Engine'!$B$6:$B$1110,$A89,'MA Engine'!$H$6:$H$1110,7,'MA Engine'!$I$6:$I$1110,"DO")</f>
        <v>0</v>
      </c>
      <c r="BL89" s="7" t="n">
        <f aca="false">SUMIFS('MA Engine'!$AK$6:$AK$1110,'MA Engine'!$B$6:$B$1110,$A89,'MA Engine'!$H$6:$H$1110,7,'MA Engine'!$I$6:$I$1110,"DO")</f>
        <v>0</v>
      </c>
      <c r="BM89" s="7" t="n">
        <f aca="false">SUMIFS('MA Engine'!$AL$6:$AL$1110,'MA Engine'!$B$6:$B$1110,$A89,'MA Engine'!$H$6:$H$1110,7,'MA Engine'!$I$6:$I$1110,"DO")+SUMIFS('MA Engine'!$AM$6:$AM$1110,'MA Engine'!$B$6:$B$1110,$A89,'MA Engine'!$H$6:$H$1110,7,'MA Engine'!$I$6:$I$1110,"DO")</f>
        <v>0</v>
      </c>
      <c r="BN89" s="9" t="n">
        <f aca="false">BK89-BL89-BM89</f>
        <v>0</v>
      </c>
      <c r="BO89" s="7" t="n">
        <f aca="false">IF(BC89=0,0,SUMIFS('Data SKU'!$G$5:$G$116,'Data SKU'!$A$5:$A$116,$C89,'Data SKU'!$B$5:$B$116,$D89,'Data SKU'!$C$5:$C$116,$E89,'Data SKU'!$D$5:$D$116,7,'Data SKU'!$N$5:$N$116,"Invoiced")/SUMIFS($BC$36:$BC$127,$C$36:$C$127,$C89,$D$36:$D$127,$D89,$E$36:$E$127,$E89)*BC89)</f>
        <v>0</v>
      </c>
      <c r="BP89" s="9" t="n">
        <f aca="false">IF(BC89=0,0,BO89*BG89/BC89)</f>
        <v>0</v>
      </c>
      <c r="BQ89" s="9" t="n">
        <f aca="false">IF(BC89=0,0,BO89*BH89/BC89)</f>
        <v>0</v>
      </c>
    </row>
    <row r="90" customFormat="false" ht="15" hidden="false" customHeight="false" outlineLevel="0" collapsed="false">
      <c r="A90" s="74" t="s">
        <v>1002</v>
      </c>
      <c r="B90" s="53" t="str">
        <f aca="false">INDEX(I_Items!$B$5:$B$133,MATCH($A90,I_Items!$A$5:$A$133,0))&amp;""</f>
        <v>Karkas Uk 1.7 Karkas Uk 1.7 Fresh Premium</v>
      </c>
      <c r="C90" s="53" t="str">
        <f aca="false">INDEX(I_Items!$C$5:$C$133,MATCH($A90,I_Items!$A$5:$A$133,0))&amp;""</f>
        <v>RPA</v>
      </c>
      <c r="D90" s="53" t="str">
        <f aca="false">INDEX(I_Items!$D$5:$D$133,MATCH($A90,I_Items!$A$5:$A$133,0))&amp;""</f>
        <v>Karkas</v>
      </c>
      <c r="E90" s="53" t="str">
        <f aca="false">INDEX(I_Items!$F$5:$F$133,MATCH($A90,I_Items!$A$5:$A$133,0))&amp;""</f>
        <v>Fresh</v>
      </c>
      <c r="F90" s="53" t="str">
        <f aca="false">INDEX(I_Items!$E$5:$E$133,MATCH($A90,I_Items!$A$5:$A$133,0))&amp;""</f>
        <v>Uk 1.7</v>
      </c>
      <c r="G90" s="6" t="str">
        <f aca="false">IF(P90=0,"-",IF(M90=0,"A",IF(K90&lt;=0,"C","B")))</f>
        <v>C</v>
      </c>
      <c r="H90" s="13" t="n">
        <f aca="false">SUMIFS('MA Engine'!$K$6:$K$1110,'MA Engine'!$B$6:$B$1110,$A90,'MA Engine'!$I$6:$I$1110,"Opening")</f>
        <v>0</v>
      </c>
      <c r="I90" s="13" t="n">
        <f aca="false">SUMIFS('MA Engine'!$K$6:$K$1110,'MA Engine'!$B$6:$B$1110,$A90,'MA Engine'!$H$6:$H$1110,7,'MA Engine'!$I$6:$I$1110,"&lt;&gt;Opening")</f>
        <v>0</v>
      </c>
      <c r="J90" s="13" t="n">
        <f aca="false">SUMIFS('MA Engine'!$W$6:$W$1110,'MA Engine'!$B$6:$B$1110,$A90,'MA Engine'!$H$6:$H$1110,7)</f>
        <v>0</v>
      </c>
      <c r="K90" s="14" t="n">
        <f aca="false">H90+I90-J90</f>
        <v>0</v>
      </c>
      <c r="L90" s="7" t="n">
        <f aca="false">SUMIFS('MA Engine'!$L$6:$L$1110,'MA Engine'!$B$6:$B$1110,$A90,'MA Engine'!$I$6:$I$1110,"Opening")+SUMIFS('MA Engine'!$L$6:$L$1110,'MA Engine'!$B$6:$B$1110,$A90,'MA Engine'!$H$6:$H$1110,7,'MA Engine'!$I$6:$I$1110,"&lt;&gt;Opening")-SUMIFS('MA Engine'!$X$6:$X$1110,'MA Engine'!$B$6:$B$1110,$A90,'MA Engine'!$H$6:$H$1110,7)</f>
        <v>0</v>
      </c>
      <c r="M90" s="13" t="n">
        <f aca="false">SUMIFS('MA Engine'!$K$6:$K$1110,'MA Engine'!$B$6:$B$1110,$A90,'MA Engine'!$H$6:$H$1110,8)</f>
        <v>241.6</v>
      </c>
      <c r="N90" s="7" t="n">
        <f aca="false">SUMIFS('MA Engine'!$L$6:$L$1110,'MA Engine'!$B$6:$B$1110,$A90,'MA Engine'!$H$6:$H$1110,8)</f>
        <v>9129264.16</v>
      </c>
      <c r="O90" s="13" t="n">
        <f aca="false">SUMIFS('MA Engine'!$W$6:$W$1110,'MA Engine'!$B$6:$B$1110,$A90,'MA Engine'!$H$6:$H$1110,8)</f>
        <v>231</v>
      </c>
      <c r="P90" s="14" t="n">
        <f aca="false">Q90+R90</f>
        <v>231</v>
      </c>
      <c r="Q90" s="13" t="n">
        <f aca="false">SUMIFS('MA Engine'!$W$6:$W$1110,'MA Engine'!$B$6:$B$1110,$A90,'MA Engine'!$H$6:$H$1110,8,'MA Engine'!$I$6:$I$1110,"DO",'MA Engine'!$P$6:$P$1110,"&lt;&gt;Y")</f>
        <v>231</v>
      </c>
      <c r="R90" s="13" t="n">
        <f aca="false">SUMIFS('MA Engine'!$W$6:$W$1110,'MA Engine'!$B$6:$B$1110,$A90,'MA Engine'!$H$6:$H$1110,8,'MA Engine'!$I$6:$I$1110,"Unbilled")</f>
        <v>0</v>
      </c>
      <c r="S90" s="13" t="n">
        <f aca="false">SUMIFS('MA Engine'!$W$6:$W$1110,'MA Engine'!$B$6:$B$1110,$A90,'MA Engine'!$H$6:$H$1110,8,'MA Engine'!$P$6:$P$1110,"Y")</f>
        <v>0</v>
      </c>
      <c r="T90" s="14" t="n">
        <f aca="false">O90-P90-S90</f>
        <v>0</v>
      </c>
      <c r="U90" s="14" t="n">
        <f aca="false">MAX(0,H90-J90)</f>
        <v>0</v>
      </c>
      <c r="V90" s="14" t="n">
        <f aca="false">MAX(0,K90-U90)</f>
        <v>0</v>
      </c>
      <c r="W90" s="14" t="n">
        <f aca="false">MIN(U90,O90)</f>
        <v>0</v>
      </c>
      <c r="X90" s="14" t="n">
        <f aca="false">MIN(V90,O90-W90)</f>
        <v>0</v>
      </c>
      <c r="Y90" s="14" t="n">
        <f aca="false">O90-W90-X90</f>
        <v>231</v>
      </c>
      <c r="Z90" s="21" t="n">
        <f aca="false">IF(O90=0,0,P90/O90)</f>
        <v>1</v>
      </c>
      <c r="AA90" s="13" t="n">
        <f aca="false">SUMIFS('MA Engine'!$AH$6:$AH$1110,'MA Engine'!$B$6:$B$1110,$A90,'MA Engine'!$H$6:$H$1110,8,'MA Engine'!$I$6:$I$1110,"DO",'MA Engine'!$P$6:$P$1110,"&lt;&gt;Y")+SUMIFS('MA Engine'!$AH$6:$AH$1110,'MA Engine'!$B$6:$B$1110,$A90,'MA Engine'!$H$6:$H$1110,8,'MA Engine'!$I$6:$I$1110,"Unbilled")</f>
        <v>0</v>
      </c>
      <c r="AB90" s="13" t="n">
        <f aca="false">SUMIFS('MA Engine'!$AI$6:$AI$1110,'MA Engine'!$B$6:$B$1110,$A90,'MA Engine'!$H$6:$H$1110,8,'MA Engine'!$I$6:$I$1110,"DO",'MA Engine'!$P$6:$P$1110,"&lt;&gt;Y")+SUMIFS('MA Engine'!$AI$6:$AI$1110,'MA Engine'!$B$6:$B$1110,$A90,'MA Engine'!$H$6:$H$1110,8,'MA Engine'!$I$6:$I$1110,"Unbilled")</f>
        <v>0</v>
      </c>
      <c r="AC90" s="13" t="n">
        <f aca="false">SUMIFS('MA Engine'!$AJ$6:$AJ$1110,'MA Engine'!$B$6:$B$1110,$A90,'MA Engine'!$H$6:$H$1110,8,'MA Engine'!$I$6:$I$1110,"DO",'MA Engine'!$P$6:$P$1110,"&lt;&gt;Y")+SUMIFS('MA Engine'!$AJ$6:$AJ$1110,'MA Engine'!$B$6:$B$1110,$A90,'MA Engine'!$H$6:$H$1110,8,'MA Engine'!$I$6:$I$1110,"Unbilled")</f>
        <v>231</v>
      </c>
      <c r="AD90" s="7" t="n">
        <f aca="false">SUMIFS('MA Engine'!$L$6:$L$1110,'MA Engine'!$B$6:$B$1110,$A90,'MA Engine'!$H$6:$H$1110,7,'MA Engine'!$I$6:$I$1110,"&lt;&gt;Opening")</f>
        <v>0</v>
      </c>
      <c r="AE90" s="9" t="n">
        <f aca="false">IF(AND(U90&gt;0.0001,(L90-V90*IF(I90&gt;0,AD90/I90,IF(K90&gt;0,L90/K90,0)))&lt;0),IF(K90&gt;0,L90/K90,0),IF(I90&gt;0,AD90/I90,IF(K90&gt;0,L90/K90,0)))</f>
        <v>0</v>
      </c>
      <c r="AF90" s="9" t="n">
        <f aca="false">IF(U90&lt;=0.0001,IF(K90&gt;0,L90/K90,0),IF((L90-V90*IF(I90&gt;0,AD90/I90,IF(K90&gt;0,L90/K90,0)))&lt;0,IF(K90&gt;0,L90/K90,0),(L90-V90*IF(I90&gt;0,AD90/I90,IF(K90&gt;0,L90/K90,0)))/U90))</f>
        <v>0</v>
      </c>
      <c r="AG90" s="9" t="n">
        <f aca="false">IF(M90&gt;0,N90/M90,IF(K90&gt;0,L90/K90,0))</f>
        <v>37786.6894039735</v>
      </c>
      <c r="AH90" s="7" t="n">
        <f aca="false">SUMIFS('MA Engine'!$X$6:$X$1110,'MA Engine'!$B$6:$B$1110,$A90,'MA Engine'!$H$6:$H$1110,8,'MA Engine'!$I$6:$I$1110,"DO",'MA Engine'!$P$6:$P$1110,"&lt;&gt;Y")+SUMIFS('MA Engine'!$X$6:$X$1110,'MA Engine'!$B$6:$B$1110,$A90,'MA Engine'!$H$6:$H$1110,8,'MA Engine'!$I$6:$I$1110,"Unbilled")</f>
        <v>8728725.25231788</v>
      </c>
      <c r="AI90" s="7" t="n">
        <f aca="false">SUMIFS('MA Engine'!$AK$6:$AK$1110,'MA Engine'!$B$6:$B$1110,$A90,'MA Engine'!$H$6:$H$1110,8,'MA Engine'!$I$6:$I$1110,"DO",'MA Engine'!$P$6:$P$1110,"&lt;&gt;Y")+SUMIFS('MA Engine'!$AK$6:$AK$1110,'MA Engine'!$B$6:$B$1110,$A90,'MA Engine'!$H$6:$H$1110,8,'MA Engine'!$I$6:$I$1110,"Unbilled")</f>
        <v>0</v>
      </c>
      <c r="AJ90" s="7" t="n">
        <f aca="false">SUMIFS('MA Engine'!$AL$6:$AL$1110,'MA Engine'!$B$6:$B$1110,$A90,'MA Engine'!$H$6:$H$1110,8,'MA Engine'!$I$6:$I$1110,"DO",'MA Engine'!$P$6:$P$1110,"&lt;&gt;Y")+SUMIFS('MA Engine'!$AL$6:$AL$1110,'MA Engine'!$B$6:$B$1110,$A90,'MA Engine'!$H$6:$H$1110,8,'MA Engine'!$I$6:$I$1110,"Unbilled")</f>
        <v>0</v>
      </c>
      <c r="AK90" s="7" t="n">
        <f aca="false">SUMIFS('MA Engine'!$AM$6:$AM$1110,'MA Engine'!$B$6:$B$1110,$A90,'MA Engine'!$H$6:$H$1110,8,'MA Engine'!$I$6:$I$1110,"DO",'MA Engine'!$P$6:$P$1110,"&lt;&gt;Y")+SUMIFS('MA Engine'!$AM$6:$AM$1110,'MA Engine'!$B$6:$B$1110,$A90,'MA Engine'!$H$6:$H$1110,8,'MA Engine'!$I$6:$I$1110,"Unbilled")</f>
        <v>8728725.25231788</v>
      </c>
      <c r="AL90" s="9" t="n">
        <f aca="false">AH90-AI90-AJ90-AK90</f>
        <v>0</v>
      </c>
      <c r="AM90" s="7" t="n">
        <f aca="false">IF(Q90=0,0,IF($D90="Karkas",SUMIFS('Karkas Detail'!$E$6:$E$42,'Karkas Detail'!$A$6:$A$42,$C90,'Karkas Detail'!$B$6:$B$42,$F90,'Karkas Detail'!$C$6:$C$42,$E90)/SUMIFS($Q$36:$Q$127,$C$36:$C$127,$C90,$D$36:$D$127,"Karkas",$F$36:$F$127,$F90,$E$36:$E$127,$E90),SUMIFS('Data SKU'!$G$5:$G$116,'Data SKU'!$A$5:$A$116,$C90,'Data SKU'!$B$5:$B$116,$D90,'Data SKU'!$C$5:$C$116,$E90,'Data SKU'!$D$5:$D$116,8,'Data SKU'!$N$5:$N$116,"Invoiced")/SUMIFS($Q$36:$Q$127,$C$36:$C$127,$C90,$D$36:$D$127,$D90,$E$36:$E$127,$E90))*Q90)+SUMIFS(Unbilled!$U$22:$U$38,Unbilled!$E$22:$E$38,$A90)</f>
        <v>8662500</v>
      </c>
      <c r="AN90" s="9" t="n">
        <f aca="false">IF(P90=0,0,AM90*AA90/P90)</f>
        <v>0</v>
      </c>
      <c r="AO90" s="9" t="n">
        <f aca="false">IF(P90=0,0,AM90*AB90/P90)</f>
        <v>0</v>
      </c>
      <c r="AP90" s="9" t="n">
        <f aca="false">IF(P90=0,0,AM90*AC90/P90)</f>
        <v>8662500</v>
      </c>
      <c r="AQ90" s="14" t="n">
        <f aca="false">MIN(U90+V90,MAX(0,O90-M90))</f>
        <v>0</v>
      </c>
      <c r="AR90" s="14" t="n">
        <f aca="false">MAX(0,AQ90-V90)*Z90</f>
        <v>0</v>
      </c>
      <c r="AS90" s="14" t="n">
        <f aca="false">MIN(V90,AQ90)*Z90</f>
        <v>0</v>
      </c>
      <c r="AT90" s="14" t="n">
        <f aca="false">(O90-AQ90)*Z90</f>
        <v>231</v>
      </c>
      <c r="AU90" s="9" t="n">
        <f aca="false">(AR90+AS90+AT90)*BA90</f>
        <v>8728725.25231788</v>
      </c>
      <c r="AV90" s="9" t="n">
        <f aca="false">IF(P90=0,0,AM90*AR90/P90)</f>
        <v>0</v>
      </c>
      <c r="AW90" s="9" t="n">
        <f aca="false">IF(P90=0,0,AM90*AS90/P90)</f>
        <v>0</v>
      </c>
      <c r="AX90" s="9" t="n">
        <f aca="false">IF(P90=0,0,AM90*AT90/P90)</f>
        <v>8662500</v>
      </c>
      <c r="AY90" s="9" t="n">
        <f aca="false">AH90-AU90</f>
        <v>0</v>
      </c>
      <c r="AZ90" s="9" t="n">
        <f aca="false">IF(M90&gt;0,P90*AG90,0)</f>
        <v>8728725.25231788</v>
      </c>
      <c r="BA90" s="9" t="n">
        <f aca="false">IF(P90=0,0,AH90/P90)</f>
        <v>37786.6894039735</v>
      </c>
      <c r="BB90" s="74" t="s">
        <v>837</v>
      </c>
      <c r="BC90" s="13" t="n">
        <f aca="false">SUMIFS('MA Engine'!$W$6:$W$1110,'MA Engine'!$B$6:$B$1110,$A90,'MA Engine'!$H$6:$H$1110,7,'MA Engine'!$I$6:$I$1110,"DO")</f>
        <v>0</v>
      </c>
      <c r="BD90" s="14" t="n">
        <f aca="false">MIN(MAX(0,H90),J90)</f>
        <v>0</v>
      </c>
      <c r="BE90" s="14" t="n">
        <f aca="false">J90-BD90</f>
        <v>0</v>
      </c>
      <c r="BF90" s="21" t="n">
        <f aca="false">IF(J90=0,0,BC90/J90)</f>
        <v>0</v>
      </c>
      <c r="BG90" s="13" t="n">
        <f aca="false">SUMIFS('MA Engine'!$AH$6:$AH$1110,'MA Engine'!$B$6:$B$1110,$A90,'MA Engine'!$H$6:$H$1110,7,'MA Engine'!$I$6:$I$1110,"DO")</f>
        <v>0</v>
      </c>
      <c r="BH90" s="13" t="n">
        <f aca="false">SUMIFS('MA Engine'!$AI$6:$AI$1110,'MA Engine'!$B$6:$B$1110,$A90,'MA Engine'!$H$6:$H$1110,7,'MA Engine'!$I$6:$I$1110,"DO")+SUMIFS('MA Engine'!$AJ$6:$AJ$1110,'MA Engine'!$B$6:$B$1110,$A90,'MA Engine'!$H$6:$H$1110,7,'MA Engine'!$I$6:$I$1110,"DO")</f>
        <v>0</v>
      </c>
      <c r="BI90" s="7" t="n">
        <f aca="false">IF(H90&gt;0,SUMIFS('MA Engine'!$L$6:$L$1110,'MA Engine'!$B$6:$B$1110,$A90,'MA Engine'!$I$6:$I$1110,"Opening")/H90,0)</f>
        <v>0</v>
      </c>
      <c r="BJ90" s="9" t="n">
        <f aca="false">IF(I90&gt;0,AD90/I90,BI90)</f>
        <v>0</v>
      </c>
      <c r="BK90" s="7" t="n">
        <f aca="false">SUMIFS('MA Engine'!$X$6:$X$1110,'MA Engine'!$B$6:$B$1110,$A90,'MA Engine'!$H$6:$H$1110,7,'MA Engine'!$I$6:$I$1110,"DO")</f>
        <v>0</v>
      </c>
      <c r="BL90" s="7" t="n">
        <f aca="false">SUMIFS('MA Engine'!$AK$6:$AK$1110,'MA Engine'!$B$6:$B$1110,$A90,'MA Engine'!$H$6:$H$1110,7,'MA Engine'!$I$6:$I$1110,"DO")</f>
        <v>0</v>
      </c>
      <c r="BM90" s="7" t="n">
        <f aca="false">SUMIFS('MA Engine'!$AL$6:$AL$1110,'MA Engine'!$B$6:$B$1110,$A90,'MA Engine'!$H$6:$H$1110,7,'MA Engine'!$I$6:$I$1110,"DO")+SUMIFS('MA Engine'!$AM$6:$AM$1110,'MA Engine'!$B$6:$B$1110,$A90,'MA Engine'!$H$6:$H$1110,7,'MA Engine'!$I$6:$I$1110,"DO")</f>
        <v>0</v>
      </c>
      <c r="BN90" s="9" t="n">
        <f aca="false">BK90-BL90-BM90</f>
        <v>0</v>
      </c>
      <c r="BO90" s="7" t="n">
        <f aca="false">IF(BC90=0,0,SUMIFS('Data SKU'!$G$5:$G$116,'Data SKU'!$A$5:$A$116,$C90,'Data SKU'!$B$5:$B$116,$D90,'Data SKU'!$C$5:$C$116,$E90,'Data SKU'!$D$5:$D$116,7,'Data SKU'!$N$5:$N$116,"Invoiced")/SUMIFS($BC$36:$BC$127,$C$36:$C$127,$C90,$D$36:$D$127,$D90,$E$36:$E$127,$E90)*BC90)</f>
        <v>0</v>
      </c>
      <c r="BP90" s="9" t="n">
        <f aca="false">IF(BC90=0,0,BO90*BG90/BC90)</f>
        <v>0</v>
      </c>
      <c r="BQ90" s="9" t="n">
        <f aca="false">IF(BC90=0,0,BO90*BH90/BC90)</f>
        <v>0</v>
      </c>
    </row>
    <row r="91" customFormat="false" ht="15" hidden="false" customHeight="false" outlineLevel="0" collapsed="false">
      <c r="A91" s="74" t="s">
        <v>1003</v>
      </c>
      <c r="B91" s="53" t="str">
        <f aca="false">INDEX(I_Items!$B$5:$B$133,MATCH($A91,I_Items!$A$5:$A$133,0))&amp;""</f>
        <v>Karkas Uk 1.7 Karkas Uk 1.7 Frozen Grade A</v>
      </c>
      <c r="C91" s="53" t="str">
        <f aca="false">INDEX(I_Items!$C$5:$C$133,MATCH($A91,I_Items!$A$5:$A$133,0))&amp;""</f>
        <v>RPA</v>
      </c>
      <c r="D91" s="53" t="str">
        <f aca="false">INDEX(I_Items!$D$5:$D$133,MATCH($A91,I_Items!$A$5:$A$133,0))&amp;""</f>
        <v>Karkas</v>
      </c>
      <c r="E91" s="53" t="str">
        <f aca="false">INDEX(I_Items!$F$5:$F$133,MATCH($A91,I_Items!$A$5:$A$133,0))&amp;""</f>
        <v>Frozen</v>
      </c>
      <c r="F91" s="53" t="str">
        <f aca="false">INDEX(I_Items!$E$5:$E$133,MATCH($A91,I_Items!$A$5:$A$133,0))&amp;""</f>
        <v>Uk 1.7</v>
      </c>
      <c r="G91" s="6" t="str">
        <f aca="false">IF(P91=0,"-",IF(M91=0,"A",IF(K91&lt;=0,"C","B")))</f>
        <v>-</v>
      </c>
      <c r="H91" s="13" t="n">
        <f aca="false">SUMIFS('MA Engine'!$K$6:$K$1110,'MA Engine'!$B$6:$B$1110,$A91,'MA Engine'!$I$6:$I$1110,"Opening")</f>
        <v>22.44</v>
      </c>
      <c r="I91" s="13" t="n">
        <f aca="false">SUMIFS('MA Engine'!$K$6:$K$1110,'MA Engine'!$B$6:$B$1110,$A91,'MA Engine'!$H$6:$H$1110,7,'MA Engine'!$I$6:$I$1110,"&lt;&gt;Opening")</f>
        <v>35.7</v>
      </c>
      <c r="J91" s="13" t="n">
        <f aca="false">SUMIFS('MA Engine'!$W$6:$W$1110,'MA Engine'!$B$6:$B$1110,$A91,'MA Engine'!$H$6:$H$1110,7)</f>
        <v>52.1</v>
      </c>
      <c r="K91" s="14" t="n">
        <f aca="false">H91+I91-J91</f>
        <v>6.04</v>
      </c>
      <c r="L91" s="7" t="n">
        <f aca="false">SUMIFS('MA Engine'!$L$6:$L$1110,'MA Engine'!$B$6:$B$1110,$A91,'MA Engine'!$I$6:$I$1110,"Opening")+SUMIFS('MA Engine'!$L$6:$L$1110,'MA Engine'!$B$6:$B$1110,$A91,'MA Engine'!$H$6:$H$1110,7,'MA Engine'!$I$6:$I$1110,"&lt;&gt;Opening")-SUMIFS('MA Engine'!$X$6:$X$1110,'MA Engine'!$B$6:$B$1110,$A91,'MA Engine'!$H$6:$H$1110,7)</f>
        <v>139809.77</v>
      </c>
      <c r="M91" s="13" t="n">
        <f aca="false">SUMIFS('MA Engine'!$K$6:$K$1110,'MA Engine'!$B$6:$B$1110,$A91,'MA Engine'!$H$6:$H$1110,8)</f>
        <v>142.8</v>
      </c>
      <c r="N91" s="7" t="n">
        <f aca="false">SUMIFS('MA Engine'!$L$6:$L$1110,'MA Engine'!$B$6:$B$1110,$A91,'MA Engine'!$H$6:$H$1110,8)</f>
        <v>4859701.44</v>
      </c>
      <c r="O91" s="13" t="n">
        <f aca="false">SUMIFS('MA Engine'!$W$6:$W$1110,'MA Engine'!$B$6:$B$1110,$A91,'MA Engine'!$H$6:$H$1110,8)</f>
        <v>0</v>
      </c>
      <c r="P91" s="14" t="n">
        <f aca="false">Q91+R91</f>
        <v>0</v>
      </c>
      <c r="Q91" s="13" t="n">
        <f aca="false">SUMIFS('MA Engine'!$W$6:$W$1110,'MA Engine'!$B$6:$B$1110,$A91,'MA Engine'!$H$6:$H$1110,8,'MA Engine'!$I$6:$I$1110,"DO",'MA Engine'!$P$6:$P$1110,"&lt;&gt;Y")</f>
        <v>0</v>
      </c>
      <c r="R91" s="13" t="n">
        <f aca="false">SUMIFS('MA Engine'!$W$6:$W$1110,'MA Engine'!$B$6:$B$1110,$A91,'MA Engine'!$H$6:$H$1110,8,'MA Engine'!$I$6:$I$1110,"Unbilled")</f>
        <v>0</v>
      </c>
      <c r="S91" s="13" t="n">
        <f aca="false">SUMIFS('MA Engine'!$W$6:$W$1110,'MA Engine'!$B$6:$B$1110,$A91,'MA Engine'!$H$6:$H$1110,8,'MA Engine'!$P$6:$P$1110,"Y")</f>
        <v>0</v>
      </c>
      <c r="T91" s="14" t="n">
        <f aca="false">O91-P91-S91</f>
        <v>0</v>
      </c>
      <c r="U91" s="14" t="n">
        <f aca="false">MAX(0,H91-J91)</f>
        <v>0</v>
      </c>
      <c r="V91" s="14" t="n">
        <f aca="false">MAX(0,K91-U91)</f>
        <v>6.04</v>
      </c>
      <c r="W91" s="14" t="n">
        <f aca="false">MIN(U91,O91)</f>
        <v>0</v>
      </c>
      <c r="X91" s="14" t="n">
        <f aca="false">MIN(V91,O91-W91)</f>
        <v>0</v>
      </c>
      <c r="Y91" s="14" t="n">
        <f aca="false">O91-W91-X91</f>
        <v>0</v>
      </c>
      <c r="Z91" s="21" t="n">
        <f aca="false">IF(O91=0,0,P91/O91)</f>
        <v>0</v>
      </c>
      <c r="AA91" s="13" t="n">
        <f aca="false">SUMIFS('MA Engine'!$AH$6:$AH$1110,'MA Engine'!$B$6:$B$1110,$A91,'MA Engine'!$H$6:$H$1110,8,'MA Engine'!$I$6:$I$1110,"DO",'MA Engine'!$P$6:$P$1110,"&lt;&gt;Y")+SUMIFS('MA Engine'!$AH$6:$AH$1110,'MA Engine'!$B$6:$B$1110,$A91,'MA Engine'!$H$6:$H$1110,8,'MA Engine'!$I$6:$I$1110,"Unbilled")</f>
        <v>0</v>
      </c>
      <c r="AB91" s="13" t="n">
        <f aca="false">SUMIFS('MA Engine'!$AI$6:$AI$1110,'MA Engine'!$B$6:$B$1110,$A91,'MA Engine'!$H$6:$H$1110,8,'MA Engine'!$I$6:$I$1110,"DO",'MA Engine'!$P$6:$P$1110,"&lt;&gt;Y")+SUMIFS('MA Engine'!$AI$6:$AI$1110,'MA Engine'!$B$6:$B$1110,$A91,'MA Engine'!$H$6:$H$1110,8,'MA Engine'!$I$6:$I$1110,"Unbilled")</f>
        <v>0</v>
      </c>
      <c r="AC91" s="13" t="n">
        <f aca="false">SUMIFS('MA Engine'!$AJ$6:$AJ$1110,'MA Engine'!$B$6:$B$1110,$A91,'MA Engine'!$H$6:$H$1110,8,'MA Engine'!$I$6:$I$1110,"DO",'MA Engine'!$P$6:$P$1110,"&lt;&gt;Y")+SUMIFS('MA Engine'!$AJ$6:$AJ$1110,'MA Engine'!$B$6:$B$1110,$A91,'MA Engine'!$H$6:$H$1110,8,'MA Engine'!$I$6:$I$1110,"Unbilled")</f>
        <v>0</v>
      </c>
      <c r="AD91" s="7" t="n">
        <f aca="false">SUMIFS('MA Engine'!$L$6:$L$1110,'MA Engine'!$B$6:$B$1110,$A91,'MA Engine'!$H$6:$H$1110,7,'MA Engine'!$I$6:$I$1110,"&lt;&gt;Opening")</f>
        <v>924481.13</v>
      </c>
      <c r="AE91" s="9" t="n">
        <f aca="false">IF(AND(U91&gt;0.0001,(L91-V91*IF(I91&gt;0,AD91/I91,IF(K91&gt;0,L91/K91,0)))&lt;0),IF(K91&gt;0,L91/K91,0),IF(I91&gt;0,AD91/I91,IF(K91&gt;0,L91/K91,0)))</f>
        <v>25895.8299719888</v>
      </c>
      <c r="AF91" s="9" t="n">
        <f aca="false">IF(U91&lt;=0.0001,IF(K91&gt;0,L91/K91,0),IF((L91-V91*IF(I91&gt;0,AD91/I91,IF(K91&gt;0,L91/K91,0)))&lt;0,IF(K91&gt;0,L91/K91,0),(L91-V91*IF(I91&gt;0,AD91/I91,IF(K91&gt;0,L91/K91,0)))/U91))</f>
        <v>23147.3129139073</v>
      </c>
      <c r="AG91" s="9" t="n">
        <f aca="false">IF(M91&gt;0,N91/M91,IF(K91&gt;0,L91/K91,0))</f>
        <v>34031.5226890756</v>
      </c>
      <c r="AH91" s="7" t="n">
        <f aca="false">SUMIFS('MA Engine'!$X$6:$X$1110,'MA Engine'!$B$6:$B$1110,$A91,'MA Engine'!$H$6:$H$1110,8,'MA Engine'!$I$6:$I$1110,"DO",'MA Engine'!$P$6:$P$1110,"&lt;&gt;Y")+SUMIFS('MA Engine'!$X$6:$X$1110,'MA Engine'!$B$6:$B$1110,$A91,'MA Engine'!$H$6:$H$1110,8,'MA Engine'!$I$6:$I$1110,"Unbilled")</f>
        <v>0</v>
      </c>
      <c r="AI91" s="7" t="n">
        <f aca="false">SUMIFS('MA Engine'!$AK$6:$AK$1110,'MA Engine'!$B$6:$B$1110,$A91,'MA Engine'!$H$6:$H$1110,8,'MA Engine'!$I$6:$I$1110,"DO",'MA Engine'!$P$6:$P$1110,"&lt;&gt;Y")+SUMIFS('MA Engine'!$AK$6:$AK$1110,'MA Engine'!$B$6:$B$1110,$A91,'MA Engine'!$H$6:$H$1110,8,'MA Engine'!$I$6:$I$1110,"Unbilled")</f>
        <v>0</v>
      </c>
      <c r="AJ91" s="7" t="n">
        <f aca="false">SUMIFS('MA Engine'!$AL$6:$AL$1110,'MA Engine'!$B$6:$B$1110,$A91,'MA Engine'!$H$6:$H$1110,8,'MA Engine'!$I$6:$I$1110,"DO",'MA Engine'!$P$6:$P$1110,"&lt;&gt;Y")+SUMIFS('MA Engine'!$AL$6:$AL$1110,'MA Engine'!$B$6:$B$1110,$A91,'MA Engine'!$H$6:$H$1110,8,'MA Engine'!$I$6:$I$1110,"Unbilled")</f>
        <v>0</v>
      </c>
      <c r="AK91" s="7" t="n">
        <f aca="false">SUMIFS('MA Engine'!$AM$6:$AM$1110,'MA Engine'!$B$6:$B$1110,$A91,'MA Engine'!$H$6:$H$1110,8,'MA Engine'!$I$6:$I$1110,"DO",'MA Engine'!$P$6:$P$1110,"&lt;&gt;Y")+SUMIFS('MA Engine'!$AM$6:$AM$1110,'MA Engine'!$B$6:$B$1110,$A91,'MA Engine'!$H$6:$H$1110,8,'MA Engine'!$I$6:$I$1110,"Unbilled")</f>
        <v>0</v>
      </c>
      <c r="AL91" s="9" t="n">
        <f aca="false">AH91-AI91-AJ91-AK91</f>
        <v>0</v>
      </c>
      <c r="AM91" s="7" t="n">
        <f aca="false">IF(Q91=0,0,IF($D91="Karkas",SUMIFS('Karkas Detail'!$E$6:$E$42,'Karkas Detail'!$A$6:$A$42,$C91,'Karkas Detail'!$B$6:$B$42,$F91,'Karkas Detail'!$C$6:$C$42,$E91)/SUMIFS($Q$36:$Q$127,$C$36:$C$127,$C91,$D$36:$D$127,"Karkas",$F$36:$F$127,$F91,$E$36:$E$127,$E91),SUMIFS('Data SKU'!$G$5:$G$116,'Data SKU'!$A$5:$A$116,$C91,'Data SKU'!$B$5:$B$116,$D91,'Data SKU'!$C$5:$C$116,$E91,'Data SKU'!$D$5:$D$116,8,'Data SKU'!$N$5:$N$116,"Invoiced")/SUMIFS($Q$36:$Q$127,$C$36:$C$127,$C91,$D$36:$D$127,$D91,$E$36:$E$127,$E91))*Q91)+SUMIFS(Unbilled!$U$22:$U$38,Unbilled!$E$22:$E$38,$A91)</f>
        <v>0</v>
      </c>
      <c r="AN91" s="9" t="n">
        <f aca="false">IF(P91=0,0,AM91*AA91/P91)</f>
        <v>0</v>
      </c>
      <c r="AO91" s="9" t="n">
        <f aca="false">IF(P91=0,0,AM91*AB91/P91)</f>
        <v>0</v>
      </c>
      <c r="AP91" s="9" t="n">
        <f aca="false">IF(P91=0,0,AM91*AC91/P91)</f>
        <v>0</v>
      </c>
      <c r="AQ91" s="14" t="n">
        <f aca="false">MIN(U91+V91,MAX(0,O91-M91))</f>
        <v>0</v>
      </c>
      <c r="AR91" s="14" t="n">
        <f aca="false">MAX(0,AQ91-V91)*Z91</f>
        <v>0</v>
      </c>
      <c r="AS91" s="14" t="n">
        <f aca="false">MIN(V91,AQ91)*Z91</f>
        <v>0</v>
      </c>
      <c r="AT91" s="14" t="n">
        <f aca="false">(O91-AQ91)*Z91</f>
        <v>0</v>
      </c>
      <c r="AU91" s="9" t="n">
        <f aca="false">(AR91+AS91+AT91)*BA91</f>
        <v>0</v>
      </c>
      <c r="AV91" s="9" t="n">
        <f aca="false">IF(P91=0,0,AM91*AR91/P91)</f>
        <v>0</v>
      </c>
      <c r="AW91" s="9" t="n">
        <f aca="false">IF(P91=0,0,AM91*AS91/P91)</f>
        <v>0</v>
      </c>
      <c r="AX91" s="9" t="n">
        <f aca="false">IF(P91=0,0,AM91*AT91/P91)</f>
        <v>0</v>
      </c>
      <c r="AY91" s="9" t="n">
        <f aca="false">AH91-AU91</f>
        <v>0</v>
      </c>
      <c r="AZ91" s="9" t="n">
        <f aca="false">IF(M91&gt;0,P91*AG91,0)</f>
        <v>0</v>
      </c>
      <c r="BA91" s="9" t="n">
        <f aca="false">IF(P91=0,0,AH91/P91)</f>
        <v>0</v>
      </c>
      <c r="BB91" s="74" t="s">
        <v>838</v>
      </c>
      <c r="BC91" s="13" t="n">
        <f aca="false">SUMIFS('MA Engine'!$W$6:$W$1110,'MA Engine'!$B$6:$B$1110,$A91,'MA Engine'!$H$6:$H$1110,7,'MA Engine'!$I$6:$I$1110,"DO")</f>
        <v>0</v>
      </c>
      <c r="BD91" s="14" t="n">
        <f aca="false">MIN(MAX(0,H91),J91)</f>
        <v>22.44</v>
      </c>
      <c r="BE91" s="14" t="n">
        <f aca="false">J91-BD91</f>
        <v>29.66</v>
      </c>
      <c r="BF91" s="21" t="n">
        <f aca="false">IF(J91=0,0,BC91/J91)</f>
        <v>0</v>
      </c>
      <c r="BG91" s="13" t="n">
        <f aca="false">SUMIFS('MA Engine'!$AH$6:$AH$1110,'MA Engine'!$B$6:$B$1110,$A91,'MA Engine'!$H$6:$H$1110,7,'MA Engine'!$I$6:$I$1110,"DO")</f>
        <v>0</v>
      </c>
      <c r="BH91" s="13" t="n">
        <f aca="false">SUMIFS('MA Engine'!$AI$6:$AI$1110,'MA Engine'!$B$6:$B$1110,$A91,'MA Engine'!$H$6:$H$1110,7,'MA Engine'!$I$6:$I$1110,"DO")+SUMIFS('MA Engine'!$AJ$6:$AJ$1110,'MA Engine'!$B$6:$B$1110,$A91,'MA Engine'!$H$6:$H$1110,7,'MA Engine'!$I$6:$I$1110,"DO")</f>
        <v>0</v>
      </c>
      <c r="BI91" s="7" t="n">
        <f aca="false">IF(H91&gt;0,SUMIFS('MA Engine'!$L$6:$L$1110,'MA Engine'!$B$6:$B$1110,$A91,'MA Engine'!$I$6:$I$1110,"Opening")/H91,0)</f>
        <v>25156.0325311943</v>
      </c>
      <c r="BJ91" s="9" t="n">
        <f aca="false">IF(I91&gt;0,AD91/I91,BI91)</f>
        <v>25895.8299719888</v>
      </c>
      <c r="BK91" s="7" t="n">
        <f aca="false">SUMIFS('MA Engine'!$X$6:$X$1110,'MA Engine'!$B$6:$B$1110,$A91,'MA Engine'!$H$6:$H$1110,7,'MA Engine'!$I$6:$I$1110,"DO")</f>
        <v>0</v>
      </c>
      <c r="BL91" s="7" t="n">
        <f aca="false">SUMIFS('MA Engine'!$AK$6:$AK$1110,'MA Engine'!$B$6:$B$1110,$A91,'MA Engine'!$H$6:$H$1110,7,'MA Engine'!$I$6:$I$1110,"DO")</f>
        <v>0</v>
      </c>
      <c r="BM91" s="7" t="n">
        <f aca="false">SUMIFS('MA Engine'!$AL$6:$AL$1110,'MA Engine'!$B$6:$B$1110,$A91,'MA Engine'!$H$6:$H$1110,7,'MA Engine'!$I$6:$I$1110,"DO")+SUMIFS('MA Engine'!$AM$6:$AM$1110,'MA Engine'!$B$6:$B$1110,$A91,'MA Engine'!$H$6:$H$1110,7,'MA Engine'!$I$6:$I$1110,"DO")</f>
        <v>0</v>
      </c>
      <c r="BN91" s="9" t="n">
        <f aca="false">BK91-BL91-BM91</f>
        <v>0</v>
      </c>
      <c r="BO91" s="7" t="n">
        <f aca="false">IF(BC91=0,0,SUMIFS('Data SKU'!$G$5:$G$116,'Data SKU'!$A$5:$A$116,$C91,'Data SKU'!$B$5:$B$116,$D91,'Data SKU'!$C$5:$C$116,$E91,'Data SKU'!$D$5:$D$116,7,'Data SKU'!$N$5:$N$116,"Invoiced")/SUMIFS($BC$36:$BC$127,$C$36:$C$127,$C91,$D$36:$D$127,$D91,$E$36:$E$127,$E91)*BC91)</f>
        <v>0</v>
      </c>
      <c r="BP91" s="9" t="n">
        <f aca="false">IF(BC91=0,0,BO91*BG91/BC91)</f>
        <v>0</v>
      </c>
      <c r="BQ91" s="9" t="n">
        <f aca="false">IF(BC91=0,0,BO91*BH91/BC91)</f>
        <v>0</v>
      </c>
    </row>
    <row r="92" customFormat="false" ht="15" hidden="false" customHeight="false" outlineLevel="0" collapsed="false">
      <c r="A92" s="74" t="s">
        <v>1004</v>
      </c>
      <c r="B92" s="53" t="str">
        <f aca="false">INDEX(I_Items!$B$5:$B$133,MATCH($A92,I_Items!$A$5:$A$133,0))&amp;""</f>
        <v>Karkas Uk 1.7 Karkas Uk 1.7 Frozen Premium</v>
      </c>
      <c r="C92" s="53" t="str">
        <f aca="false">INDEX(I_Items!$C$5:$C$133,MATCH($A92,I_Items!$A$5:$A$133,0))&amp;""</f>
        <v>RPA</v>
      </c>
      <c r="D92" s="53" t="str">
        <f aca="false">INDEX(I_Items!$D$5:$D$133,MATCH($A92,I_Items!$A$5:$A$133,0))&amp;""</f>
        <v>Karkas</v>
      </c>
      <c r="E92" s="53" t="str">
        <f aca="false">INDEX(I_Items!$F$5:$F$133,MATCH($A92,I_Items!$A$5:$A$133,0))&amp;""</f>
        <v>Frozen</v>
      </c>
      <c r="F92" s="53" t="str">
        <f aca="false">INDEX(I_Items!$E$5:$E$133,MATCH($A92,I_Items!$A$5:$A$133,0))&amp;""</f>
        <v>Uk 1.7</v>
      </c>
      <c r="G92" s="6" t="str">
        <f aca="false">IF(P92=0,"-",IF(M92=0,"A",IF(K92&lt;=0,"C","B")))</f>
        <v>-</v>
      </c>
      <c r="H92" s="13" t="n">
        <f aca="false">SUMIFS('MA Engine'!$K$6:$K$1110,'MA Engine'!$B$6:$B$1110,$A92,'MA Engine'!$I$6:$I$1110,"Opening")</f>
        <v>258.62</v>
      </c>
      <c r="I92" s="13" t="n">
        <f aca="false">SUMIFS('MA Engine'!$K$6:$K$1110,'MA Engine'!$B$6:$B$1110,$A92,'MA Engine'!$H$6:$H$1110,7,'MA Engine'!$I$6:$I$1110,"&lt;&gt;Opening")</f>
        <v>0</v>
      </c>
      <c r="J92" s="13" t="n">
        <f aca="false">SUMIFS('MA Engine'!$W$6:$W$1110,'MA Engine'!$B$6:$B$1110,$A92,'MA Engine'!$H$6:$H$1110,7)</f>
        <v>0</v>
      </c>
      <c r="K92" s="14" t="n">
        <f aca="false">H92+I92-J92</f>
        <v>258.62</v>
      </c>
      <c r="L92" s="7" t="n">
        <f aca="false">SUMIFS('MA Engine'!$L$6:$L$1110,'MA Engine'!$B$6:$B$1110,$A92,'MA Engine'!$I$6:$I$1110,"Opening")+SUMIFS('MA Engine'!$L$6:$L$1110,'MA Engine'!$B$6:$B$1110,$A92,'MA Engine'!$H$6:$H$1110,7,'MA Engine'!$I$6:$I$1110,"&lt;&gt;Opening")-SUMIFS('MA Engine'!$X$6:$X$1110,'MA Engine'!$B$6:$B$1110,$A92,'MA Engine'!$H$6:$H$1110,7)</f>
        <v>6970269.11</v>
      </c>
      <c r="M92" s="13" t="n">
        <f aca="false">SUMIFS('MA Engine'!$K$6:$K$1110,'MA Engine'!$B$6:$B$1110,$A92,'MA Engine'!$H$6:$H$1110,8)</f>
        <v>1781.9</v>
      </c>
      <c r="N92" s="7" t="n">
        <f aca="false">SUMIFS('MA Engine'!$L$6:$L$1110,'MA Engine'!$B$6:$B$1110,$A92,'MA Engine'!$H$6:$H$1110,8)</f>
        <v>66821604.49</v>
      </c>
      <c r="O92" s="13" t="n">
        <f aca="false">SUMIFS('MA Engine'!$W$6:$W$1110,'MA Engine'!$B$6:$B$1110,$A92,'MA Engine'!$H$6:$H$1110,8)</f>
        <v>0</v>
      </c>
      <c r="P92" s="14" t="n">
        <f aca="false">Q92+R92</f>
        <v>0</v>
      </c>
      <c r="Q92" s="13" t="n">
        <f aca="false">SUMIFS('MA Engine'!$W$6:$W$1110,'MA Engine'!$B$6:$B$1110,$A92,'MA Engine'!$H$6:$H$1110,8,'MA Engine'!$I$6:$I$1110,"DO",'MA Engine'!$P$6:$P$1110,"&lt;&gt;Y")</f>
        <v>0</v>
      </c>
      <c r="R92" s="13" t="n">
        <f aca="false">SUMIFS('MA Engine'!$W$6:$W$1110,'MA Engine'!$B$6:$B$1110,$A92,'MA Engine'!$H$6:$H$1110,8,'MA Engine'!$I$6:$I$1110,"Unbilled")</f>
        <v>0</v>
      </c>
      <c r="S92" s="13" t="n">
        <f aca="false">SUMIFS('MA Engine'!$W$6:$W$1110,'MA Engine'!$B$6:$B$1110,$A92,'MA Engine'!$H$6:$H$1110,8,'MA Engine'!$P$6:$P$1110,"Y")</f>
        <v>0</v>
      </c>
      <c r="T92" s="14" t="n">
        <f aca="false">O92-P92-S92</f>
        <v>0</v>
      </c>
      <c r="U92" s="14" t="n">
        <f aca="false">MAX(0,H92-J92)</f>
        <v>258.62</v>
      </c>
      <c r="V92" s="14" t="n">
        <f aca="false">MAX(0,K92-U92)</f>
        <v>0</v>
      </c>
      <c r="W92" s="14" t="n">
        <f aca="false">MIN(U92,O92)</f>
        <v>0</v>
      </c>
      <c r="X92" s="14" t="n">
        <f aca="false">MIN(V92,O92-W92)</f>
        <v>0</v>
      </c>
      <c r="Y92" s="14" t="n">
        <f aca="false">O92-W92-X92</f>
        <v>0</v>
      </c>
      <c r="Z92" s="21" t="n">
        <f aca="false">IF(O92=0,0,P92/O92)</f>
        <v>0</v>
      </c>
      <c r="AA92" s="13" t="n">
        <f aca="false">SUMIFS('MA Engine'!$AH$6:$AH$1110,'MA Engine'!$B$6:$B$1110,$A92,'MA Engine'!$H$6:$H$1110,8,'MA Engine'!$I$6:$I$1110,"DO",'MA Engine'!$P$6:$P$1110,"&lt;&gt;Y")+SUMIFS('MA Engine'!$AH$6:$AH$1110,'MA Engine'!$B$6:$B$1110,$A92,'MA Engine'!$H$6:$H$1110,8,'MA Engine'!$I$6:$I$1110,"Unbilled")</f>
        <v>0</v>
      </c>
      <c r="AB92" s="13" t="n">
        <f aca="false">SUMIFS('MA Engine'!$AI$6:$AI$1110,'MA Engine'!$B$6:$B$1110,$A92,'MA Engine'!$H$6:$H$1110,8,'MA Engine'!$I$6:$I$1110,"DO",'MA Engine'!$P$6:$P$1110,"&lt;&gt;Y")+SUMIFS('MA Engine'!$AI$6:$AI$1110,'MA Engine'!$B$6:$B$1110,$A92,'MA Engine'!$H$6:$H$1110,8,'MA Engine'!$I$6:$I$1110,"Unbilled")</f>
        <v>0</v>
      </c>
      <c r="AC92" s="13" t="n">
        <f aca="false">SUMIFS('MA Engine'!$AJ$6:$AJ$1110,'MA Engine'!$B$6:$B$1110,$A92,'MA Engine'!$H$6:$H$1110,8,'MA Engine'!$I$6:$I$1110,"DO",'MA Engine'!$P$6:$P$1110,"&lt;&gt;Y")+SUMIFS('MA Engine'!$AJ$6:$AJ$1110,'MA Engine'!$B$6:$B$1110,$A92,'MA Engine'!$H$6:$H$1110,8,'MA Engine'!$I$6:$I$1110,"Unbilled")</f>
        <v>0</v>
      </c>
      <c r="AD92" s="7" t="n">
        <f aca="false">SUMIFS('MA Engine'!$L$6:$L$1110,'MA Engine'!$B$6:$B$1110,$A92,'MA Engine'!$H$6:$H$1110,7,'MA Engine'!$I$6:$I$1110,"&lt;&gt;Opening")</f>
        <v>0</v>
      </c>
      <c r="AE92" s="9" t="n">
        <f aca="false">IF(AND(U92&gt;0.0001,(L92-V92*IF(I92&gt;0,AD92/I92,IF(K92&gt;0,L92/K92,0)))&lt;0),IF(K92&gt;0,L92/K92,0),IF(I92&gt;0,AD92/I92,IF(K92&gt;0,L92/K92,0)))</f>
        <v>26951.7790967443</v>
      </c>
      <c r="AF92" s="9" t="n">
        <f aca="false">IF(U92&lt;=0.0001,IF(K92&gt;0,L92/K92,0),IF((L92-V92*IF(I92&gt;0,AD92/I92,IF(K92&gt;0,L92/K92,0)))&lt;0,IF(K92&gt;0,L92/K92,0),(L92-V92*IF(I92&gt;0,AD92/I92,IF(K92&gt;0,L92/K92,0)))/U92))</f>
        <v>26951.7790967443</v>
      </c>
      <c r="AG92" s="9" t="n">
        <f aca="false">IF(M92&gt;0,N92/M92,IF(K92&gt;0,L92/K92,0))</f>
        <v>37500.1989393344</v>
      </c>
      <c r="AH92" s="7" t="n">
        <f aca="false">SUMIFS('MA Engine'!$X$6:$X$1110,'MA Engine'!$B$6:$B$1110,$A92,'MA Engine'!$H$6:$H$1110,8,'MA Engine'!$I$6:$I$1110,"DO",'MA Engine'!$P$6:$P$1110,"&lt;&gt;Y")+SUMIFS('MA Engine'!$X$6:$X$1110,'MA Engine'!$B$6:$B$1110,$A92,'MA Engine'!$H$6:$H$1110,8,'MA Engine'!$I$6:$I$1110,"Unbilled")</f>
        <v>0</v>
      </c>
      <c r="AI92" s="7" t="n">
        <f aca="false">SUMIFS('MA Engine'!$AK$6:$AK$1110,'MA Engine'!$B$6:$B$1110,$A92,'MA Engine'!$H$6:$H$1110,8,'MA Engine'!$I$6:$I$1110,"DO",'MA Engine'!$P$6:$P$1110,"&lt;&gt;Y")+SUMIFS('MA Engine'!$AK$6:$AK$1110,'MA Engine'!$B$6:$B$1110,$A92,'MA Engine'!$H$6:$H$1110,8,'MA Engine'!$I$6:$I$1110,"Unbilled")</f>
        <v>0</v>
      </c>
      <c r="AJ92" s="7" t="n">
        <f aca="false">SUMIFS('MA Engine'!$AL$6:$AL$1110,'MA Engine'!$B$6:$B$1110,$A92,'MA Engine'!$H$6:$H$1110,8,'MA Engine'!$I$6:$I$1110,"DO",'MA Engine'!$P$6:$P$1110,"&lt;&gt;Y")+SUMIFS('MA Engine'!$AL$6:$AL$1110,'MA Engine'!$B$6:$B$1110,$A92,'MA Engine'!$H$6:$H$1110,8,'MA Engine'!$I$6:$I$1110,"Unbilled")</f>
        <v>0</v>
      </c>
      <c r="AK92" s="7" t="n">
        <f aca="false">SUMIFS('MA Engine'!$AM$6:$AM$1110,'MA Engine'!$B$6:$B$1110,$A92,'MA Engine'!$H$6:$H$1110,8,'MA Engine'!$I$6:$I$1110,"DO",'MA Engine'!$P$6:$P$1110,"&lt;&gt;Y")+SUMIFS('MA Engine'!$AM$6:$AM$1110,'MA Engine'!$B$6:$B$1110,$A92,'MA Engine'!$H$6:$H$1110,8,'MA Engine'!$I$6:$I$1110,"Unbilled")</f>
        <v>0</v>
      </c>
      <c r="AL92" s="9" t="n">
        <f aca="false">AH92-AI92-AJ92-AK92</f>
        <v>0</v>
      </c>
      <c r="AM92" s="7" t="n">
        <f aca="false">IF(Q92=0,0,IF($D92="Karkas",SUMIFS('Karkas Detail'!$E$6:$E$42,'Karkas Detail'!$A$6:$A$42,$C92,'Karkas Detail'!$B$6:$B$42,$F92,'Karkas Detail'!$C$6:$C$42,$E92)/SUMIFS($Q$36:$Q$127,$C$36:$C$127,$C92,$D$36:$D$127,"Karkas",$F$36:$F$127,$F92,$E$36:$E$127,$E92),SUMIFS('Data SKU'!$G$5:$G$116,'Data SKU'!$A$5:$A$116,$C92,'Data SKU'!$B$5:$B$116,$D92,'Data SKU'!$C$5:$C$116,$E92,'Data SKU'!$D$5:$D$116,8,'Data SKU'!$N$5:$N$116,"Invoiced")/SUMIFS($Q$36:$Q$127,$C$36:$C$127,$C92,$D$36:$D$127,$D92,$E$36:$E$127,$E92))*Q92)+SUMIFS(Unbilled!$U$22:$U$38,Unbilled!$E$22:$E$38,$A92)</f>
        <v>0</v>
      </c>
      <c r="AN92" s="9" t="n">
        <f aca="false">IF(P92=0,0,AM92*AA92/P92)</f>
        <v>0</v>
      </c>
      <c r="AO92" s="9" t="n">
        <f aca="false">IF(P92=0,0,AM92*AB92/P92)</f>
        <v>0</v>
      </c>
      <c r="AP92" s="9" t="n">
        <f aca="false">IF(P92=0,0,AM92*AC92/P92)</f>
        <v>0</v>
      </c>
      <c r="AQ92" s="14" t="n">
        <f aca="false">MIN(U92+V92,MAX(0,O92-M92))</f>
        <v>0</v>
      </c>
      <c r="AR92" s="14" t="n">
        <f aca="false">MAX(0,AQ92-V92)*Z92</f>
        <v>0</v>
      </c>
      <c r="AS92" s="14" t="n">
        <f aca="false">MIN(V92,AQ92)*Z92</f>
        <v>0</v>
      </c>
      <c r="AT92" s="14" t="n">
        <f aca="false">(O92-AQ92)*Z92</f>
        <v>0</v>
      </c>
      <c r="AU92" s="9" t="n">
        <f aca="false">(AR92+AS92+AT92)*BA92</f>
        <v>0</v>
      </c>
      <c r="AV92" s="9" t="n">
        <f aca="false">IF(P92=0,0,AM92*AR92/P92)</f>
        <v>0</v>
      </c>
      <c r="AW92" s="9" t="n">
        <f aca="false">IF(P92=0,0,AM92*AS92/P92)</f>
        <v>0</v>
      </c>
      <c r="AX92" s="9" t="n">
        <f aca="false">IF(P92=0,0,AM92*AT92/P92)</f>
        <v>0</v>
      </c>
      <c r="AY92" s="9" t="n">
        <f aca="false">AH92-AU92</f>
        <v>0</v>
      </c>
      <c r="AZ92" s="9" t="n">
        <f aca="false">IF(M92&gt;0,P92*AG92,0)</f>
        <v>0</v>
      </c>
      <c r="BA92" s="9" t="n">
        <f aca="false">IF(P92=0,0,AH92/P92)</f>
        <v>0</v>
      </c>
      <c r="BB92" s="74" t="s">
        <v>838</v>
      </c>
      <c r="BC92" s="13" t="n">
        <f aca="false">SUMIFS('MA Engine'!$W$6:$W$1110,'MA Engine'!$B$6:$B$1110,$A92,'MA Engine'!$H$6:$H$1110,7,'MA Engine'!$I$6:$I$1110,"DO")</f>
        <v>0</v>
      </c>
      <c r="BD92" s="14" t="n">
        <f aca="false">MIN(MAX(0,H92),J92)</f>
        <v>0</v>
      </c>
      <c r="BE92" s="14" t="n">
        <f aca="false">J92-BD92</f>
        <v>0</v>
      </c>
      <c r="BF92" s="21" t="n">
        <f aca="false">IF(J92=0,0,BC92/J92)</f>
        <v>0</v>
      </c>
      <c r="BG92" s="13" t="n">
        <f aca="false">SUMIFS('MA Engine'!$AH$6:$AH$1110,'MA Engine'!$B$6:$B$1110,$A92,'MA Engine'!$H$6:$H$1110,7,'MA Engine'!$I$6:$I$1110,"DO")</f>
        <v>0</v>
      </c>
      <c r="BH92" s="13" t="n">
        <f aca="false">SUMIFS('MA Engine'!$AI$6:$AI$1110,'MA Engine'!$B$6:$B$1110,$A92,'MA Engine'!$H$6:$H$1110,7,'MA Engine'!$I$6:$I$1110,"DO")+SUMIFS('MA Engine'!$AJ$6:$AJ$1110,'MA Engine'!$B$6:$B$1110,$A92,'MA Engine'!$H$6:$H$1110,7,'MA Engine'!$I$6:$I$1110,"DO")</f>
        <v>0</v>
      </c>
      <c r="BI92" s="7" t="n">
        <f aca="false">IF(H92&gt;0,SUMIFS('MA Engine'!$L$6:$L$1110,'MA Engine'!$B$6:$B$1110,$A92,'MA Engine'!$I$6:$I$1110,"Opening")/H92,0)</f>
        <v>26951.7790967443</v>
      </c>
      <c r="BJ92" s="9" t="n">
        <f aca="false">IF(I92&gt;0,AD92/I92,BI92)</f>
        <v>26951.7790967443</v>
      </c>
      <c r="BK92" s="7" t="n">
        <f aca="false">SUMIFS('MA Engine'!$X$6:$X$1110,'MA Engine'!$B$6:$B$1110,$A92,'MA Engine'!$H$6:$H$1110,7,'MA Engine'!$I$6:$I$1110,"DO")</f>
        <v>0</v>
      </c>
      <c r="BL92" s="7" t="n">
        <f aca="false">SUMIFS('MA Engine'!$AK$6:$AK$1110,'MA Engine'!$B$6:$B$1110,$A92,'MA Engine'!$H$6:$H$1110,7,'MA Engine'!$I$6:$I$1110,"DO")</f>
        <v>0</v>
      </c>
      <c r="BM92" s="7" t="n">
        <f aca="false">SUMIFS('MA Engine'!$AL$6:$AL$1110,'MA Engine'!$B$6:$B$1110,$A92,'MA Engine'!$H$6:$H$1110,7,'MA Engine'!$I$6:$I$1110,"DO")+SUMIFS('MA Engine'!$AM$6:$AM$1110,'MA Engine'!$B$6:$B$1110,$A92,'MA Engine'!$H$6:$H$1110,7,'MA Engine'!$I$6:$I$1110,"DO")</f>
        <v>0</v>
      </c>
      <c r="BN92" s="9" t="n">
        <f aca="false">BK92-BL92-BM92</f>
        <v>0</v>
      </c>
      <c r="BO92" s="7" t="n">
        <f aca="false">IF(BC92=0,0,SUMIFS('Data SKU'!$G$5:$G$116,'Data SKU'!$A$5:$A$116,$C92,'Data SKU'!$B$5:$B$116,$D92,'Data SKU'!$C$5:$C$116,$E92,'Data SKU'!$D$5:$D$116,7,'Data SKU'!$N$5:$N$116,"Invoiced")/SUMIFS($BC$36:$BC$127,$C$36:$C$127,$C92,$D$36:$D$127,$D92,$E$36:$E$127,$E92)*BC92)</f>
        <v>0</v>
      </c>
      <c r="BP92" s="9" t="n">
        <f aca="false">IF(BC92=0,0,BO92*BG92/BC92)</f>
        <v>0</v>
      </c>
      <c r="BQ92" s="9" t="n">
        <f aca="false">IF(BC92=0,0,BO92*BH92/BC92)</f>
        <v>0</v>
      </c>
    </row>
    <row r="93" customFormat="false" ht="15" hidden="false" customHeight="false" outlineLevel="0" collapsed="false">
      <c r="A93" s="74" t="s">
        <v>1005</v>
      </c>
      <c r="B93" s="53" t="str">
        <f aca="false">INDEX(I_Items!$B$5:$B$133,MATCH($A93,I_Items!$A$5:$A$133,0))&amp;""</f>
        <v>Karkas Uk 1.8 Karkas Uk 1.8 Frozen Grade A</v>
      </c>
      <c r="C93" s="53" t="str">
        <f aca="false">INDEX(I_Items!$C$5:$C$133,MATCH($A93,I_Items!$A$5:$A$133,0))&amp;""</f>
        <v>RPA</v>
      </c>
      <c r="D93" s="53" t="str">
        <f aca="false">INDEX(I_Items!$D$5:$D$133,MATCH($A93,I_Items!$A$5:$A$133,0))&amp;""</f>
        <v>Karkas</v>
      </c>
      <c r="E93" s="53" t="str">
        <f aca="false">INDEX(I_Items!$F$5:$F$133,MATCH($A93,I_Items!$A$5:$A$133,0))&amp;""</f>
        <v>Frozen</v>
      </c>
      <c r="F93" s="53" t="str">
        <f aca="false">INDEX(I_Items!$E$5:$E$133,MATCH($A93,I_Items!$A$5:$A$133,0))&amp;""</f>
        <v>Uk 1.8</v>
      </c>
      <c r="G93" s="6" t="str">
        <f aca="false">IF(P93=0,"-",IF(M93=0,"A",IF(K93&lt;=0,"C","B")))</f>
        <v>-</v>
      </c>
      <c r="H93" s="13" t="n">
        <f aca="false">SUMIFS('MA Engine'!$K$6:$K$1110,'MA Engine'!$B$6:$B$1110,$A93,'MA Engine'!$I$6:$I$1110,"Opening")</f>
        <v>46.9</v>
      </c>
      <c r="I93" s="13" t="n">
        <f aca="false">SUMIFS('MA Engine'!$K$6:$K$1110,'MA Engine'!$B$6:$B$1110,$A93,'MA Engine'!$H$6:$H$1110,7,'MA Engine'!$I$6:$I$1110,"&lt;&gt;Opening")</f>
        <v>0</v>
      </c>
      <c r="J93" s="13" t="n">
        <f aca="false">SUMIFS('MA Engine'!$W$6:$W$1110,'MA Engine'!$B$6:$B$1110,$A93,'MA Engine'!$H$6:$H$1110,7)</f>
        <v>35.7</v>
      </c>
      <c r="K93" s="14" t="n">
        <f aca="false">H93+I93-J93</f>
        <v>11.2</v>
      </c>
      <c r="L93" s="7" t="n">
        <f aca="false">SUMIFS('MA Engine'!$L$6:$L$1110,'MA Engine'!$B$6:$B$1110,$A93,'MA Engine'!$I$6:$I$1110,"Opening")+SUMIFS('MA Engine'!$L$6:$L$1110,'MA Engine'!$B$6:$B$1110,$A93,'MA Engine'!$H$6:$H$1110,7,'MA Engine'!$I$6:$I$1110,"&lt;&gt;Opening")-SUMIFS('MA Engine'!$X$6:$X$1110,'MA Engine'!$B$6:$B$1110,$A93,'MA Engine'!$H$6:$H$1110,7)</f>
        <v>244260.91</v>
      </c>
      <c r="M93" s="13" t="n">
        <f aca="false">SUMIFS('MA Engine'!$K$6:$K$1110,'MA Engine'!$B$6:$B$1110,$A93,'MA Engine'!$H$6:$H$1110,8)</f>
        <v>60</v>
      </c>
      <c r="N93" s="7" t="n">
        <f aca="false">SUMIFS('MA Engine'!$L$6:$L$1110,'MA Engine'!$B$6:$B$1110,$A93,'MA Engine'!$H$6:$H$1110,8)</f>
        <v>2047515.92</v>
      </c>
      <c r="O93" s="13" t="n">
        <f aca="false">SUMIFS('MA Engine'!$W$6:$W$1110,'MA Engine'!$B$6:$B$1110,$A93,'MA Engine'!$H$6:$H$1110,8)</f>
        <v>0</v>
      </c>
      <c r="P93" s="14" t="n">
        <f aca="false">Q93+R93</f>
        <v>0</v>
      </c>
      <c r="Q93" s="13" t="n">
        <f aca="false">SUMIFS('MA Engine'!$W$6:$W$1110,'MA Engine'!$B$6:$B$1110,$A93,'MA Engine'!$H$6:$H$1110,8,'MA Engine'!$I$6:$I$1110,"DO",'MA Engine'!$P$6:$P$1110,"&lt;&gt;Y")</f>
        <v>0</v>
      </c>
      <c r="R93" s="13" t="n">
        <f aca="false">SUMIFS('MA Engine'!$W$6:$W$1110,'MA Engine'!$B$6:$B$1110,$A93,'MA Engine'!$H$6:$H$1110,8,'MA Engine'!$I$6:$I$1110,"Unbilled")</f>
        <v>0</v>
      </c>
      <c r="S93" s="13" t="n">
        <f aca="false">SUMIFS('MA Engine'!$W$6:$W$1110,'MA Engine'!$B$6:$B$1110,$A93,'MA Engine'!$H$6:$H$1110,8,'MA Engine'!$P$6:$P$1110,"Y")</f>
        <v>0</v>
      </c>
      <c r="T93" s="14" t="n">
        <f aca="false">O93-P93-S93</f>
        <v>0</v>
      </c>
      <c r="U93" s="14" t="n">
        <f aca="false">MAX(0,H93-J93)</f>
        <v>11.2</v>
      </c>
      <c r="V93" s="14" t="n">
        <f aca="false">MAX(0,K93-U93)</f>
        <v>0</v>
      </c>
      <c r="W93" s="14" t="n">
        <f aca="false">MIN(U93,O93)</f>
        <v>0</v>
      </c>
      <c r="X93" s="14" t="n">
        <f aca="false">MIN(V93,O93-W93)</f>
        <v>0</v>
      </c>
      <c r="Y93" s="14" t="n">
        <f aca="false">O93-W93-X93</f>
        <v>0</v>
      </c>
      <c r="Z93" s="21" t="n">
        <f aca="false">IF(O93=0,0,P93/O93)</f>
        <v>0</v>
      </c>
      <c r="AA93" s="13" t="n">
        <f aca="false">SUMIFS('MA Engine'!$AH$6:$AH$1110,'MA Engine'!$B$6:$B$1110,$A93,'MA Engine'!$H$6:$H$1110,8,'MA Engine'!$I$6:$I$1110,"DO",'MA Engine'!$P$6:$P$1110,"&lt;&gt;Y")+SUMIFS('MA Engine'!$AH$6:$AH$1110,'MA Engine'!$B$6:$B$1110,$A93,'MA Engine'!$H$6:$H$1110,8,'MA Engine'!$I$6:$I$1110,"Unbilled")</f>
        <v>0</v>
      </c>
      <c r="AB93" s="13" t="n">
        <f aca="false">SUMIFS('MA Engine'!$AI$6:$AI$1110,'MA Engine'!$B$6:$B$1110,$A93,'MA Engine'!$H$6:$H$1110,8,'MA Engine'!$I$6:$I$1110,"DO",'MA Engine'!$P$6:$P$1110,"&lt;&gt;Y")+SUMIFS('MA Engine'!$AI$6:$AI$1110,'MA Engine'!$B$6:$B$1110,$A93,'MA Engine'!$H$6:$H$1110,8,'MA Engine'!$I$6:$I$1110,"Unbilled")</f>
        <v>0</v>
      </c>
      <c r="AC93" s="13" t="n">
        <f aca="false">SUMIFS('MA Engine'!$AJ$6:$AJ$1110,'MA Engine'!$B$6:$B$1110,$A93,'MA Engine'!$H$6:$H$1110,8,'MA Engine'!$I$6:$I$1110,"DO",'MA Engine'!$P$6:$P$1110,"&lt;&gt;Y")+SUMIFS('MA Engine'!$AJ$6:$AJ$1110,'MA Engine'!$B$6:$B$1110,$A93,'MA Engine'!$H$6:$H$1110,8,'MA Engine'!$I$6:$I$1110,"Unbilled")</f>
        <v>0</v>
      </c>
      <c r="AD93" s="7" t="n">
        <f aca="false">SUMIFS('MA Engine'!$L$6:$L$1110,'MA Engine'!$B$6:$B$1110,$A93,'MA Engine'!$H$6:$H$1110,7,'MA Engine'!$I$6:$I$1110,"&lt;&gt;Opening")</f>
        <v>0</v>
      </c>
      <c r="AE93" s="9" t="n">
        <f aca="false">IF(AND(U93&gt;0.0001,(L93-V93*IF(I93&gt;0,AD93/I93,IF(K93&gt;0,L93/K93,0)))&lt;0),IF(K93&gt;0,L93/K93,0),IF(I93&gt;0,AD93/I93,IF(K93&gt;0,L93/K93,0)))</f>
        <v>21809.0098214286</v>
      </c>
      <c r="AF93" s="9" t="n">
        <f aca="false">IF(U93&lt;=0.0001,IF(K93&gt;0,L93/K93,0),IF((L93-V93*IF(I93&gt;0,AD93/I93,IF(K93&gt;0,L93/K93,0)))&lt;0,IF(K93&gt;0,L93/K93,0),(L93-V93*IF(I93&gt;0,AD93/I93,IF(K93&gt;0,L93/K93,0)))/U93))</f>
        <v>21809.0098214286</v>
      </c>
      <c r="AG93" s="9" t="n">
        <f aca="false">IF(M93&gt;0,N93/M93,IF(K93&gt;0,L93/K93,0))</f>
        <v>34125.2653333333</v>
      </c>
      <c r="AH93" s="7" t="n">
        <f aca="false">SUMIFS('MA Engine'!$X$6:$X$1110,'MA Engine'!$B$6:$B$1110,$A93,'MA Engine'!$H$6:$H$1110,8,'MA Engine'!$I$6:$I$1110,"DO",'MA Engine'!$P$6:$P$1110,"&lt;&gt;Y")+SUMIFS('MA Engine'!$X$6:$X$1110,'MA Engine'!$B$6:$B$1110,$A93,'MA Engine'!$H$6:$H$1110,8,'MA Engine'!$I$6:$I$1110,"Unbilled")</f>
        <v>0</v>
      </c>
      <c r="AI93" s="7" t="n">
        <f aca="false">SUMIFS('MA Engine'!$AK$6:$AK$1110,'MA Engine'!$B$6:$B$1110,$A93,'MA Engine'!$H$6:$H$1110,8,'MA Engine'!$I$6:$I$1110,"DO",'MA Engine'!$P$6:$P$1110,"&lt;&gt;Y")+SUMIFS('MA Engine'!$AK$6:$AK$1110,'MA Engine'!$B$6:$B$1110,$A93,'MA Engine'!$H$6:$H$1110,8,'MA Engine'!$I$6:$I$1110,"Unbilled")</f>
        <v>0</v>
      </c>
      <c r="AJ93" s="7" t="n">
        <f aca="false">SUMIFS('MA Engine'!$AL$6:$AL$1110,'MA Engine'!$B$6:$B$1110,$A93,'MA Engine'!$H$6:$H$1110,8,'MA Engine'!$I$6:$I$1110,"DO",'MA Engine'!$P$6:$P$1110,"&lt;&gt;Y")+SUMIFS('MA Engine'!$AL$6:$AL$1110,'MA Engine'!$B$6:$B$1110,$A93,'MA Engine'!$H$6:$H$1110,8,'MA Engine'!$I$6:$I$1110,"Unbilled")</f>
        <v>0</v>
      </c>
      <c r="AK93" s="7" t="n">
        <f aca="false">SUMIFS('MA Engine'!$AM$6:$AM$1110,'MA Engine'!$B$6:$B$1110,$A93,'MA Engine'!$H$6:$H$1110,8,'MA Engine'!$I$6:$I$1110,"DO",'MA Engine'!$P$6:$P$1110,"&lt;&gt;Y")+SUMIFS('MA Engine'!$AM$6:$AM$1110,'MA Engine'!$B$6:$B$1110,$A93,'MA Engine'!$H$6:$H$1110,8,'MA Engine'!$I$6:$I$1110,"Unbilled")</f>
        <v>0</v>
      </c>
      <c r="AL93" s="9" t="n">
        <f aca="false">AH93-AI93-AJ93-AK93</f>
        <v>0</v>
      </c>
      <c r="AM93" s="7" t="n">
        <f aca="false">IF(Q93=0,0,IF($D93="Karkas",SUMIFS('Karkas Detail'!$E$6:$E$42,'Karkas Detail'!$A$6:$A$42,$C93,'Karkas Detail'!$B$6:$B$42,$F93,'Karkas Detail'!$C$6:$C$42,$E93)/SUMIFS($Q$36:$Q$127,$C$36:$C$127,$C93,$D$36:$D$127,"Karkas",$F$36:$F$127,$F93,$E$36:$E$127,$E93),SUMIFS('Data SKU'!$G$5:$G$116,'Data SKU'!$A$5:$A$116,$C93,'Data SKU'!$B$5:$B$116,$D93,'Data SKU'!$C$5:$C$116,$E93,'Data SKU'!$D$5:$D$116,8,'Data SKU'!$N$5:$N$116,"Invoiced")/SUMIFS($Q$36:$Q$127,$C$36:$C$127,$C93,$D$36:$D$127,$D93,$E$36:$E$127,$E93))*Q93)+SUMIFS(Unbilled!$U$22:$U$38,Unbilled!$E$22:$E$38,$A93)</f>
        <v>0</v>
      </c>
      <c r="AN93" s="9" t="n">
        <f aca="false">IF(P93=0,0,AM93*AA93/P93)</f>
        <v>0</v>
      </c>
      <c r="AO93" s="9" t="n">
        <f aca="false">IF(P93=0,0,AM93*AB93/P93)</f>
        <v>0</v>
      </c>
      <c r="AP93" s="9" t="n">
        <f aca="false">IF(P93=0,0,AM93*AC93/P93)</f>
        <v>0</v>
      </c>
      <c r="AQ93" s="14" t="n">
        <f aca="false">MIN(U93+V93,MAX(0,O93-M93))</f>
        <v>0</v>
      </c>
      <c r="AR93" s="14" t="n">
        <f aca="false">MAX(0,AQ93-V93)*Z93</f>
        <v>0</v>
      </c>
      <c r="AS93" s="14" t="n">
        <f aca="false">MIN(V93,AQ93)*Z93</f>
        <v>0</v>
      </c>
      <c r="AT93" s="14" t="n">
        <f aca="false">(O93-AQ93)*Z93</f>
        <v>0</v>
      </c>
      <c r="AU93" s="9" t="n">
        <f aca="false">(AR93+AS93+AT93)*BA93</f>
        <v>0</v>
      </c>
      <c r="AV93" s="9" t="n">
        <f aca="false">IF(P93=0,0,AM93*AR93/P93)</f>
        <v>0</v>
      </c>
      <c r="AW93" s="9" t="n">
        <f aca="false">IF(P93=0,0,AM93*AS93/P93)</f>
        <v>0</v>
      </c>
      <c r="AX93" s="9" t="n">
        <f aca="false">IF(P93=0,0,AM93*AT93/P93)</f>
        <v>0</v>
      </c>
      <c r="AY93" s="9" t="n">
        <f aca="false">AH93-AU93</f>
        <v>0</v>
      </c>
      <c r="AZ93" s="9" t="n">
        <f aca="false">IF(M93&gt;0,P93*AG93,0)</f>
        <v>0</v>
      </c>
      <c r="BA93" s="9" t="n">
        <f aca="false">IF(P93=0,0,AH93/P93)</f>
        <v>0</v>
      </c>
      <c r="BB93" s="74" t="s">
        <v>838</v>
      </c>
      <c r="BC93" s="13" t="n">
        <f aca="false">SUMIFS('MA Engine'!$W$6:$W$1110,'MA Engine'!$B$6:$B$1110,$A93,'MA Engine'!$H$6:$H$1110,7,'MA Engine'!$I$6:$I$1110,"DO")</f>
        <v>0</v>
      </c>
      <c r="BD93" s="14" t="n">
        <f aca="false">MIN(MAX(0,H93),J93)</f>
        <v>35.7</v>
      </c>
      <c r="BE93" s="14" t="n">
        <f aca="false">J93-BD93</f>
        <v>0</v>
      </c>
      <c r="BF93" s="21" t="n">
        <f aca="false">IF(J93=0,0,BC93/J93)</f>
        <v>0</v>
      </c>
      <c r="BG93" s="13" t="n">
        <f aca="false">SUMIFS('MA Engine'!$AH$6:$AH$1110,'MA Engine'!$B$6:$B$1110,$A93,'MA Engine'!$H$6:$H$1110,7,'MA Engine'!$I$6:$I$1110,"DO")</f>
        <v>0</v>
      </c>
      <c r="BH93" s="13" t="n">
        <f aca="false">SUMIFS('MA Engine'!$AI$6:$AI$1110,'MA Engine'!$B$6:$B$1110,$A93,'MA Engine'!$H$6:$H$1110,7,'MA Engine'!$I$6:$I$1110,"DO")+SUMIFS('MA Engine'!$AJ$6:$AJ$1110,'MA Engine'!$B$6:$B$1110,$A93,'MA Engine'!$H$6:$H$1110,7,'MA Engine'!$I$6:$I$1110,"DO")</f>
        <v>0</v>
      </c>
      <c r="BI93" s="7" t="n">
        <f aca="false">IF(H93&gt;0,SUMIFS('MA Engine'!$L$6:$L$1110,'MA Engine'!$B$6:$B$1110,$A93,'MA Engine'!$I$6:$I$1110,"Opening")/H93,0)</f>
        <v>24919.8729211087</v>
      </c>
      <c r="BJ93" s="9" t="n">
        <f aca="false">IF(I93&gt;0,AD93/I93,BI93)</f>
        <v>24919.8729211087</v>
      </c>
      <c r="BK93" s="7" t="n">
        <f aca="false">SUMIFS('MA Engine'!$X$6:$X$1110,'MA Engine'!$B$6:$B$1110,$A93,'MA Engine'!$H$6:$H$1110,7,'MA Engine'!$I$6:$I$1110,"DO")</f>
        <v>0</v>
      </c>
      <c r="BL93" s="7" t="n">
        <f aca="false">SUMIFS('MA Engine'!$AK$6:$AK$1110,'MA Engine'!$B$6:$B$1110,$A93,'MA Engine'!$H$6:$H$1110,7,'MA Engine'!$I$6:$I$1110,"DO")</f>
        <v>0</v>
      </c>
      <c r="BM93" s="7" t="n">
        <f aca="false">SUMIFS('MA Engine'!$AL$6:$AL$1110,'MA Engine'!$B$6:$B$1110,$A93,'MA Engine'!$H$6:$H$1110,7,'MA Engine'!$I$6:$I$1110,"DO")+SUMIFS('MA Engine'!$AM$6:$AM$1110,'MA Engine'!$B$6:$B$1110,$A93,'MA Engine'!$H$6:$H$1110,7,'MA Engine'!$I$6:$I$1110,"DO")</f>
        <v>0</v>
      </c>
      <c r="BN93" s="9" t="n">
        <f aca="false">BK93-BL93-BM93</f>
        <v>0</v>
      </c>
      <c r="BO93" s="7" t="n">
        <f aca="false">IF(BC93=0,0,SUMIFS('Data SKU'!$G$5:$G$116,'Data SKU'!$A$5:$A$116,$C93,'Data SKU'!$B$5:$B$116,$D93,'Data SKU'!$C$5:$C$116,$E93,'Data SKU'!$D$5:$D$116,7,'Data SKU'!$N$5:$N$116,"Invoiced")/SUMIFS($BC$36:$BC$127,$C$36:$C$127,$C93,$D$36:$D$127,$D93,$E$36:$E$127,$E93)*BC93)</f>
        <v>0</v>
      </c>
      <c r="BP93" s="9" t="n">
        <f aca="false">IF(BC93=0,0,BO93*BG93/BC93)</f>
        <v>0</v>
      </c>
      <c r="BQ93" s="9" t="n">
        <f aca="false">IF(BC93=0,0,BO93*BH93/BC93)</f>
        <v>0</v>
      </c>
    </row>
    <row r="94" customFormat="false" ht="15" hidden="false" customHeight="false" outlineLevel="0" collapsed="false">
      <c r="A94" s="74" t="s">
        <v>1006</v>
      </c>
      <c r="B94" s="53" t="str">
        <f aca="false">INDEX(I_Items!$B$5:$B$133,MATCH($A94,I_Items!$A$5:$A$133,0))&amp;""</f>
        <v>Karkas Uk 1.8 Karkas Uk 1.8 Frozen Premium</v>
      </c>
      <c r="C94" s="53" t="str">
        <f aca="false">INDEX(I_Items!$C$5:$C$133,MATCH($A94,I_Items!$A$5:$A$133,0))&amp;""</f>
        <v>RPA</v>
      </c>
      <c r="D94" s="53" t="str">
        <f aca="false">INDEX(I_Items!$D$5:$D$133,MATCH($A94,I_Items!$A$5:$A$133,0))&amp;""</f>
        <v>Karkas</v>
      </c>
      <c r="E94" s="53" t="str">
        <f aca="false">INDEX(I_Items!$F$5:$F$133,MATCH($A94,I_Items!$A$5:$A$133,0))&amp;""</f>
        <v>Frozen</v>
      </c>
      <c r="F94" s="53" t="str">
        <f aca="false">INDEX(I_Items!$E$5:$E$133,MATCH($A94,I_Items!$A$5:$A$133,0))&amp;""</f>
        <v>Uk 1.8</v>
      </c>
      <c r="G94" s="6" t="str">
        <f aca="false">IF(P94=0,"-",IF(M94=0,"A",IF(K94&lt;=0,"C","B")))</f>
        <v>-</v>
      </c>
      <c r="H94" s="13" t="n">
        <f aca="false">SUMIFS('MA Engine'!$K$6:$K$1110,'MA Engine'!$B$6:$B$1110,$A94,'MA Engine'!$I$6:$I$1110,"Opening")</f>
        <v>121.61</v>
      </c>
      <c r="I94" s="13" t="n">
        <f aca="false">SUMIFS('MA Engine'!$K$6:$K$1110,'MA Engine'!$B$6:$B$1110,$A94,'MA Engine'!$H$6:$H$1110,7,'MA Engine'!$I$6:$I$1110,"&lt;&gt;Opening")</f>
        <v>0</v>
      </c>
      <c r="J94" s="13" t="n">
        <f aca="false">SUMIFS('MA Engine'!$W$6:$W$1110,'MA Engine'!$B$6:$B$1110,$A94,'MA Engine'!$H$6:$H$1110,7)</f>
        <v>0</v>
      </c>
      <c r="K94" s="14" t="n">
        <f aca="false">H94+I94-J94</f>
        <v>121.61</v>
      </c>
      <c r="L94" s="7" t="n">
        <f aca="false">SUMIFS('MA Engine'!$L$6:$L$1110,'MA Engine'!$B$6:$B$1110,$A94,'MA Engine'!$I$6:$I$1110,"Opening")+SUMIFS('MA Engine'!$L$6:$L$1110,'MA Engine'!$B$6:$B$1110,$A94,'MA Engine'!$H$6:$H$1110,7,'MA Engine'!$I$6:$I$1110,"&lt;&gt;Opening")-SUMIFS('MA Engine'!$X$6:$X$1110,'MA Engine'!$B$6:$B$1110,$A94,'MA Engine'!$H$6:$H$1110,7)</f>
        <v>3231798.72</v>
      </c>
      <c r="M94" s="13" t="n">
        <f aca="false">SUMIFS('MA Engine'!$K$6:$K$1110,'MA Engine'!$B$6:$B$1110,$A94,'MA Engine'!$H$6:$H$1110,8)</f>
        <v>947.8</v>
      </c>
      <c r="N94" s="7" t="n">
        <f aca="false">SUMIFS('MA Engine'!$L$6:$L$1110,'MA Engine'!$B$6:$B$1110,$A94,'MA Engine'!$H$6:$H$1110,8)</f>
        <v>35718619.23</v>
      </c>
      <c r="O94" s="13" t="n">
        <f aca="false">SUMIFS('MA Engine'!$W$6:$W$1110,'MA Engine'!$B$6:$B$1110,$A94,'MA Engine'!$H$6:$H$1110,8)</f>
        <v>0</v>
      </c>
      <c r="P94" s="14" t="n">
        <f aca="false">Q94+R94</f>
        <v>0</v>
      </c>
      <c r="Q94" s="13" t="n">
        <f aca="false">SUMIFS('MA Engine'!$W$6:$W$1110,'MA Engine'!$B$6:$B$1110,$A94,'MA Engine'!$H$6:$H$1110,8,'MA Engine'!$I$6:$I$1110,"DO",'MA Engine'!$P$6:$P$1110,"&lt;&gt;Y")</f>
        <v>0</v>
      </c>
      <c r="R94" s="13" t="n">
        <f aca="false">SUMIFS('MA Engine'!$W$6:$W$1110,'MA Engine'!$B$6:$B$1110,$A94,'MA Engine'!$H$6:$H$1110,8,'MA Engine'!$I$6:$I$1110,"Unbilled")</f>
        <v>0</v>
      </c>
      <c r="S94" s="13" t="n">
        <f aca="false">SUMIFS('MA Engine'!$W$6:$W$1110,'MA Engine'!$B$6:$B$1110,$A94,'MA Engine'!$H$6:$H$1110,8,'MA Engine'!$P$6:$P$1110,"Y")</f>
        <v>0</v>
      </c>
      <c r="T94" s="14" t="n">
        <f aca="false">O94-P94-S94</f>
        <v>0</v>
      </c>
      <c r="U94" s="14" t="n">
        <f aca="false">MAX(0,H94-J94)</f>
        <v>121.61</v>
      </c>
      <c r="V94" s="14" t="n">
        <f aca="false">MAX(0,K94-U94)</f>
        <v>0</v>
      </c>
      <c r="W94" s="14" t="n">
        <f aca="false">MIN(U94,O94)</f>
        <v>0</v>
      </c>
      <c r="X94" s="14" t="n">
        <f aca="false">MIN(V94,O94-W94)</f>
        <v>0</v>
      </c>
      <c r="Y94" s="14" t="n">
        <f aca="false">O94-W94-X94</f>
        <v>0</v>
      </c>
      <c r="Z94" s="21" t="n">
        <f aca="false">IF(O94=0,0,P94/O94)</f>
        <v>0</v>
      </c>
      <c r="AA94" s="13" t="n">
        <f aca="false">SUMIFS('MA Engine'!$AH$6:$AH$1110,'MA Engine'!$B$6:$B$1110,$A94,'MA Engine'!$H$6:$H$1110,8,'MA Engine'!$I$6:$I$1110,"DO",'MA Engine'!$P$6:$P$1110,"&lt;&gt;Y")+SUMIFS('MA Engine'!$AH$6:$AH$1110,'MA Engine'!$B$6:$B$1110,$A94,'MA Engine'!$H$6:$H$1110,8,'MA Engine'!$I$6:$I$1110,"Unbilled")</f>
        <v>0</v>
      </c>
      <c r="AB94" s="13" t="n">
        <f aca="false">SUMIFS('MA Engine'!$AI$6:$AI$1110,'MA Engine'!$B$6:$B$1110,$A94,'MA Engine'!$H$6:$H$1110,8,'MA Engine'!$I$6:$I$1110,"DO",'MA Engine'!$P$6:$P$1110,"&lt;&gt;Y")+SUMIFS('MA Engine'!$AI$6:$AI$1110,'MA Engine'!$B$6:$B$1110,$A94,'MA Engine'!$H$6:$H$1110,8,'MA Engine'!$I$6:$I$1110,"Unbilled")</f>
        <v>0</v>
      </c>
      <c r="AC94" s="13" t="n">
        <f aca="false">SUMIFS('MA Engine'!$AJ$6:$AJ$1110,'MA Engine'!$B$6:$B$1110,$A94,'MA Engine'!$H$6:$H$1110,8,'MA Engine'!$I$6:$I$1110,"DO",'MA Engine'!$P$6:$P$1110,"&lt;&gt;Y")+SUMIFS('MA Engine'!$AJ$6:$AJ$1110,'MA Engine'!$B$6:$B$1110,$A94,'MA Engine'!$H$6:$H$1110,8,'MA Engine'!$I$6:$I$1110,"Unbilled")</f>
        <v>0</v>
      </c>
      <c r="AD94" s="7" t="n">
        <f aca="false">SUMIFS('MA Engine'!$L$6:$L$1110,'MA Engine'!$B$6:$B$1110,$A94,'MA Engine'!$H$6:$H$1110,7,'MA Engine'!$I$6:$I$1110,"&lt;&gt;Opening")</f>
        <v>0</v>
      </c>
      <c r="AE94" s="9" t="n">
        <f aca="false">IF(AND(U94&gt;0.0001,(L94-V94*IF(I94&gt;0,AD94/I94,IF(K94&gt;0,L94/K94,0)))&lt;0),IF(K94&gt;0,L94/K94,0),IF(I94&gt;0,AD94/I94,IF(K94&gt;0,L94/K94,0)))</f>
        <v>26575.1066524135</v>
      </c>
      <c r="AF94" s="9" t="n">
        <f aca="false">IF(U94&lt;=0.0001,IF(K94&gt;0,L94/K94,0),IF((L94-V94*IF(I94&gt;0,AD94/I94,IF(K94&gt;0,L94/K94,0)))&lt;0,IF(K94&gt;0,L94/K94,0),(L94-V94*IF(I94&gt;0,AD94/I94,IF(K94&gt;0,L94/K94,0)))/U94))</f>
        <v>26575.1066524135</v>
      </c>
      <c r="AG94" s="9" t="n">
        <f aca="false">IF(M94&gt;0,N94/M94,IF(K94&gt;0,L94/K94,0))</f>
        <v>37685.8189807976</v>
      </c>
      <c r="AH94" s="7" t="n">
        <f aca="false">SUMIFS('MA Engine'!$X$6:$X$1110,'MA Engine'!$B$6:$B$1110,$A94,'MA Engine'!$H$6:$H$1110,8,'MA Engine'!$I$6:$I$1110,"DO",'MA Engine'!$P$6:$P$1110,"&lt;&gt;Y")+SUMIFS('MA Engine'!$X$6:$X$1110,'MA Engine'!$B$6:$B$1110,$A94,'MA Engine'!$H$6:$H$1110,8,'MA Engine'!$I$6:$I$1110,"Unbilled")</f>
        <v>0</v>
      </c>
      <c r="AI94" s="7" t="n">
        <f aca="false">SUMIFS('MA Engine'!$AK$6:$AK$1110,'MA Engine'!$B$6:$B$1110,$A94,'MA Engine'!$H$6:$H$1110,8,'MA Engine'!$I$6:$I$1110,"DO",'MA Engine'!$P$6:$P$1110,"&lt;&gt;Y")+SUMIFS('MA Engine'!$AK$6:$AK$1110,'MA Engine'!$B$6:$B$1110,$A94,'MA Engine'!$H$6:$H$1110,8,'MA Engine'!$I$6:$I$1110,"Unbilled")</f>
        <v>0</v>
      </c>
      <c r="AJ94" s="7" t="n">
        <f aca="false">SUMIFS('MA Engine'!$AL$6:$AL$1110,'MA Engine'!$B$6:$B$1110,$A94,'MA Engine'!$H$6:$H$1110,8,'MA Engine'!$I$6:$I$1110,"DO",'MA Engine'!$P$6:$P$1110,"&lt;&gt;Y")+SUMIFS('MA Engine'!$AL$6:$AL$1110,'MA Engine'!$B$6:$B$1110,$A94,'MA Engine'!$H$6:$H$1110,8,'MA Engine'!$I$6:$I$1110,"Unbilled")</f>
        <v>0</v>
      </c>
      <c r="AK94" s="7" t="n">
        <f aca="false">SUMIFS('MA Engine'!$AM$6:$AM$1110,'MA Engine'!$B$6:$B$1110,$A94,'MA Engine'!$H$6:$H$1110,8,'MA Engine'!$I$6:$I$1110,"DO",'MA Engine'!$P$6:$P$1110,"&lt;&gt;Y")+SUMIFS('MA Engine'!$AM$6:$AM$1110,'MA Engine'!$B$6:$B$1110,$A94,'MA Engine'!$H$6:$H$1110,8,'MA Engine'!$I$6:$I$1110,"Unbilled")</f>
        <v>0</v>
      </c>
      <c r="AL94" s="9" t="n">
        <f aca="false">AH94-AI94-AJ94-AK94</f>
        <v>0</v>
      </c>
      <c r="AM94" s="7" t="n">
        <f aca="false">IF(Q94=0,0,IF($D94="Karkas",SUMIFS('Karkas Detail'!$E$6:$E$42,'Karkas Detail'!$A$6:$A$42,$C94,'Karkas Detail'!$B$6:$B$42,$F94,'Karkas Detail'!$C$6:$C$42,$E94)/SUMIFS($Q$36:$Q$127,$C$36:$C$127,$C94,$D$36:$D$127,"Karkas",$F$36:$F$127,$F94,$E$36:$E$127,$E94),SUMIFS('Data SKU'!$G$5:$G$116,'Data SKU'!$A$5:$A$116,$C94,'Data SKU'!$B$5:$B$116,$D94,'Data SKU'!$C$5:$C$116,$E94,'Data SKU'!$D$5:$D$116,8,'Data SKU'!$N$5:$N$116,"Invoiced")/SUMIFS($Q$36:$Q$127,$C$36:$C$127,$C94,$D$36:$D$127,$D94,$E$36:$E$127,$E94))*Q94)+SUMIFS(Unbilled!$U$22:$U$38,Unbilled!$E$22:$E$38,$A94)</f>
        <v>0</v>
      </c>
      <c r="AN94" s="9" t="n">
        <f aca="false">IF(P94=0,0,AM94*AA94/P94)</f>
        <v>0</v>
      </c>
      <c r="AO94" s="9" t="n">
        <f aca="false">IF(P94=0,0,AM94*AB94/P94)</f>
        <v>0</v>
      </c>
      <c r="AP94" s="9" t="n">
        <f aca="false">IF(P94=0,0,AM94*AC94/P94)</f>
        <v>0</v>
      </c>
      <c r="AQ94" s="14" t="n">
        <f aca="false">MIN(U94+V94,MAX(0,O94-M94))</f>
        <v>0</v>
      </c>
      <c r="AR94" s="14" t="n">
        <f aca="false">MAX(0,AQ94-V94)*Z94</f>
        <v>0</v>
      </c>
      <c r="AS94" s="14" t="n">
        <f aca="false">MIN(V94,AQ94)*Z94</f>
        <v>0</v>
      </c>
      <c r="AT94" s="14" t="n">
        <f aca="false">(O94-AQ94)*Z94</f>
        <v>0</v>
      </c>
      <c r="AU94" s="9" t="n">
        <f aca="false">(AR94+AS94+AT94)*BA94</f>
        <v>0</v>
      </c>
      <c r="AV94" s="9" t="n">
        <f aca="false">IF(P94=0,0,AM94*AR94/P94)</f>
        <v>0</v>
      </c>
      <c r="AW94" s="9" t="n">
        <f aca="false">IF(P94=0,0,AM94*AS94/P94)</f>
        <v>0</v>
      </c>
      <c r="AX94" s="9" t="n">
        <f aca="false">IF(P94=0,0,AM94*AT94/P94)</f>
        <v>0</v>
      </c>
      <c r="AY94" s="9" t="n">
        <f aca="false">AH94-AU94</f>
        <v>0</v>
      </c>
      <c r="AZ94" s="9" t="n">
        <f aca="false">IF(M94&gt;0,P94*AG94,0)</f>
        <v>0</v>
      </c>
      <c r="BA94" s="9" t="n">
        <f aca="false">IF(P94=0,0,AH94/P94)</f>
        <v>0</v>
      </c>
      <c r="BB94" s="74" t="s">
        <v>838</v>
      </c>
      <c r="BC94" s="13" t="n">
        <f aca="false">SUMIFS('MA Engine'!$W$6:$W$1110,'MA Engine'!$B$6:$B$1110,$A94,'MA Engine'!$H$6:$H$1110,7,'MA Engine'!$I$6:$I$1110,"DO")</f>
        <v>0</v>
      </c>
      <c r="BD94" s="14" t="n">
        <f aca="false">MIN(MAX(0,H94),J94)</f>
        <v>0</v>
      </c>
      <c r="BE94" s="14" t="n">
        <f aca="false">J94-BD94</f>
        <v>0</v>
      </c>
      <c r="BF94" s="21" t="n">
        <f aca="false">IF(J94=0,0,BC94/J94)</f>
        <v>0</v>
      </c>
      <c r="BG94" s="13" t="n">
        <f aca="false">SUMIFS('MA Engine'!$AH$6:$AH$1110,'MA Engine'!$B$6:$B$1110,$A94,'MA Engine'!$H$6:$H$1110,7,'MA Engine'!$I$6:$I$1110,"DO")</f>
        <v>0</v>
      </c>
      <c r="BH94" s="13" t="n">
        <f aca="false">SUMIFS('MA Engine'!$AI$6:$AI$1110,'MA Engine'!$B$6:$B$1110,$A94,'MA Engine'!$H$6:$H$1110,7,'MA Engine'!$I$6:$I$1110,"DO")+SUMIFS('MA Engine'!$AJ$6:$AJ$1110,'MA Engine'!$B$6:$B$1110,$A94,'MA Engine'!$H$6:$H$1110,7,'MA Engine'!$I$6:$I$1110,"DO")</f>
        <v>0</v>
      </c>
      <c r="BI94" s="7" t="n">
        <f aca="false">IF(H94&gt;0,SUMIFS('MA Engine'!$L$6:$L$1110,'MA Engine'!$B$6:$B$1110,$A94,'MA Engine'!$I$6:$I$1110,"Opening")/H94,0)</f>
        <v>26575.1066524135</v>
      </c>
      <c r="BJ94" s="9" t="n">
        <f aca="false">IF(I94&gt;0,AD94/I94,BI94)</f>
        <v>26575.1066524135</v>
      </c>
      <c r="BK94" s="7" t="n">
        <f aca="false">SUMIFS('MA Engine'!$X$6:$X$1110,'MA Engine'!$B$6:$B$1110,$A94,'MA Engine'!$H$6:$H$1110,7,'MA Engine'!$I$6:$I$1110,"DO")</f>
        <v>0</v>
      </c>
      <c r="BL94" s="7" t="n">
        <f aca="false">SUMIFS('MA Engine'!$AK$6:$AK$1110,'MA Engine'!$B$6:$B$1110,$A94,'MA Engine'!$H$6:$H$1110,7,'MA Engine'!$I$6:$I$1110,"DO")</f>
        <v>0</v>
      </c>
      <c r="BM94" s="7" t="n">
        <f aca="false">SUMIFS('MA Engine'!$AL$6:$AL$1110,'MA Engine'!$B$6:$B$1110,$A94,'MA Engine'!$H$6:$H$1110,7,'MA Engine'!$I$6:$I$1110,"DO")+SUMIFS('MA Engine'!$AM$6:$AM$1110,'MA Engine'!$B$6:$B$1110,$A94,'MA Engine'!$H$6:$H$1110,7,'MA Engine'!$I$6:$I$1110,"DO")</f>
        <v>0</v>
      </c>
      <c r="BN94" s="9" t="n">
        <f aca="false">BK94-BL94-BM94</f>
        <v>0</v>
      </c>
      <c r="BO94" s="7" t="n">
        <f aca="false">IF(BC94=0,0,SUMIFS('Data SKU'!$G$5:$G$116,'Data SKU'!$A$5:$A$116,$C94,'Data SKU'!$B$5:$B$116,$D94,'Data SKU'!$C$5:$C$116,$E94,'Data SKU'!$D$5:$D$116,7,'Data SKU'!$N$5:$N$116,"Invoiced")/SUMIFS($BC$36:$BC$127,$C$36:$C$127,$C94,$D$36:$D$127,$D94,$E$36:$E$127,$E94)*BC94)</f>
        <v>0</v>
      </c>
      <c r="BP94" s="9" t="n">
        <f aca="false">IF(BC94=0,0,BO94*BG94/BC94)</f>
        <v>0</v>
      </c>
      <c r="BQ94" s="9" t="n">
        <f aca="false">IF(BC94=0,0,BO94*BH94/BC94)</f>
        <v>0</v>
      </c>
    </row>
    <row r="95" customFormat="false" ht="15" hidden="false" customHeight="false" outlineLevel="0" collapsed="false">
      <c r="A95" s="74" t="s">
        <v>1007</v>
      </c>
      <c r="B95" s="53" t="str">
        <f aca="false">INDEX(I_Items!$B$5:$B$133,MATCH($A95,I_Items!$A$5:$A$133,0))&amp;""</f>
        <v>Karkas Uk 1.9 Karkas Uk 1.9 Frozen Grade A</v>
      </c>
      <c r="C95" s="53" t="str">
        <f aca="false">INDEX(I_Items!$C$5:$C$133,MATCH($A95,I_Items!$A$5:$A$133,0))&amp;""</f>
        <v>RPA</v>
      </c>
      <c r="D95" s="53" t="str">
        <f aca="false">INDEX(I_Items!$D$5:$D$133,MATCH($A95,I_Items!$A$5:$A$133,0))&amp;""</f>
        <v>Karkas</v>
      </c>
      <c r="E95" s="53" t="str">
        <f aca="false">INDEX(I_Items!$F$5:$F$133,MATCH($A95,I_Items!$A$5:$A$133,0))&amp;""</f>
        <v>Frozen</v>
      </c>
      <c r="F95" s="53" t="str">
        <f aca="false">INDEX(I_Items!$E$5:$E$133,MATCH($A95,I_Items!$A$5:$A$133,0))&amp;""</f>
        <v>Uk 1.9</v>
      </c>
      <c r="G95" s="6" t="str">
        <f aca="false">IF(P95=0,"-",IF(M95=0,"A",IF(K95&lt;=0,"C","B")))</f>
        <v>-</v>
      </c>
      <c r="H95" s="13" t="n">
        <f aca="false">SUMIFS('MA Engine'!$K$6:$K$1110,'MA Engine'!$B$6:$B$1110,$A95,'MA Engine'!$I$6:$I$1110,"Opening")</f>
        <v>0</v>
      </c>
      <c r="I95" s="13" t="n">
        <f aca="false">SUMIFS('MA Engine'!$K$6:$K$1110,'MA Engine'!$B$6:$B$1110,$A95,'MA Engine'!$H$6:$H$1110,7,'MA Engine'!$I$6:$I$1110,"&lt;&gt;Opening")</f>
        <v>0</v>
      </c>
      <c r="J95" s="13" t="n">
        <f aca="false">SUMIFS('MA Engine'!$W$6:$W$1110,'MA Engine'!$B$6:$B$1110,$A95,'MA Engine'!$H$6:$H$1110,7)</f>
        <v>0</v>
      </c>
      <c r="K95" s="14" t="n">
        <f aca="false">H95+I95-J95</f>
        <v>0</v>
      </c>
      <c r="L95" s="7" t="n">
        <f aca="false">SUMIFS('MA Engine'!$L$6:$L$1110,'MA Engine'!$B$6:$B$1110,$A95,'MA Engine'!$I$6:$I$1110,"Opening")+SUMIFS('MA Engine'!$L$6:$L$1110,'MA Engine'!$B$6:$B$1110,$A95,'MA Engine'!$H$6:$H$1110,7,'MA Engine'!$I$6:$I$1110,"&lt;&gt;Opening")-SUMIFS('MA Engine'!$X$6:$X$1110,'MA Engine'!$B$6:$B$1110,$A95,'MA Engine'!$H$6:$H$1110,7)</f>
        <v>-0.01</v>
      </c>
      <c r="M95" s="13" t="n">
        <f aca="false">SUMIFS('MA Engine'!$K$6:$K$1110,'MA Engine'!$B$6:$B$1110,$A95,'MA Engine'!$H$6:$H$1110,8)</f>
        <v>21.7</v>
      </c>
      <c r="N95" s="7" t="n">
        <f aca="false">SUMIFS('MA Engine'!$L$6:$L$1110,'MA Engine'!$B$6:$B$1110,$A95,'MA Engine'!$H$6:$H$1110,8)</f>
        <v>749585.57</v>
      </c>
      <c r="O95" s="13" t="n">
        <f aca="false">SUMIFS('MA Engine'!$W$6:$W$1110,'MA Engine'!$B$6:$B$1110,$A95,'MA Engine'!$H$6:$H$1110,8)</f>
        <v>0</v>
      </c>
      <c r="P95" s="14" t="n">
        <f aca="false">Q95+R95</f>
        <v>0</v>
      </c>
      <c r="Q95" s="13" t="n">
        <f aca="false">SUMIFS('MA Engine'!$W$6:$W$1110,'MA Engine'!$B$6:$B$1110,$A95,'MA Engine'!$H$6:$H$1110,8,'MA Engine'!$I$6:$I$1110,"DO",'MA Engine'!$P$6:$P$1110,"&lt;&gt;Y")</f>
        <v>0</v>
      </c>
      <c r="R95" s="13" t="n">
        <f aca="false">SUMIFS('MA Engine'!$W$6:$W$1110,'MA Engine'!$B$6:$B$1110,$A95,'MA Engine'!$H$6:$H$1110,8,'MA Engine'!$I$6:$I$1110,"Unbilled")</f>
        <v>0</v>
      </c>
      <c r="S95" s="13" t="n">
        <f aca="false">SUMIFS('MA Engine'!$W$6:$W$1110,'MA Engine'!$B$6:$B$1110,$A95,'MA Engine'!$H$6:$H$1110,8,'MA Engine'!$P$6:$P$1110,"Y")</f>
        <v>0</v>
      </c>
      <c r="T95" s="14" t="n">
        <f aca="false">O95-P95-S95</f>
        <v>0</v>
      </c>
      <c r="U95" s="14" t="n">
        <f aca="false">MAX(0,H95-J95)</f>
        <v>0</v>
      </c>
      <c r="V95" s="14" t="n">
        <f aca="false">MAX(0,K95-U95)</f>
        <v>0</v>
      </c>
      <c r="W95" s="14" t="n">
        <f aca="false">MIN(U95,O95)</f>
        <v>0</v>
      </c>
      <c r="X95" s="14" t="n">
        <f aca="false">MIN(V95,O95-W95)</f>
        <v>0</v>
      </c>
      <c r="Y95" s="14" t="n">
        <f aca="false">O95-W95-X95</f>
        <v>0</v>
      </c>
      <c r="Z95" s="21" t="n">
        <f aca="false">IF(O95=0,0,P95/O95)</f>
        <v>0</v>
      </c>
      <c r="AA95" s="13" t="n">
        <f aca="false">SUMIFS('MA Engine'!$AH$6:$AH$1110,'MA Engine'!$B$6:$B$1110,$A95,'MA Engine'!$H$6:$H$1110,8,'MA Engine'!$I$6:$I$1110,"DO",'MA Engine'!$P$6:$P$1110,"&lt;&gt;Y")+SUMIFS('MA Engine'!$AH$6:$AH$1110,'MA Engine'!$B$6:$B$1110,$A95,'MA Engine'!$H$6:$H$1110,8,'MA Engine'!$I$6:$I$1110,"Unbilled")</f>
        <v>0</v>
      </c>
      <c r="AB95" s="13" t="n">
        <f aca="false">SUMIFS('MA Engine'!$AI$6:$AI$1110,'MA Engine'!$B$6:$B$1110,$A95,'MA Engine'!$H$6:$H$1110,8,'MA Engine'!$I$6:$I$1110,"DO",'MA Engine'!$P$6:$P$1110,"&lt;&gt;Y")+SUMIFS('MA Engine'!$AI$6:$AI$1110,'MA Engine'!$B$6:$B$1110,$A95,'MA Engine'!$H$6:$H$1110,8,'MA Engine'!$I$6:$I$1110,"Unbilled")</f>
        <v>0</v>
      </c>
      <c r="AC95" s="13" t="n">
        <f aca="false">SUMIFS('MA Engine'!$AJ$6:$AJ$1110,'MA Engine'!$B$6:$B$1110,$A95,'MA Engine'!$H$6:$H$1110,8,'MA Engine'!$I$6:$I$1110,"DO",'MA Engine'!$P$6:$P$1110,"&lt;&gt;Y")+SUMIFS('MA Engine'!$AJ$6:$AJ$1110,'MA Engine'!$B$6:$B$1110,$A95,'MA Engine'!$H$6:$H$1110,8,'MA Engine'!$I$6:$I$1110,"Unbilled")</f>
        <v>0</v>
      </c>
      <c r="AD95" s="7" t="n">
        <f aca="false">SUMIFS('MA Engine'!$L$6:$L$1110,'MA Engine'!$B$6:$B$1110,$A95,'MA Engine'!$H$6:$H$1110,7,'MA Engine'!$I$6:$I$1110,"&lt;&gt;Opening")</f>
        <v>0</v>
      </c>
      <c r="AE95" s="9" t="n">
        <f aca="false">IF(AND(U95&gt;0.0001,(L95-V95*IF(I95&gt;0,AD95/I95,IF(K95&gt;0,L95/K95,0)))&lt;0),IF(K95&gt;0,L95/K95,0),IF(I95&gt;0,AD95/I95,IF(K95&gt;0,L95/K95,0)))</f>
        <v>0</v>
      </c>
      <c r="AF95" s="9" t="n">
        <f aca="false">IF(U95&lt;=0.0001,IF(K95&gt;0,L95/K95,0),IF((L95-V95*IF(I95&gt;0,AD95/I95,IF(K95&gt;0,L95/K95,0)))&lt;0,IF(K95&gt;0,L95/K95,0),(L95-V95*IF(I95&gt;0,AD95/I95,IF(K95&gt;0,L95/K95,0)))/U95))</f>
        <v>0</v>
      </c>
      <c r="AG95" s="9" t="n">
        <f aca="false">IF(M95&gt;0,N95/M95,IF(K95&gt;0,L95/K95,0))</f>
        <v>34543.1138248848</v>
      </c>
      <c r="AH95" s="7" t="n">
        <f aca="false">SUMIFS('MA Engine'!$X$6:$X$1110,'MA Engine'!$B$6:$B$1110,$A95,'MA Engine'!$H$6:$H$1110,8,'MA Engine'!$I$6:$I$1110,"DO",'MA Engine'!$P$6:$P$1110,"&lt;&gt;Y")+SUMIFS('MA Engine'!$X$6:$X$1110,'MA Engine'!$B$6:$B$1110,$A95,'MA Engine'!$H$6:$H$1110,8,'MA Engine'!$I$6:$I$1110,"Unbilled")</f>
        <v>0</v>
      </c>
      <c r="AI95" s="7" t="n">
        <f aca="false">SUMIFS('MA Engine'!$AK$6:$AK$1110,'MA Engine'!$B$6:$B$1110,$A95,'MA Engine'!$H$6:$H$1110,8,'MA Engine'!$I$6:$I$1110,"DO",'MA Engine'!$P$6:$P$1110,"&lt;&gt;Y")+SUMIFS('MA Engine'!$AK$6:$AK$1110,'MA Engine'!$B$6:$B$1110,$A95,'MA Engine'!$H$6:$H$1110,8,'MA Engine'!$I$6:$I$1110,"Unbilled")</f>
        <v>0</v>
      </c>
      <c r="AJ95" s="7" t="n">
        <f aca="false">SUMIFS('MA Engine'!$AL$6:$AL$1110,'MA Engine'!$B$6:$B$1110,$A95,'MA Engine'!$H$6:$H$1110,8,'MA Engine'!$I$6:$I$1110,"DO",'MA Engine'!$P$6:$P$1110,"&lt;&gt;Y")+SUMIFS('MA Engine'!$AL$6:$AL$1110,'MA Engine'!$B$6:$B$1110,$A95,'MA Engine'!$H$6:$H$1110,8,'MA Engine'!$I$6:$I$1110,"Unbilled")</f>
        <v>0</v>
      </c>
      <c r="AK95" s="7" t="n">
        <f aca="false">SUMIFS('MA Engine'!$AM$6:$AM$1110,'MA Engine'!$B$6:$B$1110,$A95,'MA Engine'!$H$6:$H$1110,8,'MA Engine'!$I$6:$I$1110,"DO",'MA Engine'!$P$6:$P$1110,"&lt;&gt;Y")+SUMIFS('MA Engine'!$AM$6:$AM$1110,'MA Engine'!$B$6:$B$1110,$A95,'MA Engine'!$H$6:$H$1110,8,'MA Engine'!$I$6:$I$1110,"Unbilled")</f>
        <v>0</v>
      </c>
      <c r="AL95" s="9" t="n">
        <f aca="false">AH95-AI95-AJ95-AK95</f>
        <v>0</v>
      </c>
      <c r="AM95" s="7" t="n">
        <f aca="false">IF(Q95=0,0,IF($D95="Karkas",SUMIFS('Karkas Detail'!$E$6:$E$42,'Karkas Detail'!$A$6:$A$42,$C95,'Karkas Detail'!$B$6:$B$42,$F95,'Karkas Detail'!$C$6:$C$42,$E95)/SUMIFS($Q$36:$Q$127,$C$36:$C$127,$C95,$D$36:$D$127,"Karkas",$F$36:$F$127,$F95,$E$36:$E$127,$E95),SUMIFS('Data SKU'!$G$5:$G$116,'Data SKU'!$A$5:$A$116,$C95,'Data SKU'!$B$5:$B$116,$D95,'Data SKU'!$C$5:$C$116,$E95,'Data SKU'!$D$5:$D$116,8,'Data SKU'!$N$5:$N$116,"Invoiced")/SUMIFS($Q$36:$Q$127,$C$36:$C$127,$C95,$D$36:$D$127,$D95,$E$36:$E$127,$E95))*Q95)+SUMIFS(Unbilled!$U$22:$U$38,Unbilled!$E$22:$E$38,$A95)</f>
        <v>0</v>
      </c>
      <c r="AN95" s="9" t="n">
        <f aca="false">IF(P95=0,0,AM95*AA95/P95)</f>
        <v>0</v>
      </c>
      <c r="AO95" s="9" t="n">
        <f aca="false">IF(P95=0,0,AM95*AB95/P95)</f>
        <v>0</v>
      </c>
      <c r="AP95" s="9" t="n">
        <f aca="false">IF(P95=0,0,AM95*AC95/P95)</f>
        <v>0</v>
      </c>
      <c r="AQ95" s="14" t="n">
        <f aca="false">MIN(U95+V95,MAX(0,O95-M95))</f>
        <v>0</v>
      </c>
      <c r="AR95" s="14" t="n">
        <f aca="false">MAX(0,AQ95-V95)*Z95</f>
        <v>0</v>
      </c>
      <c r="AS95" s="14" t="n">
        <f aca="false">MIN(V95,AQ95)*Z95</f>
        <v>0</v>
      </c>
      <c r="AT95" s="14" t="n">
        <f aca="false">(O95-AQ95)*Z95</f>
        <v>0</v>
      </c>
      <c r="AU95" s="9" t="n">
        <f aca="false">(AR95+AS95+AT95)*BA95</f>
        <v>0</v>
      </c>
      <c r="AV95" s="9" t="n">
        <f aca="false">IF(P95=0,0,AM95*AR95/P95)</f>
        <v>0</v>
      </c>
      <c r="AW95" s="9" t="n">
        <f aca="false">IF(P95=0,0,AM95*AS95/P95)</f>
        <v>0</v>
      </c>
      <c r="AX95" s="9" t="n">
        <f aca="false">IF(P95=0,0,AM95*AT95/P95)</f>
        <v>0</v>
      </c>
      <c r="AY95" s="9" t="n">
        <f aca="false">AH95-AU95</f>
        <v>0</v>
      </c>
      <c r="AZ95" s="9" t="n">
        <f aca="false">IF(M95&gt;0,P95*AG95,0)</f>
        <v>0</v>
      </c>
      <c r="BA95" s="9" t="n">
        <f aca="false">IF(P95=0,0,AH95/P95)</f>
        <v>0</v>
      </c>
      <c r="BB95" s="74" t="s">
        <v>838</v>
      </c>
      <c r="BC95" s="13" t="n">
        <f aca="false">SUMIFS('MA Engine'!$W$6:$W$1110,'MA Engine'!$B$6:$B$1110,$A95,'MA Engine'!$H$6:$H$1110,7,'MA Engine'!$I$6:$I$1110,"DO")</f>
        <v>0</v>
      </c>
      <c r="BD95" s="14" t="n">
        <f aca="false">MIN(MAX(0,H95),J95)</f>
        <v>0</v>
      </c>
      <c r="BE95" s="14" t="n">
        <f aca="false">J95-BD95</f>
        <v>0</v>
      </c>
      <c r="BF95" s="21" t="n">
        <f aca="false">IF(J95=0,0,BC95/J95)</f>
        <v>0</v>
      </c>
      <c r="BG95" s="13" t="n">
        <f aca="false">SUMIFS('MA Engine'!$AH$6:$AH$1110,'MA Engine'!$B$6:$B$1110,$A95,'MA Engine'!$H$6:$H$1110,7,'MA Engine'!$I$6:$I$1110,"DO")</f>
        <v>0</v>
      </c>
      <c r="BH95" s="13" t="n">
        <f aca="false">SUMIFS('MA Engine'!$AI$6:$AI$1110,'MA Engine'!$B$6:$B$1110,$A95,'MA Engine'!$H$6:$H$1110,7,'MA Engine'!$I$6:$I$1110,"DO")+SUMIFS('MA Engine'!$AJ$6:$AJ$1110,'MA Engine'!$B$6:$B$1110,$A95,'MA Engine'!$H$6:$H$1110,7,'MA Engine'!$I$6:$I$1110,"DO")</f>
        <v>0</v>
      </c>
      <c r="BI95" s="7" t="n">
        <f aca="false">IF(H95&gt;0,SUMIFS('MA Engine'!$L$6:$L$1110,'MA Engine'!$B$6:$B$1110,$A95,'MA Engine'!$I$6:$I$1110,"Opening")/H95,0)</f>
        <v>0</v>
      </c>
      <c r="BJ95" s="9" t="n">
        <f aca="false">IF(I95&gt;0,AD95/I95,BI95)</f>
        <v>0</v>
      </c>
      <c r="BK95" s="7" t="n">
        <f aca="false">SUMIFS('MA Engine'!$X$6:$X$1110,'MA Engine'!$B$6:$B$1110,$A95,'MA Engine'!$H$6:$H$1110,7,'MA Engine'!$I$6:$I$1110,"DO")</f>
        <v>0</v>
      </c>
      <c r="BL95" s="7" t="n">
        <f aca="false">SUMIFS('MA Engine'!$AK$6:$AK$1110,'MA Engine'!$B$6:$B$1110,$A95,'MA Engine'!$H$6:$H$1110,7,'MA Engine'!$I$6:$I$1110,"DO")</f>
        <v>0</v>
      </c>
      <c r="BM95" s="7" t="n">
        <f aca="false">SUMIFS('MA Engine'!$AL$6:$AL$1110,'MA Engine'!$B$6:$B$1110,$A95,'MA Engine'!$H$6:$H$1110,7,'MA Engine'!$I$6:$I$1110,"DO")+SUMIFS('MA Engine'!$AM$6:$AM$1110,'MA Engine'!$B$6:$B$1110,$A95,'MA Engine'!$H$6:$H$1110,7,'MA Engine'!$I$6:$I$1110,"DO")</f>
        <v>0</v>
      </c>
      <c r="BN95" s="9" t="n">
        <f aca="false">BK95-BL95-BM95</f>
        <v>0</v>
      </c>
      <c r="BO95" s="7" t="n">
        <f aca="false">IF(BC95=0,0,SUMIFS('Data SKU'!$G$5:$G$116,'Data SKU'!$A$5:$A$116,$C95,'Data SKU'!$B$5:$B$116,$D95,'Data SKU'!$C$5:$C$116,$E95,'Data SKU'!$D$5:$D$116,7,'Data SKU'!$N$5:$N$116,"Invoiced")/SUMIFS($BC$36:$BC$127,$C$36:$C$127,$C95,$D$36:$D$127,$D95,$E$36:$E$127,$E95)*BC95)</f>
        <v>0</v>
      </c>
      <c r="BP95" s="9" t="n">
        <f aca="false">IF(BC95=0,0,BO95*BG95/BC95)</f>
        <v>0</v>
      </c>
      <c r="BQ95" s="9" t="n">
        <f aca="false">IF(BC95=0,0,BO95*BH95/BC95)</f>
        <v>0</v>
      </c>
    </row>
    <row r="96" customFormat="false" ht="15" hidden="false" customHeight="false" outlineLevel="0" collapsed="false">
      <c r="A96" s="74" t="s">
        <v>1008</v>
      </c>
      <c r="B96" s="53" t="str">
        <f aca="false">INDEX(I_Items!$B$5:$B$133,MATCH($A96,I_Items!$A$5:$A$133,0))&amp;""</f>
        <v>Karkas Uk 1.9 Karkas Uk 1.9 Frozen Premium</v>
      </c>
      <c r="C96" s="53" t="str">
        <f aca="false">INDEX(I_Items!$C$5:$C$133,MATCH($A96,I_Items!$A$5:$A$133,0))&amp;""</f>
        <v>RPA</v>
      </c>
      <c r="D96" s="53" t="str">
        <f aca="false">INDEX(I_Items!$D$5:$D$133,MATCH($A96,I_Items!$A$5:$A$133,0))&amp;""</f>
        <v>Karkas</v>
      </c>
      <c r="E96" s="53" t="str">
        <f aca="false">INDEX(I_Items!$F$5:$F$133,MATCH($A96,I_Items!$A$5:$A$133,0))&amp;""</f>
        <v>Frozen</v>
      </c>
      <c r="F96" s="53" t="str">
        <f aca="false">INDEX(I_Items!$E$5:$E$133,MATCH($A96,I_Items!$A$5:$A$133,0))&amp;""</f>
        <v>Uk 1.9</v>
      </c>
      <c r="G96" s="6" t="str">
        <f aca="false">IF(P96=0,"-",IF(M96=0,"A",IF(K96&lt;=0,"C","B")))</f>
        <v>-</v>
      </c>
      <c r="H96" s="13" t="n">
        <f aca="false">SUMIFS('MA Engine'!$K$6:$K$1110,'MA Engine'!$B$6:$B$1110,$A96,'MA Engine'!$I$6:$I$1110,"Opening")</f>
        <v>44.66</v>
      </c>
      <c r="I96" s="13" t="n">
        <f aca="false">SUMIFS('MA Engine'!$K$6:$K$1110,'MA Engine'!$B$6:$B$1110,$A96,'MA Engine'!$H$6:$H$1110,7,'MA Engine'!$I$6:$I$1110,"&lt;&gt;Opening")</f>
        <v>0</v>
      </c>
      <c r="J96" s="13" t="n">
        <f aca="false">SUMIFS('MA Engine'!$W$6:$W$1110,'MA Engine'!$B$6:$B$1110,$A96,'MA Engine'!$H$6:$H$1110,7)</f>
        <v>0</v>
      </c>
      <c r="K96" s="14" t="n">
        <f aca="false">H96+I96-J96</f>
        <v>44.66</v>
      </c>
      <c r="L96" s="7" t="n">
        <f aca="false">SUMIFS('MA Engine'!$L$6:$L$1110,'MA Engine'!$B$6:$B$1110,$A96,'MA Engine'!$I$6:$I$1110,"Opening")+SUMIFS('MA Engine'!$L$6:$L$1110,'MA Engine'!$B$6:$B$1110,$A96,'MA Engine'!$H$6:$H$1110,7,'MA Engine'!$I$6:$I$1110,"&lt;&gt;Opening")-SUMIFS('MA Engine'!$X$6:$X$1110,'MA Engine'!$B$6:$B$1110,$A96,'MA Engine'!$H$6:$H$1110,7)</f>
        <v>1182112.12</v>
      </c>
      <c r="M96" s="13" t="n">
        <f aca="false">SUMIFS('MA Engine'!$K$6:$K$1110,'MA Engine'!$B$6:$B$1110,$A96,'MA Engine'!$H$6:$H$1110,8)</f>
        <v>77.7</v>
      </c>
      <c r="N96" s="7" t="n">
        <f aca="false">SUMIFS('MA Engine'!$L$6:$L$1110,'MA Engine'!$B$6:$B$1110,$A96,'MA Engine'!$H$6:$H$1110,8)</f>
        <v>2862965.03</v>
      </c>
      <c r="O96" s="13" t="n">
        <f aca="false">SUMIFS('MA Engine'!$W$6:$W$1110,'MA Engine'!$B$6:$B$1110,$A96,'MA Engine'!$H$6:$H$1110,8)</f>
        <v>0</v>
      </c>
      <c r="P96" s="14" t="n">
        <f aca="false">Q96+R96</f>
        <v>0</v>
      </c>
      <c r="Q96" s="13" t="n">
        <f aca="false">SUMIFS('MA Engine'!$W$6:$W$1110,'MA Engine'!$B$6:$B$1110,$A96,'MA Engine'!$H$6:$H$1110,8,'MA Engine'!$I$6:$I$1110,"DO",'MA Engine'!$P$6:$P$1110,"&lt;&gt;Y")</f>
        <v>0</v>
      </c>
      <c r="R96" s="13" t="n">
        <f aca="false">SUMIFS('MA Engine'!$W$6:$W$1110,'MA Engine'!$B$6:$B$1110,$A96,'MA Engine'!$H$6:$H$1110,8,'MA Engine'!$I$6:$I$1110,"Unbilled")</f>
        <v>0</v>
      </c>
      <c r="S96" s="13" t="n">
        <f aca="false">SUMIFS('MA Engine'!$W$6:$W$1110,'MA Engine'!$B$6:$B$1110,$A96,'MA Engine'!$H$6:$H$1110,8,'MA Engine'!$P$6:$P$1110,"Y")</f>
        <v>0</v>
      </c>
      <c r="T96" s="14" t="n">
        <f aca="false">O96-P96-S96</f>
        <v>0</v>
      </c>
      <c r="U96" s="14" t="n">
        <f aca="false">MAX(0,H96-J96)</f>
        <v>44.66</v>
      </c>
      <c r="V96" s="14" t="n">
        <f aca="false">MAX(0,K96-U96)</f>
        <v>0</v>
      </c>
      <c r="W96" s="14" t="n">
        <f aca="false">MIN(U96,O96)</f>
        <v>0</v>
      </c>
      <c r="X96" s="14" t="n">
        <f aca="false">MIN(V96,O96-W96)</f>
        <v>0</v>
      </c>
      <c r="Y96" s="14" t="n">
        <f aca="false">O96-W96-X96</f>
        <v>0</v>
      </c>
      <c r="Z96" s="21" t="n">
        <f aca="false">IF(O96=0,0,P96/O96)</f>
        <v>0</v>
      </c>
      <c r="AA96" s="13" t="n">
        <f aca="false">SUMIFS('MA Engine'!$AH$6:$AH$1110,'MA Engine'!$B$6:$B$1110,$A96,'MA Engine'!$H$6:$H$1110,8,'MA Engine'!$I$6:$I$1110,"DO",'MA Engine'!$P$6:$P$1110,"&lt;&gt;Y")+SUMIFS('MA Engine'!$AH$6:$AH$1110,'MA Engine'!$B$6:$B$1110,$A96,'MA Engine'!$H$6:$H$1110,8,'MA Engine'!$I$6:$I$1110,"Unbilled")</f>
        <v>0</v>
      </c>
      <c r="AB96" s="13" t="n">
        <f aca="false">SUMIFS('MA Engine'!$AI$6:$AI$1110,'MA Engine'!$B$6:$B$1110,$A96,'MA Engine'!$H$6:$H$1110,8,'MA Engine'!$I$6:$I$1110,"DO",'MA Engine'!$P$6:$P$1110,"&lt;&gt;Y")+SUMIFS('MA Engine'!$AI$6:$AI$1110,'MA Engine'!$B$6:$B$1110,$A96,'MA Engine'!$H$6:$H$1110,8,'MA Engine'!$I$6:$I$1110,"Unbilled")</f>
        <v>0</v>
      </c>
      <c r="AC96" s="13" t="n">
        <f aca="false">SUMIFS('MA Engine'!$AJ$6:$AJ$1110,'MA Engine'!$B$6:$B$1110,$A96,'MA Engine'!$H$6:$H$1110,8,'MA Engine'!$I$6:$I$1110,"DO",'MA Engine'!$P$6:$P$1110,"&lt;&gt;Y")+SUMIFS('MA Engine'!$AJ$6:$AJ$1110,'MA Engine'!$B$6:$B$1110,$A96,'MA Engine'!$H$6:$H$1110,8,'MA Engine'!$I$6:$I$1110,"Unbilled")</f>
        <v>0</v>
      </c>
      <c r="AD96" s="7" t="n">
        <f aca="false">SUMIFS('MA Engine'!$L$6:$L$1110,'MA Engine'!$B$6:$B$1110,$A96,'MA Engine'!$H$6:$H$1110,7,'MA Engine'!$I$6:$I$1110,"&lt;&gt;Opening")</f>
        <v>0</v>
      </c>
      <c r="AE96" s="9" t="n">
        <f aca="false">IF(AND(U96&gt;0.0001,(L96-V96*IF(I96&gt;0,AD96/I96,IF(K96&gt;0,L96/K96,0)))&lt;0),IF(K96&gt;0,L96/K96,0),IF(I96&gt;0,AD96/I96,IF(K96&gt;0,L96/K96,0)))</f>
        <v>26469.1473354232</v>
      </c>
      <c r="AF96" s="9" t="n">
        <f aca="false">IF(U96&lt;=0.0001,IF(K96&gt;0,L96/K96,0),IF((L96-V96*IF(I96&gt;0,AD96/I96,IF(K96&gt;0,L96/K96,0)))&lt;0,IF(K96&gt;0,L96/K96,0),(L96-V96*IF(I96&gt;0,AD96/I96,IF(K96&gt;0,L96/K96,0)))/U96))</f>
        <v>26469.1473354232</v>
      </c>
      <c r="AG96" s="9" t="n">
        <f aca="false">IF(M96&gt;0,N96/M96,IF(K96&gt;0,L96/K96,0))</f>
        <v>36846.3967824968</v>
      </c>
      <c r="AH96" s="7" t="n">
        <f aca="false">SUMIFS('MA Engine'!$X$6:$X$1110,'MA Engine'!$B$6:$B$1110,$A96,'MA Engine'!$H$6:$H$1110,8,'MA Engine'!$I$6:$I$1110,"DO",'MA Engine'!$P$6:$P$1110,"&lt;&gt;Y")+SUMIFS('MA Engine'!$X$6:$X$1110,'MA Engine'!$B$6:$B$1110,$A96,'MA Engine'!$H$6:$H$1110,8,'MA Engine'!$I$6:$I$1110,"Unbilled")</f>
        <v>0</v>
      </c>
      <c r="AI96" s="7" t="n">
        <f aca="false">SUMIFS('MA Engine'!$AK$6:$AK$1110,'MA Engine'!$B$6:$B$1110,$A96,'MA Engine'!$H$6:$H$1110,8,'MA Engine'!$I$6:$I$1110,"DO",'MA Engine'!$P$6:$P$1110,"&lt;&gt;Y")+SUMIFS('MA Engine'!$AK$6:$AK$1110,'MA Engine'!$B$6:$B$1110,$A96,'MA Engine'!$H$6:$H$1110,8,'MA Engine'!$I$6:$I$1110,"Unbilled")</f>
        <v>0</v>
      </c>
      <c r="AJ96" s="7" t="n">
        <f aca="false">SUMIFS('MA Engine'!$AL$6:$AL$1110,'MA Engine'!$B$6:$B$1110,$A96,'MA Engine'!$H$6:$H$1110,8,'MA Engine'!$I$6:$I$1110,"DO",'MA Engine'!$P$6:$P$1110,"&lt;&gt;Y")+SUMIFS('MA Engine'!$AL$6:$AL$1110,'MA Engine'!$B$6:$B$1110,$A96,'MA Engine'!$H$6:$H$1110,8,'MA Engine'!$I$6:$I$1110,"Unbilled")</f>
        <v>0</v>
      </c>
      <c r="AK96" s="7" t="n">
        <f aca="false">SUMIFS('MA Engine'!$AM$6:$AM$1110,'MA Engine'!$B$6:$B$1110,$A96,'MA Engine'!$H$6:$H$1110,8,'MA Engine'!$I$6:$I$1110,"DO",'MA Engine'!$P$6:$P$1110,"&lt;&gt;Y")+SUMIFS('MA Engine'!$AM$6:$AM$1110,'MA Engine'!$B$6:$B$1110,$A96,'MA Engine'!$H$6:$H$1110,8,'MA Engine'!$I$6:$I$1110,"Unbilled")</f>
        <v>0</v>
      </c>
      <c r="AL96" s="9" t="n">
        <f aca="false">AH96-AI96-AJ96-AK96</f>
        <v>0</v>
      </c>
      <c r="AM96" s="7" t="n">
        <f aca="false">IF(Q96=0,0,IF($D96="Karkas",SUMIFS('Karkas Detail'!$E$6:$E$42,'Karkas Detail'!$A$6:$A$42,$C96,'Karkas Detail'!$B$6:$B$42,$F96,'Karkas Detail'!$C$6:$C$42,$E96)/SUMIFS($Q$36:$Q$127,$C$36:$C$127,$C96,$D$36:$D$127,"Karkas",$F$36:$F$127,$F96,$E$36:$E$127,$E96),SUMIFS('Data SKU'!$G$5:$G$116,'Data SKU'!$A$5:$A$116,$C96,'Data SKU'!$B$5:$B$116,$D96,'Data SKU'!$C$5:$C$116,$E96,'Data SKU'!$D$5:$D$116,8,'Data SKU'!$N$5:$N$116,"Invoiced")/SUMIFS($Q$36:$Q$127,$C$36:$C$127,$C96,$D$36:$D$127,$D96,$E$36:$E$127,$E96))*Q96)+SUMIFS(Unbilled!$U$22:$U$38,Unbilled!$E$22:$E$38,$A96)</f>
        <v>0</v>
      </c>
      <c r="AN96" s="9" t="n">
        <f aca="false">IF(P96=0,0,AM96*AA96/P96)</f>
        <v>0</v>
      </c>
      <c r="AO96" s="9" t="n">
        <f aca="false">IF(P96=0,0,AM96*AB96/P96)</f>
        <v>0</v>
      </c>
      <c r="AP96" s="9" t="n">
        <f aca="false">IF(P96=0,0,AM96*AC96/P96)</f>
        <v>0</v>
      </c>
      <c r="AQ96" s="14" t="n">
        <f aca="false">MIN(U96+V96,MAX(0,O96-M96))</f>
        <v>0</v>
      </c>
      <c r="AR96" s="14" t="n">
        <f aca="false">MAX(0,AQ96-V96)*Z96</f>
        <v>0</v>
      </c>
      <c r="AS96" s="14" t="n">
        <f aca="false">MIN(V96,AQ96)*Z96</f>
        <v>0</v>
      </c>
      <c r="AT96" s="14" t="n">
        <f aca="false">(O96-AQ96)*Z96</f>
        <v>0</v>
      </c>
      <c r="AU96" s="9" t="n">
        <f aca="false">(AR96+AS96+AT96)*BA96</f>
        <v>0</v>
      </c>
      <c r="AV96" s="9" t="n">
        <f aca="false">IF(P96=0,0,AM96*AR96/P96)</f>
        <v>0</v>
      </c>
      <c r="AW96" s="9" t="n">
        <f aca="false">IF(P96=0,0,AM96*AS96/P96)</f>
        <v>0</v>
      </c>
      <c r="AX96" s="9" t="n">
        <f aca="false">IF(P96=0,0,AM96*AT96/P96)</f>
        <v>0</v>
      </c>
      <c r="AY96" s="9" t="n">
        <f aca="false">AH96-AU96</f>
        <v>0</v>
      </c>
      <c r="AZ96" s="9" t="n">
        <f aca="false">IF(M96&gt;0,P96*AG96,0)</f>
        <v>0</v>
      </c>
      <c r="BA96" s="9" t="n">
        <f aca="false">IF(P96=0,0,AH96/P96)</f>
        <v>0</v>
      </c>
      <c r="BB96" s="74" t="s">
        <v>838</v>
      </c>
      <c r="BC96" s="13" t="n">
        <f aca="false">SUMIFS('MA Engine'!$W$6:$W$1110,'MA Engine'!$B$6:$B$1110,$A96,'MA Engine'!$H$6:$H$1110,7,'MA Engine'!$I$6:$I$1110,"DO")</f>
        <v>0</v>
      </c>
      <c r="BD96" s="14" t="n">
        <f aca="false">MIN(MAX(0,H96),J96)</f>
        <v>0</v>
      </c>
      <c r="BE96" s="14" t="n">
        <f aca="false">J96-BD96</f>
        <v>0</v>
      </c>
      <c r="BF96" s="21" t="n">
        <f aca="false">IF(J96=0,0,BC96/J96)</f>
        <v>0</v>
      </c>
      <c r="BG96" s="13" t="n">
        <f aca="false">SUMIFS('MA Engine'!$AH$6:$AH$1110,'MA Engine'!$B$6:$B$1110,$A96,'MA Engine'!$H$6:$H$1110,7,'MA Engine'!$I$6:$I$1110,"DO")</f>
        <v>0</v>
      </c>
      <c r="BH96" s="13" t="n">
        <f aca="false">SUMIFS('MA Engine'!$AI$6:$AI$1110,'MA Engine'!$B$6:$B$1110,$A96,'MA Engine'!$H$6:$H$1110,7,'MA Engine'!$I$6:$I$1110,"DO")+SUMIFS('MA Engine'!$AJ$6:$AJ$1110,'MA Engine'!$B$6:$B$1110,$A96,'MA Engine'!$H$6:$H$1110,7,'MA Engine'!$I$6:$I$1110,"DO")</f>
        <v>0</v>
      </c>
      <c r="BI96" s="7" t="n">
        <f aca="false">IF(H96&gt;0,SUMIFS('MA Engine'!$L$6:$L$1110,'MA Engine'!$B$6:$B$1110,$A96,'MA Engine'!$I$6:$I$1110,"Opening")/H96,0)</f>
        <v>26469.1473354232</v>
      </c>
      <c r="BJ96" s="9" t="n">
        <f aca="false">IF(I96&gt;0,AD96/I96,BI96)</f>
        <v>26469.1473354232</v>
      </c>
      <c r="BK96" s="7" t="n">
        <f aca="false">SUMIFS('MA Engine'!$X$6:$X$1110,'MA Engine'!$B$6:$B$1110,$A96,'MA Engine'!$H$6:$H$1110,7,'MA Engine'!$I$6:$I$1110,"DO")</f>
        <v>0</v>
      </c>
      <c r="BL96" s="7" t="n">
        <f aca="false">SUMIFS('MA Engine'!$AK$6:$AK$1110,'MA Engine'!$B$6:$B$1110,$A96,'MA Engine'!$H$6:$H$1110,7,'MA Engine'!$I$6:$I$1110,"DO")</f>
        <v>0</v>
      </c>
      <c r="BM96" s="7" t="n">
        <f aca="false">SUMIFS('MA Engine'!$AL$6:$AL$1110,'MA Engine'!$B$6:$B$1110,$A96,'MA Engine'!$H$6:$H$1110,7,'MA Engine'!$I$6:$I$1110,"DO")+SUMIFS('MA Engine'!$AM$6:$AM$1110,'MA Engine'!$B$6:$B$1110,$A96,'MA Engine'!$H$6:$H$1110,7,'MA Engine'!$I$6:$I$1110,"DO")</f>
        <v>0</v>
      </c>
      <c r="BN96" s="9" t="n">
        <f aca="false">BK96-BL96-BM96</f>
        <v>0</v>
      </c>
      <c r="BO96" s="7" t="n">
        <f aca="false">IF(BC96=0,0,SUMIFS('Data SKU'!$G$5:$G$116,'Data SKU'!$A$5:$A$116,$C96,'Data SKU'!$B$5:$B$116,$D96,'Data SKU'!$C$5:$C$116,$E96,'Data SKU'!$D$5:$D$116,7,'Data SKU'!$N$5:$N$116,"Invoiced")/SUMIFS($BC$36:$BC$127,$C$36:$C$127,$C96,$D$36:$D$127,$D96,$E$36:$E$127,$E96)*BC96)</f>
        <v>0</v>
      </c>
      <c r="BP96" s="9" t="n">
        <f aca="false">IF(BC96=0,0,BO96*BG96/BC96)</f>
        <v>0</v>
      </c>
      <c r="BQ96" s="9" t="n">
        <f aca="false">IF(BC96=0,0,BO96*BH96/BC96)</f>
        <v>0</v>
      </c>
    </row>
    <row r="97" customFormat="false" ht="15" hidden="false" customHeight="false" outlineLevel="0" collapsed="false">
      <c r="A97" s="74" t="s">
        <v>1009</v>
      </c>
      <c r="B97" s="53" t="str">
        <f aca="false">INDEX(I_Items!$B$5:$B$133,MATCH($A97,I_Items!$A$5:$A$133,0))&amp;""</f>
        <v>Karkas Uk 2.0 Karkas Uk 2.0 Frozen Grade A</v>
      </c>
      <c r="C97" s="53" t="str">
        <f aca="false">INDEX(I_Items!$C$5:$C$133,MATCH($A97,I_Items!$A$5:$A$133,0))&amp;""</f>
        <v>RPA</v>
      </c>
      <c r="D97" s="53" t="str">
        <f aca="false">INDEX(I_Items!$D$5:$D$133,MATCH($A97,I_Items!$A$5:$A$133,0))&amp;""</f>
        <v>Karkas</v>
      </c>
      <c r="E97" s="53" t="str">
        <f aca="false">INDEX(I_Items!$F$5:$F$133,MATCH($A97,I_Items!$A$5:$A$133,0))&amp;""</f>
        <v>Frozen</v>
      </c>
      <c r="F97" s="53" t="str">
        <f aca="false">INDEX(I_Items!$E$5:$E$133,MATCH($A97,I_Items!$A$5:$A$133,0))&amp;""</f>
        <v>Uk 2.0</v>
      </c>
      <c r="G97" s="6" t="str">
        <f aca="false">IF(P97=0,"-",IF(M97=0,"A",IF(K97&lt;=0,"C","B")))</f>
        <v>-</v>
      </c>
      <c r="H97" s="13" t="n">
        <f aca="false">SUMIFS('MA Engine'!$K$6:$K$1110,'MA Engine'!$B$6:$B$1110,$A97,'MA Engine'!$I$6:$I$1110,"Opening")</f>
        <v>5.1</v>
      </c>
      <c r="I97" s="13" t="n">
        <f aca="false">SUMIFS('MA Engine'!$K$6:$K$1110,'MA Engine'!$B$6:$B$1110,$A97,'MA Engine'!$H$6:$H$1110,7,'MA Engine'!$I$6:$I$1110,"&lt;&gt;Opening")</f>
        <v>0</v>
      </c>
      <c r="J97" s="13" t="n">
        <f aca="false">SUMIFS('MA Engine'!$W$6:$W$1110,'MA Engine'!$B$6:$B$1110,$A97,'MA Engine'!$H$6:$H$1110,7)</f>
        <v>0</v>
      </c>
      <c r="K97" s="14" t="n">
        <f aca="false">H97+I97-J97</f>
        <v>5.1</v>
      </c>
      <c r="L97" s="7" t="n">
        <f aca="false">SUMIFS('MA Engine'!$L$6:$L$1110,'MA Engine'!$B$6:$B$1110,$A97,'MA Engine'!$I$6:$I$1110,"Opening")+SUMIFS('MA Engine'!$L$6:$L$1110,'MA Engine'!$B$6:$B$1110,$A97,'MA Engine'!$H$6:$H$1110,7,'MA Engine'!$I$6:$I$1110,"&lt;&gt;Opening")-SUMIFS('MA Engine'!$X$6:$X$1110,'MA Engine'!$B$6:$B$1110,$A97,'MA Engine'!$H$6:$H$1110,7)</f>
        <v>127524.36</v>
      </c>
      <c r="M97" s="13" t="n">
        <f aca="false">SUMIFS('MA Engine'!$K$6:$K$1110,'MA Engine'!$B$6:$B$1110,$A97,'MA Engine'!$H$6:$H$1110,8)</f>
        <v>16.2</v>
      </c>
      <c r="N97" s="7" t="n">
        <f aca="false">SUMIFS('MA Engine'!$L$6:$L$1110,'MA Engine'!$B$6:$B$1110,$A97,'MA Engine'!$H$6:$H$1110,8)</f>
        <v>542646.94</v>
      </c>
      <c r="O97" s="13" t="n">
        <f aca="false">SUMIFS('MA Engine'!$W$6:$W$1110,'MA Engine'!$B$6:$B$1110,$A97,'MA Engine'!$H$6:$H$1110,8)</f>
        <v>0</v>
      </c>
      <c r="P97" s="14" t="n">
        <f aca="false">Q97+R97</f>
        <v>0</v>
      </c>
      <c r="Q97" s="13" t="n">
        <f aca="false">SUMIFS('MA Engine'!$W$6:$W$1110,'MA Engine'!$B$6:$B$1110,$A97,'MA Engine'!$H$6:$H$1110,8,'MA Engine'!$I$6:$I$1110,"DO",'MA Engine'!$P$6:$P$1110,"&lt;&gt;Y")</f>
        <v>0</v>
      </c>
      <c r="R97" s="13" t="n">
        <f aca="false">SUMIFS('MA Engine'!$W$6:$W$1110,'MA Engine'!$B$6:$B$1110,$A97,'MA Engine'!$H$6:$H$1110,8,'MA Engine'!$I$6:$I$1110,"Unbilled")</f>
        <v>0</v>
      </c>
      <c r="S97" s="13" t="n">
        <f aca="false">SUMIFS('MA Engine'!$W$6:$W$1110,'MA Engine'!$B$6:$B$1110,$A97,'MA Engine'!$H$6:$H$1110,8,'MA Engine'!$P$6:$P$1110,"Y")</f>
        <v>0</v>
      </c>
      <c r="T97" s="14" t="n">
        <f aca="false">O97-P97-S97</f>
        <v>0</v>
      </c>
      <c r="U97" s="14" t="n">
        <f aca="false">MAX(0,H97-J97)</f>
        <v>5.1</v>
      </c>
      <c r="V97" s="14" t="n">
        <f aca="false">MAX(0,K97-U97)</f>
        <v>0</v>
      </c>
      <c r="W97" s="14" t="n">
        <f aca="false">MIN(U97,O97)</f>
        <v>0</v>
      </c>
      <c r="X97" s="14" t="n">
        <f aca="false">MIN(V97,O97-W97)</f>
        <v>0</v>
      </c>
      <c r="Y97" s="14" t="n">
        <f aca="false">O97-W97-X97</f>
        <v>0</v>
      </c>
      <c r="Z97" s="21" t="n">
        <f aca="false">IF(O97=0,0,P97/O97)</f>
        <v>0</v>
      </c>
      <c r="AA97" s="13" t="n">
        <f aca="false">SUMIFS('MA Engine'!$AH$6:$AH$1110,'MA Engine'!$B$6:$B$1110,$A97,'MA Engine'!$H$6:$H$1110,8,'MA Engine'!$I$6:$I$1110,"DO",'MA Engine'!$P$6:$P$1110,"&lt;&gt;Y")+SUMIFS('MA Engine'!$AH$6:$AH$1110,'MA Engine'!$B$6:$B$1110,$A97,'MA Engine'!$H$6:$H$1110,8,'MA Engine'!$I$6:$I$1110,"Unbilled")</f>
        <v>0</v>
      </c>
      <c r="AB97" s="13" t="n">
        <f aca="false">SUMIFS('MA Engine'!$AI$6:$AI$1110,'MA Engine'!$B$6:$B$1110,$A97,'MA Engine'!$H$6:$H$1110,8,'MA Engine'!$I$6:$I$1110,"DO",'MA Engine'!$P$6:$P$1110,"&lt;&gt;Y")+SUMIFS('MA Engine'!$AI$6:$AI$1110,'MA Engine'!$B$6:$B$1110,$A97,'MA Engine'!$H$6:$H$1110,8,'MA Engine'!$I$6:$I$1110,"Unbilled")</f>
        <v>0</v>
      </c>
      <c r="AC97" s="13" t="n">
        <f aca="false">SUMIFS('MA Engine'!$AJ$6:$AJ$1110,'MA Engine'!$B$6:$B$1110,$A97,'MA Engine'!$H$6:$H$1110,8,'MA Engine'!$I$6:$I$1110,"DO",'MA Engine'!$P$6:$P$1110,"&lt;&gt;Y")+SUMIFS('MA Engine'!$AJ$6:$AJ$1110,'MA Engine'!$B$6:$B$1110,$A97,'MA Engine'!$H$6:$H$1110,8,'MA Engine'!$I$6:$I$1110,"Unbilled")</f>
        <v>0</v>
      </c>
      <c r="AD97" s="7" t="n">
        <f aca="false">SUMIFS('MA Engine'!$L$6:$L$1110,'MA Engine'!$B$6:$B$1110,$A97,'MA Engine'!$H$6:$H$1110,7,'MA Engine'!$I$6:$I$1110,"&lt;&gt;Opening")</f>
        <v>0</v>
      </c>
      <c r="AE97" s="9" t="n">
        <f aca="false">IF(AND(U97&gt;0.0001,(L97-V97*IF(I97&gt;0,AD97/I97,IF(K97&gt;0,L97/K97,0)))&lt;0),IF(K97&gt;0,L97/K97,0),IF(I97&gt;0,AD97/I97,IF(K97&gt;0,L97/K97,0)))</f>
        <v>25004.7764705882</v>
      </c>
      <c r="AF97" s="9" t="n">
        <f aca="false">IF(U97&lt;=0.0001,IF(K97&gt;0,L97/K97,0),IF((L97-V97*IF(I97&gt;0,AD97/I97,IF(K97&gt;0,L97/K97,0)))&lt;0,IF(K97&gt;0,L97/K97,0),(L97-V97*IF(I97&gt;0,AD97/I97,IF(K97&gt;0,L97/K97,0)))/U97))</f>
        <v>25004.7764705882</v>
      </c>
      <c r="AG97" s="9" t="n">
        <f aca="false">IF(M97&gt;0,N97/M97,IF(K97&gt;0,L97/K97,0))</f>
        <v>33496.724691358</v>
      </c>
      <c r="AH97" s="7" t="n">
        <f aca="false">SUMIFS('MA Engine'!$X$6:$X$1110,'MA Engine'!$B$6:$B$1110,$A97,'MA Engine'!$H$6:$H$1110,8,'MA Engine'!$I$6:$I$1110,"DO",'MA Engine'!$P$6:$P$1110,"&lt;&gt;Y")+SUMIFS('MA Engine'!$X$6:$X$1110,'MA Engine'!$B$6:$B$1110,$A97,'MA Engine'!$H$6:$H$1110,8,'MA Engine'!$I$6:$I$1110,"Unbilled")</f>
        <v>0</v>
      </c>
      <c r="AI97" s="7" t="n">
        <f aca="false">SUMIFS('MA Engine'!$AK$6:$AK$1110,'MA Engine'!$B$6:$B$1110,$A97,'MA Engine'!$H$6:$H$1110,8,'MA Engine'!$I$6:$I$1110,"DO",'MA Engine'!$P$6:$P$1110,"&lt;&gt;Y")+SUMIFS('MA Engine'!$AK$6:$AK$1110,'MA Engine'!$B$6:$B$1110,$A97,'MA Engine'!$H$6:$H$1110,8,'MA Engine'!$I$6:$I$1110,"Unbilled")</f>
        <v>0</v>
      </c>
      <c r="AJ97" s="7" t="n">
        <f aca="false">SUMIFS('MA Engine'!$AL$6:$AL$1110,'MA Engine'!$B$6:$B$1110,$A97,'MA Engine'!$H$6:$H$1110,8,'MA Engine'!$I$6:$I$1110,"DO",'MA Engine'!$P$6:$P$1110,"&lt;&gt;Y")+SUMIFS('MA Engine'!$AL$6:$AL$1110,'MA Engine'!$B$6:$B$1110,$A97,'MA Engine'!$H$6:$H$1110,8,'MA Engine'!$I$6:$I$1110,"Unbilled")</f>
        <v>0</v>
      </c>
      <c r="AK97" s="7" t="n">
        <f aca="false">SUMIFS('MA Engine'!$AM$6:$AM$1110,'MA Engine'!$B$6:$B$1110,$A97,'MA Engine'!$H$6:$H$1110,8,'MA Engine'!$I$6:$I$1110,"DO",'MA Engine'!$P$6:$P$1110,"&lt;&gt;Y")+SUMIFS('MA Engine'!$AM$6:$AM$1110,'MA Engine'!$B$6:$B$1110,$A97,'MA Engine'!$H$6:$H$1110,8,'MA Engine'!$I$6:$I$1110,"Unbilled")</f>
        <v>0</v>
      </c>
      <c r="AL97" s="9" t="n">
        <f aca="false">AH97-AI97-AJ97-AK97</f>
        <v>0</v>
      </c>
      <c r="AM97" s="7" t="n">
        <f aca="false">IF(Q97=0,0,IF($D97="Karkas",SUMIFS('Karkas Detail'!$E$6:$E$42,'Karkas Detail'!$A$6:$A$42,$C97,'Karkas Detail'!$B$6:$B$42,$F97,'Karkas Detail'!$C$6:$C$42,$E97)/SUMIFS($Q$36:$Q$127,$C$36:$C$127,$C97,$D$36:$D$127,"Karkas",$F$36:$F$127,$F97,$E$36:$E$127,$E97),SUMIFS('Data SKU'!$G$5:$G$116,'Data SKU'!$A$5:$A$116,$C97,'Data SKU'!$B$5:$B$116,$D97,'Data SKU'!$C$5:$C$116,$E97,'Data SKU'!$D$5:$D$116,8,'Data SKU'!$N$5:$N$116,"Invoiced")/SUMIFS($Q$36:$Q$127,$C$36:$C$127,$C97,$D$36:$D$127,$D97,$E$36:$E$127,$E97))*Q97)+SUMIFS(Unbilled!$U$22:$U$38,Unbilled!$E$22:$E$38,$A97)</f>
        <v>0</v>
      </c>
      <c r="AN97" s="9" t="n">
        <f aca="false">IF(P97=0,0,AM97*AA97/P97)</f>
        <v>0</v>
      </c>
      <c r="AO97" s="9" t="n">
        <f aca="false">IF(P97=0,0,AM97*AB97/P97)</f>
        <v>0</v>
      </c>
      <c r="AP97" s="9" t="n">
        <f aca="false">IF(P97=0,0,AM97*AC97/P97)</f>
        <v>0</v>
      </c>
      <c r="AQ97" s="14" t="n">
        <f aca="false">MIN(U97+V97,MAX(0,O97-M97))</f>
        <v>0</v>
      </c>
      <c r="AR97" s="14" t="n">
        <f aca="false">MAX(0,AQ97-V97)*Z97</f>
        <v>0</v>
      </c>
      <c r="AS97" s="14" t="n">
        <f aca="false">MIN(V97,AQ97)*Z97</f>
        <v>0</v>
      </c>
      <c r="AT97" s="14" t="n">
        <f aca="false">(O97-AQ97)*Z97</f>
        <v>0</v>
      </c>
      <c r="AU97" s="9" t="n">
        <f aca="false">(AR97+AS97+AT97)*BA97</f>
        <v>0</v>
      </c>
      <c r="AV97" s="9" t="n">
        <f aca="false">IF(P97=0,0,AM97*AR97/P97)</f>
        <v>0</v>
      </c>
      <c r="AW97" s="9" t="n">
        <f aca="false">IF(P97=0,0,AM97*AS97/P97)</f>
        <v>0</v>
      </c>
      <c r="AX97" s="9" t="n">
        <f aca="false">IF(P97=0,0,AM97*AT97/P97)</f>
        <v>0</v>
      </c>
      <c r="AY97" s="9" t="n">
        <f aca="false">AH97-AU97</f>
        <v>0</v>
      </c>
      <c r="AZ97" s="9" t="n">
        <f aca="false">IF(M97&gt;0,P97*AG97,0)</f>
        <v>0</v>
      </c>
      <c r="BA97" s="9" t="n">
        <f aca="false">IF(P97=0,0,AH97/P97)</f>
        <v>0</v>
      </c>
      <c r="BB97" s="74" t="s">
        <v>838</v>
      </c>
      <c r="BC97" s="13" t="n">
        <f aca="false">SUMIFS('MA Engine'!$W$6:$W$1110,'MA Engine'!$B$6:$B$1110,$A97,'MA Engine'!$H$6:$H$1110,7,'MA Engine'!$I$6:$I$1110,"DO")</f>
        <v>0</v>
      </c>
      <c r="BD97" s="14" t="n">
        <f aca="false">MIN(MAX(0,H97),J97)</f>
        <v>0</v>
      </c>
      <c r="BE97" s="14" t="n">
        <f aca="false">J97-BD97</f>
        <v>0</v>
      </c>
      <c r="BF97" s="21" t="n">
        <f aca="false">IF(J97=0,0,BC97/J97)</f>
        <v>0</v>
      </c>
      <c r="BG97" s="13" t="n">
        <f aca="false">SUMIFS('MA Engine'!$AH$6:$AH$1110,'MA Engine'!$B$6:$B$1110,$A97,'MA Engine'!$H$6:$H$1110,7,'MA Engine'!$I$6:$I$1110,"DO")</f>
        <v>0</v>
      </c>
      <c r="BH97" s="13" t="n">
        <f aca="false">SUMIFS('MA Engine'!$AI$6:$AI$1110,'MA Engine'!$B$6:$B$1110,$A97,'MA Engine'!$H$6:$H$1110,7,'MA Engine'!$I$6:$I$1110,"DO")+SUMIFS('MA Engine'!$AJ$6:$AJ$1110,'MA Engine'!$B$6:$B$1110,$A97,'MA Engine'!$H$6:$H$1110,7,'MA Engine'!$I$6:$I$1110,"DO")</f>
        <v>0</v>
      </c>
      <c r="BI97" s="7" t="n">
        <f aca="false">IF(H97&gt;0,SUMIFS('MA Engine'!$L$6:$L$1110,'MA Engine'!$B$6:$B$1110,$A97,'MA Engine'!$I$6:$I$1110,"Opening")/H97,0)</f>
        <v>25004.7764705882</v>
      </c>
      <c r="BJ97" s="9" t="n">
        <f aca="false">IF(I97&gt;0,AD97/I97,BI97)</f>
        <v>25004.7764705882</v>
      </c>
      <c r="BK97" s="7" t="n">
        <f aca="false">SUMIFS('MA Engine'!$X$6:$X$1110,'MA Engine'!$B$6:$B$1110,$A97,'MA Engine'!$H$6:$H$1110,7,'MA Engine'!$I$6:$I$1110,"DO")</f>
        <v>0</v>
      </c>
      <c r="BL97" s="7" t="n">
        <f aca="false">SUMIFS('MA Engine'!$AK$6:$AK$1110,'MA Engine'!$B$6:$B$1110,$A97,'MA Engine'!$H$6:$H$1110,7,'MA Engine'!$I$6:$I$1110,"DO")</f>
        <v>0</v>
      </c>
      <c r="BM97" s="7" t="n">
        <f aca="false">SUMIFS('MA Engine'!$AL$6:$AL$1110,'MA Engine'!$B$6:$B$1110,$A97,'MA Engine'!$H$6:$H$1110,7,'MA Engine'!$I$6:$I$1110,"DO")+SUMIFS('MA Engine'!$AM$6:$AM$1110,'MA Engine'!$B$6:$B$1110,$A97,'MA Engine'!$H$6:$H$1110,7,'MA Engine'!$I$6:$I$1110,"DO")</f>
        <v>0</v>
      </c>
      <c r="BN97" s="9" t="n">
        <f aca="false">BK97-BL97-BM97</f>
        <v>0</v>
      </c>
      <c r="BO97" s="7" t="n">
        <f aca="false">IF(BC97=0,0,SUMIFS('Data SKU'!$G$5:$G$116,'Data SKU'!$A$5:$A$116,$C97,'Data SKU'!$B$5:$B$116,$D97,'Data SKU'!$C$5:$C$116,$E97,'Data SKU'!$D$5:$D$116,7,'Data SKU'!$N$5:$N$116,"Invoiced")/SUMIFS($BC$36:$BC$127,$C$36:$C$127,$C97,$D$36:$D$127,$D97,$E$36:$E$127,$E97)*BC97)</f>
        <v>0</v>
      </c>
      <c r="BP97" s="9" t="n">
        <f aca="false">IF(BC97=0,0,BO97*BG97/BC97)</f>
        <v>0</v>
      </c>
      <c r="BQ97" s="9" t="n">
        <f aca="false">IF(BC97=0,0,BO97*BH97/BC97)</f>
        <v>0</v>
      </c>
    </row>
    <row r="98" customFormat="false" ht="15" hidden="false" customHeight="false" outlineLevel="0" collapsed="false">
      <c r="A98" s="74" t="s">
        <v>1010</v>
      </c>
      <c r="B98" s="53" t="str">
        <f aca="false">INDEX(I_Items!$B$5:$B$133,MATCH($A98,I_Items!$A$5:$A$133,0))&amp;""</f>
        <v>Karkas Uk 2.0 Karkas Uk 2.0 Frozen Premium</v>
      </c>
      <c r="C98" s="53" t="str">
        <f aca="false">INDEX(I_Items!$C$5:$C$133,MATCH($A98,I_Items!$A$5:$A$133,0))&amp;""</f>
        <v>RPA</v>
      </c>
      <c r="D98" s="53" t="str">
        <f aca="false">INDEX(I_Items!$D$5:$D$133,MATCH($A98,I_Items!$A$5:$A$133,0))&amp;""</f>
        <v>Karkas</v>
      </c>
      <c r="E98" s="53" t="str">
        <f aca="false">INDEX(I_Items!$F$5:$F$133,MATCH($A98,I_Items!$A$5:$A$133,0))&amp;""</f>
        <v>Frozen</v>
      </c>
      <c r="F98" s="53" t="str">
        <f aca="false">INDEX(I_Items!$E$5:$E$133,MATCH($A98,I_Items!$A$5:$A$133,0))&amp;""</f>
        <v>Uk 2.0</v>
      </c>
      <c r="G98" s="6" t="str">
        <f aca="false">IF(P98=0,"-",IF(M98=0,"A",IF(K98&lt;=0,"C","B")))</f>
        <v>-</v>
      </c>
      <c r="H98" s="13" t="n">
        <f aca="false">SUMIFS('MA Engine'!$K$6:$K$1110,'MA Engine'!$B$6:$B$1110,$A98,'MA Engine'!$I$6:$I$1110,"Opening")</f>
        <v>0</v>
      </c>
      <c r="I98" s="13" t="n">
        <f aca="false">SUMIFS('MA Engine'!$K$6:$K$1110,'MA Engine'!$B$6:$B$1110,$A98,'MA Engine'!$H$6:$H$1110,7,'MA Engine'!$I$6:$I$1110,"&lt;&gt;Opening")</f>
        <v>0</v>
      </c>
      <c r="J98" s="13" t="n">
        <f aca="false">SUMIFS('MA Engine'!$W$6:$W$1110,'MA Engine'!$B$6:$B$1110,$A98,'MA Engine'!$H$6:$H$1110,7)</f>
        <v>0</v>
      </c>
      <c r="K98" s="14" t="n">
        <f aca="false">H98+I98-J98</f>
        <v>0</v>
      </c>
      <c r="L98" s="7" t="n">
        <f aca="false">SUMIFS('MA Engine'!$L$6:$L$1110,'MA Engine'!$B$6:$B$1110,$A98,'MA Engine'!$I$6:$I$1110,"Opening")+SUMIFS('MA Engine'!$L$6:$L$1110,'MA Engine'!$B$6:$B$1110,$A98,'MA Engine'!$H$6:$H$1110,7,'MA Engine'!$I$6:$I$1110,"&lt;&gt;Opening")-SUMIFS('MA Engine'!$X$6:$X$1110,'MA Engine'!$B$6:$B$1110,$A98,'MA Engine'!$H$6:$H$1110,7)</f>
        <v>-0.01</v>
      </c>
      <c r="M98" s="13" t="n">
        <f aca="false">SUMIFS('MA Engine'!$K$6:$K$1110,'MA Engine'!$B$6:$B$1110,$A98,'MA Engine'!$H$6:$H$1110,8)</f>
        <v>225.6</v>
      </c>
      <c r="N98" s="7" t="n">
        <f aca="false">SUMIFS('MA Engine'!$L$6:$L$1110,'MA Engine'!$B$6:$B$1110,$A98,'MA Engine'!$H$6:$H$1110,8)</f>
        <v>8559873.5</v>
      </c>
      <c r="O98" s="13" t="n">
        <f aca="false">SUMIFS('MA Engine'!$W$6:$W$1110,'MA Engine'!$B$6:$B$1110,$A98,'MA Engine'!$H$6:$H$1110,8)</f>
        <v>0</v>
      </c>
      <c r="P98" s="14" t="n">
        <f aca="false">Q98+R98</f>
        <v>0</v>
      </c>
      <c r="Q98" s="13" t="n">
        <f aca="false">SUMIFS('MA Engine'!$W$6:$W$1110,'MA Engine'!$B$6:$B$1110,$A98,'MA Engine'!$H$6:$H$1110,8,'MA Engine'!$I$6:$I$1110,"DO",'MA Engine'!$P$6:$P$1110,"&lt;&gt;Y")</f>
        <v>0</v>
      </c>
      <c r="R98" s="13" t="n">
        <f aca="false">SUMIFS('MA Engine'!$W$6:$W$1110,'MA Engine'!$B$6:$B$1110,$A98,'MA Engine'!$H$6:$H$1110,8,'MA Engine'!$I$6:$I$1110,"Unbilled")</f>
        <v>0</v>
      </c>
      <c r="S98" s="13" t="n">
        <f aca="false">SUMIFS('MA Engine'!$W$6:$W$1110,'MA Engine'!$B$6:$B$1110,$A98,'MA Engine'!$H$6:$H$1110,8,'MA Engine'!$P$6:$P$1110,"Y")</f>
        <v>0</v>
      </c>
      <c r="T98" s="14" t="n">
        <f aca="false">O98-P98-S98</f>
        <v>0</v>
      </c>
      <c r="U98" s="14" t="n">
        <f aca="false">MAX(0,H98-J98)</f>
        <v>0</v>
      </c>
      <c r="V98" s="14" t="n">
        <f aca="false">MAX(0,K98-U98)</f>
        <v>0</v>
      </c>
      <c r="W98" s="14" t="n">
        <f aca="false">MIN(U98,O98)</f>
        <v>0</v>
      </c>
      <c r="X98" s="14" t="n">
        <f aca="false">MIN(V98,O98-W98)</f>
        <v>0</v>
      </c>
      <c r="Y98" s="14" t="n">
        <f aca="false">O98-W98-X98</f>
        <v>0</v>
      </c>
      <c r="Z98" s="21" t="n">
        <f aca="false">IF(O98=0,0,P98/O98)</f>
        <v>0</v>
      </c>
      <c r="AA98" s="13" t="n">
        <f aca="false">SUMIFS('MA Engine'!$AH$6:$AH$1110,'MA Engine'!$B$6:$B$1110,$A98,'MA Engine'!$H$6:$H$1110,8,'MA Engine'!$I$6:$I$1110,"DO",'MA Engine'!$P$6:$P$1110,"&lt;&gt;Y")+SUMIFS('MA Engine'!$AH$6:$AH$1110,'MA Engine'!$B$6:$B$1110,$A98,'MA Engine'!$H$6:$H$1110,8,'MA Engine'!$I$6:$I$1110,"Unbilled")</f>
        <v>0</v>
      </c>
      <c r="AB98" s="13" t="n">
        <f aca="false">SUMIFS('MA Engine'!$AI$6:$AI$1110,'MA Engine'!$B$6:$B$1110,$A98,'MA Engine'!$H$6:$H$1110,8,'MA Engine'!$I$6:$I$1110,"DO",'MA Engine'!$P$6:$P$1110,"&lt;&gt;Y")+SUMIFS('MA Engine'!$AI$6:$AI$1110,'MA Engine'!$B$6:$B$1110,$A98,'MA Engine'!$H$6:$H$1110,8,'MA Engine'!$I$6:$I$1110,"Unbilled")</f>
        <v>0</v>
      </c>
      <c r="AC98" s="13" t="n">
        <f aca="false">SUMIFS('MA Engine'!$AJ$6:$AJ$1110,'MA Engine'!$B$6:$B$1110,$A98,'MA Engine'!$H$6:$H$1110,8,'MA Engine'!$I$6:$I$1110,"DO",'MA Engine'!$P$6:$P$1110,"&lt;&gt;Y")+SUMIFS('MA Engine'!$AJ$6:$AJ$1110,'MA Engine'!$B$6:$B$1110,$A98,'MA Engine'!$H$6:$H$1110,8,'MA Engine'!$I$6:$I$1110,"Unbilled")</f>
        <v>0</v>
      </c>
      <c r="AD98" s="7" t="n">
        <f aca="false">SUMIFS('MA Engine'!$L$6:$L$1110,'MA Engine'!$B$6:$B$1110,$A98,'MA Engine'!$H$6:$H$1110,7,'MA Engine'!$I$6:$I$1110,"&lt;&gt;Opening")</f>
        <v>0</v>
      </c>
      <c r="AE98" s="9" t="n">
        <f aca="false">IF(AND(U98&gt;0.0001,(L98-V98*IF(I98&gt;0,AD98/I98,IF(K98&gt;0,L98/K98,0)))&lt;0),IF(K98&gt;0,L98/K98,0),IF(I98&gt;0,AD98/I98,IF(K98&gt;0,L98/K98,0)))</f>
        <v>0</v>
      </c>
      <c r="AF98" s="9" t="n">
        <f aca="false">IF(U98&lt;=0.0001,IF(K98&gt;0,L98/K98,0),IF((L98-V98*IF(I98&gt;0,AD98/I98,IF(K98&gt;0,L98/K98,0)))&lt;0,IF(K98&gt;0,L98/K98,0),(L98-V98*IF(I98&gt;0,AD98/I98,IF(K98&gt;0,L98/K98,0)))/U98))</f>
        <v>0</v>
      </c>
      <c r="AG98" s="9" t="n">
        <f aca="false">IF(M98&gt;0,N98/M98,IF(K98&gt;0,L98/K98,0))</f>
        <v>37942.7016843972</v>
      </c>
      <c r="AH98" s="7" t="n">
        <f aca="false">SUMIFS('MA Engine'!$X$6:$X$1110,'MA Engine'!$B$6:$B$1110,$A98,'MA Engine'!$H$6:$H$1110,8,'MA Engine'!$I$6:$I$1110,"DO",'MA Engine'!$P$6:$P$1110,"&lt;&gt;Y")+SUMIFS('MA Engine'!$X$6:$X$1110,'MA Engine'!$B$6:$B$1110,$A98,'MA Engine'!$H$6:$H$1110,8,'MA Engine'!$I$6:$I$1110,"Unbilled")</f>
        <v>0</v>
      </c>
      <c r="AI98" s="7" t="n">
        <f aca="false">SUMIFS('MA Engine'!$AK$6:$AK$1110,'MA Engine'!$B$6:$B$1110,$A98,'MA Engine'!$H$6:$H$1110,8,'MA Engine'!$I$6:$I$1110,"DO",'MA Engine'!$P$6:$P$1110,"&lt;&gt;Y")+SUMIFS('MA Engine'!$AK$6:$AK$1110,'MA Engine'!$B$6:$B$1110,$A98,'MA Engine'!$H$6:$H$1110,8,'MA Engine'!$I$6:$I$1110,"Unbilled")</f>
        <v>0</v>
      </c>
      <c r="AJ98" s="7" t="n">
        <f aca="false">SUMIFS('MA Engine'!$AL$6:$AL$1110,'MA Engine'!$B$6:$B$1110,$A98,'MA Engine'!$H$6:$H$1110,8,'MA Engine'!$I$6:$I$1110,"DO",'MA Engine'!$P$6:$P$1110,"&lt;&gt;Y")+SUMIFS('MA Engine'!$AL$6:$AL$1110,'MA Engine'!$B$6:$B$1110,$A98,'MA Engine'!$H$6:$H$1110,8,'MA Engine'!$I$6:$I$1110,"Unbilled")</f>
        <v>0</v>
      </c>
      <c r="AK98" s="7" t="n">
        <f aca="false">SUMIFS('MA Engine'!$AM$6:$AM$1110,'MA Engine'!$B$6:$B$1110,$A98,'MA Engine'!$H$6:$H$1110,8,'MA Engine'!$I$6:$I$1110,"DO",'MA Engine'!$P$6:$P$1110,"&lt;&gt;Y")+SUMIFS('MA Engine'!$AM$6:$AM$1110,'MA Engine'!$B$6:$B$1110,$A98,'MA Engine'!$H$6:$H$1110,8,'MA Engine'!$I$6:$I$1110,"Unbilled")</f>
        <v>0</v>
      </c>
      <c r="AL98" s="9" t="n">
        <f aca="false">AH98-AI98-AJ98-AK98</f>
        <v>0</v>
      </c>
      <c r="AM98" s="7" t="n">
        <f aca="false">IF(Q98=0,0,IF($D98="Karkas",SUMIFS('Karkas Detail'!$E$6:$E$42,'Karkas Detail'!$A$6:$A$42,$C98,'Karkas Detail'!$B$6:$B$42,$F98,'Karkas Detail'!$C$6:$C$42,$E98)/SUMIFS($Q$36:$Q$127,$C$36:$C$127,$C98,$D$36:$D$127,"Karkas",$F$36:$F$127,$F98,$E$36:$E$127,$E98),SUMIFS('Data SKU'!$G$5:$G$116,'Data SKU'!$A$5:$A$116,$C98,'Data SKU'!$B$5:$B$116,$D98,'Data SKU'!$C$5:$C$116,$E98,'Data SKU'!$D$5:$D$116,8,'Data SKU'!$N$5:$N$116,"Invoiced")/SUMIFS($Q$36:$Q$127,$C$36:$C$127,$C98,$D$36:$D$127,$D98,$E$36:$E$127,$E98))*Q98)+SUMIFS(Unbilled!$U$22:$U$38,Unbilled!$E$22:$E$38,$A98)</f>
        <v>0</v>
      </c>
      <c r="AN98" s="9" t="n">
        <f aca="false">IF(P98=0,0,AM98*AA98/P98)</f>
        <v>0</v>
      </c>
      <c r="AO98" s="9" t="n">
        <f aca="false">IF(P98=0,0,AM98*AB98/P98)</f>
        <v>0</v>
      </c>
      <c r="AP98" s="9" t="n">
        <f aca="false">IF(P98=0,0,AM98*AC98/P98)</f>
        <v>0</v>
      </c>
      <c r="AQ98" s="14" t="n">
        <f aca="false">MIN(U98+V98,MAX(0,O98-M98))</f>
        <v>0</v>
      </c>
      <c r="AR98" s="14" t="n">
        <f aca="false">MAX(0,AQ98-V98)*Z98</f>
        <v>0</v>
      </c>
      <c r="AS98" s="14" t="n">
        <f aca="false">MIN(V98,AQ98)*Z98</f>
        <v>0</v>
      </c>
      <c r="AT98" s="14" t="n">
        <f aca="false">(O98-AQ98)*Z98</f>
        <v>0</v>
      </c>
      <c r="AU98" s="9" t="n">
        <f aca="false">(AR98+AS98+AT98)*BA98</f>
        <v>0</v>
      </c>
      <c r="AV98" s="9" t="n">
        <f aca="false">IF(P98=0,0,AM98*AR98/P98)</f>
        <v>0</v>
      </c>
      <c r="AW98" s="9" t="n">
        <f aca="false">IF(P98=0,0,AM98*AS98/P98)</f>
        <v>0</v>
      </c>
      <c r="AX98" s="9" t="n">
        <f aca="false">IF(P98=0,0,AM98*AT98/P98)</f>
        <v>0</v>
      </c>
      <c r="AY98" s="9" t="n">
        <f aca="false">AH98-AU98</f>
        <v>0</v>
      </c>
      <c r="AZ98" s="9" t="n">
        <f aca="false">IF(M98&gt;0,P98*AG98,0)</f>
        <v>0</v>
      </c>
      <c r="BA98" s="9" t="n">
        <f aca="false">IF(P98=0,0,AH98/P98)</f>
        <v>0</v>
      </c>
      <c r="BB98" s="74" t="s">
        <v>838</v>
      </c>
      <c r="BC98" s="13" t="n">
        <f aca="false">SUMIFS('MA Engine'!$W$6:$W$1110,'MA Engine'!$B$6:$B$1110,$A98,'MA Engine'!$H$6:$H$1110,7,'MA Engine'!$I$6:$I$1110,"DO")</f>
        <v>0</v>
      </c>
      <c r="BD98" s="14" t="n">
        <f aca="false">MIN(MAX(0,H98),J98)</f>
        <v>0</v>
      </c>
      <c r="BE98" s="14" t="n">
        <f aca="false">J98-BD98</f>
        <v>0</v>
      </c>
      <c r="BF98" s="21" t="n">
        <f aca="false">IF(J98=0,0,BC98/J98)</f>
        <v>0</v>
      </c>
      <c r="BG98" s="13" t="n">
        <f aca="false">SUMIFS('MA Engine'!$AH$6:$AH$1110,'MA Engine'!$B$6:$B$1110,$A98,'MA Engine'!$H$6:$H$1110,7,'MA Engine'!$I$6:$I$1110,"DO")</f>
        <v>0</v>
      </c>
      <c r="BH98" s="13" t="n">
        <f aca="false">SUMIFS('MA Engine'!$AI$6:$AI$1110,'MA Engine'!$B$6:$B$1110,$A98,'MA Engine'!$H$6:$H$1110,7,'MA Engine'!$I$6:$I$1110,"DO")+SUMIFS('MA Engine'!$AJ$6:$AJ$1110,'MA Engine'!$B$6:$B$1110,$A98,'MA Engine'!$H$6:$H$1110,7,'MA Engine'!$I$6:$I$1110,"DO")</f>
        <v>0</v>
      </c>
      <c r="BI98" s="7" t="n">
        <f aca="false">IF(H98&gt;0,SUMIFS('MA Engine'!$L$6:$L$1110,'MA Engine'!$B$6:$B$1110,$A98,'MA Engine'!$I$6:$I$1110,"Opening")/H98,0)</f>
        <v>0</v>
      </c>
      <c r="BJ98" s="9" t="n">
        <f aca="false">IF(I98&gt;0,AD98/I98,BI98)</f>
        <v>0</v>
      </c>
      <c r="BK98" s="7" t="n">
        <f aca="false">SUMIFS('MA Engine'!$X$6:$X$1110,'MA Engine'!$B$6:$B$1110,$A98,'MA Engine'!$H$6:$H$1110,7,'MA Engine'!$I$6:$I$1110,"DO")</f>
        <v>0</v>
      </c>
      <c r="BL98" s="7" t="n">
        <f aca="false">SUMIFS('MA Engine'!$AK$6:$AK$1110,'MA Engine'!$B$6:$B$1110,$A98,'MA Engine'!$H$6:$H$1110,7,'MA Engine'!$I$6:$I$1110,"DO")</f>
        <v>0</v>
      </c>
      <c r="BM98" s="7" t="n">
        <f aca="false">SUMIFS('MA Engine'!$AL$6:$AL$1110,'MA Engine'!$B$6:$B$1110,$A98,'MA Engine'!$H$6:$H$1110,7,'MA Engine'!$I$6:$I$1110,"DO")+SUMIFS('MA Engine'!$AM$6:$AM$1110,'MA Engine'!$B$6:$B$1110,$A98,'MA Engine'!$H$6:$H$1110,7,'MA Engine'!$I$6:$I$1110,"DO")</f>
        <v>0</v>
      </c>
      <c r="BN98" s="9" t="n">
        <f aca="false">BK98-BL98-BM98</f>
        <v>0</v>
      </c>
      <c r="BO98" s="7" t="n">
        <f aca="false">IF(BC98=0,0,SUMIFS('Data SKU'!$G$5:$G$116,'Data SKU'!$A$5:$A$116,$C98,'Data SKU'!$B$5:$B$116,$D98,'Data SKU'!$C$5:$C$116,$E98,'Data SKU'!$D$5:$D$116,7,'Data SKU'!$N$5:$N$116,"Invoiced")/SUMIFS($BC$36:$BC$127,$C$36:$C$127,$C98,$D$36:$D$127,$D98,$E$36:$E$127,$E98)*BC98)</f>
        <v>0</v>
      </c>
      <c r="BP98" s="9" t="n">
        <f aca="false">IF(BC98=0,0,BO98*BG98/BC98)</f>
        <v>0</v>
      </c>
      <c r="BQ98" s="9" t="n">
        <f aca="false">IF(BC98=0,0,BO98*BH98/BC98)</f>
        <v>0</v>
      </c>
    </row>
    <row r="99" customFormat="false" ht="15" hidden="false" customHeight="false" outlineLevel="0" collapsed="false">
      <c r="A99" s="74" t="s">
        <v>1011</v>
      </c>
      <c r="B99" s="53" t="str">
        <f aca="false">INDEX(I_Items!$B$5:$B$133,MATCH($A99,I_Items!$A$5:$A$133,0))&amp;""</f>
        <v>Paha Bawah Frozen</v>
      </c>
      <c r="C99" s="53" t="str">
        <f aca="false">INDEX(I_Items!$C$5:$C$133,MATCH($A99,I_Items!$A$5:$A$133,0))&amp;""</f>
        <v>RPA</v>
      </c>
      <c r="D99" s="53" t="str">
        <f aca="false">INDEX(I_Items!$D$5:$D$133,MATCH($A99,I_Items!$A$5:$A$133,0))&amp;""</f>
        <v>Paha (parting)</v>
      </c>
      <c r="E99" s="53" t="str">
        <f aca="false">INDEX(I_Items!$F$5:$F$133,MATCH($A99,I_Items!$A$5:$A$133,0))&amp;""</f>
        <v>Frozen</v>
      </c>
      <c r="F99" s="53" t="str">
        <f aca="false">INDEX(I_Items!$E$5:$E$133,MATCH($A99,I_Items!$A$5:$A$133,0))&amp;""</f>
        <v/>
      </c>
      <c r="G99" s="6" t="str">
        <f aca="false">IF(P99=0,"-",IF(M99=0,"A",IF(K99&lt;=0,"C","B")))</f>
        <v>A</v>
      </c>
      <c r="H99" s="13" t="n">
        <f aca="false">SUMIFS('MA Engine'!$K$6:$K$1110,'MA Engine'!$B$6:$B$1110,$A99,'MA Engine'!$I$6:$I$1110,"Opening")</f>
        <v>1083.21</v>
      </c>
      <c r="I99" s="13" t="n">
        <f aca="false">SUMIFS('MA Engine'!$K$6:$K$1110,'MA Engine'!$B$6:$B$1110,$A99,'MA Engine'!$H$6:$H$1110,7,'MA Engine'!$I$6:$I$1110,"&lt;&gt;Opening")</f>
        <v>0</v>
      </c>
      <c r="J99" s="13" t="n">
        <f aca="false">SUMIFS('MA Engine'!$W$6:$W$1110,'MA Engine'!$B$6:$B$1110,$A99,'MA Engine'!$H$6:$H$1110,7)</f>
        <v>0</v>
      </c>
      <c r="K99" s="14" t="n">
        <f aca="false">H99+I99-J99</f>
        <v>1083.21</v>
      </c>
      <c r="L99" s="7" t="n">
        <f aca="false">SUMIFS('MA Engine'!$L$6:$L$1110,'MA Engine'!$B$6:$B$1110,$A99,'MA Engine'!$I$6:$I$1110,"Opening")+SUMIFS('MA Engine'!$L$6:$L$1110,'MA Engine'!$B$6:$B$1110,$A99,'MA Engine'!$H$6:$H$1110,7,'MA Engine'!$I$6:$I$1110,"&lt;&gt;Opening")-SUMIFS('MA Engine'!$X$6:$X$1110,'MA Engine'!$B$6:$B$1110,$A99,'MA Engine'!$H$6:$H$1110,7)</f>
        <v>34175453.13</v>
      </c>
      <c r="M99" s="13" t="n">
        <f aca="false">SUMIFS('MA Engine'!$K$6:$K$1110,'MA Engine'!$B$6:$B$1110,$A99,'MA Engine'!$H$6:$H$1110,8)</f>
        <v>0</v>
      </c>
      <c r="N99" s="7" t="n">
        <f aca="false">SUMIFS('MA Engine'!$L$6:$L$1110,'MA Engine'!$B$6:$B$1110,$A99,'MA Engine'!$H$6:$H$1110,8)</f>
        <v>0</v>
      </c>
      <c r="O99" s="13" t="n">
        <f aca="false">SUMIFS('MA Engine'!$W$6:$W$1110,'MA Engine'!$B$6:$B$1110,$A99,'MA Engine'!$H$6:$H$1110,8)</f>
        <v>1042.4</v>
      </c>
      <c r="P99" s="14" t="n">
        <f aca="false">Q99+R99</f>
        <v>1042.4</v>
      </c>
      <c r="Q99" s="13" t="n">
        <f aca="false">SUMIFS('MA Engine'!$W$6:$W$1110,'MA Engine'!$B$6:$B$1110,$A99,'MA Engine'!$H$6:$H$1110,8,'MA Engine'!$I$6:$I$1110,"DO",'MA Engine'!$P$6:$P$1110,"&lt;&gt;Y")</f>
        <v>1042.4</v>
      </c>
      <c r="R99" s="13" t="n">
        <f aca="false">SUMIFS('MA Engine'!$W$6:$W$1110,'MA Engine'!$B$6:$B$1110,$A99,'MA Engine'!$H$6:$H$1110,8,'MA Engine'!$I$6:$I$1110,"Unbilled")</f>
        <v>0</v>
      </c>
      <c r="S99" s="13" t="n">
        <f aca="false">SUMIFS('MA Engine'!$W$6:$W$1110,'MA Engine'!$B$6:$B$1110,$A99,'MA Engine'!$H$6:$H$1110,8,'MA Engine'!$P$6:$P$1110,"Y")</f>
        <v>0</v>
      </c>
      <c r="T99" s="14" t="n">
        <f aca="false">O99-P99-S99</f>
        <v>0</v>
      </c>
      <c r="U99" s="14" t="n">
        <f aca="false">MAX(0,H99-J99)</f>
        <v>1083.21</v>
      </c>
      <c r="V99" s="14" t="n">
        <f aca="false">MAX(0,K99-U99)</f>
        <v>0</v>
      </c>
      <c r="W99" s="14" t="n">
        <f aca="false">MIN(U99,O99)</f>
        <v>1042.4</v>
      </c>
      <c r="X99" s="14" t="n">
        <f aca="false">MIN(V99,O99-W99)</f>
        <v>0</v>
      </c>
      <c r="Y99" s="14" t="n">
        <f aca="false">O99-W99-X99</f>
        <v>0</v>
      </c>
      <c r="Z99" s="21" t="n">
        <f aca="false">IF(O99=0,0,P99/O99)</f>
        <v>1</v>
      </c>
      <c r="AA99" s="13" t="n">
        <f aca="false">SUMIFS('MA Engine'!$AH$6:$AH$1110,'MA Engine'!$B$6:$B$1110,$A99,'MA Engine'!$H$6:$H$1110,8,'MA Engine'!$I$6:$I$1110,"DO",'MA Engine'!$P$6:$P$1110,"&lt;&gt;Y")+SUMIFS('MA Engine'!$AH$6:$AH$1110,'MA Engine'!$B$6:$B$1110,$A99,'MA Engine'!$H$6:$H$1110,8,'MA Engine'!$I$6:$I$1110,"Unbilled")</f>
        <v>1042.4</v>
      </c>
      <c r="AB99" s="13" t="n">
        <f aca="false">SUMIFS('MA Engine'!$AI$6:$AI$1110,'MA Engine'!$B$6:$B$1110,$A99,'MA Engine'!$H$6:$H$1110,8,'MA Engine'!$I$6:$I$1110,"DO",'MA Engine'!$P$6:$P$1110,"&lt;&gt;Y")+SUMIFS('MA Engine'!$AI$6:$AI$1110,'MA Engine'!$B$6:$B$1110,$A99,'MA Engine'!$H$6:$H$1110,8,'MA Engine'!$I$6:$I$1110,"Unbilled")</f>
        <v>0</v>
      </c>
      <c r="AC99" s="13" t="n">
        <f aca="false">SUMIFS('MA Engine'!$AJ$6:$AJ$1110,'MA Engine'!$B$6:$B$1110,$A99,'MA Engine'!$H$6:$H$1110,8,'MA Engine'!$I$6:$I$1110,"DO",'MA Engine'!$P$6:$P$1110,"&lt;&gt;Y")+SUMIFS('MA Engine'!$AJ$6:$AJ$1110,'MA Engine'!$B$6:$B$1110,$A99,'MA Engine'!$H$6:$H$1110,8,'MA Engine'!$I$6:$I$1110,"Unbilled")</f>
        <v>0</v>
      </c>
      <c r="AD99" s="7" t="n">
        <f aca="false">SUMIFS('MA Engine'!$L$6:$L$1110,'MA Engine'!$B$6:$B$1110,$A99,'MA Engine'!$H$6:$H$1110,7,'MA Engine'!$I$6:$I$1110,"&lt;&gt;Opening")</f>
        <v>0</v>
      </c>
      <c r="AE99" s="9" t="n">
        <f aca="false">IF(AND(U99&gt;0.0001,(L99-V99*IF(I99&gt;0,AD99/I99,IF(K99&gt;0,L99/K99,0)))&lt;0),IF(K99&gt;0,L99/K99,0),IF(I99&gt;0,AD99/I99,IF(K99&gt;0,L99/K99,0)))</f>
        <v>31550.1639848229</v>
      </c>
      <c r="AF99" s="9" t="n">
        <f aca="false">IF(U99&lt;=0.0001,IF(K99&gt;0,L99/K99,0),IF((L99-V99*IF(I99&gt;0,AD99/I99,IF(K99&gt;0,L99/K99,0)))&lt;0,IF(K99&gt;0,L99/K99,0),(L99-V99*IF(I99&gt;0,AD99/I99,IF(K99&gt;0,L99/K99,0)))/U99))</f>
        <v>31550.1639848229</v>
      </c>
      <c r="AG99" s="9" t="n">
        <f aca="false">IF(M99&gt;0,N99/M99,IF(K99&gt;0,L99/K99,0))</f>
        <v>31550.1639848229</v>
      </c>
      <c r="AH99" s="7" t="n">
        <f aca="false">SUMIFS('MA Engine'!$X$6:$X$1110,'MA Engine'!$B$6:$B$1110,$A99,'MA Engine'!$H$6:$H$1110,8,'MA Engine'!$I$6:$I$1110,"DO",'MA Engine'!$P$6:$P$1110,"&lt;&gt;Y")+SUMIFS('MA Engine'!$X$6:$X$1110,'MA Engine'!$B$6:$B$1110,$A99,'MA Engine'!$H$6:$H$1110,8,'MA Engine'!$I$6:$I$1110,"Unbilled")</f>
        <v>32887890.9377794</v>
      </c>
      <c r="AI99" s="7" t="n">
        <f aca="false">SUMIFS('MA Engine'!$AK$6:$AK$1110,'MA Engine'!$B$6:$B$1110,$A99,'MA Engine'!$H$6:$H$1110,8,'MA Engine'!$I$6:$I$1110,"DO",'MA Engine'!$P$6:$P$1110,"&lt;&gt;Y")+SUMIFS('MA Engine'!$AK$6:$AK$1110,'MA Engine'!$B$6:$B$1110,$A99,'MA Engine'!$H$6:$H$1110,8,'MA Engine'!$I$6:$I$1110,"Unbilled")</f>
        <v>32887890.9377794</v>
      </c>
      <c r="AJ99" s="7" t="n">
        <f aca="false">SUMIFS('MA Engine'!$AL$6:$AL$1110,'MA Engine'!$B$6:$B$1110,$A99,'MA Engine'!$H$6:$H$1110,8,'MA Engine'!$I$6:$I$1110,"DO",'MA Engine'!$P$6:$P$1110,"&lt;&gt;Y")+SUMIFS('MA Engine'!$AL$6:$AL$1110,'MA Engine'!$B$6:$B$1110,$A99,'MA Engine'!$H$6:$H$1110,8,'MA Engine'!$I$6:$I$1110,"Unbilled")</f>
        <v>0</v>
      </c>
      <c r="AK99" s="7" t="n">
        <f aca="false">SUMIFS('MA Engine'!$AM$6:$AM$1110,'MA Engine'!$B$6:$B$1110,$A99,'MA Engine'!$H$6:$H$1110,8,'MA Engine'!$I$6:$I$1110,"DO",'MA Engine'!$P$6:$P$1110,"&lt;&gt;Y")+SUMIFS('MA Engine'!$AM$6:$AM$1110,'MA Engine'!$B$6:$B$1110,$A99,'MA Engine'!$H$6:$H$1110,8,'MA Engine'!$I$6:$I$1110,"Unbilled")</f>
        <v>0</v>
      </c>
      <c r="AL99" s="9" t="n">
        <f aca="false">AH99-AI99-AJ99-AK99</f>
        <v>0</v>
      </c>
      <c r="AM99" s="7" t="n">
        <f aca="false">IF(Q99=0,0,IF($D99="Karkas",SUMIFS('Karkas Detail'!$E$6:$E$42,'Karkas Detail'!$A$6:$A$42,$C99,'Karkas Detail'!$B$6:$B$42,$F99,'Karkas Detail'!$C$6:$C$42,$E99)/SUMIFS($Q$36:$Q$127,$C$36:$C$127,$C99,$D$36:$D$127,"Karkas",$F$36:$F$127,$F99,$E$36:$E$127,$E99),SUMIFS('Data SKU'!$G$5:$G$116,'Data SKU'!$A$5:$A$116,$C99,'Data SKU'!$B$5:$B$116,$D99,'Data SKU'!$C$5:$C$116,$E99,'Data SKU'!$D$5:$D$116,8,'Data SKU'!$N$5:$N$116,"Invoiced")/SUMIFS($Q$36:$Q$127,$C$36:$C$127,$C99,$D$36:$D$127,$D99,$E$36:$E$127,$E99))*Q99)+SUMIFS(Unbilled!$U$22:$U$38,Unbilled!$E$22:$E$38,$A99)</f>
        <v>36484000</v>
      </c>
      <c r="AN99" s="9" t="n">
        <f aca="false">IF(P99=0,0,AM99*AA99/P99)</f>
        <v>36484000</v>
      </c>
      <c r="AO99" s="9" t="n">
        <f aca="false">IF(P99=0,0,AM99*AB99/P99)</f>
        <v>0</v>
      </c>
      <c r="AP99" s="9" t="n">
        <f aca="false">IF(P99=0,0,AM99*AC99/P99)</f>
        <v>0</v>
      </c>
      <c r="AQ99" s="14" t="n">
        <f aca="false">MIN(U99+V99,MAX(0,O99-M99))</f>
        <v>1042.4</v>
      </c>
      <c r="AR99" s="14" t="n">
        <f aca="false">MAX(0,AQ99-V99)*Z99</f>
        <v>1042.4</v>
      </c>
      <c r="AS99" s="14" t="n">
        <f aca="false">MIN(V99,AQ99)*Z99</f>
        <v>0</v>
      </c>
      <c r="AT99" s="14" t="n">
        <f aca="false">(O99-AQ99)*Z99</f>
        <v>0</v>
      </c>
      <c r="AU99" s="9" t="n">
        <f aca="false">(AR99+AS99+AT99)*BA99</f>
        <v>32887890.9377794</v>
      </c>
      <c r="AV99" s="9" t="n">
        <f aca="false">IF(P99=0,0,AM99*AR99/P99)</f>
        <v>36484000</v>
      </c>
      <c r="AW99" s="9" t="n">
        <f aca="false">IF(P99=0,0,AM99*AS99/P99)</f>
        <v>0</v>
      </c>
      <c r="AX99" s="9" t="n">
        <f aca="false">IF(P99=0,0,AM99*AT99/P99)</f>
        <v>0</v>
      </c>
      <c r="AY99" s="9" t="n">
        <f aca="false">AH99-AU99</f>
        <v>0</v>
      </c>
      <c r="AZ99" s="9" t="n">
        <f aca="false">IF(M99&gt;0,P99*AG99,0)</f>
        <v>0</v>
      </c>
      <c r="BA99" s="9" t="n">
        <f aca="false">IF(P99=0,0,AH99/P99)</f>
        <v>31550.1639848229</v>
      </c>
      <c r="BB99" s="74" t="s">
        <v>835</v>
      </c>
      <c r="BC99" s="13" t="n">
        <f aca="false">SUMIFS('MA Engine'!$W$6:$W$1110,'MA Engine'!$B$6:$B$1110,$A99,'MA Engine'!$H$6:$H$1110,7,'MA Engine'!$I$6:$I$1110,"DO")</f>
        <v>0</v>
      </c>
      <c r="BD99" s="14" t="n">
        <f aca="false">MIN(MAX(0,H99),J99)</f>
        <v>0</v>
      </c>
      <c r="BE99" s="14" t="n">
        <f aca="false">J99-BD99</f>
        <v>0</v>
      </c>
      <c r="BF99" s="21" t="n">
        <f aca="false">IF(J99=0,0,BC99/J99)</f>
        <v>0</v>
      </c>
      <c r="BG99" s="13" t="n">
        <f aca="false">SUMIFS('MA Engine'!$AH$6:$AH$1110,'MA Engine'!$B$6:$B$1110,$A99,'MA Engine'!$H$6:$H$1110,7,'MA Engine'!$I$6:$I$1110,"DO")</f>
        <v>0</v>
      </c>
      <c r="BH99" s="13" t="n">
        <f aca="false">SUMIFS('MA Engine'!$AI$6:$AI$1110,'MA Engine'!$B$6:$B$1110,$A99,'MA Engine'!$H$6:$H$1110,7,'MA Engine'!$I$6:$I$1110,"DO")+SUMIFS('MA Engine'!$AJ$6:$AJ$1110,'MA Engine'!$B$6:$B$1110,$A99,'MA Engine'!$H$6:$H$1110,7,'MA Engine'!$I$6:$I$1110,"DO")</f>
        <v>0</v>
      </c>
      <c r="BI99" s="7" t="n">
        <f aca="false">IF(H99&gt;0,SUMIFS('MA Engine'!$L$6:$L$1110,'MA Engine'!$B$6:$B$1110,$A99,'MA Engine'!$I$6:$I$1110,"Opening")/H99,0)</f>
        <v>31550.1639848229</v>
      </c>
      <c r="BJ99" s="9" t="n">
        <f aca="false">IF(I99&gt;0,AD99/I99,BI99)</f>
        <v>31550.1639848229</v>
      </c>
      <c r="BK99" s="7" t="n">
        <f aca="false">SUMIFS('MA Engine'!$X$6:$X$1110,'MA Engine'!$B$6:$B$1110,$A99,'MA Engine'!$H$6:$H$1110,7,'MA Engine'!$I$6:$I$1110,"DO")</f>
        <v>0</v>
      </c>
      <c r="BL99" s="7" t="n">
        <f aca="false">SUMIFS('MA Engine'!$AK$6:$AK$1110,'MA Engine'!$B$6:$B$1110,$A99,'MA Engine'!$H$6:$H$1110,7,'MA Engine'!$I$6:$I$1110,"DO")</f>
        <v>0</v>
      </c>
      <c r="BM99" s="7" t="n">
        <f aca="false">SUMIFS('MA Engine'!$AL$6:$AL$1110,'MA Engine'!$B$6:$B$1110,$A99,'MA Engine'!$H$6:$H$1110,7,'MA Engine'!$I$6:$I$1110,"DO")+SUMIFS('MA Engine'!$AM$6:$AM$1110,'MA Engine'!$B$6:$B$1110,$A99,'MA Engine'!$H$6:$H$1110,7,'MA Engine'!$I$6:$I$1110,"DO")</f>
        <v>0</v>
      </c>
      <c r="BN99" s="9" t="n">
        <f aca="false">BK99-BL99-BM99</f>
        <v>0</v>
      </c>
      <c r="BO99" s="7" t="n">
        <f aca="false">IF(BC99=0,0,SUMIFS('Data SKU'!$G$5:$G$116,'Data SKU'!$A$5:$A$116,$C99,'Data SKU'!$B$5:$B$116,$D99,'Data SKU'!$C$5:$C$116,$E99,'Data SKU'!$D$5:$D$116,7,'Data SKU'!$N$5:$N$116,"Invoiced")/SUMIFS($BC$36:$BC$127,$C$36:$C$127,$C99,$D$36:$D$127,$D99,$E$36:$E$127,$E99)*BC99)</f>
        <v>0</v>
      </c>
      <c r="BP99" s="9" t="n">
        <f aca="false">IF(BC99=0,0,BO99*BG99/BC99)</f>
        <v>0</v>
      </c>
      <c r="BQ99" s="9" t="n">
        <f aca="false">IF(BC99=0,0,BO99*BH99/BC99)</f>
        <v>0</v>
      </c>
    </row>
    <row r="100" customFormat="false" ht="15" hidden="false" customHeight="false" outlineLevel="0" collapsed="false">
      <c r="A100" s="74" t="s">
        <v>1012</v>
      </c>
      <c r="B100" s="53" t="str">
        <f aca="false">INDEX(I_Items!$B$5:$B$133,MATCH($A100,I_Items!$A$5:$A$133,0))&amp;""</f>
        <v>Ayam Karkas Mix</v>
      </c>
      <c r="C100" s="53" t="str">
        <f aca="false">INDEX(I_Items!$C$5:$C$133,MATCH($A100,I_Items!$A$5:$A$133,0))&amp;""</f>
        <v>RPA</v>
      </c>
      <c r="D100" s="53" t="str">
        <f aca="false">INDEX(I_Items!$D$5:$D$133,MATCH($A100,I_Items!$A$5:$A$133,0))&amp;""</f>
        <v>Karkas</v>
      </c>
      <c r="E100" s="53" t="str">
        <f aca="false">INDEX(I_Items!$F$5:$F$133,MATCH($A100,I_Items!$A$5:$A$133,0))&amp;""</f>
        <v>Not stated in item master</v>
      </c>
      <c r="F100" s="53" t="str">
        <f aca="false">INDEX(I_Items!$E$5:$E$133,MATCH($A100,I_Items!$A$5:$A$133,0))&amp;""</f>
        <v>Mix</v>
      </c>
      <c r="G100" s="6" t="str">
        <f aca="false">IF(P100=0,"-",IF(M100=0,"A",IF(K100&lt;=0,"C","B")))</f>
        <v>A</v>
      </c>
      <c r="H100" s="13" t="n">
        <f aca="false">SUMIFS('MA Engine'!$K$6:$K$1110,'MA Engine'!$B$6:$B$1110,$A100,'MA Engine'!$I$6:$I$1110,"Opening")</f>
        <v>1212.8</v>
      </c>
      <c r="I100" s="13" t="n">
        <f aca="false">SUMIFS('MA Engine'!$K$6:$K$1110,'MA Engine'!$B$6:$B$1110,$A100,'MA Engine'!$H$6:$H$1110,7,'MA Engine'!$I$6:$I$1110,"&lt;&gt;Opening")</f>
        <v>0</v>
      </c>
      <c r="J100" s="13" t="n">
        <f aca="false">SUMIFS('MA Engine'!$W$6:$W$1110,'MA Engine'!$B$6:$B$1110,$A100,'MA Engine'!$H$6:$H$1110,7)</f>
        <v>0</v>
      </c>
      <c r="K100" s="14" t="n">
        <f aca="false">H100+I100-J100</f>
        <v>1212.8</v>
      </c>
      <c r="L100" s="7" t="n">
        <f aca="false">SUMIFS('MA Engine'!$L$6:$L$1110,'MA Engine'!$B$6:$B$1110,$A100,'MA Engine'!$I$6:$I$1110,"Opening")+SUMIFS('MA Engine'!$L$6:$L$1110,'MA Engine'!$B$6:$B$1110,$A100,'MA Engine'!$H$6:$H$1110,7,'MA Engine'!$I$6:$I$1110,"&lt;&gt;Opening")-SUMIFS('MA Engine'!$X$6:$X$1110,'MA Engine'!$B$6:$B$1110,$A100,'MA Engine'!$H$6:$H$1110,7)</f>
        <v>32864528.99</v>
      </c>
      <c r="M100" s="13" t="n">
        <f aca="false">SUMIFS('MA Engine'!$K$6:$K$1110,'MA Engine'!$B$6:$B$1110,$A100,'MA Engine'!$H$6:$H$1110,8)</f>
        <v>0</v>
      </c>
      <c r="N100" s="7" t="n">
        <f aca="false">SUMIFS('MA Engine'!$L$6:$L$1110,'MA Engine'!$B$6:$B$1110,$A100,'MA Engine'!$H$6:$H$1110,8)</f>
        <v>0</v>
      </c>
      <c r="O100" s="13" t="n">
        <f aca="false">SUMIFS('MA Engine'!$W$6:$W$1110,'MA Engine'!$B$6:$B$1110,$A100,'MA Engine'!$H$6:$H$1110,8)</f>
        <v>1412.64</v>
      </c>
      <c r="P100" s="14" t="n">
        <f aca="false">Q100+R100</f>
        <v>1412.64</v>
      </c>
      <c r="Q100" s="13" t="n">
        <f aca="false">SUMIFS('MA Engine'!$W$6:$W$1110,'MA Engine'!$B$6:$B$1110,$A100,'MA Engine'!$H$6:$H$1110,8,'MA Engine'!$I$6:$I$1110,"DO",'MA Engine'!$P$6:$P$1110,"&lt;&gt;Y")</f>
        <v>811.29</v>
      </c>
      <c r="R100" s="13" t="n">
        <f aca="false">SUMIFS('MA Engine'!$W$6:$W$1110,'MA Engine'!$B$6:$B$1110,$A100,'MA Engine'!$H$6:$H$1110,8,'MA Engine'!$I$6:$I$1110,"Unbilled")</f>
        <v>601.35</v>
      </c>
      <c r="S100" s="13" t="n">
        <f aca="false">SUMIFS('MA Engine'!$W$6:$W$1110,'MA Engine'!$B$6:$B$1110,$A100,'MA Engine'!$H$6:$H$1110,8,'MA Engine'!$P$6:$P$1110,"Y")</f>
        <v>0</v>
      </c>
      <c r="T100" s="14" t="n">
        <f aca="false">O100-P100-S100</f>
        <v>0</v>
      </c>
      <c r="U100" s="14" t="n">
        <f aca="false">MAX(0,H100-J100)</f>
        <v>1212.8</v>
      </c>
      <c r="V100" s="14" t="n">
        <f aca="false">MAX(0,K100-U100)</f>
        <v>0</v>
      </c>
      <c r="W100" s="14" t="n">
        <f aca="false">MIN(U100,O100)</f>
        <v>1212.8</v>
      </c>
      <c r="X100" s="14" t="n">
        <f aca="false">MIN(V100,O100-W100)</f>
        <v>0</v>
      </c>
      <c r="Y100" s="14" t="n">
        <f aca="false">O100-W100-X100</f>
        <v>199.84</v>
      </c>
      <c r="Z100" s="21" t="n">
        <f aca="false">IF(O100=0,0,P100/O100)</f>
        <v>1</v>
      </c>
      <c r="AA100" s="13" t="n">
        <f aca="false">SUMIFS('MA Engine'!$AH$6:$AH$1110,'MA Engine'!$B$6:$B$1110,$A100,'MA Engine'!$H$6:$H$1110,8,'MA Engine'!$I$6:$I$1110,"DO",'MA Engine'!$P$6:$P$1110,"&lt;&gt;Y")+SUMIFS('MA Engine'!$AH$6:$AH$1110,'MA Engine'!$B$6:$B$1110,$A100,'MA Engine'!$H$6:$H$1110,8,'MA Engine'!$I$6:$I$1110,"Unbilled")</f>
        <v>1212.8</v>
      </c>
      <c r="AB100" s="13" t="n">
        <f aca="false">SUMIFS('MA Engine'!$AI$6:$AI$1110,'MA Engine'!$B$6:$B$1110,$A100,'MA Engine'!$H$6:$H$1110,8,'MA Engine'!$I$6:$I$1110,"DO",'MA Engine'!$P$6:$P$1110,"&lt;&gt;Y")+SUMIFS('MA Engine'!$AI$6:$AI$1110,'MA Engine'!$B$6:$B$1110,$A100,'MA Engine'!$H$6:$H$1110,8,'MA Engine'!$I$6:$I$1110,"Unbilled")</f>
        <v>0</v>
      </c>
      <c r="AC100" s="13" t="n">
        <f aca="false">SUMIFS('MA Engine'!$AJ$6:$AJ$1110,'MA Engine'!$B$6:$B$1110,$A100,'MA Engine'!$H$6:$H$1110,8,'MA Engine'!$I$6:$I$1110,"DO",'MA Engine'!$P$6:$P$1110,"&lt;&gt;Y")+SUMIFS('MA Engine'!$AJ$6:$AJ$1110,'MA Engine'!$B$6:$B$1110,$A100,'MA Engine'!$H$6:$H$1110,8,'MA Engine'!$I$6:$I$1110,"Unbilled")</f>
        <v>199.84</v>
      </c>
      <c r="AD100" s="7" t="n">
        <f aca="false">SUMIFS('MA Engine'!$L$6:$L$1110,'MA Engine'!$B$6:$B$1110,$A100,'MA Engine'!$H$6:$H$1110,7,'MA Engine'!$I$6:$I$1110,"&lt;&gt;Opening")</f>
        <v>0</v>
      </c>
      <c r="AE100" s="9" t="n">
        <f aca="false">IF(AND(U100&gt;0.0001,(L100-V100*IF(I100&gt;0,AD100/I100,IF(K100&gt;0,L100/K100,0)))&lt;0),IF(K100&gt;0,L100/K100,0),IF(I100&gt;0,AD100/I100,IF(K100&gt;0,L100/K100,0)))</f>
        <v>27098.0615023087</v>
      </c>
      <c r="AF100" s="9" t="n">
        <f aca="false">IF(U100&lt;=0.0001,IF(K100&gt;0,L100/K100,0),IF((L100-V100*IF(I100&gt;0,AD100/I100,IF(K100&gt;0,L100/K100,0)))&lt;0,IF(K100&gt;0,L100/K100,0),(L100-V100*IF(I100&gt;0,AD100/I100,IF(K100&gt;0,L100/K100,0)))/U100))</f>
        <v>27098.0615023087</v>
      </c>
      <c r="AG100" s="9" t="n">
        <f aca="false">IF(M100&gt;0,N100/M100,IF(K100&gt;0,L100/K100,0))</f>
        <v>27098.0615023087</v>
      </c>
      <c r="AH100" s="7" t="n">
        <f aca="false">SUMIFS('MA Engine'!$X$6:$X$1110,'MA Engine'!$B$6:$B$1110,$A100,'MA Engine'!$H$6:$H$1110,8,'MA Engine'!$I$6:$I$1110,"DO",'MA Engine'!$P$6:$P$1110,"&lt;&gt;Y")+SUMIFS('MA Engine'!$X$6:$X$1110,'MA Engine'!$B$6:$B$1110,$A100,'MA Engine'!$H$6:$H$1110,8,'MA Engine'!$I$6:$I$1110,"Unbilled")</f>
        <v>38279805.6006214</v>
      </c>
      <c r="AI100" s="7" t="n">
        <f aca="false">SUMIFS('MA Engine'!$AK$6:$AK$1110,'MA Engine'!$B$6:$B$1110,$A100,'MA Engine'!$H$6:$H$1110,8,'MA Engine'!$I$6:$I$1110,"DO",'MA Engine'!$P$6:$P$1110,"&lt;&gt;Y")+SUMIFS('MA Engine'!$AK$6:$AK$1110,'MA Engine'!$B$6:$B$1110,$A100,'MA Engine'!$H$6:$H$1110,8,'MA Engine'!$I$6:$I$1110,"Unbilled")</f>
        <v>32864528.99</v>
      </c>
      <c r="AJ100" s="7" t="n">
        <f aca="false">SUMIFS('MA Engine'!$AL$6:$AL$1110,'MA Engine'!$B$6:$B$1110,$A100,'MA Engine'!$H$6:$H$1110,8,'MA Engine'!$I$6:$I$1110,"DO",'MA Engine'!$P$6:$P$1110,"&lt;&gt;Y")+SUMIFS('MA Engine'!$AL$6:$AL$1110,'MA Engine'!$B$6:$B$1110,$A100,'MA Engine'!$H$6:$H$1110,8,'MA Engine'!$I$6:$I$1110,"Unbilled")</f>
        <v>0</v>
      </c>
      <c r="AK100" s="7" t="n">
        <f aca="false">SUMIFS('MA Engine'!$AM$6:$AM$1110,'MA Engine'!$B$6:$B$1110,$A100,'MA Engine'!$H$6:$H$1110,8,'MA Engine'!$I$6:$I$1110,"DO",'MA Engine'!$P$6:$P$1110,"&lt;&gt;Y")+SUMIFS('MA Engine'!$AM$6:$AM$1110,'MA Engine'!$B$6:$B$1110,$A100,'MA Engine'!$H$6:$H$1110,8,'MA Engine'!$I$6:$I$1110,"Unbilled")</f>
        <v>5415276.61062137</v>
      </c>
      <c r="AL100" s="9" t="n">
        <f aca="false">AH100-AI100-AJ100-AK100</f>
        <v>0</v>
      </c>
      <c r="AM100" s="7" t="n">
        <f aca="false">IF(Q100=0,0,IF($D100="Karkas",SUMIFS('Karkas Detail'!$E$6:$E$42,'Karkas Detail'!$A$6:$A$42,$C100,'Karkas Detail'!$B$6:$B$42,$F100,'Karkas Detail'!$C$6:$C$42,$E100)/SUMIFS($Q$36:$Q$127,$C$36:$C$127,$C100,$D$36:$D$127,"Karkas",$F$36:$F$127,$F100,$E$36:$E$127,$E100),SUMIFS('Data SKU'!$G$5:$G$116,'Data SKU'!$A$5:$A$116,$C100,'Data SKU'!$B$5:$B$116,$D100,'Data SKU'!$C$5:$C$116,$E100,'Data SKU'!$D$5:$D$116,8,'Data SKU'!$N$5:$N$116,"Invoiced")/SUMIFS($Q$36:$Q$127,$C$36:$C$127,$C100,$D$36:$D$127,$D100,$E$36:$E$127,$E100))*Q100)+SUMIFS(Unbilled!$U$22:$U$38,Unbilled!$E$22:$E$38,$A100)</f>
        <v>41199111.3134241</v>
      </c>
      <c r="AN100" s="9" t="n">
        <f aca="false">IF(P100=0,0,AM100*AA100/P100)</f>
        <v>35370853.2966083</v>
      </c>
      <c r="AO100" s="9" t="n">
        <f aca="false">IF(P100=0,0,AM100*AB100/P100)</f>
        <v>0</v>
      </c>
      <c r="AP100" s="9" t="n">
        <f aca="false">IF(P100=0,0,AM100*AC100/P100)</f>
        <v>5828258.0168158</v>
      </c>
      <c r="AQ100" s="14" t="n">
        <f aca="false">MIN(U100+V100,MAX(0,O100-M100))</f>
        <v>1212.8</v>
      </c>
      <c r="AR100" s="14" t="n">
        <f aca="false">MAX(0,AQ100-V100)*Z100</f>
        <v>1212.8</v>
      </c>
      <c r="AS100" s="14" t="n">
        <f aca="false">MIN(V100,AQ100)*Z100</f>
        <v>0</v>
      </c>
      <c r="AT100" s="14" t="n">
        <f aca="false">(O100-AQ100)*Z100</f>
        <v>199.84</v>
      </c>
      <c r="AU100" s="9" t="n">
        <f aca="false">(AR100+AS100+AT100)*BA100</f>
        <v>38279805.6006214</v>
      </c>
      <c r="AV100" s="9" t="n">
        <f aca="false">IF(P100=0,0,AM100*AR100/P100)</f>
        <v>35370853.2966083</v>
      </c>
      <c r="AW100" s="9" t="n">
        <f aca="false">IF(P100=0,0,AM100*AS100/P100)</f>
        <v>0</v>
      </c>
      <c r="AX100" s="9" t="n">
        <f aca="false">IF(P100=0,0,AM100*AT100/P100)</f>
        <v>5828258.0168158</v>
      </c>
      <c r="AY100" s="9" t="n">
        <f aca="false">AH100-AU100</f>
        <v>0</v>
      </c>
      <c r="AZ100" s="9" t="n">
        <f aca="false">IF(M100&gt;0,P100*AG100,0)</f>
        <v>0</v>
      </c>
      <c r="BA100" s="9" t="n">
        <f aca="false">IF(P100=0,0,AH100/P100)</f>
        <v>27098.0615023087</v>
      </c>
      <c r="BB100" s="74" t="s">
        <v>839</v>
      </c>
      <c r="BC100" s="13" t="n">
        <f aca="false">SUMIFS('MA Engine'!$W$6:$W$1110,'MA Engine'!$B$6:$B$1110,$A100,'MA Engine'!$H$6:$H$1110,7,'MA Engine'!$I$6:$I$1110,"DO")</f>
        <v>0</v>
      </c>
      <c r="BD100" s="14" t="n">
        <f aca="false">MIN(MAX(0,H100),J100)</f>
        <v>0</v>
      </c>
      <c r="BE100" s="14" t="n">
        <f aca="false">J100-BD100</f>
        <v>0</v>
      </c>
      <c r="BF100" s="21" t="n">
        <f aca="false">IF(J100=0,0,BC100/J100)</f>
        <v>0</v>
      </c>
      <c r="BG100" s="13" t="n">
        <f aca="false">SUMIFS('MA Engine'!$AH$6:$AH$1110,'MA Engine'!$B$6:$B$1110,$A100,'MA Engine'!$H$6:$H$1110,7,'MA Engine'!$I$6:$I$1110,"DO")</f>
        <v>0</v>
      </c>
      <c r="BH100" s="13" t="n">
        <f aca="false">SUMIFS('MA Engine'!$AI$6:$AI$1110,'MA Engine'!$B$6:$B$1110,$A100,'MA Engine'!$H$6:$H$1110,7,'MA Engine'!$I$6:$I$1110,"DO")+SUMIFS('MA Engine'!$AJ$6:$AJ$1110,'MA Engine'!$B$6:$B$1110,$A100,'MA Engine'!$H$6:$H$1110,7,'MA Engine'!$I$6:$I$1110,"DO")</f>
        <v>0</v>
      </c>
      <c r="BI100" s="7" t="n">
        <f aca="false">IF(H100&gt;0,SUMIFS('MA Engine'!$L$6:$L$1110,'MA Engine'!$B$6:$B$1110,$A100,'MA Engine'!$I$6:$I$1110,"Opening")/H100,0)</f>
        <v>27098.0615023087</v>
      </c>
      <c r="BJ100" s="9" t="n">
        <f aca="false">IF(I100&gt;0,AD100/I100,BI100)</f>
        <v>27098.0615023087</v>
      </c>
      <c r="BK100" s="7" t="n">
        <f aca="false">SUMIFS('MA Engine'!$X$6:$X$1110,'MA Engine'!$B$6:$B$1110,$A100,'MA Engine'!$H$6:$H$1110,7,'MA Engine'!$I$6:$I$1110,"DO")</f>
        <v>0</v>
      </c>
      <c r="BL100" s="7" t="n">
        <f aca="false">SUMIFS('MA Engine'!$AK$6:$AK$1110,'MA Engine'!$B$6:$B$1110,$A100,'MA Engine'!$H$6:$H$1110,7,'MA Engine'!$I$6:$I$1110,"DO")</f>
        <v>0</v>
      </c>
      <c r="BM100" s="7" t="n">
        <f aca="false">SUMIFS('MA Engine'!$AL$6:$AL$1110,'MA Engine'!$B$6:$B$1110,$A100,'MA Engine'!$H$6:$H$1110,7,'MA Engine'!$I$6:$I$1110,"DO")+SUMIFS('MA Engine'!$AM$6:$AM$1110,'MA Engine'!$B$6:$B$1110,$A100,'MA Engine'!$H$6:$H$1110,7,'MA Engine'!$I$6:$I$1110,"DO")</f>
        <v>0</v>
      </c>
      <c r="BN100" s="9" t="n">
        <f aca="false">BK100-BL100-BM100</f>
        <v>0</v>
      </c>
      <c r="BO100" s="7" t="n">
        <f aca="false">IF(BC100=0,0,SUMIFS('Data SKU'!$G$5:$G$116,'Data SKU'!$A$5:$A$116,$C100,'Data SKU'!$B$5:$B$116,$D100,'Data SKU'!$C$5:$C$116,$E100,'Data SKU'!$D$5:$D$116,7,'Data SKU'!$N$5:$N$116,"Invoiced")/SUMIFS($BC$36:$BC$127,$C$36:$C$127,$C100,$D$36:$D$127,$D100,$E$36:$E$127,$E100)*BC100)</f>
        <v>0</v>
      </c>
      <c r="BP100" s="9" t="n">
        <f aca="false">IF(BC100=0,0,BO100*BG100/BC100)</f>
        <v>0</v>
      </c>
      <c r="BQ100" s="9" t="n">
        <f aca="false">IF(BC100=0,0,BO100*BH100/BC100)</f>
        <v>0</v>
      </c>
    </row>
    <row r="101" customFormat="false" ht="15" hidden="false" customHeight="false" outlineLevel="0" collapsed="false">
      <c r="A101" s="74" t="s">
        <v>1013</v>
      </c>
      <c r="B101" s="53" t="str">
        <f aca="false">INDEX(I_Items!$B$5:$B$133,MATCH($A101,I_Items!$A$5:$A$133,0))&amp;""</f>
        <v>Karkas Uk 0.9 Frozen Premium</v>
      </c>
      <c r="C101" s="53" t="str">
        <f aca="false">INDEX(I_Items!$C$5:$C$133,MATCH($A101,I_Items!$A$5:$A$133,0))&amp;""</f>
        <v>RPA</v>
      </c>
      <c r="D101" s="53" t="str">
        <f aca="false">INDEX(I_Items!$D$5:$D$133,MATCH($A101,I_Items!$A$5:$A$133,0))&amp;""</f>
        <v>Karkas</v>
      </c>
      <c r="E101" s="53" t="str">
        <f aca="false">INDEX(I_Items!$F$5:$F$133,MATCH($A101,I_Items!$A$5:$A$133,0))&amp;""</f>
        <v>Frozen</v>
      </c>
      <c r="F101" s="53" t="str">
        <f aca="false">INDEX(I_Items!$E$5:$E$133,MATCH($A101,I_Items!$A$5:$A$133,0))&amp;""</f>
        <v>Uk 0.9</v>
      </c>
      <c r="G101" s="6" t="str">
        <f aca="false">IF(P101=0,"-",IF(M101=0,"A",IF(K101&lt;=0,"C","B")))</f>
        <v>B</v>
      </c>
      <c r="H101" s="13" t="n">
        <f aca="false">SUMIFS('MA Engine'!$K$6:$K$1110,'MA Engine'!$B$6:$B$1110,$A101,'MA Engine'!$I$6:$I$1110,"Opening")</f>
        <v>182.92</v>
      </c>
      <c r="I101" s="13" t="n">
        <f aca="false">SUMIFS('MA Engine'!$K$6:$K$1110,'MA Engine'!$B$6:$B$1110,$A101,'MA Engine'!$H$6:$H$1110,7,'MA Engine'!$I$6:$I$1110,"&lt;&gt;Opening")</f>
        <v>51.54</v>
      </c>
      <c r="J101" s="13" t="n">
        <f aca="false">SUMIFS('MA Engine'!$W$6:$W$1110,'MA Engine'!$B$6:$B$1110,$A101,'MA Engine'!$H$6:$H$1110,7)</f>
        <v>0</v>
      </c>
      <c r="K101" s="14" t="n">
        <f aca="false">H101+I101-J101</f>
        <v>234.46</v>
      </c>
      <c r="L101" s="7" t="n">
        <f aca="false">SUMIFS('MA Engine'!$L$6:$L$1110,'MA Engine'!$B$6:$B$1110,$A101,'MA Engine'!$I$6:$I$1110,"Opening")+SUMIFS('MA Engine'!$L$6:$L$1110,'MA Engine'!$B$6:$B$1110,$A101,'MA Engine'!$H$6:$H$1110,7,'MA Engine'!$I$6:$I$1110,"&lt;&gt;Opening")-SUMIFS('MA Engine'!$X$6:$X$1110,'MA Engine'!$B$6:$B$1110,$A101,'MA Engine'!$H$6:$H$1110,7)</f>
        <v>14495083.53</v>
      </c>
      <c r="M101" s="13" t="n">
        <f aca="false">SUMIFS('MA Engine'!$K$6:$K$1110,'MA Engine'!$B$6:$B$1110,$A101,'MA Engine'!$H$6:$H$1110,8)</f>
        <v>2216.5</v>
      </c>
      <c r="N101" s="7" t="n">
        <f aca="false">SUMIFS('MA Engine'!$L$6:$L$1110,'MA Engine'!$B$6:$B$1110,$A101,'MA Engine'!$H$6:$H$1110,8)</f>
        <v>83439050.67</v>
      </c>
      <c r="O101" s="13" t="n">
        <f aca="false">SUMIFS('MA Engine'!$W$6:$W$1110,'MA Engine'!$B$6:$B$1110,$A101,'MA Engine'!$H$6:$H$1110,8)</f>
        <v>1012.57</v>
      </c>
      <c r="P101" s="14" t="n">
        <f aca="false">Q101+R101</f>
        <v>1012.57</v>
      </c>
      <c r="Q101" s="13" t="n">
        <f aca="false">SUMIFS('MA Engine'!$W$6:$W$1110,'MA Engine'!$B$6:$B$1110,$A101,'MA Engine'!$H$6:$H$1110,8,'MA Engine'!$I$6:$I$1110,"DO",'MA Engine'!$P$6:$P$1110,"&lt;&gt;Y")</f>
        <v>1012.57</v>
      </c>
      <c r="R101" s="13" t="n">
        <f aca="false">SUMIFS('MA Engine'!$W$6:$W$1110,'MA Engine'!$B$6:$B$1110,$A101,'MA Engine'!$H$6:$H$1110,8,'MA Engine'!$I$6:$I$1110,"Unbilled")</f>
        <v>0</v>
      </c>
      <c r="S101" s="13" t="n">
        <f aca="false">SUMIFS('MA Engine'!$W$6:$W$1110,'MA Engine'!$B$6:$B$1110,$A101,'MA Engine'!$H$6:$H$1110,8,'MA Engine'!$P$6:$P$1110,"Y")</f>
        <v>0</v>
      </c>
      <c r="T101" s="14" t="n">
        <f aca="false">O101-P101-S101</f>
        <v>0</v>
      </c>
      <c r="U101" s="14" t="n">
        <f aca="false">MAX(0,H101-J101)</f>
        <v>182.92</v>
      </c>
      <c r="V101" s="14" t="n">
        <f aca="false">MAX(0,K101-U101)</f>
        <v>51.54</v>
      </c>
      <c r="W101" s="14" t="n">
        <f aca="false">MIN(U101,O101)</f>
        <v>182.92</v>
      </c>
      <c r="X101" s="14" t="n">
        <f aca="false">MIN(V101,O101-W101)</f>
        <v>51.54</v>
      </c>
      <c r="Y101" s="14" t="n">
        <f aca="false">O101-W101-X101</f>
        <v>778.11</v>
      </c>
      <c r="Z101" s="21" t="n">
        <f aca="false">IF(O101=0,0,P101/O101)</f>
        <v>1</v>
      </c>
      <c r="AA101" s="13" t="n">
        <f aca="false">SUMIFS('MA Engine'!$AH$6:$AH$1110,'MA Engine'!$B$6:$B$1110,$A101,'MA Engine'!$H$6:$H$1110,8,'MA Engine'!$I$6:$I$1110,"DO",'MA Engine'!$P$6:$P$1110,"&lt;&gt;Y")+SUMIFS('MA Engine'!$AH$6:$AH$1110,'MA Engine'!$B$6:$B$1110,$A101,'MA Engine'!$H$6:$H$1110,8,'MA Engine'!$I$6:$I$1110,"Unbilled")</f>
        <v>182.92</v>
      </c>
      <c r="AB101" s="13" t="n">
        <f aca="false">SUMIFS('MA Engine'!$AI$6:$AI$1110,'MA Engine'!$B$6:$B$1110,$A101,'MA Engine'!$H$6:$H$1110,8,'MA Engine'!$I$6:$I$1110,"DO",'MA Engine'!$P$6:$P$1110,"&lt;&gt;Y")+SUMIFS('MA Engine'!$AI$6:$AI$1110,'MA Engine'!$B$6:$B$1110,$A101,'MA Engine'!$H$6:$H$1110,8,'MA Engine'!$I$6:$I$1110,"Unbilled")</f>
        <v>51.54</v>
      </c>
      <c r="AC101" s="13" t="n">
        <f aca="false">SUMIFS('MA Engine'!$AJ$6:$AJ$1110,'MA Engine'!$B$6:$B$1110,$A101,'MA Engine'!$H$6:$H$1110,8,'MA Engine'!$I$6:$I$1110,"DO",'MA Engine'!$P$6:$P$1110,"&lt;&gt;Y")+SUMIFS('MA Engine'!$AJ$6:$AJ$1110,'MA Engine'!$B$6:$B$1110,$A101,'MA Engine'!$H$6:$H$1110,8,'MA Engine'!$I$6:$I$1110,"Unbilled")</f>
        <v>778.11</v>
      </c>
      <c r="AD101" s="7" t="n">
        <f aca="false">SUMIFS('MA Engine'!$L$6:$L$1110,'MA Engine'!$B$6:$B$1110,$A101,'MA Engine'!$H$6:$H$1110,7,'MA Engine'!$I$6:$I$1110,"&lt;&gt;Opening")</f>
        <v>1447045.08</v>
      </c>
      <c r="AE101" s="9" t="n">
        <f aca="false">IF(AND(U101&gt;0.0001,(L101-V101*IF(I101&gt;0,AD101/I101,IF(K101&gt;0,L101/K101,0)))&lt;0),IF(K101&gt;0,L101/K101,0),IF(I101&gt;0,AD101/I101,IF(K101&gt;0,L101/K101,0)))</f>
        <v>28076.1559953434</v>
      </c>
      <c r="AF101" s="9" t="n">
        <f aca="false">IF(U101&lt;=0.0001,IF(K101&gt;0,L101/K101,0),IF((L101-V101*IF(I101&gt;0,AD101/I101,IF(K101&gt;0,L101/K101,0)))&lt;0,IF(K101&gt;0,L101/K101,0),(L101-V101*IF(I101&gt;0,AD101/I101,IF(K101&gt;0,L101/K101,0)))/U101))</f>
        <v>71331.9399190903</v>
      </c>
      <c r="AG101" s="9" t="n">
        <f aca="false">IF(M101&gt;0,N101/M101,IF(K101&gt;0,L101/K101,0))</f>
        <v>37644.5074080758</v>
      </c>
      <c r="AH101" s="7" t="n">
        <f aca="false">SUMIFS('MA Engine'!$X$6:$X$1110,'MA Engine'!$B$6:$B$1110,$A101,'MA Engine'!$H$6:$H$1110,8,'MA Engine'!$I$6:$I$1110,"DO",'MA Engine'!$P$6:$P$1110,"&lt;&gt;Y")+SUMIFS('MA Engine'!$X$6:$X$1110,'MA Engine'!$B$6:$B$1110,$A101,'MA Engine'!$H$6:$H$1110,8,'MA Engine'!$I$6:$I$1110,"Unbilled")</f>
        <v>41771965.3645615</v>
      </c>
      <c r="AI101" s="7" t="n">
        <f aca="false">SUMIFS('MA Engine'!$AK$6:$AK$1110,'MA Engine'!$B$6:$B$1110,$A101,'MA Engine'!$H$6:$H$1110,8,'MA Engine'!$I$6:$I$1110,"DO",'MA Engine'!$P$6:$P$1110,"&lt;&gt;Y")+SUMIFS('MA Engine'!$AK$6:$AK$1110,'MA Engine'!$B$6:$B$1110,$A101,'MA Engine'!$H$6:$H$1110,8,'MA Engine'!$I$6:$I$1110,"Unbilled")</f>
        <v>7546073.75735563</v>
      </c>
      <c r="AJ101" s="7" t="n">
        <f aca="false">SUMIFS('MA Engine'!$AL$6:$AL$1110,'MA Engine'!$B$6:$B$1110,$A101,'MA Engine'!$H$6:$H$1110,8,'MA Engine'!$I$6:$I$1110,"DO",'MA Engine'!$P$6:$P$1110,"&lt;&gt;Y")+SUMIFS('MA Engine'!$AL$6:$AL$1110,'MA Engine'!$B$6:$B$1110,$A101,'MA Engine'!$H$6:$H$1110,8,'MA Engine'!$I$6:$I$1110,"Unbilled")</f>
        <v>2126200.75144385</v>
      </c>
      <c r="AK101" s="7" t="n">
        <f aca="false">SUMIFS('MA Engine'!$AM$6:$AM$1110,'MA Engine'!$B$6:$B$1110,$A101,'MA Engine'!$H$6:$H$1110,8,'MA Engine'!$I$6:$I$1110,"DO",'MA Engine'!$P$6:$P$1110,"&lt;&gt;Y")+SUMIFS('MA Engine'!$AM$6:$AM$1110,'MA Engine'!$B$6:$B$1110,$A101,'MA Engine'!$H$6:$H$1110,8,'MA Engine'!$I$6:$I$1110,"Unbilled")</f>
        <v>32099690.855762</v>
      </c>
      <c r="AL101" s="9" t="n">
        <f aca="false">AH101-AI101-AJ101-AK101</f>
        <v>0</v>
      </c>
      <c r="AM101" s="7" t="n">
        <f aca="false">IF(Q101=0,0,IF($D101="Karkas",SUMIFS('Karkas Detail'!$E$6:$E$42,'Karkas Detail'!$A$6:$A$42,$C101,'Karkas Detail'!$B$6:$B$42,$F101,'Karkas Detail'!$C$6:$C$42,$E101)/SUMIFS($Q$36:$Q$127,$C$36:$C$127,$C101,$D$36:$D$127,"Karkas",$F$36:$F$127,$F101,$E$36:$E$127,$E101),SUMIFS('Data SKU'!$G$5:$G$116,'Data SKU'!$A$5:$A$116,$C101,'Data SKU'!$B$5:$B$116,$D101,'Data SKU'!$C$5:$C$116,$E101,'Data SKU'!$D$5:$D$116,8,'Data SKU'!$N$5:$N$116,"Invoiced")/SUMIFS($Q$36:$Q$127,$C$36:$C$127,$C101,$D$36:$D$127,$D101,$E$36:$E$127,$E101))*Q101)+SUMIFS(Unbilled!$U$22:$U$38,Unbilled!$E$22:$E$38,$A101)</f>
        <v>32403029.7822887</v>
      </c>
      <c r="AN101" s="9" t="n">
        <f aca="false">IF(P101=0,0,AM101*AA101/P101)</f>
        <v>5853582.67356947</v>
      </c>
      <c r="AO101" s="9" t="n">
        <f aca="false">IF(P101=0,0,AM101*AB101/P101)</f>
        <v>1649320.20006435</v>
      </c>
      <c r="AP101" s="9" t="n">
        <f aca="false">IF(P101=0,0,AM101*AC101/P101)</f>
        <v>24900126.9086548</v>
      </c>
      <c r="AQ101" s="14" t="n">
        <f aca="false">MIN(U101+V101,MAX(0,O101-M101))</f>
        <v>0</v>
      </c>
      <c r="AR101" s="14" t="n">
        <f aca="false">MAX(0,AQ101-V101)*Z101</f>
        <v>0</v>
      </c>
      <c r="AS101" s="14" t="n">
        <f aca="false">MIN(V101,AQ101)*Z101</f>
        <v>0</v>
      </c>
      <c r="AT101" s="14" t="n">
        <f aca="false">(O101-AQ101)*Z101</f>
        <v>1012.57</v>
      </c>
      <c r="AU101" s="9" t="n">
        <f aca="false">(AR101+AS101+AT101)*BA101</f>
        <v>41771965.3645615</v>
      </c>
      <c r="AV101" s="9" t="n">
        <f aca="false">IF(P101=0,0,AM101*AR101/P101)</f>
        <v>0</v>
      </c>
      <c r="AW101" s="9" t="n">
        <f aca="false">IF(P101=0,0,AM101*AS101/P101)</f>
        <v>0</v>
      </c>
      <c r="AX101" s="9" t="n">
        <f aca="false">IF(P101=0,0,AM101*AT101/P101)</f>
        <v>32403029.7822887</v>
      </c>
      <c r="AY101" s="9" t="n">
        <f aca="false">AH101-AU101</f>
        <v>0</v>
      </c>
      <c r="AZ101" s="9" t="n">
        <f aca="false">IF(M101&gt;0,P101*AG101,0)</f>
        <v>38117698.8661953</v>
      </c>
      <c r="BA101" s="9" t="n">
        <f aca="false">IF(P101=0,0,AH101/P101)</f>
        <v>41253.4100008508</v>
      </c>
      <c r="BB101" s="74" t="s">
        <v>838</v>
      </c>
      <c r="BC101" s="13" t="n">
        <f aca="false">SUMIFS('MA Engine'!$W$6:$W$1110,'MA Engine'!$B$6:$B$1110,$A101,'MA Engine'!$H$6:$H$1110,7,'MA Engine'!$I$6:$I$1110,"DO")</f>
        <v>0</v>
      </c>
      <c r="BD101" s="14" t="n">
        <f aca="false">MIN(MAX(0,H101),J101)</f>
        <v>0</v>
      </c>
      <c r="BE101" s="14" t="n">
        <f aca="false">J101-BD101</f>
        <v>0</v>
      </c>
      <c r="BF101" s="21" t="n">
        <f aca="false">IF(J101=0,0,BC101/J101)</f>
        <v>0</v>
      </c>
      <c r="BG101" s="13" t="n">
        <f aca="false">SUMIFS('MA Engine'!$AH$6:$AH$1110,'MA Engine'!$B$6:$B$1110,$A101,'MA Engine'!$H$6:$H$1110,7,'MA Engine'!$I$6:$I$1110,"DO")</f>
        <v>0</v>
      </c>
      <c r="BH101" s="13" t="n">
        <f aca="false">SUMIFS('MA Engine'!$AI$6:$AI$1110,'MA Engine'!$B$6:$B$1110,$A101,'MA Engine'!$H$6:$H$1110,7,'MA Engine'!$I$6:$I$1110,"DO")+SUMIFS('MA Engine'!$AJ$6:$AJ$1110,'MA Engine'!$B$6:$B$1110,$A101,'MA Engine'!$H$6:$H$1110,7,'MA Engine'!$I$6:$I$1110,"DO")</f>
        <v>0</v>
      </c>
      <c r="BI101" s="7" t="n">
        <f aca="false">IF(H101&gt;0,SUMIFS('MA Engine'!$L$6:$L$1110,'MA Engine'!$B$6:$B$1110,$A101,'MA Engine'!$I$6:$I$1110,"Opening")/H101,0)</f>
        <v>71331.9399190903</v>
      </c>
      <c r="BJ101" s="9" t="n">
        <f aca="false">IF(I101&gt;0,AD101/I101,BI101)</f>
        <v>28076.1559953434</v>
      </c>
      <c r="BK101" s="7" t="n">
        <f aca="false">SUMIFS('MA Engine'!$X$6:$X$1110,'MA Engine'!$B$6:$B$1110,$A101,'MA Engine'!$H$6:$H$1110,7,'MA Engine'!$I$6:$I$1110,"DO")</f>
        <v>0</v>
      </c>
      <c r="BL101" s="7" t="n">
        <f aca="false">SUMIFS('MA Engine'!$AK$6:$AK$1110,'MA Engine'!$B$6:$B$1110,$A101,'MA Engine'!$H$6:$H$1110,7,'MA Engine'!$I$6:$I$1110,"DO")</f>
        <v>0</v>
      </c>
      <c r="BM101" s="7" t="n">
        <f aca="false">SUMIFS('MA Engine'!$AL$6:$AL$1110,'MA Engine'!$B$6:$B$1110,$A101,'MA Engine'!$H$6:$H$1110,7,'MA Engine'!$I$6:$I$1110,"DO")+SUMIFS('MA Engine'!$AM$6:$AM$1110,'MA Engine'!$B$6:$B$1110,$A101,'MA Engine'!$H$6:$H$1110,7,'MA Engine'!$I$6:$I$1110,"DO")</f>
        <v>0</v>
      </c>
      <c r="BN101" s="9" t="n">
        <f aca="false">BK101-BL101-BM101</f>
        <v>0</v>
      </c>
      <c r="BO101" s="7" t="n">
        <f aca="false">IF(BC101=0,0,SUMIFS('Data SKU'!$G$5:$G$116,'Data SKU'!$A$5:$A$116,$C101,'Data SKU'!$B$5:$B$116,$D101,'Data SKU'!$C$5:$C$116,$E101,'Data SKU'!$D$5:$D$116,7,'Data SKU'!$N$5:$N$116,"Invoiced")/SUMIFS($BC$36:$BC$127,$C$36:$C$127,$C101,$D$36:$D$127,$D101,$E$36:$E$127,$E101)*BC101)</f>
        <v>0</v>
      </c>
      <c r="BP101" s="9" t="n">
        <f aca="false">IF(BC101=0,0,BO101*BG101/BC101)</f>
        <v>0</v>
      </c>
      <c r="BQ101" s="9" t="n">
        <f aca="false">IF(BC101=0,0,BO101*BH101/BC101)</f>
        <v>0</v>
      </c>
    </row>
    <row r="102" customFormat="false" ht="15" hidden="false" customHeight="false" outlineLevel="0" collapsed="false">
      <c r="A102" s="74" t="s">
        <v>1014</v>
      </c>
      <c r="B102" s="53" t="str">
        <f aca="false">INDEX(I_Items!$B$5:$B$133,MATCH($A102,I_Items!$A$5:$A$133,0))&amp;""</f>
        <v>Karkas Uk 0.8 Frozen Premium</v>
      </c>
      <c r="C102" s="53" t="str">
        <f aca="false">INDEX(I_Items!$C$5:$C$133,MATCH($A102,I_Items!$A$5:$A$133,0))&amp;""</f>
        <v>RPA</v>
      </c>
      <c r="D102" s="53" t="str">
        <f aca="false">INDEX(I_Items!$D$5:$D$133,MATCH($A102,I_Items!$A$5:$A$133,0))&amp;""</f>
        <v>Karkas</v>
      </c>
      <c r="E102" s="53" t="str">
        <f aca="false">INDEX(I_Items!$F$5:$F$133,MATCH($A102,I_Items!$A$5:$A$133,0))&amp;""</f>
        <v>Frozen</v>
      </c>
      <c r="F102" s="53" t="str">
        <f aca="false">INDEX(I_Items!$E$5:$E$133,MATCH($A102,I_Items!$A$5:$A$133,0))&amp;""</f>
        <v>Uk 0.8</v>
      </c>
      <c r="G102" s="6" t="str">
        <f aca="false">IF(P102=0,"-",IF(M102=0,"A",IF(K102&lt;=0,"C","B")))</f>
        <v>B</v>
      </c>
      <c r="H102" s="13" t="n">
        <f aca="false">SUMIFS('MA Engine'!$K$6:$K$1110,'MA Engine'!$B$6:$B$1110,$A102,'MA Engine'!$I$6:$I$1110,"Opening")</f>
        <v>4953</v>
      </c>
      <c r="I102" s="13" t="n">
        <f aca="false">SUMIFS('MA Engine'!$K$6:$K$1110,'MA Engine'!$B$6:$B$1110,$A102,'MA Engine'!$H$6:$H$1110,7,'MA Engine'!$I$6:$I$1110,"&lt;&gt;Opening")</f>
        <v>11.7</v>
      </c>
      <c r="J102" s="13" t="n">
        <f aca="false">SUMIFS('MA Engine'!$W$6:$W$1110,'MA Engine'!$B$6:$B$1110,$A102,'MA Engine'!$H$6:$H$1110,7)</f>
        <v>120.61</v>
      </c>
      <c r="K102" s="14" t="n">
        <f aca="false">H102+I102-J102</f>
        <v>4844.09</v>
      </c>
      <c r="L102" s="7" t="n">
        <f aca="false">SUMIFS('MA Engine'!$L$6:$L$1110,'MA Engine'!$B$6:$B$1110,$A102,'MA Engine'!$I$6:$I$1110,"Opening")+SUMIFS('MA Engine'!$L$6:$L$1110,'MA Engine'!$B$6:$B$1110,$A102,'MA Engine'!$H$6:$H$1110,7,'MA Engine'!$I$6:$I$1110,"&lt;&gt;Opening")-SUMIFS('MA Engine'!$X$6:$X$1110,'MA Engine'!$B$6:$B$1110,$A102,'MA Engine'!$H$6:$H$1110,7)</f>
        <v>124335399.091046</v>
      </c>
      <c r="M102" s="13" t="n">
        <f aca="false">SUMIFS('MA Engine'!$K$6:$K$1110,'MA Engine'!$B$6:$B$1110,$A102,'MA Engine'!$H$6:$H$1110,8)</f>
        <v>3082.3</v>
      </c>
      <c r="N102" s="7" t="n">
        <f aca="false">SUMIFS('MA Engine'!$L$6:$L$1110,'MA Engine'!$B$6:$B$1110,$A102,'MA Engine'!$H$6:$H$1110,8)</f>
        <v>115982269.95</v>
      </c>
      <c r="O102" s="13" t="n">
        <f aca="false">SUMIFS('MA Engine'!$W$6:$W$1110,'MA Engine'!$B$6:$B$1110,$A102,'MA Engine'!$H$6:$H$1110,8)</f>
        <v>6830.66</v>
      </c>
      <c r="P102" s="14" t="n">
        <f aca="false">Q102+R102</f>
        <v>6400.78</v>
      </c>
      <c r="Q102" s="13" t="n">
        <f aca="false">SUMIFS('MA Engine'!$W$6:$W$1110,'MA Engine'!$B$6:$B$1110,$A102,'MA Engine'!$H$6:$H$1110,8,'MA Engine'!$I$6:$I$1110,"DO",'MA Engine'!$P$6:$P$1110,"&lt;&gt;Y")</f>
        <v>6400.78</v>
      </c>
      <c r="R102" s="13" t="n">
        <f aca="false">SUMIFS('MA Engine'!$W$6:$W$1110,'MA Engine'!$B$6:$B$1110,$A102,'MA Engine'!$H$6:$H$1110,8,'MA Engine'!$I$6:$I$1110,"Unbilled")</f>
        <v>0</v>
      </c>
      <c r="S102" s="13" t="n">
        <f aca="false">SUMIFS('MA Engine'!$W$6:$W$1110,'MA Engine'!$B$6:$B$1110,$A102,'MA Engine'!$H$6:$H$1110,8,'MA Engine'!$P$6:$P$1110,"Y")</f>
        <v>0</v>
      </c>
      <c r="T102" s="14" t="n">
        <f aca="false">O102-P102-S102</f>
        <v>429.88</v>
      </c>
      <c r="U102" s="14" t="n">
        <f aca="false">MAX(0,H102-J102)</f>
        <v>4832.39</v>
      </c>
      <c r="V102" s="14" t="n">
        <f aca="false">MAX(0,K102-U102)</f>
        <v>11.6999999999998</v>
      </c>
      <c r="W102" s="14" t="n">
        <f aca="false">MIN(U102,O102)</f>
        <v>4832.39</v>
      </c>
      <c r="X102" s="14" t="n">
        <f aca="false">MIN(V102,O102-W102)</f>
        <v>11.6999999999998</v>
      </c>
      <c r="Y102" s="14" t="n">
        <f aca="false">O102-W102-X102</f>
        <v>1986.57</v>
      </c>
      <c r="Z102" s="21" t="n">
        <f aca="false">IF(O102=0,0,P102/O102)</f>
        <v>0.937066110741861</v>
      </c>
      <c r="AA102" s="13" t="n">
        <f aca="false">SUMIFS('MA Engine'!$AH$6:$AH$1110,'MA Engine'!$B$6:$B$1110,$A102,'MA Engine'!$H$6:$H$1110,8,'MA Engine'!$I$6:$I$1110,"DO",'MA Engine'!$P$6:$P$1110,"&lt;&gt;Y")+SUMIFS('MA Engine'!$AH$6:$AH$1110,'MA Engine'!$B$6:$B$1110,$A102,'MA Engine'!$H$6:$H$1110,8,'MA Engine'!$I$6:$I$1110,"Unbilled")</f>
        <v>4402.51</v>
      </c>
      <c r="AB102" s="13" t="n">
        <f aca="false">SUMIFS('MA Engine'!$AI$6:$AI$1110,'MA Engine'!$B$6:$B$1110,$A102,'MA Engine'!$H$6:$H$1110,8,'MA Engine'!$I$6:$I$1110,"DO",'MA Engine'!$P$6:$P$1110,"&lt;&gt;Y")+SUMIFS('MA Engine'!$AI$6:$AI$1110,'MA Engine'!$B$6:$B$1110,$A102,'MA Engine'!$H$6:$H$1110,8,'MA Engine'!$I$6:$I$1110,"Unbilled")</f>
        <v>11.6999999999998</v>
      </c>
      <c r="AC102" s="13" t="n">
        <f aca="false">SUMIFS('MA Engine'!$AJ$6:$AJ$1110,'MA Engine'!$B$6:$B$1110,$A102,'MA Engine'!$H$6:$H$1110,8,'MA Engine'!$I$6:$I$1110,"DO",'MA Engine'!$P$6:$P$1110,"&lt;&gt;Y")+SUMIFS('MA Engine'!$AJ$6:$AJ$1110,'MA Engine'!$B$6:$B$1110,$A102,'MA Engine'!$H$6:$H$1110,8,'MA Engine'!$I$6:$I$1110,"Unbilled")</f>
        <v>1986.57</v>
      </c>
      <c r="AD102" s="7" t="n">
        <f aca="false">SUMIFS('MA Engine'!$L$6:$L$1110,'MA Engine'!$B$6:$B$1110,$A102,'MA Engine'!$H$6:$H$1110,7,'MA Engine'!$I$6:$I$1110,"&lt;&gt;Opening")</f>
        <v>301617.69</v>
      </c>
      <c r="AE102" s="9" t="n">
        <f aca="false">IF(AND(U102&gt;0.0001,(L102-V102*IF(I102&gt;0,AD102/I102,IF(K102&gt;0,L102/K102,0)))&lt;0),IF(K102&gt;0,L102/K102,0),IF(I102&gt;0,AD102/I102,IF(K102&gt;0,L102/K102,0)))</f>
        <v>25779.2897435897</v>
      </c>
      <c r="AF102" s="9" t="n">
        <f aca="false">IF(U102&lt;=0.0001,IF(K102&gt;0,L102/K102,0),IF((L102-V102*IF(I102&gt;0,AD102/I102,IF(K102&gt;0,L102/K102,0)))&lt;0,IF(K102&gt;0,L102/K102,0),(L102-V102*IF(I102&gt;0,AD102/I102,IF(K102&gt;0,L102/K102,0)))/U102))</f>
        <v>25667.1711929388</v>
      </c>
      <c r="AG102" s="9" t="n">
        <f aca="false">IF(M102&gt;0,N102/M102,IF(K102&gt;0,L102/K102,0))</f>
        <v>37628.4819615222</v>
      </c>
      <c r="AH102" s="7" t="n">
        <f aca="false">SUMIFS('MA Engine'!$X$6:$X$1110,'MA Engine'!$B$6:$B$1110,$A102,'MA Engine'!$H$6:$H$1110,8,'MA Engine'!$I$6:$I$1110,"DO",'MA Engine'!$P$6:$P$1110,"&lt;&gt;Y")+SUMIFS('MA Engine'!$X$6:$X$1110,'MA Engine'!$B$6:$B$1110,$A102,'MA Engine'!$H$6:$H$1110,8,'MA Engine'!$I$6:$I$1110,"Unbilled")</f>
        <v>190415383.166932</v>
      </c>
      <c r="AI102" s="7" t="n">
        <f aca="false">SUMIFS('MA Engine'!$AK$6:$AK$1110,'MA Engine'!$B$6:$B$1110,$A102,'MA Engine'!$H$6:$H$1110,8,'MA Engine'!$I$6:$I$1110,"DO",'MA Engine'!$P$6:$P$1110,"&lt;&gt;Y")+SUMIFS('MA Engine'!$AK$6:$AK$1110,'MA Engine'!$B$6:$B$1110,$A102,'MA Engine'!$H$6:$H$1110,8,'MA Engine'!$I$6:$I$1110,"Unbilled")</f>
        <v>124198845.839513</v>
      </c>
      <c r="AJ102" s="7" t="n">
        <f aca="false">SUMIFS('MA Engine'!$AL$6:$AL$1110,'MA Engine'!$B$6:$B$1110,$A102,'MA Engine'!$H$6:$H$1110,8,'MA Engine'!$I$6:$I$1110,"DO",'MA Engine'!$P$6:$P$1110,"&lt;&gt;Y")+SUMIFS('MA Engine'!$AL$6:$AL$1110,'MA Engine'!$B$6:$B$1110,$A102,'MA Engine'!$H$6:$H$1110,8,'MA Engine'!$I$6:$I$1110,"Unbilled")</f>
        <v>378187.059895623</v>
      </c>
      <c r="AK102" s="7" t="n">
        <f aca="false">SUMIFS('MA Engine'!$AM$6:$AM$1110,'MA Engine'!$B$6:$B$1110,$A102,'MA Engine'!$H$6:$H$1110,8,'MA Engine'!$I$6:$I$1110,"DO",'MA Engine'!$P$6:$P$1110,"&lt;&gt;Y")+SUMIFS('MA Engine'!$AM$6:$AM$1110,'MA Engine'!$B$6:$B$1110,$A102,'MA Engine'!$H$6:$H$1110,8,'MA Engine'!$I$6:$I$1110,"Unbilled")</f>
        <v>65838350.2675235</v>
      </c>
      <c r="AL102" s="9" t="n">
        <f aca="false">AH102-AI102-AJ102-AK102</f>
        <v>0</v>
      </c>
      <c r="AM102" s="7" t="n">
        <f aca="false">IF(Q102=0,0,IF($D102="Karkas",SUMIFS('Karkas Detail'!$E$6:$E$42,'Karkas Detail'!$A$6:$A$42,$C102,'Karkas Detail'!$B$6:$B$42,$F102,'Karkas Detail'!$C$6:$C$42,$E102)/SUMIFS($Q$36:$Q$127,$C$36:$C$127,$C102,$D$36:$D$127,"Karkas",$F$36:$F$127,$F102,$E$36:$E$127,$E102),SUMIFS('Data SKU'!$G$5:$G$116,'Data SKU'!$A$5:$A$116,$C102,'Data SKU'!$B$5:$B$116,$D102,'Data SKU'!$C$5:$C$116,$E102,'Data SKU'!$D$5:$D$116,8,'Data SKU'!$N$5:$N$116,"Invoiced")/SUMIFS($Q$36:$Q$127,$C$36:$C$127,$C102,$D$36:$D$127,$D102,$E$36:$E$127,$E102))*Q102)+SUMIFS(Unbilled!$U$22:$U$38,Unbilled!$E$22:$E$38,$A102)</f>
        <v>201211323.299086</v>
      </c>
      <c r="AN102" s="9" t="n">
        <f aca="false">IF(P102=0,0,AM102*AA102/P102)</f>
        <v>138394830.464015</v>
      </c>
      <c r="AO102" s="9" t="n">
        <f aca="false">IF(P102=0,0,AM102*AB102/P102)</f>
        <v>367794.62543616</v>
      </c>
      <c r="AP102" s="9" t="n">
        <f aca="false">IF(P102=0,0,AM102*AC102/P102)</f>
        <v>62448698.2096346</v>
      </c>
      <c r="AQ102" s="14" t="n">
        <f aca="false">MIN(U102+V102,MAX(0,O102-M102))</f>
        <v>3748.36</v>
      </c>
      <c r="AR102" s="14" t="n">
        <f aca="false">MAX(0,AQ102-V102)*Z102</f>
        <v>3501.49745336468</v>
      </c>
      <c r="AS102" s="14" t="n">
        <f aca="false">MIN(V102,AQ102)*Z102</f>
        <v>10.9636734956796</v>
      </c>
      <c r="AT102" s="14" t="n">
        <f aca="false">(O102-AQ102)*Z102</f>
        <v>2888.31887313964</v>
      </c>
      <c r="AU102" s="9" t="n">
        <f aca="false">(AR102+AS102+AT102)*BA102</f>
        <v>190415383.166932</v>
      </c>
      <c r="AV102" s="9" t="n">
        <f aca="false">IF(P102=0,0,AM102*AR102/P102)</f>
        <v>110071106.352645</v>
      </c>
      <c r="AW102" s="9" t="n">
        <f aca="false">IF(P102=0,0,AM102*AS102/P102)</f>
        <v>344647.879209222</v>
      </c>
      <c r="AX102" s="9" t="n">
        <f aca="false">IF(P102=0,0,AM102*AT102/P102)</f>
        <v>90795569.067231</v>
      </c>
      <c r="AY102" s="9" t="n">
        <f aca="false">AH102-AU102</f>
        <v>0</v>
      </c>
      <c r="AZ102" s="9" t="n">
        <f aca="false">IF(M102&gt;0,P102*AG102,0)</f>
        <v>240851634.769672</v>
      </c>
      <c r="BA102" s="9" t="n">
        <f aca="false">IF(P102=0,0,AH102/P102)</f>
        <v>29748.7779875159</v>
      </c>
      <c r="BB102" s="74" t="s">
        <v>838</v>
      </c>
      <c r="BC102" s="13" t="n">
        <f aca="false">SUMIFS('MA Engine'!$W$6:$W$1110,'MA Engine'!$B$6:$B$1110,$A102,'MA Engine'!$H$6:$H$1110,7,'MA Engine'!$I$6:$I$1110,"DO")</f>
        <v>120.61</v>
      </c>
      <c r="BD102" s="14" t="n">
        <f aca="false">MIN(MAX(0,H102),J102)</f>
        <v>120.61</v>
      </c>
      <c r="BE102" s="14" t="n">
        <f aca="false">J102-BD102</f>
        <v>0</v>
      </c>
      <c r="BF102" s="21" t="n">
        <f aca="false">IF(J102=0,0,BC102/J102)</f>
        <v>1</v>
      </c>
      <c r="BG102" s="13" t="n">
        <f aca="false">SUMIFS('MA Engine'!$AH$6:$AH$1110,'MA Engine'!$B$6:$B$1110,$A102,'MA Engine'!$H$6:$H$1110,7,'MA Engine'!$I$6:$I$1110,"DO")</f>
        <v>120.61</v>
      </c>
      <c r="BH102" s="13" t="n">
        <f aca="false">SUMIFS('MA Engine'!$AI$6:$AI$1110,'MA Engine'!$B$6:$B$1110,$A102,'MA Engine'!$H$6:$H$1110,7,'MA Engine'!$I$6:$I$1110,"DO")+SUMIFS('MA Engine'!$AJ$6:$AJ$1110,'MA Engine'!$B$6:$B$1110,$A102,'MA Engine'!$H$6:$H$1110,7,'MA Engine'!$I$6:$I$1110,"DO")</f>
        <v>0</v>
      </c>
      <c r="BI102" s="7" t="n">
        <f aca="false">IF(H102&gt;0,SUMIFS('MA Engine'!$L$6:$L$1110,'MA Engine'!$B$6:$B$1110,$A102,'MA Engine'!$I$6:$I$1110,"Opening")/H102,0)</f>
        <v>25667.1777871997</v>
      </c>
      <c r="BJ102" s="9" t="n">
        <f aca="false">IF(I102&gt;0,AD102/I102,BI102)</f>
        <v>25779.2897435897</v>
      </c>
      <c r="BK102" s="7" t="n">
        <f aca="false">SUMIFS('MA Engine'!$X$6:$X$1110,'MA Engine'!$B$6:$B$1110,$A102,'MA Engine'!$H$6:$H$1110,7,'MA Engine'!$I$6:$I$1110,"DO")</f>
        <v>3095750.17895436</v>
      </c>
      <c r="BL102" s="7" t="n">
        <f aca="false">SUMIFS('MA Engine'!$AK$6:$AK$1110,'MA Engine'!$B$6:$B$1110,$A102,'MA Engine'!$H$6:$H$1110,7,'MA Engine'!$I$6:$I$1110,"DO")</f>
        <v>3095750.17895436</v>
      </c>
      <c r="BM102" s="7" t="n">
        <f aca="false">SUMIFS('MA Engine'!$AL$6:$AL$1110,'MA Engine'!$B$6:$B$1110,$A102,'MA Engine'!$H$6:$H$1110,7,'MA Engine'!$I$6:$I$1110,"DO")+SUMIFS('MA Engine'!$AM$6:$AM$1110,'MA Engine'!$B$6:$B$1110,$A102,'MA Engine'!$H$6:$H$1110,7,'MA Engine'!$I$6:$I$1110,"DO")</f>
        <v>0</v>
      </c>
      <c r="BN102" s="9" t="n">
        <f aca="false">BK102-BL102-BM102</f>
        <v>0</v>
      </c>
      <c r="BO102" s="7" t="n">
        <f aca="false">IF(BC102=0,0,SUMIFS('Data SKU'!$G$5:$G$116,'Data SKU'!$A$5:$A$116,$C102,'Data SKU'!$B$5:$B$116,$D102,'Data SKU'!$C$5:$C$116,$E102,'Data SKU'!$D$5:$D$116,7,'Data SKU'!$N$5:$N$116,"Invoiced")/SUMIFS($BC$36:$BC$127,$C$36:$C$127,$C102,$D$36:$D$127,$D102,$E$36:$E$127,$E102)*BC102)</f>
        <v>3414427.54676336</v>
      </c>
      <c r="BP102" s="9" t="n">
        <f aca="false">IF(BC102=0,0,BO102*BG102/BC102)</f>
        <v>3414427.54676336</v>
      </c>
      <c r="BQ102" s="9" t="n">
        <f aca="false">IF(BC102=0,0,BO102*BH102/BC102)</f>
        <v>0</v>
      </c>
    </row>
    <row r="103" customFormat="false" ht="15" hidden="false" customHeight="false" outlineLevel="0" collapsed="false">
      <c r="A103" s="74" t="s">
        <v>1015</v>
      </c>
      <c r="B103" s="53" t="str">
        <f aca="false">INDEX(I_Items!$B$5:$B$133,MATCH($A103,I_Items!$A$5:$A$133,0))&amp;""</f>
        <v>Karkas Uk 0.5 Karkas Uk 0.5 Frozen Premium</v>
      </c>
      <c r="C103" s="53" t="str">
        <f aca="false">INDEX(I_Items!$C$5:$C$133,MATCH($A103,I_Items!$A$5:$A$133,0))&amp;""</f>
        <v>RPA</v>
      </c>
      <c r="D103" s="53" t="str">
        <f aca="false">INDEX(I_Items!$D$5:$D$133,MATCH($A103,I_Items!$A$5:$A$133,0))&amp;""</f>
        <v>Karkas</v>
      </c>
      <c r="E103" s="53" t="str">
        <f aca="false">INDEX(I_Items!$F$5:$F$133,MATCH($A103,I_Items!$A$5:$A$133,0))&amp;""</f>
        <v>Frozen</v>
      </c>
      <c r="F103" s="53" t="str">
        <f aca="false">INDEX(I_Items!$E$5:$E$133,MATCH($A103,I_Items!$A$5:$A$133,0))&amp;""</f>
        <v>Uk 0.5</v>
      </c>
      <c r="G103" s="6" t="str">
        <f aca="false">IF(P103=0,"-",IF(M103=0,"A",IF(K103&lt;=0,"C","B")))</f>
        <v>-</v>
      </c>
      <c r="H103" s="13" t="n">
        <f aca="false">SUMIFS('MA Engine'!$K$6:$K$1110,'MA Engine'!$B$6:$B$1110,$A103,'MA Engine'!$I$6:$I$1110,"Opening")</f>
        <v>516.1</v>
      </c>
      <c r="I103" s="13" t="n">
        <f aca="false">SUMIFS('MA Engine'!$K$6:$K$1110,'MA Engine'!$B$6:$B$1110,$A103,'MA Engine'!$H$6:$H$1110,7,'MA Engine'!$I$6:$I$1110,"&lt;&gt;Opening")</f>
        <v>0</v>
      </c>
      <c r="J103" s="13" t="n">
        <f aca="false">SUMIFS('MA Engine'!$W$6:$W$1110,'MA Engine'!$B$6:$B$1110,$A103,'MA Engine'!$H$6:$H$1110,7)</f>
        <v>181.37</v>
      </c>
      <c r="K103" s="14" t="n">
        <f aca="false">H103+I103-J103</f>
        <v>334.73</v>
      </c>
      <c r="L103" s="7" t="n">
        <f aca="false">SUMIFS('MA Engine'!$L$6:$L$1110,'MA Engine'!$B$6:$B$1110,$A103,'MA Engine'!$I$6:$I$1110,"Opening")+SUMIFS('MA Engine'!$L$6:$L$1110,'MA Engine'!$B$6:$B$1110,$A103,'MA Engine'!$H$6:$H$1110,7,'MA Engine'!$I$6:$I$1110,"&lt;&gt;Opening")-SUMIFS('MA Engine'!$X$6:$X$1110,'MA Engine'!$B$6:$B$1110,$A103,'MA Engine'!$H$6:$H$1110,7)</f>
        <v>8527694.54622922</v>
      </c>
      <c r="M103" s="13" t="n">
        <f aca="false">SUMIFS('MA Engine'!$K$6:$K$1110,'MA Engine'!$B$6:$B$1110,$A103,'MA Engine'!$H$6:$H$1110,8)</f>
        <v>7.2</v>
      </c>
      <c r="N103" s="7" t="n">
        <f aca="false">SUMIFS('MA Engine'!$L$6:$L$1110,'MA Engine'!$B$6:$B$1110,$A103,'MA Engine'!$H$6:$H$1110,8)</f>
        <v>275152.47</v>
      </c>
      <c r="O103" s="13" t="n">
        <f aca="false">SUMIFS('MA Engine'!$W$6:$W$1110,'MA Engine'!$B$6:$B$1110,$A103,'MA Engine'!$H$6:$H$1110,8)</f>
        <v>0</v>
      </c>
      <c r="P103" s="14" t="n">
        <f aca="false">Q103+R103</f>
        <v>0</v>
      </c>
      <c r="Q103" s="13" t="n">
        <f aca="false">SUMIFS('MA Engine'!$W$6:$W$1110,'MA Engine'!$B$6:$B$1110,$A103,'MA Engine'!$H$6:$H$1110,8,'MA Engine'!$I$6:$I$1110,"DO",'MA Engine'!$P$6:$P$1110,"&lt;&gt;Y")</f>
        <v>0</v>
      </c>
      <c r="R103" s="13" t="n">
        <f aca="false">SUMIFS('MA Engine'!$W$6:$W$1110,'MA Engine'!$B$6:$B$1110,$A103,'MA Engine'!$H$6:$H$1110,8,'MA Engine'!$I$6:$I$1110,"Unbilled")</f>
        <v>0</v>
      </c>
      <c r="S103" s="13" t="n">
        <f aca="false">SUMIFS('MA Engine'!$W$6:$W$1110,'MA Engine'!$B$6:$B$1110,$A103,'MA Engine'!$H$6:$H$1110,8,'MA Engine'!$P$6:$P$1110,"Y")</f>
        <v>0</v>
      </c>
      <c r="T103" s="14" t="n">
        <f aca="false">O103-P103-S103</f>
        <v>0</v>
      </c>
      <c r="U103" s="14" t="n">
        <f aca="false">MAX(0,H103-J103)</f>
        <v>334.73</v>
      </c>
      <c r="V103" s="14" t="n">
        <f aca="false">MAX(0,K103-U103)</f>
        <v>0</v>
      </c>
      <c r="W103" s="14" t="n">
        <f aca="false">MIN(U103,O103)</f>
        <v>0</v>
      </c>
      <c r="X103" s="14" t="n">
        <f aca="false">MIN(V103,O103-W103)</f>
        <v>0</v>
      </c>
      <c r="Y103" s="14" t="n">
        <f aca="false">O103-W103-X103</f>
        <v>0</v>
      </c>
      <c r="Z103" s="21" t="n">
        <f aca="false">IF(O103=0,0,P103/O103)</f>
        <v>0</v>
      </c>
      <c r="AA103" s="13" t="n">
        <f aca="false">SUMIFS('MA Engine'!$AH$6:$AH$1110,'MA Engine'!$B$6:$B$1110,$A103,'MA Engine'!$H$6:$H$1110,8,'MA Engine'!$I$6:$I$1110,"DO",'MA Engine'!$P$6:$P$1110,"&lt;&gt;Y")+SUMIFS('MA Engine'!$AH$6:$AH$1110,'MA Engine'!$B$6:$B$1110,$A103,'MA Engine'!$H$6:$H$1110,8,'MA Engine'!$I$6:$I$1110,"Unbilled")</f>
        <v>0</v>
      </c>
      <c r="AB103" s="13" t="n">
        <f aca="false">SUMIFS('MA Engine'!$AI$6:$AI$1110,'MA Engine'!$B$6:$B$1110,$A103,'MA Engine'!$H$6:$H$1110,8,'MA Engine'!$I$6:$I$1110,"DO",'MA Engine'!$P$6:$P$1110,"&lt;&gt;Y")+SUMIFS('MA Engine'!$AI$6:$AI$1110,'MA Engine'!$B$6:$B$1110,$A103,'MA Engine'!$H$6:$H$1110,8,'MA Engine'!$I$6:$I$1110,"Unbilled")</f>
        <v>0</v>
      </c>
      <c r="AC103" s="13" t="n">
        <f aca="false">SUMIFS('MA Engine'!$AJ$6:$AJ$1110,'MA Engine'!$B$6:$B$1110,$A103,'MA Engine'!$H$6:$H$1110,8,'MA Engine'!$I$6:$I$1110,"DO",'MA Engine'!$P$6:$P$1110,"&lt;&gt;Y")+SUMIFS('MA Engine'!$AJ$6:$AJ$1110,'MA Engine'!$B$6:$B$1110,$A103,'MA Engine'!$H$6:$H$1110,8,'MA Engine'!$I$6:$I$1110,"Unbilled")</f>
        <v>0</v>
      </c>
      <c r="AD103" s="7" t="n">
        <f aca="false">SUMIFS('MA Engine'!$L$6:$L$1110,'MA Engine'!$B$6:$B$1110,$A103,'MA Engine'!$H$6:$H$1110,7,'MA Engine'!$I$6:$I$1110,"&lt;&gt;Opening")</f>
        <v>0</v>
      </c>
      <c r="AE103" s="9" t="n">
        <f aca="false">IF(AND(U103&gt;0.0001,(L103-V103*IF(I103&gt;0,AD103/I103,IF(K103&gt;0,L103/K103,0)))&lt;0),IF(K103&gt;0,L103/K103,0),IF(I103&gt;0,AD103/I103,IF(K103&gt;0,L103/K103,0)))</f>
        <v>25476.3377833753</v>
      </c>
      <c r="AF103" s="9" t="n">
        <f aca="false">IF(U103&lt;=0.0001,IF(K103&gt;0,L103/K103,0),IF((L103-V103*IF(I103&gt;0,AD103/I103,IF(K103&gt;0,L103/K103,0)))&lt;0,IF(K103&gt;0,L103/K103,0),(L103-V103*IF(I103&gt;0,AD103/I103,IF(K103&gt;0,L103/K103,0)))/U103))</f>
        <v>25476.3377833753</v>
      </c>
      <c r="AG103" s="9" t="n">
        <f aca="false">IF(M103&gt;0,N103/M103,IF(K103&gt;0,L103/K103,0))</f>
        <v>38215.6208333333</v>
      </c>
      <c r="AH103" s="7" t="n">
        <f aca="false">SUMIFS('MA Engine'!$X$6:$X$1110,'MA Engine'!$B$6:$B$1110,$A103,'MA Engine'!$H$6:$H$1110,8,'MA Engine'!$I$6:$I$1110,"DO",'MA Engine'!$P$6:$P$1110,"&lt;&gt;Y")+SUMIFS('MA Engine'!$X$6:$X$1110,'MA Engine'!$B$6:$B$1110,$A103,'MA Engine'!$H$6:$H$1110,8,'MA Engine'!$I$6:$I$1110,"Unbilled")</f>
        <v>0</v>
      </c>
      <c r="AI103" s="7" t="n">
        <f aca="false">SUMIFS('MA Engine'!$AK$6:$AK$1110,'MA Engine'!$B$6:$B$1110,$A103,'MA Engine'!$H$6:$H$1110,8,'MA Engine'!$I$6:$I$1110,"DO",'MA Engine'!$P$6:$P$1110,"&lt;&gt;Y")+SUMIFS('MA Engine'!$AK$6:$AK$1110,'MA Engine'!$B$6:$B$1110,$A103,'MA Engine'!$H$6:$H$1110,8,'MA Engine'!$I$6:$I$1110,"Unbilled")</f>
        <v>0</v>
      </c>
      <c r="AJ103" s="7" t="n">
        <f aca="false">SUMIFS('MA Engine'!$AL$6:$AL$1110,'MA Engine'!$B$6:$B$1110,$A103,'MA Engine'!$H$6:$H$1110,8,'MA Engine'!$I$6:$I$1110,"DO",'MA Engine'!$P$6:$P$1110,"&lt;&gt;Y")+SUMIFS('MA Engine'!$AL$6:$AL$1110,'MA Engine'!$B$6:$B$1110,$A103,'MA Engine'!$H$6:$H$1110,8,'MA Engine'!$I$6:$I$1110,"Unbilled")</f>
        <v>0</v>
      </c>
      <c r="AK103" s="7" t="n">
        <f aca="false">SUMIFS('MA Engine'!$AM$6:$AM$1110,'MA Engine'!$B$6:$B$1110,$A103,'MA Engine'!$H$6:$H$1110,8,'MA Engine'!$I$6:$I$1110,"DO",'MA Engine'!$P$6:$P$1110,"&lt;&gt;Y")+SUMIFS('MA Engine'!$AM$6:$AM$1110,'MA Engine'!$B$6:$B$1110,$A103,'MA Engine'!$H$6:$H$1110,8,'MA Engine'!$I$6:$I$1110,"Unbilled")</f>
        <v>0</v>
      </c>
      <c r="AL103" s="9" t="n">
        <f aca="false">AH103-AI103-AJ103-AK103</f>
        <v>0</v>
      </c>
      <c r="AM103" s="7" t="n">
        <f aca="false">IF(Q103=0,0,IF($D103="Karkas",SUMIFS('Karkas Detail'!$E$6:$E$42,'Karkas Detail'!$A$6:$A$42,$C103,'Karkas Detail'!$B$6:$B$42,$F103,'Karkas Detail'!$C$6:$C$42,$E103)/SUMIFS($Q$36:$Q$127,$C$36:$C$127,$C103,$D$36:$D$127,"Karkas",$F$36:$F$127,$F103,$E$36:$E$127,$E103),SUMIFS('Data SKU'!$G$5:$G$116,'Data SKU'!$A$5:$A$116,$C103,'Data SKU'!$B$5:$B$116,$D103,'Data SKU'!$C$5:$C$116,$E103,'Data SKU'!$D$5:$D$116,8,'Data SKU'!$N$5:$N$116,"Invoiced")/SUMIFS($Q$36:$Q$127,$C$36:$C$127,$C103,$D$36:$D$127,$D103,$E$36:$E$127,$E103))*Q103)+SUMIFS(Unbilled!$U$22:$U$38,Unbilled!$E$22:$E$38,$A103)</f>
        <v>0</v>
      </c>
      <c r="AN103" s="9" t="n">
        <f aca="false">IF(P103=0,0,AM103*AA103/P103)</f>
        <v>0</v>
      </c>
      <c r="AO103" s="9" t="n">
        <f aca="false">IF(P103=0,0,AM103*AB103/P103)</f>
        <v>0</v>
      </c>
      <c r="AP103" s="9" t="n">
        <f aca="false">IF(P103=0,0,AM103*AC103/P103)</f>
        <v>0</v>
      </c>
      <c r="AQ103" s="14" t="n">
        <f aca="false">MIN(U103+V103,MAX(0,O103-M103))</f>
        <v>0</v>
      </c>
      <c r="AR103" s="14" t="n">
        <f aca="false">MAX(0,AQ103-V103)*Z103</f>
        <v>0</v>
      </c>
      <c r="AS103" s="14" t="n">
        <f aca="false">MIN(V103,AQ103)*Z103</f>
        <v>0</v>
      </c>
      <c r="AT103" s="14" t="n">
        <f aca="false">(O103-AQ103)*Z103</f>
        <v>0</v>
      </c>
      <c r="AU103" s="9" t="n">
        <f aca="false">(AR103+AS103+AT103)*BA103</f>
        <v>0</v>
      </c>
      <c r="AV103" s="9" t="n">
        <f aca="false">IF(P103=0,0,AM103*AR103/P103)</f>
        <v>0</v>
      </c>
      <c r="AW103" s="9" t="n">
        <f aca="false">IF(P103=0,0,AM103*AS103/P103)</f>
        <v>0</v>
      </c>
      <c r="AX103" s="9" t="n">
        <f aca="false">IF(P103=0,0,AM103*AT103/P103)</f>
        <v>0</v>
      </c>
      <c r="AY103" s="9" t="n">
        <f aca="false">AH103-AU103</f>
        <v>0</v>
      </c>
      <c r="AZ103" s="9" t="n">
        <f aca="false">IF(M103&gt;0,P103*AG103,0)</f>
        <v>0</v>
      </c>
      <c r="BA103" s="9" t="n">
        <f aca="false">IF(P103=0,0,AH103/P103)</f>
        <v>0</v>
      </c>
      <c r="BB103" s="74" t="s">
        <v>838</v>
      </c>
      <c r="BC103" s="13" t="n">
        <f aca="false">SUMIFS('MA Engine'!$W$6:$W$1110,'MA Engine'!$B$6:$B$1110,$A103,'MA Engine'!$H$6:$H$1110,7,'MA Engine'!$I$6:$I$1110,"DO")</f>
        <v>181.37</v>
      </c>
      <c r="BD103" s="14" t="n">
        <f aca="false">MIN(MAX(0,H103),J103)</f>
        <v>181.37</v>
      </c>
      <c r="BE103" s="14" t="n">
        <f aca="false">J103-BD103</f>
        <v>0</v>
      </c>
      <c r="BF103" s="21" t="n">
        <f aca="false">IF(J103=0,0,BC103/J103)</f>
        <v>1</v>
      </c>
      <c r="BG103" s="13" t="n">
        <f aca="false">SUMIFS('MA Engine'!$AH$6:$AH$1110,'MA Engine'!$B$6:$B$1110,$A103,'MA Engine'!$H$6:$H$1110,7,'MA Engine'!$I$6:$I$1110,"DO")</f>
        <v>181.37</v>
      </c>
      <c r="BH103" s="13" t="n">
        <f aca="false">SUMIFS('MA Engine'!$AI$6:$AI$1110,'MA Engine'!$B$6:$B$1110,$A103,'MA Engine'!$H$6:$H$1110,7,'MA Engine'!$I$6:$I$1110,"DO")+SUMIFS('MA Engine'!$AJ$6:$AJ$1110,'MA Engine'!$B$6:$B$1110,$A103,'MA Engine'!$H$6:$H$1110,7,'MA Engine'!$I$6:$I$1110,"DO")</f>
        <v>0</v>
      </c>
      <c r="BI103" s="7" t="n">
        <f aca="false">IF(H103&gt;0,SUMIFS('MA Engine'!$L$6:$L$1110,'MA Engine'!$B$6:$B$1110,$A103,'MA Engine'!$I$6:$I$1110,"Opening")/H103,0)</f>
        <v>25476.3377833753</v>
      </c>
      <c r="BJ103" s="9" t="n">
        <f aca="false">IF(I103&gt;0,AD103/I103,BI103)</f>
        <v>25476.3377833753</v>
      </c>
      <c r="BK103" s="7" t="n">
        <f aca="false">SUMIFS('MA Engine'!$X$6:$X$1110,'MA Engine'!$B$6:$B$1110,$A103,'MA Engine'!$H$6:$H$1110,7,'MA Engine'!$I$6:$I$1110,"DO")</f>
        <v>4620643.38377078</v>
      </c>
      <c r="BL103" s="7" t="n">
        <f aca="false">SUMIFS('MA Engine'!$AK$6:$AK$1110,'MA Engine'!$B$6:$B$1110,$A103,'MA Engine'!$H$6:$H$1110,7,'MA Engine'!$I$6:$I$1110,"DO")</f>
        <v>4620643.38377078</v>
      </c>
      <c r="BM103" s="7" t="n">
        <f aca="false">SUMIFS('MA Engine'!$AL$6:$AL$1110,'MA Engine'!$B$6:$B$1110,$A103,'MA Engine'!$H$6:$H$1110,7,'MA Engine'!$I$6:$I$1110,"DO")+SUMIFS('MA Engine'!$AM$6:$AM$1110,'MA Engine'!$B$6:$B$1110,$A103,'MA Engine'!$H$6:$H$1110,7,'MA Engine'!$I$6:$I$1110,"DO")</f>
        <v>0</v>
      </c>
      <c r="BN103" s="9" t="n">
        <f aca="false">BK103-BL103-BM103</f>
        <v>0</v>
      </c>
      <c r="BO103" s="7" t="n">
        <f aca="false">IF(BC103=0,0,SUMIFS('Data SKU'!$G$5:$G$116,'Data SKU'!$A$5:$A$116,$C103,'Data SKU'!$B$5:$B$116,$D103,'Data SKU'!$C$5:$C$116,$E103,'Data SKU'!$D$5:$D$116,7,'Data SKU'!$N$5:$N$116,"Invoiced")/SUMIFS($BC$36:$BC$127,$C$36:$C$127,$C103,$D$36:$D$127,$D103,$E$36:$E$127,$E103)*BC103)</f>
        <v>5134522.21338587</v>
      </c>
      <c r="BP103" s="9" t="n">
        <f aca="false">IF(BC103=0,0,BO103*BG103/BC103)</f>
        <v>5134522.21338587</v>
      </c>
      <c r="BQ103" s="9" t="n">
        <f aca="false">IF(BC103=0,0,BO103*BH103/BC103)</f>
        <v>0</v>
      </c>
    </row>
    <row r="104" customFormat="false" ht="15" hidden="false" customHeight="false" outlineLevel="0" collapsed="false">
      <c r="A104" s="74" t="s">
        <v>1016</v>
      </c>
      <c r="B104" s="53" t="str">
        <f aca="false">INDEX(I_Items!$B$5:$B$133,MATCH($A104,I_Items!$A$5:$A$133,0))&amp;""</f>
        <v>Karkas Uk 0.6 Karkas Uk 0.6 Frozen Premium</v>
      </c>
      <c r="C104" s="53" t="str">
        <f aca="false">INDEX(I_Items!$C$5:$C$133,MATCH($A104,I_Items!$A$5:$A$133,0))&amp;""</f>
        <v>RPA</v>
      </c>
      <c r="D104" s="53" t="str">
        <f aca="false">INDEX(I_Items!$D$5:$D$133,MATCH($A104,I_Items!$A$5:$A$133,0))&amp;""</f>
        <v>Karkas</v>
      </c>
      <c r="E104" s="53" t="str">
        <f aca="false">INDEX(I_Items!$F$5:$F$133,MATCH($A104,I_Items!$A$5:$A$133,0))&amp;""</f>
        <v>Frozen</v>
      </c>
      <c r="F104" s="53" t="str">
        <f aca="false">INDEX(I_Items!$E$5:$E$133,MATCH($A104,I_Items!$A$5:$A$133,0))&amp;""</f>
        <v>Uk 0.6</v>
      </c>
      <c r="G104" s="6" t="str">
        <f aca="false">IF(P104=0,"-",IF(M104=0,"A",IF(K104&lt;=0,"C","B")))</f>
        <v>B</v>
      </c>
      <c r="H104" s="13" t="n">
        <f aca="false">SUMIFS('MA Engine'!$K$6:$K$1110,'MA Engine'!$B$6:$B$1110,$A104,'MA Engine'!$I$6:$I$1110,"Opening")</f>
        <v>1222.1</v>
      </c>
      <c r="I104" s="13" t="n">
        <f aca="false">SUMIFS('MA Engine'!$K$6:$K$1110,'MA Engine'!$B$6:$B$1110,$A104,'MA Engine'!$H$6:$H$1110,7,'MA Engine'!$I$6:$I$1110,"&lt;&gt;Opening")</f>
        <v>0</v>
      </c>
      <c r="J104" s="13" t="n">
        <f aca="false">SUMIFS('MA Engine'!$W$6:$W$1110,'MA Engine'!$B$6:$B$1110,$A104,'MA Engine'!$H$6:$H$1110,7)</f>
        <v>0</v>
      </c>
      <c r="K104" s="14" t="n">
        <f aca="false">H104+I104-J104</f>
        <v>1222.1</v>
      </c>
      <c r="L104" s="7" t="n">
        <f aca="false">SUMIFS('MA Engine'!$L$6:$L$1110,'MA Engine'!$B$6:$B$1110,$A104,'MA Engine'!$I$6:$I$1110,"Opening")+SUMIFS('MA Engine'!$L$6:$L$1110,'MA Engine'!$B$6:$B$1110,$A104,'MA Engine'!$H$6:$H$1110,7,'MA Engine'!$I$6:$I$1110,"&lt;&gt;Opening")-SUMIFS('MA Engine'!$X$6:$X$1110,'MA Engine'!$B$6:$B$1110,$A104,'MA Engine'!$H$6:$H$1110,7)</f>
        <v>31305514.67</v>
      </c>
      <c r="M104" s="13" t="n">
        <f aca="false">SUMIFS('MA Engine'!$K$6:$K$1110,'MA Engine'!$B$6:$B$1110,$A104,'MA Engine'!$H$6:$H$1110,8)</f>
        <v>136.3</v>
      </c>
      <c r="N104" s="7" t="n">
        <f aca="false">SUMIFS('MA Engine'!$L$6:$L$1110,'MA Engine'!$B$6:$B$1110,$A104,'MA Engine'!$H$6:$H$1110,8)</f>
        <v>5113279.94</v>
      </c>
      <c r="O104" s="13" t="n">
        <f aca="false">SUMIFS('MA Engine'!$W$6:$W$1110,'MA Engine'!$B$6:$B$1110,$A104,'MA Engine'!$H$6:$H$1110,8)</f>
        <v>1150.4</v>
      </c>
      <c r="P104" s="14" t="n">
        <f aca="false">Q104+R104</f>
        <v>1150.4</v>
      </c>
      <c r="Q104" s="13" t="n">
        <f aca="false">SUMIFS('MA Engine'!$W$6:$W$1110,'MA Engine'!$B$6:$B$1110,$A104,'MA Engine'!$H$6:$H$1110,8,'MA Engine'!$I$6:$I$1110,"DO",'MA Engine'!$P$6:$P$1110,"&lt;&gt;Y")</f>
        <v>1150.4</v>
      </c>
      <c r="R104" s="13" t="n">
        <f aca="false">SUMIFS('MA Engine'!$W$6:$W$1110,'MA Engine'!$B$6:$B$1110,$A104,'MA Engine'!$H$6:$H$1110,8,'MA Engine'!$I$6:$I$1110,"Unbilled")</f>
        <v>0</v>
      </c>
      <c r="S104" s="13" t="n">
        <f aca="false">SUMIFS('MA Engine'!$W$6:$W$1110,'MA Engine'!$B$6:$B$1110,$A104,'MA Engine'!$H$6:$H$1110,8,'MA Engine'!$P$6:$P$1110,"Y")</f>
        <v>0</v>
      </c>
      <c r="T104" s="14" t="n">
        <f aca="false">O104-P104-S104</f>
        <v>0</v>
      </c>
      <c r="U104" s="14" t="n">
        <f aca="false">MAX(0,H104-J104)</f>
        <v>1222.1</v>
      </c>
      <c r="V104" s="14" t="n">
        <f aca="false">MAX(0,K104-U104)</f>
        <v>0</v>
      </c>
      <c r="W104" s="14" t="n">
        <f aca="false">MIN(U104,O104)</f>
        <v>1150.4</v>
      </c>
      <c r="X104" s="14" t="n">
        <f aca="false">MIN(V104,O104-W104)</f>
        <v>0</v>
      </c>
      <c r="Y104" s="14" t="n">
        <f aca="false">O104-W104-X104</f>
        <v>0</v>
      </c>
      <c r="Z104" s="21" t="n">
        <f aca="false">IF(O104=0,0,P104/O104)</f>
        <v>1</v>
      </c>
      <c r="AA104" s="13" t="n">
        <f aca="false">SUMIFS('MA Engine'!$AH$6:$AH$1110,'MA Engine'!$B$6:$B$1110,$A104,'MA Engine'!$H$6:$H$1110,8,'MA Engine'!$I$6:$I$1110,"DO",'MA Engine'!$P$6:$P$1110,"&lt;&gt;Y")+SUMIFS('MA Engine'!$AH$6:$AH$1110,'MA Engine'!$B$6:$B$1110,$A104,'MA Engine'!$H$6:$H$1110,8,'MA Engine'!$I$6:$I$1110,"Unbilled")</f>
        <v>1150.4</v>
      </c>
      <c r="AB104" s="13" t="n">
        <f aca="false">SUMIFS('MA Engine'!$AI$6:$AI$1110,'MA Engine'!$B$6:$B$1110,$A104,'MA Engine'!$H$6:$H$1110,8,'MA Engine'!$I$6:$I$1110,"DO",'MA Engine'!$P$6:$P$1110,"&lt;&gt;Y")+SUMIFS('MA Engine'!$AI$6:$AI$1110,'MA Engine'!$B$6:$B$1110,$A104,'MA Engine'!$H$6:$H$1110,8,'MA Engine'!$I$6:$I$1110,"Unbilled")</f>
        <v>0</v>
      </c>
      <c r="AC104" s="13" t="n">
        <f aca="false">SUMIFS('MA Engine'!$AJ$6:$AJ$1110,'MA Engine'!$B$6:$B$1110,$A104,'MA Engine'!$H$6:$H$1110,8,'MA Engine'!$I$6:$I$1110,"DO",'MA Engine'!$P$6:$P$1110,"&lt;&gt;Y")+SUMIFS('MA Engine'!$AJ$6:$AJ$1110,'MA Engine'!$B$6:$B$1110,$A104,'MA Engine'!$H$6:$H$1110,8,'MA Engine'!$I$6:$I$1110,"Unbilled")</f>
        <v>0</v>
      </c>
      <c r="AD104" s="7" t="n">
        <f aca="false">SUMIFS('MA Engine'!$L$6:$L$1110,'MA Engine'!$B$6:$B$1110,$A104,'MA Engine'!$H$6:$H$1110,7,'MA Engine'!$I$6:$I$1110,"&lt;&gt;Opening")</f>
        <v>0</v>
      </c>
      <c r="AE104" s="9" t="n">
        <f aca="false">IF(AND(U104&gt;0.0001,(L104-V104*IF(I104&gt;0,AD104/I104,IF(K104&gt;0,L104/K104,0)))&lt;0),IF(K104&gt;0,L104/K104,0),IF(I104&gt;0,AD104/I104,IF(K104&gt;0,L104/K104,0)))</f>
        <v>25616.164528271</v>
      </c>
      <c r="AF104" s="9" t="n">
        <f aca="false">IF(U104&lt;=0.0001,IF(K104&gt;0,L104/K104,0),IF((L104-V104*IF(I104&gt;0,AD104/I104,IF(K104&gt;0,L104/K104,0)))&lt;0,IF(K104&gt;0,L104/K104,0),(L104-V104*IF(I104&gt;0,AD104/I104,IF(K104&gt;0,L104/K104,0)))/U104))</f>
        <v>25616.164528271</v>
      </c>
      <c r="AG104" s="9" t="n">
        <f aca="false">IF(M104&gt;0,N104/M104,IF(K104&gt;0,L104/K104,0))</f>
        <v>37514.8931768159</v>
      </c>
      <c r="AH104" s="7" t="n">
        <f aca="false">SUMIFS('MA Engine'!$X$6:$X$1110,'MA Engine'!$B$6:$B$1110,$A104,'MA Engine'!$H$6:$H$1110,8,'MA Engine'!$I$6:$I$1110,"DO",'MA Engine'!$P$6:$P$1110,"&lt;&gt;Y")+SUMIFS('MA Engine'!$X$6:$X$1110,'MA Engine'!$B$6:$B$1110,$A104,'MA Engine'!$H$6:$H$1110,8,'MA Engine'!$I$6:$I$1110,"Unbilled")</f>
        <v>30248693.5811194</v>
      </c>
      <c r="AI104" s="7" t="n">
        <f aca="false">SUMIFS('MA Engine'!$AK$6:$AK$1110,'MA Engine'!$B$6:$B$1110,$A104,'MA Engine'!$H$6:$H$1110,8,'MA Engine'!$I$6:$I$1110,"DO",'MA Engine'!$P$6:$P$1110,"&lt;&gt;Y")+SUMIFS('MA Engine'!$AK$6:$AK$1110,'MA Engine'!$B$6:$B$1110,$A104,'MA Engine'!$H$6:$H$1110,8,'MA Engine'!$I$6:$I$1110,"Unbilled")</f>
        <v>30248693.5811194</v>
      </c>
      <c r="AJ104" s="7" t="n">
        <f aca="false">SUMIFS('MA Engine'!$AL$6:$AL$1110,'MA Engine'!$B$6:$B$1110,$A104,'MA Engine'!$H$6:$H$1110,8,'MA Engine'!$I$6:$I$1110,"DO",'MA Engine'!$P$6:$P$1110,"&lt;&gt;Y")+SUMIFS('MA Engine'!$AL$6:$AL$1110,'MA Engine'!$B$6:$B$1110,$A104,'MA Engine'!$H$6:$H$1110,8,'MA Engine'!$I$6:$I$1110,"Unbilled")</f>
        <v>0</v>
      </c>
      <c r="AK104" s="7" t="n">
        <f aca="false">SUMIFS('MA Engine'!$AM$6:$AM$1110,'MA Engine'!$B$6:$B$1110,$A104,'MA Engine'!$H$6:$H$1110,8,'MA Engine'!$I$6:$I$1110,"DO",'MA Engine'!$P$6:$P$1110,"&lt;&gt;Y")+SUMIFS('MA Engine'!$AM$6:$AM$1110,'MA Engine'!$B$6:$B$1110,$A104,'MA Engine'!$H$6:$H$1110,8,'MA Engine'!$I$6:$I$1110,"Unbilled")</f>
        <v>0</v>
      </c>
      <c r="AL104" s="9" t="n">
        <f aca="false">AH104-AI104-AJ104-AK104</f>
        <v>0</v>
      </c>
      <c r="AM104" s="7" t="n">
        <f aca="false">IF(Q104=0,0,IF($D104="Karkas",SUMIFS('Karkas Detail'!$E$6:$E$42,'Karkas Detail'!$A$6:$A$42,$C104,'Karkas Detail'!$B$6:$B$42,$F104,'Karkas Detail'!$C$6:$C$42,$E104)/SUMIFS($Q$36:$Q$127,$C$36:$C$127,$C104,$D$36:$D$127,"Karkas",$F$36:$F$127,$F104,$E$36:$E$127,$E104),SUMIFS('Data SKU'!$G$5:$G$116,'Data SKU'!$A$5:$A$116,$C104,'Data SKU'!$B$5:$B$116,$D104,'Data SKU'!$C$5:$C$116,$E104,'Data SKU'!$D$5:$D$116,8,'Data SKU'!$N$5:$N$116,"Invoiced")/SUMIFS($Q$36:$Q$127,$C$36:$C$127,$C104,$D$36:$D$127,$D104,$E$36:$E$127,$E104))*Q104)+SUMIFS(Unbilled!$U$22:$U$38,Unbilled!$E$22:$E$38,$A104)</f>
        <v>34557600</v>
      </c>
      <c r="AN104" s="9" t="n">
        <f aca="false">IF(P104=0,0,AM104*AA104/P104)</f>
        <v>34557600</v>
      </c>
      <c r="AO104" s="9" t="n">
        <f aca="false">IF(P104=0,0,AM104*AB104/P104)</f>
        <v>0</v>
      </c>
      <c r="AP104" s="9" t="n">
        <f aca="false">IF(P104=0,0,AM104*AC104/P104)</f>
        <v>0</v>
      </c>
      <c r="AQ104" s="14" t="n">
        <f aca="false">MIN(U104+V104,MAX(0,O104-M104))</f>
        <v>1014.1</v>
      </c>
      <c r="AR104" s="14" t="n">
        <f aca="false">MAX(0,AQ104-V104)*Z104</f>
        <v>1014.1</v>
      </c>
      <c r="AS104" s="14" t="n">
        <f aca="false">MIN(V104,AQ104)*Z104</f>
        <v>0</v>
      </c>
      <c r="AT104" s="14" t="n">
        <f aca="false">(O104-AQ104)*Z104</f>
        <v>136.3</v>
      </c>
      <c r="AU104" s="9" t="n">
        <f aca="false">(AR104+AS104+AT104)*BA104</f>
        <v>30248693.5811194</v>
      </c>
      <c r="AV104" s="9" t="n">
        <f aca="false">IF(P104=0,0,AM104*AR104/P104)</f>
        <v>30463197.2878999</v>
      </c>
      <c r="AW104" s="9" t="n">
        <f aca="false">IF(P104=0,0,AM104*AS104/P104)</f>
        <v>0</v>
      </c>
      <c r="AX104" s="9" t="n">
        <f aca="false">IF(P104=0,0,AM104*AT104/P104)</f>
        <v>4094402.71210014</v>
      </c>
      <c r="AY104" s="9" t="n">
        <f aca="false">AH104-AU104</f>
        <v>0</v>
      </c>
      <c r="AZ104" s="9" t="n">
        <f aca="false">IF(M104&gt;0,P104*AG104,0)</f>
        <v>43157133.110609</v>
      </c>
      <c r="BA104" s="9" t="n">
        <f aca="false">IF(P104=0,0,AH104/P104)</f>
        <v>26294.0660475655</v>
      </c>
      <c r="BB104" s="74" t="s">
        <v>838</v>
      </c>
      <c r="BC104" s="13" t="n">
        <f aca="false">SUMIFS('MA Engine'!$W$6:$W$1110,'MA Engine'!$B$6:$B$1110,$A104,'MA Engine'!$H$6:$H$1110,7,'MA Engine'!$I$6:$I$1110,"DO")</f>
        <v>0</v>
      </c>
      <c r="BD104" s="14" t="n">
        <f aca="false">MIN(MAX(0,H104),J104)</f>
        <v>0</v>
      </c>
      <c r="BE104" s="14" t="n">
        <f aca="false">J104-BD104</f>
        <v>0</v>
      </c>
      <c r="BF104" s="21" t="n">
        <f aca="false">IF(J104=0,0,BC104/J104)</f>
        <v>0</v>
      </c>
      <c r="BG104" s="13" t="n">
        <f aca="false">SUMIFS('MA Engine'!$AH$6:$AH$1110,'MA Engine'!$B$6:$B$1110,$A104,'MA Engine'!$H$6:$H$1110,7,'MA Engine'!$I$6:$I$1110,"DO")</f>
        <v>0</v>
      </c>
      <c r="BH104" s="13" t="n">
        <f aca="false">SUMIFS('MA Engine'!$AI$6:$AI$1110,'MA Engine'!$B$6:$B$1110,$A104,'MA Engine'!$H$6:$H$1110,7,'MA Engine'!$I$6:$I$1110,"DO")+SUMIFS('MA Engine'!$AJ$6:$AJ$1110,'MA Engine'!$B$6:$B$1110,$A104,'MA Engine'!$H$6:$H$1110,7,'MA Engine'!$I$6:$I$1110,"DO")</f>
        <v>0</v>
      </c>
      <c r="BI104" s="7" t="n">
        <f aca="false">IF(H104&gt;0,SUMIFS('MA Engine'!$L$6:$L$1110,'MA Engine'!$B$6:$B$1110,$A104,'MA Engine'!$I$6:$I$1110,"Opening")/H104,0)</f>
        <v>25616.164528271</v>
      </c>
      <c r="BJ104" s="9" t="n">
        <f aca="false">IF(I104&gt;0,AD104/I104,BI104)</f>
        <v>25616.164528271</v>
      </c>
      <c r="BK104" s="7" t="n">
        <f aca="false">SUMIFS('MA Engine'!$X$6:$X$1110,'MA Engine'!$B$6:$B$1110,$A104,'MA Engine'!$H$6:$H$1110,7,'MA Engine'!$I$6:$I$1110,"DO")</f>
        <v>0</v>
      </c>
      <c r="BL104" s="7" t="n">
        <f aca="false">SUMIFS('MA Engine'!$AK$6:$AK$1110,'MA Engine'!$B$6:$B$1110,$A104,'MA Engine'!$H$6:$H$1110,7,'MA Engine'!$I$6:$I$1110,"DO")</f>
        <v>0</v>
      </c>
      <c r="BM104" s="7" t="n">
        <f aca="false">SUMIFS('MA Engine'!$AL$6:$AL$1110,'MA Engine'!$B$6:$B$1110,$A104,'MA Engine'!$H$6:$H$1110,7,'MA Engine'!$I$6:$I$1110,"DO")+SUMIFS('MA Engine'!$AM$6:$AM$1110,'MA Engine'!$B$6:$B$1110,$A104,'MA Engine'!$H$6:$H$1110,7,'MA Engine'!$I$6:$I$1110,"DO")</f>
        <v>0</v>
      </c>
      <c r="BN104" s="9" t="n">
        <f aca="false">BK104-BL104-BM104</f>
        <v>0</v>
      </c>
      <c r="BO104" s="7" t="n">
        <f aca="false">IF(BC104=0,0,SUMIFS('Data SKU'!$G$5:$G$116,'Data SKU'!$A$5:$A$116,$C104,'Data SKU'!$B$5:$B$116,$D104,'Data SKU'!$C$5:$C$116,$E104,'Data SKU'!$D$5:$D$116,7,'Data SKU'!$N$5:$N$116,"Invoiced")/SUMIFS($BC$36:$BC$127,$C$36:$C$127,$C104,$D$36:$D$127,$D104,$E$36:$E$127,$E104)*BC104)</f>
        <v>0</v>
      </c>
      <c r="BP104" s="9" t="n">
        <f aca="false">IF(BC104=0,0,BO104*BG104/BC104)</f>
        <v>0</v>
      </c>
      <c r="BQ104" s="9" t="n">
        <f aca="false">IF(BC104=0,0,BO104*BH104/BC104)</f>
        <v>0</v>
      </c>
    </row>
    <row r="105" customFormat="false" ht="15" hidden="false" customHeight="false" outlineLevel="0" collapsed="false">
      <c r="A105" s="74" t="s">
        <v>1017</v>
      </c>
      <c r="B105" s="53" t="str">
        <f aca="false">INDEX(I_Items!$B$5:$B$133,MATCH($A105,I_Items!$A$5:$A$133,0))&amp;""</f>
        <v>Karkas Uk 0.7 Karkas Uk 0.7 Frozen Premium</v>
      </c>
      <c r="C105" s="53" t="str">
        <f aca="false">INDEX(I_Items!$C$5:$C$133,MATCH($A105,I_Items!$A$5:$A$133,0))&amp;""</f>
        <v>RPA</v>
      </c>
      <c r="D105" s="53" t="str">
        <f aca="false">INDEX(I_Items!$D$5:$D$133,MATCH($A105,I_Items!$A$5:$A$133,0))&amp;""</f>
        <v>Karkas</v>
      </c>
      <c r="E105" s="53" t="str">
        <f aca="false">INDEX(I_Items!$F$5:$F$133,MATCH($A105,I_Items!$A$5:$A$133,0))&amp;""</f>
        <v>Frozen</v>
      </c>
      <c r="F105" s="53" t="str">
        <f aca="false">INDEX(I_Items!$E$5:$E$133,MATCH($A105,I_Items!$A$5:$A$133,0))&amp;""</f>
        <v>Uk 0.7</v>
      </c>
      <c r="G105" s="6" t="str">
        <f aca="false">IF(P105=0,"-",IF(M105=0,"A",IF(K105&lt;=0,"C","B")))</f>
        <v>B</v>
      </c>
      <c r="H105" s="13" t="n">
        <f aca="false">SUMIFS('MA Engine'!$K$6:$K$1110,'MA Engine'!$B$6:$B$1110,$A105,'MA Engine'!$I$6:$I$1110,"Opening")</f>
        <v>3239.2</v>
      </c>
      <c r="I105" s="13" t="n">
        <f aca="false">SUMIFS('MA Engine'!$K$6:$K$1110,'MA Engine'!$B$6:$B$1110,$A105,'MA Engine'!$H$6:$H$1110,7,'MA Engine'!$I$6:$I$1110,"&lt;&gt;Opening")</f>
        <v>0</v>
      </c>
      <c r="J105" s="13" t="n">
        <f aca="false">SUMIFS('MA Engine'!$W$6:$W$1110,'MA Engine'!$B$6:$B$1110,$A105,'MA Engine'!$H$6:$H$1110,7)</f>
        <v>96.33</v>
      </c>
      <c r="K105" s="14" t="n">
        <f aca="false">H105+I105-J105</f>
        <v>3142.87</v>
      </c>
      <c r="L105" s="7" t="n">
        <f aca="false">SUMIFS('MA Engine'!$L$6:$L$1110,'MA Engine'!$B$6:$B$1110,$A105,'MA Engine'!$I$6:$I$1110,"Opening")+SUMIFS('MA Engine'!$L$6:$L$1110,'MA Engine'!$B$6:$B$1110,$A105,'MA Engine'!$H$6:$H$1110,7,'MA Engine'!$I$6:$I$1110,"&lt;&gt;Opening")-SUMIFS('MA Engine'!$X$6:$X$1110,'MA Engine'!$B$6:$B$1110,$A105,'MA Engine'!$H$6:$H$1110,7)</f>
        <v>80735685.5724289</v>
      </c>
      <c r="M105" s="13" t="n">
        <f aca="false">SUMIFS('MA Engine'!$K$6:$K$1110,'MA Engine'!$B$6:$B$1110,$A105,'MA Engine'!$H$6:$H$1110,8)</f>
        <v>1317.9</v>
      </c>
      <c r="N105" s="7" t="n">
        <f aca="false">SUMIFS('MA Engine'!$L$6:$L$1110,'MA Engine'!$B$6:$B$1110,$A105,'MA Engine'!$H$6:$H$1110,8)</f>
        <v>49713633.67</v>
      </c>
      <c r="O105" s="13" t="n">
        <f aca="false">SUMIFS('MA Engine'!$W$6:$W$1110,'MA Engine'!$B$6:$B$1110,$A105,'MA Engine'!$H$6:$H$1110,8)</f>
        <v>4236.18</v>
      </c>
      <c r="P105" s="14" t="n">
        <f aca="false">Q105+R105</f>
        <v>4236.18</v>
      </c>
      <c r="Q105" s="13" t="n">
        <f aca="false">SUMIFS('MA Engine'!$W$6:$W$1110,'MA Engine'!$B$6:$B$1110,$A105,'MA Engine'!$H$6:$H$1110,8,'MA Engine'!$I$6:$I$1110,"DO",'MA Engine'!$P$6:$P$1110,"&lt;&gt;Y")</f>
        <v>4236.18</v>
      </c>
      <c r="R105" s="13" t="n">
        <f aca="false">SUMIFS('MA Engine'!$W$6:$W$1110,'MA Engine'!$B$6:$B$1110,$A105,'MA Engine'!$H$6:$H$1110,8,'MA Engine'!$I$6:$I$1110,"Unbilled")</f>
        <v>0</v>
      </c>
      <c r="S105" s="13" t="n">
        <f aca="false">SUMIFS('MA Engine'!$W$6:$W$1110,'MA Engine'!$B$6:$B$1110,$A105,'MA Engine'!$H$6:$H$1110,8,'MA Engine'!$P$6:$P$1110,"Y")</f>
        <v>0</v>
      </c>
      <c r="T105" s="14" t="n">
        <f aca="false">O105-P105-S105</f>
        <v>0</v>
      </c>
      <c r="U105" s="14" t="n">
        <f aca="false">MAX(0,H105-J105)</f>
        <v>3142.87</v>
      </c>
      <c r="V105" s="14" t="n">
        <f aca="false">MAX(0,K105-U105)</f>
        <v>0</v>
      </c>
      <c r="W105" s="14" t="n">
        <f aca="false">MIN(U105,O105)</f>
        <v>3142.87</v>
      </c>
      <c r="X105" s="14" t="n">
        <f aca="false">MIN(V105,O105-W105)</f>
        <v>0</v>
      </c>
      <c r="Y105" s="14" t="n">
        <f aca="false">O105-W105-X105</f>
        <v>1093.31</v>
      </c>
      <c r="Z105" s="21" t="n">
        <f aca="false">IF(O105=0,0,P105/O105)</f>
        <v>1</v>
      </c>
      <c r="AA105" s="13" t="n">
        <f aca="false">SUMIFS('MA Engine'!$AH$6:$AH$1110,'MA Engine'!$B$6:$B$1110,$A105,'MA Engine'!$H$6:$H$1110,8,'MA Engine'!$I$6:$I$1110,"DO",'MA Engine'!$P$6:$P$1110,"&lt;&gt;Y")+SUMIFS('MA Engine'!$AH$6:$AH$1110,'MA Engine'!$B$6:$B$1110,$A105,'MA Engine'!$H$6:$H$1110,8,'MA Engine'!$I$6:$I$1110,"Unbilled")</f>
        <v>3142.87</v>
      </c>
      <c r="AB105" s="13" t="n">
        <f aca="false">SUMIFS('MA Engine'!$AI$6:$AI$1110,'MA Engine'!$B$6:$B$1110,$A105,'MA Engine'!$H$6:$H$1110,8,'MA Engine'!$I$6:$I$1110,"DO",'MA Engine'!$P$6:$P$1110,"&lt;&gt;Y")+SUMIFS('MA Engine'!$AI$6:$AI$1110,'MA Engine'!$B$6:$B$1110,$A105,'MA Engine'!$H$6:$H$1110,8,'MA Engine'!$I$6:$I$1110,"Unbilled")</f>
        <v>0</v>
      </c>
      <c r="AC105" s="13" t="n">
        <f aca="false">SUMIFS('MA Engine'!$AJ$6:$AJ$1110,'MA Engine'!$B$6:$B$1110,$A105,'MA Engine'!$H$6:$H$1110,8,'MA Engine'!$I$6:$I$1110,"DO",'MA Engine'!$P$6:$P$1110,"&lt;&gt;Y")+SUMIFS('MA Engine'!$AJ$6:$AJ$1110,'MA Engine'!$B$6:$B$1110,$A105,'MA Engine'!$H$6:$H$1110,8,'MA Engine'!$I$6:$I$1110,"Unbilled")</f>
        <v>1093.31</v>
      </c>
      <c r="AD105" s="7" t="n">
        <f aca="false">SUMIFS('MA Engine'!$L$6:$L$1110,'MA Engine'!$B$6:$B$1110,$A105,'MA Engine'!$H$6:$H$1110,7,'MA Engine'!$I$6:$I$1110,"&lt;&gt;Opening")</f>
        <v>0</v>
      </c>
      <c r="AE105" s="9" t="n">
        <f aca="false">IF(AND(U105&gt;0.0001,(L105-V105*IF(I105&gt;0,AD105/I105,IF(K105&gt;0,L105/K105,0)))&lt;0),IF(K105&gt;0,L105/K105,0),IF(I105&gt;0,AD105/I105,IF(K105&gt;0,L105/K105,0)))</f>
        <v>25688.5221381823</v>
      </c>
      <c r="AF105" s="9" t="n">
        <f aca="false">IF(U105&lt;=0.0001,IF(K105&gt;0,L105/K105,0),IF((L105-V105*IF(I105&gt;0,AD105/I105,IF(K105&gt;0,L105/K105,0)))&lt;0,IF(K105&gt;0,L105/K105,0),(L105-V105*IF(I105&gt;0,AD105/I105,IF(K105&gt;0,L105/K105,0)))/U105))</f>
        <v>25688.5221381823</v>
      </c>
      <c r="AG105" s="9" t="n">
        <f aca="false">IF(M105&gt;0,N105/M105,IF(K105&gt;0,L105/K105,0))</f>
        <v>37721.8557326049</v>
      </c>
      <c r="AH105" s="7" t="n">
        <f aca="false">SUMIFS('MA Engine'!$X$6:$X$1110,'MA Engine'!$B$6:$B$1110,$A105,'MA Engine'!$H$6:$H$1110,8,'MA Engine'!$I$6:$I$1110,"DO",'MA Engine'!$P$6:$P$1110,"&lt;&gt;Y")+SUMIFS('MA Engine'!$X$6:$X$1110,'MA Engine'!$B$6:$B$1110,$A105,'MA Engine'!$H$6:$H$1110,8,'MA Engine'!$I$6:$I$1110,"Unbilled")</f>
        <v>123323346.263789</v>
      </c>
      <c r="AI105" s="7" t="n">
        <f aca="false">SUMIFS('MA Engine'!$AK$6:$AK$1110,'MA Engine'!$B$6:$B$1110,$A105,'MA Engine'!$H$6:$H$1110,8,'MA Engine'!$I$6:$I$1110,"DO",'MA Engine'!$P$6:$P$1110,"&lt;&gt;Y")+SUMIFS('MA Engine'!$AK$6:$AK$1110,'MA Engine'!$B$6:$B$1110,$A105,'MA Engine'!$H$6:$H$1110,8,'MA Engine'!$I$6:$I$1110,"Unbilled")</f>
        <v>89898269.7349939</v>
      </c>
      <c r="AJ105" s="7" t="n">
        <f aca="false">SUMIFS('MA Engine'!$AL$6:$AL$1110,'MA Engine'!$B$6:$B$1110,$A105,'MA Engine'!$H$6:$H$1110,8,'MA Engine'!$I$6:$I$1110,"DO",'MA Engine'!$P$6:$P$1110,"&lt;&gt;Y")+SUMIFS('MA Engine'!$AL$6:$AL$1110,'MA Engine'!$B$6:$B$1110,$A105,'MA Engine'!$H$6:$H$1110,8,'MA Engine'!$I$6:$I$1110,"Unbilled")</f>
        <v>0</v>
      </c>
      <c r="AK105" s="7" t="n">
        <f aca="false">SUMIFS('MA Engine'!$AM$6:$AM$1110,'MA Engine'!$B$6:$B$1110,$A105,'MA Engine'!$H$6:$H$1110,8,'MA Engine'!$I$6:$I$1110,"DO",'MA Engine'!$P$6:$P$1110,"&lt;&gt;Y")+SUMIFS('MA Engine'!$AM$6:$AM$1110,'MA Engine'!$B$6:$B$1110,$A105,'MA Engine'!$H$6:$H$1110,8,'MA Engine'!$I$6:$I$1110,"Unbilled")</f>
        <v>33425076.5287954</v>
      </c>
      <c r="AL105" s="9" t="n">
        <f aca="false">AH105-AI105-AJ105-AK105</f>
        <v>0</v>
      </c>
      <c r="AM105" s="7" t="n">
        <f aca="false">IF(Q105=0,0,IF($D105="Karkas",SUMIFS('Karkas Detail'!$E$6:$E$42,'Karkas Detail'!$A$6:$A$42,$C105,'Karkas Detail'!$B$6:$B$42,$F105,'Karkas Detail'!$C$6:$C$42,$E105)/SUMIFS($Q$36:$Q$127,$C$36:$C$127,$C105,$D$36:$D$127,"Karkas",$F$36:$F$127,$F105,$E$36:$E$127,$E105),SUMIFS('Data SKU'!$G$5:$G$116,'Data SKU'!$A$5:$A$116,$C105,'Data SKU'!$B$5:$B$116,$D105,'Data SKU'!$C$5:$C$116,$E105,'Data SKU'!$D$5:$D$116,8,'Data SKU'!$N$5:$N$116,"Invoiced")/SUMIFS($Q$36:$Q$127,$C$36:$C$127,$C105,$D$36:$D$127,$D105,$E$36:$E$127,$E105))*Q105)+SUMIFS(Unbilled!$U$22:$U$38,Unbilled!$E$22:$E$38,$A105)</f>
        <v>135235528.81884</v>
      </c>
      <c r="AN105" s="9" t="n">
        <f aca="false">IF(P105=0,0,AM105*AA105/P105)</f>
        <v>100332773.031096</v>
      </c>
      <c r="AO105" s="9" t="n">
        <f aca="false">IF(P105=0,0,AM105*AB105/P105)</f>
        <v>0</v>
      </c>
      <c r="AP105" s="9" t="n">
        <f aca="false">IF(P105=0,0,AM105*AC105/P105)</f>
        <v>34902755.7877442</v>
      </c>
      <c r="AQ105" s="14" t="n">
        <f aca="false">MIN(U105+V105,MAX(0,O105-M105))</f>
        <v>2918.28</v>
      </c>
      <c r="AR105" s="14" t="n">
        <f aca="false">MAX(0,AQ105-V105)*Z105</f>
        <v>2918.28</v>
      </c>
      <c r="AS105" s="14" t="n">
        <f aca="false">MIN(V105,AQ105)*Z105</f>
        <v>0</v>
      </c>
      <c r="AT105" s="14" t="n">
        <f aca="false">(O105-AQ105)*Z105</f>
        <v>1317.9</v>
      </c>
      <c r="AU105" s="9" t="n">
        <f aca="false">(AR105+AS105+AT105)*BA105</f>
        <v>123323346.263789</v>
      </c>
      <c r="AV105" s="9" t="n">
        <f aca="false">IF(P105=0,0,AM105*AR105/P105)</f>
        <v>93162976.7954725</v>
      </c>
      <c r="AW105" s="9" t="n">
        <f aca="false">IF(P105=0,0,AM105*AS105/P105)</f>
        <v>0</v>
      </c>
      <c r="AX105" s="9" t="n">
        <f aca="false">IF(P105=0,0,AM105*AT105/P105)</f>
        <v>42072552.0233676</v>
      </c>
      <c r="AY105" s="9" t="n">
        <f aca="false">AH105-AU105</f>
        <v>0</v>
      </c>
      <c r="AZ105" s="9" t="n">
        <f aca="false">IF(M105&gt;0,P105*AG105,0)</f>
        <v>159796570.817346</v>
      </c>
      <c r="BA105" s="9" t="n">
        <f aca="false">IF(P105=0,0,AH105/P105)</f>
        <v>29111.9230683751</v>
      </c>
      <c r="BB105" s="74" t="s">
        <v>838</v>
      </c>
      <c r="BC105" s="13" t="n">
        <f aca="false">SUMIFS('MA Engine'!$W$6:$W$1110,'MA Engine'!$B$6:$B$1110,$A105,'MA Engine'!$H$6:$H$1110,7,'MA Engine'!$I$6:$I$1110,"DO")</f>
        <v>96.33</v>
      </c>
      <c r="BD105" s="14" t="n">
        <f aca="false">MIN(MAX(0,H105),J105)</f>
        <v>96.33</v>
      </c>
      <c r="BE105" s="14" t="n">
        <f aca="false">J105-BD105</f>
        <v>0</v>
      </c>
      <c r="BF105" s="21" t="n">
        <f aca="false">IF(J105=0,0,BC105/J105)</f>
        <v>1</v>
      </c>
      <c r="BG105" s="13" t="n">
        <f aca="false">SUMIFS('MA Engine'!$AH$6:$AH$1110,'MA Engine'!$B$6:$B$1110,$A105,'MA Engine'!$H$6:$H$1110,7,'MA Engine'!$I$6:$I$1110,"DO")</f>
        <v>96.33</v>
      </c>
      <c r="BH105" s="13" t="n">
        <f aca="false">SUMIFS('MA Engine'!$AI$6:$AI$1110,'MA Engine'!$B$6:$B$1110,$A105,'MA Engine'!$H$6:$H$1110,7,'MA Engine'!$I$6:$I$1110,"DO")+SUMIFS('MA Engine'!$AJ$6:$AJ$1110,'MA Engine'!$B$6:$B$1110,$A105,'MA Engine'!$H$6:$H$1110,7,'MA Engine'!$I$6:$I$1110,"DO")</f>
        <v>0</v>
      </c>
      <c r="BI105" s="7" t="n">
        <f aca="false">IF(H105&gt;0,SUMIFS('MA Engine'!$L$6:$L$1110,'MA Engine'!$B$6:$B$1110,$A105,'MA Engine'!$I$6:$I$1110,"Opening")/H105,0)</f>
        <v>25688.5221381823</v>
      </c>
      <c r="BJ105" s="9" t="n">
        <f aca="false">IF(I105&gt;0,AD105/I105,BI105)</f>
        <v>25688.5221381823</v>
      </c>
      <c r="BK105" s="7" t="n">
        <f aca="false">SUMIFS('MA Engine'!$X$6:$X$1110,'MA Engine'!$B$6:$B$1110,$A105,'MA Engine'!$H$6:$H$1110,7,'MA Engine'!$I$6:$I$1110,"DO")</f>
        <v>2474575.3375711</v>
      </c>
      <c r="BL105" s="7" t="n">
        <f aca="false">SUMIFS('MA Engine'!$AK$6:$AK$1110,'MA Engine'!$B$6:$B$1110,$A105,'MA Engine'!$H$6:$H$1110,7,'MA Engine'!$I$6:$I$1110,"DO")</f>
        <v>2474575.3375711</v>
      </c>
      <c r="BM105" s="7" t="n">
        <f aca="false">SUMIFS('MA Engine'!$AL$6:$AL$1110,'MA Engine'!$B$6:$B$1110,$A105,'MA Engine'!$H$6:$H$1110,7,'MA Engine'!$I$6:$I$1110,"DO")+SUMIFS('MA Engine'!$AM$6:$AM$1110,'MA Engine'!$B$6:$B$1110,$A105,'MA Engine'!$H$6:$H$1110,7,'MA Engine'!$I$6:$I$1110,"DO")</f>
        <v>0</v>
      </c>
      <c r="BN105" s="9" t="n">
        <f aca="false">BK105-BL105-BM105</f>
        <v>0</v>
      </c>
      <c r="BO105" s="7" t="n">
        <f aca="false">IF(BC105=0,0,SUMIFS('Data SKU'!$G$5:$G$116,'Data SKU'!$A$5:$A$116,$C105,'Data SKU'!$B$5:$B$116,$D105,'Data SKU'!$C$5:$C$116,$E105,'Data SKU'!$D$5:$D$116,7,'Data SKU'!$N$5:$N$116,"Invoiced")/SUMIFS($BC$36:$BC$127,$C$36:$C$127,$C105,$D$36:$D$127,$D105,$E$36:$E$127,$E105)*BC105)</f>
        <v>2727069.11184574</v>
      </c>
      <c r="BP105" s="9" t="n">
        <f aca="false">IF(BC105=0,0,BO105*BG105/BC105)</f>
        <v>2727069.11184574</v>
      </c>
      <c r="BQ105" s="9" t="n">
        <f aca="false">IF(BC105=0,0,BO105*BH105/BC105)</f>
        <v>0</v>
      </c>
    </row>
    <row r="106" customFormat="false" ht="15" hidden="false" customHeight="false" outlineLevel="0" collapsed="false">
      <c r="A106" s="74" t="s">
        <v>1018</v>
      </c>
      <c r="B106" s="53" t="str">
        <f aca="false">INDEX(I_Items!$B$5:$B$133,MATCH($A106,I_Items!$A$5:$A$133,0))&amp;""</f>
        <v>Kulit Body Frozen</v>
      </c>
      <c r="C106" s="53" t="str">
        <f aca="false">INDEX(I_Items!$C$5:$C$133,MATCH($A106,I_Items!$A$5:$A$133,0))&amp;""</f>
        <v>Trading</v>
      </c>
      <c r="D106" s="53" t="str">
        <f aca="false">INDEX(I_Items!$D$5:$D$133,MATCH($A106,I_Items!$A$5:$A$133,0))&amp;""</f>
        <v>Kulit</v>
      </c>
      <c r="E106" s="53" t="str">
        <f aca="false">INDEX(I_Items!$F$5:$F$133,MATCH($A106,I_Items!$A$5:$A$133,0))&amp;""</f>
        <v>Frozen</v>
      </c>
      <c r="F106" s="53" t="str">
        <f aca="false">INDEX(I_Items!$E$5:$E$133,MATCH($A106,I_Items!$A$5:$A$133,0))&amp;""</f>
        <v/>
      </c>
      <c r="G106" s="6" t="str">
        <f aca="false">IF(P106=0,"-",IF(M106=0,"A",IF(K106&lt;=0,"C","B")))</f>
        <v>B</v>
      </c>
      <c r="H106" s="13" t="n">
        <f aca="false">SUMIFS('MA Engine'!$K$6:$K$1110,'MA Engine'!$B$6:$B$1110,$A106,'MA Engine'!$I$6:$I$1110,"Opening")</f>
        <v>0</v>
      </c>
      <c r="I106" s="13" t="n">
        <f aca="false">SUMIFS('MA Engine'!$K$6:$K$1110,'MA Engine'!$B$6:$B$1110,$A106,'MA Engine'!$H$6:$H$1110,7,'MA Engine'!$I$6:$I$1110,"&lt;&gt;Opening")</f>
        <v>1094.61</v>
      </c>
      <c r="J106" s="13" t="n">
        <f aca="false">SUMIFS('MA Engine'!$W$6:$W$1110,'MA Engine'!$B$6:$B$1110,$A106,'MA Engine'!$H$6:$H$1110,7)</f>
        <v>0</v>
      </c>
      <c r="K106" s="14" t="n">
        <f aca="false">H106+I106-J106</f>
        <v>1094.61</v>
      </c>
      <c r="L106" s="7" t="n">
        <f aca="false">SUMIFS('MA Engine'!$L$6:$L$1110,'MA Engine'!$B$6:$B$1110,$A106,'MA Engine'!$I$6:$I$1110,"Opening")+SUMIFS('MA Engine'!$L$6:$L$1110,'MA Engine'!$B$6:$B$1110,$A106,'MA Engine'!$H$6:$H$1110,7,'MA Engine'!$I$6:$I$1110,"&lt;&gt;Opening")-SUMIFS('MA Engine'!$X$6:$X$1110,'MA Engine'!$B$6:$B$1110,$A106,'MA Engine'!$H$6:$H$1110,7)</f>
        <v>19375380</v>
      </c>
      <c r="M106" s="13" t="n">
        <f aca="false">SUMIFS('MA Engine'!$K$6:$K$1110,'MA Engine'!$B$6:$B$1110,$A106,'MA Engine'!$H$6:$H$1110,8)</f>
        <v>2972.7</v>
      </c>
      <c r="N106" s="7" t="n">
        <f aca="false">SUMIFS('MA Engine'!$L$6:$L$1110,'MA Engine'!$B$6:$B$1110,$A106,'MA Engine'!$H$6:$H$1110,8)</f>
        <v>87924132.33</v>
      </c>
      <c r="O106" s="13" t="n">
        <f aca="false">SUMIFS('MA Engine'!$W$6:$W$1110,'MA Engine'!$B$6:$B$1110,$A106,'MA Engine'!$H$6:$H$1110,8)</f>
        <v>105.37</v>
      </c>
      <c r="P106" s="14" t="n">
        <f aca="false">Q106+R106</f>
        <v>105.37</v>
      </c>
      <c r="Q106" s="13" t="n">
        <f aca="false">SUMIFS('MA Engine'!$W$6:$W$1110,'MA Engine'!$B$6:$B$1110,$A106,'MA Engine'!$H$6:$H$1110,8,'MA Engine'!$I$6:$I$1110,"DO",'MA Engine'!$P$6:$P$1110,"&lt;&gt;Y")</f>
        <v>105.37</v>
      </c>
      <c r="R106" s="13" t="n">
        <f aca="false">SUMIFS('MA Engine'!$W$6:$W$1110,'MA Engine'!$B$6:$B$1110,$A106,'MA Engine'!$H$6:$H$1110,8,'MA Engine'!$I$6:$I$1110,"Unbilled")</f>
        <v>0</v>
      </c>
      <c r="S106" s="13" t="n">
        <f aca="false">SUMIFS('MA Engine'!$W$6:$W$1110,'MA Engine'!$B$6:$B$1110,$A106,'MA Engine'!$H$6:$H$1110,8,'MA Engine'!$P$6:$P$1110,"Y")</f>
        <v>0</v>
      </c>
      <c r="T106" s="14" t="n">
        <f aca="false">O106-P106-S106</f>
        <v>0</v>
      </c>
      <c r="U106" s="14" t="n">
        <f aca="false">MAX(0,H106-J106)</f>
        <v>0</v>
      </c>
      <c r="V106" s="14" t="n">
        <f aca="false">MAX(0,K106-U106)</f>
        <v>1094.61</v>
      </c>
      <c r="W106" s="14" t="n">
        <f aca="false">MIN(U106,O106)</f>
        <v>0</v>
      </c>
      <c r="X106" s="14" t="n">
        <f aca="false">MIN(V106,O106-W106)</f>
        <v>105.37</v>
      </c>
      <c r="Y106" s="14" t="n">
        <f aca="false">O106-W106-X106</f>
        <v>0</v>
      </c>
      <c r="Z106" s="21" t="n">
        <f aca="false">IF(O106=0,0,P106/O106)</f>
        <v>1</v>
      </c>
      <c r="AA106" s="13" t="n">
        <f aca="false">SUMIFS('MA Engine'!$AH$6:$AH$1110,'MA Engine'!$B$6:$B$1110,$A106,'MA Engine'!$H$6:$H$1110,8,'MA Engine'!$I$6:$I$1110,"DO",'MA Engine'!$P$6:$P$1110,"&lt;&gt;Y")+SUMIFS('MA Engine'!$AH$6:$AH$1110,'MA Engine'!$B$6:$B$1110,$A106,'MA Engine'!$H$6:$H$1110,8,'MA Engine'!$I$6:$I$1110,"Unbilled")</f>
        <v>0</v>
      </c>
      <c r="AB106" s="13" t="n">
        <f aca="false">SUMIFS('MA Engine'!$AI$6:$AI$1110,'MA Engine'!$B$6:$B$1110,$A106,'MA Engine'!$H$6:$H$1110,8,'MA Engine'!$I$6:$I$1110,"DO",'MA Engine'!$P$6:$P$1110,"&lt;&gt;Y")+SUMIFS('MA Engine'!$AI$6:$AI$1110,'MA Engine'!$B$6:$B$1110,$A106,'MA Engine'!$H$6:$H$1110,8,'MA Engine'!$I$6:$I$1110,"Unbilled")</f>
        <v>105.37</v>
      </c>
      <c r="AC106" s="13" t="n">
        <f aca="false">SUMIFS('MA Engine'!$AJ$6:$AJ$1110,'MA Engine'!$B$6:$B$1110,$A106,'MA Engine'!$H$6:$H$1110,8,'MA Engine'!$I$6:$I$1110,"DO",'MA Engine'!$P$6:$P$1110,"&lt;&gt;Y")+SUMIFS('MA Engine'!$AJ$6:$AJ$1110,'MA Engine'!$B$6:$B$1110,$A106,'MA Engine'!$H$6:$H$1110,8,'MA Engine'!$I$6:$I$1110,"Unbilled")</f>
        <v>0</v>
      </c>
      <c r="AD106" s="7" t="n">
        <f aca="false">SUMIFS('MA Engine'!$L$6:$L$1110,'MA Engine'!$B$6:$B$1110,$A106,'MA Engine'!$H$6:$H$1110,7,'MA Engine'!$I$6:$I$1110,"&lt;&gt;Opening")</f>
        <v>19375380</v>
      </c>
      <c r="AE106" s="9" t="n">
        <f aca="false">IF(AND(U106&gt;0.0001,(L106-V106*IF(I106&gt;0,AD106/I106,IF(K106&gt;0,L106/K106,0)))&lt;0),IF(K106&gt;0,L106/K106,0),IF(I106&gt;0,AD106/I106,IF(K106&gt;0,L106/K106,0)))</f>
        <v>17700.7153232658</v>
      </c>
      <c r="AF106" s="9" t="n">
        <f aca="false">IF(U106&lt;=0.0001,IF(K106&gt;0,L106/K106,0),IF((L106-V106*IF(I106&gt;0,AD106/I106,IF(K106&gt;0,L106/K106,0)))&lt;0,IF(K106&gt;0,L106/K106,0),(L106-V106*IF(I106&gt;0,AD106/I106,IF(K106&gt;0,L106/K106,0)))/U106))</f>
        <v>17700.7153232658</v>
      </c>
      <c r="AG106" s="9" t="n">
        <f aca="false">IF(M106&gt;0,N106/M106,IF(K106&gt;0,L106/K106,0))</f>
        <v>29577.1965990514</v>
      </c>
      <c r="AH106" s="7" t="n">
        <f aca="false">SUMIFS('MA Engine'!$X$6:$X$1110,'MA Engine'!$B$6:$B$1110,$A106,'MA Engine'!$H$6:$H$1110,8,'MA Engine'!$I$6:$I$1110,"DO",'MA Engine'!$P$6:$P$1110,"&lt;&gt;Y")+SUMIFS('MA Engine'!$X$6:$X$1110,'MA Engine'!$B$6:$B$1110,$A106,'MA Engine'!$H$6:$H$1110,8,'MA Engine'!$I$6:$I$1110,"Unbilled")</f>
        <v>2779760.97573386</v>
      </c>
      <c r="AI106" s="7" t="n">
        <f aca="false">SUMIFS('MA Engine'!$AK$6:$AK$1110,'MA Engine'!$B$6:$B$1110,$A106,'MA Engine'!$H$6:$H$1110,8,'MA Engine'!$I$6:$I$1110,"DO",'MA Engine'!$P$6:$P$1110,"&lt;&gt;Y")+SUMIFS('MA Engine'!$AK$6:$AK$1110,'MA Engine'!$B$6:$B$1110,$A106,'MA Engine'!$H$6:$H$1110,8,'MA Engine'!$I$6:$I$1110,"Unbilled")</f>
        <v>0</v>
      </c>
      <c r="AJ106" s="7" t="n">
        <f aca="false">SUMIFS('MA Engine'!$AL$6:$AL$1110,'MA Engine'!$B$6:$B$1110,$A106,'MA Engine'!$H$6:$H$1110,8,'MA Engine'!$I$6:$I$1110,"DO",'MA Engine'!$P$6:$P$1110,"&lt;&gt;Y")+SUMIFS('MA Engine'!$AL$6:$AL$1110,'MA Engine'!$B$6:$B$1110,$A106,'MA Engine'!$H$6:$H$1110,8,'MA Engine'!$I$6:$I$1110,"Unbilled")</f>
        <v>2779760.97573386</v>
      </c>
      <c r="AK106" s="7" t="n">
        <f aca="false">SUMIFS('MA Engine'!$AM$6:$AM$1110,'MA Engine'!$B$6:$B$1110,$A106,'MA Engine'!$H$6:$H$1110,8,'MA Engine'!$I$6:$I$1110,"DO",'MA Engine'!$P$6:$P$1110,"&lt;&gt;Y")+SUMIFS('MA Engine'!$AM$6:$AM$1110,'MA Engine'!$B$6:$B$1110,$A106,'MA Engine'!$H$6:$H$1110,8,'MA Engine'!$I$6:$I$1110,"Unbilled")</f>
        <v>0</v>
      </c>
      <c r="AL106" s="9" t="n">
        <f aca="false">AH106-AI106-AJ106-AK106</f>
        <v>0</v>
      </c>
      <c r="AM106" s="7" t="n">
        <f aca="false">IF(Q106=0,0,IF($D106="Karkas",SUMIFS('Karkas Detail'!$E$6:$E$42,'Karkas Detail'!$A$6:$A$42,$C106,'Karkas Detail'!$B$6:$B$42,$F106,'Karkas Detail'!$C$6:$C$42,$E106)/SUMIFS($Q$36:$Q$127,$C$36:$C$127,$C106,$D$36:$D$127,"Karkas",$F$36:$F$127,$F106,$E$36:$E$127,$E106),SUMIFS('Data SKU'!$G$5:$G$116,'Data SKU'!$A$5:$A$116,$C106,'Data SKU'!$B$5:$B$116,$D106,'Data SKU'!$C$5:$C$116,$E106,'Data SKU'!$D$5:$D$116,8,'Data SKU'!$N$5:$N$116,"Invoiced")/SUMIFS($Q$36:$Q$127,$C$36:$C$127,$C106,$D$36:$D$127,$D106,$E$36:$E$127,$E106))*Q106)+SUMIFS(Unbilled!$U$22:$U$38,Unbilled!$E$22:$E$38,$A106)</f>
        <v>3055730</v>
      </c>
      <c r="AN106" s="9" t="n">
        <f aca="false">IF(P106=0,0,AM106*AA106/P106)</f>
        <v>0</v>
      </c>
      <c r="AO106" s="9" t="n">
        <f aca="false">IF(P106=0,0,AM106*AB106/P106)</f>
        <v>3055730</v>
      </c>
      <c r="AP106" s="9" t="n">
        <f aca="false">IF(P106=0,0,AM106*AC106/P106)</f>
        <v>0</v>
      </c>
      <c r="AQ106" s="14" t="n">
        <f aca="false">MIN(U106+V106,MAX(0,O106-M106))</f>
        <v>0</v>
      </c>
      <c r="AR106" s="14" t="n">
        <f aca="false">MAX(0,AQ106-V106)*Z106</f>
        <v>0</v>
      </c>
      <c r="AS106" s="14" t="n">
        <f aca="false">MIN(V106,AQ106)*Z106</f>
        <v>0</v>
      </c>
      <c r="AT106" s="14" t="n">
        <f aca="false">(O106-AQ106)*Z106</f>
        <v>105.37</v>
      </c>
      <c r="AU106" s="9" t="n">
        <f aca="false">(AR106+AS106+AT106)*BA106</f>
        <v>2779760.97573386</v>
      </c>
      <c r="AV106" s="9" t="n">
        <f aca="false">IF(P106=0,0,AM106*AR106/P106)</f>
        <v>0</v>
      </c>
      <c r="AW106" s="9" t="n">
        <f aca="false">IF(P106=0,0,AM106*AS106/P106)</f>
        <v>0</v>
      </c>
      <c r="AX106" s="9" t="n">
        <f aca="false">IF(P106=0,0,AM106*AT106/P106)</f>
        <v>3055730</v>
      </c>
      <c r="AY106" s="9" t="n">
        <f aca="false">AH106-AU106</f>
        <v>0</v>
      </c>
      <c r="AZ106" s="9" t="n">
        <f aca="false">IF(M106&gt;0,P106*AG106,0)</f>
        <v>3116549.20564204</v>
      </c>
      <c r="BA106" s="9" t="n">
        <f aca="false">IF(P106=0,0,AH106/P106)</f>
        <v>26380.9526025801</v>
      </c>
      <c r="BB106" s="74" t="s">
        <v>255</v>
      </c>
      <c r="BC106" s="13" t="n">
        <f aca="false">SUMIFS('MA Engine'!$W$6:$W$1110,'MA Engine'!$B$6:$B$1110,$A106,'MA Engine'!$H$6:$H$1110,7,'MA Engine'!$I$6:$I$1110,"DO")</f>
        <v>0</v>
      </c>
      <c r="BD106" s="14" t="n">
        <f aca="false">MIN(MAX(0,H106),J106)</f>
        <v>0</v>
      </c>
      <c r="BE106" s="14" t="n">
        <f aca="false">J106-BD106</f>
        <v>0</v>
      </c>
      <c r="BF106" s="21" t="n">
        <f aca="false">IF(J106=0,0,BC106/J106)</f>
        <v>0</v>
      </c>
      <c r="BG106" s="13" t="n">
        <f aca="false">SUMIFS('MA Engine'!$AH$6:$AH$1110,'MA Engine'!$B$6:$B$1110,$A106,'MA Engine'!$H$6:$H$1110,7,'MA Engine'!$I$6:$I$1110,"DO")</f>
        <v>0</v>
      </c>
      <c r="BH106" s="13" t="n">
        <f aca="false">SUMIFS('MA Engine'!$AI$6:$AI$1110,'MA Engine'!$B$6:$B$1110,$A106,'MA Engine'!$H$6:$H$1110,7,'MA Engine'!$I$6:$I$1110,"DO")+SUMIFS('MA Engine'!$AJ$6:$AJ$1110,'MA Engine'!$B$6:$B$1110,$A106,'MA Engine'!$H$6:$H$1110,7,'MA Engine'!$I$6:$I$1110,"DO")</f>
        <v>0</v>
      </c>
      <c r="BI106" s="7" t="n">
        <f aca="false">IF(H106&gt;0,SUMIFS('MA Engine'!$L$6:$L$1110,'MA Engine'!$B$6:$B$1110,$A106,'MA Engine'!$I$6:$I$1110,"Opening")/H106,0)</f>
        <v>0</v>
      </c>
      <c r="BJ106" s="9" t="n">
        <f aca="false">IF(I106&gt;0,AD106/I106,BI106)</f>
        <v>17700.7153232658</v>
      </c>
      <c r="BK106" s="7" t="n">
        <f aca="false">SUMIFS('MA Engine'!$X$6:$X$1110,'MA Engine'!$B$6:$B$1110,$A106,'MA Engine'!$H$6:$H$1110,7,'MA Engine'!$I$6:$I$1110,"DO")</f>
        <v>0</v>
      </c>
      <c r="BL106" s="7" t="n">
        <f aca="false">SUMIFS('MA Engine'!$AK$6:$AK$1110,'MA Engine'!$B$6:$B$1110,$A106,'MA Engine'!$H$6:$H$1110,7,'MA Engine'!$I$6:$I$1110,"DO")</f>
        <v>0</v>
      </c>
      <c r="BM106" s="7" t="n">
        <f aca="false">SUMIFS('MA Engine'!$AL$6:$AL$1110,'MA Engine'!$B$6:$B$1110,$A106,'MA Engine'!$H$6:$H$1110,7,'MA Engine'!$I$6:$I$1110,"DO")+SUMIFS('MA Engine'!$AM$6:$AM$1110,'MA Engine'!$B$6:$B$1110,$A106,'MA Engine'!$H$6:$H$1110,7,'MA Engine'!$I$6:$I$1110,"DO")</f>
        <v>0</v>
      </c>
      <c r="BN106" s="9" t="n">
        <f aca="false">BK106-BL106-BM106</f>
        <v>0</v>
      </c>
      <c r="BO106" s="7" t="n">
        <f aca="false">IF(BC106=0,0,SUMIFS('Data SKU'!$G$5:$G$116,'Data SKU'!$A$5:$A$116,$C106,'Data SKU'!$B$5:$B$116,$D106,'Data SKU'!$C$5:$C$116,$E106,'Data SKU'!$D$5:$D$116,7,'Data SKU'!$N$5:$N$116,"Invoiced")/SUMIFS($BC$36:$BC$127,$C$36:$C$127,$C106,$D$36:$D$127,$D106,$E$36:$E$127,$E106)*BC106)</f>
        <v>0</v>
      </c>
      <c r="BP106" s="9" t="n">
        <f aca="false">IF(BC106=0,0,BO106*BG106/BC106)</f>
        <v>0</v>
      </c>
      <c r="BQ106" s="9" t="n">
        <f aca="false">IF(BC106=0,0,BO106*BH106/BC106)</f>
        <v>0</v>
      </c>
    </row>
    <row r="107" customFormat="false" ht="15" hidden="false" customHeight="false" outlineLevel="0" collapsed="false">
      <c r="A107" s="74" t="s">
        <v>1019</v>
      </c>
      <c r="B107" s="53" t="str">
        <f aca="false">INDEX(I_Items!$B$5:$B$133,MATCH($A107,I_Items!$A$5:$A$133,0))&amp;""</f>
        <v>BLD Frozen</v>
      </c>
      <c r="C107" s="53" t="str">
        <f aca="false">INDEX(I_Items!$C$5:$C$133,MATCH($A107,I_Items!$A$5:$A$133,0))&amp;""</f>
        <v>Trading</v>
      </c>
      <c r="D107" s="53" t="str">
        <f aca="false">INDEX(I_Items!$D$5:$D$133,MATCH($A107,I_Items!$A$5:$A$133,0))&amp;""</f>
        <v>BLD</v>
      </c>
      <c r="E107" s="53" t="str">
        <f aca="false">INDEX(I_Items!$F$5:$F$133,MATCH($A107,I_Items!$A$5:$A$133,0))&amp;""</f>
        <v>Frozen</v>
      </c>
      <c r="F107" s="53" t="str">
        <f aca="false">INDEX(I_Items!$E$5:$E$133,MATCH($A107,I_Items!$A$5:$A$133,0))&amp;""</f>
        <v/>
      </c>
      <c r="G107" s="6" t="str">
        <f aca="false">IF(P107=0,"-",IF(M107=0,"A",IF(K107&lt;=0,"C","B")))</f>
        <v>B</v>
      </c>
      <c r="H107" s="13" t="n">
        <f aca="false">SUMIFS('MA Engine'!$K$6:$K$1110,'MA Engine'!$B$6:$B$1110,$A107,'MA Engine'!$I$6:$I$1110,"Opening")</f>
        <v>25015.13</v>
      </c>
      <c r="I107" s="13" t="n">
        <f aca="false">SUMIFS('MA Engine'!$K$6:$K$1110,'MA Engine'!$B$6:$B$1110,$A107,'MA Engine'!$H$6:$H$1110,7,'MA Engine'!$I$6:$I$1110,"&lt;&gt;Opening")</f>
        <v>39499.64</v>
      </c>
      <c r="J107" s="13" t="n">
        <f aca="false">SUMIFS('MA Engine'!$W$6:$W$1110,'MA Engine'!$B$6:$B$1110,$A107,'MA Engine'!$H$6:$H$1110,7)</f>
        <v>51091.07</v>
      </c>
      <c r="K107" s="14" t="n">
        <f aca="false">H107+I107-J107</f>
        <v>13423.7</v>
      </c>
      <c r="L107" s="7" t="n">
        <f aca="false">SUMIFS('MA Engine'!$L$6:$L$1110,'MA Engine'!$B$6:$B$1110,$A107,'MA Engine'!$I$6:$I$1110,"Opening")+SUMIFS('MA Engine'!$L$6:$L$1110,'MA Engine'!$B$6:$B$1110,$A107,'MA Engine'!$H$6:$H$1110,7,'MA Engine'!$I$6:$I$1110,"&lt;&gt;Opening")-SUMIFS('MA Engine'!$X$6:$X$1110,'MA Engine'!$B$6:$B$1110,$A107,'MA Engine'!$H$6:$H$1110,7)</f>
        <v>411085716.903595</v>
      </c>
      <c r="M107" s="13" t="n">
        <f aca="false">SUMIFS('MA Engine'!$K$6:$K$1110,'MA Engine'!$B$6:$B$1110,$A107,'MA Engine'!$H$6:$H$1110,8)</f>
        <v>13326</v>
      </c>
      <c r="N107" s="7" t="n">
        <f aca="false">SUMIFS('MA Engine'!$L$6:$L$1110,'MA Engine'!$B$6:$B$1110,$A107,'MA Engine'!$H$6:$H$1110,8)</f>
        <v>549477223.03</v>
      </c>
      <c r="O107" s="13" t="n">
        <f aca="false">SUMIFS('MA Engine'!$W$6:$W$1110,'MA Engine'!$B$6:$B$1110,$A107,'MA Engine'!$H$6:$H$1110,8)</f>
        <v>23881.06</v>
      </c>
      <c r="P107" s="14" t="n">
        <f aca="false">Q107+R107</f>
        <v>23881.06</v>
      </c>
      <c r="Q107" s="13" t="n">
        <f aca="false">SUMIFS('MA Engine'!$W$6:$W$1110,'MA Engine'!$B$6:$B$1110,$A107,'MA Engine'!$H$6:$H$1110,8,'MA Engine'!$I$6:$I$1110,"DO",'MA Engine'!$P$6:$P$1110,"&lt;&gt;Y")</f>
        <v>23881.06</v>
      </c>
      <c r="R107" s="13" t="n">
        <f aca="false">SUMIFS('MA Engine'!$W$6:$W$1110,'MA Engine'!$B$6:$B$1110,$A107,'MA Engine'!$H$6:$H$1110,8,'MA Engine'!$I$6:$I$1110,"Unbilled")</f>
        <v>0</v>
      </c>
      <c r="S107" s="13" t="n">
        <f aca="false">SUMIFS('MA Engine'!$W$6:$W$1110,'MA Engine'!$B$6:$B$1110,$A107,'MA Engine'!$H$6:$H$1110,8,'MA Engine'!$P$6:$P$1110,"Y")</f>
        <v>0</v>
      </c>
      <c r="T107" s="14" t="n">
        <f aca="false">O107-P107-S107</f>
        <v>0</v>
      </c>
      <c r="U107" s="14" t="n">
        <f aca="false">MAX(0,H107-J107)</f>
        <v>0</v>
      </c>
      <c r="V107" s="14" t="n">
        <f aca="false">MAX(0,K107-U107)</f>
        <v>13423.7</v>
      </c>
      <c r="W107" s="14" t="n">
        <f aca="false">MIN(U107,O107)</f>
        <v>0</v>
      </c>
      <c r="X107" s="14" t="n">
        <f aca="false">MIN(V107,O107-W107)</f>
        <v>13423.7</v>
      </c>
      <c r="Y107" s="14" t="n">
        <f aca="false">O107-W107-X107</f>
        <v>10457.36</v>
      </c>
      <c r="Z107" s="21" t="n">
        <f aca="false">IF(O107=0,0,P107/O107)</f>
        <v>1</v>
      </c>
      <c r="AA107" s="13" t="n">
        <f aca="false">SUMIFS('MA Engine'!$AH$6:$AH$1110,'MA Engine'!$B$6:$B$1110,$A107,'MA Engine'!$H$6:$H$1110,8,'MA Engine'!$I$6:$I$1110,"DO",'MA Engine'!$P$6:$P$1110,"&lt;&gt;Y")+SUMIFS('MA Engine'!$AH$6:$AH$1110,'MA Engine'!$B$6:$B$1110,$A107,'MA Engine'!$H$6:$H$1110,8,'MA Engine'!$I$6:$I$1110,"Unbilled")</f>
        <v>0</v>
      </c>
      <c r="AB107" s="13" t="n">
        <f aca="false">SUMIFS('MA Engine'!$AI$6:$AI$1110,'MA Engine'!$B$6:$B$1110,$A107,'MA Engine'!$H$6:$H$1110,8,'MA Engine'!$I$6:$I$1110,"DO",'MA Engine'!$P$6:$P$1110,"&lt;&gt;Y")+SUMIFS('MA Engine'!$AI$6:$AI$1110,'MA Engine'!$B$6:$B$1110,$A107,'MA Engine'!$H$6:$H$1110,8,'MA Engine'!$I$6:$I$1110,"Unbilled")</f>
        <v>13423.7</v>
      </c>
      <c r="AC107" s="13" t="n">
        <f aca="false">SUMIFS('MA Engine'!$AJ$6:$AJ$1110,'MA Engine'!$B$6:$B$1110,$A107,'MA Engine'!$H$6:$H$1110,8,'MA Engine'!$I$6:$I$1110,"DO",'MA Engine'!$P$6:$P$1110,"&lt;&gt;Y")+SUMIFS('MA Engine'!$AJ$6:$AJ$1110,'MA Engine'!$B$6:$B$1110,$A107,'MA Engine'!$H$6:$H$1110,8,'MA Engine'!$I$6:$I$1110,"Unbilled")</f>
        <v>10457.36</v>
      </c>
      <c r="AD107" s="7" t="n">
        <f aca="false">SUMIFS('MA Engine'!$L$6:$L$1110,'MA Engine'!$B$6:$B$1110,$A107,'MA Engine'!$H$6:$H$1110,7,'MA Engine'!$I$6:$I$1110,"&lt;&gt;Opening")</f>
        <v>1169732060</v>
      </c>
      <c r="AE107" s="9" t="n">
        <f aca="false">IF(AND(U107&gt;0.0001,(L107-V107*IF(I107&gt;0,AD107/I107,IF(K107&gt;0,L107/K107,0)))&lt;0),IF(K107&gt;0,L107/K107,0),IF(I107&gt;0,AD107/I107,IF(K107&gt;0,L107/K107,0)))</f>
        <v>29613.7397707928</v>
      </c>
      <c r="AF107" s="9" t="n">
        <f aca="false">IF(U107&lt;=0.0001,IF(K107&gt;0,L107/K107,0),IF((L107-V107*IF(I107&gt;0,AD107/I107,IF(K107&gt;0,L107/K107,0)))&lt;0,IF(K107&gt;0,L107/K107,0),(L107-V107*IF(I107&gt;0,AD107/I107,IF(K107&gt;0,L107/K107,0)))/U107))</f>
        <v>30623.8754518944</v>
      </c>
      <c r="AG107" s="9" t="n">
        <f aca="false">IF(M107&gt;0,N107/M107,IF(K107&gt;0,L107/K107,0))</f>
        <v>41233.4701358247</v>
      </c>
      <c r="AH107" s="7" t="n">
        <f aca="false">SUMIFS('MA Engine'!$X$6:$X$1110,'MA Engine'!$B$6:$B$1110,$A107,'MA Engine'!$H$6:$H$1110,8,'MA Engine'!$I$6:$I$1110,"DO",'MA Engine'!$P$6:$P$1110,"&lt;&gt;Y")+SUMIFS('MA Engine'!$X$6:$X$1110,'MA Engine'!$B$6:$B$1110,$A107,'MA Engine'!$H$6:$H$1110,8,'MA Engine'!$I$6:$I$1110,"Unbilled")</f>
        <v>848407490.811876</v>
      </c>
      <c r="AI107" s="7" t="n">
        <f aca="false">SUMIFS('MA Engine'!$AK$6:$AK$1110,'MA Engine'!$B$6:$B$1110,$A107,'MA Engine'!$H$6:$H$1110,8,'MA Engine'!$I$6:$I$1110,"DO",'MA Engine'!$P$6:$P$1110,"&lt;&gt;Y")+SUMIFS('MA Engine'!$AK$6:$AK$1110,'MA Engine'!$B$6:$B$1110,$A107,'MA Engine'!$H$6:$H$1110,8,'MA Engine'!$I$6:$I$1110,"Unbilled")</f>
        <v>0</v>
      </c>
      <c r="AJ107" s="7" t="n">
        <f aca="false">SUMIFS('MA Engine'!$AL$6:$AL$1110,'MA Engine'!$B$6:$B$1110,$A107,'MA Engine'!$H$6:$H$1110,8,'MA Engine'!$I$6:$I$1110,"DO",'MA Engine'!$P$6:$P$1110,"&lt;&gt;Y")+SUMIFS('MA Engine'!$AL$6:$AL$1110,'MA Engine'!$B$6:$B$1110,$A107,'MA Engine'!$H$6:$H$1110,8,'MA Engine'!$I$6:$I$1110,"Unbilled")</f>
        <v>438681035.151509</v>
      </c>
      <c r="AK107" s="7" t="n">
        <f aca="false">SUMIFS('MA Engine'!$AM$6:$AM$1110,'MA Engine'!$B$6:$B$1110,$A107,'MA Engine'!$H$6:$H$1110,8,'MA Engine'!$I$6:$I$1110,"DO",'MA Engine'!$P$6:$P$1110,"&lt;&gt;Y")+SUMIFS('MA Engine'!$AM$6:$AM$1110,'MA Engine'!$B$6:$B$1110,$A107,'MA Engine'!$H$6:$H$1110,8,'MA Engine'!$I$6:$I$1110,"Unbilled")</f>
        <v>409726455.660367</v>
      </c>
      <c r="AL107" s="9" t="n">
        <f aca="false">AH107-AI107-AJ107-AK107</f>
        <v>0</v>
      </c>
      <c r="AM107" s="7" t="n">
        <f aca="false">IF(Q107=0,0,IF($D107="Karkas",SUMIFS('Karkas Detail'!$E$6:$E$42,'Karkas Detail'!$A$6:$A$42,$C107,'Karkas Detail'!$B$6:$B$42,$F107,'Karkas Detail'!$C$6:$C$42,$E107)/SUMIFS($Q$36:$Q$127,$C$36:$C$127,$C107,$D$36:$D$127,"Karkas",$F$36:$F$127,$F107,$E$36:$E$127,$E107),SUMIFS('Data SKU'!$G$5:$G$116,'Data SKU'!$A$5:$A$116,$C107,'Data SKU'!$B$5:$B$116,$D107,'Data SKU'!$C$5:$C$116,$E107,'Data SKU'!$D$5:$D$116,8,'Data SKU'!$N$5:$N$116,"Invoiced")/SUMIFS($Q$36:$Q$127,$C$36:$C$127,$C107,$D$36:$D$127,$D107,$E$36:$E$127,$E107))*Q107)+SUMIFS(Unbilled!$U$22:$U$38,Unbilled!$E$22:$E$38,$A107)</f>
        <v>1004997085</v>
      </c>
      <c r="AN107" s="9" t="n">
        <f aca="false">IF(P107=0,0,AM107*AA107/P107)</f>
        <v>0</v>
      </c>
      <c r="AO107" s="9" t="n">
        <f aca="false">IF(P107=0,0,AM107*AB107/P107)</f>
        <v>564915433.817197</v>
      </c>
      <c r="AP107" s="9" t="n">
        <f aca="false">IF(P107=0,0,AM107*AC107/P107)</f>
        <v>440081651.182803</v>
      </c>
      <c r="AQ107" s="14" t="n">
        <f aca="false">MIN(U107+V107,MAX(0,O107-M107))</f>
        <v>10555.06</v>
      </c>
      <c r="AR107" s="14" t="n">
        <f aca="false">MAX(0,AQ107-V107)*Z107</f>
        <v>0</v>
      </c>
      <c r="AS107" s="14" t="n">
        <f aca="false">MIN(V107,AQ107)*Z107</f>
        <v>10555.06</v>
      </c>
      <c r="AT107" s="14" t="n">
        <f aca="false">(O107-AQ107)*Z107</f>
        <v>13326</v>
      </c>
      <c r="AU107" s="9" t="n">
        <f aca="false">(AR107+AS107+AT107)*BA107</f>
        <v>848407490.811876</v>
      </c>
      <c r="AV107" s="9" t="n">
        <f aca="false">IF(P107=0,0,AM107*AR107/P107)</f>
        <v>0</v>
      </c>
      <c r="AW107" s="9" t="n">
        <f aca="false">IF(P107=0,0,AM107*AS107/P107)</f>
        <v>444193202.981781</v>
      </c>
      <c r="AX107" s="9" t="n">
        <f aca="false">IF(P107=0,0,AM107*AT107/P107)</f>
        <v>560803882.018219</v>
      </c>
      <c r="AY107" s="9" t="n">
        <f aca="false">AH107-AU107</f>
        <v>0</v>
      </c>
      <c r="AZ107" s="9" t="n">
        <f aca="false">IF(M107&gt;0,P107*AG107,0)</f>
        <v>984698974.321838</v>
      </c>
      <c r="BA107" s="9" t="n">
        <f aca="false">IF(P107=0,0,AH107/P107)</f>
        <v>35526.3749101537</v>
      </c>
      <c r="BB107" s="74" t="s">
        <v>236</v>
      </c>
      <c r="BC107" s="13" t="n">
        <f aca="false">SUMIFS('MA Engine'!$W$6:$W$1110,'MA Engine'!$B$6:$B$1110,$A107,'MA Engine'!$H$6:$H$1110,7,'MA Engine'!$I$6:$I$1110,"DO")</f>
        <v>51091.07</v>
      </c>
      <c r="BD107" s="14" t="n">
        <f aca="false">MIN(MAX(0,H107),J107)</f>
        <v>25015.13</v>
      </c>
      <c r="BE107" s="14" t="n">
        <f aca="false">J107-BD107</f>
        <v>26075.94</v>
      </c>
      <c r="BF107" s="21" t="n">
        <f aca="false">IF(J107=0,0,BC107/J107)</f>
        <v>1</v>
      </c>
      <c r="BG107" s="13" t="n">
        <f aca="false">SUMIFS('MA Engine'!$AH$6:$AH$1110,'MA Engine'!$B$6:$B$1110,$A107,'MA Engine'!$H$6:$H$1110,7,'MA Engine'!$I$6:$I$1110,"DO")</f>
        <v>25015.13</v>
      </c>
      <c r="BH107" s="13" t="n">
        <f aca="false">SUMIFS('MA Engine'!$AI$6:$AI$1110,'MA Engine'!$B$6:$B$1110,$A107,'MA Engine'!$H$6:$H$1110,7,'MA Engine'!$I$6:$I$1110,"DO")+SUMIFS('MA Engine'!$AJ$6:$AJ$1110,'MA Engine'!$B$6:$B$1110,$A107,'MA Engine'!$H$6:$H$1110,7,'MA Engine'!$I$6:$I$1110,"DO")</f>
        <v>26075.94</v>
      </c>
      <c r="BI107" s="7" t="n">
        <f aca="false">IF(H107&gt;0,SUMIFS('MA Engine'!$L$6:$L$1110,'MA Engine'!$B$6:$B$1110,$A107,'MA Engine'!$I$6:$I$1110,"Opening")/H107,0)</f>
        <v>32829.8538424546</v>
      </c>
      <c r="BJ107" s="9" t="n">
        <f aca="false">IF(I107&gt;0,AD107/I107,BI107)</f>
        <v>29613.7397707928</v>
      </c>
      <c r="BK107" s="7" t="n">
        <f aca="false">SUMIFS('MA Engine'!$X$6:$X$1110,'MA Engine'!$B$6:$B$1110,$A107,'MA Engine'!$H$6:$H$1110,7,'MA Engine'!$I$6:$I$1110,"DO")</f>
        <v>1579889404.84641</v>
      </c>
      <c r="BL107" s="7" t="n">
        <f aca="false">SUMIFS('MA Engine'!$AK$6:$AK$1110,'MA Engine'!$B$6:$B$1110,$A107,'MA Engine'!$H$6:$H$1110,7,'MA Engine'!$I$6:$I$1110,"DO")</f>
        <v>781343065.995334</v>
      </c>
      <c r="BM107" s="7" t="n">
        <f aca="false">SUMIFS('MA Engine'!$AL$6:$AL$1110,'MA Engine'!$B$6:$B$1110,$A107,'MA Engine'!$H$6:$H$1110,7,'MA Engine'!$I$6:$I$1110,"DO")+SUMIFS('MA Engine'!$AM$6:$AM$1110,'MA Engine'!$B$6:$B$1110,$A107,'MA Engine'!$H$6:$H$1110,7,'MA Engine'!$I$6:$I$1110,"DO")</f>
        <v>798546338.851072</v>
      </c>
      <c r="BN107" s="9" t="n">
        <f aca="false">BK107-BL107-BM107</f>
        <v>0</v>
      </c>
      <c r="BO107" s="7" t="n">
        <f aca="false">IF(BC107=0,0,SUMIFS('Data SKU'!$G$5:$G$116,'Data SKU'!$A$5:$A$116,$C107,'Data SKU'!$B$5:$B$116,$D107,'Data SKU'!$C$5:$C$116,$E107,'Data SKU'!$D$5:$D$116,7,'Data SKU'!$N$5:$N$116,"Invoiced")/SUMIFS($BC$36:$BC$127,$C$36:$C$127,$C107,$D$36:$D$127,$D107,$E$36:$E$127,$E107)*BC107)</f>
        <v>1921787190</v>
      </c>
      <c r="BP107" s="9" t="n">
        <f aca="false">IF(BC107=0,0,BO107*BG107/BC107)</f>
        <v>940942446.305875</v>
      </c>
      <c r="BQ107" s="9" t="n">
        <f aca="false">IF(BC107=0,0,BO107*BH107/BC107)</f>
        <v>980844743.694125</v>
      </c>
    </row>
    <row r="108" customFormat="false" ht="15" hidden="false" customHeight="false" outlineLevel="0" collapsed="false">
      <c r="A108" s="74" t="s">
        <v>1020</v>
      </c>
      <c r="B108" s="53" t="str">
        <f aca="false">INDEX(I_Items!$B$5:$B$133,MATCH($A108,I_Items!$A$5:$A$133,0))&amp;""</f>
        <v>BLP Frozen</v>
      </c>
      <c r="C108" s="53" t="str">
        <f aca="false">INDEX(I_Items!$C$5:$C$133,MATCH($A108,I_Items!$A$5:$A$133,0))&amp;""</f>
        <v>Trading</v>
      </c>
      <c r="D108" s="53" t="str">
        <f aca="false">INDEX(I_Items!$D$5:$D$133,MATCH($A108,I_Items!$A$5:$A$133,0))&amp;""</f>
        <v>BLP</v>
      </c>
      <c r="E108" s="53" t="str">
        <f aca="false">INDEX(I_Items!$F$5:$F$133,MATCH($A108,I_Items!$A$5:$A$133,0))&amp;""</f>
        <v>Frozen</v>
      </c>
      <c r="F108" s="53" t="str">
        <f aca="false">INDEX(I_Items!$E$5:$E$133,MATCH($A108,I_Items!$A$5:$A$133,0))&amp;""</f>
        <v/>
      </c>
      <c r="G108" s="6" t="str">
        <f aca="false">IF(P108=0,"-",IF(M108=0,"A",IF(K108&lt;=0,"C","B")))</f>
        <v>B</v>
      </c>
      <c r="H108" s="13" t="n">
        <f aca="false">SUMIFS('MA Engine'!$K$6:$K$1110,'MA Engine'!$B$6:$B$1110,$A108,'MA Engine'!$I$6:$I$1110,"Opening")</f>
        <v>6477.78</v>
      </c>
      <c r="I108" s="13" t="n">
        <f aca="false">SUMIFS('MA Engine'!$K$6:$K$1110,'MA Engine'!$B$6:$B$1110,$A108,'MA Engine'!$H$6:$H$1110,7,'MA Engine'!$I$6:$I$1110,"&lt;&gt;Opening")</f>
        <v>25917.77</v>
      </c>
      <c r="J108" s="13" t="n">
        <f aca="false">SUMIFS('MA Engine'!$W$6:$W$1110,'MA Engine'!$B$6:$B$1110,$A108,'MA Engine'!$H$6:$H$1110,7)</f>
        <v>16076.61</v>
      </c>
      <c r="K108" s="14" t="n">
        <f aca="false">H108+I108-J108</f>
        <v>16318.94</v>
      </c>
      <c r="L108" s="7" t="n">
        <f aca="false">SUMIFS('MA Engine'!$L$6:$L$1110,'MA Engine'!$B$6:$B$1110,$A108,'MA Engine'!$I$6:$I$1110,"Opening")+SUMIFS('MA Engine'!$L$6:$L$1110,'MA Engine'!$B$6:$B$1110,$A108,'MA Engine'!$H$6:$H$1110,7,'MA Engine'!$I$6:$I$1110,"&lt;&gt;Opening")-SUMIFS('MA Engine'!$X$6:$X$1110,'MA Engine'!$B$6:$B$1110,$A108,'MA Engine'!$H$6:$H$1110,7)</f>
        <v>462426631.424809</v>
      </c>
      <c r="M108" s="13" t="n">
        <f aca="false">SUMIFS('MA Engine'!$K$6:$K$1110,'MA Engine'!$B$6:$B$1110,$A108,'MA Engine'!$H$6:$H$1110,8)</f>
        <v>21492.45</v>
      </c>
      <c r="N108" s="7" t="n">
        <f aca="false">SUMIFS('MA Engine'!$L$6:$L$1110,'MA Engine'!$B$6:$B$1110,$A108,'MA Engine'!$H$6:$H$1110,8)</f>
        <v>970027404.42</v>
      </c>
      <c r="O108" s="13" t="n">
        <f aca="false">SUMIFS('MA Engine'!$W$6:$W$1110,'MA Engine'!$B$6:$B$1110,$A108,'MA Engine'!$H$6:$H$1110,8)</f>
        <v>34962.59</v>
      </c>
      <c r="P108" s="14" t="n">
        <f aca="false">Q108+R108</f>
        <v>34962.59</v>
      </c>
      <c r="Q108" s="13" t="n">
        <f aca="false">SUMIFS('MA Engine'!$W$6:$W$1110,'MA Engine'!$B$6:$B$1110,$A108,'MA Engine'!$H$6:$H$1110,8,'MA Engine'!$I$6:$I$1110,"DO",'MA Engine'!$P$6:$P$1110,"&lt;&gt;Y")</f>
        <v>34858.29</v>
      </c>
      <c r="R108" s="13" t="n">
        <f aca="false">SUMIFS('MA Engine'!$W$6:$W$1110,'MA Engine'!$B$6:$B$1110,$A108,'MA Engine'!$H$6:$H$1110,8,'MA Engine'!$I$6:$I$1110,"Unbilled")</f>
        <v>104.3</v>
      </c>
      <c r="S108" s="13" t="n">
        <f aca="false">SUMIFS('MA Engine'!$W$6:$W$1110,'MA Engine'!$B$6:$B$1110,$A108,'MA Engine'!$H$6:$H$1110,8,'MA Engine'!$P$6:$P$1110,"Y")</f>
        <v>0</v>
      </c>
      <c r="T108" s="14" t="n">
        <f aca="false">O108-P108-S108</f>
        <v>0</v>
      </c>
      <c r="U108" s="14" t="n">
        <f aca="false">MAX(0,H108-J108)</f>
        <v>0</v>
      </c>
      <c r="V108" s="14" t="n">
        <f aca="false">MAX(0,K108-U108)</f>
        <v>16318.94</v>
      </c>
      <c r="W108" s="14" t="n">
        <f aca="false">MIN(U108,O108)</f>
        <v>0</v>
      </c>
      <c r="X108" s="14" t="n">
        <f aca="false">MIN(V108,O108-W108)</f>
        <v>16318.94</v>
      </c>
      <c r="Y108" s="14" t="n">
        <f aca="false">O108-W108-X108</f>
        <v>18643.65</v>
      </c>
      <c r="Z108" s="21" t="n">
        <f aca="false">IF(O108=0,0,P108/O108)</f>
        <v>1</v>
      </c>
      <c r="AA108" s="13" t="n">
        <f aca="false">SUMIFS('MA Engine'!$AH$6:$AH$1110,'MA Engine'!$B$6:$B$1110,$A108,'MA Engine'!$H$6:$H$1110,8,'MA Engine'!$I$6:$I$1110,"DO",'MA Engine'!$P$6:$P$1110,"&lt;&gt;Y")+SUMIFS('MA Engine'!$AH$6:$AH$1110,'MA Engine'!$B$6:$B$1110,$A108,'MA Engine'!$H$6:$H$1110,8,'MA Engine'!$I$6:$I$1110,"Unbilled")</f>
        <v>0</v>
      </c>
      <c r="AB108" s="13" t="n">
        <f aca="false">SUMIFS('MA Engine'!$AI$6:$AI$1110,'MA Engine'!$B$6:$B$1110,$A108,'MA Engine'!$H$6:$H$1110,8,'MA Engine'!$I$6:$I$1110,"DO",'MA Engine'!$P$6:$P$1110,"&lt;&gt;Y")+SUMIFS('MA Engine'!$AI$6:$AI$1110,'MA Engine'!$B$6:$B$1110,$A108,'MA Engine'!$H$6:$H$1110,8,'MA Engine'!$I$6:$I$1110,"Unbilled")</f>
        <v>16318.94</v>
      </c>
      <c r="AC108" s="13" t="n">
        <f aca="false">SUMIFS('MA Engine'!$AJ$6:$AJ$1110,'MA Engine'!$B$6:$B$1110,$A108,'MA Engine'!$H$6:$H$1110,8,'MA Engine'!$I$6:$I$1110,"DO",'MA Engine'!$P$6:$P$1110,"&lt;&gt;Y")+SUMIFS('MA Engine'!$AJ$6:$AJ$1110,'MA Engine'!$B$6:$B$1110,$A108,'MA Engine'!$H$6:$H$1110,8,'MA Engine'!$I$6:$I$1110,"Unbilled")</f>
        <v>18643.65</v>
      </c>
      <c r="AD108" s="7" t="n">
        <f aca="false">SUMIFS('MA Engine'!$L$6:$L$1110,'MA Engine'!$B$6:$B$1110,$A108,'MA Engine'!$H$6:$H$1110,7,'MA Engine'!$I$6:$I$1110,"&lt;&gt;Opening")</f>
        <v>722304485</v>
      </c>
      <c r="AE108" s="9" t="n">
        <f aca="false">IF(AND(U108&gt;0.0001,(L108-V108*IF(I108&gt;0,AD108/I108,IF(K108&gt;0,L108/K108,0)))&lt;0),IF(K108&gt;0,L108/K108,0),IF(I108&gt;0,AD108/I108,IF(K108&gt;0,L108/K108,0)))</f>
        <v>27869.0830654026</v>
      </c>
      <c r="AF108" s="9" t="n">
        <f aca="false">IF(U108&lt;=0.0001,IF(K108&gt;0,L108/K108,0),IF((L108-V108*IF(I108&gt;0,AD108/I108,IF(K108&gt;0,L108/K108,0)))&lt;0,IF(K108&gt;0,L108/K108,0),(L108-V108*IF(I108&gt;0,AD108/I108,IF(K108&gt;0,L108/K108,0)))/U108))</f>
        <v>28336.8056641429</v>
      </c>
      <c r="AG108" s="9" t="n">
        <f aca="false">IF(M108&gt;0,N108/M108,IF(K108&gt;0,L108/K108,0))</f>
        <v>45133.4028656575</v>
      </c>
      <c r="AH108" s="7" t="n">
        <f aca="false">SUMIFS('MA Engine'!$X$6:$X$1110,'MA Engine'!$B$6:$B$1110,$A108,'MA Engine'!$H$6:$H$1110,8,'MA Engine'!$I$6:$I$1110,"DO",'MA Engine'!$P$6:$P$1110,"&lt;&gt;Y")+SUMIFS('MA Engine'!$X$6:$X$1110,'MA Engine'!$B$6:$B$1110,$A108,'MA Engine'!$H$6:$H$1110,8,'MA Engine'!$I$6:$I$1110,"Unbilled")</f>
        <v>1297994750.21794</v>
      </c>
      <c r="AI108" s="7" t="n">
        <f aca="false">SUMIFS('MA Engine'!$AK$6:$AK$1110,'MA Engine'!$B$6:$B$1110,$A108,'MA Engine'!$H$6:$H$1110,8,'MA Engine'!$I$6:$I$1110,"DO",'MA Engine'!$P$6:$P$1110,"&lt;&gt;Y")+SUMIFS('MA Engine'!$AK$6:$AK$1110,'MA Engine'!$B$6:$B$1110,$A108,'MA Engine'!$H$6:$H$1110,8,'MA Engine'!$I$6:$I$1110,"Unbilled")</f>
        <v>0</v>
      </c>
      <c r="AJ108" s="7" t="n">
        <f aca="false">SUMIFS('MA Engine'!$AL$6:$AL$1110,'MA Engine'!$B$6:$B$1110,$A108,'MA Engine'!$H$6:$H$1110,8,'MA Engine'!$I$6:$I$1110,"DO",'MA Engine'!$P$6:$P$1110,"&lt;&gt;Y")+SUMIFS('MA Engine'!$AL$6:$AL$1110,'MA Engine'!$B$6:$B$1110,$A108,'MA Engine'!$H$6:$H$1110,8,'MA Engine'!$I$6:$I$1110,"Unbilled")</f>
        <v>538134777.266116</v>
      </c>
      <c r="AK108" s="7" t="n">
        <f aca="false">SUMIFS('MA Engine'!$AM$6:$AM$1110,'MA Engine'!$B$6:$B$1110,$A108,'MA Engine'!$H$6:$H$1110,8,'MA Engine'!$I$6:$I$1110,"DO",'MA Engine'!$P$6:$P$1110,"&lt;&gt;Y")+SUMIFS('MA Engine'!$AM$6:$AM$1110,'MA Engine'!$B$6:$B$1110,$A108,'MA Engine'!$H$6:$H$1110,8,'MA Engine'!$I$6:$I$1110,"Unbilled")</f>
        <v>759859972.951826</v>
      </c>
      <c r="AL108" s="9" t="n">
        <f aca="false">AH108-AI108-AJ108-AK108</f>
        <v>0</v>
      </c>
      <c r="AM108" s="7" t="n">
        <f aca="false">IF(Q108=0,0,IF($D108="Karkas",SUMIFS('Karkas Detail'!$E$6:$E$42,'Karkas Detail'!$A$6:$A$42,$C108,'Karkas Detail'!$B$6:$B$42,$F108,'Karkas Detail'!$C$6:$C$42,$E108)/SUMIFS($Q$36:$Q$127,$C$36:$C$127,$C108,$D$36:$D$127,"Karkas",$F$36:$F$127,$F108,$E$36:$E$127,$E108),SUMIFS('Data SKU'!$G$5:$G$116,'Data SKU'!$A$5:$A$116,$C108,'Data SKU'!$B$5:$B$116,$D108,'Data SKU'!$C$5:$C$116,$E108,'Data SKU'!$D$5:$D$116,8,'Data SKU'!$N$5:$N$116,"Invoiced")/SUMIFS($Q$36:$Q$127,$C$36:$C$127,$C108,$D$36:$D$127,$D108,$E$36:$E$127,$E108))*Q108)+SUMIFS(Unbilled!$U$22:$U$38,Unbilled!$E$22:$E$38,$A108)</f>
        <v>1506981013.69622</v>
      </c>
      <c r="AN108" s="9" t="n">
        <f aca="false">IF(P108=0,0,AM108*AA108/P108)</f>
        <v>0</v>
      </c>
      <c r="AO108" s="9" t="n">
        <f aca="false">IF(P108=0,0,AM108*AB108/P108)</f>
        <v>703389901.710593</v>
      </c>
      <c r="AP108" s="9" t="n">
        <f aca="false">IF(P108=0,0,AM108*AC108/P108)</f>
        <v>803591111.985625</v>
      </c>
      <c r="AQ108" s="14" t="n">
        <f aca="false">MIN(U108+V108,MAX(0,O108-M108))</f>
        <v>13470.14</v>
      </c>
      <c r="AR108" s="14" t="n">
        <f aca="false">MAX(0,AQ108-V108)*Z108</f>
        <v>0</v>
      </c>
      <c r="AS108" s="14" t="n">
        <f aca="false">MIN(V108,AQ108)*Z108</f>
        <v>13470.14</v>
      </c>
      <c r="AT108" s="14" t="n">
        <f aca="false">(O108-AQ108)*Z108</f>
        <v>21492.45</v>
      </c>
      <c r="AU108" s="9" t="n">
        <f aca="false">(AR108+AS108+AT108)*BA108</f>
        <v>1297994750.21794</v>
      </c>
      <c r="AV108" s="9" t="n">
        <f aca="false">IF(P108=0,0,AM108*AR108/P108)</f>
        <v>0</v>
      </c>
      <c r="AW108" s="9" t="n">
        <f aca="false">IF(P108=0,0,AM108*AS108/P108)</f>
        <v>580599012.596892</v>
      </c>
      <c r="AX108" s="9" t="n">
        <f aca="false">IF(P108=0,0,AM108*AT108/P108)</f>
        <v>926382001.099326</v>
      </c>
      <c r="AY108" s="9" t="n">
        <f aca="false">AH108-AU108</f>
        <v>0</v>
      </c>
      <c r="AZ108" s="9" t="n">
        <f aca="false">IF(M108&gt;0,P108*AG108,0)</f>
        <v>1577980659.69681</v>
      </c>
      <c r="BA108" s="9" t="n">
        <f aca="false">IF(P108=0,0,AH108/P108)</f>
        <v>37125.2458761763</v>
      </c>
      <c r="BB108" s="74" t="s">
        <v>239</v>
      </c>
      <c r="BC108" s="13" t="n">
        <f aca="false">SUMIFS('MA Engine'!$W$6:$W$1110,'MA Engine'!$B$6:$B$1110,$A108,'MA Engine'!$H$6:$H$1110,7,'MA Engine'!$I$6:$I$1110,"DO")</f>
        <v>16076.61</v>
      </c>
      <c r="BD108" s="14" t="n">
        <f aca="false">MIN(MAX(0,H108),J108)</f>
        <v>6477.78</v>
      </c>
      <c r="BE108" s="14" t="n">
        <f aca="false">J108-BD108</f>
        <v>9598.83</v>
      </c>
      <c r="BF108" s="21" t="n">
        <f aca="false">IF(J108=0,0,BC108/J108)</f>
        <v>1</v>
      </c>
      <c r="BG108" s="13" t="n">
        <f aca="false">SUMIFS('MA Engine'!$AH$6:$AH$1110,'MA Engine'!$B$6:$B$1110,$A108,'MA Engine'!$H$6:$H$1110,7,'MA Engine'!$I$6:$I$1110,"DO")</f>
        <v>6477.78</v>
      </c>
      <c r="BH108" s="13" t="n">
        <f aca="false">SUMIFS('MA Engine'!$AI$6:$AI$1110,'MA Engine'!$B$6:$B$1110,$A108,'MA Engine'!$H$6:$H$1110,7,'MA Engine'!$I$6:$I$1110,"DO")+SUMIFS('MA Engine'!$AJ$6:$AJ$1110,'MA Engine'!$B$6:$B$1110,$A108,'MA Engine'!$H$6:$H$1110,7,'MA Engine'!$I$6:$I$1110,"DO")</f>
        <v>9598.83</v>
      </c>
      <c r="BI108" s="7" t="n">
        <f aca="false">IF(H108&gt;0,SUMIFS('MA Engine'!$L$6:$L$1110,'MA Engine'!$B$6:$B$1110,$A108,'MA Engine'!$I$6:$I$1110,"Opening")/H108,0)</f>
        <v>29756.0684370263</v>
      </c>
      <c r="BJ108" s="9" t="n">
        <f aca="false">IF(I108&gt;0,AD108/I108,BI108)</f>
        <v>27869.0830654026</v>
      </c>
      <c r="BK108" s="7" t="n">
        <f aca="false">SUMIFS('MA Engine'!$X$6:$X$1110,'MA Engine'!$B$6:$B$1110,$A108,'MA Engine'!$H$6:$H$1110,7,'MA Engine'!$I$6:$I$1110,"DO")</f>
        <v>452631118.575191</v>
      </c>
      <c r="BL108" s="7" t="n">
        <f aca="false">SUMIFS('MA Engine'!$AK$6:$AK$1110,'MA Engine'!$B$6:$B$1110,$A108,'MA Engine'!$H$6:$H$1110,7,'MA Engine'!$I$6:$I$1110,"DO")</f>
        <v>180630938.262046</v>
      </c>
      <c r="BM108" s="7" t="n">
        <f aca="false">SUMIFS('MA Engine'!$AL$6:$AL$1110,'MA Engine'!$B$6:$B$1110,$A108,'MA Engine'!$H$6:$H$1110,7,'MA Engine'!$I$6:$I$1110,"DO")+SUMIFS('MA Engine'!$AM$6:$AM$1110,'MA Engine'!$B$6:$B$1110,$A108,'MA Engine'!$H$6:$H$1110,7,'MA Engine'!$I$6:$I$1110,"DO")</f>
        <v>272000180.313145</v>
      </c>
      <c r="BN108" s="9" t="n">
        <f aca="false">BK108-BL108-BM108</f>
        <v>0</v>
      </c>
      <c r="BO108" s="7" t="n">
        <f aca="false">IF(BC108=0,0,SUMIFS('Data SKU'!$G$5:$G$116,'Data SKU'!$A$5:$A$116,$C108,'Data SKU'!$B$5:$B$116,$D108,'Data SKU'!$C$5:$C$116,$E108,'Data SKU'!$D$5:$D$116,7,'Data SKU'!$N$5:$N$116,"Invoiced")/SUMIFS($BC$36:$BC$127,$C$36:$C$127,$C108,$D$36:$D$127,$D108,$E$36:$E$127,$E108)*BC108)</f>
        <v>536846363.2</v>
      </c>
      <c r="BP108" s="9" t="n">
        <f aca="false">IF(BC108=0,0,BO108*BG108/BC108)</f>
        <v>216312558.095873</v>
      </c>
      <c r="BQ108" s="9" t="n">
        <f aca="false">IF(BC108=0,0,BO108*BH108/BC108)</f>
        <v>320533805.104127</v>
      </c>
    </row>
    <row r="109" customFormat="false" ht="15" hidden="false" customHeight="false" outlineLevel="0" collapsed="false">
      <c r="A109" s="74" t="s">
        <v>1021</v>
      </c>
      <c r="B109" s="53" t="str">
        <f aca="false">INDEX(I_Items!$B$5:$B$133,MATCH($A109,I_Items!$A$5:$A$133,0))&amp;""</f>
        <v>Karkas Uk 0.6</v>
      </c>
      <c r="C109" s="53" t="str">
        <f aca="false">INDEX(I_Items!$C$5:$C$133,MATCH($A109,I_Items!$A$5:$A$133,0))&amp;""</f>
        <v>Trading</v>
      </c>
      <c r="D109" s="53" t="str">
        <f aca="false">INDEX(I_Items!$D$5:$D$133,MATCH($A109,I_Items!$A$5:$A$133,0))&amp;""</f>
        <v>Karkas</v>
      </c>
      <c r="E109" s="53" t="str">
        <f aca="false">INDEX(I_Items!$F$5:$F$133,MATCH($A109,I_Items!$A$5:$A$133,0))&amp;""</f>
        <v>Not stated in item master</v>
      </c>
      <c r="F109" s="53" t="str">
        <f aca="false">INDEX(I_Items!$E$5:$E$133,MATCH($A109,I_Items!$A$5:$A$133,0))&amp;""</f>
        <v>Uk 0.6</v>
      </c>
      <c r="G109" s="6" t="str">
        <f aca="false">IF(P109=0,"-",IF(M109=0,"A",IF(K109&lt;=0,"C","B")))</f>
        <v>B</v>
      </c>
      <c r="H109" s="13" t="n">
        <f aca="false">SUMIFS('MA Engine'!$K$6:$K$1110,'MA Engine'!$B$6:$B$1110,$A109,'MA Engine'!$I$6:$I$1110,"Opening")</f>
        <v>0.02</v>
      </c>
      <c r="I109" s="13" t="n">
        <f aca="false">SUMIFS('MA Engine'!$K$6:$K$1110,'MA Engine'!$B$6:$B$1110,$A109,'MA Engine'!$H$6:$H$1110,7,'MA Engine'!$I$6:$I$1110,"&lt;&gt;Opening")</f>
        <v>0</v>
      </c>
      <c r="J109" s="13" t="n">
        <f aca="false">SUMIFS('MA Engine'!$W$6:$W$1110,'MA Engine'!$B$6:$B$1110,$A109,'MA Engine'!$H$6:$H$1110,7)</f>
        <v>0</v>
      </c>
      <c r="K109" s="14" t="n">
        <f aca="false">H109+I109-J109</f>
        <v>0.02</v>
      </c>
      <c r="L109" s="7" t="n">
        <f aca="false">SUMIFS('MA Engine'!$L$6:$L$1110,'MA Engine'!$B$6:$B$1110,$A109,'MA Engine'!$I$6:$I$1110,"Opening")+SUMIFS('MA Engine'!$L$6:$L$1110,'MA Engine'!$B$6:$B$1110,$A109,'MA Engine'!$H$6:$H$1110,7,'MA Engine'!$I$6:$I$1110,"&lt;&gt;Opening")-SUMIFS('MA Engine'!$X$6:$X$1110,'MA Engine'!$B$6:$B$1110,$A109,'MA Engine'!$H$6:$H$1110,7)</f>
        <v>460</v>
      </c>
      <c r="M109" s="13" t="n">
        <f aca="false">SUMIFS('MA Engine'!$K$6:$K$1110,'MA Engine'!$B$6:$B$1110,$A109,'MA Engine'!$H$6:$H$1110,8)</f>
        <v>10285.3</v>
      </c>
      <c r="N109" s="7" t="n">
        <f aca="false">SUMIFS('MA Engine'!$L$6:$L$1110,'MA Engine'!$B$6:$B$1110,$A109,'MA Engine'!$H$6:$H$1110,8)</f>
        <v>309090231.46</v>
      </c>
      <c r="O109" s="13" t="n">
        <f aca="false">SUMIFS('MA Engine'!$W$6:$W$1110,'MA Engine'!$B$6:$B$1110,$A109,'MA Engine'!$H$6:$H$1110,8)</f>
        <v>8055.52</v>
      </c>
      <c r="P109" s="14" t="n">
        <f aca="false">Q109+R109</f>
        <v>8055.52</v>
      </c>
      <c r="Q109" s="13" t="n">
        <f aca="false">SUMIFS('MA Engine'!$W$6:$W$1110,'MA Engine'!$B$6:$B$1110,$A109,'MA Engine'!$H$6:$H$1110,8,'MA Engine'!$I$6:$I$1110,"DO",'MA Engine'!$P$6:$P$1110,"&lt;&gt;Y")</f>
        <v>7537.3</v>
      </c>
      <c r="R109" s="13" t="n">
        <f aca="false">SUMIFS('MA Engine'!$W$6:$W$1110,'MA Engine'!$B$6:$B$1110,$A109,'MA Engine'!$H$6:$H$1110,8,'MA Engine'!$I$6:$I$1110,"Unbilled")</f>
        <v>518.22</v>
      </c>
      <c r="S109" s="13" t="n">
        <f aca="false">SUMIFS('MA Engine'!$W$6:$W$1110,'MA Engine'!$B$6:$B$1110,$A109,'MA Engine'!$H$6:$H$1110,8,'MA Engine'!$P$6:$P$1110,"Y")</f>
        <v>0</v>
      </c>
      <c r="T109" s="14" t="n">
        <f aca="false">O109-P109-S109</f>
        <v>0</v>
      </c>
      <c r="U109" s="14" t="n">
        <f aca="false">MAX(0,H109-J109)</f>
        <v>0.02</v>
      </c>
      <c r="V109" s="14" t="n">
        <f aca="false">MAX(0,K109-U109)</f>
        <v>0</v>
      </c>
      <c r="W109" s="14" t="n">
        <f aca="false">MIN(U109,O109)</f>
        <v>0.02</v>
      </c>
      <c r="X109" s="14" t="n">
        <f aca="false">MIN(V109,O109-W109)</f>
        <v>0</v>
      </c>
      <c r="Y109" s="14" t="n">
        <f aca="false">O109-W109-X109</f>
        <v>8055.5</v>
      </c>
      <c r="Z109" s="21" t="n">
        <f aca="false">IF(O109=0,0,P109/O109)</f>
        <v>1</v>
      </c>
      <c r="AA109" s="13" t="n">
        <f aca="false">SUMIFS('MA Engine'!$AH$6:$AH$1110,'MA Engine'!$B$6:$B$1110,$A109,'MA Engine'!$H$6:$H$1110,8,'MA Engine'!$I$6:$I$1110,"DO",'MA Engine'!$P$6:$P$1110,"&lt;&gt;Y")+SUMIFS('MA Engine'!$AH$6:$AH$1110,'MA Engine'!$B$6:$B$1110,$A109,'MA Engine'!$H$6:$H$1110,8,'MA Engine'!$I$6:$I$1110,"Unbilled")</f>
        <v>0.02</v>
      </c>
      <c r="AB109" s="13" t="n">
        <f aca="false">SUMIFS('MA Engine'!$AI$6:$AI$1110,'MA Engine'!$B$6:$B$1110,$A109,'MA Engine'!$H$6:$H$1110,8,'MA Engine'!$I$6:$I$1110,"DO",'MA Engine'!$P$6:$P$1110,"&lt;&gt;Y")+SUMIFS('MA Engine'!$AI$6:$AI$1110,'MA Engine'!$B$6:$B$1110,$A109,'MA Engine'!$H$6:$H$1110,8,'MA Engine'!$I$6:$I$1110,"Unbilled")</f>
        <v>0</v>
      </c>
      <c r="AC109" s="13" t="n">
        <f aca="false">SUMIFS('MA Engine'!$AJ$6:$AJ$1110,'MA Engine'!$B$6:$B$1110,$A109,'MA Engine'!$H$6:$H$1110,8,'MA Engine'!$I$6:$I$1110,"DO",'MA Engine'!$P$6:$P$1110,"&lt;&gt;Y")+SUMIFS('MA Engine'!$AJ$6:$AJ$1110,'MA Engine'!$B$6:$B$1110,$A109,'MA Engine'!$H$6:$H$1110,8,'MA Engine'!$I$6:$I$1110,"Unbilled")</f>
        <v>8055.5</v>
      </c>
      <c r="AD109" s="7" t="n">
        <f aca="false">SUMIFS('MA Engine'!$L$6:$L$1110,'MA Engine'!$B$6:$B$1110,$A109,'MA Engine'!$H$6:$H$1110,7,'MA Engine'!$I$6:$I$1110,"&lt;&gt;Opening")</f>
        <v>0</v>
      </c>
      <c r="AE109" s="9" t="n">
        <f aca="false">IF(AND(U109&gt;0.0001,(L109-V109*IF(I109&gt;0,AD109/I109,IF(K109&gt;0,L109/K109,0)))&lt;0),IF(K109&gt;0,L109/K109,0),IF(I109&gt;0,AD109/I109,IF(K109&gt;0,L109/K109,0)))</f>
        <v>23000</v>
      </c>
      <c r="AF109" s="9" t="n">
        <f aca="false">IF(U109&lt;=0.0001,IF(K109&gt;0,L109/K109,0),IF((L109-V109*IF(I109&gt;0,AD109/I109,IF(K109&gt;0,L109/K109,0)))&lt;0,IF(K109&gt;0,L109/K109,0),(L109-V109*IF(I109&gt;0,AD109/I109,IF(K109&gt;0,L109/K109,0)))/U109))</f>
        <v>23000</v>
      </c>
      <c r="AG109" s="9" t="n">
        <f aca="false">IF(M109&gt;0,N109/M109,IF(K109&gt;0,L109/K109,0))</f>
        <v>30051.649583386</v>
      </c>
      <c r="AH109" s="7" t="n">
        <f aca="false">SUMIFS('MA Engine'!$X$6:$X$1110,'MA Engine'!$B$6:$B$1110,$A109,'MA Engine'!$H$6:$H$1110,8,'MA Engine'!$I$6:$I$1110,"DO",'MA Engine'!$P$6:$P$1110,"&lt;&gt;Y")+SUMIFS('MA Engine'!$X$6:$X$1110,'MA Engine'!$B$6:$B$1110,$A109,'MA Engine'!$H$6:$H$1110,8,'MA Engine'!$I$6:$I$1110,"Unbilled")</f>
        <v>241939864.431523</v>
      </c>
      <c r="AI109" s="7" t="n">
        <f aca="false">SUMIFS('MA Engine'!$AK$6:$AK$1110,'MA Engine'!$B$6:$B$1110,$A109,'MA Engine'!$H$6:$H$1110,8,'MA Engine'!$I$6:$I$1110,"DO",'MA Engine'!$P$6:$P$1110,"&lt;&gt;Y")+SUMIFS('MA Engine'!$AK$6:$AK$1110,'MA Engine'!$B$6:$B$1110,$A109,'MA Engine'!$H$6:$H$1110,8,'MA Engine'!$I$6:$I$1110,"Unbilled")</f>
        <v>593.589961765832</v>
      </c>
      <c r="AJ109" s="7" t="n">
        <f aca="false">SUMIFS('MA Engine'!$AL$6:$AL$1110,'MA Engine'!$B$6:$B$1110,$A109,'MA Engine'!$H$6:$H$1110,8,'MA Engine'!$I$6:$I$1110,"DO",'MA Engine'!$P$6:$P$1110,"&lt;&gt;Y")+SUMIFS('MA Engine'!$AL$6:$AL$1110,'MA Engine'!$B$6:$B$1110,$A109,'MA Engine'!$H$6:$H$1110,8,'MA Engine'!$I$6:$I$1110,"Unbilled")</f>
        <v>0</v>
      </c>
      <c r="AK109" s="7" t="n">
        <f aca="false">SUMIFS('MA Engine'!$AM$6:$AM$1110,'MA Engine'!$B$6:$B$1110,$A109,'MA Engine'!$H$6:$H$1110,8,'MA Engine'!$I$6:$I$1110,"DO",'MA Engine'!$P$6:$P$1110,"&lt;&gt;Y")+SUMIFS('MA Engine'!$AM$6:$AM$1110,'MA Engine'!$B$6:$B$1110,$A109,'MA Engine'!$H$6:$H$1110,8,'MA Engine'!$I$6:$I$1110,"Unbilled")</f>
        <v>241939270.841561</v>
      </c>
      <c r="AL109" s="9" t="n">
        <f aca="false">AH109-AI109-AJ109-AK109</f>
        <v>0</v>
      </c>
      <c r="AM109" s="7" t="n">
        <f aca="false">IF(Q109=0,0,IF($D109="Karkas",SUMIFS('Karkas Detail'!$E$6:$E$42,'Karkas Detail'!$A$6:$A$42,$C109,'Karkas Detail'!$B$6:$B$42,$F109,'Karkas Detail'!$C$6:$C$42,$E109)/SUMIFS($Q$36:$Q$127,$C$36:$C$127,$C109,$D$36:$D$127,"Karkas",$F$36:$F$127,$F109,$E$36:$E$127,$E109),SUMIFS('Data SKU'!$G$5:$G$116,'Data SKU'!$A$5:$A$116,$C109,'Data SKU'!$B$5:$B$116,$D109,'Data SKU'!$C$5:$C$116,$E109,'Data SKU'!$D$5:$D$116,8,'Data SKU'!$N$5:$N$116,"Invoiced")/SUMIFS($Q$36:$Q$127,$C$36:$C$127,$C109,$D$36:$D$127,$D109,$E$36:$E$127,$E109))*Q109)+SUMIFS(Unbilled!$U$22:$U$38,Unbilled!$E$22:$E$38,$A109)</f>
        <v>249009107.863898</v>
      </c>
      <c r="AN109" s="9" t="n">
        <f aca="false">IF(P109=0,0,AM109*AA109/P109)</f>
        <v>618.232237928521</v>
      </c>
      <c r="AO109" s="9" t="n">
        <f aca="false">IF(P109=0,0,AM109*AB109/P109)</f>
        <v>0</v>
      </c>
      <c r="AP109" s="9" t="n">
        <f aca="false">IF(P109=0,0,AM109*AC109/P109)</f>
        <v>249008489.63166</v>
      </c>
      <c r="AQ109" s="14" t="n">
        <f aca="false">MIN(U109+V109,MAX(0,O109-M109))</f>
        <v>0</v>
      </c>
      <c r="AR109" s="14" t="n">
        <f aca="false">MAX(0,AQ109-V109)*Z109</f>
        <v>0</v>
      </c>
      <c r="AS109" s="14" t="n">
        <f aca="false">MIN(V109,AQ109)*Z109</f>
        <v>0</v>
      </c>
      <c r="AT109" s="14" t="n">
        <f aca="false">(O109-AQ109)*Z109</f>
        <v>8055.52</v>
      </c>
      <c r="AU109" s="9" t="n">
        <f aca="false">(AR109+AS109+AT109)*BA109</f>
        <v>241939864.431523</v>
      </c>
      <c r="AV109" s="9" t="n">
        <f aca="false">IF(P109=0,0,AM109*AR109/P109)</f>
        <v>0</v>
      </c>
      <c r="AW109" s="9" t="n">
        <f aca="false">IF(P109=0,0,AM109*AS109/P109)</f>
        <v>0</v>
      </c>
      <c r="AX109" s="9" t="n">
        <f aca="false">IF(P109=0,0,AM109*AT109/P109)</f>
        <v>249009107.863898</v>
      </c>
      <c r="AY109" s="9" t="n">
        <f aca="false">AH109-AU109</f>
        <v>0</v>
      </c>
      <c r="AZ109" s="9" t="n">
        <f aca="false">IF(M109&gt;0,P109*AG109,0)</f>
        <v>242081664.251958</v>
      </c>
      <c r="BA109" s="9" t="n">
        <f aca="false">IF(P109=0,0,AH109/P109)</f>
        <v>30034.046769361</v>
      </c>
      <c r="BB109" s="74" t="s">
        <v>246</v>
      </c>
      <c r="BC109" s="13" t="n">
        <f aca="false">SUMIFS('MA Engine'!$W$6:$W$1110,'MA Engine'!$B$6:$B$1110,$A109,'MA Engine'!$H$6:$H$1110,7,'MA Engine'!$I$6:$I$1110,"DO")</f>
        <v>0</v>
      </c>
      <c r="BD109" s="14" t="n">
        <f aca="false">MIN(MAX(0,H109),J109)</f>
        <v>0</v>
      </c>
      <c r="BE109" s="14" t="n">
        <f aca="false">J109-BD109</f>
        <v>0</v>
      </c>
      <c r="BF109" s="21" t="n">
        <f aca="false">IF(J109=0,0,BC109/J109)</f>
        <v>0</v>
      </c>
      <c r="BG109" s="13" t="n">
        <f aca="false">SUMIFS('MA Engine'!$AH$6:$AH$1110,'MA Engine'!$B$6:$B$1110,$A109,'MA Engine'!$H$6:$H$1110,7,'MA Engine'!$I$6:$I$1110,"DO")</f>
        <v>0</v>
      </c>
      <c r="BH109" s="13" t="n">
        <f aca="false">SUMIFS('MA Engine'!$AI$6:$AI$1110,'MA Engine'!$B$6:$B$1110,$A109,'MA Engine'!$H$6:$H$1110,7,'MA Engine'!$I$6:$I$1110,"DO")+SUMIFS('MA Engine'!$AJ$6:$AJ$1110,'MA Engine'!$B$6:$B$1110,$A109,'MA Engine'!$H$6:$H$1110,7,'MA Engine'!$I$6:$I$1110,"DO")</f>
        <v>0</v>
      </c>
      <c r="BI109" s="7" t="n">
        <f aca="false">IF(H109&gt;0,SUMIFS('MA Engine'!$L$6:$L$1110,'MA Engine'!$B$6:$B$1110,$A109,'MA Engine'!$I$6:$I$1110,"Opening")/H109,0)</f>
        <v>23000</v>
      </c>
      <c r="BJ109" s="9" t="n">
        <f aca="false">IF(I109&gt;0,AD109/I109,BI109)</f>
        <v>23000</v>
      </c>
      <c r="BK109" s="7" t="n">
        <f aca="false">SUMIFS('MA Engine'!$X$6:$X$1110,'MA Engine'!$B$6:$B$1110,$A109,'MA Engine'!$H$6:$H$1110,7,'MA Engine'!$I$6:$I$1110,"DO")</f>
        <v>0</v>
      </c>
      <c r="BL109" s="7" t="n">
        <f aca="false">SUMIFS('MA Engine'!$AK$6:$AK$1110,'MA Engine'!$B$6:$B$1110,$A109,'MA Engine'!$H$6:$H$1110,7,'MA Engine'!$I$6:$I$1110,"DO")</f>
        <v>0</v>
      </c>
      <c r="BM109" s="7" t="n">
        <f aca="false">SUMIFS('MA Engine'!$AL$6:$AL$1110,'MA Engine'!$B$6:$B$1110,$A109,'MA Engine'!$H$6:$H$1110,7,'MA Engine'!$I$6:$I$1110,"DO")+SUMIFS('MA Engine'!$AM$6:$AM$1110,'MA Engine'!$B$6:$B$1110,$A109,'MA Engine'!$H$6:$H$1110,7,'MA Engine'!$I$6:$I$1110,"DO")</f>
        <v>0</v>
      </c>
      <c r="BN109" s="9" t="n">
        <f aca="false">BK109-BL109-BM109</f>
        <v>0</v>
      </c>
      <c r="BO109" s="7" t="n">
        <f aca="false">IF(BC109=0,0,SUMIFS('Data SKU'!$G$5:$G$116,'Data SKU'!$A$5:$A$116,$C109,'Data SKU'!$B$5:$B$116,$D109,'Data SKU'!$C$5:$C$116,$E109,'Data SKU'!$D$5:$D$116,7,'Data SKU'!$N$5:$N$116,"Invoiced")/SUMIFS($BC$36:$BC$127,$C$36:$C$127,$C109,$D$36:$D$127,$D109,$E$36:$E$127,$E109)*BC109)</f>
        <v>0</v>
      </c>
      <c r="BP109" s="9" t="n">
        <f aca="false">IF(BC109=0,0,BO109*BG109/BC109)</f>
        <v>0</v>
      </c>
      <c r="BQ109" s="9" t="n">
        <f aca="false">IF(BC109=0,0,BO109*BH109/BC109)</f>
        <v>0</v>
      </c>
    </row>
    <row r="110" customFormat="false" ht="15" hidden="false" customHeight="false" outlineLevel="0" collapsed="false">
      <c r="A110" s="74" t="s">
        <v>1022</v>
      </c>
      <c r="B110" s="53" t="str">
        <f aca="false">INDEX(I_Items!$B$5:$B$133,MATCH($A110,I_Items!$A$5:$A$133,0))&amp;""</f>
        <v>Karkas Uk 0.7</v>
      </c>
      <c r="C110" s="53" t="str">
        <f aca="false">INDEX(I_Items!$C$5:$C$133,MATCH($A110,I_Items!$A$5:$A$133,0))&amp;""</f>
        <v>Trading</v>
      </c>
      <c r="D110" s="53" t="str">
        <f aca="false">INDEX(I_Items!$D$5:$D$133,MATCH($A110,I_Items!$A$5:$A$133,0))&amp;""</f>
        <v>Karkas</v>
      </c>
      <c r="E110" s="53" t="str">
        <f aca="false">INDEX(I_Items!$F$5:$F$133,MATCH($A110,I_Items!$A$5:$A$133,0))&amp;""</f>
        <v>Not stated in item master</v>
      </c>
      <c r="F110" s="53" t="str">
        <f aca="false">INDEX(I_Items!$E$5:$E$133,MATCH($A110,I_Items!$A$5:$A$133,0))&amp;""</f>
        <v>Uk 0.7</v>
      </c>
      <c r="G110" s="6" t="str">
        <f aca="false">IF(P110=0,"-",IF(M110=0,"A",IF(K110&lt;=0,"C","B")))</f>
        <v>C</v>
      </c>
      <c r="H110" s="13" t="n">
        <f aca="false">SUMIFS('MA Engine'!$K$6:$K$1110,'MA Engine'!$B$6:$B$1110,$A110,'MA Engine'!$I$6:$I$1110,"Opening")</f>
        <v>0</v>
      </c>
      <c r="I110" s="13" t="n">
        <f aca="false">SUMIFS('MA Engine'!$K$6:$K$1110,'MA Engine'!$B$6:$B$1110,$A110,'MA Engine'!$H$6:$H$1110,7,'MA Engine'!$I$6:$I$1110,"&lt;&gt;Opening")</f>
        <v>0</v>
      </c>
      <c r="J110" s="13" t="n">
        <f aca="false">SUMIFS('MA Engine'!$W$6:$W$1110,'MA Engine'!$B$6:$B$1110,$A110,'MA Engine'!$H$6:$H$1110,7)</f>
        <v>0</v>
      </c>
      <c r="K110" s="14" t="n">
        <f aca="false">H110+I110-J110</f>
        <v>0</v>
      </c>
      <c r="L110" s="7" t="n">
        <f aca="false">SUMIFS('MA Engine'!$L$6:$L$1110,'MA Engine'!$B$6:$B$1110,$A110,'MA Engine'!$I$6:$I$1110,"Opening")+SUMIFS('MA Engine'!$L$6:$L$1110,'MA Engine'!$B$6:$B$1110,$A110,'MA Engine'!$H$6:$H$1110,7,'MA Engine'!$I$6:$I$1110,"&lt;&gt;Opening")-SUMIFS('MA Engine'!$X$6:$X$1110,'MA Engine'!$B$6:$B$1110,$A110,'MA Engine'!$H$6:$H$1110,7)</f>
        <v>0</v>
      </c>
      <c r="M110" s="13" t="n">
        <f aca="false">SUMIFS('MA Engine'!$K$6:$K$1110,'MA Engine'!$B$6:$B$1110,$A110,'MA Engine'!$H$6:$H$1110,8)</f>
        <v>13992.12</v>
      </c>
      <c r="N110" s="7" t="n">
        <f aca="false">SUMIFS('MA Engine'!$L$6:$L$1110,'MA Engine'!$B$6:$B$1110,$A110,'MA Engine'!$H$6:$H$1110,8)</f>
        <v>423109648.19</v>
      </c>
      <c r="O110" s="13" t="n">
        <f aca="false">SUMIFS('MA Engine'!$W$6:$W$1110,'MA Engine'!$B$6:$B$1110,$A110,'MA Engine'!$H$6:$H$1110,8)</f>
        <v>10966.07</v>
      </c>
      <c r="P110" s="14" t="n">
        <f aca="false">Q110+R110</f>
        <v>10966.07</v>
      </c>
      <c r="Q110" s="13" t="n">
        <f aca="false">SUMIFS('MA Engine'!$W$6:$W$1110,'MA Engine'!$B$6:$B$1110,$A110,'MA Engine'!$H$6:$H$1110,8,'MA Engine'!$I$6:$I$1110,"DO",'MA Engine'!$P$6:$P$1110,"&lt;&gt;Y")</f>
        <v>8964.19</v>
      </c>
      <c r="R110" s="13" t="n">
        <f aca="false">SUMIFS('MA Engine'!$W$6:$W$1110,'MA Engine'!$B$6:$B$1110,$A110,'MA Engine'!$H$6:$H$1110,8,'MA Engine'!$I$6:$I$1110,"Unbilled")</f>
        <v>2001.88</v>
      </c>
      <c r="S110" s="13" t="n">
        <f aca="false">SUMIFS('MA Engine'!$W$6:$W$1110,'MA Engine'!$B$6:$B$1110,$A110,'MA Engine'!$H$6:$H$1110,8,'MA Engine'!$P$6:$P$1110,"Y")</f>
        <v>0</v>
      </c>
      <c r="T110" s="14" t="n">
        <f aca="false">O110-P110-S110</f>
        <v>0</v>
      </c>
      <c r="U110" s="14" t="n">
        <f aca="false">MAX(0,H110-J110)</f>
        <v>0</v>
      </c>
      <c r="V110" s="14" t="n">
        <f aca="false">MAX(0,K110-U110)</f>
        <v>0</v>
      </c>
      <c r="W110" s="14" t="n">
        <f aca="false">MIN(U110,O110)</f>
        <v>0</v>
      </c>
      <c r="X110" s="14" t="n">
        <f aca="false">MIN(V110,O110-W110)</f>
        <v>0</v>
      </c>
      <c r="Y110" s="14" t="n">
        <f aca="false">O110-W110-X110</f>
        <v>10966.07</v>
      </c>
      <c r="Z110" s="21" t="n">
        <f aca="false">IF(O110=0,0,P110/O110)</f>
        <v>1</v>
      </c>
      <c r="AA110" s="13" t="n">
        <f aca="false">SUMIFS('MA Engine'!$AH$6:$AH$1110,'MA Engine'!$B$6:$B$1110,$A110,'MA Engine'!$H$6:$H$1110,8,'MA Engine'!$I$6:$I$1110,"DO",'MA Engine'!$P$6:$P$1110,"&lt;&gt;Y")+SUMIFS('MA Engine'!$AH$6:$AH$1110,'MA Engine'!$B$6:$B$1110,$A110,'MA Engine'!$H$6:$H$1110,8,'MA Engine'!$I$6:$I$1110,"Unbilled")</f>
        <v>0</v>
      </c>
      <c r="AB110" s="13" t="n">
        <f aca="false">SUMIFS('MA Engine'!$AI$6:$AI$1110,'MA Engine'!$B$6:$B$1110,$A110,'MA Engine'!$H$6:$H$1110,8,'MA Engine'!$I$6:$I$1110,"DO",'MA Engine'!$P$6:$P$1110,"&lt;&gt;Y")+SUMIFS('MA Engine'!$AI$6:$AI$1110,'MA Engine'!$B$6:$B$1110,$A110,'MA Engine'!$H$6:$H$1110,8,'MA Engine'!$I$6:$I$1110,"Unbilled")</f>
        <v>0</v>
      </c>
      <c r="AC110" s="13" t="n">
        <f aca="false">SUMIFS('MA Engine'!$AJ$6:$AJ$1110,'MA Engine'!$B$6:$B$1110,$A110,'MA Engine'!$H$6:$H$1110,8,'MA Engine'!$I$6:$I$1110,"DO",'MA Engine'!$P$6:$P$1110,"&lt;&gt;Y")+SUMIFS('MA Engine'!$AJ$6:$AJ$1110,'MA Engine'!$B$6:$B$1110,$A110,'MA Engine'!$H$6:$H$1110,8,'MA Engine'!$I$6:$I$1110,"Unbilled")</f>
        <v>10966.07</v>
      </c>
      <c r="AD110" s="7" t="n">
        <f aca="false">SUMIFS('MA Engine'!$L$6:$L$1110,'MA Engine'!$B$6:$B$1110,$A110,'MA Engine'!$H$6:$H$1110,7,'MA Engine'!$I$6:$I$1110,"&lt;&gt;Opening")</f>
        <v>0</v>
      </c>
      <c r="AE110" s="9" t="n">
        <f aca="false">IF(AND(U110&gt;0.0001,(L110-V110*IF(I110&gt;0,AD110/I110,IF(K110&gt;0,L110/K110,0)))&lt;0),IF(K110&gt;0,L110/K110,0),IF(I110&gt;0,AD110/I110,IF(K110&gt;0,L110/K110,0)))</f>
        <v>0</v>
      </c>
      <c r="AF110" s="9" t="n">
        <f aca="false">IF(U110&lt;=0.0001,IF(K110&gt;0,L110/K110,0),IF((L110-V110*IF(I110&gt;0,AD110/I110,IF(K110&gt;0,L110/K110,0)))&lt;0,IF(K110&gt;0,L110/K110,0),(L110-V110*IF(I110&gt;0,AD110/I110,IF(K110&gt;0,L110/K110,0)))/U110))</f>
        <v>0</v>
      </c>
      <c r="AG110" s="9" t="n">
        <f aca="false">IF(M110&gt;0,N110/M110,IF(K110&gt;0,L110/K110,0))</f>
        <v>30239.1380426983</v>
      </c>
      <c r="AH110" s="7" t="n">
        <f aca="false">SUMIFS('MA Engine'!$X$6:$X$1110,'MA Engine'!$B$6:$B$1110,$A110,'MA Engine'!$H$6:$H$1110,8,'MA Engine'!$I$6:$I$1110,"DO",'MA Engine'!$P$6:$P$1110,"&lt;&gt;Y")+SUMIFS('MA Engine'!$X$6:$X$1110,'MA Engine'!$B$6:$B$1110,$A110,'MA Engine'!$H$6:$H$1110,8,'MA Engine'!$I$6:$I$1110,"Unbilled")</f>
        <v>331442676.046231</v>
      </c>
      <c r="AI110" s="7" t="n">
        <f aca="false">SUMIFS('MA Engine'!$AK$6:$AK$1110,'MA Engine'!$B$6:$B$1110,$A110,'MA Engine'!$H$6:$H$1110,8,'MA Engine'!$I$6:$I$1110,"DO",'MA Engine'!$P$6:$P$1110,"&lt;&gt;Y")+SUMIFS('MA Engine'!$AK$6:$AK$1110,'MA Engine'!$B$6:$B$1110,$A110,'MA Engine'!$H$6:$H$1110,8,'MA Engine'!$I$6:$I$1110,"Unbilled")</f>
        <v>0</v>
      </c>
      <c r="AJ110" s="7" t="n">
        <f aca="false">SUMIFS('MA Engine'!$AL$6:$AL$1110,'MA Engine'!$B$6:$B$1110,$A110,'MA Engine'!$H$6:$H$1110,8,'MA Engine'!$I$6:$I$1110,"DO",'MA Engine'!$P$6:$P$1110,"&lt;&gt;Y")+SUMIFS('MA Engine'!$AL$6:$AL$1110,'MA Engine'!$B$6:$B$1110,$A110,'MA Engine'!$H$6:$H$1110,8,'MA Engine'!$I$6:$I$1110,"Unbilled")</f>
        <v>0</v>
      </c>
      <c r="AK110" s="7" t="n">
        <f aca="false">SUMIFS('MA Engine'!$AM$6:$AM$1110,'MA Engine'!$B$6:$B$1110,$A110,'MA Engine'!$H$6:$H$1110,8,'MA Engine'!$I$6:$I$1110,"DO",'MA Engine'!$P$6:$P$1110,"&lt;&gt;Y")+SUMIFS('MA Engine'!$AM$6:$AM$1110,'MA Engine'!$B$6:$B$1110,$A110,'MA Engine'!$H$6:$H$1110,8,'MA Engine'!$I$6:$I$1110,"Unbilled")</f>
        <v>331442676.046231</v>
      </c>
      <c r="AL110" s="9" t="n">
        <f aca="false">AH110-AI110-AJ110-AK110</f>
        <v>0</v>
      </c>
      <c r="AM110" s="7" t="n">
        <f aca="false">IF(Q110=0,0,IF($D110="Karkas",SUMIFS('Karkas Detail'!$E$6:$E$42,'Karkas Detail'!$A$6:$A$42,$C110,'Karkas Detail'!$B$6:$B$42,$F110,'Karkas Detail'!$C$6:$C$42,$E110)/SUMIFS($Q$36:$Q$127,$C$36:$C$127,$C110,$D$36:$D$127,"Karkas",$F$36:$F$127,$F110,$E$36:$E$127,$E110),SUMIFS('Data SKU'!$G$5:$G$116,'Data SKU'!$A$5:$A$116,$C110,'Data SKU'!$B$5:$B$116,$D110,'Data SKU'!$C$5:$C$116,$E110,'Data SKU'!$D$5:$D$116,8,'Data SKU'!$N$5:$N$116,"Invoiced")/SUMIFS($Q$36:$Q$127,$C$36:$C$127,$C110,$D$36:$D$127,$D110,$E$36:$E$127,$E110))*Q110)+SUMIFS(Unbilled!$U$22:$U$38,Unbilled!$E$22:$E$38,$A110)</f>
        <v>339831247.653099</v>
      </c>
      <c r="AN110" s="9" t="n">
        <f aca="false">IF(P110=0,0,AM110*AA110/P110)</f>
        <v>0</v>
      </c>
      <c r="AO110" s="9" t="n">
        <f aca="false">IF(P110=0,0,AM110*AB110/P110)</f>
        <v>0</v>
      </c>
      <c r="AP110" s="9" t="n">
        <f aca="false">IF(P110=0,0,AM110*AC110/P110)</f>
        <v>339831247.653099</v>
      </c>
      <c r="AQ110" s="14" t="n">
        <f aca="false">MIN(U110+V110,MAX(0,O110-M110))</f>
        <v>0</v>
      </c>
      <c r="AR110" s="14" t="n">
        <f aca="false">MAX(0,AQ110-V110)*Z110</f>
        <v>0</v>
      </c>
      <c r="AS110" s="14" t="n">
        <f aca="false">MIN(V110,AQ110)*Z110</f>
        <v>0</v>
      </c>
      <c r="AT110" s="14" t="n">
        <f aca="false">(O110-AQ110)*Z110</f>
        <v>10966.07</v>
      </c>
      <c r="AU110" s="9" t="n">
        <f aca="false">(AR110+AS110+AT110)*BA110</f>
        <v>331442676.046231</v>
      </c>
      <c r="AV110" s="9" t="n">
        <f aca="false">IF(P110=0,0,AM110*AR110/P110)</f>
        <v>0</v>
      </c>
      <c r="AW110" s="9" t="n">
        <f aca="false">IF(P110=0,0,AM110*AS110/P110)</f>
        <v>0</v>
      </c>
      <c r="AX110" s="9" t="n">
        <f aca="false">IF(P110=0,0,AM110*AT110/P110)</f>
        <v>339831247.653099</v>
      </c>
      <c r="AY110" s="9" t="n">
        <f aca="false">AH110-AU110</f>
        <v>0</v>
      </c>
      <c r="AZ110" s="9" t="n">
        <f aca="false">IF(M110&gt;0,P110*AG110,0)</f>
        <v>331604504.515893</v>
      </c>
      <c r="BA110" s="9" t="n">
        <f aca="false">IF(P110=0,0,AH110/P110)</f>
        <v>30224.3808443892</v>
      </c>
      <c r="BB110" s="74" t="s">
        <v>246</v>
      </c>
      <c r="BC110" s="13" t="n">
        <f aca="false">SUMIFS('MA Engine'!$W$6:$W$1110,'MA Engine'!$B$6:$B$1110,$A110,'MA Engine'!$H$6:$H$1110,7,'MA Engine'!$I$6:$I$1110,"DO")</f>
        <v>0</v>
      </c>
      <c r="BD110" s="14" t="n">
        <f aca="false">MIN(MAX(0,H110),J110)</f>
        <v>0</v>
      </c>
      <c r="BE110" s="14" t="n">
        <f aca="false">J110-BD110</f>
        <v>0</v>
      </c>
      <c r="BF110" s="21" t="n">
        <f aca="false">IF(J110=0,0,BC110/J110)</f>
        <v>0</v>
      </c>
      <c r="BG110" s="13" t="n">
        <f aca="false">SUMIFS('MA Engine'!$AH$6:$AH$1110,'MA Engine'!$B$6:$B$1110,$A110,'MA Engine'!$H$6:$H$1110,7,'MA Engine'!$I$6:$I$1110,"DO")</f>
        <v>0</v>
      </c>
      <c r="BH110" s="13" t="n">
        <f aca="false">SUMIFS('MA Engine'!$AI$6:$AI$1110,'MA Engine'!$B$6:$B$1110,$A110,'MA Engine'!$H$6:$H$1110,7,'MA Engine'!$I$6:$I$1110,"DO")+SUMIFS('MA Engine'!$AJ$6:$AJ$1110,'MA Engine'!$B$6:$B$1110,$A110,'MA Engine'!$H$6:$H$1110,7,'MA Engine'!$I$6:$I$1110,"DO")</f>
        <v>0</v>
      </c>
      <c r="BI110" s="7" t="n">
        <f aca="false">IF(H110&gt;0,SUMIFS('MA Engine'!$L$6:$L$1110,'MA Engine'!$B$6:$B$1110,$A110,'MA Engine'!$I$6:$I$1110,"Opening")/H110,0)</f>
        <v>0</v>
      </c>
      <c r="BJ110" s="9" t="n">
        <f aca="false">IF(I110&gt;0,AD110/I110,BI110)</f>
        <v>0</v>
      </c>
      <c r="BK110" s="7" t="n">
        <f aca="false">SUMIFS('MA Engine'!$X$6:$X$1110,'MA Engine'!$B$6:$B$1110,$A110,'MA Engine'!$H$6:$H$1110,7,'MA Engine'!$I$6:$I$1110,"DO")</f>
        <v>0</v>
      </c>
      <c r="BL110" s="7" t="n">
        <f aca="false">SUMIFS('MA Engine'!$AK$6:$AK$1110,'MA Engine'!$B$6:$B$1110,$A110,'MA Engine'!$H$6:$H$1110,7,'MA Engine'!$I$6:$I$1110,"DO")</f>
        <v>0</v>
      </c>
      <c r="BM110" s="7" t="n">
        <f aca="false">SUMIFS('MA Engine'!$AL$6:$AL$1110,'MA Engine'!$B$6:$B$1110,$A110,'MA Engine'!$H$6:$H$1110,7,'MA Engine'!$I$6:$I$1110,"DO")+SUMIFS('MA Engine'!$AM$6:$AM$1110,'MA Engine'!$B$6:$B$1110,$A110,'MA Engine'!$H$6:$H$1110,7,'MA Engine'!$I$6:$I$1110,"DO")</f>
        <v>0</v>
      </c>
      <c r="BN110" s="9" t="n">
        <f aca="false">BK110-BL110-BM110</f>
        <v>0</v>
      </c>
      <c r="BO110" s="7" t="n">
        <f aca="false">IF(BC110=0,0,SUMIFS('Data SKU'!$G$5:$G$116,'Data SKU'!$A$5:$A$116,$C110,'Data SKU'!$B$5:$B$116,$D110,'Data SKU'!$C$5:$C$116,$E110,'Data SKU'!$D$5:$D$116,7,'Data SKU'!$N$5:$N$116,"Invoiced")/SUMIFS($BC$36:$BC$127,$C$36:$C$127,$C110,$D$36:$D$127,$D110,$E$36:$E$127,$E110)*BC110)</f>
        <v>0</v>
      </c>
      <c r="BP110" s="9" t="n">
        <f aca="false">IF(BC110=0,0,BO110*BG110/BC110)</f>
        <v>0</v>
      </c>
      <c r="BQ110" s="9" t="n">
        <f aca="false">IF(BC110=0,0,BO110*BH110/BC110)</f>
        <v>0</v>
      </c>
    </row>
    <row r="111" customFormat="false" ht="15" hidden="false" customHeight="false" outlineLevel="0" collapsed="false">
      <c r="A111" s="74" t="s">
        <v>1023</v>
      </c>
      <c r="B111" s="53" t="str">
        <f aca="false">INDEX(I_Items!$B$5:$B$133,MATCH($A111,I_Items!$A$5:$A$133,0))&amp;""</f>
        <v>Karkas Uk 0.8</v>
      </c>
      <c r="C111" s="53" t="str">
        <f aca="false">INDEX(I_Items!$C$5:$C$133,MATCH($A111,I_Items!$A$5:$A$133,0))&amp;""</f>
        <v>Trading</v>
      </c>
      <c r="D111" s="53" t="str">
        <f aca="false">INDEX(I_Items!$D$5:$D$133,MATCH($A111,I_Items!$A$5:$A$133,0))&amp;""</f>
        <v>Karkas</v>
      </c>
      <c r="E111" s="53" t="str">
        <f aca="false">INDEX(I_Items!$F$5:$F$133,MATCH($A111,I_Items!$A$5:$A$133,0))&amp;""</f>
        <v>Not stated in item master</v>
      </c>
      <c r="F111" s="53" t="str">
        <f aca="false">INDEX(I_Items!$E$5:$E$133,MATCH($A111,I_Items!$A$5:$A$133,0))&amp;""</f>
        <v>Uk 0.8</v>
      </c>
      <c r="G111" s="6" t="str">
        <f aca="false">IF(P111=0,"-",IF(M111=0,"A",IF(K111&lt;=0,"C","B")))</f>
        <v>C</v>
      </c>
      <c r="H111" s="13" t="n">
        <f aca="false">SUMIFS('MA Engine'!$K$6:$K$1110,'MA Engine'!$B$6:$B$1110,$A111,'MA Engine'!$I$6:$I$1110,"Opening")</f>
        <v>0</v>
      </c>
      <c r="I111" s="13" t="n">
        <f aca="false">SUMIFS('MA Engine'!$K$6:$K$1110,'MA Engine'!$B$6:$B$1110,$A111,'MA Engine'!$H$6:$H$1110,7,'MA Engine'!$I$6:$I$1110,"&lt;&gt;Opening")</f>
        <v>0</v>
      </c>
      <c r="J111" s="13" t="n">
        <f aca="false">SUMIFS('MA Engine'!$W$6:$W$1110,'MA Engine'!$B$6:$B$1110,$A111,'MA Engine'!$H$6:$H$1110,7)</f>
        <v>0</v>
      </c>
      <c r="K111" s="14" t="n">
        <f aca="false">H111+I111-J111</f>
        <v>0</v>
      </c>
      <c r="L111" s="7" t="n">
        <f aca="false">SUMIFS('MA Engine'!$L$6:$L$1110,'MA Engine'!$B$6:$B$1110,$A111,'MA Engine'!$I$6:$I$1110,"Opening")+SUMIFS('MA Engine'!$L$6:$L$1110,'MA Engine'!$B$6:$B$1110,$A111,'MA Engine'!$H$6:$H$1110,7,'MA Engine'!$I$6:$I$1110,"&lt;&gt;Opening")-SUMIFS('MA Engine'!$X$6:$X$1110,'MA Engine'!$B$6:$B$1110,$A111,'MA Engine'!$H$6:$H$1110,7)</f>
        <v>0</v>
      </c>
      <c r="M111" s="13" t="n">
        <f aca="false">SUMIFS('MA Engine'!$K$6:$K$1110,'MA Engine'!$B$6:$B$1110,$A111,'MA Engine'!$H$6:$H$1110,8)</f>
        <v>6751.28</v>
      </c>
      <c r="N111" s="7" t="n">
        <f aca="false">SUMIFS('MA Engine'!$L$6:$L$1110,'MA Engine'!$B$6:$B$1110,$A111,'MA Engine'!$H$6:$H$1110,8)</f>
        <v>214482560.85</v>
      </c>
      <c r="O111" s="13" t="n">
        <f aca="false">SUMIFS('MA Engine'!$W$6:$W$1110,'MA Engine'!$B$6:$B$1110,$A111,'MA Engine'!$H$6:$H$1110,8)</f>
        <v>6874.59</v>
      </c>
      <c r="P111" s="14" t="n">
        <f aca="false">Q111+R111</f>
        <v>6874.59</v>
      </c>
      <c r="Q111" s="13" t="n">
        <f aca="false">SUMIFS('MA Engine'!$W$6:$W$1110,'MA Engine'!$B$6:$B$1110,$A111,'MA Engine'!$H$6:$H$1110,8,'MA Engine'!$I$6:$I$1110,"DO",'MA Engine'!$P$6:$P$1110,"&lt;&gt;Y")</f>
        <v>5943.38</v>
      </c>
      <c r="R111" s="13" t="n">
        <f aca="false">SUMIFS('MA Engine'!$W$6:$W$1110,'MA Engine'!$B$6:$B$1110,$A111,'MA Engine'!$H$6:$H$1110,8,'MA Engine'!$I$6:$I$1110,"Unbilled")</f>
        <v>931.21</v>
      </c>
      <c r="S111" s="13" t="n">
        <f aca="false">SUMIFS('MA Engine'!$W$6:$W$1110,'MA Engine'!$B$6:$B$1110,$A111,'MA Engine'!$H$6:$H$1110,8,'MA Engine'!$P$6:$P$1110,"Y")</f>
        <v>0</v>
      </c>
      <c r="T111" s="14" t="n">
        <f aca="false">O111-P111-S111</f>
        <v>0</v>
      </c>
      <c r="U111" s="14" t="n">
        <f aca="false">MAX(0,H111-J111)</f>
        <v>0</v>
      </c>
      <c r="V111" s="14" t="n">
        <f aca="false">MAX(0,K111-U111)</f>
        <v>0</v>
      </c>
      <c r="W111" s="14" t="n">
        <f aca="false">MIN(U111,O111)</f>
        <v>0</v>
      </c>
      <c r="X111" s="14" t="n">
        <f aca="false">MIN(V111,O111-W111)</f>
        <v>0</v>
      </c>
      <c r="Y111" s="14" t="n">
        <f aca="false">O111-W111-X111</f>
        <v>6874.59</v>
      </c>
      <c r="Z111" s="21" t="n">
        <f aca="false">IF(O111=0,0,P111/O111)</f>
        <v>1</v>
      </c>
      <c r="AA111" s="13" t="n">
        <f aca="false">SUMIFS('MA Engine'!$AH$6:$AH$1110,'MA Engine'!$B$6:$B$1110,$A111,'MA Engine'!$H$6:$H$1110,8,'MA Engine'!$I$6:$I$1110,"DO",'MA Engine'!$P$6:$P$1110,"&lt;&gt;Y")+SUMIFS('MA Engine'!$AH$6:$AH$1110,'MA Engine'!$B$6:$B$1110,$A111,'MA Engine'!$H$6:$H$1110,8,'MA Engine'!$I$6:$I$1110,"Unbilled")</f>
        <v>0</v>
      </c>
      <c r="AB111" s="13" t="n">
        <f aca="false">SUMIFS('MA Engine'!$AI$6:$AI$1110,'MA Engine'!$B$6:$B$1110,$A111,'MA Engine'!$H$6:$H$1110,8,'MA Engine'!$I$6:$I$1110,"DO",'MA Engine'!$P$6:$P$1110,"&lt;&gt;Y")+SUMIFS('MA Engine'!$AI$6:$AI$1110,'MA Engine'!$B$6:$B$1110,$A111,'MA Engine'!$H$6:$H$1110,8,'MA Engine'!$I$6:$I$1110,"Unbilled")</f>
        <v>0</v>
      </c>
      <c r="AC111" s="13" t="n">
        <f aca="false">SUMIFS('MA Engine'!$AJ$6:$AJ$1110,'MA Engine'!$B$6:$B$1110,$A111,'MA Engine'!$H$6:$H$1110,8,'MA Engine'!$I$6:$I$1110,"DO",'MA Engine'!$P$6:$P$1110,"&lt;&gt;Y")+SUMIFS('MA Engine'!$AJ$6:$AJ$1110,'MA Engine'!$B$6:$B$1110,$A111,'MA Engine'!$H$6:$H$1110,8,'MA Engine'!$I$6:$I$1110,"Unbilled")</f>
        <v>6874.59</v>
      </c>
      <c r="AD111" s="7" t="n">
        <f aca="false">SUMIFS('MA Engine'!$L$6:$L$1110,'MA Engine'!$B$6:$B$1110,$A111,'MA Engine'!$H$6:$H$1110,7,'MA Engine'!$I$6:$I$1110,"&lt;&gt;Opening")</f>
        <v>0</v>
      </c>
      <c r="AE111" s="9" t="n">
        <f aca="false">IF(AND(U111&gt;0.0001,(L111-V111*IF(I111&gt;0,AD111/I111,IF(K111&gt;0,L111/K111,0)))&lt;0),IF(K111&gt;0,L111/K111,0),IF(I111&gt;0,AD111/I111,IF(K111&gt;0,L111/K111,0)))</f>
        <v>0</v>
      </c>
      <c r="AF111" s="9" t="n">
        <f aca="false">IF(U111&lt;=0.0001,IF(K111&gt;0,L111/K111,0),IF((L111-V111*IF(I111&gt;0,AD111/I111,IF(K111&gt;0,L111/K111,0)))&lt;0,IF(K111&gt;0,L111/K111,0),(L111-V111*IF(I111&gt;0,AD111/I111,IF(K111&gt;0,L111/K111,0)))/U111))</f>
        <v>0</v>
      </c>
      <c r="AG111" s="9" t="n">
        <f aca="false">IF(M111&gt;0,N111/M111,IF(K111&gt;0,L111/K111,0))</f>
        <v>31769.1698240926</v>
      </c>
      <c r="AH111" s="7" t="n">
        <f aca="false">SUMIFS('MA Engine'!$X$6:$X$1110,'MA Engine'!$B$6:$B$1110,$A111,'MA Engine'!$H$6:$H$1110,8,'MA Engine'!$I$6:$I$1110,"DO",'MA Engine'!$P$6:$P$1110,"&lt;&gt;Y")+SUMIFS('MA Engine'!$X$6:$X$1110,'MA Engine'!$B$6:$B$1110,$A111,'MA Engine'!$H$6:$H$1110,8,'MA Engine'!$I$6:$I$1110,"Unbilled")</f>
        <v>218403496.672667</v>
      </c>
      <c r="AI111" s="7" t="n">
        <f aca="false">SUMIFS('MA Engine'!$AK$6:$AK$1110,'MA Engine'!$B$6:$B$1110,$A111,'MA Engine'!$H$6:$H$1110,8,'MA Engine'!$I$6:$I$1110,"DO",'MA Engine'!$P$6:$P$1110,"&lt;&gt;Y")+SUMIFS('MA Engine'!$AK$6:$AK$1110,'MA Engine'!$B$6:$B$1110,$A111,'MA Engine'!$H$6:$H$1110,8,'MA Engine'!$I$6:$I$1110,"Unbilled")</f>
        <v>0</v>
      </c>
      <c r="AJ111" s="7" t="n">
        <f aca="false">SUMIFS('MA Engine'!$AL$6:$AL$1110,'MA Engine'!$B$6:$B$1110,$A111,'MA Engine'!$H$6:$H$1110,8,'MA Engine'!$I$6:$I$1110,"DO",'MA Engine'!$P$6:$P$1110,"&lt;&gt;Y")+SUMIFS('MA Engine'!$AL$6:$AL$1110,'MA Engine'!$B$6:$B$1110,$A111,'MA Engine'!$H$6:$H$1110,8,'MA Engine'!$I$6:$I$1110,"Unbilled")</f>
        <v>0</v>
      </c>
      <c r="AK111" s="7" t="n">
        <f aca="false">SUMIFS('MA Engine'!$AM$6:$AM$1110,'MA Engine'!$B$6:$B$1110,$A111,'MA Engine'!$H$6:$H$1110,8,'MA Engine'!$I$6:$I$1110,"DO",'MA Engine'!$P$6:$P$1110,"&lt;&gt;Y")+SUMIFS('MA Engine'!$AM$6:$AM$1110,'MA Engine'!$B$6:$B$1110,$A111,'MA Engine'!$H$6:$H$1110,8,'MA Engine'!$I$6:$I$1110,"Unbilled")</f>
        <v>218403496.672667</v>
      </c>
      <c r="AL111" s="9" t="n">
        <f aca="false">AH111-AI111-AJ111-AK111</f>
        <v>0</v>
      </c>
      <c r="AM111" s="7" t="n">
        <f aca="false">IF(Q111=0,0,IF($D111="Karkas",SUMIFS('Karkas Detail'!$E$6:$E$42,'Karkas Detail'!$A$6:$A$42,$C111,'Karkas Detail'!$B$6:$B$42,$F111,'Karkas Detail'!$C$6:$C$42,$E111)/SUMIFS($Q$36:$Q$127,$C$36:$C$127,$C111,$D$36:$D$127,"Karkas",$F$36:$F$127,$F111,$E$36:$E$127,$E111),SUMIFS('Data SKU'!$G$5:$G$116,'Data SKU'!$A$5:$A$116,$C111,'Data SKU'!$B$5:$B$116,$D111,'Data SKU'!$C$5:$C$116,$E111,'Data SKU'!$D$5:$D$116,8,'Data SKU'!$N$5:$N$116,"Invoiced")/SUMIFS($Q$36:$Q$127,$C$36:$C$127,$C111,$D$36:$D$127,$D111,$E$36:$E$127,$E111))*Q111)+SUMIFS(Unbilled!$U$22:$U$38,Unbilled!$E$22:$E$38,$A111)</f>
        <v>221837700.473361</v>
      </c>
      <c r="AN111" s="9" t="n">
        <f aca="false">IF(P111=0,0,AM111*AA111/P111)</f>
        <v>0</v>
      </c>
      <c r="AO111" s="9" t="n">
        <f aca="false">IF(P111=0,0,AM111*AB111/P111)</f>
        <v>0</v>
      </c>
      <c r="AP111" s="9" t="n">
        <f aca="false">IF(P111=0,0,AM111*AC111/P111)</f>
        <v>221837700.473361</v>
      </c>
      <c r="AQ111" s="14" t="n">
        <f aca="false">MIN(U111+V111,MAX(0,O111-M111))</f>
        <v>0</v>
      </c>
      <c r="AR111" s="14" t="n">
        <f aca="false">MAX(0,AQ111-V111)*Z111</f>
        <v>0</v>
      </c>
      <c r="AS111" s="14" t="n">
        <f aca="false">MIN(V111,AQ111)*Z111</f>
        <v>0</v>
      </c>
      <c r="AT111" s="14" t="n">
        <f aca="false">(O111-AQ111)*Z111</f>
        <v>6874.59</v>
      </c>
      <c r="AU111" s="9" t="n">
        <f aca="false">(AR111+AS111+AT111)*BA111</f>
        <v>218403496.672667</v>
      </c>
      <c r="AV111" s="9" t="n">
        <f aca="false">IF(P111=0,0,AM111*AR111/P111)</f>
        <v>0</v>
      </c>
      <c r="AW111" s="9" t="n">
        <f aca="false">IF(P111=0,0,AM111*AS111/P111)</f>
        <v>0</v>
      </c>
      <c r="AX111" s="9" t="n">
        <f aca="false">IF(P111=0,0,AM111*AT111/P111)</f>
        <v>221837700.473361</v>
      </c>
      <c r="AY111" s="9" t="n">
        <f aca="false">AH111-AU111</f>
        <v>0</v>
      </c>
      <c r="AZ111" s="9" t="n">
        <f aca="false">IF(M111&gt;0,P111*AG111,0)</f>
        <v>218400017.181009</v>
      </c>
      <c r="BA111" s="9" t="n">
        <f aca="false">IF(P111=0,0,AH111/P111)</f>
        <v>31769.6759621544</v>
      </c>
      <c r="BB111" s="74" t="s">
        <v>246</v>
      </c>
      <c r="BC111" s="13" t="n">
        <f aca="false">SUMIFS('MA Engine'!$W$6:$W$1110,'MA Engine'!$B$6:$B$1110,$A111,'MA Engine'!$H$6:$H$1110,7,'MA Engine'!$I$6:$I$1110,"DO")</f>
        <v>0</v>
      </c>
      <c r="BD111" s="14" t="n">
        <f aca="false">MIN(MAX(0,H111),J111)</f>
        <v>0</v>
      </c>
      <c r="BE111" s="14" t="n">
        <f aca="false">J111-BD111</f>
        <v>0</v>
      </c>
      <c r="BF111" s="21" t="n">
        <f aca="false">IF(J111=0,0,BC111/J111)</f>
        <v>0</v>
      </c>
      <c r="BG111" s="13" t="n">
        <f aca="false">SUMIFS('MA Engine'!$AH$6:$AH$1110,'MA Engine'!$B$6:$B$1110,$A111,'MA Engine'!$H$6:$H$1110,7,'MA Engine'!$I$6:$I$1110,"DO")</f>
        <v>0</v>
      </c>
      <c r="BH111" s="13" t="n">
        <f aca="false">SUMIFS('MA Engine'!$AI$6:$AI$1110,'MA Engine'!$B$6:$B$1110,$A111,'MA Engine'!$H$6:$H$1110,7,'MA Engine'!$I$6:$I$1110,"DO")+SUMIFS('MA Engine'!$AJ$6:$AJ$1110,'MA Engine'!$B$6:$B$1110,$A111,'MA Engine'!$H$6:$H$1110,7,'MA Engine'!$I$6:$I$1110,"DO")</f>
        <v>0</v>
      </c>
      <c r="BI111" s="7" t="n">
        <f aca="false">IF(H111&gt;0,SUMIFS('MA Engine'!$L$6:$L$1110,'MA Engine'!$B$6:$B$1110,$A111,'MA Engine'!$I$6:$I$1110,"Opening")/H111,0)</f>
        <v>0</v>
      </c>
      <c r="BJ111" s="9" t="n">
        <f aca="false">IF(I111&gt;0,AD111/I111,BI111)</f>
        <v>0</v>
      </c>
      <c r="BK111" s="7" t="n">
        <f aca="false">SUMIFS('MA Engine'!$X$6:$X$1110,'MA Engine'!$B$6:$B$1110,$A111,'MA Engine'!$H$6:$H$1110,7,'MA Engine'!$I$6:$I$1110,"DO")</f>
        <v>0</v>
      </c>
      <c r="BL111" s="7" t="n">
        <f aca="false">SUMIFS('MA Engine'!$AK$6:$AK$1110,'MA Engine'!$B$6:$B$1110,$A111,'MA Engine'!$H$6:$H$1110,7,'MA Engine'!$I$6:$I$1110,"DO")</f>
        <v>0</v>
      </c>
      <c r="BM111" s="7" t="n">
        <f aca="false">SUMIFS('MA Engine'!$AL$6:$AL$1110,'MA Engine'!$B$6:$B$1110,$A111,'MA Engine'!$H$6:$H$1110,7,'MA Engine'!$I$6:$I$1110,"DO")+SUMIFS('MA Engine'!$AM$6:$AM$1110,'MA Engine'!$B$6:$B$1110,$A111,'MA Engine'!$H$6:$H$1110,7,'MA Engine'!$I$6:$I$1110,"DO")</f>
        <v>0</v>
      </c>
      <c r="BN111" s="9" t="n">
        <f aca="false">BK111-BL111-BM111</f>
        <v>0</v>
      </c>
      <c r="BO111" s="7" t="n">
        <f aca="false">IF(BC111=0,0,SUMIFS('Data SKU'!$G$5:$G$116,'Data SKU'!$A$5:$A$116,$C111,'Data SKU'!$B$5:$B$116,$D111,'Data SKU'!$C$5:$C$116,$E111,'Data SKU'!$D$5:$D$116,7,'Data SKU'!$N$5:$N$116,"Invoiced")/SUMIFS($BC$36:$BC$127,$C$36:$C$127,$C111,$D$36:$D$127,$D111,$E$36:$E$127,$E111)*BC111)</f>
        <v>0</v>
      </c>
      <c r="BP111" s="9" t="n">
        <f aca="false">IF(BC111=0,0,BO111*BG111/BC111)</f>
        <v>0</v>
      </c>
      <c r="BQ111" s="9" t="n">
        <f aca="false">IF(BC111=0,0,BO111*BH111/BC111)</f>
        <v>0</v>
      </c>
    </row>
    <row r="112" customFormat="false" ht="15" hidden="false" customHeight="false" outlineLevel="0" collapsed="false">
      <c r="A112" s="74" t="s">
        <v>1024</v>
      </c>
      <c r="B112" s="53" t="str">
        <f aca="false">INDEX(I_Items!$B$5:$B$133,MATCH($A112,I_Items!$A$5:$A$133,0))&amp;""</f>
        <v>Karkas Uk 0.9</v>
      </c>
      <c r="C112" s="53" t="str">
        <f aca="false">INDEX(I_Items!$C$5:$C$133,MATCH($A112,I_Items!$A$5:$A$133,0))&amp;""</f>
        <v>Trading</v>
      </c>
      <c r="D112" s="53" t="str">
        <f aca="false">INDEX(I_Items!$D$5:$D$133,MATCH($A112,I_Items!$A$5:$A$133,0))&amp;""</f>
        <v>Karkas</v>
      </c>
      <c r="E112" s="53" t="str">
        <f aca="false">INDEX(I_Items!$F$5:$F$133,MATCH($A112,I_Items!$A$5:$A$133,0))&amp;""</f>
        <v>Not stated in item master</v>
      </c>
      <c r="F112" s="53" t="str">
        <f aca="false">INDEX(I_Items!$E$5:$E$133,MATCH($A112,I_Items!$A$5:$A$133,0))&amp;""</f>
        <v>Uk 0.9</v>
      </c>
      <c r="G112" s="6" t="str">
        <f aca="false">IF(P112=0,"-",IF(M112=0,"A",IF(K112&lt;=0,"C","B")))</f>
        <v>B</v>
      </c>
      <c r="H112" s="13" t="n">
        <f aca="false">SUMIFS('MA Engine'!$K$6:$K$1110,'MA Engine'!$B$6:$B$1110,$A112,'MA Engine'!$I$6:$I$1110,"Opening")</f>
        <v>8397.27</v>
      </c>
      <c r="I112" s="13" t="n">
        <f aca="false">SUMIFS('MA Engine'!$K$6:$K$1110,'MA Engine'!$B$6:$B$1110,$A112,'MA Engine'!$H$6:$H$1110,7,'MA Engine'!$I$6:$I$1110,"&lt;&gt;Opening")</f>
        <v>31578.83</v>
      </c>
      <c r="J112" s="13" t="n">
        <f aca="false">SUMIFS('MA Engine'!$W$6:$W$1110,'MA Engine'!$B$6:$B$1110,$A112,'MA Engine'!$H$6:$H$1110,7)</f>
        <v>563.09</v>
      </c>
      <c r="K112" s="14" t="n">
        <f aca="false">H112+I112-J112</f>
        <v>39413.01</v>
      </c>
      <c r="L112" s="7" t="n">
        <f aca="false">SUMIFS('MA Engine'!$L$6:$L$1110,'MA Engine'!$B$6:$B$1110,$A112,'MA Engine'!$I$6:$I$1110,"Opening")+SUMIFS('MA Engine'!$L$6:$L$1110,'MA Engine'!$B$6:$B$1110,$A112,'MA Engine'!$H$6:$H$1110,7,'MA Engine'!$I$6:$I$1110,"&lt;&gt;Opening")-SUMIFS('MA Engine'!$X$6:$X$1110,'MA Engine'!$B$6:$B$1110,$A112,'MA Engine'!$H$6:$H$1110,7)</f>
        <v>1126728916.29795</v>
      </c>
      <c r="M112" s="13" t="n">
        <f aca="false">SUMIFS('MA Engine'!$K$6:$K$1110,'MA Engine'!$B$6:$B$1110,$A112,'MA Engine'!$H$6:$H$1110,8)</f>
        <v>9802.41</v>
      </c>
      <c r="N112" s="7" t="n">
        <f aca="false">SUMIFS('MA Engine'!$L$6:$L$1110,'MA Engine'!$B$6:$B$1110,$A112,'MA Engine'!$H$6:$H$1110,8)</f>
        <v>313953947.84</v>
      </c>
      <c r="O112" s="13" t="n">
        <f aca="false">SUMIFS('MA Engine'!$W$6:$W$1110,'MA Engine'!$B$6:$B$1110,$A112,'MA Engine'!$H$6:$H$1110,8)</f>
        <v>40642.24</v>
      </c>
      <c r="P112" s="14" t="n">
        <f aca="false">Q112+R112</f>
        <v>40642.24</v>
      </c>
      <c r="Q112" s="13" t="n">
        <f aca="false">SUMIFS('MA Engine'!$W$6:$W$1110,'MA Engine'!$B$6:$B$1110,$A112,'MA Engine'!$H$6:$H$1110,8,'MA Engine'!$I$6:$I$1110,"DO",'MA Engine'!$P$6:$P$1110,"&lt;&gt;Y")</f>
        <v>40642.24</v>
      </c>
      <c r="R112" s="13" t="n">
        <f aca="false">SUMIFS('MA Engine'!$W$6:$W$1110,'MA Engine'!$B$6:$B$1110,$A112,'MA Engine'!$H$6:$H$1110,8,'MA Engine'!$I$6:$I$1110,"Unbilled")</f>
        <v>0</v>
      </c>
      <c r="S112" s="13" t="n">
        <f aca="false">SUMIFS('MA Engine'!$W$6:$W$1110,'MA Engine'!$B$6:$B$1110,$A112,'MA Engine'!$H$6:$H$1110,8,'MA Engine'!$P$6:$P$1110,"Y")</f>
        <v>0</v>
      </c>
      <c r="T112" s="14" t="n">
        <f aca="false">O112-P112-S112</f>
        <v>0</v>
      </c>
      <c r="U112" s="14" t="n">
        <f aca="false">MAX(0,H112-J112)</f>
        <v>7834.18</v>
      </c>
      <c r="V112" s="14" t="n">
        <f aca="false">MAX(0,K112-U112)</f>
        <v>31578.83</v>
      </c>
      <c r="W112" s="14" t="n">
        <f aca="false">MIN(U112,O112)</f>
        <v>7834.18</v>
      </c>
      <c r="X112" s="14" t="n">
        <f aca="false">MIN(V112,O112-W112)</f>
        <v>31578.83</v>
      </c>
      <c r="Y112" s="14" t="n">
        <f aca="false">O112-W112-X112</f>
        <v>1229.22999999999</v>
      </c>
      <c r="Z112" s="21" t="n">
        <f aca="false">IF(O112=0,0,P112/O112)</f>
        <v>1</v>
      </c>
      <c r="AA112" s="13" t="n">
        <f aca="false">SUMIFS('MA Engine'!$AH$6:$AH$1110,'MA Engine'!$B$6:$B$1110,$A112,'MA Engine'!$H$6:$H$1110,8,'MA Engine'!$I$6:$I$1110,"DO",'MA Engine'!$P$6:$P$1110,"&lt;&gt;Y")+SUMIFS('MA Engine'!$AH$6:$AH$1110,'MA Engine'!$B$6:$B$1110,$A112,'MA Engine'!$H$6:$H$1110,8,'MA Engine'!$I$6:$I$1110,"Unbilled")</f>
        <v>7834.18</v>
      </c>
      <c r="AB112" s="13" t="n">
        <f aca="false">SUMIFS('MA Engine'!$AI$6:$AI$1110,'MA Engine'!$B$6:$B$1110,$A112,'MA Engine'!$H$6:$H$1110,8,'MA Engine'!$I$6:$I$1110,"DO",'MA Engine'!$P$6:$P$1110,"&lt;&gt;Y")+SUMIFS('MA Engine'!$AI$6:$AI$1110,'MA Engine'!$B$6:$B$1110,$A112,'MA Engine'!$H$6:$H$1110,8,'MA Engine'!$I$6:$I$1110,"Unbilled")</f>
        <v>31578.83</v>
      </c>
      <c r="AC112" s="13" t="n">
        <f aca="false">SUMIFS('MA Engine'!$AJ$6:$AJ$1110,'MA Engine'!$B$6:$B$1110,$A112,'MA Engine'!$H$6:$H$1110,8,'MA Engine'!$I$6:$I$1110,"DO",'MA Engine'!$P$6:$P$1110,"&lt;&gt;Y")+SUMIFS('MA Engine'!$AJ$6:$AJ$1110,'MA Engine'!$B$6:$B$1110,$A112,'MA Engine'!$H$6:$H$1110,8,'MA Engine'!$I$6:$I$1110,"Unbilled")</f>
        <v>1229.23</v>
      </c>
      <c r="AD112" s="7" t="n">
        <f aca="false">SUMIFS('MA Engine'!$L$6:$L$1110,'MA Engine'!$B$6:$B$1110,$A112,'MA Engine'!$H$6:$H$1110,7,'MA Engine'!$I$6:$I$1110,"&lt;&gt;Opening")</f>
        <v>901599860</v>
      </c>
      <c r="AE112" s="9" t="n">
        <f aca="false">IF(AND(U112&gt;0.0001,(L112-V112*IF(I112&gt;0,AD112/I112,IF(K112&gt;0,L112/K112,0)))&lt;0),IF(K112&gt;0,L112/K112,0),IF(I112&gt;0,AD112/I112,IF(K112&gt;0,L112/K112,0)))</f>
        <v>28550.7683470224</v>
      </c>
      <c r="AF112" s="9" t="n">
        <f aca="false">IF(U112&lt;=0.0001,IF(K112&gt;0,L112/K112,0),IF((L112-V112*IF(I112&gt;0,AD112/I112,IF(K112&gt;0,L112/K112,0)))&lt;0,IF(K112&gt;0,L112/K112,0),(L112-V112*IF(I112&gt;0,AD112/I112,IF(K112&gt;0,L112/K112,0)))/U112))</f>
        <v>28736.7735101756</v>
      </c>
      <c r="AG112" s="9" t="n">
        <f aca="false">IF(M112&gt;0,N112/M112,IF(K112&gt;0,L112/K112,0))</f>
        <v>32028.2407938456</v>
      </c>
      <c r="AH112" s="7" t="n">
        <f aca="false">SUMIFS('MA Engine'!$X$6:$X$1110,'MA Engine'!$B$6:$B$1110,$A112,'MA Engine'!$H$6:$H$1110,8,'MA Engine'!$I$6:$I$1110,"DO",'MA Engine'!$P$6:$P$1110,"&lt;&gt;Y")+SUMIFS('MA Engine'!$X$6:$X$1110,'MA Engine'!$B$6:$B$1110,$A112,'MA Engine'!$H$6:$H$1110,8,'MA Engine'!$I$6:$I$1110,"Unbilled")</f>
        <v>1187428820.25893</v>
      </c>
      <c r="AI112" s="7" t="n">
        <f aca="false">SUMIFS('MA Engine'!$AK$6:$AK$1110,'MA Engine'!$B$6:$B$1110,$A112,'MA Engine'!$H$6:$H$1110,8,'MA Engine'!$I$6:$I$1110,"DO",'MA Engine'!$P$6:$P$1110,"&lt;&gt;Y")+SUMIFS('MA Engine'!$AK$6:$AK$1110,'MA Engine'!$B$6:$B$1110,$A112,'MA Engine'!$H$6:$H$1110,8,'MA Engine'!$I$6:$I$1110,"Unbilled")</f>
        <v>224043890.823052</v>
      </c>
      <c r="AJ112" s="7" t="n">
        <f aca="false">SUMIFS('MA Engine'!$AL$6:$AL$1110,'MA Engine'!$B$6:$B$1110,$A112,'MA Engine'!$H$6:$H$1110,8,'MA Engine'!$I$6:$I$1110,"DO",'MA Engine'!$P$6:$P$1110,"&lt;&gt;Y")+SUMIFS('MA Engine'!$AL$6:$AL$1110,'MA Engine'!$B$6:$B$1110,$A112,'MA Engine'!$H$6:$H$1110,8,'MA Engine'!$I$6:$I$1110,"Unbilled")</f>
        <v>927073144.502236</v>
      </c>
      <c r="AK112" s="7" t="n">
        <f aca="false">SUMIFS('MA Engine'!$AM$6:$AM$1110,'MA Engine'!$B$6:$B$1110,$A112,'MA Engine'!$H$6:$H$1110,8,'MA Engine'!$I$6:$I$1110,"DO",'MA Engine'!$P$6:$P$1110,"&lt;&gt;Y")+SUMIFS('MA Engine'!$AM$6:$AM$1110,'MA Engine'!$B$6:$B$1110,$A112,'MA Engine'!$H$6:$H$1110,8,'MA Engine'!$I$6:$I$1110,"Unbilled")</f>
        <v>36311784.9336423</v>
      </c>
      <c r="AL112" s="9" t="n">
        <f aca="false">AH112-AI112-AJ112-AK112</f>
        <v>0</v>
      </c>
      <c r="AM112" s="7" t="n">
        <f aca="false">IF(Q112=0,0,IF($D112="Karkas",SUMIFS('Karkas Detail'!$E$6:$E$42,'Karkas Detail'!$A$6:$A$42,$C112,'Karkas Detail'!$B$6:$B$42,$F112,'Karkas Detail'!$C$6:$C$42,$E112)/SUMIFS($Q$36:$Q$127,$C$36:$C$127,$C112,$D$36:$D$127,"Karkas",$F$36:$F$127,$F112,$E$36:$E$127,$E112),SUMIFS('Data SKU'!$G$5:$G$116,'Data SKU'!$A$5:$A$116,$C112,'Data SKU'!$B$5:$B$116,$D112,'Data SKU'!$C$5:$C$116,$E112,'Data SKU'!$D$5:$D$116,8,'Data SKU'!$N$5:$N$116,"Invoiced")/SUMIFS($Q$36:$Q$127,$C$36:$C$127,$C112,$D$36:$D$127,$D112,$E$36:$E$127,$E112))*Q112)+SUMIFS(Unbilled!$U$22:$U$38,Unbilled!$E$22:$E$38,$A112)</f>
        <v>1289275669</v>
      </c>
      <c r="AN112" s="9" t="n">
        <f aca="false">IF(P112=0,0,AM112*AA112/P112)</f>
        <v>248520201.164267</v>
      </c>
      <c r="AO112" s="9" t="n">
        <f aca="false">IF(P112=0,0,AM112*AB112/P112)</f>
        <v>1001761152.30084</v>
      </c>
      <c r="AP112" s="9" t="n">
        <f aca="false">IF(P112=0,0,AM112*AC112/P112)</f>
        <v>38994315.5348934</v>
      </c>
      <c r="AQ112" s="14" t="n">
        <f aca="false">MIN(U112+V112,MAX(0,O112-M112))</f>
        <v>30839.83</v>
      </c>
      <c r="AR112" s="14" t="n">
        <f aca="false">MAX(0,AQ112-V112)*Z112</f>
        <v>0</v>
      </c>
      <c r="AS112" s="14" t="n">
        <f aca="false">MIN(V112,AQ112)*Z112</f>
        <v>30839.83</v>
      </c>
      <c r="AT112" s="14" t="n">
        <f aca="false">(O112-AQ112)*Z112</f>
        <v>9802.41</v>
      </c>
      <c r="AU112" s="9" t="n">
        <f aca="false">(AR112+AS112+AT112)*BA112</f>
        <v>1187428820.25893</v>
      </c>
      <c r="AV112" s="9" t="n">
        <f aca="false">IF(P112=0,0,AM112*AR112/P112)</f>
        <v>0</v>
      </c>
      <c r="AW112" s="9" t="n">
        <f aca="false">IF(P112=0,0,AM112*AS112/P112)</f>
        <v>978318184.605383</v>
      </c>
      <c r="AX112" s="9" t="n">
        <f aca="false">IF(P112=0,0,AM112*AT112/P112)</f>
        <v>310957484.394617</v>
      </c>
      <c r="AY112" s="9" t="n">
        <f aca="false">AH112-AU112</f>
        <v>0</v>
      </c>
      <c r="AZ112" s="9" t="n">
        <f aca="false">IF(M112&gt;0,P112*AG112,0)</f>
        <v>1301699449.12126</v>
      </c>
      <c r="BA112" s="9" t="n">
        <f aca="false">IF(P112=0,0,AH112/P112)</f>
        <v>29216.6184801559</v>
      </c>
      <c r="BB112" s="74" t="s">
        <v>246</v>
      </c>
      <c r="BC112" s="13" t="n">
        <f aca="false">SUMIFS('MA Engine'!$W$6:$W$1110,'MA Engine'!$B$6:$B$1110,$A112,'MA Engine'!$H$6:$H$1110,7,'MA Engine'!$I$6:$I$1110,"DO")</f>
        <v>563.09</v>
      </c>
      <c r="BD112" s="14" t="n">
        <f aca="false">MIN(MAX(0,H112),J112)</f>
        <v>563.09</v>
      </c>
      <c r="BE112" s="14" t="n">
        <f aca="false">J112-BD112</f>
        <v>0</v>
      </c>
      <c r="BF112" s="21" t="n">
        <f aca="false">IF(J112=0,0,BC112/J112)</f>
        <v>1</v>
      </c>
      <c r="BG112" s="13" t="n">
        <f aca="false">SUMIFS('MA Engine'!$AH$6:$AH$1110,'MA Engine'!$B$6:$B$1110,$A112,'MA Engine'!$H$6:$H$1110,7,'MA Engine'!$I$6:$I$1110,"DO")</f>
        <v>563.09</v>
      </c>
      <c r="BH112" s="13" t="n">
        <f aca="false">SUMIFS('MA Engine'!$AI$6:$AI$1110,'MA Engine'!$B$6:$B$1110,$A112,'MA Engine'!$H$6:$H$1110,7,'MA Engine'!$I$6:$I$1110,"DO")+SUMIFS('MA Engine'!$AJ$6:$AJ$1110,'MA Engine'!$B$6:$B$1110,$A112,'MA Engine'!$H$6:$H$1110,7,'MA Engine'!$I$6:$I$1110,"DO")</f>
        <v>0</v>
      </c>
      <c r="BI112" s="7" t="n">
        <f aca="false">IF(H112&gt;0,SUMIFS('MA Engine'!$L$6:$L$1110,'MA Engine'!$B$6:$B$1110,$A112,'MA Engine'!$I$6:$I$1110,"Opening")/H112,0)</f>
        <v>28701.2818856605</v>
      </c>
      <c r="BJ112" s="9" t="n">
        <f aca="false">IF(I112&gt;0,AD112/I112,BI112)</f>
        <v>28550.7683470224</v>
      </c>
      <c r="BK112" s="7" t="n">
        <f aca="false">SUMIFS('MA Engine'!$X$6:$X$1110,'MA Engine'!$B$6:$B$1110,$A112,'MA Engine'!$H$6:$H$1110,7,'MA Engine'!$I$6:$I$1110,"DO")</f>
        <v>15883357.0420521</v>
      </c>
      <c r="BL112" s="7" t="n">
        <f aca="false">SUMIFS('MA Engine'!$AK$6:$AK$1110,'MA Engine'!$B$6:$B$1110,$A112,'MA Engine'!$H$6:$H$1110,7,'MA Engine'!$I$6:$I$1110,"DO")</f>
        <v>15883357.0420521</v>
      </c>
      <c r="BM112" s="7" t="n">
        <f aca="false">SUMIFS('MA Engine'!$AL$6:$AL$1110,'MA Engine'!$B$6:$B$1110,$A112,'MA Engine'!$H$6:$H$1110,7,'MA Engine'!$I$6:$I$1110,"DO")+SUMIFS('MA Engine'!$AM$6:$AM$1110,'MA Engine'!$B$6:$B$1110,$A112,'MA Engine'!$H$6:$H$1110,7,'MA Engine'!$I$6:$I$1110,"DO")</f>
        <v>0</v>
      </c>
      <c r="BN112" s="9" t="n">
        <f aca="false">BK112-BL112-BM112</f>
        <v>0</v>
      </c>
      <c r="BO112" s="7" t="n">
        <f aca="false">IF(BC112=0,0,SUMIFS('Data SKU'!$G$5:$G$116,'Data SKU'!$A$5:$A$116,$C112,'Data SKU'!$B$5:$B$116,$D112,'Data SKU'!$C$5:$C$116,$E112,'Data SKU'!$D$5:$D$116,7,'Data SKU'!$N$5:$N$116,"Invoiced")/SUMIFS($BC$36:$BC$127,$C$36:$C$127,$C112,$D$36:$D$127,$D112,$E$36:$E$127,$E112)*BC112)</f>
        <v>15458452.7995148</v>
      </c>
      <c r="BP112" s="9" t="n">
        <f aca="false">IF(BC112=0,0,BO112*BG112/BC112)</f>
        <v>15458452.7995148</v>
      </c>
      <c r="BQ112" s="9" t="n">
        <f aca="false">IF(BC112=0,0,BO112*BH112/BC112)</f>
        <v>0</v>
      </c>
    </row>
    <row r="113" customFormat="false" ht="15" hidden="false" customHeight="false" outlineLevel="0" collapsed="false">
      <c r="A113" s="74" t="s">
        <v>1025</v>
      </c>
      <c r="B113" s="53" t="str">
        <f aca="false">INDEX(I_Items!$B$5:$B$133,MATCH($A113,I_Items!$A$5:$A$133,0))&amp;""</f>
        <v>Karkas Uk 1.0</v>
      </c>
      <c r="C113" s="53" t="str">
        <f aca="false">INDEX(I_Items!$C$5:$C$133,MATCH($A113,I_Items!$A$5:$A$133,0))&amp;""</f>
        <v>Trading</v>
      </c>
      <c r="D113" s="53" t="str">
        <f aca="false">INDEX(I_Items!$D$5:$D$133,MATCH($A113,I_Items!$A$5:$A$133,0))&amp;""</f>
        <v>Karkas</v>
      </c>
      <c r="E113" s="53" t="str">
        <f aca="false">INDEX(I_Items!$F$5:$F$133,MATCH($A113,I_Items!$A$5:$A$133,0))&amp;""</f>
        <v>Not stated in item master</v>
      </c>
      <c r="F113" s="53" t="str">
        <f aca="false">INDEX(I_Items!$E$5:$E$133,MATCH($A113,I_Items!$A$5:$A$133,0))&amp;""</f>
        <v>Uk 1.0</v>
      </c>
      <c r="G113" s="6" t="str">
        <f aca="false">IF(P113=0,"-",IF(M113=0,"A",IF(K113&lt;=0,"C","B")))</f>
        <v>C</v>
      </c>
      <c r="H113" s="13" t="n">
        <f aca="false">SUMIFS('MA Engine'!$K$6:$K$1110,'MA Engine'!$B$6:$B$1110,$A113,'MA Engine'!$I$6:$I$1110,"Opening")</f>
        <v>4102.05</v>
      </c>
      <c r="I113" s="13" t="n">
        <f aca="false">SUMIFS('MA Engine'!$K$6:$K$1110,'MA Engine'!$B$6:$B$1110,$A113,'MA Engine'!$H$6:$H$1110,7,'MA Engine'!$I$6:$I$1110,"&lt;&gt;Opening")</f>
        <v>0</v>
      </c>
      <c r="J113" s="13" t="n">
        <f aca="false">SUMIFS('MA Engine'!$W$6:$W$1110,'MA Engine'!$B$6:$B$1110,$A113,'MA Engine'!$H$6:$H$1110,7)</f>
        <v>4102.05</v>
      </c>
      <c r="K113" s="14" t="n">
        <f aca="false">H113+I113-J113</f>
        <v>0</v>
      </c>
      <c r="L113" s="7" t="n">
        <f aca="false">SUMIFS('MA Engine'!$L$6:$L$1110,'MA Engine'!$B$6:$B$1110,$A113,'MA Engine'!$I$6:$I$1110,"Opening")+SUMIFS('MA Engine'!$L$6:$L$1110,'MA Engine'!$B$6:$B$1110,$A113,'MA Engine'!$H$6:$H$1110,7,'MA Engine'!$I$6:$I$1110,"&lt;&gt;Opening")-SUMIFS('MA Engine'!$X$6:$X$1110,'MA Engine'!$B$6:$B$1110,$A113,'MA Engine'!$H$6:$H$1110,7)</f>
        <v>0</v>
      </c>
      <c r="M113" s="13" t="n">
        <f aca="false">SUMIFS('MA Engine'!$K$6:$K$1110,'MA Engine'!$B$6:$B$1110,$A113,'MA Engine'!$H$6:$H$1110,8)</f>
        <v>9552.69</v>
      </c>
      <c r="N113" s="7" t="n">
        <f aca="false">SUMIFS('MA Engine'!$L$6:$L$1110,'MA Engine'!$B$6:$B$1110,$A113,'MA Engine'!$H$6:$H$1110,8)</f>
        <v>305906930.78</v>
      </c>
      <c r="O113" s="13" t="n">
        <f aca="false">SUMIFS('MA Engine'!$W$6:$W$1110,'MA Engine'!$B$6:$B$1110,$A113,'MA Engine'!$H$6:$H$1110,8)</f>
        <v>9454.39</v>
      </c>
      <c r="P113" s="14" t="n">
        <f aca="false">Q113+R113</f>
        <v>9454.39</v>
      </c>
      <c r="Q113" s="13" t="n">
        <f aca="false">SUMIFS('MA Engine'!$W$6:$W$1110,'MA Engine'!$B$6:$B$1110,$A113,'MA Engine'!$H$6:$H$1110,8,'MA Engine'!$I$6:$I$1110,"DO",'MA Engine'!$P$6:$P$1110,"&lt;&gt;Y")</f>
        <v>8666.29</v>
      </c>
      <c r="R113" s="13" t="n">
        <f aca="false">SUMIFS('MA Engine'!$W$6:$W$1110,'MA Engine'!$B$6:$B$1110,$A113,'MA Engine'!$H$6:$H$1110,8,'MA Engine'!$I$6:$I$1110,"Unbilled")</f>
        <v>788.1</v>
      </c>
      <c r="S113" s="13" t="n">
        <f aca="false">SUMIFS('MA Engine'!$W$6:$W$1110,'MA Engine'!$B$6:$B$1110,$A113,'MA Engine'!$H$6:$H$1110,8,'MA Engine'!$P$6:$P$1110,"Y")</f>
        <v>0</v>
      </c>
      <c r="T113" s="14" t="n">
        <f aca="false">O113-P113-S113</f>
        <v>0</v>
      </c>
      <c r="U113" s="14" t="n">
        <f aca="false">MAX(0,H113-J113)</f>
        <v>0</v>
      </c>
      <c r="V113" s="14" t="n">
        <f aca="false">MAX(0,K113-U113)</f>
        <v>0</v>
      </c>
      <c r="W113" s="14" t="n">
        <f aca="false">MIN(U113,O113)</f>
        <v>0</v>
      </c>
      <c r="X113" s="14" t="n">
        <f aca="false">MIN(V113,O113-W113)</f>
        <v>0</v>
      </c>
      <c r="Y113" s="14" t="n">
        <f aca="false">O113-W113-X113</f>
        <v>9454.39</v>
      </c>
      <c r="Z113" s="21" t="n">
        <f aca="false">IF(O113=0,0,P113/O113)</f>
        <v>1</v>
      </c>
      <c r="AA113" s="13" t="n">
        <f aca="false">SUMIFS('MA Engine'!$AH$6:$AH$1110,'MA Engine'!$B$6:$B$1110,$A113,'MA Engine'!$H$6:$H$1110,8,'MA Engine'!$I$6:$I$1110,"DO",'MA Engine'!$P$6:$P$1110,"&lt;&gt;Y")+SUMIFS('MA Engine'!$AH$6:$AH$1110,'MA Engine'!$B$6:$B$1110,$A113,'MA Engine'!$H$6:$H$1110,8,'MA Engine'!$I$6:$I$1110,"Unbilled")</f>
        <v>0</v>
      </c>
      <c r="AB113" s="13" t="n">
        <f aca="false">SUMIFS('MA Engine'!$AI$6:$AI$1110,'MA Engine'!$B$6:$B$1110,$A113,'MA Engine'!$H$6:$H$1110,8,'MA Engine'!$I$6:$I$1110,"DO",'MA Engine'!$P$6:$P$1110,"&lt;&gt;Y")+SUMIFS('MA Engine'!$AI$6:$AI$1110,'MA Engine'!$B$6:$B$1110,$A113,'MA Engine'!$H$6:$H$1110,8,'MA Engine'!$I$6:$I$1110,"Unbilled")</f>
        <v>0</v>
      </c>
      <c r="AC113" s="13" t="n">
        <f aca="false">SUMIFS('MA Engine'!$AJ$6:$AJ$1110,'MA Engine'!$B$6:$B$1110,$A113,'MA Engine'!$H$6:$H$1110,8,'MA Engine'!$I$6:$I$1110,"DO",'MA Engine'!$P$6:$P$1110,"&lt;&gt;Y")+SUMIFS('MA Engine'!$AJ$6:$AJ$1110,'MA Engine'!$B$6:$B$1110,$A113,'MA Engine'!$H$6:$H$1110,8,'MA Engine'!$I$6:$I$1110,"Unbilled")</f>
        <v>9454.39</v>
      </c>
      <c r="AD113" s="7" t="n">
        <f aca="false">SUMIFS('MA Engine'!$L$6:$L$1110,'MA Engine'!$B$6:$B$1110,$A113,'MA Engine'!$H$6:$H$1110,7,'MA Engine'!$I$6:$I$1110,"&lt;&gt;Opening")</f>
        <v>0</v>
      </c>
      <c r="AE113" s="9" t="n">
        <f aca="false">IF(AND(U113&gt;0.0001,(L113-V113*IF(I113&gt;0,AD113/I113,IF(K113&gt;0,L113/K113,0)))&lt;0),IF(K113&gt;0,L113/K113,0),IF(I113&gt;0,AD113/I113,IF(K113&gt;0,L113/K113,0)))</f>
        <v>0</v>
      </c>
      <c r="AF113" s="9" t="n">
        <f aca="false">IF(U113&lt;=0.0001,IF(K113&gt;0,L113/K113,0),IF((L113-V113*IF(I113&gt;0,AD113/I113,IF(K113&gt;0,L113/K113,0)))&lt;0,IF(K113&gt;0,L113/K113,0),(L113-V113*IF(I113&gt;0,AD113/I113,IF(K113&gt;0,L113/K113,0)))/U113))</f>
        <v>0</v>
      </c>
      <c r="AG113" s="9" t="n">
        <f aca="false">IF(M113&gt;0,N113/M113,IF(K113&gt;0,L113/K113,0))</f>
        <v>32023.1192240092</v>
      </c>
      <c r="AH113" s="7" t="n">
        <f aca="false">SUMIFS('MA Engine'!$X$6:$X$1110,'MA Engine'!$B$6:$B$1110,$A113,'MA Engine'!$H$6:$H$1110,8,'MA Engine'!$I$6:$I$1110,"DO",'MA Engine'!$P$6:$P$1110,"&lt;&gt;Y")+SUMIFS('MA Engine'!$X$6:$X$1110,'MA Engine'!$B$6:$B$1110,$A113,'MA Engine'!$H$6:$H$1110,8,'MA Engine'!$I$6:$I$1110,"Unbilled")</f>
        <v>304206059.81792</v>
      </c>
      <c r="AI113" s="7" t="n">
        <f aca="false">SUMIFS('MA Engine'!$AK$6:$AK$1110,'MA Engine'!$B$6:$B$1110,$A113,'MA Engine'!$H$6:$H$1110,8,'MA Engine'!$I$6:$I$1110,"DO",'MA Engine'!$P$6:$P$1110,"&lt;&gt;Y")+SUMIFS('MA Engine'!$AK$6:$AK$1110,'MA Engine'!$B$6:$B$1110,$A113,'MA Engine'!$H$6:$H$1110,8,'MA Engine'!$I$6:$I$1110,"Unbilled")</f>
        <v>0</v>
      </c>
      <c r="AJ113" s="7" t="n">
        <f aca="false">SUMIFS('MA Engine'!$AL$6:$AL$1110,'MA Engine'!$B$6:$B$1110,$A113,'MA Engine'!$H$6:$H$1110,8,'MA Engine'!$I$6:$I$1110,"DO",'MA Engine'!$P$6:$P$1110,"&lt;&gt;Y")+SUMIFS('MA Engine'!$AL$6:$AL$1110,'MA Engine'!$B$6:$B$1110,$A113,'MA Engine'!$H$6:$H$1110,8,'MA Engine'!$I$6:$I$1110,"Unbilled")</f>
        <v>0</v>
      </c>
      <c r="AK113" s="7" t="n">
        <f aca="false">SUMIFS('MA Engine'!$AM$6:$AM$1110,'MA Engine'!$B$6:$B$1110,$A113,'MA Engine'!$H$6:$H$1110,8,'MA Engine'!$I$6:$I$1110,"DO",'MA Engine'!$P$6:$P$1110,"&lt;&gt;Y")+SUMIFS('MA Engine'!$AM$6:$AM$1110,'MA Engine'!$B$6:$B$1110,$A113,'MA Engine'!$H$6:$H$1110,8,'MA Engine'!$I$6:$I$1110,"Unbilled")</f>
        <v>304206059.81792</v>
      </c>
      <c r="AL113" s="9" t="n">
        <f aca="false">AH113-AI113-AJ113-AK113</f>
        <v>0</v>
      </c>
      <c r="AM113" s="7" t="n">
        <f aca="false">IF(Q113=0,0,IF($D113="Karkas",SUMIFS('Karkas Detail'!$E$6:$E$42,'Karkas Detail'!$A$6:$A$42,$C113,'Karkas Detail'!$B$6:$B$42,$F113,'Karkas Detail'!$C$6:$C$42,$E113)/SUMIFS($Q$36:$Q$127,$C$36:$C$127,$C113,$D$36:$D$127,"Karkas",$F$36:$F$127,$F113,$E$36:$E$127,$E113),SUMIFS('Data SKU'!$G$5:$G$116,'Data SKU'!$A$5:$A$116,$C113,'Data SKU'!$B$5:$B$116,$D113,'Data SKU'!$C$5:$C$116,$E113,'Data SKU'!$D$5:$D$116,8,'Data SKU'!$N$5:$N$116,"Invoiced")/SUMIFS($Q$36:$Q$127,$C$36:$C$127,$C113,$D$36:$D$127,$D113,$E$36:$E$127,$E113))*Q113)+SUMIFS(Unbilled!$U$22:$U$38,Unbilled!$E$22:$E$38,$A113)</f>
        <v>292546596</v>
      </c>
      <c r="AN113" s="9" t="n">
        <f aca="false">IF(P113=0,0,AM113*AA113/P113)</f>
        <v>0</v>
      </c>
      <c r="AO113" s="9" t="n">
        <f aca="false">IF(P113=0,0,AM113*AB113/P113)</f>
        <v>0</v>
      </c>
      <c r="AP113" s="9" t="n">
        <f aca="false">IF(P113=0,0,AM113*AC113/P113)</f>
        <v>292546596</v>
      </c>
      <c r="AQ113" s="14" t="n">
        <f aca="false">MIN(U113+V113,MAX(0,O113-M113))</f>
        <v>0</v>
      </c>
      <c r="AR113" s="14" t="n">
        <f aca="false">MAX(0,AQ113-V113)*Z113</f>
        <v>0</v>
      </c>
      <c r="AS113" s="14" t="n">
        <f aca="false">MIN(V113,AQ113)*Z113</f>
        <v>0</v>
      </c>
      <c r="AT113" s="14" t="n">
        <f aca="false">(O113-AQ113)*Z113</f>
        <v>9454.39</v>
      </c>
      <c r="AU113" s="9" t="n">
        <f aca="false">(AR113+AS113+AT113)*BA113</f>
        <v>304206059.81792</v>
      </c>
      <c r="AV113" s="9" t="n">
        <f aca="false">IF(P113=0,0,AM113*AR113/P113)</f>
        <v>0</v>
      </c>
      <c r="AW113" s="9" t="n">
        <f aca="false">IF(P113=0,0,AM113*AS113/P113)</f>
        <v>0</v>
      </c>
      <c r="AX113" s="9" t="n">
        <f aca="false">IF(P113=0,0,AM113*AT113/P113)</f>
        <v>292546596</v>
      </c>
      <c r="AY113" s="9" t="n">
        <f aca="false">AH113-AU113</f>
        <v>0</v>
      </c>
      <c r="AZ113" s="9" t="n">
        <f aca="false">IF(M113&gt;0,P113*AG113,0)</f>
        <v>302759058.16028</v>
      </c>
      <c r="BA113" s="9" t="n">
        <f aca="false">IF(P113=0,0,AH113/P113)</f>
        <v>32176.1699927674</v>
      </c>
      <c r="BB113" s="74" t="s">
        <v>246</v>
      </c>
      <c r="BC113" s="13" t="n">
        <f aca="false">SUMIFS('MA Engine'!$W$6:$W$1110,'MA Engine'!$B$6:$B$1110,$A113,'MA Engine'!$H$6:$H$1110,7,'MA Engine'!$I$6:$I$1110,"DO")</f>
        <v>4102.05</v>
      </c>
      <c r="BD113" s="14" t="n">
        <f aca="false">MIN(MAX(0,H113),J113)</f>
        <v>4102.05</v>
      </c>
      <c r="BE113" s="14" t="n">
        <f aca="false">J113-BD113</f>
        <v>0</v>
      </c>
      <c r="BF113" s="21" t="n">
        <f aca="false">IF(J113=0,0,BC113/J113)</f>
        <v>1</v>
      </c>
      <c r="BG113" s="13" t="n">
        <f aca="false">SUMIFS('MA Engine'!$AH$6:$AH$1110,'MA Engine'!$B$6:$B$1110,$A113,'MA Engine'!$H$6:$H$1110,7,'MA Engine'!$I$6:$I$1110,"DO")</f>
        <v>4102.05</v>
      </c>
      <c r="BH113" s="13" t="n">
        <f aca="false">SUMIFS('MA Engine'!$AI$6:$AI$1110,'MA Engine'!$B$6:$B$1110,$A113,'MA Engine'!$H$6:$H$1110,7,'MA Engine'!$I$6:$I$1110,"DO")+SUMIFS('MA Engine'!$AJ$6:$AJ$1110,'MA Engine'!$B$6:$B$1110,$A113,'MA Engine'!$H$6:$H$1110,7,'MA Engine'!$I$6:$I$1110,"DO")</f>
        <v>0</v>
      </c>
      <c r="BI113" s="7" t="n">
        <f aca="false">IF(H113&gt;0,SUMIFS('MA Engine'!$L$6:$L$1110,'MA Engine'!$B$6:$B$1110,$A113,'MA Engine'!$I$6:$I$1110,"Opening")/H113,0)</f>
        <v>23000</v>
      </c>
      <c r="BJ113" s="9" t="n">
        <f aca="false">IF(I113&gt;0,AD113/I113,BI113)</f>
        <v>23000</v>
      </c>
      <c r="BK113" s="7" t="n">
        <f aca="false">SUMIFS('MA Engine'!$X$6:$X$1110,'MA Engine'!$B$6:$B$1110,$A113,'MA Engine'!$H$6:$H$1110,7,'MA Engine'!$I$6:$I$1110,"DO")</f>
        <v>94347150</v>
      </c>
      <c r="BL113" s="7" t="n">
        <f aca="false">SUMIFS('MA Engine'!$AK$6:$AK$1110,'MA Engine'!$B$6:$B$1110,$A113,'MA Engine'!$H$6:$H$1110,7,'MA Engine'!$I$6:$I$1110,"DO")</f>
        <v>94347150</v>
      </c>
      <c r="BM113" s="7" t="n">
        <f aca="false">SUMIFS('MA Engine'!$AL$6:$AL$1110,'MA Engine'!$B$6:$B$1110,$A113,'MA Engine'!$H$6:$H$1110,7,'MA Engine'!$I$6:$I$1110,"DO")+SUMIFS('MA Engine'!$AM$6:$AM$1110,'MA Engine'!$B$6:$B$1110,$A113,'MA Engine'!$H$6:$H$1110,7,'MA Engine'!$I$6:$I$1110,"DO")</f>
        <v>0</v>
      </c>
      <c r="BN113" s="9" t="n">
        <f aca="false">BK113-BL113-BM113</f>
        <v>0</v>
      </c>
      <c r="BO113" s="7" t="n">
        <f aca="false">IF(BC113=0,0,SUMIFS('Data SKU'!$G$5:$G$116,'Data SKU'!$A$5:$A$116,$C113,'Data SKU'!$B$5:$B$116,$D113,'Data SKU'!$C$5:$C$116,$E113,'Data SKU'!$D$5:$D$116,7,'Data SKU'!$N$5:$N$116,"Invoiced")/SUMIFS($BC$36:$BC$127,$C$36:$C$127,$C113,$D$36:$D$127,$D113,$E$36:$E$127,$E113)*BC113)</f>
        <v>112613163.626151</v>
      </c>
      <c r="BP113" s="9" t="n">
        <f aca="false">IF(BC113=0,0,BO113*BG113/BC113)</f>
        <v>112613163.626151</v>
      </c>
      <c r="BQ113" s="9" t="n">
        <f aca="false">IF(BC113=0,0,BO113*BH113/BC113)</f>
        <v>0</v>
      </c>
    </row>
    <row r="114" customFormat="false" ht="15" hidden="false" customHeight="false" outlineLevel="0" collapsed="false">
      <c r="A114" s="74" t="s">
        <v>1026</v>
      </c>
      <c r="B114" s="53" t="str">
        <f aca="false">INDEX(I_Items!$B$5:$B$133,MATCH($A114,I_Items!$A$5:$A$133,0))&amp;""</f>
        <v>Karkas Uk 1.1</v>
      </c>
      <c r="C114" s="53" t="str">
        <f aca="false">INDEX(I_Items!$C$5:$C$133,MATCH($A114,I_Items!$A$5:$A$133,0))&amp;""</f>
        <v>Trading</v>
      </c>
      <c r="D114" s="53" t="str">
        <f aca="false">INDEX(I_Items!$D$5:$D$133,MATCH($A114,I_Items!$A$5:$A$133,0))&amp;""</f>
        <v>Karkas</v>
      </c>
      <c r="E114" s="53" t="str">
        <f aca="false">INDEX(I_Items!$F$5:$F$133,MATCH($A114,I_Items!$A$5:$A$133,0))&amp;""</f>
        <v>Not stated in item master</v>
      </c>
      <c r="F114" s="53" t="str">
        <f aca="false">INDEX(I_Items!$E$5:$E$133,MATCH($A114,I_Items!$A$5:$A$133,0))&amp;""</f>
        <v>Uk 1.1</v>
      </c>
      <c r="G114" s="6" t="str">
        <f aca="false">IF(P114=0,"-",IF(M114=0,"A",IF(K114&lt;=0,"C","B")))</f>
        <v>C</v>
      </c>
      <c r="H114" s="13" t="n">
        <f aca="false">SUMIFS('MA Engine'!$K$6:$K$1110,'MA Engine'!$B$6:$B$1110,$A114,'MA Engine'!$I$6:$I$1110,"Opening")</f>
        <v>4272.62</v>
      </c>
      <c r="I114" s="13" t="n">
        <f aca="false">SUMIFS('MA Engine'!$K$6:$K$1110,'MA Engine'!$B$6:$B$1110,$A114,'MA Engine'!$H$6:$H$1110,7,'MA Engine'!$I$6:$I$1110,"&lt;&gt;Opening")</f>
        <v>0</v>
      </c>
      <c r="J114" s="13" t="n">
        <f aca="false">SUMIFS('MA Engine'!$W$6:$W$1110,'MA Engine'!$B$6:$B$1110,$A114,'MA Engine'!$H$6:$H$1110,7)</f>
        <v>4272.62</v>
      </c>
      <c r="K114" s="14" t="n">
        <f aca="false">H114+I114-J114</f>
        <v>0</v>
      </c>
      <c r="L114" s="7" t="n">
        <f aca="false">SUMIFS('MA Engine'!$L$6:$L$1110,'MA Engine'!$B$6:$B$1110,$A114,'MA Engine'!$I$6:$I$1110,"Opening")+SUMIFS('MA Engine'!$L$6:$L$1110,'MA Engine'!$B$6:$B$1110,$A114,'MA Engine'!$H$6:$H$1110,7,'MA Engine'!$I$6:$I$1110,"&lt;&gt;Opening")-SUMIFS('MA Engine'!$X$6:$X$1110,'MA Engine'!$B$6:$B$1110,$A114,'MA Engine'!$H$6:$H$1110,7)</f>
        <v>0</v>
      </c>
      <c r="M114" s="13" t="n">
        <f aca="false">SUMIFS('MA Engine'!$K$6:$K$1110,'MA Engine'!$B$6:$B$1110,$A114,'MA Engine'!$H$6:$H$1110,8)</f>
        <v>9321.4</v>
      </c>
      <c r="N114" s="7" t="n">
        <f aca="false">SUMIFS('MA Engine'!$L$6:$L$1110,'MA Engine'!$B$6:$B$1110,$A114,'MA Engine'!$H$6:$H$1110,8)</f>
        <v>299087950</v>
      </c>
      <c r="O114" s="13" t="n">
        <f aca="false">SUMIFS('MA Engine'!$W$6:$W$1110,'MA Engine'!$B$6:$B$1110,$A114,'MA Engine'!$H$6:$H$1110,8)</f>
        <v>9583.4</v>
      </c>
      <c r="P114" s="14" t="n">
        <f aca="false">Q114+R114</f>
        <v>9583.4</v>
      </c>
      <c r="Q114" s="13" t="n">
        <f aca="false">SUMIFS('MA Engine'!$W$6:$W$1110,'MA Engine'!$B$6:$B$1110,$A114,'MA Engine'!$H$6:$H$1110,8,'MA Engine'!$I$6:$I$1110,"DO",'MA Engine'!$P$6:$P$1110,"&lt;&gt;Y")</f>
        <v>6879.3</v>
      </c>
      <c r="R114" s="13" t="n">
        <f aca="false">SUMIFS('MA Engine'!$W$6:$W$1110,'MA Engine'!$B$6:$B$1110,$A114,'MA Engine'!$H$6:$H$1110,8,'MA Engine'!$I$6:$I$1110,"Unbilled")</f>
        <v>2704.1</v>
      </c>
      <c r="S114" s="13" t="n">
        <f aca="false">SUMIFS('MA Engine'!$W$6:$W$1110,'MA Engine'!$B$6:$B$1110,$A114,'MA Engine'!$H$6:$H$1110,8,'MA Engine'!$P$6:$P$1110,"Y")</f>
        <v>0</v>
      </c>
      <c r="T114" s="14" t="n">
        <f aca="false">O114-P114-S114</f>
        <v>0</v>
      </c>
      <c r="U114" s="14" t="n">
        <f aca="false">MAX(0,H114-J114)</f>
        <v>0</v>
      </c>
      <c r="V114" s="14" t="n">
        <f aca="false">MAX(0,K114-U114)</f>
        <v>0</v>
      </c>
      <c r="W114" s="14" t="n">
        <f aca="false">MIN(U114,O114)</f>
        <v>0</v>
      </c>
      <c r="X114" s="14" t="n">
        <f aca="false">MIN(V114,O114-W114)</f>
        <v>0</v>
      </c>
      <c r="Y114" s="14" t="n">
        <f aca="false">O114-W114-X114</f>
        <v>9583.4</v>
      </c>
      <c r="Z114" s="21" t="n">
        <f aca="false">IF(O114=0,0,P114/O114)</f>
        <v>1</v>
      </c>
      <c r="AA114" s="13" t="n">
        <f aca="false">SUMIFS('MA Engine'!$AH$6:$AH$1110,'MA Engine'!$B$6:$B$1110,$A114,'MA Engine'!$H$6:$H$1110,8,'MA Engine'!$I$6:$I$1110,"DO",'MA Engine'!$P$6:$P$1110,"&lt;&gt;Y")+SUMIFS('MA Engine'!$AH$6:$AH$1110,'MA Engine'!$B$6:$B$1110,$A114,'MA Engine'!$H$6:$H$1110,8,'MA Engine'!$I$6:$I$1110,"Unbilled")</f>
        <v>0</v>
      </c>
      <c r="AB114" s="13" t="n">
        <f aca="false">SUMIFS('MA Engine'!$AI$6:$AI$1110,'MA Engine'!$B$6:$B$1110,$A114,'MA Engine'!$H$6:$H$1110,8,'MA Engine'!$I$6:$I$1110,"DO",'MA Engine'!$P$6:$P$1110,"&lt;&gt;Y")+SUMIFS('MA Engine'!$AI$6:$AI$1110,'MA Engine'!$B$6:$B$1110,$A114,'MA Engine'!$H$6:$H$1110,8,'MA Engine'!$I$6:$I$1110,"Unbilled")</f>
        <v>0</v>
      </c>
      <c r="AC114" s="13" t="n">
        <f aca="false">SUMIFS('MA Engine'!$AJ$6:$AJ$1110,'MA Engine'!$B$6:$B$1110,$A114,'MA Engine'!$H$6:$H$1110,8,'MA Engine'!$I$6:$I$1110,"DO",'MA Engine'!$P$6:$P$1110,"&lt;&gt;Y")+SUMIFS('MA Engine'!$AJ$6:$AJ$1110,'MA Engine'!$B$6:$B$1110,$A114,'MA Engine'!$H$6:$H$1110,8,'MA Engine'!$I$6:$I$1110,"Unbilled")</f>
        <v>9583.4</v>
      </c>
      <c r="AD114" s="7" t="n">
        <f aca="false">SUMIFS('MA Engine'!$L$6:$L$1110,'MA Engine'!$B$6:$B$1110,$A114,'MA Engine'!$H$6:$H$1110,7,'MA Engine'!$I$6:$I$1110,"&lt;&gt;Opening")</f>
        <v>0</v>
      </c>
      <c r="AE114" s="9" t="n">
        <f aca="false">IF(AND(U114&gt;0.0001,(L114-V114*IF(I114&gt;0,AD114/I114,IF(K114&gt;0,L114/K114,0)))&lt;0),IF(K114&gt;0,L114/K114,0),IF(I114&gt;0,AD114/I114,IF(K114&gt;0,L114/K114,0)))</f>
        <v>0</v>
      </c>
      <c r="AF114" s="9" t="n">
        <f aca="false">IF(U114&lt;=0.0001,IF(K114&gt;0,L114/K114,0),IF((L114-V114*IF(I114&gt;0,AD114/I114,IF(K114&gt;0,L114/K114,0)))&lt;0,IF(K114&gt;0,L114/K114,0),(L114-V114*IF(I114&gt;0,AD114/I114,IF(K114&gt;0,L114/K114,0)))/U114))</f>
        <v>0</v>
      </c>
      <c r="AG114" s="9" t="n">
        <f aca="false">IF(M114&gt;0,N114/M114,IF(K114&gt;0,L114/K114,0))</f>
        <v>32086.1619499217</v>
      </c>
      <c r="AH114" s="7" t="n">
        <f aca="false">SUMIFS('MA Engine'!$X$6:$X$1110,'MA Engine'!$B$6:$B$1110,$A114,'MA Engine'!$H$6:$H$1110,8,'MA Engine'!$I$6:$I$1110,"DO",'MA Engine'!$P$6:$P$1110,"&lt;&gt;Y")+SUMIFS('MA Engine'!$X$6:$X$1110,'MA Engine'!$B$6:$B$1110,$A114,'MA Engine'!$H$6:$H$1110,8,'MA Engine'!$I$6:$I$1110,"Unbilled")</f>
        <v>307494524.43088</v>
      </c>
      <c r="AI114" s="7" t="n">
        <f aca="false">SUMIFS('MA Engine'!$AK$6:$AK$1110,'MA Engine'!$B$6:$B$1110,$A114,'MA Engine'!$H$6:$H$1110,8,'MA Engine'!$I$6:$I$1110,"DO",'MA Engine'!$P$6:$P$1110,"&lt;&gt;Y")+SUMIFS('MA Engine'!$AK$6:$AK$1110,'MA Engine'!$B$6:$B$1110,$A114,'MA Engine'!$H$6:$H$1110,8,'MA Engine'!$I$6:$I$1110,"Unbilled")</f>
        <v>0</v>
      </c>
      <c r="AJ114" s="7" t="n">
        <f aca="false">SUMIFS('MA Engine'!$AL$6:$AL$1110,'MA Engine'!$B$6:$B$1110,$A114,'MA Engine'!$H$6:$H$1110,8,'MA Engine'!$I$6:$I$1110,"DO",'MA Engine'!$P$6:$P$1110,"&lt;&gt;Y")+SUMIFS('MA Engine'!$AL$6:$AL$1110,'MA Engine'!$B$6:$B$1110,$A114,'MA Engine'!$H$6:$H$1110,8,'MA Engine'!$I$6:$I$1110,"Unbilled")</f>
        <v>0</v>
      </c>
      <c r="AK114" s="7" t="n">
        <f aca="false">SUMIFS('MA Engine'!$AM$6:$AM$1110,'MA Engine'!$B$6:$B$1110,$A114,'MA Engine'!$H$6:$H$1110,8,'MA Engine'!$I$6:$I$1110,"DO",'MA Engine'!$P$6:$P$1110,"&lt;&gt;Y")+SUMIFS('MA Engine'!$AM$6:$AM$1110,'MA Engine'!$B$6:$B$1110,$A114,'MA Engine'!$H$6:$H$1110,8,'MA Engine'!$I$6:$I$1110,"Unbilled")</f>
        <v>307494524.43088</v>
      </c>
      <c r="AL114" s="9" t="n">
        <f aca="false">AH114-AI114-AJ114-AK114</f>
        <v>0</v>
      </c>
      <c r="AM114" s="7" t="n">
        <f aca="false">IF(Q114=0,0,IF($D114="Karkas",SUMIFS('Karkas Detail'!$E$6:$E$42,'Karkas Detail'!$A$6:$A$42,$C114,'Karkas Detail'!$B$6:$B$42,$F114,'Karkas Detail'!$C$6:$C$42,$E114)/SUMIFS($Q$36:$Q$127,$C$36:$C$127,$C114,$D$36:$D$127,"Karkas",$F$36:$F$127,$F114,$E$36:$E$127,$E114),SUMIFS('Data SKU'!$G$5:$G$116,'Data SKU'!$A$5:$A$116,$C114,'Data SKU'!$B$5:$B$116,$D114,'Data SKU'!$C$5:$C$116,$E114,'Data SKU'!$D$5:$D$116,8,'Data SKU'!$N$5:$N$116,"Invoiced")/SUMIFS($Q$36:$Q$127,$C$36:$C$127,$C114,$D$36:$D$127,$D114,$E$36:$E$127,$E114))*Q114)+SUMIFS(Unbilled!$U$22:$U$38,Unbilled!$E$22:$E$38,$A114)</f>
        <v>298472586.097504</v>
      </c>
      <c r="AN114" s="9" t="n">
        <f aca="false">IF(P114=0,0,AM114*AA114/P114)</f>
        <v>0</v>
      </c>
      <c r="AO114" s="9" t="n">
        <f aca="false">IF(P114=0,0,AM114*AB114/P114)</f>
        <v>0</v>
      </c>
      <c r="AP114" s="9" t="n">
        <f aca="false">IF(P114=0,0,AM114*AC114/P114)</f>
        <v>298472586.097504</v>
      </c>
      <c r="AQ114" s="14" t="n">
        <f aca="false">MIN(U114+V114,MAX(0,O114-M114))</f>
        <v>0</v>
      </c>
      <c r="AR114" s="14" t="n">
        <f aca="false">MAX(0,AQ114-V114)*Z114</f>
        <v>0</v>
      </c>
      <c r="AS114" s="14" t="n">
        <f aca="false">MIN(V114,AQ114)*Z114</f>
        <v>0</v>
      </c>
      <c r="AT114" s="14" t="n">
        <f aca="false">(O114-AQ114)*Z114</f>
        <v>9583.4</v>
      </c>
      <c r="AU114" s="9" t="n">
        <f aca="false">(AR114+AS114+AT114)*BA114</f>
        <v>307494524.43088</v>
      </c>
      <c r="AV114" s="9" t="n">
        <f aca="false">IF(P114=0,0,AM114*AR114/P114)</f>
        <v>0</v>
      </c>
      <c r="AW114" s="9" t="n">
        <f aca="false">IF(P114=0,0,AM114*AS114/P114)</f>
        <v>0</v>
      </c>
      <c r="AX114" s="9" t="n">
        <f aca="false">IF(P114=0,0,AM114*AT114/P114)</f>
        <v>298472586.097504</v>
      </c>
      <c r="AY114" s="9" t="n">
        <f aca="false">AH114-AU114</f>
        <v>0</v>
      </c>
      <c r="AZ114" s="9" t="n">
        <f aca="false">IF(M114&gt;0,P114*AG114,0)</f>
        <v>307494524.43088</v>
      </c>
      <c r="BA114" s="9" t="n">
        <f aca="false">IF(P114=0,0,AH114/P114)</f>
        <v>32086.1619499217</v>
      </c>
      <c r="BB114" s="74" t="s">
        <v>246</v>
      </c>
      <c r="BC114" s="13" t="n">
        <f aca="false">SUMIFS('MA Engine'!$W$6:$W$1110,'MA Engine'!$B$6:$B$1110,$A114,'MA Engine'!$H$6:$H$1110,7,'MA Engine'!$I$6:$I$1110,"DO")</f>
        <v>4272.62</v>
      </c>
      <c r="BD114" s="14" t="n">
        <f aca="false">MIN(MAX(0,H114),J114)</f>
        <v>4272.62</v>
      </c>
      <c r="BE114" s="14" t="n">
        <f aca="false">J114-BD114</f>
        <v>0</v>
      </c>
      <c r="BF114" s="21" t="n">
        <f aca="false">IF(J114=0,0,BC114/J114)</f>
        <v>1</v>
      </c>
      <c r="BG114" s="13" t="n">
        <f aca="false">SUMIFS('MA Engine'!$AH$6:$AH$1110,'MA Engine'!$B$6:$B$1110,$A114,'MA Engine'!$H$6:$H$1110,7,'MA Engine'!$I$6:$I$1110,"DO")</f>
        <v>4272.62</v>
      </c>
      <c r="BH114" s="13" t="n">
        <f aca="false">SUMIFS('MA Engine'!$AI$6:$AI$1110,'MA Engine'!$B$6:$B$1110,$A114,'MA Engine'!$H$6:$H$1110,7,'MA Engine'!$I$6:$I$1110,"DO")+SUMIFS('MA Engine'!$AJ$6:$AJ$1110,'MA Engine'!$B$6:$B$1110,$A114,'MA Engine'!$H$6:$H$1110,7,'MA Engine'!$I$6:$I$1110,"DO")</f>
        <v>0</v>
      </c>
      <c r="BI114" s="7" t="n">
        <f aca="false">IF(H114&gt;0,SUMIFS('MA Engine'!$L$6:$L$1110,'MA Engine'!$B$6:$B$1110,$A114,'MA Engine'!$I$6:$I$1110,"Opening")/H114,0)</f>
        <v>23000</v>
      </c>
      <c r="BJ114" s="9" t="n">
        <f aca="false">IF(I114&gt;0,AD114/I114,BI114)</f>
        <v>23000</v>
      </c>
      <c r="BK114" s="7" t="n">
        <f aca="false">SUMIFS('MA Engine'!$X$6:$X$1110,'MA Engine'!$B$6:$B$1110,$A114,'MA Engine'!$H$6:$H$1110,7,'MA Engine'!$I$6:$I$1110,"DO")</f>
        <v>98270260</v>
      </c>
      <c r="BL114" s="7" t="n">
        <f aca="false">SUMIFS('MA Engine'!$AK$6:$AK$1110,'MA Engine'!$B$6:$B$1110,$A114,'MA Engine'!$H$6:$H$1110,7,'MA Engine'!$I$6:$I$1110,"DO")</f>
        <v>98270260</v>
      </c>
      <c r="BM114" s="7" t="n">
        <f aca="false">SUMIFS('MA Engine'!$AL$6:$AL$1110,'MA Engine'!$B$6:$B$1110,$A114,'MA Engine'!$H$6:$H$1110,7,'MA Engine'!$I$6:$I$1110,"DO")+SUMIFS('MA Engine'!$AM$6:$AM$1110,'MA Engine'!$B$6:$B$1110,$A114,'MA Engine'!$H$6:$H$1110,7,'MA Engine'!$I$6:$I$1110,"DO")</f>
        <v>0</v>
      </c>
      <c r="BN114" s="9" t="n">
        <f aca="false">BK114-BL114-BM114</f>
        <v>0</v>
      </c>
      <c r="BO114" s="7" t="n">
        <f aca="false">IF(BC114=0,0,SUMIFS('Data SKU'!$G$5:$G$116,'Data SKU'!$A$5:$A$116,$C114,'Data SKU'!$B$5:$B$116,$D114,'Data SKU'!$C$5:$C$116,$E114,'Data SKU'!$D$5:$D$116,7,'Data SKU'!$N$5:$N$116,"Invoiced")/SUMIFS($BC$36:$BC$127,$C$36:$C$127,$C114,$D$36:$D$127,$D114,$E$36:$E$127,$E114)*BC114)</f>
        <v>117295804.578776</v>
      </c>
      <c r="BP114" s="9" t="n">
        <f aca="false">IF(BC114=0,0,BO114*BG114/BC114)</f>
        <v>117295804.578776</v>
      </c>
      <c r="BQ114" s="9" t="n">
        <f aca="false">IF(BC114=0,0,BO114*BH114/BC114)</f>
        <v>0</v>
      </c>
    </row>
    <row r="115" customFormat="false" ht="15" hidden="false" customHeight="false" outlineLevel="0" collapsed="false">
      <c r="A115" s="74" t="s">
        <v>1027</v>
      </c>
      <c r="B115" s="53" t="str">
        <f aca="false">INDEX(I_Items!$B$5:$B$133,MATCH($A115,I_Items!$A$5:$A$133,0))&amp;""</f>
        <v>Karkas Uk 1.2</v>
      </c>
      <c r="C115" s="53" t="str">
        <f aca="false">INDEX(I_Items!$C$5:$C$133,MATCH($A115,I_Items!$A$5:$A$133,0))&amp;""</f>
        <v>Trading</v>
      </c>
      <c r="D115" s="53" t="str">
        <f aca="false">INDEX(I_Items!$D$5:$D$133,MATCH($A115,I_Items!$A$5:$A$133,0))&amp;""</f>
        <v>Karkas</v>
      </c>
      <c r="E115" s="53" t="str">
        <f aca="false">INDEX(I_Items!$F$5:$F$133,MATCH($A115,I_Items!$A$5:$A$133,0))&amp;""</f>
        <v>Not stated in item master</v>
      </c>
      <c r="F115" s="53" t="str">
        <f aca="false">INDEX(I_Items!$E$5:$E$133,MATCH($A115,I_Items!$A$5:$A$133,0))&amp;""</f>
        <v>Uk 1.2</v>
      </c>
      <c r="G115" s="6" t="str">
        <f aca="false">IF(P115=0,"-",IF(M115=0,"A",IF(K115&lt;=0,"C","B")))</f>
        <v>B</v>
      </c>
      <c r="H115" s="13" t="n">
        <f aca="false">SUMIFS('MA Engine'!$K$6:$K$1110,'MA Engine'!$B$6:$B$1110,$A115,'MA Engine'!$I$6:$I$1110,"Opening")</f>
        <v>3508.9</v>
      </c>
      <c r="I115" s="13" t="n">
        <f aca="false">SUMIFS('MA Engine'!$K$6:$K$1110,'MA Engine'!$B$6:$B$1110,$A115,'MA Engine'!$H$6:$H$1110,7,'MA Engine'!$I$6:$I$1110,"&lt;&gt;Opening")</f>
        <v>0</v>
      </c>
      <c r="J115" s="13" t="n">
        <f aca="false">SUMIFS('MA Engine'!$W$6:$W$1110,'MA Engine'!$B$6:$B$1110,$A115,'MA Engine'!$H$6:$H$1110,7)</f>
        <v>1681.3</v>
      </c>
      <c r="K115" s="14" t="n">
        <f aca="false">H115+I115-J115</f>
        <v>1827.6</v>
      </c>
      <c r="L115" s="7" t="n">
        <f aca="false">SUMIFS('MA Engine'!$L$6:$L$1110,'MA Engine'!$B$6:$B$1110,$A115,'MA Engine'!$I$6:$I$1110,"Opening")+SUMIFS('MA Engine'!$L$6:$L$1110,'MA Engine'!$B$6:$B$1110,$A115,'MA Engine'!$H$6:$H$1110,7,'MA Engine'!$I$6:$I$1110,"&lt;&gt;Opening")-SUMIFS('MA Engine'!$X$6:$X$1110,'MA Engine'!$B$6:$B$1110,$A115,'MA Engine'!$H$6:$H$1110,7)</f>
        <v>42034800</v>
      </c>
      <c r="M115" s="13" t="n">
        <f aca="false">SUMIFS('MA Engine'!$K$6:$K$1110,'MA Engine'!$B$6:$B$1110,$A115,'MA Engine'!$H$6:$H$1110,8)</f>
        <v>99.8</v>
      </c>
      <c r="N115" s="7" t="n">
        <f aca="false">SUMIFS('MA Engine'!$L$6:$L$1110,'MA Engine'!$B$6:$B$1110,$A115,'MA Engine'!$H$6:$H$1110,8)</f>
        <v>3093800</v>
      </c>
      <c r="O115" s="13" t="n">
        <f aca="false">SUMIFS('MA Engine'!$W$6:$W$1110,'MA Engine'!$B$6:$B$1110,$A115,'MA Engine'!$H$6:$H$1110,8)</f>
        <v>1878.6</v>
      </c>
      <c r="P115" s="14" t="n">
        <f aca="false">Q115+R115</f>
        <v>1878.6</v>
      </c>
      <c r="Q115" s="13" t="n">
        <f aca="false">SUMIFS('MA Engine'!$W$6:$W$1110,'MA Engine'!$B$6:$B$1110,$A115,'MA Engine'!$H$6:$H$1110,8,'MA Engine'!$I$6:$I$1110,"DO",'MA Engine'!$P$6:$P$1110,"&lt;&gt;Y")</f>
        <v>1617.1</v>
      </c>
      <c r="R115" s="13" t="n">
        <f aca="false">SUMIFS('MA Engine'!$W$6:$W$1110,'MA Engine'!$B$6:$B$1110,$A115,'MA Engine'!$H$6:$H$1110,8,'MA Engine'!$I$6:$I$1110,"Unbilled")</f>
        <v>261.5</v>
      </c>
      <c r="S115" s="13" t="n">
        <f aca="false">SUMIFS('MA Engine'!$W$6:$W$1110,'MA Engine'!$B$6:$B$1110,$A115,'MA Engine'!$H$6:$H$1110,8,'MA Engine'!$P$6:$P$1110,"Y")</f>
        <v>0</v>
      </c>
      <c r="T115" s="14" t="n">
        <f aca="false">O115-P115-S115</f>
        <v>0</v>
      </c>
      <c r="U115" s="14" t="n">
        <f aca="false">MAX(0,H115-J115)</f>
        <v>1827.6</v>
      </c>
      <c r="V115" s="14" t="n">
        <f aca="false">MAX(0,K115-U115)</f>
        <v>0</v>
      </c>
      <c r="W115" s="14" t="n">
        <f aca="false">MIN(U115,O115)</f>
        <v>1827.6</v>
      </c>
      <c r="X115" s="14" t="n">
        <f aca="false">MIN(V115,O115-W115)</f>
        <v>0</v>
      </c>
      <c r="Y115" s="14" t="n">
        <f aca="false">O115-W115-X115</f>
        <v>50.9999999999998</v>
      </c>
      <c r="Z115" s="21" t="n">
        <f aca="false">IF(O115=0,0,P115/O115)</f>
        <v>1</v>
      </c>
      <c r="AA115" s="13" t="n">
        <f aca="false">SUMIFS('MA Engine'!$AH$6:$AH$1110,'MA Engine'!$B$6:$B$1110,$A115,'MA Engine'!$H$6:$H$1110,8,'MA Engine'!$I$6:$I$1110,"DO",'MA Engine'!$P$6:$P$1110,"&lt;&gt;Y")+SUMIFS('MA Engine'!$AH$6:$AH$1110,'MA Engine'!$B$6:$B$1110,$A115,'MA Engine'!$H$6:$H$1110,8,'MA Engine'!$I$6:$I$1110,"Unbilled")</f>
        <v>1827.6</v>
      </c>
      <c r="AB115" s="13" t="n">
        <f aca="false">SUMIFS('MA Engine'!$AI$6:$AI$1110,'MA Engine'!$B$6:$B$1110,$A115,'MA Engine'!$H$6:$H$1110,8,'MA Engine'!$I$6:$I$1110,"DO",'MA Engine'!$P$6:$P$1110,"&lt;&gt;Y")+SUMIFS('MA Engine'!$AI$6:$AI$1110,'MA Engine'!$B$6:$B$1110,$A115,'MA Engine'!$H$6:$H$1110,8,'MA Engine'!$I$6:$I$1110,"Unbilled")</f>
        <v>0</v>
      </c>
      <c r="AC115" s="13" t="n">
        <f aca="false">SUMIFS('MA Engine'!$AJ$6:$AJ$1110,'MA Engine'!$B$6:$B$1110,$A115,'MA Engine'!$H$6:$H$1110,8,'MA Engine'!$I$6:$I$1110,"DO",'MA Engine'!$P$6:$P$1110,"&lt;&gt;Y")+SUMIFS('MA Engine'!$AJ$6:$AJ$1110,'MA Engine'!$B$6:$B$1110,$A115,'MA Engine'!$H$6:$H$1110,8,'MA Engine'!$I$6:$I$1110,"Unbilled")</f>
        <v>51</v>
      </c>
      <c r="AD115" s="7" t="n">
        <f aca="false">SUMIFS('MA Engine'!$L$6:$L$1110,'MA Engine'!$B$6:$B$1110,$A115,'MA Engine'!$H$6:$H$1110,7,'MA Engine'!$I$6:$I$1110,"&lt;&gt;Opening")</f>
        <v>0</v>
      </c>
      <c r="AE115" s="9" t="n">
        <f aca="false">IF(AND(U115&gt;0.0001,(L115-V115*IF(I115&gt;0,AD115/I115,IF(K115&gt;0,L115/K115,0)))&lt;0),IF(K115&gt;0,L115/K115,0),IF(I115&gt;0,AD115/I115,IF(K115&gt;0,L115/K115,0)))</f>
        <v>23000</v>
      </c>
      <c r="AF115" s="9" t="n">
        <f aca="false">IF(U115&lt;=0.0001,IF(K115&gt;0,L115/K115,0),IF((L115-V115*IF(I115&gt;0,AD115/I115,IF(K115&gt;0,L115/K115,0)))&lt;0,IF(K115&gt;0,L115/K115,0),(L115-V115*IF(I115&gt;0,AD115/I115,IF(K115&gt;0,L115/K115,0)))/U115))</f>
        <v>23000</v>
      </c>
      <c r="AG115" s="9" t="n">
        <f aca="false">IF(M115&gt;0,N115/M115,IF(K115&gt;0,L115/K115,0))</f>
        <v>31000</v>
      </c>
      <c r="AH115" s="7" t="n">
        <f aca="false">SUMIFS('MA Engine'!$X$6:$X$1110,'MA Engine'!$B$6:$B$1110,$A115,'MA Engine'!$H$6:$H$1110,8,'MA Engine'!$I$6:$I$1110,"DO",'MA Engine'!$P$6:$P$1110,"&lt;&gt;Y")+SUMIFS('MA Engine'!$X$6:$X$1110,'MA Engine'!$B$6:$B$1110,$A115,'MA Engine'!$H$6:$H$1110,8,'MA Engine'!$I$6:$I$1110,"Unbilled")</f>
        <v>43985985.2443707</v>
      </c>
      <c r="AI115" s="7" t="n">
        <f aca="false">SUMIFS('MA Engine'!$AK$6:$AK$1110,'MA Engine'!$B$6:$B$1110,$A115,'MA Engine'!$H$6:$H$1110,8,'MA Engine'!$I$6:$I$1110,"DO",'MA Engine'!$P$6:$P$1110,"&lt;&gt;Y")+SUMIFS('MA Engine'!$AK$6:$AK$1110,'MA Engine'!$B$6:$B$1110,$A115,'MA Engine'!$H$6:$H$1110,8,'MA Engine'!$I$6:$I$1110,"Unbilled")</f>
        <v>42791859.1677908</v>
      </c>
      <c r="AJ115" s="7" t="n">
        <f aca="false">SUMIFS('MA Engine'!$AL$6:$AL$1110,'MA Engine'!$B$6:$B$1110,$A115,'MA Engine'!$H$6:$H$1110,8,'MA Engine'!$I$6:$I$1110,"DO",'MA Engine'!$P$6:$P$1110,"&lt;&gt;Y")+SUMIFS('MA Engine'!$AL$6:$AL$1110,'MA Engine'!$B$6:$B$1110,$A115,'MA Engine'!$H$6:$H$1110,8,'MA Engine'!$I$6:$I$1110,"Unbilled")</f>
        <v>0</v>
      </c>
      <c r="AK115" s="7" t="n">
        <f aca="false">SUMIFS('MA Engine'!$AM$6:$AM$1110,'MA Engine'!$B$6:$B$1110,$A115,'MA Engine'!$H$6:$H$1110,8,'MA Engine'!$I$6:$I$1110,"DO",'MA Engine'!$P$6:$P$1110,"&lt;&gt;Y")+SUMIFS('MA Engine'!$AM$6:$AM$1110,'MA Engine'!$B$6:$B$1110,$A115,'MA Engine'!$H$6:$H$1110,8,'MA Engine'!$I$6:$I$1110,"Unbilled")</f>
        <v>1194126.07657985</v>
      </c>
      <c r="AL115" s="9" t="n">
        <f aca="false">AH115-AI115-AJ115-AK115</f>
        <v>0</v>
      </c>
      <c r="AM115" s="7" t="n">
        <f aca="false">IF(Q115=0,0,IF($D115="Karkas",SUMIFS('Karkas Detail'!$E$6:$E$42,'Karkas Detail'!$A$6:$A$42,$C115,'Karkas Detail'!$B$6:$B$42,$F115,'Karkas Detail'!$C$6:$C$42,$E115)/SUMIFS($Q$36:$Q$127,$C$36:$C$127,$C115,$D$36:$D$127,"Karkas",$F$36:$F$127,$F115,$E$36:$E$127,$E115),SUMIFS('Data SKU'!$G$5:$G$116,'Data SKU'!$A$5:$A$116,$C115,'Data SKU'!$B$5:$B$116,$D115,'Data SKU'!$C$5:$C$116,$E115,'Data SKU'!$D$5:$D$116,8,'Data SKU'!$N$5:$N$116,"Invoiced")/SUMIFS($Q$36:$Q$127,$C$36:$C$127,$C115,$D$36:$D$127,$D115,$E$36:$E$127,$E115))*Q115)+SUMIFS(Unbilled!$U$22:$U$38,Unbilled!$E$22:$E$38,$A115)</f>
        <v>54830355.1364064</v>
      </c>
      <c r="AN115" s="9" t="n">
        <f aca="false">IF(P115=0,0,AM115*AA115/P115)</f>
        <v>53341827.4498543</v>
      </c>
      <c r="AO115" s="9" t="n">
        <f aca="false">IF(P115=0,0,AM115*AB115/P115)</f>
        <v>0</v>
      </c>
      <c r="AP115" s="9" t="n">
        <f aca="false">IF(P115=0,0,AM115*AC115/P115)</f>
        <v>1488527.68655207</v>
      </c>
      <c r="AQ115" s="14" t="n">
        <f aca="false">MIN(U115+V115,MAX(0,O115-M115))</f>
        <v>1778.8</v>
      </c>
      <c r="AR115" s="14" t="n">
        <f aca="false">MAX(0,AQ115-V115)*Z115</f>
        <v>1778.8</v>
      </c>
      <c r="AS115" s="14" t="n">
        <f aca="false">MIN(V115,AQ115)*Z115</f>
        <v>0</v>
      </c>
      <c r="AT115" s="14" t="n">
        <f aca="false">(O115-AQ115)*Z115</f>
        <v>99.8</v>
      </c>
      <c r="AU115" s="9" t="n">
        <f aca="false">(AR115+AS115+AT115)*BA115</f>
        <v>43985985.2443707</v>
      </c>
      <c r="AV115" s="9" t="n">
        <f aca="false">IF(P115=0,0,AM115*AR115/P115)</f>
        <v>51917510.7615457</v>
      </c>
      <c r="AW115" s="9" t="n">
        <f aca="false">IF(P115=0,0,AM115*AS115/P115)</f>
        <v>0</v>
      </c>
      <c r="AX115" s="9" t="n">
        <f aca="false">IF(P115=0,0,AM115*AT115/P115)</f>
        <v>2912844.37486072</v>
      </c>
      <c r="AY115" s="9" t="n">
        <f aca="false">AH115-AU115</f>
        <v>0</v>
      </c>
      <c r="AZ115" s="9" t="n">
        <f aca="false">IF(M115&gt;0,P115*AG115,0)</f>
        <v>58236600</v>
      </c>
      <c r="BA115" s="9" t="n">
        <f aca="false">IF(P115=0,0,AH115/P115)</f>
        <v>23414.2367956833</v>
      </c>
      <c r="BB115" s="74" t="s">
        <v>246</v>
      </c>
      <c r="BC115" s="13" t="n">
        <f aca="false">SUMIFS('MA Engine'!$W$6:$W$1110,'MA Engine'!$B$6:$B$1110,$A115,'MA Engine'!$H$6:$H$1110,7,'MA Engine'!$I$6:$I$1110,"DO")</f>
        <v>1681.3</v>
      </c>
      <c r="BD115" s="14" t="n">
        <f aca="false">MIN(MAX(0,H115),J115)</f>
        <v>1681.3</v>
      </c>
      <c r="BE115" s="14" t="n">
        <f aca="false">J115-BD115</f>
        <v>0</v>
      </c>
      <c r="BF115" s="21" t="n">
        <f aca="false">IF(J115=0,0,BC115/J115)</f>
        <v>1</v>
      </c>
      <c r="BG115" s="13" t="n">
        <f aca="false">SUMIFS('MA Engine'!$AH$6:$AH$1110,'MA Engine'!$B$6:$B$1110,$A115,'MA Engine'!$H$6:$H$1110,7,'MA Engine'!$I$6:$I$1110,"DO")</f>
        <v>1681.3</v>
      </c>
      <c r="BH115" s="13" t="n">
        <f aca="false">SUMIFS('MA Engine'!$AI$6:$AI$1110,'MA Engine'!$B$6:$B$1110,$A115,'MA Engine'!$H$6:$H$1110,7,'MA Engine'!$I$6:$I$1110,"DO")+SUMIFS('MA Engine'!$AJ$6:$AJ$1110,'MA Engine'!$B$6:$B$1110,$A115,'MA Engine'!$H$6:$H$1110,7,'MA Engine'!$I$6:$I$1110,"DO")</f>
        <v>0</v>
      </c>
      <c r="BI115" s="7" t="n">
        <f aca="false">IF(H115&gt;0,SUMIFS('MA Engine'!$L$6:$L$1110,'MA Engine'!$B$6:$B$1110,$A115,'MA Engine'!$I$6:$I$1110,"Opening")/H115,0)</f>
        <v>23000</v>
      </c>
      <c r="BJ115" s="9" t="n">
        <f aca="false">IF(I115&gt;0,AD115/I115,BI115)</f>
        <v>23000</v>
      </c>
      <c r="BK115" s="7" t="n">
        <f aca="false">SUMIFS('MA Engine'!$X$6:$X$1110,'MA Engine'!$B$6:$B$1110,$A115,'MA Engine'!$H$6:$H$1110,7,'MA Engine'!$I$6:$I$1110,"DO")</f>
        <v>38669900</v>
      </c>
      <c r="BL115" s="7" t="n">
        <f aca="false">SUMIFS('MA Engine'!$AK$6:$AK$1110,'MA Engine'!$B$6:$B$1110,$A115,'MA Engine'!$H$6:$H$1110,7,'MA Engine'!$I$6:$I$1110,"DO")</f>
        <v>38669900</v>
      </c>
      <c r="BM115" s="7" t="n">
        <f aca="false">SUMIFS('MA Engine'!$AL$6:$AL$1110,'MA Engine'!$B$6:$B$1110,$A115,'MA Engine'!$H$6:$H$1110,7,'MA Engine'!$I$6:$I$1110,"DO")+SUMIFS('MA Engine'!$AM$6:$AM$1110,'MA Engine'!$B$6:$B$1110,$A115,'MA Engine'!$H$6:$H$1110,7,'MA Engine'!$I$6:$I$1110,"DO")</f>
        <v>0</v>
      </c>
      <c r="BN115" s="9" t="n">
        <f aca="false">BK115-BL115-BM115</f>
        <v>0</v>
      </c>
      <c r="BO115" s="7" t="n">
        <f aca="false">IF(BC115=0,0,SUMIFS('Data SKU'!$G$5:$G$116,'Data SKU'!$A$5:$A$116,$C115,'Data SKU'!$B$5:$B$116,$D115,'Data SKU'!$C$5:$C$116,$E115,'Data SKU'!$D$5:$D$116,7,'Data SKU'!$N$5:$N$116,"Invoiced")/SUMIFS($BC$36:$BC$127,$C$36:$C$127,$C115,$D$36:$D$127,$D115,$E$36:$E$127,$E115)*BC115)</f>
        <v>46156558.794907</v>
      </c>
      <c r="BP115" s="9" t="n">
        <f aca="false">IF(BC115=0,0,BO115*BG115/BC115)</f>
        <v>46156558.794907</v>
      </c>
      <c r="BQ115" s="9" t="n">
        <f aca="false">IF(BC115=0,0,BO115*BH115/BC115)</f>
        <v>0</v>
      </c>
    </row>
    <row r="116" customFormat="false" ht="15" hidden="false" customHeight="false" outlineLevel="0" collapsed="false">
      <c r="A116" s="74" t="s">
        <v>1028</v>
      </c>
      <c r="B116" s="53" t="str">
        <f aca="false">INDEX(I_Items!$B$5:$B$133,MATCH($A116,I_Items!$A$5:$A$133,0))&amp;""</f>
        <v>Karkas Uk 1.3</v>
      </c>
      <c r="C116" s="53" t="str">
        <f aca="false">INDEX(I_Items!$C$5:$C$133,MATCH($A116,I_Items!$A$5:$A$133,0))&amp;""</f>
        <v>Trading</v>
      </c>
      <c r="D116" s="53" t="str">
        <f aca="false">INDEX(I_Items!$D$5:$D$133,MATCH($A116,I_Items!$A$5:$A$133,0))&amp;""</f>
        <v>Karkas</v>
      </c>
      <c r="E116" s="53" t="str">
        <f aca="false">INDEX(I_Items!$F$5:$F$133,MATCH($A116,I_Items!$A$5:$A$133,0))&amp;""</f>
        <v>Not stated in item master</v>
      </c>
      <c r="F116" s="53" t="str">
        <f aca="false">INDEX(I_Items!$E$5:$E$133,MATCH($A116,I_Items!$A$5:$A$133,0))&amp;""</f>
        <v>Uk 1.3</v>
      </c>
      <c r="G116" s="6" t="str">
        <f aca="false">IF(P116=0,"-",IF(M116=0,"A",IF(K116&lt;=0,"C","B")))</f>
        <v>A</v>
      </c>
      <c r="H116" s="13" t="n">
        <f aca="false">SUMIFS('MA Engine'!$K$6:$K$1110,'MA Engine'!$B$6:$B$1110,$A116,'MA Engine'!$I$6:$I$1110,"Opening")</f>
        <v>1274</v>
      </c>
      <c r="I116" s="13" t="n">
        <f aca="false">SUMIFS('MA Engine'!$K$6:$K$1110,'MA Engine'!$B$6:$B$1110,$A116,'MA Engine'!$H$6:$H$1110,7,'MA Engine'!$I$6:$I$1110,"&lt;&gt;Opening")</f>
        <v>0</v>
      </c>
      <c r="J116" s="13" t="n">
        <f aca="false">SUMIFS('MA Engine'!$W$6:$W$1110,'MA Engine'!$B$6:$B$1110,$A116,'MA Engine'!$H$6:$H$1110,7)</f>
        <v>1141.1</v>
      </c>
      <c r="K116" s="14" t="n">
        <f aca="false">H116+I116-J116</f>
        <v>132.9</v>
      </c>
      <c r="L116" s="7" t="n">
        <f aca="false">SUMIFS('MA Engine'!$L$6:$L$1110,'MA Engine'!$B$6:$B$1110,$A116,'MA Engine'!$I$6:$I$1110,"Opening")+SUMIFS('MA Engine'!$L$6:$L$1110,'MA Engine'!$B$6:$B$1110,$A116,'MA Engine'!$H$6:$H$1110,7,'MA Engine'!$I$6:$I$1110,"&lt;&gt;Opening")-SUMIFS('MA Engine'!$X$6:$X$1110,'MA Engine'!$B$6:$B$1110,$A116,'MA Engine'!$H$6:$H$1110,7)</f>
        <v>3056700</v>
      </c>
      <c r="M116" s="13" t="n">
        <f aca="false">SUMIFS('MA Engine'!$K$6:$K$1110,'MA Engine'!$B$6:$B$1110,$A116,'MA Engine'!$H$6:$H$1110,8)</f>
        <v>0</v>
      </c>
      <c r="N116" s="7" t="n">
        <f aca="false">SUMIFS('MA Engine'!$L$6:$L$1110,'MA Engine'!$B$6:$B$1110,$A116,'MA Engine'!$H$6:$H$1110,8)</f>
        <v>0</v>
      </c>
      <c r="O116" s="13" t="n">
        <f aca="false">SUMIFS('MA Engine'!$W$6:$W$1110,'MA Engine'!$B$6:$B$1110,$A116,'MA Engine'!$H$6:$H$1110,8)</f>
        <v>131.9</v>
      </c>
      <c r="P116" s="14" t="n">
        <f aca="false">Q116+R116</f>
        <v>131.9</v>
      </c>
      <c r="Q116" s="13" t="n">
        <f aca="false">SUMIFS('MA Engine'!$W$6:$W$1110,'MA Engine'!$B$6:$B$1110,$A116,'MA Engine'!$H$6:$H$1110,8,'MA Engine'!$I$6:$I$1110,"DO",'MA Engine'!$P$6:$P$1110,"&lt;&gt;Y")</f>
        <v>131.9</v>
      </c>
      <c r="R116" s="13" t="n">
        <f aca="false">SUMIFS('MA Engine'!$W$6:$W$1110,'MA Engine'!$B$6:$B$1110,$A116,'MA Engine'!$H$6:$H$1110,8,'MA Engine'!$I$6:$I$1110,"Unbilled")</f>
        <v>0</v>
      </c>
      <c r="S116" s="13" t="n">
        <f aca="false">SUMIFS('MA Engine'!$W$6:$W$1110,'MA Engine'!$B$6:$B$1110,$A116,'MA Engine'!$H$6:$H$1110,8,'MA Engine'!$P$6:$P$1110,"Y")</f>
        <v>0</v>
      </c>
      <c r="T116" s="14" t="n">
        <f aca="false">O116-P116-S116</f>
        <v>0</v>
      </c>
      <c r="U116" s="14" t="n">
        <f aca="false">MAX(0,H116-J116)</f>
        <v>132.9</v>
      </c>
      <c r="V116" s="14" t="n">
        <f aca="false">MAX(0,K116-U116)</f>
        <v>0</v>
      </c>
      <c r="W116" s="14" t="n">
        <f aca="false">MIN(U116,O116)</f>
        <v>131.9</v>
      </c>
      <c r="X116" s="14" t="n">
        <f aca="false">MIN(V116,O116-W116)</f>
        <v>0</v>
      </c>
      <c r="Y116" s="14" t="n">
        <f aca="false">O116-W116-X116</f>
        <v>0</v>
      </c>
      <c r="Z116" s="21" t="n">
        <f aca="false">IF(O116=0,0,P116/O116)</f>
        <v>1</v>
      </c>
      <c r="AA116" s="13" t="n">
        <f aca="false">SUMIFS('MA Engine'!$AH$6:$AH$1110,'MA Engine'!$B$6:$B$1110,$A116,'MA Engine'!$H$6:$H$1110,8,'MA Engine'!$I$6:$I$1110,"DO",'MA Engine'!$P$6:$P$1110,"&lt;&gt;Y")+SUMIFS('MA Engine'!$AH$6:$AH$1110,'MA Engine'!$B$6:$B$1110,$A116,'MA Engine'!$H$6:$H$1110,8,'MA Engine'!$I$6:$I$1110,"Unbilled")</f>
        <v>131.9</v>
      </c>
      <c r="AB116" s="13" t="n">
        <f aca="false">SUMIFS('MA Engine'!$AI$6:$AI$1110,'MA Engine'!$B$6:$B$1110,$A116,'MA Engine'!$H$6:$H$1110,8,'MA Engine'!$I$6:$I$1110,"DO",'MA Engine'!$P$6:$P$1110,"&lt;&gt;Y")+SUMIFS('MA Engine'!$AI$6:$AI$1110,'MA Engine'!$B$6:$B$1110,$A116,'MA Engine'!$H$6:$H$1110,8,'MA Engine'!$I$6:$I$1110,"Unbilled")</f>
        <v>0</v>
      </c>
      <c r="AC116" s="13" t="n">
        <f aca="false">SUMIFS('MA Engine'!$AJ$6:$AJ$1110,'MA Engine'!$B$6:$B$1110,$A116,'MA Engine'!$H$6:$H$1110,8,'MA Engine'!$I$6:$I$1110,"DO",'MA Engine'!$P$6:$P$1110,"&lt;&gt;Y")+SUMIFS('MA Engine'!$AJ$6:$AJ$1110,'MA Engine'!$B$6:$B$1110,$A116,'MA Engine'!$H$6:$H$1110,8,'MA Engine'!$I$6:$I$1110,"Unbilled")</f>
        <v>0</v>
      </c>
      <c r="AD116" s="7" t="n">
        <f aca="false">SUMIFS('MA Engine'!$L$6:$L$1110,'MA Engine'!$B$6:$B$1110,$A116,'MA Engine'!$H$6:$H$1110,7,'MA Engine'!$I$6:$I$1110,"&lt;&gt;Opening")</f>
        <v>0</v>
      </c>
      <c r="AE116" s="9" t="n">
        <f aca="false">IF(AND(U116&gt;0.0001,(L116-V116*IF(I116&gt;0,AD116/I116,IF(K116&gt;0,L116/K116,0)))&lt;0),IF(K116&gt;0,L116/K116,0),IF(I116&gt;0,AD116/I116,IF(K116&gt;0,L116/K116,0)))</f>
        <v>23000</v>
      </c>
      <c r="AF116" s="9" t="n">
        <f aca="false">IF(U116&lt;=0.0001,IF(K116&gt;0,L116/K116,0),IF((L116-V116*IF(I116&gt;0,AD116/I116,IF(K116&gt;0,L116/K116,0)))&lt;0,IF(K116&gt;0,L116/K116,0),(L116-V116*IF(I116&gt;0,AD116/I116,IF(K116&gt;0,L116/K116,0)))/U116))</f>
        <v>23000</v>
      </c>
      <c r="AG116" s="9" t="n">
        <f aca="false">IF(M116&gt;0,N116/M116,IF(K116&gt;0,L116/K116,0))</f>
        <v>23000</v>
      </c>
      <c r="AH116" s="7" t="n">
        <f aca="false">SUMIFS('MA Engine'!$X$6:$X$1110,'MA Engine'!$B$6:$B$1110,$A116,'MA Engine'!$H$6:$H$1110,8,'MA Engine'!$I$6:$I$1110,"DO",'MA Engine'!$P$6:$P$1110,"&lt;&gt;Y")+SUMIFS('MA Engine'!$X$6:$X$1110,'MA Engine'!$B$6:$B$1110,$A116,'MA Engine'!$H$6:$H$1110,8,'MA Engine'!$I$6:$I$1110,"Unbilled")</f>
        <v>3033700</v>
      </c>
      <c r="AI116" s="7" t="n">
        <f aca="false">SUMIFS('MA Engine'!$AK$6:$AK$1110,'MA Engine'!$B$6:$B$1110,$A116,'MA Engine'!$H$6:$H$1110,8,'MA Engine'!$I$6:$I$1110,"DO",'MA Engine'!$P$6:$P$1110,"&lt;&gt;Y")+SUMIFS('MA Engine'!$AK$6:$AK$1110,'MA Engine'!$B$6:$B$1110,$A116,'MA Engine'!$H$6:$H$1110,8,'MA Engine'!$I$6:$I$1110,"Unbilled")</f>
        <v>3033700</v>
      </c>
      <c r="AJ116" s="7" t="n">
        <f aca="false">SUMIFS('MA Engine'!$AL$6:$AL$1110,'MA Engine'!$B$6:$B$1110,$A116,'MA Engine'!$H$6:$H$1110,8,'MA Engine'!$I$6:$I$1110,"DO",'MA Engine'!$P$6:$P$1110,"&lt;&gt;Y")+SUMIFS('MA Engine'!$AL$6:$AL$1110,'MA Engine'!$B$6:$B$1110,$A116,'MA Engine'!$H$6:$H$1110,8,'MA Engine'!$I$6:$I$1110,"Unbilled")</f>
        <v>0</v>
      </c>
      <c r="AK116" s="7" t="n">
        <f aca="false">SUMIFS('MA Engine'!$AM$6:$AM$1110,'MA Engine'!$B$6:$B$1110,$A116,'MA Engine'!$H$6:$H$1110,8,'MA Engine'!$I$6:$I$1110,"DO",'MA Engine'!$P$6:$P$1110,"&lt;&gt;Y")+SUMIFS('MA Engine'!$AM$6:$AM$1110,'MA Engine'!$B$6:$B$1110,$A116,'MA Engine'!$H$6:$H$1110,8,'MA Engine'!$I$6:$I$1110,"Unbilled")</f>
        <v>0</v>
      </c>
      <c r="AL116" s="9" t="n">
        <f aca="false">AH116-AI116-AJ116-AK116</f>
        <v>0</v>
      </c>
      <c r="AM116" s="7" t="n">
        <f aca="false">IF(Q116=0,0,IF($D116="Karkas",SUMIFS('Karkas Detail'!$E$6:$E$42,'Karkas Detail'!$A$6:$A$42,$C116,'Karkas Detail'!$B$6:$B$42,$F116,'Karkas Detail'!$C$6:$C$42,$E116)/SUMIFS($Q$36:$Q$127,$C$36:$C$127,$C116,$D$36:$D$127,"Karkas",$F$36:$F$127,$F116,$E$36:$E$127,$E116),SUMIFS('Data SKU'!$G$5:$G$116,'Data SKU'!$A$5:$A$116,$C116,'Data SKU'!$B$5:$B$116,$D116,'Data SKU'!$C$5:$C$116,$E116,'Data SKU'!$D$5:$D$116,8,'Data SKU'!$N$5:$N$116,"Invoiced")/SUMIFS($Q$36:$Q$127,$C$36:$C$127,$C116,$D$36:$D$127,$D116,$E$36:$E$127,$E116))*Q116)+SUMIFS(Unbilled!$U$22:$U$38,Unbilled!$E$22:$E$38,$A116)</f>
        <v>3957000</v>
      </c>
      <c r="AN116" s="9" t="n">
        <f aca="false">IF(P116=0,0,AM116*AA116/P116)</f>
        <v>3957000</v>
      </c>
      <c r="AO116" s="9" t="n">
        <f aca="false">IF(P116=0,0,AM116*AB116/P116)</f>
        <v>0</v>
      </c>
      <c r="AP116" s="9" t="n">
        <f aca="false">IF(P116=0,0,AM116*AC116/P116)</f>
        <v>0</v>
      </c>
      <c r="AQ116" s="14" t="n">
        <f aca="false">MIN(U116+V116,MAX(0,O116-M116))</f>
        <v>131.9</v>
      </c>
      <c r="AR116" s="14" t="n">
        <f aca="false">MAX(0,AQ116-V116)*Z116</f>
        <v>131.9</v>
      </c>
      <c r="AS116" s="14" t="n">
        <f aca="false">MIN(V116,AQ116)*Z116</f>
        <v>0</v>
      </c>
      <c r="AT116" s="14" t="n">
        <f aca="false">(O116-AQ116)*Z116</f>
        <v>0</v>
      </c>
      <c r="AU116" s="9" t="n">
        <f aca="false">(AR116+AS116+AT116)*BA116</f>
        <v>3033700</v>
      </c>
      <c r="AV116" s="9" t="n">
        <f aca="false">IF(P116=0,0,AM116*AR116/P116)</f>
        <v>3957000</v>
      </c>
      <c r="AW116" s="9" t="n">
        <f aca="false">IF(P116=0,0,AM116*AS116/P116)</f>
        <v>0</v>
      </c>
      <c r="AX116" s="9" t="n">
        <f aca="false">IF(P116=0,0,AM116*AT116/P116)</f>
        <v>0</v>
      </c>
      <c r="AY116" s="9" t="n">
        <f aca="false">AH116-AU116</f>
        <v>0</v>
      </c>
      <c r="AZ116" s="9" t="n">
        <f aca="false">IF(M116&gt;0,P116*AG116,0)</f>
        <v>0</v>
      </c>
      <c r="BA116" s="9" t="n">
        <f aca="false">IF(P116=0,0,AH116/P116)</f>
        <v>23000</v>
      </c>
      <c r="BB116" s="74" t="s">
        <v>246</v>
      </c>
      <c r="BC116" s="13" t="n">
        <f aca="false">SUMIFS('MA Engine'!$W$6:$W$1110,'MA Engine'!$B$6:$B$1110,$A116,'MA Engine'!$H$6:$H$1110,7,'MA Engine'!$I$6:$I$1110,"DO")</f>
        <v>1141.1</v>
      </c>
      <c r="BD116" s="14" t="n">
        <f aca="false">MIN(MAX(0,H116),J116)</f>
        <v>1141.1</v>
      </c>
      <c r="BE116" s="14" t="n">
        <f aca="false">J116-BD116</f>
        <v>0</v>
      </c>
      <c r="BF116" s="21" t="n">
        <f aca="false">IF(J116=0,0,BC116/J116)</f>
        <v>1</v>
      </c>
      <c r="BG116" s="13" t="n">
        <f aca="false">SUMIFS('MA Engine'!$AH$6:$AH$1110,'MA Engine'!$B$6:$B$1110,$A116,'MA Engine'!$H$6:$H$1110,7,'MA Engine'!$I$6:$I$1110,"DO")</f>
        <v>1141.1</v>
      </c>
      <c r="BH116" s="13" t="n">
        <f aca="false">SUMIFS('MA Engine'!$AI$6:$AI$1110,'MA Engine'!$B$6:$B$1110,$A116,'MA Engine'!$H$6:$H$1110,7,'MA Engine'!$I$6:$I$1110,"DO")+SUMIFS('MA Engine'!$AJ$6:$AJ$1110,'MA Engine'!$B$6:$B$1110,$A116,'MA Engine'!$H$6:$H$1110,7,'MA Engine'!$I$6:$I$1110,"DO")</f>
        <v>0</v>
      </c>
      <c r="BI116" s="7" t="n">
        <f aca="false">IF(H116&gt;0,SUMIFS('MA Engine'!$L$6:$L$1110,'MA Engine'!$B$6:$B$1110,$A116,'MA Engine'!$I$6:$I$1110,"Opening")/H116,0)</f>
        <v>23000</v>
      </c>
      <c r="BJ116" s="9" t="n">
        <f aca="false">IF(I116&gt;0,AD116/I116,BI116)</f>
        <v>23000</v>
      </c>
      <c r="BK116" s="7" t="n">
        <f aca="false">SUMIFS('MA Engine'!$X$6:$X$1110,'MA Engine'!$B$6:$B$1110,$A116,'MA Engine'!$H$6:$H$1110,7,'MA Engine'!$I$6:$I$1110,"DO")</f>
        <v>26245300</v>
      </c>
      <c r="BL116" s="7" t="n">
        <f aca="false">SUMIFS('MA Engine'!$AK$6:$AK$1110,'MA Engine'!$B$6:$B$1110,$A116,'MA Engine'!$H$6:$H$1110,7,'MA Engine'!$I$6:$I$1110,"DO")</f>
        <v>26245300</v>
      </c>
      <c r="BM116" s="7" t="n">
        <f aca="false">SUMIFS('MA Engine'!$AL$6:$AL$1110,'MA Engine'!$B$6:$B$1110,$A116,'MA Engine'!$H$6:$H$1110,7,'MA Engine'!$I$6:$I$1110,"DO")+SUMIFS('MA Engine'!$AM$6:$AM$1110,'MA Engine'!$B$6:$B$1110,$A116,'MA Engine'!$H$6:$H$1110,7,'MA Engine'!$I$6:$I$1110,"DO")</f>
        <v>0</v>
      </c>
      <c r="BN116" s="9" t="n">
        <f aca="false">BK116-BL116-BM116</f>
        <v>0</v>
      </c>
      <c r="BO116" s="7" t="n">
        <f aca="false">IF(BC116=0,0,SUMIFS('Data SKU'!$G$5:$G$116,'Data SKU'!$A$5:$A$116,$C116,'Data SKU'!$B$5:$B$116,$D116,'Data SKU'!$C$5:$C$116,$E116,'Data SKU'!$D$5:$D$116,7,'Data SKU'!$N$5:$N$116,"Invoiced")/SUMIFS($BC$36:$BC$127,$C$36:$C$127,$C116,$D$36:$D$127,$D116,$E$36:$E$127,$E116)*BC116)</f>
        <v>31326502.8495024</v>
      </c>
      <c r="BP116" s="9" t="n">
        <f aca="false">IF(BC116=0,0,BO116*BG116/BC116)</f>
        <v>31326502.8495024</v>
      </c>
      <c r="BQ116" s="9" t="n">
        <f aca="false">IF(BC116=0,0,BO116*BH116/BC116)</f>
        <v>0</v>
      </c>
    </row>
    <row r="117" customFormat="false" ht="15" hidden="false" customHeight="false" outlineLevel="0" collapsed="false">
      <c r="A117" s="74" t="s">
        <v>1029</v>
      </c>
      <c r="B117" s="53" t="str">
        <f aca="false">INDEX(I_Items!$B$5:$B$133,MATCH($A117,I_Items!$A$5:$A$133,0))&amp;""</f>
        <v>Karkas Uk 1.4</v>
      </c>
      <c r="C117" s="53" t="str">
        <f aca="false">INDEX(I_Items!$C$5:$C$133,MATCH($A117,I_Items!$A$5:$A$133,0))&amp;""</f>
        <v>Trading</v>
      </c>
      <c r="D117" s="53" t="str">
        <f aca="false">INDEX(I_Items!$D$5:$D$133,MATCH($A117,I_Items!$A$5:$A$133,0))&amp;""</f>
        <v>Karkas</v>
      </c>
      <c r="E117" s="53" t="str">
        <f aca="false">INDEX(I_Items!$F$5:$F$133,MATCH($A117,I_Items!$A$5:$A$133,0))&amp;""</f>
        <v>Not stated in item master</v>
      </c>
      <c r="F117" s="53" t="str">
        <f aca="false">INDEX(I_Items!$E$5:$E$133,MATCH($A117,I_Items!$A$5:$A$133,0))&amp;""</f>
        <v>Uk 1.4</v>
      </c>
      <c r="G117" s="6" t="str">
        <f aca="false">IF(P117=0,"-",IF(M117=0,"A",IF(K117&lt;=0,"C","B")))</f>
        <v>A</v>
      </c>
      <c r="H117" s="13" t="n">
        <f aca="false">SUMIFS('MA Engine'!$K$6:$K$1110,'MA Engine'!$B$6:$B$1110,$A117,'MA Engine'!$I$6:$I$1110,"Opening")</f>
        <v>684.4</v>
      </c>
      <c r="I117" s="13" t="n">
        <f aca="false">SUMIFS('MA Engine'!$K$6:$K$1110,'MA Engine'!$B$6:$B$1110,$A117,'MA Engine'!$H$6:$H$1110,7,'MA Engine'!$I$6:$I$1110,"&lt;&gt;Opening")</f>
        <v>0</v>
      </c>
      <c r="J117" s="13" t="n">
        <f aca="false">SUMIFS('MA Engine'!$W$6:$W$1110,'MA Engine'!$B$6:$B$1110,$A117,'MA Engine'!$H$6:$H$1110,7)</f>
        <v>425.7</v>
      </c>
      <c r="K117" s="14" t="n">
        <f aca="false">H117+I117-J117</f>
        <v>258.7</v>
      </c>
      <c r="L117" s="7" t="n">
        <f aca="false">SUMIFS('MA Engine'!$L$6:$L$1110,'MA Engine'!$B$6:$B$1110,$A117,'MA Engine'!$I$6:$I$1110,"Opening")+SUMIFS('MA Engine'!$L$6:$L$1110,'MA Engine'!$B$6:$B$1110,$A117,'MA Engine'!$H$6:$H$1110,7,'MA Engine'!$I$6:$I$1110,"&lt;&gt;Opening")-SUMIFS('MA Engine'!$X$6:$X$1110,'MA Engine'!$B$6:$B$1110,$A117,'MA Engine'!$H$6:$H$1110,7)</f>
        <v>5950100</v>
      </c>
      <c r="M117" s="13" t="n">
        <f aca="false">SUMIFS('MA Engine'!$K$6:$K$1110,'MA Engine'!$B$6:$B$1110,$A117,'MA Engine'!$H$6:$H$1110,8)</f>
        <v>0</v>
      </c>
      <c r="N117" s="7" t="n">
        <f aca="false">SUMIFS('MA Engine'!$L$6:$L$1110,'MA Engine'!$B$6:$B$1110,$A117,'MA Engine'!$H$6:$H$1110,8)</f>
        <v>0</v>
      </c>
      <c r="O117" s="13" t="n">
        <f aca="false">SUMIFS('MA Engine'!$W$6:$W$1110,'MA Engine'!$B$6:$B$1110,$A117,'MA Engine'!$H$6:$H$1110,8)</f>
        <v>285.9</v>
      </c>
      <c r="P117" s="14" t="n">
        <f aca="false">Q117+R117</f>
        <v>285.9</v>
      </c>
      <c r="Q117" s="13" t="n">
        <f aca="false">SUMIFS('MA Engine'!$W$6:$W$1110,'MA Engine'!$B$6:$B$1110,$A117,'MA Engine'!$H$6:$H$1110,8,'MA Engine'!$I$6:$I$1110,"DO",'MA Engine'!$P$6:$P$1110,"&lt;&gt;Y")</f>
        <v>0</v>
      </c>
      <c r="R117" s="13" t="n">
        <f aca="false">SUMIFS('MA Engine'!$W$6:$W$1110,'MA Engine'!$B$6:$B$1110,$A117,'MA Engine'!$H$6:$H$1110,8,'MA Engine'!$I$6:$I$1110,"Unbilled")</f>
        <v>285.9</v>
      </c>
      <c r="S117" s="13" t="n">
        <f aca="false">SUMIFS('MA Engine'!$W$6:$W$1110,'MA Engine'!$B$6:$B$1110,$A117,'MA Engine'!$H$6:$H$1110,8,'MA Engine'!$P$6:$P$1110,"Y")</f>
        <v>0</v>
      </c>
      <c r="T117" s="14" t="n">
        <f aca="false">O117-P117-S117</f>
        <v>0</v>
      </c>
      <c r="U117" s="14" t="n">
        <f aca="false">MAX(0,H117-J117)</f>
        <v>258.7</v>
      </c>
      <c r="V117" s="14" t="n">
        <f aca="false">MAX(0,K117-U117)</f>
        <v>0</v>
      </c>
      <c r="W117" s="14" t="n">
        <f aca="false">MIN(U117,O117)</f>
        <v>258.7</v>
      </c>
      <c r="X117" s="14" t="n">
        <f aca="false">MIN(V117,O117-W117)</f>
        <v>0</v>
      </c>
      <c r="Y117" s="14" t="n">
        <f aca="false">O117-W117-X117</f>
        <v>27.2</v>
      </c>
      <c r="Z117" s="21" t="n">
        <f aca="false">IF(O117=0,0,P117/O117)</f>
        <v>1</v>
      </c>
      <c r="AA117" s="13" t="n">
        <f aca="false">SUMIFS('MA Engine'!$AH$6:$AH$1110,'MA Engine'!$B$6:$B$1110,$A117,'MA Engine'!$H$6:$H$1110,8,'MA Engine'!$I$6:$I$1110,"DO",'MA Engine'!$P$6:$P$1110,"&lt;&gt;Y")+SUMIFS('MA Engine'!$AH$6:$AH$1110,'MA Engine'!$B$6:$B$1110,$A117,'MA Engine'!$H$6:$H$1110,8,'MA Engine'!$I$6:$I$1110,"Unbilled")</f>
        <v>258.7</v>
      </c>
      <c r="AB117" s="13" t="n">
        <f aca="false">SUMIFS('MA Engine'!$AI$6:$AI$1110,'MA Engine'!$B$6:$B$1110,$A117,'MA Engine'!$H$6:$H$1110,8,'MA Engine'!$I$6:$I$1110,"DO",'MA Engine'!$P$6:$P$1110,"&lt;&gt;Y")+SUMIFS('MA Engine'!$AI$6:$AI$1110,'MA Engine'!$B$6:$B$1110,$A117,'MA Engine'!$H$6:$H$1110,8,'MA Engine'!$I$6:$I$1110,"Unbilled")</f>
        <v>0</v>
      </c>
      <c r="AC117" s="13" t="n">
        <f aca="false">SUMIFS('MA Engine'!$AJ$6:$AJ$1110,'MA Engine'!$B$6:$B$1110,$A117,'MA Engine'!$H$6:$H$1110,8,'MA Engine'!$I$6:$I$1110,"DO",'MA Engine'!$P$6:$P$1110,"&lt;&gt;Y")+SUMIFS('MA Engine'!$AJ$6:$AJ$1110,'MA Engine'!$B$6:$B$1110,$A117,'MA Engine'!$H$6:$H$1110,8,'MA Engine'!$I$6:$I$1110,"Unbilled")</f>
        <v>27.1999999999999</v>
      </c>
      <c r="AD117" s="7" t="n">
        <f aca="false">SUMIFS('MA Engine'!$L$6:$L$1110,'MA Engine'!$B$6:$B$1110,$A117,'MA Engine'!$H$6:$H$1110,7,'MA Engine'!$I$6:$I$1110,"&lt;&gt;Opening")</f>
        <v>0</v>
      </c>
      <c r="AE117" s="9" t="n">
        <f aca="false">IF(AND(U117&gt;0.0001,(L117-V117*IF(I117&gt;0,AD117/I117,IF(K117&gt;0,L117/K117,0)))&lt;0),IF(K117&gt;0,L117/K117,0),IF(I117&gt;0,AD117/I117,IF(K117&gt;0,L117/K117,0)))</f>
        <v>23000</v>
      </c>
      <c r="AF117" s="9" t="n">
        <f aca="false">IF(U117&lt;=0.0001,IF(K117&gt;0,L117/K117,0),IF((L117-V117*IF(I117&gt;0,AD117/I117,IF(K117&gt;0,L117/K117,0)))&lt;0,IF(K117&gt;0,L117/K117,0),(L117-V117*IF(I117&gt;0,AD117/I117,IF(K117&gt;0,L117/K117,0)))/U117))</f>
        <v>23000</v>
      </c>
      <c r="AG117" s="9" t="n">
        <f aca="false">IF(M117&gt;0,N117/M117,IF(K117&gt;0,L117/K117,0))</f>
        <v>23000</v>
      </c>
      <c r="AH117" s="7" t="n">
        <f aca="false">SUMIFS('MA Engine'!$X$6:$X$1110,'MA Engine'!$B$6:$B$1110,$A117,'MA Engine'!$H$6:$H$1110,8,'MA Engine'!$I$6:$I$1110,"DO",'MA Engine'!$P$6:$P$1110,"&lt;&gt;Y")+SUMIFS('MA Engine'!$X$6:$X$1110,'MA Engine'!$B$6:$B$1110,$A117,'MA Engine'!$H$6:$H$1110,8,'MA Engine'!$I$6:$I$1110,"Unbilled")</f>
        <v>6575700</v>
      </c>
      <c r="AI117" s="7" t="n">
        <f aca="false">SUMIFS('MA Engine'!$AK$6:$AK$1110,'MA Engine'!$B$6:$B$1110,$A117,'MA Engine'!$H$6:$H$1110,8,'MA Engine'!$I$6:$I$1110,"DO",'MA Engine'!$P$6:$P$1110,"&lt;&gt;Y")+SUMIFS('MA Engine'!$AK$6:$AK$1110,'MA Engine'!$B$6:$B$1110,$A117,'MA Engine'!$H$6:$H$1110,8,'MA Engine'!$I$6:$I$1110,"Unbilled")</f>
        <v>5950100</v>
      </c>
      <c r="AJ117" s="7" t="n">
        <f aca="false">SUMIFS('MA Engine'!$AL$6:$AL$1110,'MA Engine'!$B$6:$B$1110,$A117,'MA Engine'!$H$6:$H$1110,8,'MA Engine'!$I$6:$I$1110,"DO",'MA Engine'!$P$6:$P$1110,"&lt;&gt;Y")+SUMIFS('MA Engine'!$AL$6:$AL$1110,'MA Engine'!$B$6:$B$1110,$A117,'MA Engine'!$H$6:$H$1110,8,'MA Engine'!$I$6:$I$1110,"Unbilled")</f>
        <v>0</v>
      </c>
      <c r="AK117" s="7" t="n">
        <f aca="false">SUMIFS('MA Engine'!$AM$6:$AM$1110,'MA Engine'!$B$6:$B$1110,$A117,'MA Engine'!$H$6:$H$1110,8,'MA Engine'!$I$6:$I$1110,"DO",'MA Engine'!$P$6:$P$1110,"&lt;&gt;Y")+SUMIFS('MA Engine'!$AM$6:$AM$1110,'MA Engine'!$B$6:$B$1110,$A117,'MA Engine'!$H$6:$H$1110,8,'MA Engine'!$I$6:$I$1110,"Unbilled")</f>
        <v>625599.999999998</v>
      </c>
      <c r="AL117" s="9" t="n">
        <f aca="false">AH117-AI117-AJ117-AK117</f>
        <v>0</v>
      </c>
      <c r="AM117" s="7" t="n">
        <f aca="false">IF(Q117=0,0,IF($D117="Karkas",SUMIFS('Karkas Detail'!$E$6:$E$42,'Karkas Detail'!$A$6:$A$42,$C117,'Karkas Detail'!$B$6:$B$42,$F117,'Karkas Detail'!$C$6:$C$42,$E117)/SUMIFS($Q$36:$Q$127,$C$36:$C$127,$C117,$D$36:$D$127,"Karkas",$F$36:$F$127,$F117,$E$36:$E$127,$E117),SUMIFS('Data SKU'!$G$5:$G$116,'Data SKU'!$A$5:$A$116,$C117,'Data SKU'!$B$5:$B$116,$D117,'Data SKU'!$C$5:$C$116,$E117,'Data SKU'!$D$5:$D$116,8,'Data SKU'!$N$5:$N$116,"Invoiced")/SUMIFS($Q$36:$Q$127,$C$36:$C$127,$C117,$D$36:$D$127,$D117,$E$36:$E$127,$E117))*Q117)+SUMIFS(Unbilled!$U$22:$U$38,Unbilled!$E$22:$E$38,$A117)</f>
        <v>6757181.05227711</v>
      </c>
      <c r="AN117" s="9" t="n">
        <f aca="false">IF(P117=0,0,AM117*AA117/P117)</f>
        <v>6114315.27885306</v>
      </c>
      <c r="AO117" s="9" t="n">
        <f aca="false">IF(P117=0,0,AM117*AB117/P117)</f>
        <v>0</v>
      </c>
      <c r="AP117" s="9" t="n">
        <f aca="false">IF(P117=0,0,AM117*AC117/P117)</f>
        <v>642865.773424054</v>
      </c>
      <c r="AQ117" s="14" t="n">
        <f aca="false">MIN(U117+V117,MAX(0,O117-M117))</f>
        <v>258.7</v>
      </c>
      <c r="AR117" s="14" t="n">
        <f aca="false">MAX(0,AQ117-V117)*Z117</f>
        <v>258.7</v>
      </c>
      <c r="AS117" s="14" t="n">
        <f aca="false">MIN(V117,AQ117)*Z117</f>
        <v>0</v>
      </c>
      <c r="AT117" s="14" t="n">
        <f aca="false">(O117-AQ117)*Z117</f>
        <v>27.2</v>
      </c>
      <c r="AU117" s="9" t="n">
        <f aca="false">(AR117+AS117+AT117)*BA117</f>
        <v>6575700</v>
      </c>
      <c r="AV117" s="9" t="n">
        <f aca="false">IF(P117=0,0,AM117*AR117/P117)</f>
        <v>6114315.27885306</v>
      </c>
      <c r="AW117" s="9" t="n">
        <f aca="false">IF(P117=0,0,AM117*AS117/P117)</f>
        <v>0</v>
      </c>
      <c r="AX117" s="9" t="n">
        <f aca="false">IF(P117=0,0,AM117*AT117/P117)</f>
        <v>642865.773424055</v>
      </c>
      <c r="AY117" s="9" t="n">
        <f aca="false">AH117-AU117</f>
        <v>0</v>
      </c>
      <c r="AZ117" s="9" t="n">
        <f aca="false">IF(M117&gt;0,P117*AG117,0)</f>
        <v>0</v>
      </c>
      <c r="BA117" s="9" t="n">
        <f aca="false">IF(P117=0,0,AH117/P117)</f>
        <v>23000</v>
      </c>
      <c r="BB117" s="74" t="s">
        <v>246</v>
      </c>
      <c r="BC117" s="13" t="n">
        <f aca="false">SUMIFS('MA Engine'!$W$6:$W$1110,'MA Engine'!$B$6:$B$1110,$A117,'MA Engine'!$H$6:$H$1110,7,'MA Engine'!$I$6:$I$1110,"DO")</f>
        <v>425.7</v>
      </c>
      <c r="BD117" s="14" t="n">
        <f aca="false">MIN(MAX(0,H117),J117)</f>
        <v>425.7</v>
      </c>
      <c r="BE117" s="14" t="n">
        <f aca="false">J117-BD117</f>
        <v>0</v>
      </c>
      <c r="BF117" s="21" t="n">
        <f aca="false">IF(J117=0,0,BC117/J117)</f>
        <v>1</v>
      </c>
      <c r="BG117" s="13" t="n">
        <f aca="false">SUMIFS('MA Engine'!$AH$6:$AH$1110,'MA Engine'!$B$6:$B$1110,$A117,'MA Engine'!$H$6:$H$1110,7,'MA Engine'!$I$6:$I$1110,"DO")</f>
        <v>425.7</v>
      </c>
      <c r="BH117" s="13" t="n">
        <f aca="false">SUMIFS('MA Engine'!$AI$6:$AI$1110,'MA Engine'!$B$6:$B$1110,$A117,'MA Engine'!$H$6:$H$1110,7,'MA Engine'!$I$6:$I$1110,"DO")+SUMIFS('MA Engine'!$AJ$6:$AJ$1110,'MA Engine'!$B$6:$B$1110,$A117,'MA Engine'!$H$6:$H$1110,7,'MA Engine'!$I$6:$I$1110,"DO")</f>
        <v>0</v>
      </c>
      <c r="BI117" s="7" t="n">
        <f aca="false">IF(H117&gt;0,SUMIFS('MA Engine'!$L$6:$L$1110,'MA Engine'!$B$6:$B$1110,$A117,'MA Engine'!$I$6:$I$1110,"Opening")/H117,0)</f>
        <v>23000</v>
      </c>
      <c r="BJ117" s="9" t="n">
        <f aca="false">IF(I117&gt;0,AD117/I117,BI117)</f>
        <v>23000</v>
      </c>
      <c r="BK117" s="7" t="n">
        <f aca="false">SUMIFS('MA Engine'!$X$6:$X$1110,'MA Engine'!$B$6:$B$1110,$A117,'MA Engine'!$H$6:$H$1110,7,'MA Engine'!$I$6:$I$1110,"DO")</f>
        <v>9791100</v>
      </c>
      <c r="BL117" s="7" t="n">
        <f aca="false">SUMIFS('MA Engine'!$AK$6:$AK$1110,'MA Engine'!$B$6:$B$1110,$A117,'MA Engine'!$H$6:$H$1110,7,'MA Engine'!$I$6:$I$1110,"DO")</f>
        <v>9791100</v>
      </c>
      <c r="BM117" s="7" t="n">
        <f aca="false">SUMIFS('MA Engine'!$AL$6:$AL$1110,'MA Engine'!$B$6:$B$1110,$A117,'MA Engine'!$H$6:$H$1110,7,'MA Engine'!$I$6:$I$1110,"DO")+SUMIFS('MA Engine'!$AM$6:$AM$1110,'MA Engine'!$B$6:$B$1110,$A117,'MA Engine'!$H$6:$H$1110,7,'MA Engine'!$I$6:$I$1110,"DO")</f>
        <v>0</v>
      </c>
      <c r="BN117" s="9" t="n">
        <f aca="false">BK117-BL117-BM117</f>
        <v>0</v>
      </c>
      <c r="BO117" s="7" t="n">
        <f aca="false">IF(BC117=0,0,SUMIFS('Data SKU'!$G$5:$G$116,'Data SKU'!$A$5:$A$116,$C117,'Data SKU'!$B$5:$B$116,$D117,'Data SKU'!$C$5:$C$116,$E117,'Data SKU'!$D$5:$D$116,7,'Data SKU'!$N$5:$N$116,"Invoiced")/SUMIFS($BC$36:$BC$127,$C$36:$C$127,$C117,$D$36:$D$127,$D117,$E$36:$E$127,$E117)*BC117)</f>
        <v>11686699.0299125</v>
      </c>
      <c r="BP117" s="9" t="n">
        <f aca="false">IF(BC117=0,0,BO117*BG117/BC117)</f>
        <v>11686699.0299125</v>
      </c>
      <c r="BQ117" s="9" t="n">
        <f aca="false">IF(BC117=0,0,BO117*BH117/BC117)</f>
        <v>0</v>
      </c>
    </row>
    <row r="118" customFormat="false" ht="15" hidden="false" customHeight="false" outlineLevel="0" collapsed="false">
      <c r="A118" s="74" t="s">
        <v>1030</v>
      </c>
      <c r="B118" s="53" t="str">
        <f aca="false">INDEX(I_Items!$B$5:$B$133,MATCH($A118,I_Items!$A$5:$A$133,0))&amp;""</f>
        <v>Karkas Uk 1.5</v>
      </c>
      <c r="C118" s="53" t="str">
        <f aca="false">INDEX(I_Items!$C$5:$C$133,MATCH($A118,I_Items!$A$5:$A$133,0))&amp;""</f>
        <v>Trading</v>
      </c>
      <c r="D118" s="53" t="str">
        <f aca="false">INDEX(I_Items!$D$5:$D$133,MATCH($A118,I_Items!$A$5:$A$133,0))&amp;""</f>
        <v>Karkas</v>
      </c>
      <c r="E118" s="53" t="str">
        <f aca="false">INDEX(I_Items!$F$5:$F$133,MATCH($A118,I_Items!$A$5:$A$133,0))&amp;""</f>
        <v>Not stated in item master</v>
      </c>
      <c r="F118" s="53" t="str">
        <f aca="false">INDEX(I_Items!$E$5:$E$133,MATCH($A118,I_Items!$A$5:$A$133,0))&amp;""</f>
        <v>Uk 1.5</v>
      </c>
      <c r="G118" s="6" t="str">
        <f aca="false">IF(P118=0,"-",IF(M118=0,"A",IF(K118&lt;=0,"C","B")))</f>
        <v>B</v>
      </c>
      <c r="H118" s="13" t="n">
        <f aca="false">SUMIFS('MA Engine'!$K$6:$K$1110,'MA Engine'!$B$6:$B$1110,$A118,'MA Engine'!$I$6:$I$1110,"Opening")</f>
        <v>735.55</v>
      </c>
      <c r="I118" s="13" t="n">
        <f aca="false">SUMIFS('MA Engine'!$K$6:$K$1110,'MA Engine'!$B$6:$B$1110,$A118,'MA Engine'!$H$6:$H$1110,7,'MA Engine'!$I$6:$I$1110,"&lt;&gt;Opening")</f>
        <v>0</v>
      </c>
      <c r="J118" s="13" t="n">
        <f aca="false">SUMIFS('MA Engine'!$W$6:$W$1110,'MA Engine'!$B$6:$B$1110,$A118,'MA Engine'!$H$6:$H$1110,7)</f>
        <v>462.4</v>
      </c>
      <c r="K118" s="14" t="n">
        <f aca="false">H118+I118-J118</f>
        <v>273.15</v>
      </c>
      <c r="L118" s="7" t="n">
        <f aca="false">SUMIFS('MA Engine'!$L$6:$L$1110,'MA Engine'!$B$6:$B$1110,$A118,'MA Engine'!$I$6:$I$1110,"Opening")+SUMIFS('MA Engine'!$L$6:$L$1110,'MA Engine'!$B$6:$B$1110,$A118,'MA Engine'!$H$6:$H$1110,7,'MA Engine'!$I$6:$I$1110,"&lt;&gt;Opening")-SUMIFS('MA Engine'!$X$6:$X$1110,'MA Engine'!$B$6:$B$1110,$A118,'MA Engine'!$H$6:$H$1110,7)</f>
        <v>6282450</v>
      </c>
      <c r="M118" s="13" t="n">
        <f aca="false">SUMIFS('MA Engine'!$K$6:$K$1110,'MA Engine'!$B$6:$B$1110,$A118,'MA Engine'!$H$6:$H$1110,8)</f>
        <v>0.65</v>
      </c>
      <c r="N118" s="7" t="n">
        <f aca="false">SUMIFS('MA Engine'!$L$6:$L$1110,'MA Engine'!$B$6:$B$1110,$A118,'MA Engine'!$H$6:$H$1110,8)</f>
        <v>0</v>
      </c>
      <c r="O118" s="13" t="n">
        <f aca="false">SUMIFS('MA Engine'!$W$6:$W$1110,'MA Engine'!$B$6:$B$1110,$A118,'MA Engine'!$H$6:$H$1110,8)</f>
        <v>273.8</v>
      </c>
      <c r="P118" s="14" t="n">
        <f aca="false">Q118+R118</f>
        <v>273.8</v>
      </c>
      <c r="Q118" s="13" t="n">
        <f aca="false">SUMIFS('MA Engine'!$W$6:$W$1110,'MA Engine'!$B$6:$B$1110,$A118,'MA Engine'!$H$6:$H$1110,8,'MA Engine'!$I$6:$I$1110,"DO",'MA Engine'!$P$6:$P$1110,"&lt;&gt;Y")</f>
        <v>0</v>
      </c>
      <c r="R118" s="13" t="n">
        <f aca="false">SUMIFS('MA Engine'!$W$6:$W$1110,'MA Engine'!$B$6:$B$1110,$A118,'MA Engine'!$H$6:$H$1110,8,'MA Engine'!$I$6:$I$1110,"Unbilled")</f>
        <v>273.8</v>
      </c>
      <c r="S118" s="13" t="n">
        <f aca="false">SUMIFS('MA Engine'!$W$6:$W$1110,'MA Engine'!$B$6:$B$1110,$A118,'MA Engine'!$H$6:$H$1110,8,'MA Engine'!$P$6:$P$1110,"Y")</f>
        <v>0</v>
      </c>
      <c r="T118" s="14" t="n">
        <f aca="false">O118-P118-S118</f>
        <v>0</v>
      </c>
      <c r="U118" s="14" t="n">
        <f aca="false">MAX(0,H118-J118)</f>
        <v>273.15</v>
      </c>
      <c r="V118" s="14" t="n">
        <f aca="false">MAX(0,K118-U118)</f>
        <v>0</v>
      </c>
      <c r="W118" s="14" t="n">
        <f aca="false">MIN(U118,O118)</f>
        <v>273.15</v>
      </c>
      <c r="X118" s="14" t="n">
        <f aca="false">MIN(V118,O118-W118)</f>
        <v>0</v>
      </c>
      <c r="Y118" s="14" t="n">
        <f aca="false">O118-W118-X118</f>
        <v>0.650000000000034</v>
      </c>
      <c r="Z118" s="21" t="n">
        <f aca="false">IF(O118=0,0,P118/O118)</f>
        <v>1</v>
      </c>
      <c r="AA118" s="13" t="n">
        <f aca="false">SUMIFS('MA Engine'!$AH$6:$AH$1110,'MA Engine'!$B$6:$B$1110,$A118,'MA Engine'!$H$6:$H$1110,8,'MA Engine'!$I$6:$I$1110,"DO",'MA Engine'!$P$6:$P$1110,"&lt;&gt;Y")+SUMIFS('MA Engine'!$AH$6:$AH$1110,'MA Engine'!$B$6:$B$1110,$A118,'MA Engine'!$H$6:$H$1110,8,'MA Engine'!$I$6:$I$1110,"Unbilled")</f>
        <v>273.15</v>
      </c>
      <c r="AB118" s="13" t="n">
        <f aca="false">SUMIFS('MA Engine'!$AI$6:$AI$1110,'MA Engine'!$B$6:$B$1110,$A118,'MA Engine'!$H$6:$H$1110,8,'MA Engine'!$I$6:$I$1110,"DO",'MA Engine'!$P$6:$P$1110,"&lt;&gt;Y")+SUMIFS('MA Engine'!$AI$6:$AI$1110,'MA Engine'!$B$6:$B$1110,$A118,'MA Engine'!$H$6:$H$1110,8,'MA Engine'!$I$6:$I$1110,"Unbilled")</f>
        <v>0</v>
      </c>
      <c r="AC118" s="13" t="n">
        <f aca="false">SUMIFS('MA Engine'!$AJ$6:$AJ$1110,'MA Engine'!$B$6:$B$1110,$A118,'MA Engine'!$H$6:$H$1110,8,'MA Engine'!$I$6:$I$1110,"DO",'MA Engine'!$P$6:$P$1110,"&lt;&gt;Y")+SUMIFS('MA Engine'!$AJ$6:$AJ$1110,'MA Engine'!$B$6:$B$1110,$A118,'MA Engine'!$H$6:$H$1110,8,'MA Engine'!$I$6:$I$1110,"Unbilled")</f>
        <v>0.650000000000091</v>
      </c>
      <c r="AD118" s="7" t="n">
        <f aca="false">SUMIFS('MA Engine'!$L$6:$L$1110,'MA Engine'!$B$6:$B$1110,$A118,'MA Engine'!$H$6:$H$1110,7,'MA Engine'!$I$6:$I$1110,"&lt;&gt;Opening")</f>
        <v>0</v>
      </c>
      <c r="AE118" s="9" t="n">
        <f aca="false">IF(AND(U118&gt;0.0001,(L118-V118*IF(I118&gt;0,AD118/I118,IF(K118&gt;0,L118/K118,0)))&lt;0),IF(K118&gt;0,L118/K118,0),IF(I118&gt;0,AD118/I118,IF(K118&gt;0,L118/K118,0)))</f>
        <v>23000</v>
      </c>
      <c r="AF118" s="9" t="n">
        <f aca="false">IF(U118&lt;=0.0001,IF(K118&gt;0,L118/K118,0),IF((L118-V118*IF(I118&gt;0,AD118/I118,IF(K118&gt;0,L118/K118,0)))&lt;0,IF(K118&gt;0,L118/K118,0),(L118-V118*IF(I118&gt;0,AD118/I118,IF(K118&gt;0,L118/K118,0)))/U118))</f>
        <v>23000</v>
      </c>
      <c r="AG118" s="9" t="n">
        <f aca="false">IF(M118&gt;0,N118/M118,IF(K118&gt;0,L118/K118,0))</f>
        <v>0</v>
      </c>
      <c r="AH118" s="7" t="n">
        <f aca="false">SUMIFS('MA Engine'!$X$6:$X$1110,'MA Engine'!$B$6:$B$1110,$A118,'MA Engine'!$H$6:$H$1110,8,'MA Engine'!$I$6:$I$1110,"DO",'MA Engine'!$P$6:$P$1110,"&lt;&gt;Y")+SUMIFS('MA Engine'!$X$6:$X$1110,'MA Engine'!$B$6:$B$1110,$A118,'MA Engine'!$H$6:$H$1110,8,'MA Engine'!$I$6:$I$1110,"Unbilled")</f>
        <v>6282450</v>
      </c>
      <c r="AI118" s="7" t="n">
        <f aca="false">SUMIFS('MA Engine'!$AK$6:$AK$1110,'MA Engine'!$B$6:$B$1110,$A118,'MA Engine'!$H$6:$H$1110,8,'MA Engine'!$I$6:$I$1110,"DO",'MA Engine'!$P$6:$P$1110,"&lt;&gt;Y")+SUMIFS('MA Engine'!$AK$6:$AK$1110,'MA Engine'!$B$6:$B$1110,$A118,'MA Engine'!$H$6:$H$1110,8,'MA Engine'!$I$6:$I$1110,"Unbilled")</f>
        <v>6267535.49123448</v>
      </c>
      <c r="AJ118" s="7" t="n">
        <f aca="false">SUMIFS('MA Engine'!$AL$6:$AL$1110,'MA Engine'!$B$6:$B$1110,$A118,'MA Engine'!$H$6:$H$1110,8,'MA Engine'!$I$6:$I$1110,"DO",'MA Engine'!$P$6:$P$1110,"&lt;&gt;Y")+SUMIFS('MA Engine'!$AL$6:$AL$1110,'MA Engine'!$B$6:$B$1110,$A118,'MA Engine'!$H$6:$H$1110,8,'MA Engine'!$I$6:$I$1110,"Unbilled")</f>
        <v>0</v>
      </c>
      <c r="AK118" s="7" t="n">
        <f aca="false">SUMIFS('MA Engine'!$AM$6:$AM$1110,'MA Engine'!$B$6:$B$1110,$A118,'MA Engine'!$H$6:$H$1110,8,'MA Engine'!$I$6:$I$1110,"DO",'MA Engine'!$P$6:$P$1110,"&lt;&gt;Y")+SUMIFS('MA Engine'!$AM$6:$AM$1110,'MA Engine'!$B$6:$B$1110,$A118,'MA Engine'!$H$6:$H$1110,8,'MA Engine'!$I$6:$I$1110,"Unbilled")</f>
        <v>14914.5087655243</v>
      </c>
      <c r="AL118" s="9" t="n">
        <f aca="false">AH118-AI118-AJ118-AK118</f>
        <v>0</v>
      </c>
      <c r="AM118" s="7" t="n">
        <f aca="false">IF(Q118=0,0,IF($D118="Karkas",SUMIFS('Karkas Detail'!$E$6:$E$42,'Karkas Detail'!$A$6:$A$42,$C118,'Karkas Detail'!$B$6:$B$42,$F118,'Karkas Detail'!$C$6:$C$42,$E118)/SUMIFS($Q$36:$Q$127,$C$36:$C$127,$C118,$D$36:$D$127,"Karkas",$F$36:$F$127,$F118,$E$36:$E$127,$E118),SUMIFS('Data SKU'!$G$5:$G$116,'Data SKU'!$A$5:$A$116,$C118,'Data SKU'!$B$5:$B$116,$D118,'Data SKU'!$C$5:$C$116,$E118,'Data SKU'!$D$5:$D$116,8,'Data SKU'!$N$5:$N$116,"Invoiced")/SUMIFS($Q$36:$Q$127,$C$36:$C$127,$C118,$D$36:$D$127,$D118,$E$36:$E$127,$E118))*Q118)+SUMIFS(Unbilled!$U$22:$U$38,Unbilled!$E$22:$E$38,$A118)</f>
        <v>6455837.72098459</v>
      </c>
      <c r="AN118" s="9" t="n">
        <f aca="false">IF(P118=0,0,AM118*AA118/P118)</f>
        <v>6440511.59052936</v>
      </c>
      <c r="AO118" s="9" t="n">
        <f aca="false">IF(P118=0,0,AM118*AB118/P118)</f>
        <v>0</v>
      </c>
      <c r="AP118" s="9" t="n">
        <f aca="false">IF(P118=0,0,AM118*AC118/P118)</f>
        <v>15326.1304552249</v>
      </c>
      <c r="AQ118" s="14" t="n">
        <f aca="false">MIN(U118+V118,MAX(0,O118-M118))</f>
        <v>273.15</v>
      </c>
      <c r="AR118" s="14" t="n">
        <f aca="false">MAX(0,AQ118-V118)*Z118</f>
        <v>273.15</v>
      </c>
      <c r="AS118" s="14" t="n">
        <f aca="false">MIN(V118,AQ118)*Z118</f>
        <v>0</v>
      </c>
      <c r="AT118" s="14" t="n">
        <f aca="false">(O118-AQ118)*Z118</f>
        <v>0.650000000000034</v>
      </c>
      <c r="AU118" s="9" t="n">
        <f aca="false">(AR118+AS118+AT118)*BA118</f>
        <v>6282450</v>
      </c>
      <c r="AV118" s="9" t="n">
        <f aca="false">IF(P118=0,0,AM118*AR118/P118)</f>
        <v>6440511.59052937</v>
      </c>
      <c r="AW118" s="9" t="n">
        <f aca="false">IF(P118=0,0,AM118*AS118/P118)</f>
        <v>0</v>
      </c>
      <c r="AX118" s="9" t="n">
        <f aca="false">IF(P118=0,0,AM118*AT118/P118)</f>
        <v>15326.1304552235</v>
      </c>
      <c r="AY118" s="9" t="n">
        <f aca="false">AH118-AU118</f>
        <v>0</v>
      </c>
      <c r="AZ118" s="9" t="n">
        <f aca="false">IF(M118&gt;0,P118*AG118,0)</f>
        <v>0</v>
      </c>
      <c r="BA118" s="9" t="n">
        <f aca="false">IF(P118=0,0,AH118/P118)</f>
        <v>22945.3981008035</v>
      </c>
      <c r="BB118" s="74" t="s">
        <v>246</v>
      </c>
      <c r="BC118" s="13" t="n">
        <f aca="false">SUMIFS('MA Engine'!$W$6:$W$1110,'MA Engine'!$B$6:$B$1110,$A118,'MA Engine'!$H$6:$H$1110,7,'MA Engine'!$I$6:$I$1110,"DO")</f>
        <v>462.4</v>
      </c>
      <c r="BD118" s="14" t="n">
        <f aca="false">MIN(MAX(0,H118),J118)</f>
        <v>462.4</v>
      </c>
      <c r="BE118" s="14" t="n">
        <f aca="false">J118-BD118</f>
        <v>0</v>
      </c>
      <c r="BF118" s="21" t="n">
        <f aca="false">IF(J118=0,0,BC118/J118)</f>
        <v>1</v>
      </c>
      <c r="BG118" s="13" t="n">
        <f aca="false">SUMIFS('MA Engine'!$AH$6:$AH$1110,'MA Engine'!$B$6:$B$1110,$A118,'MA Engine'!$H$6:$H$1110,7,'MA Engine'!$I$6:$I$1110,"DO")</f>
        <v>462.4</v>
      </c>
      <c r="BH118" s="13" t="n">
        <f aca="false">SUMIFS('MA Engine'!$AI$6:$AI$1110,'MA Engine'!$B$6:$B$1110,$A118,'MA Engine'!$H$6:$H$1110,7,'MA Engine'!$I$6:$I$1110,"DO")+SUMIFS('MA Engine'!$AJ$6:$AJ$1110,'MA Engine'!$B$6:$B$1110,$A118,'MA Engine'!$H$6:$H$1110,7,'MA Engine'!$I$6:$I$1110,"DO")</f>
        <v>0</v>
      </c>
      <c r="BI118" s="7" t="n">
        <f aca="false">IF(H118&gt;0,SUMIFS('MA Engine'!$L$6:$L$1110,'MA Engine'!$B$6:$B$1110,$A118,'MA Engine'!$I$6:$I$1110,"Opening")/H118,0)</f>
        <v>23000</v>
      </c>
      <c r="BJ118" s="9" t="n">
        <f aca="false">IF(I118&gt;0,AD118/I118,BI118)</f>
        <v>23000</v>
      </c>
      <c r="BK118" s="7" t="n">
        <f aca="false">SUMIFS('MA Engine'!$X$6:$X$1110,'MA Engine'!$B$6:$B$1110,$A118,'MA Engine'!$H$6:$H$1110,7,'MA Engine'!$I$6:$I$1110,"DO")</f>
        <v>10635200</v>
      </c>
      <c r="BL118" s="7" t="n">
        <f aca="false">SUMIFS('MA Engine'!$AK$6:$AK$1110,'MA Engine'!$B$6:$B$1110,$A118,'MA Engine'!$H$6:$H$1110,7,'MA Engine'!$I$6:$I$1110,"DO")</f>
        <v>10635200</v>
      </c>
      <c r="BM118" s="7" t="n">
        <f aca="false">SUMIFS('MA Engine'!$AL$6:$AL$1110,'MA Engine'!$B$6:$B$1110,$A118,'MA Engine'!$H$6:$H$1110,7,'MA Engine'!$I$6:$I$1110,"DO")+SUMIFS('MA Engine'!$AM$6:$AM$1110,'MA Engine'!$B$6:$B$1110,$A118,'MA Engine'!$H$6:$H$1110,7,'MA Engine'!$I$6:$I$1110,"DO")</f>
        <v>0</v>
      </c>
      <c r="BN118" s="9" t="n">
        <f aca="false">BK118-BL118-BM118</f>
        <v>0</v>
      </c>
      <c r="BO118" s="7" t="n">
        <f aca="false">IF(BC118=0,0,SUMIFS('Data SKU'!$G$5:$G$116,'Data SKU'!$A$5:$A$116,$C118,'Data SKU'!$B$5:$B$116,$D118,'Data SKU'!$C$5:$C$116,$E118,'Data SKU'!$D$5:$D$116,7,'Data SKU'!$N$5:$N$116,"Invoiced")/SUMIFS($BC$36:$BC$127,$C$36:$C$127,$C118,$D$36:$D$127,$D118,$E$36:$E$127,$E118)*BC118)</f>
        <v>12694220.4167995</v>
      </c>
      <c r="BP118" s="9" t="n">
        <f aca="false">IF(BC118=0,0,BO118*BG118/BC118)</f>
        <v>12694220.4167995</v>
      </c>
      <c r="BQ118" s="9" t="n">
        <f aca="false">IF(BC118=0,0,BO118*BH118/BC118)</f>
        <v>0</v>
      </c>
    </row>
    <row r="119" customFormat="false" ht="15" hidden="false" customHeight="false" outlineLevel="0" collapsed="false">
      <c r="A119" s="74" t="s">
        <v>1031</v>
      </c>
      <c r="B119" s="53" t="str">
        <f aca="false">INDEX(I_Items!$B$5:$B$133,MATCH($A119,I_Items!$A$5:$A$133,0))&amp;""</f>
        <v>Karkas Uk 1.6</v>
      </c>
      <c r="C119" s="53" t="str">
        <f aca="false">INDEX(I_Items!$C$5:$C$133,MATCH($A119,I_Items!$A$5:$A$133,0))&amp;""</f>
        <v>Trading</v>
      </c>
      <c r="D119" s="53" t="str">
        <f aca="false">INDEX(I_Items!$D$5:$D$133,MATCH($A119,I_Items!$A$5:$A$133,0))&amp;""</f>
        <v>Karkas</v>
      </c>
      <c r="E119" s="53" t="str">
        <f aca="false">INDEX(I_Items!$F$5:$F$133,MATCH($A119,I_Items!$A$5:$A$133,0))&amp;""</f>
        <v>Not stated in item master</v>
      </c>
      <c r="F119" s="53" t="str">
        <f aca="false">INDEX(I_Items!$E$5:$E$133,MATCH($A119,I_Items!$A$5:$A$133,0))&amp;""</f>
        <v>Uk 1.6</v>
      </c>
      <c r="G119" s="6" t="str">
        <f aca="false">IF(P119=0,"-",IF(M119=0,"A",IF(K119&lt;=0,"C","B")))</f>
        <v>-</v>
      </c>
      <c r="H119" s="13" t="n">
        <f aca="false">SUMIFS('MA Engine'!$K$6:$K$1110,'MA Engine'!$B$6:$B$1110,$A119,'MA Engine'!$I$6:$I$1110,"Opening")</f>
        <v>565.1</v>
      </c>
      <c r="I119" s="13" t="n">
        <f aca="false">SUMIFS('MA Engine'!$K$6:$K$1110,'MA Engine'!$B$6:$B$1110,$A119,'MA Engine'!$H$6:$H$1110,7,'MA Engine'!$I$6:$I$1110,"&lt;&gt;Opening")</f>
        <v>0</v>
      </c>
      <c r="J119" s="13" t="n">
        <f aca="false">SUMIFS('MA Engine'!$W$6:$W$1110,'MA Engine'!$B$6:$B$1110,$A119,'MA Engine'!$H$6:$H$1110,7)</f>
        <v>565</v>
      </c>
      <c r="K119" s="14" t="n">
        <f aca="false">H119+I119-J119</f>
        <v>0.100000000000023</v>
      </c>
      <c r="L119" s="7" t="n">
        <f aca="false">SUMIFS('MA Engine'!$L$6:$L$1110,'MA Engine'!$B$6:$B$1110,$A119,'MA Engine'!$I$6:$I$1110,"Opening")+SUMIFS('MA Engine'!$L$6:$L$1110,'MA Engine'!$B$6:$B$1110,$A119,'MA Engine'!$H$6:$H$1110,7,'MA Engine'!$I$6:$I$1110,"&lt;&gt;Opening")-SUMIFS('MA Engine'!$X$6:$X$1110,'MA Engine'!$B$6:$B$1110,$A119,'MA Engine'!$H$6:$H$1110,7)</f>
        <v>2300</v>
      </c>
      <c r="M119" s="13" t="n">
        <f aca="false">SUMIFS('MA Engine'!$K$6:$K$1110,'MA Engine'!$B$6:$B$1110,$A119,'MA Engine'!$H$6:$H$1110,8)</f>
        <v>0</v>
      </c>
      <c r="N119" s="7" t="n">
        <f aca="false">SUMIFS('MA Engine'!$L$6:$L$1110,'MA Engine'!$B$6:$B$1110,$A119,'MA Engine'!$H$6:$H$1110,8)</f>
        <v>0</v>
      </c>
      <c r="O119" s="13" t="n">
        <f aca="false">SUMIFS('MA Engine'!$W$6:$W$1110,'MA Engine'!$B$6:$B$1110,$A119,'MA Engine'!$H$6:$H$1110,8)</f>
        <v>0</v>
      </c>
      <c r="P119" s="14" t="n">
        <f aca="false">Q119+R119</f>
        <v>0</v>
      </c>
      <c r="Q119" s="13" t="n">
        <f aca="false">SUMIFS('MA Engine'!$W$6:$W$1110,'MA Engine'!$B$6:$B$1110,$A119,'MA Engine'!$H$6:$H$1110,8,'MA Engine'!$I$6:$I$1110,"DO",'MA Engine'!$P$6:$P$1110,"&lt;&gt;Y")</f>
        <v>0</v>
      </c>
      <c r="R119" s="13" t="n">
        <f aca="false">SUMIFS('MA Engine'!$W$6:$W$1110,'MA Engine'!$B$6:$B$1110,$A119,'MA Engine'!$H$6:$H$1110,8,'MA Engine'!$I$6:$I$1110,"Unbilled")</f>
        <v>0</v>
      </c>
      <c r="S119" s="13" t="n">
        <f aca="false">SUMIFS('MA Engine'!$W$6:$W$1110,'MA Engine'!$B$6:$B$1110,$A119,'MA Engine'!$H$6:$H$1110,8,'MA Engine'!$P$6:$P$1110,"Y")</f>
        <v>0</v>
      </c>
      <c r="T119" s="14" t="n">
        <f aca="false">O119-P119-S119</f>
        <v>0</v>
      </c>
      <c r="U119" s="14" t="n">
        <f aca="false">MAX(0,H119-J119)</f>
        <v>0.100000000000023</v>
      </c>
      <c r="V119" s="14" t="n">
        <f aca="false">MAX(0,K119-U119)</f>
        <v>0</v>
      </c>
      <c r="W119" s="14" t="n">
        <f aca="false">MIN(U119,O119)</f>
        <v>0</v>
      </c>
      <c r="X119" s="14" t="n">
        <f aca="false">MIN(V119,O119-W119)</f>
        <v>0</v>
      </c>
      <c r="Y119" s="14" t="n">
        <f aca="false">O119-W119-X119</f>
        <v>0</v>
      </c>
      <c r="Z119" s="21" t="n">
        <f aca="false">IF(O119=0,0,P119/O119)</f>
        <v>0</v>
      </c>
      <c r="AA119" s="13" t="n">
        <f aca="false">SUMIFS('MA Engine'!$AH$6:$AH$1110,'MA Engine'!$B$6:$B$1110,$A119,'MA Engine'!$H$6:$H$1110,8,'MA Engine'!$I$6:$I$1110,"DO",'MA Engine'!$P$6:$P$1110,"&lt;&gt;Y")+SUMIFS('MA Engine'!$AH$6:$AH$1110,'MA Engine'!$B$6:$B$1110,$A119,'MA Engine'!$H$6:$H$1110,8,'MA Engine'!$I$6:$I$1110,"Unbilled")</f>
        <v>0</v>
      </c>
      <c r="AB119" s="13" t="n">
        <f aca="false">SUMIFS('MA Engine'!$AI$6:$AI$1110,'MA Engine'!$B$6:$B$1110,$A119,'MA Engine'!$H$6:$H$1110,8,'MA Engine'!$I$6:$I$1110,"DO",'MA Engine'!$P$6:$P$1110,"&lt;&gt;Y")+SUMIFS('MA Engine'!$AI$6:$AI$1110,'MA Engine'!$B$6:$B$1110,$A119,'MA Engine'!$H$6:$H$1110,8,'MA Engine'!$I$6:$I$1110,"Unbilled")</f>
        <v>0</v>
      </c>
      <c r="AC119" s="13" t="n">
        <f aca="false">SUMIFS('MA Engine'!$AJ$6:$AJ$1110,'MA Engine'!$B$6:$B$1110,$A119,'MA Engine'!$H$6:$H$1110,8,'MA Engine'!$I$6:$I$1110,"DO",'MA Engine'!$P$6:$P$1110,"&lt;&gt;Y")+SUMIFS('MA Engine'!$AJ$6:$AJ$1110,'MA Engine'!$B$6:$B$1110,$A119,'MA Engine'!$H$6:$H$1110,8,'MA Engine'!$I$6:$I$1110,"Unbilled")</f>
        <v>0</v>
      </c>
      <c r="AD119" s="7" t="n">
        <f aca="false">SUMIFS('MA Engine'!$L$6:$L$1110,'MA Engine'!$B$6:$B$1110,$A119,'MA Engine'!$H$6:$H$1110,7,'MA Engine'!$I$6:$I$1110,"&lt;&gt;Opening")</f>
        <v>0</v>
      </c>
      <c r="AE119" s="9" t="n">
        <f aca="false">IF(AND(U119&gt;0.0001,(L119-V119*IF(I119&gt;0,AD119/I119,IF(K119&gt;0,L119/K119,0)))&lt;0),IF(K119&gt;0,L119/K119,0),IF(I119&gt;0,AD119/I119,IF(K119&gt;0,L119/K119,0)))</f>
        <v>22999.9999999948</v>
      </c>
      <c r="AF119" s="9" t="n">
        <f aca="false">IF(U119&lt;=0.0001,IF(K119&gt;0,L119/K119,0),IF((L119-V119*IF(I119&gt;0,AD119/I119,IF(K119&gt;0,L119/K119,0)))&lt;0,IF(K119&gt;0,L119/K119,0),(L119-V119*IF(I119&gt;0,AD119/I119,IF(K119&gt;0,L119/K119,0)))/U119))</f>
        <v>22999.9999999948</v>
      </c>
      <c r="AG119" s="9" t="n">
        <f aca="false">IF(M119&gt;0,N119/M119,IF(K119&gt;0,L119/K119,0))</f>
        <v>22999.9999999948</v>
      </c>
      <c r="AH119" s="7" t="n">
        <f aca="false">SUMIFS('MA Engine'!$X$6:$X$1110,'MA Engine'!$B$6:$B$1110,$A119,'MA Engine'!$H$6:$H$1110,8,'MA Engine'!$I$6:$I$1110,"DO",'MA Engine'!$P$6:$P$1110,"&lt;&gt;Y")+SUMIFS('MA Engine'!$X$6:$X$1110,'MA Engine'!$B$6:$B$1110,$A119,'MA Engine'!$H$6:$H$1110,8,'MA Engine'!$I$6:$I$1110,"Unbilled")</f>
        <v>0</v>
      </c>
      <c r="AI119" s="7" t="n">
        <f aca="false">SUMIFS('MA Engine'!$AK$6:$AK$1110,'MA Engine'!$B$6:$B$1110,$A119,'MA Engine'!$H$6:$H$1110,8,'MA Engine'!$I$6:$I$1110,"DO",'MA Engine'!$P$6:$P$1110,"&lt;&gt;Y")+SUMIFS('MA Engine'!$AK$6:$AK$1110,'MA Engine'!$B$6:$B$1110,$A119,'MA Engine'!$H$6:$H$1110,8,'MA Engine'!$I$6:$I$1110,"Unbilled")</f>
        <v>0</v>
      </c>
      <c r="AJ119" s="7" t="n">
        <f aca="false">SUMIFS('MA Engine'!$AL$6:$AL$1110,'MA Engine'!$B$6:$B$1110,$A119,'MA Engine'!$H$6:$H$1110,8,'MA Engine'!$I$6:$I$1110,"DO",'MA Engine'!$P$6:$P$1110,"&lt;&gt;Y")+SUMIFS('MA Engine'!$AL$6:$AL$1110,'MA Engine'!$B$6:$B$1110,$A119,'MA Engine'!$H$6:$H$1110,8,'MA Engine'!$I$6:$I$1110,"Unbilled")</f>
        <v>0</v>
      </c>
      <c r="AK119" s="7" t="n">
        <f aca="false">SUMIFS('MA Engine'!$AM$6:$AM$1110,'MA Engine'!$B$6:$B$1110,$A119,'MA Engine'!$H$6:$H$1110,8,'MA Engine'!$I$6:$I$1110,"DO",'MA Engine'!$P$6:$P$1110,"&lt;&gt;Y")+SUMIFS('MA Engine'!$AM$6:$AM$1110,'MA Engine'!$B$6:$B$1110,$A119,'MA Engine'!$H$6:$H$1110,8,'MA Engine'!$I$6:$I$1110,"Unbilled")</f>
        <v>0</v>
      </c>
      <c r="AL119" s="9" t="n">
        <f aca="false">AH119-AI119-AJ119-AK119</f>
        <v>0</v>
      </c>
      <c r="AM119" s="7" t="n">
        <f aca="false">IF(Q119=0,0,IF($D119="Karkas",SUMIFS('Karkas Detail'!$E$6:$E$42,'Karkas Detail'!$A$6:$A$42,$C119,'Karkas Detail'!$B$6:$B$42,$F119,'Karkas Detail'!$C$6:$C$42,$E119)/SUMIFS($Q$36:$Q$127,$C$36:$C$127,$C119,$D$36:$D$127,"Karkas",$F$36:$F$127,$F119,$E$36:$E$127,$E119),SUMIFS('Data SKU'!$G$5:$G$116,'Data SKU'!$A$5:$A$116,$C119,'Data SKU'!$B$5:$B$116,$D119,'Data SKU'!$C$5:$C$116,$E119,'Data SKU'!$D$5:$D$116,8,'Data SKU'!$N$5:$N$116,"Invoiced")/SUMIFS($Q$36:$Q$127,$C$36:$C$127,$C119,$D$36:$D$127,$D119,$E$36:$E$127,$E119))*Q119)+SUMIFS(Unbilled!$U$22:$U$38,Unbilled!$E$22:$E$38,$A119)</f>
        <v>0</v>
      </c>
      <c r="AN119" s="9" t="n">
        <f aca="false">IF(P119=0,0,AM119*AA119/P119)</f>
        <v>0</v>
      </c>
      <c r="AO119" s="9" t="n">
        <f aca="false">IF(P119=0,0,AM119*AB119/P119)</f>
        <v>0</v>
      </c>
      <c r="AP119" s="9" t="n">
        <f aca="false">IF(P119=0,0,AM119*AC119/P119)</f>
        <v>0</v>
      </c>
      <c r="AQ119" s="14" t="n">
        <f aca="false">MIN(U119+V119,MAX(0,O119-M119))</f>
        <v>0</v>
      </c>
      <c r="AR119" s="14" t="n">
        <f aca="false">MAX(0,AQ119-V119)*Z119</f>
        <v>0</v>
      </c>
      <c r="AS119" s="14" t="n">
        <f aca="false">MIN(V119,AQ119)*Z119</f>
        <v>0</v>
      </c>
      <c r="AT119" s="14" t="n">
        <f aca="false">(O119-AQ119)*Z119</f>
        <v>0</v>
      </c>
      <c r="AU119" s="9" t="n">
        <f aca="false">(AR119+AS119+AT119)*BA119</f>
        <v>0</v>
      </c>
      <c r="AV119" s="9" t="n">
        <f aca="false">IF(P119=0,0,AM119*AR119/P119)</f>
        <v>0</v>
      </c>
      <c r="AW119" s="9" t="n">
        <f aca="false">IF(P119=0,0,AM119*AS119/P119)</f>
        <v>0</v>
      </c>
      <c r="AX119" s="9" t="n">
        <f aca="false">IF(P119=0,0,AM119*AT119/P119)</f>
        <v>0</v>
      </c>
      <c r="AY119" s="9" t="n">
        <f aca="false">AH119-AU119</f>
        <v>0</v>
      </c>
      <c r="AZ119" s="9" t="n">
        <f aca="false">IF(M119&gt;0,P119*AG119,0)</f>
        <v>0</v>
      </c>
      <c r="BA119" s="9" t="n">
        <f aca="false">IF(P119=0,0,AH119/P119)</f>
        <v>0</v>
      </c>
      <c r="BB119" s="74" t="s">
        <v>246</v>
      </c>
      <c r="BC119" s="13" t="n">
        <f aca="false">SUMIFS('MA Engine'!$W$6:$W$1110,'MA Engine'!$B$6:$B$1110,$A119,'MA Engine'!$H$6:$H$1110,7,'MA Engine'!$I$6:$I$1110,"DO")</f>
        <v>565</v>
      </c>
      <c r="BD119" s="14" t="n">
        <f aca="false">MIN(MAX(0,H119),J119)</f>
        <v>565</v>
      </c>
      <c r="BE119" s="14" t="n">
        <f aca="false">J119-BD119</f>
        <v>0</v>
      </c>
      <c r="BF119" s="21" t="n">
        <f aca="false">IF(J119=0,0,BC119/J119)</f>
        <v>1</v>
      </c>
      <c r="BG119" s="13" t="n">
        <f aca="false">SUMIFS('MA Engine'!$AH$6:$AH$1110,'MA Engine'!$B$6:$B$1110,$A119,'MA Engine'!$H$6:$H$1110,7,'MA Engine'!$I$6:$I$1110,"DO")</f>
        <v>565</v>
      </c>
      <c r="BH119" s="13" t="n">
        <f aca="false">SUMIFS('MA Engine'!$AI$6:$AI$1110,'MA Engine'!$B$6:$B$1110,$A119,'MA Engine'!$H$6:$H$1110,7,'MA Engine'!$I$6:$I$1110,"DO")+SUMIFS('MA Engine'!$AJ$6:$AJ$1110,'MA Engine'!$B$6:$B$1110,$A119,'MA Engine'!$H$6:$H$1110,7,'MA Engine'!$I$6:$I$1110,"DO")</f>
        <v>0</v>
      </c>
      <c r="BI119" s="7" t="n">
        <f aca="false">IF(H119&gt;0,SUMIFS('MA Engine'!$L$6:$L$1110,'MA Engine'!$B$6:$B$1110,$A119,'MA Engine'!$I$6:$I$1110,"Opening")/H119,0)</f>
        <v>23000</v>
      </c>
      <c r="BJ119" s="9" t="n">
        <f aca="false">IF(I119&gt;0,AD119/I119,BI119)</f>
        <v>23000</v>
      </c>
      <c r="BK119" s="7" t="n">
        <f aca="false">SUMIFS('MA Engine'!$X$6:$X$1110,'MA Engine'!$B$6:$B$1110,$A119,'MA Engine'!$H$6:$H$1110,7,'MA Engine'!$I$6:$I$1110,"DO")</f>
        <v>12995000</v>
      </c>
      <c r="BL119" s="7" t="n">
        <f aca="false">SUMIFS('MA Engine'!$AK$6:$AK$1110,'MA Engine'!$B$6:$B$1110,$A119,'MA Engine'!$H$6:$H$1110,7,'MA Engine'!$I$6:$I$1110,"DO")</f>
        <v>12995000</v>
      </c>
      <c r="BM119" s="7" t="n">
        <f aca="false">SUMIFS('MA Engine'!$AL$6:$AL$1110,'MA Engine'!$B$6:$B$1110,$A119,'MA Engine'!$H$6:$H$1110,7,'MA Engine'!$I$6:$I$1110,"DO")+SUMIFS('MA Engine'!$AM$6:$AM$1110,'MA Engine'!$B$6:$B$1110,$A119,'MA Engine'!$H$6:$H$1110,7,'MA Engine'!$I$6:$I$1110,"DO")</f>
        <v>0</v>
      </c>
      <c r="BN119" s="9" t="n">
        <f aca="false">BK119-BL119-BM119</f>
        <v>0</v>
      </c>
      <c r="BO119" s="7" t="n">
        <f aca="false">IF(BC119=0,0,SUMIFS('Data SKU'!$G$5:$G$116,'Data SKU'!$A$5:$A$116,$C119,'Data SKU'!$B$5:$B$116,$D119,'Data SKU'!$C$5:$C$116,$E119,'Data SKU'!$D$5:$D$116,7,'Data SKU'!$N$5:$N$116,"Invoiced")/SUMIFS($BC$36:$BC$127,$C$36:$C$127,$C119,$D$36:$D$127,$D119,$E$36:$E$127,$E119)*BC119)</f>
        <v>15510887.836271</v>
      </c>
      <c r="BP119" s="9" t="n">
        <f aca="false">IF(BC119=0,0,BO119*BG119/BC119)</f>
        <v>15510887.836271</v>
      </c>
      <c r="BQ119" s="9" t="n">
        <f aca="false">IF(BC119=0,0,BO119*BH119/BC119)</f>
        <v>0</v>
      </c>
    </row>
    <row r="120" customFormat="false" ht="15" hidden="false" customHeight="false" outlineLevel="0" collapsed="false">
      <c r="A120" s="74" t="s">
        <v>1032</v>
      </c>
      <c r="B120" s="53" t="str">
        <f aca="false">INDEX(I_Items!$B$5:$B$133,MATCH($A120,I_Items!$A$5:$A$133,0))&amp;""</f>
        <v>Karkas Uk 1.7</v>
      </c>
      <c r="C120" s="53" t="str">
        <f aca="false">INDEX(I_Items!$C$5:$C$133,MATCH($A120,I_Items!$A$5:$A$133,0))&amp;""</f>
        <v>Trading</v>
      </c>
      <c r="D120" s="53" t="str">
        <f aca="false">INDEX(I_Items!$D$5:$D$133,MATCH($A120,I_Items!$A$5:$A$133,0))&amp;""</f>
        <v>Karkas</v>
      </c>
      <c r="E120" s="53" t="str">
        <f aca="false">INDEX(I_Items!$F$5:$F$133,MATCH($A120,I_Items!$A$5:$A$133,0))&amp;""</f>
        <v>Not stated in item master</v>
      </c>
      <c r="F120" s="53" t="str">
        <f aca="false">INDEX(I_Items!$E$5:$E$133,MATCH($A120,I_Items!$A$5:$A$133,0))&amp;""</f>
        <v>Uk 1.7</v>
      </c>
      <c r="G120" s="6" t="str">
        <f aca="false">IF(P120=0,"-",IF(M120=0,"A",IF(K120&lt;=0,"C","B")))</f>
        <v>-</v>
      </c>
      <c r="H120" s="13" t="n">
        <f aca="false">SUMIFS('MA Engine'!$K$6:$K$1110,'MA Engine'!$B$6:$B$1110,$A120,'MA Engine'!$I$6:$I$1110,"Opening")</f>
        <v>340.1</v>
      </c>
      <c r="I120" s="13" t="n">
        <f aca="false">SUMIFS('MA Engine'!$K$6:$K$1110,'MA Engine'!$B$6:$B$1110,$A120,'MA Engine'!$H$6:$H$1110,7,'MA Engine'!$I$6:$I$1110,"&lt;&gt;Opening")</f>
        <v>0</v>
      </c>
      <c r="J120" s="13" t="n">
        <f aca="false">SUMIFS('MA Engine'!$W$6:$W$1110,'MA Engine'!$B$6:$B$1110,$A120,'MA Engine'!$H$6:$H$1110,7)</f>
        <v>337.1</v>
      </c>
      <c r="K120" s="14" t="n">
        <f aca="false">H120+I120-J120</f>
        <v>3</v>
      </c>
      <c r="L120" s="7" t="n">
        <f aca="false">SUMIFS('MA Engine'!$L$6:$L$1110,'MA Engine'!$B$6:$B$1110,$A120,'MA Engine'!$I$6:$I$1110,"Opening")+SUMIFS('MA Engine'!$L$6:$L$1110,'MA Engine'!$B$6:$B$1110,$A120,'MA Engine'!$H$6:$H$1110,7,'MA Engine'!$I$6:$I$1110,"&lt;&gt;Opening")-SUMIFS('MA Engine'!$X$6:$X$1110,'MA Engine'!$B$6:$B$1110,$A120,'MA Engine'!$H$6:$H$1110,7)</f>
        <v>68999.9999999991</v>
      </c>
      <c r="M120" s="13" t="n">
        <f aca="false">SUMIFS('MA Engine'!$K$6:$K$1110,'MA Engine'!$B$6:$B$1110,$A120,'MA Engine'!$H$6:$H$1110,8)</f>
        <v>0</v>
      </c>
      <c r="N120" s="7" t="n">
        <f aca="false">SUMIFS('MA Engine'!$L$6:$L$1110,'MA Engine'!$B$6:$B$1110,$A120,'MA Engine'!$H$6:$H$1110,8)</f>
        <v>0</v>
      </c>
      <c r="O120" s="13" t="n">
        <f aca="false">SUMIFS('MA Engine'!$W$6:$W$1110,'MA Engine'!$B$6:$B$1110,$A120,'MA Engine'!$H$6:$H$1110,8)</f>
        <v>0</v>
      </c>
      <c r="P120" s="14" t="n">
        <f aca="false">Q120+R120</f>
        <v>0</v>
      </c>
      <c r="Q120" s="13" t="n">
        <f aca="false">SUMIFS('MA Engine'!$W$6:$W$1110,'MA Engine'!$B$6:$B$1110,$A120,'MA Engine'!$H$6:$H$1110,8,'MA Engine'!$I$6:$I$1110,"DO",'MA Engine'!$P$6:$P$1110,"&lt;&gt;Y")</f>
        <v>0</v>
      </c>
      <c r="R120" s="13" t="n">
        <f aca="false">SUMIFS('MA Engine'!$W$6:$W$1110,'MA Engine'!$B$6:$B$1110,$A120,'MA Engine'!$H$6:$H$1110,8,'MA Engine'!$I$6:$I$1110,"Unbilled")</f>
        <v>0</v>
      </c>
      <c r="S120" s="13" t="n">
        <f aca="false">SUMIFS('MA Engine'!$W$6:$W$1110,'MA Engine'!$B$6:$B$1110,$A120,'MA Engine'!$H$6:$H$1110,8,'MA Engine'!$P$6:$P$1110,"Y")</f>
        <v>0</v>
      </c>
      <c r="T120" s="14" t="n">
        <f aca="false">O120-P120-S120</f>
        <v>0</v>
      </c>
      <c r="U120" s="14" t="n">
        <f aca="false">MAX(0,H120-J120)</f>
        <v>3</v>
      </c>
      <c r="V120" s="14" t="n">
        <f aca="false">MAX(0,K120-U120)</f>
        <v>0</v>
      </c>
      <c r="W120" s="14" t="n">
        <f aca="false">MIN(U120,O120)</f>
        <v>0</v>
      </c>
      <c r="X120" s="14" t="n">
        <f aca="false">MIN(V120,O120-W120)</f>
        <v>0</v>
      </c>
      <c r="Y120" s="14" t="n">
        <f aca="false">O120-W120-X120</f>
        <v>0</v>
      </c>
      <c r="Z120" s="21" t="n">
        <f aca="false">IF(O120=0,0,P120/O120)</f>
        <v>0</v>
      </c>
      <c r="AA120" s="13" t="n">
        <f aca="false">SUMIFS('MA Engine'!$AH$6:$AH$1110,'MA Engine'!$B$6:$B$1110,$A120,'MA Engine'!$H$6:$H$1110,8,'MA Engine'!$I$6:$I$1110,"DO",'MA Engine'!$P$6:$P$1110,"&lt;&gt;Y")+SUMIFS('MA Engine'!$AH$6:$AH$1110,'MA Engine'!$B$6:$B$1110,$A120,'MA Engine'!$H$6:$H$1110,8,'MA Engine'!$I$6:$I$1110,"Unbilled")</f>
        <v>0</v>
      </c>
      <c r="AB120" s="13" t="n">
        <f aca="false">SUMIFS('MA Engine'!$AI$6:$AI$1110,'MA Engine'!$B$6:$B$1110,$A120,'MA Engine'!$H$6:$H$1110,8,'MA Engine'!$I$6:$I$1110,"DO",'MA Engine'!$P$6:$P$1110,"&lt;&gt;Y")+SUMIFS('MA Engine'!$AI$6:$AI$1110,'MA Engine'!$B$6:$B$1110,$A120,'MA Engine'!$H$6:$H$1110,8,'MA Engine'!$I$6:$I$1110,"Unbilled")</f>
        <v>0</v>
      </c>
      <c r="AC120" s="13" t="n">
        <f aca="false">SUMIFS('MA Engine'!$AJ$6:$AJ$1110,'MA Engine'!$B$6:$B$1110,$A120,'MA Engine'!$H$6:$H$1110,8,'MA Engine'!$I$6:$I$1110,"DO",'MA Engine'!$P$6:$P$1110,"&lt;&gt;Y")+SUMIFS('MA Engine'!$AJ$6:$AJ$1110,'MA Engine'!$B$6:$B$1110,$A120,'MA Engine'!$H$6:$H$1110,8,'MA Engine'!$I$6:$I$1110,"Unbilled")</f>
        <v>0</v>
      </c>
      <c r="AD120" s="7" t="n">
        <f aca="false">SUMIFS('MA Engine'!$L$6:$L$1110,'MA Engine'!$B$6:$B$1110,$A120,'MA Engine'!$H$6:$H$1110,7,'MA Engine'!$I$6:$I$1110,"&lt;&gt;Opening")</f>
        <v>0</v>
      </c>
      <c r="AE120" s="9" t="n">
        <f aca="false">IF(AND(U120&gt;0.0001,(L120-V120*IF(I120&gt;0,AD120/I120,IF(K120&gt;0,L120/K120,0)))&lt;0),IF(K120&gt;0,L120/K120,0),IF(I120&gt;0,AD120/I120,IF(K120&gt;0,L120/K120,0)))</f>
        <v>22999.9999999997</v>
      </c>
      <c r="AF120" s="9" t="n">
        <f aca="false">IF(U120&lt;=0.0001,IF(K120&gt;0,L120/K120,0),IF((L120-V120*IF(I120&gt;0,AD120/I120,IF(K120&gt;0,L120/K120,0)))&lt;0,IF(K120&gt;0,L120/K120,0),(L120-V120*IF(I120&gt;0,AD120/I120,IF(K120&gt;0,L120/K120,0)))/U120))</f>
        <v>22999.9999999997</v>
      </c>
      <c r="AG120" s="9" t="n">
        <f aca="false">IF(M120&gt;0,N120/M120,IF(K120&gt;0,L120/K120,0))</f>
        <v>22999.9999999997</v>
      </c>
      <c r="AH120" s="7" t="n">
        <f aca="false">SUMIFS('MA Engine'!$X$6:$X$1110,'MA Engine'!$B$6:$B$1110,$A120,'MA Engine'!$H$6:$H$1110,8,'MA Engine'!$I$6:$I$1110,"DO",'MA Engine'!$P$6:$P$1110,"&lt;&gt;Y")+SUMIFS('MA Engine'!$X$6:$X$1110,'MA Engine'!$B$6:$B$1110,$A120,'MA Engine'!$H$6:$H$1110,8,'MA Engine'!$I$6:$I$1110,"Unbilled")</f>
        <v>0</v>
      </c>
      <c r="AI120" s="7" t="n">
        <f aca="false">SUMIFS('MA Engine'!$AK$6:$AK$1110,'MA Engine'!$B$6:$B$1110,$A120,'MA Engine'!$H$6:$H$1110,8,'MA Engine'!$I$6:$I$1110,"DO",'MA Engine'!$P$6:$P$1110,"&lt;&gt;Y")+SUMIFS('MA Engine'!$AK$6:$AK$1110,'MA Engine'!$B$6:$B$1110,$A120,'MA Engine'!$H$6:$H$1110,8,'MA Engine'!$I$6:$I$1110,"Unbilled")</f>
        <v>0</v>
      </c>
      <c r="AJ120" s="7" t="n">
        <f aca="false">SUMIFS('MA Engine'!$AL$6:$AL$1110,'MA Engine'!$B$6:$B$1110,$A120,'MA Engine'!$H$6:$H$1110,8,'MA Engine'!$I$6:$I$1110,"DO",'MA Engine'!$P$6:$P$1110,"&lt;&gt;Y")+SUMIFS('MA Engine'!$AL$6:$AL$1110,'MA Engine'!$B$6:$B$1110,$A120,'MA Engine'!$H$6:$H$1110,8,'MA Engine'!$I$6:$I$1110,"Unbilled")</f>
        <v>0</v>
      </c>
      <c r="AK120" s="7" t="n">
        <f aca="false">SUMIFS('MA Engine'!$AM$6:$AM$1110,'MA Engine'!$B$6:$B$1110,$A120,'MA Engine'!$H$6:$H$1110,8,'MA Engine'!$I$6:$I$1110,"DO",'MA Engine'!$P$6:$P$1110,"&lt;&gt;Y")+SUMIFS('MA Engine'!$AM$6:$AM$1110,'MA Engine'!$B$6:$B$1110,$A120,'MA Engine'!$H$6:$H$1110,8,'MA Engine'!$I$6:$I$1110,"Unbilled")</f>
        <v>0</v>
      </c>
      <c r="AL120" s="9" t="n">
        <f aca="false">AH120-AI120-AJ120-AK120</f>
        <v>0</v>
      </c>
      <c r="AM120" s="7" t="n">
        <f aca="false">IF(Q120=0,0,IF($D120="Karkas",SUMIFS('Karkas Detail'!$E$6:$E$42,'Karkas Detail'!$A$6:$A$42,$C120,'Karkas Detail'!$B$6:$B$42,$F120,'Karkas Detail'!$C$6:$C$42,$E120)/SUMIFS($Q$36:$Q$127,$C$36:$C$127,$C120,$D$36:$D$127,"Karkas",$F$36:$F$127,$F120,$E$36:$E$127,$E120),SUMIFS('Data SKU'!$G$5:$G$116,'Data SKU'!$A$5:$A$116,$C120,'Data SKU'!$B$5:$B$116,$D120,'Data SKU'!$C$5:$C$116,$E120,'Data SKU'!$D$5:$D$116,8,'Data SKU'!$N$5:$N$116,"Invoiced")/SUMIFS($Q$36:$Q$127,$C$36:$C$127,$C120,$D$36:$D$127,$D120,$E$36:$E$127,$E120))*Q120)+SUMIFS(Unbilled!$U$22:$U$38,Unbilled!$E$22:$E$38,$A120)</f>
        <v>0</v>
      </c>
      <c r="AN120" s="9" t="n">
        <f aca="false">IF(P120=0,0,AM120*AA120/P120)</f>
        <v>0</v>
      </c>
      <c r="AO120" s="9" t="n">
        <f aca="false">IF(P120=0,0,AM120*AB120/P120)</f>
        <v>0</v>
      </c>
      <c r="AP120" s="9" t="n">
        <f aca="false">IF(P120=0,0,AM120*AC120/P120)</f>
        <v>0</v>
      </c>
      <c r="AQ120" s="14" t="n">
        <f aca="false">MIN(U120+V120,MAX(0,O120-M120))</f>
        <v>0</v>
      </c>
      <c r="AR120" s="14" t="n">
        <f aca="false">MAX(0,AQ120-V120)*Z120</f>
        <v>0</v>
      </c>
      <c r="AS120" s="14" t="n">
        <f aca="false">MIN(V120,AQ120)*Z120</f>
        <v>0</v>
      </c>
      <c r="AT120" s="14" t="n">
        <f aca="false">(O120-AQ120)*Z120</f>
        <v>0</v>
      </c>
      <c r="AU120" s="9" t="n">
        <f aca="false">(AR120+AS120+AT120)*BA120</f>
        <v>0</v>
      </c>
      <c r="AV120" s="9" t="n">
        <f aca="false">IF(P120=0,0,AM120*AR120/P120)</f>
        <v>0</v>
      </c>
      <c r="AW120" s="9" t="n">
        <f aca="false">IF(P120=0,0,AM120*AS120/P120)</f>
        <v>0</v>
      </c>
      <c r="AX120" s="9" t="n">
        <f aca="false">IF(P120=0,0,AM120*AT120/P120)</f>
        <v>0</v>
      </c>
      <c r="AY120" s="9" t="n">
        <f aca="false">AH120-AU120</f>
        <v>0</v>
      </c>
      <c r="AZ120" s="9" t="n">
        <f aca="false">IF(M120&gt;0,P120*AG120,0)</f>
        <v>0</v>
      </c>
      <c r="BA120" s="9" t="n">
        <f aca="false">IF(P120=0,0,AH120/P120)</f>
        <v>0</v>
      </c>
      <c r="BB120" s="74" t="s">
        <v>246</v>
      </c>
      <c r="BC120" s="13" t="n">
        <f aca="false">SUMIFS('MA Engine'!$W$6:$W$1110,'MA Engine'!$B$6:$B$1110,$A120,'MA Engine'!$H$6:$H$1110,7,'MA Engine'!$I$6:$I$1110,"DO")</f>
        <v>337.1</v>
      </c>
      <c r="BD120" s="14" t="n">
        <f aca="false">MIN(MAX(0,H120),J120)</f>
        <v>337.1</v>
      </c>
      <c r="BE120" s="14" t="n">
        <f aca="false">J120-BD120</f>
        <v>0</v>
      </c>
      <c r="BF120" s="21" t="n">
        <f aca="false">IF(J120=0,0,BC120/J120)</f>
        <v>1</v>
      </c>
      <c r="BG120" s="13" t="n">
        <f aca="false">SUMIFS('MA Engine'!$AH$6:$AH$1110,'MA Engine'!$B$6:$B$1110,$A120,'MA Engine'!$H$6:$H$1110,7,'MA Engine'!$I$6:$I$1110,"DO")</f>
        <v>337.1</v>
      </c>
      <c r="BH120" s="13" t="n">
        <f aca="false">SUMIFS('MA Engine'!$AI$6:$AI$1110,'MA Engine'!$B$6:$B$1110,$A120,'MA Engine'!$H$6:$H$1110,7,'MA Engine'!$I$6:$I$1110,"DO")+SUMIFS('MA Engine'!$AJ$6:$AJ$1110,'MA Engine'!$B$6:$B$1110,$A120,'MA Engine'!$H$6:$H$1110,7,'MA Engine'!$I$6:$I$1110,"DO")</f>
        <v>0</v>
      </c>
      <c r="BI120" s="7" t="n">
        <f aca="false">IF(H120&gt;0,SUMIFS('MA Engine'!$L$6:$L$1110,'MA Engine'!$B$6:$B$1110,$A120,'MA Engine'!$I$6:$I$1110,"Opening")/H120,0)</f>
        <v>23000</v>
      </c>
      <c r="BJ120" s="9" t="n">
        <f aca="false">IF(I120&gt;0,AD120/I120,BI120)</f>
        <v>23000</v>
      </c>
      <c r="BK120" s="7" t="n">
        <f aca="false">SUMIFS('MA Engine'!$X$6:$X$1110,'MA Engine'!$B$6:$B$1110,$A120,'MA Engine'!$H$6:$H$1110,7,'MA Engine'!$I$6:$I$1110,"DO")</f>
        <v>7753300</v>
      </c>
      <c r="BL120" s="7" t="n">
        <f aca="false">SUMIFS('MA Engine'!$AK$6:$AK$1110,'MA Engine'!$B$6:$B$1110,$A120,'MA Engine'!$H$6:$H$1110,7,'MA Engine'!$I$6:$I$1110,"DO")</f>
        <v>7753300</v>
      </c>
      <c r="BM120" s="7" t="n">
        <f aca="false">SUMIFS('MA Engine'!$AL$6:$AL$1110,'MA Engine'!$B$6:$B$1110,$A120,'MA Engine'!$H$6:$H$1110,7,'MA Engine'!$I$6:$I$1110,"DO")+SUMIFS('MA Engine'!$AM$6:$AM$1110,'MA Engine'!$B$6:$B$1110,$A120,'MA Engine'!$H$6:$H$1110,7,'MA Engine'!$I$6:$I$1110,"DO")</f>
        <v>0</v>
      </c>
      <c r="BN120" s="9" t="n">
        <f aca="false">BK120-BL120-BM120</f>
        <v>0</v>
      </c>
      <c r="BO120" s="7" t="n">
        <f aca="false">IF(BC120=0,0,SUMIFS('Data SKU'!$G$5:$G$116,'Data SKU'!$A$5:$A$116,$C120,'Data SKU'!$B$5:$B$116,$D120,'Data SKU'!$C$5:$C$116,$E120,'Data SKU'!$D$5:$D$116,7,'Data SKU'!$N$5:$N$116,"Invoiced")/SUMIFS($BC$36:$BC$127,$C$36:$C$127,$C120,$D$36:$D$127,$D120,$E$36:$E$127,$E120)*BC120)</f>
        <v>9254372.19399462</v>
      </c>
      <c r="BP120" s="9" t="n">
        <f aca="false">IF(BC120=0,0,BO120*BG120/BC120)</f>
        <v>9254372.19399462</v>
      </c>
      <c r="BQ120" s="9" t="n">
        <f aca="false">IF(BC120=0,0,BO120*BH120/BC120)</f>
        <v>0</v>
      </c>
    </row>
    <row r="121" customFormat="false" ht="15" hidden="false" customHeight="false" outlineLevel="0" collapsed="false">
      <c r="A121" s="74" t="s">
        <v>1033</v>
      </c>
      <c r="B121" s="53" t="str">
        <f aca="false">INDEX(I_Items!$B$5:$B$133,MATCH($A121,I_Items!$A$5:$A$133,0))&amp;""</f>
        <v>Karkas Uk 1.8</v>
      </c>
      <c r="C121" s="53" t="str">
        <f aca="false">INDEX(I_Items!$C$5:$C$133,MATCH($A121,I_Items!$A$5:$A$133,0))&amp;""</f>
        <v>Trading</v>
      </c>
      <c r="D121" s="53" t="str">
        <f aca="false">INDEX(I_Items!$D$5:$D$133,MATCH($A121,I_Items!$A$5:$A$133,0))&amp;""</f>
        <v>Karkas</v>
      </c>
      <c r="E121" s="53" t="str">
        <f aca="false">INDEX(I_Items!$F$5:$F$133,MATCH($A121,I_Items!$A$5:$A$133,0))&amp;""</f>
        <v>Not stated in item master</v>
      </c>
      <c r="F121" s="53" t="str">
        <f aca="false">INDEX(I_Items!$E$5:$E$133,MATCH($A121,I_Items!$A$5:$A$133,0))&amp;""</f>
        <v>Uk 1.8</v>
      </c>
      <c r="G121" s="6" t="str">
        <f aca="false">IF(P121=0,"-",IF(M121=0,"A",IF(K121&lt;=0,"C","B")))</f>
        <v>-</v>
      </c>
      <c r="H121" s="13" t="n">
        <f aca="false">SUMIFS('MA Engine'!$K$6:$K$1110,'MA Engine'!$B$6:$B$1110,$A121,'MA Engine'!$I$6:$I$1110,"Opening")</f>
        <v>359.4</v>
      </c>
      <c r="I121" s="13" t="n">
        <f aca="false">SUMIFS('MA Engine'!$K$6:$K$1110,'MA Engine'!$B$6:$B$1110,$A121,'MA Engine'!$H$6:$H$1110,7,'MA Engine'!$I$6:$I$1110,"&lt;&gt;Opening")</f>
        <v>0</v>
      </c>
      <c r="J121" s="13" t="n">
        <f aca="false">SUMIFS('MA Engine'!$W$6:$W$1110,'MA Engine'!$B$6:$B$1110,$A121,'MA Engine'!$H$6:$H$1110,7)</f>
        <v>359.2</v>
      </c>
      <c r="K121" s="14" t="n">
        <f aca="false">H121+I121-J121</f>
        <v>0.199999999999989</v>
      </c>
      <c r="L121" s="7" t="n">
        <f aca="false">SUMIFS('MA Engine'!$L$6:$L$1110,'MA Engine'!$B$6:$B$1110,$A121,'MA Engine'!$I$6:$I$1110,"Opening")+SUMIFS('MA Engine'!$L$6:$L$1110,'MA Engine'!$B$6:$B$1110,$A121,'MA Engine'!$H$6:$H$1110,7,'MA Engine'!$I$6:$I$1110,"&lt;&gt;Opening")-SUMIFS('MA Engine'!$X$6:$X$1110,'MA Engine'!$B$6:$B$1110,$A121,'MA Engine'!$H$6:$H$1110,7)</f>
        <v>4600</v>
      </c>
      <c r="M121" s="13" t="n">
        <f aca="false">SUMIFS('MA Engine'!$K$6:$K$1110,'MA Engine'!$B$6:$B$1110,$A121,'MA Engine'!$H$6:$H$1110,8)</f>
        <v>0</v>
      </c>
      <c r="N121" s="7" t="n">
        <f aca="false">SUMIFS('MA Engine'!$L$6:$L$1110,'MA Engine'!$B$6:$B$1110,$A121,'MA Engine'!$H$6:$H$1110,8)</f>
        <v>0</v>
      </c>
      <c r="O121" s="13" t="n">
        <f aca="false">SUMIFS('MA Engine'!$W$6:$W$1110,'MA Engine'!$B$6:$B$1110,$A121,'MA Engine'!$H$6:$H$1110,8)</f>
        <v>0</v>
      </c>
      <c r="P121" s="14" t="n">
        <f aca="false">Q121+R121</f>
        <v>0</v>
      </c>
      <c r="Q121" s="13" t="n">
        <f aca="false">SUMIFS('MA Engine'!$W$6:$W$1110,'MA Engine'!$B$6:$B$1110,$A121,'MA Engine'!$H$6:$H$1110,8,'MA Engine'!$I$6:$I$1110,"DO",'MA Engine'!$P$6:$P$1110,"&lt;&gt;Y")</f>
        <v>0</v>
      </c>
      <c r="R121" s="13" t="n">
        <f aca="false">SUMIFS('MA Engine'!$W$6:$W$1110,'MA Engine'!$B$6:$B$1110,$A121,'MA Engine'!$H$6:$H$1110,8,'MA Engine'!$I$6:$I$1110,"Unbilled")</f>
        <v>0</v>
      </c>
      <c r="S121" s="13" t="n">
        <f aca="false">SUMIFS('MA Engine'!$W$6:$W$1110,'MA Engine'!$B$6:$B$1110,$A121,'MA Engine'!$H$6:$H$1110,8,'MA Engine'!$P$6:$P$1110,"Y")</f>
        <v>0</v>
      </c>
      <c r="T121" s="14" t="n">
        <f aca="false">O121-P121-S121</f>
        <v>0</v>
      </c>
      <c r="U121" s="14" t="n">
        <f aca="false">MAX(0,H121-J121)</f>
        <v>0.199999999999989</v>
      </c>
      <c r="V121" s="14" t="n">
        <f aca="false">MAX(0,K121-U121)</f>
        <v>0</v>
      </c>
      <c r="W121" s="14" t="n">
        <f aca="false">MIN(U121,O121)</f>
        <v>0</v>
      </c>
      <c r="X121" s="14" t="n">
        <f aca="false">MIN(V121,O121-W121)</f>
        <v>0</v>
      </c>
      <c r="Y121" s="14" t="n">
        <f aca="false">O121-W121-X121</f>
        <v>0</v>
      </c>
      <c r="Z121" s="21" t="n">
        <f aca="false">IF(O121=0,0,P121/O121)</f>
        <v>0</v>
      </c>
      <c r="AA121" s="13" t="n">
        <f aca="false">SUMIFS('MA Engine'!$AH$6:$AH$1110,'MA Engine'!$B$6:$B$1110,$A121,'MA Engine'!$H$6:$H$1110,8,'MA Engine'!$I$6:$I$1110,"DO",'MA Engine'!$P$6:$P$1110,"&lt;&gt;Y")+SUMIFS('MA Engine'!$AH$6:$AH$1110,'MA Engine'!$B$6:$B$1110,$A121,'MA Engine'!$H$6:$H$1110,8,'MA Engine'!$I$6:$I$1110,"Unbilled")</f>
        <v>0</v>
      </c>
      <c r="AB121" s="13" t="n">
        <f aca="false">SUMIFS('MA Engine'!$AI$6:$AI$1110,'MA Engine'!$B$6:$B$1110,$A121,'MA Engine'!$H$6:$H$1110,8,'MA Engine'!$I$6:$I$1110,"DO",'MA Engine'!$P$6:$P$1110,"&lt;&gt;Y")+SUMIFS('MA Engine'!$AI$6:$AI$1110,'MA Engine'!$B$6:$B$1110,$A121,'MA Engine'!$H$6:$H$1110,8,'MA Engine'!$I$6:$I$1110,"Unbilled")</f>
        <v>0</v>
      </c>
      <c r="AC121" s="13" t="n">
        <f aca="false">SUMIFS('MA Engine'!$AJ$6:$AJ$1110,'MA Engine'!$B$6:$B$1110,$A121,'MA Engine'!$H$6:$H$1110,8,'MA Engine'!$I$6:$I$1110,"DO",'MA Engine'!$P$6:$P$1110,"&lt;&gt;Y")+SUMIFS('MA Engine'!$AJ$6:$AJ$1110,'MA Engine'!$B$6:$B$1110,$A121,'MA Engine'!$H$6:$H$1110,8,'MA Engine'!$I$6:$I$1110,"Unbilled")</f>
        <v>0</v>
      </c>
      <c r="AD121" s="7" t="n">
        <f aca="false">SUMIFS('MA Engine'!$L$6:$L$1110,'MA Engine'!$B$6:$B$1110,$A121,'MA Engine'!$H$6:$H$1110,7,'MA Engine'!$I$6:$I$1110,"&lt;&gt;Opening")</f>
        <v>0</v>
      </c>
      <c r="AE121" s="9" t="n">
        <f aca="false">IF(AND(U121&gt;0.0001,(L121-V121*IF(I121&gt;0,AD121/I121,IF(K121&gt;0,L121/K121,0)))&lt;0),IF(K121&gt;0,L121/K121,0),IF(I121&gt;0,AD121/I121,IF(K121&gt;0,L121/K121,0)))</f>
        <v>23000.0000000013</v>
      </c>
      <c r="AF121" s="9" t="n">
        <f aca="false">IF(U121&lt;=0.0001,IF(K121&gt;0,L121/K121,0),IF((L121-V121*IF(I121&gt;0,AD121/I121,IF(K121&gt;0,L121/K121,0)))&lt;0,IF(K121&gt;0,L121/K121,0),(L121-V121*IF(I121&gt;0,AD121/I121,IF(K121&gt;0,L121/K121,0)))/U121))</f>
        <v>23000.0000000013</v>
      </c>
      <c r="AG121" s="9" t="n">
        <f aca="false">IF(M121&gt;0,N121/M121,IF(K121&gt;0,L121/K121,0))</f>
        <v>23000.0000000013</v>
      </c>
      <c r="AH121" s="7" t="n">
        <f aca="false">SUMIFS('MA Engine'!$X$6:$X$1110,'MA Engine'!$B$6:$B$1110,$A121,'MA Engine'!$H$6:$H$1110,8,'MA Engine'!$I$6:$I$1110,"DO",'MA Engine'!$P$6:$P$1110,"&lt;&gt;Y")+SUMIFS('MA Engine'!$X$6:$X$1110,'MA Engine'!$B$6:$B$1110,$A121,'MA Engine'!$H$6:$H$1110,8,'MA Engine'!$I$6:$I$1110,"Unbilled")</f>
        <v>0</v>
      </c>
      <c r="AI121" s="7" t="n">
        <f aca="false">SUMIFS('MA Engine'!$AK$6:$AK$1110,'MA Engine'!$B$6:$B$1110,$A121,'MA Engine'!$H$6:$H$1110,8,'MA Engine'!$I$6:$I$1110,"DO",'MA Engine'!$P$6:$P$1110,"&lt;&gt;Y")+SUMIFS('MA Engine'!$AK$6:$AK$1110,'MA Engine'!$B$6:$B$1110,$A121,'MA Engine'!$H$6:$H$1110,8,'MA Engine'!$I$6:$I$1110,"Unbilled")</f>
        <v>0</v>
      </c>
      <c r="AJ121" s="7" t="n">
        <f aca="false">SUMIFS('MA Engine'!$AL$6:$AL$1110,'MA Engine'!$B$6:$B$1110,$A121,'MA Engine'!$H$6:$H$1110,8,'MA Engine'!$I$6:$I$1110,"DO",'MA Engine'!$P$6:$P$1110,"&lt;&gt;Y")+SUMIFS('MA Engine'!$AL$6:$AL$1110,'MA Engine'!$B$6:$B$1110,$A121,'MA Engine'!$H$6:$H$1110,8,'MA Engine'!$I$6:$I$1110,"Unbilled")</f>
        <v>0</v>
      </c>
      <c r="AK121" s="7" t="n">
        <f aca="false">SUMIFS('MA Engine'!$AM$6:$AM$1110,'MA Engine'!$B$6:$B$1110,$A121,'MA Engine'!$H$6:$H$1110,8,'MA Engine'!$I$6:$I$1110,"DO",'MA Engine'!$P$6:$P$1110,"&lt;&gt;Y")+SUMIFS('MA Engine'!$AM$6:$AM$1110,'MA Engine'!$B$6:$B$1110,$A121,'MA Engine'!$H$6:$H$1110,8,'MA Engine'!$I$6:$I$1110,"Unbilled")</f>
        <v>0</v>
      </c>
      <c r="AL121" s="9" t="n">
        <f aca="false">AH121-AI121-AJ121-AK121</f>
        <v>0</v>
      </c>
      <c r="AM121" s="7" t="n">
        <f aca="false">IF(Q121=0,0,IF($D121="Karkas",SUMIFS('Karkas Detail'!$E$6:$E$42,'Karkas Detail'!$A$6:$A$42,$C121,'Karkas Detail'!$B$6:$B$42,$F121,'Karkas Detail'!$C$6:$C$42,$E121)/SUMIFS($Q$36:$Q$127,$C$36:$C$127,$C121,$D$36:$D$127,"Karkas",$F$36:$F$127,$F121,$E$36:$E$127,$E121),SUMIFS('Data SKU'!$G$5:$G$116,'Data SKU'!$A$5:$A$116,$C121,'Data SKU'!$B$5:$B$116,$D121,'Data SKU'!$C$5:$C$116,$E121,'Data SKU'!$D$5:$D$116,8,'Data SKU'!$N$5:$N$116,"Invoiced")/SUMIFS($Q$36:$Q$127,$C$36:$C$127,$C121,$D$36:$D$127,$D121,$E$36:$E$127,$E121))*Q121)+SUMIFS(Unbilled!$U$22:$U$38,Unbilled!$E$22:$E$38,$A121)</f>
        <v>0</v>
      </c>
      <c r="AN121" s="9" t="n">
        <f aca="false">IF(P121=0,0,AM121*AA121/P121)</f>
        <v>0</v>
      </c>
      <c r="AO121" s="9" t="n">
        <f aca="false">IF(P121=0,0,AM121*AB121/P121)</f>
        <v>0</v>
      </c>
      <c r="AP121" s="9" t="n">
        <f aca="false">IF(P121=0,0,AM121*AC121/P121)</f>
        <v>0</v>
      </c>
      <c r="AQ121" s="14" t="n">
        <f aca="false">MIN(U121+V121,MAX(0,O121-M121))</f>
        <v>0</v>
      </c>
      <c r="AR121" s="14" t="n">
        <f aca="false">MAX(0,AQ121-V121)*Z121</f>
        <v>0</v>
      </c>
      <c r="AS121" s="14" t="n">
        <f aca="false">MIN(V121,AQ121)*Z121</f>
        <v>0</v>
      </c>
      <c r="AT121" s="14" t="n">
        <f aca="false">(O121-AQ121)*Z121</f>
        <v>0</v>
      </c>
      <c r="AU121" s="9" t="n">
        <f aca="false">(AR121+AS121+AT121)*BA121</f>
        <v>0</v>
      </c>
      <c r="AV121" s="9" t="n">
        <f aca="false">IF(P121=0,0,AM121*AR121/P121)</f>
        <v>0</v>
      </c>
      <c r="AW121" s="9" t="n">
        <f aca="false">IF(P121=0,0,AM121*AS121/P121)</f>
        <v>0</v>
      </c>
      <c r="AX121" s="9" t="n">
        <f aca="false">IF(P121=0,0,AM121*AT121/P121)</f>
        <v>0</v>
      </c>
      <c r="AY121" s="9" t="n">
        <f aca="false">AH121-AU121</f>
        <v>0</v>
      </c>
      <c r="AZ121" s="9" t="n">
        <f aca="false">IF(M121&gt;0,P121*AG121,0)</f>
        <v>0</v>
      </c>
      <c r="BA121" s="9" t="n">
        <f aca="false">IF(P121=0,0,AH121/P121)</f>
        <v>0</v>
      </c>
      <c r="BB121" s="74" t="s">
        <v>246</v>
      </c>
      <c r="BC121" s="13" t="n">
        <f aca="false">SUMIFS('MA Engine'!$W$6:$W$1110,'MA Engine'!$B$6:$B$1110,$A121,'MA Engine'!$H$6:$H$1110,7,'MA Engine'!$I$6:$I$1110,"DO")</f>
        <v>359.2</v>
      </c>
      <c r="BD121" s="14" t="n">
        <f aca="false">MIN(MAX(0,H121),J121)</f>
        <v>359.2</v>
      </c>
      <c r="BE121" s="14" t="n">
        <f aca="false">J121-BD121</f>
        <v>0</v>
      </c>
      <c r="BF121" s="21" t="n">
        <f aca="false">IF(J121=0,0,BC121/J121)</f>
        <v>1</v>
      </c>
      <c r="BG121" s="13" t="n">
        <f aca="false">SUMIFS('MA Engine'!$AH$6:$AH$1110,'MA Engine'!$B$6:$B$1110,$A121,'MA Engine'!$H$6:$H$1110,7,'MA Engine'!$I$6:$I$1110,"DO")</f>
        <v>359.2</v>
      </c>
      <c r="BH121" s="13" t="n">
        <f aca="false">SUMIFS('MA Engine'!$AI$6:$AI$1110,'MA Engine'!$B$6:$B$1110,$A121,'MA Engine'!$H$6:$H$1110,7,'MA Engine'!$I$6:$I$1110,"DO")+SUMIFS('MA Engine'!$AJ$6:$AJ$1110,'MA Engine'!$B$6:$B$1110,$A121,'MA Engine'!$H$6:$H$1110,7,'MA Engine'!$I$6:$I$1110,"DO")</f>
        <v>0</v>
      </c>
      <c r="BI121" s="7" t="n">
        <f aca="false">IF(H121&gt;0,SUMIFS('MA Engine'!$L$6:$L$1110,'MA Engine'!$B$6:$B$1110,$A121,'MA Engine'!$I$6:$I$1110,"Opening")/H121,0)</f>
        <v>23000</v>
      </c>
      <c r="BJ121" s="9" t="n">
        <f aca="false">IF(I121&gt;0,AD121/I121,BI121)</f>
        <v>23000</v>
      </c>
      <c r="BK121" s="7" t="n">
        <f aca="false">SUMIFS('MA Engine'!$X$6:$X$1110,'MA Engine'!$B$6:$B$1110,$A121,'MA Engine'!$H$6:$H$1110,7,'MA Engine'!$I$6:$I$1110,"DO")</f>
        <v>8261600</v>
      </c>
      <c r="BL121" s="7" t="n">
        <f aca="false">SUMIFS('MA Engine'!$AK$6:$AK$1110,'MA Engine'!$B$6:$B$1110,$A121,'MA Engine'!$H$6:$H$1110,7,'MA Engine'!$I$6:$I$1110,"DO")</f>
        <v>8261600</v>
      </c>
      <c r="BM121" s="7" t="n">
        <f aca="false">SUMIFS('MA Engine'!$AL$6:$AL$1110,'MA Engine'!$B$6:$B$1110,$A121,'MA Engine'!$H$6:$H$1110,7,'MA Engine'!$I$6:$I$1110,"DO")+SUMIFS('MA Engine'!$AM$6:$AM$1110,'MA Engine'!$B$6:$B$1110,$A121,'MA Engine'!$H$6:$H$1110,7,'MA Engine'!$I$6:$I$1110,"DO")</f>
        <v>0</v>
      </c>
      <c r="BN121" s="9" t="n">
        <f aca="false">BK121-BL121-BM121</f>
        <v>0</v>
      </c>
      <c r="BO121" s="7" t="n">
        <f aca="false">IF(BC121=0,0,SUMIFS('Data SKU'!$G$5:$G$116,'Data SKU'!$A$5:$A$116,$C121,'Data SKU'!$B$5:$B$116,$D121,'Data SKU'!$C$5:$C$116,$E121,'Data SKU'!$D$5:$D$116,7,'Data SKU'!$N$5:$N$116,"Invoiced")/SUMIFS($BC$36:$BC$127,$C$36:$C$127,$C121,$D$36:$D$127,$D121,$E$36:$E$127,$E121)*BC121)</f>
        <v>9861081.25803283</v>
      </c>
      <c r="BP121" s="9" t="n">
        <f aca="false">IF(BC121=0,0,BO121*BG121/BC121)</f>
        <v>9861081.25803283</v>
      </c>
      <c r="BQ121" s="9" t="n">
        <f aca="false">IF(BC121=0,0,BO121*BH121/BC121)</f>
        <v>0</v>
      </c>
    </row>
    <row r="122" customFormat="false" ht="15" hidden="false" customHeight="false" outlineLevel="0" collapsed="false">
      <c r="A122" s="74" t="s">
        <v>1034</v>
      </c>
      <c r="B122" s="53" t="str">
        <f aca="false">INDEX(I_Items!$B$5:$B$133,MATCH($A122,I_Items!$A$5:$A$133,0))&amp;""</f>
        <v>Karkas Uk 1.9</v>
      </c>
      <c r="C122" s="53" t="str">
        <f aca="false">INDEX(I_Items!$C$5:$C$133,MATCH($A122,I_Items!$A$5:$A$133,0))&amp;""</f>
        <v>Trading</v>
      </c>
      <c r="D122" s="53" t="str">
        <f aca="false">INDEX(I_Items!$D$5:$D$133,MATCH($A122,I_Items!$A$5:$A$133,0))&amp;""</f>
        <v>Karkas</v>
      </c>
      <c r="E122" s="53" t="str">
        <f aca="false">INDEX(I_Items!$F$5:$F$133,MATCH($A122,I_Items!$A$5:$A$133,0))&amp;""</f>
        <v>Not stated in item master</v>
      </c>
      <c r="F122" s="53" t="str">
        <f aca="false">INDEX(I_Items!$E$5:$E$133,MATCH($A122,I_Items!$A$5:$A$133,0))&amp;""</f>
        <v>Uk 1.9</v>
      </c>
      <c r="G122" s="6" t="str">
        <f aca="false">IF(P122=0,"-",IF(M122=0,"A",IF(K122&lt;=0,"C","B")))</f>
        <v>A</v>
      </c>
      <c r="H122" s="13" t="n">
        <f aca="false">SUMIFS('MA Engine'!$K$6:$K$1110,'MA Engine'!$B$6:$B$1110,$A122,'MA Engine'!$I$6:$I$1110,"Opening")</f>
        <v>162.4</v>
      </c>
      <c r="I122" s="13" t="n">
        <f aca="false">SUMIFS('MA Engine'!$K$6:$K$1110,'MA Engine'!$B$6:$B$1110,$A122,'MA Engine'!$H$6:$H$1110,7,'MA Engine'!$I$6:$I$1110,"&lt;&gt;Opening")</f>
        <v>0</v>
      </c>
      <c r="J122" s="13" t="n">
        <f aca="false">SUMIFS('MA Engine'!$W$6:$W$1110,'MA Engine'!$B$6:$B$1110,$A122,'MA Engine'!$H$6:$H$1110,7)</f>
        <v>79.9</v>
      </c>
      <c r="K122" s="14" t="n">
        <f aca="false">H122+I122-J122</f>
        <v>82.5</v>
      </c>
      <c r="L122" s="7" t="n">
        <f aca="false">SUMIFS('MA Engine'!$L$6:$L$1110,'MA Engine'!$B$6:$B$1110,$A122,'MA Engine'!$I$6:$I$1110,"Opening")+SUMIFS('MA Engine'!$L$6:$L$1110,'MA Engine'!$B$6:$B$1110,$A122,'MA Engine'!$H$6:$H$1110,7,'MA Engine'!$I$6:$I$1110,"&lt;&gt;Opening")-SUMIFS('MA Engine'!$X$6:$X$1110,'MA Engine'!$B$6:$B$1110,$A122,'MA Engine'!$H$6:$H$1110,7)</f>
        <v>1897500</v>
      </c>
      <c r="M122" s="13" t="n">
        <f aca="false">SUMIFS('MA Engine'!$K$6:$K$1110,'MA Engine'!$B$6:$B$1110,$A122,'MA Engine'!$H$6:$H$1110,8)</f>
        <v>0</v>
      </c>
      <c r="N122" s="7" t="n">
        <f aca="false">SUMIFS('MA Engine'!$L$6:$L$1110,'MA Engine'!$B$6:$B$1110,$A122,'MA Engine'!$H$6:$H$1110,8)</f>
        <v>0</v>
      </c>
      <c r="O122" s="13" t="n">
        <f aca="false">SUMIFS('MA Engine'!$W$6:$W$1110,'MA Engine'!$B$6:$B$1110,$A122,'MA Engine'!$H$6:$H$1110,8)</f>
        <v>82.5</v>
      </c>
      <c r="P122" s="14" t="n">
        <f aca="false">Q122+R122</f>
        <v>82.5</v>
      </c>
      <c r="Q122" s="13" t="n">
        <f aca="false">SUMIFS('MA Engine'!$W$6:$W$1110,'MA Engine'!$B$6:$B$1110,$A122,'MA Engine'!$H$6:$H$1110,8,'MA Engine'!$I$6:$I$1110,"DO",'MA Engine'!$P$6:$P$1110,"&lt;&gt;Y")</f>
        <v>0</v>
      </c>
      <c r="R122" s="13" t="n">
        <f aca="false">SUMIFS('MA Engine'!$W$6:$W$1110,'MA Engine'!$B$6:$B$1110,$A122,'MA Engine'!$H$6:$H$1110,8,'MA Engine'!$I$6:$I$1110,"Unbilled")</f>
        <v>82.5</v>
      </c>
      <c r="S122" s="13" t="n">
        <f aca="false">SUMIFS('MA Engine'!$W$6:$W$1110,'MA Engine'!$B$6:$B$1110,$A122,'MA Engine'!$H$6:$H$1110,8,'MA Engine'!$P$6:$P$1110,"Y")</f>
        <v>0</v>
      </c>
      <c r="T122" s="14" t="n">
        <f aca="false">O122-P122-S122</f>
        <v>0</v>
      </c>
      <c r="U122" s="14" t="n">
        <f aca="false">MAX(0,H122-J122)</f>
        <v>82.5</v>
      </c>
      <c r="V122" s="14" t="n">
        <f aca="false">MAX(0,K122-U122)</f>
        <v>0</v>
      </c>
      <c r="W122" s="14" t="n">
        <f aca="false">MIN(U122,O122)</f>
        <v>82.5</v>
      </c>
      <c r="X122" s="14" t="n">
        <f aca="false">MIN(V122,O122-W122)</f>
        <v>0</v>
      </c>
      <c r="Y122" s="14" t="n">
        <f aca="false">O122-W122-X122</f>
        <v>0</v>
      </c>
      <c r="Z122" s="21" t="n">
        <f aca="false">IF(O122=0,0,P122/O122)</f>
        <v>1</v>
      </c>
      <c r="AA122" s="13" t="n">
        <f aca="false">SUMIFS('MA Engine'!$AH$6:$AH$1110,'MA Engine'!$B$6:$B$1110,$A122,'MA Engine'!$H$6:$H$1110,8,'MA Engine'!$I$6:$I$1110,"DO",'MA Engine'!$P$6:$P$1110,"&lt;&gt;Y")+SUMIFS('MA Engine'!$AH$6:$AH$1110,'MA Engine'!$B$6:$B$1110,$A122,'MA Engine'!$H$6:$H$1110,8,'MA Engine'!$I$6:$I$1110,"Unbilled")</f>
        <v>82.5</v>
      </c>
      <c r="AB122" s="13" t="n">
        <f aca="false">SUMIFS('MA Engine'!$AI$6:$AI$1110,'MA Engine'!$B$6:$B$1110,$A122,'MA Engine'!$H$6:$H$1110,8,'MA Engine'!$I$6:$I$1110,"DO",'MA Engine'!$P$6:$P$1110,"&lt;&gt;Y")+SUMIFS('MA Engine'!$AI$6:$AI$1110,'MA Engine'!$B$6:$B$1110,$A122,'MA Engine'!$H$6:$H$1110,8,'MA Engine'!$I$6:$I$1110,"Unbilled")</f>
        <v>0</v>
      </c>
      <c r="AC122" s="13" t="n">
        <f aca="false">SUMIFS('MA Engine'!$AJ$6:$AJ$1110,'MA Engine'!$B$6:$B$1110,$A122,'MA Engine'!$H$6:$H$1110,8,'MA Engine'!$I$6:$I$1110,"DO",'MA Engine'!$P$6:$P$1110,"&lt;&gt;Y")+SUMIFS('MA Engine'!$AJ$6:$AJ$1110,'MA Engine'!$B$6:$B$1110,$A122,'MA Engine'!$H$6:$H$1110,8,'MA Engine'!$I$6:$I$1110,"Unbilled")</f>
        <v>0</v>
      </c>
      <c r="AD122" s="7" t="n">
        <f aca="false">SUMIFS('MA Engine'!$L$6:$L$1110,'MA Engine'!$B$6:$B$1110,$A122,'MA Engine'!$H$6:$H$1110,7,'MA Engine'!$I$6:$I$1110,"&lt;&gt;Opening")</f>
        <v>0</v>
      </c>
      <c r="AE122" s="9" t="n">
        <f aca="false">IF(AND(U122&gt;0.0001,(L122-V122*IF(I122&gt;0,AD122/I122,IF(K122&gt;0,L122/K122,0)))&lt;0),IF(K122&gt;0,L122/K122,0),IF(I122&gt;0,AD122/I122,IF(K122&gt;0,L122/K122,0)))</f>
        <v>23000</v>
      </c>
      <c r="AF122" s="9" t="n">
        <f aca="false">IF(U122&lt;=0.0001,IF(K122&gt;0,L122/K122,0),IF((L122-V122*IF(I122&gt;0,AD122/I122,IF(K122&gt;0,L122/K122,0)))&lt;0,IF(K122&gt;0,L122/K122,0),(L122-V122*IF(I122&gt;0,AD122/I122,IF(K122&gt;0,L122/K122,0)))/U122))</f>
        <v>23000</v>
      </c>
      <c r="AG122" s="9" t="n">
        <f aca="false">IF(M122&gt;0,N122/M122,IF(K122&gt;0,L122/K122,0))</f>
        <v>23000</v>
      </c>
      <c r="AH122" s="7" t="n">
        <f aca="false">SUMIFS('MA Engine'!$X$6:$X$1110,'MA Engine'!$B$6:$B$1110,$A122,'MA Engine'!$H$6:$H$1110,8,'MA Engine'!$I$6:$I$1110,"DO",'MA Engine'!$P$6:$P$1110,"&lt;&gt;Y")+SUMIFS('MA Engine'!$X$6:$X$1110,'MA Engine'!$B$6:$B$1110,$A122,'MA Engine'!$H$6:$H$1110,8,'MA Engine'!$I$6:$I$1110,"Unbilled")</f>
        <v>1897500</v>
      </c>
      <c r="AI122" s="7" t="n">
        <f aca="false">SUMIFS('MA Engine'!$AK$6:$AK$1110,'MA Engine'!$B$6:$B$1110,$A122,'MA Engine'!$H$6:$H$1110,8,'MA Engine'!$I$6:$I$1110,"DO",'MA Engine'!$P$6:$P$1110,"&lt;&gt;Y")+SUMIFS('MA Engine'!$AK$6:$AK$1110,'MA Engine'!$B$6:$B$1110,$A122,'MA Engine'!$H$6:$H$1110,8,'MA Engine'!$I$6:$I$1110,"Unbilled")</f>
        <v>1897500</v>
      </c>
      <c r="AJ122" s="7" t="n">
        <f aca="false">SUMIFS('MA Engine'!$AL$6:$AL$1110,'MA Engine'!$B$6:$B$1110,$A122,'MA Engine'!$H$6:$H$1110,8,'MA Engine'!$I$6:$I$1110,"DO",'MA Engine'!$P$6:$P$1110,"&lt;&gt;Y")+SUMIFS('MA Engine'!$AL$6:$AL$1110,'MA Engine'!$B$6:$B$1110,$A122,'MA Engine'!$H$6:$H$1110,8,'MA Engine'!$I$6:$I$1110,"Unbilled")</f>
        <v>0</v>
      </c>
      <c r="AK122" s="7" t="n">
        <f aca="false">SUMIFS('MA Engine'!$AM$6:$AM$1110,'MA Engine'!$B$6:$B$1110,$A122,'MA Engine'!$H$6:$H$1110,8,'MA Engine'!$I$6:$I$1110,"DO",'MA Engine'!$P$6:$P$1110,"&lt;&gt;Y")+SUMIFS('MA Engine'!$AM$6:$AM$1110,'MA Engine'!$B$6:$B$1110,$A122,'MA Engine'!$H$6:$H$1110,8,'MA Engine'!$I$6:$I$1110,"Unbilled")</f>
        <v>0</v>
      </c>
      <c r="AL122" s="9" t="n">
        <f aca="false">AH122-AI122-AJ122-AK122</f>
        <v>0</v>
      </c>
      <c r="AM122" s="7" t="n">
        <f aca="false">IF(Q122=0,0,IF($D122="Karkas",SUMIFS('Karkas Detail'!$E$6:$E$42,'Karkas Detail'!$A$6:$A$42,$C122,'Karkas Detail'!$B$6:$B$42,$F122,'Karkas Detail'!$C$6:$C$42,$E122)/SUMIFS($Q$36:$Q$127,$C$36:$C$127,$C122,$D$36:$D$127,"Karkas",$F$36:$F$127,$F122,$E$36:$E$127,$E122),SUMIFS('Data SKU'!$G$5:$G$116,'Data SKU'!$A$5:$A$116,$C122,'Data SKU'!$B$5:$B$116,$D122,'Data SKU'!$C$5:$C$116,$E122,'Data SKU'!$D$5:$D$116,8,'Data SKU'!$N$5:$N$116,"Invoiced")/SUMIFS($Q$36:$Q$127,$C$36:$C$127,$C122,$D$36:$D$127,$D122,$E$36:$E$127,$E122))*Q122)+SUMIFS(Unbilled!$U$22:$U$38,Unbilled!$E$22:$E$38,$A122)</f>
        <v>1949868.61424576</v>
      </c>
      <c r="AN122" s="9" t="n">
        <f aca="false">IF(P122=0,0,AM122*AA122/P122)</f>
        <v>1949868.61424576</v>
      </c>
      <c r="AO122" s="9" t="n">
        <f aca="false">IF(P122=0,0,AM122*AB122/P122)</f>
        <v>0</v>
      </c>
      <c r="AP122" s="9" t="n">
        <f aca="false">IF(P122=0,0,AM122*AC122/P122)</f>
        <v>0</v>
      </c>
      <c r="AQ122" s="14" t="n">
        <f aca="false">MIN(U122+V122,MAX(0,O122-M122))</f>
        <v>82.5</v>
      </c>
      <c r="AR122" s="14" t="n">
        <f aca="false">MAX(0,AQ122-V122)*Z122</f>
        <v>82.5</v>
      </c>
      <c r="AS122" s="14" t="n">
        <f aca="false">MIN(V122,AQ122)*Z122</f>
        <v>0</v>
      </c>
      <c r="AT122" s="14" t="n">
        <f aca="false">(O122-AQ122)*Z122</f>
        <v>0</v>
      </c>
      <c r="AU122" s="9" t="n">
        <f aca="false">(AR122+AS122+AT122)*BA122</f>
        <v>1897500</v>
      </c>
      <c r="AV122" s="9" t="n">
        <f aca="false">IF(P122=0,0,AM122*AR122/P122)</f>
        <v>1949868.61424576</v>
      </c>
      <c r="AW122" s="9" t="n">
        <f aca="false">IF(P122=0,0,AM122*AS122/P122)</f>
        <v>0</v>
      </c>
      <c r="AX122" s="9" t="n">
        <f aca="false">IF(P122=0,0,AM122*AT122/P122)</f>
        <v>0</v>
      </c>
      <c r="AY122" s="9" t="n">
        <f aca="false">AH122-AU122</f>
        <v>0</v>
      </c>
      <c r="AZ122" s="9" t="n">
        <f aca="false">IF(M122&gt;0,P122*AG122,0)</f>
        <v>0</v>
      </c>
      <c r="BA122" s="9" t="n">
        <f aca="false">IF(P122=0,0,AH122/P122)</f>
        <v>23000</v>
      </c>
      <c r="BB122" s="74" t="s">
        <v>246</v>
      </c>
      <c r="BC122" s="13" t="n">
        <f aca="false">SUMIFS('MA Engine'!$W$6:$W$1110,'MA Engine'!$B$6:$B$1110,$A122,'MA Engine'!$H$6:$H$1110,7,'MA Engine'!$I$6:$I$1110,"DO")</f>
        <v>79.9</v>
      </c>
      <c r="BD122" s="14" t="n">
        <f aca="false">MIN(MAX(0,H122),J122)</f>
        <v>79.9</v>
      </c>
      <c r="BE122" s="14" t="n">
        <f aca="false">J122-BD122</f>
        <v>0</v>
      </c>
      <c r="BF122" s="21" t="n">
        <f aca="false">IF(J122=0,0,BC122/J122)</f>
        <v>1</v>
      </c>
      <c r="BG122" s="13" t="n">
        <f aca="false">SUMIFS('MA Engine'!$AH$6:$AH$1110,'MA Engine'!$B$6:$B$1110,$A122,'MA Engine'!$H$6:$H$1110,7,'MA Engine'!$I$6:$I$1110,"DO")</f>
        <v>79.9</v>
      </c>
      <c r="BH122" s="13" t="n">
        <f aca="false">SUMIFS('MA Engine'!$AI$6:$AI$1110,'MA Engine'!$B$6:$B$1110,$A122,'MA Engine'!$H$6:$H$1110,7,'MA Engine'!$I$6:$I$1110,"DO")+SUMIFS('MA Engine'!$AJ$6:$AJ$1110,'MA Engine'!$B$6:$B$1110,$A122,'MA Engine'!$H$6:$H$1110,7,'MA Engine'!$I$6:$I$1110,"DO")</f>
        <v>0</v>
      </c>
      <c r="BI122" s="7" t="n">
        <f aca="false">IF(H122&gt;0,SUMIFS('MA Engine'!$L$6:$L$1110,'MA Engine'!$B$6:$B$1110,$A122,'MA Engine'!$I$6:$I$1110,"Opening")/H122,0)</f>
        <v>23000</v>
      </c>
      <c r="BJ122" s="9" t="n">
        <f aca="false">IF(I122&gt;0,AD122/I122,BI122)</f>
        <v>23000</v>
      </c>
      <c r="BK122" s="7" t="n">
        <f aca="false">SUMIFS('MA Engine'!$X$6:$X$1110,'MA Engine'!$B$6:$B$1110,$A122,'MA Engine'!$H$6:$H$1110,7,'MA Engine'!$I$6:$I$1110,"DO")</f>
        <v>1837700</v>
      </c>
      <c r="BL122" s="7" t="n">
        <f aca="false">SUMIFS('MA Engine'!$AK$6:$AK$1110,'MA Engine'!$B$6:$B$1110,$A122,'MA Engine'!$H$6:$H$1110,7,'MA Engine'!$I$6:$I$1110,"DO")</f>
        <v>1837700</v>
      </c>
      <c r="BM122" s="7" t="n">
        <f aca="false">SUMIFS('MA Engine'!$AL$6:$AL$1110,'MA Engine'!$B$6:$B$1110,$A122,'MA Engine'!$H$6:$H$1110,7,'MA Engine'!$I$6:$I$1110,"DO")+SUMIFS('MA Engine'!$AM$6:$AM$1110,'MA Engine'!$B$6:$B$1110,$A122,'MA Engine'!$H$6:$H$1110,7,'MA Engine'!$I$6:$I$1110,"DO")</f>
        <v>0</v>
      </c>
      <c r="BN122" s="9" t="n">
        <f aca="false">BK122-BL122-BM122</f>
        <v>0</v>
      </c>
      <c r="BO122" s="7" t="n">
        <f aca="false">IF(BC122=0,0,SUMIFS('Data SKU'!$G$5:$G$116,'Data SKU'!$A$5:$A$116,$C122,'Data SKU'!$B$5:$B$116,$D122,'Data SKU'!$C$5:$C$116,$E122,'Data SKU'!$D$5:$D$116,7,'Data SKU'!$N$5:$N$116,"Invoiced")/SUMIFS($BC$36:$BC$127,$C$36:$C$127,$C122,$D$36:$D$127,$D122,$E$36:$E$127,$E122)*BC122)</f>
        <v>2193486.61613815</v>
      </c>
      <c r="BP122" s="9" t="n">
        <f aca="false">IF(BC122=0,0,BO122*BG122/BC122)</f>
        <v>2193486.61613815</v>
      </c>
      <c r="BQ122" s="9" t="n">
        <f aca="false">IF(BC122=0,0,BO122*BH122/BC122)</f>
        <v>0</v>
      </c>
    </row>
    <row r="123" customFormat="false" ht="15" hidden="false" customHeight="false" outlineLevel="0" collapsed="false">
      <c r="A123" s="74" t="s">
        <v>1035</v>
      </c>
      <c r="B123" s="53" t="str">
        <f aca="false">INDEX(I_Items!$B$5:$B$133,MATCH($A123,I_Items!$A$5:$A$133,0))&amp;""</f>
        <v>KRK</v>
      </c>
      <c r="C123" s="53" t="str">
        <f aca="false">INDEX(I_Items!$C$5:$C$133,MATCH($A123,I_Items!$A$5:$A$133,0))&amp;""</f>
        <v>Trading</v>
      </c>
      <c r="D123" s="53" t="str">
        <f aca="false">INDEX(I_Items!$D$5:$D$133,MATCH($A123,I_Items!$A$5:$A$133,0))&amp;""</f>
        <v>KRK (Kerangka)</v>
      </c>
      <c r="E123" s="53" t="str">
        <f aca="false">INDEX(I_Items!$F$5:$F$133,MATCH($A123,I_Items!$A$5:$A$133,0))&amp;""</f>
        <v>Not stated in item master</v>
      </c>
      <c r="F123" s="53" t="str">
        <f aca="false">INDEX(I_Items!$E$5:$E$133,MATCH($A123,I_Items!$A$5:$A$133,0))&amp;""</f>
        <v/>
      </c>
      <c r="G123" s="6" t="str">
        <f aca="false">IF(P123=0,"-",IF(M123=0,"A",IF(K123&lt;=0,"C","B")))</f>
        <v>B</v>
      </c>
      <c r="H123" s="13" t="n">
        <f aca="false">SUMIFS('MA Engine'!$K$6:$K$1110,'MA Engine'!$B$6:$B$1110,$A123,'MA Engine'!$I$6:$I$1110,"Opening")</f>
        <v>0</v>
      </c>
      <c r="I123" s="13" t="n">
        <f aca="false">SUMIFS('MA Engine'!$K$6:$K$1110,'MA Engine'!$B$6:$B$1110,$A123,'MA Engine'!$H$6:$H$1110,7,'MA Engine'!$I$6:$I$1110,"&lt;&gt;Opening")</f>
        <v>8857.9</v>
      </c>
      <c r="J123" s="13" t="n">
        <f aca="false">SUMIFS('MA Engine'!$W$6:$W$1110,'MA Engine'!$B$6:$B$1110,$A123,'MA Engine'!$H$6:$H$1110,7)</f>
        <v>5789.56</v>
      </c>
      <c r="K123" s="14" t="n">
        <f aca="false">H123+I123-J123</f>
        <v>3068.34</v>
      </c>
      <c r="L123" s="7" t="n">
        <f aca="false">SUMIFS('MA Engine'!$L$6:$L$1110,'MA Engine'!$B$6:$B$1110,$A123,'MA Engine'!$I$6:$I$1110,"Opening")+SUMIFS('MA Engine'!$L$6:$L$1110,'MA Engine'!$B$6:$B$1110,$A123,'MA Engine'!$H$6:$H$1110,7,'MA Engine'!$I$6:$I$1110,"&lt;&gt;Opening")-SUMIFS('MA Engine'!$X$6:$X$1110,'MA Engine'!$B$6:$B$1110,$A123,'MA Engine'!$H$6:$H$1110,7)</f>
        <v>13686637.8404588</v>
      </c>
      <c r="M123" s="13" t="n">
        <f aca="false">SUMIFS('MA Engine'!$K$6:$K$1110,'MA Engine'!$B$6:$B$1110,$A123,'MA Engine'!$H$6:$H$1110,8)</f>
        <v>30503.6</v>
      </c>
      <c r="N123" s="7" t="n">
        <f aca="false">SUMIFS('MA Engine'!$L$6:$L$1110,'MA Engine'!$B$6:$B$1110,$A123,'MA Engine'!$H$6:$H$1110,8)</f>
        <v>331053573.18</v>
      </c>
      <c r="O123" s="13" t="n">
        <f aca="false">SUMIFS('MA Engine'!$W$6:$W$1110,'MA Engine'!$B$6:$B$1110,$A123,'MA Engine'!$H$6:$H$1110,8)</f>
        <v>13767.8</v>
      </c>
      <c r="P123" s="14" t="n">
        <f aca="false">Q123+R123</f>
        <v>13767.8</v>
      </c>
      <c r="Q123" s="13" t="n">
        <f aca="false">SUMIFS('MA Engine'!$W$6:$W$1110,'MA Engine'!$B$6:$B$1110,$A123,'MA Engine'!$H$6:$H$1110,8,'MA Engine'!$I$6:$I$1110,"DO",'MA Engine'!$P$6:$P$1110,"&lt;&gt;Y")</f>
        <v>13767.8</v>
      </c>
      <c r="R123" s="13" t="n">
        <f aca="false">SUMIFS('MA Engine'!$W$6:$W$1110,'MA Engine'!$B$6:$B$1110,$A123,'MA Engine'!$H$6:$H$1110,8,'MA Engine'!$I$6:$I$1110,"Unbilled")</f>
        <v>0</v>
      </c>
      <c r="S123" s="13" t="n">
        <f aca="false">SUMIFS('MA Engine'!$W$6:$W$1110,'MA Engine'!$B$6:$B$1110,$A123,'MA Engine'!$H$6:$H$1110,8,'MA Engine'!$P$6:$P$1110,"Y")</f>
        <v>0</v>
      </c>
      <c r="T123" s="14" t="n">
        <f aca="false">O123-P123-S123</f>
        <v>0</v>
      </c>
      <c r="U123" s="14" t="n">
        <f aca="false">MAX(0,H123-J123)</f>
        <v>0</v>
      </c>
      <c r="V123" s="14" t="n">
        <f aca="false">MAX(0,K123-U123)</f>
        <v>3068.34</v>
      </c>
      <c r="W123" s="14" t="n">
        <f aca="false">MIN(U123,O123)</f>
        <v>0</v>
      </c>
      <c r="X123" s="14" t="n">
        <f aca="false">MIN(V123,O123-W123)</f>
        <v>3068.34</v>
      </c>
      <c r="Y123" s="14" t="n">
        <f aca="false">O123-W123-X123</f>
        <v>10699.46</v>
      </c>
      <c r="Z123" s="21" t="n">
        <f aca="false">IF(O123=0,0,P123/O123)</f>
        <v>1</v>
      </c>
      <c r="AA123" s="13" t="n">
        <f aca="false">SUMIFS('MA Engine'!$AH$6:$AH$1110,'MA Engine'!$B$6:$B$1110,$A123,'MA Engine'!$H$6:$H$1110,8,'MA Engine'!$I$6:$I$1110,"DO",'MA Engine'!$P$6:$P$1110,"&lt;&gt;Y")+SUMIFS('MA Engine'!$AH$6:$AH$1110,'MA Engine'!$B$6:$B$1110,$A123,'MA Engine'!$H$6:$H$1110,8,'MA Engine'!$I$6:$I$1110,"Unbilled")</f>
        <v>0</v>
      </c>
      <c r="AB123" s="13" t="n">
        <f aca="false">SUMIFS('MA Engine'!$AI$6:$AI$1110,'MA Engine'!$B$6:$B$1110,$A123,'MA Engine'!$H$6:$H$1110,8,'MA Engine'!$I$6:$I$1110,"DO",'MA Engine'!$P$6:$P$1110,"&lt;&gt;Y")+SUMIFS('MA Engine'!$AI$6:$AI$1110,'MA Engine'!$B$6:$B$1110,$A123,'MA Engine'!$H$6:$H$1110,8,'MA Engine'!$I$6:$I$1110,"Unbilled")</f>
        <v>3068.34</v>
      </c>
      <c r="AC123" s="13" t="n">
        <f aca="false">SUMIFS('MA Engine'!$AJ$6:$AJ$1110,'MA Engine'!$B$6:$B$1110,$A123,'MA Engine'!$H$6:$H$1110,8,'MA Engine'!$I$6:$I$1110,"DO",'MA Engine'!$P$6:$P$1110,"&lt;&gt;Y")+SUMIFS('MA Engine'!$AJ$6:$AJ$1110,'MA Engine'!$B$6:$B$1110,$A123,'MA Engine'!$H$6:$H$1110,8,'MA Engine'!$I$6:$I$1110,"Unbilled")</f>
        <v>10699.46</v>
      </c>
      <c r="AD123" s="7" t="n">
        <f aca="false">SUMIFS('MA Engine'!$L$6:$L$1110,'MA Engine'!$B$6:$B$1110,$A123,'MA Engine'!$H$6:$H$1110,7,'MA Engine'!$I$6:$I$1110,"&lt;&gt;Opening")</f>
        <v>39511550</v>
      </c>
      <c r="AE123" s="9" t="n">
        <f aca="false">IF(AND(U123&gt;0.0001,(L123-V123*IF(I123&gt;0,AD123/I123,IF(K123&gt;0,L123/K123,0)))&lt;0),IF(K123&gt;0,L123/K123,0),IF(I123&gt;0,AD123/I123,IF(K123&gt;0,L123/K123,0)))</f>
        <v>4460.60014224591</v>
      </c>
      <c r="AF123" s="9" t="n">
        <f aca="false">IF(U123&lt;=0.0001,IF(K123&gt;0,L123/K123,0),IF((L123-V123*IF(I123&gt;0,AD123/I123,IF(K123&gt;0,L123/K123,0)))&lt;0,IF(K123&gt;0,L123/K123,0),(L123-V123*IF(I123&gt;0,AD123/I123,IF(K123&gt;0,L123/K123,0)))/U123))</f>
        <v>4460.60014224591</v>
      </c>
      <c r="AG123" s="9" t="n">
        <f aca="false">IF(M123&gt;0,N123/M123,IF(K123&gt;0,L123/K123,0))</f>
        <v>10852.934511992</v>
      </c>
      <c r="AH123" s="7" t="n">
        <f aca="false">SUMIFS('MA Engine'!$X$6:$X$1110,'MA Engine'!$B$6:$B$1110,$A123,'MA Engine'!$H$6:$H$1110,8,'MA Engine'!$I$6:$I$1110,"DO",'MA Engine'!$P$6:$P$1110,"&lt;&gt;Y")+SUMIFS('MA Engine'!$X$6:$X$1110,'MA Engine'!$B$6:$B$1110,$A123,'MA Engine'!$H$6:$H$1110,8,'MA Engine'!$I$6:$I$1110,"Unbilled")</f>
        <v>140542258.00731</v>
      </c>
      <c r="AI123" s="7" t="n">
        <f aca="false">SUMIFS('MA Engine'!$AK$6:$AK$1110,'MA Engine'!$B$6:$B$1110,$A123,'MA Engine'!$H$6:$H$1110,8,'MA Engine'!$I$6:$I$1110,"DO",'MA Engine'!$P$6:$P$1110,"&lt;&gt;Y")+SUMIFS('MA Engine'!$AK$6:$AK$1110,'MA Engine'!$B$6:$B$1110,$A123,'MA Engine'!$H$6:$H$1110,8,'MA Engine'!$I$6:$I$1110,"Unbilled")</f>
        <v>0</v>
      </c>
      <c r="AJ123" s="7" t="n">
        <f aca="false">SUMIFS('MA Engine'!$AL$6:$AL$1110,'MA Engine'!$B$6:$B$1110,$A123,'MA Engine'!$H$6:$H$1110,8,'MA Engine'!$I$6:$I$1110,"DO",'MA Engine'!$P$6:$P$1110,"&lt;&gt;Y")+SUMIFS('MA Engine'!$AL$6:$AL$1110,'MA Engine'!$B$6:$B$1110,$A123,'MA Engine'!$H$6:$H$1110,8,'MA Engine'!$I$6:$I$1110,"Unbilled")</f>
        <v>30221495.2604272</v>
      </c>
      <c r="AK123" s="7" t="n">
        <f aca="false">SUMIFS('MA Engine'!$AM$6:$AM$1110,'MA Engine'!$B$6:$B$1110,$A123,'MA Engine'!$H$6:$H$1110,8,'MA Engine'!$I$6:$I$1110,"DO",'MA Engine'!$P$6:$P$1110,"&lt;&gt;Y")+SUMIFS('MA Engine'!$AM$6:$AM$1110,'MA Engine'!$B$6:$B$1110,$A123,'MA Engine'!$H$6:$H$1110,8,'MA Engine'!$I$6:$I$1110,"Unbilled")</f>
        <v>110320762.746883</v>
      </c>
      <c r="AL123" s="9" t="n">
        <f aca="false">AH123-AI123-AJ123-AK123</f>
        <v>0</v>
      </c>
      <c r="AM123" s="7" t="n">
        <f aca="false">IF(Q123=0,0,IF($D123="Karkas",SUMIFS('Karkas Detail'!$E$6:$E$42,'Karkas Detail'!$A$6:$A$42,$C123,'Karkas Detail'!$B$6:$B$42,$F123,'Karkas Detail'!$C$6:$C$42,$E123)/SUMIFS($Q$36:$Q$127,$C$36:$C$127,$C123,$D$36:$D$127,"Karkas",$F$36:$F$127,$F123,$E$36:$E$127,$E123),SUMIFS('Data SKU'!$G$5:$G$116,'Data SKU'!$A$5:$A$116,$C123,'Data SKU'!$B$5:$B$116,$D123,'Data SKU'!$C$5:$C$116,$E123,'Data SKU'!$D$5:$D$116,8,'Data SKU'!$N$5:$N$116,"Invoiced")/SUMIFS($Q$36:$Q$127,$C$36:$C$127,$C123,$D$36:$D$127,$D123,$E$36:$E$127,$E123))*Q123)+SUMIFS(Unbilled!$U$22:$U$38,Unbilled!$E$22:$E$38,$A123)</f>
        <v>150114800</v>
      </c>
      <c r="AN123" s="9" t="n">
        <f aca="false">IF(P123=0,0,AM123*AA123/P123)</f>
        <v>0</v>
      </c>
      <c r="AO123" s="9" t="n">
        <f aca="false">IF(P123=0,0,AM123*AB123/P123)</f>
        <v>33455108.6907131</v>
      </c>
      <c r="AP123" s="9" t="n">
        <f aca="false">IF(P123=0,0,AM123*AC123/P123)</f>
        <v>116659691.309287</v>
      </c>
      <c r="AQ123" s="14" t="n">
        <f aca="false">MIN(U123+V123,MAX(0,O123-M123))</f>
        <v>0</v>
      </c>
      <c r="AR123" s="14" t="n">
        <f aca="false">MAX(0,AQ123-V123)*Z123</f>
        <v>0</v>
      </c>
      <c r="AS123" s="14" t="n">
        <f aca="false">MIN(V123,AQ123)*Z123</f>
        <v>0</v>
      </c>
      <c r="AT123" s="14" t="n">
        <f aca="false">(O123-AQ123)*Z123</f>
        <v>13767.8</v>
      </c>
      <c r="AU123" s="9" t="n">
        <f aca="false">(AR123+AS123+AT123)*BA123</f>
        <v>140542258.00731</v>
      </c>
      <c r="AV123" s="9" t="n">
        <f aca="false">IF(P123=0,0,AM123*AR123/P123)</f>
        <v>0</v>
      </c>
      <c r="AW123" s="9" t="n">
        <f aca="false">IF(P123=0,0,AM123*AS123/P123)</f>
        <v>0</v>
      </c>
      <c r="AX123" s="9" t="n">
        <f aca="false">IF(P123=0,0,AM123*AT123/P123)</f>
        <v>150114800</v>
      </c>
      <c r="AY123" s="9" t="n">
        <f aca="false">AH123-AU123</f>
        <v>0</v>
      </c>
      <c r="AZ123" s="9" t="n">
        <f aca="false">IF(M123&gt;0,P123*AG123,0)</f>
        <v>149421031.774204</v>
      </c>
      <c r="BA123" s="9" t="n">
        <f aca="false">IF(P123=0,0,AH123/P123)</f>
        <v>10208.0403555623</v>
      </c>
      <c r="BB123" s="74" t="s">
        <v>245</v>
      </c>
      <c r="BC123" s="13" t="n">
        <f aca="false">SUMIFS('MA Engine'!$W$6:$W$1110,'MA Engine'!$B$6:$B$1110,$A123,'MA Engine'!$H$6:$H$1110,7,'MA Engine'!$I$6:$I$1110,"DO")</f>
        <v>5789.56</v>
      </c>
      <c r="BD123" s="14" t="n">
        <f aca="false">MIN(MAX(0,H123),J123)</f>
        <v>0</v>
      </c>
      <c r="BE123" s="14" t="n">
        <f aca="false">J123-BD123</f>
        <v>5789.56</v>
      </c>
      <c r="BF123" s="21" t="n">
        <f aca="false">IF(J123=0,0,BC123/J123)</f>
        <v>1</v>
      </c>
      <c r="BG123" s="13" t="n">
        <f aca="false">SUMIFS('MA Engine'!$AH$6:$AH$1110,'MA Engine'!$B$6:$B$1110,$A123,'MA Engine'!$H$6:$H$1110,7,'MA Engine'!$I$6:$I$1110,"DO")</f>
        <v>0</v>
      </c>
      <c r="BH123" s="13" t="n">
        <f aca="false">SUMIFS('MA Engine'!$AI$6:$AI$1110,'MA Engine'!$B$6:$B$1110,$A123,'MA Engine'!$H$6:$H$1110,7,'MA Engine'!$I$6:$I$1110,"DO")+SUMIFS('MA Engine'!$AJ$6:$AJ$1110,'MA Engine'!$B$6:$B$1110,$A123,'MA Engine'!$H$6:$H$1110,7,'MA Engine'!$I$6:$I$1110,"DO")</f>
        <v>5789.56</v>
      </c>
      <c r="BI123" s="7" t="n">
        <f aca="false">IF(H123&gt;0,SUMIFS('MA Engine'!$L$6:$L$1110,'MA Engine'!$B$6:$B$1110,$A123,'MA Engine'!$I$6:$I$1110,"Opening")/H123,0)</f>
        <v>0</v>
      </c>
      <c r="BJ123" s="9" t="n">
        <f aca="false">IF(I123&gt;0,AD123/I123,BI123)</f>
        <v>4460.60014224591</v>
      </c>
      <c r="BK123" s="7" t="n">
        <f aca="false">SUMIFS('MA Engine'!$X$6:$X$1110,'MA Engine'!$B$6:$B$1110,$A123,'MA Engine'!$H$6:$H$1110,7,'MA Engine'!$I$6:$I$1110,"DO")</f>
        <v>25824912.1595412</v>
      </c>
      <c r="BL123" s="7" t="n">
        <f aca="false">SUMIFS('MA Engine'!$AK$6:$AK$1110,'MA Engine'!$B$6:$B$1110,$A123,'MA Engine'!$H$6:$H$1110,7,'MA Engine'!$I$6:$I$1110,"DO")</f>
        <v>0</v>
      </c>
      <c r="BM123" s="7" t="n">
        <f aca="false">SUMIFS('MA Engine'!$AL$6:$AL$1110,'MA Engine'!$B$6:$B$1110,$A123,'MA Engine'!$H$6:$H$1110,7,'MA Engine'!$I$6:$I$1110,"DO")+SUMIFS('MA Engine'!$AM$6:$AM$1110,'MA Engine'!$B$6:$B$1110,$A123,'MA Engine'!$H$6:$H$1110,7,'MA Engine'!$I$6:$I$1110,"DO")</f>
        <v>25824912.1595412</v>
      </c>
      <c r="BN123" s="9" t="n">
        <f aca="false">BK123-BL123-BM123</f>
        <v>0</v>
      </c>
      <c r="BO123" s="7" t="n">
        <f aca="false">IF(BC123=0,0,SUMIFS('Data SKU'!$G$5:$G$116,'Data SKU'!$A$5:$A$116,$C123,'Data SKU'!$B$5:$B$116,$D123,'Data SKU'!$C$5:$C$116,$E123,'Data SKU'!$D$5:$D$116,7,'Data SKU'!$N$5:$N$116,"Invoiced")/SUMIFS($BC$36:$BC$127,$C$36:$C$127,$C123,$D$36:$D$127,$D123,$E$36:$E$127,$E123)*BC123)</f>
        <v>33741005</v>
      </c>
      <c r="BP123" s="9" t="n">
        <f aca="false">IF(BC123=0,0,BO123*BG123/BC123)</f>
        <v>0</v>
      </c>
      <c r="BQ123" s="9" t="n">
        <f aca="false">IF(BC123=0,0,BO123*BH123/BC123)</f>
        <v>33741005</v>
      </c>
    </row>
    <row r="124" customFormat="false" ht="15" hidden="false" customHeight="false" outlineLevel="0" collapsed="false">
      <c r="A124" s="74" t="s">
        <v>1036</v>
      </c>
      <c r="B124" s="53" t="str">
        <f aca="false">INDEX(I_Items!$B$5:$B$133,MATCH($A124,I_Items!$A$5:$A$133,0))&amp;""</f>
        <v>Karkas Uk 0.5</v>
      </c>
      <c r="C124" s="53" t="str">
        <f aca="false">INDEX(I_Items!$C$5:$C$133,MATCH($A124,I_Items!$A$5:$A$133,0))&amp;""</f>
        <v>Trading</v>
      </c>
      <c r="D124" s="53" t="str">
        <f aca="false">INDEX(I_Items!$D$5:$D$133,MATCH($A124,I_Items!$A$5:$A$133,0))&amp;""</f>
        <v>Karkas</v>
      </c>
      <c r="E124" s="53" t="str">
        <f aca="false">INDEX(I_Items!$F$5:$F$133,MATCH($A124,I_Items!$A$5:$A$133,0))&amp;""</f>
        <v>Not stated in item master</v>
      </c>
      <c r="F124" s="53" t="str">
        <f aca="false">INDEX(I_Items!$E$5:$E$133,MATCH($A124,I_Items!$A$5:$A$133,0))&amp;""</f>
        <v>Uk 0.5</v>
      </c>
      <c r="G124" s="6" t="str">
        <f aca="false">IF(P124=0,"-",IF(M124=0,"A",IF(K124&lt;=0,"C","B")))</f>
        <v>C</v>
      </c>
      <c r="H124" s="13" t="n">
        <f aca="false">SUMIFS('MA Engine'!$K$6:$K$1110,'MA Engine'!$B$6:$B$1110,$A124,'MA Engine'!$I$6:$I$1110,"Opening")</f>
        <v>0</v>
      </c>
      <c r="I124" s="13" t="n">
        <f aca="false">SUMIFS('MA Engine'!$K$6:$K$1110,'MA Engine'!$B$6:$B$1110,$A124,'MA Engine'!$H$6:$H$1110,7,'MA Engine'!$I$6:$I$1110,"&lt;&gt;Opening")</f>
        <v>0</v>
      </c>
      <c r="J124" s="13" t="n">
        <f aca="false">SUMIFS('MA Engine'!$W$6:$W$1110,'MA Engine'!$B$6:$B$1110,$A124,'MA Engine'!$H$6:$H$1110,7)</f>
        <v>0</v>
      </c>
      <c r="K124" s="14" t="n">
        <f aca="false">H124+I124-J124</f>
        <v>0</v>
      </c>
      <c r="L124" s="7" t="n">
        <f aca="false">SUMIFS('MA Engine'!$L$6:$L$1110,'MA Engine'!$B$6:$B$1110,$A124,'MA Engine'!$I$6:$I$1110,"Opening")+SUMIFS('MA Engine'!$L$6:$L$1110,'MA Engine'!$B$6:$B$1110,$A124,'MA Engine'!$H$6:$H$1110,7,'MA Engine'!$I$6:$I$1110,"&lt;&gt;Opening")-SUMIFS('MA Engine'!$X$6:$X$1110,'MA Engine'!$B$6:$B$1110,$A124,'MA Engine'!$H$6:$H$1110,7)</f>
        <v>0</v>
      </c>
      <c r="M124" s="13" t="n">
        <f aca="false">SUMIFS('MA Engine'!$K$6:$K$1110,'MA Engine'!$B$6:$B$1110,$A124,'MA Engine'!$H$6:$H$1110,8)</f>
        <v>17475.8</v>
      </c>
      <c r="N124" s="7" t="n">
        <f aca="false">SUMIFS('MA Engine'!$L$6:$L$1110,'MA Engine'!$B$6:$B$1110,$A124,'MA Engine'!$H$6:$H$1110,8)</f>
        <v>524664803.55</v>
      </c>
      <c r="O124" s="13" t="n">
        <f aca="false">SUMIFS('MA Engine'!$W$6:$W$1110,'MA Engine'!$B$6:$B$1110,$A124,'MA Engine'!$H$6:$H$1110,8)</f>
        <v>4192.5</v>
      </c>
      <c r="P124" s="14" t="n">
        <f aca="false">Q124+R124</f>
        <v>4192.5</v>
      </c>
      <c r="Q124" s="13" t="n">
        <f aca="false">SUMIFS('MA Engine'!$W$6:$W$1110,'MA Engine'!$B$6:$B$1110,$A124,'MA Engine'!$H$6:$H$1110,8,'MA Engine'!$I$6:$I$1110,"DO",'MA Engine'!$P$6:$P$1110,"&lt;&gt;Y")</f>
        <v>3811</v>
      </c>
      <c r="R124" s="13" t="n">
        <f aca="false">SUMIFS('MA Engine'!$W$6:$W$1110,'MA Engine'!$B$6:$B$1110,$A124,'MA Engine'!$H$6:$H$1110,8,'MA Engine'!$I$6:$I$1110,"Unbilled")</f>
        <v>381.5</v>
      </c>
      <c r="S124" s="13" t="n">
        <f aca="false">SUMIFS('MA Engine'!$W$6:$W$1110,'MA Engine'!$B$6:$B$1110,$A124,'MA Engine'!$H$6:$H$1110,8,'MA Engine'!$P$6:$P$1110,"Y")</f>
        <v>0</v>
      </c>
      <c r="T124" s="14" t="n">
        <f aca="false">O124-P124-S124</f>
        <v>0</v>
      </c>
      <c r="U124" s="14" t="n">
        <f aca="false">MAX(0,H124-J124)</f>
        <v>0</v>
      </c>
      <c r="V124" s="14" t="n">
        <f aca="false">MAX(0,K124-U124)</f>
        <v>0</v>
      </c>
      <c r="W124" s="14" t="n">
        <f aca="false">MIN(U124,O124)</f>
        <v>0</v>
      </c>
      <c r="X124" s="14" t="n">
        <f aca="false">MIN(V124,O124-W124)</f>
        <v>0</v>
      </c>
      <c r="Y124" s="14" t="n">
        <f aca="false">O124-W124-X124</f>
        <v>4192.5</v>
      </c>
      <c r="Z124" s="21" t="n">
        <f aca="false">IF(O124=0,0,P124/O124)</f>
        <v>1</v>
      </c>
      <c r="AA124" s="13" t="n">
        <f aca="false">SUMIFS('MA Engine'!$AH$6:$AH$1110,'MA Engine'!$B$6:$B$1110,$A124,'MA Engine'!$H$6:$H$1110,8,'MA Engine'!$I$6:$I$1110,"DO",'MA Engine'!$P$6:$P$1110,"&lt;&gt;Y")+SUMIFS('MA Engine'!$AH$6:$AH$1110,'MA Engine'!$B$6:$B$1110,$A124,'MA Engine'!$H$6:$H$1110,8,'MA Engine'!$I$6:$I$1110,"Unbilled")</f>
        <v>0</v>
      </c>
      <c r="AB124" s="13" t="n">
        <f aca="false">SUMIFS('MA Engine'!$AI$6:$AI$1110,'MA Engine'!$B$6:$B$1110,$A124,'MA Engine'!$H$6:$H$1110,8,'MA Engine'!$I$6:$I$1110,"DO",'MA Engine'!$P$6:$P$1110,"&lt;&gt;Y")+SUMIFS('MA Engine'!$AI$6:$AI$1110,'MA Engine'!$B$6:$B$1110,$A124,'MA Engine'!$H$6:$H$1110,8,'MA Engine'!$I$6:$I$1110,"Unbilled")</f>
        <v>0</v>
      </c>
      <c r="AC124" s="13" t="n">
        <f aca="false">SUMIFS('MA Engine'!$AJ$6:$AJ$1110,'MA Engine'!$B$6:$B$1110,$A124,'MA Engine'!$H$6:$H$1110,8,'MA Engine'!$I$6:$I$1110,"DO",'MA Engine'!$P$6:$P$1110,"&lt;&gt;Y")+SUMIFS('MA Engine'!$AJ$6:$AJ$1110,'MA Engine'!$B$6:$B$1110,$A124,'MA Engine'!$H$6:$H$1110,8,'MA Engine'!$I$6:$I$1110,"Unbilled")</f>
        <v>4192.5</v>
      </c>
      <c r="AD124" s="7" t="n">
        <f aca="false">SUMIFS('MA Engine'!$L$6:$L$1110,'MA Engine'!$B$6:$B$1110,$A124,'MA Engine'!$H$6:$H$1110,7,'MA Engine'!$I$6:$I$1110,"&lt;&gt;Opening")</f>
        <v>0</v>
      </c>
      <c r="AE124" s="9" t="n">
        <f aca="false">IF(AND(U124&gt;0.0001,(L124-V124*IF(I124&gt;0,AD124/I124,IF(K124&gt;0,L124/K124,0)))&lt;0),IF(K124&gt;0,L124/K124,0),IF(I124&gt;0,AD124/I124,IF(K124&gt;0,L124/K124,0)))</f>
        <v>0</v>
      </c>
      <c r="AF124" s="9" t="n">
        <f aca="false">IF(U124&lt;=0.0001,IF(K124&gt;0,L124/K124,0),IF((L124-V124*IF(I124&gt;0,AD124/I124,IF(K124&gt;0,L124/K124,0)))&lt;0,IF(K124&gt;0,L124/K124,0),(L124-V124*IF(I124&gt;0,AD124/I124,IF(K124&gt;0,L124/K124,0)))/U124))</f>
        <v>0</v>
      </c>
      <c r="AG124" s="9" t="n">
        <f aca="false">IF(M124&gt;0,N124/M124,IF(K124&gt;0,L124/K124,0))</f>
        <v>30022.3625556484</v>
      </c>
      <c r="AH124" s="7" t="n">
        <f aca="false">SUMIFS('MA Engine'!$X$6:$X$1110,'MA Engine'!$B$6:$B$1110,$A124,'MA Engine'!$H$6:$H$1110,8,'MA Engine'!$I$6:$I$1110,"DO",'MA Engine'!$P$6:$P$1110,"&lt;&gt;Y")+SUMIFS('MA Engine'!$X$6:$X$1110,'MA Engine'!$B$6:$B$1110,$A124,'MA Engine'!$H$6:$H$1110,8,'MA Engine'!$I$6:$I$1110,"Unbilled")</f>
        <v>125868755.014556</v>
      </c>
      <c r="AI124" s="7" t="n">
        <f aca="false">SUMIFS('MA Engine'!$AK$6:$AK$1110,'MA Engine'!$B$6:$B$1110,$A124,'MA Engine'!$H$6:$H$1110,8,'MA Engine'!$I$6:$I$1110,"DO",'MA Engine'!$P$6:$P$1110,"&lt;&gt;Y")+SUMIFS('MA Engine'!$AK$6:$AK$1110,'MA Engine'!$B$6:$B$1110,$A124,'MA Engine'!$H$6:$H$1110,8,'MA Engine'!$I$6:$I$1110,"Unbilled")</f>
        <v>0</v>
      </c>
      <c r="AJ124" s="7" t="n">
        <f aca="false">SUMIFS('MA Engine'!$AL$6:$AL$1110,'MA Engine'!$B$6:$B$1110,$A124,'MA Engine'!$H$6:$H$1110,8,'MA Engine'!$I$6:$I$1110,"DO",'MA Engine'!$P$6:$P$1110,"&lt;&gt;Y")+SUMIFS('MA Engine'!$AL$6:$AL$1110,'MA Engine'!$B$6:$B$1110,$A124,'MA Engine'!$H$6:$H$1110,8,'MA Engine'!$I$6:$I$1110,"Unbilled")</f>
        <v>0</v>
      </c>
      <c r="AK124" s="7" t="n">
        <f aca="false">SUMIFS('MA Engine'!$AM$6:$AM$1110,'MA Engine'!$B$6:$B$1110,$A124,'MA Engine'!$H$6:$H$1110,8,'MA Engine'!$I$6:$I$1110,"DO",'MA Engine'!$P$6:$P$1110,"&lt;&gt;Y")+SUMIFS('MA Engine'!$AM$6:$AM$1110,'MA Engine'!$B$6:$B$1110,$A124,'MA Engine'!$H$6:$H$1110,8,'MA Engine'!$I$6:$I$1110,"Unbilled")</f>
        <v>125868755.014556</v>
      </c>
      <c r="AL124" s="9" t="n">
        <f aca="false">AH124-AI124-AJ124-AK124</f>
        <v>0</v>
      </c>
      <c r="AM124" s="7" t="n">
        <f aca="false">IF(Q124=0,0,IF($D124="Karkas",SUMIFS('Karkas Detail'!$E$6:$E$42,'Karkas Detail'!$A$6:$A$42,$C124,'Karkas Detail'!$B$6:$B$42,$F124,'Karkas Detail'!$C$6:$C$42,$E124)/SUMIFS($Q$36:$Q$127,$C$36:$C$127,$C124,$D$36:$D$127,"Karkas",$F$36:$F$127,$F124,$E$36:$E$127,$E124),SUMIFS('Data SKU'!$G$5:$G$116,'Data SKU'!$A$5:$A$116,$C124,'Data SKU'!$B$5:$B$116,$D124,'Data SKU'!$C$5:$C$116,$E124,'Data SKU'!$D$5:$D$116,8,'Data SKU'!$N$5:$N$116,"Invoiced")/SUMIFS($Q$36:$Q$127,$C$36:$C$127,$C124,$D$36:$D$127,$D124,$E$36:$E$127,$E124))*Q124)+SUMIFS(Unbilled!$U$22:$U$38,Unbilled!$E$22:$E$38,$A124)</f>
        <v>126099634.378582</v>
      </c>
      <c r="AN124" s="9" t="n">
        <f aca="false">IF(P124=0,0,AM124*AA124/P124)</f>
        <v>0</v>
      </c>
      <c r="AO124" s="9" t="n">
        <f aca="false">IF(P124=0,0,AM124*AB124/P124)</f>
        <v>0</v>
      </c>
      <c r="AP124" s="9" t="n">
        <f aca="false">IF(P124=0,0,AM124*AC124/P124)</f>
        <v>126099634.378582</v>
      </c>
      <c r="AQ124" s="14" t="n">
        <f aca="false">MIN(U124+V124,MAX(0,O124-M124))</f>
        <v>0</v>
      </c>
      <c r="AR124" s="14" t="n">
        <f aca="false">MAX(0,AQ124-V124)*Z124</f>
        <v>0</v>
      </c>
      <c r="AS124" s="14" t="n">
        <f aca="false">MIN(V124,AQ124)*Z124</f>
        <v>0</v>
      </c>
      <c r="AT124" s="14" t="n">
        <f aca="false">(O124-AQ124)*Z124</f>
        <v>4192.5</v>
      </c>
      <c r="AU124" s="9" t="n">
        <f aca="false">(AR124+AS124+AT124)*BA124</f>
        <v>125868755.014556</v>
      </c>
      <c r="AV124" s="9" t="n">
        <f aca="false">IF(P124=0,0,AM124*AR124/P124)</f>
        <v>0</v>
      </c>
      <c r="AW124" s="9" t="n">
        <f aca="false">IF(P124=0,0,AM124*AS124/P124)</f>
        <v>0</v>
      </c>
      <c r="AX124" s="9" t="n">
        <f aca="false">IF(P124=0,0,AM124*AT124/P124)</f>
        <v>126099634.378582</v>
      </c>
      <c r="AY124" s="9" t="n">
        <f aca="false">AH124-AU124</f>
        <v>0</v>
      </c>
      <c r="AZ124" s="9" t="n">
        <f aca="false">IF(M124&gt;0,P124*AG124,0)</f>
        <v>125868755.014556</v>
      </c>
      <c r="BA124" s="9" t="n">
        <f aca="false">IF(P124=0,0,AH124/P124)</f>
        <v>30022.3625556484</v>
      </c>
      <c r="BB124" s="74" t="s">
        <v>246</v>
      </c>
      <c r="BC124" s="13" t="n">
        <f aca="false">SUMIFS('MA Engine'!$W$6:$W$1110,'MA Engine'!$B$6:$B$1110,$A124,'MA Engine'!$H$6:$H$1110,7,'MA Engine'!$I$6:$I$1110,"DO")</f>
        <v>0</v>
      </c>
      <c r="BD124" s="14" t="n">
        <f aca="false">MIN(MAX(0,H124),J124)</f>
        <v>0</v>
      </c>
      <c r="BE124" s="14" t="n">
        <f aca="false">J124-BD124</f>
        <v>0</v>
      </c>
      <c r="BF124" s="21" t="n">
        <f aca="false">IF(J124=0,0,BC124/J124)</f>
        <v>0</v>
      </c>
      <c r="BG124" s="13" t="n">
        <f aca="false">SUMIFS('MA Engine'!$AH$6:$AH$1110,'MA Engine'!$B$6:$B$1110,$A124,'MA Engine'!$H$6:$H$1110,7,'MA Engine'!$I$6:$I$1110,"DO")</f>
        <v>0</v>
      </c>
      <c r="BH124" s="13" t="n">
        <f aca="false">SUMIFS('MA Engine'!$AI$6:$AI$1110,'MA Engine'!$B$6:$B$1110,$A124,'MA Engine'!$H$6:$H$1110,7,'MA Engine'!$I$6:$I$1110,"DO")+SUMIFS('MA Engine'!$AJ$6:$AJ$1110,'MA Engine'!$B$6:$B$1110,$A124,'MA Engine'!$H$6:$H$1110,7,'MA Engine'!$I$6:$I$1110,"DO")</f>
        <v>0</v>
      </c>
      <c r="BI124" s="7" t="n">
        <f aca="false">IF(H124&gt;0,SUMIFS('MA Engine'!$L$6:$L$1110,'MA Engine'!$B$6:$B$1110,$A124,'MA Engine'!$I$6:$I$1110,"Opening")/H124,0)</f>
        <v>0</v>
      </c>
      <c r="BJ124" s="9" t="n">
        <f aca="false">IF(I124&gt;0,AD124/I124,BI124)</f>
        <v>0</v>
      </c>
      <c r="BK124" s="7" t="n">
        <f aca="false">SUMIFS('MA Engine'!$X$6:$X$1110,'MA Engine'!$B$6:$B$1110,$A124,'MA Engine'!$H$6:$H$1110,7,'MA Engine'!$I$6:$I$1110,"DO")</f>
        <v>0</v>
      </c>
      <c r="BL124" s="7" t="n">
        <f aca="false">SUMIFS('MA Engine'!$AK$6:$AK$1110,'MA Engine'!$B$6:$B$1110,$A124,'MA Engine'!$H$6:$H$1110,7,'MA Engine'!$I$6:$I$1110,"DO")</f>
        <v>0</v>
      </c>
      <c r="BM124" s="7" t="n">
        <f aca="false">SUMIFS('MA Engine'!$AL$6:$AL$1110,'MA Engine'!$B$6:$B$1110,$A124,'MA Engine'!$H$6:$H$1110,7,'MA Engine'!$I$6:$I$1110,"DO")+SUMIFS('MA Engine'!$AM$6:$AM$1110,'MA Engine'!$B$6:$B$1110,$A124,'MA Engine'!$H$6:$H$1110,7,'MA Engine'!$I$6:$I$1110,"DO")</f>
        <v>0</v>
      </c>
      <c r="BN124" s="9" t="n">
        <f aca="false">BK124-BL124-BM124</f>
        <v>0</v>
      </c>
      <c r="BO124" s="7" t="n">
        <f aca="false">IF(BC124=0,0,SUMIFS('Data SKU'!$G$5:$G$116,'Data SKU'!$A$5:$A$116,$C124,'Data SKU'!$B$5:$B$116,$D124,'Data SKU'!$C$5:$C$116,$E124,'Data SKU'!$D$5:$D$116,7,'Data SKU'!$N$5:$N$116,"Invoiced")/SUMIFS($BC$36:$BC$127,$C$36:$C$127,$C124,$D$36:$D$127,$D124,$E$36:$E$127,$E124)*BC124)</f>
        <v>0</v>
      </c>
      <c r="BP124" s="9" t="n">
        <f aca="false">IF(BC124=0,0,BO124*BG124/BC124)</f>
        <v>0</v>
      </c>
      <c r="BQ124" s="9" t="n">
        <f aca="false">IF(BC124=0,0,BO124*BH124/BC124)</f>
        <v>0</v>
      </c>
    </row>
    <row r="125" customFormat="false" ht="15" hidden="false" customHeight="false" outlineLevel="0" collapsed="false">
      <c r="A125" s="74" t="s">
        <v>1037</v>
      </c>
      <c r="B125" s="53" t="str">
        <f aca="false">INDEX(I_Items!$B$5:$B$133,MATCH($A125,I_Items!$A$5:$A$133,0))&amp;""</f>
        <v>Karkas Uk 0.3</v>
      </c>
      <c r="C125" s="53" t="str">
        <f aca="false">INDEX(I_Items!$C$5:$C$133,MATCH($A125,I_Items!$A$5:$A$133,0))&amp;""</f>
        <v>Trading</v>
      </c>
      <c r="D125" s="53" t="str">
        <f aca="false">INDEX(I_Items!$D$5:$D$133,MATCH($A125,I_Items!$A$5:$A$133,0))&amp;""</f>
        <v>Karkas</v>
      </c>
      <c r="E125" s="53" t="str">
        <f aca="false">INDEX(I_Items!$F$5:$F$133,MATCH($A125,I_Items!$A$5:$A$133,0))&amp;""</f>
        <v>Not stated in item master</v>
      </c>
      <c r="F125" s="53" t="str">
        <f aca="false">INDEX(I_Items!$E$5:$E$133,MATCH($A125,I_Items!$A$5:$A$133,0))&amp;""</f>
        <v>Uk 0.3</v>
      </c>
      <c r="G125" s="6" t="str">
        <f aca="false">IF(P125=0,"-",IF(M125=0,"A",IF(K125&lt;=0,"C","B")))</f>
        <v>-</v>
      </c>
      <c r="H125" s="13" t="n">
        <f aca="false">SUMIFS('MA Engine'!$K$6:$K$1110,'MA Engine'!$B$6:$B$1110,$A125,'MA Engine'!$I$6:$I$1110,"Opening")</f>
        <v>0</v>
      </c>
      <c r="I125" s="13" t="n">
        <f aca="false">SUMIFS('MA Engine'!$K$6:$K$1110,'MA Engine'!$B$6:$B$1110,$A125,'MA Engine'!$H$6:$H$1110,7,'MA Engine'!$I$6:$I$1110,"&lt;&gt;Opening")</f>
        <v>0</v>
      </c>
      <c r="J125" s="13" t="n">
        <f aca="false">SUMIFS('MA Engine'!$W$6:$W$1110,'MA Engine'!$B$6:$B$1110,$A125,'MA Engine'!$H$6:$H$1110,7)</f>
        <v>0</v>
      </c>
      <c r="K125" s="14" t="n">
        <f aca="false">H125+I125-J125</f>
        <v>0</v>
      </c>
      <c r="L125" s="7" t="n">
        <f aca="false">SUMIFS('MA Engine'!$L$6:$L$1110,'MA Engine'!$B$6:$B$1110,$A125,'MA Engine'!$I$6:$I$1110,"Opening")+SUMIFS('MA Engine'!$L$6:$L$1110,'MA Engine'!$B$6:$B$1110,$A125,'MA Engine'!$H$6:$H$1110,7,'MA Engine'!$I$6:$I$1110,"&lt;&gt;Opening")-SUMIFS('MA Engine'!$X$6:$X$1110,'MA Engine'!$B$6:$B$1110,$A125,'MA Engine'!$H$6:$H$1110,7)</f>
        <v>0</v>
      </c>
      <c r="M125" s="13" t="n">
        <f aca="false">SUMIFS('MA Engine'!$K$6:$K$1110,'MA Engine'!$B$6:$B$1110,$A125,'MA Engine'!$H$6:$H$1110,8)</f>
        <v>73.8</v>
      </c>
      <c r="N125" s="7" t="n">
        <f aca="false">SUMIFS('MA Engine'!$L$6:$L$1110,'MA Engine'!$B$6:$B$1110,$A125,'MA Engine'!$H$6:$H$1110,8)</f>
        <v>2177100</v>
      </c>
      <c r="O125" s="13" t="n">
        <f aca="false">SUMIFS('MA Engine'!$W$6:$W$1110,'MA Engine'!$B$6:$B$1110,$A125,'MA Engine'!$H$6:$H$1110,8)</f>
        <v>0</v>
      </c>
      <c r="P125" s="14" t="n">
        <f aca="false">Q125+R125</f>
        <v>0</v>
      </c>
      <c r="Q125" s="13" t="n">
        <f aca="false">SUMIFS('MA Engine'!$W$6:$W$1110,'MA Engine'!$B$6:$B$1110,$A125,'MA Engine'!$H$6:$H$1110,8,'MA Engine'!$I$6:$I$1110,"DO",'MA Engine'!$P$6:$P$1110,"&lt;&gt;Y")</f>
        <v>0</v>
      </c>
      <c r="R125" s="13" t="n">
        <f aca="false">SUMIFS('MA Engine'!$W$6:$W$1110,'MA Engine'!$B$6:$B$1110,$A125,'MA Engine'!$H$6:$H$1110,8,'MA Engine'!$I$6:$I$1110,"Unbilled")</f>
        <v>0</v>
      </c>
      <c r="S125" s="13" t="n">
        <f aca="false">SUMIFS('MA Engine'!$W$6:$W$1110,'MA Engine'!$B$6:$B$1110,$A125,'MA Engine'!$H$6:$H$1110,8,'MA Engine'!$P$6:$P$1110,"Y")</f>
        <v>0</v>
      </c>
      <c r="T125" s="14" t="n">
        <f aca="false">O125-P125-S125</f>
        <v>0</v>
      </c>
      <c r="U125" s="14" t="n">
        <f aca="false">MAX(0,H125-J125)</f>
        <v>0</v>
      </c>
      <c r="V125" s="14" t="n">
        <f aca="false">MAX(0,K125-U125)</f>
        <v>0</v>
      </c>
      <c r="W125" s="14" t="n">
        <f aca="false">MIN(U125,O125)</f>
        <v>0</v>
      </c>
      <c r="X125" s="14" t="n">
        <f aca="false">MIN(V125,O125-W125)</f>
        <v>0</v>
      </c>
      <c r="Y125" s="14" t="n">
        <f aca="false">O125-W125-X125</f>
        <v>0</v>
      </c>
      <c r="Z125" s="21" t="n">
        <f aca="false">IF(O125=0,0,P125/O125)</f>
        <v>0</v>
      </c>
      <c r="AA125" s="13" t="n">
        <f aca="false">SUMIFS('MA Engine'!$AH$6:$AH$1110,'MA Engine'!$B$6:$B$1110,$A125,'MA Engine'!$H$6:$H$1110,8,'MA Engine'!$I$6:$I$1110,"DO",'MA Engine'!$P$6:$P$1110,"&lt;&gt;Y")+SUMIFS('MA Engine'!$AH$6:$AH$1110,'MA Engine'!$B$6:$B$1110,$A125,'MA Engine'!$H$6:$H$1110,8,'MA Engine'!$I$6:$I$1110,"Unbilled")</f>
        <v>0</v>
      </c>
      <c r="AB125" s="13" t="n">
        <f aca="false">SUMIFS('MA Engine'!$AI$6:$AI$1110,'MA Engine'!$B$6:$B$1110,$A125,'MA Engine'!$H$6:$H$1110,8,'MA Engine'!$I$6:$I$1110,"DO",'MA Engine'!$P$6:$P$1110,"&lt;&gt;Y")+SUMIFS('MA Engine'!$AI$6:$AI$1110,'MA Engine'!$B$6:$B$1110,$A125,'MA Engine'!$H$6:$H$1110,8,'MA Engine'!$I$6:$I$1110,"Unbilled")</f>
        <v>0</v>
      </c>
      <c r="AC125" s="13" t="n">
        <f aca="false">SUMIFS('MA Engine'!$AJ$6:$AJ$1110,'MA Engine'!$B$6:$B$1110,$A125,'MA Engine'!$H$6:$H$1110,8,'MA Engine'!$I$6:$I$1110,"DO",'MA Engine'!$P$6:$P$1110,"&lt;&gt;Y")+SUMIFS('MA Engine'!$AJ$6:$AJ$1110,'MA Engine'!$B$6:$B$1110,$A125,'MA Engine'!$H$6:$H$1110,8,'MA Engine'!$I$6:$I$1110,"Unbilled")</f>
        <v>0</v>
      </c>
      <c r="AD125" s="7" t="n">
        <f aca="false">SUMIFS('MA Engine'!$L$6:$L$1110,'MA Engine'!$B$6:$B$1110,$A125,'MA Engine'!$H$6:$H$1110,7,'MA Engine'!$I$6:$I$1110,"&lt;&gt;Opening")</f>
        <v>0</v>
      </c>
      <c r="AE125" s="9" t="n">
        <f aca="false">IF(AND(U125&gt;0.0001,(L125-V125*IF(I125&gt;0,AD125/I125,IF(K125&gt;0,L125/K125,0)))&lt;0),IF(K125&gt;0,L125/K125,0),IF(I125&gt;0,AD125/I125,IF(K125&gt;0,L125/K125,0)))</f>
        <v>0</v>
      </c>
      <c r="AF125" s="9" t="n">
        <f aca="false">IF(U125&lt;=0.0001,IF(K125&gt;0,L125/K125,0),IF((L125-V125*IF(I125&gt;0,AD125/I125,IF(K125&gt;0,L125/K125,0)))&lt;0,IF(K125&gt;0,L125/K125,0),(L125-V125*IF(I125&gt;0,AD125/I125,IF(K125&gt;0,L125/K125,0)))/U125))</f>
        <v>0</v>
      </c>
      <c r="AG125" s="9" t="n">
        <f aca="false">IF(M125&gt;0,N125/M125,IF(K125&gt;0,L125/K125,0))</f>
        <v>29500</v>
      </c>
      <c r="AH125" s="7" t="n">
        <f aca="false">SUMIFS('MA Engine'!$X$6:$X$1110,'MA Engine'!$B$6:$B$1110,$A125,'MA Engine'!$H$6:$H$1110,8,'MA Engine'!$I$6:$I$1110,"DO",'MA Engine'!$P$6:$P$1110,"&lt;&gt;Y")+SUMIFS('MA Engine'!$X$6:$X$1110,'MA Engine'!$B$6:$B$1110,$A125,'MA Engine'!$H$6:$H$1110,8,'MA Engine'!$I$6:$I$1110,"Unbilled")</f>
        <v>0</v>
      </c>
      <c r="AI125" s="7" t="n">
        <f aca="false">SUMIFS('MA Engine'!$AK$6:$AK$1110,'MA Engine'!$B$6:$B$1110,$A125,'MA Engine'!$H$6:$H$1110,8,'MA Engine'!$I$6:$I$1110,"DO",'MA Engine'!$P$6:$P$1110,"&lt;&gt;Y")+SUMIFS('MA Engine'!$AK$6:$AK$1110,'MA Engine'!$B$6:$B$1110,$A125,'MA Engine'!$H$6:$H$1110,8,'MA Engine'!$I$6:$I$1110,"Unbilled")</f>
        <v>0</v>
      </c>
      <c r="AJ125" s="7" t="n">
        <f aca="false">SUMIFS('MA Engine'!$AL$6:$AL$1110,'MA Engine'!$B$6:$B$1110,$A125,'MA Engine'!$H$6:$H$1110,8,'MA Engine'!$I$6:$I$1110,"DO",'MA Engine'!$P$6:$P$1110,"&lt;&gt;Y")+SUMIFS('MA Engine'!$AL$6:$AL$1110,'MA Engine'!$B$6:$B$1110,$A125,'MA Engine'!$H$6:$H$1110,8,'MA Engine'!$I$6:$I$1110,"Unbilled")</f>
        <v>0</v>
      </c>
      <c r="AK125" s="7" t="n">
        <f aca="false">SUMIFS('MA Engine'!$AM$6:$AM$1110,'MA Engine'!$B$6:$B$1110,$A125,'MA Engine'!$H$6:$H$1110,8,'MA Engine'!$I$6:$I$1110,"DO",'MA Engine'!$P$6:$P$1110,"&lt;&gt;Y")+SUMIFS('MA Engine'!$AM$6:$AM$1110,'MA Engine'!$B$6:$B$1110,$A125,'MA Engine'!$H$6:$H$1110,8,'MA Engine'!$I$6:$I$1110,"Unbilled")</f>
        <v>0</v>
      </c>
      <c r="AL125" s="9" t="n">
        <f aca="false">AH125-AI125-AJ125-AK125</f>
        <v>0</v>
      </c>
      <c r="AM125" s="7" t="n">
        <f aca="false">IF(Q125=0,0,IF($D125="Karkas",SUMIFS('Karkas Detail'!$E$6:$E$42,'Karkas Detail'!$A$6:$A$42,$C125,'Karkas Detail'!$B$6:$B$42,$F125,'Karkas Detail'!$C$6:$C$42,$E125)/SUMIFS($Q$36:$Q$127,$C$36:$C$127,$C125,$D$36:$D$127,"Karkas",$F$36:$F$127,$F125,$E$36:$E$127,$E125),SUMIFS('Data SKU'!$G$5:$G$116,'Data SKU'!$A$5:$A$116,$C125,'Data SKU'!$B$5:$B$116,$D125,'Data SKU'!$C$5:$C$116,$E125,'Data SKU'!$D$5:$D$116,8,'Data SKU'!$N$5:$N$116,"Invoiced")/SUMIFS($Q$36:$Q$127,$C$36:$C$127,$C125,$D$36:$D$127,$D125,$E$36:$E$127,$E125))*Q125)+SUMIFS(Unbilled!$U$22:$U$38,Unbilled!$E$22:$E$38,$A125)</f>
        <v>0</v>
      </c>
      <c r="AN125" s="9" t="n">
        <f aca="false">IF(P125=0,0,AM125*AA125/P125)</f>
        <v>0</v>
      </c>
      <c r="AO125" s="9" t="n">
        <f aca="false">IF(P125=0,0,AM125*AB125/P125)</f>
        <v>0</v>
      </c>
      <c r="AP125" s="9" t="n">
        <f aca="false">IF(P125=0,0,AM125*AC125/P125)</f>
        <v>0</v>
      </c>
      <c r="AQ125" s="14" t="n">
        <f aca="false">MIN(U125+V125,MAX(0,O125-M125))</f>
        <v>0</v>
      </c>
      <c r="AR125" s="14" t="n">
        <f aca="false">MAX(0,AQ125-V125)*Z125</f>
        <v>0</v>
      </c>
      <c r="AS125" s="14" t="n">
        <f aca="false">MIN(V125,AQ125)*Z125</f>
        <v>0</v>
      </c>
      <c r="AT125" s="14" t="n">
        <f aca="false">(O125-AQ125)*Z125</f>
        <v>0</v>
      </c>
      <c r="AU125" s="9" t="n">
        <f aca="false">(AR125+AS125+AT125)*BA125</f>
        <v>0</v>
      </c>
      <c r="AV125" s="9" t="n">
        <f aca="false">IF(P125=0,0,AM125*AR125/P125)</f>
        <v>0</v>
      </c>
      <c r="AW125" s="9" t="n">
        <f aca="false">IF(P125=0,0,AM125*AS125/P125)</f>
        <v>0</v>
      </c>
      <c r="AX125" s="9" t="n">
        <f aca="false">IF(P125=0,0,AM125*AT125/P125)</f>
        <v>0</v>
      </c>
      <c r="AY125" s="9" t="n">
        <f aca="false">AH125-AU125</f>
        <v>0</v>
      </c>
      <c r="AZ125" s="9" t="n">
        <f aca="false">IF(M125&gt;0,P125*AG125,0)</f>
        <v>0</v>
      </c>
      <c r="BA125" s="9" t="n">
        <f aca="false">IF(P125=0,0,AH125/P125)</f>
        <v>0</v>
      </c>
      <c r="BB125" s="74" t="s">
        <v>246</v>
      </c>
      <c r="BC125" s="13" t="n">
        <f aca="false">SUMIFS('MA Engine'!$W$6:$W$1110,'MA Engine'!$B$6:$B$1110,$A125,'MA Engine'!$H$6:$H$1110,7,'MA Engine'!$I$6:$I$1110,"DO")</f>
        <v>0</v>
      </c>
      <c r="BD125" s="14" t="n">
        <f aca="false">MIN(MAX(0,H125),J125)</f>
        <v>0</v>
      </c>
      <c r="BE125" s="14" t="n">
        <f aca="false">J125-BD125</f>
        <v>0</v>
      </c>
      <c r="BF125" s="21" t="n">
        <f aca="false">IF(J125=0,0,BC125/J125)</f>
        <v>0</v>
      </c>
      <c r="BG125" s="13" t="n">
        <f aca="false">SUMIFS('MA Engine'!$AH$6:$AH$1110,'MA Engine'!$B$6:$B$1110,$A125,'MA Engine'!$H$6:$H$1110,7,'MA Engine'!$I$6:$I$1110,"DO")</f>
        <v>0</v>
      </c>
      <c r="BH125" s="13" t="n">
        <f aca="false">SUMIFS('MA Engine'!$AI$6:$AI$1110,'MA Engine'!$B$6:$B$1110,$A125,'MA Engine'!$H$6:$H$1110,7,'MA Engine'!$I$6:$I$1110,"DO")+SUMIFS('MA Engine'!$AJ$6:$AJ$1110,'MA Engine'!$B$6:$B$1110,$A125,'MA Engine'!$H$6:$H$1110,7,'MA Engine'!$I$6:$I$1110,"DO")</f>
        <v>0</v>
      </c>
      <c r="BI125" s="7" t="n">
        <f aca="false">IF(H125&gt;0,SUMIFS('MA Engine'!$L$6:$L$1110,'MA Engine'!$B$6:$B$1110,$A125,'MA Engine'!$I$6:$I$1110,"Opening")/H125,0)</f>
        <v>0</v>
      </c>
      <c r="BJ125" s="9" t="n">
        <f aca="false">IF(I125&gt;0,AD125/I125,BI125)</f>
        <v>0</v>
      </c>
      <c r="BK125" s="7" t="n">
        <f aca="false">SUMIFS('MA Engine'!$X$6:$X$1110,'MA Engine'!$B$6:$B$1110,$A125,'MA Engine'!$H$6:$H$1110,7,'MA Engine'!$I$6:$I$1110,"DO")</f>
        <v>0</v>
      </c>
      <c r="BL125" s="7" t="n">
        <f aca="false">SUMIFS('MA Engine'!$AK$6:$AK$1110,'MA Engine'!$B$6:$B$1110,$A125,'MA Engine'!$H$6:$H$1110,7,'MA Engine'!$I$6:$I$1110,"DO")</f>
        <v>0</v>
      </c>
      <c r="BM125" s="7" t="n">
        <f aca="false">SUMIFS('MA Engine'!$AL$6:$AL$1110,'MA Engine'!$B$6:$B$1110,$A125,'MA Engine'!$H$6:$H$1110,7,'MA Engine'!$I$6:$I$1110,"DO")+SUMIFS('MA Engine'!$AM$6:$AM$1110,'MA Engine'!$B$6:$B$1110,$A125,'MA Engine'!$H$6:$H$1110,7,'MA Engine'!$I$6:$I$1110,"DO")</f>
        <v>0</v>
      </c>
      <c r="BN125" s="9" t="n">
        <f aca="false">BK125-BL125-BM125</f>
        <v>0</v>
      </c>
      <c r="BO125" s="7" t="n">
        <f aca="false">IF(BC125=0,0,SUMIFS('Data SKU'!$G$5:$G$116,'Data SKU'!$A$5:$A$116,$C125,'Data SKU'!$B$5:$B$116,$D125,'Data SKU'!$C$5:$C$116,$E125,'Data SKU'!$D$5:$D$116,7,'Data SKU'!$N$5:$N$116,"Invoiced")/SUMIFS($BC$36:$BC$127,$C$36:$C$127,$C125,$D$36:$D$127,$D125,$E$36:$E$127,$E125)*BC125)</f>
        <v>0</v>
      </c>
      <c r="BP125" s="9" t="n">
        <f aca="false">IF(BC125=0,0,BO125*BG125/BC125)</f>
        <v>0</v>
      </c>
      <c r="BQ125" s="9" t="n">
        <f aca="false">IF(BC125=0,0,BO125*BH125/BC125)</f>
        <v>0</v>
      </c>
    </row>
    <row r="126" customFormat="false" ht="15" hidden="false" customHeight="false" outlineLevel="0" collapsed="false">
      <c r="A126" s="74" t="s">
        <v>1038</v>
      </c>
      <c r="B126" s="53" t="str">
        <f aca="false">INDEX(I_Items!$B$5:$B$133,MATCH($A126,I_Items!$A$5:$A$133,0))&amp;""</f>
        <v>Karkas Uk 0.4</v>
      </c>
      <c r="C126" s="53" t="str">
        <f aca="false">INDEX(I_Items!$C$5:$C$133,MATCH($A126,I_Items!$A$5:$A$133,0))&amp;""</f>
        <v>Trading</v>
      </c>
      <c r="D126" s="53" t="str">
        <f aca="false">INDEX(I_Items!$D$5:$D$133,MATCH($A126,I_Items!$A$5:$A$133,0))&amp;""</f>
        <v>Karkas</v>
      </c>
      <c r="E126" s="53" t="str">
        <f aca="false">INDEX(I_Items!$F$5:$F$133,MATCH($A126,I_Items!$A$5:$A$133,0))&amp;""</f>
        <v>Not stated in item master</v>
      </c>
      <c r="F126" s="53" t="str">
        <f aca="false">INDEX(I_Items!$E$5:$E$133,MATCH($A126,I_Items!$A$5:$A$133,0))&amp;""</f>
        <v>Uk 0.4</v>
      </c>
      <c r="G126" s="6" t="str">
        <f aca="false">IF(P126=0,"-",IF(M126=0,"A",IF(K126&lt;=0,"C","B")))</f>
        <v>C</v>
      </c>
      <c r="H126" s="13" t="n">
        <f aca="false">SUMIFS('MA Engine'!$K$6:$K$1110,'MA Engine'!$B$6:$B$1110,$A126,'MA Engine'!$I$6:$I$1110,"Opening")</f>
        <v>0</v>
      </c>
      <c r="I126" s="13" t="n">
        <f aca="false">SUMIFS('MA Engine'!$K$6:$K$1110,'MA Engine'!$B$6:$B$1110,$A126,'MA Engine'!$H$6:$H$1110,7,'MA Engine'!$I$6:$I$1110,"&lt;&gt;Opening")</f>
        <v>0</v>
      </c>
      <c r="J126" s="13" t="n">
        <f aca="false">SUMIFS('MA Engine'!$W$6:$W$1110,'MA Engine'!$B$6:$B$1110,$A126,'MA Engine'!$H$6:$H$1110,7)</f>
        <v>0</v>
      </c>
      <c r="K126" s="14" t="n">
        <f aca="false">H126+I126-J126</f>
        <v>0</v>
      </c>
      <c r="L126" s="7" t="n">
        <f aca="false">SUMIFS('MA Engine'!$L$6:$L$1110,'MA Engine'!$B$6:$B$1110,$A126,'MA Engine'!$I$6:$I$1110,"Opening")+SUMIFS('MA Engine'!$L$6:$L$1110,'MA Engine'!$B$6:$B$1110,$A126,'MA Engine'!$H$6:$H$1110,7,'MA Engine'!$I$6:$I$1110,"&lt;&gt;Opening")-SUMIFS('MA Engine'!$X$6:$X$1110,'MA Engine'!$B$6:$B$1110,$A126,'MA Engine'!$H$6:$H$1110,7)</f>
        <v>0</v>
      </c>
      <c r="M126" s="13" t="n">
        <f aca="false">SUMIFS('MA Engine'!$K$6:$K$1110,'MA Engine'!$B$6:$B$1110,$A126,'MA Engine'!$H$6:$H$1110,8)</f>
        <v>7222.2</v>
      </c>
      <c r="N126" s="7" t="n">
        <f aca="false">SUMIFS('MA Engine'!$L$6:$L$1110,'MA Engine'!$B$6:$B$1110,$A126,'MA Engine'!$H$6:$H$1110,8)</f>
        <v>216772112.49</v>
      </c>
      <c r="O126" s="13" t="n">
        <f aca="false">SUMIFS('MA Engine'!$W$6:$W$1110,'MA Engine'!$B$6:$B$1110,$A126,'MA Engine'!$H$6:$H$1110,8)</f>
        <v>469.2</v>
      </c>
      <c r="P126" s="14" t="n">
        <f aca="false">Q126+R126</f>
        <v>469.2</v>
      </c>
      <c r="Q126" s="13" t="n">
        <f aca="false">SUMIFS('MA Engine'!$W$6:$W$1110,'MA Engine'!$B$6:$B$1110,$A126,'MA Engine'!$H$6:$H$1110,8,'MA Engine'!$I$6:$I$1110,"DO",'MA Engine'!$P$6:$P$1110,"&lt;&gt;Y")</f>
        <v>469.2</v>
      </c>
      <c r="R126" s="13" t="n">
        <f aca="false">SUMIFS('MA Engine'!$W$6:$W$1110,'MA Engine'!$B$6:$B$1110,$A126,'MA Engine'!$H$6:$H$1110,8,'MA Engine'!$I$6:$I$1110,"Unbilled")</f>
        <v>0</v>
      </c>
      <c r="S126" s="13" t="n">
        <f aca="false">SUMIFS('MA Engine'!$W$6:$W$1110,'MA Engine'!$B$6:$B$1110,$A126,'MA Engine'!$H$6:$H$1110,8,'MA Engine'!$P$6:$P$1110,"Y")</f>
        <v>0</v>
      </c>
      <c r="T126" s="14" t="n">
        <f aca="false">O126-P126-S126</f>
        <v>0</v>
      </c>
      <c r="U126" s="14" t="n">
        <f aca="false">MAX(0,H126-J126)</f>
        <v>0</v>
      </c>
      <c r="V126" s="14" t="n">
        <f aca="false">MAX(0,K126-U126)</f>
        <v>0</v>
      </c>
      <c r="W126" s="14" t="n">
        <f aca="false">MIN(U126,O126)</f>
        <v>0</v>
      </c>
      <c r="X126" s="14" t="n">
        <f aca="false">MIN(V126,O126-W126)</f>
        <v>0</v>
      </c>
      <c r="Y126" s="14" t="n">
        <f aca="false">O126-W126-X126</f>
        <v>469.2</v>
      </c>
      <c r="Z126" s="21" t="n">
        <f aca="false">IF(O126=0,0,P126/O126)</f>
        <v>1</v>
      </c>
      <c r="AA126" s="13" t="n">
        <f aca="false">SUMIFS('MA Engine'!$AH$6:$AH$1110,'MA Engine'!$B$6:$B$1110,$A126,'MA Engine'!$H$6:$H$1110,8,'MA Engine'!$I$6:$I$1110,"DO",'MA Engine'!$P$6:$P$1110,"&lt;&gt;Y")+SUMIFS('MA Engine'!$AH$6:$AH$1110,'MA Engine'!$B$6:$B$1110,$A126,'MA Engine'!$H$6:$H$1110,8,'MA Engine'!$I$6:$I$1110,"Unbilled")</f>
        <v>0</v>
      </c>
      <c r="AB126" s="13" t="n">
        <f aca="false">SUMIFS('MA Engine'!$AI$6:$AI$1110,'MA Engine'!$B$6:$B$1110,$A126,'MA Engine'!$H$6:$H$1110,8,'MA Engine'!$I$6:$I$1110,"DO",'MA Engine'!$P$6:$P$1110,"&lt;&gt;Y")+SUMIFS('MA Engine'!$AI$6:$AI$1110,'MA Engine'!$B$6:$B$1110,$A126,'MA Engine'!$H$6:$H$1110,8,'MA Engine'!$I$6:$I$1110,"Unbilled")</f>
        <v>0</v>
      </c>
      <c r="AC126" s="13" t="n">
        <f aca="false">SUMIFS('MA Engine'!$AJ$6:$AJ$1110,'MA Engine'!$B$6:$B$1110,$A126,'MA Engine'!$H$6:$H$1110,8,'MA Engine'!$I$6:$I$1110,"DO",'MA Engine'!$P$6:$P$1110,"&lt;&gt;Y")+SUMIFS('MA Engine'!$AJ$6:$AJ$1110,'MA Engine'!$B$6:$B$1110,$A126,'MA Engine'!$H$6:$H$1110,8,'MA Engine'!$I$6:$I$1110,"Unbilled")</f>
        <v>469.2</v>
      </c>
      <c r="AD126" s="7" t="n">
        <f aca="false">SUMIFS('MA Engine'!$L$6:$L$1110,'MA Engine'!$B$6:$B$1110,$A126,'MA Engine'!$H$6:$H$1110,7,'MA Engine'!$I$6:$I$1110,"&lt;&gt;Opening")</f>
        <v>0</v>
      </c>
      <c r="AE126" s="9" t="n">
        <f aca="false">IF(AND(U126&gt;0.0001,(L126-V126*IF(I126&gt;0,AD126/I126,IF(K126&gt;0,L126/K126,0)))&lt;0),IF(K126&gt;0,L126/K126,0),IF(I126&gt;0,AD126/I126,IF(K126&gt;0,L126/K126,0)))</f>
        <v>0</v>
      </c>
      <c r="AF126" s="9" t="n">
        <f aca="false">IF(U126&lt;=0.0001,IF(K126&gt;0,L126/K126,0),IF((L126-V126*IF(I126&gt;0,AD126/I126,IF(K126&gt;0,L126/K126,0)))&lt;0,IF(K126&gt;0,L126/K126,0),(L126-V126*IF(I126&gt;0,AD126/I126,IF(K126&gt;0,L126/K126,0)))/U126))</f>
        <v>0</v>
      </c>
      <c r="AG126" s="9" t="n">
        <f aca="false">IF(M126&gt;0,N126/M126,IF(K126&gt;0,L126/K126,0))</f>
        <v>30014.6925438232</v>
      </c>
      <c r="AH126" s="7" t="n">
        <f aca="false">SUMIFS('MA Engine'!$X$6:$X$1110,'MA Engine'!$B$6:$B$1110,$A126,'MA Engine'!$H$6:$H$1110,8,'MA Engine'!$I$6:$I$1110,"DO",'MA Engine'!$P$6:$P$1110,"&lt;&gt;Y")+SUMIFS('MA Engine'!$X$6:$X$1110,'MA Engine'!$B$6:$B$1110,$A126,'MA Engine'!$H$6:$H$1110,8,'MA Engine'!$I$6:$I$1110,"Unbilled")</f>
        <v>14082893.7415619</v>
      </c>
      <c r="AI126" s="7" t="n">
        <f aca="false">SUMIFS('MA Engine'!$AK$6:$AK$1110,'MA Engine'!$B$6:$B$1110,$A126,'MA Engine'!$H$6:$H$1110,8,'MA Engine'!$I$6:$I$1110,"DO",'MA Engine'!$P$6:$P$1110,"&lt;&gt;Y")+SUMIFS('MA Engine'!$AK$6:$AK$1110,'MA Engine'!$B$6:$B$1110,$A126,'MA Engine'!$H$6:$H$1110,8,'MA Engine'!$I$6:$I$1110,"Unbilled")</f>
        <v>0</v>
      </c>
      <c r="AJ126" s="7" t="n">
        <f aca="false">SUMIFS('MA Engine'!$AL$6:$AL$1110,'MA Engine'!$B$6:$B$1110,$A126,'MA Engine'!$H$6:$H$1110,8,'MA Engine'!$I$6:$I$1110,"DO",'MA Engine'!$P$6:$P$1110,"&lt;&gt;Y")+SUMIFS('MA Engine'!$AL$6:$AL$1110,'MA Engine'!$B$6:$B$1110,$A126,'MA Engine'!$H$6:$H$1110,8,'MA Engine'!$I$6:$I$1110,"Unbilled")</f>
        <v>0</v>
      </c>
      <c r="AK126" s="7" t="n">
        <f aca="false">SUMIFS('MA Engine'!$AM$6:$AM$1110,'MA Engine'!$B$6:$B$1110,$A126,'MA Engine'!$H$6:$H$1110,8,'MA Engine'!$I$6:$I$1110,"DO",'MA Engine'!$P$6:$P$1110,"&lt;&gt;Y")+SUMIFS('MA Engine'!$AM$6:$AM$1110,'MA Engine'!$B$6:$B$1110,$A126,'MA Engine'!$H$6:$H$1110,8,'MA Engine'!$I$6:$I$1110,"Unbilled")</f>
        <v>14082893.7415619</v>
      </c>
      <c r="AL126" s="9" t="n">
        <f aca="false">AH126-AI126-AJ126-AK126</f>
        <v>0</v>
      </c>
      <c r="AM126" s="7" t="n">
        <f aca="false">IF(Q126=0,0,IF($D126="Karkas",SUMIFS('Karkas Detail'!$E$6:$E$42,'Karkas Detail'!$A$6:$A$42,$C126,'Karkas Detail'!$B$6:$B$42,$F126,'Karkas Detail'!$C$6:$C$42,$E126)/SUMIFS($Q$36:$Q$127,$C$36:$C$127,$C126,$D$36:$D$127,"Karkas",$F$36:$F$127,$F126,$E$36:$E$127,$E126),SUMIFS('Data SKU'!$G$5:$G$116,'Data SKU'!$A$5:$A$116,$C126,'Data SKU'!$B$5:$B$116,$D126,'Data SKU'!$C$5:$C$116,$E126,'Data SKU'!$D$5:$D$116,8,'Data SKU'!$N$5:$N$116,"Invoiced")/SUMIFS($Q$36:$Q$127,$C$36:$C$127,$C126,$D$36:$D$127,$D126,$E$36:$E$127,$E126))*Q126)+SUMIFS(Unbilled!$U$22:$U$38,Unbilled!$E$22:$E$38,$A126)</f>
        <v>14076000</v>
      </c>
      <c r="AN126" s="9" t="n">
        <f aca="false">IF(P126=0,0,AM126*AA126/P126)</f>
        <v>0</v>
      </c>
      <c r="AO126" s="9" t="n">
        <f aca="false">IF(P126=0,0,AM126*AB126/P126)</f>
        <v>0</v>
      </c>
      <c r="AP126" s="9" t="n">
        <f aca="false">IF(P126=0,0,AM126*AC126/P126)</f>
        <v>14076000</v>
      </c>
      <c r="AQ126" s="14" t="n">
        <f aca="false">MIN(U126+V126,MAX(0,O126-M126))</f>
        <v>0</v>
      </c>
      <c r="AR126" s="14" t="n">
        <f aca="false">MAX(0,AQ126-V126)*Z126</f>
        <v>0</v>
      </c>
      <c r="AS126" s="14" t="n">
        <f aca="false">MIN(V126,AQ126)*Z126</f>
        <v>0</v>
      </c>
      <c r="AT126" s="14" t="n">
        <f aca="false">(O126-AQ126)*Z126</f>
        <v>469.2</v>
      </c>
      <c r="AU126" s="9" t="n">
        <f aca="false">(AR126+AS126+AT126)*BA126</f>
        <v>14082893.7415619</v>
      </c>
      <c r="AV126" s="9" t="n">
        <f aca="false">IF(P126=0,0,AM126*AR126/P126)</f>
        <v>0</v>
      </c>
      <c r="AW126" s="9" t="n">
        <f aca="false">IF(P126=0,0,AM126*AS126/P126)</f>
        <v>0</v>
      </c>
      <c r="AX126" s="9" t="n">
        <f aca="false">IF(P126=0,0,AM126*AT126/P126)</f>
        <v>14076000</v>
      </c>
      <c r="AY126" s="9" t="n">
        <f aca="false">AH126-AU126</f>
        <v>0</v>
      </c>
      <c r="AZ126" s="9" t="n">
        <f aca="false">IF(M126&gt;0,P126*AG126,0)</f>
        <v>14082893.7415619</v>
      </c>
      <c r="BA126" s="9" t="n">
        <f aca="false">IF(P126=0,0,AH126/P126)</f>
        <v>30014.6925438232</v>
      </c>
      <c r="BB126" s="74" t="s">
        <v>246</v>
      </c>
      <c r="BC126" s="13" t="n">
        <f aca="false">SUMIFS('MA Engine'!$W$6:$W$1110,'MA Engine'!$B$6:$B$1110,$A126,'MA Engine'!$H$6:$H$1110,7,'MA Engine'!$I$6:$I$1110,"DO")</f>
        <v>0</v>
      </c>
      <c r="BD126" s="14" t="n">
        <f aca="false">MIN(MAX(0,H126),J126)</f>
        <v>0</v>
      </c>
      <c r="BE126" s="14" t="n">
        <f aca="false">J126-BD126</f>
        <v>0</v>
      </c>
      <c r="BF126" s="21" t="n">
        <f aca="false">IF(J126=0,0,BC126/J126)</f>
        <v>0</v>
      </c>
      <c r="BG126" s="13" t="n">
        <f aca="false">SUMIFS('MA Engine'!$AH$6:$AH$1110,'MA Engine'!$B$6:$B$1110,$A126,'MA Engine'!$H$6:$H$1110,7,'MA Engine'!$I$6:$I$1110,"DO")</f>
        <v>0</v>
      </c>
      <c r="BH126" s="13" t="n">
        <f aca="false">SUMIFS('MA Engine'!$AI$6:$AI$1110,'MA Engine'!$B$6:$B$1110,$A126,'MA Engine'!$H$6:$H$1110,7,'MA Engine'!$I$6:$I$1110,"DO")+SUMIFS('MA Engine'!$AJ$6:$AJ$1110,'MA Engine'!$B$6:$B$1110,$A126,'MA Engine'!$H$6:$H$1110,7,'MA Engine'!$I$6:$I$1110,"DO")</f>
        <v>0</v>
      </c>
      <c r="BI126" s="7" t="n">
        <f aca="false">IF(H126&gt;0,SUMIFS('MA Engine'!$L$6:$L$1110,'MA Engine'!$B$6:$B$1110,$A126,'MA Engine'!$I$6:$I$1110,"Opening")/H126,0)</f>
        <v>0</v>
      </c>
      <c r="BJ126" s="9" t="n">
        <f aca="false">IF(I126&gt;0,AD126/I126,BI126)</f>
        <v>0</v>
      </c>
      <c r="BK126" s="7" t="n">
        <f aca="false">SUMIFS('MA Engine'!$X$6:$X$1110,'MA Engine'!$B$6:$B$1110,$A126,'MA Engine'!$H$6:$H$1110,7,'MA Engine'!$I$6:$I$1110,"DO")</f>
        <v>0</v>
      </c>
      <c r="BL126" s="7" t="n">
        <f aca="false">SUMIFS('MA Engine'!$AK$6:$AK$1110,'MA Engine'!$B$6:$B$1110,$A126,'MA Engine'!$H$6:$H$1110,7,'MA Engine'!$I$6:$I$1110,"DO")</f>
        <v>0</v>
      </c>
      <c r="BM126" s="7" t="n">
        <f aca="false">SUMIFS('MA Engine'!$AL$6:$AL$1110,'MA Engine'!$B$6:$B$1110,$A126,'MA Engine'!$H$6:$H$1110,7,'MA Engine'!$I$6:$I$1110,"DO")+SUMIFS('MA Engine'!$AM$6:$AM$1110,'MA Engine'!$B$6:$B$1110,$A126,'MA Engine'!$H$6:$H$1110,7,'MA Engine'!$I$6:$I$1110,"DO")</f>
        <v>0</v>
      </c>
      <c r="BN126" s="9" t="n">
        <f aca="false">BK126-BL126-BM126</f>
        <v>0</v>
      </c>
      <c r="BO126" s="7" t="n">
        <f aca="false">IF(BC126=0,0,SUMIFS('Data SKU'!$G$5:$G$116,'Data SKU'!$A$5:$A$116,$C126,'Data SKU'!$B$5:$B$116,$D126,'Data SKU'!$C$5:$C$116,$E126,'Data SKU'!$D$5:$D$116,7,'Data SKU'!$N$5:$N$116,"Invoiced")/SUMIFS($BC$36:$BC$127,$C$36:$C$127,$C126,$D$36:$D$127,$D126,$E$36:$E$127,$E126)*BC126)</f>
        <v>0</v>
      </c>
      <c r="BP126" s="9" t="n">
        <f aca="false">IF(BC126=0,0,BO126*BG126/BC126)</f>
        <v>0</v>
      </c>
      <c r="BQ126" s="9" t="n">
        <f aca="false">IF(BC126=0,0,BO126*BH126/BC126)</f>
        <v>0</v>
      </c>
    </row>
    <row r="127" customFormat="false" ht="15" hidden="false" customHeight="false" outlineLevel="0" collapsed="false">
      <c r="A127" s="74" t="s">
        <v>1039</v>
      </c>
      <c r="B127" s="53" t="str">
        <f aca="false">INDEX(I_Items!$B$5:$B$133,MATCH($A127,I_Items!$A$5:$A$133,0))&amp;""</f>
        <v>Sayap</v>
      </c>
      <c r="C127" s="53" t="str">
        <f aca="false">INDEX(I_Items!$C$5:$C$133,MATCH($A127,I_Items!$A$5:$A$133,0))&amp;""</f>
        <v>Trading</v>
      </c>
      <c r="D127" s="53" t="str">
        <f aca="false">INDEX(I_Items!$D$5:$D$133,MATCH($A127,I_Items!$A$5:$A$133,0))&amp;""</f>
        <v>Sayap</v>
      </c>
      <c r="E127" s="53" t="str">
        <f aca="false">INDEX(I_Items!$F$5:$F$133,MATCH($A127,I_Items!$A$5:$A$133,0))&amp;""</f>
        <v>Not stated in item master</v>
      </c>
      <c r="F127" s="53" t="str">
        <f aca="false">INDEX(I_Items!$E$5:$E$133,MATCH($A127,I_Items!$A$5:$A$133,0))&amp;""</f>
        <v/>
      </c>
      <c r="G127" s="6" t="str">
        <f aca="false">IF(P127=0,"-",IF(M127=0,"A",IF(K127&lt;=0,"C","B")))</f>
        <v>C</v>
      </c>
      <c r="H127" s="13" t="n">
        <f aca="false">SUMIFS('MA Engine'!$K$6:$K$1110,'MA Engine'!$B$6:$B$1110,$A127,'MA Engine'!$I$6:$I$1110,"Opening")</f>
        <v>0</v>
      </c>
      <c r="I127" s="13" t="n">
        <f aca="false">SUMIFS('MA Engine'!$K$6:$K$1110,'MA Engine'!$B$6:$B$1110,$A127,'MA Engine'!$H$6:$H$1110,7,'MA Engine'!$I$6:$I$1110,"&lt;&gt;Opening")</f>
        <v>0</v>
      </c>
      <c r="J127" s="13" t="n">
        <f aca="false">SUMIFS('MA Engine'!$W$6:$W$1110,'MA Engine'!$B$6:$B$1110,$A127,'MA Engine'!$H$6:$H$1110,7)</f>
        <v>0</v>
      </c>
      <c r="K127" s="14" t="n">
        <f aca="false">H127+I127-J127</f>
        <v>0</v>
      </c>
      <c r="L127" s="7" t="n">
        <f aca="false">SUMIFS('MA Engine'!$L$6:$L$1110,'MA Engine'!$B$6:$B$1110,$A127,'MA Engine'!$I$6:$I$1110,"Opening")+SUMIFS('MA Engine'!$L$6:$L$1110,'MA Engine'!$B$6:$B$1110,$A127,'MA Engine'!$H$6:$H$1110,7,'MA Engine'!$I$6:$I$1110,"&lt;&gt;Opening")-SUMIFS('MA Engine'!$X$6:$X$1110,'MA Engine'!$B$6:$B$1110,$A127,'MA Engine'!$H$6:$H$1110,7)</f>
        <v>0</v>
      </c>
      <c r="M127" s="13" t="n">
        <f aca="false">SUMIFS('MA Engine'!$K$6:$K$1110,'MA Engine'!$B$6:$B$1110,$A127,'MA Engine'!$H$6:$H$1110,8)</f>
        <v>6985</v>
      </c>
      <c r="N127" s="7" t="n">
        <f aca="false">SUMIFS('MA Engine'!$L$6:$L$1110,'MA Engine'!$B$6:$B$1110,$A127,'MA Engine'!$H$6:$H$1110,8)</f>
        <v>200000000.43</v>
      </c>
      <c r="O127" s="13" t="n">
        <f aca="false">SUMIFS('MA Engine'!$W$6:$W$1110,'MA Engine'!$B$6:$B$1110,$A127,'MA Engine'!$H$6:$H$1110,8)</f>
        <v>300</v>
      </c>
      <c r="P127" s="14" t="n">
        <f aca="false">Q127+R127</f>
        <v>300</v>
      </c>
      <c r="Q127" s="13" t="n">
        <f aca="false">SUMIFS('MA Engine'!$W$6:$W$1110,'MA Engine'!$B$6:$B$1110,$A127,'MA Engine'!$H$6:$H$1110,8,'MA Engine'!$I$6:$I$1110,"DO",'MA Engine'!$P$6:$P$1110,"&lt;&gt;Y")</f>
        <v>300</v>
      </c>
      <c r="R127" s="13" t="n">
        <f aca="false">SUMIFS('MA Engine'!$W$6:$W$1110,'MA Engine'!$B$6:$B$1110,$A127,'MA Engine'!$H$6:$H$1110,8,'MA Engine'!$I$6:$I$1110,"Unbilled")</f>
        <v>0</v>
      </c>
      <c r="S127" s="13" t="n">
        <f aca="false">SUMIFS('MA Engine'!$W$6:$W$1110,'MA Engine'!$B$6:$B$1110,$A127,'MA Engine'!$H$6:$H$1110,8,'MA Engine'!$P$6:$P$1110,"Y")</f>
        <v>0</v>
      </c>
      <c r="T127" s="14" t="n">
        <f aca="false">O127-P127-S127</f>
        <v>0</v>
      </c>
      <c r="U127" s="14" t="n">
        <f aca="false">MAX(0,H127-J127)</f>
        <v>0</v>
      </c>
      <c r="V127" s="14" t="n">
        <f aca="false">MAX(0,K127-U127)</f>
        <v>0</v>
      </c>
      <c r="W127" s="14" t="n">
        <f aca="false">MIN(U127,O127)</f>
        <v>0</v>
      </c>
      <c r="X127" s="14" t="n">
        <f aca="false">MIN(V127,O127-W127)</f>
        <v>0</v>
      </c>
      <c r="Y127" s="14" t="n">
        <f aca="false">O127-W127-X127</f>
        <v>300</v>
      </c>
      <c r="Z127" s="21" t="n">
        <f aca="false">IF(O127=0,0,P127/O127)</f>
        <v>1</v>
      </c>
      <c r="AA127" s="13" t="n">
        <f aca="false">SUMIFS('MA Engine'!$AH$6:$AH$1110,'MA Engine'!$B$6:$B$1110,$A127,'MA Engine'!$H$6:$H$1110,8,'MA Engine'!$I$6:$I$1110,"DO",'MA Engine'!$P$6:$P$1110,"&lt;&gt;Y")+SUMIFS('MA Engine'!$AH$6:$AH$1110,'MA Engine'!$B$6:$B$1110,$A127,'MA Engine'!$H$6:$H$1110,8,'MA Engine'!$I$6:$I$1110,"Unbilled")</f>
        <v>0</v>
      </c>
      <c r="AB127" s="13" t="n">
        <f aca="false">SUMIFS('MA Engine'!$AI$6:$AI$1110,'MA Engine'!$B$6:$B$1110,$A127,'MA Engine'!$H$6:$H$1110,8,'MA Engine'!$I$6:$I$1110,"DO",'MA Engine'!$P$6:$P$1110,"&lt;&gt;Y")+SUMIFS('MA Engine'!$AI$6:$AI$1110,'MA Engine'!$B$6:$B$1110,$A127,'MA Engine'!$H$6:$H$1110,8,'MA Engine'!$I$6:$I$1110,"Unbilled")</f>
        <v>0</v>
      </c>
      <c r="AC127" s="13" t="n">
        <f aca="false">SUMIFS('MA Engine'!$AJ$6:$AJ$1110,'MA Engine'!$B$6:$B$1110,$A127,'MA Engine'!$H$6:$H$1110,8,'MA Engine'!$I$6:$I$1110,"DO",'MA Engine'!$P$6:$P$1110,"&lt;&gt;Y")+SUMIFS('MA Engine'!$AJ$6:$AJ$1110,'MA Engine'!$B$6:$B$1110,$A127,'MA Engine'!$H$6:$H$1110,8,'MA Engine'!$I$6:$I$1110,"Unbilled")</f>
        <v>300</v>
      </c>
      <c r="AD127" s="7" t="n">
        <f aca="false">SUMIFS('MA Engine'!$L$6:$L$1110,'MA Engine'!$B$6:$B$1110,$A127,'MA Engine'!$H$6:$H$1110,7,'MA Engine'!$I$6:$I$1110,"&lt;&gt;Opening")</f>
        <v>0</v>
      </c>
      <c r="AE127" s="9" t="n">
        <f aca="false">IF(AND(U127&gt;0.0001,(L127-V127*IF(I127&gt;0,AD127/I127,IF(K127&gt;0,L127/K127,0)))&lt;0),IF(K127&gt;0,L127/K127,0),IF(I127&gt;0,AD127/I127,IF(K127&gt;0,L127/K127,0)))</f>
        <v>0</v>
      </c>
      <c r="AF127" s="9" t="n">
        <f aca="false">IF(U127&lt;=0.0001,IF(K127&gt;0,L127/K127,0),IF((L127-V127*IF(I127&gt;0,AD127/I127,IF(K127&gt;0,L127/K127,0)))&lt;0,IF(K127&gt;0,L127/K127,0),(L127-V127*IF(I127&gt;0,AD127/I127,IF(K127&gt;0,L127/K127,0)))/U127))</f>
        <v>0</v>
      </c>
      <c r="AG127" s="9" t="n">
        <f aca="false">IF(M127&gt;0,N127/M127,IF(K127&gt;0,L127/K127,0))</f>
        <v>28632.7845998568</v>
      </c>
      <c r="AH127" s="7" t="n">
        <f aca="false">SUMIFS('MA Engine'!$X$6:$X$1110,'MA Engine'!$B$6:$B$1110,$A127,'MA Engine'!$H$6:$H$1110,8,'MA Engine'!$I$6:$I$1110,"DO",'MA Engine'!$P$6:$P$1110,"&lt;&gt;Y")+SUMIFS('MA Engine'!$X$6:$X$1110,'MA Engine'!$B$6:$B$1110,$A127,'MA Engine'!$H$6:$H$1110,8,'MA Engine'!$I$6:$I$1110,"Unbilled")</f>
        <v>8589835.37995705</v>
      </c>
      <c r="AI127" s="7" t="n">
        <f aca="false">SUMIFS('MA Engine'!$AK$6:$AK$1110,'MA Engine'!$B$6:$B$1110,$A127,'MA Engine'!$H$6:$H$1110,8,'MA Engine'!$I$6:$I$1110,"DO",'MA Engine'!$P$6:$P$1110,"&lt;&gt;Y")+SUMIFS('MA Engine'!$AK$6:$AK$1110,'MA Engine'!$B$6:$B$1110,$A127,'MA Engine'!$H$6:$H$1110,8,'MA Engine'!$I$6:$I$1110,"Unbilled")</f>
        <v>0</v>
      </c>
      <c r="AJ127" s="7" t="n">
        <f aca="false">SUMIFS('MA Engine'!$AL$6:$AL$1110,'MA Engine'!$B$6:$B$1110,$A127,'MA Engine'!$H$6:$H$1110,8,'MA Engine'!$I$6:$I$1110,"DO",'MA Engine'!$P$6:$P$1110,"&lt;&gt;Y")+SUMIFS('MA Engine'!$AL$6:$AL$1110,'MA Engine'!$B$6:$B$1110,$A127,'MA Engine'!$H$6:$H$1110,8,'MA Engine'!$I$6:$I$1110,"Unbilled")</f>
        <v>0</v>
      </c>
      <c r="AK127" s="7" t="n">
        <f aca="false">SUMIFS('MA Engine'!$AM$6:$AM$1110,'MA Engine'!$B$6:$B$1110,$A127,'MA Engine'!$H$6:$H$1110,8,'MA Engine'!$I$6:$I$1110,"DO",'MA Engine'!$P$6:$P$1110,"&lt;&gt;Y")+SUMIFS('MA Engine'!$AM$6:$AM$1110,'MA Engine'!$B$6:$B$1110,$A127,'MA Engine'!$H$6:$H$1110,8,'MA Engine'!$I$6:$I$1110,"Unbilled")</f>
        <v>8589835.37995705</v>
      </c>
      <c r="AL127" s="9" t="n">
        <f aca="false">AH127-AI127-AJ127-AK127</f>
        <v>0</v>
      </c>
      <c r="AM127" s="7" t="n">
        <f aca="false">IF(Q127=0,0,IF($D127="Karkas",SUMIFS('Karkas Detail'!$E$6:$E$42,'Karkas Detail'!$A$6:$A$42,$C127,'Karkas Detail'!$B$6:$B$42,$F127,'Karkas Detail'!$C$6:$C$42,$E127)/SUMIFS($Q$36:$Q$127,$C$36:$C$127,$C127,$D$36:$D$127,"Karkas",$F$36:$F$127,$F127,$E$36:$E$127,$E127),SUMIFS('Data SKU'!$G$5:$G$116,'Data SKU'!$A$5:$A$116,$C127,'Data SKU'!$B$5:$B$116,$D127,'Data SKU'!$C$5:$C$116,$E127,'Data SKU'!$D$5:$D$116,8,'Data SKU'!$N$5:$N$116,"Invoiced")/SUMIFS($Q$36:$Q$127,$C$36:$C$127,$C127,$D$36:$D$127,$D127,$E$36:$E$127,$E127))*Q127)+SUMIFS(Unbilled!$U$22:$U$38,Unbilled!$E$22:$E$38,$A127)</f>
        <v>9300000</v>
      </c>
      <c r="AN127" s="9" t="n">
        <f aca="false">IF(P127=0,0,AM127*AA127/P127)</f>
        <v>0</v>
      </c>
      <c r="AO127" s="9" t="n">
        <f aca="false">IF(P127=0,0,AM127*AB127/P127)</f>
        <v>0</v>
      </c>
      <c r="AP127" s="9" t="n">
        <f aca="false">IF(P127=0,0,AM127*AC127/P127)</f>
        <v>9300000</v>
      </c>
      <c r="AQ127" s="14" t="n">
        <f aca="false">MIN(U127+V127,MAX(0,O127-M127))</f>
        <v>0</v>
      </c>
      <c r="AR127" s="14" t="n">
        <f aca="false">MAX(0,AQ127-V127)*Z127</f>
        <v>0</v>
      </c>
      <c r="AS127" s="14" t="n">
        <f aca="false">MIN(V127,AQ127)*Z127</f>
        <v>0</v>
      </c>
      <c r="AT127" s="14" t="n">
        <f aca="false">(O127-AQ127)*Z127</f>
        <v>300</v>
      </c>
      <c r="AU127" s="9" t="n">
        <f aca="false">(AR127+AS127+AT127)*BA127</f>
        <v>8589835.37995705</v>
      </c>
      <c r="AV127" s="9" t="n">
        <f aca="false">IF(P127=0,0,AM127*AR127/P127)</f>
        <v>0</v>
      </c>
      <c r="AW127" s="9" t="n">
        <f aca="false">IF(P127=0,0,AM127*AS127/P127)</f>
        <v>0</v>
      </c>
      <c r="AX127" s="9" t="n">
        <f aca="false">IF(P127=0,0,AM127*AT127/P127)</f>
        <v>9300000</v>
      </c>
      <c r="AY127" s="9" t="n">
        <f aca="false">AH127-AU127</f>
        <v>0</v>
      </c>
      <c r="AZ127" s="9" t="n">
        <f aca="false">IF(M127&gt;0,P127*AG127,0)</f>
        <v>8589835.37995705</v>
      </c>
      <c r="BA127" s="9" t="n">
        <f aca="false">IF(P127=0,0,AH127/P127)</f>
        <v>28632.7845998568</v>
      </c>
      <c r="BB127" s="74" t="s">
        <v>252</v>
      </c>
      <c r="BC127" s="13" t="n">
        <f aca="false">SUMIFS('MA Engine'!$W$6:$W$1110,'MA Engine'!$B$6:$B$1110,$A127,'MA Engine'!$H$6:$H$1110,7,'MA Engine'!$I$6:$I$1110,"DO")</f>
        <v>0</v>
      </c>
      <c r="BD127" s="14" t="n">
        <f aca="false">MIN(MAX(0,H127),J127)</f>
        <v>0</v>
      </c>
      <c r="BE127" s="14" t="n">
        <f aca="false">J127-BD127</f>
        <v>0</v>
      </c>
      <c r="BF127" s="21" t="n">
        <f aca="false">IF(J127=0,0,BC127/J127)</f>
        <v>0</v>
      </c>
      <c r="BG127" s="13" t="n">
        <f aca="false">SUMIFS('MA Engine'!$AH$6:$AH$1110,'MA Engine'!$B$6:$B$1110,$A127,'MA Engine'!$H$6:$H$1110,7,'MA Engine'!$I$6:$I$1110,"DO")</f>
        <v>0</v>
      </c>
      <c r="BH127" s="13" t="n">
        <f aca="false">SUMIFS('MA Engine'!$AI$6:$AI$1110,'MA Engine'!$B$6:$B$1110,$A127,'MA Engine'!$H$6:$H$1110,7,'MA Engine'!$I$6:$I$1110,"DO")+SUMIFS('MA Engine'!$AJ$6:$AJ$1110,'MA Engine'!$B$6:$B$1110,$A127,'MA Engine'!$H$6:$H$1110,7,'MA Engine'!$I$6:$I$1110,"DO")</f>
        <v>0</v>
      </c>
      <c r="BI127" s="7" t="n">
        <f aca="false">IF(H127&gt;0,SUMIFS('MA Engine'!$L$6:$L$1110,'MA Engine'!$B$6:$B$1110,$A127,'MA Engine'!$I$6:$I$1110,"Opening")/H127,0)</f>
        <v>0</v>
      </c>
      <c r="BJ127" s="9" t="n">
        <f aca="false">IF(I127&gt;0,AD127/I127,BI127)</f>
        <v>0</v>
      </c>
      <c r="BK127" s="7" t="n">
        <f aca="false">SUMIFS('MA Engine'!$X$6:$X$1110,'MA Engine'!$B$6:$B$1110,$A127,'MA Engine'!$H$6:$H$1110,7,'MA Engine'!$I$6:$I$1110,"DO")</f>
        <v>0</v>
      </c>
      <c r="BL127" s="7" t="n">
        <f aca="false">SUMIFS('MA Engine'!$AK$6:$AK$1110,'MA Engine'!$B$6:$B$1110,$A127,'MA Engine'!$H$6:$H$1110,7,'MA Engine'!$I$6:$I$1110,"DO")</f>
        <v>0</v>
      </c>
      <c r="BM127" s="7" t="n">
        <f aca="false">SUMIFS('MA Engine'!$AL$6:$AL$1110,'MA Engine'!$B$6:$B$1110,$A127,'MA Engine'!$H$6:$H$1110,7,'MA Engine'!$I$6:$I$1110,"DO")+SUMIFS('MA Engine'!$AM$6:$AM$1110,'MA Engine'!$B$6:$B$1110,$A127,'MA Engine'!$H$6:$H$1110,7,'MA Engine'!$I$6:$I$1110,"DO")</f>
        <v>0</v>
      </c>
      <c r="BN127" s="9" t="n">
        <f aca="false">BK127-BL127-BM127</f>
        <v>0</v>
      </c>
      <c r="BO127" s="7" t="n">
        <f aca="false">IF(BC127=0,0,SUMIFS('Data SKU'!$G$5:$G$116,'Data SKU'!$A$5:$A$116,$C127,'Data SKU'!$B$5:$B$116,$D127,'Data SKU'!$C$5:$C$116,$E127,'Data SKU'!$D$5:$D$116,7,'Data SKU'!$N$5:$N$116,"Invoiced")/SUMIFS($BC$36:$BC$127,$C$36:$C$127,$C127,$D$36:$D$127,$D127,$E$36:$E$127,$E127)*BC127)</f>
        <v>0</v>
      </c>
      <c r="BP127" s="9" t="n">
        <f aca="false">IF(BC127=0,0,BO127*BG127/BC127)</f>
        <v>0</v>
      </c>
      <c r="BQ127" s="9" t="n">
        <f aca="false">IF(BC127=0,0,BO127*BH127/BC127)</f>
        <v>0</v>
      </c>
    </row>
    <row r="128" customFormat="false" ht="15" hidden="false" customHeight="false" outlineLevel="0" collapsed="false">
      <c r="A128" s="25" t="s">
        <v>304</v>
      </c>
      <c r="H128" s="26" t="n">
        <f aca="false">SUM(H36:H127)</f>
        <v>104692.61</v>
      </c>
      <c r="I128" s="26" t="n">
        <f aca="false">SUM(I36:I127)</f>
        <v>112051.28</v>
      </c>
      <c r="J128" s="26" t="n">
        <f aca="false">SUM(J36:J127)</f>
        <v>99971.85</v>
      </c>
      <c r="K128" s="26" t="n">
        <f aca="false">SUM(K36:K127)</f>
        <v>116772.04</v>
      </c>
      <c r="L128" s="26" t="n">
        <f aca="false">SUM(L36:L127)</f>
        <v>2834856395.821</v>
      </c>
      <c r="M128" s="26" t="n">
        <f aca="false">SUM(M36:M127)</f>
        <v>282619.28</v>
      </c>
      <c r="N128" s="26" t="n">
        <f aca="false">SUM(N36:N127)</f>
        <v>8665401859.06</v>
      </c>
      <c r="O128" s="26" t="n">
        <f aca="false">SUM(O36:O127)</f>
        <v>257554.22</v>
      </c>
      <c r="P128" s="26" t="n">
        <f aca="false">SUM(P36:P127)</f>
        <v>252391.67</v>
      </c>
      <c r="Q128" s="26" t="n">
        <f aca="false">SUM(Q36:Q127)</f>
        <v>236674.21</v>
      </c>
      <c r="R128" s="26" t="n">
        <f aca="false">SUM(R36:R127)</f>
        <v>15717.46</v>
      </c>
      <c r="S128" s="26" t="n">
        <f aca="false">SUM(S36:S127)</f>
        <v>2609.69</v>
      </c>
      <c r="T128" s="26" t="n">
        <f aca="false">SUM(T36:T127)</f>
        <v>2552.86</v>
      </c>
      <c r="U128" s="26" t="n">
        <f aca="false">SUM(U36:U127)</f>
        <v>46899.45</v>
      </c>
      <c r="V128" s="26" t="n">
        <f aca="false">SUM(V36:V127)</f>
        <v>69872.59</v>
      </c>
      <c r="W128" s="26" t="n">
        <f aca="false">SUM(W36:W127)</f>
        <v>37961.02</v>
      </c>
      <c r="X128" s="26" t="n">
        <f aca="false">SUM(X36:X127)</f>
        <v>67671.42</v>
      </c>
      <c r="Y128" s="26" t="n">
        <f aca="false">SUM(Y36:Y127)</f>
        <v>151921.78</v>
      </c>
      <c r="AA128" s="26" t="n">
        <f aca="false">SUM(AA36:AA127)</f>
        <v>36919.9</v>
      </c>
      <c r="AB128" s="26" t="n">
        <f aca="false">SUM(AB36:AB127)</f>
        <v>67671.42</v>
      </c>
      <c r="AC128" s="26" t="n">
        <f aca="false">SUM(AC36:AC127)</f>
        <v>147800.35</v>
      </c>
      <c r="AD128" s="26" t="n">
        <f aca="false">SUM(AD36:AD127)</f>
        <v>2914483393.05</v>
      </c>
      <c r="AH128" s="26" t="n">
        <f aca="false">SUM(AH36:AH127)</f>
        <v>7533244494.63222</v>
      </c>
      <c r="AI128" s="26" t="n">
        <f aca="false">SUM(AI36:AI127)</f>
        <v>788651593.591379</v>
      </c>
      <c r="AJ128" s="26" t="n">
        <f aca="false">SUM(AJ36:AJ127)</f>
        <v>2007938708.03585</v>
      </c>
      <c r="AK128" s="26" t="n">
        <f aca="false">SUM(AK36:AK127)</f>
        <v>4736654193.00499</v>
      </c>
      <c r="AL128" s="26" t="n">
        <f aca="false">SUM(AL36:AL127)</f>
        <v>0</v>
      </c>
      <c r="AM128" s="26" t="n">
        <f aca="false">SUM(AM36:AM127)</f>
        <v>7953111569</v>
      </c>
      <c r="AN128" s="26" t="n">
        <f aca="false">SUM(AN36:AN127)</f>
        <v>861987663.472659</v>
      </c>
      <c r="AO128" s="26" t="n">
        <f aca="false">SUM(AO36:AO127)</f>
        <v>2388045466.1212</v>
      </c>
      <c r="AP128" s="26" t="n">
        <f aca="false">SUM(AP36:AP127)</f>
        <v>4703078439.40614</v>
      </c>
      <c r="AQ128" s="26" t="n">
        <f aca="false">SUM(AQ36:AQ127)</f>
        <v>72841.23</v>
      </c>
      <c r="AR128" s="26" t="n">
        <f aca="false">SUM(AR36:AR127)</f>
        <v>15678.6143980114</v>
      </c>
      <c r="AS128" s="26" t="n">
        <f aca="false">SUM(AS36:AS127)</f>
        <v>56832.7936734957</v>
      </c>
      <c r="AT128" s="26" t="n">
        <f aca="false">SUM(AT36:AT127)</f>
        <v>179880.261928493</v>
      </c>
      <c r="AU128" s="26" t="n">
        <f aca="false">SUM(AU36:AU127)</f>
        <v>7533244494.63222</v>
      </c>
      <c r="AV128" s="26" t="n">
        <f aca="false">SUM(AV36:AV127)</f>
        <v>501911969.261402</v>
      </c>
      <c r="AW128" s="26" t="n">
        <f aca="false">SUM(AW36:AW127)</f>
        <v>2077116048.06327</v>
      </c>
      <c r="AX128" s="26" t="n">
        <f aca="false">SUM(AX36:AX127)</f>
        <v>5374083551.67533</v>
      </c>
      <c r="AY128" s="26" t="n">
        <f aca="false">SUM(AY36:AY127)</f>
        <v>0</v>
      </c>
      <c r="AZ128" s="26" t="n">
        <f aca="false">SUM(AZ36:AZ127)</f>
        <v>7989834464.77762</v>
      </c>
      <c r="BC128" s="26" t="n">
        <f aca="false">SUM(BC36:BC127)</f>
        <v>99522.71</v>
      </c>
      <c r="BD128" s="26" t="n">
        <f aca="false">SUM(BD36:BD127)</f>
        <v>57793.16</v>
      </c>
      <c r="BE128" s="26" t="n">
        <f aca="false">SUM(BE36:BE127)</f>
        <v>42178.69</v>
      </c>
      <c r="BG128" s="26" t="n">
        <f aca="false">SUM(BG36:BG127)</f>
        <v>57492.08</v>
      </c>
      <c r="BH128" s="26" t="n">
        <f aca="false">SUM(BH36:BH127)</f>
        <v>42030.63</v>
      </c>
      <c r="BI128" s="26" t="n">
        <f aca="false">SUM(BI36:BI127)</f>
        <v>1605352.27509269</v>
      </c>
      <c r="BJ128" s="26" t="n">
        <f aca="false">SUM(BJ36:BJ127)</f>
        <v>1532365.54611109</v>
      </c>
      <c r="BK128" s="26" t="n">
        <f aca="false">SUM(BK36:BK127)</f>
        <v>2624165456.279</v>
      </c>
      <c r="BL128" s="26" t="n">
        <f aca="false">SUM(BL36:BL127)</f>
        <v>1522451476.76221</v>
      </c>
      <c r="BM128" s="26" t="n">
        <f aca="false">SUM(BM36:BM127)</f>
        <v>1101713979.51679</v>
      </c>
      <c r="BN128" s="26" t="n">
        <f aca="false">SUM(BN36:BN127)</f>
        <v>-1.16415321826935E-009</v>
      </c>
      <c r="BO128" s="26" t="n">
        <f aca="false">SUM(BO36:BO127)</f>
        <v>3122957948.2</v>
      </c>
      <c r="BP128" s="26" t="n">
        <f aca="false">SUM(BP36:BP127)</f>
        <v>1784929972.53868</v>
      </c>
      <c r="BQ128" s="26" t="n">
        <f aca="false">SUM(BQ36:BQ127)</f>
        <v>1338027975.66132</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W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8"/>
    <col collapsed="false" customWidth="true" hidden="false" outlineLevel="0" max="3" min="3" style="0" width="20"/>
    <col collapsed="false" customWidth="true" hidden="false" outlineLevel="0" max="4" min="4" style="0" width="11"/>
    <col collapsed="false" customWidth="true" hidden="false" outlineLevel="0" max="5" min="5" style="0" width="16"/>
    <col collapsed="false" customWidth="true" hidden="false" outlineLevel="0" max="6" min="6" style="0" width="18"/>
    <col collapsed="false" customWidth="true" hidden="false" outlineLevel="0" max="7" min="7" style="0" width="11"/>
    <col collapsed="false" customWidth="true" hidden="false" outlineLevel="0" max="9" min="8" style="0" width="15"/>
    <col collapsed="false" customWidth="true" hidden="false" outlineLevel="0" max="10" min="10" style="0" width="13"/>
    <col collapsed="false" customWidth="true" hidden="false" outlineLevel="0" max="11" min="11" style="0" width="22"/>
    <col collapsed="false" customWidth="true" hidden="false" outlineLevel="0" max="12" min="12" style="0" width="16"/>
    <col collapsed="false" customWidth="true" hidden="false" outlineLevel="0" max="13" min="13" style="0" width="14"/>
    <col collapsed="false" customWidth="true" hidden="false" outlineLevel="0" max="14" min="14" style="0" width="17"/>
    <col collapsed="false" customWidth="true" hidden="false" outlineLevel="0" max="15" min="15" style="0" width="11"/>
    <col collapsed="false" customWidth="true" hidden="false" outlineLevel="0" max="16" min="16" style="0" width="16"/>
    <col collapsed="false" customWidth="true" hidden="false" outlineLevel="0" max="17" min="17" style="0" width="14"/>
    <col collapsed="false" customWidth="true" hidden="false" outlineLevel="0" max="18" min="18" style="0" width="11"/>
    <col collapsed="false" customWidth="true" hidden="false" outlineLevel="0" max="19" min="19" style="0" width="15"/>
    <col collapsed="false" customWidth="true" hidden="false" outlineLevel="0" max="20" min="20" style="0" width="40"/>
    <col collapsed="false" customWidth="true" hidden="false" outlineLevel="0" max="21" min="21" style="0" width="11"/>
    <col collapsed="false" customWidth="true" hidden="false" outlineLevel="0" max="22" min="22" style="0" width="14"/>
    <col collapsed="false" customWidth="true" hidden="false" outlineLevel="0" max="23" min="23" style="0" width="13"/>
  </cols>
  <sheetData>
    <row r="1" customFormat="false" ht="15" hidden="false" customHeight="false" outlineLevel="0" collapsed="false">
      <c r="A1" s="1" t="s">
        <v>1040</v>
      </c>
    </row>
    <row r="2" customFormat="false" ht="15" hidden="false" customHeight="false" outlineLevel="0" collapsed="false">
      <c r="A2" s="4" t="s">
        <v>1041</v>
      </c>
    </row>
    <row r="3" customFormat="false" ht="15" hidden="false" customHeight="false" outlineLevel="0" collapsed="false">
      <c r="A3" s="28" t="s">
        <v>1042</v>
      </c>
    </row>
    <row r="5" customFormat="false" ht="15" hidden="false" customHeight="false" outlineLevel="0" collapsed="false">
      <c r="B5" s="18" t="s">
        <v>1043</v>
      </c>
    </row>
    <row r="6" customFormat="false" ht="30" hidden="false" customHeight="true" outlineLevel="0" collapsed="false">
      <c r="B6" s="5" t="s">
        <v>1044</v>
      </c>
      <c r="C6" s="5" t="s">
        <v>39</v>
      </c>
      <c r="D6" s="5" t="s">
        <v>1045</v>
      </c>
      <c r="E6" s="5" t="s">
        <v>1046</v>
      </c>
      <c r="F6" s="5" t="s">
        <v>1047</v>
      </c>
      <c r="G6" s="5" t="s">
        <v>1048</v>
      </c>
      <c r="H6" s="5" t="s">
        <v>1049</v>
      </c>
      <c r="I6" s="5" t="s">
        <v>1050</v>
      </c>
      <c r="J6" s="5" t="s">
        <v>1051</v>
      </c>
      <c r="K6" s="5" t="s">
        <v>1052</v>
      </c>
      <c r="L6" s="5" t="s">
        <v>1053</v>
      </c>
      <c r="M6" s="5" t="s">
        <v>1054</v>
      </c>
      <c r="N6" s="5" t="s">
        <v>862</v>
      </c>
      <c r="O6" s="5" t="s">
        <v>1055</v>
      </c>
      <c r="P6" s="5" t="s">
        <v>1056</v>
      </c>
      <c r="Q6" s="5" t="s">
        <v>1057</v>
      </c>
      <c r="R6" s="5" t="s">
        <v>1058</v>
      </c>
      <c r="S6" s="5" t="s">
        <v>1059</v>
      </c>
      <c r="T6" s="5" t="s">
        <v>40</v>
      </c>
    </row>
    <row r="7" customFormat="false" ht="32.8" hidden="false" customHeight="false" outlineLevel="0" collapsed="false">
      <c r="B7" s="75" t="n">
        <v>263</v>
      </c>
      <c r="C7" s="74" t="s">
        <v>1060</v>
      </c>
      <c r="D7" s="76" t="n">
        <v>46248</v>
      </c>
      <c r="E7" s="74" t="s">
        <v>1061</v>
      </c>
      <c r="F7" s="74" t="s">
        <v>1062</v>
      </c>
      <c r="G7" s="10" t="n">
        <v>788.1</v>
      </c>
      <c r="H7" s="8" t="n">
        <v>25219200</v>
      </c>
      <c r="I7" s="8" t="n">
        <v>25219200</v>
      </c>
      <c r="J7" s="9" t="n">
        <f aca="false">H7-I7</f>
        <v>0</v>
      </c>
      <c r="K7" s="74" t="s">
        <v>1063</v>
      </c>
      <c r="L7" s="8" t="n">
        <v>25358040</v>
      </c>
      <c r="M7" s="9" t="n">
        <f aca="false">H7-L7</f>
        <v>-138840</v>
      </c>
      <c r="N7" s="6" t="s">
        <v>1064</v>
      </c>
      <c r="O7" s="14" t="n">
        <f aca="false">SUMIFS($K$22:$K$38,$C$22:$C$38,B7)</f>
        <v>788.1</v>
      </c>
      <c r="P7" s="9" t="n">
        <f aca="false">SUMIFS($O$22:$O$38,$C$22:$C$38,B7)</f>
        <v>25358039.5698076</v>
      </c>
      <c r="Q7" s="9" t="n">
        <f aca="false">H7-P7</f>
        <v>-138839.569807634</v>
      </c>
      <c r="R7" s="21" t="n">
        <f aca="false">IF(H7=0,0,Q7/H7)</f>
        <v>-0.00550531221480593</v>
      </c>
      <c r="S7" s="9" t="n">
        <f aca="false">P7-L7</f>
        <v>-0.430192366242409</v>
      </c>
      <c r="T7" s="77" t="s">
        <v>1065</v>
      </c>
    </row>
    <row r="8" customFormat="false" ht="32.8" hidden="false" customHeight="false" outlineLevel="0" collapsed="false">
      <c r="B8" s="75" t="n">
        <v>276</v>
      </c>
      <c r="C8" s="74" t="s">
        <v>1060</v>
      </c>
      <c r="D8" s="76" t="n">
        <v>46249</v>
      </c>
      <c r="E8" s="74" t="s">
        <v>1066</v>
      </c>
      <c r="F8" s="74" t="s">
        <v>1067</v>
      </c>
      <c r="G8" s="10" t="n">
        <v>6783.1</v>
      </c>
      <c r="H8" s="8" t="n">
        <v>252670475</v>
      </c>
      <c r="I8" s="8" t="n">
        <v>252670475</v>
      </c>
      <c r="J8" s="9" t="n">
        <f aca="false">H8-I8</f>
        <v>0</v>
      </c>
      <c r="K8" s="74" t="s">
        <v>1068</v>
      </c>
      <c r="L8" s="8" t="n">
        <v>254034723</v>
      </c>
      <c r="M8" s="9" t="n">
        <f aca="false">H8-L8</f>
        <v>-1364248</v>
      </c>
      <c r="N8" s="6" t="s">
        <v>1064</v>
      </c>
      <c r="O8" s="14" t="n">
        <f aca="false">SUMIFS($K$22:$K$38,$C$22:$C$38,B8)</f>
        <v>6783.1</v>
      </c>
      <c r="P8" s="9" t="n">
        <f aca="false">SUMIFS($O$22:$O$38,$C$22:$C$38,B8)</f>
        <v>257058246.191192</v>
      </c>
      <c r="Q8" s="9" t="n">
        <f aca="false">H8-P8</f>
        <v>-4387771.19119161</v>
      </c>
      <c r="R8" s="21" t="n">
        <f aca="false">IF(H8=0,0,Q8/H8)</f>
        <v>-0.01736558729781</v>
      </c>
      <c r="S8" s="9" t="n">
        <f aca="false">P8-L8</f>
        <v>3023523.19119161</v>
      </c>
      <c r="T8" s="77" t="s">
        <v>1069</v>
      </c>
    </row>
    <row r="9" customFormat="false" ht="22.35" hidden="false" customHeight="false" outlineLevel="0" collapsed="false">
      <c r="B9" s="75" t="n">
        <v>316</v>
      </c>
      <c r="C9" s="74" t="s">
        <v>1060</v>
      </c>
      <c r="D9" s="76" t="n">
        <v>46258</v>
      </c>
      <c r="E9" s="74" t="s">
        <v>1070</v>
      </c>
      <c r="F9" s="74" t="s">
        <v>1070</v>
      </c>
      <c r="G9" s="10" t="n">
        <v>3989.3</v>
      </c>
      <c r="H9" s="8" t="n">
        <v>122383100</v>
      </c>
      <c r="I9" s="8" t="n">
        <v>122383100</v>
      </c>
      <c r="J9" s="9" t="n">
        <f aca="false">H9-I9</f>
        <v>0</v>
      </c>
      <c r="K9" s="74" t="s">
        <v>1071</v>
      </c>
      <c r="L9" s="8" t="n">
        <v>119111139</v>
      </c>
      <c r="M9" s="9" t="n">
        <f aca="false">H9-L9</f>
        <v>3271961</v>
      </c>
      <c r="N9" s="6" t="s">
        <v>1064</v>
      </c>
      <c r="O9" s="14" t="n">
        <f aca="false">SUMIFS($K$22:$K$38,$C$22:$C$38,B9)</f>
        <v>3989.3</v>
      </c>
      <c r="P9" s="9" t="n">
        <f aca="false">SUMIFS($O$22:$O$38,$C$22:$C$38,B9)</f>
        <v>119096194.765834</v>
      </c>
      <c r="Q9" s="9" t="n">
        <f aca="false">H9-P9</f>
        <v>3286905.23416574</v>
      </c>
      <c r="R9" s="21" t="n">
        <f aca="false">IF(H9=0,0,Q9/H9)</f>
        <v>0.0268575091999283</v>
      </c>
      <c r="S9" s="9" t="n">
        <f aca="false">P9-L9</f>
        <v>-14944.234165743</v>
      </c>
      <c r="T9" s="77" t="s">
        <v>1072</v>
      </c>
    </row>
    <row r="10" customFormat="false" ht="32.8" hidden="false" customHeight="false" outlineLevel="0" collapsed="false">
      <c r="B10" s="75" t="n">
        <v>338</v>
      </c>
      <c r="C10" s="74" t="s">
        <v>1060</v>
      </c>
      <c r="D10" s="76" t="n">
        <v>46265</v>
      </c>
      <c r="E10" s="74" t="s">
        <v>1073</v>
      </c>
      <c r="F10" s="74" t="s">
        <v>1070</v>
      </c>
      <c r="G10" s="10" t="n">
        <v>4156.96</v>
      </c>
      <c r="H10" s="8" t="n">
        <v>131482730</v>
      </c>
      <c r="I10" s="8" t="n">
        <v>131482730</v>
      </c>
      <c r="J10" s="9" t="n">
        <f aca="false">H10-I10</f>
        <v>0</v>
      </c>
      <c r="K10" s="74" t="s">
        <v>1074</v>
      </c>
      <c r="L10" s="8" t="n">
        <v>127076755.48</v>
      </c>
      <c r="M10" s="9" t="n">
        <f aca="false">H10-L10</f>
        <v>4405974.52</v>
      </c>
      <c r="N10" s="6" t="s">
        <v>1064</v>
      </c>
      <c r="O10" s="14" t="n">
        <f aca="false">SUMIFS($K$22:$K$38,$C$22:$C$38,B10)</f>
        <v>4156.96</v>
      </c>
      <c r="P10" s="9" t="n">
        <f aca="false">SUMIFS($O$22:$O$38,$C$22:$C$38,B10)</f>
        <v>127076746.479098</v>
      </c>
      <c r="Q10" s="9" t="n">
        <f aca="false">H10-P10</f>
        <v>4405983.52090208</v>
      </c>
      <c r="R10" s="21" t="n">
        <f aca="false">IF(H10=0,0,Q10/H10)</f>
        <v>0.0335099789980181</v>
      </c>
      <c r="S10" s="9" t="n">
        <f aca="false">P10-L10</f>
        <v>-9.00090208649635</v>
      </c>
      <c r="T10" s="77" t="s">
        <v>1075</v>
      </c>
    </row>
    <row r="11" customFormat="false" ht="43.25" hidden="false" customHeight="false" outlineLevel="0" collapsed="false">
      <c r="B11" s="75" t="n">
        <v>201</v>
      </c>
      <c r="C11" s="74" t="s">
        <v>1076</v>
      </c>
      <c r="D11" s="76" t="n">
        <v>46235</v>
      </c>
      <c r="E11" s="74" t="s">
        <v>1077</v>
      </c>
      <c r="F11" s="74" t="s">
        <v>1078</v>
      </c>
      <c r="G11" s="10" t="n">
        <v>2747.8</v>
      </c>
      <c r="H11" s="8" t="n">
        <v>113325200</v>
      </c>
      <c r="I11" s="8" t="n">
        <v>112350000</v>
      </c>
      <c r="J11" s="9" t="n">
        <f aca="false">H11-I11</f>
        <v>975200</v>
      </c>
      <c r="K11" s="74" t="s">
        <v>1079</v>
      </c>
      <c r="L11" s="8" t="n">
        <v>110718720.4</v>
      </c>
      <c r="M11" s="9" t="n">
        <f aca="false">H11-L11</f>
        <v>2606479.59999999</v>
      </c>
      <c r="N11" s="78" t="s">
        <v>875</v>
      </c>
      <c r="O11" s="14" t="n">
        <v>0</v>
      </c>
      <c r="P11" s="9" t="n">
        <f aca="false">L11</f>
        <v>110718720.4</v>
      </c>
      <c r="Q11" s="9" t="n">
        <f aca="false">H11-P11</f>
        <v>2606479.59999999</v>
      </c>
      <c r="R11" s="21" t="n">
        <f aca="false">IF(H11=0,0,Q11/H11)</f>
        <v>0.0229999999999999</v>
      </c>
      <c r="S11" s="9" t="n">
        <f aca="false">P11-L11</f>
        <v>0</v>
      </c>
      <c r="T11" s="77" t="s">
        <v>1080</v>
      </c>
    </row>
    <row r="12" customFormat="false" ht="64.15" hidden="false" customHeight="false" outlineLevel="0" collapsed="false">
      <c r="B12" s="75" t="n">
        <v>226</v>
      </c>
      <c r="C12" s="74" t="s">
        <v>1076</v>
      </c>
      <c r="D12" s="76" t="n">
        <v>46242</v>
      </c>
      <c r="E12" s="74" t="s">
        <v>1077</v>
      </c>
      <c r="F12" s="74" t="s">
        <v>1078</v>
      </c>
      <c r="G12" s="10" t="n">
        <v>3017.55</v>
      </c>
      <c r="H12" s="8" t="n">
        <v>90526500</v>
      </c>
      <c r="I12" s="8" t="n">
        <v>90000000</v>
      </c>
      <c r="J12" s="9" t="n">
        <f aca="false">H12-I12</f>
        <v>526500</v>
      </c>
      <c r="K12" s="74" t="s">
        <v>1081</v>
      </c>
      <c r="L12" s="8" t="n">
        <v>109171156.06</v>
      </c>
      <c r="M12" s="9" t="n">
        <f aca="false">H12-L12</f>
        <v>-18644656.06</v>
      </c>
      <c r="N12" s="78" t="s">
        <v>878</v>
      </c>
      <c r="O12" s="14" t="n">
        <v>0</v>
      </c>
      <c r="P12" s="9" t="n">
        <f aca="false">L12</f>
        <v>109171156.06</v>
      </c>
      <c r="Q12" s="9" t="n">
        <f aca="false">H12-P12</f>
        <v>-18644656.06</v>
      </c>
      <c r="R12" s="21" t="n">
        <f aca="false">IF(H12=0,0,Q12/H12)</f>
        <v>-0.205957990864554</v>
      </c>
      <c r="S12" s="9" t="n">
        <f aca="false">P12-L12</f>
        <v>0</v>
      </c>
      <c r="T12" s="77" t="s">
        <v>1082</v>
      </c>
    </row>
    <row r="13" customFormat="false" ht="32.8" hidden="false" customHeight="false" outlineLevel="0" collapsed="false">
      <c r="B13" s="75" t="n">
        <v>232</v>
      </c>
      <c r="C13" s="74" t="s">
        <v>1076</v>
      </c>
      <c r="D13" s="76" t="n">
        <v>46244</v>
      </c>
      <c r="E13" s="74" t="s">
        <v>1083</v>
      </c>
      <c r="F13" s="74" t="s">
        <v>1084</v>
      </c>
      <c r="G13" s="10" t="n">
        <v>2608.69</v>
      </c>
      <c r="H13" s="8" t="n">
        <v>83984964</v>
      </c>
      <c r="I13" s="8" t="n">
        <v>83786308</v>
      </c>
      <c r="J13" s="9" t="n">
        <f aca="false">H13-I13</f>
        <v>198656</v>
      </c>
      <c r="K13" s="74" t="s">
        <v>1085</v>
      </c>
      <c r="L13" s="8" t="n">
        <v>82155362</v>
      </c>
      <c r="M13" s="9" t="n">
        <f aca="false">H13-L13</f>
        <v>1829602</v>
      </c>
      <c r="N13" s="78" t="s">
        <v>875</v>
      </c>
      <c r="O13" s="14" t="n">
        <v>0</v>
      </c>
      <c r="P13" s="9" t="n">
        <f aca="false">L13</f>
        <v>82155362</v>
      </c>
      <c r="Q13" s="9" t="n">
        <f aca="false">H13-P13</f>
        <v>1829602</v>
      </c>
      <c r="R13" s="21" t="n">
        <f aca="false">IF(H13=0,0,Q13/H13)</f>
        <v>0.0217848756832235</v>
      </c>
      <c r="S13" s="9" t="n">
        <f aca="false">P13-L13</f>
        <v>0</v>
      </c>
      <c r="T13" s="77" t="s">
        <v>1086</v>
      </c>
    </row>
    <row r="14" customFormat="false" ht="43.25" hidden="false" customHeight="false" outlineLevel="0" collapsed="false">
      <c r="B14" s="75" t="n">
        <v>243</v>
      </c>
      <c r="C14" s="74" t="s">
        <v>1076</v>
      </c>
      <c r="D14" s="76" t="n">
        <v>46245</v>
      </c>
      <c r="E14" s="74" t="s">
        <v>1061</v>
      </c>
      <c r="F14" s="74" t="s">
        <v>1087</v>
      </c>
      <c r="G14" s="10" t="n">
        <v>1494.7</v>
      </c>
      <c r="H14" s="8" t="n">
        <v>51567150</v>
      </c>
      <c r="I14" s="8" t="n">
        <v>51560250</v>
      </c>
      <c r="J14" s="9" t="n">
        <f aca="false">H14-I14</f>
        <v>6900</v>
      </c>
      <c r="K14" s="74" t="s">
        <v>1088</v>
      </c>
      <c r="L14" s="8" t="n">
        <v>50400490</v>
      </c>
      <c r="M14" s="9" t="n">
        <f aca="false">H14-L14</f>
        <v>1166660</v>
      </c>
      <c r="N14" s="78" t="s">
        <v>875</v>
      </c>
      <c r="O14" s="14" t="n">
        <v>0</v>
      </c>
      <c r="P14" s="9" t="n">
        <f aca="false">L14</f>
        <v>50400490</v>
      </c>
      <c r="Q14" s="9" t="n">
        <f aca="false">H14-P14</f>
        <v>1166660</v>
      </c>
      <c r="R14" s="21" t="n">
        <f aca="false">IF(H14=0,0,Q14/H14)</f>
        <v>0.0226240930514872</v>
      </c>
      <c r="S14" s="9" t="n">
        <f aca="false">P14-L14</f>
        <v>0</v>
      </c>
      <c r="T14" s="77" t="s">
        <v>1089</v>
      </c>
    </row>
    <row r="15" customFormat="false" ht="53.7" hidden="false" customHeight="false" outlineLevel="0" collapsed="false">
      <c r="B15" s="75" t="n">
        <v>257</v>
      </c>
      <c r="C15" s="74" t="s">
        <v>1076</v>
      </c>
      <c r="D15" s="76" t="n">
        <v>46246</v>
      </c>
      <c r="E15" s="74" t="s">
        <v>1061</v>
      </c>
      <c r="F15" s="74" t="s">
        <v>1078</v>
      </c>
      <c r="G15" s="10" t="n">
        <v>1510.64</v>
      </c>
      <c r="H15" s="8" t="n">
        <v>47626420</v>
      </c>
      <c r="I15" s="8" t="n">
        <v>46955920</v>
      </c>
      <c r="J15" s="9" t="n">
        <f aca="false">H15-I15</f>
        <v>670500</v>
      </c>
      <c r="K15" s="74" t="s">
        <v>1090</v>
      </c>
      <c r="L15" s="8" t="n">
        <v>46367935</v>
      </c>
      <c r="M15" s="9" t="n">
        <f aca="false">H15-L15</f>
        <v>1258485</v>
      </c>
      <c r="N15" s="78" t="s">
        <v>875</v>
      </c>
      <c r="O15" s="14" t="n">
        <v>0</v>
      </c>
      <c r="P15" s="9" t="n">
        <f aca="false">L15</f>
        <v>46367935</v>
      </c>
      <c r="Q15" s="9" t="n">
        <f aca="false">H15-P15</f>
        <v>1258485</v>
      </c>
      <c r="R15" s="21" t="n">
        <f aca="false">IF(H15=0,0,Q15/H15)</f>
        <v>0.0264240940217636</v>
      </c>
      <c r="S15" s="9" t="n">
        <f aca="false">P15-L15</f>
        <v>0</v>
      </c>
      <c r="T15" s="77" t="s">
        <v>1091</v>
      </c>
    </row>
    <row r="16" customFormat="false" ht="43.25" hidden="false" customHeight="false" outlineLevel="0" collapsed="false">
      <c r="B16" s="75" t="n">
        <v>311</v>
      </c>
      <c r="C16" s="74" t="s">
        <v>1076</v>
      </c>
      <c r="D16" s="76" t="n">
        <v>46255</v>
      </c>
      <c r="E16" s="74" t="s">
        <v>1061</v>
      </c>
      <c r="F16" s="74" t="s">
        <v>1078</v>
      </c>
      <c r="G16" s="10" t="n">
        <v>699.65</v>
      </c>
      <c r="H16" s="8" t="n">
        <v>20989500</v>
      </c>
      <c r="I16" s="8" t="n">
        <v>20989500</v>
      </c>
      <c r="J16" s="9" t="n">
        <f aca="false">H16-I16</f>
        <v>0</v>
      </c>
      <c r="K16" s="74" t="s">
        <v>1092</v>
      </c>
      <c r="L16" s="8" t="n">
        <v>23218753.06</v>
      </c>
      <c r="M16" s="9" t="n">
        <f aca="false">H16-L16</f>
        <v>-2229253.06</v>
      </c>
      <c r="N16" s="78" t="s">
        <v>875</v>
      </c>
      <c r="O16" s="14" t="n">
        <v>0</v>
      </c>
      <c r="P16" s="9" t="n">
        <f aca="false">L16</f>
        <v>23218753.06</v>
      </c>
      <c r="Q16" s="9" t="n">
        <f aca="false">H16-P16</f>
        <v>-2229253.06</v>
      </c>
      <c r="R16" s="21" t="n">
        <f aca="false">IF(H16=0,0,Q16/H16)</f>
        <v>-0.10620801162486</v>
      </c>
      <c r="S16" s="9" t="n">
        <f aca="false">P16-L16</f>
        <v>0</v>
      </c>
      <c r="T16" s="77" t="s">
        <v>1093</v>
      </c>
    </row>
    <row r="17" customFormat="false" ht="15" hidden="false" customHeight="false" outlineLevel="0" collapsed="false">
      <c r="B17" s="25" t="s">
        <v>304</v>
      </c>
      <c r="G17" s="26" t="n">
        <f aca="false">SUM(G7:G16)</f>
        <v>27796.49</v>
      </c>
      <c r="H17" s="26" t="n">
        <f aca="false">SUM(H7:H16)</f>
        <v>939775239</v>
      </c>
      <c r="I17" s="26" t="n">
        <f aca="false">SUM(I7:I16)</f>
        <v>937397483</v>
      </c>
      <c r="J17" s="26" t="n">
        <f aca="false">SUM(J7:J16)</f>
        <v>2377756</v>
      </c>
      <c r="L17" s="26" t="n">
        <f aca="false">SUM(L7:L16)</f>
        <v>947613074</v>
      </c>
      <c r="M17" s="26" t="n">
        <f aca="false">SUM(M7:M16)</f>
        <v>-7837835.00000001</v>
      </c>
      <c r="O17" s="26" t="n">
        <f aca="false">SUM(O7:O16)</f>
        <v>15717.46</v>
      </c>
      <c r="P17" s="26" t="n">
        <f aca="false">SUM(P7:P16)</f>
        <v>950621643.525931</v>
      </c>
      <c r="Q17" s="26" t="n">
        <f aca="false">SUM(Q7:Q16)</f>
        <v>-10846404.5259314</v>
      </c>
      <c r="R17" s="27" t="n">
        <f aca="false">IF(H17=0,0,Q17/H17)</f>
        <v>-0.0115414878747741</v>
      </c>
      <c r="S17" s="26" t="n">
        <f aca="false">SUM(S7:S16)</f>
        <v>3008569.52593142</v>
      </c>
    </row>
    <row r="18" customFormat="false" ht="15" hidden="false" customHeight="false" outlineLevel="0" collapsed="false">
      <c r="B18" s="6" t="s">
        <v>1094</v>
      </c>
      <c r="G18" s="9" t="n">
        <f aca="false">SUM(G7:G10)</f>
        <v>15717.46</v>
      </c>
      <c r="H18" s="9" t="n">
        <f aca="false">SUM(H7:H10)</f>
        <v>531755505</v>
      </c>
      <c r="L18" s="9" t="n">
        <f aca="false">SUM(L7:L10)</f>
        <v>525580657.48</v>
      </c>
      <c r="P18" s="9" t="n">
        <f aca="false">SUM(P7:P10)</f>
        <v>528589227.005931</v>
      </c>
    </row>
    <row r="19" customFormat="false" ht="15" hidden="false" customHeight="false" outlineLevel="0" collapsed="false">
      <c r="B19" s="6" t="s">
        <v>1095</v>
      </c>
      <c r="G19" s="9" t="n">
        <f aca="false">SUM(G11:G16)</f>
        <v>12079.03</v>
      </c>
      <c r="H19" s="9" t="n">
        <f aca="false">SUM(H11:H16)</f>
        <v>408019734</v>
      </c>
      <c r="L19" s="9" t="n">
        <f aca="false">SUM(L11:L16)</f>
        <v>422032416.52</v>
      </c>
      <c r="P19" s="9" t="n">
        <f aca="false">SUM(P11:P16)</f>
        <v>422032416.52</v>
      </c>
    </row>
    <row r="20" customFormat="false" ht="15" hidden="false" customHeight="false" outlineLevel="0" collapsed="false">
      <c r="B20" s="18" t="s">
        <v>1096</v>
      </c>
    </row>
    <row r="21" customFormat="false" ht="30" hidden="false" customHeight="true" outlineLevel="0" collapsed="false">
      <c r="B21" s="5" t="s">
        <v>308</v>
      </c>
      <c r="C21" s="5" t="s">
        <v>1044</v>
      </c>
      <c r="D21" s="5" t="s">
        <v>1097</v>
      </c>
      <c r="E21" s="5" t="s">
        <v>1098</v>
      </c>
      <c r="F21" s="5" t="s">
        <v>182</v>
      </c>
      <c r="G21" s="5" t="s">
        <v>862</v>
      </c>
      <c r="H21" s="5" t="s">
        <v>224</v>
      </c>
      <c r="I21" s="5" t="s">
        <v>225</v>
      </c>
      <c r="J21" s="5" t="s">
        <v>884</v>
      </c>
      <c r="K21" s="5" t="s">
        <v>1099</v>
      </c>
      <c r="L21" s="5" t="s">
        <v>1100</v>
      </c>
      <c r="M21" s="5" t="s">
        <v>1101</v>
      </c>
      <c r="N21" s="5" t="s">
        <v>1102</v>
      </c>
      <c r="O21" s="5" t="s">
        <v>1103</v>
      </c>
      <c r="P21" s="5" t="s">
        <v>1104</v>
      </c>
      <c r="Q21" s="5" t="s">
        <v>1105</v>
      </c>
      <c r="R21" s="5" t="s">
        <v>1106</v>
      </c>
      <c r="S21" s="5" t="s">
        <v>1107</v>
      </c>
      <c r="T21" s="5" t="s">
        <v>1108</v>
      </c>
      <c r="U21" s="5" t="s">
        <v>1109</v>
      </c>
      <c r="V21" s="5" t="s">
        <v>1110</v>
      </c>
      <c r="W21" s="5" t="s">
        <v>867</v>
      </c>
    </row>
    <row r="22" customFormat="false" ht="15" hidden="false" customHeight="false" outlineLevel="0" collapsed="false">
      <c r="B22" s="74" t="s">
        <v>1111</v>
      </c>
      <c r="C22" s="74" t="n">
        <v>338</v>
      </c>
      <c r="D22" s="79" t="n">
        <f aca="false">INDEX($D$7:$D$16,MATCH(C22,$B$7:$B$16,0))</f>
        <v>46265</v>
      </c>
      <c r="E22" s="74" t="s">
        <v>1021</v>
      </c>
      <c r="F22" s="53" t="str">
        <f aca="false">INDEX(I_Items!$B$5:$B$133,MATCH($E22,I_Items!$A$5:$A$133,0))&amp;""</f>
        <v>Karkas Uk 0.6</v>
      </c>
      <c r="G22" s="53" t="str">
        <f aca="false">INDEX(I_Items!$C$5:$C$133,MATCH($E22,I_Items!$A$5:$A$133,0))&amp;""</f>
        <v>Trading</v>
      </c>
      <c r="H22" s="53" t="str">
        <f aca="false">INDEX(I_Items!$D$5:$D$133,MATCH($E22,I_Items!$A$5:$A$133,0))&amp;""</f>
        <v>Karkas</v>
      </c>
      <c r="I22" s="53" t="str">
        <f aca="false">INDEX(I_Items!$F$5:$F$133,MATCH($E22,I_Items!$A$5:$A$133,0))&amp;""</f>
        <v>Not stated in item master</v>
      </c>
      <c r="J22" s="53" t="str">
        <f aca="false">INDEX(I_Items!$E$5:$E$133,MATCH($E22,I_Items!$A$5:$A$133,0))&amp;""</f>
        <v>Uk 0.6</v>
      </c>
      <c r="K22" s="10" t="n">
        <v>518.22</v>
      </c>
      <c r="L22" s="74"/>
      <c r="M22" s="10" t="n">
        <v>30115.18</v>
      </c>
      <c r="N22" s="9" t="n">
        <f aca="false">K22*M22</f>
        <v>15606288.5796</v>
      </c>
      <c r="O22" s="7" t="n">
        <f aca="false">SUMIFS('MA Engine'!$X$6:$X$1110,'MA Engine'!$Q$6:$Q$1110,B22)</f>
        <v>15606288.2692157</v>
      </c>
      <c r="P22" s="9" t="n">
        <f aca="false">IF(K22=0,0,O22/K22)</f>
        <v>30115.179401057</v>
      </c>
      <c r="Q22" s="9" t="n">
        <f aca="false">O22-N22</f>
        <v>-0.310384254902601</v>
      </c>
      <c r="R22" s="13" t="n">
        <f aca="false">SUMIFS('MA Engine'!$Y$6:$Y$1110,'MA Engine'!$Q$6:$Q$1110,B22)</f>
        <v>2229.8</v>
      </c>
      <c r="S22" s="6" t="str">
        <f aca="false">IF(R22&lt;-0.005,"STOCK MINUS","OK")</f>
        <v>OK</v>
      </c>
      <c r="T22" s="80"/>
      <c r="U22" s="9" t="n">
        <f aca="false">IF(T22="",SUMIFS($H$7:$H$10,$B$7:$B$10,C22)*O22/SUMIFS($O$22:$O$38,$C$22:$C$38,C22),K22*T22)</f>
        <v>16147386.8638978</v>
      </c>
      <c r="V22" s="9" t="n">
        <f aca="false">U22-O22</f>
        <v>541098.59468209</v>
      </c>
      <c r="W22" s="21" t="n">
        <f aca="false">IF(U22=0,0,V22/U22)</f>
        <v>0.0335099789980181</v>
      </c>
    </row>
    <row r="23" customFormat="false" ht="15" hidden="false" customHeight="false" outlineLevel="0" collapsed="false">
      <c r="B23" s="74" t="s">
        <v>1112</v>
      </c>
      <c r="C23" s="74" t="n">
        <v>338</v>
      </c>
      <c r="D23" s="79" t="n">
        <f aca="false">INDEX($D$7:$D$16,MATCH(C23,$B$7:$B$16,0))</f>
        <v>46265</v>
      </c>
      <c r="E23" s="74" t="s">
        <v>1022</v>
      </c>
      <c r="F23" s="53" t="str">
        <f aca="false">INDEX(I_Items!$B$5:$B$133,MATCH($E23,I_Items!$A$5:$A$133,0))&amp;""</f>
        <v>Karkas Uk 0.7</v>
      </c>
      <c r="G23" s="53" t="str">
        <f aca="false">INDEX(I_Items!$C$5:$C$133,MATCH($E23,I_Items!$A$5:$A$133,0))&amp;""</f>
        <v>Trading</v>
      </c>
      <c r="H23" s="53" t="str">
        <f aca="false">INDEX(I_Items!$D$5:$D$133,MATCH($E23,I_Items!$A$5:$A$133,0))&amp;""</f>
        <v>Karkas</v>
      </c>
      <c r="I23" s="53" t="str">
        <f aca="false">INDEX(I_Items!$F$5:$F$133,MATCH($E23,I_Items!$A$5:$A$133,0))&amp;""</f>
        <v>Not stated in item master</v>
      </c>
      <c r="J23" s="53" t="str">
        <f aca="false">INDEX(I_Items!$E$5:$E$133,MATCH($E23,I_Items!$A$5:$A$133,0))&amp;""</f>
        <v>Uk 0.7</v>
      </c>
      <c r="K23" s="10" t="n">
        <v>2001.88</v>
      </c>
      <c r="L23" s="74"/>
      <c r="M23" s="10" t="n">
        <v>30292.62</v>
      </c>
      <c r="N23" s="9" t="n">
        <f aca="false">K23*M23</f>
        <v>60642190.1256</v>
      </c>
      <c r="O23" s="7" t="n">
        <f aca="false">SUMIFS('MA Engine'!$X$6:$X$1110,'MA Engine'!$Q$6:$Q$1110,B23)</f>
        <v>60642183.1083981</v>
      </c>
      <c r="P23" s="9" t="n">
        <f aca="false">IF(K23=0,0,O23/K23)</f>
        <v>30292.616494694</v>
      </c>
      <c r="Q23" s="9" t="n">
        <f aca="false">O23-N23</f>
        <v>-7.01720190048218</v>
      </c>
      <c r="R23" s="13" t="n">
        <f aca="false">SUMIFS('MA Engine'!$Y$6:$Y$1110,'MA Engine'!$Q$6:$Q$1110,B23)</f>
        <v>3026.05</v>
      </c>
      <c r="S23" s="6" t="str">
        <f aca="false">IF(R23&lt;-0.005,"STOCK MINUS","OK")</f>
        <v>OK</v>
      </c>
      <c r="T23" s="80"/>
      <c r="U23" s="9" t="n">
        <f aca="false">IF(T23="",SUMIFS($H$7:$H$10,$B$7:$B$10,C23)*O23/SUMIFS($O$22:$O$38,$C$22:$C$38,C23),K23*T23)</f>
        <v>62744758.6530992</v>
      </c>
      <c r="V23" s="9" t="n">
        <f aca="false">U23-O23</f>
        <v>2102575.54470106</v>
      </c>
      <c r="W23" s="21" t="n">
        <f aca="false">IF(U23=0,0,V23/U23)</f>
        <v>0.033509978998018</v>
      </c>
    </row>
    <row r="24" customFormat="false" ht="15" hidden="false" customHeight="false" outlineLevel="0" collapsed="false">
      <c r="B24" s="74" t="s">
        <v>1113</v>
      </c>
      <c r="C24" s="74" t="n">
        <v>338</v>
      </c>
      <c r="D24" s="79" t="n">
        <f aca="false">INDEX($D$7:$D$16,MATCH(C24,$B$7:$B$16,0))</f>
        <v>46265</v>
      </c>
      <c r="E24" s="74" t="s">
        <v>1023</v>
      </c>
      <c r="F24" s="53" t="str">
        <f aca="false">INDEX(I_Items!$B$5:$B$133,MATCH($E24,I_Items!$A$5:$A$133,0))&amp;""</f>
        <v>Karkas Uk 0.8</v>
      </c>
      <c r="G24" s="53" t="str">
        <f aca="false">INDEX(I_Items!$C$5:$C$133,MATCH($E24,I_Items!$A$5:$A$133,0))&amp;""</f>
        <v>Trading</v>
      </c>
      <c r="H24" s="53" t="str">
        <f aca="false">INDEX(I_Items!$D$5:$D$133,MATCH($E24,I_Items!$A$5:$A$133,0))&amp;""</f>
        <v>Karkas</v>
      </c>
      <c r="I24" s="53" t="str">
        <f aca="false">INDEX(I_Items!$F$5:$F$133,MATCH($E24,I_Items!$A$5:$A$133,0))&amp;""</f>
        <v>Not stated in item master</v>
      </c>
      <c r="J24" s="53" t="str">
        <f aca="false">INDEX(I_Items!$E$5:$E$133,MATCH($E24,I_Items!$A$5:$A$133,0))&amp;""</f>
        <v>Uk 0.8</v>
      </c>
      <c r="K24" s="10" t="n">
        <v>931.21</v>
      </c>
      <c r="L24" s="74"/>
      <c r="M24" s="10" t="n">
        <v>31797.39</v>
      </c>
      <c r="N24" s="9" t="n">
        <f aca="false">K24*M24</f>
        <v>29610047.5419</v>
      </c>
      <c r="O24" s="7" t="n">
        <f aca="false">SUMIFS('MA Engine'!$X$6:$X$1110,'MA Engine'!$Q$6:$Q$1110,B24)</f>
        <v>29610044.98764</v>
      </c>
      <c r="P24" s="9" t="n">
        <f aca="false">IF(K24=0,0,O24/K24)</f>
        <v>31797.3872570527</v>
      </c>
      <c r="Q24" s="9" t="n">
        <f aca="false">O24-N24</f>
        <v>-2.55425998568535</v>
      </c>
      <c r="R24" s="13" t="n">
        <f aca="false">SUMIFS('MA Engine'!$Y$6:$Y$1110,'MA Engine'!$Q$6:$Q$1110,B24)</f>
        <v>-123.310000000001</v>
      </c>
      <c r="S24" s="6" t="str">
        <f aca="false">IF(R24&lt;-0.005,"STOCK MINUS","OK")</f>
        <v>STOCK MINUS</v>
      </c>
      <c r="T24" s="80"/>
      <c r="U24" s="9" t="n">
        <f aca="false">IF(T24="",SUMIFS($H$7:$H$10,$B$7:$B$10,C24)*O24/SUMIFS($O$22:$O$38,$C$22:$C$38,C24),K24*T24)</f>
        <v>30636679.4733614</v>
      </c>
      <c r="V24" s="9" t="n">
        <f aca="false">U24-O24</f>
        <v>1026634.48572135</v>
      </c>
      <c r="W24" s="21" t="n">
        <f aca="false">IF(U24=0,0,V24/U24)</f>
        <v>0.033509978998018</v>
      </c>
    </row>
    <row r="25" customFormat="false" ht="15" hidden="false" customHeight="false" outlineLevel="0" collapsed="false">
      <c r="B25" s="74" t="s">
        <v>1114</v>
      </c>
      <c r="C25" s="74" t="n">
        <v>338</v>
      </c>
      <c r="D25" s="79" t="n">
        <f aca="false">INDEX($D$7:$D$16,MATCH(C25,$B$7:$B$16,0))</f>
        <v>46265</v>
      </c>
      <c r="E25" s="74" t="s">
        <v>1012</v>
      </c>
      <c r="F25" s="53" t="str">
        <f aca="false">INDEX(I_Items!$B$5:$B$133,MATCH($E25,I_Items!$A$5:$A$133,0))&amp;""</f>
        <v>Ayam Karkas Mix</v>
      </c>
      <c r="G25" s="53" t="str">
        <f aca="false">INDEX(I_Items!$C$5:$C$133,MATCH($E25,I_Items!$A$5:$A$133,0))&amp;""</f>
        <v>RPA</v>
      </c>
      <c r="H25" s="53" t="str">
        <f aca="false">INDEX(I_Items!$D$5:$D$133,MATCH($E25,I_Items!$A$5:$A$133,0))&amp;""</f>
        <v>Karkas</v>
      </c>
      <c r="I25" s="53" t="str">
        <f aca="false">INDEX(I_Items!$F$5:$F$133,MATCH($E25,I_Items!$A$5:$A$133,0))&amp;""</f>
        <v>Not stated in item master</v>
      </c>
      <c r="J25" s="53" t="str">
        <f aca="false">INDEX(I_Items!$E$5:$E$133,MATCH($E25,I_Items!$A$5:$A$133,0))&amp;""</f>
        <v>Mix</v>
      </c>
      <c r="K25" s="10" t="n">
        <v>601.35</v>
      </c>
      <c r="L25" s="74"/>
      <c r="M25" s="10" t="n">
        <v>27098.06</v>
      </c>
      <c r="N25" s="9" t="n">
        <f aca="false">K25*M25</f>
        <v>16295418.381</v>
      </c>
      <c r="O25" s="7" t="n">
        <f aca="false">SUMIFS('MA Engine'!$X$6:$X$1110,'MA Engine'!$Q$6:$Q$1110,B25)</f>
        <v>16295419.2844133</v>
      </c>
      <c r="P25" s="9" t="n">
        <f aca="false">IF(K25=0,0,O25/K25)</f>
        <v>27098.0615023087</v>
      </c>
      <c r="Q25" s="9" t="n">
        <f aca="false">O25-N25</f>
        <v>0.903413338586688</v>
      </c>
      <c r="R25" s="13" t="n">
        <f aca="false">SUMIFS('MA Engine'!$Y$6:$Y$1110,'MA Engine'!$Q$6:$Q$1110,B25)</f>
        <v>-199.84</v>
      </c>
      <c r="S25" s="6" t="str">
        <f aca="false">IF(R25&lt;-0.005,"STOCK MINUS","OK")</f>
        <v>STOCK MINUS</v>
      </c>
      <c r="T25" s="80"/>
      <c r="U25" s="9" t="n">
        <f aca="false">IF(T25="",SUMIFS($H$7:$H$10,$B$7:$B$10,C25)*O25/SUMIFS($O$22:$O$38,$C$22:$C$38,C25),K25*T25)</f>
        <v>16860411.3134241</v>
      </c>
      <c r="V25" s="9" t="n">
        <f aca="false">U25-O25</f>
        <v>564992.02901079</v>
      </c>
      <c r="W25" s="21" t="n">
        <f aca="false">IF(U25=0,0,V25/U25)</f>
        <v>0.0335099789980181</v>
      </c>
    </row>
    <row r="26" customFormat="false" ht="15" hidden="false" customHeight="false" outlineLevel="0" collapsed="false">
      <c r="B26" s="74" t="s">
        <v>1115</v>
      </c>
      <c r="C26" s="74" t="n">
        <v>338</v>
      </c>
      <c r="D26" s="79" t="n">
        <f aca="false">INDEX($D$7:$D$16,MATCH(C26,$B$7:$B$16,0))</f>
        <v>46265</v>
      </c>
      <c r="E26" s="74" t="s">
        <v>1020</v>
      </c>
      <c r="F26" s="53" t="str">
        <f aca="false">INDEX(I_Items!$B$5:$B$133,MATCH($E26,I_Items!$A$5:$A$133,0))&amp;""</f>
        <v>BLP Frozen</v>
      </c>
      <c r="G26" s="53" t="str">
        <f aca="false">INDEX(I_Items!$C$5:$C$133,MATCH($E26,I_Items!$A$5:$A$133,0))&amp;""</f>
        <v>Trading</v>
      </c>
      <c r="H26" s="53" t="str">
        <f aca="false">INDEX(I_Items!$D$5:$D$133,MATCH($E26,I_Items!$A$5:$A$133,0))&amp;""</f>
        <v>BLP</v>
      </c>
      <c r="I26" s="53" t="str">
        <f aca="false">INDEX(I_Items!$F$5:$F$133,MATCH($E26,I_Items!$A$5:$A$133,0))&amp;""</f>
        <v>Frozen</v>
      </c>
      <c r="J26" s="53" t="str">
        <f aca="false">INDEX(I_Items!$E$5:$E$133,MATCH($E26,I_Items!$A$5:$A$133,0))&amp;""</f>
        <v/>
      </c>
      <c r="K26" s="10" t="n">
        <v>104.3</v>
      </c>
      <c r="L26" s="74"/>
      <c r="M26" s="10" t="n">
        <v>47198.57</v>
      </c>
      <c r="N26" s="9" t="n">
        <f aca="false">K26*M26</f>
        <v>4922810.851</v>
      </c>
      <c r="O26" s="7" t="n">
        <f aca="false">SUMIFS('MA Engine'!$X$6:$X$1110,'MA Engine'!$Q$6:$Q$1110,B26)</f>
        <v>4922810.82943072</v>
      </c>
      <c r="P26" s="9" t="n">
        <f aca="false">IF(K26=0,0,O26/K26)</f>
        <v>47198.5697931996</v>
      </c>
      <c r="Q26" s="9" t="n">
        <f aca="false">O26-N26</f>
        <v>-0.02156928088516</v>
      </c>
      <c r="R26" s="13" t="n">
        <f aca="false">SUMIFS('MA Engine'!$Y$6:$Y$1110,'MA Engine'!$Q$6:$Q$1110,B26)</f>
        <v>2848.79999999999</v>
      </c>
      <c r="S26" s="6" t="str">
        <f aca="false">IF(R26&lt;-0.005,"STOCK MINUS","OK")</f>
        <v>OK</v>
      </c>
      <c r="T26" s="80"/>
      <c r="U26" s="9" t="n">
        <f aca="false">IF(T26="",SUMIFS($H$7:$H$10,$B$7:$B$10,C26)*O26/SUMIFS($O$22:$O$38,$C$22:$C$38,C26),K26*T26)</f>
        <v>5093493.69621751</v>
      </c>
      <c r="V26" s="9" t="n">
        <f aca="false">U26-O26</f>
        <v>170682.866786786</v>
      </c>
      <c r="W26" s="21" t="n">
        <f aca="false">IF(U26=0,0,V26/U26)</f>
        <v>0.0335099789980181</v>
      </c>
    </row>
    <row r="27" customFormat="false" ht="15" hidden="false" customHeight="false" outlineLevel="0" collapsed="false">
      <c r="B27" s="74" t="s">
        <v>1116</v>
      </c>
      <c r="C27" s="74" t="n">
        <v>316</v>
      </c>
      <c r="D27" s="79" t="n">
        <f aca="false">INDEX($D$7:$D$16,MATCH(C27,$B$7:$B$16,0))</f>
        <v>46258</v>
      </c>
      <c r="E27" s="74" t="s">
        <v>1027</v>
      </c>
      <c r="F27" s="53" t="str">
        <f aca="false">INDEX(I_Items!$B$5:$B$133,MATCH($E27,I_Items!$A$5:$A$133,0))&amp;""</f>
        <v>Karkas Uk 1.2</v>
      </c>
      <c r="G27" s="53" t="str">
        <f aca="false">INDEX(I_Items!$C$5:$C$133,MATCH($E27,I_Items!$A$5:$A$133,0))&amp;""</f>
        <v>Trading</v>
      </c>
      <c r="H27" s="53" t="str">
        <f aca="false">INDEX(I_Items!$D$5:$D$133,MATCH($E27,I_Items!$A$5:$A$133,0))&amp;""</f>
        <v>Karkas</v>
      </c>
      <c r="I27" s="53" t="str">
        <f aca="false">INDEX(I_Items!$F$5:$F$133,MATCH($E27,I_Items!$A$5:$A$133,0))&amp;""</f>
        <v>Not stated in item master</v>
      </c>
      <c r="J27" s="53" t="str">
        <f aca="false">INDEX(I_Items!$E$5:$E$133,MATCH($E27,I_Items!$A$5:$A$133,0))&amp;""</f>
        <v>Uk 1.2</v>
      </c>
      <c r="K27" s="10" t="n">
        <v>261.5</v>
      </c>
      <c r="L27" s="74"/>
      <c r="M27" s="10" t="n">
        <v>23414.24</v>
      </c>
      <c r="N27" s="9" t="n">
        <f aca="false">K27*M27</f>
        <v>6122823.76</v>
      </c>
      <c r="O27" s="7" t="n">
        <f aca="false">SUMIFS('MA Engine'!$X$6:$X$1110,'MA Engine'!$Q$6:$Q$1110,B27)</f>
        <v>6122822.92207119</v>
      </c>
      <c r="P27" s="9" t="n">
        <f aca="false">IF(K27=0,0,O27/K27)</f>
        <v>23414.2367956833</v>
      </c>
      <c r="Q27" s="9" t="n">
        <f aca="false">O27-N27</f>
        <v>-0.837928814813495</v>
      </c>
      <c r="R27" s="13" t="n">
        <f aca="false">SUMIFS('MA Engine'!$Y$6:$Y$1110,'MA Engine'!$Q$6:$Q$1110,B27)</f>
        <v>48.7999999999997</v>
      </c>
      <c r="S27" s="6" t="str">
        <f aca="false">IF(R27&lt;-0.005,"STOCK MINUS","OK")</f>
        <v>OK</v>
      </c>
      <c r="T27" s="80"/>
      <c r="U27" s="9" t="n">
        <f aca="false">IF(T27="",SUMIFS($H$7:$H$10,$B$7:$B$10,C27)*O27/SUMIFS($O$22:$O$38,$C$22:$C$38,C27),K27*T27)</f>
        <v>6291805.13640638</v>
      </c>
      <c r="V27" s="9" t="n">
        <f aca="false">U27-O27</f>
        <v>168982.21433519</v>
      </c>
      <c r="W27" s="21" t="n">
        <f aca="false">IF(U27=0,0,V27/U27)</f>
        <v>0.0268575091999283</v>
      </c>
    </row>
    <row r="28" customFormat="false" ht="15" hidden="false" customHeight="false" outlineLevel="0" collapsed="false">
      <c r="B28" s="74" t="s">
        <v>1117</v>
      </c>
      <c r="C28" s="74" t="n">
        <v>316</v>
      </c>
      <c r="D28" s="79" t="n">
        <f aca="false">INDEX($D$7:$D$16,MATCH(C28,$B$7:$B$16,0))</f>
        <v>46258</v>
      </c>
      <c r="E28" s="74" t="s">
        <v>1029</v>
      </c>
      <c r="F28" s="53" t="str">
        <f aca="false">INDEX(I_Items!$B$5:$B$133,MATCH($E28,I_Items!$A$5:$A$133,0))&amp;""</f>
        <v>Karkas Uk 1.4</v>
      </c>
      <c r="G28" s="53" t="str">
        <f aca="false">INDEX(I_Items!$C$5:$C$133,MATCH($E28,I_Items!$A$5:$A$133,0))&amp;""</f>
        <v>Trading</v>
      </c>
      <c r="H28" s="53" t="str">
        <f aca="false">INDEX(I_Items!$D$5:$D$133,MATCH($E28,I_Items!$A$5:$A$133,0))&amp;""</f>
        <v>Karkas</v>
      </c>
      <c r="I28" s="53" t="str">
        <f aca="false">INDEX(I_Items!$F$5:$F$133,MATCH($E28,I_Items!$A$5:$A$133,0))&amp;""</f>
        <v>Not stated in item master</v>
      </c>
      <c r="J28" s="53" t="str">
        <f aca="false">INDEX(I_Items!$E$5:$E$133,MATCH($E28,I_Items!$A$5:$A$133,0))&amp;""</f>
        <v>Uk 1.4</v>
      </c>
      <c r="K28" s="10" t="n">
        <v>285.9</v>
      </c>
      <c r="L28" s="74"/>
      <c r="M28" s="10" t="n">
        <v>23000</v>
      </c>
      <c r="N28" s="9" t="n">
        <f aca="false">K28*M28</f>
        <v>6575700</v>
      </c>
      <c r="O28" s="7" t="n">
        <f aca="false">SUMIFS('MA Engine'!$X$6:$X$1110,'MA Engine'!$Q$6:$Q$1110,B28)</f>
        <v>6575700</v>
      </c>
      <c r="P28" s="9" t="n">
        <f aca="false">IF(K28=0,0,O28/K28)</f>
        <v>23000</v>
      </c>
      <c r="Q28" s="9" t="n">
        <f aca="false">O28-N28</f>
        <v>0</v>
      </c>
      <c r="R28" s="13" t="n">
        <f aca="false">SUMIFS('MA Engine'!$Y$6:$Y$1110,'MA Engine'!$Q$6:$Q$1110,B28)</f>
        <v>-27.2</v>
      </c>
      <c r="S28" s="6" t="str">
        <f aca="false">IF(R28&lt;-0.005,"STOCK MINUS","OK")</f>
        <v>STOCK MINUS</v>
      </c>
      <c r="T28" s="80"/>
      <c r="U28" s="9" t="n">
        <f aca="false">IF(T28="",SUMIFS($H$7:$H$10,$B$7:$B$10,C28)*O28/SUMIFS($O$22:$O$38,$C$22:$C$38,C28),K28*T28)</f>
        <v>6757181.05227711</v>
      </c>
      <c r="V28" s="9" t="n">
        <f aca="false">U28-O28</f>
        <v>181481.052277113</v>
      </c>
      <c r="W28" s="21" t="n">
        <f aca="false">IF(U28=0,0,V28/U28)</f>
        <v>0.0268575091999282</v>
      </c>
    </row>
    <row r="29" customFormat="false" ht="15" hidden="false" customHeight="false" outlineLevel="0" collapsed="false">
      <c r="B29" s="74" t="s">
        <v>1118</v>
      </c>
      <c r="C29" s="74" t="n">
        <v>316</v>
      </c>
      <c r="D29" s="79" t="n">
        <f aca="false">INDEX($D$7:$D$16,MATCH(C29,$B$7:$B$16,0))</f>
        <v>46258</v>
      </c>
      <c r="E29" s="74" t="s">
        <v>1030</v>
      </c>
      <c r="F29" s="53" t="str">
        <f aca="false">INDEX(I_Items!$B$5:$B$133,MATCH($E29,I_Items!$A$5:$A$133,0))&amp;""</f>
        <v>Karkas Uk 1.5</v>
      </c>
      <c r="G29" s="53" t="str">
        <f aca="false">INDEX(I_Items!$C$5:$C$133,MATCH($E29,I_Items!$A$5:$A$133,0))&amp;""</f>
        <v>Trading</v>
      </c>
      <c r="H29" s="53" t="str">
        <f aca="false">INDEX(I_Items!$D$5:$D$133,MATCH($E29,I_Items!$A$5:$A$133,0))&amp;""</f>
        <v>Karkas</v>
      </c>
      <c r="I29" s="53" t="str">
        <f aca="false">INDEX(I_Items!$F$5:$F$133,MATCH($E29,I_Items!$A$5:$A$133,0))&amp;""</f>
        <v>Not stated in item master</v>
      </c>
      <c r="J29" s="53" t="str">
        <f aca="false">INDEX(I_Items!$E$5:$E$133,MATCH($E29,I_Items!$A$5:$A$133,0))&amp;""</f>
        <v>Uk 1.5</v>
      </c>
      <c r="K29" s="10" t="n">
        <v>273.8</v>
      </c>
      <c r="L29" s="74" t="s">
        <v>1119</v>
      </c>
      <c r="M29" s="10" t="n">
        <v>23000</v>
      </c>
      <c r="N29" s="9" t="n">
        <f aca="false">K29*M29</f>
        <v>6297400</v>
      </c>
      <c r="O29" s="7" t="n">
        <f aca="false">SUMIFS('MA Engine'!$X$6:$X$1110,'MA Engine'!$Q$6:$Q$1110,B29)</f>
        <v>6282450</v>
      </c>
      <c r="P29" s="9" t="n">
        <f aca="false">IF(K29=0,0,O29/K29)</f>
        <v>22945.3981008035</v>
      </c>
      <c r="Q29" s="9" t="n">
        <f aca="false">O29-N29</f>
        <v>-14949.9999999981</v>
      </c>
      <c r="R29" s="13" t="n">
        <f aca="false">SUMIFS('MA Engine'!$Y$6:$Y$1110,'MA Engine'!$Q$6:$Q$1110,B29)</f>
        <v>0</v>
      </c>
      <c r="S29" s="6" t="str">
        <f aca="false">IF(R29&lt;-0.005,"STOCK MINUS","OK")</f>
        <v>OK</v>
      </c>
      <c r="T29" s="80"/>
      <c r="U29" s="9" t="n">
        <f aca="false">IF(T29="",SUMIFS($H$7:$H$10,$B$7:$B$10,C29)*O29/SUMIFS($O$22:$O$38,$C$22:$C$38,C29),K29*T29)</f>
        <v>6455837.72098459</v>
      </c>
      <c r="V29" s="9" t="n">
        <f aca="false">U29-O29</f>
        <v>173387.720984587</v>
      </c>
      <c r="W29" s="21" t="n">
        <f aca="false">IF(U29=0,0,V29/U29)</f>
        <v>0.0268575091999283</v>
      </c>
    </row>
    <row r="30" customFormat="false" ht="15" hidden="false" customHeight="false" outlineLevel="0" collapsed="false">
      <c r="B30" s="74" t="s">
        <v>1120</v>
      </c>
      <c r="C30" s="74" t="n">
        <v>316</v>
      </c>
      <c r="D30" s="79" t="n">
        <f aca="false">INDEX($D$7:$D$16,MATCH(C30,$B$7:$B$16,0))</f>
        <v>46258</v>
      </c>
      <c r="E30" s="74" t="s">
        <v>1034</v>
      </c>
      <c r="F30" s="53" t="str">
        <f aca="false">INDEX(I_Items!$B$5:$B$133,MATCH($E30,I_Items!$A$5:$A$133,0))&amp;""</f>
        <v>Karkas Uk 1.9</v>
      </c>
      <c r="G30" s="53" t="str">
        <f aca="false">INDEX(I_Items!$C$5:$C$133,MATCH($E30,I_Items!$A$5:$A$133,0))&amp;""</f>
        <v>Trading</v>
      </c>
      <c r="H30" s="53" t="str">
        <f aca="false">INDEX(I_Items!$D$5:$D$133,MATCH($E30,I_Items!$A$5:$A$133,0))&amp;""</f>
        <v>Karkas</v>
      </c>
      <c r="I30" s="53" t="str">
        <f aca="false">INDEX(I_Items!$F$5:$F$133,MATCH($E30,I_Items!$A$5:$A$133,0))&amp;""</f>
        <v>Not stated in item master</v>
      </c>
      <c r="J30" s="53" t="str">
        <f aca="false">INDEX(I_Items!$E$5:$E$133,MATCH($E30,I_Items!$A$5:$A$133,0))&amp;""</f>
        <v>Uk 1.9</v>
      </c>
      <c r="K30" s="10" t="n">
        <v>82.5</v>
      </c>
      <c r="L30" s="74" t="s">
        <v>1119</v>
      </c>
      <c r="M30" s="10" t="n">
        <v>23000</v>
      </c>
      <c r="N30" s="9" t="n">
        <f aca="false">K30*M30</f>
        <v>1897500</v>
      </c>
      <c r="O30" s="7" t="n">
        <f aca="false">SUMIFS('MA Engine'!$X$6:$X$1110,'MA Engine'!$Q$6:$Q$1110,B30)</f>
        <v>1897500</v>
      </c>
      <c r="P30" s="9" t="n">
        <f aca="false">IF(K30=0,0,O30/K30)</f>
        <v>23000</v>
      </c>
      <c r="Q30" s="9" t="n">
        <f aca="false">O30-N30</f>
        <v>0</v>
      </c>
      <c r="R30" s="13" t="n">
        <f aca="false">SUMIFS('MA Engine'!$Y$6:$Y$1110,'MA Engine'!$Q$6:$Q$1110,B30)</f>
        <v>0</v>
      </c>
      <c r="S30" s="6" t="str">
        <f aca="false">IF(R30&lt;-0.005,"STOCK MINUS","OK")</f>
        <v>OK</v>
      </c>
      <c r="T30" s="80"/>
      <c r="U30" s="9" t="n">
        <f aca="false">IF(T30="",SUMIFS($H$7:$H$10,$B$7:$B$10,C30)*O30/SUMIFS($O$22:$O$38,$C$22:$C$38,C30),K30*T30)</f>
        <v>1949868.61424576</v>
      </c>
      <c r="V30" s="9" t="n">
        <f aca="false">U30-O30</f>
        <v>52368.6142457568</v>
      </c>
      <c r="W30" s="21" t="n">
        <f aca="false">IF(U30=0,0,V30/U30)</f>
        <v>0.0268575091999283</v>
      </c>
    </row>
    <row r="31" customFormat="false" ht="15" hidden="false" customHeight="false" outlineLevel="0" collapsed="false">
      <c r="B31" s="74" t="s">
        <v>1121</v>
      </c>
      <c r="C31" s="74" t="n">
        <v>316</v>
      </c>
      <c r="D31" s="79" t="n">
        <f aca="false">INDEX($D$7:$D$16,MATCH(C31,$B$7:$B$16,0))</f>
        <v>46258</v>
      </c>
      <c r="E31" s="74" t="s">
        <v>1036</v>
      </c>
      <c r="F31" s="53" t="str">
        <f aca="false">INDEX(I_Items!$B$5:$B$133,MATCH($E31,I_Items!$A$5:$A$133,0))&amp;""</f>
        <v>Karkas Uk 0.5</v>
      </c>
      <c r="G31" s="53" t="str">
        <f aca="false">INDEX(I_Items!$C$5:$C$133,MATCH($E31,I_Items!$A$5:$A$133,0))&amp;""</f>
        <v>Trading</v>
      </c>
      <c r="H31" s="53" t="str">
        <f aca="false">INDEX(I_Items!$D$5:$D$133,MATCH($E31,I_Items!$A$5:$A$133,0))&amp;""</f>
        <v>Karkas</v>
      </c>
      <c r="I31" s="53" t="str">
        <f aca="false">INDEX(I_Items!$F$5:$F$133,MATCH($E31,I_Items!$A$5:$A$133,0))&amp;""</f>
        <v>Not stated in item master</v>
      </c>
      <c r="J31" s="53" t="str">
        <f aca="false">INDEX(I_Items!$E$5:$E$133,MATCH($E31,I_Items!$A$5:$A$133,0))&amp;""</f>
        <v>Uk 0.5</v>
      </c>
      <c r="K31" s="10" t="n">
        <v>381.5</v>
      </c>
      <c r="L31" s="74" t="s">
        <v>1119</v>
      </c>
      <c r="M31" s="10" t="n">
        <v>30022.36</v>
      </c>
      <c r="N31" s="9" t="n">
        <f aca="false">K31*M31</f>
        <v>11453530.34</v>
      </c>
      <c r="O31" s="7" t="n">
        <f aca="false">SUMIFS('MA Engine'!$X$6:$X$1110,'MA Engine'!$Q$6:$Q$1110,B31)</f>
        <v>11453531.3149799</v>
      </c>
      <c r="P31" s="9" t="n">
        <f aca="false">IF(K31=0,0,O31/K31)</f>
        <v>30022.3625556484</v>
      </c>
      <c r="Q31" s="9" t="n">
        <f aca="false">O31-N31</f>
        <v>0.974979858845472</v>
      </c>
      <c r="R31" s="13" t="n">
        <f aca="false">SUMIFS('MA Engine'!$Y$6:$Y$1110,'MA Engine'!$Q$6:$Q$1110,B31)</f>
        <v>15213.1</v>
      </c>
      <c r="S31" s="6" t="str">
        <f aca="false">IF(R31&lt;-0.005,"STOCK MINUS","OK")</f>
        <v>OK</v>
      </c>
      <c r="T31" s="80"/>
      <c r="U31" s="9" t="n">
        <f aca="false">IF(T31="",SUMIFS($H$7:$H$10,$B$7:$B$10,C31)*O31/SUMIFS($O$22:$O$38,$C$22:$C$38,C31),K31*T31)</f>
        <v>11769634.3785824</v>
      </c>
      <c r="V31" s="9" t="n">
        <f aca="false">U31-O31</f>
        <v>316103.063602569</v>
      </c>
      <c r="W31" s="21" t="n">
        <f aca="false">IF(U31=0,0,V31/U31)</f>
        <v>0.0268575091999282</v>
      </c>
    </row>
    <row r="32" customFormat="false" ht="15" hidden="false" customHeight="false" outlineLevel="0" collapsed="false">
      <c r="B32" s="74" t="s">
        <v>1122</v>
      </c>
      <c r="C32" s="74" t="n">
        <v>316</v>
      </c>
      <c r="D32" s="79" t="n">
        <f aca="false">INDEX($D$7:$D$16,MATCH(C32,$B$7:$B$16,0))</f>
        <v>46258</v>
      </c>
      <c r="E32" s="74" t="s">
        <v>1026</v>
      </c>
      <c r="F32" s="53" t="str">
        <f aca="false">INDEX(I_Items!$B$5:$B$133,MATCH($E32,I_Items!$A$5:$A$133,0))&amp;""</f>
        <v>Karkas Uk 1.1</v>
      </c>
      <c r="G32" s="53" t="str">
        <f aca="false">INDEX(I_Items!$C$5:$C$133,MATCH($E32,I_Items!$A$5:$A$133,0))&amp;""</f>
        <v>Trading</v>
      </c>
      <c r="H32" s="53" t="str">
        <f aca="false">INDEX(I_Items!$D$5:$D$133,MATCH($E32,I_Items!$A$5:$A$133,0))&amp;""</f>
        <v>Karkas</v>
      </c>
      <c r="I32" s="53" t="str">
        <f aca="false">INDEX(I_Items!$F$5:$F$133,MATCH($E32,I_Items!$A$5:$A$133,0))&amp;""</f>
        <v>Not stated in item master</v>
      </c>
      <c r="J32" s="53" t="str">
        <f aca="false">INDEX(I_Items!$E$5:$E$133,MATCH($E32,I_Items!$A$5:$A$133,0))&amp;""</f>
        <v>Uk 1.1</v>
      </c>
      <c r="K32" s="10" t="n">
        <v>2704.1</v>
      </c>
      <c r="L32" s="74"/>
      <c r="M32" s="10" t="n">
        <v>32086.16</v>
      </c>
      <c r="N32" s="9" t="n">
        <f aca="false">K32*M32</f>
        <v>86764185.256</v>
      </c>
      <c r="O32" s="7" t="n">
        <f aca="false">SUMIFS('MA Engine'!$X$6:$X$1110,'MA Engine'!$Q$6:$Q$1110,B32)</f>
        <v>86764190.5287832</v>
      </c>
      <c r="P32" s="9" t="n">
        <f aca="false">IF(K32=0,0,O32/K32)</f>
        <v>32086.1619499217</v>
      </c>
      <c r="Q32" s="9" t="n">
        <f aca="false">O32-N32</f>
        <v>5.2727832198143</v>
      </c>
      <c r="R32" s="13" t="n">
        <f aca="false">SUMIFS('MA Engine'!$Y$6:$Y$1110,'MA Engine'!$Q$6:$Q$1110,B32)</f>
        <v>-230.6</v>
      </c>
      <c r="S32" s="6" t="str">
        <f aca="false">IF(R32&lt;-0.005,"STOCK MINUS","OK")</f>
        <v>STOCK MINUS</v>
      </c>
      <c r="T32" s="80"/>
      <c r="U32" s="9" t="n">
        <f aca="false">IF(T32="",SUMIFS($H$7:$H$10,$B$7:$B$10,C32)*O32/SUMIFS($O$22:$O$38,$C$22:$C$38,C32),K32*T32)</f>
        <v>89158773.0975038</v>
      </c>
      <c r="V32" s="9" t="n">
        <f aca="false">U32-O32</f>
        <v>2394582.56872053</v>
      </c>
      <c r="W32" s="21" t="n">
        <f aca="false">IF(U32=0,0,V32/U32)</f>
        <v>0.0268575091999284</v>
      </c>
    </row>
    <row r="33" customFormat="false" ht="15" hidden="false" customHeight="false" outlineLevel="0" collapsed="false">
      <c r="B33" s="74" t="s">
        <v>1123</v>
      </c>
      <c r="C33" s="74" t="n">
        <v>276</v>
      </c>
      <c r="D33" s="79" t="n">
        <f aca="false">INDEX($D$7:$D$16,MATCH(C33,$B$7:$B$16,0))</f>
        <v>46249</v>
      </c>
      <c r="E33" s="74" t="s">
        <v>986</v>
      </c>
      <c r="F33" s="53" t="str">
        <f aca="false">INDEX(I_Items!$B$5:$B$133,MATCH($E33,I_Items!$A$5:$A$133,0))&amp;""</f>
        <v>Karkas Uk 1.2 Karkas Uk 1.2 Fresh Premium</v>
      </c>
      <c r="G33" s="53" t="str">
        <f aca="false">INDEX(I_Items!$C$5:$C$133,MATCH($E33,I_Items!$A$5:$A$133,0))&amp;""</f>
        <v>RPA</v>
      </c>
      <c r="H33" s="53" t="str">
        <f aca="false">INDEX(I_Items!$D$5:$D$133,MATCH($E33,I_Items!$A$5:$A$133,0))&amp;""</f>
        <v>Karkas</v>
      </c>
      <c r="I33" s="53" t="str">
        <f aca="false">INDEX(I_Items!$F$5:$F$133,MATCH($E33,I_Items!$A$5:$A$133,0))&amp;""</f>
        <v>Fresh</v>
      </c>
      <c r="J33" s="53" t="str">
        <f aca="false">INDEX(I_Items!$E$5:$E$133,MATCH($E33,I_Items!$A$5:$A$133,0))&amp;""</f>
        <v>Uk 1.2</v>
      </c>
      <c r="K33" s="10" t="n">
        <v>2206.9</v>
      </c>
      <c r="L33" s="74" t="s">
        <v>1119</v>
      </c>
      <c r="M33" s="10" t="n">
        <v>37318.59</v>
      </c>
      <c r="N33" s="9" t="n">
        <f aca="false">K33*M33</f>
        <v>82358396.271</v>
      </c>
      <c r="O33" s="7" t="n">
        <f aca="false">SUMIFS('MA Engine'!$X$6:$X$1110,'MA Engine'!$Q$6:$Q$1110,B33)</f>
        <v>82265784.929748</v>
      </c>
      <c r="P33" s="9" t="n">
        <f aca="false">IF(K33=0,0,O33/K33)</f>
        <v>37276.6255515647</v>
      </c>
      <c r="Q33" s="9" t="n">
        <f aca="false">O33-N33</f>
        <v>-92611.3412519544</v>
      </c>
      <c r="R33" s="13" t="n">
        <f aca="false">SUMIFS('MA Engine'!$Y$6:$Y$1110,'MA Engine'!$Q$6:$Q$1110,B33)</f>
        <v>961.060000000001</v>
      </c>
      <c r="S33" s="6" t="str">
        <f aca="false">IF(R33&lt;-0.005,"STOCK MINUS","OK")</f>
        <v>OK</v>
      </c>
      <c r="T33" s="80"/>
      <c r="U33" s="9" t="n">
        <f aca="false">IF(T33="",SUMIFS($H$7:$H$10,$B$7:$B$10,C33)*O33/SUMIFS($O$22:$O$38,$C$22:$C$38,C33),K33*T33)</f>
        <v>80861576.169734</v>
      </c>
      <c r="V33" s="9" t="n">
        <f aca="false">U33-O33</f>
        <v>-1404208.76001403</v>
      </c>
      <c r="W33" s="21" t="n">
        <f aca="false">IF(U33=0,0,V33/U33)</f>
        <v>-0.01736558729781</v>
      </c>
    </row>
    <row r="34" customFormat="false" ht="15" hidden="false" customHeight="false" outlineLevel="0" collapsed="false">
      <c r="B34" s="74" t="s">
        <v>1124</v>
      </c>
      <c r="C34" s="74" t="n">
        <v>276</v>
      </c>
      <c r="D34" s="79" t="n">
        <f aca="false">INDEX($D$7:$D$16,MATCH(C34,$B$7:$B$16,0))</f>
        <v>46249</v>
      </c>
      <c r="E34" s="74" t="s">
        <v>990</v>
      </c>
      <c r="F34" s="53" t="str">
        <f aca="false">INDEX(I_Items!$B$5:$B$133,MATCH($E34,I_Items!$A$5:$A$133,0))&amp;""</f>
        <v>Karkas Uk 1.3 Karkas Uk 1.3 Fresh Premium</v>
      </c>
      <c r="G34" s="53" t="str">
        <f aca="false">INDEX(I_Items!$C$5:$C$133,MATCH($E34,I_Items!$A$5:$A$133,0))&amp;""</f>
        <v>RPA</v>
      </c>
      <c r="H34" s="53" t="str">
        <f aca="false">INDEX(I_Items!$D$5:$D$133,MATCH($E34,I_Items!$A$5:$A$133,0))&amp;""</f>
        <v>Karkas</v>
      </c>
      <c r="I34" s="53" t="str">
        <f aca="false">INDEX(I_Items!$F$5:$F$133,MATCH($E34,I_Items!$A$5:$A$133,0))&amp;""</f>
        <v>Fresh</v>
      </c>
      <c r="J34" s="53" t="str">
        <f aca="false">INDEX(I_Items!$E$5:$E$133,MATCH($E34,I_Items!$A$5:$A$133,0))&amp;""</f>
        <v>Uk 1.3</v>
      </c>
      <c r="K34" s="10" t="n">
        <v>1763.3</v>
      </c>
      <c r="L34" s="74" t="s">
        <v>1119</v>
      </c>
      <c r="M34" s="10" t="n">
        <v>37474.94</v>
      </c>
      <c r="N34" s="9" t="n">
        <f aca="false">K34*M34</f>
        <v>66079561.702</v>
      </c>
      <c r="O34" s="7" t="n">
        <f aca="false">SUMIFS('MA Engine'!$X$6:$X$1110,'MA Engine'!$Q$6:$Q$1110,B34)</f>
        <v>67216562.3006767</v>
      </c>
      <c r="P34" s="9" t="n">
        <f aca="false">IF(K34=0,0,O34/K34)</f>
        <v>38119.7540411029</v>
      </c>
      <c r="Q34" s="9" t="n">
        <f aca="false">O34-N34</f>
        <v>1137000.5986767</v>
      </c>
      <c r="R34" s="13" t="n">
        <f aca="false">SUMIFS('MA Engine'!$Y$6:$Y$1110,'MA Engine'!$Q$6:$Q$1110,B34)</f>
        <v>850.29</v>
      </c>
      <c r="S34" s="6" t="str">
        <f aca="false">IF(R34&lt;-0.005,"STOCK MINUS","OK")</f>
        <v>OK</v>
      </c>
      <c r="T34" s="80"/>
      <c r="U34" s="9" t="n">
        <f aca="false">IF(T34="",SUMIFS($H$7:$H$10,$B$7:$B$10,C34)*O34/SUMIFS($O$22:$O$38,$C$22:$C$38,C34),K34*T34)</f>
        <v>66069231.2968913</v>
      </c>
      <c r="V34" s="9" t="n">
        <f aca="false">U34-O34</f>
        <v>-1147331.00378536</v>
      </c>
      <c r="W34" s="21" t="n">
        <f aca="false">IF(U34=0,0,V34/U34)</f>
        <v>-0.01736558729781</v>
      </c>
    </row>
    <row r="35" customFormat="false" ht="15" hidden="false" customHeight="false" outlineLevel="0" collapsed="false">
      <c r="B35" s="74" t="s">
        <v>1125</v>
      </c>
      <c r="C35" s="74" t="n">
        <v>276</v>
      </c>
      <c r="D35" s="79" t="n">
        <f aca="false">INDEX($D$7:$D$16,MATCH(C35,$B$7:$B$16,0))</f>
        <v>46249</v>
      </c>
      <c r="E35" s="74" t="s">
        <v>993</v>
      </c>
      <c r="F35" s="53" t="str">
        <f aca="false">INDEX(I_Items!$B$5:$B$133,MATCH($E35,I_Items!$A$5:$A$133,0))&amp;""</f>
        <v>Karkas Uk 1.4 Karkas Uk 1.4 Fresh Premium</v>
      </c>
      <c r="G35" s="53" t="str">
        <f aca="false">INDEX(I_Items!$C$5:$C$133,MATCH($E35,I_Items!$A$5:$A$133,0))&amp;""</f>
        <v>RPA</v>
      </c>
      <c r="H35" s="53" t="str">
        <f aca="false">INDEX(I_Items!$D$5:$D$133,MATCH($E35,I_Items!$A$5:$A$133,0))&amp;""</f>
        <v>Karkas</v>
      </c>
      <c r="I35" s="53" t="str">
        <f aca="false">INDEX(I_Items!$F$5:$F$133,MATCH($E35,I_Items!$A$5:$A$133,0))&amp;""</f>
        <v>Fresh</v>
      </c>
      <c r="J35" s="53" t="str">
        <f aca="false">INDEX(I_Items!$E$5:$E$133,MATCH($E35,I_Items!$A$5:$A$133,0))&amp;""</f>
        <v>Uk 1.4</v>
      </c>
      <c r="K35" s="10" t="n">
        <v>1510.4</v>
      </c>
      <c r="L35" s="74" t="s">
        <v>1119</v>
      </c>
      <c r="M35" s="10" t="n">
        <v>37492.88</v>
      </c>
      <c r="N35" s="9" t="n">
        <f aca="false">K35*M35</f>
        <v>56629245.952</v>
      </c>
      <c r="O35" s="7" t="n">
        <f aca="false">SUMIFS('MA Engine'!$X$6:$X$1110,'MA Engine'!$Q$6:$Q$1110,B35)</f>
        <v>57806213.2334452</v>
      </c>
      <c r="P35" s="9" t="n">
        <f aca="false">IF(K35=0,0,O35/K35)</f>
        <v>38272.1221090077</v>
      </c>
      <c r="Q35" s="9" t="n">
        <f aca="false">O35-N35</f>
        <v>1176967.28144524</v>
      </c>
      <c r="R35" s="13" t="n">
        <f aca="false">SUMIFS('MA Engine'!$Y$6:$Y$1110,'MA Engine'!$Q$6:$Q$1110,B35)</f>
        <v>174.39</v>
      </c>
      <c r="S35" s="6" t="str">
        <f aca="false">IF(R35&lt;-0.005,"STOCK MINUS","OK")</f>
        <v>OK</v>
      </c>
      <c r="T35" s="80"/>
      <c r="U35" s="9" t="n">
        <f aca="false">IF(T35="",SUMIFS($H$7:$H$10,$B$7:$B$10,C35)*O35/SUMIFS($O$22:$O$38,$C$22:$C$38,C35),K35*T35)</f>
        <v>56819509.0881562</v>
      </c>
      <c r="V35" s="9" t="n">
        <f aca="false">U35-O35</f>
        <v>-986704.145289078</v>
      </c>
      <c r="W35" s="21" t="n">
        <f aca="false">IF(U35=0,0,V35/U35)</f>
        <v>-0.0173655872978099</v>
      </c>
    </row>
    <row r="36" customFormat="false" ht="15" hidden="false" customHeight="false" outlineLevel="0" collapsed="false">
      <c r="B36" s="74" t="s">
        <v>1126</v>
      </c>
      <c r="C36" s="74" t="n">
        <v>276</v>
      </c>
      <c r="D36" s="79" t="n">
        <f aca="false">INDEX($D$7:$D$16,MATCH(C36,$B$7:$B$16,0))</f>
        <v>46249</v>
      </c>
      <c r="E36" s="74" t="s">
        <v>996</v>
      </c>
      <c r="F36" s="53" t="str">
        <f aca="false">INDEX(I_Items!$B$5:$B$133,MATCH($E36,I_Items!$A$5:$A$133,0))&amp;""</f>
        <v>Karkas Uk 1.5 Karkas Uk 1.5 Fresh Premium</v>
      </c>
      <c r="G36" s="53" t="str">
        <f aca="false">INDEX(I_Items!$C$5:$C$133,MATCH($E36,I_Items!$A$5:$A$133,0))&amp;""</f>
        <v>RPA</v>
      </c>
      <c r="H36" s="53" t="str">
        <f aca="false">INDEX(I_Items!$D$5:$D$133,MATCH($E36,I_Items!$A$5:$A$133,0))&amp;""</f>
        <v>Karkas</v>
      </c>
      <c r="I36" s="53" t="str">
        <f aca="false">INDEX(I_Items!$F$5:$F$133,MATCH($E36,I_Items!$A$5:$A$133,0))&amp;""</f>
        <v>Fresh</v>
      </c>
      <c r="J36" s="53" t="str">
        <f aca="false">INDEX(I_Items!$E$5:$E$133,MATCH($E36,I_Items!$A$5:$A$133,0))&amp;""</f>
        <v>Uk 1.5</v>
      </c>
      <c r="K36" s="10" t="n">
        <v>807.2</v>
      </c>
      <c r="L36" s="74"/>
      <c r="M36" s="10" t="n">
        <v>37361.25</v>
      </c>
      <c r="N36" s="9" t="n">
        <f aca="false">K36*M36</f>
        <v>30158001</v>
      </c>
      <c r="O36" s="7" t="n">
        <f aca="false">SUMIFS('MA Engine'!$X$6:$X$1110,'MA Engine'!$Q$6:$Q$1110,B36)</f>
        <v>30806709.5673216</v>
      </c>
      <c r="P36" s="9" t="n">
        <f aca="false">IF(K36=0,0,O36/K36)</f>
        <v>38164.9028336492</v>
      </c>
      <c r="Q36" s="9" t="n">
        <f aca="false">O36-N36</f>
        <v>648708.567321617</v>
      </c>
      <c r="R36" s="13" t="n">
        <f aca="false">SUMIFS('MA Engine'!$Y$6:$Y$1110,'MA Engine'!$Q$6:$Q$1110,B36)</f>
        <v>423.2</v>
      </c>
      <c r="S36" s="6" t="str">
        <f aca="false">IF(R36&lt;-0.005,"STOCK MINUS","OK")</f>
        <v>OK</v>
      </c>
      <c r="T36" s="80"/>
      <c r="U36" s="9" t="n">
        <f aca="false">IF(T36="",SUMIFS($H$7:$H$10,$B$7:$B$10,C36)*O36/SUMIFS($O$22:$O$38,$C$22:$C$38,C36),K36*T36)</f>
        <v>30280864.5701751</v>
      </c>
      <c r="V36" s="9" t="n">
        <f aca="false">U36-O36</f>
        <v>-525844.997146539</v>
      </c>
      <c r="W36" s="21" t="n">
        <f aca="false">IF(U36=0,0,V36/U36)</f>
        <v>-0.0173655872978101</v>
      </c>
    </row>
    <row r="37" customFormat="false" ht="15" hidden="false" customHeight="false" outlineLevel="0" collapsed="false">
      <c r="B37" s="74" t="s">
        <v>1127</v>
      </c>
      <c r="C37" s="74" t="n">
        <v>276</v>
      </c>
      <c r="D37" s="79" t="n">
        <f aca="false">INDEX($D$7:$D$16,MATCH(C37,$B$7:$B$16,0))</f>
        <v>46249</v>
      </c>
      <c r="E37" s="74" t="s">
        <v>999</v>
      </c>
      <c r="F37" s="53" t="str">
        <f aca="false">INDEX(I_Items!$B$5:$B$133,MATCH($E37,I_Items!$A$5:$A$133,0))&amp;""</f>
        <v>Karkas Uk 1.6 Karkas Uk 1.6 Fresh Premium</v>
      </c>
      <c r="G37" s="53" t="str">
        <f aca="false">INDEX(I_Items!$C$5:$C$133,MATCH($E37,I_Items!$A$5:$A$133,0))&amp;""</f>
        <v>RPA</v>
      </c>
      <c r="H37" s="53" t="str">
        <f aca="false">INDEX(I_Items!$D$5:$D$133,MATCH($E37,I_Items!$A$5:$A$133,0))&amp;""</f>
        <v>Karkas</v>
      </c>
      <c r="I37" s="53" t="str">
        <f aca="false">INDEX(I_Items!$F$5:$F$133,MATCH($E37,I_Items!$A$5:$A$133,0))&amp;""</f>
        <v>Fresh</v>
      </c>
      <c r="J37" s="53" t="str">
        <f aca="false">INDEX(I_Items!$E$5:$E$133,MATCH($E37,I_Items!$A$5:$A$133,0))&amp;""</f>
        <v>Uk 1.6</v>
      </c>
      <c r="K37" s="10" t="n">
        <v>495.3</v>
      </c>
      <c r="L37" s="74" t="s">
        <v>1119</v>
      </c>
      <c r="M37" s="10" t="n">
        <v>37976.01</v>
      </c>
      <c r="N37" s="9" t="n">
        <f aca="false">K37*M37</f>
        <v>18809517.753</v>
      </c>
      <c r="O37" s="7" t="n">
        <f aca="false">SUMIFS('MA Engine'!$X$6:$X$1110,'MA Engine'!$Q$6:$Q$1110,B37)</f>
        <v>18962976.16</v>
      </c>
      <c r="P37" s="9" t="n">
        <f aca="false">IF(K37=0,0,O37/K37)</f>
        <v>38285.8392085605</v>
      </c>
      <c r="Q37" s="9" t="n">
        <f aca="false">O37-N37</f>
        <v>153458.406999998</v>
      </c>
      <c r="R37" s="13" t="n">
        <f aca="false">SUMIFS('MA Engine'!$Y$6:$Y$1110,'MA Engine'!$Q$6:$Q$1110,B37)</f>
        <v>0</v>
      </c>
      <c r="S37" s="6" t="str">
        <f aca="false">IF(R37&lt;-0.005,"STOCK MINUS","OK")</f>
        <v>OK</v>
      </c>
      <c r="T37" s="80"/>
      <c r="U37" s="9" t="n">
        <f aca="false">IF(T37="",SUMIFS($H$7:$H$10,$B$7:$B$10,C37)*O37/SUMIFS($O$22:$O$38,$C$22:$C$38,C37),K37*T37)</f>
        <v>18639293.8750434</v>
      </c>
      <c r="V37" s="9" t="n">
        <f aca="false">U37-O37</f>
        <v>-323682.284956601</v>
      </c>
      <c r="W37" s="21" t="n">
        <f aca="false">IF(U37=0,0,V37/U37)</f>
        <v>-0.01736558729781</v>
      </c>
    </row>
    <row r="38" customFormat="false" ht="15" hidden="false" customHeight="false" outlineLevel="0" collapsed="false">
      <c r="B38" s="74" t="s">
        <v>1128</v>
      </c>
      <c r="C38" s="74" t="n">
        <v>263</v>
      </c>
      <c r="D38" s="79" t="n">
        <f aca="false">INDEX($D$7:$D$16,MATCH(C38,$B$7:$B$16,0))</f>
        <v>46248</v>
      </c>
      <c r="E38" s="74" t="s">
        <v>1025</v>
      </c>
      <c r="F38" s="53" t="str">
        <f aca="false">INDEX(I_Items!$B$5:$B$133,MATCH($E38,I_Items!$A$5:$A$133,0))&amp;""</f>
        <v>Karkas Uk 1.0</v>
      </c>
      <c r="G38" s="53" t="str">
        <f aca="false">INDEX(I_Items!$C$5:$C$133,MATCH($E38,I_Items!$A$5:$A$133,0))&amp;""</f>
        <v>Trading</v>
      </c>
      <c r="H38" s="53" t="str">
        <f aca="false">INDEX(I_Items!$D$5:$D$133,MATCH($E38,I_Items!$A$5:$A$133,0))&amp;""</f>
        <v>Karkas</v>
      </c>
      <c r="I38" s="53" t="str">
        <f aca="false">INDEX(I_Items!$F$5:$F$133,MATCH($E38,I_Items!$A$5:$A$133,0))&amp;""</f>
        <v>Not stated in item master</v>
      </c>
      <c r="J38" s="53" t="str">
        <f aca="false">INDEX(I_Items!$E$5:$E$133,MATCH($E38,I_Items!$A$5:$A$133,0))&amp;""</f>
        <v>Uk 1.0</v>
      </c>
      <c r="K38" s="10" t="n">
        <v>788.1</v>
      </c>
      <c r="L38" s="74"/>
      <c r="M38" s="10" t="n">
        <v>32176.17</v>
      </c>
      <c r="N38" s="9" t="n">
        <f aca="false">K38*M38</f>
        <v>25358039.577</v>
      </c>
      <c r="O38" s="7" t="n">
        <f aca="false">SUMIFS('MA Engine'!$X$6:$X$1110,'MA Engine'!$Q$6:$Q$1110,B38)</f>
        <v>25358039.5698076</v>
      </c>
      <c r="P38" s="9" t="n">
        <f aca="false">IF(K38=0,0,O38/K38)</f>
        <v>32176.1699908738</v>
      </c>
      <c r="Q38" s="9" t="n">
        <f aca="false">O38-N38</f>
        <v>-0.00719236582517624</v>
      </c>
      <c r="R38" s="13" t="n">
        <f aca="false">SUMIFS('MA Engine'!$Y$6:$Y$1110,'MA Engine'!$Q$6:$Q$1110,B38)</f>
        <v>98.3</v>
      </c>
      <c r="S38" s="6" t="str">
        <f aca="false">IF(R38&lt;-0.005,"STOCK MINUS","OK")</f>
        <v>OK</v>
      </c>
      <c r="T38" s="80"/>
      <c r="U38" s="9" t="n">
        <f aca="false">IF(T38="",SUMIFS($H$7:$H$10,$B$7:$B$10,C38)*O38/SUMIFS($O$22:$O$38,$C$22:$C$38,C38),K38*T38)</f>
        <v>25219200</v>
      </c>
      <c r="V38" s="9" t="n">
        <f aca="false">U38-O38</f>
        <v>-138839.569807637</v>
      </c>
      <c r="W38" s="21" t="n">
        <f aca="false">IF(U38=0,0,V38/U38)</f>
        <v>-0.00550531221480608</v>
      </c>
    </row>
    <row r="39" customFormat="false" ht="15" hidden="false" customHeight="false" outlineLevel="0" collapsed="false">
      <c r="B39" s="25" t="s">
        <v>304</v>
      </c>
      <c r="K39" s="26" t="n">
        <f aca="false">SUM(K22:K38)</f>
        <v>15717.46</v>
      </c>
      <c r="N39" s="26" t="n">
        <f aca="false">SUM(N22:N38)</f>
        <v>525580657.0901</v>
      </c>
      <c r="O39" s="26" t="n">
        <f aca="false">SUM(O22:O38)</f>
        <v>528589227.005931</v>
      </c>
      <c r="Q39" s="26" t="n">
        <f aca="false">SUM(Q22:Q38)</f>
        <v>3008569.91583142</v>
      </c>
      <c r="S39" s="25" t="str">
        <f aca="false">COUNTIF(S22:S38,"STOCK MINUS")&amp;" line(s) minus"</f>
        <v>4 line(s) minus</v>
      </c>
      <c r="U39" s="26" t="n">
        <f aca="false">SUM(U22:U38)</f>
        <v>531755505</v>
      </c>
      <c r="V39" s="26" t="n">
        <f aca="false">SUM(V22:V38)</f>
        <v>3166277.99406858</v>
      </c>
    </row>
    <row r="40" customFormat="false" ht="15" hidden="false" customHeight="false" outlineLevel="0" collapsed="false">
      <c r="B40" s="28" t="s">
        <v>1129</v>
      </c>
    </row>
    <row r="42" customFormat="false" ht="15" hidden="false" customHeight="false" outlineLevel="0" collapsed="false">
      <c r="B42" s="18" t="s">
        <v>1130</v>
      </c>
    </row>
    <row r="43" customFormat="false" ht="30" hidden="false" customHeight="true" outlineLevel="0" collapsed="false">
      <c r="B43" s="5" t="s">
        <v>862</v>
      </c>
      <c r="C43" s="5" t="s">
        <v>1055</v>
      </c>
      <c r="D43" s="5" t="s">
        <v>1131</v>
      </c>
      <c r="E43" s="5" t="s">
        <v>1132</v>
      </c>
      <c r="F43" s="5" t="s">
        <v>1133</v>
      </c>
      <c r="G43" s="5" t="s">
        <v>1134</v>
      </c>
      <c r="H43" s="5" t="s">
        <v>1135</v>
      </c>
      <c r="I43" s="5" t="s">
        <v>1136</v>
      </c>
      <c r="J43" s="5" t="s">
        <v>1137</v>
      </c>
      <c r="K43" s="5" t="s">
        <v>1138</v>
      </c>
      <c r="L43" s="5" t="s">
        <v>1139</v>
      </c>
      <c r="M43" s="5" t="s">
        <v>1054</v>
      </c>
      <c r="N43" s="5" t="s">
        <v>1057</v>
      </c>
      <c r="O43" s="5" t="s">
        <v>1140</v>
      </c>
    </row>
    <row r="44" customFormat="false" ht="15" hidden="false" customHeight="false" outlineLevel="0" collapsed="false">
      <c r="B44" s="11" t="s">
        <v>875</v>
      </c>
      <c r="C44" s="14" t="n">
        <f aca="false">SUMIFS($K$22:$K$38,$G$22:$G$38,$B44)</f>
        <v>7384.45</v>
      </c>
      <c r="D44" s="9" t="n">
        <f aca="false">SUMIFS($U$22:$U$38,$G$22:$G$38,$B44)</f>
        <v>269530886.313424</v>
      </c>
      <c r="E44" s="9" t="n">
        <f aca="false">SUMIFS($N$22:$N$38,$G$22:$G$38,$B44)</f>
        <v>270330141.059</v>
      </c>
      <c r="F44" s="9" t="n">
        <f aca="false">SUMIFS($O$22:$O$38,$G$22:$G$38,$B44)</f>
        <v>273353665.475605</v>
      </c>
      <c r="G44" s="14" t="n">
        <f aca="false">SUMIFS($G$11:$G$16,$N$11:$N$16,$B44)</f>
        <v>9061.48</v>
      </c>
      <c r="H44" s="9" t="n">
        <f aca="false">SUMIFS($H$11:$H$16,$N$11:$N$16,$B44)</f>
        <v>317493234</v>
      </c>
      <c r="I44" s="9" t="n">
        <f aca="false">SUMIFS($L$11:$L$16,$N$11:$N$16,$B44)</f>
        <v>312861260.46</v>
      </c>
      <c r="J44" s="9" t="n">
        <f aca="false">D44+H44</f>
        <v>587024120.313424</v>
      </c>
      <c r="K44" s="9" t="n">
        <f aca="false">E44+I44</f>
        <v>583191401.519</v>
      </c>
      <c r="L44" s="9" t="n">
        <f aca="false">F44+I44</f>
        <v>586214925.935605</v>
      </c>
      <c r="M44" s="9" t="n">
        <f aca="false">J44-K44</f>
        <v>3832718.79442406</v>
      </c>
      <c r="N44" s="9" t="n">
        <f aca="false">J44-L44</f>
        <v>809194.377819181</v>
      </c>
      <c r="O44" s="21" t="n">
        <f aca="false">IF(J44=0,0,N44/J44)</f>
        <v>0.00137846870310395</v>
      </c>
    </row>
    <row r="45" customFormat="false" ht="15" hidden="false" customHeight="false" outlineLevel="0" collapsed="false">
      <c r="B45" s="11" t="s">
        <v>878</v>
      </c>
      <c r="C45" s="14" t="n">
        <f aca="false">SUMIFS($K$22:$K$38,$G$22:$G$38,$B45)</f>
        <v>8333.01</v>
      </c>
      <c r="D45" s="9" t="n">
        <f aca="false">SUMIFS($U$22:$U$38,$G$22:$G$38,$B45)</f>
        <v>262224618.686576</v>
      </c>
      <c r="E45" s="9" t="n">
        <f aca="false">SUMIFS($N$22:$N$38,$G$22:$G$38,$B45)</f>
        <v>255250516.0311</v>
      </c>
      <c r="F45" s="9" t="n">
        <f aca="false">SUMIFS($O$22:$O$38,$G$22:$G$38,$B45)</f>
        <v>255235561.530327</v>
      </c>
      <c r="G45" s="14" t="n">
        <f aca="false">SUMIFS($G$11:$G$16,$N$11:$N$16,$B45)</f>
        <v>3017.55</v>
      </c>
      <c r="H45" s="9" t="n">
        <f aca="false">SUMIFS($H$11:$H$16,$N$11:$N$16,$B45)</f>
        <v>90526500</v>
      </c>
      <c r="I45" s="9" t="n">
        <f aca="false">SUMIFS($L$11:$L$16,$N$11:$N$16,$B45)</f>
        <v>109171156.06</v>
      </c>
      <c r="J45" s="9" t="n">
        <f aca="false">D45+H45</f>
        <v>352751118.686576</v>
      </c>
      <c r="K45" s="9" t="n">
        <f aca="false">E45+I45</f>
        <v>364421672.0911</v>
      </c>
      <c r="L45" s="9" t="n">
        <f aca="false">F45+I45</f>
        <v>364406717.590327</v>
      </c>
      <c r="M45" s="9" t="n">
        <f aca="false">J45-K45</f>
        <v>-11670553.4045241</v>
      </c>
      <c r="N45" s="9" t="n">
        <f aca="false">J45-L45</f>
        <v>-11655598.9037506</v>
      </c>
      <c r="O45" s="21" t="n">
        <f aca="false">IF(J45=0,0,N45/J45)</f>
        <v>-0.0330419899082071</v>
      </c>
    </row>
    <row r="46" customFormat="false" ht="15" hidden="false" customHeight="false" outlineLevel="0" collapsed="false">
      <c r="B46" s="11" t="s">
        <v>1141</v>
      </c>
      <c r="C46" s="14" t="n">
        <f aca="false">SUMIFS($K$22:$K$38,$G$22:$G$38,$B46)</f>
        <v>0</v>
      </c>
      <c r="D46" s="9" t="n">
        <f aca="false">SUMIFS($U$22:$U$38,$G$22:$G$38,$B46)</f>
        <v>0</v>
      </c>
      <c r="E46" s="9" t="n">
        <f aca="false">SUMIFS($N$22:$N$38,$G$22:$G$38,$B46)</f>
        <v>0</v>
      </c>
      <c r="F46" s="9" t="n">
        <f aca="false">SUMIFS($O$22:$O$38,$G$22:$G$38,$B46)</f>
        <v>0</v>
      </c>
      <c r="G46" s="14" t="n">
        <f aca="false">SUMIFS($G$11:$G$16,$N$11:$N$16,$B46)</f>
        <v>0</v>
      </c>
      <c r="H46" s="9" t="n">
        <f aca="false">SUMIFS($H$11:$H$16,$N$11:$N$16,$B46)</f>
        <v>0</v>
      </c>
      <c r="I46" s="9" t="n">
        <f aca="false">SUMIFS($L$11:$L$16,$N$11:$N$16,$B46)</f>
        <v>0</v>
      </c>
      <c r="J46" s="9" t="n">
        <f aca="false">D46+H46</f>
        <v>0</v>
      </c>
      <c r="K46" s="9" t="n">
        <f aca="false">E46+I46</f>
        <v>0</v>
      </c>
      <c r="L46" s="9" t="n">
        <f aca="false">F46+I46</f>
        <v>0</v>
      </c>
      <c r="M46" s="9" t="n">
        <f aca="false">J46-K46</f>
        <v>0</v>
      </c>
      <c r="N46" s="9" t="n">
        <f aca="false">J46-L46</f>
        <v>0</v>
      </c>
      <c r="O46" s="21" t="n">
        <f aca="false">IF(J46=0,0,N46/J46)</f>
        <v>0</v>
      </c>
    </row>
    <row r="47" customFormat="false" ht="15" hidden="false" customHeight="false" outlineLevel="0" collapsed="false">
      <c r="B47" s="25" t="s">
        <v>304</v>
      </c>
      <c r="C47" s="26" t="n">
        <f aca="false">SUM(C44:C46)</f>
        <v>15717.46</v>
      </c>
      <c r="D47" s="26" t="n">
        <f aca="false">SUM(D44:D46)</f>
        <v>531755505</v>
      </c>
      <c r="E47" s="26" t="n">
        <f aca="false">SUM(E44:E46)</f>
        <v>525580657.0901</v>
      </c>
      <c r="F47" s="26" t="n">
        <f aca="false">SUM(F44:F46)</f>
        <v>528589227.005931</v>
      </c>
      <c r="G47" s="26" t="n">
        <f aca="false">SUM(G44:G46)</f>
        <v>12079.03</v>
      </c>
      <c r="H47" s="26" t="n">
        <f aca="false">SUM(H44:H46)</f>
        <v>408019734</v>
      </c>
      <c r="I47" s="26" t="n">
        <f aca="false">SUM(I44:I46)</f>
        <v>422032416.52</v>
      </c>
      <c r="J47" s="26" t="n">
        <f aca="false">SUM(J44:J46)</f>
        <v>939775239</v>
      </c>
      <c r="K47" s="26" t="n">
        <f aca="false">SUM(K44:K46)</f>
        <v>947613073.6101</v>
      </c>
      <c r="L47" s="26" t="n">
        <f aca="false">SUM(L44:L46)</f>
        <v>950621643.525931</v>
      </c>
      <c r="M47" s="26" t="n">
        <f aca="false">SUM(M44:M46)</f>
        <v>-7837834.61010003</v>
      </c>
      <c r="N47" s="26" t="n">
        <f aca="false">SUM(N44:N46)</f>
        <v>-10846404.5259314</v>
      </c>
      <c r="O47" s="27" t="n">
        <f aca="false">IF(J47=0,0,N47/J47)</f>
        <v>-0.0115414878747741</v>
      </c>
    </row>
    <row r="49" customFormat="false" ht="15" hidden="false" customHeight="false" outlineLevel="0" collapsed="false">
      <c r="B49" s="18" t="s">
        <v>1142</v>
      </c>
    </row>
    <row r="50" customFormat="false" ht="30" hidden="false" customHeight="true" outlineLevel="0" collapsed="false">
      <c r="B50" s="5" t="s">
        <v>1143</v>
      </c>
      <c r="C50" s="5" t="s">
        <v>1144</v>
      </c>
      <c r="D50" s="5" t="s">
        <v>1145</v>
      </c>
      <c r="E50" s="5" t="s">
        <v>1146</v>
      </c>
      <c r="F50" s="5" t="s">
        <v>1147</v>
      </c>
      <c r="G50" s="5" t="s">
        <v>1148</v>
      </c>
    </row>
    <row r="51" customFormat="false" ht="36" hidden="false" customHeight="true" outlineLevel="0" collapsed="false">
      <c r="B51" s="6" t="s">
        <v>1149</v>
      </c>
      <c r="C51" s="3" t="s">
        <v>1150</v>
      </c>
      <c r="D51" s="6" t="s">
        <v>1151</v>
      </c>
      <c r="E51" s="6" t="s">
        <v>1152</v>
      </c>
      <c r="F51" s="9" t="n">
        <f aca="false">E45</f>
        <v>255250516.0311</v>
      </c>
      <c r="G51" s="3" t="s">
        <v>1153</v>
      </c>
    </row>
    <row r="52" customFormat="false" ht="36" hidden="false" customHeight="true" outlineLevel="0" collapsed="false">
      <c r="B52" s="6" t="s">
        <v>1154</v>
      </c>
      <c r="C52" s="3" t="s">
        <v>1155</v>
      </c>
      <c r="D52" s="6" t="s">
        <v>1156</v>
      </c>
      <c r="E52" s="6" t="s">
        <v>1157</v>
      </c>
      <c r="F52" s="9" t="n">
        <f aca="false">E45</f>
        <v>255250516.0311</v>
      </c>
      <c r="G52" s="3" t="s">
        <v>1158</v>
      </c>
    </row>
    <row r="53" customFormat="false" ht="36" hidden="false" customHeight="true" outlineLevel="0" collapsed="false">
      <c r="B53" s="6" t="s">
        <v>1159</v>
      </c>
      <c r="C53" s="3" t="s">
        <v>1160</v>
      </c>
      <c r="D53" s="6" t="s">
        <v>1152</v>
      </c>
      <c r="E53" s="6" t="s">
        <v>1156</v>
      </c>
      <c r="F53" s="9" t="n">
        <f aca="false">F44-E44</f>
        <v>3023524.41660494</v>
      </c>
      <c r="G53" s="3" t="s">
        <v>1161</v>
      </c>
    </row>
    <row r="54" customFormat="false" ht="36" hidden="false" customHeight="true" outlineLevel="0" collapsed="false">
      <c r="B54" s="6" t="s">
        <v>1162</v>
      </c>
      <c r="C54" s="3" t="s">
        <v>1163</v>
      </c>
      <c r="D54" s="6" t="s">
        <v>1151</v>
      </c>
      <c r="E54" s="6" t="s">
        <v>1157</v>
      </c>
      <c r="F54" s="9" t="n">
        <f aca="false">F45-E45</f>
        <v>-14954.5007735193</v>
      </c>
      <c r="G54" s="3" t="s">
        <v>1164</v>
      </c>
    </row>
    <row r="55" customFormat="false" ht="36" hidden="false" customHeight="true" outlineLevel="0" collapsed="false">
      <c r="B55" s="6" t="s">
        <v>1165</v>
      </c>
      <c r="C55" s="3" t="s">
        <v>1166</v>
      </c>
      <c r="D55" s="6" t="s">
        <v>598</v>
      </c>
      <c r="E55" s="6" t="s">
        <v>598</v>
      </c>
      <c r="F55" s="9" t="n">
        <f aca="false">L18</f>
        <v>525580657.48</v>
      </c>
      <c r="G55" s="3" t="s">
        <v>1167</v>
      </c>
    </row>
    <row r="56" customFormat="false" ht="36" hidden="false" customHeight="true" outlineLevel="0" collapsed="false">
      <c r="B56" s="6" t="s">
        <v>1168</v>
      </c>
      <c r="C56" s="3" t="s">
        <v>1169</v>
      </c>
      <c r="D56" s="6" t="s">
        <v>598</v>
      </c>
      <c r="E56" s="6" t="s">
        <v>598</v>
      </c>
      <c r="F56" s="9" t="n">
        <f aca="false">L19</f>
        <v>422032416.52</v>
      </c>
      <c r="G56" s="3" t="s">
        <v>1170</v>
      </c>
    </row>
    <row r="58" customFormat="false" ht="15" hidden="false" customHeight="false" outlineLevel="0" collapsed="false">
      <c r="B58" s="18" t="s">
        <v>1171</v>
      </c>
    </row>
    <row r="59" customFormat="false" ht="25.5" hidden="false" customHeight="true" outlineLevel="0" collapsed="false">
      <c r="B59" s="6" t="n">
        <v>1</v>
      </c>
      <c r="C59" s="3" t="s">
        <v>1172</v>
      </c>
      <c r="D59" s="3"/>
      <c r="E59" s="3"/>
      <c r="F59" s="3"/>
      <c r="G59" s="3"/>
      <c r="H59" s="3"/>
      <c r="I59" s="3"/>
      <c r="J59" s="3"/>
      <c r="K59" s="3"/>
      <c r="L59" s="3"/>
      <c r="M59" s="3"/>
      <c r="N59" s="3"/>
      <c r="O59" s="3"/>
      <c r="P59" s="3"/>
      <c r="Q59" s="3"/>
      <c r="R59" s="3"/>
      <c r="S59" s="3"/>
      <c r="T59" s="3"/>
    </row>
    <row r="60" customFormat="false" ht="25.5" hidden="false" customHeight="true" outlineLevel="0" collapsed="false">
      <c r="B60" s="6" t="n">
        <v>2</v>
      </c>
      <c r="C60" s="3" t="s">
        <v>1173</v>
      </c>
      <c r="D60" s="3"/>
      <c r="E60" s="3"/>
      <c r="F60" s="3"/>
      <c r="G60" s="3"/>
      <c r="H60" s="3"/>
      <c r="I60" s="3"/>
      <c r="J60" s="3"/>
      <c r="K60" s="3"/>
      <c r="L60" s="3"/>
      <c r="M60" s="3"/>
      <c r="N60" s="3"/>
      <c r="O60" s="3"/>
      <c r="P60" s="3"/>
      <c r="Q60" s="3"/>
      <c r="R60" s="3"/>
      <c r="S60" s="3"/>
      <c r="T60" s="3"/>
    </row>
    <row r="61" customFormat="false" ht="25.5" hidden="false" customHeight="true" outlineLevel="0" collapsed="false">
      <c r="B61" s="6" t="n">
        <v>3</v>
      </c>
      <c r="C61" s="3" t="s">
        <v>1174</v>
      </c>
      <c r="D61" s="3"/>
      <c r="E61" s="3"/>
      <c r="F61" s="3"/>
      <c r="G61" s="3"/>
      <c r="H61" s="3"/>
      <c r="I61" s="3"/>
      <c r="J61" s="3"/>
      <c r="K61" s="3"/>
      <c r="L61" s="3"/>
      <c r="M61" s="3"/>
      <c r="N61" s="3"/>
      <c r="O61" s="3"/>
      <c r="P61" s="3"/>
      <c r="Q61" s="3"/>
      <c r="R61" s="3"/>
      <c r="S61" s="3"/>
      <c r="T61" s="3"/>
    </row>
    <row r="62" customFormat="false" ht="25.5" hidden="false" customHeight="true" outlineLevel="0" collapsed="false">
      <c r="B62" s="6" t="n">
        <v>4</v>
      </c>
      <c r="C62" s="3" t="s">
        <v>1175</v>
      </c>
      <c r="D62" s="3"/>
      <c r="E62" s="3"/>
      <c r="F62" s="3"/>
      <c r="G62" s="3"/>
      <c r="H62" s="3"/>
      <c r="I62" s="3"/>
      <c r="J62" s="3"/>
      <c r="K62" s="3"/>
      <c r="L62" s="3"/>
      <c r="M62" s="3"/>
      <c r="N62" s="3"/>
      <c r="O62" s="3"/>
      <c r="P62" s="3"/>
      <c r="Q62" s="3"/>
      <c r="R62" s="3"/>
      <c r="S62" s="3"/>
      <c r="T62" s="3"/>
    </row>
    <row r="63" customFormat="false" ht="25.5" hidden="false" customHeight="true" outlineLevel="0" collapsed="false">
      <c r="B63" s="6" t="n">
        <v>5</v>
      </c>
      <c r="C63" s="3" t="s">
        <v>1176</v>
      </c>
      <c r="D63" s="3"/>
      <c r="E63" s="3"/>
      <c r="F63" s="3"/>
      <c r="G63" s="3"/>
      <c r="H63" s="3"/>
      <c r="I63" s="3"/>
      <c r="J63" s="3"/>
      <c r="K63" s="3"/>
      <c r="L63" s="3"/>
      <c r="M63" s="3"/>
      <c r="N63" s="3"/>
      <c r="O63" s="3"/>
      <c r="P63" s="3"/>
      <c r="Q63" s="3"/>
      <c r="R63" s="3"/>
      <c r="S63" s="3"/>
      <c r="T63" s="3"/>
    </row>
    <row r="64" customFormat="false" ht="25.5" hidden="false" customHeight="true" outlineLevel="0" collapsed="false">
      <c r="B64" s="6" t="n">
        <v>6</v>
      </c>
      <c r="C64" s="3" t="s">
        <v>1177</v>
      </c>
      <c r="D64" s="3"/>
      <c r="E64" s="3"/>
      <c r="F64" s="3"/>
      <c r="G64" s="3"/>
      <c r="H64" s="3"/>
      <c r="I64" s="3"/>
      <c r="J64" s="3"/>
      <c r="K64" s="3"/>
      <c r="L64" s="3"/>
      <c r="M64" s="3"/>
      <c r="N64" s="3"/>
      <c r="O64" s="3"/>
      <c r="P64" s="3"/>
      <c r="Q64" s="3"/>
      <c r="R64" s="3"/>
      <c r="S64" s="3"/>
      <c r="T64" s="3"/>
    </row>
    <row r="65" customFormat="false" ht="25.5" hidden="false" customHeight="true" outlineLevel="0" collapsed="false">
      <c r="B65" s="6" t="n">
        <v>7</v>
      </c>
      <c r="C65" s="3" t="s">
        <v>1178</v>
      </c>
      <c r="D65" s="3"/>
      <c r="E65" s="3"/>
      <c r="F65" s="3"/>
      <c r="G65" s="3"/>
      <c r="H65" s="3"/>
      <c r="I65" s="3"/>
      <c r="J65" s="3"/>
      <c r="K65" s="3"/>
      <c r="L65" s="3"/>
      <c r="M65" s="3"/>
      <c r="N65" s="3"/>
      <c r="O65" s="3"/>
      <c r="P65" s="3"/>
      <c r="Q65" s="3"/>
      <c r="R65" s="3"/>
      <c r="S65" s="3"/>
      <c r="T65" s="3"/>
    </row>
  </sheetData>
  <mergeCells count="7">
    <mergeCell ref="C59:T59"/>
    <mergeCell ref="C60:T60"/>
    <mergeCell ref="C61:T61"/>
    <mergeCell ref="C62:T62"/>
    <mergeCell ref="C63:T63"/>
    <mergeCell ref="C64:T64"/>
    <mergeCell ref="C65:T65"/>
  </mergeCells>
  <dataValidations count="1">
    <dataValidation allowBlank="false" errorStyle="stop" operator="between" showDropDown="false" showErrorMessage="false" showInputMessage="false" sqref="N11:N16" type="list">
      <formula1>"RPA,Trading,Belum dialokasi"</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2"/>
    <col collapsed="false" customWidth="true" hidden="false" outlineLevel="0" max="3" min="3" style="0" width="13"/>
    <col collapsed="false" customWidth="true" hidden="false" outlineLevel="0" max="4" min="4" style="0" width="15"/>
    <col collapsed="false" customWidth="true" hidden="false" outlineLevel="0" max="8" min="5" style="0" width="16"/>
    <col collapsed="false" customWidth="true" hidden="false" outlineLevel="0" max="10" min="9" style="0" width="13"/>
    <col collapsed="false" customWidth="true" hidden="false" outlineLevel="0" max="11" min="11" style="0" width="60"/>
  </cols>
  <sheetData>
    <row r="1" customFormat="false" ht="15" hidden="false" customHeight="false" outlineLevel="0" collapsed="false">
      <c r="A1" s="1" t="s">
        <v>1179</v>
      </c>
    </row>
    <row r="2" customFormat="false" ht="15" hidden="false" customHeight="false" outlineLevel="0" collapsed="false">
      <c r="A2" s="4" t="s">
        <v>1180</v>
      </c>
    </row>
    <row r="4" customFormat="false" ht="15" hidden="false" customHeight="false" outlineLevel="0" collapsed="false">
      <c r="B4" s="18" t="s">
        <v>1181</v>
      </c>
    </row>
    <row r="5" customFormat="false" ht="39.75" hidden="false" customHeight="true" outlineLevel="0" collapsed="false">
      <c r="B5" s="5" t="s">
        <v>1182</v>
      </c>
      <c r="C5" s="5" t="s">
        <v>1099</v>
      </c>
      <c r="D5" s="5" t="s">
        <v>311</v>
      </c>
      <c r="E5" s="5" t="s">
        <v>1183</v>
      </c>
      <c r="F5" s="5" t="s">
        <v>1054</v>
      </c>
      <c r="G5" s="5" t="s">
        <v>1184</v>
      </c>
      <c r="H5" s="5" t="s">
        <v>1185</v>
      </c>
      <c r="I5" s="5" t="s">
        <v>1186</v>
      </c>
      <c r="J5" s="5" t="s">
        <v>1187</v>
      </c>
    </row>
    <row r="6" customFormat="false" ht="15" hidden="false" customHeight="false" outlineLevel="0" collapsed="false">
      <c r="B6" s="6" t="s">
        <v>1188</v>
      </c>
      <c r="C6" s="7" t="n">
        <f aca="false">SUMIFS(Vintage!$P$36:$P$127,Vintage!$C$36:$C$127,"RPA",Vintage!$G$36:$G$127,"A")</f>
        <v>7336.59</v>
      </c>
      <c r="D6" s="7" t="n">
        <f aca="false">SUMIFS(Vintage!$AM$36:$AM$127,Vintage!$C$36:$C$127,"RPA",Vintage!$G$36:$G$127,"A")</f>
        <v>261111381.313424</v>
      </c>
      <c r="E6" s="7" t="n">
        <f aca="false">SUMIFS(Vintage!$AH$36:$AH$127,Vintage!$C$36:$C$127,"RPA",Vintage!$G$36:$G$127,"A")</f>
        <v>232248946.915856</v>
      </c>
      <c r="F6" s="9" t="n">
        <f aca="false">D6-E6</f>
        <v>28862434.3975683</v>
      </c>
      <c r="G6" s="6" t="s">
        <v>241</v>
      </c>
      <c r="H6" s="6" t="s">
        <v>241</v>
      </c>
      <c r="I6" s="9" t="n">
        <f aca="false">IFERROR(F6/C6,0)</f>
        <v>3934.03943760907</v>
      </c>
      <c r="J6" s="6" t="s">
        <v>241</v>
      </c>
    </row>
    <row r="7" customFormat="false" ht="15" hidden="false" customHeight="false" outlineLevel="0" collapsed="false">
      <c r="B7" s="6" t="s">
        <v>1189</v>
      </c>
      <c r="C7" s="7" t="n">
        <f aca="false">SUMIFS(Vintage!$P$36:$P$127,Vintage!$C$36:$C$127,"RPA",Vintage!$G$36:$G$127,"B")</f>
        <v>44384.04</v>
      </c>
      <c r="D7" s="7" t="n">
        <f aca="false">SUMIFS(Vintage!$AM$36:$AM$127,Vintage!$C$36:$C$127,"RPA",Vintage!$G$36:$G$127,"B")</f>
        <v>834473896.169734</v>
      </c>
      <c r="E7" s="7" t="n">
        <f aca="false">SUMIFS(Vintage!$AH$36:$AH$127,Vintage!$C$36:$C$127,"RPA",Vintage!$G$36:$G$127,"B")</f>
        <v>905171480.616404</v>
      </c>
      <c r="F7" s="9" t="n">
        <f aca="false">D7-E7</f>
        <v>-70697584.4466696</v>
      </c>
      <c r="G7" s="7" t="n">
        <f aca="false">SUMIFS(Vintage!$AZ$36:$AZ$127,Vintage!$C$36:$C$127,"RPA",Vintage!$G$36:$G$127,"B")</f>
        <v>1061954253.60953</v>
      </c>
      <c r="H7" s="9" t="n">
        <f aca="false">D7-G7</f>
        <v>-227480357.439799</v>
      </c>
      <c r="I7" s="9" t="n">
        <f aca="false">IFERROR(F7/C7,0)</f>
        <v>-1592.86050676481</v>
      </c>
      <c r="J7" s="9" t="n">
        <f aca="false">IFERROR(H7/C7,0)</f>
        <v>-5125.27380201981</v>
      </c>
    </row>
    <row r="8" customFormat="false" ht="15" hidden="false" customHeight="false" outlineLevel="0" collapsed="false">
      <c r="B8" s="6" t="s">
        <v>1190</v>
      </c>
      <c r="C8" s="7" t="n">
        <f aca="false">SUMIFS(Vintage!$P$36:$P$127,Vintage!$C$36:$C$127,"RPA",Vintage!$G$36:$G$127,"C")</f>
        <v>34763.61</v>
      </c>
      <c r="D8" s="7" t="n">
        <f aca="false">SUMIFS(Vintage!$AM$36:$AM$127,Vintage!$C$36:$C$127,"RPA",Vintage!$G$36:$G$127,"C")</f>
        <v>1277978878.83027</v>
      </c>
      <c r="E8" s="7" t="n">
        <f aca="false">SUMIFS(Vintage!$AH$36:$AH$127,Vintage!$C$36:$C$127,"RPA",Vintage!$G$36:$G$127,"C")</f>
        <v>1304867546.0485</v>
      </c>
      <c r="F8" s="9" t="n">
        <f aca="false">D8-E8</f>
        <v>-26888667.2182298</v>
      </c>
      <c r="G8" s="7" t="n">
        <f aca="false">SUMIFS(Vintage!$AZ$36:$AZ$127,Vintage!$C$36:$C$127,"RPA",Vintage!$G$36:$G$127,"C")</f>
        <v>1301845694.37224</v>
      </c>
      <c r="H8" s="9" t="n">
        <f aca="false">D8-G8</f>
        <v>-23866815.5419767</v>
      </c>
      <c r="I8" s="9" t="n">
        <f aca="false">IFERROR(F8/C8,0)</f>
        <v>-773.471662414513</v>
      </c>
      <c r="J8" s="9" t="n">
        <f aca="false">IFERROR(H8/C8,0)</f>
        <v>-686.545946809802</v>
      </c>
    </row>
    <row r="9" customFormat="false" ht="15" hidden="false" customHeight="false" outlineLevel="0" collapsed="false">
      <c r="B9" s="25" t="s">
        <v>1191</v>
      </c>
      <c r="C9" s="26" t="n">
        <f aca="false">SUM(C6:C8)</f>
        <v>86484.24</v>
      </c>
      <c r="D9" s="26" t="n">
        <f aca="false">SUM(D6:D8)</f>
        <v>2373564156.31342</v>
      </c>
      <c r="E9" s="26" t="n">
        <f aca="false">SUM(E6:E8)</f>
        <v>2442287973.58076</v>
      </c>
      <c r="F9" s="26" t="n">
        <f aca="false">SUM(F6:F8)</f>
        <v>-68723817.267331</v>
      </c>
      <c r="G9" s="26" t="n">
        <f aca="false">SUM(G7:G8)</f>
        <v>2363799947.98178</v>
      </c>
      <c r="H9" s="26" t="n">
        <f aca="false">SUM(H7:H8)</f>
        <v>-251347172.981776</v>
      </c>
      <c r="I9" s="26" t="n">
        <f aca="false">IFERROR(F9/C9,0)</f>
        <v>-794.639777921747</v>
      </c>
    </row>
    <row r="11" customFormat="false" ht="19.5" hidden="false" customHeight="true" outlineLevel="0" collapsed="false">
      <c r="B11" s="5" t="s">
        <v>1192</v>
      </c>
      <c r="C11" s="5" t="s">
        <v>436</v>
      </c>
      <c r="D11" s="5" t="s">
        <v>202</v>
      </c>
    </row>
    <row r="12" customFormat="false" ht="15" hidden="false" customHeight="false" outlineLevel="0" collapsed="false">
      <c r="B12" s="6" t="s">
        <v>1193</v>
      </c>
      <c r="C12" s="9" t="n">
        <f aca="false">F9</f>
        <v>-68723817.267331</v>
      </c>
      <c r="D12" s="9" t="n">
        <f aca="false">IFERROR(C12/C9,0)</f>
        <v>-794.639777921747</v>
      </c>
    </row>
    <row r="13" customFormat="false" ht="15" hidden="false" customHeight="false" outlineLevel="0" collapsed="false">
      <c r="B13" s="6" t="s">
        <v>1194</v>
      </c>
      <c r="C13" s="9" t="n">
        <f aca="false">-F6</f>
        <v>-28862434.3975683</v>
      </c>
    </row>
    <row r="14" customFormat="false" ht="15" hidden="false" customHeight="false" outlineLevel="0" collapsed="false">
      <c r="B14" s="6" t="s">
        <v>1195</v>
      </c>
      <c r="C14" s="9" t="n">
        <f aca="false">-(G7-E7)-(G8-E8)</f>
        <v>-153760921.316877</v>
      </c>
    </row>
    <row r="15" customFormat="false" ht="15" hidden="false" customHeight="false" outlineLevel="0" collapsed="false">
      <c r="B15" s="81" t="s">
        <v>1196</v>
      </c>
      <c r="C15" s="82" t="n">
        <f aca="false">SUM(C12:C14)</f>
        <v>-251347172.981776</v>
      </c>
      <c r="D15" s="82" t="n">
        <f aca="false">IFERROR(C15/(C7+C8),0)</f>
        <v>-3175.67448915762</v>
      </c>
    </row>
    <row r="16" customFormat="false" ht="15" hidden="false" customHeight="false" outlineLevel="0" collapsed="false">
      <c r="B16" s="11" t="s">
        <v>1197</v>
      </c>
      <c r="C16" s="16" t="n">
        <f aca="false">-(C13+C14)</f>
        <v>182623355.714445</v>
      </c>
    </row>
    <row r="17" customFormat="false" ht="15" hidden="false" customHeight="false" outlineLevel="0" collapsed="false">
      <c r="B17" s="6" t="s">
        <v>1198</v>
      </c>
      <c r="C17" s="9" t="n">
        <f aca="false">ROUND(C12-Vintage!K10,0)</f>
        <v>-0</v>
      </c>
    </row>
    <row r="18" customFormat="false" ht="15" hidden="false" customHeight="false" outlineLevel="0" collapsed="false">
      <c r="B18" s="28" t="s">
        <v>1199</v>
      </c>
    </row>
    <row r="20" customFormat="false" ht="15" hidden="false" customHeight="false" outlineLevel="0" collapsed="false">
      <c r="B20" s="18" t="s">
        <v>1200</v>
      </c>
    </row>
    <row r="21" customFormat="false" ht="19.5" hidden="false" customHeight="true" outlineLevel="0" collapsed="false">
      <c r="B21" s="5" t="s">
        <v>1201</v>
      </c>
      <c r="C21" s="5" t="s">
        <v>850</v>
      </c>
      <c r="D21" s="5" t="s">
        <v>1202</v>
      </c>
    </row>
    <row r="22" customFormat="false" ht="15" hidden="false" customHeight="false" outlineLevel="0" collapsed="false">
      <c r="B22" s="6" t="s">
        <v>1203</v>
      </c>
      <c r="C22" s="83" t="n">
        <v>0.02</v>
      </c>
      <c r="D22" s="12" t="s">
        <v>1204</v>
      </c>
    </row>
    <row r="23" customFormat="false" ht="15" hidden="false" customHeight="false" outlineLevel="0" collapsed="false">
      <c r="B23" s="6" t="s">
        <v>1205</v>
      </c>
      <c r="C23" s="80" t="n">
        <v>1000</v>
      </c>
      <c r="D23" s="12" t="s">
        <v>1206</v>
      </c>
    </row>
    <row r="24" customFormat="false" ht="15" hidden="false" customHeight="false" outlineLevel="0" collapsed="false">
      <c r="B24" s="6" t="s">
        <v>1207</v>
      </c>
      <c r="C24" s="83" t="n">
        <v>0.737</v>
      </c>
      <c r="D24" s="12" t="s">
        <v>1208</v>
      </c>
    </row>
    <row r="25" customFormat="false" ht="15" hidden="false" customHeight="false" outlineLevel="0" collapsed="false">
      <c r="B25" s="6" t="s">
        <v>1209</v>
      </c>
      <c r="C25" s="7" t="n">
        <f aca="false">'Batch Economics'!D23</f>
        <v>36794.2045160545</v>
      </c>
      <c r="D25" s="12" t="s">
        <v>1210</v>
      </c>
    </row>
    <row r="26" customFormat="false" ht="15" hidden="false" customHeight="false" outlineLevel="0" collapsed="false">
      <c r="B26" s="6" t="s">
        <v>1211</v>
      </c>
      <c r="C26" s="7" t="n">
        <f aca="false">'Batch Economics'!D24</f>
        <v>31657.7852093346</v>
      </c>
      <c r="D26" s="12" t="s">
        <v>1210</v>
      </c>
    </row>
    <row r="27" customFormat="false" ht="15" hidden="false" customHeight="false" outlineLevel="0" collapsed="false">
      <c r="B27" s="6" t="s">
        <v>1212</v>
      </c>
      <c r="C27" s="80" t="n">
        <v>1600</v>
      </c>
      <c r="D27" s="12" t="s">
        <v>1213</v>
      </c>
    </row>
    <row r="29" customFormat="false" ht="19.5" hidden="false" customHeight="true" outlineLevel="0" collapsed="false">
      <c r="B29" s="5" t="s">
        <v>435</v>
      </c>
      <c r="C29" s="5" t="s">
        <v>436</v>
      </c>
      <c r="D29" s="5" t="s">
        <v>1214</v>
      </c>
      <c r="E29" s="5" t="s">
        <v>438</v>
      </c>
      <c r="F29" s="5" t="s">
        <v>439</v>
      </c>
    </row>
    <row r="30" customFormat="false" ht="15" hidden="false" customHeight="false" outlineLevel="0" collapsed="false">
      <c r="B30" s="11" t="s">
        <v>440</v>
      </c>
      <c r="C30" s="7" t="n">
        <f aca="false">'Batch Economics'!AH18</f>
        <v>-389369178.25288</v>
      </c>
      <c r="D30" s="9" t="n">
        <f aca="false">C30/'Batch Economics'!AC18</f>
        <v>-3223.62838617787</v>
      </c>
      <c r="E30" s="21" t="n">
        <f aca="false">IFERROR(C30/$C$30,0)</f>
        <v>1</v>
      </c>
      <c r="F30" s="12" t="s">
        <v>1215</v>
      </c>
    </row>
    <row r="31" customFormat="false" ht="15" hidden="false" customHeight="false" outlineLevel="0" collapsed="false">
      <c r="B31" s="6" t="s">
        <v>1216</v>
      </c>
      <c r="C31" s="7" t="n">
        <f aca="false">-'Batch Economics'!U18*($C$25-$C$26)</f>
        <v>-203009268.469142</v>
      </c>
      <c r="D31" s="9" t="n">
        <f aca="false">C31/'Batch Economics'!AC18</f>
        <v>-1680.73508907607</v>
      </c>
      <c r="E31" s="21" t="n">
        <f aca="false">IFERROR(C31/$C$30,0)</f>
        <v>0.521379913479684</v>
      </c>
      <c r="F31" s="12" t="s">
        <v>1217</v>
      </c>
    </row>
    <row r="32" customFormat="false" ht="15" hidden="false" customHeight="false" outlineLevel="0" collapsed="false">
      <c r="B32" s="6" t="s">
        <v>1218</v>
      </c>
      <c r="C32" s="7" t="n">
        <f aca="false">-SUMPRODUCT(('Batch Economics'!$N$6:$N$17-$C$22*'Batch Economics'!$G$6:$G$17&gt;0)*('Batch Economics'!$N$6:$N$17-$C$22*'Batch Economics'!$G$6:$G$17)*'Batch Economics'!$L$6:$L$17)</f>
        <v>-145930681.954023</v>
      </c>
      <c r="D32" s="9" t="n">
        <f aca="false">C32/'Batch Economics'!AC18</f>
        <v>-1208.17546697484</v>
      </c>
      <c r="E32" s="21" t="n">
        <f aca="false">IFERROR(C32/$C$30,0)</f>
        <v>0.374787451356119</v>
      </c>
      <c r="F32" s="12" t="s">
        <v>1219</v>
      </c>
    </row>
    <row r="33" customFormat="false" ht="15" hidden="false" customHeight="false" outlineLevel="0" collapsed="false">
      <c r="B33" s="6" t="s">
        <v>1220</v>
      </c>
      <c r="C33" s="7" t="n">
        <f aca="false">-($C$24*'Batch Economics'!M18-'Batch Economics'!V18)*$C$25</f>
        <v>-1408533.66076062</v>
      </c>
      <c r="D33" s="9" t="n">
        <f aca="false">C33/'Batch Economics'!AC18</f>
        <v>-11.6613983471645</v>
      </c>
      <c r="E33" s="21" t="n">
        <f aca="false">IFERROR(C33/$C$30,0)</f>
        <v>0.00361747600845239</v>
      </c>
      <c r="F33" s="12" t="s">
        <v>1221</v>
      </c>
    </row>
    <row r="34" customFormat="false" ht="15" hidden="false" customHeight="false" outlineLevel="0" collapsed="false">
      <c r="B34" s="6" t="s">
        <v>1222</v>
      </c>
      <c r="C34" s="7" t="n">
        <f aca="false">-('Batch Economics'!I18-$C$23*'Batch Economics'!G18)</f>
        <v>-40680960</v>
      </c>
      <c r="D34" s="9" t="n">
        <f aca="false">C34/'Batch Economics'!AC18</f>
        <v>-336.801947245542</v>
      </c>
      <c r="E34" s="21" t="n">
        <f aca="false">IFERROR(C34/$C$30,0)</f>
        <v>0.104479147996607</v>
      </c>
      <c r="F34" s="12" t="s">
        <v>1223</v>
      </c>
    </row>
    <row r="35" customFormat="false" ht="15" hidden="false" customHeight="false" outlineLevel="0" collapsed="false">
      <c r="B35" s="6" t="s">
        <v>1224</v>
      </c>
      <c r="C35" s="7" t="n">
        <f aca="false">-('Batch Economics'!J18-$C$27*'Batch Economics'!M18)</f>
        <v>-3999999.99999997</v>
      </c>
      <c r="D35" s="9" t="n">
        <f aca="false">C35/'Batch Economics'!AC18</f>
        <v>-33.1164207772422</v>
      </c>
      <c r="E35" s="21" t="n">
        <f aca="false">IFERROR(C35/$C$30,0)</f>
        <v>0.0102730267915611</v>
      </c>
      <c r="F35" s="12" t="s">
        <v>1225</v>
      </c>
    </row>
    <row r="36" customFormat="false" ht="15" hidden="false" customHeight="false" outlineLevel="0" collapsed="false">
      <c r="B36" s="6" t="s">
        <v>1226</v>
      </c>
      <c r="C36" s="9" t="n">
        <f aca="false">C30-SUM(C31:C35)</f>
        <v>5660265.83104581</v>
      </c>
      <c r="D36" s="9" t="n">
        <f aca="false">C36/'Batch Economics'!AC18</f>
        <v>46.8619362429901</v>
      </c>
      <c r="E36" s="21" t="n">
        <f aca="false">IFERROR(C36/$C$30,0)</f>
        <v>-0.014537015632423</v>
      </c>
      <c r="F36" s="12" t="s">
        <v>1227</v>
      </c>
    </row>
    <row r="37" customFormat="false" ht="15" hidden="false" customHeight="false" outlineLevel="0" collapsed="false">
      <c r="B37" s="6" t="s">
        <v>1228</v>
      </c>
      <c r="C37" s="9" t="n">
        <f aca="false">ROUND(SUM(C31:C36)-C30,0)</f>
        <v>0</v>
      </c>
    </row>
    <row r="39" customFormat="false" ht="19.5" hidden="false" customHeight="true" outlineLevel="0" collapsed="false">
      <c r="B39" s="5" t="s">
        <v>1229</v>
      </c>
      <c r="C39" s="5" t="s">
        <v>436</v>
      </c>
      <c r="D39" s="5" t="s">
        <v>438</v>
      </c>
    </row>
    <row r="40" customFormat="false" ht="15" hidden="false" customHeight="false" outlineLevel="0" collapsed="false">
      <c r="B40" s="6" t="s">
        <v>1230</v>
      </c>
      <c r="C40" s="9" t="n">
        <f aca="false">C32+C34</f>
        <v>-186611641.954023</v>
      </c>
      <c r="D40" s="21" t="n">
        <f aca="false">IFERROR(C40/$C$30,0)</f>
        <v>0.479266599352726</v>
      </c>
    </row>
    <row r="41" customFormat="false" ht="15" hidden="false" customHeight="false" outlineLevel="0" collapsed="false">
      <c r="B41" s="6" t="s">
        <v>1231</v>
      </c>
      <c r="C41" s="9" t="n">
        <f aca="false">C31</f>
        <v>-203009268.469142</v>
      </c>
      <c r="D41" s="21" t="n">
        <f aca="false">IFERROR(C41/$C$30,0)</f>
        <v>0.521379913479684</v>
      </c>
    </row>
    <row r="42" customFormat="false" ht="15" hidden="false" customHeight="false" outlineLevel="0" collapsed="false">
      <c r="B42" s="6" t="s">
        <v>1232</v>
      </c>
      <c r="C42" s="9" t="n">
        <f aca="false">C33</f>
        <v>-1408533.66076062</v>
      </c>
      <c r="D42" s="21" t="n">
        <f aca="false">IFERROR(C42/$C$30,0)</f>
        <v>0.00361747600845239</v>
      </c>
    </row>
    <row r="43" customFormat="false" ht="15" hidden="false" customHeight="false" outlineLevel="0" collapsed="false">
      <c r="B43" s="6" t="s">
        <v>1233</v>
      </c>
      <c r="C43" s="9" t="n">
        <f aca="false">C35</f>
        <v>-3999999.99999997</v>
      </c>
      <c r="D43" s="21" t="n">
        <f aca="false">IFERROR(C43/$C$30,0)</f>
        <v>0.0102730267915611</v>
      </c>
    </row>
    <row r="44" customFormat="false" ht="15" hidden="false" customHeight="false" outlineLevel="0" collapsed="false">
      <c r="B44" s="6" t="s">
        <v>1234</v>
      </c>
      <c r="C44" s="9" t="n">
        <f aca="false">C36</f>
        <v>5660265.83104581</v>
      </c>
      <c r="D44" s="21" t="n">
        <f aca="false">IFERROR(C44/$C$30,0)</f>
        <v>-0.014537015632423</v>
      </c>
    </row>
    <row r="46" customFormat="false" ht="15" hidden="false" customHeight="false" outlineLevel="0" collapsed="false">
      <c r="B46" s="28" t="s">
        <v>1235</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A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11"/>
    <col collapsed="false" customWidth="true" hidden="false" outlineLevel="0" max="6" min="6" style="0" width="24"/>
    <col collapsed="false" customWidth="true" hidden="false" outlineLevel="0" max="38" min="7" style="0" width="11"/>
    <col collapsed="false" customWidth="true" hidden="false" outlineLevel="0" max="53" min="39" style="0" width="12"/>
  </cols>
  <sheetData>
    <row r="1" customFormat="false" ht="15" hidden="false" customHeight="false" outlineLevel="0" collapsed="false">
      <c r="A1" s="1" t="s">
        <v>1236</v>
      </c>
    </row>
    <row r="2" customFormat="false" ht="15" hidden="false" customHeight="false" outlineLevel="0" collapsed="false">
      <c r="A2" s="4" t="s">
        <v>1237</v>
      </c>
    </row>
    <row r="5" customFormat="false" ht="43.5" hidden="false" customHeight="true" outlineLevel="0" collapsed="false">
      <c r="B5" s="5" t="s">
        <v>1238</v>
      </c>
      <c r="C5" s="5" t="s">
        <v>1239</v>
      </c>
      <c r="D5" s="5" t="s">
        <v>1240</v>
      </c>
      <c r="E5" s="5" t="s">
        <v>1241</v>
      </c>
      <c r="F5" s="5" t="s">
        <v>553</v>
      </c>
      <c r="G5" s="5" t="s">
        <v>1242</v>
      </c>
      <c r="H5" s="5" t="s">
        <v>1243</v>
      </c>
      <c r="I5" s="5" t="s">
        <v>1244</v>
      </c>
      <c r="J5" s="5" t="s">
        <v>1245</v>
      </c>
      <c r="K5" s="5" t="s">
        <v>1246</v>
      </c>
      <c r="L5" s="5" t="s">
        <v>1247</v>
      </c>
      <c r="M5" s="5" t="s">
        <v>1248</v>
      </c>
      <c r="N5" s="5" t="s">
        <v>1249</v>
      </c>
      <c r="O5" s="5" t="s">
        <v>1250</v>
      </c>
      <c r="P5" s="5" t="s">
        <v>1251</v>
      </c>
      <c r="Q5" s="5" t="s">
        <v>1252</v>
      </c>
      <c r="R5" s="5" t="s">
        <v>1253</v>
      </c>
      <c r="S5" s="5" t="s">
        <v>1254</v>
      </c>
      <c r="T5" s="5" t="s">
        <v>1255</v>
      </c>
      <c r="U5" s="5" t="s">
        <v>1256</v>
      </c>
      <c r="V5" s="5" t="s">
        <v>1257</v>
      </c>
      <c r="W5" s="5" t="s">
        <v>1258</v>
      </c>
      <c r="X5" s="5" t="s">
        <v>1259</v>
      </c>
      <c r="Y5" s="5" t="s">
        <v>1260</v>
      </c>
      <c r="Z5" s="5" t="s">
        <v>1261</v>
      </c>
      <c r="AA5" s="5" t="s">
        <v>1262</v>
      </c>
      <c r="AB5" s="5" t="s">
        <v>1263</v>
      </c>
      <c r="AC5" s="5" t="s">
        <v>1264</v>
      </c>
      <c r="AD5" s="5" t="s">
        <v>1265</v>
      </c>
      <c r="AE5" s="5" t="s">
        <v>1266</v>
      </c>
      <c r="AF5" s="5" t="s">
        <v>1267</v>
      </c>
      <c r="AG5" s="5" t="s">
        <v>1268</v>
      </c>
      <c r="AH5" s="5" t="s">
        <v>1269</v>
      </c>
      <c r="AI5" s="5" t="s">
        <v>1270</v>
      </c>
      <c r="AJ5" s="5" t="s">
        <v>1271</v>
      </c>
      <c r="AK5" s="5" t="s">
        <v>1272</v>
      </c>
      <c r="AL5" s="5" t="s">
        <v>1273</v>
      </c>
      <c r="AM5" s="5" t="s">
        <v>1274</v>
      </c>
      <c r="AN5" s="5" t="s">
        <v>1275</v>
      </c>
      <c r="AO5" s="5" t="s">
        <v>1276</v>
      </c>
      <c r="AP5" s="5" t="s">
        <v>1277</v>
      </c>
      <c r="AQ5" s="5" t="s">
        <v>1278</v>
      </c>
      <c r="AR5" s="5" t="s">
        <v>1279</v>
      </c>
      <c r="AS5" s="5" t="s">
        <v>1280</v>
      </c>
      <c r="AT5" s="5" t="s">
        <v>1281</v>
      </c>
      <c r="AU5" s="5" t="s">
        <v>1282</v>
      </c>
      <c r="AV5" s="5" t="s">
        <v>1283</v>
      </c>
      <c r="AW5" s="5" t="s">
        <v>1284</v>
      </c>
      <c r="AX5" s="5" t="s">
        <v>1285</v>
      </c>
      <c r="AY5" s="5" t="s">
        <v>1286</v>
      </c>
      <c r="AZ5" s="5" t="s">
        <v>1287</v>
      </c>
      <c r="BA5" s="5" t="s">
        <v>1288</v>
      </c>
    </row>
    <row r="6" customFormat="false" ht="15" hidden="false" customHeight="false" outlineLevel="0" collapsed="false">
      <c r="B6" s="76" t="n">
        <v>46241</v>
      </c>
      <c r="C6" s="74" t="s">
        <v>1289</v>
      </c>
      <c r="D6" s="74" t="s">
        <v>1290</v>
      </c>
      <c r="E6" s="74" t="s">
        <v>1291</v>
      </c>
      <c r="F6" s="74" t="s">
        <v>1292</v>
      </c>
      <c r="G6" s="84" t="n">
        <v>7000</v>
      </c>
      <c r="H6" s="8" t="n">
        <v>188200799.95</v>
      </c>
      <c r="I6" s="8" t="n">
        <v>9000000</v>
      </c>
      <c r="J6" s="8" t="n">
        <v>10500800</v>
      </c>
      <c r="K6" s="9" t="n">
        <f aca="false">H6-I6-J6</f>
        <v>168699999.95</v>
      </c>
      <c r="L6" s="9" t="n">
        <f aca="false">IFERROR(K6/G6,0)</f>
        <v>24099.9999928571</v>
      </c>
      <c r="M6" s="84" t="n">
        <v>6563</v>
      </c>
      <c r="N6" s="20" t="n">
        <f aca="false">G6-M6</f>
        <v>437</v>
      </c>
      <c r="O6" s="32" t="n">
        <f aca="false">IFERROR(N6/G6,0)</f>
        <v>0.0624285714285714</v>
      </c>
      <c r="P6" s="9" t="n">
        <f aca="false">N6*L6</f>
        <v>10531699.9968786</v>
      </c>
      <c r="Q6" s="8" t="n">
        <v>421750</v>
      </c>
      <c r="R6" s="7" t="n">
        <f aca="false">SUMIFS('MA Engine'!$L$6:$L$1110,'MA Engine'!$J$6:$J$1110,$D6,'MA Engine'!$I$6:$I$1110,"Receipt")</f>
        <v>188200799.93</v>
      </c>
      <c r="S6" s="9" t="n">
        <f aca="false">ROUND(H6-R6,0)</f>
        <v>0</v>
      </c>
      <c r="T6" s="19" t="n">
        <f aca="false">SUMIFS('MA Engine'!$K$6:$K$1110,'MA Engine'!$J$6:$J$1110,$D6,'MA Engine'!$I$6:$I$1110,"Receipt",'MA Engine'!$D$6:$D$1110,"Karkas",'MA Engine'!$E$6:$E$1110,"Fresh")</f>
        <v>4553.9</v>
      </c>
      <c r="U6" s="19" t="n">
        <f aca="false">SUMIFS('MA Engine'!$K$6:$K$1110,'MA Engine'!$J$6:$J$1110,$D6,'MA Engine'!$I$6:$I$1110,"Receipt",'MA Engine'!$D$6:$D$1110,"Karkas",'MA Engine'!$E$6:$E$1110,"Frozen")</f>
        <v>266.7</v>
      </c>
      <c r="V6" s="19" t="n">
        <f aca="false">SUMIFS('MA Engine'!$K$6:$K$1110,'MA Engine'!$J$6:$J$1110,$D6,'MA Engine'!$I$6:$I$1110,"Receipt",'MA Engine'!$D$6:$D$1110,"Karkas")</f>
        <v>4820.6</v>
      </c>
      <c r="W6" s="19" t="n">
        <f aca="false">SUMIFS('MA Engine'!$K$6:$K$1110,'MA Engine'!$J$6:$J$1110,$D6,'MA Engine'!$I$6:$I$1110,"Receipt",'MA Engine'!$D$6:$D$1110,"HJA (Hati/Jantung/Ampela)")</f>
        <v>427.2</v>
      </c>
      <c r="X6" s="19" t="n">
        <f aca="false">SUMIFS('MA Engine'!$K$6:$K$1110,'MA Engine'!$J$6:$J$1110,$D6,'MA Engine'!$I$6:$I$1110,"Receipt",'MA Engine'!$D$6:$D$1110,"Kepala")</f>
        <v>325.6</v>
      </c>
      <c r="Y6" s="19" t="n">
        <f aca="false">SUMIFS('MA Engine'!$K$6:$K$1110,'MA Engine'!$J$6:$J$1110,$D6,'MA Engine'!$I$6:$I$1110,"Receipt",'MA Engine'!$D$6:$D$1110,"Usus")</f>
        <v>0</v>
      </c>
      <c r="Z6" s="19" t="n">
        <f aca="false">SUMIFS('MA Engine'!$K$6:$K$1110,'MA Engine'!$J$6:$J$1110,$D6,'MA Engine'!$I$6:$I$1110,"Receipt",'MA Engine'!$D$6:$D$1110,"Ceker")</f>
        <v>184.9</v>
      </c>
      <c r="AA6" s="19" t="n">
        <f aca="false">SUMIFS('MA Engine'!$K$6:$K$1110,'MA Engine'!$J$6:$J$1110,$D6,'MA Engine'!$I$6:$I$1110,"Receipt",'MA Engine'!$D$6:$D$1110,"Lemak")</f>
        <v>11</v>
      </c>
      <c r="AB6" s="19" t="n">
        <f aca="false">SUMIFS('MA Engine'!$K$6:$K$1110,'MA Engine'!$J$6:$J$1110,$D6,'MA Engine'!$I$6:$I$1110,"Receipt")-V6</f>
        <v>948.7</v>
      </c>
      <c r="AC6" s="20" t="n">
        <f aca="false">V6+AB6</f>
        <v>5769.3</v>
      </c>
      <c r="AD6" s="21" t="n">
        <f aca="false">IFERROR(V6/M6,0)</f>
        <v>0.734511656254762</v>
      </c>
      <c r="AE6" s="21" t="n">
        <f aca="false">IFERROR(V6/AC6,0)</f>
        <v>0.835560639938987</v>
      </c>
      <c r="AF6" s="21" t="n">
        <f aca="false">IFERROR(T6/V6,0)</f>
        <v>0.944674936729868</v>
      </c>
      <c r="AG6" s="9" t="n">
        <f aca="false">T6*$D$23+U6*$D$24+W6*$D$25+X6*$D$26+Y6*$D$27+Z6*$D$28+AA6*$D$29</f>
        <v>179814287.515109</v>
      </c>
      <c r="AH6" s="9" t="n">
        <f aca="false">AG6-H6</f>
        <v>-8386512.43489125</v>
      </c>
      <c r="AI6" s="9" t="n">
        <f aca="false">IFERROR(H6/AC6,0)</f>
        <v>32621.0805383669</v>
      </c>
      <c r="AJ6" s="9" t="n">
        <f aca="false">IFERROR(AG6/AC6,0)</f>
        <v>31167.4358267223</v>
      </c>
      <c r="AK6" s="9" t="n">
        <f aca="false">IFERROR(I6/G6,0)</f>
        <v>1285.71428571429</v>
      </c>
      <c r="AL6" s="9" t="n">
        <f aca="false">IFERROR((AG6-I6-J6)/G6,0)</f>
        <v>22901.9267878727</v>
      </c>
      <c r="AM6" s="19" t="n">
        <f aca="false">SUMIFS(I_Batch_Ops!$J$21:$J$342,I_Batch_Ops!$B$21:$B$342,$D6)</f>
        <v>6093.1</v>
      </c>
      <c r="AN6" s="19" t="n">
        <f aca="false">SUMIFS(I_Batch_Ops!$J$21:$J$342,I_Batch_Ops!$B$21:$B$342,$D6,I_Batch_Ops!$P$21:$P$342,"N")</f>
        <v>323.8</v>
      </c>
      <c r="AO6" s="20" t="n">
        <f aca="false">ROUND(AM6-AN6-AC6,1)</f>
        <v>0</v>
      </c>
      <c r="AP6" s="21" t="n">
        <f aca="false">IFERROR(AM6/G6,0)</f>
        <v>0.870442857142857</v>
      </c>
      <c r="AQ6" s="21" t="n">
        <f aca="false">IFERROR(V6/G6,0)</f>
        <v>0.688657142857143</v>
      </c>
      <c r="AR6" s="21" t="n">
        <f aca="false">IFERROR(X6/G6,0)</f>
        <v>0.0465142857142857</v>
      </c>
      <c r="AS6" s="21" t="n">
        <f aca="false">IFERROR(Z6/G6,0)</f>
        <v>0.0264142857142857</v>
      </c>
      <c r="AT6" s="22" t="n">
        <f aca="false">IFERROR(SUMIFS(I_Batch_Ops!$J$21:$J$342,I_Batch_Ops!$B$21:$B$342,$D6,I_Batch_Ops!$C$21:$C$342,"Usus")/G6,0)</f>
        <v>0.0462571428571429</v>
      </c>
      <c r="AU6" s="21" t="n">
        <f aca="false">IFERROR(AA6/G6,0)</f>
        <v>0.00157142857142857</v>
      </c>
      <c r="AV6" s="7" t="n">
        <f aca="false">SUMIFS(I_Batch_Ops!$L$21:$L$342,I_Batch_Ops!$B$21:$B$342,$D6)</f>
        <v>148122000</v>
      </c>
      <c r="AW6" s="9" t="n">
        <f aca="false">AV6-H6</f>
        <v>-40078799.95</v>
      </c>
      <c r="AX6" s="21" t="n">
        <f aca="false">IFERROR(AW6/AV6,0)</f>
        <v>-0.270579656971955</v>
      </c>
      <c r="AY6" s="9" t="n">
        <f aca="false">AG6-AV6</f>
        <v>31692287.5151087</v>
      </c>
      <c r="AZ6" s="7" t="n">
        <f aca="false">ROUND(SUMIFS(I_Batch_Ops!$K$5:$K$16,I_Batch_Ops!$C$5:$C$16,$D6)-H6,0)</f>
        <v>0</v>
      </c>
      <c r="BA6" s="84" t="n">
        <v>7000</v>
      </c>
    </row>
    <row r="7" customFormat="false" ht="15" hidden="false" customHeight="false" outlineLevel="0" collapsed="false">
      <c r="B7" s="76" t="n">
        <v>46244</v>
      </c>
      <c r="C7" s="74" t="s">
        <v>1293</v>
      </c>
      <c r="D7" s="74" t="s">
        <v>1294</v>
      </c>
      <c r="E7" s="74" t="s">
        <v>1295</v>
      </c>
      <c r="F7" s="74" t="s">
        <v>1296</v>
      </c>
      <c r="G7" s="84" t="n">
        <v>11241.1</v>
      </c>
      <c r="H7" s="8" t="n">
        <v>284169790.08</v>
      </c>
      <c r="I7" s="8" t="n">
        <v>24000000</v>
      </c>
      <c r="J7" s="8" t="n">
        <v>16237920</v>
      </c>
      <c r="K7" s="9" t="n">
        <f aca="false">H7-I7-J7</f>
        <v>243931870.08</v>
      </c>
      <c r="L7" s="9" t="n">
        <f aca="false">IFERROR(K7/G7,0)</f>
        <v>21700.0000071167</v>
      </c>
      <c r="M7" s="84" t="n">
        <v>10148.7</v>
      </c>
      <c r="N7" s="20" t="n">
        <f aca="false">G7-M7</f>
        <v>1092.4</v>
      </c>
      <c r="O7" s="32" t="n">
        <f aca="false">IFERROR(N7/G7,0)</f>
        <v>0.0971791016893364</v>
      </c>
      <c r="P7" s="9" t="n">
        <f aca="false">N7*L7</f>
        <v>23705080.0077743</v>
      </c>
      <c r="Q7" s="8" t="n">
        <v>609829.67</v>
      </c>
      <c r="R7" s="7" t="n">
        <f aca="false">SUMIFS('MA Engine'!$L$6:$L$1110,'MA Engine'!$J$6:$J$1110,$D7,'MA Engine'!$I$6:$I$1110,"Receipt")</f>
        <v>284169790.08</v>
      </c>
      <c r="S7" s="9" t="n">
        <f aca="false">ROUND(H7-R7,0)</f>
        <v>0</v>
      </c>
      <c r="T7" s="19" t="n">
        <f aca="false">SUMIFS('MA Engine'!$K$6:$K$1110,'MA Engine'!$J$6:$J$1110,$D7,'MA Engine'!$I$6:$I$1110,"Receipt",'MA Engine'!$D$6:$D$1110,"Karkas",'MA Engine'!$E$6:$E$1110,"Fresh")</f>
        <v>6257.7</v>
      </c>
      <c r="U7" s="19" t="n">
        <f aca="false">SUMIFS('MA Engine'!$K$6:$K$1110,'MA Engine'!$J$6:$J$1110,$D7,'MA Engine'!$I$6:$I$1110,"Receipt",'MA Engine'!$D$6:$D$1110,"Karkas",'MA Engine'!$E$6:$E$1110,"Frozen")</f>
        <v>1274.4</v>
      </c>
      <c r="V7" s="19" t="n">
        <f aca="false">SUMIFS('MA Engine'!$K$6:$K$1110,'MA Engine'!$J$6:$J$1110,$D7,'MA Engine'!$I$6:$I$1110,"Receipt",'MA Engine'!$D$6:$D$1110,"Karkas")</f>
        <v>7532.1</v>
      </c>
      <c r="W7" s="19" t="n">
        <f aca="false">SUMIFS('MA Engine'!$K$6:$K$1110,'MA Engine'!$J$6:$J$1110,$D7,'MA Engine'!$I$6:$I$1110,"Receipt",'MA Engine'!$D$6:$D$1110,"HJA (Hati/Jantung/Ampela)")</f>
        <v>590.7</v>
      </c>
      <c r="X7" s="19" t="n">
        <f aca="false">SUMIFS('MA Engine'!$K$6:$K$1110,'MA Engine'!$J$6:$J$1110,$D7,'MA Engine'!$I$6:$I$1110,"Receipt",'MA Engine'!$D$6:$D$1110,"Kepala")</f>
        <v>518.8</v>
      </c>
      <c r="Y7" s="19" t="n">
        <f aca="false">SUMIFS('MA Engine'!$K$6:$K$1110,'MA Engine'!$J$6:$J$1110,$D7,'MA Engine'!$I$6:$I$1110,"Receipt",'MA Engine'!$D$6:$D$1110,"Usus")</f>
        <v>495</v>
      </c>
      <c r="Z7" s="19" t="n">
        <f aca="false">SUMIFS('MA Engine'!$K$6:$K$1110,'MA Engine'!$J$6:$J$1110,$D7,'MA Engine'!$I$6:$I$1110,"Receipt",'MA Engine'!$D$6:$D$1110,"Ceker")</f>
        <v>329.3</v>
      </c>
      <c r="AA7" s="19" t="n">
        <f aca="false">SUMIFS('MA Engine'!$K$6:$K$1110,'MA Engine'!$J$6:$J$1110,$D7,'MA Engine'!$I$6:$I$1110,"Receipt",'MA Engine'!$D$6:$D$1110,"Lemak")</f>
        <v>31.4</v>
      </c>
      <c r="AB7" s="19" t="n">
        <f aca="false">SUMIFS('MA Engine'!$K$6:$K$1110,'MA Engine'!$J$6:$J$1110,$D7,'MA Engine'!$I$6:$I$1110,"Receipt")-V7</f>
        <v>1965.2</v>
      </c>
      <c r="AC7" s="20" t="n">
        <f aca="false">V7+AB7</f>
        <v>9497.3</v>
      </c>
      <c r="AD7" s="21" t="n">
        <f aca="false">IFERROR(V7/M7,0)</f>
        <v>0.742173874486387</v>
      </c>
      <c r="AE7" s="21" t="n">
        <f aca="false">IFERROR(V7/AC7,0)</f>
        <v>0.793078032704032</v>
      </c>
      <c r="AF7" s="21" t="n">
        <f aca="false">IFERROR(T7/V7,0)</f>
        <v>0.830804158202892</v>
      </c>
      <c r="AG7" s="9" t="n">
        <f aca="false">T7*$D$23+U7*$D$24+W7*$D$25+X7*$D$26+Y7*$D$27+Z7*$D$28+AA7*$D$29</f>
        <v>277112661.005609</v>
      </c>
      <c r="AH7" s="9" t="n">
        <f aca="false">AG7-H7</f>
        <v>-7057129.07439148</v>
      </c>
      <c r="AI7" s="9" t="n">
        <f aca="false">IFERROR(H7/AC7,0)</f>
        <v>29921.1133774862</v>
      </c>
      <c r="AJ7" s="9" t="n">
        <f aca="false">IFERROR(AG7/AC7,0)</f>
        <v>29178.0464980161</v>
      </c>
      <c r="AK7" s="9" t="n">
        <f aca="false">IFERROR(I7/G7,0)</f>
        <v>2135.02237325529</v>
      </c>
      <c r="AL7" s="9" t="n">
        <f aca="false">IFERROR((AG7-I7-J7)/G7,0)</f>
        <v>21072.2029877511</v>
      </c>
      <c r="AM7" s="19" t="n">
        <f aca="false">SUMIFS(I_Batch_Ops!$J$21:$J$342,I_Batch_Ops!$B$21:$B$342,$D7)</f>
        <v>9497.3</v>
      </c>
      <c r="AN7" s="19" t="n">
        <f aca="false">SUMIFS(I_Batch_Ops!$J$21:$J$342,I_Batch_Ops!$B$21:$B$342,$D7,I_Batch_Ops!$P$21:$P$342,"N")</f>
        <v>0</v>
      </c>
      <c r="AO7" s="20" t="n">
        <f aca="false">ROUND(AM7-AN7-AC7,1)</f>
        <v>0</v>
      </c>
      <c r="AP7" s="21" t="n">
        <f aca="false">IFERROR(AM7/G7,0)</f>
        <v>0.844872832729893</v>
      </c>
      <c r="AQ7" s="21" t="n">
        <f aca="false">IFERROR(V7/G7,0)</f>
        <v>0.670050084066506</v>
      </c>
      <c r="AR7" s="21" t="n">
        <f aca="false">IFERROR(X7/G7,0)</f>
        <v>0.0461520669685351</v>
      </c>
      <c r="AS7" s="21" t="n">
        <f aca="false">IFERROR(Z7/G7,0)</f>
        <v>0.0292942861463736</v>
      </c>
      <c r="AT7" s="22" t="n">
        <f aca="false">IFERROR(SUMIFS(I_Batch_Ops!$J$21:$J$342,I_Batch_Ops!$B$21:$B$342,$D7,I_Batch_Ops!$C$21:$C$342,"Usus")/G7,0)</f>
        <v>0.0440348364483903</v>
      </c>
      <c r="AU7" s="21" t="n">
        <f aca="false">IFERROR(AA7/G7,0)</f>
        <v>0.00279332093834233</v>
      </c>
      <c r="AV7" s="7" t="n">
        <f aca="false">SUMIFS(I_Batch_Ops!$L$21:$L$342,I_Batch_Ops!$B$21:$B$342,$D7)</f>
        <v>261373100</v>
      </c>
      <c r="AW7" s="9" t="n">
        <f aca="false">AV7-H7</f>
        <v>-22796690.08</v>
      </c>
      <c r="AX7" s="21" t="n">
        <f aca="false">IFERROR(AW7/AV7,0)</f>
        <v>-0.0872189604821613</v>
      </c>
      <c r="AY7" s="9" t="n">
        <f aca="false">AG7-AV7</f>
        <v>15739561.0056085</v>
      </c>
      <c r="AZ7" s="7" t="n">
        <f aca="false">ROUND(SUMIFS(I_Batch_Ops!$K$5:$K$16,I_Batch_Ops!$C$5:$C$16,$D7)-H7,0)</f>
        <v>-0</v>
      </c>
      <c r="BA7" s="84" t="n">
        <v>11214.1</v>
      </c>
    </row>
    <row r="8" customFormat="false" ht="15" hidden="false" customHeight="false" outlineLevel="0" collapsed="false">
      <c r="B8" s="76" t="n">
        <v>46245</v>
      </c>
      <c r="C8" s="74" t="s">
        <v>1297</v>
      </c>
      <c r="D8" s="74" t="s">
        <v>1298</v>
      </c>
      <c r="E8" s="74" t="s">
        <v>1299</v>
      </c>
      <c r="F8" s="74" t="s">
        <v>1300</v>
      </c>
      <c r="G8" s="84" t="n">
        <v>7000</v>
      </c>
      <c r="H8" s="8" t="n">
        <v>185553120.07</v>
      </c>
      <c r="I8" s="8" t="n">
        <v>7000000</v>
      </c>
      <c r="J8" s="8" t="n">
        <v>10553120</v>
      </c>
      <c r="K8" s="9" t="n">
        <f aca="false">H8-I8-J8</f>
        <v>168000000.07</v>
      </c>
      <c r="L8" s="9" t="n">
        <f aca="false">IFERROR(K8/G8,0)</f>
        <v>24000.00001</v>
      </c>
      <c r="M8" s="84" t="n">
        <v>6595.7</v>
      </c>
      <c r="N8" s="20" t="n">
        <f aca="false">G8-M8</f>
        <v>404.3</v>
      </c>
      <c r="O8" s="32" t="n">
        <f aca="false">IFERROR(N8/G8,0)</f>
        <v>0.0577571428571429</v>
      </c>
      <c r="P8" s="9" t="n">
        <f aca="false">N8*L8</f>
        <v>9703200.004043</v>
      </c>
      <c r="Q8" s="8" t="n">
        <v>420000</v>
      </c>
      <c r="R8" s="7" t="n">
        <f aca="false">SUMIFS('MA Engine'!$L$6:$L$1110,'MA Engine'!$J$6:$J$1110,$D8,'MA Engine'!$I$6:$I$1110,"Receipt")</f>
        <v>185553120.06</v>
      </c>
      <c r="S8" s="9" t="n">
        <f aca="false">ROUND(H8-R8,0)</f>
        <v>0</v>
      </c>
      <c r="T8" s="19" t="n">
        <f aca="false">SUMIFS('MA Engine'!$K$6:$K$1110,'MA Engine'!$J$6:$J$1110,$D8,'MA Engine'!$I$6:$I$1110,"Receipt",'MA Engine'!$D$6:$D$1110,"Karkas",'MA Engine'!$E$6:$E$1110,"Fresh")</f>
        <v>2613.1</v>
      </c>
      <c r="U8" s="19" t="n">
        <f aca="false">SUMIFS('MA Engine'!$K$6:$K$1110,'MA Engine'!$J$6:$J$1110,$D8,'MA Engine'!$I$6:$I$1110,"Receipt",'MA Engine'!$D$6:$D$1110,"Karkas",'MA Engine'!$E$6:$E$1110,"Frozen")</f>
        <v>2004.4</v>
      </c>
      <c r="V8" s="19" t="n">
        <f aca="false">SUMIFS('MA Engine'!$K$6:$K$1110,'MA Engine'!$J$6:$J$1110,$D8,'MA Engine'!$I$6:$I$1110,"Receipt",'MA Engine'!$D$6:$D$1110,"Karkas")</f>
        <v>4617.5</v>
      </c>
      <c r="W8" s="19" t="n">
        <f aca="false">SUMIFS('MA Engine'!$K$6:$K$1110,'MA Engine'!$J$6:$J$1110,$D8,'MA Engine'!$I$6:$I$1110,"Receipt",'MA Engine'!$D$6:$D$1110,"HJA (Hati/Jantung/Ampela)")</f>
        <v>415.2</v>
      </c>
      <c r="X8" s="19" t="n">
        <f aca="false">SUMIFS('MA Engine'!$K$6:$K$1110,'MA Engine'!$J$6:$J$1110,$D8,'MA Engine'!$I$6:$I$1110,"Receipt",'MA Engine'!$D$6:$D$1110,"Kepala")</f>
        <v>323.2</v>
      </c>
      <c r="Y8" s="19" t="n">
        <f aca="false">SUMIFS('MA Engine'!$K$6:$K$1110,'MA Engine'!$J$6:$J$1110,$D8,'MA Engine'!$I$6:$I$1110,"Receipt",'MA Engine'!$D$6:$D$1110,"Usus")</f>
        <v>314.8</v>
      </c>
      <c r="Z8" s="19" t="n">
        <f aca="false">SUMIFS('MA Engine'!$K$6:$K$1110,'MA Engine'!$J$6:$J$1110,$D8,'MA Engine'!$I$6:$I$1110,"Receipt",'MA Engine'!$D$6:$D$1110,"Ceker")</f>
        <v>222.2</v>
      </c>
      <c r="AA8" s="19" t="n">
        <f aca="false">SUMIFS('MA Engine'!$K$6:$K$1110,'MA Engine'!$J$6:$J$1110,$D8,'MA Engine'!$I$6:$I$1110,"Receipt",'MA Engine'!$D$6:$D$1110,"Lemak")</f>
        <v>22</v>
      </c>
      <c r="AB8" s="19" t="n">
        <f aca="false">SUMIFS('MA Engine'!$K$6:$K$1110,'MA Engine'!$J$6:$J$1110,$D8,'MA Engine'!$I$6:$I$1110,"Receipt")-V8</f>
        <v>1297.4</v>
      </c>
      <c r="AC8" s="20" t="n">
        <f aca="false">V8+AB8</f>
        <v>5914.9</v>
      </c>
      <c r="AD8" s="21" t="n">
        <f aca="false">IFERROR(V8/M8,0)</f>
        <v>0.700077323104447</v>
      </c>
      <c r="AE8" s="21" t="n">
        <f aca="false">IFERROR(V8/AC8,0)</f>
        <v>0.780655632386008</v>
      </c>
      <c r="AF8" s="21" t="n">
        <f aca="false">IFERROR(T8/V8,0)</f>
        <v>0.565912290200325</v>
      </c>
      <c r="AG8" s="9" t="n">
        <f aca="false">T8*$D$23+U8*$D$24+W8*$D$25+X8*$D$26+Y8*$D$27+Z8*$D$28+AA8*$D$29</f>
        <v>163939837.848256</v>
      </c>
      <c r="AH8" s="9" t="n">
        <f aca="false">AG8-H8</f>
        <v>-21613282.2217441</v>
      </c>
      <c r="AI8" s="9" t="n">
        <f aca="false">IFERROR(H8/AC8,0)</f>
        <v>31370.457669614</v>
      </c>
      <c r="AJ8" s="9" t="n">
        <f aca="false">IFERROR(AG8/AC8,0)</f>
        <v>27716.417496197</v>
      </c>
      <c r="AK8" s="9" t="n">
        <f aca="false">IFERROR(I8/G8,0)</f>
        <v>1000</v>
      </c>
      <c r="AL8" s="9" t="n">
        <f aca="false">IFERROR((AG8-I8-J8)/G8,0)</f>
        <v>20912.3882640366</v>
      </c>
      <c r="AM8" s="19" t="n">
        <f aca="false">SUMIFS(I_Batch_Ops!$J$21:$J$342,I_Batch_Ops!$B$21:$B$342,$D8)</f>
        <v>5914.9</v>
      </c>
      <c r="AN8" s="19" t="n">
        <f aca="false">SUMIFS(I_Batch_Ops!$J$21:$J$342,I_Batch_Ops!$B$21:$B$342,$D8,I_Batch_Ops!$P$21:$P$342,"N")</f>
        <v>0</v>
      </c>
      <c r="AO8" s="20" t="n">
        <f aca="false">ROUND(AM8-AN8-AC8,1)</f>
        <v>0</v>
      </c>
      <c r="AP8" s="21" t="n">
        <f aca="false">IFERROR(AM8/G8,0)</f>
        <v>0.844985714285714</v>
      </c>
      <c r="AQ8" s="21" t="n">
        <f aca="false">IFERROR(V8/G8,0)</f>
        <v>0.659642857142857</v>
      </c>
      <c r="AR8" s="21" t="n">
        <f aca="false">IFERROR(X8/G8,0)</f>
        <v>0.0461714285714286</v>
      </c>
      <c r="AS8" s="21" t="n">
        <f aca="false">IFERROR(Z8/G8,0)</f>
        <v>0.0317428571428571</v>
      </c>
      <c r="AT8" s="22" t="n">
        <f aca="false">IFERROR(SUMIFS(I_Batch_Ops!$J$21:$J$342,I_Batch_Ops!$B$21:$B$342,$D8,I_Batch_Ops!$C$21:$C$342,"Usus")/G8,0)</f>
        <v>0.0449714285714286</v>
      </c>
      <c r="AU8" s="21" t="n">
        <f aca="false">IFERROR(AA8/G8,0)</f>
        <v>0.00314285714285714</v>
      </c>
      <c r="AV8" s="7" t="n">
        <f aca="false">SUMIFS(I_Batch_Ops!$L$21:$L$342,I_Batch_Ops!$B$21:$B$342,$D8)</f>
        <v>161417600</v>
      </c>
      <c r="AW8" s="9" t="n">
        <f aca="false">AV8-H8</f>
        <v>-24135520.07</v>
      </c>
      <c r="AX8" s="21" t="n">
        <f aca="false">IFERROR(AW8/AV8,0)</f>
        <v>-0.149522233449141</v>
      </c>
      <c r="AY8" s="9" t="n">
        <f aca="false">AG8-AV8</f>
        <v>2522237.8482559</v>
      </c>
      <c r="AZ8" s="7" t="n">
        <f aca="false">ROUND(SUMIFS(I_Batch_Ops!$K$5:$K$16,I_Batch_Ops!$C$5:$C$16,$D8)-H8,0)</f>
        <v>-0</v>
      </c>
      <c r="BA8" s="84" t="n">
        <v>7000</v>
      </c>
    </row>
    <row r="9" customFormat="false" ht="15" hidden="false" customHeight="false" outlineLevel="0" collapsed="false">
      <c r="B9" s="76" t="n">
        <v>46248</v>
      </c>
      <c r="C9" s="74" t="s">
        <v>1301</v>
      </c>
      <c r="D9" s="74" t="s">
        <v>1302</v>
      </c>
      <c r="E9" s="74" t="s">
        <v>1303</v>
      </c>
      <c r="F9" s="74" t="s">
        <v>1296</v>
      </c>
      <c r="G9" s="84" t="n">
        <v>15388.94</v>
      </c>
      <c r="H9" s="8" t="n">
        <v>432097462.25</v>
      </c>
      <c r="I9" s="8" t="n">
        <v>18000000</v>
      </c>
      <c r="J9" s="8" t="n">
        <v>23557280</v>
      </c>
      <c r="K9" s="9" t="n">
        <f aca="false">H9-I9-J9</f>
        <v>390540182.25</v>
      </c>
      <c r="L9" s="9" t="n">
        <f aca="false">IFERROR(K9/G9,0)</f>
        <v>25377.978096607</v>
      </c>
      <c r="M9" s="84" t="n">
        <v>14723.3</v>
      </c>
      <c r="N9" s="20" t="n">
        <f aca="false">G9-M9</f>
        <v>665.640000000001</v>
      </c>
      <c r="O9" s="32" t="n">
        <f aca="false">IFERROR(N9/G9,0)</f>
        <v>0.0432544411765853</v>
      </c>
      <c r="P9" s="9" t="n">
        <f aca="false">N9*L9</f>
        <v>16892597.3402255</v>
      </c>
      <c r="Q9" s="8" t="n">
        <v>976350</v>
      </c>
      <c r="R9" s="7" t="n">
        <f aca="false">SUMIFS('MA Engine'!$L$6:$L$1110,'MA Engine'!$J$6:$J$1110,$D9,'MA Engine'!$I$6:$I$1110,"Receipt")</f>
        <v>432097462.24</v>
      </c>
      <c r="S9" s="9" t="n">
        <f aca="false">ROUND(H9-R9,0)</f>
        <v>0</v>
      </c>
      <c r="T9" s="19" t="n">
        <f aca="false">SUMIFS('MA Engine'!$K$6:$K$1110,'MA Engine'!$J$6:$J$1110,$D9,'MA Engine'!$I$6:$I$1110,"Receipt",'MA Engine'!$D$6:$D$1110,"Karkas",'MA Engine'!$E$6:$E$1110,"Fresh")</f>
        <v>7526.4</v>
      </c>
      <c r="U9" s="19" t="n">
        <f aca="false">SUMIFS('MA Engine'!$K$6:$K$1110,'MA Engine'!$J$6:$J$1110,$D9,'MA Engine'!$I$6:$I$1110,"Receipt",'MA Engine'!$D$6:$D$1110,"Karkas",'MA Engine'!$E$6:$E$1110,"Frozen")</f>
        <v>3177.4</v>
      </c>
      <c r="V9" s="19" t="n">
        <f aca="false">SUMIFS('MA Engine'!$K$6:$K$1110,'MA Engine'!$J$6:$J$1110,$D9,'MA Engine'!$I$6:$I$1110,"Receipt",'MA Engine'!$D$6:$D$1110,"Karkas")</f>
        <v>10703.8</v>
      </c>
      <c r="W9" s="19" t="n">
        <f aca="false">SUMIFS('MA Engine'!$K$6:$K$1110,'MA Engine'!$J$6:$J$1110,$D9,'MA Engine'!$I$6:$I$1110,"Receipt",'MA Engine'!$D$6:$D$1110,"HJA (Hati/Jantung/Ampela)")</f>
        <v>850.1</v>
      </c>
      <c r="X9" s="19" t="n">
        <f aca="false">SUMIFS('MA Engine'!$K$6:$K$1110,'MA Engine'!$J$6:$J$1110,$D9,'MA Engine'!$I$6:$I$1110,"Receipt",'MA Engine'!$D$6:$D$1110,"Kepala")</f>
        <v>705.9</v>
      </c>
      <c r="Y9" s="19" t="n">
        <f aca="false">SUMIFS('MA Engine'!$K$6:$K$1110,'MA Engine'!$J$6:$J$1110,$D9,'MA Engine'!$I$6:$I$1110,"Receipt",'MA Engine'!$D$6:$D$1110,"Usus")</f>
        <v>714.9</v>
      </c>
      <c r="Z9" s="19" t="n">
        <f aca="false">SUMIFS('MA Engine'!$K$6:$K$1110,'MA Engine'!$J$6:$J$1110,$D9,'MA Engine'!$I$6:$I$1110,"Receipt",'MA Engine'!$D$6:$D$1110,"Ceker")</f>
        <v>413.8</v>
      </c>
      <c r="AA9" s="19" t="n">
        <f aca="false">SUMIFS('MA Engine'!$K$6:$K$1110,'MA Engine'!$J$6:$J$1110,$D9,'MA Engine'!$I$6:$I$1110,"Receipt",'MA Engine'!$D$6:$D$1110,"Lemak")</f>
        <v>60.1</v>
      </c>
      <c r="AB9" s="19" t="n">
        <f aca="false">SUMIFS('MA Engine'!$K$6:$K$1110,'MA Engine'!$J$6:$J$1110,$D9,'MA Engine'!$I$6:$I$1110,"Receipt")-V9</f>
        <v>2744.8</v>
      </c>
      <c r="AC9" s="20" t="n">
        <f aca="false">V9+AB9</f>
        <v>13448.6</v>
      </c>
      <c r="AD9" s="21" t="n">
        <f aca="false">IFERROR(V9/M9,0)</f>
        <v>0.726997344345358</v>
      </c>
      <c r="AE9" s="21" t="n">
        <f aca="false">IFERROR(V9/AC9,0)</f>
        <v>0.795904406406615</v>
      </c>
      <c r="AF9" s="21" t="n">
        <f aca="false">IFERROR(T9/V9,0)</f>
        <v>0.703152151572339</v>
      </c>
      <c r="AG9" s="9" t="n">
        <f aca="false">T9*$D$23+U9*$D$24+W9*$D$25+X9*$D$26+Y9*$D$27+Z9*$D$28+AA9*$D$29</f>
        <v>386555144.292627</v>
      </c>
      <c r="AH9" s="9" t="n">
        <f aca="false">AG9-H9</f>
        <v>-45542317.9573725</v>
      </c>
      <c r="AI9" s="9" t="n">
        <f aca="false">IFERROR(H9/AC9,0)</f>
        <v>32129.5497114941</v>
      </c>
      <c r="AJ9" s="9" t="n">
        <f aca="false">IFERROR(AG9/AC9,0)</f>
        <v>28743.1512791389</v>
      </c>
      <c r="AK9" s="9" t="n">
        <f aca="false">IFERROR(I9/G9,0)</f>
        <v>1169.67120542416</v>
      </c>
      <c r="AL9" s="9" t="n">
        <f aca="false">IFERROR((AG9-I9-J9)/G9,0)</f>
        <v>22418.5593219954</v>
      </c>
      <c r="AM9" s="19" t="n">
        <f aca="false">SUMIFS(I_Batch_Ops!$J$21:$J$342,I_Batch_Ops!$B$21:$B$342,$D9)</f>
        <v>13448.6</v>
      </c>
      <c r="AN9" s="19" t="n">
        <f aca="false">SUMIFS(I_Batch_Ops!$J$21:$J$342,I_Batch_Ops!$B$21:$B$342,$D9,I_Batch_Ops!$P$21:$P$342,"N")</f>
        <v>0</v>
      </c>
      <c r="AO9" s="20" t="n">
        <f aca="false">ROUND(AM9-AN9-AC9,1)</f>
        <v>0</v>
      </c>
      <c r="AP9" s="21" t="n">
        <f aca="false">IFERROR(AM9/G9,0)</f>
        <v>0.873913342959294</v>
      </c>
      <c r="AQ9" s="21" t="n">
        <f aca="false">IFERROR(V9/G9,0)</f>
        <v>0.695551480478837</v>
      </c>
      <c r="AR9" s="21" t="n">
        <f aca="false">IFERROR(X9/G9,0)</f>
        <v>0.0458706057727173</v>
      </c>
      <c r="AS9" s="21" t="n">
        <f aca="false">IFERROR(Z9/G9,0)</f>
        <v>0.0268894413780286</v>
      </c>
      <c r="AT9" s="22" t="n">
        <f aca="false">IFERROR(SUMIFS(I_Batch_Ops!$J$21:$J$342,I_Batch_Ops!$B$21:$B$342,$D9,I_Batch_Ops!$C$21:$C$342,"Usus")/G9,0)</f>
        <v>0.0464554413754294</v>
      </c>
      <c r="AU9" s="21" t="n">
        <f aca="false">IFERROR(AA9/G9,0)</f>
        <v>0.00390540219144399</v>
      </c>
      <c r="AV9" s="7" t="n">
        <f aca="false">SUMIFS(I_Batch_Ops!$L$21:$L$342,I_Batch_Ops!$B$21:$B$342,$D9)</f>
        <v>372441000</v>
      </c>
      <c r="AW9" s="9" t="n">
        <f aca="false">AV9-H9</f>
        <v>-59656462.25</v>
      </c>
      <c r="AX9" s="21" t="n">
        <f aca="false">IFERROR(AW9/AV9,0)</f>
        <v>-0.160176946818422</v>
      </c>
      <c r="AY9" s="9" t="n">
        <f aca="false">AG9-AV9</f>
        <v>14114144.2926275</v>
      </c>
      <c r="AZ9" s="7" t="n">
        <f aca="false">ROUND(SUMIFS(I_Batch_Ops!$K$5:$K$16,I_Batch_Ops!$C$5:$C$16,$D9)-H9,0)</f>
        <v>-0</v>
      </c>
      <c r="BA9" s="84" t="n">
        <v>15388.94</v>
      </c>
    </row>
    <row r="10" customFormat="false" ht="15" hidden="false" customHeight="false" outlineLevel="0" collapsed="false">
      <c r="B10" s="76" t="n">
        <v>46253</v>
      </c>
      <c r="C10" s="74" t="s">
        <v>1304</v>
      </c>
      <c r="D10" s="74" t="s">
        <v>1305</v>
      </c>
      <c r="E10" s="74" t="s">
        <v>1306</v>
      </c>
      <c r="F10" s="74" t="s">
        <v>1296</v>
      </c>
      <c r="G10" s="84" t="n">
        <v>16862.7</v>
      </c>
      <c r="H10" s="8" t="n">
        <v>461981209.67</v>
      </c>
      <c r="I10" s="8" t="n">
        <v>25000000</v>
      </c>
      <c r="J10" s="8" t="n">
        <v>24929120</v>
      </c>
      <c r="K10" s="9" t="n">
        <f aca="false">H10-I10-J10</f>
        <v>412052089.67</v>
      </c>
      <c r="L10" s="9" t="n">
        <f aca="false">IFERROR(K10/G10,0)</f>
        <v>24435.7125294289</v>
      </c>
      <c r="M10" s="84" t="n">
        <v>15580.7</v>
      </c>
      <c r="N10" s="20" t="n">
        <f aca="false">G10-M10</f>
        <v>1282</v>
      </c>
      <c r="O10" s="32" t="n">
        <f aca="false">IFERROR(N10/G10,0)</f>
        <v>0.0760257847201219</v>
      </c>
      <c r="P10" s="9" t="n">
        <f aca="false">N10*L10</f>
        <v>31326583.4627278</v>
      </c>
      <c r="Q10" s="8" t="n">
        <v>1030130</v>
      </c>
      <c r="R10" s="7" t="n">
        <f aca="false">SUMIFS('MA Engine'!$L$6:$L$1110,'MA Engine'!$J$6:$J$1110,$D10,'MA Engine'!$I$6:$I$1110,"Receipt")</f>
        <v>461981209.68</v>
      </c>
      <c r="S10" s="9" t="n">
        <f aca="false">ROUND(H10-R10,0)</f>
        <v>-0</v>
      </c>
      <c r="T10" s="19" t="n">
        <f aca="false">SUMIFS('MA Engine'!$K$6:$K$1110,'MA Engine'!$J$6:$J$1110,$D10,'MA Engine'!$I$6:$I$1110,"Receipt",'MA Engine'!$D$6:$D$1110,"Karkas",'MA Engine'!$E$6:$E$1110,"Fresh")</f>
        <v>8445.8</v>
      </c>
      <c r="U10" s="19" t="n">
        <f aca="false">SUMIFS('MA Engine'!$K$6:$K$1110,'MA Engine'!$J$6:$J$1110,$D10,'MA Engine'!$I$6:$I$1110,"Receipt",'MA Engine'!$D$6:$D$1110,"Karkas",'MA Engine'!$E$6:$E$1110,"Frozen")</f>
        <v>3092</v>
      </c>
      <c r="V10" s="19" t="n">
        <f aca="false">SUMIFS('MA Engine'!$K$6:$K$1110,'MA Engine'!$J$6:$J$1110,$D10,'MA Engine'!$I$6:$I$1110,"Receipt",'MA Engine'!$D$6:$D$1110,"Karkas")</f>
        <v>11537.8</v>
      </c>
      <c r="W10" s="19" t="n">
        <f aca="false">SUMIFS('MA Engine'!$K$6:$K$1110,'MA Engine'!$J$6:$J$1110,$D10,'MA Engine'!$I$6:$I$1110,"Receipt",'MA Engine'!$D$6:$D$1110,"HJA (Hati/Jantung/Ampela)")</f>
        <v>829.6</v>
      </c>
      <c r="X10" s="19" t="n">
        <f aca="false">SUMIFS('MA Engine'!$K$6:$K$1110,'MA Engine'!$J$6:$J$1110,$D10,'MA Engine'!$I$6:$I$1110,"Receipt",'MA Engine'!$D$6:$D$1110,"Kepala")</f>
        <v>739.8</v>
      </c>
      <c r="Y10" s="19" t="n">
        <f aca="false">SUMIFS('MA Engine'!$K$6:$K$1110,'MA Engine'!$J$6:$J$1110,$D10,'MA Engine'!$I$6:$I$1110,"Receipt",'MA Engine'!$D$6:$D$1110,"Usus")</f>
        <v>658.5</v>
      </c>
      <c r="Z10" s="19" t="n">
        <f aca="false">SUMIFS('MA Engine'!$K$6:$K$1110,'MA Engine'!$J$6:$J$1110,$D10,'MA Engine'!$I$6:$I$1110,"Receipt",'MA Engine'!$D$6:$D$1110,"Ceker")</f>
        <v>480.5</v>
      </c>
      <c r="AA10" s="19" t="n">
        <f aca="false">SUMIFS('MA Engine'!$K$6:$K$1110,'MA Engine'!$J$6:$J$1110,$D10,'MA Engine'!$I$6:$I$1110,"Receipt",'MA Engine'!$D$6:$D$1110,"Lemak")</f>
        <v>48.7</v>
      </c>
      <c r="AB10" s="19" t="n">
        <f aca="false">SUMIFS('MA Engine'!$K$6:$K$1110,'MA Engine'!$J$6:$J$1110,$D10,'MA Engine'!$I$6:$I$1110,"Receipt")-V10</f>
        <v>2757.1</v>
      </c>
      <c r="AC10" s="20" t="n">
        <f aca="false">V10+AB10</f>
        <v>14294.9</v>
      </c>
      <c r="AD10" s="21" t="n">
        <f aca="false">IFERROR(V10/M10,0)</f>
        <v>0.740518718671177</v>
      </c>
      <c r="AE10" s="21" t="n">
        <f aca="false">IFERROR(V10/AC10,0)</f>
        <v>0.807127017327858</v>
      </c>
      <c r="AF10" s="21" t="n">
        <f aca="false">IFERROR(T10/V10,0)</f>
        <v>0.732011301981314</v>
      </c>
      <c r="AG10" s="9" t="n">
        <f aca="false">T10*$D$23+U10*$D$24+W10*$D$25+X10*$D$26+Y10*$D$27+Z10*$D$28+AA10*$D$29</f>
        <v>417846395.948056</v>
      </c>
      <c r="AH10" s="9" t="n">
        <f aca="false">AG10-H10</f>
        <v>-44134813.7219443</v>
      </c>
      <c r="AI10" s="9" t="n">
        <f aca="false">IFERROR(H10/AC10,0)</f>
        <v>32317.904264458</v>
      </c>
      <c r="AJ10" s="9" t="n">
        <f aca="false">IFERROR(AG10/AC10,0)</f>
        <v>29230.4525353836</v>
      </c>
      <c r="AK10" s="9" t="n">
        <f aca="false">IFERROR(I10/G10,0)</f>
        <v>1482.56210452656</v>
      </c>
      <c r="AL10" s="9" t="n">
        <f aca="false">IFERROR((AG10-I10-J10)/G10,0)</f>
        <v>21818.4084368491</v>
      </c>
      <c r="AM10" s="19" t="n">
        <f aca="false">SUMIFS(I_Batch_Ops!$J$21:$J$342,I_Batch_Ops!$B$21:$B$342,$D10)</f>
        <v>14294.9</v>
      </c>
      <c r="AN10" s="19" t="n">
        <f aca="false">SUMIFS(I_Batch_Ops!$J$21:$J$342,I_Batch_Ops!$B$21:$B$342,$D10,I_Batch_Ops!$P$21:$P$342,"N")</f>
        <v>0</v>
      </c>
      <c r="AO10" s="20" t="n">
        <f aca="false">ROUND(AM10-AN10-AC10,1)</f>
        <v>0</v>
      </c>
      <c r="AP10" s="21" t="n">
        <f aca="false">IFERROR(AM10/G10,0)</f>
        <v>0.847723081119868</v>
      </c>
      <c r="AQ10" s="21" t="n">
        <f aca="false">IFERROR(V10/G10,0)</f>
        <v>0.684220201984261</v>
      </c>
      <c r="AR10" s="21" t="n">
        <f aca="false">IFERROR(X10/G10,0)</f>
        <v>0.0438719777971499</v>
      </c>
      <c r="AS10" s="21" t="n">
        <f aca="false">IFERROR(Z10/G10,0)</f>
        <v>0.0284948436490005</v>
      </c>
      <c r="AT10" s="22" t="n">
        <f aca="false">IFERROR(SUMIFS(I_Batch_Ops!$J$21:$J$342,I_Batch_Ops!$B$21:$B$342,$D10,I_Batch_Ops!$C$21:$C$342,"Usus")/G10,0)</f>
        <v>0.0390506858332296</v>
      </c>
      <c r="AU10" s="21" t="n">
        <f aca="false">IFERROR(AA10/G10,0)</f>
        <v>0.00288803097961774</v>
      </c>
      <c r="AV10" s="7" t="n">
        <f aca="false">SUMIFS(I_Batch_Ops!$L$21:$L$342,I_Batch_Ops!$B$21:$B$342,$D10)</f>
        <v>403459000</v>
      </c>
      <c r="AW10" s="9" t="n">
        <f aca="false">AV10-H10</f>
        <v>-58522209.67</v>
      </c>
      <c r="AX10" s="21" t="n">
        <f aca="false">IFERROR(AW10/AV10,0)</f>
        <v>-0.1450511939751</v>
      </c>
      <c r="AY10" s="9" t="n">
        <f aca="false">AG10-AV10</f>
        <v>14387395.9480557</v>
      </c>
      <c r="AZ10" s="7" t="n">
        <f aca="false">ROUND(SUMIFS(I_Batch_Ops!$K$5:$K$16,I_Batch_Ops!$C$5:$C$16,$D10)-H10,0)</f>
        <v>0</v>
      </c>
      <c r="BA10" s="84" t="n">
        <v>16862.7</v>
      </c>
    </row>
    <row r="11" customFormat="false" ht="15" hidden="false" customHeight="false" outlineLevel="0" collapsed="false">
      <c r="B11" s="76" t="n">
        <v>46254</v>
      </c>
      <c r="C11" s="74" t="s">
        <v>1307</v>
      </c>
      <c r="D11" s="74" t="s">
        <v>1308</v>
      </c>
      <c r="E11" s="74" t="s">
        <v>1309</v>
      </c>
      <c r="F11" s="74" t="s">
        <v>1296</v>
      </c>
      <c r="G11" s="84" t="n">
        <v>8177.6</v>
      </c>
      <c r="H11" s="8" t="n">
        <v>226693920.22</v>
      </c>
      <c r="I11" s="8" t="n">
        <v>9000000</v>
      </c>
      <c r="J11" s="8" t="n">
        <v>12436160</v>
      </c>
      <c r="K11" s="9" t="n">
        <f aca="false">H11-I11-J11</f>
        <v>205257760.22</v>
      </c>
      <c r="L11" s="9" t="n">
        <f aca="false">IFERROR(K11/G11,0)</f>
        <v>25100.0000269028</v>
      </c>
      <c r="M11" s="84" t="n">
        <v>7772.6</v>
      </c>
      <c r="N11" s="20" t="n">
        <f aca="false">G11-M11</f>
        <v>405</v>
      </c>
      <c r="O11" s="32" t="n">
        <f aca="false">IFERROR(N11/G11,0)</f>
        <v>0.0495255331637644</v>
      </c>
      <c r="P11" s="9" t="n">
        <f aca="false">N11*L11</f>
        <v>10165500.0108956</v>
      </c>
      <c r="Q11" s="8" t="n">
        <v>0</v>
      </c>
      <c r="R11" s="7" t="n">
        <f aca="false">SUMIFS('MA Engine'!$L$6:$L$1110,'MA Engine'!$J$6:$J$1110,$D11,'MA Engine'!$I$6:$I$1110,"Receipt")</f>
        <v>226693920.22</v>
      </c>
      <c r="S11" s="9" t="n">
        <f aca="false">ROUND(H11-R11,0)</f>
        <v>0</v>
      </c>
      <c r="T11" s="19" t="n">
        <f aca="false">SUMIFS('MA Engine'!$K$6:$K$1110,'MA Engine'!$J$6:$J$1110,$D11,'MA Engine'!$I$6:$I$1110,"Receipt",'MA Engine'!$D$6:$D$1110,"Karkas",'MA Engine'!$E$6:$E$1110,"Fresh")</f>
        <v>1577.7</v>
      </c>
      <c r="U11" s="19" t="n">
        <f aca="false">SUMIFS('MA Engine'!$K$6:$K$1110,'MA Engine'!$J$6:$J$1110,$D11,'MA Engine'!$I$6:$I$1110,"Receipt",'MA Engine'!$D$6:$D$1110,"Karkas",'MA Engine'!$E$6:$E$1110,"Frozen")</f>
        <v>4063.9</v>
      </c>
      <c r="V11" s="19" t="n">
        <f aca="false">SUMIFS('MA Engine'!$K$6:$K$1110,'MA Engine'!$J$6:$J$1110,$D11,'MA Engine'!$I$6:$I$1110,"Receipt",'MA Engine'!$D$6:$D$1110,"Karkas")</f>
        <v>5641.6</v>
      </c>
      <c r="W11" s="19" t="n">
        <f aca="false">SUMIFS('MA Engine'!$K$6:$K$1110,'MA Engine'!$J$6:$J$1110,$D11,'MA Engine'!$I$6:$I$1110,"Receipt",'MA Engine'!$D$6:$D$1110,"HJA (Hati/Jantung/Ampela)")</f>
        <v>468.4</v>
      </c>
      <c r="X11" s="19" t="n">
        <f aca="false">SUMIFS('MA Engine'!$K$6:$K$1110,'MA Engine'!$J$6:$J$1110,$D11,'MA Engine'!$I$6:$I$1110,"Receipt",'MA Engine'!$D$6:$D$1110,"Kepala")</f>
        <v>368.4</v>
      </c>
      <c r="Y11" s="19" t="n">
        <f aca="false">SUMIFS('MA Engine'!$K$6:$K$1110,'MA Engine'!$J$6:$J$1110,$D11,'MA Engine'!$I$6:$I$1110,"Receipt",'MA Engine'!$D$6:$D$1110,"Usus")</f>
        <v>388.1</v>
      </c>
      <c r="Z11" s="19" t="n">
        <f aca="false">SUMIFS('MA Engine'!$K$6:$K$1110,'MA Engine'!$J$6:$J$1110,$D11,'MA Engine'!$I$6:$I$1110,"Receipt",'MA Engine'!$D$6:$D$1110,"Ceker")</f>
        <v>228.9</v>
      </c>
      <c r="AA11" s="19" t="n">
        <f aca="false">SUMIFS('MA Engine'!$K$6:$K$1110,'MA Engine'!$J$6:$J$1110,$D11,'MA Engine'!$I$6:$I$1110,"Receipt",'MA Engine'!$D$6:$D$1110,"Lemak")</f>
        <v>32</v>
      </c>
      <c r="AB11" s="19" t="n">
        <f aca="false">SUMIFS('MA Engine'!$K$6:$K$1110,'MA Engine'!$J$6:$J$1110,$D11,'MA Engine'!$I$6:$I$1110,"Receipt")-V11</f>
        <v>1485.8</v>
      </c>
      <c r="AC11" s="20" t="n">
        <f aca="false">V11+AB11</f>
        <v>7127.4</v>
      </c>
      <c r="AD11" s="21" t="n">
        <f aca="false">IFERROR(V11/M11,0)</f>
        <v>0.725831768005558</v>
      </c>
      <c r="AE11" s="21" t="n">
        <f aca="false">IFERROR(V11/AC11,0)</f>
        <v>0.791536885820917</v>
      </c>
      <c r="AF11" s="21" t="n">
        <f aca="false">IFERROR(T11/V11,0)</f>
        <v>0.279654707884288</v>
      </c>
      <c r="AG11" s="9" t="n">
        <f aca="false">T11*$D$23+U11*$D$24+W11*$D$25+X11*$D$26+Y11*$D$27+Z11*$D$28+AA11*$D$29</f>
        <v>191595363.929528</v>
      </c>
      <c r="AH11" s="9" t="n">
        <f aca="false">AG11-H11</f>
        <v>-35098556.2904721</v>
      </c>
      <c r="AI11" s="9" t="n">
        <f aca="false">IFERROR(H11/AC11,0)</f>
        <v>31805.9769649522</v>
      </c>
      <c r="AJ11" s="9" t="n">
        <f aca="false">IFERROR(AG11/AC11,0)</f>
        <v>26881.5225649645</v>
      </c>
      <c r="AK11" s="9" t="n">
        <f aca="false">IFERROR(I11/G11,0)</f>
        <v>1100.56740363921</v>
      </c>
      <c r="AL11" s="9" t="n">
        <f aca="false">IFERROR((AG11-I11-J11)/G11,0)</f>
        <v>20807.963697115</v>
      </c>
      <c r="AM11" s="19" t="n">
        <f aca="false">SUMIFS(I_Batch_Ops!$J$21:$J$342,I_Batch_Ops!$B$21:$B$342,$D11)</f>
        <v>7127.4</v>
      </c>
      <c r="AN11" s="19" t="n">
        <f aca="false">SUMIFS(I_Batch_Ops!$J$21:$J$342,I_Batch_Ops!$B$21:$B$342,$D11,I_Batch_Ops!$P$21:$P$342,"N")</f>
        <v>0</v>
      </c>
      <c r="AO11" s="20" t="n">
        <f aca="false">ROUND(AM11-AN11-AC11,1)</f>
        <v>0</v>
      </c>
      <c r="AP11" s="21" t="n">
        <f aca="false">IFERROR(AM11/G11,0)</f>
        <v>0.871576012522011</v>
      </c>
      <c r="AQ11" s="21" t="n">
        <f aca="false">IFERROR(V11/G11,0)</f>
        <v>0.689884562707885</v>
      </c>
      <c r="AR11" s="21" t="n">
        <f aca="false">IFERROR(X11/G11,0)</f>
        <v>0.045049892388965</v>
      </c>
      <c r="AS11" s="21" t="n">
        <f aca="false">IFERROR(Z11/G11,0)</f>
        <v>0.0279910976325572</v>
      </c>
      <c r="AT11" s="22" t="n">
        <f aca="false">IFERROR(SUMIFS(I_Batch_Ops!$J$21:$J$342,I_Batch_Ops!$B$21:$B$342,$D11,I_Batch_Ops!$C$21:$C$342,"Usus")/G11,0)</f>
        <v>0.0474589121502641</v>
      </c>
      <c r="AU11" s="21" t="n">
        <f aca="false">IFERROR(AA11/G11,0)</f>
        <v>0.00391312854627275</v>
      </c>
      <c r="AV11" s="7" t="n">
        <f aca="false">SUMIFS(I_Batch_Ops!$L$21:$L$342,I_Batch_Ops!$B$21:$B$342,$D11)</f>
        <v>197533500</v>
      </c>
      <c r="AW11" s="9" t="n">
        <f aca="false">AV11-H11</f>
        <v>-29160420.22</v>
      </c>
      <c r="AX11" s="21" t="n">
        <f aca="false">IFERROR(AW11/AV11,0)</f>
        <v>-0.147622657523914</v>
      </c>
      <c r="AY11" s="9" t="n">
        <f aca="false">AG11-AV11</f>
        <v>-5938136.07047212</v>
      </c>
      <c r="AZ11" s="7" t="n">
        <f aca="false">ROUND(SUMIFS(I_Batch_Ops!$K$5:$K$16,I_Batch_Ops!$C$5:$C$16,$D11)-H11,0)</f>
        <v>-0</v>
      </c>
      <c r="BA11" s="84" t="n">
        <v>8177.6</v>
      </c>
    </row>
    <row r="12" customFormat="false" ht="15" hidden="false" customHeight="false" outlineLevel="0" collapsed="false">
      <c r="B12" s="76" t="n">
        <v>46255</v>
      </c>
      <c r="C12" s="74" t="s">
        <v>1310</v>
      </c>
      <c r="D12" s="74" t="s">
        <v>1311</v>
      </c>
      <c r="E12" s="74" t="s">
        <v>1312</v>
      </c>
      <c r="F12" s="74" t="s">
        <v>1296</v>
      </c>
      <c r="G12" s="84" t="n">
        <v>7780.6</v>
      </c>
      <c r="H12" s="8" t="n">
        <v>215978820.11</v>
      </c>
      <c r="I12" s="8" t="n">
        <v>9000000</v>
      </c>
      <c r="J12" s="8" t="n">
        <v>11685760</v>
      </c>
      <c r="K12" s="9" t="n">
        <f aca="false">H12-I12-J12</f>
        <v>195293060.11</v>
      </c>
      <c r="L12" s="9" t="n">
        <f aca="false">IFERROR(K12/G12,0)</f>
        <v>25100.0000141377</v>
      </c>
      <c r="M12" s="84" t="n">
        <v>7303.6</v>
      </c>
      <c r="N12" s="20" t="n">
        <f aca="false">G12-M12</f>
        <v>477</v>
      </c>
      <c r="O12" s="32" t="n">
        <f aca="false">IFERROR(N12/G12,0)</f>
        <v>0.0613063259902835</v>
      </c>
      <c r="P12" s="9" t="n">
        <f aca="false">N12*L12</f>
        <v>11972700.0067437</v>
      </c>
      <c r="Q12" s="8" t="n">
        <v>488232</v>
      </c>
      <c r="R12" s="7" t="n">
        <f aca="false">SUMIFS('MA Engine'!$L$6:$L$1110,'MA Engine'!$J$6:$J$1110,$D12,'MA Engine'!$I$6:$I$1110,"Receipt")</f>
        <v>215978820.1</v>
      </c>
      <c r="S12" s="9" t="n">
        <f aca="false">ROUND(H12-R12,0)</f>
        <v>0</v>
      </c>
      <c r="T12" s="19" t="n">
        <f aca="false">SUMIFS('MA Engine'!$K$6:$K$1110,'MA Engine'!$J$6:$J$1110,$D12,'MA Engine'!$I$6:$I$1110,"Receipt",'MA Engine'!$D$6:$D$1110,"Karkas",'MA Engine'!$E$6:$E$1110,"Fresh")</f>
        <v>1262.5</v>
      </c>
      <c r="U12" s="19" t="n">
        <f aca="false">SUMIFS('MA Engine'!$K$6:$K$1110,'MA Engine'!$J$6:$J$1110,$D12,'MA Engine'!$I$6:$I$1110,"Receipt",'MA Engine'!$D$6:$D$1110,"Karkas",'MA Engine'!$E$6:$E$1110,"Frozen")</f>
        <v>4074.2</v>
      </c>
      <c r="V12" s="19" t="n">
        <f aca="false">SUMIFS('MA Engine'!$K$6:$K$1110,'MA Engine'!$J$6:$J$1110,$D12,'MA Engine'!$I$6:$I$1110,"Receipt",'MA Engine'!$D$6:$D$1110,"Karkas")</f>
        <v>5336.7</v>
      </c>
      <c r="W12" s="19" t="n">
        <f aca="false">SUMIFS('MA Engine'!$K$6:$K$1110,'MA Engine'!$J$6:$J$1110,$D12,'MA Engine'!$I$6:$I$1110,"Receipt",'MA Engine'!$D$6:$D$1110,"HJA (Hati/Jantung/Ampela)")</f>
        <v>413.9</v>
      </c>
      <c r="X12" s="19" t="n">
        <f aca="false">SUMIFS('MA Engine'!$K$6:$K$1110,'MA Engine'!$J$6:$J$1110,$D12,'MA Engine'!$I$6:$I$1110,"Receipt",'MA Engine'!$D$6:$D$1110,"Kepala")</f>
        <v>350.1</v>
      </c>
      <c r="Y12" s="19" t="n">
        <f aca="false">SUMIFS('MA Engine'!$K$6:$K$1110,'MA Engine'!$J$6:$J$1110,$D12,'MA Engine'!$I$6:$I$1110,"Receipt",'MA Engine'!$D$6:$D$1110,"Usus")</f>
        <v>319.7</v>
      </c>
      <c r="Z12" s="19" t="n">
        <f aca="false">SUMIFS('MA Engine'!$K$6:$K$1110,'MA Engine'!$J$6:$J$1110,$D12,'MA Engine'!$I$6:$I$1110,"Receipt",'MA Engine'!$D$6:$D$1110,"Ceker")</f>
        <v>210.5</v>
      </c>
      <c r="AA12" s="19" t="n">
        <f aca="false">SUMIFS('MA Engine'!$K$6:$K$1110,'MA Engine'!$J$6:$J$1110,$D12,'MA Engine'!$I$6:$I$1110,"Receipt",'MA Engine'!$D$6:$D$1110,"Lemak")</f>
        <v>27.1</v>
      </c>
      <c r="AB12" s="19" t="n">
        <f aca="false">SUMIFS('MA Engine'!$K$6:$K$1110,'MA Engine'!$J$6:$J$1110,$D12,'MA Engine'!$I$6:$I$1110,"Receipt")-V12</f>
        <v>1321.3</v>
      </c>
      <c r="AC12" s="20" t="n">
        <f aca="false">V12+AB12</f>
        <v>6658</v>
      </c>
      <c r="AD12" s="21" t="n">
        <f aca="false">IFERROR(V12/M12,0)</f>
        <v>0.730694452051043</v>
      </c>
      <c r="AE12" s="21" t="n">
        <f aca="false">IFERROR(V12/AC12,0)</f>
        <v>0.801547011114449</v>
      </c>
      <c r="AF12" s="21" t="n">
        <f aca="false">IFERROR(T12/V12,0)</f>
        <v>0.23656941555643</v>
      </c>
      <c r="AG12" s="9" t="n">
        <f aca="false">T12*$D$23+U12*$D$24+W12*$D$25+X12*$D$26+Y12*$D$27+Z12*$D$28+AA12*$D$29</f>
        <v>179844440.591479</v>
      </c>
      <c r="AH12" s="9" t="n">
        <f aca="false">AG12-H12</f>
        <v>-36134379.5185213</v>
      </c>
      <c r="AI12" s="9" t="n">
        <f aca="false">IFERROR(H12/AC12,0)</f>
        <v>32438.9937083208</v>
      </c>
      <c r="AJ12" s="9" t="n">
        <f aca="false">IFERROR(AG12/AC12,0)</f>
        <v>27011.7814045477</v>
      </c>
      <c r="AK12" s="9" t="n">
        <f aca="false">IFERROR(I12/G12,0)</f>
        <v>1156.72313189214</v>
      </c>
      <c r="AL12" s="9" t="n">
        <f aca="false">IFERROR((AG12-I12-J12)/G12,0)</f>
        <v>20455.836386844</v>
      </c>
      <c r="AM12" s="19" t="n">
        <f aca="false">SUMIFS(I_Batch_Ops!$J$21:$J$342,I_Batch_Ops!$B$21:$B$342,$D12)</f>
        <v>6658</v>
      </c>
      <c r="AN12" s="19" t="n">
        <f aca="false">SUMIFS(I_Batch_Ops!$J$21:$J$342,I_Batch_Ops!$B$21:$B$342,$D12,I_Batch_Ops!$P$21:$P$342,"N")</f>
        <v>0</v>
      </c>
      <c r="AO12" s="20" t="n">
        <f aca="false">ROUND(AM12-AN12-AC12,1)</f>
        <v>0</v>
      </c>
      <c r="AP12" s="21" t="n">
        <f aca="false">IFERROR(AM12/G12,0)</f>
        <v>0.85571806801532</v>
      </c>
      <c r="AQ12" s="21" t="n">
        <f aca="false">IFERROR(V12/G12,0)</f>
        <v>0.68589825977431</v>
      </c>
      <c r="AR12" s="21" t="n">
        <f aca="false">IFERROR(X12/G12,0)</f>
        <v>0.0449965298306043</v>
      </c>
      <c r="AS12" s="21" t="n">
        <f aca="false">IFERROR(Z12/G12,0)</f>
        <v>0.0270544688070329</v>
      </c>
      <c r="AT12" s="22" t="n">
        <f aca="false">IFERROR(SUMIFS(I_Batch_Ops!$J$21:$J$342,I_Batch_Ops!$B$21:$B$342,$D12,I_Batch_Ops!$C$21:$C$342,"Usus")/G12,0)</f>
        <v>0.0410893761406575</v>
      </c>
      <c r="AU12" s="21" t="n">
        <f aca="false">IFERROR(AA12/G12,0)</f>
        <v>0.00348302187491967</v>
      </c>
      <c r="AV12" s="7" t="n">
        <f aca="false">SUMIFS(I_Batch_Ops!$L$21:$L$342,I_Batch_Ops!$B$21:$B$342,$D12)</f>
        <v>186502300</v>
      </c>
      <c r="AW12" s="9" t="n">
        <f aca="false">AV12-H12</f>
        <v>-29476520.11</v>
      </c>
      <c r="AX12" s="21" t="n">
        <f aca="false">IFERROR(AW12/AV12,0)</f>
        <v>-0.158049097035265</v>
      </c>
      <c r="AY12" s="9" t="n">
        <f aca="false">AG12-AV12</f>
        <v>-6657859.40852132</v>
      </c>
      <c r="AZ12" s="7" t="n">
        <f aca="false">ROUND(SUMIFS(I_Batch_Ops!$K$5:$K$16,I_Batch_Ops!$C$5:$C$16,$D12)-H12,0)</f>
        <v>-0</v>
      </c>
      <c r="BA12" s="84" t="n">
        <v>7780.6</v>
      </c>
    </row>
    <row r="13" customFormat="false" ht="15" hidden="false" customHeight="false" outlineLevel="0" collapsed="false">
      <c r="B13" s="76" t="n">
        <v>46259</v>
      </c>
      <c r="C13" s="74" t="s">
        <v>1313</v>
      </c>
      <c r="D13" s="74" t="s">
        <v>1314</v>
      </c>
      <c r="E13" s="74" t="s">
        <v>1315</v>
      </c>
      <c r="F13" s="74" t="s">
        <v>1296</v>
      </c>
      <c r="G13" s="84" t="n">
        <v>12211.6</v>
      </c>
      <c r="H13" s="8" t="n">
        <v>333092240.08</v>
      </c>
      <c r="I13" s="8" t="n">
        <v>25500000</v>
      </c>
      <c r="J13" s="8" t="n">
        <v>18666880</v>
      </c>
      <c r="K13" s="9" t="n">
        <f aca="false">H13-I13-J13</f>
        <v>288925360.08</v>
      </c>
      <c r="L13" s="9" t="n">
        <f aca="false">IFERROR(K13/G13,0)</f>
        <v>23659.9102558223</v>
      </c>
      <c r="M13" s="84" t="n">
        <v>11666.8</v>
      </c>
      <c r="N13" s="20" t="n">
        <f aca="false">G13-M13</f>
        <v>544.800000000001</v>
      </c>
      <c r="O13" s="32" t="n">
        <f aca="false">IFERROR(N13/G13,0)</f>
        <v>0.0446133184840644</v>
      </c>
      <c r="P13" s="9" t="n">
        <f aca="false">N13*L13</f>
        <v>12889919.107372</v>
      </c>
      <c r="Q13" s="8" t="n">
        <v>722313</v>
      </c>
      <c r="R13" s="7" t="n">
        <f aca="false">SUMIFS('MA Engine'!$L$6:$L$1110,'MA Engine'!$J$6:$J$1110,$D13,'MA Engine'!$I$6:$I$1110,"Receipt")</f>
        <v>333092240.09</v>
      </c>
      <c r="S13" s="9" t="n">
        <f aca="false">ROUND(H13-R13,0)</f>
        <v>-0</v>
      </c>
      <c r="T13" s="19" t="n">
        <f aca="false">SUMIFS('MA Engine'!$K$6:$K$1110,'MA Engine'!$J$6:$J$1110,$D13,'MA Engine'!$I$6:$I$1110,"Receipt",'MA Engine'!$D$6:$D$1110,"Karkas",'MA Engine'!$E$6:$E$1110,"Fresh")</f>
        <v>6186.3</v>
      </c>
      <c r="U13" s="19" t="n">
        <f aca="false">SUMIFS('MA Engine'!$K$6:$K$1110,'MA Engine'!$J$6:$J$1110,$D13,'MA Engine'!$I$6:$I$1110,"Receipt",'MA Engine'!$D$6:$D$1110,"Karkas",'MA Engine'!$E$6:$E$1110,"Frozen")</f>
        <v>2388.9</v>
      </c>
      <c r="V13" s="19" t="n">
        <f aca="false">SUMIFS('MA Engine'!$K$6:$K$1110,'MA Engine'!$J$6:$J$1110,$D13,'MA Engine'!$I$6:$I$1110,"Receipt",'MA Engine'!$D$6:$D$1110,"Karkas")</f>
        <v>8575.2</v>
      </c>
      <c r="W13" s="19" t="n">
        <f aca="false">SUMIFS('MA Engine'!$K$6:$K$1110,'MA Engine'!$J$6:$J$1110,$D13,'MA Engine'!$I$6:$I$1110,"Receipt",'MA Engine'!$D$6:$D$1110,"HJA (Hati/Jantung/Ampela)")</f>
        <v>577</v>
      </c>
      <c r="X13" s="19" t="n">
        <f aca="false">SUMIFS('MA Engine'!$K$6:$K$1110,'MA Engine'!$J$6:$J$1110,$D13,'MA Engine'!$I$6:$I$1110,"Receipt",'MA Engine'!$D$6:$D$1110,"Kepala")</f>
        <v>491.5</v>
      </c>
      <c r="Y13" s="19" t="n">
        <f aca="false">SUMIFS('MA Engine'!$K$6:$K$1110,'MA Engine'!$J$6:$J$1110,$D13,'MA Engine'!$I$6:$I$1110,"Receipt",'MA Engine'!$D$6:$D$1110,"Usus")</f>
        <v>501.1</v>
      </c>
      <c r="Z13" s="19" t="n">
        <f aca="false">SUMIFS('MA Engine'!$K$6:$K$1110,'MA Engine'!$J$6:$J$1110,$D13,'MA Engine'!$I$6:$I$1110,"Receipt",'MA Engine'!$D$6:$D$1110,"Ceker")</f>
        <v>307.8</v>
      </c>
      <c r="AA13" s="19" t="n">
        <f aca="false">SUMIFS('MA Engine'!$K$6:$K$1110,'MA Engine'!$J$6:$J$1110,$D13,'MA Engine'!$I$6:$I$1110,"Receipt",'MA Engine'!$D$6:$D$1110,"Lemak")</f>
        <v>43.3</v>
      </c>
      <c r="AB13" s="19" t="n">
        <f aca="false">SUMIFS('MA Engine'!$K$6:$K$1110,'MA Engine'!$J$6:$J$1110,$D13,'MA Engine'!$I$6:$I$1110,"Receipt")-V13</f>
        <v>1920.7</v>
      </c>
      <c r="AC13" s="20" t="n">
        <f aca="false">V13+AB13</f>
        <v>10495.9</v>
      </c>
      <c r="AD13" s="21" t="n">
        <f aca="false">IFERROR(V13/M13,0)</f>
        <v>0.735008742757226</v>
      </c>
      <c r="AE13" s="21" t="n">
        <f aca="false">IFERROR(V13/AC13,0)</f>
        <v>0.817004735182309</v>
      </c>
      <c r="AF13" s="21" t="n">
        <f aca="false">IFERROR(T13/V13,0)</f>
        <v>0.721417576266443</v>
      </c>
      <c r="AG13" s="9" t="n">
        <f aca="false">T13*$D$23+U13*$D$24+W13*$D$25+X13*$D$26+Y13*$D$27+Z13*$D$28+AA13*$D$29</f>
        <v>309538795.395417</v>
      </c>
      <c r="AH13" s="9" t="n">
        <f aca="false">AG13-H13</f>
        <v>-23553444.6845827</v>
      </c>
      <c r="AI13" s="9" t="n">
        <f aca="false">IFERROR(H13/AC13,0)</f>
        <v>31735.4624262807</v>
      </c>
      <c r="AJ13" s="9" t="n">
        <f aca="false">IFERROR(AG13/AC13,0)</f>
        <v>29491.4009656549</v>
      </c>
      <c r="AK13" s="9" t="n">
        <f aca="false">IFERROR(I13/G13,0)</f>
        <v>2088.17845327394</v>
      </c>
      <c r="AL13" s="9" t="n">
        <f aca="false">IFERROR((AG13-I13-J13)/G13,0)</f>
        <v>21731.1339542253</v>
      </c>
      <c r="AM13" s="19" t="n">
        <f aca="false">SUMIFS(I_Batch_Ops!$J$21:$J$342,I_Batch_Ops!$B$21:$B$342,$D13)</f>
        <v>10495.9</v>
      </c>
      <c r="AN13" s="19" t="n">
        <f aca="false">SUMIFS(I_Batch_Ops!$J$21:$J$342,I_Batch_Ops!$B$21:$B$342,$D13,I_Batch_Ops!$P$21:$P$342,"N")</f>
        <v>0</v>
      </c>
      <c r="AO13" s="20" t="n">
        <f aca="false">ROUND(AM13-AN13-AC13,1)</f>
        <v>0</v>
      </c>
      <c r="AP13" s="21" t="n">
        <f aca="false">IFERROR(AM13/G13,0)</f>
        <v>0.859502440302663</v>
      </c>
      <c r="AQ13" s="21" t="n">
        <f aca="false">IFERROR(V13/G13,0)</f>
        <v>0.702217563628026</v>
      </c>
      <c r="AR13" s="21" t="n">
        <f aca="false">IFERROR(X13/G13,0)</f>
        <v>0.0402486160699663</v>
      </c>
      <c r="AS13" s="21" t="n">
        <f aca="false">IFERROR(Z13/G13,0)</f>
        <v>0.025205542271283</v>
      </c>
      <c r="AT13" s="22" t="n">
        <f aca="false">IFERROR(SUMIFS(I_Batch_Ops!$J$21:$J$342,I_Batch_Ops!$B$21:$B$342,$D13,I_Batch_Ops!$C$21:$C$342,"Usus")/G13,0)</f>
        <v>0.0410347538406106</v>
      </c>
      <c r="AU13" s="21" t="n">
        <f aca="false">IFERROR(AA13/G13,0)</f>
        <v>0.00354580890301025</v>
      </c>
      <c r="AV13" s="7" t="n">
        <f aca="false">SUMIFS(I_Batch_Ops!$L$21:$L$342,I_Batch_Ops!$B$21:$B$342,$D13)</f>
        <v>298052200</v>
      </c>
      <c r="AW13" s="9" t="n">
        <f aca="false">AV13-H13</f>
        <v>-35040040.08</v>
      </c>
      <c r="AX13" s="21" t="n">
        <f aca="false">IFERROR(AW13/AV13,0)</f>
        <v>-0.117563433787773</v>
      </c>
      <c r="AY13" s="9" t="n">
        <f aca="false">AG13-AV13</f>
        <v>11486595.3954173</v>
      </c>
      <c r="AZ13" s="7" t="n">
        <f aca="false">ROUND(SUMIFS(I_Batch_Ops!$K$5:$K$16,I_Batch_Ops!$C$5:$C$16,$D13)-H13,0)</f>
        <v>-0</v>
      </c>
      <c r="BA13" s="84" t="n">
        <v>12211.6</v>
      </c>
    </row>
    <row r="14" customFormat="false" ht="15" hidden="false" customHeight="false" outlineLevel="0" collapsed="false">
      <c r="B14" s="76" t="n">
        <v>46260</v>
      </c>
      <c r="C14" s="74" t="s">
        <v>1316</v>
      </c>
      <c r="D14" s="74" t="s">
        <v>1317</v>
      </c>
      <c r="E14" s="74" t="s">
        <v>1318</v>
      </c>
      <c r="F14" s="74" t="s">
        <v>1296</v>
      </c>
      <c r="G14" s="84" t="n">
        <v>12089.6</v>
      </c>
      <c r="H14" s="8" t="n">
        <v>327203439.74</v>
      </c>
      <c r="I14" s="8" t="n">
        <v>13500000</v>
      </c>
      <c r="J14" s="8" t="n">
        <v>21762080</v>
      </c>
      <c r="K14" s="9" t="n">
        <f aca="false">H14-I14-J14</f>
        <v>291941359.74</v>
      </c>
      <c r="L14" s="9" t="n">
        <f aca="false">IFERROR(K14/G14,0)</f>
        <v>24148.1405290498</v>
      </c>
      <c r="M14" s="84" t="n">
        <v>11101.3</v>
      </c>
      <c r="N14" s="20" t="n">
        <f aca="false">G14-M14</f>
        <v>988.300000000001</v>
      </c>
      <c r="O14" s="32" t="n">
        <f aca="false">IFERROR(N14/G14,0)</f>
        <v>0.0817479486500795</v>
      </c>
      <c r="P14" s="9" t="n">
        <f aca="false">N14*L14</f>
        <v>23865607.2848599</v>
      </c>
      <c r="Q14" s="8" t="n">
        <v>729853</v>
      </c>
      <c r="R14" s="7" t="n">
        <f aca="false">SUMIFS('MA Engine'!$L$6:$L$1110,'MA Engine'!$J$6:$J$1110,$D14,'MA Engine'!$I$6:$I$1110,"Receipt")</f>
        <v>327203439.75</v>
      </c>
      <c r="S14" s="9" t="n">
        <f aca="false">ROUND(H14-R14,0)</f>
        <v>-0</v>
      </c>
      <c r="T14" s="19" t="n">
        <f aca="false">SUMIFS('MA Engine'!$K$6:$K$1110,'MA Engine'!$J$6:$J$1110,$D14,'MA Engine'!$I$6:$I$1110,"Receipt",'MA Engine'!$D$6:$D$1110,"Karkas",'MA Engine'!$E$6:$E$1110,"Fresh")</f>
        <v>5004.7</v>
      </c>
      <c r="U14" s="19" t="n">
        <f aca="false">SUMIFS('MA Engine'!$K$6:$K$1110,'MA Engine'!$J$6:$J$1110,$D14,'MA Engine'!$I$6:$I$1110,"Receipt",'MA Engine'!$D$6:$D$1110,"Karkas",'MA Engine'!$E$6:$E$1110,"Frozen")</f>
        <v>3214.5</v>
      </c>
      <c r="V14" s="19" t="n">
        <f aca="false">SUMIFS('MA Engine'!$K$6:$K$1110,'MA Engine'!$J$6:$J$1110,$D14,'MA Engine'!$I$6:$I$1110,"Receipt",'MA Engine'!$D$6:$D$1110,"Karkas")</f>
        <v>8219.2</v>
      </c>
      <c r="W14" s="19" t="n">
        <f aca="false">SUMIFS('MA Engine'!$K$6:$K$1110,'MA Engine'!$J$6:$J$1110,$D14,'MA Engine'!$I$6:$I$1110,"Receipt",'MA Engine'!$D$6:$D$1110,"HJA (Hati/Jantung/Ampela)")</f>
        <v>622.3</v>
      </c>
      <c r="X14" s="19" t="n">
        <f aca="false">SUMIFS('MA Engine'!$K$6:$K$1110,'MA Engine'!$J$6:$J$1110,$D14,'MA Engine'!$I$6:$I$1110,"Receipt",'MA Engine'!$D$6:$D$1110,"Kepala")</f>
        <v>518.4</v>
      </c>
      <c r="Y14" s="19" t="n">
        <f aca="false">SUMIFS('MA Engine'!$K$6:$K$1110,'MA Engine'!$J$6:$J$1110,$D14,'MA Engine'!$I$6:$I$1110,"Receipt",'MA Engine'!$D$6:$D$1110,"Usus")</f>
        <v>514.9</v>
      </c>
      <c r="Z14" s="19" t="n">
        <f aca="false">SUMIFS('MA Engine'!$K$6:$K$1110,'MA Engine'!$J$6:$J$1110,$D14,'MA Engine'!$I$6:$I$1110,"Receipt",'MA Engine'!$D$6:$D$1110,"Ceker")</f>
        <v>325.6</v>
      </c>
      <c r="AA14" s="19" t="n">
        <f aca="false">SUMIFS('MA Engine'!$K$6:$K$1110,'MA Engine'!$J$6:$J$1110,$D14,'MA Engine'!$I$6:$I$1110,"Receipt",'MA Engine'!$D$6:$D$1110,"Lemak")</f>
        <v>28.8</v>
      </c>
      <c r="AB14" s="19" t="n">
        <f aca="false">SUMIFS('MA Engine'!$K$6:$K$1110,'MA Engine'!$J$6:$J$1110,$D14,'MA Engine'!$I$6:$I$1110,"Receipt")-V14</f>
        <v>2010</v>
      </c>
      <c r="AC14" s="20" t="n">
        <f aca="false">V14+AB14</f>
        <v>10229.2</v>
      </c>
      <c r="AD14" s="21" t="n">
        <f aca="false">IFERROR(V14/M14,0)</f>
        <v>0.740381757091512</v>
      </c>
      <c r="AE14" s="21" t="n">
        <f aca="false">IFERROR(V14/AC14,0)</f>
        <v>0.803503695303641</v>
      </c>
      <c r="AF14" s="21" t="n">
        <f aca="false">IFERROR(T14/V14,0)</f>
        <v>0.608903542923886</v>
      </c>
      <c r="AG14" s="9" t="n">
        <f aca="false">T14*$D$23+U14*$D$24+W14*$D$25+X14*$D$26+Y14*$D$27+Z14*$D$28+AA14*$D$29</f>
        <v>292588241.255921</v>
      </c>
      <c r="AH14" s="9" t="n">
        <f aca="false">AG14-H14</f>
        <v>-34615198.4840794</v>
      </c>
      <c r="AI14" s="9" t="n">
        <f aca="false">IFERROR(H14/AC14,0)</f>
        <v>31987.1974093771</v>
      </c>
      <c r="AJ14" s="9" t="n">
        <f aca="false">IFERROR(AG14/AC14,0)</f>
        <v>28603.2379126345</v>
      </c>
      <c r="AK14" s="9" t="n">
        <f aca="false">IFERROR(I14/G14,0)</f>
        <v>1116.66225516146</v>
      </c>
      <c r="AL14" s="9" t="n">
        <f aca="false">IFERROR((AG14-I14-J14)/G14,0)</f>
        <v>21284.9193733391</v>
      </c>
      <c r="AM14" s="19" t="n">
        <f aca="false">SUMIFS(I_Batch_Ops!$J$21:$J$342,I_Batch_Ops!$B$21:$B$342,$D14)</f>
        <v>10229.2</v>
      </c>
      <c r="AN14" s="19" t="n">
        <f aca="false">SUMIFS(I_Batch_Ops!$J$21:$J$342,I_Batch_Ops!$B$21:$B$342,$D14,I_Batch_Ops!$P$21:$P$342,"N")</f>
        <v>0</v>
      </c>
      <c r="AO14" s="20" t="n">
        <f aca="false">ROUND(AM14-AN14-AC14,1)</f>
        <v>0</v>
      </c>
      <c r="AP14" s="21" t="n">
        <f aca="false">IFERROR(AM14/G14,0)</f>
        <v>0.84611566966649</v>
      </c>
      <c r="AQ14" s="21" t="n">
        <f aca="false">IFERROR(V14/G14,0)</f>
        <v>0.679857067231339</v>
      </c>
      <c r="AR14" s="21" t="n">
        <f aca="false">IFERROR(X14/G14,0)</f>
        <v>0.0428798305982001</v>
      </c>
      <c r="AS14" s="21" t="n">
        <f aca="false">IFERROR(Z14/G14,0)</f>
        <v>0.0269322392800424</v>
      </c>
      <c r="AT14" s="22" t="n">
        <f aca="false">IFERROR(SUMIFS(I_Batch_Ops!$J$21:$J$342,I_Batch_Ops!$B$21:$B$342,$D14,I_Batch_Ops!$C$21:$C$342,"Usus")/G14,0)</f>
        <v>0.0425903255690842</v>
      </c>
      <c r="AU14" s="21" t="n">
        <f aca="false">IFERROR(AA14/G14,0)</f>
        <v>0.00238221281101112</v>
      </c>
      <c r="AV14" s="7" t="n">
        <f aca="false">SUMIFS(I_Batch_Ops!$L$21:$L$342,I_Batch_Ops!$B$21:$B$342,$D14)</f>
        <v>286644200</v>
      </c>
      <c r="AW14" s="9" t="n">
        <f aca="false">AV14-H14</f>
        <v>-40559239.74</v>
      </c>
      <c r="AX14" s="21" t="n">
        <f aca="false">IFERROR(AW14/AV14,0)</f>
        <v>-0.141496809424367</v>
      </c>
      <c r="AY14" s="9" t="n">
        <f aca="false">AG14-AV14</f>
        <v>5944041.25592059</v>
      </c>
      <c r="AZ14" s="7" t="n">
        <f aca="false">ROUND(SUMIFS(I_Batch_Ops!$K$5:$K$16,I_Batch_Ops!$C$5:$C$16,$D14)-H14,0)</f>
        <v>0</v>
      </c>
      <c r="BA14" s="84" t="n">
        <v>12089.6</v>
      </c>
    </row>
    <row r="15" customFormat="false" ht="15" hidden="false" customHeight="false" outlineLevel="0" collapsed="false">
      <c r="B15" s="76" t="n">
        <v>46261</v>
      </c>
      <c r="C15" s="74" t="s">
        <v>1319</v>
      </c>
      <c r="D15" s="74" t="s">
        <v>1320</v>
      </c>
      <c r="E15" s="74" t="s">
        <v>1321</v>
      </c>
      <c r="F15" s="74" t="s">
        <v>1296</v>
      </c>
      <c r="G15" s="84" t="n">
        <v>11681.4</v>
      </c>
      <c r="H15" s="8" t="n">
        <v>319252039.62</v>
      </c>
      <c r="I15" s="8" t="n">
        <v>14400000</v>
      </c>
      <c r="J15" s="8" t="n">
        <v>17489600</v>
      </c>
      <c r="K15" s="9" t="n">
        <f aca="false">H15-I15-J15</f>
        <v>287362439.62</v>
      </c>
      <c r="L15" s="9" t="n">
        <f aca="false">IFERROR(K15/G15,0)</f>
        <v>24599.9999674697</v>
      </c>
      <c r="M15" s="84" t="n">
        <v>10931</v>
      </c>
      <c r="N15" s="20" t="n">
        <f aca="false">G15-M15</f>
        <v>750.4</v>
      </c>
      <c r="O15" s="32" t="n">
        <f aca="false">IFERROR(N15/G15,0)</f>
        <v>0.0642388754772544</v>
      </c>
      <c r="P15" s="9" t="n">
        <f aca="false">N15*L15</f>
        <v>18459839.9755892</v>
      </c>
      <c r="Q15" s="8" t="n">
        <v>718406</v>
      </c>
      <c r="R15" s="7" t="n">
        <f aca="false">SUMIFS('MA Engine'!$L$6:$L$1110,'MA Engine'!$J$6:$J$1110,$D15,'MA Engine'!$I$6:$I$1110,"Receipt")</f>
        <v>319252039.63</v>
      </c>
      <c r="S15" s="9" t="n">
        <f aca="false">ROUND(H15-R15,0)</f>
        <v>-0</v>
      </c>
      <c r="T15" s="19" t="n">
        <f aca="false">SUMIFS('MA Engine'!$K$6:$K$1110,'MA Engine'!$J$6:$J$1110,$D15,'MA Engine'!$I$6:$I$1110,"Receipt",'MA Engine'!$D$6:$D$1110,"Karkas",'MA Engine'!$E$6:$E$1110,"Fresh")</f>
        <v>5491.1</v>
      </c>
      <c r="U15" s="19" t="n">
        <f aca="false">SUMIFS('MA Engine'!$K$6:$K$1110,'MA Engine'!$J$6:$J$1110,$D15,'MA Engine'!$I$6:$I$1110,"Receipt",'MA Engine'!$D$6:$D$1110,"Karkas",'MA Engine'!$E$6:$E$1110,"Frozen")</f>
        <v>2637.1</v>
      </c>
      <c r="V15" s="19" t="n">
        <f aca="false">SUMIFS('MA Engine'!$K$6:$K$1110,'MA Engine'!$J$6:$J$1110,$D15,'MA Engine'!$I$6:$I$1110,"Receipt",'MA Engine'!$D$6:$D$1110,"Karkas")</f>
        <v>8128.2</v>
      </c>
      <c r="W15" s="19" t="n">
        <f aca="false">SUMIFS('MA Engine'!$K$6:$K$1110,'MA Engine'!$J$6:$J$1110,$D15,'MA Engine'!$I$6:$I$1110,"Receipt",'MA Engine'!$D$6:$D$1110,"HJA (Hati/Jantung/Ampela)")</f>
        <v>606.2</v>
      </c>
      <c r="X15" s="19" t="n">
        <f aca="false">SUMIFS('MA Engine'!$K$6:$K$1110,'MA Engine'!$J$6:$J$1110,$D15,'MA Engine'!$I$6:$I$1110,"Receipt",'MA Engine'!$D$6:$D$1110,"Kepala")</f>
        <v>489.9</v>
      </c>
      <c r="Y15" s="19" t="n">
        <f aca="false">SUMIFS('MA Engine'!$K$6:$K$1110,'MA Engine'!$J$6:$J$1110,$D15,'MA Engine'!$I$6:$I$1110,"Receipt",'MA Engine'!$D$6:$D$1110,"Usus")</f>
        <v>517.4</v>
      </c>
      <c r="Z15" s="19" t="n">
        <f aca="false">SUMIFS('MA Engine'!$K$6:$K$1110,'MA Engine'!$J$6:$J$1110,$D15,'MA Engine'!$I$6:$I$1110,"Receipt",'MA Engine'!$D$6:$D$1110,"Ceker")</f>
        <v>316.1</v>
      </c>
      <c r="AA15" s="19" t="n">
        <f aca="false">SUMIFS('MA Engine'!$K$6:$K$1110,'MA Engine'!$J$6:$J$1110,$D15,'MA Engine'!$I$6:$I$1110,"Receipt",'MA Engine'!$D$6:$D$1110,"Lemak")</f>
        <v>17.9</v>
      </c>
      <c r="AB15" s="19" t="n">
        <f aca="false">SUMIFS('MA Engine'!$K$6:$K$1110,'MA Engine'!$J$6:$J$1110,$D15,'MA Engine'!$I$6:$I$1110,"Receipt")-V15</f>
        <v>1947.5</v>
      </c>
      <c r="AC15" s="20" t="n">
        <f aca="false">V15+AB15</f>
        <v>10075.7</v>
      </c>
      <c r="AD15" s="21" t="n">
        <f aca="false">IFERROR(V15/M15,0)</f>
        <v>0.74359162016284</v>
      </c>
      <c r="AE15" s="21" t="n">
        <f aca="false">IFERROR(V15/AC15,0)</f>
        <v>0.806713181218178</v>
      </c>
      <c r="AF15" s="21" t="n">
        <f aca="false">IFERROR(T15/V15,0)</f>
        <v>0.675561624960016</v>
      </c>
      <c r="AG15" s="9" t="n">
        <f aca="false">T15*$D$23+U15*$D$24+W15*$D$25+X15*$D$26+Y15*$D$27+Z15*$D$28+AA15*$D$29</f>
        <v>291992515.164762</v>
      </c>
      <c r="AH15" s="9" t="n">
        <f aca="false">AG15-H15</f>
        <v>-27259524.4552381</v>
      </c>
      <c r="AI15" s="9" t="n">
        <f aca="false">IFERROR(H15/AC15,0)</f>
        <v>31685.3458935856</v>
      </c>
      <c r="AJ15" s="9" t="n">
        <f aca="false">IFERROR(AG15/AC15,0)</f>
        <v>28979.8738712707</v>
      </c>
      <c r="AK15" s="9" t="n">
        <f aca="false">IFERROR(I15/G15,0)</f>
        <v>1232.7289537213</v>
      </c>
      <c r="AL15" s="9" t="n">
        <f aca="false">IFERROR((AG15-I15-J15)/G15,0)</f>
        <v>22266.4162827026</v>
      </c>
      <c r="AM15" s="19" t="n">
        <f aca="false">SUMIFS(I_Batch_Ops!$J$21:$J$342,I_Batch_Ops!$B$21:$B$342,$D15)</f>
        <v>10075.7</v>
      </c>
      <c r="AN15" s="19" t="n">
        <f aca="false">SUMIFS(I_Batch_Ops!$J$21:$J$342,I_Batch_Ops!$B$21:$B$342,$D15,I_Batch_Ops!$P$21:$P$342,"N")</f>
        <v>0</v>
      </c>
      <c r="AO15" s="20" t="n">
        <f aca="false">ROUND(AM15-AN15-AC15,1)</f>
        <v>0</v>
      </c>
      <c r="AP15" s="21" t="n">
        <f aca="false">IFERROR(AM15/G15,0)</f>
        <v>0.862542161042341</v>
      </c>
      <c r="AQ15" s="21" t="n">
        <f aca="false">IFERROR(V15/G15,0)</f>
        <v>0.695824130669269</v>
      </c>
      <c r="AR15" s="21" t="n">
        <f aca="false">IFERROR(X15/G15,0)</f>
        <v>0.0419384662797267</v>
      </c>
      <c r="AS15" s="21" t="n">
        <f aca="false">IFERROR(Z15/G15,0)</f>
        <v>0.0270601126577294</v>
      </c>
      <c r="AT15" s="22" t="n">
        <f aca="false">IFERROR(SUMIFS(I_Batch_Ops!$J$21:$J$342,I_Batch_Ops!$B$21:$B$342,$D15,I_Batch_Ops!$C$21:$C$342,"Usus")/G15,0)</f>
        <v>0.0442926361566251</v>
      </c>
      <c r="AU15" s="21" t="n">
        <f aca="false">IFERROR(AA15/G15,0)</f>
        <v>0.00153235057441745</v>
      </c>
      <c r="AV15" s="7" t="n">
        <f aca="false">SUMIFS(I_Batch_Ops!$L$21:$L$342,I_Batch_Ops!$B$21:$B$342,$D15)</f>
        <v>283326700</v>
      </c>
      <c r="AW15" s="9" t="n">
        <f aca="false">AV15-H15</f>
        <v>-35925339.62</v>
      </c>
      <c r="AX15" s="21" t="n">
        <f aca="false">IFERROR(AW15/AV15,0)</f>
        <v>-0.126798284877493</v>
      </c>
      <c r="AY15" s="9" t="n">
        <f aca="false">AG15-AV15</f>
        <v>8665815.1647619</v>
      </c>
      <c r="AZ15" s="7" t="n">
        <f aca="false">ROUND(SUMIFS(I_Batch_Ops!$K$5:$K$16,I_Batch_Ops!$C$5:$C$16,$D15)-H15,0)</f>
        <v>0</v>
      </c>
      <c r="BA15" s="84" t="n">
        <v>11681.4</v>
      </c>
    </row>
    <row r="16" customFormat="false" ht="15" hidden="false" customHeight="false" outlineLevel="0" collapsed="false">
      <c r="B16" s="76" t="n">
        <v>46262</v>
      </c>
      <c r="C16" s="74" t="s">
        <v>1322</v>
      </c>
      <c r="D16" s="74" t="s">
        <v>1323</v>
      </c>
      <c r="E16" s="74" t="s">
        <v>1324</v>
      </c>
      <c r="F16" s="74" t="s">
        <v>1296</v>
      </c>
      <c r="G16" s="84" t="n">
        <v>15537.2</v>
      </c>
      <c r="H16" s="8" t="n">
        <v>433304480.19</v>
      </c>
      <c r="I16" s="8" t="n">
        <v>15000000</v>
      </c>
      <c r="J16" s="8" t="n">
        <v>23472480</v>
      </c>
      <c r="K16" s="9" t="n">
        <f aca="false">H16-I16-J16</f>
        <v>394832000.19</v>
      </c>
      <c r="L16" s="9" t="n">
        <f aca="false">IFERROR(K16/G16,0)</f>
        <v>25412.0433662436</v>
      </c>
      <c r="M16" s="84" t="n">
        <v>14670.3</v>
      </c>
      <c r="N16" s="20" t="n">
        <f aca="false">G16-M16</f>
        <v>866.900000000002</v>
      </c>
      <c r="O16" s="32" t="n">
        <f aca="false">IFERROR(N16/G16,0)</f>
        <v>0.0557951239605593</v>
      </c>
      <c r="P16" s="9" t="n">
        <f aca="false">N16*L16</f>
        <v>22029700.3941966</v>
      </c>
      <c r="Q16" s="8" t="n">
        <v>987080</v>
      </c>
      <c r="R16" s="7" t="n">
        <f aca="false">SUMIFS('MA Engine'!$L$6:$L$1110,'MA Engine'!$J$6:$J$1110,$D16,'MA Engine'!$I$6:$I$1110,"Receipt")</f>
        <v>433304480.2</v>
      </c>
      <c r="S16" s="9" t="n">
        <f aca="false">ROUND(H16-R16,0)</f>
        <v>-0</v>
      </c>
      <c r="T16" s="19" t="n">
        <f aca="false">SUMIFS('MA Engine'!$K$6:$K$1110,'MA Engine'!$J$6:$J$1110,$D16,'MA Engine'!$I$6:$I$1110,"Receipt",'MA Engine'!$D$6:$D$1110,"Karkas",'MA Engine'!$E$6:$E$1110,"Fresh")</f>
        <v>4611.8</v>
      </c>
      <c r="U16" s="19" t="n">
        <f aca="false">SUMIFS('MA Engine'!$K$6:$K$1110,'MA Engine'!$J$6:$J$1110,$D16,'MA Engine'!$I$6:$I$1110,"Receipt",'MA Engine'!$D$6:$D$1110,"Karkas",'MA Engine'!$E$6:$E$1110,"Frozen")</f>
        <v>6314.3</v>
      </c>
      <c r="V16" s="19" t="n">
        <f aca="false">SUMIFS('MA Engine'!$K$6:$K$1110,'MA Engine'!$J$6:$J$1110,$D16,'MA Engine'!$I$6:$I$1110,"Receipt",'MA Engine'!$D$6:$D$1110,"Karkas")</f>
        <v>10926.1</v>
      </c>
      <c r="W16" s="19" t="n">
        <f aca="false">SUMIFS('MA Engine'!$K$6:$K$1110,'MA Engine'!$J$6:$J$1110,$D16,'MA Engine'!$I$6:$I$1110,"Receipt",'MA Engine'!$D$6:$D$1110,"HJA (Hati/Jantung/Ampela)")</f>
        <v>804.9</v>
      </c>
      <c r="X16" s="19" t="n">
        <f aca="false">SUMIFS('MA Engine'!$K$6:$K$1110,'MA Engine'!$J$6:$J$1110,$D16,'MA Engine'!$I$6:$I$1110,"Receipt",'MA Engine'!$D$6:$D$1110,"Kepala")</f>
        <v>665.8</v>
      </c>
      <c r="Y16" s="19" t="n">
        <f aca="false">SUMIFS('MA Engine'!$K$6:$K$1110,'MA Engine'!$J$6:$J$1110,$D16,'MA Engine'!$I$6:$I$1110,"Receipt",'MA Engine'!$D$6:$D$1110,"Usus")</f>
        <v>640.6</v>
      </c>
      <c r="Z16" s="19" t="n">
        <f aca="false">SUMIFS('MA Engine'!$K$6:$K$1110,'MA Engine'!$J$6:$J$1110,$D16,'MA Engine'!$I$6:$I$1110,"Receipt",'MA Engine'!$D$6:$D$1110,"Ceker")</f>
        <v>429.3</v>
      </c>
      <c r="AA16" s="19" t="n">
        <f aca="false">SUMIFS('MA Engine'!$K$6:$K$1110,'MA Engine'!$J$6:$J$1110,$D16,'MA Engine'!$I$6:$I$1110,"Receipt",'MA Engine'!$D$6:$D$1110,"Lemak")</f>
        <v>66.6</v>
      </c>
      <c r="AB16" s="19" t="n">
        <f aca="false">SUMIFS('MA Engine'!$K$6:$K$1110,'MA Engine'!$J$6:$J$1110,$D16,'MA Engine'!$I$6:$I$1110,"Receipt")-V16</f>
        <v>2607.2</v>
      </c>
      <c r="AC16" s="20" t="n">
        <f aca="false">V16+AB16</f>
        <v>13533.3</v>
      </c>
      <c r="AD16" s="21" t="n">
        <f aca="false">IFERROR(V16/M16,0)</f>
        <v>0.744776862095526</v>
      </c>
      <c r="AE16" s="21" t="n">
        <f aca="false">IFERROR(V16/AC16,0)</f>
        <v>0.807349279185417</v>
      </c>
      <c r="AF16" s="21" t="n">
        <f aca="false">IFERROR(T16/V16,0)</f>
        <v>0.42209022432524</v>
      </c>
      <c r="AG16" s="9" t="n">
        <f aca="false">T16*$D$23+U16*$D$24+W16*$D$25+X16*$D$26+Y16*$D$27+Z16*$D$28+AA16*$D$29</f>
        <v>378193033.118279</v>
      </c>
      <c r="AH16" s="9" t="n">
        <f aca="false">AG16-H16</f>
        <v>-55111447.0717212</v>
      </c>
      <c r="AI16" s="9" t="n">
        <f aca="false">IFERROR(H16/AC16,0)</f>
        <v>32017.6512890426</v>
      </c>
      <c r="AJ16" s="9" t="n">
        <f aca="false">IFERROR(AG16/AC16,0)</f>
        <v>27945.3668446187</v>
      </c>
      <c r="AK16" s="9" t="n">
        <f aca="false">IFERROR(I16/G16,0)</f>
        <v>965.424915686224</v>
      </c>
      <c r="AL16" s="9" t="n">
        <f aca="false">IFERROR((AG16-I16-J16)/G16,0)</f>
        <v>21864.9790900728</v>
      </c>
      <c r="AM16" s="19" t="n">
        <f aca="false">SUMIFS(I_Batch_Ops!$J$21:$J$342,I_Batch_Ops!$B$21:$B$342,$D16)</f>
        <v>13533.3</v>
      </c>
      <c r="AN16" s="19" t="n">
        <f aca="false">SUMIFS(I_Batch_Ops!$J$21:$J$342,I_Batch_Ops!$B$21:$B$342,$D16,I_Batch_Ops!$P$21:$P$342,"N")</f>
        <v>0</v>
      </c>
      <c r="AO16" s="20" t="n">
        <f aca="false">ROUND(AM16-AN16-AC16,1)</f>
        <v>0</v>
      </c>
      <c r="AP16" s="21" t="n">
        <f aca="false">IFERROR(AM16/G16,0)</f>
        <v>0.871025667430425</v>
      </c>
      <c r="AQ16" s="21" t="n">
        <f aca="false">IFERROR(V16/G16,0)</f>
        <v>0.70322194475195</v>
      </c>
      <c r="AR16" s="21" t="n">
        <f aca="false">IFERROR(X16/G16,0)</f>
        <v>0.0428519939242592</v>
      </c>
      <c r="AS16" s="21" t="n">
        <f aca="false">IFERROR(Z16/G16,0)</f>
        <v>0.0276304610869397</v>
      </c>
      <c r="AT16" s="22" t="n">
        <f aca="false">IFERROR(SUMIFS(I_Batch_Ops!$J$21:$J$342,I_Batch_Ops!$B$21:$B$342,$D16,I_Batch_Ops!$C$21:$C$342,"Usus")/G16,0)</f>
        <v>0.0412300800659063</v>
      </c>
      <c r="AU16" s="21" t="n">
        <f aca="false">IFERROR(AA16/G16,0)</f>
        <v>0.00428648662564683</v>
      </c>
      <c r="AV16" s="7" t="n">
        <f aca="false">SUMIFS(I_Batch_Ops!$L$21:$L$342,I_Batch_Ops!$B$21:$B$342,$D16)</f>
        <v>381390800</v>
      </c>
      <c r="AW16" s="9" t="n">
        <f aca="false">AV16-H16</f>
        <v>-51913680.19</v>
      </c>
      <c r="AX16" s="21" t="n">
        <f aca="false">IFERROR(AW16/AV16,0)</f>
        <v>-0.1361167605249</v>
      </c>
      <c r="AY16" s="9" t="n">
        <f aca="false">AG16-AV16</f>
        <v>-3197766.8817212</v>
      </c>
      <c r="AZ16" s="7" t="n">
        <f aca="false">ROUND(SUMIFS(I_Batch_Ops!$K$5:$K$16,I_Batch_Ops!$C$5:$C$16,$D16)-H16,0)</f>
        <v>-0</v>
      </c>
      <c r="BA16" s="84" t="n">
        <v>15537.2</v>
      </c>
    </row>
    <row r="17" customFormat="false" ht="15" hidden="false" customHeight="false" outlineLevel="0" collapsed="false">
      <c r="B17" s="76" t="n">
        <v>46265</v>
      </c>
      <c r="C17" s="74" t="s">
        <v>1325</v>
      </c>
      <c r="D17" s="74" t="s">
        <v>1326</v>
      </c>
      <c r="E17" s="74" t="s">
        <v>1327</v>
      </c>
      <c r="F17" s="74" t="s">
        <v>1296</v>
      </c>
      <c r="G17" s="84" t="n">
        <v>15748.3</v>
      </c>
      <c r="H17" s="8" t="n">
        <v>432577480.06</v>
      </c>
      <c r="I17" s="8" t="n">
        <v>12000000</v>
      </c>
      <c r="J17" s="8" t="n">
        <v>23720320</v>
      </c>
      <c r="K17" s="9" t="n">
        <f aca="false">H17-I17-J17</f>
        <v>396857160.06</v>
      </c>
      <c r="L17" s="9" t="n">
        <f aca="false">IFERROR(K17/G17,0)</f>
        <v>25200.0000038099</v>
      </c>
      <c r="M17" s="84" t="n">
        <v>14825.2</v>
      </c>
      <c r="N17" s="20" t="n">
        <f aca="false">G17-M17</f>
        <v>923.099999999999</v>
      </c>
      <c r="O17" s="32" t="n">
        <f aca="false">IFERROR(N17/G17,0)</f>
        <v>0.0586158505997472</v>
      </c>
      <c r="P17" s="9" t="n">
        <f aca="false">N17*L17</f>
        <v>23262120.0035169</v>
      </c>
      <c r="Q17" s="8" t="n">
        <v>992142</v>
      </c>
      <c r="R17" s="7" t="n">
        <f aca="false">SUMIFS('MA Engine'!$L$6:$L$1110,'MA Engine'!$J$6:$J$1110,$D17,'MA Engine'!$I$6:$I$1110,"Receipt")</f>
        <v>432577480.05</v>
      </c>
      <c r="S17" s="9" t="n">
        <f aca="false">ROUND(H17-R17,0)</f>
        <v>0</v>
      </c>
      <c r="T17" s="19" t="n">
        <f aca="false">SUMIFS('MA Engine'!$K$6:$K$1110,'MA Engine'!$J$6:$J$1110,$D17,'MA Engine'!$I$6:$I$1110,"Receipt",'MA Engine'!$D$6:$D$1110,"Karkas",'MA Engine'!$E$6:$E$1110,"Fresh")</f>
        <v>4104.4</v>
      </c>
      <c r="U17" s="19" t="n">
        <f aca="false">SUMIFS('MA Engine'!$K$6:$K$1110,'MA Engine'!$J$6:$J$1110,$D17,'MA Engine'!$I$6:$I$1110,"Receipt",'MA Engine'!$D$6:$D$1110,"Karkas",'MA Engine'!$E$6:$E$1110,"Frozen")</f>
        <v>7015.7</v>
      </c>
      <c r="V17" s="19" t="n">
        <f aca="false">SUMIFS('MA Engine'!$K$6:$K$1110,'MA Engine'!$J$6:$J$1110,$D17,'MA Engine'!$I$6:$I$1110,"Receipt",'MA Engine'!$D$6:$D$1110,"Karkas")</f>
        <v>11120.1</v>
      </c>
      <c r="W17" s="19" t="n">
        <f aca="false">SUMIFS('MA Engine'!$K$6:$K$1110,'MA Engine'!$J$6:$J$1110,$D17,'MA Engine'!$I$6:$I$1110,"Receipt",'MA Engine'!$D$6:$D$1110,"HJA (Hati/Jantung/Ampela)")</f>
        <v>785.3</v>
      </c>
      <c r="X17" s="19" t="n">
        <f aca="false">SUMIFS('MA Engine'!$K$6:$K$1110,'MA Engine'!$J$6:$J$1110,$D17,'MA Engine'!$I$6:$I$1110,"Receipt",'MA Engine'!$D$6:$D$1110,"Kepala")</f>
        <v>665.8</v>
      </c>
      <c r="Y17" s="19" t="n">
        <f aca="false">SUMIFS('MA Engine'!$K$6:$K$1110,'MA Engine'!$J$6:$J$1110,$D17,'MA Engine'!$I$6:$I$1110,"Receipt",'MA Engine'!$D$6:$D$1110,"Usus")</f>
        <v>681.7</v>
      </c>
      <c r="Z17" s="19" t="n">
        <f aca="false">SUMIFS('MA Engine'!$K$6:$K$1110,'MA Engine'!$J$6:$J$1110,$D17,'MA Engine'!$I$6:$I$1110,"Receipt",'MA Engine'!$D$6:$D$1110,"Ceker")</f>
        <v>433.6</v>
      </c>
      <c r="AA17" s="19" t="n">
        <f aca="false">SUMIFS('MA Engine'!$K$6:$K$1110,'MA Engine'!$J$6:$J$1110,$D17,'MA Engine'!$I$6:$I$1110,"Receipt",'MA Engine'!$D$6:$D$1110,"Lemak")</f>
        <v>55</v>
      </c>
      <c r="AB17" s="19" t="n">
        <f aca="false">SUMIFS('MA Engine'!$K$6:$K$1110,'MA Engine'!$J$6:$J$1110,$D17,'MA Engine'!$I$6:$I$1110,"Receipt")-V17</f>
        <v>2621.4</v>
      </c>
      <c r="AC17" s="20" t="n">
        <f aca="false">V17+AB17</f>
        <v>13741.5</v>
      </c>
      <c r="AD17" s="21" t="n">
        <f aca="false">IFERROR(V17/M17,0)</f>
        <v>0.750080943258776</v>
      </c>
      <c r="AE17" s="21" t="n">
        <f aca="false">IFERROR(V17/AC17,0)</f>
        <v>0.809234799694357</v>
      </c>
      <c r="AF17" s="21" t="n">
        <f aca="false">IFERROR(T17/V17,0)</f>
        <v>0.369097400203236</v>
      </c>
      <c r="AG17" s="9" t="n">
        <f aca="false">T17*$D$23+U17*$D$24+W17*$D$25+X17*$D$26+Y17*$D$27+Z17*$D$28+AA17*$D$29</f>
        <v>381714907.722078</v>
      </c>
      <c r="AH17" s="9" t="n">
        <f aca="false">AG17-H17</f>
        <v>-50862572.3379217</v>
      </c>
      <c r="AI17" s="9" t="n">
        <f aca="false">IFERROR(H17/AC17,0)</f>
        <v>31479.6405094058</v>
      </c>
      <c r="AJ17" s="9" t="n">
        <f aca="false">IFERROR(AG17/AC17,0)</f>
        <v>27778.2562108997</v>
      </c>
      <c r="AK17" s="9" t="n">
        <f aca="false">IFERROR(I17/G17,0)</f>
        <v>761.987008121512</v>
      </c>
      <c r="AL17" s="9" t="n">
        <f aca="false">IFERROR((AG17-I17-J17)/G17,0)</f>
        <v>21970.2817270485</v>
      </c>
      <c r="AM17" s="19" t="n">
        <f aca="false">SUMIFS(I_Batch_Ops!$J$21:$J$342,I_Batch_Ops!$B$21:$B$342,$D17)</f>
        <v>13741.5</v>
      </c>
      <c r="AN17" s="19" t="n">
        <f aca="false">SUMIFS(I_Batch_Ops!$J$21:$J$342,I_Batch_Ops!$B$21:$B$342,$D17,I_Batch_Ops!$P$21:$P$342,"N")</f>
        <v>0</v>
      </c>
      <c r="AO17" s="20" t="n">
        <f aca="false">ROUND(AM17-AN17-AC17,1)</f>
        <v>0</v>
      </c>
      <c r="AP17" s="21" t="n">
        <f aca="false">IFERROR(AM17/G17,0)</f>
        <v>0.872570372675146</v>
      </c>
      <c r="AQ17" s="21" t="n">
        <f aca="false">IFERROR(V17/G17,0)</f>
        <v>0.706114310751002</v>
      </c>
      <c r="AR17" s="21" t="n">
        <f aca="false">IFERROR(X17/G17,0)</f>
        <v>0.0422775791672752</v>
      </c>
      <c r="AS17" s="21" t="n">
        <f aca="false">IFERROR(Z17/G17,0)</f>
        <v>0.027533130560124</v>
      </c>
      <c r="AT17" s="22" t="n">
        <f aca="false">IFERROR(SUMIFS(I_Batch_Ops!$J$21:$J$342,I_Batch_Ops!$B$21:$B$342,$D17,I_Batch_Ops!$C$21:$C$342,"Usus")/G17,0)</f>
        <v>0.0432872119530362</v>
      </c>
      <c r="AU17" s="21" t="n">
        <f aca="false">IFERROR(AA17/G17,0)</f>
        <v>0.00349244045389026</v>
      </c>
      <c r="AV17" s="7" t="n">
        <f aca="false">SUMIFS(I_Batch_Ops!$L$21:$L$342,I_Batch_Ops!$B$21:$B$342,$D17)</f>
        <v>387420700</v>
      </c>
      <c r="AW17" s="9" t="n">
        <f aca="false">AV17-H17</f>
        <v>-45156780.06</v>
      </c>
      <c r="AX17" s="21" t="n">
        <f aca="false">IFERROR(AW17/AV17,0)</f>
        <v>-0.116557478885356</v>
      </c>
      <c r="AY17" s="9" t="n">
        <f aca="false">AG17-AV17</f>
        <v>-5705792.27792174</v>
      </c>
      <c r="AZ17" s="7" t="n">
        <f aca="false">ROUND(SUMIFS(I_Batch_Ops!$K$5:$K$16,I_Batch_Ops!$C$5:$C$16,$D17)-H17,0)</f>
        <v>-0</v>
      </c>
      <c r="BA17" s="84" t="n">
        <v>15748.3</v>
      </c>
    </row>
    <row r="18" customFormat="false" ht="15" hidden="false" customHeight="false" outlineLevel="0" collapsed="false">
      <c r="B18" s="25" t="s">
        <v>304</v>
      </c>
      <c r="G18" s="26" t="n">
        <f aca="false">SUM(G6:G17)</f>
        <v>140719.04</v>
      </c>
      <c r="H18" s="26" t="n">
        <f aca="false">SUM(H6:H17)</f>
        <v>3840104802.04</v>
      </c>
      <c r="I18" s="26" t="n">
        <f aca="false">SUM(I6:I17)</f>
        <v>181400000</v>
      </c>
      <c r="J18" s="26" t="n">
        <f aca="false">SUM(J6:J17)</f>
        <v>215011520</v>
      </c>
      <c r="K18" s="26" t="n">
        <f aca="false">SUM(K6:K17)</f>
        <v>3443693282.04</v>
      </c>
      <c r="L18" s="26" t="n">
        <f aca="false">IFERROR(K18/G18,0)</f>
        <v>24472.1203473247</v>
      </c>
      <c r="M18" s="26" t="n">
        <f aca="false">SUM(M6:M17)</f>
        <v>131882.2</v>
      </c>
      <c r="N18" s="26" t="n">
        <f aca="false">SUM(N6:N17)</f>
        <v>8836.84</v>
      </c>
      <c r="O18" s="27" t="n">
        <f aca="false">IFERROR(N18/G18,0)</f>
        <v>0.0627977564372242</v>
      </c>
      <c r="P18" s="26" t="n">
        <f aca="false">SUM(P6:P17)</f>
        <v>214804547.594823</v>
      </c>
      <c r="Q18" s="26" t="n">
        <f aca="false">SUM(Q6:Q17)</f>
        <v>8096085.67</v>
      </c>
      <c r="R18" s="26" t="n">
        <f aca="false">SUM(R6:R17)</f>
        <v>3840104802.03</v>
      </c>
      <c r="S18" s="26" t="n">
        <f aca="false">SUM(S6:S17)</f>
        <v>0</v>
      </c>
      <c r="T18" s="26" t="n">
        <f aca="false">SUM(T6:T17)</f>
        <v>57635.4</v>
      </c>
      <c r="U18" s="26" t="n">
        <f aca="false">SUM(U6:U17)</f>
        <v>39523.5</v>
      </c>
      <c r="V18" s="26" t="n">
        <f aca="false">SUM(V6:V17)</f>
        <v>97158.9</v>
      </c>
      <c r="W18" s="26" t="n">
        <f aca="false">SUM(W6:W17)</f>
        <v>7390.8</v>
      </c>
      <c r="X18" s="26" t="n">
        <f aca="false">SUM(X6:X17)</f>
        <v>6163.2</v>
      </c>
      <c r="Y18" s="26" t="n">
        <f aca="false">SUM(Y6:Y17)</f>
        <v>5746.7</v>
      </c>
      <c r="Z18" s="26" t="n">
        <f aca="false">SUM(Z6:Z17)</f>
        <v>3882.5</v>
      </c>
      <c r="AA18" s="26" t="n">
        <f aca="false">SUM(AA6:AA17)</f>
        <v>443.9</v>
      </c>
      <c r="AB18" s="26" t="n">
        <f aca="false">SUM(AB6:AB17)</f>
        <v>23627.1</v>
      </c>
      <c r="AC18" s="26" t="n">
        <f aca="false">SUM(AC6:AC17)</f>
        <v>120786</v>
      </c>
      <c r="AD18" s="27" t="n">
        <f aca="false">IFERROR(V18/M18,0)</f>
        <v>0.736709730350267</v>
      </c>
      <c r="AE18" s="27" t="n">
        <f aca="false">IFERROR(V18/AC18,0)</f>
        <v>0.804388753663504</v>
      </c>
      <c r="AF18" s="27" t="n">
        <f aca="false">IFERROR(T18/V18,0)</f>
        <v>0.593207621741292</v>
      </c>
      <c r="AG18" s="26" t="n">
        <f aca="false">SUM(AG6:AG17)</f>
        <v>3450735623.78712</v>
      </c>
      <c r="AH18" s="26" t="n">
        <f aca="false">SUM(AH6:AH17)</f>
        <v>-389369178.25288</v>
      </c>
      <c r="AI18" s="26" t="n">
        <f aca="false">IFERROR(H18/AC18,0)</f>
        <v>31792.6316132664</v>
      </c>
      <c r="AJ18" s="26" t="n">
        <f aca="false">IFERROR(AG18/AC18,0)</f>
        <v>28569.0032270886</v>
      </c>
      <c r="AK18" s="26" t="n">
        <f aca="false">IFERROR(I18/G18,0)</f>
        <v>1289.09350149063</v>
      </c>
      <c r="AL18" s="26" t="n">
        <f aca="false">IFERROR((AG18-I18-J18)/G18,0)</f>
        <v>21705.1232284353</v>
      </c>
      <c r="AM18" s="26" t="n">
        <f aca="false">SUM(AM6:AM17)</f>
        <v>121109.8</v>
      </c>
      <c r="AN18" s="26" t="n">
        <f aca="false">SUM(AN6:AN17)</f>
        <v>323.8</v>
      </c>
      <c r="AO18" s="26" t="n">
        <f aca="false">SUM(AO6:AO17)</f>
        <v>0</v>
      </c>
      <c r="AP18" s="27" t="n">
        <f aca="false">IFERROR(AM18/G18,0)</f>
        <v>0.860649703124751</v>
      </c>
      <c r="AQ18" s="27" t="n">
        <f aca="false">IFERROR(V18/G18,0)</f>
        <v>0.690446012138798</v>
      </c>
      <c r="AR18" s="27" t="n">
        <f aca="false">IFERROR(X18/G18,0)</f>
        <v>0.0437979110715934</v>
      </c>
      <c r="AS18" s="27" t="n">
        <f aca="false">IFERROR(Z18/G18,0)</f>
        <v>0.0275904383656966</v>
      </c>
      <c r="AT18" s="27" t="n">
        <f aca="false">IFERROR((SUMIFS(I_Batch_Ops!$J$21:$J$342,I_Batch_Ops!$C$21:$C$342,"Usus"))/G18,0)</f>
        <v>0.0431391516030809</v>
      </c>
      <c r="AU18" s="27" t="n">
        <f aca="false">IFERROR(AA18/G18,0)</f>
        <v>0.00315451270844372</v>
      </c>
      <c r="AV18" s="26" t="n">
        <f aca="false">SUM(AV6:AV17)</f>
        <v>3367683100</v>
      </c>
      <c r="AW18" s="26" t="n">
        <f aca="false">SUM(AW6:AW17)</f>
        <v>-472421702.04</v>
      </c>
      <c r="AX18" s="27" t="n">
        <f aca="false">IFERROR(AW18/AV18,0)</f>
        <v>-0.140280925494445</v>
      </c>
      <c r="AY18" s="26" t="n">
        <f aca="false">SUM(AY6:AY17)</f>
        <v>83052523.7871197</v>
      </c>
      <c r="AZ18" s="26" t="n">
        <f aca="false">SUM(AZ6:AZ17)</f>
        <v>0</v>
      </c>
      <c r="BA18" s="26" t="n">
        <f aca="false">SUM(BA6:BA17)</f>
        <v>140692.04</v>
      </c>
    </row>
    <row r="21" customFormat="false" ht="15" hidden="false" customHeight="false" outlineLevel="0" collapsed="false">
      <c r="B21" s="18" t="s">
        <v>1328</v>
      </c>
    </row>
    <row r="22" customFormat="false" ht="19.5" hidden="false" customHeight="true" outlineLevel="0" collapsed="false">
      <c r="B22" s="5" t="s">
        <v>1329</v>
      </c>
      <c r="C22" s="5" t="s">
        <v>225</v>
      </c>
      <c r="D22" s="5" t="s">
        <v>202</v>
      </c>
      <c r="E22" s="5" t="s">
        <v>1330</v>
      </c>
    </row>
    <row r="23" customFormat="false" ht="15" hidden="false" customHeight="false" outlineLevel="0" collapsed="false">
      <c r="B23" s="6" t="s">
        <v>246</v>
      </c>
      <c r="C23" s="6" t="s">
        <v>237</v>
      </c>
      <c r="D23" s="7" t="n">
        <f aca="false">'SKU Summary'!M17</f>
        <v>36794.2045160545</v>
      </c>
      <c r="E23" s="12" t="s">
        <v>1331</v>
      </c>
    </row>
    <row r="24" customFormat="false" ht="15" hidden="false" customHeight="false" outlineLevel="0" collapsed="false">
      <c r="B24" s="6" t="s">
        <v>246</v>
      </c>
      <c r="C24" s="6" t="s">
        <v>238</v>
      </c>
      <c r="D24" s="7" t="n">
        <f aca="false">'SKU Summary'!M18</f>
        <v>31657.7852093346</v>
      </c>
      <c r="E24" s="12" t="s">
        <v>1331</v>
      </c>
    </row>
    <row r="25" customFormat="false" ht="15" hidden="false" customHeight="false" outlineLevel="0" collapsed="false">
      <c r="B25" s="6" t="s">
        <v>244</v>
      </c>
      <c r="C25" s="6" t="s">
        <v>237</v>
      </c>
      <c r="D25" s="7" t="n">
        <f aca="false">'SKU Summary'!M14</f>
        <v>4515.31782437746</v>
      </c>
      <c r="E25" s="12" t="s">
        <v>1331</v>
      </c>
    </row>
    <row r="26" customFormat="false" ht="15" hidden="false" customHeight="false" outlineLevel="0" collapsed="false">
      <c r="B26" s="6" t="s">
        <v>248</v>
      </c>
      <c r="C26" s="6" t="s">
        <v>237</v>
      </c>
      <c r="D26" s="7" t="n">
        <f aca="false">'SKU Summary'!M20</f>
        <v>4028.67675729325</v>
      </c>
      <c r="E26" s="12" t="s">
        <v>1331</v>
      </c>
    </row>
    <row r="27" customFormat="false" ht="15" hidden="false" customHeight="false" outlineLevel="0" collapsed="false">
      <c r="B27" s="6" t="s">
        <v>253</v>
      </c>
      <c r="C27" s="6" t="s">
        <v>237</v>
      </c>
      <c r="D27" s="7" t="n">
        <f aca="false">'SKU Summary'!M26</f>
        <v>1500</v>
      </c>
      <c r="E27" s="12" t="s">
        <v>1331</v>
      </c>
    </row>
    <row r="28" customFormat="false" ht="15" hidden="false" customHeight="false" outlineLevel="0" collapsed="false">
      <c r="B28" s="6" t="s">
        <v>242</v>
      </c>
      <c r="C28" s="6" t="s">
        <v>237</v>
      </c>
      <c r="D28" s="7" t="n">
        <f aca="false">'SKU Summary'!M11</f>
        <v>3100.85087814989</v>
      </c>
      <c r="E28" s="12" t="s">
        <v>1331</v>
      </c>
    </row>
    <row r="29" customFormat="false" ht="15" hidden="false" customHeight="false" outlineLevel="0" collapsed="false">
      <c r="B29" s="6" t="s">
        <v>360</v>
      </c>
      <c r="C29" s="6" t="s">
        <v>238</v>
      </c>
      <c r="D29" s="80" t="n">
        <v>0</v>
      </c>
      <c r="E29" s="12" t="s">
        <v>1332</v>
      </c>
    </row>
    <row r="31" customFormat="false" ht="15" hidden="false" customHeight="false" outlineLevel="0" collapsed="false">
      <c r="B31" s="18" t="s">
        <v>1333</v>
      </c>
    </row>
    <row r="32" customFormat="false" ht="19.5" hidden="false" customHeight="true" outlineLevel="0" collapsed="false">
      <c r="B32" s="5" t="s">
        <v>308</v>
      </c>
      <c r="C32" s="5" t="s">
        <v>436</v>
      </c>
      <c r="D32" s="5" t="s">
        <v>1334</v>
      </c>
      <c r="E32" s="5" t="s">
        <v>1214</v>
      </c>
    </row>
    <row r="33" customFormat="false" ht="15" hidden="false" customHeight="false" outlineLevel="0" collapsed="false">
      <c r="B33" s="6" t="s">
        <v>1335</v>
      </c>
      <c r="C33" s="9" t="n">
        <f aca="false">K18</f>
        <v>3443693282.04</v>
      </c>
      <c r="D33" s="21" t="n">
        <f aca="false">IFERROR(C33/$H$18,0)</f>
        <v>0.896770650689166</v>
      </c>
      <c r="E33" s="9" t="n">
        <f aca="false">IFERROR(C33/$AC$18,0)</f>
        <v>28510.6989389499</v>
      </c>
    </row>
    <row r="34" customFormat="false" ht="15" hidden="false" customHeight="false" outlineLevel="0" collapsed="false">
      <c r="B34" s="6" t="s">
        <v>1336</v>
      </c>
      <c r="C34" s="9" t="n">
        <f aca="false">I18</f>
        <v>181400000</v>
      </c>
      <c r="D34" s="21" t="n">
        <f aca="false">IFERROR(C34/$H$18,0)</f>
        <v>0.0472382940964616</v>
      </c>
      <c r="E34" s="9" t="n">
        <f aca="false">IFERROR(C34/$AC$18,0)</f>
        <v>1501.82968224794</v>
      </c>
    </row>
    <row r="35" customFormat="false" ht="15" hidden="false" customHeight="false" outlineLevel="0" collapsed="false">
      <c r="B35" s="6" t="s">
        <v>1337</v>
      </c>
      <c r="C35" s="9" t="n">
        <f aca="false">J18</f>
        <v>215011520</v>
      </c>
      <c r="D35" s="21" t="n">
        <f aca="false">IFERROR(C35/$H$18,0)</f>
        <v>0.0559910552143729</v>
      </c>
      <c r="E35" s="9" t="n">
        <f aca="false">IFERROR(C35/$AC$18,0)</f>
        <v>1780.10299206862</v>
      </c>
    </row>
    <row r="36" customFormat="false" ht="15" hidden="false" customHeight="false" outlineLevel="0" collapsed="false">
      <c r="B36" s="11" t="s">
        <v>1338</v>
      </c>
      <c r="C36" s="9" t="n">
        <f aca="false">H18</f>
        <v>3840104802.04</v>
      </c>
      <c r="D36" s="21" t="n">
        <f aca="false">IFERROR(C36/$H$18,0)</f>
        <v>1</v>
      </c>
      <c r="E36" s="9" t="n">
        <f aca="false">IFERROR(C36/$AC$18,0)</f>
        <v>31792.6316132664</v>
      </c>
    </row>
    <row r="37" customFormat="false" ht="15" hidden="false" customHeight="false" outlineLevel="0" collapsed="false">
      <c r="B37" s="6" t="s">
        <v>1339</v>
      </c>
      <c r="C37" s="9" t="n">
        <f aca="false">AG18</f>
        <v>3450735623.78712</v>
      </c>
      <c r="D37" s="21" t="n">
        <f aca="false">IFERROR(C37/$H$18,0)</f>
        <v>0.898604543801504</v>
      </c>
      <c r="E37" s="9" t="n">
        <f aca="false">IFERROR(C37/$AC$18,0)</f>
        <v>28569.0032270886</v>
      </c>
    </row>
    <row r="38" customFormat="false" ht="15" hidden="false" customHeight="false" outlineLevel="0" collapsed="false">
      <c r="B38" s="11" t="s">
        <v>1340</v>
      </c>
      <c r="C38" s="16" t="n">
        <f aca="false">AG18-H18</f>
        <v>-389369178.25288</v>
      </c>
      <c r="D38" s="21" t="n">
        <f aca="false">IFERROR(C38/$H$18,0)</f>
        <v>-0.101395456198496</v>
      </c>
      <c r="E38" s="9" t="n">
        <f aca="false">IFERROR(C38/$AC$18,0)</f>
        <v>-3223.62838617787</v>
      </c>
    </row>
    <row r="39" customFormat="false" ht="15" hidden="false" customHeight="false" outlineLevel="0" collapsed="false">
      <c r="B39" s="6" t="s">
        <v>1341</v>
      </c>
      <c r="C39" s="9" t="n">
        <f aca="false">V18*$D$23+AG18-T18*$D$23-U18*$D$24</f>
        <v>3653744892.25626</v>
      </c>
      <c r="D39" s="21" t="n">
        <f aca="false">IFERROR(C39/$H$18,0)</f>
        <v>0.951470097981509</v>
      </c>
      <c r="E39" s="9" t="n">
        <f aca="false">IFERROR(C39/$AC$18,0)</f>
        <v>30249.7383161646</v>
      </c>
    </row>
    <row r="40" customFormat="false" ht="15" hidden="false" customHeight="false" outlineLevel="0" collapsed="false">
      <c r="B40" s="11" t="s">
        <v>1342</v>
      </c>
      <c r="C40" s="16" t="n">
        <f aca="false">C39-H18</f>
        <v>-186359909.783737</v>
      </c>
      <c r="D40" s="21" t="n">
        <f aca="false">IFERROR(C40/$H$18,0)</f>
        <v>-0.0485299020184908</v>
      </c>
      <c r="E40" s="9" t="n">
        <f aca="false">IFERROR(C40/$AC$18,0)</f>
        <v>-1542.89329710179</v>
      </c>
    </row>
    <row r="43" customFormat="false" ht="15" hidden="false" customHeight="false" outlineLevel="0" collapsed="false">
      <c r="B43" s="18" t="s">
        <v>1343</v>
      </c>
    </row>
    <row r="44" customFormat="false" ht="30" hidden="false" customHeight="true" outlineLevel="0" collapsed="false">
      <c r="B44" s="5" t="s">
        <v>308</v>
      </c>
      <c r="C44" s="5" t="s">
        <v>1344</v>
      </c>
      <c r="D44" s="5" t="s">
        <v>1345</v>
      </c>
      <c r="E44" s="5" t="s">
        <v>1202</v>
      </c>
    </row>
    <row r="45" customFormat="false" ht="15" hidden="false" customHeight="false" outlineLevel="0" collapsed="false">
      <c r="B45" s="6" t="s">
        <v>1346</v>
      </c>
      <c r="C45" s="9" t="n">
        <f aca="false">G18</f>
        <v>140719.04</v>
      </c>
      <c r="D45" s="9" t="n">
        <f aca="false">M18</f>
        <v>131882.2</v>
      </c>
      <c r="E45" s="12" t="s">
        <v>1347</v>
      </c>
    </row>
    <row r="46" customFormat="false" ht="15" hidden="false" customHeight="false" outlineLevel="0" collapsed="false">
      <c r="B46" s="6" t="s">
        <v>1348</v>
      </c>
      <c r="C46" s="9" t="n">
        <f aca="false">K18/G18</f>
        <v>24472.1203473247</v>
      </c>
      <c r="D46" s="9" t="n">
        <f aca="false">K18/G18</f>
        <v>24472.1203473247</v>
      </c>
      <c r="E46" s="12" t="s">
        <v>1349</v>
      </c>
    </row>
    <row r="47" customFormat="false" ht="15" hidden="false" customHeight="false" outlineLevel="0" collapsed="false">
      <c r="B47" s="6" t="s">
        <v>1350</v>
      </c>
      <c r="C47" s="9" t="n">
        <v>0</v>
      </c>
      <c r="D47" s="9" t="n">
        <f aca="false">K18/M18-K18/G18</f>
        <v>1639.76800485625</v>
      </c>
      <c r="E47" s="12" t="s">
        <v>1351</v>
      </c>
    </row>
    <row r="48" customFormat="false" ht="15" hidden="false" customHeight="false" outlineLevel="0" collapsed="false">
      <c r="B48" s="6" t="s">
        <v>1336</v>
      </c>
      <c r="C48" s="9" t="n">
        <f aca="false">I18/G18</f>
        <v>1289.09350149063</v>
      </c>
      <c r="D48" s="9" t="n">
        <f aca="false">I18/M18</f>
        <v>1375.46992694996</v>
      </c>
      <c r="E48" s="12"/>
    </row>
    <row r="49" customFormat="false" ht="15" hidden="false" customHeight="false" outlineLevel="0" collapsed="false">
      <c r="B49" s="6" t="s">
        <v>1245</v>
      </c>
      <c r="C49" s="9" t="n">
        <f aca="false">J18/G18</f>
        <v>1527.94902523496</v>
      </c>
      <c r="D49" s="9" t="n">
        <f aca="false">J18/M18</f>
        <v>1630.33009761742</v>
      </c>
      <c r="E49" s="12" t="s">
        <v>1352</v>
      </c>
    </row>
    <row r="50" customFormat="false" ht="15" hidden="false" customHeight="false" outlineLevel="0" collapsed="false">
      <c r="B50" s="29" t="s">
        <v>1353</v>
      </c>
      <c r="C50" s="69" t="n">
        <f aca="false">SUM(C46:C49)</f>
        <v>27289.1628740503</v>
      </c>
      <c r="D50" s="69" t="n">
        <f aca="false">SUM(D46:D49)</f>
        <v>29117.6883767483</v>
      </c>
      <c r="E50" s="12" t="s">
        <v>1354</v>
      </c>
    </row>
    <row r="51" customFormat="false" ht="15" hidden="false" customHeight="false" outlineLevel="0" collapsed="false">
      <c r="B51" s="6" t="s">
        <v>1355</v>
      </c>
      <c r="C51" s="21" t="n">
        <f aca="false">AM18/G18</f>
        <v>0.860649703124751</v>
      </c>
      <c r="D51" s="21" t="n">
        <f aca="false">AM18/M18</f>
        <v>0.918318014106528</v>
      </c>
      <c r="E51" s="12" t="s">
        <v>1356</v>
      </c>
    </row>
    <row r="52" customFormat="false" ht="15" hidden="false" customHeight="false" outlineLevel="0" collapsed="false">
      <c r="B52" s="29" t="s">
        <v>1357</v>
      </c>
      <c r="C52" s="69" t="n">
        <f aca="false">IFERROR(C50/C51,0)</f>
        <v>31707.6306132121</v>
      </c>
      <c r="D52" s="69" t="n">
        <f aca="false">IFERROR(D50/D51,0)</f>
        <v>31707.6306132121</v>
      </c>
      <c r="E52" s="12" t="s">
        <v>1358</v>
      </c>
    </row>
    <row r="53" customFormat="false" ht="15" hidden="false" customHeight="false" outlineLevel="0" collapsed="false">
      <c r="B53" s="6" t="s">
        <v>1359</v>
      </c>
      <c r="C53" s="21" t="n">
        <f aca="false">AC18/G18</f>
        <v>0.858348664118232</v>
      </c>
      <c r="D53" s="21" t="n">
        <f aca="false">AC18/M18</f>
        <v>0.915862792704398</v>
      </c>
      <c r="E53" s="12" t="s">
        <v>1360</v>
      </c>
    </row>
    <row r="54" customFormat="false" ht="15" hidden="false" customHeight="false" outlineLevel="0" collapsed="false">
      <c r="B54" s="29" t="s">
        <v>1361</v>
      </c>
      <c r="C54" s="69" t="n">
        <f aca="false">IFERROR(C50/C53,0)</f>
        <v>31792.6316132664</v>
      </c>
      <c r="D54" s="69" t="n">
        <f aca="false">IFERROR(D50/D53,0)</f>
        <v>31792.6316132664</v>
      </c>
      <c r="E54" s="12" t="s">
        <v>1362</v>
      </c>
    </row>
    <row r="55" customFormat="false" ht="15" hidden="false" customHeight="false" outlineLevel="0" collapsed="false">
      <c r="B55" s="6" t="s">
        <v>1363</v>
      </c>
      <c r="C55" s="9" t="n">
        <f aca="false">ROUND(C52-D52,6)</f>
        <v>0</v>
      </c>
      <c r="E55" s="12"/>
    </row>
    <row r="57" customFormat="false" ht="15" hidden="false" customHeight="false" outlineLevel="0" collapsed="false">
      <c r="B57" s="11" t="s">
        <v>1364</v>
      </c>
    </row>
    <row r="58" customFormat="false" ht="15" hidden="false" customHeight="false" outlineLevel="0" collapsed="false">
      <c r="B58" s="6" t="s">
        <v>1365</v>
      </c>
      <c r="C58" s="7" t="n">
        <f aca="false">IFERROR(SUMIFS('MA Engine'!$L$6:$L$1110,'MA Engine'!$C$6:$C$1110,"RPA",'MA Engine'!$D$6:$D$1110,"Karkas",'MA Engine'!$I$6:$I$1110,"Receipt",'MA Engine'!$H$6:$H$1110,8)/V18,0)</f>
        <v>37149.4866934475</v>
      </c>
      <c r="E58" s="12" t="s">
        <v>1366</v>
      </c>
    </row>
    <row r="59" customFormat="false" ht="15" hidden="false" customHeight="false" outlineLevel="0" collapsed="false">
      <c r="B59" s="6" t="s">
        <v>1367</v>
      </c>
      <c r="C59" s="9" t="n">
        <f aca="false">IFERROR((H18-(W18*$D$25+X18*$D$26+Y18*$D$27+Z18*$D$28+AA18*$D$29))/V18,0)</f>
        <v>38712.2985844696</v>
      </c>
      <c r="E59" s="12" t="s">
        <v>1368</v>
      </c>
    </row>
    <row r="60" customFormat="false" ht="15" hidden="false" customHeight="false" outlineLevel="0" collapsed="false">
      <c r="B60" s="6" t="s">
        <v>1369</v>
      </c>
      <c r="C60" s="9" t="n">
        <f aca="false">D23</f>
        <v>36794.2045160545</v>
      </c>
      <c r="D60" s="9" t="n">
        <f aca="false">D24</f>
        <v>31657.7852093346</v>
      </c>
    </row>
    <row r="63" customFormat="false" ht="15" hidden="false" customHeight="false" outlineLevel="0" collapsed="false">
      <c r="B63" s="18" t="s">
        <v>1370</v>
      </c>
    </row>
    <row r="64" customFormat="false" ht="30" hidden="false" customHeight="true" outlineLevel="0" collapsed="false">
      <c r="B64" s="5" t="s">
        <v>552</v>
      </c>
      <c r="C64" s="5" t="s">
        <v>1240</v>
      </c>
      <c r="D64" s="5" t="s">
        <v>1371</v>
      </c>
      <c r="E64" s="5" t="s">
        <v>1372</v>
      </c>
      <c r="F64" s="5" t="s">
        <v>1373</v>
      </c>
      <c r="G64" s="5" t="s">
        <v>1374</v>
      </c>
      <c r="H64" s="5" t="s">
        <v>1375</v>
      </c>
      <c r="I64" s="5" t="s">
        <v>1376</v>
      </c>
      <c r="J64" s="5" t="s">
        <v>1377</v>
      </c>
      <c r="K64" s="5" t="s">
        <v>1378</v>
      </c>
      <c r="L64" s="5" t="s">
        <v>1379</v>
      </c>
      <c r="M64" s="5" t="s">
        <v>1380</v>
      </c>
      <c r="N64" s="5" t="s">
        <v>1381</v>
      </c>
      <c r="O64" s="5" t="s">
        <v>1382</v>
      </c>
      <c r="P64" s="5" t="s">
        <v>1383</v>
      </c>
      <c r="Q64" s="5" t="s">
        <v>1384</v>
      </c>
      <c r="R64" s="5" t="s">
        <v>1385</v>
      </c>
      <c r="S64" s="5" t="s">
        <v>1386</v>
      </c>
      <c r="T64" s="5" t="s">
        <v>1387</v>
      </c>
      <c r="U64" s="5" t="s">
        <v>1388</v>
      </c>
      <c r="V64" s="5" t="s">
        <v>1389</v>
      </c>
    </row>
    <row r="65" customFormat="false" ht="15" hidden="false" customHeight="false" outlineLevel="0" collapsed="false">
      <c r="B65" s="79" t="n">
        <v>46241</v>
      </c>
      <c r="C65" s="6" t="s">
        <v>1290</v>
      </c>
      <c r="D65" s="19" t="n">
        <f aca="false">SUMIFS(I_Batch_Ops!$J$21:$J$342,I_Batch_Ops!$B$21:$B$342,$C65,I_Batch_Ops!$G$21:$G$342,"Karkas",I_Batch_Ops!$I$21:$I$342,"Uk 0.5")</f>
        <v>0</v>
      </c>
      <c r="E65" s="19" t="n">
        <f aca="false">SUMIFS(I_Batch_Ops!$J$21:$J$342,I_Batch_Ops!$B$21:$B$342,$C65,I_Batch_Ops!$G$21:$G$342,"Karkas",I_Batch_Ops!$I$21:$I$342,"Uk 0.6")</f>
        <v>4.6</v>
      </c>
      <c r="F65" s="19" t="n">
        <f aca="false">SUMIFS(I_Batch_Ops!$J$21:$J$342,I_Batch_Ops!$B$21:$B$342,$C65,I_Batch_Ops!$G$21:$G$342,"Karkas",I_Batch_Ops!$I$21:$I$342,"Uk 0.7")</f>
        <v>36.4</v>
      </c>
      <c r="G65" s="19" t="n">
        <f aca="false">SUMIFS(I_Batch_Ops!$J$21:$J$342,I_Batch_Ops!$B$21:$B$342,$C65,I_Batch_Ops!$G$21:$G$342,"Karkas",I_Batch_Ops!$I$21:$I$342,"Uk 0.8")</f>
        <v>157.9</v>
      </c>
      <c r="H65" s="19" t="n">
        <f aca="false">SUMIFS(I_Batch_Ops!$J$21:$J$342,I_Batch_Ops!$B$21:$B$342,$C65,I_Batch_Ops!$G$21:$G$342,"Karkas",I_Batch_Ops!$I$21:$I$342,"Uk 0.9")</f>
        <v>566</v>
      </c>
      <c r="I65" s="19" t="n">
        <f aca="false">SUMIFS(I_Batch_Ops!$J$21:$J$342,I_Batch_Ops!$B$21:$B$342,$C65,I_Batch_Ops!$G$21:$G$342,"Karkas",I_Batch_Ops!$I$21:$I$342,"Uk 1.0")</f>
        <v>1135.4</v>
      </c>
      <c r="J65" s="19" t="n">
        <f aca="false">SUMIFS(I_Batch_Ops!$J$21:$J$342,I_Batch_Ops!$B$21:$B$342,$C65,I_Batch_Ops!$G$21:$G$342,"Karkas",I_Batch_Ops!$I$21:$I$342,"Uk 1.1")</f>
        <v>1492.2</v>
      </c>
      <c r="K65" s="19" t="n">
        <f aca="false">SUMIFS(I_Batch_Ops!$J$21:$J$342,I_Batch_Ops!$B$21:$B$342,$C65,I_Batch_Ops!$G$21:$G$342,"Karkas",I_Batch_Ops!$I$21:$I$342,"Uk 1.2")</f>
        <v>1009.8</v>
      </c>
      <c r="L65" s="19" t="n">
        <f aca="false">SUMIFS(I_Batch_Ops!$J$21:$J$342,I_Batch_Ops!$B$21:$B$342,$C65,I_Batch_Ops!$G$21:$G$342,"Karkas",I_Batch_Ops!$I$21:$I$342,"Uk 1.3")</f>
        <v>383.8</v>
      </c>
      <c r="M65" s="19" t="n">
        <f aca="false">SUMIFS(I_Batch_Ops!$J$21:$J$342,I_Batch_Ops!$B$21:$B$342,$C65,I_Batch_Ops!$G$21:$G$342,"Karkas",I_Batch_Ops!$I$21:$I$342,"Uk 1.4")</f>
        <v>34.5</v>
      </c>
      <c r="N65" s="19" t="n">
        <f aca="false">SUMIFS(I_Batch_Ops!$J$21:$J$342,I_Batch_Ops!$B$21:$B$342,$C65,I_Batch_Ops!$G$21:$G$342,"Karkas",I_Batch_Ops!$I$21:$I$342,"Uk 1.5")</f>
        <v>0</v>
      </c>
      <c r="O65" s="19" t="n">
        <f aca="false">SUMIFS(I_Batch_Ops!$J$21:$J$342,I_Batch_Ops!$B$21:$B$342,$C65,I_Batch_Ops!$G$21:$G$342,"Karkas",I_Batch_Ops!$I$21:$I$342,"Uk 1.6")</f>
        <v>0</v>
      </c>
      <c r="P65" s="19" t="n">
        <f aca="false">SUMIFS(I_Batch_Ops!$J$21:$J$342,I_Batch_Ops!$B$21:$B$342,$C65,I_Batch_Ops!$G$21:$G$342,"Karkas",I_Batch_Ops!$I$21:$I$342,"Uk 1.7")</f>
        <v>0</v>
      </c>
      <c r="Q65" s="19" t="n">
        <f aca="false">SUMIFS(I_Batch_Ops!$J$21:$J$342,I_Batch_Ops!$B$21:$B$342,$C65,I_Batch_Ops!$G$21:$G$342,"Karkas",I_Batch_Ops!$I$21:$I$342,"Uk 1.8")</f>
        <v>0</v>
      </c>
      <c r="R65" s="19" t="n">
        <f aca="false">SUMIFS(I_Batch_Ops!$J$21:$J$342,I_Batch_Ops!$B$21:$B$342,$C65,I_Batch_Ops!$G$21:$G$342,"Karkas",I_Batch_Ops!$I$21:$I$342,"Uk 1.9")</f>
        <v>0</v>
      </c>
      <c r="S65" s="19" t="n">
        <f aca="false">SUMIFS(I_Batch_Ops!$J$21:$J$342,I_Batch_Ops!$B$21:$B$342,$C65,I_Batch_Ops!$G$21:$G$342,"Karkas",I_Batch_Ops!$I$21:$I$342,"Uk 2.0")</f>
        <v>0</v>
      </c>
      <c r="T65" s="20" t="n">
        <f aca="false">SUM(D65:S65)</f>
        <v>4820.6</v>
      </c>
      <c r="U65" s="14" t="n">
        <f aca="false">IFERROR(SUMPRODUCT(D65:S65,{0.5,0.6,0.7,0.8,0.9,1,1.1,1.2,1.3,1.4,1.5,1.6,1.7,1.8,1.9,2})/T65,0)</f>
        <v>1.07865825830809</v>
      </c>
      <c r="V65" s="21" t="n">
        <f aca="false">IFERROR(SUM(K65:S65)/T65,0)</f>
        <v>0.296249429531594</v>
      </c>
    </row>
    <row r="66" customFormat="false" ht="15" hidden="false" customHeight="false" outlineLevel="0" collapsed="false">
      <c r="B66" s="79" t="n">
        <v>46244</v>
      </c>
      <c r="C66" s="6" t="s">
        <v>1294</v>
      </c>
      <c r="D66" s="19" t="n">
        <f aca="false">SUMIFS(I_Batch_Ops!$J$21:$J$342,I_Batch_Ops!$B$21:$B$342,$C66,I_Batch_Ops!$G$21:$G$342,"Karkas",I_Batch_Ops!$I$21:$I$342,"Uk 0.5")</f>
        <v>0</v>
      </c>
      <c r="E66" s="19" t="n">
        <f aca="false">SUMIFS(I_Batch_Ops!$J$21:$J$342,I_Batch_Ops!$B$21:$B$342,$C66,I_Batch_Ops!$G$21:$G$342,"Karkas",I_Batch_Ops!$I$21:$I$342,"Uk 0.6")</f>
        <v>35.4</v>
      </c>
      <c r="F66" s="19" t="n">
        <f aca="false">SUMIFS(I_Batch_Ops!$J$21:$J$342,I_Batch_Ops!$B$21:$B$342,$C66,I_Batch_Ops!$G$21:$G$342,"Karkas",I_Batch_Ops!$I$21:$I$342,"Uk 0.7")</f>
        <v>138.8</v>
      </c>
      <c r="G66" s="19" t="n">
        <f aca="false">SUMIFS(I_Batch_Ops!$J$21:$J$342,I_Batch_Ops!$B$21:$B$342,$C66,I_Batch_Ops!$G$21:$G$342,"Karkas",I_Batch_Ops!$I$21:$I$342,"Uk 0.8")</f>
        <v>415.2</v>
      </c>
      <c r="H66" s="19" t="n">
        <f aca="false">SUMIFS(I_Batch_Ops!$J$21:$J$342,I_Batch_Ops!$B$21:$B$342,$C66,I_Batch_Ops!$G$21:$G$342,"Karkas",I_Batch_Ops!$I$21:$I$342,"Uk 0.9")</f>
        <v>921.1</v>
      </c>
      <c r="I66" s="19" t="n">
        <f aca="false">SUMIFS(I_Batch_Ops!$J$21:$J$342,I_Batch_Ops!$B$21:$B$342,$C66,I_Batch_Ops!$G$21:$G$342,"Karkas",I_Batch_Ops!$I$21:$I$342,"Uk 1.0")</f>
        <v>1900</v>
      </c>
      <c r="J66" s="19" t="n">
        <f aca="false">SUMIFS(I_Batch_Ops!$J$21:$J$342,I_Batch_Ops!$B$21:$B$342,$C66,I_Batch_Ops!$G$21:$G$342,"Karkas",I_Batch_Ops!$I$21:$I$342,"Uk 1.1")</f>
        <v>1897.8</v>
      </c>
      <c r="K66" s="19" t="n">
        <f aca="false">SUMIFS(I_Batch_Ops!$J$21:$J$342,I_Batch_Ops!$B$21:$B$342,$C66,I_Batch_Ops!$G$21:$G$342,"Karkas",I_Batch_Ops!$I$21:$I$342,"Uk 1.2")</f>
        <v>1555.7</v>
      </c>
      <c r="L66" s="19" t="n">
        <f aca="false">SUMIFS(I_Batch_Ops!$J$21:$J$342,I_Batch_Ops!$B$21:$B$342,$C66,I_Batch_Ops!$G$21:$G$342,"Karkas",I_Batch_Ops!$I$21:$I$342,"Uk 1.3")</f>
        <v>595.8</v>
      </c>
      <c r="M66" s="19" t="n">
        <f aca="false">SUMIFS(I_Batch_Ops!$J$21:$J$342,I_Batch_Ops!$B$21:$B$342,$C66,I_Batch_Ops!$G$21:$G$342,"Karkas",I_Batch_Ops!$I$21:$I$342,"Uk 1.4")</f>
        <v>72.3</v>
      </c>
      <c r="N66" s="19" t="n">
        <f aca="false">SUMIFS(I_Batch_Ops!$J$21:$J$342,I_Batch_Ops!$B$21:$B$342,$C66,I_Batch_Ops!$G$21:$G$342,"Karkas",I_Batch_Ops!$I$21:$I$342,"Uk 1.5")</f>
        <v>0</v>
      </c>
      <c r="O66" s="19" t="n">
        <f aca="false">SUMIFS(I_Batch_Ops!$J$21:$J$342,I_Batch_Ops!$B$21:$B$342,$C66,I_Batch_Ops!$G$21:$G$342,"Karkas",I_Batch_Ops!$I$21:$I$342,"Uk 1.6")</f>
        <v>0</v>
      </c>
      <c r="P66" s="19" t="n">
        <f aca="false">SUMIFS(I_Batch_Ops!$J$21:$J$342,I_Batch_Ops!$B$21:$B$342,$C66,I_Batch_Ops!$G$21:$G$342,"Karkas",I_Batch_Ops!$I$21:$I$342,"Uk 1.7")</f>
        <v>0</v>
      </c>
      <c r="Q66" s="19" t="n">
        <f aca="false">SUMIFS(I_Batch_Ops!$J$21:$J$342,I_Batch_Ops!$B$21:$B$342,$C66,I_Batch_Ops!$G$21:$G$342,"Karkas",I_Batch_Ops!$I$21:$I$342,"Uk 1.8")</f>
        <v>0</v>
      </c>
      <c r="R66" s="19" t="n">
        <f aca="false">SUMIFS(I_Batch_Ops!$J$21:$J$342,I_Batch_Ops!$B$21:$B$342,$C66,I_Batch_Ops!$G$21:$G$342,"Karkas",I_Batch_Ops!$I$21:$I$342,"Uk 1.9")</f>
        <v>0</v>
      </c>
      <c r="S66" s="19" t="n">
        <f aca="false">SUMIFS(I_Batch_Ops!$J$21:$J$342,I_Batch_Ops!$B$21:$B$342,$C66,I_Batch_Ops!$G$21:$G$342,"Karkas",I_Batch_Ops!$I$21:$I$342,"Uk 2.0")</f>
        <v>0</v>
      </c>
      <c r="T66" s="20" t="n">
        <f aca="false">SUM(D66:S66)</f>
        <v>7532.1</v>
      </c>
      <c r="U66" s="14" t="n">
        <f aca="false">IFERROR(SUMPRODUCT(D66:S66,{0.5,0.6,0.7,0.8,0.9,1,1.1,1.2,1.3,1.4,1.5,1.6,1.7,1.8,1.9,2})/T66,0)</f>
        <v>1.06341259409726</v>
      </c>
      <c r="V66" s="21" t="n">
        <f aca="false">IFERROR(SUM(K66:S66)/T66,0)</f>
        <v>0.29524302651319</v>
      </c>
    </row>
    <row r="67" customFormat="false" ht="15" hidden="false" customHeight="false" outlineLevel="0" collapsed="false">
      <c r="B67" s="79" t="n">
        <v>46245</v>
      </c>
      <c r="C67" s="6" t="s">
        <v>1298</v>
      </c>
      <c r="D67" s="19" t="n">
        <f aca="false">SUMIFS(I_Batch_Ops!$J$21:$J$342,I_Batch_Ops!$B$21:$B$342,$C67,I_Batch_Ops!$G$21:$G$342,"Karkas",I_Batch_Ops!$I$21:$I$342,"Uk 0.5")</f>
        <v>0</v>
      </c>
      <c r="E67" s="19" t="n">
        <f aca="false">SUMIFS(I_Batch_Ops!$J$21:$J$342,I_Batch_Ops!$B$21:$B$342,$C67,I_Batch_Ops!$G$21:$G$342,"Karkas",I_Batch_Ops!$I$21:$I$342,"Uk 0.6")</f>
        <v>0</v>
      </c>
      <c r="F67" s="19" t="n">
        <f aca="false">SUMIFS(I_Batch_Ops!$J$21:$J$342,I_Batch_Ops!$B$21:$B$342,$C67,I_Batch_Ops!$G$21:$G$342,"Karkas",I_Batch_Ops!$I$21:$I$342,"Uk 0.7")</f>
        <v>7.7</v>
      </c>
      <c r="G67" s="19" t="n">
        <f aca="false">SUMIFS(I_Batch_Ops!$J$21:$J$342,I_Batch_Ops!$B$21:$B$342,$C67,I_Batch_Ops!$G$21:$G$342,"Karkas",I_Batch_Ops!$I$21:$I$342,"Uk 0.8")</f>
        <v>11.4</v>
      </c>
      <c r="H67" s="19" t="n">
        <f aca="false">SUMIFS(I_Batch_Ops!$J$21:$J$342,I_Batch_Ops!$B$21:$B$342,$C67,I_Batch_Ops!$G$21:$G$342,"Karkas",I_Batch_Ops!$I$21:$I$342,"Uk 0.9")</f>
        <v>0</v>
      </c>
      <c r="I67" s="19" t="n">
        <f aca="false">SUMIFS(I_Batch_Ops!$J$21:$J$342,I_Batch_Ops!$B$21:$B$342,$C67,I_Batch_Ops!$G$21:$G$342,"Karkas",I_Batch_Ops!$I$21:$I$342,"Uk 1.0")</f>
        <v>21.4</v>
      </c>
      <c r="J67" s="19" t="n">
        <f aca="false">SUMIFS(I_Batch_Ops!$J$21:$J$342,I_Batch_Ops!$B$21:$B$342,$C67,I_Batch_Ops!$G$21:$G$342,"Karkas",I_Batch_Ops!$I$21:$I$342,"Uk 1.1")</f>
        <v>75.9</v>
      </c>
      <c r="K67" s="19" t="n">
        <f aca="false">SUMIFS(I_Batch_Ops!$J$21:$J$342,I_Batch_Ops!$B$21:$B$342,$C67,I_Batch_Ops!$G$21:$G$342,"Karkas",I_Batch_Ops!$I$21:$I$342,"Uk 1.2")</f>
        <v>198.4</v>
      </c>
      <c r="L67" s="19" t="n">
        <f aca="false">SUMIFS(I_Batch_Ops!$J$21:$J$342,I_Batch_Ops!$B$21:$B$342,$C67,I_Batch_Ops!$G$21:$G$342,"Karkas",I_Batch_Ops!$I$21:$I$342,"Uk 1.3")</f>
        <v>391.2</v>
      </c>
      <c r="M67" s="19" t="n">
        <f aca="false">SUMIFS(I_Batch_Ops!$J$21:$J$342,I_Batch_Ops!$B$21:$B$342,$C67,I_Batch_Ops!$G$21:$G$342,"Karkas",I_Batch_Ops!$I$21:$I$342,"Uk 1.4")</f>
        <v>670.2</v>
      </c>
      <c r="N67" s="19" t="n">
        <f aca="false">SUMIFS(I_Batch_Ops!$J$21:$J$342,I_Batch_Ops!$B$21:$B$342,$C67,I_Batch_Ops!$G$21:$G$342,"Karkas",I_Batch_Ops!$I$21:$I$342,"Uk 1.5")</f>
        <v>910.2</v>
      </c>
      <c r="O67" s="19" t="n">
        <f aca="false">SUMIFS(I_Batch_Ops!$J$21:$J$342,I_Batch_Ops!$B$21:$B$342,$C67,I_Batch_Ops!$G$21:$G$342,"Karkas",I_Batch_Ops!$I$21:$I$342,"Uk 1.6")</f>
        <v>862.8</v>
      </c>
      <c r="P67" s="19" t="n">
        <f aca="false">SUMIFS(I_Batch_Ops!$J$21:$J$342,I_Batch_Ops!$B$21:$B$342,$C67,I_Batch_Ops!$G$21:$G$342,"Karkas",I_Batch_Ops!$I$21:$I$342,"Uk 1.7")</f>
        <v>684.4</v>
      </c>
      <c r="Q67" s="19" t="n">
        <f aca="false">SUMIFS(I_Batch_Ops!$J$21:$J$342,I_Batch_Ops!$B$21:$B$342,$C67,I_Batch_Ops!$G$21:$G$342,"Karkas",I_Batch_Ops!$I$21:$I$342,"Uk 1.8")</f>
        <v>573.9</v>
      </c>
      <c r="R67" s="19" t="n">
        <f aca="false">SUMIFS(I_Batch_Ops!$J$21:$J$342,I_Batch_Ops!$B$21:$B$342,$C67,I_Batch_Ops!$G$21:$G$342,"Karkas",I_Batch_Ops!$I$21:$I$342,"Uk 1.9")</f>
        <v>17.8</v>
      </c>
      <c r="S67" s="19" t="n">
        <f aca="false">SUMIFS(I_Batch_Ops!$J$21:$J$342,I_Batch_Ops!$B$21:$B$342,$C67,I_Batch_Ops!$G$21:$G$342,"Karkas",I_Batch_Ops!$I$21:$I$342,"Uk 2.0")</f>
        <v>192.2</v>
      </c>
      <c r="T67" s="20" t="n">
        <f aca="false">SUM(D67:S67)</f>
        <v>4617.5</v>
      </c>
      <c r="U67" s="14" t="n">
        <f aca="false">IFERROR(SUMPRODUCT(D67:S67,{0.5,0.6,0.7,0.8,0.9,1,1.1,1.2,1.3,1.4,1.5,1.6,1.7,1.8,1.9,2})/T67,0)</f>
        <v>1.55166648619383</v>
      </c>
      <c r="V67" s="21" t="n">
        <f aca="false">IFERROR(SUM(K67:S67)/T67,0)</f>
        <v>0.974791553871143</v>
      </c>
    </row>
    <row r="68" customFormat="false" ht="15" hidden="false" customHeight="false" outlineLevel="0" collapsed="false">
      <c r="B68" s="79" t="n">
        <v>46248</v>
      </c>
      <c r="C68" s="6" t="s">
        <v>1302</v>
      </c>
      <c r="D68" s="19" t="n">
        <f aca="false">SUMIFS(I_Batch_Ops!$J$21:$J$342,I_Batch_Ops!$B$21:$B$342,$C68,I_Batch_Ops!$G$21:$G$342,"Karkas",I_Batch_Ops!$I$21:$I$342,"Uk 0.5")</f>
        <v>0</v>
      </c>
      <c r="E68" s="19" t="n">
        <f aca="false">SUMIFS(I_Batch_Ops!$J$21:$J$342,I_Batch_Ops!$B$21:$B$342,$C68,I_Batch_Ops!$G$21:$G$342,"Karkas",I_Batch_Ops!$I$21:$I$342,"Uk 0.6")</f>
        <v>0</v>
      </c>
      <c r="F68" s="19" t="n">
        <f aca="false">SUMIFS(I_Batch_Ops!$J$21:$J$342,I_Batch_Ops!$B$21:$B$342,$C68,I_Batch_Ops!$G$21:$G$342,"Karkas",I_Batch_Ops!$I$21:$I$342,"Uk 0.7")</f>
        <v>51.1</v>
      </c>
      <c r="G68" s="19" t="n">
        <f aca="false">SUMIFS(I_Batch_Ops!$J$21:$J$342,I_Batch_Ops!$B$21:$B$342,$C68,I_Batch_Ops!$G$21:$G$342,"Karkas",I_Batch_Ops!$I$21:$I$342,"Uk 0.8")</f>
        <v>218.6</v>
      </c>
      <c r="H68" s="19" t="n">
        <f aca="false">SUMIFS(I_Batch_Ops!$J$21:$J$342,I_Batch_Ops!$B$21:$B$342,$C68,I_Batch_Ops!$G$21:$G$342,"Karkas",I_Batch_Ops!$I$21:$I$342,"Uk 0.9")</f>
        <v>14.7</v>
      </c>
      <c r="I68" s="19" t="n">
        <f aca="false">SUMIFS(I_Batch_Ops!$J$21:$J$342,I_Batch_Ops!$B$21:$B$342,$C68,I_Batch_Ops!$G$21:$G$342,"Karkas",I_Batch_Ops!$I$21:$I$342,"Uk 1.0")</f>
        <v>578.3</v>
      </c>
      <c r="J68" s="19" t="n">
        <f aca="false">SUMIFS(I_Batch_Ops!$J$21:$J$342,I_Batch_Ops!$B$21:$B$342,$C68,I_Batch_Ops!$G$21:$G$342,"Karkas",I_Batch_Ops!$I$21:$I$342,"Uk 1.1")</f>
        <v>1488.2</v>
      </c>
      <c r="K68" s="19" t="n">
        <f aca="false">SUMIFS(I_Batch_Ops!$J$21:$J$342,I_Batch_Ops!$B$21:$B$342,$C68,I_Batch_Ops!$G$21:$G$342,"Karkas",I_Batch_Ops!$I$21:$I$342,"Uk 1.2")</f>
        <v>2325.9</v>
      </c>
      <c r="L68" s="19" t="n">
        <f aca="false">SUMIFS(I_Batch_Ops!$J$21:$J$342,I_Batch_Ops!$B$21:$B$342,$C68,I_Batch_Ops!$G$21:$G$342,"Karkas",I_Batch_Ops!$I$21:$I$342,"Uk 1.3")</f>
        <v>2515.7</v>
      </c>
      <c r="M68" s="19" t="n">
        <f aca="false">SUMIFS(I_Batch_Ops!$J$21:$J$342,I_Batch_Ops!$B$21:$B$342,$C68,I_Batch_Ops!$G$21:$G$342,"Karkas",I_Batch_Ops!$I$21:$I$342,"Uk 1.4")</f>
        <v>1767.9</v>
      </c>
      <c r="N68" s="19" t="n">
        <f aca="false">SUMIFS(I_Batch_Ops!$J$21:$J$342,I_Batch_Ops!$B$21:$B$342,$C68,I_Batch_Ops!$G$21:$G$342,"Karkas",I_Batch_Ops!$I$21:$I$342,"Uk 1.5")</f>
        <v>841.8</v>
      </c>
      <c r="O68" s="19" t="n">
        <f aca="false">SUMIFS(I_Batch_Ops!$J$21:$J$342,I_Batch_Ops!$B$21:$B$342,$C68,I_Batch_Ops!$G$21:$G$342,"Karkas",I_Batch_Ops!$I$21:$I$342,"Uk 1.6")</f>
        <v>520.2</v>
      </c>
      <c r="P68" s="19" t="n">
        <f aca="false">SUMIFS(I_Batch_Ops!$J$21:$J$342,I_Batch_Ops!$B$21:$B$342,$C68,I_Batch_Ops!$G$21:$G$342,"Karkas",I_Batch_Ops!$I$21:$I$342,"Uk 1.7")</f>
        <v>251.1</v>
      </c>
      <c r="Q68" s="19" t="n">
        <f aca="false">SUMIFS(I_Batch_Ops!$J$21:$J$342,I_Batch_Ops!$B$21:$B$342,$C68,I_Batch_Ops!$G$21:$G$342,"Karkas",I_Batch_Ops!$I$21:$I$342,"Uk 1.8")</f>
        <v>112.7</v>
      </c>
      <c r="R68" s="19" t="n">
        <f aca="false">SUMIFS(I_Batch_Ops!$J$21:$J$342,I_Batch_Ops!$B$21:$B$342,$C68,I_Batch_Ops!$G$21:$G$342,"Karkas",I_Batch_Ops!$I$21:$I$342,"Uk 1.9")</f>
        <v>3.9</v>
      </c>
      <c r="S68" s="19" t="n">
        <f aca="false">SUMIFS(I_Batch_Ops!$J$21:$J$342,I_Batch_Ops!$B$21:$B$342,$C68,I_Batch_Ops!$G$21:$G$342,"Karkas",I_Batch_Ops!$I$21:$I$342,"Uk 2.0")</f>
        <v>13.7</v>
      </c>
      <c r="T68" s="20" t="n">
        <f aca="false">SUM(D68:S68)</f>
        <v>10703.8</v>
      </c>
      <c r="U68" s="14" t="n">
        <f aca="false">IFERROR(SUMPRODUCT(D68:S68,{0.5,0.6,0.7,0.8,0.9,1,1.1,1.2,1.3,1.4,1.5,1.6,1.7,1.8,1.9,2})/T68,0)</f>
        <v>1.28321810945645</v>
      </c>
      <c r="V68" s="21" t="n">
        <f aca="false">IFERROR(SUM(K68:S68)/T68,0)</f>
        <v>0.780367719875185</v>
      </c>
    </row>
    <row r="69" customFormat="false" ht="15" hidden="false" customHeight="false" outlineLevel="0" collapsed="false">
      <c r="B69" s="79" t="n">
        <v>46253</v>
      </c>
      <c r="C69" s="6" t="s">
        <v>1305</v>
      </c>
      <c r="D69" s="19" t="n">
        <f aca="false">SUMIFS(I_Batch_Ops!$J$21:$J$342,I_Batch_Ops!$B$21:$B$342,$C69,I_Batch_Ops!$G$21:$G$342,"Karkas",I_Batch_Ops!$I$21:$I$342,"Uk 0.5")</f>
        <v>0</v>
      </c>
      <c r="E69" s="19" t="n">
        <f aca="false">SUMIFS(I_Batch_Ops!$J$21:$J$342,I_Batch_Ops!$B$21:$B$342,$C69,I_Batch_Ops!$G$21:$G$342,"Karkas",I_Batch_Ops!$I$21:$I$342,"Uk 0.6")</f>
        <v>17.2</v>
      </c>
      <c r="F69" s="19" t="n">
        <f aca="false">SUMIFS(I_Batch_Ops!$J$21:$J$342,I_Batch_Ops!$B$21:$B$342,$C69,I_Batch_Ops!$G$21:$G$342,"Karkas",I_Batch_Ops!$I$21:$I$342,"Uk 0.7")</f>
        <v>223</v>
      </c>
      <c r="G69" s="19" t="n">
        <f aca="false">SUMIFS(I_Batch_Ops!$J$21:$J$342,I_Batch_Ops!$B$21:$B$342,$C69,I_Batch_Ops!$G$21:$G$342,"Karkas",I_Batch_Ops!$I$21:$I$342,"Uk 0.8")</f>
        <v>473.2</v>
      </c>
      <c r="H69" s="19" t="n">
        <f aca="false">SUMIFS(I_Batch_Ops!$J$21:$J$342,I_Batch_Ops!$B$21:$B$342,$C69,I_Batch_Ops!$G$21:$G$342,"Karkas",I_Batch_Ops!$I$21:$I$342,"Uk 0.9")</f>
        <v>28.2</v>
      </c>
      <c r="I69" s="19" t="n">
        <f aca="false">SUMIFS(I_Batch_Ops!$J$21:$J$342,I_Batch_Ops!$B$21:$B$342,$C69,I_Batch_Ops!$G$21:$G$342,"Karkas",I_Batch_Ops!$I$21:$I$342,"Uk 1.0")</f>
        <v>1108.6</v>
      </c>
      <c r="J69" s="19" t="n">
        <f aca="false">SUMIFS(I_Batch_Ops!$J$21:$J$342,I_Batch_Ops!$B$21:$B$342,$C69,I_Batch_Ops!$G$21:$G$342,"Karkas",I_Batch_Ops!$I$21:$I$342,"Uk 1.1")</f>
        <v>1673</v>
      </c>
      <c r="K69" s="19" t="n">
        <f aca="false">SUMIFS(I_Batch_Ops!$J$21:$J$342,I_Batch_Ops!$B$21:$B$342,$C69,I_Batch_Ops!$G$21:$G$342,"Karkas",I_Batch_Ops!$I$21:$I$342,"Uk 1.2")</f>
        <v>2060.6</v>
      </c>
      <c r="L69" s="19" t="n">
        <f aca="false">SUMIFS(I_Batch_Ops!$J$21:$J$342,I_Batch_Ops!$B$21:$B$342,$C69,I_Batch_Ops!$G$21:$G$342,"Karkas",I_Batch_Ops!$I$21:$I$342,"Uk 1.3")</f>
        <v>2054</v>
      </c>
      <c r="M69" s="19" t="n">
        <f aca="false">SUMIFS(I_Batch_Ops!$J$21:$J$342,I_Batch_Ops!$B$21:$B$342,$C69,I_Batch_Ops!$G$21:$G$342,"Karkas",I_Batch_Ops!$I$21:$I$342,"Uk 1.4")</f>
        <v>1934.9</v>
      </c>
      <c r="N69" s="19" t="n">
        <f aca="false">SUMIFS(I_Batch_Ops!$J$21:$J$342,I_Batch_Ops!$B$21:$B$342,$C69,I_Batch_Ops!$G$21:$G$342,"Karkas",I_Batch_Ops!$I$21:$I$342,"Uk 1.5")</f>
        <v>1024.4</v>
      </c>
      <c r="O69" s="19" t="n">
        <f aca="false">SUMIFS(I_Batch_Ops!$J$21:$J$342,I_Batch_Ops!$B$21:$B$342,$C69,I_Batch_Ops!$G$21:$G$342,"Karkas",I_Batch_Ops!$I$21:$I$342,"Uk 1.6")</f>
        <v>648.4</v>
      </c>
      <c r="P69" s="19" t="n">
        <f aca="false">SUMIFS(I_Batch_Ops!$J$21:$J$342,I_Batch_Ops!$B$21:$B$342,$C69,I_Batch_Ops!$G$21:$G$342,"Karkas",I_Batch_Ops!$I$21:$I$342,"Uk 1.7")</f>
        <v>255.9</v>
      </c>
      <c r="Q69" s="19" t="n">
        <f aca="false">SUMIFS(I_Batch_Ops!$J$21:$J$342,I_Batch_Ops!$B$21:$B$342,$C69,I_Batch_Ops!$G$21:$G$342,"Karkas",I_Batch_Ops!$I$21:$I$342,"Uk 1.8")</f>
        <v>16.7</v>
      </c>
      <c r="R69" s="19" t="n">
        <f aca="false">SUMIFS(I_Batch_Ops!$J$21:$J$342,I_Batch_Ops!$B$21:$B$342,$C69,I_Batch_Ops!$G$21:$G$342,"Karkas",I_Batch_Ops!$I$21:$I$342,"Uk 1.9")</f>
        <v>0</v>
      </c>
      <c r="S69" s="19" t="n">
        <f aca="false">SUMIFS(I_Batch_Ops!$J$21:$J$342,I_Batch_Ops!$B$21:$B$342,$C69,I_Batch_Ops!$G$21:$G$342,"Karkas",I_Batch_Ops!$I$21:$I$342,"Uk 2.0")</f>
        <v>19.7</v>
      </c>
      <c r="T69" s="20" t="n">
        <f aca="false">SUM(D69:S69)</f>
        <v>11537.8</v>
      </c>
      <c r="U69" s="14" t="n">
        <f aca="false">IFERROR(SUMPRODUCT(D69:S69,{0.5,0.6,0.7,0.8,0.9,1,1.1,1.2,1.3,1.4,1.5,1.6,1.7,1.8,1.9,2})/T69,0)</f>
        <v>1.25236786909116</v>
      </c>
      <c r="V69" s="21" t="n">
        <f aca="false">IFERROR(SUM(K69:S69)/T69,0)</f>
        <v>0.694638492606909</v>
      </c>
    </row>
    <row r="70" customFormat="false" ht="15" hidden="false" customHeight="false" outlineLevel="0" collapsed="false">
      <c r="B70" s="79" t="n">
        <v>46254</v>
      </c>
      <c r="C70" s="6" t="s">
        <v>1308</v>
      </c>
      <c r="D70" s="19" t="n">
        <f aca="false">SUMIFS(I_Batch_Ops!$J$21:$J$342,I_Batch_Ops!$B$21:$B$342,$C70,I_Batch_Ops!$G$21:$G$342,"Karkas",I_Batch_Ops!$I$21:$I$342,"Uk 0.5")</f>
        <v>0</v>
      </c>
      <c r="E70" s="19" t="n">
        <f aca="false">SUMIFS(I_Batch_Ops!$J$21:$J$342,I_Batch_Ops!$B$21:$B$342,$C70,I_Batch_Ops!$G$21:$G$342,"Karkas",I_Batch_Ops!$I$21:$I$342,"Uk 0.6")</f>
        <v>30.8</v>
      </c>
      <c r="F70" s="19" t="n">
        <f aca="false">SUMIFS(I_Batch_Ops!$J$21:$J$342,I_Batch_Ops!$B$21:$B$342,$C70,I_Batch_Ops!$G$21:$G$342,"Karkas",I_Batch_Ops!$I$21:$I$342,"Uk 0.7")</f>
        <v>669.6</v>
      </c>
      <c r="G70" s="19" t="n">
        <f aca="false">SUMIFS(I_Batch_Ops!$J$21:$J$342,I_Batch_Ops!$B$21:$B$342,$C70,I_Batch_Ops!$G$21:$G$342,"Karkas",I_Batch_Ops!$I$21:$I$342,"Uk 0.8")</f>
        <v>1125.4</v>
      </c>
      <c r="H70" s="19" t="n">
        <f aca="false">SUMIFS(I_Batch_Ops!$J$21:$J$342,I_Batch_Ops!$B$21:$B$342,$C70,I_Batch_Ops!$G$21:$G$342,"Karkas",I_Batch_Ops!$I$21:$I$342,"Uk 0.9")</f>
        <v>118</v>
      </c>
      <c r="I70" s="19" t="n">
        <f aca="false">SUMIFS(I_Batch_Ops!$J$21:$J$342,I_Batch_Ops!$B$21:$B$342,$C70,I_Batch_Ops!$G$21:$G$342,"Karkas",I_Batch_Ops!$I$21:$I$342,"Uk 1.0")</f>
        <v>1766</v>
      </c>
      <c r="J70" s="19" t="n">
        <f aca="false">SUMIFS(I_Batch_Ops!$J$21:$J$342,I_Batch_Ops!$B$21:$B$342,$C70,I_Batch_Ops!$G$21:$G$342,"Karkas",I_Batch_Ops!$I$21:$I$342,"Uk 1.1")</f>
        <v>1289.6</v>
      </c>
      <c r="K70" s="19" t="n">
        <f aca="false">SUMIFS(I_Batch_Ops!$J$21:$J$342,I_Batch_Ops!$B$21:$B$342,$C70,I_Batch_Ops!$G$21:$G$342,"Karkas",I_Batch_Ops!$I$21:$I$342,"Uk 1.2")</f>
        <v>499.9</v>
      </c>
      <c r="L70" s="19" t="n">
        <f aca="false">SUMIFS(I_Batch_Ops!$J$21:$J$342,I_Batch_Ops!$B$21:$B$342,$C70,I_Batch_Ops!$G$21:$G$342,"Karkas",I_Batch_Ops!$I$21:$I$342,"Uk 1.3")</f>
        <v>113.5</v>
      </c>
      <c r="M70" s="19" t="n">
        <f aca="false">SUMIFS(I_Batch_Ops!$J$21:$J$342,I_Batch_Ops!$B$21:$B$342,$C70,I_Batch_Ops!$G$21:$G$342,"Karkas",I_Batch_Ops!$I$21:$I$342,"Uk 1.4")</f>
        <v>28.8</v>
      </c>
      <c r="N70" s="19" t="n">
        <f aca="false">SUMIFS(I_Batch_Ops!$J$21:$J$342,I_Batch_Ops!$B$21:$B$342,$C70,I_Batch_Ops!$G$21:$G$342,"Karkas",I_Batch_Ops!$I$21:$I$342,"Uk 1.5")</f>
        <v>0</v>
      </c>
      <c r="O70" s="19" t="n">
        <f aca="false">SUMIFS(I_Batch_Ops!$J$21:$J$342,I_Batch_Ops!$B$21:$B$342,$C70,I_Batch_Ops!$G$21:$G$342,"Karkas",I_Batch_Ops!$I$21:$I$342,"Uk 1.6")</f>
        <v>0</v>
      </c>
      <c r="P70" s="19" t="n">
        <f aca="false">SUMIFS(I_Batch_Ops!$J$21:$J$342,I_Batch_Ops!$B$21:$B$342,$C70,I_Batch_Ops!$G$21:$G$342,"Karkas",I_Batch_Ops!$I$21:$I$342,"Uk 1.7")</f>
        <v>0</v>
      </c>
      <c r="Q70" s="19" t="n">
        <f aca="false">SUMIFS(I_Batch_Ops!$J$21:$J$342,I_Batch_Ops!$B$21:$B$342,$C70,I_Batch_Ops!$G$21:$G$342,"Karkas",I_Batch_Ops!$I$21:$I$342,"Uk 1.8")</f>
        <v>0</v>
      </c>
      <c r="R70" s="19" t="n">
        <f aca="false">SUMIFS(I_Batch_Ops!$J$21:$J$342,I_Batch_Ops!$B$21:$B$342,$C70,I_Batch_Ops!$G$21:$G$342,"Karkas",I_Batch_Ops!$I$21:$I$342,"Uk 1.9")</f>
        <v>0</v>
      </c>
      <c r="S70" s="19" t="n">
        <f aca="false">SUMIFS(I_Batch_Ops!$J$21:$J$342,I_Batch_Ops!$B$21:$B$342,$C70,I_Batch_Ops!$G$21:$G$342,"Karkas",I_Batch_Ops!$I$21:$I$342,"Uk 2.0")</f>
        <v>0</v>
      </c>
      <c r="T70" s="20" t="n">
        <f aca="false">SUM(D70:S70)</f>
        <v>5641.6</v>
      </c>
      <c r="U70" s="14" t="n">
        <f aca="false">IFERROR(SUMPRODUCT(D70:S70,{0.5,0.6,0.7,0.8,0.9,1,1.1,1.2,1.3,1.4,1.5,1.6,1.7,1.8,1.9,2})/T70,0)</f>
        <v>0.968879395916052</v>
      </c>
      <c r="V70" s="21" t="n">
        <f aca="false">IFERROR(SUM(K70:S70)/T70,0)</f>
        <v>0.113832955190017</v>
      </c>
    </row>
    <row r="71" customFormat="false" ht="15" hidden="false" customHeight="false" outlineLevel="0" collapsed="false">
      <c r="B71" s="79" t="n">
        <v>46255</v>
      </c>
      <c r="C71" s="6" t="s">
        <v>1311</v>
      </c>
      <c r="D71" s="19" t="n">
        <f aca="false">SUMIFS(I_Batch_Ops!$J$21:$J$342,I_Batch_Ops!$B$21:$B$342,$C71,I_Batch_Ops!$G$21:$G$342,"Karkas",I_Batch_Ops!$I$21:$I$342,"Uk 0.5")</f>
        <v>20.1</v>
      </c>
      <c r="E71" s="19" t="n">
        <f aca="false">SUMIFS(I_Batch_Ops!$J$21:$J$342,I_Batch_Ops!$B$21:$B$342,$C71,I_Batch_Ops!$G$21:$G$342,"Karkas",I_Batch_Ops!$I$21:$I$342,"Uk 0.6")</f>
        <v>42.2</v>
      </c>
      <c r="F71" s="19" t="n">
        <f aca="false">SUMIFS(I_Batch_Ops!$J$21:$J$342,I_Batch_Ops!$B$21:$B$342,$C71,I_Batch_Ops!$G$21:$G$342,"Karkas",I_Batch_Ops!$I$21:$I$342,"Uk 0.7")</f>
        <v>187.8</v>
      </c>
      <c r="G71" s="19" t="n">
        <f aca="false">SUMIFS(I_Batch_Ops!$J$21:$J$342,I_Batch_Ops!$B$21:$B$342,$C71,I_Batch_Ops!$G$21:$G$342,"Karkas",I_Batch_Ops!$I$21:$I$342,"Uk 0.8")</f>
        <v>427.1</v>
      </c>
      <c r="H71" s="19" t="n">
        <f aca="false">SUMIFS(I_Batch_Ops!$J$21:$J$342,I_Batch_Ops!$B$21:$B$342,$C71,I_Batch_Ops!$G$21:$G$342,"Karkas",I_Batch_Ops!$I$21:$I$342,"Uk 0.9")</f>
        <v>880.9</v>
      </c>
      <c r="I71" s="19" t="n">
        <f aca="false">SUMIFS(I_Batch_Ops!$J$21:$J$342,I_Batch_Ops!$B$21:$B$342,$C71,I_Batch_Ops!$G$21:$G$342,"Karkas",I_Batch_Ops!$I$21:$I$342,"Uk 1.0")</f>
        <v>1370.5</v>
      </c>
      <c r="J71" s="19" t="n">
        <f aca="false">SUMIFS(I_Batch_Ops!$J$21:$J$342,I_Batch_Ops!$B$21:$B$342,$C71,I_Batch_Ops!$G$21:$G$342,"Karkas",I_Batch_Ops!$I$21:$I$342,"Uk 1.1")</f>
        <v>1311.2</v>
      </c>
      <c r="K71" s="19" t="n">
        <f aca="false">SUMIFS(I_Batch_Ops!$J$21:$J$342,I_Batch_Ops!$B$21:$B$342,$C71,I_Batch_Ops!$G$21:$G$342,"Karkas",I_Batch_Ops!$I$21:$I$342,"Uk 1.2")</f>
        <v>804.1</v>
      </c>
      <c r="L71" s="19" t="n">
        <f aca="false">SUMIFS(I_Batch_Ops!$J$21:$J$342,I_Batch_Ops!$B$21:$B$342,$C71,I_Batch_Ops!$G$21:$G$342,"Karkas",I_Batch_Ops!$I$21:$I$342,"Uk 1.3")</f>
        <v>246.4</v>
      </c>
      <c r="M71" s="19" t="n">
        <f aca="false">SUMIFS(I_Batch_Ops!$J$21:$J$342,I_Batch_Ops!$B$21:$B$342,$C71,I_Batch_Ops!$G$21:$G$342,"Karkas",I_Batch_Ops!$I$21:$I$342,"Uk 1.4")</f>
        <v>46.4</v>
      </c>
      <c r="N71" s="19" t="n">
        <f aca="false">SUMIFS(I_Batch_Ops!$J$21:$J$342,I_Batch_Ops!$B$21:$B$342,$C71,I_Batch_Ops!$G$21:$G$342,"Karkas",I_Batch_Ops!$I$21:$I$342,"Uk 1.5")</f>
        <v>0</v>
      </c>
      <c r="O71" s="19" t="n">
        <f aca="false">SUMIFS(I_Batch_Ops!$J$21:$J$342,I_Batch_Ops!$B$21:$B$342,$C71,I_Batch_Ops!$G$21:$G$342,"Karkas",I_Batch_Ops!$I$21:$I$342,"Uk 1.6")</f>
        <v>0</v>
      </c>
      <c r="P71" s="19" t="n">
        <f aca="false">SUMIFS(I_Batch_Ops!$J$21:$J$342,I_Batch_Ops!$B$21:$B$342,$C71,I_Batch_Ops!$G$21:$G$342,"Karkas",I_Batch_Ops!$I$21:$I$342,"Uk 1.7")</f>
        <v>0</v>
      </c>
      <c r="Q71" s="19" t="n">
        <f aca="false">SUMIFS(I_Batch_Ops!$J$21:$J$342,I_Batch_Ops!$B$21:$B$342,$C71,I_Batch_Ops!$G$21:$G$342,"Karkas",I_Batch_Ops!$I$21:$I$342,"Uk 1.8")</f>
        <v>0</v>
      </c>
      <c r="R71" s="19" t="n">
        <f aca="false">SUMIFS(I_Batch_Ops!$J$21:$J$342,I_Batch_Ops!$B$21:$B$342,$C71,I_Batch_Ops!$G$21:$G$342,"Karkas",I_Batch_Ops!$I$21:$I$342,"Uk 1.9")</f>
        <v>0</v>
      </c>
      <c r="S71" s="19" t="n">
        <f aca="false">SUMIFS(I_Batch_Ops!$J$21:$J$342,I_Batch_Ops!$B$21:$B$342,$C71,I_Batch_Ops!$G$21:$G$342,"Karkas",I_Batch_Ops!$I$21:$I$342,"Uk 2.0")</f>
        <v>0</v>
      </c>
      <c r="T71" s="20" t="n">
        <f aca="false">SUM(D71:S71)</f>
        <v>5336.7</v>
      </c>
      <c r="U71" s="14" t="n">
        <f aca="false">IFERROR(SUMPRODUCT(D71:S71,{0.5,0.6,0.7,0.8,0.9,1,1.1,1.2,1.3,1.4,1.5,1.6,1.7,1.8,1.9,2})/T71,0)</f>
        <v>1.0239174021399</v>
      </c>
      <c r="V71" s="21" t="n">
        <f aca="false">IFERROR(SUM(K71:S71)/T71,0)</f>
        <v>0.205539003504038</v>
      </c>
    </row>
    <row r="72" customFormat="false" ht="15" hidden="false" customHeight="false" outlineLevel="0" collapsed="false">
      <c r="B72" s="79" t="n">
        <v>46259</v>
      </c>
      <c r="C72" s="6" t="s">
        <v>1314</v>
      </c>
      <c r="D72" s="19" t="n">
        <f aca="false">SUMIFS(I_Batch_Ops!$J$21:$J$342,I_Batch_Ops!$B$21:$B$342,$C72,I_Batch_Ops!$G$21:$G$342,"Karkas",I_Batch_Ops!$I$21:$I$342,"Uk 0.5")</f>
        <v>0</v>
      </c>
      <c r="E72" s="19" t="n">
        <f aca="false">SUMIFS(I_Batch_Ops!$J$21:$J$342,I_Batch_Ops!$B$21:$B$342,$C72,I_Batch_Ops!$G$21:$G$342,"Karkas",I_Batch_Ops!$I$21:$I$342,"Uk 0.6")</f>
        <v>1.3</v>
      </c>
      <c r="F72" s="19" t="n">
        <f aca="false">SUMIFS(I_Batch_Ops!$J$21:$J$342,I_Batch_Ops!$B$21:$B$342,$C72,I_Batch_Ops!$G$21:$G$342,"Karkas",I_Batch_Ops!$I$21:$I$342,"Uk 0.7")</f>
        <v>8.6</v>
      </c>
      <c r="G72" s="19" t="n">
        <f aca="false">SUMIFS(I_Batch_Ops!$J$21:$J$342,I_Batch_Ops!$B$21:$B$342,$C72,I_Batch_Ops!$G$21:$G$342,"Karkas",I_Batch_Ops!$I$21:$I$342,"Uk 0.8")</f>
        <v>8</v>
      </c>
      <c r="H72" s="19" t="n">
        <f aca="false">SUMIFS(I_Batch_Ops!$J$21:$J$342,I_Batch_Ops!$B$21:$B$342,$C72,I_Batch_Ops!$G$21:$G$342,"Karkas",I_Batch_Ops!$I$21:$I$342,"Uk 0.9")</f>
        <v>88</v>
      </c>
      <c r="I72" s="19" t="n">
        <f aca="false">SUMIFS(I_Batch_Ops!$J$21:$J$342,I_Batch_Ops!$B$21:$B$342,$C72,I_Batch_Ops!$G$21:$G$342,"Karkas",I_Batch_Ops!$I$21:$I$342,"Uk 1.0")</f>
        <v>447.1</v>
      </c>
      <c r="J72" s="19" t="n">
        <f aca="false">SUMIFS(I_Batch_Ops!$J$21:$J$342,I_Batch_Ops!$B$21:$B$342,$C72,I_Batch_Ops!$G$21:$G$342,"Karkas",I_Batch_Ops!$I$21:$I$342,"Uk 1.1")</f>
        <v>1146.6</v>
      </c>
      <c r="K72" s="19" t="n">
        <f aca="false">SUMIFS(I_Batch_Ops!$J$21:$J$342,I_Batch_Ops!$B$21:$B$342,$C72,I_Batch_Ops!$G$21:$G$342,"Karkas",I_Batch_Ops!$I$21:$I$342,"Uk 1.2")</f>
        <v>1869.5</v>
      </c>
      <c r="L72" s="19" t="n">
        <f aca="false">SUMIFS(I_Batch_Ops!$J$21:$J$342,I_Batch_Ops!$B$21:$B$342,$C72,I_Batch_Ops!$G$21:$G$342,"Karkas",I_Batch_Ops!$I$21:$I$342,"Uk 1.3")</f>
        <v>1992.1</v>
      </c>
      <c r="M72" s="19" t="n">
        <f aca="false">SUMIFS(I_Batch_Ops!$J$21:$J$342,I_Batch_Ops!$B$21:$B$342,$C72,I_Batch_Ops!$G$21:$G$342,"Karkas",I_Batch_Ops!$I$21:$I$342,"Uk 1.4")</f>
        <v>1659.6</v>
      </c>
      <c r="N72" s="19" t="n">
        <f aca="false">SUMIFS(I_Batch_Ops!$J$21:$J$342,I_Batch_Ops!$B$21:$B$342,$C72,I_Batch_Ops!$G$21:$G$342,"Karkas",I_Batch_Ops!$I$21:$I$342,"Uk 1.5")</f>
        <v>904.6</v>
      </c>
      <c r="O72" s="19" t="n">
        <f aca="false">SUMIFS(I_Batch_Ops!$J$21:$J$342,I_Batch_Ops!$B$21:$B$342,$C72,I_Batch_Ops!$G$21:$G$342,"Karkas",I_Batch_Ops!$I$21:$I$342,"Uk 1.6")</f>
        <v>335.7</v>
      </c>
      <c r="P72" s="19" t="n">
        <f aca="false">SUMIFS(I_Batch_Ops!$J$21:$J$342,I_Batch_Ops!$B$21:$B$342,$C72,I_Batch_Ops!$G$21:$G$342,"Karkas",I_Batch_Ops!$I$21:$I$342,"Uk 1.7")</f>
        <v>114.1</v>
      </c>
      <c r="Q72" s="19" t="n">
        <f aca="false">SUMIFS(I_Batch_Ops!$J$21:$J$342,I_Batch_Ops!$B$21:$B$342,$C72,I_Batch_Ops!$G$21:$G$342,"Karkas",I_Batch_Ops!$I$21:$I$342,"Uk 1.8")</f>
        <v>0</v>
      </c>
      <c r="R72" s="19" t="n">
        <f aca="false">SUMIFS(I_Batch_Ops!$J$21:$J$342,I_Batch_Ops!$B$21:$B$342,$C72,I_Batch_Ops!$G$21:$G$342,"Karkas",I_Batch_Ops!$I$21:$I$342,"Uk 1.9")</f>
        <v>0</v>
      </c>
      <c r="S72" s="19" t="n">
        <f aca="false">SUMIFS(I_Batch_Ops!$J$21:$J$342,I_Batch_Ops!$B$21:$B$342,$C72,I_Batch_Ops!$G$21:$G$342,"Karkas",I_Batch_Ops!$I$21:$I$342,"Uk 2.0")</f>
        <v>0</v>
      </c>
      <c r="T72" s="20" t="n">
        <f aca="false">SUM(D72:S72)</f>
        <v>8575.2</v>
      </c>
      <c r="U72" s="14" t="n">
        <f aca="false">IFERROR(SUMPRODUCT(D72:S72,{0.5,0.6,0.7,0.8,0.9,1,1.1,1.2,1.3,1.4,1.5,1.6,1.7,1.8,1.9,2})/T72,0)</f>
        <v>1.28805392294057</v>
      </c>
      <c r="V72" s="21" t="n">
        <f aca="false">IFERROR(SUM(K72:S72)/T72,0)</f>
        <v>0.801800541095252</v>
      </c>
    </row>
    <row r="73" customFormat="false" ht="15" hidden="false" customHeight="false" outlineLevel="0" collapsed="false">
      <c r="B73" s="79" t="n">
        <v>46260</v>
      </c>
      <c r="C73" s="6" t="s">
        <v>1317</v>
      </c>
      <c r="D73" s="19" t="n">
        <f aca="false">SUMIFS(I_Batch_Ops!$J$21:$J$342,I_Batch_Ops!$B$21:$B$342,$C73,I_Batch_Ops!$G$21:$G$342,"Karkas",I_Batch_Ops!$I$21:$I$342,"Uk 0.5")</f>
        <v>0</v>
      </c>
      <c r="E73" s="19" t="n">
        <f aca="false">SUMIFS(I_Batch_Ops!$J$21:$J$342,I_Batch_Ops!$B$21:$B$342,$C73,I_Batch_Ops!$G$21:$G$342,"Karkas",I_Batch_Ops!$I$21:$I$342,"Uk 0.6")</f>
        <v>4.7</v>
      </c>
      <c r="F73" s="19" t="n">
        <f aca="false">SUMIFS(I_Batch_Ops!$J$21:$J$342,I_Batch_Ops!$B$21:$B$342,$C73,I_Batch_Ops!$G$21:$G$342,"Karkas",I_Batch_Ops!$I$21:$I$342,"Uk 0.7")</f>
        <v>43.8</v>
      </c>
      <c r="G73" s="19" t="n">
        <f aca="false">SUMIFS(I_Batch_Ops!$J$21:$J$342,I_Batch_Ops!$B$21:$B$342,$C73,I_Batch_Ops!$G$21:$G$342,"Karkas",I_Batch_Ops!$I$21:$I$342,"Uk 0.8")</f>
        <v>101.9</v>
      </c>
      <c r="H73" s="19" t="n">
        <f aca="false">SUMIFS(I_Batch_Ops!$J$21:$J$342,I_Batch_Ops!$B$21:$B$342,$C73,I_Batch_Ops!$G$21:$G$342,"Karkas",I_Batch_Ops!$I$21:$I$342,"Uk 0.9")</f>
        <v>272.7</v>
      </c>
      <c r="I73" s="19" t="n">
        <f aca="false">SUMIFS(I_Batch_Ops!$J$21:$J$342,I_Batch_Ops!$B$21:$B$342,$C73,I_Batch_Ops!$G$21:$G$342,"Karkas",I_Batch_Ops!$I$21:$I$342,"Uk 1.0")</f>
        <v>643.9</v>
      </c>
      <c r="J73" s="19" t="n">
        <f aca="false">SUMIFS(I_Batch_Ops!$J$21:$J$342,I_Batch_Ops!$B$21:$B$342,$C73,I_Batch_Ops!$G$21:$G$342,"Karkas",I_Batch_Ops!$I$21:$I$342,"Uk 1.1")</f>
        <v>1237.8</v>
      </c>
      <c r="K73" s="19" t="n">
        <f aca="false">SUMIFS(I_Batch_Ops!$J$21:$J$342,I_Batch_Ops!$B$21:$B$342,$C73,I_Batch_Ops!$G$21:$G$342,"Karkas",I_Batch_Ops!$I$21:$I$342,"Uk 1.2")</f>
        <v>1750.9</v>
      </c>
      <c r="L73" s="19" t="n">
        <f aca="false">SUMIFS(I_Batch_Ops!$J$21:$J$342,I_Batch_Ops!$B$21:$B$342,$C73,I_Batch_Ops!$G$21:$G$342,"Karkas",I_Batch_Ops!$I$21:$I$342,"Uk 1.3")</f>
        <v>1769.5</v>
      </c>
      <c r="M73" s="19" t="n">
        <f aca="false">SUMIFS(I_Batch_Ops!$J$21:$J$342,I_Batch_Ops!$B$21:$B$342,$C73,I_Batch_Ops!$G$21:$G$342,"Karkas",I_Batch_Ops!$I$21:$I$342,"Uk 1.4")</f>
        <v>1283.3</v>
      </c>
      <c r="N73" s="19" t="n">
        <f aca="false">SUMIFS(I_Batch_Ops!$J$21:$J$342,I_Batch_Ops!$B$21:$B$342,$C73,I_Batch_Ops!$G$21:$G$342,"Karkas",I_Batch_Ops!$I$21:$I$342,"Uk 1.5")</f>
        <v>698.5</v>
      </c>
      <c r="O73" s="19" t="n">
        <f aca="false">SUMIFS(I_Batch_Ops!$J$21:$J$342,I_Batch_Ops!$B$21:$B$342,$C73,I_Batch_Ops!$G$21:$G$342,"Karkas",I_Batch_Ops!$I$21:$I$342,"Uk 1.6")</f>
        <v>288.5</v>
      </c>
      <c r="P73" s="19" t="n">
        <f aca="false">SUMIFS(I_Batch_Ops!$J$21:$J$342,I_Batch_Ops!$B$21:$B$342,$C73,I_Batch_Ops!$G$21:$G$342,"Karkas",I_Batch_Ops!$I$21:$I$342,"Uk 1.7")</f>
        <v>101.3</v>
      </c>
      <c r="Q73" s="19" t="n">
        <f aca="false">SUMIFS(I_Batch_Ops!$J$21:$J$342,I_Batch_Ops!$B$21:$B$342,$C73,I_Batch_Ops!$G$21:$G$342,"Karkas",I_Batch_Ops!$I$21:$I$342,"Uk 1.8")</f>
        <v>22.4</v>
      </c>
      <c r="R73" s="19" t="n">
        <f aca="false">SUMIFS(I_Batch_Ops!$J$21:$J$342,I_Batch_Ops!$B$21:$B$342,$C73,I_Batch_Ops!$G$21:$G$342,"Karkas",I_Batch_Ops!$I$21:$I$342,"Uk 1.9")</f>
        <v>0</v>
      </c>
      <c r="S73" s="19" t="n">
        <f aca="false">SUMIFS(I_Batch_Ops!$J$21:$J$342,I_Batch_Ops!$B$21:$B$342,$C73,I_Batch_Ops!$G$21:$G$342,"Karkas",I_Batch_Ops!$I$21:$I$342,"Uk 2.0")</f>
        <v>0</v>
      </c>
      <c r="T73" s="20" t="n">
        <f aca="false">SUM(D73:S73)</f>
        <v>8219.2</v>
      </c>
      <c r="U73" s="14" t="n">
        <f aca="false">IFERROR(SUMPRODUCT(D73:S73,{0.5,0.6,0.7,0.8,0.9,1,1.1,1.2,1.3,1.4,1.5,1.6,1.7,1.8,1.9,2})/T73,0)</f>
        <v>1.25144052949192</v>
      </c>
      <c r="V73" s="21" t="n">
        <f aca="false">IFERROR(SUM(K73:S73)/T73,0)</f>
        <v>0.719583414444228</v>
      </c>
    </row>
    <row r="74" customFormat="false" ht="15" hidden="false" customHeight="false" outlineLevel="0" collapsed="false">
      <c r="B74" s="79" t="n">
        <v>46261</v>
      </c>
      <c r="C74" s="6" t="s">
        <v>1320</v>
      </c>
      <c r="D74" s="19" t="n">
        <f aca="false">SUMIFS(I_Batch_Ops!$J$21:$J$342,I_Batch_Ops!$B$21:$B$342,$C74,I_Batch_Ops!$G$21:$G$342,"Karkas",I_Batch_Ops!$I$21:$I$342,"Uk 0.5")</f>
        <v>0</v>
      </c>
      <c r="E74" s="19" t="n">
        <f aca="false">SUMIFS(I_Batch_Ops!$J$21:$J$342,I_Batch_Ops!$B$21:$B$342,$C74,I_Batch_Ops!$G$21:$G$342,"Karkas",I_Batch_Ops!$I$21:$I$342,"Uk 0.6")</f>
        <v>3.4</v>
      </c>
      <c r="F74" s="19" t="n">
        <f aca="false">SUMIFS(I_Batch_Ops!$J$21:$J$342,I_Batch_Ops!$B$21:$B$342,$C74,I_Batch_Ops!$G$21:$G$342,"Karkas",I_Batch_Ops!$I$21:$I$342,"Uk 0.7")</f>
        <v>22.2</v>
      </c>
      <c r="G74" s="19" t="n">
        <f aca="false">SUMIFS(I_Batch_Ops!$J$21:$J$342,I_Batch_Ops!$B$21:$B$342,$C74,I_Batch_Ops!$G$21:$G$342,"Karkas",I_Batch_Ops!$I$21:$I$342,"Uk 0.8")</f>
        <v>114</v>
      </c>
      <c r="H74" s="19" t="n">
        <f aca="false">SUMIFS(I_Batch_Ops!$J$21:$J$342,I_Batch_Ops!$B$21:$B$342,$C74,I_Batch_Ops!$G$21:$G$342,"Karkas",I_Batch_Ops!$I$21:$I$342,"Uk 0.9")</f>
        <v>318.8</v>
      </c>
      <c r="I74" s="19" t="n">
        <f aca="false">SUMIFS(I_Batch_Ops!$J$21:$J$342,I_Batch_Ops!$B$21:$B$342,$C74,I_Batch_Ops!$G$21:$G$342,"Karkas",I_Batch_Ops!$I$21:$I$342,"Uk 1.0")</f>
        <v>754.4</v>
      </c>
      <c r="J74" s="19" t="n">
        <f aca="false">SUMIFS(I_Batch_Ops!$J$21:$J$342,I_Batch_Ops!$B$21:$B$342,$C74,I_Batch_Ops!$G$21:$G$342,"Karkas",I_Batch_Ops!$I$21:$I$342,"Uk 1.1")</f>
        <v>1535.4</v>
      </c>
      <c r="K74" s="19" t="n">
        <f aca="false">SUMIFS(I_Batch_Ops!$J$21:$J$342,I_Batch_Ops!$B$21:$B$342,$C74,I_Batch_Ops!$G$21:$G$342,"Karkas",I_Batch_Ops!$I$21:$I$342,"Uk 1.2")</f>
        <v>1781.6</v>
      </c>
      <c r="L74" s="19" t="n">
        <f aca="false">SUMIFS(I_Batch_Ops!$J$21:$J$342,I_Batch_Ops!$B$21:$B$342,$C74,I_Batch_Ops!$G$21:$G$342,"Karkas",I_Batch_Ops!$I$21:$I$342,"Uk 1.3")</f>
        <v>1814.9</v>
      </c>
      <c r="M74" s="19" t="n">
        <f aca="false">SUMIFS(I_Batch_Ops!$J$21:$J$342,I_Batch_Ops!$B$21:$B$342,$C74,I_Batch_Ops!$G$21:$G$342,"Karkas",I_Batch_Ops!$I$21:$I$342,"Uk 1.4")</f>
        <v>1074.1</v>
      </c>
      <c r="N74" s="19" t="n">
        <f aca="false">SUMIFS(I_Batch_Ops!$J$21:$J$342,I_Batch_Ops!$B$21:$B$342,$C74,I_Batch_Ops!$G$21:$G$342,"Karkas",I_Batch_Ops!$I$21:$I$342,"Uk 1.5")</f>
        <v>534.2</v>
      </c>
      <c r="O74" s="19" t="n">
        <f aca="false">SUMIFS(I_Batch_Ops!$J$21:$J$342,I_Batch_Ops!$B$21:$B$342,$C74,I_Batch_Ops!$G$21:$G$342,"Karkas",I_Batch_Ops!$I$21:$I$342,"Uk 1.6")</f>
        <v>151.7</v>
      </c>
      <c r="P74" s="19" t="n">
        <f aca="false">SUMIFS(I_Batch_Ops!$J$21:$J$342,I_Batch_Ops!$B$21:$B$342,$C74,I_Batch_Ops!$G$21:$G$342,"Karkas",I_Batch_Ops!$I$21:$I$342,"Uk 1.7")</f>
        <v>17.9</v>
      </c>
      <c r="Q74" s="19" t="n">
        <f aca="false">SUMIFS(I_Batch_Ops!$J$21:$J$342,I_Batch_Ops!$B$21:$B$342,$C74,I_Batch_Ops!$G$21:$G$342,"Karkas",I_Batch_Ops!$I$21:$I$342,"Uk 1.8")</f>
        <v>5.6</v>
      </c>
      <c r="R74" s="19" t="n">
        <f aca="false">SUMIFS(I_Batch_Ops!$J$21:$J$342,I_Batch_Ops!$B$21:$B$342,$C74,I_Batch_Ops!$G$21:$G$342,"Karkas",I_Batch_Ops!$I$21:$I$342,"Uk 1.9")</f>
        <v>0</v>
      </c>
      <c r="S74" s="19" t="n">
        <f aca="false">SUMIFS(I_Batch_Ops!$J$21:$J$342,I_Batch_Ops!$B$21:$B$342,$C74,I_Batch_Ops!$G$21:$G$342,"Karkas",I_Batch_Ops!$I$21:$I$342,"Uk 2.0")</f>
        <v>0</v>
      </c>
      <c r="T74" s="20" t="n">
        <f aca="false">SUM(D74:S74)</f>
        <v>8128.2</v>
      </c>
      <c r="U74" s="14" t="n">
        <f aca="false">IFERROR(SUMPRODUCT(D74:S74,{0.5,0.6,0.7,0.8,0.9,1,1.1,1.2,1.3,1.4,1.5,1.6,1.7,1.8,1.9,2})/T74,0)</f>
        <v>1.22100834133018</v>
      </c>
      <c r="V74" s="21" t="n">
        <f aca="false">IFERROR(SUM(K74:S74)/T74,0)</f>
        <v>0.661893162077705</v>
      </c>
    </row>
    <row r="75" customFormat="false" ht="15" hidden="false" customHeight="false" outlineLevel="0" collapsed="false">
      <c r="B75" s="79" t="n">
        <v>46262</v>
      </c>
      <c r="C75" s="6" t="s">
        <v>1323</v>
      </c>
      <c r="D75" s="19" t="n">
        <f aca="false">SUMIFS(I_Batch_Ops!$J$21:$J$342,I_Batch_Ops!$B$21:$B$342,$C75,I_Batch_Ops!$G$21:$G$342,"Karkas",I_Batch_Ops!$I$21:$I$342,"Uk 0.5")</f>
        <v>0</v>
      </c>
      <c r="E75" s="19" t="n">
        <f aca="false">SUMIFS(I_Batch_Ops!$J$21:$J$342,I_Batch_Ops!$B$21:$B$342,$C75,I_Batch_Ops!$G$21:$G$342,"Karkas",I_Batch_Ops!$I$21:$I$342,"Uk 0.6")</f>
        <v>15.3</v>
      </c>
      <c r="F75" s="19" t="n">
        <f aca="false">SUMIFS(I_Batch_Ops!$J$21:$J$342,I_Batch_Ops!$B$21:$B$342,$C75,I_Batch_Ops!$G$21:$G$342,"Karkas",I_Batch_Ops!$I$21:$I$342,"Uk 0.7")</f>
        <v>63.1</v>
      </c>
      <c r="G75" s="19" t="n">
        <f aca="false">SUMIFS(I_Batch_Ops!$J$21:$J$342,I_Batch_Ops!$B$21:$B$342,$C75,I_Batch_Ops!$G$21:$G$342,"Karkas",I_Batch_Ops!$I$21:$I$342,"Uk 0.8")</f>
        <v>220.9</v>
      </c>
      <c r="H75" s="19" t="n">
        <f aca="false">SUMIFS(I_Batch_Ops!$J$21:$J$342,I_Batch_Ops!$B$21:$B$342,$C75,I_Batch_Ops!$G$21:$G$342,"Karkas",I_Batch_Ops!$I$21:$I$342,"Uk 0.9")</f>
        <v>652.4</v>
      </c>
      <c r="I75" s="19" t="n">
        <f aca="false">SUMIFS(I_Batch_Ops!$J$21:$J$342,I_Batch_Ops!$B$21:$B$342,$C75,I_Batch_Ops!$G$21:$G$342,"Karkas",I_Batch_Ops!$I$21:$I$342,"Uk 1.0")</f>
        <v>1275.1</v>
      </c>
      <c r="J75" s="19" t="n">
        <f aca="false">SUMIFS(I_Batch_Ops!$J$21:$J$342,I_Batch_Ops!$B$21:$B$342,$C75,I_Batch_Ops!$G$21:$G$342,"Karkas",I_Batch_Ops!$I$21:$I$342,"Uk 1.1")</f>
        <v>1671.5</v>
      </c>
      <c r="K75" s="19" t="n">
        <f aca="false">SUMIFS(I_Batch_Ops!$J$21:$J$342,I_Batch_Ops!$B$21:$B$342,$C75,I_Batch_Ops!$G$21:$G$342,"Karkas",I_Batch_Ops!$I$21:$I$342,"Uk 1.2")</f>
        <v>1858.3</v>
      </c>
      <c r="L75" s="19" t="n">
        <f aca="false">SUMIFS(I_Batch_Ops!$J$21:$J$342,I_Batch_Ops!$B$21:$B$342,$C75,I_Batch_Ops!$G$21:$G$342,"Karkas",I_Batch_Ops!$I$21:$I$342,"Uk 1.3")</f>
        <v>2147.2</v>
      </c>
      <c r="M75" s="19" t="n">
        <f aca="false">SUMIFS(I_Batch_Ops!$J$21:$J$342,I_Batch_Ops!$B$21:$B$342,$C75,I_Batch_Ops!$G$21:$G$342,"Karkas",I_Batch_Ops!$I$21:$I$342,"Uk 1.4")</f>
        <v>1667.7</v>
      </c>
      <c r="N75" s="19" t="n">
        <f aca="false">SUMIFS(I_Batch_Ops!$J$21:$J$342,I_Batch_Ops!$B$21:$B$342,$C75,I_Batch_Ops!$G$21:$G$342,"Karkas",I_Batch_Ops!$I$21:$I$342,"Uk 1.5")</f>
        <v>980.7</v>
      </c>
      <c r="O75" s="19" t="n">
        <f aca="false">SUMIFS(I_Batch_Ops!$J$21:$J$342,I_Batch_Ops!$B$21:$B$342,$C75,I_Batch_Ops!$G$21:$G$342,"Karkas",I_Batch_Ops!$I$21:$I$342,"Uk 1.6")</f>
        <v>295</v>
      </c>
      <c r="P75" s="19" t="n">
        <f aca="false">SUMIFS(I_Batch_Ops!$J$21:$J$342,I_Batch_Ops!$B$21:$B$342,$C75,I_Batch_Ops!$G$21:$G$342,"Karkas",I_Batch_Ops!$I$21:$I$342,"Uk 1.7")</f>
        <v>56.4</v>
      </c>
      <c r="Q75" s="19" t="n">
        <f aca="false">SUMIFS(I_Batch_Ops!$J$21:$J$342,I_Batch_Ops!$B$21:$B$342,$C75,I_Batch_Ops!$G$21:$G$342,"Karkas",I_Batch_Ops!$I$21:$I$342,"Uk 1.8")</f>
        <v>22.5</v>
      </c>
      <c r="R75" s="19" t="n">
        <f aca="false">SUMIFS(I_Batch_Ops!$J$21:$J$342,I_Batch_Ops!$B$21:$B$342,$C75,I_Batch_Ops!$G$21:$G$342,"Karkas",I_Batch_Ops!$I$21:$I$342,"Uk 1.9")</f>
        <v>0</v>
      </c>
      <c r="S75" s="19" t="n">
        <f aca="false">SUMIFS(I_Batch_Ops!$J$21:$J$342,I_Batch_Ops!$B$21:$B$342,$C75,I_Batch_Ops!$G$21:$G$342,"Karkas",I_Batch_Ops!$I$21:$I$342,"Uk 2.0")</f>
        <v>0</v>
      </c>
      <c r="T75" s="20" t="n">
        <f aca="false">SUM(D75:S75)</f>
        <v>10926.1</v>
      </c>
      <c r="U75" s="14" t="n">
        <f aca="false">IFERROR(SUMPRODUCT(D75:S75,{0.5,0.6,0.7,0.8,0.9,1,1.1,1.2,1.3,1.4,1.5,1.6,1.7,1.8,1.9,2})/T75,0)</f>
        <v>1.2233560007688</v>
      </c>
      <c r="V75" s="21" t="n">
        <f aca="false">IFERROR(SUM(K75:S75)/T75,0)</f>
        <v>0.643212125094956</v>
      </c>
    </row>
    <row r="76" customFormat="false" ht="15" hidden="false" customHeight="false" outlineLevel="0" collapsed="false">
      <c r="B76" s="79" t="n">
        <v>46265</v>
      </c>
      <c r="C76" s="6" t="s">
        <v>1326</v>
      </c>
      <c r="D76" s="19" t="n">
        <f aca="false">SUMIFS(I_Batch_Ops!$J$21:$J$342,I_Batch_Ops!$B$21:$B$342,$C76,I_Batch_Ops!$G$21:$G$342,"Karkas",I_Batch_Ops!$I$21:$I$342,"Uk 0.5")</f>
        <v>0</v>
      </c>
      <c r="E76" s="19" t="n">
        <f aca="false">SUMIFS(I_Batch_Ops!$J$21:$J$342,I_Batch_Ops!$B$21:$B$342,$C76,I_Batch_Ops!$G$21:$G$342,"Karkas",I_Batch_Ops!$I$21:$I$342,"Uk 0.6")</f>
        <v>1.3</v>
      </c>
      <c r="F76" s="19" t="n">
        <f aca="false">SUMIFS(I_Batch_Ops!$J$21:$J$342,I_Batch_Ops!$B$21:$B$342,$C76,I_Batch_Ops!$G$21:$G$342,"Karkas",I_Batch_Ops!$I$21:$I$342,"Uk 0.7")</f>
        <v>28.1</v>
      </c>
      <c r="G76" s="19" t="n">
        <f aca="false">SUMIFS(I_Batch_Ops!$J$21:$J$342,I_Batch_Ops!$B$21:$B$342,$C76,I_Batch_Ops!$G$21:$G$342,"Karkas",I_Batch_Ops!$I$21:$I$342,"Uk 0.8")</f>
        <v>114.4</v>
      </c>
      <c r="H76" s="19" t="n">
        <f aca="false">SUMIFS(I_Batch_Ops!$J$21:$J$342,I_Batch_Ops!$B$21:$B$342,$C76,I_Batch_Ops!$G$21:$G$342,"Karkas",I_Batch_Ops!$I$21:$I$342,"Uk 0.9")</f>
        <v>269.5</v>
      </c>
      <c r="I76" s="19" t="n">
        <f aca="false">SUMIFS(I_Batch_Ops!$J$21:$J$342,I_Batch_Ops!$B$21:$B$342,$C76,I_Batch_Ops!$G$21:$G$342,"Karkas",I_Batch_Ops!$I$21:$I$342,"Uk 1.0")</f>
        <v>498.3</v>
      </c>
      <c r="J76" s="19" t="n">
        <f aca="false">SUMIFS(I_Batch_Ops!$J$21:$J$342,I_Batch_Ops!$B$21:$B$342,$C76,I_Batch_Ops!$G$21:$G$342,"Karkas",I_Batch_Ops!$I$21:$I$342,"Uk 1.1")</f>
        <v>862.7</v>
      </c>
      <c r="K76" s="19" t="n">
        <f aca="false">SUMIFS(I_Batch_Ops!$J$21:$J$342,I_Batch_Ops!$B$21:$B$342,$C76,I_Batch_Ops!$G$21:$G$342,"Karkas",I_Batch_Ops!$I$21:$I$342,"Uk 1.2")</f>
        <v>1466.1</v>
      </c>
      <c r="L76" s="19" t="n">
        <f aca="false">SUMIFS(I_Batch_Ops!$J$21:$J$342,I_Batch_Ops!$B$21:$B$342,$C76,I_Batch_Ops!$G$21:$G$342,"Karkas",I_Batch_Ops!$I$21:$I$342,"Uk 1.3")</f>
        <v>1872.2</v>
      </c>
      <c r="M76" s="19" t="n">
        <f aca="false">SUMIFS(I_Batch_Ops!$J$21:$J$342,I_Batch_Ops!$B$21:$B$342,$C76,I_Batch_Ops!$G$21:$G$342,"Karkas",I_Batch_Ops!$I$21:$I$342,"Uk 1.4")</f>
        <v>2119.4</v>
      </c>
      <c r="N76" s="19" t="n">
        <f aca="false">SUMIFS(I_Batch_Ops!$J$21:$J$342,I_Batch_Ops!$B$21:$B$342,$C76,I_Batch_Ops!$G$21:$G$342,"Karkas",I_Batch_Ops!$I$21:$I$342,"Uk 1.5")</f>
        <v>1644.7</v>
      </c>
      <c r="O76" s="19" t="n">
        <f aca="false">SUMIFS(I_Batch_Ops!$J$21:$J$342,I_Batch_Ops!$B$21:$B$342,$C76,I_Batch_Ops!$G$21:$G$342,"Karkas",I_Batch_Ops!$I$21:$I$342,"Uk 1.6")</f>
        <v>1210.3</v>
      </c>
      <c r="P76" s="19" t="n">
        <f aca="false">SUMIFS(I_Batch_Ops!$J$21:$J$342,I_Batch_Ops!$B$21:$B$342,$C76,I_Batch_Ops!$G$21:$G$342,"Karkas",I_Batch_Ops!$I$21:$I$342,"Uk 1.7")</f>
        <v>685.2</v>
      </c>
      <c r="Q76" s="19" t="n">
        <f aca="false">SUMIFS(I_Batch_Ops!$J$21:$J$342,I_Batch_Ops!$B$21:$B$342,$C76,I_Batch_Ops!$G$21:$G$342,"Karkas",I_Batch_Ops!$I$21:$I$342,"Uk 1.8")</f>
        <v>254</v>
      </c>
      <c r="R76" s="19" t="n">
        <f aca="false">SUMIFS(I_Batch_Ops!$J$21:$J$342,I_Batch_Ops!$B$21:$B$342,$C76,I_Batch_Ops!$G$21:$G$342,"Karkas",I_Batch_Ops!$I$21:$I$342,"Uk 1.9")</f>
        <v>77.7</v>
      </c>
      <c r="S76" s="19" t="n">
        <f aca="false">SUMIFS(I_Batch_Ops!$J$21:$J$342,I_Batch_Ops!$B$21:$B$342,$C76,I_Batch_Ops!$G$21:$G$342,"Karkas",I_Batch_Ops!$I$21:$I$342,"Uk 2.0")</f>
        <v>16.2</v>
      </c>
      <c r="T76" s="20" t="n">
        <f aca="false">SUM(D76:S76)</f>
        <v>11120.1</v>
      </c>
      <c r="U76" s="14" t="n">
        <f aca="false">IFERROR(SUMPRODUCT(D76:S76,{0.5,0.6,0.7,0.8,0.9,1,1.1,1.2,1.3,1.4,1.5,1.6,1.7,1.8,1.9,2})/T76,0)</f>
        <v>1.3639922302857</v>
      </c>
      <c r="V76" s="21" t="n">
        <f aca="false">IFERROR(SUM(K76:S76)/T76,0)</f>
        <v>0.840442082355375</v>
      </c>
    </row>
    <row r="77" customFormat="false" ht="15" hidden="false" customHeight="false" outlineLevel="0" collapsed="false">
      <c r="B77" s="25" t="s">
        <v>304</v>
      </c>
      <c r="D77" s="56" t="n">
        <f aca="false">SUM(D65:D76)</f>
        <v>20.1</v>
      </c>
      <c r="E77" s="56" t="n">
        <f aca="false">SUM(E65:E76)</f>
        <v>156.2</v>
      </c>
      <c r="F77" s="56" t="n">
        <f aca="false">SUM(F65:F76)</f>
        <v>1480.2</v>
      </c>
      <c r="G77" s="56" t="n">
        <f aca="false">SUM(G65:G76)</f>
        <v>3388</v>
      </c>
      <c r="H77" s="56" t="n">
        <f aca="false">SUM(H65:H76)</f>
        <v>4130.3</v>
      </c>
      <c r="I77" s="56" t="n">
        <f aca="false">SUM(I65:I76)</f>
        <v>11499</v>
      </c>
      <c r="J77" s="56" t="n">
        <f aca="false">SUM(J65:J76)</f>
        <v>15681.9</v>
      </c>
      <c r="K77" s="56" t="n">
        <f aca="false">SUM(K65:K76)</f>
        <v>17180.8</v>
      </c>
      <c r="L77" s="56" t="n">
        <f aca="false">SUM(L65:L76)</f>
        <v>15896.3</v>
      </c>
      <c r="M77" s="56" t="n">
        <f aca="false">SUM(M65:M76)</f>
        <v>12359.1</v>
      </c>
      <c r="N77" s="56" t="n">
        <f aca="false">SUM(N65:N76)</f>
        <v>7539.1</v>
      </c>
      <c r="O77" s="56" t="n">
        <f aca="false">SUM(O65:O76)</f>
        <v>4312.6</v>
      </c>
      <c r="P77" s="56" t="n">
        <f aca="false">SUM(P65:P76)</f>
        <v>2166.3</v>
      </c>
      <c r="Q77" s="56" t="n">
        <f aca="false">SUM(Q65:Q76)</f>
        <v>1007.8</v>
      </c>
      <c r="R77" s="56" t="n">
        <f aca="false">SUM(R65:R76)</f>
        <v>99.4</v>
      </c>
      <c r="S77" s="56" t="n">
        <f aca="false">SUM(S65:S76)</f>
        <v>241.8</v>
      </c>
      <c r="T77" s="56" t="n">
        <f aca="false">SUM(T65:T76)</f>
        <v>97158.9</v>
      </c>
      <c r="U77" s="55" t="n">
        <f aca="false">IFERROR(SUMPRODUCT(D77:S77,{0.5,0.6,0.7,0.8,0.9,1,1.1,1.2,1.3,1.4,1.5,1.6,1.7,1.8,1.9,2})/T77,0)</f>
        <v>1.22767528244968</v>
      </c>
      <c r="V77" s="27" t="n">
        <f aca="false">IFERROR(SUM(K77:S77)/T77,0)</f>
        <v>0.625811943115865</v>
      </c>
    </row>
    <row r="78" customFormat="false" ht="15" hidden="false" customHeight="false" outlineLevel="0" collapsed="false">
      <c r="B78" s="28" t="s">
        <v>1390</v>
      </c>
    </row>
    <row r="80" customFormat="false" ht="15" hidden="false" customHeight="false" outlineLevel="0" collapsed="false">
      <c r="B80" s="18" t="s">
        <v>1391</v>
      </c>
    </row>
    <row r="81" customFormat="false" ht="30" hidden="false" customHeight="true" outlineLevel="0" collapsed="false">
      <c r="B81" s="5" t="s">
        <v>552</v>
      </c>
      <c r="C81" s="5" t="s">
        <v>1240</v>
      </c>
      <c r="D81" s="5" t="s">
        <v>1392</v>
      </c>
      <c r="E81" s="5" t="s">
        <v>1393</v>
      </c>
      <c r="F81" s="5" t="s">
        <v>1394</v>
      </c>
      <c r="G81" s="5" t="s">
        <v>1395</v>
      </c>
      <c r="H81" s="5" t="s">
        <v>1396</v>
      </c>
      <c r="I81" s="5" t="s">
        <v>1397</v>
      </c>
      <c r="J81" s="5" t="s">
        <v>1398</v>
      </c>
      <c r="K81" s="5" t="s">
        <v>1399</v>
      </c>
      <c r="L81" s="5" t="s">
        <v>1400</v>
      </c>
      <c r="M81" s="5" t="s">
        <v>1401</v>
      </c>
      <c r="N81" s="5" t="s">
        <v>1402</v>
      </c>
    </row>
    <row r="82" customFormat="false" ht="15" hidden="false" customHeight="false" outlineLevel="0" collapsed="false">
      <c r="B82" s="79" t="n">
        <v>46241</v>
      </c>
      <c r="C82" s="6" t="str">
        <f aca="false">D6</f>
        <v>110/PO/KGR/08/2026</v>
      </c>
      <c r="D82" s="7" t="n">
        <f aca="false">IFERROR(SUMIFS('MA Engine'!$L$6:$L$1110,'MA Engine'!$J$6:$J$1110,$C82,'MA Engine'!$I$6:$I$1110,"Receipt",'MA Engine'!$D$6:$D$1110,"Karkas")/SUMIFS('MA Engine'!$K$6:$K$1110,'MA Engine'!$J$6:$J$1110,$C82,'MA Engine'!$I$6:$I$1110,"Receipt",'MA Engine'!$D$6:$D$1110,"Karkas"),0)</f>
        <v>37251.8689208812</v>
      </c>
      <c r="E82" s="7" t="n">
        <f aca="false">IFERROR(SUMIFS(I_Batch_Ops!$L$21:$L$342,I_Batch_Ops!$B$21:$B$342,$C82,I_Batch_Ops!$G$21:$G$342,"Karkas",I_Batch_Ops!$P$21:$P$342,"Y")/SUMIFS(I_Batch_Ops!$J$21:$J$342,I_Batch_Ops!$B$21:$B$342,$C82,I_Batch_Ops!$G$21:$G$342,"Karkas",I_Batch_Ops!$P$21:$P$342,"Y"),0)</f>
        <v>29318.7984898145</v>
      </c>
      <c r="F82" s="7" t="n">
        <f aca="false">IFERROR(SUMIFS('MA Engine'!$L$6:$L$1110,'MA Engine'!$J$6:$J$1110,$C82,'MA Engine'!$I$6:$I$1110,"Receipt",'MA Engine'!$D$6:$D$1110,"Kepala")/SUMIFS('MA Engine'!$K$6:$K$1110,'MA Engine'!$J$6:$J$1110,$C82,'MA Engine'!$I$6:$I$1110,"Receipt",'MA Engine'!$D$6:$D$1110,"Kepala"),0)</f>
        <v>10164.6372850123</v>
      </c>
      <c r="G82" s="7" t="n">
        <f aca="false">IFERROR(SUMIFS(I_Batch_Ops!$L$21:$L$342,I_Batch_Ops!$B$21:$B$342,$C82,I_Batch_Ops!$G$21:$G$342,"Kepala",I_Batch_Ops!$P$21:$P$342,"Y")/SUMIFS(I_Batch_Ops!$J$21:$J$342,I_Batch_Ops!$B$21:$B$342,$C82,I_Batch_Ops!$G$21:$G$342,"Kepala",I_Batch_Ops!$P$21:$P$342,"Y"),0)</f>
        <v>8000</v>
      </c>
      <c r="H82" s="7" t="n">
        <f aca="false">IFERROR(SUMIFS('MA Engine'!$L$6:$L$1110,'MA Engine'!$J$6:$J$1110,$C82,'MA Engine'!$I$6:$I$1110,"Receipt",'MA Engine'!$D$6:$D$1110,"Ceker")/SUMIFS('MA Engine'!$K$6:$K$1110,'MA Engine'!$J$6:$J$1110,$C82,'MA Engine'!$I$6:$I$1110,"Receipt",'MA Engine'!$D$6:$D$1110,"Ceker"),0)</f>
        <v>12705.7965927528</v>
      </c>
      <c r="I82" s="7" t="n">
        <f aca="false">IFERROR(SUMIFS(I_Batch_Ops!$L$21:$L$342,I_Batch_Ops!$B$21:$B$342,$C82,I_Batch_Ops!$G$21:$G$342,"Ceker",I_Batch_Ops!$P$21:$P$342,"Y")/SUMIFS(I_Batch_Ops!$J$21:$J$342,I_Batch_Ops!$B$21:$B$342,$C82,I_Batch_Ops!$G$21:$G$342,"Ceker",I_Batch_Ops!$P$21:$P$342,"Y"),0)</f>
        <v>10000</v>
      </c>
      <c r="J82" s="7" t="n">
        <f aca="false">IFERROR(SUMIFS('MA Engine'!$L$6:$L$1110,'MA Engine'!$J$6:$J$1110,$C82,'MA Engine'!$I$6:$I$1110,"Receipt",'MA Engine'!$D$6:$D$1110,"Usus")/SUMIFS('MA Engine'!$K$6:$K$1110,'MA Engine'!$J$6:$J$1110,$C82,'MA Engine'!$I$6:$I$1110,"Receipt",'MA Engine'!$D$6:$D$1110,"Usus"),0)</f>
        <v>0</v>
      </c>
      <c r="K82" s="7" t="n">
        <f aca="false">IFERROR(SUMIFS(I_Batch_Ops!$L$21:$L$342,I_Batch_Ops!$B$21:$B$342,$C82,I_Batch_Ops!$G$21:$G$342,"Usus",I_Batch_Ops!$P$21:$P$342,"Y")/SUMIFS(I_Batch_Ops!$J$21:$J$342,I_Batch_Ops!$B$21:$B$342,$C82,I_Batch_Ops!$G$21:$G$342,"Usus",I_Batch_Ops!$P$21:$P$342,"Y"),0)</f>
        <v>0</v>
      </c>
      <c r="L82" s="7" t="n">
        <f aca="false">IFERROR(SUMIFS('MA Engine'!$L$6:$L$1110,'MA Engine'!$J$6:$J$1110,$C82,'MA Engine'!$I$6:$I$1110,"Receipt",'MA Engine'!$D$6:$D$1110,"Lemak")/SUMIFS('MA Engine'!$K$6:$K$1110,'MA Engine'!$J$6:$J$1110,$C82,'MA Engine'!$I$6:$I$1110,"Receipt",'MA Engine'!$D$6:$D$1110,"Lemak"),0)</f>
        <v>22870.4336363636</v>
      </c>
      <c r="M82" s="7" t="n">
        <f aca="false">IFERROR(SUMIFS(I_Batch_Ops!$L$21:$L$342,I_Batch_Ops!$B$21:$B$342,$C82,I_Batch_Ops!$G$21:$G$342,"Lemak",I_Batch_Ops!$P$21:$P$342,"Y")/SUMIFS(I_Batch_Ops!$J$21:$J$342,I_Batch_Ops!$B$21:$B$342,$C82,I_Batch_Ops!$G$21:$G$342,"Lemak",I_Batch_Ops!$P$21:$P$342,"Y"),0)</f>
        <v>18000</v>
      </c>
      <c r="N82" s="9" t="n">
        <f aca="false">ROUND(ABS(SUMIFS('MA Engine'!$L$6:$L$1110,'MA Engine'!$J$6:$J$1110,$C82,'MA Engine'!$I$6:$I$1110,"Receipt",'MA Engine'!$D$6:$D$1110,"Karkas")-SUMIFS(I_Batch_Ops!$N$21:$N$342,I_Batch_Ops!$B$21:$B$342,$C82,I_Batch_Ops!$G$21:$G$342,"Karkas",I_Batch_Ops!$P$21:$P$342,"Y"))+ABS(SUMIFS('MA Engine'!$L$6:$L$1110,'MA Engine'!$J$6:$J$1110,$C82,'MA Engine'!$I$6:$I$1110,"Receipt",'MA Engine'!$D$6:$D$1110,"Kepala")-SUMIFS(I_Batch_Ops!$N$21:$N$342,I_Batch_Ops!$B$21:$B$342,$C82,I_Batch_Ops!$G$21:$G$342,"Kepala",I_Batch_Ops!$P$21:$P$342,"Y"))+ABS(SUMIFS('MA Engine'!$L$6:$L$1110,'MA Engine'!$J$6:$J$1110,$C82,'MA Engine'!$I$6:$I$1110,"Receipt",'MA Engine'!$D$6:$D$1110,"Ceker")-SUMIFS(I_Batch_Ops!$N$21:$N$342,I_Batch_Ops!$B$21:$B$342,$C82,I_Batch_Ops!$G$21:$G$342,"Ceker",I_Batch_Ops!$P$21:$P$342,"Y"))+ABS(SUMIFS('MA Engine'!$L$6:$L$1110,'MA Engine'!$J$6:$J$1110,$C82,'MA Engine'!$I$6:$I$1110,"Receipt",'MA Engine'!$D$6:$D$1110,"Usus")-SUMIFS(I_Batch_Ops!$N$21:$N$342,I_Batch_Ops!$B$21:$B$342,$C82,I_Batch_Ops!$G$21:$G$342,"Usus",I_Batch_Ops!$P$21:$P$342,"Y"))+ABS(SUMIFS('MA Engine'!$L$6:$L$1110,'MA Engine'!$J$6:$J$1110,$C82,'MA Engine'!$I$6:$I$1110,"Receipt",'MA Engine'!$D$6:$D$1110,"Lemak")-SUMIFS(I_Batch_Ops!$N$21:$N$342,I_Batch_Ops!$B$21:$B$342,$C82,I_Batch_Ops!$G$21:$G$342,"Lemak",I_Batch_Ops!$P$21:$P$342,"Y")),0)</f>
        <v>0</v>
      </c>
    </row>
    <row r="83" customFormat="false" ht="15" hidden="false" customHeight="false" outlineLevel="0" collapsed="false">
      <c r="B83" s="79" t="n">
        <v>46244</v>
      </c>
      <c r="C83" s="6" t="str">
        <f aca="false">D7</f>
        <v>111-113/PO/KGR/08/2026</v>
      </c>
      <c r="D83" s="7" t="n">
        <f aca="false">IFERROR(SUMIFS('MA Engine'!$L$6:$L$1110,'MA Engine'!$J$6:$J$1110,$C83,'MA Engine'!$I$6:$I$1110,"Receipt",'MA Engine'!$D$6:$D$1110,"Karkas")/SUMIFS('MA Engine'!$K$6:$K$1110,'MA Engine'!$J$6:$J$1110,$C83,'MA Engine'!$I$6:$I$1110,"Receipt",'MA Engine'!$D$6:$D$1110,"Karkas"),0)</f>
        <v>35534.3532401322</v>
      </c>
      <c r="E83" s="7" t="n">
        <f aca="false">IFERROR(SUMIFS(I_Batch_Ops!$L$21:$L$342,I_Batch_Ops!$B$21:$B$342,$C83,I_Batch_Ops!$G$21:$G$342,"Karkas",I_Batch_Ops!$P$21:$P$342,"Y")/SUMIFS(I_Batch_Ops!$J$21:$J$342,I_Batch_Ops!$B$21:$B$342,$C83,I_Batch_Ops!$G$21:$G$342,"Karkas",I_Batch_Ops!$P$21:$P$342,"Y"),0)</f>
        <v>32683.7137053411</v>
      </c>
      <c r="F83" s="7" t="n">
        <f aca="false">IFERROR(SUMIFS('MA Engine'!$L$6:$L$1110,'MA Engine'!$J$6:$J$1110,$C83,'MA Engine'!$I$6:$I$1110,"Receipt",'MA Engine'!$D$6:$D$1110,"Kepala")/SUMIFS('MA Engine'!$K$6:$K$1110,'MA Engine'!$J$6:$J$1110,$C83,'MA Engine'!$I$6:$I$1110,"Receipt",'MA Engine'!$D$6:$D$1110,"Kepala"),0)</f>
        <v>10872.1895913647</v>
      </c>
      <c r="G83" s="7" t="n">
        <f aca="false">IFERROR(SUMIFS(I_Batch_Ops!$L$21:$L$342,I_Batch_Ops!$B$21:$B$342,$C83,I_Batch_Ops!$G$21:$G$342,"Kepala",I_Batch_Ops!$P$21:$P$342,"Y")/SUMIFS(I_Batch_Ops!$J$21:$J$342,I_Batch_Ops!$B$21:$B$342,$C83,I_Batch_Ops!$G$21:$G$342,"Kepala",I_Batch_Ops!$P$21:$P$342,"Y"),0)</f>
        <v>10000</v>
      </c>
      <c r="H83" s="7" t="n">
        <f aca="false">IFERROR(SUMIFS('MA Engine'!$L$6:$L$1110,'MA Engine'!$J$6:$J$1110,$C83,'MA Engine'!$I$6:$I$1110,"Receipt",'MA Engine'!$D$6:$D$1110,"Ceker")/SUMIFS('MA Engine'!$K$6:$K$1110,'MA Engine'!$J$6:$J$1110,$C83,'MA Engine'!$I$6:$I$1110,"Receipt",'MA Engine'!$D$6:$D$1110,"Ceker"),0)</f>
        <v>13046.6275129062</v>
      </c>
      <c r="I83" s="7" t="n">
        <f aca="false">IFERROR(SUMIFS(I_Batch_Ops!$L$21:$L$342,I_Batch_Ops!$B$21:$B$342,$C83,I_Batch_Ops!$G$21:$G$342,"Ceker",I_Batch_Ops!$P$21:$P$342,"Y")/SUMIFS(I_Batch_Ops!$J$21:$J$342,I_Batch_Ops!$B$21:$B$342,$C83,I_Batch_Ops!$G$21:$G$342,"Ceker",I_Batch_Ops!$P$21:$P$342,"Y"),0)</f>
        <v>12000</v>
      </c>
      <c r="J83" s="7" t="n">
        <f aca="false">IFERROR(SUMIFS('MA Engine'!$L$6:$L$1110,'MA Engine'!$J$6:$J$1110,$C83,'MA Engine'!$I$6:$I$1110,"Receipt",'MA Engine'!$D$6:$D$1110,"Usus")/SUMIFS('MA Engine'!$K$6:$K$1110,'MA Engine'!$J$6:$J$1110,$C83,'MA Engine'!$I$6:$I$1110,"Receipt",'MA Engine'!$D$6:$D$1110,"Usus"),0)</f>
        <v>5436.09480808081</v>
      </c>
      <c r="K83" s="7" t="n">
        <f aca="false">IFERROR(SUMIFS(I_Batch_Ops!$L$21:$L$342,I_Batch_Ops!$B$21:$B$342,$C83,I_Batch_Ops!$G$21:$G$342,"Usus",I_Batch_Ops!$P$21:$P$342,"Y")/SUMIFS(I_Batch_Ops!$J$21:$J$342,I_Batch_Ops!$B$21:$B$342,$C83,I_Batch_Ops!$G$21:$G$342,"Usus",I_Batch_Ops!$P$21:$P$342,"Y"),0)</f>
        <v>5000</v>
      </c>
      <c r="L83" s="7" t="n">
        <f aca="false">IFERROR(SUMIFS('MA Engine'!$L$6:$L$1110,'MA Engine'!$J$6:$J$1110,$C83,'MA Engine'!$I$6:$I$1110,"Receipt",'MA Engine'!$D$6:$D$1110,"Lemak")/SUMIFS('MA Engine'!$K$6:$K$1110,'MA Engine'!$J$6:$J$1110,$C83,'MA Engine'!$I$6:$I$1110,"Receipt",'MA Engine'!$D$6:$D$1110,"Lemak"),0)</f>
        <v>21744.3792993631</v>
      </c>
      <c r="M83" s="7" t="n">
        <f aca="false">IFERROR(SUMIFS(I_Batch_Ops!$L$21:$L$342,I_Batch_Ops!$B$21:$B$342,$C83,I_Batch_Ops!$G$21:$G$342,"Lemak",I_Batch_Ops!$P$21:$P$342,"Y")/SUMIFS(I_Batch_Ops!$J$21:$J$342,I_Batch_Ops!$B$21:$B$342,$C83,I_Batch_Ops!$G$21:$G$342,"Lemak",I_Batch_Ops!$P$21:$P$342,"Y"),0)</f>
        <v>20000</v>
      </c>
      <c r="N83" s="9" t="n">
        <f aca="false">ROUND(ABS(SUMIFS('MA Engine'!$L$6:$L$1110,'MA Engine'!$J$6:$J$1110,$C83,'MA Engine'!$I$6:$I$1110,"Receipt",'MA Engine'!$D$6:$D$1110,"Karkas")-SUMIFS(I_Batch_Ops!$N$21:$N$342,I_Batch_Ops!$B$21:$B$342,$C83,I_Batch_Ops!$G$21:$G$342,"Karkas",I_Batch_Ops!$P$21:$P$342,"Y"))+ABS(SUMIFS('MA Engine'!$L$6:$L$1110,'MA Engine'!$J$6:$J$1110,$C83,'MA Engine'!$I$6:$I$1110,"Receipt",'MA Engine'!$D$6:$D$1110,"Kepala")-SUMIFS(I_Batch_Ops!$N$21:$N$342,I_Batch_Ops!$B$21:$B$342,$C83,I_Batch_Ops!$G$21:$G$342,"Kepala",I_Batch_Ops!$P$21:$P$342,"Y"))+ABS(SUMIFS('MA Engine'!$L$6:$L$1110,'MA Engine'!$J$6:$J$1110,$C83,'MA Engine'!$I$6:$I$1110,"Receipt",'MA Engine'!$D$6:$D$1110,"Ceker")-SUMIFS(I_Batch_Ops!$N$21:$N$342,I_Batch_Ops!$B$21:$B$342,$C83,I_Batch_Ops!$G$21:$G$342,"Ceker",I_Batch_Ops!$P$21:$P$342,"Y"))+ABS(SUMIFS('MA Engine'!$L$6:$L$1110,'MA Engine'!$J$6:$J$1110,$C83,'MA Engine'!$I$6:$I$1110,"Receipt",'MA Engine'!$D$6:$D$1110,"Usus")-SUMIFS(I_Batch_Ops!$N$21:$N$342,I_Batch_Ops!$B$21:$B$342,$C83,I_Batch_Ops!$G$21:$G$342,"Usus",I_Batch_Ops!$P$21:$P$342,"Y"))+ABS(SUMIFS('MA Engine'!$L$6:$L$1110,'MA Engine'!$J$6:$J$1110,$C83,'MA Engine'!$I$6:$I$1110,"Receipt",'MA Engine'!$D$6:$D$1110,"Lemak")-SUMIFS(I_Batch_Ops!$N$21:$N$342,I_Batch_Ops!$B$21:$B$342,$C83,I_Batch_Ops!$G$21:$G$342,"Lemak",I_Batch_Ops!$P$21:$P$342,"Y")),0)</f>
        <v>0</v>
      </c>
    </row>
    <row r="84" customFormat="false" ht="15" hidden="false" customHeight="false" outlineLevel="0" collapsed="false">
      <c r="B84" s="79" t="n">
        <v>46245</v>
      </c>
      <c r="C84" s="6" t="str">
        <f aca="false">D8</f>
        <v>114/PO/KGR/08/2026</v>
      </c>
      <c r="D84" s="7" t="n">
        <f aca="false">IFERROR(SUMIFS('MA Engine'!$L$6:$L$1110,'MA Engine'!$J$6:$J$1110,$C84,'MA Engine'!$I$6:$I$1110,"Receipt",'MA Engine'!$D$6:$D$1110,"Karkas")/SUMIFS('MA Engine'!$K$6:$K$1110,'MA Engine'!$J$6:$J$1110,$C84,'MA Engine'!$I$6:$I$1110,"Receipt",'MA Engine'!$D$6:$D$1110,"Karkas"),0)</f>
        <v>37698.155315647</v>
      </c>
      <c r="E84" s="7" t="n">
        <f aca="false">IFERROR(SUMIFS(I_Batch_Ops!$L$21:$L$342,I_Batch_Ops!$B$21:$B$342,$C84,I_Batch_Ops!$G$21:$G$342,"Karkas",I_Batch_Ops!$P$21:$P$342,"Y")/SUMIFS(I_Batch_Ops!$J$21:$J$342,I_Batch_Ops!$B$21:$B$342,$C84,I_Batch_Ops!$G$21:$G$342,"Karkas",I_Batch_Ops!$P$21:$P$342,"Y"),0)</f>
        <v>32794.6291283162</v>
      </c>
      <c r="F84" s="7" t="n">
        <f aca="false">IFERROR(SUMIFS('MA Engine'!$L$6:$L$1110,'MA Engine'!$J$6:$J$1110,$C84,'MA Engine'!$I$6:$I$1110,"Receipt",'MA Engine'!$D$6:$D$1110,"Kepala")/SUMIFS('MA Engine'!$K$6:$K$1110,'MA Engine'!$J$6:$J$1110,$C84,'MA Engine'!$I$6:$I$1110,"Receipt",'MA Engine'!$D$6:$D$1110,"Kepala"),0)</f>
        <v>11495.2223081683</v>
      </c>
      <c r="G84" s="7" t="n">
        <f aca="false">IFERROR(SUMIFS(I_Batch_Ops!$L$21:$L$342,I_Batch_Ops!$B$21:$B$342,$C84,I_Batch_Ops!$G$21:$G$342,"Kepala",I_Batch_Ops!$P$21:$P$342,"Y")/SUMIFS(I_Batch_Ops!$J$21:$J$342,I_Batch_Ops!$B$21:$B$342,$C84,I_Batch_Ops!$G$21:$G$342,"Kepala",I_Batch_Ops!$P$21:$P$342,"Y"),0)</f>
        <v>10000</v>
      </c>
      <c r="H84" s="7" t="n">
        <f aca="false">IFERROR(SUMIFS('MA Engine'!$L$6:$L$1110,'MA Engine'!$J$6:$J$1110,$C84,'MA Engine'!$I$6:$I$1110,"Receipt",'MA Engine'!$D$6:$D$1110,"Ceker")/SUMIFS('MA Engine'!$K$6:$K$1110,'MA Engine'!$J$6:$J$1110,$C84,'MA Engine'!$I$6:$I$1110,"Receipt",'MA Engine'!$D$6:$D$1110,"Ceker"),0)</f>
        <v>13794.2667866787</v>
      </c>
      <c r="I84" s="7" t="n">
        <f aca="false">IFERROR(SUMIFS(I_Batch_Ops!$L$21:$L$342,I_Batch_Ops!$B$21:$B$342,$C84,I_Batch_Ops!$G$21:$G$342,"Ceker",I_Batch_Ops!$P$21:$P$342,"Y")/SUMIFS(I_Batch_Ops!$J$21:$J$342,I_Batch_Ops!$B$21:$B$342,$C84,I_Batch_Ops!$G$21:$G$342,"Ceker",I_Batch_Ops!$P$21:$P$342,"Y"),0)</f>
        <v>12000</v>
      </c>
      <c r="J84" s="7" t="n">
        <f aca="false">IFERROR(SUMIFS('MA Engine'!$L$6:$L$1110,'MA Engine'!$J$6:$J$1110,$C84,'MA Engine'!$I$6:$I$1110,"Receipt",'MA Engine'!$D$6:$D$1110,"Usus")/SUMIFS('MA Engine'!$K$6:$K$1110,'MA Engine'!$J$6:$J$1110,$C84,'MA Engine'!$I$6:$I$1110,"Receipt",'MA Engine'!$D$6:$D$1110,"Usus"),0)</f>
        <v>5747.61121346887</v>
      </c>
      <c r="K84" s="7" t="n">
        <f aca="false">IFERROR(SUMIFS(I_Batch_Ops!$L$21:$L$342,I_Batch_Ops!$B$21:$B$342,$C84,I_Batch_Ops!$G$21:$G$342,"Usus",I_Batch_Ops!$P$21:$P$342,"Y")/SUMIFS(I_Batch_Ops!$J$21:$J$342,I_Batch_Ops!$B$21:$B$342,$C84,I_Batch_Ops!$G$21:$G$342,"Usus",I_Batch_Ops!$P$21:$P$342,"Y"),0)</f>
        <v>5000</v>
      </c>
      <c r="L84" s="7" t="n">
        <f aca="false">IFERROR(SUMIFS('MA Engine'!$L$6:$L$1110,'MA Engine'!$J$6:$J$1110,$C84,'MA Engine'!$I$6:$I$1110,"Receipt",'MA Engine'!$D$6:$D$1110,"Lemak")/SUMIFS('MA Engine'!$K$6:$K$1110,'MA Engine'!$J$6:$J$1110,$C84,'MA Engine'!$I$6:$I$1110,"Receipt",'MA Engine'!$D$6:$D$1110,"Lemak"),0)</f>
        <v>22990.4445454545</v>
      </c>
      <c r="M84" s="7" t="n">
        <f aca="false">IFERROR(SUMIFS(I_Batch_Ops!$L$21:$L$342,I_Batch_Ops!$B$21:$B$342,$C84,I_Batch_Ops!$G$21:$G$342,"Lemak",I_Batch_Ops!$P$21:$P$342,"Y")/SUMIFS(I_Batch_Ops!$J$21:$J$342,I_Batch_Ops!$B$21:$B$342,$C84,I_Batch_Ops!$G$21:$G$342,"Lemak",I_Batch_Ops!$P$21:$P$342,"Y"),0)</f>
        <v>20000</v>
      </c>
      <c r="N84" s="9" t="n">
        <f aca="false">ROUND(ABS(SUMIFS('MA Engine'!$L$6:$L$1110,'MA Engine'!$J$6:$J$1110,$C84,'MA Engine'!$I$6:$I$1110,"Receipt",'MA Engine'!$D$6:$D$1110,"Karkas")-SUMIFS(I_Batch_Ops!$N$21:$N$342,I_Batch_Ops!$B$21:$B$342,$C84,I_Batch_Ops!$G$21:$G$342,"Karkas",I_Batch_Ops!$P$21:$P$342,"Y"))+ABS(SUMIFS('MA Engine'!$L$6:$L$1110,'MA Engine'!$J$6:$J$1110,$C84,'MA Engine'!$I$6:$I$1110,"Receipt",'MA Engine'!$D$6:$D$1110,"Kepala")-SUMIFS(I_Batch_Ops!$N$21:$N$342,I_Batch_Ops!$B$21:$B$342,$C84,I_Batch_Ops!$G$21:$G$342,"Kepala",I_Batch_Ops!$P$21:$P$342,"Y"))+ABS(SUMIFS('MA Engine'!$L$6:$L$1110,'MA Engine'!$J$6:$J$1110,$C84,'MA Engine'!$I$6:$I$1110,"Receipt",'MA Engine'!$D$6:$D$1110,"Ceker")-SUMIFS(I_Batch_Ops!$N$21:$N$342,I_Batch_Ops!$B$21:$B$342,$C84,I_Batch_Ops!$G$21:$G$342,"Ceker",I_Batch_Ops!$P$21:$P$342,"Y"))+ABS(SUMIFS('MA Engine'!$L$6:$L$1110,'MA Engine'!$J$6:$J$1110,$C84,'MA Engine'!$I$6:$I$1110,"Receipt",'MA Engine'!$D$6:$D$1110,"Usus")-SUMIFS(I_Batch_Ops!$N$21:$N$342,I_Batch_Ops!$B$21:$B$342,$C84,I_Batch_Ops!$G$21:$G$342,"Usus",I_Batch_Ops!$P$21:$P$342,"Y"))+ABS(SUMIFS('MA Engine'!$L$6:$L$1110,'MA Engine'!$J$6:$J$1110,$C84,'MA Engine'!$I$6:$I$1110,"Receipt",'MA Engine'!$D$6:$D$1110,"Lemak")-SUMIFS(I_Batch_Ops!$N$21:$N$342,I_Batch_Ops!$B$21:$B$342,$C84,I_Batch_Ops!$G$21:$G$342,"Lemak",I_Batch_Ops!$P$21:$P$342,"Y")),0)</f>
        <v>0</v>
      </c>
    </row>
    <row r="85" customFormat="false" ht="15" hidden="false" customHeight="false" outlineLevel="0" collapsed="false">
      <c r="B85" s="79" t="n">
        <v>46248</v>
      </c>
      <c r="C85" s="6" t="str">
        <f aca="false">D9</f>
        <v>117/PO/KGR/08/2026</v>
      </c>
      <c r="D85" s="7" t="n">
        <f aca="false">IFERROR(SUMIFS('MA Engine'!$L$6:$L$1110,'MA Engine'!$J$6:$J$1110,$C85,'MA Engine'!$I$6:$I$1110,"Receipt",'MA Engine'!$D$6:$D$1110,"Karkas")/SUMIFS('MA Engine'!$K$6:$K$1110,'MA Engine'!$J$6:$J$1110,$C85,'MA Engine'!$I$6:$I$1110,"Receipt",'MA Engine'!$D$6:$D$1110,"Karkas"),0)</f>
        <v>38086.8365225434</v>
      </c>
      <c r="E85" s="7" t="n">
        <f aca="false">IFERROR(SUMIFS(I_Batch_Ops!$L$21:$L$342,I_Batch_Ops!$B$21:$B$342,$C85,I_Batch_Ops!$G$21:$G$342,"Karkas",I_Batch_Ops!$P$21:$P$342,"Y")/SUMIFS(I_Batch_Ops!$J$21:$J$342,I_Batch_Ops!$B$21:$B$342,$C85,I_Batch_Ops!$G$21:$G$342,"Karkas",I_Batch_Ops!$P$21:$P$342,"Y"),0)</f>
        <v>32828.4721313926</v>
      </c>
      <c r="F85" s="7" t="n">
        <f aca="false">IFERROR(SUMIFS('MA Engine'!$L$6:$L$1110,'MA Engine'!$J$6:$J$1110,$C85,'MA Engine'!$I$6:$I$1110,"Receipt",'MA Engine'!$D$6:$D$1110,"Kepala")/SUMIFS('MA Engine'!$K$6:$K$1110,'MA Engine'!$J$6:$J$1110,$C85,'MA Engine'!$I$6:$I$1110,"Receipt",'MA Engine'!$D$6:$D$1110,"Kepala"),0)</f>
        <v>11601.7694999292</v>
      </c>
      <c r="G85" s="7" t="n">
        <f aca="false">IFERROR(SUMIFS(I_Batch_Ops!$L$21:$L$342,I_Batch_Ops!$B$21:$B$342,$C85,I_Batch_Ops!$G$21:$G$342,"Kepala",I_Batch_Ops!$P$21:$P$342,"Y")/SUMIFS(I_Batch_Ops!$J$21:$J$342,I_Batch_Ops!$B$21:$B$342,$C85,I_Batch_Ops!$G$21:$G$342,"Kepala",I_Batch_Ops!$P$21:$P$342,"Y"),0)</f>
        <v>10000</v>
      </c>
      <c r="H85" s="7" t="n">
        <f aca="false">IFERROR(SUMIFS('MA Engine'!$L$6:$L$1110,'MA Engine'!$J$6:$J$1110,$C85,'MA Engine'!$I$6:$I$1110,"Receipt",'MA Engine'!$D$6:$D$1110,"Ceker")/SUMIFS('MA Engine'!$K$6:$K$1110,'MA Engine'!$J$6:$J$1110,$C85,'MA Engine'!$I$6:$I$1110,"Receipt",'MA Engine'!$D$6:$D$1110,"Ceker"),0)</f>
        <v>13922.1233929435</v>
      </c>
      <c r="I85" s="7" t="n">
        <f aca="false">IFERROR(SUMIFS(I_Batch_Ops!$L$21:$L$342,I_Batch_Ops!$B$21:$B$342,$C85,I_Batch_Ops!$G$21:$G$342,"Ceker",I_Batch_Ops!$P$21:$P$342,"Y")/SUMIFS(I_Batch_Ops!$J$21:$J$342,I_Batch_Ops!$B$21:$B$342,$C85,I_Batch_Ops!$G$21:$G$342,"Ceker",I_Batch_Ops!$P$21:$P$342,"Y"),0)</f>
        <v>12000</v>
      </c>
      <c r="J85" s="7" t="n">
        <f aca="false">IFERROR(SUMIFS('MA Engine'!$L$6:$L$1110,'MA Engine'!$J$6:$J$1110,$C85,'MA Engine'!$I$6:$I$1110,"Receipt",'MA Engine'!$D$6:$D$1110,"Usus")/SUMIFS('MA Engine'!$K$6:$K$1110,'MA Engine'!$J$6:$J$1110,$C85,'MA Engine'!$I$6:$I$1110,"Receipt",'MA Engine'!$D$6:$D$1110,"Usus"),0)</f>
        <v>5800.88500489579</v>
      </c>
      <c r="K85" s="7" t="n">
        <f aca="false">IFERROR(SUMIFS(I_Batch_Ops!$L$21:$L$342,I_Batch_Ops!$B$21:$B$342,$C85,I_Batch_Ops!$G$21:$G$342,"Usus",I_Batch_Ops!$P$21:$P$342,"Y")/SUMIFS(I_Batch_Ops!$J$21:$J$342,I_Batch_Ops!$B$21:$B$342,$C85,I_Batch_Ops!$G$21:$G$342,"Usus",I_Batch_Ops!$P$21:$P$342,"Y"),0)</f>
        <v>5000</v>
      </c>
      <c r="L85" s="7" t="n">
        <f aca="false">IFERROR(SUMIFS('MA Engine'!$L$6:$L$1110,'MA Engine'!$J$6:$J$1110,$C85,'MA Engine'!$I$6:$I$1110,"Receipt",'MA Engine'!$D$6:$D$1110,"Lemak")/SUMIFS('MA Engine'!$K$6:$K$1110,'MA Engine'!$J$6:$J$1110,$C85,'MA Engine'!$I$6:$I$1110,"Receipt",'MA Engine'!$D$6:$D$1110,"Lemak"),0)</f>
        <v>23203.5389351082</v>
      </c>
      <c r="M85" s="7" t="n">
        <f aca="false">IFERROR(SUMIFS(I_Batch_Ops!$L$21:$L$342,I_Batch_Ops!$B$21:$B$342,$C85,I_Batch_Ops!$G$21:$G$342,"Lemak",I_Batch_Ops!$P$21:$P$342,"Y")/SUMIFS(I_Batch_Ops!$J$21:$J$342,I_Batch_Ops!$B$21:$B$342,$C85,I_Batch_Ops!$G$21:$G$342,"Lemak",I_Batch_Ops!$P$21:$P$342,"Y"),0)</f>
        <v>20000</v>
      </c>
      <c r="N85" s="9" t="n">
        <f aca="false">ROUND(ABS(SUMIFS('MA Engine'!$L$6:$L$1110,'MA Engine'!$J$6:$J$1110,$C85,'MA Engine'!$I$6:$I$1110,"Receipt",'MA Engine'!$D$6:$D$1110,"Karkas")-SUMIFS(I_Batch_Ops!$N$21:$N$342,I_Batch_Ops!$B$21:$B$342,$C85,I_Batch_Ops!$G$21:$G$342,"Karkas",I_Batch_Ops!$P$21:$P$342,"Y"))+ABS(SUMIFS('MA Engine'!$L$6:$L$1110,'MA Engine'!$J$6:$J$1110,$C85,'MA Engine'!$I$6:$I$1110,"Receipt",'MA Engine'!$D$6:$D$1110,"Kepala")-SUMIFS(I_Batch_Ops!$N$21:$N$342,I_Batch_Ops!$B$21:$B$342,$C85,I_Batch_Ops!$G$21:$G$342,"Kepala",I_Batch_Ops!$P$21:$P$342,"Y"))+ABS(SUMIFS('MA Engine'!$L$6:$L$1110,'MA Engine'!$J$6:$J$1110,$C85,'MA Engine'!$I$6:$I$1110,"Receipt",'MA Engine'!$D$6:$D$1110,"Ceker")-SUMIFS(I_Batch_Ops!$N$21:$N$342,I_Batch_Ops!$B$21:$B$342,$C85,I_Batch_Ops!$G$21:$G$342,"Ceker",I_Batch_Ops!$P$21:$P$342,"Y"))+ABS(SUMIFS('MA Engine'!$L$6:$L$1110,'MA Engine'!$J$6:$J$1110,$C85,'MA Engine'!$I$6:$I$1110,"Receipt",'MA Engine'!$D$6:$D$1110,"Usus")-SUMIFS(I_Batch_Ops!$N$21:$N$342,I_Batch_Ops!$B$21:$B$342,$C85,I_Batch_Ops!$G$21:$G$342,"Usus",I_Batch_Ops!$P$21:$P$342,"Y"))+ABS(SUMIFS('MA Engine'!$L$6:$L$1110,'MA Engine'!$J$6:$J$1110,$C85,'MA Engine'!$I$6:$I$1110,"Receipt",'MA Engine'!$D$6:$D$1110,"Lemak")-SUMIFS(I_Batch_Ops!$N$21:$N$342,I_Batch_Ops!$B$21:$B$342,$C85,I_Batch_Ops!$G$21:$G$342,"Lemak",I_Batch_Ops!$P$21:$P$342,"Y")),0)</f>
        <v>0</v>
      </c>
    </row>
    <row r="86" customFormat="false" ht="15" hidden="false" customHeight="false" outlineLevel="0" collapsed="false">
      <c r="B86" s="79" t="n">
        <v>46253</v>
      </c>
      <c r="C86" s="6" t="str">
        <f aca="false">D10</f>
        <v>123/PO/KGR/08/2026</v>
      </c>
      <c r="D86" s="7" t="n">
        <f aca="false">IFERROR(SUMIFS('MA Engine'!$L$6:$L$1110,'MA Engine'!$J$6:$J$1110,$C86,'MA Engine'!$I$6:$I$1110,"Receipt",'MA Engine'!$D$6:$D$1110,"Karkas")/SUMIFS('MA Engine'!$K$6:$K$1110,'MA Engine'!$J$6:$J$1110,$C86,'MA Engine'!$I$6:$I$1110,"Receipt",'MA Engine'!$D$6:$D$1110,"Karkas"),0)</f>
        <v>37542.2229835844</v>
      </c>
      <c r="E86" s="7" t="n">
        <f aca="false">IFERROR(SUMIFS(I_Batch_Ops!$L$21:$L$342,I_Batch_Ops!$B$21:$B$342,$C86,I_Batch_Ops!$G$21:$G$342,"Karkas",I_Batch_Ops!$P$21:$P$342,"Y")/SUMIFS(I_Batch_Ops!$J$21:$J$342,I_Batch_Ops!$B$21:$B$342,$C86,I_Batch_Ops!$G$21:$G$342,"Karkas",I_Batch_Ops!$P$21:$P$342,"Y"),0)</f>
        <v>32786.5017594342</v>
      </c>
      <c r="F86" s="7" t="n">
        <f aca="false">IFERROR(SUMIFS('MA Engine'!$L$6:$L$1110,'MA Engine'!$J$6:$J$1110,$C86,'MA Engine'!$I$6:$I$1110,"Receipt",'MA Engine'!$D$6:$D$1110,"Kepala")/SUMIFS('MA Engine'!$K$6:$K$1110,'MA Engine'!$J$6:$J$1110,$C86,'MA Engine'!$I$6:$I$1110,"Receipt",'MA Engine'!$D$6:$D$1110,"Kepala"),0)</f>
        <v>13740.6143011625</v>
      </c>
      <c r="G86" s="7" t="n">
        <f aca="false">IFERROR(SUMIFS(I_Batch_Ops!$L$21:$L$342,I_Batch_Ops!$B$21:$B$342,$C86,I_Batch_Ops!$G$21:$G$342,"Kepala",I_Batch_Ops!$P$21:$P$342,"Y")/SUMIFS(I_Batch_Ops!$J$21:$J$342,I_Batch_Ops!$B$21:$B$342,$C86,I_Batch_Ops!$G$21:$G$342,"Kepala",I_Batch_Ops!$P$21:$P$342,"Y"),0)</f>
        <v>12000</v>
      </c>
      <c r="H86" s="7" t="n">
        <f aca="false">IFERROR(SUMIFS('MA Engine'!$L$6:$L$1110,'MA Engine'!$J$6:$J$1110,$C86,'MA Engine'!$I$6:$I$1110,"Receipt",'MA Engine'!$D$6:$D$1110,"Ceker")/SUMIFS('MA Engine'!$K$6:$K$1110,'MA Engine'!$J$6:$J$1110,$C86,'MA Engine'!$I$6:$I$1110,"Receipt",'MA Engine'!$D$6:$D$1110,"Ceker"),0)</f>
        <v>18320.8191050989</v>
      </c>
      <c r="I86" s="7" t="n">
        <f aca="false">IFERROR(SUMIFS(I_Batch_Ops!$L$21:$L$342,I_Batch_Ops!$B$21:$B$342,$C86,I_Batch_Ops!$G$21:$G$342,"Ceker",I_Batch_Ops!$P$21:$P$342,"Y")/SUMIFS(I_Batch_Ops!$J$21:$J$342,I_Batch_Ops!$B$21:$B$342,$C86,I_Batch_Ops!$G$21:$G$342,"Ceker",I_Batch_Ops!$P$21:$P$342,"Y"),0)</f>
        <v>16000</v>
      </c>
      <c r="J86" s="7" t="n">
        <f aca="false">IFERROR(SUMIFS('MA Engine'!$L$6:$L$1110,'MA Engine'!$J$6:$J$1110,$C86,'MA Engine'!$I$6:$I$1110,"Receipt",'MA Engine'!$D$6:$D$1110,"Usus")/SUMIFS('MA Engine'!$K$6:$K$1110,'MA Engine'!$J$6:$J$1110,$C86,'MA Engine'!$I$6:$I$1110,"Receipt",'MA Engine'!$D$6:$D$1110,"Usus"),0)</f>
        <v>5725.25600607441</v>
      </c>
      <c r="K86" s="7" t="n">
        <f aca="false">IFERROR(SUMIFS(I_Batch_Ops!$L$21:$L$342,I_Batch_Ops!$B$21:$B$342,$C86,I_Batch_Ops!$G$21:$G$342,"Usus",I_Batch_Ops!$P$21:$P$342,"Y")/SUMIFS(I_Batch_Ops!$J$21:$J$342,I_Batch_Ops!$B$21:$B$342,$C86,I_Batch_Ops!$G$21:$G$342,"Usus",I_Batch_Ops!$P$21:$P$342,"Y"),0)</f>
        <v>5000</v>
      </c>
      <c r="L86" s="7" t="n">
        <f aca="false">IFERROR(SUMIFS('MA Engine'!$L$6:$L$1110,'MA Engine'!$J$6:$J$1110,$C86,'MA Engine'!$I$6:$I$1110,"Receipt",'MA Engine'!$D$6:$D$1110,"Lemak")/SUMIFS('MA Engine'!$K$6:$K$1110,'MA Engine'!$J$6:$J$1110,$C86,'MA Engine'!$I$6:$I$1110,"Receipt",'MA Engine'!$D$6:$D$1110,"Lemak"),0)</f>
        <v>27481.2287474333</v>
      </c>
      <c r="M86" s="7" t="n">
        <f aca="false">IFERROR(SUMIFS(I_Batch_Ops!$L$21:$L$342,I_Batch_Ops!$B$21:$B$342,$C86,I_Batch_Ops!$G$21:$G$342,"Lemak",I_Batch_Ops!$P$21:$P$342,"Y")/SUMIFS(I_Batch_Ops!$J$21:$J$342,I_Batch_Ops!$B$21:$B$342,$C86,I_Batch_Ops!$G$21:$G$342,"Lemak",I_Batch_Ops!$P$21:$P$342,"Y"),0)</f>
        <v>24000</v>
      </c>
      <c r="N86" s="9" t="n">
        <f aca="false">ROUND(ABS(SUMIFS('MA Engine'!$L$6:$L$1110,'MA Engine'!$J$6:$J$1110,$C86,'MA Engine'!$I$6:$I$1110,"Receipt",'MA Engine'!$D$6:$D$1110,"Karkas")-SUMIFS(I_Batch_Ops!$N$21:$N$342,I_Batch_Ops!$B$21:$B$342,$C86,I_Batch_Ops!$G$21:$G$342,"Karkas",I_Batch_Ops!$P$21:$P$342,"Y"))+ABS(SUMIFS('MA Engine'!$L$6:$L$1110,'MA Engine'!$J$6:$J$1110,$C86,'MA Engine'!$I$6:$I$1110,"Receipt",'MA Engine'!$D$6:$D$1110,"Kepala")-SUMIFS(I_Batch_Ops!$N$21:$N$342,I_Batch_Ops!$B$21:$B$342,$C86,I_Batch_Ops!$G$21:$G$342,"Kepala",I_Batch_Ops!$P$21:$P$342,"Y"))+ABS(SUMIFS('MA Engine'!$L$6:$L$1110,'MA Engine'!$J$6:$J$1110,$C86,'MA Engine'!$I$6:$I$1110,"Receipt",'MA Engine'!$D$6:$D$1110,"Ceker")-SUMIFS(I_Batch_Ops!$N$21:$N$342,I_Batch_Ops!$B$21:$B$342,$C86,I_Batch_Ops!$G$21:$G$342,"Ceker",I_Batch_Ops!$P$21:$P$342,"Y"))+ABS(SUMIFS('MA Engine'!$L$6:$L$1110,'MA Engine'!$J$6:$J$1110,$C86,'MA Engine'!$I$6:$I$1110,"Receipt",'MA Engine'!$D$6:$D$1110,"Usus")-SUMIFS(I_Batch_Ops!$N$21:$N$342,I_Batch_Ops!$B$21:$B$342,$C86,I_Batch_Ops!$G$21:$G$342,"Usus",I_Batch_Ops!$P$21:$P$342,"Y"))+ABS(SUMIFS('MA Engine'!$L$6:$L$1110,'MA Engine'!$J$6:$J$1110,$C86,'MA Engine'!$I$6:$I$1110,"Receipt",'MA Engine'!$D$6:$D$1110,"Lemak")-SUMIFS(I_Batch_Ops!$N$21:$N$342,I_Batch_Ops!$B$21:$B$342,$C86,I_Batch_Ops!$G$21:$G$342,"Lemak",I_Batch_Ops!$P$21:$P$342,"Y")),0)</f>
        <v>0</v>
      </c>
    </row>
    <row r="87" customFormat="false" ht="15" hidden="false" customHeight="false" outlineLevel="0" collapsed="false">
      <c r="B87" s="79" t="n">
        <v>46254</v>
      </c>
      <c r="C87" s="6" t="str">
        <f aca="false">D11</f>
        <v>121/PO/KGR/08/2026</v>
      </c>
      <c r="D87" s="7" t="n">
        <f aca="false">IFERROR(SUMIFS('MA Engine'!$L$6:$L$1110,'MA Engine'!$J$6:$J$1110,$C87,'MA Engine'!$I$6:$I$1110,"Receipt",'MA Engine'!$D$6:$D$1110,"Karkas")/SUMIFS('MA Engine'!$K$6:$K$1110,'MA Engine'!$J$6:$J$1110,$C87,'MA Engine'!$I$6:$I$1110,"Receipt",'MA Engine'!$D$6:$D$1110,"Karkas"),0)</f>
        <v>37510.8814006665</v>
      </c>
      <c r="E87" s="7" t="n">
        <f aca="false">IFERROR(SUMIFS(I_Batch_Ops!$L$21:$L$342,I_Batch_Ops!$B$21:$B$342,$C87,I_Batch_Ops!$G$21:$G$342,"Karkas",I_Batch_Ops!$P$21:$P$342,"Y")/SUMIFS(I_Batch_Ops!$J$21:$J$342,I_Batch_Ops!$B$21:$B$342,$C87,I_Batch_Ops!$G$21:$G$342,"Karkas",I_Batch_Ops!$P$21:$P$342,"Y"),0)</f>
        <v>32685.7274532048</v>
      </c>
      <c r="F87" s="7" t="n">
        <f aca="false">IFERROR(SUMIFS('MA Engine'!$L$6:$L$1110,'MA Engine'!$J$6:$J$1110,$C87,'MA Engine'!$I$6:$I$1110,"Receipt",'MA Engine'!$D$6:$D$1110,"Kepala")/SUMIFS('MA Engine'!$K$6:$K$1110,'MA Engine'!$J$6:$J$1110,$C87,'MA Engine'!$I$6:$I$1110,"Receipt",'MA Engine'!$D$6:$D$1110,"Kepala"),0)</f>
        <v>13771.4719055375</v>
      </c>
      <c r="G87" s="7" t="n">
        <f aca="false">IFERROR(SUMIFS(I_Batch_Ops!$L$21:$L$342,I_Batch_Ops!$B$21:$B$342,$C87,I_Batch_Ops!$G$21:$G$342,"Kepala",I_Batch_Ops!$P$21:$P$342,"Y")/SUMIFS(I_Batch_Ops!$J$21:$J$342,I_Batch_Ops!$B$21:$B$342,$C87,I_Batch_Ops!$G$21:$G$342,"Kepala",I_Batch_Ops!$P$21:$P$342,"Y"),0)</f>
        <v>12000</v>
      </c>
      <c r="H87" s="7" t="n">
        <f aca="false">IFERROR(SUMIFS('MA Engine'!$L$6:$L$1110,'MA Engine'!$J$6:$J$1110,$C87,'MA Engine'!$I$6:$I$1110,"Receipt",'MA Engine'!$D$6:$D$1110,"Ceker")/SUMIFS('MA Engine'!$K$6:$K$1110,'MA Engine'!$J$6:$J$1110,$C87,'MA Engine'!$I$6:$I$1110,"Receipt",'MA Engine'!$D$6:$D$1110,"Ceker"),0)</f>
        <v>18361.9625163827</v>
      </c>
      <c r="I87" s="7" t="n">
        <f aca="false">IFERROR(SUMIFS(I_Batch_Ops!$L$21:$L$342,I_Batch_Ops!$B$21:$B$342,$C87,I_Batch_Ops!$G$21:$G$342,"Ceker",I_Batch_Ops!$P$21:$P$342,"Y")/SUMIFS(I_Batch_Ops!$J$21:$J$342,I_Batch_Ops!$B$21:$B$342,$C87,I_Batch_Ops!$G$21:$G$342,"Ceker",I_Batch_Ops!$P$21:$P$342,"Y"),0)</f>
        <v>16000</v>
      </c>
      <c r="J87" s="7" t="n">
        <f aca="false">IFERROR(SUMIFS('MA Engine'!$L$6:$L$1110,'MA Engine'!$J$6:$J$1110,$C87,'MA Engine'!$I$6:$I$1110,"Receipt",'MA Engine'!$D$6:$D$1110,"Usus")/SUMIFS('MA Engine'!$K$6:$K$1110,'MA Engine'!$J$6:$J$1110,$C87,'MA Engine'!$I$6:$I$1110,"Receipt",'MA Engine'!$D$6:$D$1110,"Usus"),0)</f>
        <v>5738.11329554239</v>
      </c>
      <c r="K87" s="7" t="n">
        <f aca="false">IFERROR(SUMIFS(I_Batch_Ops!$L$21:$L$342,I_Batch_Ops!$B$21:$B$342,$C87,I_Batch_Ops!$G$21:$G$342,"Usus",I_Batch_Ops!$P$21:$P$342,"Y")/SUMIFS(I_Batch_Ops!$J$21:$J$342,I_Batch_Ops!$B$21:$B$342,$C87,I_Batch_Ops!$G$21:$G$342,"Usus",I_Batch_Ops!$P$21:$P$342,"Y"),0)</f>
        <v>5000</v>
      </c>
      <c r="L87" s="7" t="n">
        <f aca="false">IFERROR(SUMIFS('MA Engine'!$L$6:$L$1110,'MA Engine'!$J$6:$J$1110,$C87,'MA Engine'!$I$6:$I$1110,"Receipt",'MA Engine'!$D$6:$D$1110,"Lemak")/SUMIFS('MA Engine'!$K$6:$K$1110,'MA Engine'!$J$6:$J$1110,$C87,'MA Engine'!$I$6:$I$1110,"Receipt",'MA Engine'!$D$6:$D$1110,"Lemak"),0)</f>
        <v>27542.94375</v>
      </c>
      <c r="M87" s="7" t="n">
        <f aca="false">IFERROR(SUMIFS(I_Batch_Ops!$L$21:$L$342,I_Batch_Ops!$B$21:$B$342,$C87,I_Batch_Ops!$G$21:$G$342,"Lemak",I_Batch_Ops!$P$21:$P$342,"Y")/SUMIFS(I_Batch_Ops!$J$21:$J$342,I_Batch_Ops!$B$21:$B$342,$C87,I_Batch_Ops!$G$21:$G$342,"Lemak",I_Batch_Ops!$P$21:$P$342,"Y"),0)</f>
        <v>24000</v>
      </c>
      <c r="N87" s="9" t="n">
        <f aca="false">ROUND(ABS(SUMIFS('MA Engine'!$L$6:$L$1110,'MA Engine'!$J$6:$J$1110,$C87,'MA Engine'!$I$6:$I$1110,"Receipt",'MA Engine'!$D$6:$D$1110,"Karkas")-SUMIFS(I_Batch_Ops!$N$21:$N$342,I_Batch_Ops!$B$21:$B$342,$C87,I_Batch_Ops!$G$21:$G$342,"Karkas",I_Batch_Ops!$P$21:$P$342,"Y"))+ABS(SUMIFS('MA Engine'!$L$6:$L$1110,'MA Engine'!$J$6:$J$1110,$C87,'MA Engine'!$I$6:$I$1110,"Receipt",'MA Engine'!$D$6:$D$1110,"Kepala")-SUMIFS(I_Batch_Ops!$N$21:$N$342,I_Batch_Ops!$B$21:$B$342,$C87,I_Batch_Ops!$G$21:$G$342,"Kepala",I_Batch_Ops!$P$21:$P$342,"Y"))+ABS(SUMIFS('MA Engine'!$L$6:$L$1110,'MA Engine'!$J$6:$J$1110,$C87,'MA Engine'!$I$6:$I$1110,"Receipt",'MA Engine'!$D$6:$D$1110,"Ceker")-SUMIFS(I_Batch_Ops!$N$21:$N$342,I_Batch_Ops!$B$21:$B$342,$C87,I_Batch_Ops!$G$21:$G$342,"Ceker",I_Batch_Ops!$P$21:$P$342,"Y"))+ABS(SUMIFS('MA Engine'!$L$6:$L$1110,'MA Engine'!$J$6:$J$1110,$C87,'MA Engine'!$I$6:$I$1110,"Receipt",'MA Engine'!$D$6:$D$1110,"Usus")-SUMIFS(I_Batch_Ops!$N$21:$N$342,I_Batch_Ops!$B$21:$B$342,$C87,I_Batch_Ops!$G$21:$G$342,"Usus",I_Batch_Ops!$P$21:$P$342,"Y"))+ABS(SUMIFS('MA Engine'!$L$6:$L$1110,'MA Engine'!$J$6:$J$1110,$C87,'MA Engine'!$I$6:$I$1110,"Receipt",'MA Engine'!$D$6:$D$1110,"Lemak")-SUMIFS(I_Batch_Ops!$N$21:$N$342,I_Batch_Ops!$B$21:$B$342,$C87,I_Batch_Ops!$G$21:$G$342,"Lemak",I_Batch_Ops!$P$21:$P$342,"Y")),0)</f>
        <v>0</v>
      </c>
    </row>
    <row r="88" customFormat="false" ht="15" hidden="false" customHeight="false" outlineLevel="0" collapsed="false">
      <c r="B88" s="79" t="n">
        <v>46255</v>
      </c>
      <c r="C88" s="6" t="str">
        <f aca="false">D12</f>
        <v>122/PO/KGR/08/2026</v>
      </c>
      <c r="D88" s="7" t="n">
        <f aca="false">IFERROR(SUMIFS('MA Engine'!$L$6:$L$1110,'MA Engine'!$J$6:$J$1110,$C88,'MA Engine'!$I$6:$I$1110,"Receipt",'MA Engine'!$D$6:$D$1110,"Karkas")/SUMIFS('MA Engine'!$K$6:$K$1110,'MA Engine'!$J$6:$J$1110,$C88,'MA Engine'!$I$6:$I$1110,"Receipt",'MA Engine'!$D$6:$D$1110,"Karkas"),0)</f>
        <v>37890.9055483726</v>
      </c>
      <c r="E88" s="7" t="n">
        <f aca="false">IFERROR(SUMIFS(I_Batch_Ops!$L$21:$L$342,I_Batch_Ops!$B$21:$B$342,$C88,I_Batch_Ops!$G$21:$G$342,"Karkas",I_Batch_Ops!$P$21:$P$342,"Y")/SUMIFS(I_Batch_Ops!$J$21:$J$342,I_Batch_Ops!$B$21:$B$342,$C88,I_Batch_Ops!$G$21:$G$342,"Karkas",I_Batch_Ops!$P$21:$P$342,"Y"),0)</f>
        <v>32719.6020012367</v>
      </c>
      <c r="F88" s="7" t="n">
        <f aca="false">IFERROR(SUMIFS('MA Engine'!$L$6:$L$1110,'MA Engine'!$J$6:$J$1110,$C88,'MA Engine'!$I$6:$I$1110,"Receipt",'MA Engine'!$D$6:$D$1110,"Kepala")/SUMIFS('MA Engine'!$K$6:$K$1110,'MA Engine'!$J$6:$J$1110,$C88,'MA Engine'!$I$6:$I$1110,"Receipt",'MA Engine'!$D$6:$D$1110,"Kepala"),0)</f>
        <v>13896.5892030848</v>
      </c>
      <c r="G88" s="7" t="n">
        <f aca="false">IFERROR(SUMIFS(I_Batch_Ops!$L$21:$L$342,I_Batch_Ops!$B$21:$B$342,$C88,I_Batch_Ops!$G$21:$G$342,"Kepala",I_Batch_Ops!$P$21:$P$342,"Y")/SUMIFS(I_Batch_Ops!$J$21:$J$342,I_Batch_Ops!$B$21:$B$342,$C88,I_Batch_Ops!$G$21:$G$342,"Kepala",I_Batch_Ops!$P$21:$P$342,"Y"),0)</f>
        <v>12000</v>
      </c>
      <c r="H88" s="7" t="n">
        <f aca="false">IFERROR(SUMIFS('MA Engine'!$L$6:$L$1110,'MA Engine'!$J$6:$J$1110,$C88,'MA Engine'!$I$6:$I$1110,"Receipt",'MA Engine'!$D$6:$D$1110,"Ceker")/SUMIFS('MA Engine'!$K$6:$K$1110,'MA Engine'!$J$6:$J$1110,$C88,'MA Engine'!$I$6:$I$1110,"Receipt",'MA Engine'!$D$6:$D$1110,"Ceker"),0)</f>
        <v>18528.7855106888</v>
      </c>
      <c r="I88" s="7" t="n">
        <f aca="false">IFERROR(SUMIFS(I_Batch_Ops!$L$21:$L$342,I_Batch_Ops!$B$21:$B$342,$C88,I_Batch_Ops!$G$21:$G$342,"Ceker",I_Batch_Ops!$P$21:$P$342,"Y")/SUMIFS(I_Batch_Ops!$J$21:$J$342,I_Batch_Ops!$B$21:$B$342,$C88,I_Batch_Ops!$G$21:$G$342,"Ceker",I_Batch_Ops!$P$21:$P$342,"Y"),0)</f>
        <v>16000</v>
      </c>
      <c r="J88" s="7" t="n">
        <f aca="false">IFERROR(SUMIFS('MA Engine'!$L$6:$L$1110,'MA Engine'!$J$6:$J$1110,$C88,'MA Engine'!$I$6:$I$1110,"Receipt",'MA Engine'!$D$6:$D$1110,"Usus")/SUMIFS('MA Engine'!$K$6:$K$1110,'MA Engine'!$J$6:$J$1110,$C88,'MA Engine'!$I$6:$I$1110,"Receipt",'MA Engine'!$D$6:$D$1110,"Usus"),0)</f>
        <v>5790.24551141695</v>
      </c>
      <c r="K88" s="7" t="n">
        <f aca="false">IFERROR(SUMIFS(I_Batch_Ops!$L$21:$L$342,I_Batch_Ops!$B$21:$B$342,$C88,I_Batch_Ops!$G$21:$G$342,"Usus",I_Batch_Ops!$P$21:$P$342,"Y")/SUMIFS(I_Batch_Ops!$J$21:$J$342,I_Batch_Ops!$B$21:$B$342,$C88,I_Batch_Ops!$G$21:$G$342,"Usus",I_Batch_Ops!$P$21:$P$342,"Y"),0)</f>
        <v>5000</v>
      </c>
      <c r="L88" s="7" t="n">
        <f aca="false">IFERROR(SUMIFS('MA Engine'!$L$6:$L$1110,'MA Engine'!$J$6:$J$1110,$C88,'MA Engine'!$I$6:$I$1110,"Receipt",'MA Engine'!$D$6:$D$1110,"Lemak")/SUMIFS('MA Engine'!$K$6:$K$1110,'MA Engine'!$J$6:$J$1110,$C88,'MA Engine'!$I$6:$I$1110,"Receipt",'MA Engine'!$D$6:$D$1110,"Lemak"),0)</f>
        <v>27793.1782287823</v>
      </c>
      <c r="M88" s="7" t="n">
        <f aca="false">IFERROR(SUMIFS(I_Batch_Ops!$L$21:$L$342,I_Batch_Ops!$B$21:$B$342,$C88,I_Batch_Ops!$G$21:$G$342,"Lemak",I_Batch_Ops!$P$21:$P$342,"Y")/SUMIFS(I_Batch_Ops!$J$21:$J$342,I_Batch_Ops!$B$21:$B$342,$C88,I_Batch_Ops!$G$21:$G$342,"Lemak",I_Batch_Ops!$P$21:$P$342,"Y"),0)</f>
        <v>24000</v>
      </c>
      <c r="N88" s="9" t="n">
        <f aca="false">ROUND(ABS(SUMIFS('MA Engine'!$L$6:$L$1110,'MA Engine'!$J$6:$J$1110,$C88,'MA Engine'!$I$6:$I$1110,"Receipt",'MA Engine'!$D$6:$D$1110,"Karkas")-SUMIFS(I_Batch_Ops!$N$21:$N$342,I_Batch_Ops!$B$21:$B$342,$C88,I_Batch_Ops!$G$21:$G$342,"Karkas",I_Batch_Ops!$P$21:$P$342,"Y"))+ABS(SUMIFS('MA Engine'!$L$6:$L$1110,'MA Engine'!$J$6:$J$1110,$C88,'MA Engine'!$I$6:$I$1110,"Receipt",'MA Engine'!$D$6:$D$1110,"Kepala")-SUMIFS(I_Batch_Ops!$N$21:$N$342,I_Batch_Ops!$B$21:$B$342,$C88,I_Batch_Ops!$G$21:$G$342,"Kepala",I_Batch_Ops!$P$21:$P$342,"Y"))+ABS(SUMIFS('MA Engine'!$L$6:$L$1110,'MA Engine'!$J$6:$J$1110,$C88,'MA Engine'!$I$6:$I$1110,"Receipt",'MA Engine'!$D$6:$D$1110,"Ceker")-SUMIFS(I_Batch_Ops!$N$21:$N$342,I_Batch_Ops!$B$21:$B$342,$C88,I_Batch_Ops!$G$21:$G$342,"Ceker",I_Batch_Ops!$P$21:$P$342,"Y"))+ABS(SUMIFS('MA Engine'!$L$6:$L$1110,'MA Engine'!$J$6:$J$1110,$C88,'MA Engine'!$I$6:$I$1110,"Receipt",'MA Engine'!$D$6:$D$1110,"Usus")-SUMIFS(I_Batch_Ops!$N$21:$N$342,I_Batch_Ops!$B$21:$B$342,$C88,I_Batch_Ops!$G$21:$G$342,"Usus",I_Batch_Ops!$P$21:$P$342,"Y"))+ABS(SUMIFS('MA Engine'!$L$6:$L$1110,'MA Engine'!$J$6:$J$1110,$C88,'MA Engine'!$I$6:$I$1110,"Receipt",'MA Engine'!$D$6:$D$1110,"Lemak")-SUMIFS(I_Batch_Ops!$N$21:$N$342,I_Batch_Ops!$B$21:$B$342,$C88,I_Batch_Ops!$G$21:$G$342,"Lemak",I_Batch_Ops!$P$21:$P$342,"Y")),0)</f>
        <v>0</v>
      </c>
    </row>
    <row r="89" customFormat="false" ht="15" hidden="false" customHeight="false" outlineLevel="0" collapsed="false">
      <c r="B89" s="79" t="n">
        <v>46259</v>
      </c>
      <c r="C89" s="6" t="str">
        <f aca="false">D13</f>
        <v>125/PO/KGR/08/2026</v>
      </c>
      <c r="D89" s="7" t="n">
        <f aca="false">IFERROR(SUMIFS('MA Engine'!$L$6:$L$1110,'MA Engine'!$J$6:$J$1110,$C89,'MA Engine'!$I$6:$I$1110,"Receipt",'MA Engine'!$D$6:$D$1110,"Karkas")/SUMIFS('MA Engine'!$K$6:$K$1110,'MA Engine'!$J$6:$J$1110,$C89,'MA Engine'!$I$6:$I$1110,"Receipt",'MA Engine'!$D$6:$D$1110,"Karkas"),0)</f>
        <v>36595.2370708555</v>
      </c>
      <c r="E89" s="7" t="n">
        <f aca="false">IFERROR(SUMIFS(I_Batch_Ops!$L$21:$L$342,I_Batch_Ops!$B$21:$B$342,$C89,I_Batch_Ops!$G$21:$G$342,"Karkas",I_Batch_Ops!$P$21:$P$342,"Y")/SUMIFS(I_Batch_Ops!$J$21:$J$342,I_Batch_Ops!$B$21:$B$342,$C89,I_Batch_Ops!$G$21:$G$342,"Karkas",I_Batch_Ops!$P$21:$P$342,"Y"),0)</f>
        <v>32745.5569549398</v>
      </c>
      <c r="F89" s="7" t="n">
        <f aca="false">IFERROR(SUMIFS('MA Engine'!$L$6:$L$1110,'MA Engine'!$J$6:$J$1110,$C89,'MA Engine'!$I$6:$I$1110,"Receipt",'MA Engine'!$D$6:$D$1110,"Kepala")/SUMIFS('MA Engine'!$K$6:$K$1110,'MA Engine'!$J$6:$J$1110,$C89,'MA Engine'!$I$6:$I$1110,"Receipt",'MA Engine'!$D$6:$D$1110,"Kepala"),0)</f>
        <v>13410.7612004069</v>
      </c>
      <c r="G89" s="7" t="n">
        <f aca="false">IFERROR(SUMIFS(I_Batch_Ops!$L$21:$L$342,I_Batch_Ops!$B$21:$B$342,$C89,I_Batch_Ops!$G$21:$G$342,"Kepala",I_Batch_Ops!$P$21:$P$342,"Y")/SUMIFS(I_Batch_Ops!$J$21:$J$342,I_Batch_Ops!$B$21:$B$342,$C89,I_Batch_Ops!$G$21:$G$342,"Kepala",I_Batch_Ops!$P$21:$P$342,"Y"),0)</f>
        <v>12000</v>
      </c>
      <c r="H89" s="7" t="n">
        <f aca="false">IFERROR(SUMIFS('MA Engine'!$L$6:$L$1110,'MA Engine'!$J$6:$J$1110,$C89,'MA Engine'!$I$6:$I$1110,"Receipt",'MA Engine'!$D$6:$D$1110,"Ceker")/SUMIFS('MA Engine'!$K$6:$K$1110,'MA Engine'!$J$6:$J$1110,$C89,'MA Engine'!$I$6:$I$1110,"Receipt",'MA Engine'!$D$6:$D$1110,"Ceker"),0)</f>
        <v>17881.0149122807</v>
      </c>
      <c r="I89" s="7" t="n">
        <f aca="false">IFERROR(SUMIFS(I_Batch_Ops!$L$21:$L$342,I_Batch_Ops!$B$21:$B$342,$C89,I_Batch_Ops!$G$21:$G$342,"Ceker",I_Batch_Ops!$P$21:$P$342,"Y")/SUMIFS(I_Batch_Ops!$J$21:$J$342,I_Batch_Ops!$B$21:$B$342,$C89,I_Batch_Ops!$G$21:$G$342,"Ceker",I_Batch_Ops!$P$21:$P$342,"Y"),0)</f>
        <v>16000</v>
      </c>
      <c r="J89" s="7" t="n">
        <f aca="false">IFERROR(SUMIFS('MA Engine'!$L$6:$L$1110,'MA Engine'!$J$6:$J$1110,$C89,'MA Engine'!$I$6:$I$1110,"Receipt",'MA Engine'!$D$6:$D$1110,"Usus")/SUMIFS('MA Engine'!$K$6:$K$1110,'MA Engine'!$J$6:$J$1110,$C89,'MA Engine'!$I$6:$I$1110,"Receipt",'MA Engine'!$D$6:$D$1110,"Usus"),0)</f>
        <v>5587.81720215526</v>
      </c>
      <c r="K89" s="7" t="n">
        <f aca="false">IFERROR(SUMIFS(I_Batch_Ops!$L$21:$L$342,I_Batch_Ops!$B$21:$B$342,$C89,I_Batch_Ops!$G$21:$G$342,"Usus",I_Batch_Ops!$P$21:$P$342,"Y")/SUMIFS(I_Batch_Ops!$J$21:$J$342,I_Batch_Ops!$B$21:$B$342,$C89,I_Batch_Ops!$G$21:$G$342,"Usus",I_Batch_Ops!$P$21:$P$342,"Y"),0)</f>
        <v>5000</v>
      </c>
      <c r="L89" s="7" t="n">
        <f aca="false">IFERROR(SUMIFS('MA Engine'!$L$6:$L$1110,'MA Engine'!$J$6:$J$1110,$C89,'MA Engine'!$I$6:$I$1110,"Receipt",'MA Engine'!$D$6:$D$1110,"Lemak")/SUMIFS('MA Engine'!$K$6:$K$1110,'MA Engine'!$J$6:$J$1110,$C89,'MA Engine'!$I$6:$I$1110,"Receipt",'MA Engine'!$D$6:$D$1110,"Lemak"),0)</f>
        <v>26821.5224018476</v>
      </c>
      <c r="M89" s="7" t="n">
        <f aca="false">IFERROR(SUMIFS(I_Batch_Ops!$L$21:$L$342,I_Batch_Ops!$B$21:$B$342,$C89,I_Batch_Ops!$G$21:$G$342,"Lemak",I_Batch_Ops!$P$21:$P$342,"Y")/SUMIFS(I_Batch_Ops!$J$21:$J$342,I_Batch_Ops!$B$21:$B$342,$C89,I_Batch_Ops!$G$21:$G$342,"Lemak",I_Batch_Ops!$P$21:$P$342,"Y"),0)</f>
        <v>24000</v>
      </c>
      <c r="N89" s="9" t="n">
        <f aca="false">ROUND(ABS(SUMIFS('MA Engine'!$L$6:$L$1110,'MA Engine'!$J$6:$J$1110,$C89,'MA Engine'!$I$6:$I$1110,"Receipt",'MA Engine'!$D$6:$D$1110,"Karkas")-SUMIFS(I_Batch_Ops!$N$21:$N$342,I_Batch_Ops!$B$21:$B$342,$C89,I_Batch_Ops!$G$21:$G$342,"Karkas",I_Batch_Ops!$P$21:$P$342,"Y"))+ABS(SUMIFS('MA Engine'!$L$6:$L$1110,'MA Engine'!$J$6:$J$1110,$C89,'MA Engine'!$I$6:$I$1110,"Receipt",'MA Engine'!$D$6:$D$1110,"Kepala")-SUMIFS(I_Batch_Ops!$N$21:$N$342,I_Batch_Ops!$B$21:$B$342,$C89,I_Batch_Ops!$G$21:$G$342,"Kepala",I_Batch_Ops!$P$21:$P$342,"Y"))+ABS(SUMIFS('MA Engine'!$L$6:$L$1110,'MA Engine'!$J$6:$J$1110,$C89,'MA Engine'!$I$6:$I$1110,"Receipt",'MA Engine'!$D$6:$D$1110,"Ceker")-SUMIFS(I_Batch_Ops!$N$21:$N$342,I_Batch_Ops!$B$21:$B$342,$C89,I_Batch_Ops!$G$21:$G$342,"Ceker",I_Batch_Ops!$P$21:$P$342,"Y"))+ABS(SUMIFS('MA Engine'!$L$6:$L$1110,'MA Engine'!$J$6:$J$1110,$C89,'MA Engine'!$I$6:$I$1110,"Receipt",'MA Engine'!$D$6:$D$1110,"Usus")-SUMIFS(I_Batch_Ops!$N$21:$N$342,I_Batch_Ops!$B$21:$B$342,$C89,I_Batch_Ops!$G$21:$G$342,"Usus",I_Batch_Ops!$P$21:$P$342,"Y"))+ABS(SUMIFS('MA Engine'!$L$6:$L$1110,'MA Engine'!$J$6:$J$1110,$C89,'MA Engine'!$I$6:$I$1110,"Receipt",'MA Engine'!$D$6:$D$1110,"Lemak")-SUMIFS(I_Batch_Ops!$N$21:$N$342,I_Batch_Ops!$B$21:$B$342,$C89,I_Batch_Ops!$G$21:$G$342,"Lemak",I_Batch_Ops!$P$21:$P$342,"Y")),0)</f>
        <v>0</v>
      </c>
    </row>
    <row r="90" customFormat="false" ht="15" hidden="false" customHeight="false" outlineLevel="0" collapsed="false">
      <c r="B90" s="79" t="n">
        <v>46260</v>
      </c>
      <c r="C90" s="6" t="str">
        <f aca="false">D14</f>
        <v>126/PO/KGR/08/2026</v>
      </c>
      <c r="D90" s="7" t="n">
        <f aca="false">IFERROR(SUMIFS('MA Engine'!$L$6:$L$1110,'MA Engine'!$J$6:$J$1110,$C90,'MA Engine'!$I$6:$I$1110,"Receipt",'MA Engine'!$D$6:$D$1110,"Karkas")/SUMIFS('MA Engine'!$K$6:$K$1110,'MA Engine'!$J$6:$J$1110,$C90,'MA Engine'!$I$6:$I$1110,"Receipt",'MA Engine'!$D$6:$D$1110,"Karkas"),0)</f>
        <v>37336.4951698462</v>
      </c>
      <c r="E90" s="7" t="n">
        <f aca="false">IFERROR(SUMIFS(I_Batch_Ops!$L$21:$L$342,I_Batch_Ops!$B$21:$B$342,$C90,I_Batch_Ops!$G$21:$G$342,"Karkas",I_Batch_Ops!$P$21:$P$342,"Y")/SUMIFS(I_Batch_Ops!$J$21:$J$342,I_Batch_Ops!$B$21:$B$342,$C90,I_Batch_Ops!$G$21:$G$342,"Karkas",I_Batch_Ops!$P$21:$P$342,"Y"),0)</f>
        <v>32708.3657776913</v>
      </c>
      <c r="F90" s="7" t="n">
        <f aca="false">IFERROR(SUMIFS('MA Engine'!$L$6:$L$1110,'MA Engine'!$J$6:$J$1110,$C90,'MA Engine'!$I$6:$I$1110,"Receipt",'MA Engine'!$D$6:$D$1110,"Kepala")/SUMIFS('MA Engine'!$K$6:$K$1110,'MA Engine'!$J$6:$J$1110,$C90,'MA Engine'!$I$6:$I$1110,"Receipt",'MA Engine'!$D$6:$D$1110,"Kepala"),0)</f>
        <v>13697.9617091049</v>
      </c>
      <c r="G90" s="7" t="n">
        <f aca="false">IFERROR(SUMIFS(I_Batch_Ops!$L$21:$L$342,I_Batch_Ops!$B$21:$B$342,$C90,I_Batch_Ops!$G$21:$G$342,"Kepala",I_Batch_Ops!$P$21:$P$342,"Y")/SUMIFS(I_Batch_Ops!$J$21:$J$342,I_Batch_Ops!$B$21:$B$342,$C90,I_Batch_Ops!$G$21:$G$342,"Kepala",I_Batch_Ops!$P$21:$P$342,"Y"),0)</f>
        <v>12000</v>
      </c>
      <c r="H90" s="7" t="n">
        <f aca="false">IFERROR(SUMIFS('MA Engine'!$L$6:$L$1110,'MA Engine'!$J$6:$J$1110,$C90,'MA Engine'!$I$6:$I$1110,"Receipt",'MA Engine'!$D$6:$D$1110,"Ceker")/SUMIFS('MA Engine'!$K$6:$K$1110,'MA Engine'!$J$6:$J$1110,$C90,'MA Engine'!$I$6:$I$1110,"Receipt",'MA Engine'!$D$6:$D$1110,"Ceker"),0)</f>
        <v>18263.9489864865</v>
      </c>
      <c r="I90" s="7" t="n">
        <f aca="false">IFERROR(SUMIFS(I_Batch_Ops!$L$21:$L$342,I_Batch_Ops!$B$21:$B$342,$C90,I_Batch_Ops!$G$21:$G$342,"Ceker",I_Batch_Ops!$P$21:$P$342,"Y")/SUMIFS(I_Batch_Ops!$J$21:$J$342,I_Batch_Ops!$B$21:$B$342,$C90,I_Batch_Ops!$G$21:$G$342,"Ceker",I_Batch_Ops!$P$21:$P$342,"Y"),0)</f>
        <v>16000</v>
      </c>
      <c r="J90" s="7" t="n">
        <f aca="false">IFERROR(SUMIFS('MA Engine'!$L$6:$L$1110,'MA Engine'!$J$6:$J$1110,$C90,'MA Engine'!$I$6:$I$1110,"Receipt",'MA Engine'!$D$6:$D$1110,"Usus")/SUMIFS('MA Engine'!$K$6:$K$1110,'MA Engine'!$J$6:$J$1110,$C90,'MA Engine'!$I$6:$I$1110,"Receipt",'MA Engine'!$D$6:$D$1110,"Usus"),0)</f>
        <v>5707.48409399884</v>
      </c>
      <c r="K90" s="7" t="n">
        <f aca="false">IFERROR(SUMIFS(I_Batch_Ops!$L$21:$L$342,I_Batch_Ops!$B$21:$B$342,$C90,I_Batch_Ops!$G$21:$G$342,"Usus",I_Batch_Ops!$P$21:$P$342,"Y")/SUMIFS(I_Batch_Ops!$J$21:$J$342,I_Batch_Ops!$B$21:$B$342,$C90,I_Batch_Ops!$G$21:$G$342,"Usus",I_Batch_Ops!$P$21:$P$342,"Y"),0)</f>
        <v>5000</v>
      </c>
      <c r="L90" s="7" t="n">
        <f aca="false">IFERROR(SUMIFS('MA Engine'!$L$6:$L$1110,'MA Engine'!$J$6:$J$1110,$C90,'MA Engine'!$I$6:$I$1110,"Receipt",'MA Engine'!$D$6:$D$1110,"Lemak")/SUMIFS('MA Engine'!$K$6:$K$1110,'MA Engine'!$J$6:$J$1110,$C90,'MA Engine'!$I$6:$I$1110,"Receipt",'MA Engine'!$D$6:$D$1110,"Lemak"),0)</f>
        <v>27395.9232638889</v>
      </c>
      <c r="M90" s="7" t="n">
        <f aca="false">IFERROR(SUMIFS(I_Batch_Ops!$L$21:$L$342,I_Batch_Ops!$B$21:$B$342,$C90,I_Batch_Ops!$G$21:$G$342,"Lemak",I_Batch_Ops!$P$21:$P$342,"Y")/SUMIFS(I_Batch_Ops!$J$21:$J$342,I_Batch_Ops!$B$21:$B$342,$C90,I_Batch_Ops!$G$21:$G$342,"Lemak",I_Batch_Ops!$P$21:$P$342,"Y"),0)</f>
        <v>24000</v>
      </c>
      <c r="N90" s="9" t="n">
        <f aca="false">ROUND(ABS(SUMIFS('MA Engine'!$L$6:$L$1110,'MA Engine'!$J$6:$J$1110,$C90,'MA Engine'!$I$6:$I$1110,"Receipt",'MA Engine'!$D$6:$D$1110,"Karkas")-SUMIFS(I_Batch_Ops!$N$21:$N$342,I_Batch_Ops!$B$21:$B$342,$C90,I_Batch_Ops!$G$21:$G$342,"Karkas",I_Batch_Ops!$P$21:$P$342,"Y"))+ABS(SUMIFS('MA Engine'!$L$6:$L$1110,'MA Engine'!$J$6:$J$1110,$C90,'MA Engine'!$I$6:$I$1110,"Receipt",'MA Engine'!$D$6:$D$1110,"Kepala")-SUMIFS(I_Batch_Ops!$N$21:$N$342,I_Batch_Ops!$B$21:$B$342,$C90,I_Batch_Ops!$G$21:$G$342,"Kepala",I_Batch_Ops!$P$21:$P$342,"Y"))+ABS(SUMIFS('MA Engine'!$L$6:$L$1110,'MA Engine'!$J$6:$J$1110,$C90,'MA Engine'!$I$6:$I$1110,"Receipt",'MA Engine'!$D$6:$D$1110,"Ceker")-SUMIFS(I_Batch_Ops!$N$21:$N$342,I_Batch_Ops!$B$21:$B$342,$C90,I_Batch_Ops!$G$21:$G$342,"Ceker",I_Batch_Ops!$P$21:$P$342,"Y"))+ABS(SUMIFS('MA Engine'!$L$6:$L$1110,'MA Engine'!$J$6:$J$1110,$C90,'MA Engine'!$I$6:$I$1110,"Receipt",'MA Engine'!$D$6:$D$1110,"Usus")-SUMIFS(I_Batch_Ops!$N$21:$N$342,I_Batch_Ops!$B$21:$B$342,$C90,I_Batch_Ops!$G$21:$G$342,"Usus",I_Batch_Ops!$P$21:$P$342,"Y"))+ABS(SUMIFS('MA Engine'!$L$6:$L$1110,'MA Engine'!$J$6:$J$1110,$C90,'MA Engine'!$I$6:$I$1110,"Receipt",'MA Engine'!$D$6:$D$1110,"Lemak")-SUMIFS(I_Batch_Ops!$N$21:$N$342,I_Batch_Ops!$B$21:$B$342,$C90,I_Batch_Ops!$G$21:$G$342,"Lemak",I_Batch_Ops!$P$21:$P$342,"Y")),0)</f>
        <v>0</v>
      </c>
    </row>
    <row r="91" customFormat="false" ht="15" hidden="false" customHeight="false" outlineLevel="0" collapsed="false">
      <c r="B91" s="79" t="n">
        <v>46261</v>
      </c>
      <c r="C91" s="6" t="str">
        <f aca="false">D15</f>
        <v>128/PO/KGR/08/2026</v>
      </c>
      <c r="D91" s="7" t="n">
        <f aca="false">IFERROR(SUMIFS('MA Engine'!$L$6:$L$1110,'MA Engine'!$J$6:$J$1110,$C91,'MA Engine'!$I$6:$I$1110,"Receipt",'MA Engine'!$D$6:$D$1110,"Karkas")/SUMIFS('MA Engine'!$K$6:$K$1110,'MA Engine'!$J$6:$J$1110,$C91,'MA Engine'!$I$6:$I$1110,"Receipt",'MA Engine'!$D$6:$D$1110,"Karkas"),0)</f>
        <v>36922.6270982505</v>
      </c>
      <c r="E91" s="7" t="n">
        <f aca="false">IFERROR(SUMIFS(I_Batch_Ops!$L$21:$L$342,I_Batch_Ops!$B$21:$B$342,$C91,I_Batch_Ops!$G$21:$G$342,"Karkas",I_Batch_Ops!$P$21:$P$342,"Y")/SUMIFS(I_Batch_Ops!$J$21:$J$342,I_Batch_Ops!$B$21:$B$342,$C91,I_Batch_Ops!$G$21:$G$342,"Karkas",I_Batch_Ops!$P$21:$P$342,"Y"),0)</f>
        <v>32767.7345537757</v>
      </c>
      <c r="F91" s="7" t="n">
        <f aca="false">IFERROR(SUMIFS('MA Engine'!$L$6:$L$1110,'MA Engine'!$J$6:$J$1110,$C91,'MA Engine'!$I$6:$I$1110,"Receipt",'MA Engine'!$D$6:$D$1110,"Kepala")/SUMIFS('MA Engine'!$K$6:$K$1110,'MA Engine'!$J$6:$J$1110,$C91,'MA Engine'!$I$6:$I$1110,"Receipt",'MA Engine'!$D$6:$D$1110,"Kepala"),0)</f>
        <v>13521.57940396</v>
      </c>
      <c r="G91" s="7" t="n">
        <f aca="false">IFERROR(SUMIFS(I_Batch_Ops!$L$21:$L$342,I_Batch_Ops!$B$21:$B$342,$C91,I_Batch_Ops!$G$21:$G$342,"Kepala",I_Batch_Ops!$P$21:$P$342,"Y")/SUMIFS(I_Batch_Ops!$J$21:$J$342,I_Batch_Ops!$B$21:$B$342,$C91,I_Batch_Ops!$G$21:$G$342,"Kepala",I_Batch_Ops!$P$21:$P$342,"Y"),0)</f>
        <v>12000</v>
      </c>
      <c r="H91" s="7" t="n">
        <f aca="false">IFERROR(SUMIFS('MA Engine'!$L$6:$L$1110,'MA Engine'!$J$6:$J$1110,$C91,'MA Engine'!$I$6:$I$1110,"Receipt",'MA Engine'!$D$6:$D$1110,"Ceker")/SUMIFS('MA Engine'!$K$6:$K$1110,'MA Engine'!$J$6:$J$1110,$C91,'MA Engine'!$I$6:$I$1110,"Receipt",'MA Engine'!$D$6:$D$1110,"Ceker"),0)</f>
        <v>18028.7726036065</v>
      </c>
      <c r="I91" s="7" t="n">
        <f aca="false">IFERROR(SUMIFS(I_Batch_Ops!$L$21:$L$342,I_Batch_Ops!$B$21:$B$342,$C91,I_Batch_Ops!$G$21:$G$342,"Ceker",I_Batch_Ops!$P$21:$P$342,"Y")/SUMIFS(I_Batch_Ops!$J$21:$J$342,I_Batch_Ops!$B$21:$B$342,$C91,I_Batch_Ops!$G$21:$G$342,"Ceker",I_Batch_Ops!$P$21:$P$342,"Y"),0)</f>
        <v>16000</v>
      </c>
      <c r="J91" s="7" t="n">
        <f aca="false">IFERROR(SUMIFS('MA Engine'!$L$6:$L$1110,'MA Engine'!$J$6:$J$1110,$C91,'MA Engine'!$I$6:$I$1110,"Receipt",'MA Engine'!$D$6:$D$1110,"Usus")/SUMIFS('MA Engine'!$K$6:$K$1110,'MA Engine'!$J$6:$J$1110,$C91,'MA Engine'!$I$6:$I$1110,"Receipt",'MA Engine'!$D$6:$D$1110,"Usus"),0)</f>
        <v>5633.99139930421</v>
      </c>
      <c r="K91" s="7" t="n">
        <f aca="false">IFERROR(SUMIFS(I_Batch_Ops!$L$21:$L$342,I_Batch_Ops!$B$21:$B$342,$C91,I_Batch_Ops!$G$21:$G$342,"Usus",I_Batch_Ops!$P$21:$P$342,"Y")/SUMIFS(I_Batch_Ops!$J$21:$J$342,I_Batch_Ops!$B$21:$B$342,$C91,I_Batch_Ops!$G$21:$G$342,"Usus",I_Batch_Ops!$P$21:$P$342,"Y"),0)</f>
        <v>5000</v>
      </c>
      <c r="L91" s="7" t="n">
        <f aca="false">IFERROR(SUMIFS('MA Engine'!$L$6:$L$1110,'MA Engine'!$J$6:$J$1110,$C91,'MA Engine'!$I$6:$I$1110,"Receipt",'MA Engine'!$D$6:$D$1110,"Lemak")/SUMIFS('MA Engine'!$K$6:$K$1110,'MA Engine'!$J$6:$J$1110,$C91,'MA Engine'!$I$6:$I$1110,"Receipt",'MA Engine'!$D$6:$D$1110,"Lemak"),0)</f>
        <v>27043.1586592179</v>
      </c>
      <c r="M91" s="7" t="n">
        <f aca="false">IFERROR(SUMIFS(I_Batch_Ops!$L$21:$L$342,I_Batch_Ops!$B$21:$B$342,$C91,I_Batch_Ops!$G$21:$G$342,"Lemak",I_Batch_Ops!$P$21:$P$342,"Y")/SUMIFS(I_Batch_Ops!$J$21:$J$342,I_Batch_Ops!$B$21:$B$342,$C91,I_Batch_Ops!$G$21:$G$342,"Lemak",I_Batch_Ops!$P$21:$P$342,"Y"),0)</f>
        <v>24000</v>
      </c>
      <c r="N91" s="9" t="n">
        <f aca="false">ROUND(ABS(SUMIFS('MA Engine'!$L$6:$L$1110,'MA Engine'!$J$6:$J$1110,$C91,'MA Engine'!$I$6:$I$1110,"Receipt",'MA Engine'!$D$6:$D$1110,"Karkas")-SUMIFS(I_Batch_Ops!$N$21:$N$342,I_Batch_Ops!$B$21:$B$342,$C91,I_Batch_Ops!$G$21:$G$342,"Karkas",I_Batch_Ops!$P$21:$P$342,"Y"))+ABS(SUMIFS('MA Engine'!$L$6:$L$1110,'MA Engine'!$J$6:$J$1110,$C91,'MA Engine'!$I$6:$I$1110,"Receipt",'MA Engine'!$D$6:$D$1110,"Kepala")-SUMIFS(I_Batch_Ops!$N$21:$N$342,I_Batch_Ops!$B$21:$B$342,$C91,I_Batch_Ops!$G$21:$G$342,"Kepala",I_Batch_Ops!$P$21:$P$342,"Y"))+ABS(SUMIFS('MA Engine'!$L$6:$L$1110,'MA Engine'!$J$6:$J$1110,$C91,'MA Engine'!$I$6:$I$1110,"Receipt",'MA Engine'!$D$6:$D$1110,"Ceker")-SUMIFS(I_Batch_Ops!$N$21:$N$342,I_Batch_Ops!$B$21:$B$342,$C91,I_Batch_Ops!$G$21:$G$342,"Ceker",I_Batch_Ops!$P$21:$P$342,"Y"))+ABS(SUMIFS('MA Engine'!$L$6:$L$1110,'MA Engine'!$J$6:$J$1110,$C91,'MA Engine'!$I$6:$I$1110,"Receipt",'MA Engine'!$D$6:$D$1110,"Usus")-SUMIFS(I_Batch_Ops!$N$21:$N$342,I_Batch_Ops!$B$21:$B$342,$C91,I_Batch_Ops!$G$21:$G$342,"Usus",I_Batch_Ops!$P$21:$P$342,"Y"))+ABS(SUMIFS('MA Engine'!$L$6:$L$1110,'MA Engine'!$J$6:$J$1110,$C91,'MA Engine'!$I$6:$I$1110,"Receipt",'MA Engine'!$D$6:$D$1110,"Lemak")-SUMIFS(I_Batch_Ops!$N$21:$N$342,I_Batch_Ops!$B$21:$B$342,$C91,I_Batch_Ops!$G$21:$G$342,"Lemak",I_Batch_Ops!$P$21:$P$342,"Y")),0)</f>
        <v>0</v>
      </c>
    </row>
    <row r="92" customFormat="false" ht="15" hidden="false" customHeight="false" outlineLevel="0" collapsed="false">
      <c r="B92" s="79" t="n">
        <v>46262</v>
      </c>
      <c r="C92" s="6" t="str">
        <f aca="false">D16</f>
        <v>129/PO/KGR/08/2026</v>
      </c>
      <c r="D92" s="7" t="n">
        <f aca="false">IFERROR(SUMIFS('MA Engine'!$L$6:$L$1110,'MA Engine'!$J$6:$J$1110,$C92,'MA Engine'!$I$6:$I$1110,"Receipt",'MA Engine'!$D$6:$D$1110,"Karkas")/SUMIFS('MA Engine'!$K$6:$K$1110,'MA Engine'!$J$6:$J$1110,$C92,'MA Engine'!$I$6:$I$1110,"Receipt",'MA Engine'!$D$6:$D$1110,"Karkas"),0)</f>
        <v>37195.0055390304</v>
      </c>
      <c r="E92" s="7" t="n">
        <f aca="false">IFERROR(SUMIFS(I_Batch_Ops!$L$21:$L$342,I_Batch_Ops!$B$21:$B$342,$C92,I_Batch_Ops!$G$21:$G$342,"Karkas",I_Batch_Ops!$P$21:$P$342,"Y")/SUMIFS(I_Batch_Ops!$J$21:$J$342,I_Batch_Ops!$B$21:$B$342,$C92,I_Batch_Ops!$G$21:$G$342,"Karkas",I_Batch_Ops!$P$21:$P$342,"Y"),0)</f>
        <v>32738.7173831468</v>
      </c>
      <c r="F92" s="7" t="n">
        <f aca="false">IFERROR(SUMIFS('MA Engine'!$L$6:$L$1110,'MA Engine'!$J$6:$J$1110,$C92,'MA Engine'!$I$6:$I$1110,"Receipt",'MA Engine'!$D$6:$D$1110,"Kepala")/SUMIFS('MA Engine'!$K$6:$K$1110,'MA Engine'!$J$6:$J$1110,$C92,'MA Engine'!$I$6:$I$1110,"Receipt",'MA Engine'!$D$6:$D$1110,"Kepala"),0)</f>
        <v>13633.4010964254</v>
      </c>
      <c r="G92" s="7" t="n">
        <f aca="false">IFERROR(SUMIFS(I_Batch_Ops!$L$21:$L$342,I_Batch_Ops!$B$21:$B$342,$C92,I_Batch_Ops!$G$21:$G$342,"Kepala",I_Batch_Ops!$P$21:$P$342,"Y")/SUMIFS(I_Batch_Ops!$J$21:$J$342,I_Batch_Ops!$B$21:$B$342,$C92,I_Batch_Ops!$G$21:$G$342,"Kepala",I_Batch_Ops!$P$21:$P$342,"Y"),0)</f>
        <v>12000</v>
      </c>
      <c r="H92" s="7" t="n">
        <f aca="false">IFERROR(SUMIFS('MA Engine'!$L$6:$L$1110,'MA Engine'!$J$6:$J$1110,$C92,'MA Engine'!$I$6:$I$1110,"Receipt",'MA Engine'!$D$6:$D$1110,"Ceker")/SUMIFS('MA Engine'!$K$6:$K$1110,'MA Engine'!$J$6:$J$1110,$C92,'MA Engine'!$I$6:$I$1110,"Receipt",'MA Engine'!$D$6:$D$1110,"Ceker"),0)</f>
        <v>18177.8682040531</v>
      </c>
      <c r="I92" s="7" t="n">
        <f aca="false">IFERROR(SUMIFS(I_Batch_Ops!$L$21:$L$342,I_Batch_Ops!$B$21:$B$342,$C92,I_Batch_Ops!$G$21:$G$342,"Ceker",I_Batch_Ops!$P$21:$P$342,"Y")/SUMIFS(I_Batch_Ops!$J$21:$J$342,I_Batch_Ops!$B$21:$B$342,$C92,I_Batch_Ops!$G$21:$G$342,"Ceker",I_Batch_Ops!$P$21:$P$342,"Y"),0)</f>
        <v>16000</v>
      </c>
      <c r="J92" s="7" t="n">
        <f aca="false">IFERROR(SUMIFS('MA Engine'!$L$6:$L$1110,'MA Engine'!$J$6:$J$1110,$C92,'MA Engine'!$I$6:$I$1110,"Receipt",'MA Engine'!$D$6:$D$1110,"Usus")/SUMIFS('MA Engine'!$K$6:$K$1110,'MA Engine'!$J$6:$J$1110,$C92,'MA Engine'!$I$6:$I$1110,"Receipt",'MA Engine'!$D$6:$D$1110,"Usus"),0)</f>
        <v>5680.58379644084</v>
      </c>
      <c r="K92" s="7" t="n">
        <f aca="false">IFERROR(SUMIFS(I_Batch_Ops!$L$21:$L$342,I_Batch_Ops!$B$21:$B$342,$C92,I_Batch_Ops!$G$21:$G$342,"Usus",I_Batch_Ops!$P$21:$P$342,"Y")/SUMIFS(I_Batch_Ops!$J$21:$J$342,I_Batch_Ops!$B$21:$B$342,$C92,I_Batch_Ops!$G$21:$G$342,"Usus",I_Batch_Ops!$P$21:$P$342,"Y"),0)</f>
        <v>5000</v>
      </c>
      <c r="L92" s="7" t="n">
        <f aca="false">IFERROR(SUMIFS('MA Engine'!$L$6:$L$1110,'MA Engine'!$J$6:$J$1110,$C92,'MA Engine'!$I$6:$I$1110,"Receipt",'MA Engine'!$D$6:$D$1110,"Lemak")/SUMIFS('MA Engine'!$K$6:$K$1110,'MA Engine'!$J$6:$J$1110,$C92,'MA Engine'!$I$6:$I$1110,"Receipt",'MA Engine'!$D$6:$D$1110,"Lemak"),0)</f>
        <v>27266.8022522523</v>
      </c>
      <c r="M92" s="7" t="n">
        <f aca="false">IFERROR(SUMIFS(I_Batch_Ops!$L$21:$L$342,I_Batch_Ops!$B$21:$B$342,$C92,I_Batch_Ops!$G$21:$G$342,"Lemak",I_Batch_Ops!$P$21:$P$342,"Y")/SUMIFS(I_Batch_Ops!$J$21:$J$342,I_Batch_Ops!$B$21:$B$342,$C92,I_Batch_Ops!$G$21:$G$342,"Lemak",I_Batch_Ops!$P$21:$P$342,"Y"),0)</f>
        <v>24000</v>
      </c>
      <c r="N92" s="9" t="n">
        <f aca="false">ROUND(ABS(SUMIFS('MA Engine'!$L$6:$L$1110,'MA Engine'!$J$6:$J$1110,$C92,'MA Engine'!$I$6:$I$1110,"Receipt",'MA Engine'!$D$6:$D$1110,"Karkas")-SUMIFS(I_Batch_Ops!$N$21:$N$342,I_Batch_Ops!$B$21:$B$342,$C92,I_Batch_Ops!$G$21:$G$342,"Karkas",I_Batch_Ops!$P$21:$P$342,"Y"))+ABS(SUMIFS('MA Engine'!$L$6:$L$1110,'MA Engine'!$J$6:$J$1110,$C92,'MA Engine'!$I$6:$I$1110,"Receipt",'MA Engine'!$D$6:$D$1110,"Kepala")-SUMIFS(I_Batch_Ops!$N$21:$N$342,I_Batch_Ops!$B$21:$B$342,$C92,I_Batch_Ops!$G$21:$G$342,"Kepala",I_Batch_Ops!$P$21:$P$342,"Y"))+ABS(SUMIFS('MA Engine'!$L$6:$L$1110,'MA Engine'!$J$6:$J$1110,$C92,'MA Engine'!$I$6:$I$1110,"Receipt",'MA Engine'!$D$6:$D$1110,"Ceker")-SUMIFS(I_Batch_Ops!$N$21:$N$342,I_Batch_Ops!$B$21:$B$342,$C92,I_Batch_Ops!$G$21:$G$342,"Ceker",I_Batch_Ops!$P$21:$P$342,"Y"))+ABS(SUMIFS('MA Engine'!$L$6:$L$1110,'MA Engine'!$J$6:$J$1110,$C92,'MA Engine'!$I$6:$I$1110,"Receipt",'MA Engine'!$D$6:$D$1110,"Usus")-SUMIFS(I_Batch_Ops!$N$21:$N$342,I_Batch_Ops!$B$21:$B$342,$C92,I_Batch_Ops!$G$21:$G$342,"Usus",I_Batch_Ops!$P$21:$P$342,"Y"))+ABS(SUMIFS('MA Engine'!$L$6:$L$1110,'MA Engine'!$J$6:$J$1110,$C92,'MA Engine'!$I$6:$I$1110,"Receipt",'MA Engine'!$D$6:$D$1110,"Lemak")-SUMIFS(I_Batch_Ops!$N$21:$N$342,I_Batch_Ops!$B$21:$B$342,$C92,I_Batch_Ops!$G$21:$G$342,"Lemak",I_Batch_Ops!$P$21:$P$342,"Y")),0)</f>
        <v>0</v>
      </c>
    </row>
    <row r="93" customFormat="false" ht="15" hidden="false" customHeight="false" outlineLevel="0" collapsed="false">
      <c r="B93" s="79" t="n">
        <v>46265</v>
      </c>
      <c r="C93" s="6" t="str">
        <f aca="false">D17</f>
        <v>131/PO/KGR/08/2026</v>
      </c>
      <c r="D93" s="7" t="n">
        <f aca="false">IFERROR(SUMIFS('MA Engine'!$L$6:$L$1110,'MA Engine'!$J$6:$J$1110,$C93,'MA Engine'!$I$6:$I$1110,"Receipt",'MA Engine'!$D$6:$D$1110,"Karkas")/SUMIFS('MA Engine'!$K$6:$K$1110,'MA Engine'!$J$6:$J$1110,$C93,'MA Engine'!$I$6:$I$1110,"Receipt",'MA Engine'!$D$6:$D$1110,"Karkas"),0)</f>
        <v>36532.6389402973</v>
      </c>
      <c r="E93" s="7" t="n">
        <f aca="false">IFERROR(SUMIFS(I_Batch_Ops!$L$21:$L$342,I_Batch_Ops!$B$21:$B$342,$C93,I_Batch_Ops!$G$21:$G$342,"Karkas",I_Batch_Ops!$P$21:$P$342,"Y")/SUMIFS(I_Batch_Ops!$J$21:$J$342,I_Batch_Ops!$B$21:$B$342,$C93,I_Batch_Ops!$G$21:$G$342,"Karkas",I_Batch_Ops!$P$21:$P$342,"Y"),0)</f>
        <v>32718.9953327758</v>
      </c>
      <c r="F93" s="7" t="n">
        <f aca="false">IFERROR(SUMIFS('MA Engine'!$L$6:$L$1110,'MA Engine'!$J$6:$J$1110,$C93,'MA Engine'!$I$6:$I$1110,"Receipt",'MA Engine'!$D$6:$D$1110,"Kepala")/SUMIFS('MA Engine'!$K$6:$K$1110,'MA Engine'!$J$6:$J$1110,$C93,'MA Engine'!$I$6:$I$1110,"Receipt",'MA Engine'!$D$6:$D$1110,"Kepala"),0)</f>
        <v>13398.6896966056</v>
      </c>
      <c r="G93" s="7" t="n">
        <f aca="false">IFERROR(SUMIFS(I_Batch_Ops!$L$21:$L$342,I_Batch_Ops!$B$21:$B$342,$C93,I_Batch_Ops!$G$21:$G$342,"Kepala",I_Batch_Ops!$P$21:$P$342,"Y")/SUMIFS(I_Batch_Ops!$J$21:$J$342,I_Batch_Ops!$B$21:$B$342,$C93,I_Batch_Ops!$G$21:$G$342,"Kepala",I_Batch_Ops!$P$21:$P$342,"Y"),0)</f>
        <v>12000</v>
      </c>
      <c r="H93" s="7" t="n">
        <f aca="false">IFERROR(SUMIFS('MA Engine'!$L$6:$L$1110,'MA Engine'!$J$6:$J$1110,$C93,'MA Engine'!$I$6:$I$1110,"Receipt",'MA Engine'!$D$6:$D$1110,"Ceker")/SUMIFS('MA Engine'!$K$6:$K$1110,'MA Engine'!$J$6:$J$1110,$C93,'MA Engine'!$I$6:$I$1110,"Receipt",'MA Engine'!$D$6:$D$1110,"Ceker"),0)</f>
        <v>17864.919695572</v>
      </c>
      <c r="I93" s="7" t="n">
        <f aca="false">IFERROR(SUMIFS(I_Batch_Ops!$L$21:$L$342,I_Batch_Ops!$B$21:$B$342,$C93,I_Batch_Ops!$G$21:$G$342,"Ceker",I_Batch_Ops!$P$21:$P$342,"Y")/SUMIFS(I_Batch_Ops!$J$21:$J$342,I_Batch_Ops!$B$21:$B$342,$C93,I_Batch_Ops!$G$21:$G$342,"Ceker",I_Batch_Ops!$P$21:$P$342,"Y"),0)</f>
        <v>16000</v>
      </c>
      <c r="J93" s="7" t="n">
        <f aca="false">IFERROR(SUMIFS('MA Engine'!$L$6:$L$1110,'MA Engine'!$J$6:$J$1110,$C93,'MA Engine'!$I$6:$I$1110,"Receipt",'MA Engine'!$D$6:$D$1110,"Usus")/SUMIFS('MA Engine'!$K$6:$K$1110,'MA Engine'!$J$6:$J$1110,$C93,'MA Engine'!$I$6:$I$1110,"Receipt",'MA Engine'!$D$6:$D$1110,"Usus"),0)</f>
        <v>5582.78739914919</v>
      </c>
      <c r="K93" s="7" t="n">
        <f aca="false">IFERROR(SUMIFS(I_Batch_Ops!$L$21:$L$342,I_Batch_Ops!$B$21:$B$342,$C93,I_Batch_Ops!$G$21:$G$342,"Usus",I_Batch_Ops!$P$21:$P$342,"Y")/SUMIFS(I_Batch_Ops!$J$21:$J$342,I_Batch_Ops!$B$21:$B$342,$C93,I_Batch_Ops!$G$21:$G$342,"Usus",I_Batch_Ops!$P$21:$P$342,"Y"),0)</f>
        <v>5000</v>
      </c>
      <c r="L93" s="7" t="n">
        <f aca="false">IFERROR(SUMIFS('MA Engine'!$L$6:$L$1110,'MA Engine'!$J$6:$J$1110,$C93,'MA Engine'!$I$6:$I$1110,"Receipt",'MA Engine'!$D$6:$D$1110,"Lemak")/SUMIFS('MA Engine'!$K$6:$K$1110,'MA Engine'!$J$6:$J$1110,$C93,'MA Engine'!$I$6:$I$1110,"Receipt",'MA Engine'!$D$6:$D$1110,"Lemak"),0)</f>
        <v>26797.3794545455</v>
      </c>
      <c r="M93" s="7" t="n">
        <f aca="false">IFERROR(SUMIFS(I_Batch_Ops!$L$21:$L$342,I_Batch_Ops!$B$21:$B$342,$C93,I_Batch_Ops!$G$21:$G$342,"Lemak",I_Batch_Ops!$P$21:$P$342,"Y")/SUMIFS(I_Batch_Ops!$J$21:$J$342,I_Batch_Ops!$B$21:$B$342,$C93,I_Batch_Ops!$G$21:$G$342,"Lemak",I_Batch_Ops!$P$21:$P$342,"Y"),0)</f>
        <v>24000</v>
      </c>
      <c r="N93" s="9" t="n">
        <f aca="false">ROUND(ABS(SUMIFS('MA Engine'!$L$6:$L$1110,'MA Engine'!$J$6:$J$1110,$C93,'MA Engine'!$I$6:$I$1110,"Receipt",'MA Engine'!$D$6:$D$1110,"Karkas")-SUMIFS(I_Batch_Ops!$N$21:$N$342,I_Batch_Ops!$B$21:$B$342,$C93,I_Batch_Ops!$G$21:$G$342,"Karkas",I_Batch_Ops!$P$21:$P$342,"Y"))+ABS(SUMIFS('MA Engine'!$L$6:$L$1110,'MA Engine'!$J$6:$J$1110,$C93,'MA Engine'!$I$6:$I$1110,"Receipt",'MA Engine'!$D$6:$D$1110,"Kepala")-SUMIFS(I_Batch_Ops!$N$21:$N$342,I_Batch_Ops!$B$21:$B$342,$C93,I_Batch_Ops!$G$21:$G$342,"Kepala",I_Batch_Ops!$P$21:$P$342,"Y"))+ABS(SUMIFS('MA Engine'!$L$6:$L$1110,'MA Engine'!$J$6:$J$1110,$C93,'MA Engine'!$I$6:$I$1110,"Receipt",'MA Engine'!$D$6:$D$1110,"Ceker")-SUMIFS(I_Batch_Ops!$N$21:$N$342,I_Batch_Ops!$B$21:$B$342,$C93,I_Batch_Ops!$G$21:$G$342,"Ceker",I_Batch_Ops!$P$21:$P$342,"Y"))+ABS(SUMIFS('MA Engine'!$L$6:$L$1110,'MA Engine'!$J$6:$J$1110,$C93,'MA Engine'!$I$6:$I$1110,"Receipt",'MA Engine'!$D$6:$D$1110,"Usus")-SUMIFS(I_Batch_Ops!$N$21:$N$342,I_Batch_Ops!$B$21:$B$342,$C93,I_Batch_Ops!$G$21:$G$342,"Usus",I_Batch_Ops!$P$21:$P$342,"Y"))+ABS(SUMIFS('MA Engine'!$L$6:$L$1110,'MA Engine'!$J$6:$J$1110,$C93,'MA Engine'!$I$6:$I$1110,"Receipt",'MA Engine'!$D$6:$D$1110,"Lemak")-SUMIFS(I_Batch_Ops!$N$21:$N$342,I_Batch_Ops!$B$21:$B$342,$C93,I_Batch_Ops!$G$21:$G$342,"Lemak",I_Batch_Ops!$P$21:$P$342,"Y")),0)</f>
        <v>0</v>
      </c>
    </row>
    <row r="94" customFormat="false" ht="15" hidden="false" customHeight="false" outlineLevel="0" collapsed="false">
      <c r="B94" s="25" t="s">
        <v>1403</v>
      </c>
      <c r="C94" s="73"/>
      <c r="D94" s="73"/>
      <c r="E94" s="26" t="n">
        <f aca="false">D23</f>
        <v>36794.2045160545</v>
      </c>
      <c r="F94" s="73"/>
      <c r="G94" s="26" t="n">
        <f aca="false">D26</f>
        <v>4028.67675729325</v>
      </c>
      <c r="H94" s="73"/>
      <c r="I94" s="26" t="n">
        <f aca="false">D28</f>
        <v>3100.85087814989</v>
      </c>
      <c r="J94" s="73"/>
      <c r="K94" s="26" t="n">
        <f aca="false">D27</f>
        <v>1500</v>
      </c>
      <c r="L94" s="73"/>
      <c r="M94" s="26" t="n">
        <f aca="false">D29</f>
        <v>0</v>
      </c>
      <c r="N94" s="73"/>
    </row>
    <row r="95" customFormat="false" ht="15" hidden="false" customHeight="false" outlineLevel="0" collapsed="false">
      <c r="B95" s="28" t="s">
        <v>1404</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26"/>
    <col collapsed="false" customWidth="true" hidden="false" outlineLevel="0" max="4" min="4" style="0" width="24"/>
    <col collapsed="false" customWidth="true" hidden="false" outlineLevel="0" max="5" min="5" style="0" width="11"/>
    <col collapsed="false" customWidth="true" hidden="false" outlineLevel="0" max="6" min="6" style="0" width="15"/>
    <col collapsed="false" customWidth="true" hidden="false" outlineLevel="0" max="8" min="7" style="0" width="10"/>
    <col collapsed="false" customWidth="true" hidden="false" outlineLevel="0" max="9" min="9" style="0" width="14"/>
    <col collapsed="false" customWidth="true" hidden="false" outlineLevel="0" max="10" min="10" style="0" width="9"/>
    <col collapsed="false" customWidth="true" hidden="false" outlineLevel="0" max="11" min="11" style="0" width="11"/>
    <col collapsed="false" customWidth="true" hidden="false" outlineLevel="0" max="12" min="12" style="0" width="15"/>
    <col collapsed="false" customWidth="true" hidden="false" outlineLevel="0" max="14" min="13" style="0" width="10"/>
    <col collapsed="false" customWidth="true" hidden="false" outlineLevel="0" max="15" min="15" style="0" width="14"/>
    <col collapsed="false" customWidth="true" hidden="false" outlineLevel="0" max="16" min="16" style="0" width="9"/>
    <col collapsed="false" customWidth="true" hidden="false" outlineLevel="0" max="17" min="17" style="0" width="14"/>
    <col collapsed="false" customWidth="true" hidden="false" outlineLevel="0" max="18" min="18" style="0" width="10"/>
  </cols>
  <sheetData>
    <row r="1" customFormat="false" ht="15" hidden="false" customHeight="false" outlineLevel="0" collapsed="false">
      <c r="A1" s="1" t="s">
        <v>1405</v>
      </c>
    </row>
    <row r="2" customFormat="false" ht="15" hidden="false" customHeight="false" outlineLevel="0" collapsed="false">
      <c r="A2" s="4" t="s">
        <v>1406</v>
      </c>
    </row>
    <row r="5" customFormat="false" ht="39.75" hidden="false" customHeight="true" outlineLevel="0" collapsed="false">
      <c r="B5" s="5" t="s">
        <v>862</v>
      </c>
      <c r="C5" s="5" t="s">
        <v>224</v>
      </c>
      <c r="D5" s="5" t="s">
        <v>225</v>
      </c>
      <c r="E5" s="5" t="s">
        <v>1407</v>
      </c>
      <c r="F5" s="5" t="s">
        <v>1408</v>
      </c>
      <c r="G5" s="5" t="s">
        <v>1409</v>
      </c>
      <c r="H5" s="5" t="s">
        <v>1410</v>
      </c>
      <c r="I5" s="5" t="s">
        <v>1411</v>
      </c>
      <c r="J5" s="5" t="s">
        <v>1412</v>
      </c>
      <c r="K5" s="5" t="s">
        <v>1413</v>
      </c>
      <c r="L5" s="5" t="s">
        <v>1414</v>
      </c>
      <c r="M5" s="5" t="s">
        <v>1415</v>
      </c>
      <c r="N5" s="5" t="s">
        <v>1416</v>
      </c>
      <c r="O5" s="5" t="s">
        <v>1417</v>
      </c>
      <c r="P5" s="5" t="s">
        <v>1418</v>
      </c>
      <c r="Q5" s="5" t="s">
        <v>1419</v>
      </c>
      <c r="R5" s="5" t="s">
        <v>1420</v>
      </c>
    </row>
    <row r="6" customFormat="false" ht="15" hidden="false" customHeight="false" outlineLevel="0" collapsed="false">
      <c r="B6" s="6" t="s">
        <v>875</v>
      </c>
      <c r="C6" s="6" t="s">
        <v>236</v>
      </c>
      <c r="D6" s="6" t="s">
        <v>237</v>
      </c>
      <c r="E6" s="7" t="n">
        <f aca="false">SUMIFS('Data SKU'!$F$5:$F$116,'Data SKU'!$A$5:$A$116,$B6,'Data SKU'!$B$5:$B$116,$C6,'Data SKU'!$C$5:$C$116,$D6,'Data SKU'!$D$5:$D$116,7)</f>
        <v>0</v>
      </c>
      <c r="F6" s="7" t="n">
        <f aca="false">SUMIFS('Data SKU'!$G$5:$G$116,'Data SKU'!$A$5:$A$116,$B6,'Data SKU'!$B$5:$B$116,$C6,'Data SKU'!$C$5:$C$116,$D6,'Data SKU'!$D$5:$D$116,7)</f>
        <v>0</v>
      </c>
      <c r="G6" s="9" t="n">
        <f aca="false">IFERROR(F6/E6,0)</f>
        <v>0</v>
      </c>
      <c r="H6" s="7" t="n">
        <f aca="false">IFERROR(SUMIFS('Data SKU'!$H$5:$H$116,'Data SKU'!$A$5:$A$116,$B6,'Data SKU'!$B$5:$B$116,$C6,'Data SKU'!$C$5:$C$116,$D6,'Data SKU'!$D$5:$D$116,7)/E6,0)</f>
        <v>0</v>
      </c>
      <c r="I6" s="7" t="n">
        <f aca="false">F6-SUMIFS('Data SKU'!$H$5:$H$116,'Data SKU'!$A$5:$A$116,$B6,'Data SKU'!$B$5:$B$116,$C6,'Data SKU'!$C$5:$C$116,$D6,'Data SKU'!$D$5:$D$116,7)</f>
        <v>0</v>
      </c>
      <c r="J6" s="21" t="n">
        <f aca="false">IFERROR(I6/F6,0)</f>
        <v>0</v>
      </c>
      <c r="K6" s="7" t="n">
        <f aca="false">SUMIFS('Data SKU'!$F$5:$F$116,'Data SKU'!$A$5:$A$116,$B6,'Data SKU'!$B$5:$B$116,$C6,'Data SKU'!$C$5:$C$116,$D6,'Data SKU'!$D$5:$D$116,8)</f>
        <v>226.37</v>
      </c>
      <c r="L6" s="7" t="n">
        <f aca="false">SUMIFS('Data SKU'!$G$5:$G$116,'Data SKU'!$A$5:$A$116,$B6,'Data SKU'!$B$5:$B$116,$C6,'Data SKU'!$C$5:$C$116,$D6,'Data SKU'!$D$5:$D$116,8)</f>
        <v>9281170</v>
      </c>
      <c r="M6" s="9" t="n">
        <f aca="false">IFERROR(L6/K6,0)</f>
        <v>41000</v>
      </c>
      <c r="N6" s="7" t="n">
        <f aca="false">IFERROR(SUMIFS('Data SKU'!$H$5:$H$116,'Data SKU'!$A$5:$A$116,$B6,'Data SKU'!$B$5:$B$116,$C6,'Data SKU'!$C$5:$C$116,$D6,'Data SKU'!$D$5:$D$116,8)/K6,0)</f>
        <v>37404.2514909219</v>
      </c>
      <c r="O6" s="7" t="n">
        <f aca="false">L6-SUMIFS('Data SKU'!$H$5:$H$116,'Data SKU'!$A$5:$A$116,$B6,'Data SKU'!$B$5:$B$116,$C6,'Data SKU'!$C$5:$C$116,$D6,'Data SKU'!$D$5:$D$116,8)</f>
        <v>813969.59</v>
      </c>
      <c r="P6" s="21" t="n">
        <f aca="false">IFERROR(O6/L6,0)</f>
        <v>0.0877011831482453</v>
      </c>
      <c r="Q6" s="9" t="n">
        <f aca="false">O6-I6</f>
        <v>813969.59</v>
      </c>
      <c r="R6" s="20" t="n">
        <f aca="false">(P6-J6)*100</f>
        <v>8.77011831482453</v>
      </c>
    </row>
    <row r="7" customFormat="false" ht="15" hidden="false" customHeight="false" outlineLevel="0" collapsed="false">
      <c r="B7" s="6" t="s">
        <v>875</v>
      </c>
      <c r="C7" s="6" t="s">
        <v>236</v>
      </c>
      <c r="D7" s="6" t="s">
        <v>238</v>
      </c>
      <c r="E7" s="7" t="n">
        <f aca="false">SUMIFS('Data SKU'!$F$5:$F$116,'Data SKU'!$A$5:$A$116,$B7,'Data SKU'!$B$5:$B$116,$C7,'Data SKU'!$C$5:$C$116,$D7,'Data SKU'!$D$5:$D$116,7)</f>
        <v>1122</v>
      </c>
      <c r="F7" s="7" t="n">
        <f aca="false">SUMIFS('Data SKU'!$G$5:$G$116,'Data SKU'!$A$5:$A$116,$B7,'Data SKU'!$B$5:$B$116,$C7,'Data SKU'!$C$5:$C$116,$D7,'Data SKU'!$D$5:$D$116,7)</f>
        <v>46002000</v>
      </c>
      <c r="G7" s="9" t="n">
        <f aca="false">IFERROR(F7/E7,0)</f>
        <v>41000</v>
      </c>
      <c r="H7" s="7" t="n">
        <f aca="false">IFERROR(SUMIFS('Data SKU'!$H$5:$H$116,'Data SKU'!$A$5:$A$116,$B7,'Data SKU'!$B$5:$B$116,$C7,'Data SKU'!$C$5:$C$116,$D7,'Data SKU'!$D$5:$D$116,7)/E7,0)</f>
        <v>35211.1903030303</v>
      </c>
      <c r="I7" s="7" t="n">
        <f aca="false">F7-SUMIFS('Data SKU'!$H$5:$H$116,'Data SKU'!$A$5:$A$116,$B7,'Data SKU'!$B$5:$B$116,$C7,'Data SKU'!$C$5:$C$116,$D7,'Data SKU'!$D$5:$D$116,7)</f>
        <v>6495044.48</v>
      </c>
      <c r="J7" s="21" t="n">
        <f aca="false">IFERROR(I7/F7,0)</f>
        <v>0.141190480413895</v>
      </c>
      <c r="K7" s="7" t="n">
        <f aca="false">SUMIFS('Data SKU'!$F$5:$F$116,'Data SKU'!$A$5:$A$116,$B7,'Data SKU'!$B$5:$B$116,$C7,'Data SKU'!$C$5:$C$116,$D7,'Data SKU'!$D$5:$D$116,8)</f>
        <v>1569.4</v>
      </c>
      <c r="L7" s="7" t="n">
        <f aca="false">SUMIFS('Data SKU'!$G$5:$G$116,'Data SKU'!$A$5:$A$116,$B7,'Data SKU'!$B$5:$B$116,$C7,'Data SKU'!$C$5:$C$116,$D7,'Data SKU'!$D$5:$D$116,8)</f>
        <v>64345400</v>
      </c>
      <c r="M7" s="9" t="n">
        <f aca="false">IFERROR(L7/K7,0)</f>
        <v>41000</v>
      </c>
      <c r="N7" s="7" t="n">
        <f aca="false">IFERROR(SUMIFS('Data SKU'!$H$5:$H$116,'Data SKU'!$A$5:$A$116,$B7,'Data SKU'!$B$5:$B$116,$C7,'Data SKU'!$C$5:$C$116,$D7,'Data SKU'!$D$5:$D$116,8)/K7,0)</f>
        <v>35211.1901575388</v>
      </c>
      <c r="O7" s="7" t="n">
        <f aca="false">L7-SUMIFS('Data SKU'!$H$5:$H$116,'Data SKU'!$A$5:$A$116,$B7,'Data SKU'!$B$5:$B$116,$C7,'Data SKU'!$C$5:$C$116,$D7,'Data SKU'!$D$5:$D$116,8)</f>
        <v>9084958.16675857</v>
      </c>
      <c r="P7" s="21" t="n">
        <f aca="false">IFERROR(O7/L7,0)</f>
        <v>0.141190483962468</v>
      </c>
      <c r="Q7" s="9" t="n">
        <f aca="false">O7-I7</f>
        <v>2589913.68675857</v>
      </c>
      <c r="R7" s="20" t="n">
        <f aca="false">(P7-J7)*100</f>
        <v>3.54857268569653E-007</v>
      </c>
    </row>
    <row r="8" customFormat="false" ht="15" hidden="false" customHeight="false" outlineLevel="0" collapsed="false">
      <c r="B8" s="6" t="s">
        <v>875</v>
      </c>
      <c r="C8" s="6" t="s">
        <v>239</v>
      </c>
      <c r="D8" s="6" t="s">
        <v>237</v>
      </c>
      <c r="E8" s="7" t="n">
        <f aca="false">SUMIFS('Data SKU'!$F$5:$F$116,'Data SKU'!$A$5:$A$116,$B8,'Data SKU'!$B$5:$B$116,$C8,'Data SKU'!$C$5:$C$116,$D8,'Data SKU'!$D$5:$D$116,7)</f>
        <v>0</v>
      </c>
      <c r="F8" s="7" t="n">
        <f aca="false">SUMIFS('Data SKU'!$G$5:$G$116,'Data SKU'!$A$5:$A$116,$B8,'Data SKU'!$B$5:$B$116,$C8,'Data SKU'!$C$5:$C$116,$D8,'Data SKU'!$D$5:$D$116,7)</f>
        <v>0</v>
      </c>
      <c r="G8" s="9" t="n">
        <f aca="false">IFERROR(F8/E8,0)</f>
        <v>0</v>
      </c>
      <c r="H8" s="7" t="n">
        <f aca="false">IFERROR(SUMIFS('Data SKU'!$H$5:$H$116,'Data SKU'!$A$5:$A$116,$B8,'Data SKU'!$B$5:$B$116,$C8,'Data SKU'!$C$5:$C$116,$D8,'Data SKU'!$D$5:$D$116,7)/E8,0)</f>
        <v>0</v>
      </c>
      <c r="I8" s="7" t="n">
        <f aca="false">F8-SUMIFS('Data SKU'!$H$5:$H$116,'Data SKU'!$A$5:$A$116,$B8,'Data SKU'!$B$5:$B$116,$C8,'Data SKU'!$C$5:$C$116,$D8,'Data SKU'!$D$5:$D$116,7)</f>
        <v>0</v>
      </c>
      <c r="J8" s="21" t="n">
        <f aca="false">IFERROR(I8/F8,0)</f>
        <v>0</v>
      </c>
      <c r="K8" s="7" t="n">
        <f aca="false">SUMIFS('Data SKU'!$F$5:$F$116,'Data SKU'!$A$5:$A$116,$B8,'Data SKU'!$B$5:$B$116,$C8,'Data SKU'!$C$5:$C$116,$D8,'Data SKU'!$D$5:$D$116,8)</f>
        <v>274.57</v>
      </c>
      <c r="L8" s="7" t="n">
        <f aca="false">SUMIFS('Data SKU'!$G$5:$G$116,'Data SKU'!$A$5:$A$116,$B8,'Data SKU'!$B$5:$B$116,$C8,'Data SKU'!$C$5:$C$116,$D8,'Data SKU'!$D$5:$D$116,8)</f>
        <v>10982800</v>
      </c>
      <c r="M8" s="9" t="n">
        <f aca="false">IFERROR(L8/K8,0)</f>
        <v>40000</v>
      </c>
      <c r="N8" s="7" t="n">
        <f aca="false">IFERROR(SUMIFS('Data SKU'!$H$5:$H$116,'Data SKU'!$A$5:$A$116,$B8,'Data SKU'!$B$5:$B$116,$C8,'Data SKU'!$C$5:$C$116,$D8,'Data SKU'!$D$5:$D$116,8)/K8,0)</f>
        <v>42878.8781731435</v>
      </c>
      <c r="O8" s="7" t="n">
        <f aca="false">L8-SUMIFS('Data SKU'!$H$5:$H$116,'Data SKU'!$A$5:$A$116,$B8,'Data SKU'!$B$5:$B$116,$C8,'Data SKU'!$C$5:$C$116,$D8,'Data SKU'!$D$5:$D$116,8)</f>
        <v>-790453.58</v>
      </c>
      <c r="P8" s="21" t="n">
        <f aca="false">IFERROR(O8/L8,0)</f>
        <v>-0.0719719543285865</v>
      </c>
      <c r="Q8" s="9" t="n">
        <f aca="false">O8-I8</f>
        <v>-790453.58</v>
      </c>
      <c r="R8" s="20" t="n">
        <f aca="false">(P8-J8)*100</f>
        <v>-7.19719543285865</v>
      </c>
    </row>
    <row r="9" customFormat="false" ht="15" hidden="false" customHeight="false" outlineLevel="0" collapsed="false">
      <c r="B9" s="6" t="s">
        <v>875</v>
      </c>
      <c r="C9" s="6" t="s">
        <v>239</v>
      </c>
      <c r="D9" s="6" t="s">
        <v>238</v>
      </c>
      <c r="E9" s="7" t="n">
        <f aca="false">SUMIFS('Data SKU'!$F$5:$F$116,'Data SKU'!$A$5:$A$116,$B9,'Data SKU'!$B$5:$B$116,$C9,'Data SKU'!$C$5:$C$116,$D9,'Data SKU'!$D$5:$D$116,7)</f>
        <v>0</v>
      </c>
      <c r="F9" s="7" t="n">
        <f aca="false">SUMIFS('Data SKU'!$G$5:$G$116,'Data SKU'!$A$5:$A$116,$B9,'Data SKU'!$B$5:$B$116,$C9,'Data SKU'!$C$5:$C$116,$D9,'Data SKU'!$D$5:$D$116,7)</f>
        <v>0</v>
      </c>
      <c r="G9" s="9" t="n">
        <f aca="false">IFERROR(F9/E9,0)</f>
        <v>0</v>
      </c>
      <c r="H9" s="7" t="n">
        <f aca="false">IFERROR(SUMIFS('Data SKU'!$H$5:$H$116,'Data SKU'!$A$5:$A$116,$B9,'Data SKU'!$B$5:$B$116,$C9,'Data SKU'!$C$5:$C$116,$D9,'Data SKU'!$D$5:$D$116,7)/E9,0)</f>
        <v>0</v>
      </c>
      <c r="I9" s="7" t="n">
        <f aca="false">F9-SUMIFS('Data SKU'!$H$5:$H$116,'Data SKU'!$A$5:$A$116,$B9,'Data SKU'!$B$5:$B$116,$C9,'Data SKU'!$C$5:$C$116,$D9,'Data SKU'!$D$5:$D$116,7)</f>
        <v>0</v>
      </c>
      <c r="J9" s="21" t="n">
        <f aca="false">IFERROR(I9/F9,0)</f>
        <v>0</v>
      </c>
      <c r="K9" s="7" t="n">
        <f aca="false">SUMIFS('Data SKU'!$F$5:$F$116,'Data SKU'!$A$5:$A$116,$B9,'Data SKU'!$B$5:$B$116,$C9,'Data SKU'!$C$5:$C$116,$D9,'Data SKU'!$D$5:$D$116,8)</f>
        <v>2411.51</v>
      </c>
      <c r="L9" s="7" t="n">
        <f aca="false">SUMIFS('Data SKU'!$G$5:$G$116,'Data SKU'!$A$5:$A$116,$B9,'Data SKU'!$B$5:$B$116,$C9,'Data SKU'!$C$5:$C$116,$D9,'Data SKU'!$D$5:$D$116,8)</f>
        <v>96460400</v>
      </c>
      <c r="M9" s="9" t="n">
        <f aca="false">IFERROR(L9/K9,0)</f>
        <v>40000</v>
      </c>
      <c r="N9" s="7" t="n">
        <f aca="false">IFERROR(SUMIFS('Data SKU'!$H$5:$H$116,'Data SKU'!$A$5:$A$116,$B9,'Data SKU'!$B$5:$B$116,$C9,'Data SKU'!$C$5:$C$116,$D9,'Data SKU'!$D$5:$D$116,8)/K9,0)</f>
        <v>34766.0319053207</v>
      </c>
      <c r="O9" s="7" t="n">
        <f aca="false">L9-SUMIFS('Data SKU'!$H$5:$H$116,'Data SKU'!$A$5:$A$116,$B9,'Data SKU'!$B$5:$B$116,$C9,'Data SKU'!$C$5:$C$116,$D9,'Data SKU'!$D$5:$D$116,8)</f>
        <v>12621766.4</v>
      </c>
      <c r="P9" s="21" t="n">
        <f aca="false">IFERROR(O9/L9,0)</f>
        <v>0.130849202366982</v>
      </c>
      <c r="Q9" s="9" t="n">
        <f aca="false">O9-I9</f>
        <v>12621766.4</v>
      </c>
      <c r="R9" s="20" t="n">
        <f aca="false">(P9-J9)*100</f>
        <v>13.0849202366982</v>
      </c>
    </row>
    <row r="10" customFormat="false" ht="15" hidden="false" customHeight="false" outlineLevel="0" collapsed="false">
      <c r="B10" s="6" t="s">
        <v>875</v>
      </c>
      <c r="C10" s="6" t="s">
        <v>240</v>
      </c>
      <c r="D10" s="6" t="s">
        <v>241</v>
      </c>
      <c r="E10" s="7" t="n">
        <f aca="false">SUMIFS('Data SKU'!$F$5:$F$116,'Data SKU'!$A$5:$A$116,$B10,'Data SKU'!$B$5:$B$116,$C10,'Data SKU'!$C$5:$C$116,$D10,'Data SKU'!$D$5:$D$116,7)</f>
        <v>0</v>
      </c>
      <c r="F10" s="7" t="n">
        <f aca="false">SUMIFS('Data SKU'!$G$5:$G$116,'Data SKU'!$A$5:$A$116,$B10,'Data SKU'!$B$5:$B$116,$C10,'Data SKU'!$C$5:$C$116,$D10,'Data SKU'!$D$5:$D$116,7)</f>
        <v>0</v>
      </c>
      <c r="G10" s="9" t="n">
        <f aca="false">IFERROR(F10/E10,0)</f>
        <v>0</v>
      </c>
      <c r="H10" s="7" t="n">
        <f aca="false">IFERROR(SUMIFS('Data SKU'!$H$5:$H$116,'Data SKU'!$A$5:$A$116,$B10,'Data SKU'!$B$5:$B$116,$C10,'Data SKU'!$C$5:$C$116,$D10,'Data SKU'!$D$5:$D$116,7)/E10,0)</f>
        <v>0</v>
      </c>
      <c r="I10" s="7" t="n">
        <f aca="false">F10-SUMIFS('Data SKU'!$H$5:$H$116,'Data SKU'!$A$5:$A$116,$B10,'Data SKU'!$B$5:$B$116,$C10,'Data SKU'!$C$5:$C$116,$D10,'Data SKU'!$D$5:$D$116,7)</f>
        <v>0</v>
      </c>
      <c r="J10" s="21" t="n">
        <f aca="false">IFERROR(I10/F10,0)</f>
        <v>0</v>
      </c>
      <c r="K10" s="7" t="n">
        <f aca="false">SUMIFS('Data SKU'!$F$5:$F$116,'Data SKU'!$A$5:$A$116,$B10,'Data SKU'!$B$5:$B$116,$C10,'Data SKU'!$C$5:$C$116,$D10,'Data SKU'!$D$5:$D$116,8)</f>
        <v>9061.48</v>
      </c>
      <c r="L10" s="7" t="n">
        <f aca="false">SUMIFS('Data SKU'!$G$5:$G$116,'Data SKU'!$A$5:$A$116,$B10,'Data SKU'!$B$5:$B$116,$C10,'Data SKU'!$C$5:$C$116,$D10,'Data SKU'!$D$5:$D$116,8)</f>
        <v>317493234</v>
      </c>
      <c r="M10" s="9" t="n">
        <f aca="false">IFERROR(L10/K10,0)</f>
        <v>35037.6797167792</v>
      </c>
      <c r="N10" s="7" t="n">
        <f aca="false">IFERROR(SUMIFS('Data SKU'!$H$5:$H$116,'Data SKU'!$A$5:$A$116,$B10,'Data SKU'!$B$5:$B$116,$C10,'Data SKU'!$C$5:$C$116,$D10,'Data SKU'!$D$5:$D$116,8)/K10,0)</f>
        <v>34526.5078618504</v>
      </c>
      <c r="O10" s="7" t="n">
        <f aca="false">L10-SUMIFS('Data SKU'!$H$5:$H$116,'Data SKU'!$A$5:$A$116,$B10,'Data SKU'!$B$5:$B$116,$C10,'Data SKU'!$C$5:$C$116,$D10,'Data SKU'!$D$5:$D$116,8)</f>
        <v>4631973.54000002</v>
      </c>
      <c r="P10" s="21" t="n">
        <f aca="false">IFERROR(O10/L10,0)</f>
        <v>0.0145892039387524</v>
      </c>
      <c r="Q10" s="9" t="n">
        <f aca="false">O10-I10</f>
        <v>4631973.54000002</v>
      </c>
      <c r="R10" s="20" t="n">
        <f aca="false">(P10-J10)*100</f>
        <v>1.45892039387524</v>
      </c>
    </row>
    <row r="11" customFormat="false" ht="15" hidden="false" customHeight="false" outlineLevel="0" collapsed="false">
      <c r="B11" s="6" t="s">
        <v>875</v>
      </c>
      <c r="C11" s="6" t="s">
        <v>242</v>
      </c>
      <c r="D11" s="6" t="s">
        <v>237</v>
      </c>
      <c r="E11" s="7" t="n">
        <f aca="false">SUMIFS('Data SKU'!$F$5:$F$116,'Data SKU'!$A$5:$A$116,$B11,'Data SKU'!$B$5:$B$116,$C11,'Data SKU'!$C$5:$C$116,$D11,'Data SKU'!$D$5:$D$116,7)</f>
        <v>0</v>
      </c>
      <c r="F11" s="7" t="n">
        <f aca="false">SUMIFS('Data SKU'!$G$5:$G$116,'Data SKU'!$A$5:$A$116,$B11,'Data SKU'!$B$5:$B$116,$C11,'Data SKU'!$C$5:$C$116,$D11,'Data SKU'!$D$5:$D$116,7)</f>
        <v>0</v>
      </c>
      <c r="G11" s="9" t="n">
        <f aca="false">IFERROR(F11/E11,0)</f>
        <v>0</v>
      </c>
      <c r="H11" s="7" t="n">
        <f aca="false">IFERROR(SUMIFS('Data SKU'!$H$5:$H$116,'Data SKU'!$A$5:$A$116,$B11,'Data SKU'!$B$5:$B$116,$C11,'Data SKU'!$C$5:$C$116,$D11,'Data SKU'!$D$5:$D$116,7)/E11,0)</f>
        <v>0</v>
      </c>
      <c r="I11" s="7" t="n">
        <f aca="false">F11-SUMIFS('Data SKU'!$H$5:$H$116,'Data SKU'!$A$5:$A$116,$B11,'Data SKU'!$B$5:$B$116,$C11,'Data SKU'!$C$5:$C$116,$D11,'Data SKU'!$D$5:$D$116,7)</f>
        <v>0</v>
      </c>
      <c r="J11" s="21" t="n">
        <f aca="false">IFERROR(I11/F11,0)</f>
        <v>0</v>
      </c>
      <c r="K11" s="7" t="n">
        <f aca="false">SUMIFS('Data SKU'!$F$5:$F$116,'Data SKU'!$A$5:$A$116,$B11,'Data SKU'!$B$5:$B$116,$C11,'Data SKU'!$C$5:$C$116,$D11,'Data SKU'!$D$5:$D$116,8)</f>
        <v>3666.8</v>
      </c>
      <c r="L11" s="7" t="n">
        <f aca="false">SUMIFS('Data SKU'!$G$5:$G$116,'Data SKU'!$A$5:$A$116,$B11,'Data SKU'!$B$5:$B$116,$C11,'Data SKU'!$C$5:$C$116,$D11,'Data SKU'!$D$5:$D$116,8)</f>
        <v>11370200</v>
      </c>
      <c r="M11" s="9" t="n">
        <f aca="false">IFERROR(L11/K11,0)</f>
        <v>3100.85087814989</v>
      </c>
      <c r="N11" s="7" t="n">
        <f aca="false">IFERROR(SUMIFS('Data SKU'!$H$5:$H$116,'Data SKU'!$A$5:$A$116,$B11,'Data SKU'!$B$5:$B$116,$C11,'Data SKU'!$C$5:$C$116,$D11,'Data SKU'!$D$5:$D$116,8)/K11,0)</f>
        <v>13839.7351752604</v>
      </c>
      <c r="O11" s="7" t="n">
        <f aca="false">L11-SUMIFS('Data SKU'!$H$5:$H$116,'Data SKU'!$A$5:$A$116,$B11,'Data SKU'!$B$5:$B$116,$C11,'Data SKU'!$C$5:$C$116,$D11,'Data SKU'!$D$5:$D$116,8)</f>
        <v>-39377340.9406448</v>
      </c>
      <c r="P11" s="21" t="n">
        <f aca="false">IFERROR(O11/L11,0)</f>
        <v>-3.4632056551903</v>
      </c>
      <c r="Q11" s="9" t="n">
        <f aca="false">O11-I11</f>
        <v>-39377340.9406448</v>
      </c>
      <c r="R11" s="20" t="n">
        <f aca="false">(P11-J11)*100</f>
        <v>-346.32056551903</v>
      </c>
    </row>
    <row r="12" customFormat="false" ht="15" hidden="false" customHeight="false" outlineLevel="0" collapsed="false">
      <c r="B12" s="6" t="s">
        <v>875</v>
      </c>
      <c r="C12" s="6" t="s">
        <v>242</v>
      </c>
      <c r="D12" s="6" t="s">
        <v>238</v>
      </c>
      <c r="E12" s="7" t="n">
        <f aca="false">SUMIFS('Data SKU'!$F$5:$F$116,'Data SKU'!$A$5:$A$116,$B12,'Data SKU'!$B$5:$B$116,$C12,'Data SKU'!$C$5:$C$116,$D12,'Data SKU'!$D$5:$D$116,7)</f>
        <v>462.2</v>
      </c>
      <c r="F12" s="7" t="n">
        <f aca="false">SUMIFS('Data SKU'!$G$5:$G$116,'Data SKU'!$A$5:$A$116,$B12,'Data SKU'!$B$5:$B$116,$C12,'Data SKU'!$C$5:$C$116,$D12,'Data SKU'!$D$5:$D$116,7)</f>
        <v>2311000</v>
      </c>
      <c r="G12" s="9" t="n">
        <f aca="false">IFERROR(F12/E12,0)</f>
        <v>5000</v>
      </c>
      <c r="H12" s="7" t="n">
        <f aca="false">IFERROR(SUMIFS('Data SKU'!$H$5:$H$116,'Data SKU'!$A$5:$A$116,$B12,'Data SKU'!$B$5:$B$116,$C12,'Data SKU'!$C$5:$C$116,$D12,'Data SKU'!$D$5:$D$116,7)/E12,0)</f>
        <v>8369.77920813501</v>
      </c>
      <c r="I12" s="7" t="n">
        <f aca="false">F12-SUMIFS('Data SKU'!$H$5:$H$116,'Data SKU'!$A$5:$A$116,$B12,'Data SKU'!$B$5:$B$116,$C12,'Data SKU'!$C$5:$C$116,$D12,'Data SKU'!$D$5:$D$116,7)</f>
        <v>-1557511.95</v>
      </c>
      <c r="J12" s="21" t="n">
        <f aca="false">IFERROR(I12/F12,0)</f>
        <v>-0.673955841627001</v>
      </c>
      <c r="K12" s="7" t="n">
        <f aca="false">SUMIFS('Data SKU'!$F$5:$F$116,'Data SKU'!$A$5:$A$116,$B12,'Data SKU'!$B$5:$B$116,$C12,'Data SKU'!$C$5:$C$116,$D12,'Data SKU'!$D$5:$D$116,8)</f>
        <v>0</v>
      </c>
      <c r="L12" s="7" t="n">
        <f aca="false">SUMIFS('Data SKU'!$G$5:$G$116,'Data SKU'!$A$5:$A$116,$B12,'Data SKU'!$B$5:$B$116,$C12,'Data SKU'!$C$5:$C$116,$D12,'Data SKU'!$D$5:$D$116,8)</f>
        <v>0</v>
      </c>
      <c r="M12" s="9" t="n">
        <f aca="false">IFERROR(L12/K12,0)</f>
        <v>0</v>
      </c>
      <c r="N12" s="7" t="n">
        <f aca="false">IFERROR(SUMIFS('Data SKU'!$H$5:$H$116,'Data SKU'!$A$5:$A$116,$B12,'Data SKU'!$B$5:$B$116,$C12,'Data SKU'!$C$5:$C$116,$D12,'Data SKU'!$D$5:$D$116,8)/K12,0)</f>
        <v>0</v>
      </c>
      <c r="O12" s="7" t="n">
        <f aca="false">L12-SUMIFS('Data SKU'!$H$5:$H$116,'Data SKU'!$A$5:$A$116,$B12,'Data SKU'!$B$5:$B$116,$C12,'Data SKU'!$C$5:$C$116,$D12,'Data SKU'!$D$5:$D$116,8)</f>
        <v>0</v>
      </c>
      <c r="P12" s="21" t="n">
        <f aca="false">IFERROR(O12/L12,0)</f>
        <v>0</v>
      </c>
      <c r="Q12" s="9" t="n">
        <f aca="false">O12-I12</f>
        <v>1557511.95</v>
      </c>
      <c r="R12" s="20" t="n">
        <f aca="false">(P12-J12)*100</f>
        <v>67.3955841627002</v>
      </c>
    </row>
    <row r="13" customFormat="false" ht="15" hidden="false" customHeight="false" outlineLevel="0" collapsed="false">
      <c r="B13" s="6" t="s">
        <v>875</v>
      </c>
      <c r="C13" s="6" t="s">
        <v>243</v>
      </c>
      <c r="D13" s="6" t="s">
        <v>241</v>
      </c>
      <c r="E13" s="7" t="n">
        <f aca="false">SUMIFS('Data SKU'!$F$5:$F$116,'Data SKU'!$A$5:$A$116,$B13,'Data SKU'!$B$5:$B$116,$C13,'Data SKU'!$C$5:$C$116,$D13,'Data SKU'!$D$5:$D$116,7)</f>
        <v>0</v>
      </c>
      <c r="F13" s="7" t="n">
        <f aca="false">SUMIFS('Data SKU'!$G$5:$G$116,'Data SKU'!$A$5:$A$116,$B13,'Data SKU'!$B$5:$B$116,$C13,'Data SKU'!$C$5:$C$116,$D13,'Data SKU'!$D$5:$D$116,7)</f>
        <v>0</v>
      </c>
      <c r="G13" s="9" t="n">
        <f aca="false">IFERROR(F13/E13,0)</f>
        <v>0</v>
      </c>
      <c r="H13" s="7" t="n">
        <f aca="false">IFERROR(SUMIFS('Data SKU'!$H$5:$H$116,'Data SKU'!$A$5:$A$116,$B13,'Data SKU'!$B$5:$B$116,$C13,'Data SKU'!$C$5:$C$116,$D13,'Data SKU'!$D$5:$D$116,7)/E13,0)</f>
        <v>0</v>
      </c>
      <c r="I13" s="7" t="n">
        <f aca="false">F13-SUMIFS('Data SKU'!$H$5:$H$116,'Data SKU'!$A$5:$A$116,$B13,'Data SKU'!$B$5:$B$116,$C13,'Data SKU'!$C$5:$C$116,$D13,'Data SKU'!$D$5:$D$116,7)</f>
        <v>81361</v>
      </c>
      <c r="J13" s="21" t="n">
        <f aca="false">IFERROR(I13/F13,0)</f>
        <v>0</v>
      </c>
      <c r="K13" s="7" t="n">
        <f aca="false">SUMIFS('Data SKU'!$F$5:$F$116,'Data SKU'!$A$5:$A$116,$B13,'Data SKU'!$B$5:$B$116,$C13,'Data SKU'!$C$5:$C$116,$D13,'Data SKU'!$D$5:$D$116,8)</f>
        <v>0</v>
      </c>
      <c r="L13" s="7" t="n">
        <f aca="false">SUMIFS('Data SKU'!$G$5:$G$116,'Data SKU'!$A$5:$A$116,$B13,'Data SKU'!$B$5:$B$116,$C13,'Data SKU'!$C$5:$C$116,$D13,'Data SKU'!$D$5:$D$116,8)</f>
        <v>0</v>
      </c>
      <c r="M13" s="9" t="n">
        <f aca="false">IFERROR(L13/K13,0)</f>
        <v>0</v>
      </c>
      <c r="N13" s="7" t="n">
        <f aca="false">IFERROR(SUMIFS('Data SKU'!$H$5:$H$116,'Data SKU'!$A$5:$A$116,$B13,'Data SKU'!$B$5:$B$116,$C13,'Data SKU'!$C$5:$C$116,$D13,'Data SKU'!$D$5:$D$116,8)/K13,0)</f>
        <v>0</v>
      </c>
      <c r="O13" s="7" t="n">
        <f aca="false">L13-SUMIFS('Data SKU'!$H$5:$H$116,'Data SKU'!$A$5:$A$116,$B13,'Data SKU'!$B$5:$B$116,$C13,'Data SKU'!$C$5:$C$116,$D13,'Data SKU'!$D$5:$D$116,8)</f>
        <v>0</v>
      </c>
      <c r="P13" s="21" t="n">
        <f aca="false">IFERROR(O13/L13,0)</f>
        <v>0</v>
      </c>
      <c r="Q13" s="9" t="n">
        <f aca="false">O13-I13</f>
        <v>-81361</v>
      </c>
      <c r="R13" s="20" t="n">
        <f aca="false">(P13-J13)*100</f>
        <v>0</v>
      </c>
    </row>
    <row r="14" customFormat="false" ht="15" hidden="false" customHeight="false" outlineLevel="0" collapsed="false">
      <c r="B14" s="6" t="s">
        <v>875</v>
      </c>
      <c r="C14" s="6" t="s">
        <v>244</v>
      </c>
      <c r="D14" s="6" t="s">
        <v>237</v>
      </c>
      <c r="E14" s="7" t="n">
        <f aca="false">SUMIFS('Data SKU'!$F$5:$F$116,'Data SKU'!$A$5:$A$116,$B14,'Data SKU'!$B$5:$B$116,$C14,'Data SKU'!$C$5:$C$116,$D14,'Data SKU'!$D$5:$D$116,7)</f>
        <v>367.5</v>
      </c>
      <c r="F14" s="7" t="n">
        <f aca="false">SUMIFS('Data SKU'!$G$5:$G$116,'Data SKU'!$A$5:$A$116,$B14,'Data SKU'!$B$5:$B$116,$C14,'Data SKU'!$C$5:$C$116,$D14,'Data SKU'!$D$5:$D$116,7)</f>
        <v>1837500</v>
      </c>
      <c r="G14" s="9" t="n">
        <f aca="false">IFERROR(F14/E14,0)</f>
        <v>5000</v>
      </c>
      <c r="H14" s="7" t="n">
        <f aca="false">IFERROR(SUMIFS('Data SKU'!$H$5:$H$116,'Data SKU'!$A$5:$A$116,$B14,'Data SKU'!$B$5:$B$116,$C14,'Data SKU'!$C$5:$C$116,$D14,'Data SKU'!$D$5:$D$116,7)/E14,0)</f>
        <v>507.159510204082</v>
      </c>
      <c r="I14" s="7" t="n">
        <f aca="false">F14-SUMIFS('Data SKU'!$H$5:$H$116,'Data SKU'!$A$5:$A$116,$B14,'Data SKU'!$B$5:$B$116,$C14,'Data SKU'!$C$5:$C$116,$D14,'Data SKU'!$D$5:$D$116,7)</f>
        <v>1651118.88</v>
      </c>
      <c r="J14" s="21" t="n">
        <f aca="false">IFERROR(I14/F14,0)</f>
        <v>0.898568097959184</v>
      </c>
      <c r="K14" s="7" t="n">
        <f aca="false">SUMIFS('Data SKU'!$F$5:$F$116,'Data SKU'!$A$5:$A$116,$B14,'Data SKU'!$B$5:$B$116,$C14,'Data SKU'!$C$5:$C$116,$D14,'Data SKU'!$D$5:$D$116,8)</f>
        <v>6714.4</v>
      </c>
      <c r="L14" s="7" t="n">
        <f aca="false">SUMIFS('Data SKU'!$G$5:$G$116,'Data SKU'!$A$5:$A$116,$B14,'Data SKU'!$B$5:$B$116,$C14,'Data SKU'!$C$5:$C$116,$D14,'Data SKU'!$D$5:$D$116,8)</f>
        <v>30317650</v>
      </c>
      <c r="M14" s="9" t="n">
        <f aca="false">IFERROR(L14/K14,0)</f>
        <v>4515.31782437746</v>
      </c>
      <c r="N14" s="7" t="n">
        <f aca="false">IFERROR(SUMIFS('Data SKU'!$H$5:$H$116,'Data SKU'!$A$5:$A$116,$B14,'Data SKU'!$B$5:$B$116,$C14,'Data SKU'!$C$5:$C$116,$D14,'Data SKU'!$D$5:$D$116,8)/K14,0)</f>
        <v>3061.42756586725</v>
      </c>
      <c r="O14" s="7" t="n">
        <f aca="false">L14-SUMIFS('Data SKU'!$H$5:$H$116,'Data SKU'!$A$5:$A$116,$B14,'Data SKU'!$B$5:$B$116,$C14,'Data SKU'!$C$5:$C$116,$D14,'Data SKU'!$D$5:$D$116,8)</f>
        <v>9762000.75174093</v>
      </c>
      <c r="P14" s="21" t="n">
        <f aca="false">IFERROR(O14/L14,0)</f>
        <v>0.32199068040369</v>
      </c>
      <c r="Q14" s="9" t="n">
        <f aca="false">O14-I14</f>
        <v>8110881.87174093</v>
      </c>
      <c r="R14" s="20" t="n">
        <f aca="false">(P14-J14)*100</f>
        <v>-57.6577417555494</v>
      </c>
    </row>
    <row r="15" customFormat="false" ht="15" hidden="false" customHeight="false" outlineLevel="0" collapsed="false">
      <c r="B15" s="6" t="s">
        <v>875</v>
      </c>
      <c r="C15" s="6" t="s">
        <v>244</v>
      </c>
      <c r="D15" s="6" t="s">
        <v>238</v>
      </c>
      <c r="E15" s="7" t="n">
        <f aca="false">SUMIFS('Data SKU'!$F$5:$F$116,'Data SKU'!$A$5:$A$116,$B15,'Data SKU'!$B$5:$B$116,$C15,'Data SKU'!$C$5:$C$116,$D15,'Data SKU'!$D$5:$D$116,7)</f>
        <v>1300</v>
      </c>
      <c r="F15" s="7" t="n">
        <f aca="false">SUMIFS('Data SKU'!$G$5:$G$116,'Data SKU'!$A$5:$A$116,$B15,'Data SKU'!$B$5:$B$116,$C15,'Data SKU'!$C$5:$C$116,$D15,'Data SKU'!$D$5:$D$116,7)</f>
        <v>1300000</v>
      </c>
      <c r="G15" s="9" t="n">
        <f aca="false">IFERROR(F15/E15,0)</f>
        <v>1000</v>
      </c>
      <c r="H15" s="7" t="n">
        <f aca="false">IFERROR(SUMIFS('Data SKU'!$H$5:$H$116,'Data SKU'!$A$5:$A$116,$B15,'Data SKU'!$B$5:$B$116,$C15,'Data SKU'!$C$5:$C$116,$D15,'Data SKU'!$D$5:$D$116,7)/E15,0)</f>
        <v>554.6607</v>
      </c>
      <c r="I15" s="7" t="n">
        <f aca="false">F15-SUMIFS('Data SKU'!$H$5:$H$116,'Data SKU'!$A$5:$A$116,$B15,'Data SKU'!$B$5:$B$116,$C15,'Data SKU'!$C$5:$C$116,$D15,'Data SKU'!$D$5:$D$116,7)</f>
        <v>578941.09</v>
      </c>
      <c r="J15" s="21" t="n">
        <f aca="false">IFERROR(I15/F15,0)</f>
        <v>0.4453393</v>
      </c>
      <c r="K15" s="7" t="n">
        <f aca="false">SUMIFS('Data SKU'!$F$5:$F$116,'Data SKU'!$A$5:$A$116,$B15,'Data SKU'!$B$5:$B$116,$C15,'Data SKU'!$C$5:$C$116,$D15,'Data SKU'!$D$5:$D$116,8)</f>
        <v>221.5</v>
      </c>
      <c r="L15" s="7" t="n">
        <f aca="false">SUMIFS('Data SKU'!$G$5:$G$116,'Data SKU'!$A$5:$A$116,$B15,'Data SKU'!$B$5:$B$116,$C15,'Data SKU'!$C$5:$C$116,$D15,'Data SKU'!$D$5:$D$116,8)</f>
        <v>1107500</v>
      </c>
      <c r="M15" s="9" t="n">
        <f aca="false">IFERROR(L15/K15,0)</f>
        <v>5000</v>
      </c>
      <c r="N15" s="7" t="n">
        <f aca="false">IFERROR(SUMIFS('Data SKU'!$H$5:$H$116,'Data SKU'!$A$5:$A$116,$B15,'Data SKU'!$B$5:$B$116,$C15,'Data SKU'!$C$5:$C$116,$D15,'Data SKU'!$D$5:$D$116,8)/K15,0)</f>
        <v>554.660705853865</v>
      </c>
      <c r="O15" s="7" t="n">
        <f aca="false">L15-SUMIFS('Data SKU'!$H$5:$H$116,'Data SKU'!$A$5:$A$116,$B15,'Data SKU'!$B$5:$B$116,$C15,'Data SKU'!$C$5:$C$116,$D15,'Data SKU'!$D$5:$D$116,8)</f>
        <v>984642.653653369</v>
      </c>
      <c r="P15" s="21" t="n">
        <f aca="false">IFERROR(O15/L15,0)</f>
        <v>0.889067858829227</v>
      </c>
      <c r="Q15" s="9" t="n">
        <f aca="false">O15-I15</f>
        <v>405701.563653369</v>
      </c>
      <c r="R15" s="20" t="n">
        <f aca="false">(P15-J15)*100</f>
        <v>44.3728558829227</v>
      </c>
    </row>
    <row r="16" customFormat="false" ht="15" hidden="false" customHeight="false" outlineLevel="0" collapsed="false">
      <c r="B16" s="6" t="s">
        <v>875</v>
      </c>
      <c r="C16" s="6" t="s">
        <v>245</v>
      </c>
      <c r="D16" s="6" t="s">
        <v>238</v>
      </c>
      <c r="E16" s="7" t="n">
        <f aca="false">SUMIFS('Data SKU'!$F$5:$F$116,'Data SKU'!$A$5:$A$116,$B16,'Data SKU'!$B$5:$B$116,$C16,'Data SKU'!$C$5:$C$116,$D16,'Data SKU'!$D$5:$D$116,7)</f>
        <v>2645.92</v>
      </c>
      <c r="F16" s="7" t="n">
        <f aca="false">SUMIFS('Data SKU'!$G$5:$G$116,'Data SKU'!$A$5:$A$116,$B16,'Data SKU'!$B$5:$B$116,$C16,'Data SKU'!$C$5:$C$116,$D16,'Data SKU'!$D$5:$D$116,7)</f>
        <v>13229600</v>
      </c>
      <c r="G16" s="9" t="n">
        <f aca="false">IFERROR(F16/E16,0)</f>
        <v>5000</v>
      </c>
      <c r="H16" s="7" t="n">
        <f aca="false">IFERROR(SUMIFS('Data SKU'!$H$5:$H$116,'Data SKU'!$A$5:$A$116,$B16,'Data SKU'!$B$5:$B$116,$C16,'Data SKU'!$C$5:$C$116,$D16,'Data SKU'!$D$5:$D$116,7)/E16,0)</f>
        <v>9344.90040137268</v>
      </c>
      <c r="I16" s="7" t="n">
        <f aca="false">F16-SUMIFS('Data SKU'!$H$5:$H$116,'Data SKU'!$A$5:$A$116,$B16,'Data SKU'!$B$5:$B$116,$C16,'Data SKU'!$C$5:$C$116,$D16,'Data SKU'!$D$5:$D$116,7)</f>
        <v>-11496258.87</v>
      </c>
      <c r="J16" s="21" t="n">
        <f aca="false">IFERROR(I16/F16,0)</f>
        <v>-0.868980080274536</v>
      </c>
      <c r="K16" s="7" t="n">
        <f aca="false">SUMIFS('Data SKU'!$F$5:$F$116,'Data SKU'!$A$5:$A$116,$B16,'Data SKU'!$B$5:$B$116,$C16,'Data SKU'!$C$5:$C$116,$D16,'Data SKU'!$D$5:$D$116,8)</f>
        <v>0</v>
      </c>
      <c r="L16" s="7" t="n">
        <f aca="false">SUMIFS('Data SKU'!$G$5:$G$116,'Data SKU'!$A$5:$A$116,$B16,'Data SKU'!$B$5:$B$116,$C16,'Data SKU'!$C$5:$C$116,$D16,'Data SKU'!$D$5:$D$116,8)</f>
        <v>0</v>
      </c>
      <c r="M16" s="9" t="n">
        <f aca="false">IFERROR(L16/K16,0)</f>
        <v>0</v>
      </c>
      <c r="N16" s="7" t="n">
        <f aca="false">IFERROR(SUMIFS('Data SKU'!$H$5:$H$116,'Data SKU'!$A$5:$A$116,$B16,'Data SKU'!$B$5:$B$116,$C16,'Data SKU'!$C$5:$C$116,$D16,'Data SKU'!$D$5:$D$116,8)/K16,0)</f>
        <v>0</v>
      </c>
      <c r="O16" s="7" t="n">
        <f aca="false">L16-SUMIFS('Data SKU'!$H$5:$H$116,'Data SKU'!$A$5:$A$116,$B16,'Data SKU'!$B$5:$B$116,$C16,'Data SKU'!$C$5:$C$116,$D16,'Data SKU'!$D$5:$D$116,8)</f>
        <v>0</v>
      </c>
      <c r="P16" s="21" t="n">
        <f aca="false">IFERROR(O16/L16,0)</f>
        <v>0</v>
      </c>
      <c r="Q16" s="9" t="n">
        <f aca="false">O16-I16</f>
        <v>11496258.87</v>
      </c>
      <c r="R16" s="20" t="n">
        <f aca="false">(P16-J16)*100</f>
        <v>86.8980080274536</v>
      </c>
    </row>
    <row r="17" customFormat="false" ht="15" hidden="false" customHeight="false" outlineLevel="0" collapsed="false">
      <c r="B17" s="6" t="s">
        <v>875</v>
      </c>
      <c r="C17" s="6" t="s">
        <v>246</v>
      </c>
      <c r="D17" s="6" t="s">
        <v>237</v>
      </c>
      <c r="E17" s="7" t="n">
        <f aca="false">SUMIFS('Data SKU'!$F$5:$F$116,'Data SKU'!$A$5:$A$116,$B17,'Data SKU'!$B$5:$B$116,$C17,'Data SKU'!$C$5:$C$116,$D17,'Data SKU'!$D$5:$D$116,7)</f>
        <v>86.3</v>
      </c>
      <c r="F17" s="7" t="n">
        <f aca="false">SUMIFS('Data SKU'!$G$5:$G$116,'Data SKU'!$A$5:$A$116,$B17,'Data SKU'!$B$5:$B$116,$C17,'Data SKU'!$C$5:$C$116,$D17,'Data SKU'!$D$5:$D$116,7)</f>
        <v>2502700</v>
      </c>
      <c r="G17" s="9" t="n">
        <f aca="false">IFERROR(F17/E17,0)</f>
        <v>29000</v>
      </c>
      <c r="H17" s="7" t="n">
        <f aca="false">IFERROR(SUMIFS('Data SKU'!$H$5:$H$116,'Data SKU'!$A$5:$A$116,$B17,'Data SKU'!$B$5:$B$116,$C17,'Data SKU'!$C$5:$C$116,$D17,'Data SKU'!$D$5:$D$116,7)/E17,0)</f>
        <v>25845.5799536501</v>
      </c>
      <c r="I17" s="7" t="n">
        <f aca="false">F17-SUMIFS('Data SKU'!$H$5:$H$116,'Data SKU'!$A$5:$A$116,$B17,'Data SKU'!$B$5:$B$116,$C17,'Data SKU'!$C$5:$C$116,$D17,'Data SKU'!$D$5:$D$116,7)</f>
        <v>272226.45</v>
      </c>
      <c r="J17" s="21" t="n">
        <f aca="false">IFERROR(I17/F17,0)</f>
        <v>0.10877310504655</v>
      </c>
      <c r="K17" s="7" t="n">
        <f aca="false">SUMIFS('Data SKU'!$F$5:$F$116,'Data SKU'!$A$5:$A$116,$B17,'Data SKU'!$B$5:$B$116,$C17,'Data SKU'!$C$5:$C$116,$D17,'Data SKU'!$D$5:$D$116,8)</f>
        <v>41627.93</v>
      </c>
      <c r="L17" s="7" t="n">
        <f aca="false">SUMIFS('Data SKU'!$G$5:$G$116,'Data SKU'!$A$5:$A$116,$B17,'Data SKU'!$B$5:$B$116,$C17,'Data SKU'!$C$5:$C$116,$D17,'Data SKU'!$D$5:$D$116,8)</f>
        <v>1531666570</v>
      </c>
      <c r="M17" s="9" t="n">
        <f aca="false">IFERROR(L17/K17,0)</f>
        <v>36794.2045160545</v>
      </c>
      <c r="N17" s="7" t="n">
        <f aca="false">IFERROR(SUMIFS('Data SKU'!$H$5:$H$116,'Data SKU'!$A$5:$A$116,$B17,'Data SKU'!$B$5:$B$116,$C17,'Data SKU'!$C$5:$C$116,$D17,'Data SKU'!$D$5:$D$116,8)/K17,0)</f>
        <v>37461.9429621465</v>
      </c>
      <c r="O17" s="7" t="n">
        <f aca="false">L17-SUMIFS('Data SKU'!$H$5:$H$116,'Data SKU'!$A$5:$A$116,$B17,'Data SKU'!$B$5:$B$116,$C17,'Data SKU'!$C$5:$C$116,$D17,'Data SKU'!$D$5:$D$116,8)</f>
        <v>-27796569.2922266</v>
      </c>
      <c r="P17" s="21" t="n">
        <f aca="false">IFERROR(O17/L17,0)</f>
        <v>-0.0181479245135099</v>
      </c>
      <c r="Q17" s="9" t="n">
        <f aca="false">O17-I17</f>
        <v>-28068795.7422266</v>
      </c>
      <c r="R17" s="20" t="n">
        <f aca="false">(P17-J17)*100</f>
        <v>-12.692102956006</v>
      </c>
    </row>
    <row r="18" customFormat="false" ht="15" hidden="false" customHeight="false" outlineLevel="0" collapsed="false">
      <c r="B18" s="6" t="s">
        <v>875</v>
      </c>
      <c r="C18" s="6" t="s">
        <v>246</v>
      </c>
      <c r="D18" s="6" t="s">
        <v>238</v>
      </c>
      <c r="E18" s="7" t="n">
        <f aca="false">SUMIFS('Data SKU'!$F$5:$F$116,'Data SKU'!$A$5:$A$116,$B18,'Data SKU'!$B$5:$B$116,$C18,'Data SKU'!$C$5:$C$116,$D18,'Data SKU'!$D$5:$D$116,7)</f>
        <v>5435.88</v>
      </c>
      <c r="F18" s="7" t="n">
        <f aca="false">SUMIFS('Data SKU'!$G$5:$G$116,'Data SKU'!$A$5:$A$116,$B18,'Data SKU'!$B$5:$B$116,$C18,'Data SKU'!$C$5:$C$116,$D18,'Data SKU'!$D$5:$D$116,7)</f>
        <v>153887890</v>
      </c>
      <c r="G18" s="9" t="n">
        <f aca="false">IFERROR(F18/E18,0)</f>
        <v>28309.6554743666</v>
      </c>
      <c r="H18" s="7" t="n">
        <f aca="false">IFERROR(SUMIFS('Data SKU'!$H$5:$H$116,'Data SKU'!$A$5:$A$116,$B18,'Data SKU'!$B$5:$B$116,$C18,'Data SKU'!$C$5:$C$116,$D18,'Data SKU'!$D$5:$D$116,7)/E18,0)</f>
        <v>25900.6315242426</v>
      </c>
      <c r="I18" s="7" t="n">
        <f aca="false">F18-SUMIFS('Data SKU'!$H$5:$H$116,'Data SKU'!$A$5:$A$116,$B18,'Data SKU'!$B$5:$B$116,$C18,'Data SKU'!$C$5:$C$116,$D18,'Data SKU'!$D$5:$D$116,7)</f>
        <v>13095165.11</v>
      </c>
      <c r="J18" s="21" t="n">
        <f aca="false">IFERROR(I18/F18,0)</f>
        <v>0.0850954880855148</v>
      </c>
      <c r="K18" s="7" t="n">
        <f aca="false">SUMIFS('Data SKU'!$F$5:$F$116,'Data SKU'!$A$5:$A$116,$B18,'Data SKU'!$B$5:$B$116,$C18,'Data SKU'!$C$5:$C$116,$D18,'Data SKU'!$D$5:$D$116,8)</f>
        <v>16066.62</v>
      </c>
      <c r="L18" s="7" t="n">
        <f aca="false">SUMIFS('Data SKU'!$G$5:$G$116,'Data SKU'!$A$5:$A$116,$B18,'Data SKU'!$B$5:$B$116,$C18,'Data SKU'!$C$5:$C$116,$D18,'Data SKU'!$D$5:$D$116,8)</f>
        <v>508633605</v>
      </c>
      <c r="M18" s="9" t="n">
        <f aca="false">IFERROR(L18/K18,0)</f>
        <v>31657.7852093346</v>
      </c>
      <c r="N18" s="7" t="n">
        <f aca="false">IFERROR(SUMIFS('Data SKU'!$H$5:$H$116,'Data SKU'!$A$5:$A$116,$B18,'Data SKU'!$B$5:$B$116,$C18,'Data SKU'!$C$5:$C$116,$D18,'Data SKU'!$D$5:$D$116,8)/K18,0)</f>
        <v>30756.7711550671</v>
      </c>
      <c r="O18" s="7" t="n">
        <f aca="false">L18-SUMIFS('Data SKU'!$H$5:$H$116,'Data SKU'!$A$5:$A$116,$B18,'Data SKU'!$B$5:$B$116,$C18,'Data SKU'!$C$5:$C$116,$D18,'Data SKU'!$D$5:$D$116,8)</f>
        <v>14476250.4245756</v>
      </c>
      <c r="P18" s="21" t="n">
        <f aca="false">IFERROR(O18/L18,0)</f>
        <v>0.0284610577875121</v>
      </c>
      <c r="Q18" s="9" t="n">
        <f aca="false">O18-I18</f>
        <v>1381085.31457561</v>
      </c>
      <c r="R18" s="20" t="n">
        <f aca="false">(P18-J18)*100</f>
        <v>-5.66344302980027</v>
      </c>
    </row>
    <row r="19" customFormat="false" ht="15" hidden="false" customHeight="false" outlineLevel="0" collapsed="false">
      <c r="B19" s="6" t="s">
        <v>875</v>
      </c>
      <c r="C19" s="6" t="s">
        <v>246</v>
      </c>
      <c r="D19" s="6" t="s">
        <v>247</v>
      </c>
      <c r="E19" s="7" t="n">
        <f aca="false">SUMIFS('Data SKU'!$F$5:$F$116,'Data SKU'!$A$5:$A$116,$B19,'Data SKU'!$B$5:$B$116,$C19,'Data SKU'!$C$5:$C$116,$D19,'Data SKU'!$D$5:$D$116,7)</f>
        <v>0</v>
      </c>
      <c r="F19" s="7" t="n">
        <f aca="false">SUMIFS('Data SKU'!$G$5:$G$116,'Data SKU'!$A$5:$A$116,$B19,'Data SKU'!$B$5:$B$116,$C19,'Data SKU'!$C$5:$C$116,$D19,'Data SKU'!$D$5:$D$116,7)</f>
        <v>0</v>
      </c>
      <c r="G19" s="9" t="n">
        <f aca="false">IFERROR(F19/E19,0)</f>
        <v>0</v>
      </c>
      <c r="H19" s="7" t="n">
        <f aca="false">IFERROR(SUMIFS('Data SKU'!$H$5:$H$116,'Data SKU'!$A$5:$A$116,$B19,'Data SKU'!$B$5:$B$116,$C19,'Data SKU'!$C$5:$C$116,$D19,'Data SKU'!$D$5:$D$116,7)/E19,0)</f>
        <v>0</v>
      </c>
      <c r="I19" s="7" t="n">
        <f aca="false">F19-SUMIFS('Data SKU'!$H$5:$H$116,'Data SKU'!$A$5:$A$116,$B19,'Data SKU'!$B$5:$B$116,$C19,'Data SKU'!$C$5:$C$116,$D19,'Data SKU'!$D$5:$D$116,7)</f>
        <v>0</v>
      </c>
      <c r="J19" s="21" t="n">
        <f aca="false">IFERROR(I19/F19,0)</f>
        <v>0</v>
      </c>
      <c r="K19" s="7" t="n">
        <f aca="false">SUMIFS('Data SKU'!$F$5:$F$116,'Data SKU'!$A$5:$A$116,$B19,'Data SKU'!$B$5:$B$116,$C19,'Data SKU'!$C$5:$C$116,$D19,'Data SKU'!$D$5:$D$116,8)</f>
        <v>1412.64</v>
      </c>
      <c r="L19" s="7" t="n">
        <f aca="false">SUMIFS('Data SKU'!$G$5:$G$116,'Data SKU'!$A$5:$A$116,$B19,'Data SKU'!$B$5:$B$116,$C19,'Data SKU'!$C$5:$C$116,$D19,'Data SKU'!$D$5:$D$116,8)</f>
        <v>41199111.3134241</v>
      </c>
      <c r="M19" s="9" t="n">
        <f aca="false">IFERROR(L19/K19,0)</f>
        <v>29164.6217815042</v>
      </c>
      <c r="N19" s="7" t="n">
        <f aca="false">IFERROR(SUMIFS('Data SKU'!$H$5:$H$116,'Data SKU'!$A$5:$A$116,$B19,'Data SKU'!$B$5:$B$116,$C19,'Data SKU'!$C$5:$C$116,$D19,'Data SKU'!$D$5:$D$116,8)/K19,0)</f>
        <v>27098.0615023087</v>
      </c>
      <c r="O19" s="7" t="n">
        <f aca="false">L19-SUMIFS('Data SKU'!$H$5:$H$116,'Data SKU'!$A$5:$A$116,$B19,'Data SKU'!$B$5:$B$116,$C19,'Data SKU'!$C$5:$C$116,$D19,'Data SKU'!$D$5:$D$116,8)</f>
        <v>2919305.71280275</v>
      </c>
      <c r="P19" s="21" t="n">
        <f aca="false">IFERROR(O19/L19,0)</f>
        <v>0.0708584631982472</v>
      </c>
      <c r="Q19" s="9" t="n">
        <f aca="false">O19-I19</f>
        <v>2919305.71280275</v>
      </c>
      <c r="R19" s="20" t="n">
        <f aca="false">(P19-J19)*100</f>
        <v>7.08584631982472</v>
      </c>
    </row>
    <row r="20" customFormat="false" ht="15" hidden="false" customHeight="false" outlineLevel="0" collapsed="false">
      <c r="B20" s="6" t="s">
        <v>875</v>
      </c>
      <c r="C20" s="6" t="s">
        <v>248</v>
      </c>
      <c r="D20" s="6" t="s">
        <v>237</v>
      </c>
      <c r="E20" s="7" t="n">
        <f aca="false">SUMIFS('Data SKU'!$F$5:$F$116,'Data SKU'!$A$5:$A$116,$B20,'Data SKU'!$B$5:$B$116,$C20,'Data SKU'!$C$5:$C$116,$D20,'Data SKU'!$D$5:$D$116,7)</f>
        <v>0</v>
      </c>
      <c r="F20" s="7" t="n">
        <f aca="false">SUMIFS('Data SKU'!$G$5:$G$116,'Data SKU'!$A$5:$A$116,$B20,'Data SKU'!$B$5:$B$116,$C20,'Data SKU'!$C$5:$C$116,$D20,'Data SKU'!$D$5:$D$116,7)</f>
        <v>0</v>
      </c>
      <c r="G20" s="9" t="n">
        <f aca="false">IFERROR(F20/E20,0)</f>
        <v>0</v>
      </c>
      <c r="H20" s="7" t="n">
        <f aca="false">IFERROR(SUMIFS('Data SKU'!$H$5:$H$116,'Data SKU'!$A$5:$A$116,$B20,'Data SKU'!$B$5:$B$116,$C20,'Data SKU'!$C$5:$C$116,$D20,'Data SKU'!$D$5:$D$116,7)/E20,0)</f>
        <v>0</v>
      </c>
      <c r="I20" s="7" t="n">
        <f aca="false">F20-SUMIFS('Data SKU'!$H$5:$H$116,'Data SKU'!$A$5:$A$116,$B20,'Data SKU'!$B$5:$B$116,$C20,'Data SKU'!$C$5:$C$116,$D20,'Data SKU'!$D$5:$D$116,7)</f>
        <v>0</v>
      </c>
      <c r="J20" s="21" t="n">
        <f aca="false">IFERROR(I20/F20,0)</f>
        <v>0</v>
      </c>
      <c r="K20" s="7" t="n">
        <f aca="false">SUMIFS('Data SKU'!$F$5:$F$116,'Data SKU'!$A$5:$A$116,$B20,'Data SKU'!$B$5:$B$116,$C20,'Data SKU'!$C$5:$C$116,$D20,'Data SKU'!$D$5:$D$116,8)</f>
        <v>5642.2</v>
      </c>
      <c r="L20" s="7" t="n">
        <f aca="false">SUMIFS('Data SKU'!$G$5:$G$116,'Data SKU'!$A$5:$A$116,$B20,'Data SKU'!$B$5:$B$116,$C20,'Data SKU'!$C$5:$C$116,$D20,'Data SKU'!$D$5:$D$116,8)</f>
        <v>22730600</v>
      </c>
      <c r="M20" s="9" t="n">
        <f aca="false">IFERROR(L20/K20,0)</f>
        <v>4028.67675729325</v>
      </c>
      <c r="N20" s="7" t="n">
        <f aca="false">IFERROR(SUMIFS('Data SKU'!$H$5:$H$116,'Data SKU'!$A$5:$A$116,$B20,'Data SKU'!$B$5:$B$116,$C20,'Data SKU'!$C$5:$C$116,$D20,'Data SKU'!$D$5:$D$116,8)/K20,0)</f>
        <v>12645.4366825663</v>
      </c>
      <c r="O20" s="7" t="n">
        <f aca="false">L20-SUMIFS('Data SKU'!$H$5:$H$116,'Data SKU'!$A$5:$A$116,$B20,'Data SKU'!$B$5:$B$116,$C20,'Data SKU'!$C$5:$C$116,$D20,'Data SKU'!$D$5:$D$116,8)</f>
        <v>-48617482.8503753</v>
      </c>
      <c r="P20" s="21" t="n">
        <f aca="false">IFERROR(O20/L20,0)</f>
        <v>-2.138856116881</v>
      </c>
      <c r="Q20" s="9" t="n">
        <f aca="false">O20-I20</f>
        <v>-48617482.8503753</v>
      </c>
      <c r="R20" s="20" t="n">
        <f aca="false">(P20-J20)*100</f>
        <v>-213.8856116881</v>
      </c>
    </row>
    <row r="21" customFormat="false" ht="15" hidden="false" customHeight="false" outlineLevel="0" collapsed="false">
      <c r="B21" s="6" t="s">
        <v>875</v>
      </c>
      <c r="C21" s="6" t="s">
        <v>248</v>
      </c>
      <c r="D21" s="6" t="s">
        <v>238</v>
      </c>
      <c r="E21" s="7" t="n">
        <f aca="false">SUMIFS('Data SKU'!$F$5:$F$116,'Data SKU'!$A$5:$A$116,$B21,'Data SKU'!$B$5:$B$116,$C21,'Data SKU'!$C$5:$C$116,$D21,'Data SKU'!$D$5:$D$116,7)</f>
        <v>207.1</v>
      </c>
      <c r="F21" s="7" t="n">
        <f aca="false">SUMIFS('Data SKU'!$G$5:$G$116,'Data SKU'!$A$5:$A$116,$B21,'Data SKU'!$B$5:$B$116,$C21,'Data SKU'!$C$5:$C$116,$D21,'Data SKU'!$D$5:$D$116,7)</f>
        <v>1035500</v>
      </c>
      <c r="G21" s="9" t="n">
        <f aca="false">IFERROR(F21/E21,0)</f>
        <v>5000</v>
      </c>
      <c r="H21" s="7" t="n">
        <f aca="false">IFERROR(SUMIFS('Data SKU'!$H$5:$H$116,'Data SKU'!$A$5:$A$116,$B21,'Data SKU'!$B$5:$B$116,$C21,'Data SKU'!$C$5:$C$116,$D21,'Data SKU'!$D$5:$D$116,7)/E21,0)</f>
        <v>7797.30251086432</v>
      </c>
      <c r="I21" s="7" t="n">
        <f aca="false">F21-SUMIFS('Data SKU'!$H$5:$H$116,'Data SKU'!$A$5:$A$116,$B21,'Data SKU'!$B$5:$B$116,$C21,'Data SKU'!$C$5:$C$116,$D21,'Data SKU'!$D$5:$D$116,7)</f>
        <v>-579321.35</v>
      </c>
      <c r="J21" s="21" t="n">
        <f aca="false">IFERROR(I21/F21,0)</f>
        <v>-0.559460502172864</v>
      </c>
      <c r="K21" s="7" t="n">
        <f aca="false">SUMIFS('Data SKU'!$F$5:$F$116,'Data SKU'!$A$5:$A$116,$B21,'Data SKU'!$B$5:$B$116,$C21,'Data SKU'!$C$5:$C$116,$D21,'Data SKU'!$D$5:$D$116,8)</f>
        <v>163.8</v>
      </c>
      <c r="L21" s="7" t="n">
        <f aca="false">SUMIFS('Data SKU'!$G$5:$G$116,'Data SKU'!$A$5:$A$116,$B21,'Data SKU'!$B$5:$B$116,$C21,'Data SKU'!$C$5:$C$116,$D21,'Data SKU'!$D$5:$D$116,8)</f>
        <v>819000</v>
      </c>
      <c r="M21" s="9" t="n">
        <f aca="false">IFERROR(L21/K21,0)</f>
        <v>5000</v>
      </c>
      <c r="N21" s="7" t="n">
        <f aca="false">IFERROR(SUMIFS('Data SKU'!$H$5:$H$116,'Data SKU'!$A$5:$A$116,$B21,'Data SKU'!$B$5:$B$116,$C21,'Data SKU'!$C$5:$C$116,$D21,'Data SKU'!$D$5:$D$116,8)/K21,0)</f>
        <v>7797.30257550066</v>
      </c>
      <c r="O21" s="7" t="n">
        <f aca="false">L21-SUMIFS('Data SKU'!$H$5:$H$116,'Data SKU'!$A$5:$A$116,$B21,'Data SKU'!$B$5:$B$116,$C21,'Data SKU'!$C$5:$C$116,$D21,'Data SKU'!$D$5:$D$116,8)</f>
        <v>-458198.161867009</v>
      </c>
      <c r="P21" s="21" t="n">
        <f aca="false">IFERROR(O21/L21,0)</f>
        <v>-0.559460515100133</v>
      </c>
      <c r="Q21" s="9" t="n">
        <f aca="false">O21-I21</f>
        <v>121123.188132991</v>
      </c>
      <c r="R21" s="20" t="n">
        <f aca="false">(P21-J21)*100</f>
        <v>-1.29272693660809E-006</v>
      </c>
    </row>
    <row r="22" customFormat="false" ht="15" hidden="false" customHeight="false" outlineLevel="0" collapsed="false">
      <c r="B22" s="6" t="s">
        <v>875</v>
      </c>
      <c r="C22" s="6" t="s">
        <v>249</v>
      </c>
      <c r="D22" s="6" t="s">
        <v>241</v>
      </c>
      <c r="E22" s="7" t="n">
        <f aca="false">SUMIFS('Data SKU'!$F$5:$F$116,'Data SKU'!$A$5:$A$116,$B22,'Data SKU'!$B$5:$B$116,$C22,'Data SKU'!$C$5:$C$116,$D22,'Data SKU'!$D$5:$D$116,7)</f>
        <v>0</v>
      </c>
      <c r="F22" s="7" t="n">
        <f aca="false">SUMIFS('Data SKU'!$G$5:$G$116,'Data SKU'!$A$5:$A$116,$B22,'Data SKU'!$B$5:$B$116,$C22,'Data SKU'!$C$5:$C$116,$D22,'Data SKU'!$D$5:$D$116,7)</f>
        <v>0</v>
      </c>
      <c r="G22" s="9" t="n">
        <f aca="false">IFERROR(F22/E22,0)</f>
        <v>0</v>
      </c>
      <c r="H22" s="7" t="n">
        <f aca="false">IFERROR(SUMIFS('Data SKU'!$H$5:$H$116,'Data SKU'!$A$5:$A$116,$B22,'Data SKU'!$B$5:$B$116,$C22,'Data SKU'!$C$5:$C$116,$D22,'Data SKU'!$D$5:$D$116,7)/E22,0)</f>
        <v>0</v>
      </c>
      <c r="I22" s="7" t="n">
        <f aca="false">F22-SUMIFS('Data SKU'!$H$5:$H$116,'Data SKU'!$A$5:$A$116,$B22,'Data SKU'!$B$5:$B$116,$C22,'Data SKU'!$C$5:$C$116,$D22,'Data SKU'!$D$5:$D$116,7)</f>
        <v>-7000000</v>
      </c>
      <c r="J22" s="21" t="n">
        <f aca="false">IFERROR(I22/F22,0)</f>
        <v>0</v>
      </c>
      <c r="K22" s="7" t="n">
        <f aca="false">SUMIFS('Data SKU'!$F$5:$F$116,'Data SKU'!$A$5:$A$116,$B22,'Data SKU'!$B$5:$B$116,$C22,'Data SKU'!$C$5:$C$116,$D22,'Data SKU'!$D$5:$D$116,8)</f>
        <v>0</v>
      </c>
      <c r="L22" s="7" t="n">
        <f aca="false">SUMIFS('Data SKU'!$G$5:$G$116,'Data SKU'!$A$5:$A$116,$B22,'Data SKU'!$B$5:$B$116,$C22,'Data SKU'!$C$5:$C$116,$D22,'Data SKU'!$D$5:$D$116,8)</f>
        <v>0</v>
      </c>
      <c r="M22" s="9" t="n">
        <f aca="false">IFERROR(L22/K22,0)</f>
        <v>0</v>
      </c>
      <c r="N22" s="7" t="n">
        <f aca="false">IFERROR(SUMIFS('Data SKU'!$H$5:$H$116,'Data SKU'!$A$5:$A$116,$B22,'Data SKU'!$B$5:$B$116,$C22,'Data SKU'!$C$5:$C$116,$D22,'Data SKU'!$D$5:$D$116,8)/K22,0)</f>
        <v>0</v>
      </c>
      <c r="O22" s="7" t="n">
        <f aca="false">L22-SUMIFS('Data SKU'!$H$5:$H$116,'Data SKU'!$A$5:$A$116,$B22,'Data SKU'!$B$5:$B$116,$C22,'Data SKU'!$C$5:$C$116,$D22,'Data SKU'!$D$5:$D$116,8)</f>
        <v>0</v>
      </c>
      <c r="P22" s="21" t="n">
        <f aca="false">IFERROR(O22/L22,0)</f>
        <v>0</v>
      </c>
      <c r="Q22" s="9" t="n">
        <f aca="false">O22-I22</f>
        <v>7000000</v>
      </c>
      <c r="R22" s="20" t="n">
        <f aca="false">(P22-J22)*100</f>
        <v>0</v>
      </c>
    </row>
    <row r="23" customFormat="false" ht="15" hidden="false" customHeight="false" outlineLevel="0" collapsed="false">
      <c r="B23" s="6" t="s">
        <v>875</v>
      </c>
      <c r="C23" s="6" t="s">
        <v>250</v>
      </c>
      <c r="D23" s="6" t="s">
        <v>241</v>
      </c>
      <c r="E23" s="7" t="n">
        <f aca="false">SUMIFS('Data SKU'!$F$5:$F$116,'Data SKU'!$A$5:$A$116,$B23,'Data SKU'!$B$5:$B$116,$C23,'Data SKU'!$C$5:$C$116,$D23,'Data SKU'!$D$5:$D$116,7)</f>
        <v>0</v>
      </c>
      <c r="F23" s="7" t="n">
        <f aca="false">SUMIFS('Data SKU'!$G$5:$G$116,'Data SKU'!$A$5:$A$116,$B23,'Data SKU'!$B$5:$B$116,$C23,'Data SKU'!$C$5:$C$116,$D23,'Data SKU'!$D$5:$D$116,7)</f>
        <v>0</v>
      </c>
      <c r="G23" s="9" t="n">
        <f aca="false">IFERROR(F23/E23,0)</f>
        <v>0</v>
      </c>
      <c r="H23" s="7" t="n">
        <f aca="false">IFERROR(SUMIFS('Data SKU'!$H$5:$H$116,'Data SKU'!$A$5:$A$116,$B23,'Data SKU'!$B$5:$B$116,$C23,'Data SKU'!$C$5:$C$116,$D23,'Data SKU'!$D$5:$D$116,7)/E23,0)</f>
        <v>0</v>
      </c>
      <c r="I23" s="7" t="n">
        <f aca="false">F23-SUMIFS('Data SKU'!$H$5:$H$116,'Data SKU'!$A$5:$A$116,$B23,'Data SKU'!$B$5:$B$116,$C23,'Data SKU'!$C$5:$C$116,$D23,'Data SKU'!$D$5:$D$116,7)</f>
        <v>0</v>
      </c>
      <c r="J23" s="21" t="n">
        <f aca="false">IFERROR(I23/F23,0)</f>
        <v>0</v>
      </c>
      <c r="K23" s="7" t="n">
        <f aca="false">SUMIFS('Data SKU'!$F$5:$F$116,'Data SKU'!$A$5:$A$116,$B23,'Data SKU'!$B$5:$B$116,$C23,'Data SKU'!$C$5:$C$116,$D23,'Data SKU'!$D$5:$D$116,8)</f>
        <v>0</v>
      </c>
      <c r="L23" s="7" t="n">
        <f aca="false">SUMIFS('Data SKU'!$G$5:$G$116,'Data SKU'!$A$5:$A$116,$B23,'Data SKU'!$B$5:$B$116,$C23,'Data SKU'!$C$5:$C$116,$D23,'Data SKU'!$D$5:$D$116,8)</f>
        <v>629600</v>
      </c>
      <c r="M23" s="9" t="n">
        <f aca="false">IFERROR(L23/K23,0)</f>
        <v>0</v>
      </c>
      <c r="N23" s="7" t="n">
        <f aca="false">IFERROR(SUMIFS('Data SKU'!$H$5:$H$116,'Data SKU'!$A$5:$A$116,$B23,'Data SKU'!$B$5:$B$116,$C23,'Data SKU'!$C$5:$C$116,$D23,'Data SKU'!$D$5:$D$116,8)/K23,0)</f>
        <v>0</v>
      </c>
      <c r="O23" s="7" t="n">
        <f aca="false">L23-SUMIFS('Data SKU'!$H$5:$H$116,'Data SKU'!$A$5:$A$116,$B23,'Data SKU'!$B$5:$B$116,$C23,'Data SKU'!$C$5:$C$116,$D23,'Data SKU'!$D$5:$D$116,8)</f>
        <v>629600</v>
      </c>
      <c r="P23" s="21" t="n">
        <f aca="false">IFERROR(O23/L23,0)</f>
        <v>1</v>
      </c>
      <c r="Q23" s="9" t="n">
        <f aca="false">O23-I23</f>
        <v>629600</v>
      </c>
      <c r="R23" s="20" t="n">
        <f aca="false">(P23-J23)*100</f>
        <v>100</v>
      </c>
    </row>
    <row r="24" customFormat="false" ht="15" hidden="false" customHeight="false" outlineLevel="0" collapsed="false">
      <c r="B24" s="6" t="s">
        <v>875</v>
      </c>
      <c r="C24" s="6" t="s">
        <v>251</v>
      </c>
      <c r="D24" s="6" t="s">
        <v>238</v>
      </c>
      <c r="E24" s="7" t="n">
        <f aca="false">SUMIFS('Data SKU'!$F$5:$F$116,'Data SKU'!$A$5:$A$116,$B24,'Data SKU'!$B$5:$B$116,$C24,'Data SKU'!$C$5:$C$116,$D24,'Data SKU'!$D$5:$D$116,7)</f>
        <v>0</v>
      </c>
      <c r="F24" s="7" t="n">
        <f aca="false">SUMIFS('Data SKU'!$G$5:$G$116,'Data SKU'!$A$5:$A$116,$B24,'Data SKU'!$B$5:$B$116,$C24,'Data SKU'!$C$5:$C$116,$D24,'Data SKU'!$D$5:$D$116,7)</f>
        <v>0</v>
      </c>
      <c r="G24" s="9" t="n">
        <f aca="false">IFERROR(F24/E24,0)</f>
        <v>0</v>
      </c>
      <c r="H24" s="7" t="n">
        <f aca="false">IFERROR(SUMIFS('Data SKU'!$H$5:$H$116,'Data SKU'!$A$5:$A$116,$B24,'Data SKU'!$B$5:$B$116,$C24,'Data SKU'!$C$5:$C$116,$D24,'Data SKU'!$D$5:$D$116,7)/E24,0)</f>
        <v>0</v>
      </c>
      <c r="I24" s="7" t="n">
        <f aca="false">F24-SUMIFS('Data SKU'!$H$5:$H$116,'Data SKU'!$A$5:$A$116,$B24,'Data SKU'!$B$5:$B$116,$C24,'Data SKU'!$C$5:$C$116,$D24,'Data SKU'!$D$5:$D$116,7)</f>
        <v>0</v>
      </c>
      <c r="J24" s="21" t="n">
        <f aca="false">IFERROR(I24/F24,0)</f>
        <v>0</v>
      </c>
      <c r="K24" s="7" t="n">
        <f aca="false">SUMIFS('Data SKU'!$F$5:$F$116,'Data SKU'!$A$5:$A$116,$B24,'Data SKU'!$B$5:$B$116,$C24,'Data SKU'!$C$5:$C$116,$D24,'Data SKU'!$D$5:$D$116,8)</f>
        <v>1042.4</v>
      </c>
      <c r="L24" s="7" t="n">
        <f aca="false">SUMIFS('Data SKU'!$G$5:$G$116,'Data SKU'!$A$5:$A$116,$B24,'Data SKU'!$B$5:$B$116,$C24,'Data SKU'!$C$5:$C$116,$D24,'Data SKU'!$D$5:$D$116,8)</f>
        <v>36484000</v>
      </c>
      <c r="M24" s="9" t="n">
        <f aca="false">IFERROR(L24/K24,0)</f>
        <v>35000</v>
      </c>
      <c r="N24" s="7" t="n">
        <f aca="false">IFERROR(SUMIFS('Data SKU'!$H$5:$H$116,'Data SKU'!$A$5:$A$116,$B24,'Data SKU'!$B$5:$B$116,$C24,'Data SKU'!$C$5:$C$116,$D24,'Data SKU'!$D$5:$D$116,8)/K24,0)</f>
        <v>31550.1639848229</v>
      </c>
      <c r="O24" s="7" t="n">
        <f aca="false">L24-SUMIFS('Data SKU'!$H$5:$H$116,'Data SKU'!$A$5:$A$116,$B24,'Data SKU'!$B$5:$B$116,$C24,'Data SKU'!$C$5:$C$116,$D24,'Data SKU'!$D$5:$D$116,8)</f>
        <v>3596109.06222062</v>
      </c>
      <c r="P24" s="21" t="n">
        <f aca="false">IFERROR(O24/L24,0)</f>
        <v>0.0985667432907745</v>
      </c>
      <c r="Q24" s="9" t="n">
        <f aca="false">O24-I24</f>
        <v>3596109.06222062</v>
      </c>
      <c r="R24" s="20" t="n">
        <f aca="false">(P24-J24)*100</f>
        <v>9.85667432907746</v>
      </c>
    </row>
    <row r="25" customFormat="false" ht="15" hidden="false" customHeight="false" outlineLevel="0" collapsed="false">
      <c r="B25" s="6" t="s">
        <v>875</v>
      </c>
      <c r="C25" s="6" t="s">
        <v>252</v>
      </c>
      <c r="D25" s="6" t="s">
        <v>238</v>
      </c>
      <c r="E25" s="7" t="n">
        <f aca="false">SUMIFS('Data SKU'!$F$5:$F$116,'Data SKU'!$A$5:$A$116,$B25,'Data SKU'!$B$5:$B$116,$C25,'Data SKU'!$C$5:$C$116,$D25,'Data SKU'!$D$5:$D$116,7)</f>
        <v>949.11</v>
      </c>
      <c r="F25" s="7" t="n">
        <f aca="false">SUMIFS('Data SKU'!$G$5:$G$116,'Data SKU'!$A$5:$A$116,$B25,'Data SKU'!$B$5:$B$116,$C25,'Data SKU'!$C$5:$C$116,$D25,'Data SKU'!$D$5:$D$116,7)</f>
        <v>24425970</v>
      </c>
      <c r="G25" s="9" t="n">
        <f aca="false">IFERROR(F25/E25,0)</f>
        <v>25735.6576160824</v>
      </c>
      <c r="H25" s="7" t="n">
        <f aca="false">IFERROR(SUMIFS('Data SKU'!$H$5:$H$116,'Data SKU'!$A$5:$A$116,$B25,'Data SKU'!$B$5:$B$116,$C25,'Data SKU'!$C$5:$C$116,$D25,'Data SKU'!$D$5:$D$116,7)/E25,0)</f>
        <v>28956.9885998462</v>
      </c>
      <c r="I25" s="7" t="n">
        <f aca="false">F25-SUMIFS('Data SKU'!$H$5:$H$116,'Data SKU'!$A$5:$A$116,$B25,'Data SKU'!$B$5:$B$116,$C25,'Data SKU'!$C$5:$C$116,$D25,'Data SKU'!$D$5:$D$116,7)</f>
        <v>-3057397.45</v>
      </c>
      <c r="J25" s="21" t="n">
        <f aca="false">IFERROR(I25/F25,0)</f>
        <v>-0.125169950261955</v>
      </c>
      <c r="K25" s="7" t="n">
        <f aca="false">SUMIFS('Data SKU'!$F$5:$F$116,'Data SKU'!$A$5:$A$116,$B25,'Data SKU'!$B$5:$B$116,$C25,'Data SKU'!$C$5:$C$116,$D25,'Data SKU'!$D$5:$D$116,8)</f>
        <v>0</v>
      </c>
      <c r="L25" s="7" t="n">
        <f aca="false">SUMIFS('Data SKU'!$G$5:$G$116,'Data SKU'!$A$5:$A$116,$B25,'Data SKU'!$B$5:$B$116,$C25,'Data SKU'!$C$5:$C$116,$D25,'Data SKU'!$D$5:$D$116,8)</f>
        <v>0</v>
      </c>
      <c r="M25" s="9" t="n">
        <f aca="false">IFERROR(L25/K25,0)</f>
        <v>0</v>
      </c>
      <c r="N25" s="7" t="n">
        <f aca="false">IFERROR(SUMIFS('Data SKU'!$H$5:$H$116,'Data SKU'!$A$5:$A$116,$B25,'Data SKU'!$B$5:$B$116,$C25,'Data SKU'!$C$5:$C$116,$D25,'Data SKU'!$D$5:$D$116,8)/K25,0)</f>
        <v>0</v>
      </c>
      <c r="O25" s="7" t="n">
        <f aca="false">L25-SUMIFS('Data SKU'!$H$5:$H$116,'Data SKU'!$A$5:$A$116,$B25,'Data SKU'!$B$5:$B$116,$C25,'Data SKU'!$C$5:$C$116,$D25,'Data SKU'!$D$5:$D$116,8)</f>
        <v>0</v>
      </c>
      <c r="P25" s="21" t="n">
        <f aca="false">IFERROR(O25/L25,0)</f>
        <v>0</v>
      </c>
      <c r="Q25" s="9" t="n">
        <f aca="false">O25-I25</f>
        <v>3057397.45</v>
      </c>
      <c r="R25" s="20" t="n">
        <f aca="false">(P25-J25)*100</f>
        <v>12.5169950261955</v>
      </c>
    </row>
    <row r="26" customFormat="false" ht="15" hidden="false" customHeight="false" outlineLevel="0" collapsed="false">
      <c r="B26" s="6" t="s">
        <v>875</v>
      </c>
      <c r="C26" s="6" t="s">
        <v>253</v>
      </c>
      <c r="D26" s="6" t="s">
        <v>237</v>
      </c>
      <c r="E26" s="7" t="n">
        <f aca="false">SUMIFS('Data SKU'!$F$5:$F$116,'Data SKU'!$A$5:$A$116,$B26,'Data SKU'!$B$5:$B$116,$C26,'Data SKU'!$C$5:$C$116,$D26,'Data SKU'!$D$5:$D$116,7)</f>
        <v>0</v>
      </c>
      <c r="F26" s="7" t="n">
        <f aca="false">SUMIFS('Data SKU'!$G$5:$G$116,'Data SKU'!$A$5:$A$116,$B26,'Data SKU'!$B$5:$B$116,$C26,'Data SKU'!$C$5:$C$116,$D26,'Data SKU'!$D$5:$D$116,7)</f>
        <v>0</v>
      </c>
      <c r="G26" s="9" t="n">
        <f aca="false">IFERROR(F26/E26,0)</f>
        <v>0</v>
      </c>
      <c r="H26" s="7" t="n">
        <f aca="false">IFERROR(SUMIFS('Data SKU'!$H$5:$H$116,'Data SKU'!$A$5:$A$116,$B26,'Data SKU'!$B$5:$B$116,$C26,'Data SKU'!$C$5:$C$116,$D26,'Data SKU'!$D$5:$D$116,7)/E26,0)</f>
        <v>0</v>
      </c>
      <c r="I26" s="7" t="n">
        <f aca="false">F26-SUMIFS('Data SKU'!$H$5:$H$116,'Data SKU'!$A$5:$A$116,$B26,'Data SKU'!$B$5:$B$116,$C26,'Data SKU'!$C$5:$C$116,$D26,'Data SKU'!$D$5:$D$116,7)</f>
        <v>0</v>
      </c>
      <c r="J26" s="21" t="n">
        <f aca="false">IFERROR(I26/F26,0)</f>
        <v>0</v>
      </c>
      <c r="K26" s="7" t="n">
        <f aca="false">SUMIFS('Data SKU'!$F$5:$F$116,'Data SKU'!$A$5:$A$116,$B26,'Data SKU'!$B$5:$B$116,$C26,'Data SKU'!$C$5:$C$116,$D26,'Data SKU'!$D$5:$D$116,8)</f>
        <v>5444.1</v>
      </c>
      <c r="L26" s="7" t="n">
        <f aca="false">SUMIFS('Data SKU'!$G$5:$G$116,'Data SKU'!$A$5:$A$116,$B26,'Data SKU'!$B$5:$B$116,$C26,'Data SKU'!$C$5:$C$116,$D26,'Data SKU'!$D$5:$D$116,8)</f>
        <v>8166150</v>
      </c>
      <c r="M26" s="9" t="n">
        <f aca="false">IFERROR(L26/K26,0)</f>
        <v>1500</v>
      </c>
      <c r="N26" s="7" t="n">
        <f aca="false">IFERROR(SUMIFS('Data SKU'!$H$5:$H$116,'Data SKU'!$A$5:$A$116,$B26,'Data SKU'!$B$5:$B$116,$C26,'Data SKU'!$C$5:$C$116,$D26,'Data SKU'!$D$5:$D$116,8)/K26,0)</f>
        <v>2591.5991998621</v>
      </c>
      <c r="O26" s="7" t="n">
        <f aca="false">L26-SUMIFS('Data SKU'!$H$5:$H$116,'Data SKU'!$A$5:$A$116,$B26,'Data SKU'!$B$5:$B$116,$C26,'Data SKU'!$C$5:$C$116,$D26,'Data SKU'!$D$5:$D$116,8)</f>
        <v>-5942775.20396928</v>
      </c>
      <c r="P26" s="21" t="n">
        <f aca="false">IFERROR(O26/L26,0)</f>
        <v>-0.727732799908069</v>
      </c>
      <c r="Q26" s="9" t="n">
        <f aca="false">O26-I26</f>
        <v>-5942775.20396928</v>
      </c>
      <c r="R26" s="20" t="n">
        <f aca="false">(P26-J26)*100</f>
        <v>-72.7732799908069</v>
      </c>
    </row>
    <row r="27" customFormat="false" ht="15" hidden="false" customHeight="false" outlineLevel="0" collapsed="false">
      <c r="B27" s="25" t="s">
        <v>254</v>
      </c>
      <c r="E27" s="26" t="n">
        <f aca="false">SUM(E6:E26)</f>
        <v>12576.01</v>
      </c>
      <c r="F27" s="26" t="n">
        <f aca="false">SUM(F6:F26)</f>
        <v>246532160</v>
      </c>
      <c r="G27" s="26" t="n">
        <f aca="false">IFERROR(F27/E27,0)</f>
        <v>19603.3686359982</v>
      </c>
      <c r="H27" s="26" t="n">
        <f aca="false">IFERROR((F27-I27)/E27,0)</f>
        <v>19723.9659168528</v>
      </c>
      <c r="I27" s="26" t="n">
        <f aca="false">SUM(I6:I26)</f>
        <v>-1516632.60999999</v>
      </c>
      <c r="J27" s="27" t="n">
        <f aca="false">IFERROR(I27/F27,0)</f>
        <v>-0.00615186517653514</v>
      </c>
      <c r="K27" s="26" t="n">
        <f aca="false">SUM(K6:K26)</f>
        <v>95545.72</v>
      </c>
      <c r="L27" s="26" t="n">
        <f aca="false">SUM(L6:L26)</f>
        <v>2691686990.31342</v>
      </c>
      <c r="M27" s="26" t="n">
        <f aca="false">IFERROR(L27/K27,0)</f>
        <v>28171.7170618781</v>
      </c>
      <c r="N27" s="26" t="n">
        <f aca="false">IFERROR((L27-O27)/K27,0)</f>
        <v>28835.9251889122</v>
      </c>
      <c r="O27" s="26" t="n">
        <f aca="false">SUM(O6:O26)</f>
        <v>-63462243.7273311</v>
      </c>
      <c r="P27" s="27" t="n">
        <f aca="false">IFERROR(O27/L27,0)</f>
        <v>-0.0235771261501477</v>
      </c>
      <c r="Q27" s="26" t="n">
        <f aca="false">SUM(Q6:Q26)</f>
        <v>-61945611.1173311</v>
      </c>
      <c r="R27" s="56" t="n">
        <f aca="false">(P27-J27)*100</f>
        <v>-1.74252609736126</v>
      </c>
    </row>
    <row r="29" customFormat="false" ht="15" hidden="false" customHeight="false" outlineLevel="0" collapsed="false">
      <c r="B29" s="6" t="s">
        <v>878</v>
      </c>
      <c r="C29" s="6" t="s">
        <v>236</v>
      </c>
      <c r="D29" s="6" t="s">
        <v>238</v>
      </c>
      <c r="E29" s="7" t="n">
        <f aca="false">SUMIFS('Data SKU'!$F$5:$F$116,'Data SKU'!$A$5:$A$116,$B29,'Data SKU'!$B$5:$B$116,$C29,'Data SKU'!$C$5:$C$116,$D29,'Data SKU'!$D$5:$D$116,7)</f>
        <v>51091.07</v>
      </c>
      <c r="F29" s="7" t="n">
        <f aca="false">SUMIFS('Data SKU'!$G$5:$G$116,'Data SKU'!$A$5:$A$116,$B29,'Data SKU'!$B$5:$B$116,$C29,'Data SKU'!$C$5:$C$116,$D29,'Data SKU'!$D$5:$D$116,7)</f>
        <v>1921787190</v>
      </c>
      <c r="G29" s="9" t="n">
        <f aca="false">IFERROR(F29/E29,0)</f>
        <v>37614.9332946051</v>
      </c>
      <c r="H29" s="7" t="n">
        <f aca="false">IFERROR(SUMIFS('Data SKU'!$H$5:$H$116,'Data SKU'!$A$5:$A$116,$B29,'Data SKU'!$B$5:$B$116,$C29,'Data SKU'!$C$5:$C$116,$D29,'Data SKU'!$D$5:$D$116,7)/E29,0)</f>
        <v>30923.0048742373</v>
      </c>
      <c r="I29" s="7" t="n">
        <f aca="false">F29-SUMIFS('Data SKU'!$H$5:$H$116,'Data SKU'!$A$5:$A$116,$B29,'Data SKU'!$B$5:$B$116,$C29,'Data SKU'!$C$5:$C$116,$D29,'Data SKU'!$D$5:$D$116,7)</f>
        <v>341897783.36</v>
      </c>
      <c r="J29" s="21" t="n">
        <f aca="false">IFERROR(I29/F29,0)</f>
        <v>0.177906162107366</v>
      </c>
      <c r="K29" s="7" t="n">
        <f aca="false">SUMIFS('Data SKU'!$F$5:$F$116,'Data SKU'!$A$5:$A$116,$B29,'Data SKU'!$B$5:$B$116,$C29,'Data SKU'!$C$5:$C$116,$D29,'Data SKU'!$D$5:$D$116,8)</f>
        <v>23881.06</v>
      </c>
      <c r="L29" s="7" t="n">
        <f aca="false">SUMIFS('Data SKU'!$G$5:$G$116,'Data SKU'!$A$5:$A$116,$B29,'Data SKU'!$B$5:$B$116,$C29,'Data SKU'!$C$5:$C$116,$D29,'Data SKU'!$D$5:$D$116,8)</f>
        <v>1004997085</v>
      </c>
      <c r="M29" s="9" t="n">
        <f aca="false">IFERROR(L29/K29,0)</f>
        <v>42083.4370417394</v>
      </c>
      <c r="N29" s="7" t="n">
        <f aca="false">IFERROR(SUMIFS('Data SKU'!$H$5:$H$116,'Data SKU'!$A$5:$A$116,$B29,'Data SKU'!$B$5:$B$116,$C29,'Data SKU'!$C$5:$C$116,$D29,'Data SKU'!$D$5:$D$116,8)/K29,0)</f>
        <v>35526.3749101537</v>
      </c>
      <c r="O29" s="7" t="n">
        <f aca="false">L29-SUMIFS('Data SKU'!$H$5:$H$116,'Data SKU'!$A$5:$A$116,$B29,'Data SKU'!$B$5:$B$116,$C29,'Data SKU'!$C$5:$C$116,$D29,'Data SKU'!$D$5:$D$116,8)</f>
        <v>156589594.188124</v>
      </c>
      <c r="P29" s="21" t="n">
        <f aca="false">IFERROR(O29/L29,0)</f>
        <v>0.155810993410119</v>
      </c>
      <c r="Q29" s="9" t="n">
        <f aca="false">O29-I29</f>
        <v>-185308189.171876</v>
      </c>
      <c r="R29" s="20" t="n">
        <f aca="false">(P29-J29)*100</f>
        <v>-2.20951686972469</v>
      </c>
    </row>
    <row r="30" customFormat="false" ht="15" hidden="false" customHeight="false" outlineLevel="0" collapsed="false">
      <c r="B30" s="6" t="s">
        <v>878</v>
      </c>
      <c r="C30" s="6" t="s">
        <v>239</v>
      </c>
      <c r="D30" s="6" t="s">
        <v>238</v>
      </c>
      <c r="E30" s="7" t="n">
        <f aca="false">SUMIFS('Data SKU'!$F$5:$F$116,'Data SKU'!$A$5:$A$116,$B30,'Data SKU'!$B$5:$B$116,$C30,'Data SKU'!$C$5:$C$116,$D30,'Data SKU'!$D$5:$D$116,7)</f>
        <v>16076.61</v>
      </c>
      <c r="F30" s="7" t="n">
        <f aca="false">SUMIFS('Data SKU'!$G$5:$G$116,'Data SKU'!$A$5:$A$116,$B30,'Data SKU'!$B$5:$B$116,$C30,'Data SKU'!$C$5:$C$116,$D30,'Data SKU'!$D$5:$D$116,7)</f>
        <v>536846363.2</v>
      </c>
      <c r="G30" s="9" t="n">
        <f aca="false">IFERROR(F30/E30,0)</f>
        <v>33393.0078045061</v>
      </c>
      <c r="H30" s="7" t="n">
        <f aca="false">IFERROR(SUMIFS('Data SKU'!$H$5:$H$116,'Data SKU'!$A$5:$A$116,$B30,'Data SKU'!$B$5:$B$116,$C30,'Data SKU'!$C$5:$C$116,$D30,'Data SKU'!$D$5:$D$116,7)/E30,0)</f>
        <v>28154.6369937443</v>
      </c>
      <c r="I30" s="7" t="n">
        <f aca="false">F30-SUMIFS('Data SKU'!$H$5:$H$116,'Data SKU'!$A$5:$A$116,$B30,'Data SKU'!$B$5:$B$116,$C30,'Data SKU'!$C$5:$C$116,$D30,'Data SKU'!$D$5:$D$116,7)</f>
        <v>84215244.56</v>
      </c>
      <c r="J30" s="21" t="n">
        <f aca="false">IFERROR(I30/F30,0)</f>
        <v>0.1568702897753</v>
      </c>
      <c r="K30" s="7" t="n">
        <f aca="false">SUMIFS('Data SKU'!$F$5:$F$116,'Data SKU'!$A$5:$A$116,$B30,'Data SKU'!$B$5:$B$116,$C30,'Data SKU'!$C$5:$C$116,$D30,'Data SKU'!$D$5:$D$116,8)</f>
        <v>34962.59</v>
      </c>
      <c r="L30" s="7" t="n">
        <f aca="false">SUMIFS('Data SKU'!$G$5:$G$116,'Data SKU'!$A$5:$A$116,$B30,'Data SKU'!$B$5:$B$116,$C30,'Data SKU'!$C$5:$C$116,$D30,'Data SKU'!$D$5:$D$116,8)</f>
        <v>1506981013.69622</v>
      </c>
      <c r="M30" s="9" t="n">
        <f aca="false">IFERROR(L30/K30,0)</f>
        <v>43102.6709890834</v>
      </c>
      <c r="N30" s="7" t="n">
        <f aca="false">IFERROR(SUMIFS('Data SKU'!$H$5:$H$116,'Data SKU'!$A$5:$A$116,$B30,'Data SKU'!$B$5:$B$116,$C30,'Data SKU'!$C$5:$C$116,$D30,'Data SKU'!$D$5:$D$116,8)/K30,0)</f>
        <v>37125.2458761763</v>
      </c>
      <c r="O30" s="7" t="n">
        <f aca="false">L30-SUMIFS('Data SKU'!$H$5:$H$116,'Data SKU'!$A$5:$A$116,$B30,'Data SKU'!$B$5:$B$116,$C30,'Data SKU'!$C$5:$C$116,$D30,'Data SKU'!$D$5:$D$116,8)</f>
        <v>208986263.478276</v>
      </c>
      <c r="P30" s="21" t="n">
        <f aca="false">IFERROR(O30/L30,0)</f>
        <v>0.138678763420973</v>
      </c>
      <c r="Q30" s="9" t="n">
        <f aca="false">O30-I30</f>
        <v>124771018.918276</v>
      </c>
      <c r="R30" s="20" t="n">
        <f aca="false">(P30-J30)*100</f>
        <v>-1.81915263543273</v>
      </c>
    </row>
    <row r="31" customFormat="false" ht="15" hidden="false" customHeight="false" outlineLevel="0" collapsed="false">
      <c r="B31" s="6" t="s">
        <v>878</v>
      </c>
      <c r="C31" s="6" t="s">
        <v>240</v>
      </c>
      <c r="D31" s="6" t="s">
        <v>241</v>
      </c>
      <c r="E31" s="7" t="n">
        <f aca="false">SUMIFS('Data SKU'!$F$5:$F$116,'Data SKU'!$A$5:$A$116,$B31,'Data SKU'!$B$5:$B$116,$C31,'Data SKU'!$C$5:$C$116,$D31,'Data SKU'!$D$5:$D$116,7)</f>
        <v>0</v>
      </c>
      <c r="F31" s="7" t="n">
        <f aca="false">SUMIFS('Data SKU'!$G$5:$G$116,'Data SKU'!$A$5:$A$116,$B31,'Data SKU'!$B$5:$B$116,$C31,'Data SKU'!$C$5:$C$116,$D31,'Data SKU'!$D$5:$D$116,7)</f>
        <v>0</v>
      </c>
      <c r="G31" s="9" t="n">
        <f aca="false">IFERROR(F31/E31,0)</f>
        <v>0</v>
      </c>
      <c r="H31" s="7" t="n">
        <f aca="false">IFERROR(SUMIFS('Data SKU'!$H$5:$H$116,'Data SKU'!$A$5:$A$116,$B31,'Data SKU'!$B$5:$B$116,$C31,'Data SKU'!$C$5:$C$116,$D31,'Data SKU'!$D$5:$D$116,7)/E31,0)</f>
        <v>0</v>
      </c>
      <c r="I31" s="7" t="n">
        <f aca="false">F31-SUMIFS('Data SKU'!$H$5:$H$116,'Data SKU'!$A$5:$A$116,$B31,'Data SKU'!$B$5:$B$116,$C31,'Data SKU'!$C$5:$C$116,$D31,'Data SKU'!$D$5:$D$116,7)</f>
        <v>0</v>
      </c>
      <c r="J31" s="21" t="n">
        <f aca="false">IFERROR(I31/F31,0)</f>
        <v>0</v>
      </c>
      <c r="K31" s="7" t="n">
        <f aca="false">SUMIFS('Data SKU'!$F$5:$F$116,'Data SKU'!$A$5:$A$116,$B31,'Data SKU'!$B$5:$B$116,$C31,'Data SKU'!$C$5:$C$116,$D31,'Data SKU'!$D$5:$D$116,8)</f>
        <v>3017.55</v>
      </c>
      <c r="L31" s="7" t="n">
        <f aca="false">SUMIFS('Data SKU'!$G$5:$G$116,'Data SKU'!$A$5:$A$116,$B31,'Data SKU'!$B$5:$B$116,$C31,'Data SKU'!$C$5:$C$116,$D31,'Data SKU'!$D$5:$D$116,8)</f>
        <v>90526500</v>
      </c>
      <c r="M31" s="9" t="n">
        <f aca="false">IFERROR(L31/K31,0)</f>
        <v>30000</v>
      </c>
      <c r="N31" s="7" t="n">
        <f aca="false">IFERROR(SUMIFS('Data SKU'!$H$5:$H$116,'Data SKU'!$A$5:$A$116,$B31,'Data SKU'!$B$5:$B$116,$C31,'Data SKU'!$C$5:$C$116,$D31,'Data SKU'!$D$5:$D$116,8)/K31,0)</f>
        <v>36178.7397259366</v>
      </c>
      <c r="O31" s="7" t="n">
        <f aca="false">L31-SUMIFS('Data SKU'!$H$5:$H$116,'Data SKU'!$A$5:$A$116,$B31,'Data SKU'!$B$5:$B$116,$C31,'Data SKU'!$C$5:$C$116,$D31,'Data SKU'!$D$5:$D$116,8)</f>
        <v>-18644656.06</v>
      </c>
      <c r="P31" s="21" t="n">
        <f aca="false">IFERROR(O31/L31,0)</f>
        <v>-0.205957990864554</v>
      </c>
      <c r="Q31" s="9" t="n">
        <f aca="false">O31-I31</f>
        <v>-18644656.06</v>
      </c>
      <c r="R31" s="20" t="n">
        <f aca="false">(P31-J31)*100</f>
        <v>-20.5957990864554</v>
      </c>
    </row>
    <row r="32" customFormat="false" ht="15" hidden="false" customHeight="false" outlineLevel="0" collapsed="false">
      <c r="B32" s="6" t="s">
        <v>878</v>
      </c>
      <c r="C32" s="6" t="s">
        <v>245</v>
      </c>
      <c r="D32" s="6" t="s">
        <v>247</v>
      </c>
      <c r="E32" s="7" t="n">
        <f aca="false">SUMIFS('Data SKU'!$F$5:$F$116,'Data SKU'!$A$5:$A$116,$B32,'Data SKU'!$B$5:$B$116,$C32,'Data SKU'!$C$5:$C$116,$D32,'Data SKU'!$D$5:$D$116,7)</f>
        <v>5789.56</v>
      </c>
      <c r="F32" s="7" t="n">
        <f aca="false">SUMIFS('Data SKU'!$G$5:$G$116,'Data SKU'!$A$5:$A$116,$B32,'Data SKU'!$B$5:$B$116,$C32,'Data SKU'!$C$5:$C$116,$D32,'Data SKU'!$D$5:$D$116,7)</f>
        <v>33741005</v>
      </c>
      <c r="G32" s="9" t="n">
        <f aca="false">IFERROR(F32/E32,0)</f>
        <v>5827.90488396355</v>
      </c>
      <c r="H32" s="7" t="n">
        <f aca="false">IFERROR(SUMIFS('Data SKU'!$H$5:$H$116,'Data SKU'!$A$5:$A$116,$B32,'Data SKU'!$B$5:$B$116,$C32,'Data SKU'!$C$5:$C$116,$D32,'Data SKU'!$D$5:$D$116,7)/E32,0)</f>
        <v>4460.60009914398</v>
      </c>
      <c r="I32" s="7" t="n">
        <f aca="false">F32-SUMIFS('Data SKU'!$H$5:$H$116,'Data SKU'!$A$5:$A$116,$B32,'Data SKU'!$B$5:$B$116,$C32,'Data SKU'!$C$5:$C$116,$D32,'Data SKU'!$D$5:$D$116,7)</f>
        <v>7916093.09</v>
      </c>
      <c r="J32" s="21" t="n">
        <f aca="false">IFERROR(I32/F32,0)</f>
        <v>0.234613435195543</v>
      </c>
      <c r="K32" s="7" t="n">
        <f aca="false">SUMIFS('Data SKU'!$F$5:$F$116,'Data SKU'!$A$5:$A$116,$B32,'Data SKU'!$B$5:$B$116,$C32,'Data SKU'!$C$5:$C$116,$D32,'Data SKU'!$D$5:$D$116,8)</f>
        <v>13767.8</v>
      </c>
      <c r="L32" s="7" t="n">
        <f aca="false">SUMIFS('Data SKU'!$G$5:$G$116,'Data SKU'!$A$5:$A$116,$B32,'Data SKU'!$B$5:$B$116,$C32,'Data SKU'!$C$5:$C$116,$D32,'Data SKU'!$D$5:$D$116,8)</f>
        <v>150114800</v>
      </c>
      <c r="M32" s="9" t="n">
        <f aca="false">IFERROR(L32/K32,0)</f>
        <v>10903.3251499877</v>
      </c>
      <c r="N32" s="7" t="n">
        <f aca="false">IFERROR(SUMIFS('Data SKU'!$H$5:$H$116,'Data SKU'!$A$5:$A$116,$B32,'Data SKU'!$B$5:$B$116,$C32,'Data SKU'!$C$5:$C$116,$D32,'Data SKU'!$D$5:$D$116,8)/K32,0)</f>
        <v>10208.0403555623</v>
      </c>
      <c r="O32" s="7" t="n">
        <f aca="false">L32-SUMIFS('Data SKU'!$H$5:$H$116,'Data SKU'!$A$5:$A$116,$B32,'Data SKU'!$B$5:$B$116,$C32,'Data SKU'!$C$5:$C$116,$D32,'Data SKU'!$D$5:$D$116,8)</f>
        <v>9572541.99268955</v>
      </c>
      <c r="P32" s="21" t="n">
        <f aca="false">IFERROR(O32/L32,0)</f>
        <v>0.0637681427326922</v>
      </c>
      <c r="Q32" s="9" t="n">
        <f aca="false">O32-I32</f>
        <v>1656448.90268955</v>
      </c>
      <c r="R32" s="20" t="n">
        <f aca="false">(P32-J32)*100</f>
        <v>-17.0845292462851</v>
      </c>
    </row>
    <row r="33" customFormat="false" ht="15" hidden="false" customHeight="false" outlineLevel="0" collapsed="false">
      <c r="B33" s="6" t="s">
        <v>878</v>
      </c>
      <c r="C33" s="6" t="s">
        <v>246</v>
      </c>
      <c r="D33" s="6" t="s">
        <v>247</v>
      </c>
      <c r="E33" s="7" t="n">
        <f aca="false">SUMIFS('Data SKU'!$F$5:$F$116,'Data SKU'!$A$5:$A$116,$B33,'Data SKU'!$B$5:$B$116,$C33,'Data SKU'!$C$5:$C$116,$D33,'Data SKU'!$D$5:$D$116,7)</f>
        <v>13989.46</v>
      </c>
      <c r="F33" s="7" t="n">
        <f aca="false">SUMIFS('Data SKU'!$G$5:$G$116,'Data SKU'!$A$5:$A$116,$B33,'Data SKU'!$B$5:$B$116,$C33,'Data SKU'!$C$5:$C$116,$D33,'Data SKU'!$D$5:$D$116,7)</f>
        <v>384051230</v>
      </c>
      <c r="G33" s="9" t="n">
        <f aca="false">IFERROR(F33/E33,0)</f>
        <v>27452.8988252584</v>
      </c>
      <c r="H33" s="7" t="n">
        <f aca="false">IFERROR(SUMIFS('Data SKU'!$H$5:$H$116,'Data SKU'!$A$5:$A$116,$B33,'Data SKU'!$B$5:$B$116,$C33,'Data SKU'!$C$5:$C$116,$D33,'Data SKU'!$D$5:$D$116,7)/E33,0)</f>
        <v>23209.6068797509</v>
      </c>
      <c r="I33" s="7" t="n">
        <f aca="false">F33-SUMIFS('Data SKU'!$H$5:$H$116,'Data SKU'!$A$5:$A$116,$B33,'Data SKU'!$B$5:$B$116,$C33,'Data SKU'!$C$5:$C$116,$D33,'Data SKU'!$D$5:$D$116,7)</f>
        <v>59361362.94</v>
      </c>
      <c r="J33" s="21" t="n">
        <f aca="false">IFERROR(I33/F33,0)</f>
        <v>0.154566261745861</v>
      </c>
      <c r="K33" s="7" t="n">
        <f aca="false">SUMIFS('Data SKU'!$F$5:$F$116,'Data SKU'!$A$5:$A$116,$B33,'Data SKU'!$B$5:$B$116,$C33,'Data SKU'!$C$5:$C$116,$D33,'Data SKU'!$D$5:$D$116,8)</f>
        <v>92890.61</v>
      </c>
      <c r="L33" s="7" t="n">
        <f aca="false">SUMIFS('Data SKU'!$G$5:$G$116,'Data SKU'!$A$5:$A$116,$B33,'Data SKU'!$B$5:$B$116,$C33,'Data SKU'!$C$5:$C$116,$D33,'Data SKU'!$D$5:$D$116,8)</f>
        <v>2905098783.79036</v>
      </c>
      <c r="M33" s="9" t="n">
        <f aca="false">IFERROR(L33/K33,0)</f>
        <v>31274.4074324666</v>
      </c>
      <c r="N33" s="7" t="n">
        <f aca="false">IFERROR(SUMIFS('Data SKU'!$H$5:$H$116,'Data SKU'!$A$5:$A$116,$B33,'Data SKU'!$B$5:$B$116,$C33,'Data SKU'!$C$5:$C$116,$D33,'Data SKU'!$D$5:$D$116,8)/K33,0)</f>
        <v>30063.7752907279</v>
      </c>
      <c r="O33" s="7" t="n">
        <f aca="false">L33-SUMIFS('Data SKU'!$H$5:$H$116,'Data SKU'!$A$5:$A$116,$B33,'Data SKU'!$B$5:$B$116,$C33,'Data SKU'!$C$5:$C$116,$D33,'Data SKU'!$D$5:$D$116,8)</f>
        <v>112456358.131719</v>
      </c>
      <c r="P33" s="21" t="n">
        <f aca="false">IFERROR(O33/L33,0)</f>
        <v>0.0387099945651397</v>
      </c>
      <c r="Q33" s="9" t="n">
        <f aca="false">O33-I33</f>
        <v>53094995.1917186</v>
      </c>
      <c r="R33" s="20" t="n">
        <f aca="false">(P33-J33)*100</f>
        <v>-11.5856267180722</v>
      </c>
    </row>
    <row r="34" customFormat="false" ht="15" hidden="false" customHeight="false" outlineLevel="0" collapsed="false">
      <c r="B34" s="6" t="s">
        <v>878</v>
      </c>
      <c r="C34" s="6" t="s">
        <v>255</v>
      </c>
      <c r="D34" s="6" t="s">
        <v>238</v>
      </c>
      <c r="E34" s="7" t="n">
        <f aca="false">SUMIFS('Data SKU'!$F$5:$F$116,'Data SKU'!$A$5:$A$116,$B34,'Data SKU'!$B$5:$B$116,$C34,'Data SKU'!$C$5:$C$116,$D34,'Data SKU'!$D$5:$D$116,7)</f>
        <v>0</v>
      </c>
      <c r="F34" s="7" t="n">
        <f aca="false">SUMIFS('Data SKU'!$G$5:$G$116,'Data SKU'!$A$5:$A$116,$B34,'Data SKU'!$B$5:$B$116,$C34,'Data SKU'!$C$5:$C$116,$D34,'Data SKU'!$D$5:$D$116,7)</f>
        <v>0</v>
      </c>
      <c r="G34" s="9" t="n">
        <f aca="false">IFERROR(F34/E34,0)</f>
        <v>0</v>
      </c>
      <c r="H34" s="7" t="n">
        <f aca="false">IFERROR(SUMIFS('Data SKU'!$H$5:$H$116,'Data SKU'!$A$5:$A$116,$B34,'Data SKU'!$B$5:$B$116,$C34,'Data SKU'!$C$5:$C$116,$D34,'Data SKU'!$D$5:$D$116,7)/E34,0)</f>
        <v>0</v>
      </c>
      <c r="I34" s="7" t="n">
        <f aca="false">F34-SUMIFS('Data SKU'!$H$5:$H$116,'Data SKU'!$A$5:$A$116,$B34,'Data SKU'!$B$5:$B$116,$C34,'Data SKU'!$C$5:$C$116,$D34,'Data SKU'!$D$5:$D$116,7)</f>
        <v>0</v>
      </c>
      <c r="J34" s="21" t="n">
        <f aca="false">IFERROR(I34/F34,0)</f>
        <v>0</v>
      </c>
      <c r="K34" s="7" t="n">
        <f aca="false">SUMIFS('Data SKU'!$F$5:$F$116,'Data SKU'!$A$5:$A$116,$B34,'Data SKU'!$B$5:$B$116,$C34,'Data SKU'!$C$5:$C$116,$D34,'Data SKU'!$D$5:$D$116,8)</f>
        <v>105.37</v>
      </c>
      <c r="L34" s="7" t="n">
        <f aca="false">SUMIFS('Data SKU'!$G$5:$G$116,'Data SKU'!$A$5:$A$116,$B34,'Data SKU'!$B$5:$B$116,$C34,'Data SKU'!$C$5:$C$116,$D34,'Data SKU'!$D$5:$D$116,8)</f>
        <v>3055730</v>
      </c>
      <c r="M34" s="9" t="n">
        <f aca="false">IFERROR(L34/K34,0)</f>
        <v>29000</v>
      </c>
      <c r="N34" s="7" t="n">
        <f aca="false">IFERROR(SUMIFS('Data SKU'!$H$5:$H$116,'Data SKU'!$A$5:$A$116,$B34,'Data SKU'!$B$5:$B$116,$C34,'Data SKU'!$C$5:$C$116,$D34,'Data SKU'!$D$5:$D$116,8)/K34,0)</f>
        <v>26380.9526025801</v>
      </c>
      <c r="O34" s="7" t="n">
        <f aca="false">L34-SUMIFS('Data SKU'!$H$5:$H$116,'Data SKU'!$A$5:$A$116,$B34,'Data SKU'!$B$5:$B$116,$C34,'Data SKU'!$C$5:$C$116,$D34,'Data SKU'!$D$5:$D$116,8)</f>
        <v>275969.024266136</v>
      </c>
      <c r="P34" s="21" t="n">
        <f aca="false">IFERROR(O34/L34,0)</f>
        <v>0.0903119792213764</v>
      </c>
      <c r="Q34" s="9" t="n">
        <f aca="false">O34-I34</f>
        <v>275969.024266136</v>
      </c>
      <c r="R34" s="20" t="n">
        <f aca="false">(P34-J34)*100</f>
        <v>9.03119792213763</v>
      </c>
    </row>
    <row r="35" customFormat="false" ht="15" hidden="false" customHeight="false" outlineLevel="0" collapsed="false">
      <c r="B35" s="6" t="s">
        <v>878</v>
      </c>
      <c r="C35" s="6" t="s">
        <v>255</v>
      </c>
      <c r="D35" s="6" t="s">
        <v>241</v>
      </c>
      <c r="E35" s="7" t="n">
        <f aca="false">SUMIFS('Data SKU'!$F$5:$F$116,'Data SKU'!$A$5:$A$116,$B35,'Data SKU'!$B$5:$B$116,$C35,'Data SKU'!$C$5:$C$116,$D35,'Data SKU'!$D$5:$D$116,7)</f>
        <v>0</v>
      </c>
      <c r="F35" s="7" t="n">
        <f aca="false">SUMIFS('Data SKU'!$G$5:$G$116,'Data SKU'!$A$5:$A$116,$B35,'Data SKU'!$B$5:$B$116,$C35,'Data SKU'!$C$5:$C$116,$D35,'Data SKU'!$D$5:$D$116,7)</f>
        <v>0</v>
      </c>
      <c r="G35" s="9" t="n">
        <f aca="false">IFERROR(F35/E35,0)</f>
        <v>0</v>
      </c>
      <c r="H35" s="7" t="n">
        <f aca="false">IFERROR(SUMIFS('Data SKU'!$H$5:$H$116,'Data SKU'!$A$5:$A$116,$B35,'Data SKU'!$B$5:$B$116,$C35,'Data SKU'!$C$5:$C$116,$D35,'Data SKU'!$D$5:$D$116,7)/E35,0)</f>
        <v>0</v>
      </c>
      <c r="I35" s="7" t="n">
        <f aca="false">F35-SUMIFS('Data SKU'!$H$5:$H$116,'Data SKU'!$A$5:$A$116,$B35,'Data SKU'!$B$5:$B$116,$C35,'Data SKU'!$C$5:$C$116,$D35,'Data SKU'!$D$5:$D$116,7)</f>
        <v>-9218000</v>
      </c>
      <c r="J35" s="21" t="n">
        <f aca="false">IFERROR(I35/F35,0)</f>
        <v>0</v>
      </c>
      <c r="K35" s="7" t="n">
        <f aca="false">SUMIFS('Data SKU'!$F$5:$F$116,'Data SKU'!$A$5:$A$116,$B35,'Data SKU'!$B$5:$B$116,$C35,'Data SKU'!$C$5:$C$116,$D35,'Data SKU'!$D$5:$D$116,8)</f>
        <v>0</v>
      </c>
      <c r="L35" s="7" t="n">
        <f aca="false">SUMIFS('Data SKU'!$G$5:$G$116,'Data SKU'!$A$5:$A$116,$B35,'Data SKU'!$B$5:$B$116,$C35,'Data SKU'!$C$5:$C$116,$D35,'Data SKU'!$D$5:$D$116,8)</f>
        <v>0</v>
      </c>
      <c r="M35" s="9" t="n">
        <f aca="false">IFERROR(L35/K35,0)</f>
        <v>0</v>
      </c>
      <c r="N35" s="7" t="n">
        <f aca="false">IFERROR(SUMIFS('Data SKU'!$H$5:$H$116,'Data SKU'!$A$5:$A$116,$B35,'Data SKU'!$B$5:$B$116,$C35,'Data SKU'!$C$5:$C$116,$D35,'Data SKU'!$D$5:$D$116,8)/K35,0)</f>
        <v>0</v>
      </c>
      <c r="O35" s="7" t="n">
        <f aca="false">L35-SUMIFS('Data SKU'!$H$5:$H$116,'Data SKU'!$A$5:$A$116,$B35,'Data SKU'!$B$5:$B$116,$C35,'Data SKU'!$C$5:$C$116,$D35,'Data SKU'!$D$5:$D$116,8)</f>
        <v>0</v>
      </c>
      <c r="P35" s="21" t="n">
        <f aca="false">IFERROR(O35/L35,0)</f>
        <v>0</v>
      </c>
      <c r="Q35" s="9" t="n">
        <f aca="false">O35-I35</f>
        <v>9218000</v>
      </c>
      <c r="R35" s="20" t="n">
        <f aca="false">(P35-J35)*100</f>
        <v>0</v>
      </c>
    </row>
    <row r="36" customFormat="false" ht="15" hidden="false" customHeight="false" outlineLevel="0" collapsed="false">
      <c r="B36" s="6" t="s">
        <v>878</v>
      </c>
      <c r="C36" s="6" t="s">
        <v>252</v>
      </c>
      <c r="D36" s="6" t="s">
        <v>247</v>
      </c>
      <c r="E36" s="7" t="n">
        <f aca="false">SUMIFS('Data SKU'!$F$5:$F$116,'Data SKU'!$A$5:$A$116,$B36,'Data SKU'!$B$5:$B$116,$C36,'Data SKU'!$C$5:$C$116,$D36,'Data SKU'!$D$5:$D$116,7)</f>
        <v>0</v>
      </c>
      <c r="F36" s="7" t="n">
        <f aca="false">SUMIFS('Data SKU'!$G$5:$G$116,'Data SKU'!$A$5:$A$116,$B36,'Data SKU'!$B$5:$B$116,$C36,'Data SKU'!$C$5:$C$116,$D36,'Data SKU'!$D$5:$D$116,7)</f>
        <v>0</v>
      </c>
      <c r="G36" s="9" t="n">
        <f aca="false">IFERROR(F36/E36,0)</f>
        <v>0</v>
      </c>
      <c r="H36" s="7" t="n">
        <f aca="false">IFERROR(SUMIFS('Data SKU'!$H$5:$H$116,'Data SKU'!$A$5:$A$116,$B36,'Data SKU'!$B$5:$B$116,$C36,'Data SKU'!$C$5:$C$116,$D36,'Data SKU'!$D$5:$D$116,7)/E36,0)</f>
        <v>0</v>
      </c>
      <c r="I36" s="7" t="n">
        <f aca="false">F36-SUMIFS('Data SKU'!$H$5:$H$116,'Data SKU'!$A$5:$A$116,$B36,'Data SKU'!$B$5:$B$116,$C36,'Data SKU'!$C$5:$C$116,$D36,'Data SKU'!$D$5:$D$116,7)</f>
        <v>0</v>
      </c>
      <c r="J36" s="21" t="n">
        <f aca="false">IFERROR(I36/F36,0)</f>
        <v>0</v>
      </c>
      <c r="K36" s="7" t="n">
        <f aca="false">SUMIFS('Data SKU'!$F$5:$F$116,'Data SKU'!$A$5:$A$116,$B36,'Data SKU'!$B$5:$B$116,$C36,'Data SKU'!$C$5:$C$116,$D36,'Data SKU'!$D$5:$D$116,8)</f>
        <v>300</v>
      </c>
      <c r="L36" s="7" t="n">
        <f aca="false">SUMIFS('Data SKU'!$G$5:$G$116,'Data SKU'!$A$5:$A$116,$B36,'Data SKU'!$B$5:$B$116,$C36,'Data SKU'!$C$5:$C$116,$D36,'Data SKU'!$D$5:$D$116,8)</f>
        <v>9300000</v>
      </c>
      <c r="M36" s="9" t="n">
        <f aca="false">IFERROR(L36/K36,0)</f>
        <v>31000</v>
      </c>
      <c r="N36" s="7" t="n">
        <f aca="false">IFERROR(SUMIFS('Data SKU'!$H$5:$H$116,'Data SKU'!$A$5:$A$116,$B36,'Data SKU'!$B$5:$B$116,$C36,'Data SKU'!$C$5:$C$116,$D36,'Data SKU'!$D$5:$D$116,8)/K36,0)</f>
        <v>28632.7845998568</v>
      </c>
      <c r="O36" s="7" t="n">
        <f aca="false">L36-SUMIFS('Data SKU'!$H$5:$H$116,'Data SKU'!$A$5:$A$116,$B36,'Data SKU'!$B$5:$B$116,$C36,'Data SKU'!$C$5:$C$116,$D36,'Data SKU'!$D$5:$D$116,8)</f>
        <v>710164.620042948</v>
      </c>
      <c r="P36" s="21" t="n">
        <f aca="false">IFERROR(O36/L36,0)</f>
        <v>0.0763617871013923</v>
      </c>
      <c r="Q36" s="9" t="n">
        <f aca="false">O36-I36</f>
        <v>710164.620042948</v>
      </c>
      <c r="R36" s="20" t="n">
        <f aca="false">(P36-J36)*100</f>
        <v>7.63617871013923</v>
      </c>
    </row>
    <row r="37" customFormat="false" ht="15" hidden="false" customHeight="false" outlineLevel="0" collapsed="false">
      <c r="B37" s="25" t="s">
        <v>256</v>
      </c>
      <c r="E37" s="26" t="n">
        <f aca="false">SUM(E29:E36)</f>
        <v>86946.7</v>
      </c>
      <c r="F37" s="26" t="n">
        <f aca="false">SUM(F29:F36)</f>
        <v>2876425788.2</v>
      </c>
      <c r="G37" s="26" t="n">
        <f aca="false">IFERROR(F37/E37,0)</f>
        <v>33082.6332477253</v>
      </c>
      <c r="H37" s="26" t="n">
        <f aca="false">IFERROR((F37-I37)/E37,0)</f>
        <v>27514.0207075139</v>
      </c>
      <c r="I37" s="26" t="n">
        <f aca="false">SUM(I29:I36)</f>
        <v>484172483.95</v>
      </c>
      <c r="J37" s="27" t="n">
        <f aca="false">IFERROR(I37/F37,0)</f>
        <v>0.16832434403009</v>
      </c>
      <c r="K37" s="26" t="n">
        <f aca="false">SUM(K29:K36)</f>
        <v>168924.98</v>
      </c>
      <c r="L37" s="26" t="n">
        <f aca="false">SUM(L29:L36)</f>
        <v>5670073912.48658</v>
      </c>
      <c r="M37" s="26" t="n">
        <f aca="false">IFERROR(L37/K37,0)</f>
        <v>33565.6331732973</v>
      </c>
      <c r="N37" s="26" t="n">
        <f aca="false">IFERROR((L37-O37)/K37,0)</f>
        <v>30783.651281838</v>
      </c>
      <c r="O37" s="26" t="n">
        <f aca="false">SUM(O29:O36)</f>
        <v>469946235.375117</v>
      </c>
      <c r="P37" s="27" t="n">
        <f aca="false">IFERROR(O37/L37,0)</f>
        <v>0.0828818535046265</v>
      </c>
      <c r="Q37" s="26" t="n">
        <f aca="false">SUM(Q29:Q36)</f>
        <v>-14226248.5748829</v>
      </c>
      <c r="R37" s="56" t="n">
        <f aca="false">(P37-J37)*100</f>
        <v>-8.54424905254636</v>
      </c>
    </row>
    <row r="39" customFormat="false" ht="15" hidden="false" customHeight="false" outlineLevel="0" collapsed="false">
      <c r="B39" s="6" t="s">
        <v>1141</v>
      </c>
      <c r="C39" s="6" t="s">
        <v>240</v>
      </c>
      <c r="D39" s="6" t="s">
        <v>241</v>
      </c>
      <c r="E39" s="7" t="n">
        <f aca="false">SUMIFS('Data SKU'!$F$5:$F$116,'Data SKU'!$A$5:$A$116,$B39,'Data SKU'!$B$5:$B$116,$C39,'Data SKU'!$C$5:$C$116,$D39,'Data SKU'!$D$5:$D$116,7)</f>
        <v>0</v>
      </c>
      <c r="F39" s="7" t="n">
        <f aca="false">SUMIFS('Data SKU'!$G$5:$G$116,'Data SKU'!$A$5:$A$116,$B39,'Data SKU'!$B$5:$B$116,$C39,'Data SKU'!$C$5:$C$116,$D39,'Data SKU'!$D$5:$D$116,7)</f>
        <v>0</v>
      </c>
      <c r="G39" s="9" t="n">
        <f aca="false">IFERROR(F39/E39,0)</f>
        <v>0</v>
      </c>
      <c r="H39" s="7" t="n">
        <f aca="false">IFERROR(SUMIFS('Data SKU'!$H$5:$H$116,'Data SKU'!$A$5:$A$116,$B39,'Data SKU'!$B$5:$B$116,$C39,'Data SKU'!$C$5:$C$116,$D39,'Data SKU'!$D$5:$D$116,7)/E39,0)</f>
        <v>0</v>
      </c>
      <c r="I39" s="7" t="n">
        <f aca="false">F39-SUMIFS('Data SKU'!$H$5:$H$116,'Data SKU'!$A$5:$A$116,$B39,'Data SKU'!$B$5:$B$116,$C39,'Data SKU'!$C$5:$C$116,$D39,'Data SKU'!$D$5:$D$116,7)</f>
        <v>0</v>
      </c>
      <c r="J39" s="21" t="n">
        <f aca="false">IFERROR(I39/F39,0)</f>
        <v>0</v>
      </c>
      <c r="K39" s="7" t="n">
        <f aca="false">SUMIFS('Data SKU'!$F$5:$F$116,'Data SKU'!$A$5:$A$116,$B39,'Data SKU'!$B$5:$B$116,$C39,'Data SKU'!$C$5:$C$116,$D39,'Data SKU'!$D$5:$D$116,8)</f>
        <v>0</v>
      </c>
      <c r="L39" s="7" t="n">
        <f aca="false">SUMIFS('Data SKU'!$G$5:$G$116,'Data SKU'!$A$5:$A$116,$B39,'Data SKU'!$B$5:$B$116,$C39,'Data SKU'!$C$5:$C$116,$D39,'Data SKU'!$D$5:$D$116,8)</f>
        <v>0</v>
      </c>
      <c r="M39" s="9" t="n">
        <f aca="false">IFERROR(L39/K39,0)</f>
        <v>0</v>
      </c>
      <c r="N39" s="7" t="n">
        <f aca="false">IFERROR(SUMIFS('Data SKU'!$H$5:$H$116,'Data SKU'!$A$5:$A$116,$B39,'Data SKU'!$B$5:$B$116,$C39,'Data SKU'!$C$5:$C$116,$D39,'Data SKU'!$D$5:$D$116,8)/K39,0)</f>
        <v>0</v>
      </c>
      <c r="O39" s="7" t="n">
        <f aca="false">L39-SUMIFS('Data SKU'!$H$5:$H$116,'Data SKU'!$A$5:$A$116,$B39,'Data SKU'!$B$5:$B$116,$C39,'Data SKU'!$C$5:$C$116,$D39,'Data SKU'!$D$5:$D$116,8)</f>
        <v>0</v>
      </c>
      <c r="P39" s="21" t="n">
        <f aca="false">IFERROR(O39/L39,0)</f>
        <v>0</v>
      </c>
      <c r="Q39" s="9" t="n">
        <f aca="false">O39-I39</f>
        <v>0</v>
      </c>
      <c r="R39" s="20" t="n">
        <f aca="false">(P39-J39)*100</f>
        <v>0</v>
      </c>
    </row>
    <row r="40" customFormat="false" ht="15" hidden="false" customHeight="false" outlineLevel="0" collapsed="false">
      <c r="B40" s="25" t="s">
        <v>1421</v>
      </c>
      <c r="E40" s="26" t="n">
        <f aca="false">SUM(E39:E39)</f>
        <v>0</v>
      </c>
      <c r="F40" s="26" t="n">
        <f aca="false">SUM(F39:F39)</f>
        <v>0</v>
      </c>
      <c r="G40" s="26" t="n">
        <f aca="false">IFERROR(F40/E40,0)</f>
        <v>0</v>
      </c>
      <c r="H40" s="26" t="n">
        <f aca="false">IFERROR((F40-I40)/E40,0)</f>
        <v>0</v>
      </c>
      <c r="I40" s="26" t="n">
        <f aca="false">SUM(I39:I39)</f>
        <v>0</v>
      </c>
      <c r="J40" s="27" t="n">
        <f aca="false">IFERROR(I40/F40,0)</f>
        <v>0</v>
      </c>
      <c r="K40" s="26" t="n">
        <f aca="false">SUM(K39:K39)</f>
        <v>0</v>
      </c>
      <c r="L40" s="26" t="n">
        <f aca="false">SUM(L39:L39)</f>
        <v>0</v>
      </c>
      <c r="M40" s="26" t="n">
        <f aca="false">IFERROR(L40/K40,0)</f>
        <v>0</v>
      </c>
      <c r="N40" s="26" t="n">
        <f aca="false">IFERROR((L40-O40)/K40,0)</f>
        <v>0</v>
      </c>
      <c r="O40" s="26" t="n">
        <f aca="false">SUM(O39:O39)</f>
        <v>0</v>
      </c>
      <c r="P40" s="27" t="n">
        <f aca="false">IFERROR(O40/L40,0)</f>
        <v>0</v>
      </c>
      <c r="Q40" s="26" t="n">
        <f aca="false">SUM(Q39:Q39)</f>
        <v>0</v>
      </c>
      <c r="R40" s="56" t="n">
        <f aca="false">(P40-J40)*100</f>
        <v>0</v>
      </c>
    </row>
    <row r="42" customFormat="false" ht="15" hidden="false" customHeight="false" outlineLevel="0" collapsed="false">
      <c r="B42" s="70" t="s">
        <v>1422</v>
      </c>
      <c r="E42" s="72" t="n">
        <f aca="false">E27+E37+E40</f>
        <v>99522.71</v>
      </c>
      <c r="F42" s="72" t="n">
        <f aca="false">F27+F37+F40</f>
        <v>3122957948.2</v>
      </c>
      <c r="G42" s="72" t="n">
        <f aca="false">IFERROR(F42/E42,0)</f>
        <v>31379.3499815268</v>
      </c>
      <c r="H42" s="72" t="n">
        <f aca="false">IFERROR((F42-I42)/E42,0)</f>
        <v>26529.6443079173</v>
      </c>
      <c r="I42" s="72" t="n">
        <f aca="false">I27+I37+I40</f>
        <v>482655851.34</v>
      </c>
      <c r="J42" s="85" t="n">
        <f aca="false">IFERROR(I42/F42,0)</f>
        <v>0.15455086470767</v>
      </c>
      <c r="K42" s="72" t="n">
        <f aca="false">K27+K37+K40</f>
        <v>264470.7</v>
      </c>
      <c r="L42" s="72" t="n">
        <f aca="false">L27+L37+L40</f>
        <v>8361760902.8</v>
      </c>
      <c r="M42" s="72" t="n">
        <f aca="false">IFERROR(L42/K42,0)</f>
        <v>31616.9651413181</v>
      </c>
      <c r="N42" s="72" t="n">
        <f aca="false">IFERROR((L42-O42)/K42,0)</f>
        <v>30079.9934024911</v>
      </c>
      <c r="O42" s="72" t="n">
        <f aca="false">O27+O37+O40</f>
        <v>406483991.647786</v>
      </c>
      <c r="P42" s="85" t="n">
        <f aca="false">IFERROR(O42/L42,0)</f>
        <v>0.048612247632155</v>
      </c>
      <c r="Q42" s="72" t="n">
        <f aca="false">Q27+Q37+Q40</f>
        <v>-76171859.692214</v>
      </c>
      <c r="R42" s="86" t="n">
        <f aca="false">(P42-J42)*100</f>
        <v>-10.5938617075515</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4"/>
    <col collapsed="false" customWidth="true" hidden="false" outlineLevel="0" max="4" min="4" style="0" width="11"/>
    <col collapsed="false" customWidth="true" hidden="false" outlineLevel="0" max="6" min="5" style="0" width="15"/>
    <col collapsed="false" customWidth="true" hidden="false" outlineLevel="0" max="7" min="7" style="0" width="11"/>
    <col collapsed="false" customWidth="true" hidden="false" outlineLevel="0" max="9" min="8" style="0" width="14"/>
    <col collapsed="false" customWidth="true" hidden="false" outlineLevel="0" max="10" min="10" style="0" width="11"/>
    <col collapsed="false" customWidth="true" hidden="false" outlineLevel="0" max="12" min="11" style="0" width="15"/>
    <col collapsed="false" customWidth="true" hidden="false" outlineLevel="0" max="14" min="13" style="0" width="10"/>
    <col collapsed="false" customWidth="true" hidden="false" outlineLevel="0" max="15" min="15" style="0" width="14"/>
    <col collapsed="false" customWidth="true" hidden="false" outlineLevel="0" max="16" min="16" style="0" width="10"/>
    <col collapsed="false" customWidth="true" hidden="false" outlineLevel="0" max="17" min="17" style="0" width="9"/>
  </cols>
  <sheetData>
    <row r="1" customFormat="false" ht="15" hidden="false" customHeight="false" outlineLevel="0" collapsed="false">
      <c r="A1" s="1" t="s">
        <v>1423</v>
      </c>
    </row>
    <row r="2" customFormat="false" ht="15" hidden="false" customHeight="false" outlineLevel="0" collapsed="false">
      <c r="A2" s="4" t="s">
        <v>1424</v>
      </c>
    </row>
    <row r="5" customFormat="false" ht="30" hidden="false" customHeight="true" outlineLevel="0" collapsed="false">
      <c r="A5" s="5" t="s">
        <v>862</v>
      </c>
      <c r="B5" s="5" t="s">
        <v>884</v>
      </c>
      <c r="C5" s="5" t="s">
        <v>225</v>
      </c>
      <c r="D5" s="5" t="s">
        <v>1425</v>
      </c>
      <c r="E5" s="5" t="s">
        <v>1426</v>
      </c>
      <c r="F5" s="5" t="s">
        <v>1427</v>
      </c>
      <c r="G5" s="5" t="s">
        <v>1428</v>
      </c>
      <c r="H5" s="5" t="s">
        <v>1429</v>
      </c>
      <c r="I5" s="5" t="s">
        <v>1430</v>
      </c>
      <c r="J5" s="5" t="s">
        <v>1431</v>
      </c>
      <c r="K5" s="5" t="s">
        <v>1432</v>
      </c>
      <c r="L5" s="5" t="s">
        <v>1433</v>
      </c>
      <c r="M5" s="5" t="s">
        <v>1434</v>
      </c>
      <c r="N5" s="5" t="s">
        <v>869</v>
      </c>
      <c r="O5" s="5" t="s">
        <v>1435</v>
      </c>
      <c r="P5" s="5" t="s">
        <v>1436</v>
      </c>
      <c r="Q5" s="5" t="s">
        <v>867</v>
      </c>
    </row>
    <row r="6" customFormat="false" ht="15" hidden="false" customHeight="false" outlineLevel="0" collapsed="false">
      <c r="A6" s="74" t="s">
        <v>875</v>
      </c>
      <c r="B6" s="74" t="s">
        <v>1375</v>
      </c>
      <c r="C6" s="74" t="s">
        <v>237</v>
      </c>
      <c r="D6" s="10" t="n">
        <v>443.8</v>
      </c>
      <c r="E6" s="8" t="n">
        <v>15454625</v>
      </c>
      <c r="F6" s="7" t="n">
        <f aca="false">SUMIFS('MA Engine'!$X$6:$X$1110,'MA Engine'!$C$6:$C$1110,$A6,'MA Engine'!$D$6:$D$1110,"Karkas",'MA Engine'!$E$6:$E$1110,$C6,'MA Engine'!$F$6:$F$1110,$B6,'MA Engine'!$H$6:$H$1110,8,'MA Engine'!$I$6:$I$1110,"DO",'MA Engine'!$P$6:$P$1110,"&lt;&gt;Y")</f>
        <v>16315080.196986</v>
      </c>
      <c r="G6" s="13" t="n">
        <f aca="false">SUMIFS(Unbilled!$K$22:$K$38,Unbilled!$G$22:$G$38,$A6,Unbilled!$H$22:$H$38,"Karkas",Unbilled!$I$22:$I$38,$C6,Unbilled!$J$22:$J$38,$B6)</f>
        <v>0</v>
      </c>
      <c r="H6" s="7" t="n">
        <f aca="false">SUMIFS(Unbilled!$U$22:$U$38,Unbilled!$G$22:$G$38,$A6,Unbilled!$H$22:$H$38,"Karkas",Unbilled!$I$22:$I$38,$C6,Unbilled!$J$22:$J$38,$B6)</f>
        <v>0</v>
      </c>
      <c r="I6" s="7" t="n">
        <f aca="false">SUMIFS(Unbilled!$O$22:$O$38,Unbilled!$G$22:$G$38,$A6,Unbilled!$H$22:$H$38,"Karkas",Unbilled!$I$22:$I$38,$C6,Unbilled!$J$22:$J$38,$B6)</f>
        <v>0</v>
      </c>
      <c r="J6" s="14" t="n">
        <f aca="false">D6+G6</f>
        <v>443.8</v>
      </c>
      <c r="K6" s="9" t="n">
        <f aca="false">E6+H6</f>
        <v>15454625</v>
      </c>
      <c r="L6" s="9" t="n">
        <f aca="false">F6+I6</f>
        <v>16315080.196986</v>
      </c>
      <c r="M6" s="9" t="n">
        <f aca="false">IFERROR(K6/J6,0)</f>
        <v>34823.4001802614</v>
      </c>
      <c r="N6" s="9" t="n">
        <f aca="false">IFERROR(L6/J6,0)</f>
        <v>36762.2356849616</v>
      </c>
      <c r="O6" s="9" t="n">
        <f aca="false">K6-L6</f>
        <v>-860455.196985953</v>
      </c>
      <c r="P6" s="9" t="n">
        <f aca="false">IFERROR(O6/J6,0)</f>
        <v>-1938.83550470021</v>
      </c>
      <c r="Q6" s="21" t="n">
        <f aca="false">IFERROR(O6/K6,0)</f>
        <v>-0.0556762261773387</v>
      </c>
    </row>
    <row r="7" customFormat="false" ht="15" hidden="false" customHeight="false" outlineLevel="0" collapsed="false">
      <c r="A7" s="74" t="s">
        <v>875</v>
      </c>
      <c r="B7" s="74" t="s">
        <v>1376</v>
      </c>
      <c r="C7" s="74" t="s">
        <v>237</v>
      </c>
      <c r="D7" s="10" t="n">
        <v>6505.4</v>
      </c>
      <c r="E7" s="8" t="n">
        <v>240130250</v>
      </c>
      <c r="F7" s="7" t="n">
        <f aca="false">SUMIFS('MA Engine'!$X$6:$X$1110,'MA Engine'!$C$6:$C$1110,$A7,'MA Engine'!$D$6:$D$1110,"Karkas",'MA Engine'!$E$6:$E$1110,$C7,'MA Engine'!$F$6:$F$1110,$B7,'MA Engine'!$H$6:$H$1110,8,'MA Engine'!$I$6:$I$1110,"DO",'MA Engine'!$P$6:$P$1110,"&lt;&gt;Y")</f>
        <v>242824380.660402</v>
      </c>
      <c r="G7" s="13" t="n">
        <f aca="false">SUMIFS(Unbilled!$K$22:$K$38,Unbilled!$G$22:$G$38,$A7,Unbilled!$H$22:$H$38,"Karkas",Unbilled!$I$22:$I$38,$C7,Unbilled!$J$22:$J$38,$B7)</f>
        <v>0</v>
      </c>
      <c r="H7" s="7" t="n">
        <f aca="false">SUMIFS(Unbilled!$U$22:$U$38,Unbilled!$G$22:$G$38,$A7,Unbilled!$H$22:$H$38,"Karkas",Unbilled!$I$22:$I$38,$C7,Unbilled!$J$22:$J$38,$B7)</f>
        <v>0</v>
      </c>
      <c r="I7" s="7" t="n">
        <f aca="false">SUMIFS(Unbilled!$O$22:$O$38,Unbilled!$G$22:$G$38,$A7,Unbilled!$H$22:$H$38,"Karkas",Unbilled!$I$22:$I$38,$C7,Unbilled!$J$22:$J$38,$B7)</f>
        <v>0</v>
      </c>
      <c r="J7" s="14" t="n">
        <f aca="false">D7+G7</f>
        <v>6505.4</v>
      </c>
      <c r="K7" s="9" t="n">
        <f aca="false">E7+H7</f>
        <v>240130250</v>
      </c>
      <c r="L7" s="9" t="n">
        <f aca="false">F7+I7</f>
        <v>242824380.660402</v>
      </c>
      <c r="M7" s="9" t="n">
        <f aca="false">IFERROR(K7/J7,0)</f>
        <v>36912.4496572079</v>
      </c>
      <c r="N7" s="9" t="n">
        <f aca="false">IFERROR(L7/J7,0)</f>
        <v>37326.5872445049</v>
      </c>
      <c r="O7" s="9" t="n">
        <f aca="false">K7-L7</f>
        <v>-2694130.66040218</v>
      </c>
      <c r="P7" s="9" t="n">
        <f aca="false">IFERROR(O7/J7,0)</f>
        <v>-414.137587297042</v>
      </c>
      <c r="Q7" s="21" t="n">
        <f aca="false">IFERROR(O7/K7,0)</f>
        <v>-0.0112194555263328</v>
      </c>
    </row>
    <row r="8" customFormat="false" ht="15" hidden="false" customHeight="false" outlineLevel="0" collapsed="false">
      <c r="A8" s="74" t="s">
        <v>875</v>
      </c>
      <c r="B8" s="74" t="s">
        <v>1377</v>
      </c>
      <c r="C8" s="74" t="s">
        <v>237</v>
      </c>
      <c r="D8" s="10" t="n">
        <v>1533.5</v>
      </c>
      <c r="E8" s="8" t="n">
        <v>52003670</v>
      </c>
      <c r="F8" s="7" t="n">
        <f aca="false">SUMIFS('MA Engine'!$X$6:$X$1110,'MA Engine'!$C$6:$C$1110,$A8,'MA Engine'!$D$6:$D$1110,"Karkas",'MA Engine'!$E$6:$E$1110,$C8,'MA Engine'!$F$6:$F$1110,$B8,'MA Engine'!$H$6:$H$1110,8,'MA Engine'!$I$6:$I$1110,"DO",'MA Engine'!$P$6:$P$1110,"&lt;&gt;Y")</f>
        <v>56506062.1739788</v>
      </c>
      <c r="G8" s="13" t="n">
        <f aca="false">SUMIFS(Unbilled!$K$22:$K$38,Unbilled!$G$22:$G$38,$A8,Unbilled!$H$22:$H$38,"Karkas",Unbilled!$I$22:$I$38,$C8,Unbilled!$J$22:$J$38,$B8)</f>
        <v>0</v>
      </c>
      <c r="H8" s="7" t="n">
        <f aca="false">SUMIFS(Unbilled!$U$22:$U$38,Unbilled!$G$22:$G$38,$A8,Unbilled!$H$22:$H$38,"Karkas",Unbilled!$I$22:$I$38,$C8,Unbilled!$J$22:$J$38,$B8)</f>
        <v>0</v>
      </c>
      <c r="I8" s="7" t="n">
        <f aca="false">SUMIFS(Unbilled!$O$22:$O$38,Unbilled!$G$22:$G$38,$A8,Unbilled!$H$22:$H$38,"Karkas",Unbilled!$I$22:$I$38,$C8,Unbilled!$J$22:$J$38,$B8)</f>
        <v>0</v>
      </c>
      <c r="J8" s="14" t="n">
        <f aca="false">D8+G8</f>
        <v>1533.5</v>
      </c>
      <c r="K8" s="9" t="n">
        <f aca="false">E8+H8</f>
        <v>52003670</v>
      </c>
      <c r="L8" s="9" t="n">
        <f aca="false">F8+I8</f>
        <v>56506062.1739788</v>
      </c>
      <c r="M8" s="9" t="n">
        <f aca="false">IFERROR(K8/J8,0)</f>
        <v>33911.7508966417</v>
      </c>
      <c r="N8" s="9" t="n">
        <f aca="false">IFERROR(L8/J8,0)</f>
        <v>36847.774485803</v>
      </c>
      <c r="O8" s="9" t="n">
        <f aca="false">K8-L8</f>
        <v>-4502392.17397882</v>
      </c>
      <c r="P8" s="9" t="n">
        <f aca="false">IFERROR(O8/J8,0)</f>
        <v>-2936.02358916128</v>
      </c>
      <c r="Q8" s="21" t="n">
        <f aca="false">IFERROR(O8/K8,0)</f>
        <v>-0.0865783544503459</v>
      </c>
    </row>
    <row r="9" customFormat="false" ht="15" hidden="false" customHeight="false" outlineLevel="0" collapsed="false">
      <c r="A9" s="74" t="s">
        <v>875</v>
      </c>
      <c r="B9" s="74" t="s">
        <v>1378</v>
      </c>
      <c r="C9" s="74" t="s">
        <v>237</v>
      </c>
      <c r="D9" s="10" t="n">
        <v>5528.2</v>
      </c>
      <c r="E9" s="8" t="n">
        <v>201896825</v>
      </c>
      <c r="F9" s="7" t="n">
        <f aca="false">SUMIFS('MA Engine'!$X$6:$X$1110,'MA Engine'!$C$6:$C$1110,$A9,'MA Engine'!$D$6:$D$1110,"Karkas",'MA Engine'!$E$6:$E$1110,$C9,'MA Engine'!$F$6:$F$1110,$B9,'MA Engine'!$H$6:$H$1110,8,'MA Engine'!$I$6:$I$1110,"DO",'MA Engine'!$P$6:$P$1110,"&lt;&gt;Y")</f>
        <v>204853596.040211</v>
      </c>
      <c r="G9" s="13" t="n">
        <f aca="false">SUMIFS(Unbilled!$K$22:$K$38,Unbilled!$G$22:$G$38,$A9,Unbilled!$H$22:$H$38,"Karkas",Unbilled!$I$22:$I$38,$C9,Unbilled!$J$22:$J$38,$B9)</f>
        <v>2206.9</v>
      </c>
      <c r="H9" s="7" t="n">
        <f aca="false">SUMIFS(Unbilled!$U$22:$U$38,Unbilled!$G$22:$G$38,$A9,Unbilled!$H$22:$H$38,"Karkas",Unbilled!$I$22:$I$38,$C9,Unbilled!$J$22:$J$38,$B9)</f>
        <v>80861576.169734</v>
      </c>
      <c r="I9" s="7" t="n">
        <f aca="false">SUMIFS(Unbilled!$O$22:$O$38,Unbilled!$G$22:$G$38,$A9,Unbilled!$H$22:$H$38,"Karkas",Unbilled!$I$22:$I$38,$C9,Unbilled!$J$22:$J$38,$B9)</f>
        <v>82265784.929748</v>
      </c>
      <c r="J9" s="14" t="n">
        <f aca="false">D9+G9</f>
        <v>7735.1</v>
      </c>
      <c r="K9" s="9" t="n">
        <f aca="false">E9+H9</f>
        <v>282758401.169734</v>
      </c>
      <c r="L9" s="9" t="n">
        <f aca="false">F9+I9</f>
        <v>287119380.969959</v>
      </c>
      <c r="M9" s="9" t="n">
        <f aca="false">IFERROR(K9/J9,0)</f>
        <v>36555.2353776595</v>
      </c>
      <c r="N9" s="9" t="n">
        <f aca="false">IFERROR(L9/J9,0)</f>
        <v>37119.0263823298</v>
      </c>
      <c r="O9" s="9" t="n">
        <f aca="false">K9-L9</f>
        <v>-4360979.80022538</v>
      </c>
      <c r="P9" s="9" t="n">
        <f aca="false">IFERROR(O9/J9,0)</f>
        <v>-563.791004670318</v>
      </c>
      <c r="Q9" s="21" t="n">
        <f aca="false">IFERROR(O9/K9,0)</f>
        <v>-0.0154229893159127</v>
      </c>
    </row>
    <row r="10" customFormat="false" ht="15" hidden="false" customHeight="false" outlineLevel="0" collapsed="false">
      <c r="A10" s="74" t="s">
        <v>875</v>
      </c>
      <c r="B10" s="74" t="s">
        <v>1379</v>
      </c>
      <c r="C10" s="74" t="s">
        <v>237</v>
      </c>
      <c r="D10" s="10" t="n">
        <v>8669</v>
      </c>
      <c r="E10" s="8" t="n">
        <v>320857135</v>
      </c>
      <c r="F10" s="7" t="n">
        <f aca="false">SUMIFS('MA Engine'!$X$6:$X$1110,'MA Engine'!$C$6:$C$1110,$A10,'MA Engine'!$D$6:$D$1110,"Karkas",'MA Engine'!$E$6:$E$1110,$C10,'MA Engine'!$F$6:$F$1110,$B10,'MA Engine'!$H$6:$H$1110,8,'MA Engine'!$I$6:$I$1110,"DO",'MA Engine'!$P$6:$P$1110,"&lt;&gt;Y")</f>
        <v>324743318.161376</v>
      </c>
      <c r="G10" s="13" t="n">
        <f aca="false">SUMIFS(Unbilled!$K$22:$K$38,Unbilled!$G$22:$G$38,$A10,Unbilled!$H$22:$H$38,"Karkas",Unbilled!$I$22:$I$38,$C10,Unbilled!$J$22:$J$38,$B10)</f>
        <v>1763.3</v>
      </c>
      <c r="H10" s="7" t="n">
        <f aca="false">SUMIFS(Unbilled!$U$22:$U$38,Unbilled!$G$22:$G$38,$A10,Unbilled!$H$22:$H$38,"Karkas",Unbilled!$I$22:$I$38,$C10,Unbilled!$J$22:$J$38,$B10)</f>
        <v>66069231.2968913</v>
      </c>
      <c r="I10" s="7" t="n">
        <f aca="false">SUMIFS(Unbilled!$O$22:$O$38,Unbilled!$G$22:$G$38,$A10,Unbilled!$H$22:$H$38,"Karkas",Unbilled!$I$22:$I$38,$C10,Unbilled!$J$22:$J$38,$B10)</f>
        <v>67216562.3006767</v>
      </c>
      <c r="J10" s="14" t="n">
        <f aca="false">D10+G10</f>
        <v>10432.3</v>
      </c>
      <c r="K10" s="9" t="n">
        <f aca="false">E10+H10</f>
        <v>386926366.296891</v>
      </c>
      <c r="L10" s="9" t="n">
        <f aca="false">F10+I10</f>
        <v>391959880.462053</v>
      </c>
      <c r="M10" s="9" t="n">
        <f aca="false">IFERROR(K10/J10,0)</f>
        <v>37089.2675917</v>
      </c>
      <c r="N10" s="9" t="n">
        <f aca="false">IFERROR(L10/J10,0)</f>
        <v>37571.7608257098</v>
      </c>
      <c r="O10" s="9" t="n">
        <f aca="false">K10-L10</f>
        <v>-5033514.16516125</v>
      </c>
      <c r="P10" s="9" t="n">
        <f aca="false">IFERROR(O10/J10,0)</f>
        <v>-482.493234009878</v>
      </c>
      <c r="Q10" s="21" t="n">
        <f aca="false">IFERROR(O10/K10,0)</f>
        <v>-0.0130089717414062</v>
      </c>
    </row>
    <row r="11" customFormat="false" ht="15" hidden="false" customHeight="false" outlineLevel="0" collapsed="false">
      <c r="A11" s="74" t="s">
        <v>875</v>
      </c>
      <c r="B11" s="74" t="s">
        <v>1380</v>
      </c>
      <c r="C11" s="74" t="s">
        <v>237</v>
      </c>
      <c r="D11" s="10" t="n">
        <v>6967</v>
      </c>
      <c r="E11" s="8" t="n">
        <v>258697565</v>
      </c>
      <c r="F11" s="7" t="n">
        <f aca="false">SUMIFS('MA Engine'!$X$6:$X$1110,'MA Engine'!$C$6:$C$1110,$A11,'MA Engine'!$D$6:$D$1110,"Karkas",'MA Engine'!$E$6:$E$1110,$C11,'MA Engine'!$F$6:$F$1110,$B11,'MA Engine'!$H$6:$H$1110,8,'MA Engine'!$I$6:$I$1110,"DO",'MA Engine'!$P$6:$P$1110,"&lt;&gt;Y")</f>
        <v>260907633.257663</v>
      </c>
      <c r="G11" s="13" t="n">
        <f aca="false">SUMIFS(Unbilled!$K$22:$K$38,Unbilled!$G$22:$G$38,$A11,Unbilled!$H$22:$H$38,"Karkas",Unbilled!$I$22:$I$38,$C11,Unbilled!$J$22:$J$38,$B11)</f>
        <v>1510.4</v>
      </c>
      <c r="H11" s="7" t="n">
        <f aca="false">SUMIFS(Unbilled!$U$22:$U$38,Unbilled!$G$22:$G$38,$A11,Unbilled!$H$22:$H$38,"Karkas",Unbilled!$I$22:$I$38,$C11,Unbilled!$J$22:$J$38,$B11)</f>
        <v>56819509.0881562</v>
      </c>
      <c r="I11" s="7" t="n">
        <f aca="false">SUMIFS(Unbilled!$O$22:$O$38,Unbilled!$G$22:$G$38,$A11,Unbilled!$H$22:$H$38,"Karkas",Unbilled!$I$22:$I$38,$C11,Unbilled!$J$22:$J$38,$B11)</f>
        <v>57806213.2334452</v>
      </c>
      <c r="J11" s="14" t="n">
        <f aca="false">D11+G11</f>
        <v>8477.4</v>
      </c>
      <c r="K11" s="9" t="n">
        <f aca="false">E11+H11</f>
        <v>315517074.088156</v>
      </c>
      <c r="L11" s="9" t="n">
        <f aca="false">F11+I11</f>
        <v>318713846.491109</v>
      </c>
      <c r="M11" s="9" t="n">
        <f aca="false">IFERROR(K11/J11,0)</f>
        <v>37218.6135003841</v>
      </c>
      <c r="N11" s="9" t="n">
        <f aca="false">IFERROR(L11/J11,0)</f>
        <v>37595.7069963796</v>
      </c>
      <c r="O11" s="9" t="n">
        <f aca="false">K11-L11</f>
        <v>-3196772.40295231</v>
      </c>
      <c r="P11" s="9" t="n">
        <f aca="false">IFERROR(O11/J11,0)</f>
        <v>-377.093495995507</v>
      </c>
      <c r="Q11" s="21" t="n">
        <f aca="false">IFERROR(O11/K11,0)</f>
        <v>-0.0101318523322105</v>
      </c>
    </row>
    <row r="12" customFormat="false" ht="15" hidden="false" customHeight="false" outlineLevel="0" collapsed="false">
      <c r="A12" s="74" t="s">
        <v>875</v>
      </c>
      <c r="B12" s="74" t="s">
        <v>1381</v>
      </c>
      <c r="C12" s="74" t="s">
        <v>237</v>
      </c>
      <c r="D12" s="10" t="n">
        <v>4403.1</v>
      </c>
      <c r="E12" s="8" t="n">
        <v>160182300</v>
      </c>
      <c r="F12" s="7" t="n">
        <f aca="false">SUMIFS('MA Engine'!$X$6:$X$1110,'MA Engine'!$C$6:$C$1110,$A12,'MA Engine'!$D$6:$D$1110,"Karkas",'MA Engine'!$E$6:$E$1110,$C12,'MA Engine'!$F$6:$F$1110,$B12,'MA Engine'!$H$6:$H$1110,8,'MA Engine'!$I$6:$I$1110,"DO",'MA Engine'!$P$6:$P$1110,"&lt;&gt;Y")</f>
        <v>166219803.065501</v>
      </c>
      <c r="G12" s="13" t="n">
        <f aca="false">SUMIFS(Unbilled!$K$22:$K$38,Unbilled!$G$22:$G$38,$A12,Unbilled!$H$22:$H$38,"Karkas",Unbilled!$I$22:$I$38,$C12,Unbilled!$J$22:$J$38,$B12)</f>
        <v>807.2</v>
      </c>
      <c r="H12" s="7" t="n">
        <f aca="false">SUMIFS(Unbilled!$U$22:$U$38,Unbilled!$G$22:$G$38,$A12,Unbilled!$H$22:$H$38,"Karkas",Unbilled!$I$22:$I$38,$C12,Unbilled!$J$22:$J$38,$B12)</f>
        <v>30280864.5701751</v>
      </c>
      <c r="I12" s="7" t="n">
        <f aca="false">SUMIFS(Unbilled!$O$22:$O$38,Unbilled!$G$22:$G$38,$A12,Unbilled!$H$22:$H$38,"Karkas",Unbilled!$I$22:$I$38,$C12,Unbilled!$J$22:$J$38,$B12)</f>
        <v>30806709.5673216</v>
      </c>
      <c r="J12" s="14" t="n">
        <f aca="false">D12+G12</f>
        <v>5210.3</v>
      </c>
      <c r="K12" s="9" t="n">
        <f aca="false">E12+H12</f>
        <v>190463164.570175</v>
      </c>
      <c r="L12" s="9" t="n">
        <f aca="false">F12+I12</f>
        <v>197026512.632823</v>
      </c>
      <c r="M12" s="9" t="n">
        <f aca="false">IFERROR(K12/J12,0)</f>
        <v>36555.1243825068</v>
      </c>
      <c r="N12" s="9" t="n">
        <f aca="false">IFERROR(L12/J12,0)</f>
        <v>37814.8115526597</v>
      </c>
      <c r="O12" s="9" t="n">
        <f aca="false">K12-L12</f>
        <v>-6563348.06264791</v>
      </c>
      <c r="P12" s="9" t="n">
        <f aca="false">IFERROR(O12/J12,0)</f>
        <v>-1259.68717015295</v>
      </c>
      <c r="Q12" s="21" t="n">
        <f aca="false">IFERROR(O12/K12,0)</f>
        <v>-0.0344599339061684</v>
      </c>
    </row>
    <row r="13" customFormat="false" ht="15" hidden="false" customHeight="false" outlineLevel="0" collapsed="false">
      <c r="A13" s="74" t="s">
        <v>875</v>
      </c>
      <c r="B13" s="74" t="s">
        <v>1382</v>
      </c>
      <c r="C13" s="74" t="s">
        <v>237</v>
      </c>
      <c r="D13" s="10" t="n">
        <v>563.9</v>
      </c>
      <c r="E13" s="8" t="n">
        <v>21111225</v>
      </c>
      <c r="F13" s="7" t="n">
        <f aca="false">SUMIFS('MA Engine'!$X$6:$X$1110,'MA Engine'!$C$6:$C$1110,$A13,'MA Engine'!$D$6:$D$1110,"Karkas",'MA Engine'!$E$6:$E$1110,$C13,'MA Engine'!$F$6:$F$1110,$B13,'MA Engine'!$H$6:$H$1110,8,'MA Engine'!$I$6:$I$1110,"DO",'MA Engine'!$P$6:$P$1110,"&lt;&gt;Y")</f>
        <v>21306294.2925982</v>
      </c>
      <c r="G13" s="13" t="n">
        <f aca="false">SUMIFS(Unbilled!$K$22:$K$38,Unbilled!$G$22:$G$38,$A13,Unbilled!$H$22:$H$38,"Karkas",Unbilled!$I$22:$I$38,$C13,Unbilled!$J$22:$J$38,$B13)</f>
        <v>495.3</v>
      </c>
      <c r="H13" s="7" t="n">
        <f aca="false">SUMIFS(Unbilled!$U$22:$U$38,Unbilled!$G$22:$G$38,$A13,Unbilled!$H$22:$H$38,"Karkas",Unbilled!$I$22:$I$38,$C13,Unbilled!$J$22:$J$38,$B13)</f>
        <v>18639293.8750434</v>
      </c>
      <c r="I13" s="7" t="n">
        <f aca="false">SUMIFS(Unbilled!$O$22:$O$38,Unbilled!$G$22:$G$38,$A13,Unbilled!$H$22:$H$38,"Karkas",Unbilled!$I$22:$I$38,$C13,Unbilled!$J$22:$J$38,$B13)</f>
        <v>18962976.16</v>
      </c>
      <c r="J13" s="14" t="n">
        <f aca="false">D13+G13</f>
        <v>1059.2</v>
      </c>
      <c r="K13" s="9" t="n">
        <f aca="false">E13+H13</f>
        <v>39750518.8750434</v>
      </c>
      <c r="L13" s="9" t="n">
        <f aca="false">F13+I13</f>
        <v>40269270.4525982</v>
      </c>
      <c r="M13" s="9" t="n">
        <f aca="false">IFERROR(K13/J13,0)</f>
        <v>37528.8131373144</v>
      </c>
      <c r="N13" s="9" t="n">
        <f aca="false">IFERROR(L13/J13,0)</f>
        <v>38018.5710466373</v>
      </c>
      <c r="O13" s="9" t="n">
        <f aca="false">K13-L13</f>
        <v>-518751.577554777</v>
      </c>
      <c r="P13" s="9" t="n">
        <f aca="false">IFERROR(O13/J13,0)</f>
        <v>-489.757909322864</v>
      </c>
      <c r="Q13" s="21" t="n">
        <f aca="false">IFERROR(O13/K13,0)</f>
        <v>-0.0130501838022664</v>
      </c>
    </row>
    <row r="14" customFormat="false" ht="15" hidden="false" customHeight="false" outlineLevel="0" collapsed="false">
      <c r="A14" s="74" t="s">
        <v>875</v>
      </c>
      <c r="B14" s="74" t="s">
        <v>1383</v>
      </c>
      <c r="C14" s="74" t="s">
        <v>237</v>
      </c>
      <c r="D14" s="10" t="n">
        <v>231</v>
      </c>
      <c r="E14" s="8" t="n">
        <v>8662500</v>
      </c>
      <c r="F14" s="7" t="n">
        <f aca="false">SUMIFS('MA Engine'!$X$6:$X$1110,'MA Engine'!$C$6:$C$1110,$A14,'MA Engine'!$D$6:$D$1110,"Karkas",'MA Engine'!$E$6:$E$1110,$C14,'MA Engine'!$F$6:$F$1110,$B14,'MA Engine'!$H$6:$H$1110,8,'MA Engine'!$I$6:$I$1110,"DO",'MA Engine'!$P$6:$P$1110,"&lt;&gt;Y")</f>
        <v>8728725.25231788</v>
      </c>
      <c r="G14" s="13" t="n">
        <f aca="false">SUMIFS(Unbilled!$K$22:$K$38,Unbilled!$G$22:$G$38,$A14,Unbilled!$H$22:$H$38,"Karkas",Unbilled!$I$22:$I$38,$C14,Unbilled!$J$22:$J$38,$B14)</f>
        <v>0</v>
      </c>
      <c r="H14" s="7" t="n">
        <f aca="false">SUMIFS(Unbilled!$U$22:$U$38,Unbilled!$G$22:$G$38,$A14,Unbilled!$H$22:$H$38,"Karkas",Unbilled!$I$22:$I$38,$C14,Unbilled!$J$22:$J$38,$B14)</f>
        <v>0</v>
      </c>
      <c r="I14" s="7" t="n">
        <f aca="false">SUMIFS(Unbilled!$O$22:$O$38,Unbilled!$G$22:$G$38,$A14,Unbilled!$H$22:$H$38,"Karkas",Unbilled!$I$22:$I$38,$C14,Unbilled!$J$22:$J$38,$B14)</f>
        <v>0</v>
      </c>
      <c r="J14" s="14" t="n">
        <f aca="false">D14+G14</f>
        <v>231</v>
      </c>
      <c r="K14" s="9" t="n">
        <f aca="false">E14+H14</f>
        <v>8662500</v>
      </c>
      <c r="L14" s="9" t="n">
        <f aca="false">F14+I14</f>
        <v>8728725.25231788</v>
      </c>
      <c r="M14" s="9" t="n">
        <f aca="false">IFERROR(K14/J14,0)</f>
        <v>37500</v>
      </c>
      <c r="N14" s="9" t="n">
        <f aca="false">IFERROR(L14/J14,0)</f>
        <v>37786.6894039735</v>
      </c>
      <c r="O14" s="9" t="n">
        <f aca="false">K14-L14</f>
        <v>-66225.2523178812</v>
      </c>
      <c r="P14" s="9" t="n">
        <f aca="false">IFERROR(O14/J14,0)</f>
        <v>-286.689403973512</v>
      </c>
      <c r="Q14" s="21" t="n">
        <f aca="false">IFERROR(O14/K14,0)</f>
        <v>-0.00764505077262698</v>
      </c>
    </row>
    <row r="15" customFormat="false" ht="15" hidden="false" customHeight="false" outlineLevel="0" collapsed="false">
      <c r="A15" s="74" t="s">
        <v>875</v>
      </c>
      <c r="B15" s="74" t="s">
        <v>1437</v>
      </c>
      <c r="C15" s="74" t="s">
        <v>238</v>
      </c>
      <c r="D15" s="10" t="n">
        <v>14.4</v>
      </c>
      <c r="E15" s="8" t="n">
        <v>432000</v>
      </c>
      <c r="F15" s="7" t="n">
        <f aca="false">SUMIFS('MA Engine'!$X$6:$X$1110,'MA Engine'!$C$6:$C$1110,$A15,'MA Engine'!$D$6:$D$1110,"Karkas",'MA Engine'!$E$6:$E$1110,$C15,'MA Engine'!$F$6:$F$1110,$B15,'MA Engine'!$H$6:$H$1110,8,'MA Engine'!$I$6:$I$1110,"DO",'MA Engine'!$P$6:$P$1110,"&lt;&gt;Y")</f>
        <v>341665.446</v>
      </c>
      <c r="G15" s="13" t="n">
        <f aca="false">SUMIFS(Unbilled!$K$22:$K$38,Unbilled!$G$22:$G$38,$A15,Unbilled!$H$22:$H$38,"Karkas",Unbilled!$I$22:$I$38,$C15,Unbilled!$J$22:$J$38,$B15)</f>
        <v>0</v>
      </c>
      <c r="H15" s="7" t="n">
        <f aca="false">SUMIFS(Unbilled!$U$22:$U$38,Unbilled!$G$22:$G$38,$A15,Unbilled!$H$22:$H$38,"Karkas",Unbilled!$I$22:$I$38,$C15,Unbilled!$J$22:$J$38,$B15)</f>
        <v>0</v>
      </c>
      <c r="I15" s="7" t="n">
        <f aca="false">SUMIFS(Unbilled!$O$22:$O$38,Unbilled!$G$22:$G$38,$A15,Unbilled!$H$22:$H$38,"Karkas",Unbilled!$I$22:$I$38,$C15,Unbilled!$J$22:$J$38,$B15)</f>
        <v>0</v>
      </c>
      <c r="J15" s="14" t="n">
        <f aca="false">D15+G15</f>
        <v>14.4</v>
      </c>
      <c r="K15" s="9" t="n">
        <f aca="false">E15+H15</f>
        <v>432000</v>
      </c>
      <c r="L15" s="9" t="n">
        <f aca="false">F15+I15</f>
        <v>341665.446</v>
      </c>
      <c r="M15" s="9" t="n">
        <f aca="false">IFERROR(K15/J15,0)</f>
        <v>30000</v>
      </c>
      <c r="N15" s="9" t="n">
        <f aca="false">IFERROR(L15/J15,0)</f>
        <v>23726.7670833333</v>
      </c>
      <c r="O15" s="9" t="n">
        <f aca="false">K15-L15</f>
        <v>90334.554</v>
      </c>
      <c r="P15" s="9" t="n">
        <f aca="false">IFERROR(O15/J15,0)</f>
        <v>6273.23291666666</v>
      </c>
      <c r="Q15" s="21" t="n">
        <f aca="false">IFERROR(O15/K15,0)</f>
        <v>0.209107763888889</v>
      </c>
    </row>
    <row r="16" customFormat="false" ht="15" hidden="false" customHeight="false" outlineLevel="0" collapsed="false">
      <c r="A16" s="74" t="s">
        <v>875</v>
      </c>
      <c r="B16" s="74" t="s">
        <v>1372</v>
      </c>
      <c r="C16" s="74" t="s">
        <v>238</v>
      </c>
      <c r="D16" s="10" t="n">
        <v>1150.4</v>
      </c>
      <c r="E16" s="8" t="n">
        <v>34557600</v>
      </c>
      <c r="F16" s="7" t="n">
        <f aca="false">SUMIFS('MA Engine'!$X$6:$X$1110,'MA Engine'!$C$6:$C$1110,$A16,'MA Engine'!$D$6:$D$1110,"Karkas",'MA Engine'!$E$6:$E$1110,$C16,'MA Engine'!$F$6:$F$1110,$B16,'MA Engine'!$H$6:$H$1110,8,'MA Engine'!$I$6:$I$1110,"DO",'MA Engine'!$P$6:$P$1110,"&lt;&gt;Y")</f>
        <v>30248693.5811194</v>
      </c>
      <c r="G16" s="13" t="n">
        <f aca="false">SUMIFS(Unbilled!$K$22:$K$38,Unbilled!$G$22:$G$38,$A16,Unbilled!$H$22:$H$38,"Karkas",Unbilled!$I$22:$I$38,$C16,Unbilled!$J$22:$J$38,$B16)</f>
        <v>0</v>
      </c>
      <c r="H16" s="7" t="n">
        <f aca="false">SUMIFS(Unbilled!$U$22:$U$38,Unbilled!$G$22:$G$38,$A16,Unbilled!$H$22:$H$38,"Karkas",Unbilled!$I$22:$I$38,$C16,Unbilled!$J$22:$J$38,$B16)</f>
        <v>0</v>
      </c>
      <c r="I16" s="7" t="n">
        <f aca="false">SUMIFS(Unbilled!$O$22:$O$38,Unbilled!$G$22:$G$38,$A16,Unbilled!$H$22:$H$38,"Karkas",Unbilled!$I$22:$I$38,$C16,Unbilled!$J$22:$J$38,$B16)</f>
        <v>0</v>
      </c>
      <c r="J16" s="14" t="n">
        <f aca="false">D16+G16</f>
        <v>1150.4</v>
      </c>
      <c r="K16" s="9" t="n">
        <f aca="false">E16+H16</f>
        <v>34557600</v>
      </c>
      <c r="L16" s="9" t="n">
        <f aca="false">F16+I16</f>
        <v>30248693.5811194</v>
      </c>
      <c r="M16" s="9" t="n">
        <f aca="false">IFERROR(K16/J16,0)</f>
        <v>30039.6383866481</v>
      </c>
      <c r="N16" s="9" t="n">
        <f aca="false">IFERROR(L16/J16,0)</f>
        <v>26294.0660475655</v>
      </c>
      <c r="O16" s="9" t="n">
        <f aca="false">K16-L16</f>
        <v>4308906.4188806</v>
      </c>
      <c r="P16" s="9" t="n">
        <f aca="false">IFERROR(O16/J16,0)</f>
        <v>3745.57233908258</v>
      </c>
      <c r="Q16" s="21" t="n">
        <f aca="false">IFERROR(O16/K16,0)</f>
        <v>0.124687664041502</v>
      </c>
    </row>
    <row r="17" customFormat="false" ht="15" hidden="false" customHeight="false" outlineLevel="0" collapsed="false">
      <c r="A17" s="74" t="s">
        <v>875</v>
      </c>
      <c r="B17" s="74" t="s">
        <v>1373</v>
      </c>
      <c r="C17" s="74" t="s">
        <v>238</v>
      </c>
      <c r="D17" s="10" t="n">
        <v>4272.6</v>
      </c>
      <c r="E17" s="8" t="n">
        <v>136397560</v>
      </c>
      <c r="F17" s="7" t="n">
        <f aca="false">SUMIFS('MA Engine'!$X$6:$X$1110,'MA Engine'!$C$6:$C$1110,$A17,'MA Engine'!$D$6:$D$1110,"Karkas",'MA Engine'!$E$6:$E$1110,$C17,'MA Engine'!$F$6:$F$1110,$B17,'MA Engine'!$H$6:$H$1110,8,'MA Engine'!$I$6:$I$1110,"DO",'MA Engine'!$P$6:$P$1110,"&lt;&gt;Y")</f>
        <v>124275396.25477</v>
      </c>
      <c r="G17" s="13" t="n">
        <f aca="false">SUMIFS(Unbilled!$K$22:$K$38,Unbilled!$G$22:$G$38,$A17,Unbilled!$H$22:$H$38,"Karkas",Unbilled!$I$22:$I$38,$C17,Unbilled!$J$22:$J$38,$B17)</f>
        <v>0</v>
      </c>
      <c r="H17" s="7" t="n">
        <f aca="false">SUMIFS(Unbilled!$U$22:$U$38,Unbilled!$G$22:$G$38,$A17,Unbilled!$H$22:$H$38,"Karkas",Unbilled!$I$22:$I$38,$C17,Unbilled!$J$22:$J$38,$B17)</f>
        <v>0</v>
      </c>
      <c r="I17" s="7" t="n">
        <f aca="false">SUMIFS(Unbilled!$O$22:$O$38,Unbilled!$G$22:$G$38,$A17,Unbilled!$H$22:$H$38,"Karkas",Unbilled!$I$22:$I$38,$C17,Unbilled!$J$22:$J$38,$B17)</f>
        <v>0</v>
      </c>
      <c r="J17" s="14" t="n">
        <f aca="false">D17+G17</f>
        <v>4272.6</v>
      </c>
      <c r="K17" s="9" t="n">
        <f aca="false">E17+H17</f>
        <v>136397560</v>
      </c>
      <c r="L17" s="9" t="n">
        <f aca="false">F17+I17</f>
        <v>124275396.25477</v>
      </c>
      <c r="M17" s="9" t="n">
        <f aca="false">IFERROR(K17/J17,0)</f>
        <v>31923.7841127182</v>
      </c>
      <c r="N17" s="9" t="n">
        <f aca="false">IFERROR(L17/J17,0)</f>
        <v>29086.5974476361</v>
      </c>
      <c r="O17" s="9" t="n">
        <f aca="false">K17-L17</f>
        <v>12122163.7452298</v>
      </c>
      <c r="P17" s="9" t="n">
        <f aca="false">IFERROR(O17/J17,0)</f>
        <v>2837.18666508211</v>
      </c>
      <c r="Q17" s="21" t="n">
        <f aca="false">IFERROR(O17/K17,0)</f>
        <v>0.0888737580439843</v>
      </c>
    </row>
    <row r="18" customFormat="false" ht="15" hidden="false" customHeight="false" outlineLevel="0" collapsed="false">
      <c r="A18" s="74" t="s">
        <v>875</v>
      </c>
      <c r="B18" s="74" t="s">
        <v>1374</v>
      </c>
      <c r="C18" s="74" t="s">
        <v>238</v>
      </c>
      <c r="D18" s="10" t="n">
        <v>6402.4</v>
      </c>
      <c r="E18" s="8" t="n">
        <v>201261620</v>
      </c>
      <c r="F18" s="7" t="n">
        <f aca="false">SUMIFS('MA Engine'!$X$6:$X$1110,'MA Engine'!$C$6:$C$1110,$A18,'MA Engine'!$D$6:$D$1110,"Karkas",'MA Engine'!$E$6:$E$1110,$C18,'MA Engine'!$F$6:$F$1110,$B18,'MA Engine'!$H$6:$H$1110,8,'MA Engine'!$I$6:$I$1110,"DO",'MA Engine'!$P$6:$P$1110,"&lt;&gt;Y")</f>
        <v>190461055.463056</v>
      </c>
      <c r="G18" s="13" t="n">
        <f aca="false">SUMIFS(Unbilled!$K$22:$K$38,Unbilled!$G$22:$G$38,$A18,Unbilled!$H$22:$H$38,"Karkas",Unbilled!$I$22:$I$38,$C18,Unbilled!$J$22:$J$38,$B18)</f>
        <v>0</v>
      </c>
      <c r="H18" s="7" t="n">
        <f aca="false">SUMIFS(Unbilled!$U$22:$U$38,Unbilled!$G$22:$G$38,$A18,Unbilled!$H$22:$H$38,"Karkas",Unbilled!$I$22:$I$38,$C18,Unbilled!$J$22:$J$38,$B18)</f>
        <v>0</v>
      </c>
      <c r="I18" s="7" t="n">
        <f aca="false">SUMIFS(Unbilled!$O$22:$O$38,Unbilled!$G$22:$G$38,$A18,Unbilled!$H$22:$H$38,"Karkas",Unbilled!$I$22:$I$38,$C18,Unbilled!$J$22:$J$38,$B18)</f>
        <v>0</v>
      </c>
      <c r="J18" s="14" t="n">
        <f aca="false">D18+G18</f>
        <v>6402.4</v>
      </c>
      <c r="K18" s="9" t="n">
        <f aca="false">E18+H18</f>
        <v>201261620</v>
      </c>
      <c r="L18" s="9" t="n">
        <f aca="false">F18+I18</f>
        <v>190461055.463056</v>
      </c>
      <c r="M18" s="9" t="n">
        <f aca="false">IFERROR(K18/J18,0)</f>
        <v>31435.3398725478</v>
      </c>
      <c r="N18" s="9" t="n">
        <f aca="false">IFERROR(L18/J18,0)</f>
        <v>29748.3842720005</v>
      </c>
      <c r="O18" s="9" t="n">
        <f aca="false">K18-L18</f>
        <v>10800564.5369442</v>
      </c>
      <c r="P18" s="9" t="n">
        <f aca="false">IFERROR(O18/J18,0)</f>
        <v>1686.95560054732</v>
      </c>
      <c r="Q18" s="21" t="n">
        <f aca="false">IFERROR(O18/K18,0)</f>
        <v>0.053664302895625</v>
      </c>
    </row>
    <row r="19" customFormat="false" ht="15" hidden="false" customHeight="false" outlineLevel="0" collapsed="false">
      <c r="A19" s="74" t="s">
        <v>875</v>
      </c>
      <c r="B19" s="74" t="s">
        <v>1375</v>
      </c>
      <c r="C19" s="74" t="s">
        <v>238</v>
      </c>
      <c r="D19" s="10" t="n">
        <v>1025.7</v>
      </c>
      <c r="E19" s="8" t="n">
        <v>32822240</v>
      </c>
      <c r="F19" s="7" t="n">
        <f aca="false">SUMIFS('MA Engine'!$X$6:$X$1110,'MA Engine'!$C$6:$C$1110,$A19,'MA Engine'!$D$6:$D$1110,"Karkas",'MA Engine'!$E$6:$E$1110,$C19,'MA Engine'!$F$6:$F$1110,$B19,'MA Engine'!$H$6:$H$1110,8,'MA Engine'!$I$6:$I$1110,"DO",'MA Engine'!$P$6:$P$1110,"&lt;&gt;Y")</f>
        <v>42167070.2444283</v>
      </c>
      <c r="G19" s="13" t="n">
        <f aca="false">SUMIFS(Unbilled!$K$22:$K$38,Unbilled!$G$22:$G$38,$A19,Unbilled!$H$22:$H$38,"Karkas",Unbilled!$I$22:$I$38,$C19,Unbilled!$J$22:$J$38,$B19)</f>
        <v>0</v>
      </c>
      <c r="H19" s="7" t="n">
        <f aca="false">SUMIFS(Unbilled!$U$22:$U$38,Unbilled!$G$22:$G$38,$A19,Unbilled!$H$22:$H$38,"Karkas",Unbilled!$I$22:$I$38,$C19,Unbilled!$J$22:$J$38,$B19)</f>
        <v>0</v>
      </c>
      <c r="I19" s="7" t="n">
        <f aca="false">SUMIFS(Unbilled!$O$22:$O$38,Unbilled!$G$22:$G$38,$A19,Unbilled!$H$22:$H$38,"Karkas",Unbilled!$I$22:$I$38,$C19,Unbilled!$J$22:$J$38,$B19)</f>
        <v>0</v>
      </c>
      <c r="J19" s="14" t="n">
        <f aca="false">D19+G19</f>
        <v>1025.7</v>
      </c>
      <c r="K19" s="9" t="n">
        <f aca="false">E19+H19</f>
        <v>32822240</v>
      </c>
      <c r="L19" s="9" t="n">
        <f aca="false">F19+I19</f>
        <v>42167070.2444283</v>
      </c>
      <c r="M19" s="9" t="n">
        <f aca="false">IFERROR(K19/J19,0)</f>
        <v>31999.8440089695</v>
      </c>
      <c r="N19" s="9" t="n">
        <f aca="false">IFERROR(L19/J19,0)</f>
        <v>41110.5296328637</v>
      </c>
      <c r="O19" s="9" t="n">
        <f aca="false">K19-L19</f>
        <v>-9344830.24442834</v>
      </c>
      <c r="P19" s="9" t="n">
        <f aca="false">IFERROR(O19/J19,0)</f>
        <v>-9110.68562389426</v>
      </c>
      <c r="Q19" s="21" t="n">
        <f aca="false">IFERROR(O19/K19,0)</f>
        <v>-0.284710313629671</v>
      </c>
    </row>
    <row r="20" customFormat="false" ht="15" hidden="false" customHeight="false" outlineLevel="0" collapsed="false">
      <c r="A20" s="74" t="s">
        <v>875</v>
      </c>
      <c r="B20" s="74" t="s">
        <v>1376</v>
      </c>
      <c r="C20" s="74" t="s">
        <v>238</v>
      </c>
      <c r="D20" s="10" t="n">
        <v>228.4</v>
      </c>
      <c r="E20" s="8" t="n">
        <v>7240410</v>
      </c>
      <c r="F20" s="7" t="n">
        <f aca="false">SUMIFS('MA Engine'!$X$6:$X$1110,'MA Engine'!$C$6:$C$1110,$A20,'MA Engine'!$D$6:$D$1110,"Karkas",'MA Engine'!$E$6:$E$1110,$C20,'MA Engine'!$F$6:$F$1110,$B20,'MA Engine'!$H$6:$H$1110,8,'MA Engine'!$I$6:$I$1110,"DO",'MA Engine'!$P$6:$P$1110,"&lt;&gt;Y")</f>
        <v>8430647.14983791</v>
      </c>
      <c r="G20" s="13" t="n">
        <f aca="false">SUMIFS(Unbilled!$K$22:$K$38,Unbilled!$G$22:$G$38,$A20,Unbilled!$H$22:$H$38,"Karkas",Unbilled!$I$22:$I$38,$C20,Unbilled!$J$22:$J$38,$B20)</f>
        <v>0</v>
      </c>
      <c r="H20" s="7" t="n">
        <f aca="false">SUMIFS(Unbilled!$U$22:$U$38,Unbilled!$G$22:$G$38,$A20,Unbilled!$H$22:$H$38,"Karkas",Unbilled!$I$22:$I$38,$C20,Unbilled!$J$22:$J$38,$B20)</f>
        <v>0</v>
      </c>
      <c r="I20" s="7" t="n">
        <f aca="false">SUMIFS(Unbilled!$O$22:$O$38,Unbilled!$G$22:$G$38,$A20,Unbilled!$H$22:$H$38,"Karkas",Unbilled!$I$22:$I$38,$C20,Unbilled!$J$22:$J$38,$B20)</f>
        <v>0</v>
      </c>
      <c r="J20" s="14" t="n">
        <f aca="false">D20+G20</f>
        <v>228.4</v>
      </c>
      <c r="K20" s="9" t="n">
        <f aca="false">E20+H20</f>
        <v>7240410</v>
      </c>
      <c r="L20" s="9" t="n">
        <f aca="false">F20+I20</f>
        <v>8430647.14983791</v>
      </c>
      <c r="M20" s="9" t="n">
        <f aca="false">IFERROR(K20/J20,0)</f>
        <v>31700.5691768827</v>
      </c>
      <c r="N20" s="9" t="n">
        <f aca="false">IFERROR(L20/J20,0)</f>
        <v>36911.7651043691</v>
      </c>
      <c r="O20" s="9" t="n">
        <f aca="false">K20-L20</f>
        <v>-1190237.14983791</v>
      </c>
      <c r="P20" s="9" t="n">
        <f aca="false">IFERROR(O20/J20,0)</f>
        <v>-5211.19592748647</v>
      </c>
      <c r="Q20" s="21" t="n">
        <f aca="false">IFERROR(O20/K20,0)</f>
        <v>-0.164388087116325</v>
      </c>
    </row>
    <row r="21" customFormat="false" ht="15" hidden="false" customHeight="false" outlineLevel="0" collapsed="false">
      <c r="A21" s="74" t="s">
        <v>875</v>
      </c>
      <c r="B21" s="74" t="s">
        <v>1377</v>
      </c>
      <c r="C21" s="74" t="s">
        <v>238</v>
      </c>
      <c r="D21" s="10" t="n">
        <v>642.4</v>
      </c>
      <c r="E21" s="8" t="n">
        <v>21830300</v>
      </c>
      <c r="F21" s="7" t="n">
        <f aca="false">SUMIFS('MA Engine'!$X$6:$X$1110,'MA Engine'!$C$6:$C$1110,$A21,'MA Engine'!$D$6:$D$1110,"Karkas",'MA Engine'!$E$6:$E$1110,$C21,'MA Engine'!$F$6:$F$1110,$B21,'MA Engine'!$H$6:$H$1110,8,'MA Engine'!$I$6:$I$1110,"DO",'MA Engine'!$P$6:$P$1110,"&lt;&gt;Y")</f>
        <v>24093140.5763907</v>
      </c>
      <c r="G21" s="13" t="n">
        <f aca="false">SUMIFS(Unbilled!$K$22:$K$38,Unbilled!$G$22:$G$38,$A21,Unbilled!$H$22:$H$38,"Karkas",Unbilled!$I$22:$I$38,$C21,Unbilled!$J$22:$J$38,$B21)</f>
        <v>0</v>
      </c>
      <c r="H21" s="7" t="n">
        <f aca="false">SUMIFS(Unbilled!$U$22:$U$38,Unbilled!$G$22:$G$38,$A21,Unbilled!$H$22:$H$38,"Karkas",Unbilled!$I$22:$I$38,$C21,Unbilled!$J$22:$J$38,$B21)</f>
        <v>0</v>
      </c>
      <c r="I21" s="7" t="n">
        <f aca="false">SUMIFS(Unbilled!$O$22:$O$38,Unbilled!$G$22:$G$38,$A21,Unbilled!$H$22:$H$38,"Karkas",Unbilled!$I$22:$I$38,$C21,Unbilled!$J$22:$J$38,$B21)</f>
        <v>0</v>
      </c>
      <c r="J21" s="14" t="n">
        <f aca="false">D21+G21</f>
        <v>642.4</v>
      </c>
      <c r="K21" s="9" t="n">
        <f aca="false">E21+H21</f>
        <v>21830300</v>
      </c>
      <c r="L21" s="9" t="n">
        <f aca="false">F21+I21</f>
        <v>24093140.5763907</v>
      </c>
      <c r="M21" s="9" t="n">
        <f aca="false">IFERROR(K21/J21,0)</f>
        <v>33982.4097135741</v>
      </c>
      <c r="N21" s="9" t="n">
        <f aca="false">IFERROR(L21/J21,0)</f>
        <v>37504.8888175447</v>
      </c>
      <c r="O21" s="9" t="n">
        <f aca="false">K21-L21</f>
        <v>-2262840.57639073</v>
      </c>
      <c r="P21" s="9" t="n">
        <f aca="false">IFERROR(O21/J21,0)</f>
        <v>-3522.47910397062</v>
      </c>
      <c r="Q21" s="21" t="n">
        <f aca="false">IFERROR(O21/K21,0)</f>
        <v>-0.103655954173361</v>
      </c>
    </row>
    <row r="22" customFormat="false" ht="15" hidden="false" customHeight="false" outlineLevel="0" collapsed="false">
      <c r="A22" s="74" t="s">
        <v>875</v>
      </c>
      <c r="B22" s="74" t="s">
        <v>1378</v>
      </c>
      <c r="C22" s="74" t="s">
        <v>238</v>
      </c>
      <c r="D22" s="10" t="n">
        <v>735.5</v>
      </c>
      <c r="E22" s="8" t="n">
        <v>22971525</v>
      </c>
      <c r="F22" s="7" t="n">
        <f aca="false">SUMIFS('MA Engine'!$X$6:$X$1110,'MA Engine'!$C$6:$C$1110,$A22,'MA Engine'!$D$6:$D$1110,"Karkas",'MA Engine'!$E$6:$E$1110,$C22,'MA Engine'!$F$6:$F$1110,$B22,'MA Engine'!$H$6:$H$1110,8,'MA Engine'!$I$6:$I$1110,"DO",'MA Engine'!$P$6:$P$1110,"&lt;&gt;Y")</f>
        <v>27360198.6889524</v>
      </c>
      <c r="G22" s="13" t="n">
        <f aca="false">SUMIFS(Unbilled!$K$22:$K$38,Unbilled!$G$22:$G$38,$A22,Unbilled!$H$22:$H$38,"Karkas",Unbilled!$I$22:$I$38,$C22,Unbilled!$J$22:$J$38,$B22)</f>
        <v>0</v>
      </c>
      <c r="H22" s="7" t="n">
        <f aca="false">SUMIFS(Unbilled!$U$22:$U$38,Unbilled!$G$22:$G$38,$A22,Unbilled!$H$22:$H$38,"Karkas",Unbilled!$I$22:$I$38,$C22,Unbilled!$J$22:$J$38,$B22)</f>
        <v>0</v>
      </c>
      <c r="I22" s="7" t="n">
        <f aca="false">SUMIFS(Unbilled!$O$22:$O$38,Unbilled!$G$22:$G$38,$A22,Unbilled!$H$22:$H$38,"Karkas",Unbilled!$I$22:$I$38,$C22,Unbilled!$J$22:$J$38,$B22)</f>
        <v>0</v>
      </c>
      <c r="J22" s="14" t="n">
        <f aca="false">D22+G22</f>
        <v>735.5</v>
      </c>
      <c r="K22" s="9" t="n">
        <f aca="false">E22+H22</f>
        <v>22971525</v>
      </c>
      <c r="L22" s="9" t="n">
        <f aca="false">F22+I22</f>
        <v>27360198.6889524</v>
      </c>
      <c r="M22" s="9" t="n">
        <f aca="false">IFERROR(K22/J22,0)</f>
        <v>31232.5288919103</v>
      </c>
      <c r="N22" s="9" t="n">
        <f aca="false">IFERROR(L22/J22,0)</f>
        <v>37199.4543697517</v>
      </c>
      <c r="O22" s="9" t="n">
        <f aca="false">K22-L22</f>
        <v>-4388673.68895238</v>
      </c>
      <c r="P22" s="9" t="n">
        <f aca="false">IFERROR(O22/J22,0)</f>
        <v>-5966.92547784145</v>
      </c>
      <c r="Q22" s="21" t="n">
        <f aca="false">IFERROR(O22/K22,0)</f>
        <v>-0.191048425777234</v>
      </c>
    </row>
    <row r="23" customFormat="false" ht="15" hidden="false" customHeight="false" outlineLevel="0" collapsed="false">
      <c r="A23" s="74" t="s">
        <v>875</v>
      </c>
      <c r="B23" s="74" t="s">
        <v>1379</v>
      </c>
      <c r="C23" s="74" t="s">
        <v>238</v>
      </c>
      <c r="D23" s="10" t="n">
        <v>66.4</v>
      </c>
      <c r="E23" s="8" t="n">
        <v>2131200</v>
      </c>
      <c r="F23" s="7" t="n">
        <f aca="false">SUMIFS('MA Engine'!$X$6:$X$1110,'MA Engine'!$C$6:$C$1110,$A23,'MA Engine'!$D$6:$D$1110,"Karkas",'MA Engine'!$E$6:$E$1110,$C23,'MA Engine'!$F$6:$F$1110,$B23,'MA Engine'!$H$6:$H$1110,8,'MA Engine'!$I$6:$I$1110,"DO",'MA Engine'!$P$6:$P$1110,"&lt;&gt;Y")</f>
        <v>2304269.43540297</v>
      </c>
      <c r="G23" s="13" t="n">
        <f aca="false">SUMIFS(Unbilled!$K$22:$K$38,Unbilled!$G$22:$G$38,$A23,Unbilled!$H$22:$H$38,"Karkas",Unbilled!$I$22:$I$38,$C23,Unbilled!$J$22:$J$38,$B23)</f>
        <v>0</v>
      </c>
      <c r="H23" s="7" t="n">
        <f aca="false">SUMIFS(Unbilled!$U$22:$U$38,Unbilled!$G$22:$G$38,$A23,Unbilled!$H$22:$H$38,"Karkas",Unbilled!$I$22:$I$38,$C23,Unbilled!$J$22:$J$38,$B23)</f>
        <v>0</v>
      </c>
      <c r="I23" s="7" t="n">
        <f aca="false">SUMIFS(Unbilled!$O$22:$O$38,Unbilled!$G$22:$G$38,$A23,Unbilled!$H$22:$H$38,"Karkas",Unbilled!$I$22:$I$38,$C23,Unbilled!$J$22:$J$38,$B23)</f>
        <v>0</v>
      </c>
      <c r="J23" s="14" t="n">
        <f aca="false">D23+G23</f>
        <v>66.4</v>
      </c>
      <c r="K23" s="9" t="n">
        <f aca="false">E23+H23</f>
        <v>2131200</v>
      </c>
      <c r="L23" s="9" t="n">
        <f aca="false">F23+I23</f>
        <v>2304269.43540297</v>
      </c>
      <c r="M23" s="9" t="n">
        <f aca="false">IFERROR(K23/J23,0)</f>
        <v>32096.3855421687</v>
      </c>
      <c r="N23" s="9" t="n">
        <f aca="false">IFERROR(L23/J23,0)</f>
        <v>34702.8529428159</v>
      </c>
      <c r="O23" s="9" t="n">
        <f aca="false">K23-L23</f>
        <v>-173069.435402973</v>
      </c>
      <c r="P23" s="9" t="n">
        <f aca="false">IFERROR(O23/J23,0)</f>
        <v>-2606.46740064719</v>
      </c>
      <c r="Q23" s="21" t="n">
        <f aca="false">IFERROR(O23/K23,0)</f>
        <v>-0.0812075053504941</v>
      </c>
    </row>
    <row r="24" customFormat="false" ht="15" hidden="false" customHeight="false" outlineLevel="0" collapsed="false">
      <c r="A24" s="74" t="s">
        <v>875</v>
      </c>
      <c r="B24" s="74" t="s">
        <v>1380</v>
      </c>
      <c r="C24" s="74" t="s">
        <v>238</v>
      </c>
      <c r="D24" s="10" t="n">
        <v>1078.3</v>
      </c>
      <c r="E24" s="8" t="n">
        <v>32349900</v>
      </c>
      <c r="F24" s="7" t="n">
        <f aca="false">SUMIFS('MA Engine'!$X$6:$X$1110,'MA Engine'!$C$6:$C$1110,$A24,'MA Engine'!$D$6:$D$1110,"Karkas",'MA Engine'!$E$6:$E$1110,$C24,'MA Engine'!$F$6:$F$1110,$B24,'MA Engine'!$H$6:$H$1110,8,'MA Engine'!$I$6:$I$1110,"DO",'MA Engine'!$P$6:$P$1110,"&lt;&gt;Y")</f>
        <v>28402020.2567945</v>
      </c>
      <c r="G24" s="13" t="n">
        <f aca="false">SUMIFS(Unbilled!$K$22:$K$38,Unbilled!$G$22:$G$38,$A24,Unbilled!$H$22:$H$38,"Karkas",Unbilled!$I$22:$I$38,$C24,Unbilled!$J$22:$J$38,$B24)</f>
        <v>0</v>
      </c>
      <c r="H24" s="7" t="n">
        <f aca="false">SUMIFS(Unbilled!$U$22:$U$38,Unbilled!$G$22:$G$38,$A24,Unbilled!$H$22:$H$38,"Karkas",Unbilled!$I$22:$I$38,$C24,Unbilled!$J$22:$J$38,$B24)</f>
        <v>0</v>
      </c>
      <c r="I24" s="7" t="n">
        <f aca="false">SUMIFS(Unbilled!$O$22:$O$38,Unbilled!$G$22:$G$38,$A24,Unbilled!$H$22:$H$38,"Karkas",Unbilled!$I$22:$I$38,$C24,Unbilled!$J$22:$J$38,$B24)</f>
        <v>0</v>
      </c>
      <c r="J24" s="14" t="n">
        <f aca="false">D24+G24</f>
        <v>1078.3</v>
      </c>
      <c r="K24" s="9" t="n">
        <f aca="false">E24+H24</f>
        <v>32349900</v>
      </c>
      <c r="L24" s="9" t="n">
        <f aca="false">F24+I24</f>
        <v>28402020.2567945</v>
      </c>
      <c r="M24" s="9" t="n">
        <f aca="false">IFERROR(K24/J24,0)</f>
        <v>30000.8346471297</v>
      </c>
      <c r="N24" s="9" t="n">
        <f aca="false">IFERROR(L24/J24,0)</f>
        <v>26339.6274290962</v>
      </c>
      <c r="O24" s="9" t="n">
        <f aca="false">K24-L24</f>
        <v>3947879.74320553</v>
      </c>
      <c r="P24" s="9" t="n">
        <f aca="false">IFERROR(O24/J24,0)</f>
        <v>3661.2072180335</v>
      </c>
      <c r="Q24" s="21" t="n">
        <f aca="false">IFERROR(O24/K24,0)</f>
        <v>0.12203684534436</v>
      </c>
    </row>
    <row r="25" customFormat="false" ht="15" hidden="false" customHeight="false" outlineLevel="0" collapsed="false">
      <c r="A25" s="74" t="s">
        <v>875</v>
      </c>
      <c r="B25" s="74" t="s">
        <v>1381</v>
      </c>
      <c r="C25" s="74" t="s">
        <v>238</v>
      </c>
      <c r="D25" s="10" t="n">
        <v>450.2</v>
      </c>
      <c r="E25" s="8" t="n">
        <v>16639250</v>
      </c>
      <c r="F25" s="7" t="n">
        <f aca="false">SUMIFS('MA Engine'!$X$6:$X$1110,'MA Engine'!$C$6:$C$1110,$A25,'MA Engine'!$D$6:$D$1110,"Karkas",'MA Engine'!$E$6:$E$1110,$C25,'MA Engine'!$F$6:$F$1110,$B25,'MA Engine'!$H$6:$H$1110,8,'MA Engine'!$I$6:$I$1110,"DO",'MA Engine'!$P$6:$P$1110,"&lt;&gt;Y")</f>
        <v>16073197.4786722</v>
      </c>
      <c r="G25" s="13" t="n">
        <f aca="false">SUMIFS(Unbilled!$K$22:$K$38,Unbilled!$G$22:$G$38,$A25,Unbilled!$H$22:$H$38,"Karkas",Unbilled!$I$22:$I$38,$C25,Unbilled!$J$22:$J$38,$B25)</f>
        <v>0</v>
      </c>
      <c r="H25" s="7" t="n">
        <f aca="false">SUMIFS(Unbilled!$U$22:$U$38,Unbilled!$G$22:$G$38,$A25,Unbilled!$H$22:$H$38,"Karkas",Unbilled!$I$22:$I$38,$C25,Unbilled!$J$22:$J$38,$B25)</f>
        <v>0</v>
      </c>
      <c r="I25" s="7" t="n">
        <f aca="false">SUMIFS(Unbilled!$O$22:$O$38,Unbilled!$G$22:$G$38,$A25,Unbilled!$H$22:$H$38,"Karkas",Unbilled!$I$22:$I$38,$C25,Unbilled!$J$22:$J$38,$B25)</f>
        <v>0</v>
      </c>
      <c r="J25" s="14" t="n">
        <f aca="false">D25+G25</f>
        <v>450.2</v>
      </c>
      <c r="K25" s="9" t="n">
        <f aca="false">E25+H25</f>
        <v>16639250</v>
      </c>
      <c r="L25" s="9" t="n">
        <f aca="false">F25+I25</f>
        <v>16073197.4786722</v>
      </c>
      <c r="M25" s="9" t="n">
        <f aca="false">IFERROR(K25/J25,0)</f>
        <v>36959.6845846291</v>
      </c>
      <c r="N25" s="9" t="n">
        <f aca="false">IFERROR(L25/J25,0)</f>
        <v>35702.3489086454</v>
      </c>
      <c r="O25" s="9" t="n">
        <f aca="false">K25-L25</f>
        <v>566052.521327846</v>
      </c>
      <c r="P25" s="9" t="n">
        <f aca="false">IFERROR(O25/J25,0)</f>
        <v>1257.33567598366</v>
      </c>
      <c r="Q25" s="21" t="n">
        <f aca="false">IFERROR(O25/K25,0)</f>
        <v>0.0340191127200953</v>
      </c>
    </row>
    <row r="26" customFormat="false" ht="15" hidden="false" customHeight="false" outlineLevel="0" collapsed="false">
      <c r="A26" s="74" t="s">
        <v>875</v>
      </c>
      <c r="B26" s="74" t="s">
        <v>1438</v>
      </c>
      <c r="C26" s="74" t="s">
        <v>247</v>
      </c>
      <c r="D26" s="10" t="n">
        <v>811.3</v>
      </c>
      <c r="E26" s="8" t="n">
        <v>24338700</v>
      </c>
      <c r="F26" s="7" t="n">
        <f aca="false">SUMIFS('MA Engine'!$X$6:$X$1110,'MA Engine'!$C$6:$C$1110,$A26,'MA Engine'!$D$6:$D$1110,"Karkas",'MA Engine'!$E$6:$E$1110,$C26,'MA Engine'!$F$6:$F$1110,$B26,'MA Engine'!$H$6:$H$1110,8,'MA Engine'!$I$6:$I$1110,"DO",'MA Engine'!$P$6:$P$1110,"&lt;&gt;Y")</f>
        <v>21984386.316208</v>
      </c>
      <c r="G26" s="13" t="n">
        <f aca="false">SUMIFS(Unbilled!$K$22:$K$38,Unbilled!$G$22:$G$38,$A26,Unbilled!$H$22:$H$38,"Karkas",Unbilled!$I$22:$I$38,$C26,Unbilled!$J$22:$J$38,$B26)</f>
        <v>601.35</v>
      </c>
      <c r="H26" s="7" t="n">
        <f aca="false">SUMIFS(Unbilled!$U$22:$U$38,Unbilled!$G$22:$G$38,$A26,Unbilled!$H$22:$H$38,"Karkas",Unbilled!$I$22:$I$38,$C26,Unbilled!$J$22:$J$38,$B26)</f>
        <v>16860411.3134241</v>
      </c>
      <c r="I26" s="7" t="n">
        <f aca="false">SUMIFS(Unbilled!$O$22:$O$38,Unbilled!$G$22:$G$38,$A26,Unbilled!$H$22:$H$38,"Karkas",Unbilled!$I$22:$I$38,$C26,Unbilled!$J$22:$J$38,$B26)</f>
        <v>16295419.2844133</v>
      </c>
      <c r="J26" s="14" t="n">
        <f aca="false">D26+G26</f>
        <v>1412.65</v>
      </c>
      <c r="K26" s="9" t="n">
        <f aca="false">E26+H26</f>
        <v>41199111.3134241</v>
      </c>
      <c r="L26" s="9" t="n">
        <f aca="false">F26+I26</f>
        <v>38279805.6006214</v>
      </c>
      <c r="M26" s="9" t="n">
        <f aca="false">IFERROR(K26/J26,0)</f>
        <v>29164.41532823</v>
      </c>
      <c r="N26" s="9" t="n">
        <f aca="false">IFERROR(L26/J26,0)</f>
        <v>27097.8696779962</v>
      </c>
      <c r="O26" s="9" t="n">
        <f aca="false">K26-L26</f>
        <v>2919305.71280275</v>
      </c>
      <c r="P26" s="9" t="n">
        <f aca="false">IFERROR(O26/J26,0)</f>
        <v>2066.54565023378</v>
      </c>
      <c r="Q26" s="21" t="n">
        <f aca="false">IFERROR(O26/K26,0)</f>
        <v>0.0708584631982472</v>
      </c>
    </row>
    <row r="27" customFormat="false" ht="15" hidden="false" customHeight="false" outlineLevel="0" collapsed="false">
      <c r="A27" s="25" t="s">
        <v>1439</v>
      </c>
      <c r="D27" s="26" t="n">
        <f aca="false">SUM(D6:D26)</f>
        <v>51722.9</v>
      </c>
      <c r="E27" s="26" t="n">
        <f aca="false">SUM(E6:E26)</f>
        <v>1811968400</v>
      </c>
      <c r="F27" s="26" t="n">
        <f aca="false">SUM(F6:F26)</f>
        <v>1818546633.99267</v>
      </c>
      <c r="G27" s="26" t="n">
        <f aca="false">SUM(G6:G26)</f>
        <v>7384.45</v>
      </c>
      <c r="H27" s="26" t="n">
        <f aca="false">SUM(H6:H26)</f>
        <v>269530886.313424</v>
      </c>
      <c r="I27" s="26" t="n">
        <f aca="false">SUM(I6:I26)</f>
        <v>273353665.475605</v>
      </c>
      <c r="J27" s="26" t="n">
        <f aca="false">SUM(J6:J26)</f>
        <v>59107.35</v>
      </c>
      <c r="K27" s="26" t="n">
        <f aca="false">SUM(K6:K26)</f>
        <v>2081499286.31342</v>
      </c>
      <c r="L27" s="26" t="n">
        <f aca="false">SUM(L6:L26)</f>
        <v>2091900299.46827</v>
      </c>
      <c r="M27" s="26" t="n">
        <f aca="false">IFERROR(K27/J27,0)</f>
        <v>35215.574481235</v>
      </c>
      <c r="N27" s="26" t="n">
        <f aca="false">IFERROR(L27/J27,0)</f>
        <v>35391.5426671687</v>
      </c>
      <c r="O27" s="26" t="n">
        <f aca="false">K27-L27</f>
        <v>-10401013.1548481</v>
      </c>
      <c r="P27" s="26" t="n">
        <f aca="false">IFERROR(O27/J27,0)</f>
        <v>-175.968185933697</v>
      </c>
      <c r="Q27" s="27" t="n">
        <f aca="false">IFERROR(O27/K27,0)</f>
        <v>-0.0049968852851588</v>
      </c>
    </row>
    <row r="29" customFormat="false" ht="15" hidden="false" customHeight="false" outlineLevel="0" collapsed="false">
      <c r="A29" s="74" t="s">
        <v>878</v>
      </c>
      <c r="B29" s="74" t="s">
        <v>1437</v>
      </c>
      <c r="C29" s="74" t="s">
        <v>247</v>
      </c>
      <c r="D29" s="10" t="n">
        <v>469.2</v>
      </c>
      <c r="E29" s="8" t="n">
        <v>14076000</v>
      </c>
      <c r="F29" s="7" t="n">
        <f aca="false">SUMIFS('MA Engine'!$X$6:$X$1110,'MA Engine'!$C$6:$C$1110,$A29,'MA Engine'!$D$6:$D$1110,"Karkas",'MA Engine'!$E$6:$E$1110,$C29,'MA Engine'!$F$6:$F$1110,$B29,'MA Engine'!$H$6:$H$1110,8,'MA Engine'!$I$6:$I$1110,"DO",'MA Engine'!$P$6:$P$1110,"&lt;&gt;Y")</f>
        <v>14082893.7415619</v>
      </c>
      <c r="G29" s="13" t="n">
        <f aca="false">SUMIFS(Unbilled!$K$22:$K$38,Unbilled!$G$22:$G$38,$A29,Unbilled!$H$22:$H$38,"Karkas",Unbilled!$I$22:$I$38,$C29,Unbilled!$J$22:$J$38,$B29)</f>
        <v>0</v>
      </c>
      <c r="H29" s="7" t="n">
        <f aca="false">SUMIFS(Unbilled!$U$22:$U$38,Unbilled!$G$22:$G$38,$A29,Unbilled!$H$22:$H$38,"Karkas",Unbilled!$I$22:$I$38,$C29,Unbilled!$J$22:$J$38,$B29)</f>
        <v>0</v>
      </c>
      <c r="I29" s="7" t="n">
        <f aca="false">SUMIFS(Unbilled!$O$22:$O$38,Unbilled!$G$22:$G$38,$A29,Unbilled!$H$22:$H$38,"Karkas",Unbilled!$I$22:$I$38,$C29,Unbilled!$J$22:$J$38,$B29)</f>
        <v>0</v>
      </c>
      <c r="J29" s="14" t="n">
        <f aca="false">D29+G29</f>
        <v>469.2</v>
      </c>
      <c r="K29" s="9" t="n">
        <f aca="false">E29+H29</f>
        <v>14076000</v>
      </c>
      <c r="L29" s="9" t="n">
        <f aca="false">F29+I29</f>
        <v>14082893.7415619</v>
      </c>
      <c r="M29" s="9" t="n">
        <f aca="false">IFERROR(K29/J29,0)</f>
        <v>30000</v>
      </c>
      <c r="N29" s="9" t="n">
        <f aca="false">IFERROR(L29/J29,0)</f>
        <v>30014.6925438232</v>
      </c>
      <c r="O29" s="9" t="n">
        <f aca="false">K29-L29</f>
        <v>-6893.7415618524</v>
      </c>
      <c r="P29" s="9" t="n">
        <f aca="false">IFERROR(O29/J29,0)</f>
        <v>-14.6925438232148</v>
      </c>
      <c r="Q29" s="21" t="n">
        <f aca="false">IFERROR(O29/K29,0)</f>
        <v>-0.000489751460773828</v>
      </c>
    </row>
    <row r="30" customFormat="false" ht="15" hidden="false" customHeight="false" outlineLevel="0" collapsed="false">
      <c r="A30" s="74" t="s">
        <v>878</v>
      </c>
      <c r="B30" s="74" t="s">
        <v>1371</v>
      </c>
      <c r="C30" s="74" t="s">
        <v>247</v>
      </c>
      <c r="D30" s="10" t="n">
        <v>3811</v>
      </c>
      <c r="E30" s="8" t="n">
        <v>114330000</v>
      </c>
      <c r="F30" s="7" t="n">
        <f aca="false">SUMIFS('MA Engine'!$X$6:$X$1110,'MA Engine'!$C$6:$C$1110,$A30,'MA Engine'!$D$6:$D$1110,"Karkas",'MA Engine'!$E$6:$E$1110,$C30,'MA Engine'!$F$6:$F$1110,$B30,'MA Engine'!$H$6:$H$1110,8,'MA Engine'!$I$6:$I$1110,"DO",'MA Engine'!$P$6:$P$1110,"&lt;&gt;Y")</f>
        <v>114415223.699576</v>
      </c>
      <c r="G30" s="13" t="n">
        <f aca="false">SUMIFS(Unbilled!$K$22:$K$38,Unbilled!$G$22:$G$38,$A30,Unbilled!$H$22:$H$38,"Karkas",Unbilled!$I$22:$I$38,$C30,Unbilled!$J$22:$J$38,$B30)</f>
        <v>381.5</v>
      </c>
      <c r="H30" s="7" t="n">
        <f aca="false">SUMIFS(Unbilled!$U$22:$U$38,Unbilled!$G$22:$G$38,$A30,Unbilled!$H$22:$H$38,"Karkas",Unbilled!$I$22:$I$38,$C30,Unbilled!$J$22:$J$38,$B30)</f>
        <v>11769634.3785824</v>
      </c>
      <c r="I30" s="7" t="n">
        <f aca="false">SUMIFS(Unbilled!$O$22:$O$38,Unbilled!$G$22:$G$38,$A30,Unbilled!$H$22:$H$38,"Karkas",Unbilled!$I$22:$I$38,$C30,Unbilled!$J$22:$J$38,$B30)</f>
        <v>11453531.3149799</v>
      </c>
      <c r="J30" s="14" t="n">
        <f aca="false">D30+G30</f>
        <v>4192.5</v>
      </c>
      <c r="K30" s="9" t="n">
        <f aca="false">E30+H30</f>
        <v>126099634.378582</v>
      </c>
      <c r="L30" s="9" t="n">
        <f aca="false">F30+I30</f>
        <v>125868755.014556</v>
      </c>
      <c r="M30" s="9" t="n">
        <f aca="false">IFERROR(K30/J30,0)</f>
        <v>30077.4321713971</v>
      </c>
      <c r="N30" s="9" t="n">
        <f aca="false">IFERROR(L30/J30,0)</f>
        <v>30022.3625556484</v>
      </c>
      <c r="O30" s="9" t="n">
        <f aca="false">K30-L30</f>
        <v>230879.364026591</v>
      </c>
      <c r="P30" s="9" t="n">
        <f aca="false">IFERROR(O30/J30,0)</f>
        <v>55.0696157487397</v>
      </c>
      <c r="Q30" s="21" t="n">
        <f aca="false">IFERROR(O30/K30,0)</f>
        <v>0.00183092810034194</v>
      </c>
    </row>
    <row r="31" customFormat="false" ht="15" hidden="false" customHeight="false" outlineLevel="0" collapsed="false">
      <c r="A31" s="74" t="s">
        <v>878</v>
      </c>
      <c r="B31" s="74" t="s">
        <v>1372</v>
      </c>
      <c r="C31" s="74" t="s">
        <v>247</v>
      </c>
      <c r="D31" s="10" t="n">
        <v>7537.3</v>
      </c>
      <c r="E31" s="8" t="n">
        <v>232861721</v>
      </c>
      <c r="F31" s="7" t="n">
        <f aca="false">SUMIFS('MA Engine'!$X$6:$X$1110,'MA Engine'!$C$6:$C$1110,$A31,'MA Engine'!$D$6:$D$1110,"Karkas",'MA Engine'!$E$6:$E$1110,$C31,'MA Engine'!$F$6:$F$1110,$B31,'MA Engine'!$H$6:$H$1110,8,'MA Engine'!$I$6:$I$1110,"DO",'MA Engine'!$P$6:$P$1110,"&lt;&gt;Y")</f>
        <v>226333576.162307</v>
      </c>
      <c r="G31" s="13" t="n">
        <f aca="false">SUMIFS(Unbilled!$K$22:$K$38,Unbilled!$G$22:$G$38,$A31,Unbilled!$H$22:$H$38,"Karkas",Unbilled!$I$22:$I$38,$C31,Unbilled!$J$22:$J$38,$B31)</f>
        <v>518.22</v>
      </c>
      <c r="H31" s="7" t="n">
        <f aca="false">SUMIFS(Unbilled!$U$22:$U$38,Unbilled!$G$22:$G$38,$A31,Unbilled!$H$22:$H$38,"Karkas",Unbilled!$I$22:$I$38,$C31,Unbilled!$J$22:$J$38,$B31)</f>
        <v>16147386.8638978</v>
      </c>
      <c r="I31" s="7" t="n">
        <f aca="false">SUMIFS(Unbilled!$O$22:$O$38,Unbilled!$G$22:$G$38,$A31,Unbilled!$H$22:$H$38,"Karkas",Unbilled!$I$22:$I$38,$C31,Unbilled!$J$22:$J$38,$B31)</f>
        <v>15606288.2692157</v>
      </c>
      <c r="J31" s="14" t="n">
        <f aca="false">D31+G31</f>
        <v>8055.52</v>
      </c>
      <c r="K31" s="9" t="n">
        <f aca="false">E31+H31</f>
        <v>249009107.863898</v>
      </c>
      <c r="L31" s="9" t="n">
        <f aca="false">F31+I31</f>
        <v>241939864.431523</v>
      </c>
      <c r="M31" s="9" t="n">
        <f aca="false">IFERROR(K31/J31,0)</f>
        <v>30911.611896426</v>
      </c>
      <c r="N31" s="9" t="n">
        <f aca="false">IFERROR(L31/J31,0)</f>
        <v>30034.046769361</v>
      </c>
      <c r="O31" s="9" t="n">
        <f aca="false">K31-L31</f>
        <v>7069243.43237475</v>
      </c>
      <c r="P31" s="9" t="n">
        <f aca="false">IFERROR(O31/J31,0)</f>
        <v>877.565127065012</v>
      </c>
      <c r="Q31" s="21" t="n">
        <f aca="false">IFERROR(O31/K31,0)</f>
        <v>0.0283894974485777</v>
      </c>
    </row>
    <row r="32" customFormat="false" ht="15" hidden="false" customHeight="false" outlineLevel="0" collapsed="false">
      <c r="A32" s="74" t="s">
        <v>878</v>
      </c>
      <c r="B32" s="74" t="s">
        <v>1373</v>
      </c>
      <c r="C32" s="74" t="s">
        <v>247</v>
      </c>
      <c r="D32" s="10" t="n">
        <v>8964.2</v>
      </c>
      <c r="E32" s="8" t="n">
        <v>277086489</v>
      </c>
      <c r="F32" s="7" t="n">
        <f aca="false">SUMIFS('MA Engine'!$X$6:$X$1110,'MA Engine'!$C$6:$C$1110,$A32,'MA Engine'!$D$6:$D$1110,"Karkas",'MA Engine'!$E$6:$E$1110,$C32,'MA Engine'!$F$6:$F$1110,$B32,'MA Engine'!$H$6:$H$1110,8,'MA Engine'!$I$6:$I$1110,"DO",'MA Engine'!$P$6:$P$1110,"&lt;&gt;Y")</f>
        <v>270800492.937833</v>
      </c>
      <c r="G32" s="13" t="n">
        <f aca="false">SUMIFS(Unbilled!$K$22:$K$38,Unbilled!$G$22:$G$38,$A32,Unbilled!$H$22:$H$38,"Karkas",Unbilled!$I$22:$I$38,$C32,Unbilled!$J$22:$J$38,$B32)</f>
        <v>2001.88</v>
      </c>
      <c r="H32" s="7" t="n">
        <f aca="false">SUMIFS(Unbilled!$U$22:$U$38,Unbilled!$G$22:$G$38,$A32,Unbilled!$H$22:$H$38,"Karkas",Unbilled!$I$22:$I$38,$C32,Unbilled!$J$22:$J$38,$B32)</f>
        <v>62744758.6530992</v>
      </c>
      <c r="I32" s="7" t="n">
        <f aca="false">SUMIFS(Unbilled!$O$22:$O$38,Unbilled!$G$22:$G$38,$A32,Unbilled!$H$22:$H$38,"Karkas",Unbilled!$I$22:$I$38,$C32,Unbilled!$J$22:$J$38,$B32)</f>
        <v>60642183.1083981</v>
      </c>
      <c r="J32" s="14" t="n">
        <f aca="false">D32+G32</f>
        <v>10966.08</v>
      </c>
      <c r="K32" s="9" t="n">
        <f aca="false">E32+H32</f>
        <v>339831247.653099</v>
      </c>
      <c r="L32" s="9" t="n">
        <f aca="false">F32+I32</f>
        <v>331442676.046231</v>
      </c>
      <c r="M32" s="9" t="n">
        <f aca="false">IFERROR(K32/J32,0)</f>
        <v>30989.309548453</v>
      </c>
      <c r="N32" s="9" t="n">
        <f aca="false">IFERROR(L32/J32,0)</f>
        <v>30224.3532826891</v>
      </c>
      <c r="O32" s="9" t="n">
        <f aca="false">K32-L32</f>
        <v>8388571.60686821</v>
      </c>
      <c r="P32" s="9" t="n">
        <f aca="false">IFERROR(O32/J32,0)</f>
        <v>764.956265763902</v>
      </c>
      <c r="Q32" s="21" t="n">
        <f aca="false">IFERROR(O32/K32,0)</f>
        <v>0.0246845211109936</v>
      </c>
    </row>
    <row r="33" customFormat="false" ht="15" hidden="false" customHeight="false" outlineLevel="0" collapsed="false">
      <c r="A33" s="74" t="s">
        <v>878</v>
      </c>
      <c r="B33" s="74" t="s">
        <v>1374</v>
      </c>
      <c r="C33" s="74" t="s">
        <v>247</v>
      </c>
      <c r="D33" s="10" t="n">
        <v>5943.4</v>
      </c>
      <c r="E33" s="8" t="n">
        <v>191201021</v>
      </c>
      <c r="F33" s="7" t="n">
        <f aca="false">SUMIFS('MA Engine'!$X$6:$X$1110,'MA Engine'!$C$6:$C$1110,$A33,'MA Engine'!$D$6:$D$1110,"Karkas",'MA Engine'!$E$6:$E$1110,$C33,'MA Engine'!$F$6:$F$1110,$B33,'MA Engine'!$H$6:$H$1110,8,'MA Engine'!$I$6:$I$1110,"DO",'MA Engine'!$P$6:$P$1110,"&lt;&gt;Y")</f>
        <v>188793451.685027</v>
      </c>
      <c r="G33" s="13" t="n">
        <f aca="false">SUMIFS(Unbilled!$K$22:$K$38,Unbilled!$G$22:$G$38,$A33,Unbilled!$H$22:$H$38,"Karkas",Unbilled!$I$22:$I$38,$C33,Unbilled!$J$22:$J$38,$B33)</f>
        <v>931.21</v>
      </c>
      <c r="H33" s="7" t="n">
        <f aca="false">SUMIFS(Unbilled!$U$22:$U$38,Unbilled!$G$22:$G$38,$A33,Unbilled!$H$22:$H$38,"Karkas",Unbilled!$I$22:$I$38,$C33,Unbilled!$J$22:$J$38,$B33)</f>
        <v>30636679.4733614</v>
      </c>
      <c r="I33" s="7" t="n">
        <f aca="false">SUMIFS(Unbilled!$O$22:$O$38,Unbilled!$G$22:$G$38,$A33,Unbilled!$H$22:$H$38,"Karkas",Unbilled!$I$22:$I$38,$C33,Unbilled!$J$22:$J$38,$B33)</f>
        <v>29610044.98764</v>
      </c>
      <c r="J33" s="14" t="n">
        <f aca="false">D33+G33</f>
        <v>6874.61</v>
      </c>
      <c r="K33" s="9" t="n">
        <f aca="false">E33+H33</f>
        <v>221837700.473361</v>
      </c>
      <c r="L33" s="9" t="n">
        <f aca="false">F33+I33</f>
        <v>218403496.672667</v>
      </c>
      <c r="M33" s="9" t="n">
        <f aca="false">IFERROR(K33/J33,0)</f>
        <v>32269.1324269102</v>
      </c>
      <c r="N33" s="9" t="n">
        <f aca="false">IFERROR(L33/J33,0)</f>
        <v>31769.5835360358</v>
      </c>
      <c r="O33" s="9" t="n">
        <f aca="false">K33-L33</f>
        <v>3434203.80069417</v>
      </c>
      <c r="P33" s="9" t="n">
        <f aca="false">IFERROR(O33/J33,0)</f>
        <v>499.548890874416</v>
      </c>
      <c r="Q33" s="21" t="n">
        <f aca="false">IFERROR(O33/K33,0)</f>
        <v>0.0154807041064986</v>
      </c>
    </row>
    <row r="34" customFormat="false" ht="15" hidden="false" customHeight="false" outlineLevel="0" collapsed="false">
      <c r="A34" s="74" t="s">
        <v>878</v>
      </c>
      <c r="B34" s="74" t="s">
        <v>1375</v>
      </c>
      <c r="C34" s="74" t="s">
        <v>247</v>
      </c>
      <c r="D34" s="10" t="n">
        <v>40642.2</v>
      </c>
      <c r="E34" s="8" t="n">
        <v>1289275669</v>
      </c>
      <c r="F34" s="7" t="n">
        <f aca="false">SUMIFS('MA Engine'!$X$6:$X$1110,'MA Engine'!$C$6:$C$1110,$A34,'MA Engine'!$D$6:$D$1110,"Karkas",'MA Engine'!$E$6:$E$1110,$C34,'MA Engine'!$F$6:$F$1110,$B34,'MA Engine'!$H$6:$H$1110,8,'MA Engine'!$I$6:$I$1110,"DO",'MA Engine'!$P$6:$P$1110,"&lt;&gt;Y")</f>
        <v>1187428820.25893</v>
      </c>
      <c r="G34" s="13" t="n">
        <f aca="false">SUMIFS(Unbilled!$K$22:$K$38,Unbilled!$G$22:$G$38,$A34,Unbilled!$H$22:$H$38,"Karkas",Unbilled!$I$22:$I$38,$C34,Unbilled!$J$22:$J$38,$B34)</f>
        <v>0</v>
      </c>
      <c r="H34" s="7" t="n">
        <f aca="false">SUMIFS(Unbilled!$U$22:$U$38,Unbilled!$G$22:$G$38,$A34,Unbilled!$H$22:$H$38,"Karkas",Unbilled!$I$22:$I$38,$C34,Unbilled!$J$22:$J$38,$B34)</f>
        <v>0</v>
      </c>
      <c r="I34" s="7" t="n">
        <f aca="false">SUMIFS(Unbilled!$O$22:$O$38,Unbilled!$G$22:$G$38,$A34,Unbilled!$H$22:$H$38,"Karkas",Unbilled!$I$22:$I$38,$C34,Unbilled!$J$22:$J$38,$B34)</f>
        <v>0</v>
      </c>
      <c r="J34" s="14" t="n">
        <f aca="false">D34+G34</f>
        <v>40642.2</v>
      </c>
      <c r="K34" s="9" t="n">
        <f aca="false">E34+H34</f>
        <v>1289275669</v>
      </c>
      <c r="L34" s="9" t="n">
        <f aca="false">F34+I34</f>
        <v>1187428820.25893</v>
      </c>
      <c r="M34" s="9" t="n">
        <f aca="false">IFERROR(K34/J34,0)</f>
        <v>31722.5856129836</v>
      </c>
      <c r="N34" s="9" t="n">
        <f aca="false">IFERROR(L34/J34,0)</f>
        <v>29216.6472351135</v>
      </c>
      <c r="O34" s="9" t="n">
        <f aca="false">K34-L34</f>
        <v>101846848.741069</v>
      </c>
      <c r="P34" s="9" t="n">
        <f aca="false">IFERROR(O34/J34,0)</f>
        <v>2505.93837787002</v>
      </c>
      <c r="Q34" s="21" t="n">
        <f aca="false">IFERROR(O34/K34,0)</f>
        <v>0.0789954012085441</v>
      </c>
    </row>
    <row r="35" customFormat="false" ht="15" hidden="false" customHeight="false" outlineLevel="0" collapsed="false">
      <c r="A35" s="74" t="s">
        <v>878</v>
      </c>
      <c r="B35" s="74" t="s">
        <v>1376</v>
      </c>
      <c r="C35" s="74" t="s">
        <v>247</v>
      </c>
      <c r="D35" s="10" t="n">
        <v>8666.3</v>
      </c>
      <c r="E35" s="8" t="n">
        <v>267327396</v>
      </c>
      <c r="F35" s="7" t="n">
        <f aca="false">SUMIFS('MA Engine'!$X$6:$X$1110,'MA Engine'!$C$6:$C$1110,$A35,'MA Engine'!$D$6:$D$1110,"Karkas",'MA Engine'!$E$6:$E$1110,$C35,'MA Engine'!$F$6:$F$1110,$B35,'MA Engine'!$H$6:$H$1110,8,'MA Engine'!$I$6:$I$1110,"DO",'MA Engine'!$P$6:$P$1110,"&lt;&gt;Y")</f>
        <v>278848020.248113</v>
      </c>
      <c r="G35" s="13" t="n">
        <f aca="false">SUMIFS(Unbilled!$K$22:$K$38,Unbilled!$G$22:$G$38,$A35,Unbilled!$H$22:$H$38,"Karkas",Unbilled!$I$22:$I$38,$C35,Unbilled!$J$22:$J$38,$B35)</f>
        <v>788.1</v>
      </c>
      <c r="H35" s="7" t="n">
        <f aca="false">SUMIFS(Unbilled!$U$22:$U$38,Unbilled!$G$22:$G$38,$A35,Unbilled!$H$22:$H$38,"Karkas",Unbilled!$I$22:$I$38,$C35,Unbilled!$J$22:$J$38,$B35)</f>
        <v>25219200</v>
      </c>
      <c r="I35" s="7" t="n">
        <f aca="false">SUMIFS(Unbilled!$O$22:$O$38,Unbilled!$G$22:$G$38,$A35,Unbilled!$H$22:$H$38,"Karkas",Unbilled!$I$22:$I$38,$C35,Unbilled!$J$22:$J$38,$B35)</f>
        <v>25358039.5698076</v>
      </c>
      <c r="J35" s="14" t="n">
        <f aca="false">D35+G35</f>
        <v>9454.4</v>
      </c>
      <c r="K35" s="9" t="n">
        <f aca="false">E35+H35</f>
        <v>292546596</v>
      </c>
      <c r="L35" s="9" t="n">
        <f aca="false">F35+I35</f>
        <v>304206059.81792</v>
      </c>
      <c r="M35" s="9" t="n">
        <f aca="false">IFERROR(K35/J35,0)</f>
        <v>30942.904467761</v>
      </c>
      <c r="N35" s="9" t="n">
        <f aca="false">IFERROR(L35/J35,0)</f>
        <v>32176.1359597563</v>
      </c>
      <c r="O35" s="9" t="n">
        <f aca="false">K35-L35</f>
        <v>-11659463.8179202</v>
      </c>
      <c r="P35" s="9" t="n">
        <f aca="false">IFERROR(O35/J35,0)</f>
        <v>-1233.23149199528</v>
      </c>
      <c r="Q35" s="21" t="n">
        <f aca="false">IFERROR(O35/K35,0)</f>
        <v>-0.0398550657479542</v>
      </c>
    </row>
    <row r="36" customFormat="false" ht="15" hidden="false" customHeight="false" outlineLevel="0" collapsed="false">
      <c r="A36" s="74" t="s">
        <v>878</v>
      </c>
      <c r="B36" s="74" t="s">
        <v>1377</v>
      </c>
      <c r="C36" s="74" t="s">
        <v>247</v>
      </c>
      <c r="D36" s="10" t="n">
        <v>6879.3</v>
      </c>
      <c r="E36" s="8" t="n">
        <v>209313813</v>
      </c>
      <c r="F36" s="7" t="n">
        <f aca="false">SUMIFS('MA Engine'!$X$6:$X$1110,'MA Engine'!$C$6:$C$1110,$A36,'MA Engine'!$D$6:$D$1110,"Karkas",'MA Engine'!$E$6:$E$1110,$C36,'MA Engine'!$F$6:$F$1110,$B36,'MA Engine'!$H$6:$H$1110,8,'MA Engine'!$I$6:$I$1110,"DO",'MA Engine'!$P$6:$P$1110,"&lt;&gt;Y")</f>
        <v>220730333.902096</v>
      </c>
      <c r="G36" s="13" t="n">
        <f aca="false">SUMIFS(Unbilled!$K$22:$K$38,Unbilled!$G$22:$G$38,$A36,Unbilled!$H$22:$H$38,"Karkas",Unbilled!$I$22:$I$38,$C36,Unbilled!$J$22:$J$38,$B36)</f>
        <v>2704.1</v>
      </c>
      <c r="H36" s="7" t="n">
        <f aca="false">SUMIFS(Unbilled!$U$22:$U$38,Unbilled!$G$22:$G$38,$A36,Unbilled!$H$22:$H$38,"Karkas",Unbilled!$I$22:$I$38,$C36,Unbilled!$J$22:$J$38,$B36)</f>
        <v>89158773.0975038</v>
      </c>
      <c r="I36" s="7" t="n">
        <f aca="false">SUMIFS(Unbilled!$O$22:$O$38,Unbilled!$G$22:$G$38,$A36,Unbilled!$H$22:$H$38,"Karkas",Unbilled!$I$22:$I$38,$C36,Unbilled!$J$22:$J$38,$B36)</f>
        <v>86764190.5287832</v>
      </c>
      <c r="J36" s="14" t="n">
        <f aca="false">D36+G36</f>
        <v>9583.4</v>
      </c>
      <c r="K36" s="9" t="n">
        <f aca="false">E36+H36</f>
        <v>298472586.097504</v>
      </c>
      <c r="L36" s="9" t="n">
        <f aca="false">F36+I36</f>
        <v>307494524.43088</v>
      </c>
      <c r="M36" s="9" t="n">
        <f aca="false">IFERROR(K36/J36,0)</f>
        <v>31144.7488467041</v>
      </c>
      <c r="N36" s="9" t="n">
        <f aca="false">IFERROR(L36/J36,0)</f>
        <v>32086.1619499217</v>
      </c>
      <c r="O36" s="9" t="n">
        <f aca="false">K36-L36</f>
        <v>-9021938.33337569</v>
      </c>
      <c r="P36" s="9" t="n">
        <f aca="false">IFERROR(O36/J36,0)</f>
        <v>-941.413103217615</v>
      </c>
      <c r="Q36" s="21" t="n">
        <f aca="false">IFERROR(O36/K36,0)</f>
        <v>-0.030227025038837</v>
      </c>
    </row>
    <row r="37" customFormat="false" ht="15" hidden="false" customHeight="false" outlineLevel="0" collapsed="false">
      <c r="A37" s="74" t="s">
        <v>878</v>
      </c>
      <c r="B37" s="74" t="s">
        <v>1378</v>
      </c>
      <c r="C37" s="74" t="s">
        <v>247</v>
      </c>
      <c r="D37" s="10" t="n">
        <v>1617.1</v>
      </c>
      <c r="E37" s="8" t="n">
        <v>48538550</v>
      </c>
      <c r="F37" s="7" t="n">
        <f aca="false">SUMIFS('MA Engine'!$X$6:$X$1110,'MA Engine'!$C$6:$C$1110,$A37,'MA Engine'!$D$6:$D$1110,"Karkas",'MA Engine'!$E$6:$E$1110,$C37,'MA Engine'!$F$6:$F$1110,$B37,'MA Engine'!$H$6:$H$1110,8,'MA Engine'!$I$6:$I$1110,"DO",'MA Engine'!$P$6:$P$1110,"&lt;&gt;Y")</f>
        <v>37863162.3222995</v>
      </c>
      <c r="G37" s="13" t="n">
        <f aca="false">SUMIFS(Unbilled!$K$22:$K$38,Unbilled!$G$22:$G$38,$A37,Unbilled!$H$22:$H$38,"Karkas",Unbilled!$I$22:$I$38,$C37,Unbilled!$J$22:$J$38,$B37)</f>
        <v>261.5</v>
      </c>
      <c r="H37" s="7" t="n">
        <f aca="false">SUMIFS(Unbilled!$U$22:$U$38,Unbilled!$G$22:$G$38,$A37,Unbilled!$H$22:$H$38,"Karkas",Unbilled!$I$22:$I$38,$C37,Unbilled!$J$22:$J$38,$B37)</f>
        <v>6291805.13640638</v>
      </c>
      <c r="I37" s="7" t="n">
        <f aca="false">SUMIFS(Unbilled!$O$22:$O$38,Unbilled!$G$22:$G$38,$A37,Unbilled!$H$22:$H$38,"Karkas",Unbilled!$I$22:$I$38,$C37,Unbilled!$J$22:$J$38,$B37)</f>
        <v>6122822.92207119</v>
      </c>
      <c r="J37" s="14" t="n">
        <f aca="false">D37+G37</f>
        <v>1878.6</v>
      </c>
      <c r="K37" s="9" t="n">
        <f aca="false">E37+H37</f>
        <v>54830355.1364064</v>
      </c>
      <c r="L37" s="9" t="n">
        <f aca="false">F37+I37</f>
        <v>43985985.2443707</v>
      </c>
      <c r="M37" s="9" t="n">
        <f aca="false">IFERROR(K37/J37,0)</f>
        <v>29186.817383374</v>
      </c>
      <c r="N37" s="9" t="n">
        <f aca="false">IFERROR(L37/J37,0)</f>
        <v>23414.2367956833</v>
      </c>
      <c r="O37" s="9" t="n">
        <f aca="false">K37-L37</f>
        <v>10844369.8920357</v>
      </c>
      <c r="P37" s="9" t="n">
        <f aca="false">IFERROR(O37/J37,0)</f>
        <v>5772.58058769068</v>
      </c>
      <c r="Q37" s="21" t="n">
        <f aca="false">IFERROR(O37/K37,0)</f>
        <v>0.197780405854699</v>
      </c>
    </row>
    <row r="38" customFormat="false" ht="15" hidden="false" customHeight="false" outlineLevel="0" collapsed="false">
      <c r="A38" s="74" t="s">
        <v>878</v>
      </c>
      <c r="B38" s="74" t="s">
        <v>1379</v>
      </c>
      <c r="C38" s="74" t="s">
        <v>247</v>
      </c>
      <c r="D38" s="10" t="n">
        <v>131.9</v>
      </c>
      <c r="E38" s="8" t="n">
        <v>3957000</v>
      </c>
      <c r="F38" s="7" t="n">
        <f aca="false">SUMIFS('MA Engine'!$X$6:$X$1110,'MA Engine'!$C$6:$C$1110,$A38,'MA Engine'!$D$6:$D$1110,"Karkas",'MA Engine'!$E$6:$E$1110,$C38,'MA Engine'!$F$6:$F$1110,$B38,'MA Engine'!$H$6:$H$1110,8,'MA Engine'!$I$6:$I$1110,"DO",'MA Engine'!$P$6:$P$1110,"&lt;&gt;Y")</f>
        <v>3033700</v>
      </c>
      <c r="G38" s="13" t="n">
        <f aca="false">SUMIFS(Unbilled!$K$22:$K$38,Unbilled!$G$22:$G$38,$A38,Unbilled!$H$22:$H$38,"Karkas",Unbilled!$I$22:$I$38,$C38,Unbilled!$J$22:$J$38,$B38)</f>
        <v>0</v>
      </c>
      <c r="H38" s="7" t="n">
        <f aca="false">SUMIFS(Unbilled!$U$22:$U$38,Unbilled!$G$22:$G$38,$A38,Unbilled!$H$22:$H$38,"Karkas",Unbilled!$I$22:$I$38,$C38,Unbilled!$J$22:$J$38,$B38)</f>
        <v>0</v>
      </c>
      <c r="I38" s="7" t="n">
        <f aca="false">SUMIFS(Unbilled!$O$22:$O$38,Unbilled!$G$22:$G$38,$A38,Unbilled!$H$22:$H$38,"Karkas",Unbilled!$I$22:$I$38,$C38,Unbilled!$J$22:$J$38,$B38)</f>
        <v>0</v>
      </c>
      <c r="J38" s="14" t="n">
        <f aca="false">D38+G38</f>
        <v>131.9</v>
      </c>
      <c r="K38" s="9" t="n">
        <f aca="false">E38+H38</f>
        <v>3957000</v>
      </c>
      <c r="L38" s="9" t="n">
        <f aca="false">F38+I38</f>
        <v>3033700</v>
      </c>
      <c r="M38" s="9" t="n">
        <f aca="false">IFERROR(K38/J38,0)</f>
        <v>30000</v>
      </c>
      <c r="N38" s="9" t="n">
        <f aca="false">IFERROR(L38/J38,0)</f>
        <v>23000</v>
      </c>
      <c r="O38" s="9" t="n">
        <f aca="false">K38-L38</f>
        <v>923300</v>
      </c>
      <c r="P38" s="9" t="n">
        <f aca="false">IFERROR(O38/J38,0)</f>
        <v>7000</v>
      </c>
      <c r="Q38" s="21" t="n">
        <f aca="false">IFERROR(O38/K38,0)</f>
        <v>0.233333333333333</v>
      </c>
    </row>
    <row r="39" customFormat="false" ht="15" hidden="false" customHeight="false" outlineLevel="0" collapsed="false">
      <c r="A39" s="74" t="s">
        <v>878</v>
      </c>
      <c r="B39" s="74" t="s">
        <v>1380</v>
      </c>
      <c r="C39" s="74" t="s">
        <v>247</v>
      </c>
      <c r="D39" s="10" t="n">
        <v>0</v>
      </c>
      <c r="E39" s="8" t="n">
        <v>0</v>
      </c>
      <c r="F39" s="7" t="n">
        <f aca="false">SUMIFS('MA Engine'!$X$6:$X$1110,'MA Engine'!$C$6:$C$1110,$A39,'MA Engine'!$D$6:$D$1110,"Karkas",'MA Engine'!$E$6:$E$1110,$C39,'MA Engine'!$F$6:$F$1110,$B39,'MA Engine'!$H$6:$H$1110,8,'MA Engine'!$I$6:$I$1110,"DO",'MA Engine'!$P$6:$P$1110,"&lt;&gt;Y")</f>
        <v>0</v>
      </c>
      <c r="G39" s="13" t="n">
        <f aca="false">SUMIFS(Unbilled!$K$22:$K$38,Unbilled!$G$22:$G$38,$A39,Unbilled!$H$22:$H$38,"Karkas",Unbilled!$I$22:$I$38,$C39,Unbilled!$J$22:$J$38,$B39)</f>
        <v>285.9</v>
      </c>
      <c r="H39" s="7" t="n">
        <f aca="false">SUMIFS(Unbilled!$U$22:$U$38,Unbilled!$G$22:$G$38,$A39,Unbilled!$H$22:$H$38,"Karkas",Unbilled!$I$22:$I$38,$C39,Unbilled!$J$22:$J$38,$B39)</f>
        <v>6757181.05227711</v>
      </c>
      <c r="I39" s="7" t="n">
        <f aca="false">SUMIFS(Unbilled!$O$22:$O$38,Unbilled!$G$22:$G$38,$A39,Unbilled!$H$22:$H$38,"Karkas",Unbilled!$I$22:$I$38,$C39,Unbilled!$J$22:$J$38,$B39)</f>
        <v>6575700</v>
      </c>
      <c r="J39" s="14" t="n">
        <f aca="false">D39+G39</f>
        <v>285.9</v>
      </c>
      <c r="K39" s="9" t="n">
        <f aca="false">E39+H39</f>
        <v>6757181.05227711</v>
      </c>
      <c r="L39" s="9" t="n">
        <f aca="false">F39+I39</f>
        <v>6575700</v>
      </c>
      <c r="M39" s="9" t="n">
        <f aca="false">IFERROR(K39/J39,0)</f>
        <v>23634.7710817667</v>
      </c>
      <c r="N39" s="9" t="n">
        <f aca="false">IFERROR(L39/J39,0)</f>
        <v>23000</v>
      </c>
      <c r="O39" s="9" t="n">
        <f aca="false">K39-L39</f>
        <v>181481.052277113</v>
      </c>
      <c r="P39" s="9" t="n">
        <f aca="false">IFERROR(O39/J39,0)</f>
        <v>634.771081766748</v>
      </c>
      <c r="Q39" s="21" t="n">
        <f aca="false">IFERROR(O39/K39,0)</f>
        <v>0.0268575091999282</v>
      </c>
    </row>
    <row r="40" customFormat="false" ht="15" hidden="false" customHeight="false" outlineLevel="0" collapsed="false">
      <c r="A40" s="74" t="s">
        <v>878</v>
      </c>
      <c r="B40" s="74" t="s">
        <v>1381</v>
      </c>
      <c r="C40" s="74" t="s">
        <v>247</v>
      </c>
      <c r="D40" s="10" t="n">
        <v>0</v>
      </c>
      <c r="E40" s="8" t="n">
        <v>0</v>
      </c>
      <c r="F40" s="7" t="n">
        <f aca="false">SUMIFS('MA Engine'!$X$6:$X$1110,'MA Engine'!$C$6:$C$1110,$A40,'MA Engine'!$D$6:$D$1110,"Karkas",'MA Engine'!$E$6:$E$1110,$C40,'MA Engine'!$F$6:$F$1110,$B40,'MA Engine'!$H$6:$H$1110,8,'MA Engine'!$I$6:$I$1110,"DO",'MA Engine'!$P$6:$P$1110,"&lt;&gt;Y")</f>
        <v>0</v>
      </c>
      <c r="G40" s="13" t="n">
        <f aca="false">SUMIFS(Unbilled!$K$22:$K$38,Unbilled!$G$22:$G$38,$A40,Unbilled!$H$22:$H$38,"Karkas",Unbilled!$I$22:$I$38,$C40,Unbilled!$J$22:$J$38,$B40)</f>
        <v>273.8</v>
      </c>
      <c r="H40" s="7" t="n">
        <f aca="false">SUMIFS(Unbilled!$U$22:$U$38,Unbilled!$G$22:$G$38,$A40,Unbilled!$H$22:$H$38,"Karkas",Unbilled!$I$22:$I$38,$C40,Unbilled!$J$22:$J$38,$B40)</f>
        <v>6455837.72098459</v>
      </c>
      <c r="I40" s="7" t="n">
        <f aca="false">SUMIFS(Unbilled!$O$22:$O$38,Unbilled!$G$22:$G$38,$A40,Unbilled!$H$22:$H$38,"Karkas",Unbilled!$I$22:$I$38,$C40,Unbilled!$J$22:$J$38,$B40)</f>
        <v>6282450</v>
      </c>
      <c r="J40" s="14" t="n">
        <f aca="false">D40+G40</f>
        <v>273.8</v>
      </c>
      <c r="K40" s="9" t="n">
        <f aca="false">E40+H40</f>
        <v>6455837.72098459</v>
      </c>
      <c r="L40" s="9" t="n">
        <f aca="false">F40+I40</f>
        <v>6282450</v>
      </c>
      <c r="M40" s="9" t="n">
        <f aca="false">IFERROR(K40/J40,0)</f>
        <v>23578.6622388042</v>
      </c>
      <c r="N40" s="9" t="n">
        <f aca="false">IFERROR(L40/J40,0)</f>
        <v>22945.3981008035</v>
      </c>
      <c r="O40" s="9" t="n">
        <f aca="false">K40-L40</f>
        <v>173387.720984587</v>
      </c>
      <c r="P40" s="9" t="n">
        <f aca="false">IFERROR(O40/J40,0)</f>
        <v>633.264138000685</v>
      </c>
      <c r="Q40" s="21" t="n">
        <f aca="false">IFERROR(O40/K40,0)</f>
        <v>0.0268575091999283</v>
      </c>
    </row>
    <row r="41" customFormat="false" ht="15" hidden="false" customHeight="false" outlineLevel="0" collapsed="false">
      <c r="A41" s="74" t="s">
        <v>878</v>
      </c>
      <c r="B41" s="74" t="s">
        <v>1385</v>
      </c>
      <c r="C41" s="74" t="s">
        <v>247</v>
      </c>
      <c r="D41" s="10" t="n">
        <v>0</v>
      </c>
      <c r="E41" s="8" t="n">
        <v>0</v>
      </c>
      <c r="F41" s="7" t="n">
        <f aca="false">SUMIFS('MA Engine'!$X$6:$X$1110,'MA Engine'!$C$6:$C$1110,$A41,'MA Engine'!$D$6:$D$1110,"Karkas",'MA Engine'!$E$6:$E$1110,$C41,'MA Engine'!$F$6:$F$1110,$B41,'MA Engine'!$H$6:$H$1110,8,'MA Engine'!$I$6:$I$1110,"DO",'MA Engine'!$P$6:$P$1110,"&lt;&gt;Y")</f>
        <v>0</v>
      </c>
      <c r="G41" s="13" t="n">
        <f aca="false">SUMIFS(Unbilled!$K$22:$K$38,Unbilled!$G$22:$G$38,$A41,Unbilled!$H$22:$H$38,"Karkas",Unbilled!$I$22:$I$38,$C41,Unbilled!$J$22:$J$38,$B41)</f>
        <v>82.5</v>
      </c>
      <c r="H41" s="7" t="n">
        <f aca="false">SUMIFS(Unbilled!$U$22:$U$38,Unbilled!$G$22:$G$38,$A41,Unbilled!$H$22:$H$38,"Karkas",Unbilled!$I$22:$I$38,$C41,Unbilled!$J$22:$J$38,$B41)</f>
        <v>1949868.61424576</v>
      </c>
      <c r="I41" s="7" t="n">
        <f aca="false">SUMIFS(Unbilled!$O$22:$O$38,Unbilled!$G$22:$G$38,$A41,Unbilled!$H$22:$H$38,"Karkas",Unbilled!$I$22:$I$38,$C41,Unbilled!$J$22:$J$38,$B41)</f>
        <v>1897500</v>
      </c>
      <c r="J41" s="14" t="n">
        <f aca="false">D41+G41</f>
        <v>82.5</v>
      </c>
      <c r="K41" s="9" t="n">
        <f aca="false">E41+H41</f>
        <v>1949868.61424576</v>
      </c>
      <c r="L41" s="9" t="n">
        <f aca="false">F41+I41</f>
        <v>1897500</v>
      </c>
      <c r="M41" s="9" t="n">
        <f aca="false">IFERROR(K41/J41,0)</f>
        <v>23634.7710817667</v>
      </c>
      <c r="N41" s="9" t="n">
        <f aca="false">IFERROR(L41/J41,0)</f>
        <v>23000</v>
      </c>
      <c r="O41" s="9" t="n">
        <f aca="false">K41-L41</f>
        <v>52368.6142457568</v>
      </c>
      <c r="P41" s="9" t="n">
        <f aca="false">IFERROR(O41/J41,0)</f>
        <v>634.771081766749</v>
      </c>
      <c r="Q41" s="21" t="n">
        <f aca="false">IFERROR(O41/K41,0)</f>
        <v>0.0268575091999283</v>
      </c>
    </row>
    <row r="42" customFormat="false" ht="15" hidden="false" customHeight="false" outlineLevel="0" collapsed="false">
      <c r="A42" s="25" t="s">
        <v>1440</v>
      </c>
      <c r="D42" s="26" t="n">
        <f aca="false">SUM(D29:D41)</f>
        <v>84661.9</v>
      </c>
      <c r="E42" s="26" t="n">
        <f aca="false">SUM(E29:E41)</f>
        <v>2647967659</v>
      </c>
      <c r="F42" s="26" t="n">
        <f aca="false">SUM(F29:F41)</f>
        <v>2542329674.95774</v>
      </c>
      <c r="G42" s="26" t="n">
        <f aca="false">SUM(G29:G41)</f>
        <v>8228.71</v>
      </c>
      <c r="H42" s="26" t="n">
        <f aca="false">SUM(H29:H41)</f>
        <v>257131124.990358</v>
      </c>
      <c r="I42" s="26" t="n">
        <f aca="false">SUM(I29:I41)</f>
        <v>250312750.700896</v>
      </c>
      <c r="J42" s="26" t="n">
        <f aca="false">SUM(J29:J41)</f>
        <v>92890.61</v>
      </c>
      <c r="K42" s="26" t="n">
        <f aca="false">SUM(K29:K41)</f>
        <v>2905098783.99036</v>
      </c>
      <c r="L42" s="26" t="n">
        <f aca="false">SUM(L29:L41)</f>
        <v>2792642425.65864</v>
      </c>
      <c r="M42" s="26" t="n">
        <f aca="false">IFERROR(K42/J42,0)</f>
        <v>31274.4074346197</v>
      </c>
      <c r="N42" s="26" t="n">
        <f aca="false">IFERROR(L42/J42,0)</f>
        <v>30063.7752907279</v>
      </c>
      <c r="O42" s="26" t="n">
        <f aca="false">K42-L42</f>
        <v>112456358.331718</v>
      </c>
      <c r="P42" s="26" t="n">
        <f aca="false">IFERROR(O42/J42,0)</f>
        <v>1210.63214389181</v>
      </c>
      <c r="Q42" s="27" t="n">
        <f aca="false">IFERROR(O42/K42,0)</f>
        <v>0.0387099946313189</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4" min="3" style="0" width="12"/>
    <col collapsed="false" customWidth="true" hidden="false" outlineLevel="0" max="5" min="5" style="0" width="15"/>
    <col collapsed="false" customWidth="true" hidden="false" outlineLevel="0" max="6" min="6" style="0" width="12"/>
    <col collapsed="false" customWidth="true" hidden="false" outlineLevel="0" max="7" min="7" style="0" width="15"/>
    <col collapsed="false" customWidth="true" hidden="false" outlineLevel="0" max="8" min="8" style="0" width="12"/>
    <col collapsed="false" customWidth="true" hidden="false" outlineLevel="0" max="9" min="9" style="0" width="15"/>
    <col collapsed="false" customWidth="true" hidden="false" outlineLevel="0" max="10" min="10" style="0" width="11"/>
  </cols>
  <sheetData>
    <row r="1" customFormat="false" ht="15" hidden="false" customHeight="false" outlineLevel="0" collapsed="false">
      <c r="A1" s="1" t="s">
        <v>1441</v>
      </c>
    </row>
    <row r="2" customFormat="false" ht="15" hidden="false" customHeight="false" outlineLevel="0" collapsed="false">
      <c r="A2" s="4" t="s">
        <v>1442</v>
      </c>
    </row>
    <row r="5" customFormat="false" ht="30" hidden="false" customHeight="true" outlineLevel="0" collapsed="false">
      <c r="B5" s="5" t="s">
        <v>125</v>
      </c>
      <c r="C5" s="5" t="s">
        <v>225</v>
      </c>
      <c r="D5" s="5" t="s">
        <v>1443</v>
      </c>
      <c r="E5" s="5" t="s">
        <v>1444</v>
      </c>
      <c r="F5" s="5" t="s">
        <v>1445</v>
      </c>
      <c r="G5" s="5" t="s">
        <v>1446</v>
      </c>
      <c r="H5" s="5" t="s">
        <v>1447</v>
      </c>
      <c r="I5" s="5" t="s">
        <v>1448</v>
      </c>
      <c r="J5" s="5" t="s">
        <v>1449</v>
      </c>
    </row>
    <row r="6" customFormat="false" ht="15" hidden="false" customHeight="false" outlineLevel="0" collapsed="false">
      <c r="B6" s="6" t="s">
        <v>242</v>
      </c>
      <c r="C6" s="6" t="s">
        <v>237</v>
      </c>
      <c r="D6" s="7" t="n">
        <f aca="false">SUMIFS('Data SKU'!$F$5:$F$116,'Data SKU'!$A$5:$A$116,"RPA",'Data SKU'!$B$5:$B$116,$B6,'Data SKU'!$C$5:$C$116,$C6,'Data SKU'!$D$5:$D$116,8)</f>
        <v>3666.8</v>
      </c>
      <c r="E6" s="7" t="n">
        <f aca="false">SUMIFS('Data SKU'!$G$5:$G$116,'Data SKU'!$A$5:$A$116,"RPA",'Data SKU'!$B$5:$B$116,$B6,'Data SKU'!$C$5:$C$116,$C6,'Data SKU'!$D$5:$D$116,8)</f>
        <v>11370200</v>
      </c>
      <c r="F6" s="9" t="n">
        <f aca="false">IFERROR(E6/D6,0)</f>
        <v>3100.85087814989</v>
      </c>
      <c r="G6" s="7" t="n">
        <f aca="false">SUMIFS('Data SKU'!$H$5:$H$116,'Data SKU'!$A$5:$A$116,"RPA",'Data SKU'!$B$5:$B$116,$B6,'Data SKU'!$C$5:$C$116,$C6,'Data SKU'!$D$5:$D$116,8)</f>
        <v>50747540.9406448</v>
      </c>
      <c r="H6" s="9" t="n">
        <f aca="false">IFERROR(G6/D6,0)</f>
        <v>13839.7351752604</v>
      </c>
      <c r="I6" s="9" t="n">
        <f aca="false">E6-G6</f>
        <v>-39377340.9406448</v>
      </c>
      <c r="J6" s="87" t="n">
        <f aca="false">IFERROR(G6/E6,0)</f>
        <v>4.4632056551903</v>
      </c>
    </row>
    <row r="7" customFormat="false" ht="15" hidden="false" customHeight="false" outlineLevel="0" collapsed="false">
      <c r="B7" s="6" t="s">
        <v>244</v>
      </c>
      <c r="C7" s="6" t="s">
        <v>237</v>
      </c>
      <c r="D7" s="7" t="n">
        <f aca="false">SUMIFS('Data SKU'!$F$5:$F$116,'Data SKU'!$A$5:$A$116,"RPA",'Data SKU'!$B$5:$B$116,$B7,'Data SKU'!$C$5:$C$116,$C7,'Data SKU'!$D$5:$D$116,8)</f>
        <v>6714.4</v>
      </c>
      <c r="E7" s="7" t="n">
        <f aca="false">SUMIFS('Data SKU'!$G$5:$G$116,'Data SKU'!$A$5:$A$116,"RPA",'Data SKU'!$B$5:$B$116,$B7,'Data SKU'!$C$5:$C$116,$C7,'Data SKU'!$D$5:$D$116,8)</f>
        <v>30317650</v>
      </c>
      <c r="F7" s="9" t="n">
        <f aca="false">IFERROR(E7/D7,0)</f>
        <v>4515.31782437746</v>
      </c>
      <c r="G7" s="7" t="n">
        <f aca="false">SUMIFS('Data SKU'!$H$5:$H$116,'Data SKU'!$A$5:$A$116,"RPA",'Data SKU'!$B$5:$B$116,$B7,'Data SKU'!$C$5:$C$116,$C7,'Data SKU'!$D$5:$D$116,8)</f>
        <v>20555649.2482591</v>
      </c>
      <c r="H7" s="9" t="n">
        <f aca="false">IFERROR(G7/D7,0)</f>
        <v>3061.42756586725</v>
      </c>
      <c r="I7" s="9" t="n">
        <f aca="false">E7-G7</f>
        <v>9762000.75174093</v>
      </c>
      <c r="J7" s="87" t="n">
        <f aca="false">IFERROR(G7/E7,0)</f>
        <v>0.67800931959631</v>
      </c>
    </row>
    <row r="8" customFormat="false" ht="15" hidden="false" customHeight="false" outlineLevel="0" collapsed="false">
      <c r="B8" s="6" t="s">
        <v>244</v>
      </c>
      <c r="C8" s="6" t="s">
        <v>238</v>
      </c>
      <c r="D8" s="7" t="n">
        <f aca="false">SUMIFS('Data SKU'!$F$5:$F$116,'Data SKU'!$A$5:$A$116,"RPA",'Data SKU'!$B$5:$B$116,$B8,'Data SKU'!$C$5:$C$116,$C8,'Data SKU'!$D$5:$D$116,8)</f>
        <v>221.5</v>
      </c>
      <c r="E8" s="7" t="n">
        <f aca="false">SUMIFS('Data SKU'!$G$5:$G$116,'Data SKU'!$A$5:$A$116,"RPA",'Data SKU'!$B$5:$B$116,$B8,'Data SKU'!$C$5:$C$116,$C8,'Data SKU'!$D$5:$D$116,8)</f>
        <v>1107500</v>
      </c>
      <c r="F8" s="9" t="n">
        <f aca="false">IFERROR(E8/D8,0)</f>
        <v>5000</v>
      </c>
      <c r="G8" s="7" t="n">
        <f aca="false">SUMIFS('Data SKU'!$H$5:$H$116,'Data SKU'!$A$5:$A$116,"RPA",'Data SKU'!$B$5:$B$116,$B8,'Data SKU'!$C$5:$C$116,$C8,'Data SKU'!$D$5:$D$116,8)</f>
        <v>122857.346346631</v>
      </c>
      <c r="H8" s="9" t="n">
        <f aca="false">IFERROR(G8/D8,0)</f>
        <v>554.660705853865</v>
      </c>
      <c r="I8" s="9" t="n">
        <f aca="false">E8-G8</f>
        <v>984642.653653369</v>
      </c>
      <c r="J8" s="87" t="n">
        <f aca="false">IFERROR(G8/E8,0)</f>
        <v>0.110932141170773</v>
      </c>
    </row>
    <row r="9" customFormat="false" ht="15" hidden="false" customHeight="false" outlineLevel="0" collapsed="false">
      <c r="B9" s="6" t="s">
        <v>248</v>
      </c>
      <c r="C9" s="6" t="s">
        <v>237</v>
      </c>
      <c r="D9" s="7" t="n">
        <f aca="false">SUMIFS('Data SKU'!$F$5:$F$116,'Data SKU'!$A$5:$A$116,"RPA",'Data SKU'!$B$5:$B$116,$B9,'Data SKU'!$C$5:$C$116,$C9,'Data SKU'!$D$5:$D$116,8)</f>
        <v>5642.2</v>
      </c>
      <c r="E9" s="7" t="n">
        <f aca="false">SUMIFS('Data SKU'!$G$5:$G$116,'Data SKU'!$A$5:$A$116,"RPA",'Data SKU'!$B$5:$B$116,$B9,'Data SKU'!$C$5:$C$116,$C9,'Data SKU'!$D$5:$D$116,8)</f>
        <v>22730600</v>
      </c>
      <c r="F9" s="9" t="n">
        <f aca="false">IFERROR(E9/D9,0)</f>
        <v>4028.67675729325</v>
      </c>
      <c r="G9" s="7" t="n">
        <f aca="false">SUMIFS('Data SKU'!$H$5:$H$116,'Data SKU'!$A$5:$A$116,"RPA",'Data SKU'!$B$5:$B$116,$B9,'Data SKU'!$C$5:$C$116,$C9,'Data SKU'!$D$5:$D$116,8)</f>
        <v>71348082.8503753</v>
      </c>
      <c r="H9" s="9" t="n">
        <f aca="false">IFERROR(G9/D9,0)</f>
        <v>12645.4366825663</v>
      </c>
      <c r="I9" s="9" t="n">
        <f aca="false">E9-G9</f>
        <v>-48617482.8503753</v>
      </c>
      <c r="J9" s="87" t="n">
        <f aca="false">IFERROR(G9/E9,0)</f>
        <v>3.138856116881</v>
      </c>
    </row>
    <row r="10" customFormat="false" ht="15" hidden="false" customHeight="false" outlineLevel="0" collapsed="false">
      <c r="B10" s="6" t="s">
        <v>248</v>
      </c>
      <c r="C10" s="6" t="s">
        <v>238</v>
      </c>
      <c r="D10" s="7" t="n">
        <f aca="false">SUMIFS('Data SKU'!$F$5:$F$116,'Data SKU'!$A$5:$A$116,"RPA",'Data SKU'!$B$5:$B$116,$B10,'Data SKU'!$C$5:$C$116,$C10,'Data SKU'!$D$5:$D$116,8)</f>
        <v>163.8</v>
      </c>
      <c r="E10" s="7" t="n">
        <f aca="false">SUMIFS('Data SKU'!$G$5:$G$116,'Data SKU'!$A$5:$A$116,"RPA",'Data SKU'!$B$5:$B$116,$B10,'Data SKU'!$C$5:$C$116,$C10,'Data SKU'!$D$5:$D$116,8)</f>
        <v>819000</v>
      </c>
      <c r="F10" s="9" t="n">
        <f aca="false">IFERROR(E10/D10,0)</f>
        <v>5000</v>
      </c>
      <c r="G10" s="7" t="n">
        <f aca="false">SUMIFS('Data SKU'!$H$5:$H$116,'Data SKU'!$A$5:$A$116,"RPA",'Data SKU'!$B$5:$B$116,$B10,'Data SKU'!$C$5:$C$116,$C10,'Data SKU'!$D$5:$D$116,8)</f>
        <v>1277198.16186701</v>
      </c>
      <c r="H10" s="9" t="n">
        <f aca="false">IFERROR(G10/D10,0)</f>
        <v>7797.30257550066</v>
      </c>
      <c r="I10" s="9" t="n">
        <f aca="false">E10-G10</f>
        <v>-458198.161867009</v>
      </c>
      <c r="J10" s="87" t="n">
        <f aca="false">IFERROR(G10/E10,0)</f>
        <v>1.55946051510013</v>
      </c>
    </row>
    <row r="11" customFormat="false" ht="15" hidden="false" customHeight="false" outlineLevel="0" collapsed="false">
      <c r="B11" s="6" t="s">
        <v>253</v>
      </c>
      <c r="C11" s="6" t="s">
        <v>237</v>
      </c>
      <c r="D11" s="7" t="n">
        <f aca="false">SUMIFS('Data SKU'!$F$5:$F$116,'Data SKU'!$A$5:$A$116,"RPA",'Data SKU'!$B$5:$B$116,$B11,'Data SKU'!$C$5:$C$116,$C11,'Data SKU'!$D$5:$D$116,8)</f>
        <v>5444.1</v>
      </c>
      <c r="E11" s="7" t="n">
        <f aca="false">SUMIFS('Data SKU'!$G$5:$G$116,'Data SKU'!$A$5:$A$116,"RPA",'Data SKU'!$B$5:$B$116,$B11,'Data SKU'!$C$5:$C$116,$C11,'Data SKU'!$D$5:$D$116,8)</f>
        <v>8166150</v>
      </c>
      <c r="F11" s="9" t="n">
        <f aca="false">IFERROR(E11/D11,0)</f>
        <v>1500</v>
      </c>
      <c r="G11" s="7" t="n">
        <f aca="false">SUMIFS('Data SKU'!$H$5:$H$116,'Data SKU'!$A$5:$A$116,"RPA",'Data SKU'!$B$5:$B$116,$B11,'Data SKU'!$C$5:$C$116,$C11,'Data SKU'!$D$5:$D$116,8)</f>
        <v>14108925.2039693</v>
      </c>
      <c r="H11" s="9" t="n">
        <f aca="false">IFERROR(G11/D11,0)</f>
        <v>2591.5991998621</v>
      </c>
      <c r="I11" s="9" t="n">
        <f aca="false">E11-G11</f>
        <v>-5942775.20396928</v>
      </c>
      <c r="J11" s="87" t="n">
        <f aca="false">IFERROR(G11/E11,0)</f>
        <v>1.72773279990807</v>
      </c>
    </row>
    <row r="12" customFormat="false" ht="15" hidden="false" customHeight="false" outlineLevel="0" collapsed="false">
      <c r="B12" s="25" t="s">
        <v>1450</v>
      </c>
      <c r="D12" s="26" t="n">
        <f aca="false">SUM(D6:D11)</f>
        <v>21852.8</v>
      </c>
      <c r="E12" s="26" t="n">
        <f aca="false">SUM(E6:E11)</f>
        <v>74511100</v>
      </c>
      <c r="F12" s="26" t="n">
        <f aca="false">IFERROR(E12/D12,0)</f>
        <v>3409.68205447357</v>
      </c>
      <c r="G12" s="26" t="n">
        <f aca="false">SUM(G6:G11)</f>
        <v>158160253.751462</v>
      </c>
      <c r="H12" s="26" t="n">
        <f aca="false">IFERROR(G12/D12,0)</f>
        <v>7237.52808571268</v>
      </c>
      <c r="I12" s="26" t="n">
        <f aca="false">SUM(I6:I11)</f>
        <v>-83649153.7514621</v>
      </c>
      <c r="J12" s="88" t="n">
        <f aca="false">IFERROR(G12/E12,0)</f>
        <v>2.12264016705514</v>
      </c>
    </row>
    <row r="14" customFormat="false" ht="15" hidden="false" customHeight="false" outlineLevel="0" collapsed="false">
      <c r="B14" s="18" t="s">
        <v>1451</v>
      </c>
    </row>
    <row r="15" customFormat="false" ht="15" hidden="false" customHeight="false" outlineLevel="0" collapsed="false">
      <c r="B15" s="6" t="s">
        <v>1452</v>
      </c>
      <c r="E15" s="9" t="n">
        <f aca="false">-I12</f>
        <v>83649153.7514621</v>
      </c>
    </row>
    <row r="16" customFormat="false" ht="15" hidden="false" customHeight="false" outlineLevel="0" collapsed="false">
      <c r="B16" s="6" t="s">
        <v>1453</v>
      </c>
      <c r="E16" s="7" t="n">
        <f aca="false">'Segment GP'!M18-I12</f>
        <v>20186910.8067986</v>
      </c>
    </row>
    <row r="17" customFormat="false" ht="15" hidden="false" customHeight="false" outlineLevel="0" collapsed="false">
      <c r="B17" s="11" t="s">
        <v>1454</v>
      </c>
      <c r="E17" s="16" t="n">
        <f aca="false">E16-E15</f>
        <v>-63462242.9446635</v>
      </c>
    </row>
    <row r="18" customFormat="false" ht="15" hidden="false" customHeight="false" outlineLevel="0" collapsed="false">
      <c r="B18" s="6" t="s">
        <v>1455</v>
      </c>
      <c r="E18" s="9" t="n">
        <f aca="false">ROUND(E17-'Segment GP'!M18,0)</f>
        <v>0</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26"/>
    <col collapsed="false" customWidth="true" hidden="false" outlineLevel="0" max="4" min="4" style="0" width="12"/>
    <col collapsed="false" customWidth="true" hidden="false" outlineLevel="0" max="10" min="5" style="0" width="14"/>
    <col collapsed="false" customWidth="true" hidden="false" outlineLevel="0" max="11" min="11" style="0" width="16"/>
  </cols>
  <sheetData>
    <row r="1" customFormat="false" ht="15" hidden="false" customHeight="false" outlineLevel="0" collapsed="false">
      <c r="A1" s="1" t="s">
        <v>1456</v>
      </c>
    </row>
    <row r="2" customFormat="false" ht="15" hidden="false" customHeight="false" outlineLevel="0" collapsed="false">
      <c r="A2" s="4" t="s">
        <v>1457</v>
      </c>
    </row>
    <row r="5" customFormat="false" ht="30" hidden="false" customHeight="true" outlineLevel="0" collapsed="false">
      <c r="B5" s="5" t="s">
        <v>862</v>
      </c>
      <c r="C5" s="5" t="s">
        <v>1458</v>
      </c>
      <c r="D5" s="5" t="s">
        <v>731</v>
      </c>
      <c r="E5" s="5" t="s">
        <v>732</v>
      </c>
      <c r="F5" s="5" t="s">
        <v>733</v>
      </c>
      <c r="G5" s="5" t="s">
        <v>734</v>
      </c>
      <c r="H5" s="5" t="s">
        <v>184</v>
      </c>
      <c r="I5" s="5" t="s">
        <v>185</v>
      </c>
      <c r="J5" s="5" t="s">
        <v>1459</v>
      </c>
    </row>
    <row r="6" customFormat="false" ht="15" hidden="false" customHeight="false" outlineLevel="0" collapsed="false">
      <c r="B6" s="6" t="s">
        <v>875</v>
      </c>
      <c r="C6" s="6" t="s">
        <v>1460</v>
      </c>
      <c r="D6" s="7" t="n">
        <f aca="false">SUMIFS('Data SKU'!$F$5:$F$116,'Data SKU'!$A$5:$A$116,$B6,'Data SKU'!$C$5:$C$116,"Fresh",'Data SKU'!$D$5:$D$116,3)</f>
        <v>7865.7</v>
      </c>
      <c r="E6" s="7" t="n">
        <f aca="false">SUMIFS('Data SKU'!$F$5:$F$116,'Data SKU'!$A$5:$A$116,$B6,'Data SKU'!$C$5:$C$116,"Fresh",'Data SKU'!$D$5:$D$116,4)</f>
        <v>31829.82</v>
      </c>
      <c r="F6" s="7" t="n">
        <f aca="false">SUMIFS('Data SKU'!$F$5:$F$116,'Data SKU'!$A$5:$A$116,$B6,'Data SKU'!$C$5:$C$116,"Fresh",'Data SKU'!$D$5:$D$116,5)</f>
        <v>35725.16</v>
      </c>
      <c r="G6" s="7" t="n">
        <f aca="false">SUMIFS('Data SKU'!$F$5:$F$116,'Data SKU'!$A$5:$A$116,$B6,'Data SKU'!$C$5:$C$116,"Fresh",'Data SKU'!$D$5:$D$116,6)</f>
        <v>0</v>
      </c>
      <c r="H6" s="7" t="n">
        <f aca="false">SUMIFS('Data SKU'!$F$5:$F$116,'Data SKU'!$A$5:$A$116,$B6,'Data SKU'!$C$5:$C$116,"Fresh",'Data SKU'!$D$5:$D$116,7)</f>
        <v>453.8</v>
      </c>
      <c r="I6" s="7" t="n">
        <f aca="false">SUMIFS('Data SKU'!$F$5:$F$116,'Data SKU'!$A$5:$A$116,$B6,'Data SKU'!$C$5:$C$116,"Fresh",'Data SKU'!$D$5:$D$116,8)</f>
        <v>63596.37</v>
      </c>
      <c r="J6" s="9" t="n">
        <f aca="false">SUM(D6:I6)</f>
        <v>139470.85</v>
      </c>
    </row>
    <row r="7" customFormat="false" ht="15" hidden="false" customHeight="false" outlineLevel="0" collapsed="false">
      <c r="B7" s="6" t="s">
        <v>875</v>
      </c>
      <c r="C7" s="6" t="s">
        <v>1461</v>
      </c>
      <c r="D7" s="7" t="n">
        <f aca="false">SUMIFS('Data SKU'!$G$5:$G$116,'Data SKU'!$A$5:$A$116,$B7,'Data SKU'!$C$5:$C$116,"Fresh",'Data SKU'!$D$5:$D$116,3)</f>
        <v>190035900</v>
      </c>
      <c r="E7" s="7" t="n">
        <f aca="false">SUMIFS('Data SKU'!$G$5:$G$116,'Data SKU'!$A$5:$A$116,$B7,'Data SKU'!$C$5:$C$116,"Fresh",'Data SKU'!$D$5:$D$116,4)</f>
        <v>359178870</v>
      </c>
      <c r="F7" s="7" t="n">
        <f aca="false">SUMIFS('Data SKU'!$G$5:$G$116,'Data SKU'!$A$5:$A$116,$B7,'Data SKU'!$C$5:$C$116,"Fresh",'Data SKU'!$D$5:$D$116,5)</f>
        <v>392700794</v>
      </c>
      <c r="G7" s="7" t="n">
        <f aca="false">SUMIFS('Data SKU'!$G$5:$G$116,'Data SKU'!$A$5:$A$116,$B7,'Data SKU'!$C$5:$C$116,"Fresh",'Data SKU'!$D$5:$D$116,6)</f>
        <v>0</v>
      </c>
      <c r="H7" s="7" t="n">
        <f aca="false">SUMIFS('Data SKU'!$G$5:$G$116,'Data SKU'!$A$5:$A$116,$B7,'Data SKU'!$C$5:$C$116,"Fresh",'Data SKU'!$D$5:$D$116,7)</f>
        <v>4340200</v>
      </c>
      <c r="I7" s="7" t="n">
        <f aca="false">SUMIFS('Data SKU'!$G$5:$G$116,'Data SKU'!$A$5:$A$116,$B7,'Data SKU'!$C$5:$C$116,"Fresh",'Data SKU'!$D$5:$D$116,8)</f>
        <v>1624515140</v>
      </c>
      <c r="J7" s="9" t="n">
        <f aca="false">SUM(D7:I7)</f>
        <v>2570770904</v>
      </c>
    </row>
    <row r="8" customFormat="false" ht="15" hidden="false" customHeight="false" outlineLevel="0" collapsed="false">
      <c r="B8" s="6" t="s">
        <v>875</v>
      </c>
      <c r="C8" s="6" t="s">
        <v>1462</v>
      </c>
      <c r="D8" s="7" t="n">
        <f aca="false">SUMIFS('Data SKU'!$I$5:$I$116,'Data SKU'!$A$5:$A$116,$B8,'Data SKU'!$C$5:$C$116,"Fresh",'Data SKU'!$D$5:$D$116,3)</f>
        <v>25736221.04</v>
      </c>
      <c r="E8" s="7" t="n">
        <f aca="false">SUMIFS('Data SKU'!$I$5:$I$116,'Data SKU'!$A$5:$A$116,$B8,'Data SKU'!$C$5:$C$116,"Fresh",'Data SKU'!$D$5:$D$116,4)</f>
        <v>135871212.98</v>
      </c>
      <c r="F8" s="7" t="n">
        <f aca="false">SUMIFS('Data SKU'!$I$5:$I$116,'Data SKU'!$A$5:$A$116,$B8,'Data SKU'!$C$5:$C$116,"Fresh",'Data SKU'!$D$5:$D$116,5)</f>
        <v>86338299.46</v>
      </c>
      <c r="G8" s="7" t="n">
        <f aca="false">SUMIFS('Data SKU'!$I$5:$I$116,'Data SKU'!$A$5:$A$116,$B8,'Data SKU'!$C$5:$C$116,"Fresh",'Data SKU'!$D$5:$D$116,6)</f>
        <v>0</v>
      </c>
      <c r="H8" s="7" t="n">
        <f aca="false">SUMIFS('Data SKU'!$I$5:$I$116,'Data SKU'!$A$5:$A$116,$B8,'Data SKU'!$C$5:$C$116,"Fresh",'Data SKU'!$D$5:$D$116,7)</f>
        <v>1923345.33</v>
      </c>
      <c r="I8" s="7" t="n">
        <f aca="false">SUMIFS('Data SKU'!$I$5:$I$116,'Data SKU'!$A$5:$A$116,$B8,'Data SKU'!$C$5:$C$116,"Fresh",'Data SKU'!$D$5:$D$116,8)</f>
        <v>-111948651.525475</v>
      </c>
      <c r="J8" s="9" t="n">
        <f aca="false">SUM(D8:I8)</f>
        <v>137920427.284525</v>
      </c>
    </row>
    <row r="9" customFormat="false" ht="15" hidden="false" customHeight="false" outlineLevel="0" collapsed="false">
      <c r="B9" s="6" t="s">
        <v>875</v>
      </c>
      <c r="C9" s="11" t="s">
        <v>1463</v>
      </c>
      <c r="D9" s="57" t="n">
        <f aca="false">IFERROR(D8/D7,0)</f>
        <v>0.135428206144207</v>
      </c>
      <c r="E9" s="57" t="n">
        <f aca="false">IFERROR(E8/E7,0)</f>
        <v>0.378282867753329</v>
      </c>
      <c r="F9" s="57" t="n">
        <f aca="false">IFERROR(F8/F7,0)</f>
        <v>0.219857715541059</v>
      </c>
      <c r="G9" s="57" t="n">
        <f aca="false">IFERROR(G8/G7,0)</f>
        <v>0</v>
      </c>
      <c r="H9" s="57" t="n">
        <f aca="false">IFERROR(H8/H7,0)</f>
        <v>0.443146705220958</v>
      </c>
      <c r="I9" s="57" t="n">
        <f aca="false">IFERROR(I8/I7,0)</f>
        <v>-0.0689120395181266</v>
      </c>
      <c r="J9" s="57" t="n">
        <f aca="false">IFERROR(J8/J7,0)</f>
        <v>0.0536494430794776</v>
      </c>
    </row>
    <row r="10" customFormat="false" ht="15" hidden="false" customHeight="false" outlineLevel="0" collapsed="false">
      <c r="B10" s="6" t="s">
        <v>875</v>
      </c>
      <c r="C10" s="6" t="s">
        <v>1464</v>
      </c>
      <c r="D10" s="9" t="n">
        <f aca="false">IFERROR(D7/D6,0)</f>
        <v>24160.0747549487</v>
      </c>
      <c r="E10" s="9" t="n">
        <f aca="false">IFERROR(E7/E6,0)</f>
        <v>11284.3512781411</v>
      </c>
      <c r="F10" s="9" t="n">
        <f aca="false">IFERROR(F7/F6,0)</f>
        <v>10992.2753040154</v>
      </c>
      <c r="G10" s="9" t="n">
        <f aca="false">IFERROR(G7/G6,0)</f>
        <v>0</v>
      </c>
      <c r="H10" s="9" t="n">
        <f aca="false">IFERROR(H7/H6,0)</f>
        <v>9564.12516527104</v>
      </c>
      <c r="I10" s="9" t="n">
        <f aca="false">IFERROR(I7/I6,0)</f>
        <v>25544.1488248465</v>
      </c>
      <c r="J10" s="9" t="n">
        <f aca="false">IFERROR(J7/J6,0)</f>
        <v>18432.3168891564</v>
      </c>
    </row>
    <row r="12" customFormat="false" ht="15" hidden="false" customHeight="false" outlineLevel="0" collapsed="false">
      <c r="B12" s="6" t="s">
        <v>875</v>
      </c>
      <c r="C12" s="6" t="s">
        <v>1465</v>
      </c>
      <c r="D12" s="7" t="n">
        <f aca="false">SUMIFS('Data SKU'!$F$5:$F$116,'Data SKU'!$A$5:$A$116,$B12,'Data SKU'!$C$5:$C$116,"Frozen",'Data SKU'!$D$5:$D$116,3)</f>
        <v>0</v>
      </c>
      <c r="E12" s="7" t="n">
        <f aca="false">SUMIFS('Data SKU'!$F$5:$F$116,'Data SKU'!$A$5:$A$116,$B12,'Data SKU'!$C$5:$C$116,"Frozen",'Data SKU'!$D$5:$D$116,4)</f>
        <v>7263.59</v>
      </c>
      <c r="F12" s="7" t="n">
        <f aca="false">SUMIFS('Data SKU'!$F$5:$F$116,'Data SKU'!$A$5:$A$116,$B12,'Data SKU'!$C$5:$C$116,"Frozen",'Data SKU'!$D$5:$D$116,5)</f>
        <v>22816.39</v>
      </c>
      <c r="G12" s="7" t="n">
        <f aca="false">SUMIFS('Data SKU'!$F$5:$F$116,'Data SKU'!$A$5:$A$116,$B12,'Data SKU'!$C$5:$C$116,"Frozen",'Data SKU'!$D$5:$D$116,6)</f>
        <v>15561.3</v>
      </c>
      <c r="H12" s="7" t="n">
        <f aca="false">SUMIFS('Data SKU'!$F$5:$F$116,'Data SKU'!$A$5:$A$116,$B12,'Data SKU'!$C$5:$C$116,"Frozen",'Data SKU'!$D$5:$D$116,7)</f>
        <v>12122.21</v>
      </c>
      <c r="I12" s="7" t="n">
        <f aca="false">SUMIFS('Data SKU'!$F$5:$F$116,'Data SKU'!$A$5:$A$116,$B12,'Data SKU'!$C$5:$C$116,"Frozen",'Data SKU'!$D$5:$D$116,8)</f>
        <v>21475.23</v>
      </c>
      <c r="J12" s="9" t="n">
        <f aca="false">SUM(D12:I12)</f>
        <v>79238.72</v>
      </c>
    </row>
    <row r="13" customFormat="false" ht="15" hidden="false" customHeight="false" outlineLevel="0" collapsed="false">
      <c r="B13" s="6" t="s">
        <v>875</v>
      </c>
      <c r="C13" s="6" t="s">
        <v>1466</v>
      </c>
      <c r="D13" s="7" t="n">
        <f aca="false">SUMIFS('Data SKU'!$G$5:$G$116,'Data SKU'!$A$5:$A$116,$B13,'Data SKU'!$C$5:$C$116,"Frozen",'Data SKU'!$D$5:$D$116,3)</f>
        <v>0</v>
      </c>
      <c r="E13" s="7" t="n">
        <f aca="false">SUMIFS('Data SKU'!$G$5:$G$116,'Data SKU'!$A$5:$A$116,$B13,'Data SKU'!$C$5:$C$116,"Frozen",'Data SKU'!$D$5:$D$116,4)</f>
        <v>286862250</v>
      </c>
      <c r="F13" s="7" t="n">
        <f aca="false">SUMIFS('Data SKU'!$G$5:$G$116,'Data SKU'!$A$5:$A$116,$B13,'Data SKU'!$C$5:$C$116,"Frozen",'Data SKU'!$D$5:$D$116,5)</f>
        <v>696588920</v>
      </c>
      <c r="G13" s="7" t="n">
        <f aca="false">SUMIFS('Data SKU'!$G$5:$G$116,'Data SKU'!$A$5:$A$116,$B13,'Data SKU'!$C$5:$C$116,"Frozen",'Data SKU'!$D$5:$D$116,6)</f>
        <v>500309443.5</v>
      </c>
      <c r="H13" s="7" t="n">
        <f aca="false">SUMIFS('Data SKU'!$G$5:$G$116,'Data SKU'!$A$5:$A$116,$B13,'Data SKU'!$C$5:$C$116,"Frozen",'Data SKU'!$D$5:$D$116,7)</f>
        <v>242191960</v>
      </c>
      <c r="I13" s="7" t="n">
        <f aca="false">SUMIFS('Data SKU'!$G$5:$G$116,'Data SKU'!$A$5:$A$116,$B13,'Data SKU'!$C$5:$C$116,"Frozen",'Data SKU'!$D$5:$D$116,8)</f>
        <v>707849905</v>
      </c>
      <c r="J13" s="9" t="n">
        <f aca="false">SUM(D13:I13)</f>
        <v>2433802478.5</v>
      </c>
    </row>
    <row r="14" customFormat="false" ht="15" hidden="false" customHeight="false" outlineLevel="0" collapsed="false">
      <c r="B14" s="6" t="s">
        <v>875</v>
      </c>
      <c r="C14" s="6" t="s">
        <v>1467</v>
      </c>
      <c r="D14" s="7" t="n">
        <f aca="false">SUMIFS('Data SKU'!$I$5:$I$116,'Data SKU'!$A$5:$A$116,$B14,'Data SKU'!$C$5:$C$116,"Frozen",'Data SKU'!$D$5:$D$116,3)</f>
        <v>0</v>
      </c>
      <c r="E14" s="7" t="n">
        <f aca="false">SUMIFS('Data SKU'!$I$5:$I$116,'Data SKU'!$A$5:$A$116,$B14,'Data SKU'!$C$5:$C$116,"Frozen",'Data SKU'!$D$5:$D$116,4)</f>
        <v>-4011877.75999999</v>
      </c>
      <c r="F14" s="7" t="n">
        <f aca="false">SUMIFS('Data SKU'!$I$5:$I$116,'Data SKU'!$A$5:$A$116,$B14,'Data SKU'!$C$5:$C$116,"Frozen",'Data SKU'!$D$5:$D$116,5)</f>
        <v>-63220812.39</v>
      </c>
      <c r="G14" s="7" t="n">
        <f aca="false">SUMIFS('Data SKU'!$I$5:$I$116,'Data SKU'!$A$5:$A$116,$B14,'Data SKU'!$C$5:$C$116,"Frozen",'Data SKU'!$D$5:$D$116,6)</f>
        <v>66482209.7</v>
      </c>
      <c r="H14" s="7" t="n">
        <f aca="false">SUMIFS('Data SKU'!$I$5:$I$116,'Data SKU'!$A$5:$A$116,$B14,'Data SKU'!$C$5:$C$116,"Frozen",'Data SKU'!$D$5:$D$116,7)</f>
        <v>3478661.06000001</v>
      </c>
      <c r="I14" s="7" t="n">
        <f aca="false">SUMIFS('Data SKU'!$I$5:$I$116,'Data SKU'!$A$5:$A$116,$B14,'Data SKU'!$C$5:$C$116,"Frozen",'Data SKU'!$D$5:$D$116,8)</f>
        <v>40305528.5453412</v>
      </c>
      <c r="J14" s="9" t="n">
        <f aca="false">SUM(D14:I14)</f>
        <v>43033709.1553412</v>
      </c>
    </row>
    <row r="15" customFormat="false" ht="15" hidden="false" customHeight="false" outlineLevel="0" collapsed="false">
      <c r="B15" s="6" t="s">
        <v>875</v>
      </c>
      <c r="C15" s="11" t="s">
        <v>1468</v>
      </c>
      <c r="D15" s="57" t="n">
        <f aca="false">IFERROR(D14/D13,0)</f>
        <v>0</v>
      </c>
      <c r="E15" s="57" t="n">
        <f aca="false">IFERROR(E14/E13,0)</f>
        <v>-0.013985380648726</v>
      </c>
      <c r="F15" s="57" t="n">
        <f aca="false">IFERROR(F14/F13,0)</f>
        <v>-0.0907577059795898</v>
      </c>
      <c r="G15" s="57" t="n">
        <f aca="false">IFERROR(G14/G13,0)</f>
        <v>0.132882180346052</v>
      </c>
      <c r="H15" s="57" t="n">
        <f aca="false">IFERROR(H14/H13,0)</f>
        <v>0.0143632392256127</v>
      </c>
      <c r="I15" s="57" t="n">
        <f aca="false">IFERROR(I14/I13,0)</f>
        <v>0.0569407840004459</v>
      </c>
      <c r="J15" s="57" t="n">
        <f aca="false">IFERROR(J14/J13,0)</f>
        <v>0.0176816769378358</v>
      </c>
    </row>
    <row r="16" customFormat="false" ht="15" hidden="false" customHeight="false" outlineLevel="0" collapsed="false">
      <c r="B16" s="6" t="s">
        <v>875</v>
      </c>
      <c r="C16" s="6" t="s">
        <v>1469</v>
      </c>
      <c r="D16" s="9" t="n">
        <f aca="false">IFERROR(D13/D12,0)</f>
        <v>0</v>
      </c>
      <c r="E16" s="9" t="n">
        <f aca="false">IFERROR(E13/E12,0)</f>
        <v>39493.1776160273</v>
      </c>
      <c r="F16" s="9" t="n">
        <f aca="false">IFERROR(F13/F12,0)</f>
        <v>30530.1986861199</v>
      </c>
      <c r="G16" s="9" t="n">
        <f aca="false">IFERROR(G13/G12,0)</f>
        <v>32150.8770796784</v>
      </c>
      <c r="H16" s="9" t="n">
        <f aca="false">IFERROR(H13/H12,0)</f>
        <v>19979.1919130258</v>
      </c>
      <c r="I16" s="9" t="n">
        <f aca="false">IFERROR(I13/I12,0)</f>
        <v>32961.2257936236</v>
      </c>
      <c r="J16" s="9" t="n">
        <f aca="false">IFERROR(J13/J12,0)</f>
        <v>30714.8131431199</v>
      </c>
    </row>
    <row r="18" customFormat="false" ht="15" hidden="false" customHeight="false" outlineLevel="0" collapsed="false">
      <c r="B18" s="6" t="s">
        <v>875</v>
      </c>
      <c r="C18" s="6" t="s">
        <v>1470</v>
      </c>
      <c r="D18" s="7" t="n">
        <f aca="false">SUMIFS('Data SKU'!$F$5:$F$116,'Data SKU'!$A$5:$A$116,$B18,'Data SKU'!$C$5:$C$116,"Not stated in item master",'Data SKU'!$D$5:$D$116,3)</f>
        <v>0</v>
      </c>
      <c r="E18" s="7" t="n">
        <f aca="false">SUMIFS('Data SKU'!$F$5:$F$116,'Data SKU'!$A$5:$A$116,$B18,'Data SKU'!$C$5:$C$116,"Not stated in item master",'Data SKU'!$D$5:$D$116,4)</f>
        <v>0</v>
      </c>
      <c r="F18" s="7" t="n">
        <f aca="false">SUMIFS('Data SKU'!$F$5:$F$116,'Data SKU'!$A$5:$A$116,$B18,'Data SKU'!$C$5:$C$116,"Not stated in item master",'Data SKU'!$D$5:$D$116,5)</f>
        <v>10499.7</v>
      </c>
      <c r="G18" s="7" t="n">
        <f aca="false">SUMIFS('Data SKU'!$F$5:$F$116,'Data SKU'!$A$5:$A$116,$B18,'Data SKU'!$C$5:$C$116,"Not stated in item master",'Data SKU'!$D$5:$D$116,6)</f>
        <v>0</v>
      </c>
      <c r="H18" s="7" t="n">
        <f aca="false">SUMIFS('Data SKU'!$F$5:$F$116,'Data SKU'!$A$5:$A$116,$B18,'Data SKU'!$C$5:$C$116,"Not stated in item master",'Data SKU'!$D$5:$D$116,7)</f>
        <v>0</v>
      </c>
      <c r="I18" s="7" t="n">
        <f aca="false">SUMIFS('Data SKU'!$F$5:$F$116,'Data SKU'!$A$5:$A$116,$B18,'Data SKU'!$C$5:$C$116,"Not stated in item master",'Data SKU'!$D$5:$D$116,8)</f>
        <v>1412.64</v>
      </c>
      <c r="J18" s="9" t="n">
        <f aca="false">SUM(D18:I18)</f>
        <v>11912.34</v>
      </c>
    </row>
    <row r="19" customFormat="false" ht="15" hidden="false" customHeight="false" outlineLevel="0" collapsed="false">
      <c r="B19" s="6" t="s">
        <v>875</v>
      </c>
      <c r="C19" s="6" t="s">
        <v>1471</v>
      </c>
      <c r="D19" s="7" t="n">
        <f aca="false">SUMIFS('Data SKU'!$G$5:$G$116,'Data SKU'!$A$5:$A$116,$B19,'Data SKU'!$C$5:$C$116,"Not stated in item master",'Data SKU'!$D$5:$D$116,3)</f>
        <v>0</v>
      </c>
      <c r="E19" s="7" t="n">
        <f aca="false">SUMIFS('Data SKU'!$G$5:$G$116,'Data SKU'!$A$5:$A$116,$B19,'Data SKU'!$C$5:$C$116,"Not stated in item master",'Data SKU'!$D$5:$D$116,4)</f>
        <v>0</v>
      </c>
      <c r="F19" s="7" t="n">
        <f aca="false">SUMIFS('Data SKU'!$G$5:$G$116,'Data SKU'!$A$5:$A$116,$B19,'Data SKU'!$C$5:$C$116,"Not stated in item master",'Data SKU'!$D$5:$D$116,5)</f>
        <v>312891060</v>
      </c>
      <c r="G19" s="7" t="n">
        <f aca="false">SUMIFS('Data SKU'!$G$5:$G$116,'Data SKU'!$A$5:$A$116,$B19,'Data SKU'!$C$5:$C$116,"Not stated in item master",'Data SKU'!$D$5:$D$116,6)</f>
        <v>0</v>
      </c>
      <c r="H19" s="7" t="n">
        <f aca="false">SUMIFS('Data SKU'!$G$5:$G$116,'Data SKU'!$A$5:$A$116,$B19,'Data SKU'!$C$5:$C$116,"Not stated in item master",'Data SKU'!$D$5:$D$116,7)</f>
        <v>0</v>
      </c>
      <c r="I19" s="7" t="n">
        <f aca="false">SUMIFS('Data SKU'!$G$5:$G$116,'Data SKU'!$A$5:$A$116,$B19,'Data SKU'!$C$5:$C$116,"Not stated in item master",'Data SKU'!$D$5:$D$116,8)</f>
        <v>41199111.3134241</v>
      </c>
      <c r="J19" s="9" t="n">
        <f aca="false">SUM(D19:I19)</f>
        <v>354090171.313424</v>
      </c>
    </row>
    <row r="20" customFormat="false" ht="15" hidden="false" customHeight="false" outlineLevel="0" collapsed="false">
      <c r="B20" s="6" t="s">
        <v>875</v>
      </c>
      <c r="C20" s="6" t="s">
        <v>1472</v>
      </c>
      <c r="D20" s="7" t="n">
        <f aca="false">SUMIFS('Data SKU'!$I$5:$I$116,'Data SKU'!$A$5:$A$116,$B20,'Data SKU'!$C$5:$C$116,"Not stated in item master",'Data SKU'!$D$5:$D$116,3)</f>
        <v>0</v>
      </c>
      <c r="E20" s="7" t="n">
        <f aca="false">SUMIFS('Data SKU'!$I$5:$I$116,'Data SKU'!$A$5:$A$116,$B20,'Data SKU'!$C$5:$C$116,"Not stated in item master",'Data SKU'!$D$5:$D$116,4)</f>
        <v>0</v>
      </c>
      <c r="F20" s="7" t="n">
        <f aca="false">SUMIFS('Data SKU'!$I$5:$I$116,'Data SKU'!$A$5:$A$116,$B20,'Data SKU'!$C$5:$C$116,"Not stated in item master",'Data SKU'!$D$5:$D$116,5)</f>
        <v>37629216.5</v>
      </c>
      <c r="G20" s="7" t="n">
        <f aca="false">SUMIFS('Data SKU'!$I$5:$I$116,'Data SKU'!$A$5:$A$116,$B20,'Data SKU'!$C$5:$C$116,"Not stated in item master",'Data SKU'!$D$5:$D$116,6)</f>
        <v>0</v>
      </c>
      <c r="H20" s="7" t="n">
        <f aca="false">SUMIFS('Data SKU'!$I$5:$I$116,'Data SKU'!$A$5:$A$116,$B20,'Data SKU'!$C$5:$C$116,"Not stated in item master",'Data SKU'!$D$5:$D$116,7)</f>
        <v>0</v>
      </c>
      <c r="I20" s="7" t="n">
        <f aca="false">SUMIFS('Data SKU'!$I$5:$I$116,'Data SKU'!$A$5:$A$116,$B20,'Data SKU'!$C$5:$C$116,"Not stated in item master",'Data SKU'!$D$5:$D$116,8)</f>
        <v>2919305.71280276</v>
      </c>
      <c r="J20" s="9" t="n">
        <f aca="false">SUM(D20:I20)</f>
        <v>40548522.2128028</v>
      </c>
    </row>
    <row r="21" customFormat="false" ht="15" hidden="false" customHeight="false" outlineLevel="0" collapsed="false">
      <c r="B21" s="6" t="s">
        <v>875</v>
      </c>
      <c r="C21" s="11" t="s">
        <v>1473</v>
      </c>
      <c r="D21" s="57" t="n">
        <f aca="false">IFERROR(D20/D19,0)</f>
        <v>0</v>
      </c>
      <c r="E21" s="57" t="n">
        <f aca="false">IFERROR(E20/E19,0)</f>
        <v>0</v>
      </c>
      <c r="F21" s="57" t="n">
        <f aca="false">IFERROR(F20/F19,0)</f>
        <v>0.120262996648099</v>
      </c>
      <c r="G21" s="57" t="n">
        <f aca="false">IFERROR(G20/G19,0)</f>
        <v>0</v>
      </c>
      <c r="H21" s="57" t="n">
        <f aca="false">IFERROR(H20/H19,0)</f>
        <v>0</v>
      </c>
      <c r="I21" s="57" t="n">
        <f aca="false">IFERROR(I20/I19,0)</f>
        <v>0.0708584631982473</v>
      </c>
      <c r="J21" s="57" t="n">
        <f aca="false">IFERROR(J20/J19,0)</f>
        <v>0.114514678739589</v>
      </c>
    </row>
    <row r="22" customFormat="false" ht="15" hidden="false" customHeight="false" outlineLevel="0" collapsed="false">
      <c r="B22" s="6" t="s">
        <v>875</v>
      </c>
      <c r="C22" s="6" t="s">
        <v>1474</v>
      </c>
      <c r="D22" s="9" t="n">
        <f aca="false">IFERROR(D19/D18,0)</f>
        <v>0</v>
      </c>
      <c r="E22" s="9" t="n">
        <f aca="false">IFERROR(E19/E18,0)</f>
        <v>0</v>
      </c>
      <c r="F22" s="9" t="n">
        <f aca="false">IFERROR(F19/F18,0)</f>
        <v>29800</v>
      </c>
      <c r="G22" s="9" t="n">
        <f aca="false">IFERROR(G19/G18,0)</f>
        <v>0</v>
      </c>
      <c r="H22" s="9" t="n">
        <f aca="false">IFERROR(H19/H18,0)</f>
        <v>0</v>
      </c>
      <c r="I22" s="9" t="n">
        <f aca="false">IFERROR(I19/I18,0)</f>
        <v>29164.6217815042</v>
      </c>
      <c r="J22" s="9" t="n">
        <f aca="false">IFERROR(J19/J18,0)</f>
        <v>29724.6528652997</v>
      </c>
    </row>
    <row r="24" customFormat="false" ht="15" hidden="false" customHeight="false" outlineLevel="0" collapsed="false">
      <c r="B24" s="6" t="s">
        <v>875</v>
      </c>
      <c r="C24" s="6" t="s">
        <v>1475</v>
      </c>
      <c r="D24" s="7" t="n">
        <f aca="false">SUMIFS('Data SKU'!$F$5:$F$116,'Data SKU'!$A$5:$A$116,$B24,'Data SKU'!$C$5:$C$116,"n/a",'Data SKU'!$D$5:$D$116,3)</f>
        <v>0</v>
      </c>
      <c r="E24" s="7" t="n">
        <f aca="false">SUMIFS('Data SKU'!$F$5:$F$116,'Data SKU'!$A$5:$A$116,$B24,'Data SKU'!$C$5:$C$116,"n/a",'Data SKU'!$D$5:$D$116,4)</f>
        <v>0</v>
      </c>
      <c r="F24" s="7" t="n">
        <f aca="false">SUMIFS('Data SKU'!$F$5:$F$116,'Data SKU'!$A$5:$A$116,$B24,'Data SKU'!$C$5:$C$116,"n/a",'Data SKU'!$D$5:$D$116,5)</f>
        <v>0</v>
      </c>
      <c r="G24" s="7" t="n">
        <f aca="false">SUMIFS('Data SKU'!$F$5:$F$116,'Data SKU'!$A$5:$A$116,$B24,'Data SKU'!$C$5:$C$116,"n/a",'Data SKU'!$D$5:$D$116,6)</f>
        <v>0</v>
      </c>
      <c r="H24" s="7" t="n">
        <f aca="false">SUMIFS('Data SKU'!$F$5:$F$116,'Data SKU'!$A$5:$A$116,$B24,'Data SKU'!$C$5:$C$116,"n/a",'Data SKU'!$D$5:$D$116,7)</f>
        <v>0</v>
      </c>
      <c r="I24" s="7" t="n">
        <f aca="false">SUMIFS('Data SKU'!$F$5:$F$116,'Data SKU'!$A$5:$A$116,$B24,'Data SKU'!$C$5:$C$116,"n/a",'Data SKU'!$D$5:$D$116,8)</f>
        <v>9061.48</v>
      </c>
      <c r="J24" s="9" t="n">
        <f aca="false">SUM(D24:I24)</f>
        <v>9061.48</v>
      </c>
    </row>
    <row r="25" customFormat="false" ht="15" hidden="false" customHeight="false" outlineLevel="0" collapsed="false">
      <c r="B25" s="6" t="s">
        <v>875</v>
      </c>
      <c r="C25" s="6" t="s">
        <v>1476</v>
      </c>
      <c r="D25" s="7" t="n">
        <f aca="false">SUMIFS('Data SKU'!$G$5:$G$116,'Data SKU'!$A$5:$A$116,$B25,'Data SKU'!$C$5:$C$116,"n/a",'Data SKU'!$D$5:$D$116,3)</f>
        <v>0</v>
      </c>
      <c r="E25" s="7" t="n">
        <f aca="false">SUMIFS('Data SKU'!$G$5:$G$116,'Data SKU'!$A$5:$A$116,$B25,'Data SKU'!$C$5:$C$116,"n/a",'Data SKU'!$D$5:$D$116,4)</f>
        <v>0</v>
      </c>
      <c r="F25" s="7" t="n">
        <f aca="false">SUMIFS('Data SKU'!$G$5:$G$116,'Data SKU'!$A$5:$A$116,$B25,'Data SKU'!$C$5:$C$116,"n/a",'Data SKU'!$D$5:$D$116,5)</f>
        <v>0</v>
      </c>
      <c r="G25" s="7" t="n">
        <f aca="false">SUMIFS('Data SKU'!$G$5:$G$116,'Data SKU'!$A$5:$A$116,$B25,'Data SKU'!$C$5:$C$116,"n/a",'Data SKU'!$D$5:$D$116,6)</f>
        <v>0</v>
      </c>
      <c r="H25" s="7" t="n">
        <f aca="false">SUMIFS('Data SKU'!$G$5:$G$116,'Data SKU'!$A$5:$A$116,$B25,'Data SKU'!$C$5:$C$116,"n/a",'Data SKU'!$D$5:$D$116,7)</f>
        <v>0</v>
      </c>
      <c r="I25" s="7" t="n">
        <f aca="false">SUMIFS('Data SKU'!$G$5:$G$116,'Data SKU'!$A$5:$A$116,$B25,'Data SKU'!$C$5:$C$116,"n/a",'Data SKU'!$D$5:$D$116,8)</f>
        <v>318122834</v>
      </c>
      <c r="J25" s="9" t="n">
        <f aca="false">SUM(D25:I25)</f>
        <v>318122834</v>
      </c>
    </row>
    <row r="26" customFormat="false" ht="15" hidden="false" customHeight="false" outlineLevel="0" collapsed="false">
      <c r="B26" s="6" t="s">
        <v>875</v>
      </c>
      <c r="C26" s="6" t="s">
        <v>1477</v>
      </c>
      <c r="D26" s="7" t="n">
        <f aca="false">SUMIFS('Data SKU'!$I$5:$I$116,'Data SKU'!$A$5:$A$116,$B26,'Data SKU'!$C$5:$C$116,"n/a",'Data SKU'!$D$5:$D$116,3)</f>
        <v>-10852200</v>
      </c>
      <c r="E26" s="7" t="n">
        <f aca="false">SUMIFS('Data SKU'!$I$5:$I$116,'Data SKU'!$A$5:$A$116,$B26,'Data SKU'!$C$5:$C$116,"n/a",'Data SKU'!$D$5:$D$116,4)</f>
        <v>-46350108.58</v>
      </c>
      <c r="F26" s="7" t="n">
        <f aca="false">SUMIFS('Data SKU'!$I$5:$I$116,'Data SKU'!$A$5:$A$116,$B26,'Data SKU'!$C$5:$C$116,"n/a",'Data SKU'!$D$5:$D$116,5)</f>
        <v>-220490804.6</v>
      </c>
      <c r="G26" s="7" t="n">
        <f aca="false">SUMIFS('Data SKU'!$I$5:$I$116,'Data SKU'!$A$5:$A$116,$B26,'Data SKU'!$C$5:$C$116,"n/a",'Data SKU'!$D$5:$D$116,6)</f>
        <v>-50403540</v>
      </c>
      <c r="H26" s="7" t="n">
        <f aca="false">SUMIFS('Data SKU'!$I$5:$I$116,'Data SKU'!$A$5:$A$116,$B26,'Data SKU'!$C$5:$C$116,"n/a",'Data SKU'!$D$5:$D$116,7)</f>
        <v>-6918639</v>
      </c>
      <c r="I26" s="7" t="n">
        <f aca="false">SUMIFS('Data SKU'!$I$5:$I$116,'Data SKU'!$A$5:$A$116,$B26,'Data SKU'!$C$5:$C$116,"n/a",'Data SKU'!$D$5:$D$116,8)</f>
        <v>5261573.54000002</v>
      </c>
      <c r="J26" s="9" t="n">
        <f aca="false">SUM(D26:I26)</f>
        <v>-329753718.64</v>
      </c>
    </row>
    <row r="27" customFormat="false" ht="15" hidden="false" customHeight="false" outlineLevel="0" collapsed="false">
      <c r="B27" s="6" t="s">
        <v>875</v>
      </c>
      <c r="C27" s="11" t="s">
        <v>1478</v>
      </c>
      <c r="D27" s="57" t="n">
        <f aca="false">IFERROR(D26/D25,0)</f>
        <v>0</v>
      </c>
      <c r="E27" s="57" t="n">
        <f aca="false">IFERROR(E26/E25,0)</f>
        <v>0</v>
      </c>
      <c r="F27" s="57" t="n">
        <f aca="false">IFERROR(F26/F25,0)</f>
        <v>0</v>
      </c>
      <c r="G27" s="57" t="n">
        <f aca="false">IFERROR(G26/G25,0)</f>
        <v>0</v>
      </c>
      <c r="H27" s="57" t="n">
        <f aca="false">IFERROR(H26/H25,0)</f>
        <v>0</v>
      </c>
      <c r="I27" s="57" t="n">
        <f aca="false">IFERROR(I26/I25,0)</f>
        <v>0.0165394400453506</v>
      </c>
      <c r="J27" s="57" t="n">
        <f aca="false">IFERROR(J26/J25,0)</f>
        <v>-1.03656098650247</v>
      </c>
    </row>
    <row r="28" customFormat="false" ht="15" hidden="false" customHeight="false" outlineLevel="0" collapsed="false">
      <c r="B28" s="6" t="s">
        <v>875</v>
      </c>
      <c r="C28" s="6" t="s">
        <v>1479</v>
      </c>
      <c r="D28" s="9" t="n">
        <f aca="false">IFERROR(D25/D24,0)</f>
        <v>0</v>
      </c>
      <c r="E28" s="9" t="n">
        <f aca="false">IFERROR(E25/E24,0)</f>
        <v>0</v>
      </c>
      <c r="F28" s="9" t="n">
        <f aca="false">IFERROR(F25/F24,0)</f>
        <v>0</v>
      </c>
      <c r="G28" s="9" t="n">
        <f aca="false">IFERROR(G25/G24,0)</f>
        <v>0</v>
      </c>
      <c r="H28" s="9" t="n">
        <f aca="false">IFERROR(H25/H24,0)</f>
        <v>0</v>
      </c>
      <c r="I28" s="9" t="n">
        <f aca="false">IFERROR(I25/I24,0)</f>
        <v>35107.1606404252</v>
      </c>
      <c r="J28" s="9" t="n">
        <f aca="false">IFERROR(J25/J24,0)</f>
        <v>35107.1606404252</v>
      </c>
    </row>
    <row r="30" customFormat="false" ht="15" hidden="false" customHeight="false" outlineLevel="0" collapsed="false">
      <c r="B30" s="6" t="s">
        <v>878</v>
      </c>
      <c r="C30" s="6" t="s">
        <v>1460</v>
      </c>
      <c r="D30" s="7" t="n">
        <f aca="false">SUMIFS('Data SKU'!$F$5:$F$116,'Data SKU'!$A$5:$A$116,$B30,'Data SKU'!$C$5:$C$116,"Fresh",'Data SKU'!$D$5:$D$116,3)</f>
        <v>0</v>
      </c>
      <c r="E30" s="7" t="n">
        <f aca="false">SUMIFS('Data SKU'!$F$5:$F$116,'Data SKU'!$A$5:$A$116,$B30,'Data SKU'!$C$5:$C$116,"Fresh",'Data SKU'!$D$5:$D$116,4)</f>
        <v>0</v>
      </c>
      <c r="F30" s="7" t="n">
        <f aca="false">SUMIFS('Data SKU'!$F$5:$F$116,'Data SKU'!$A$5:$A$116,$B30,'Data SKU'!$C$5:$C$116,"Fresh",'Data SKU'!$D$5:$D$116,5)</f>
        <v>315</v>
      </c>
      <c r="G30" s="7" t="n">
        <f aca="false">SUMIFS('Data SKU'!$F$5:$F$116,'Data SKU'!$A$5:$A$116,$B30,'Data SKU'!$C$5:$C$116,"Fresh",'Data SKU'!$D$5:$D$116,6)</f>
        <v>0</v>
      </c>
      <c r="H30" s="7" t="n">
        <f aca="false">SUMIFS('Data SKU'!$F$5:$F$116,'Data SKU'!$A$5:$A$116,$B30,'Data SKU'!$C$5:$C$116,"Fresh",'Data SKU'!$D$5:$D$116,7)</f>
        <v>0</v>
      </c>
      <c r="I30" s="7" t="n">
        <f aca="false">SUMIFS('Data SKU'!$F$5:$F$116,'Data SKU'!$A$5:$A$116,$B30,'Data SKU'!$C$5:$C$116,"Fresh",'Data SKU'!$D$5:$D$116,8)</f>
        <v>0</v>
      </c>
      <c r="J30" s="9" t="n">
        <f aca="false">SUM(D30:I30)</f>
        <v>315</v>
      </c>
    </row>
    <row r="31" customFormat="false" ht="15" hidden="false" customHeight="false" outlineLevel="0" collapsed="false">
      <c r="B31" s="6" t="s">
        <v>878</v>
      </c>
      <c r="C31" s="6" t="s">
        <v>1461</v>
      </c>
      <c r="D31" s="7" t="n">
        <f aca="false">SUMIFS('Data SKU'!$G$5:$G$116,'Data SKU'!$A$5:$A$116,$B31,'Data SKU'!$C$5:$C$116,"Fresh",'Data SKU'!$D$5:$D$116,3)</f>
        <v>0</v>
      </c>
      <c r="E31" s="7" t="n">
        <f aca="false">SUMIFS('Data SKU'!$G$5:$G$116,'Data SKU'!$A$5:$A$116,$B31,'Data SKU'!$C$5:$C$116,"Fresh",'Data SKU'!$D$5:$D$116,4)</f>
        <v>0</v>
      </c>
      <c r="F31" s="7" t="n">
        <f aca="false">SUMIFS('Data SKU'!$G$5:$G$116,'Data SKU'!$A$5:$A$116,$B31,'Data SKU'!$C$5:$C$116,"Fresh",'Data SKU'!$D$5:$D$116,5)</f>
        <v>4410000</v>
      </c>
      <c r="G31" s="7" t="n">
        <f aca="false">SUMIFS('Data SKU'!$G$5:$G$116,'Data SKU'!$A$5:$A$116,$B31,'Data SKU'!$C$5:$C$116,"Fresh",'Data SKU'!$D$5:$D$116,6)</f>
        <v>0</v>
      </c>
      <c r="H31" s="7" t="n">
        <f aca="false">SUMIFS('Data SKU'!$G$5:$G$116,'Data SKU'!$A$5:$A$116,$B31,'Data SKU'!$C$5:$C$116,"Fresh",'Data SKU'!$D$5:$D$116,7)</f>
        <v>0</v>
      </c>
      <c r="I31" s="7" t="n">
        <f aca="false">SUMIFS('Data SKU'!$G$5:$G$116,'Data SKU'!$A$5:$A$116,$B31,'Data SKU'!$C$5:$C$116,"Fresh",'Data SKU'!$D$5:$D$116,8)</f>
        <v>0</v>
      </c>
      <c r="J31" s="9" t="n">
        <f aca="false">SUM(D31:I31)</f>
        <v>4410000</v>
      </c>
    </row>
    <row r="32" customFormat="false" ht="15" hidden="false" customHeight="false" outlineLevel="0" collapsed="false">
      <c r="B32" s="6" t="s">
        <v>878</v>
      </c>
      <c r="C32" s="6" t="s">
        <v>1462</v>
      </c>
      <c r="D32" s="7" t="n">
        <f aca="false">SUMIFS('Data SKU'!$I$5:$I$116,'Data SKU'!$A$5:$A$116,$B32,'Data SKU'!$C$5:$C$116,"Fresh",'Data SKU'!$D$5:$D$116,3)</f>
        <v>0</v>
      </c>
      <c r="E32" s="7" t="n">
        <f aca="false">SUMIFS('Data SKU'!$I$5:$I$116,'Data SKU'!$A$5:$A$116,$B32,'Data SKU'!$C$5:$C$116,"Fresh",'Data SKU'!$D$5:$D$116,4)</f>
        <v>0</v>
      </c>
      <c r="F32" s="7" t="n">
        <f aca="false">SUMIFS('Data SKU'!$I$5:$I$116,'Data SKU'!$A$5:$A$116,$B32,'Data SKU'!$C$5:$C$116,"Fresh",'Data SKU'!$D$5:$D$116,5)</f>
        <v>837500</v>
      </c>
      <c r="G32" s="7" t="n">
        <f aca="false">SUMIFS('Data SKU'!$I$5:$I$116,'Data SKU'!$A$5:$A$116,$B32,'Data SKU'!$C$5:$C$116,"Fresh",'Data SKU'!$D$5:$D$116,6)</f>
        <v>0</v>
      </c>
      <c r="H32" s="7" t="n">
        <f aca="false">SUMIFS('Data SKU'!$I$5:$I$116,'Data SKU'!$A$5:$A$116,$B32,'Data SKU'!$C$5:$C$116,"Fresh",'Data SKU'!$D$5:$D$116,7)</f>
        <v>0</v>
      </c>
      <c r="I32" s="7" t="n">
        <f aca="false">SUMIFS('Data SKU'!$I$5:$I$116,'Data SKU'!$A$5:$A$116,$B32,'Data SKU'!$C$5:$C$116,"Fresh",'Data SKU'!$D$5:$D$116,8)</f>
        <v>0</v>
      </c>
      <c r="J32" s="9" t="n">
        <f aca="false">SUM(D32:I32)</f>
        <v>837500</v>
      </c>
    </row>
    <row r="33" customFormat="false" ht="15" hidden="false" customHeight="false" outlineLevel="0" collapsed="false">
      <c r="B33" s="6" t="s">
        <v>878</v>
      </c>
      <c r="C33" s="11" t="s">
        <v>1463</v>
      </c>
      <c r="D33" s="57" t="n">
        <f aca="false">IFERROR(D32/D31,0)</f>
        <v>0</v>
      </c>
      <c r="E33" s="57" t="n">
        <f aca="false">IFERROR(E32/E31,0)</f>
        <v>0</v>
      </c>
      <c r="F33" s="57" t="n">
        <f aca="false">IFERROR(F32/F31,0)</f>
        <v>0.189909297052154</v>
      </c>
      <c r="G33" s="57" t="n">
        <f aca="false">IFERROR(G32/G31,0)</f>
        <v>0</v>
      </c>
      <c r="H33" s="57" t="n">
        <f aca="false">IFERROR(H32/H31,0)</f>
        <v>0</v>
      </c>
      <c r="I33" s="57" t="n">
        <f aca="false">IFERROR(I32/I31,0)</f>
        <v>0</v>
      </c>
      <c r="J33" s="57" t="n">
        <f aca="false">IFERROR(J32/J31,0)</f>
        <v>0.189909297052154</v>
      </c>
    </row>
    <row r="34" customFormat="false" ht="15" hidden="false" customHeight="false" outlineLevel="0" collapsed="false">
      <c r="B34" s="6" t="s">
        <v>878</v>
      </c>
      <c r="C34" s="6" t="s">
        <v>1464</v>
      </c>
      <c r="D34" s="9" t="n">
        <f aca="false">IFERROR(D31/D30,0)</f>
        <v>0</v>
      </c>
      <c r="E34" s="9" t="n">
        <f aca="false">IFERROR(E31/E30,0)</f>
        <v>0</v>
      </c>
      <c r="F34" s="9" t="n">
        <f aca="false">IFERROR(F31/F30,0)</f>
        <v>14000</v>
      </c>
      <c r="G34" s="9" t="n">
        <f aca="false">IFERROR(G31/G30,0)</f>
        <v>0</v>
      </c>
      <c r="H34" s="9" t="n">
        <f aca="false">IFERROR(H31/H30,0)</f>
        <v>0</v>
      </c>
      <c r="I34" s="9" t="n">
        <f aca="false">IFERROR(I31/I30,0)</f>
        <v>0</v>
      </c>
      <c r="J34" s="9" t="n">
        <f aca="false">IFERROR(J31/J30,0)</f>
        <v>14000</v>
      </c>
    </row>
    <row r="36" customFormat="false" ht="15" hidden="false" customHeight="false" outlineLevel="0" collapsed="false">
      <c r="B36" s="6" t="s">
        <v>878</v>
      </c>
      <c r="C36" s="6" t="s">
        <v>1465</v>
      </c>
      <c r="D36" s="7" t="n">
        <f aca="false">SUMIFS('Data SKU'!$F$5:$F$116,'Data SKU'!$A$5:$A$116,$B36,'Data SKU'!$C$5:$C$116,"Frozen",'Data SKU'!$D$5:$D$116,3)</f>
        <v>0</v>
      </c>
      <c r="E36" s="7" t="n">
        <f aca="false">SUMIFS('Data SKU'!$F$5:$F$116,'Data SKU'!$A$5:$A$116,$B36,'Data SKU'!$C$5:$C$116,"Frozen",'Data SKU'!$D$5:$D$116,4)</f>
        <v>0</v>
      </c>
      <c r="F36" s="7" t="n">
        <f aca="false">SUMIFS('Data SKU'!$F$5:$F$116,'Data SKU'!$A$5:$A$116,$B36,'Data SKU'!$C$5:$C$116,"Frozen",'Data SKU'!$D$5:$D$116,5)</f>
        <v>1076.68</v>
      </c>
      <c r="G36" s="7" t="n">
        <f aca="false">SUMIFS('Data SKU'!$F$5:$F$116,'Data SKU'!$A$5:$A$116,$B36,'Data SKU'!$C$5:$C$116,"Frozen",'Data SKU'!$D$5:$D$116,6)</f>
        <v>2605.65</v>
      </c>
      <c r="H36" s="7" t="n">
        <f aca="false">SUMIFS('Data SKU'!$F$5:$F$116,'Data SKU'!$A$5:$A$116,$B36,'Data SKU'!$C$5:$C$116,"Frozen",'Data SKU'!$D$5:$D$116,7)</f>
        <v>67167.68</v>
      </c>
      <c r="I36" s="7" t="n">
        <f aca="false">SUMIFS('Data SKU'!$F$5:$F$116,'Data SKU'!$A$5:$A$116,$B36,'Data SKU'!$C$5:$C$116,"Frozen",'Data SKU'!$D$5:$D$116,8)</f>
        <v>58949.02</v>
      </c>
      <c r="J36" s="9" t="n">
        <f aca="false">SUM(D36:I36)</f>
        <v>129799.03</v>
      </c>
    </row>
    <row r="37" customFormat="false" ht="15" hidden="false" customHeight="false" outlineLevel="0" collapsed="false">
      <c r="B37" s="6" t="s">
        <v>878</v>
      </c>
      <c r="C37" s="6" t="s">
        <v>1466</v>
      </c>
      <c r="D37" s="7" t="n">
        <f aca="false">SUMIFS('Data SKU'!$G$5:$G$116,'Data SKU'!$A$5:$A$116,$B37,'Data SKU'!$C$5:$C$116,"Frozen",'Data SKU'!$D$5:$D$116,3)</f>
        <v>0</v>
      </c>
      <c r="E37" s="7" t="n">
        <f aca="false">SUMIFS('Data SKU'!$G$5:$G$116,'Data SKU'!$A$5:$A$116,$B37,'Data SKU'!$C$5:$C$116,"Frozen",'Data SKU'!$D$5:$D$116,4)</f>
        <v>0</v>
      </c>
      <c r="F37" s="7" t="n">
        <f aca="false">SUMIFS('Data SKU'!$G$5:$G$116,'Data SKU'!$A$5:$A$116,$B37,'Data SKU'!$C$5:$C$116,"Frozen",'Data SKU'!$D$5:$D$116,5)</f>
        <v>36607120</v>
      </c>
      <c r="G37" s="7" t="n">
        <f aca="false">SUMIFS('Data SKU'!$G$5:$G$116,'Data SKU'!$A$5:$A$116,$B37,'Data SKU'!$C$5:$C$116,"Frozen",'Data SKU'!$D$5:$D$116,6)</f>
        <v>99227380</v>
      </c>
      <c r="H37" s="7" t="n">
        <f aca="false">SUMIFS('Data SKU'!$G$5:$G$116,'Data SKU'!$A$5:$A$116,$B37,'Data SKU'!$C$5:$C$116,"Frozen",'Data SKU'!$D$5:$D$116,7)</f>
        <v>2458633553.2</v>
      </c>
      <c r="I37" s="7" t="n">
        <f aca="false">SUMIFS('Data SKU'!$G$5:$G$116,'Data SKU'!$A$5:$A$116,$B37,'Data SKU'!$C$5:$C$116,"Frozen",'Data SKU'!$D$5:$D$116,8)</f>
        <v>2515033828.69622</v>
      </c>
      <c r="J37" s="9" t="n">
        <f aca="false">SUM(D37:I37)</f>
        <v>5109501881.89622</v>
      </c>
    </row>
    <row r="38" customFormat="false" ht="15" hidden="false" customHeight="false" outlineLevel="0" collapsed="false">
      <c r="B38" s="6" t="s">
        <v>878</v>
      </c>
      <c r="C38" s="6" t="s">
        <v>1467</v>
      </c>
      <c r="D38" s="7" t="n">
        <f aca="false">SUMIFS('Data SKU'!$I$5:$I$116,'Data SKU'!$A$5:$A$116,$B38,'Data SKU'!$C$5:$C$116,"Frozen",'Data SKU'!$D$5:$D$116,3)</f>
        <v>0</v>
      </c>
      <c r="E38" s="7" t="n">
        <f aca="false">SUMIFS('Data SKU'!$I$5:$I$116,'Data SKU'!$A$5:$A$116,$B38,'Data SKU'!$C$5:$C$116,"Frozen",'Data SKU'!$D$5:$D$116,4)</f>
        <v>0</v>
      </c>
      <c r="F38" s="7" t="n">
        <f aca="false">SUMIFS('Data SKU'!$I$5:$I$116,'Data SKU'!$A$5:$A$116,$B38,'Data SKU'!$C$5:$C$116,"Frozen",'Data SKU'!$D$5:$D$116,5)</f>
        <v>2153360</v>
      </c>
      <c r="G38" s="7" t="n">
        <f aca="false">SUMIFS('Data SKU'!$I$5:$I$116,'Data SKU'!$A$5:$A$116,$B38,'Data SKU'!$C$5:$C$116,"Frozen",'Data SKU'!$D$5:$D$116,6)</f>
        <v>3001756.75</v>
      </c>
      <c r="H38" s="7" t="n">
        <f aca="false">SUMIFS('Data SKU'!$I$5:$I$116,'Data SKU'!$A$5:$A$116,$B38,'Data SKU'!$C$5:$C$116,"Frozen",'Data SKU'!$D$5:$D$116,7)</f>
        <v>426113027.92</v>
      </c>
      <c r="I38" s="7" t="n">
        <f aca="false">SUMIFS('Data SKU'!$I$5:$I$116,'Data SKU'!$A$5:$A$116,$B38,'Data SKU'!$C$5:$C$116,"Frozen",'Data SKU'!$D$5:$D$116,8)</f>
        <v>365851826.690666</v>
      </c>
      <c r="J38" s="9" t="n">
        <f aca="false">SUM(D38:I38)</f>
        <v>797119971.360666</v>
      </c>
    </row>
    <row r="39" customFormat="false" ht="15" hidden="false" customHeight="false" outlineLevel="0" collapsed="false">
      <c r="B39" s="6" t="s">
        <v>878</v>
      </c>
      <c r="C39" s="11" t="s">
        <v>1468</v>
      </c>
      <c r="D39" s="57" t="n">
        <f aca="false">IFERROR(D38/D37,0)</f>
        <v>0</v>
      </c>
      <c r="E39" s="57" t="n">
        <f aca="false">IFERROR(E38/E37,0)</f>
        <v>0</v>
      </c>
      <c r="F39" s="57" t="n">
        <f aca="false">IFERROR(F38/F37,0)</f>
        <v>0.0588235294117647</v>
      </c>
      <c r="G39" s="57" t="n">
        <f aca="false">IFERROR(G38/G37,0)</f>
        <v>0.0302512950558606</v>
      </c>
      <c r="H39" s="57" t="n">
        <f aca="false">IFERROR(H38/H37,0)</f>
        <v>0.173312947496954</v>
      </c>
      <c r="I39" s="57" t="n">
        <f aca="false">IFERROR(I38/I37,0)</f>
        <v>0.145465966507624</v>
      </c>
      <c r="J39" s="57" t="n">
        <f aca="false">IFERROR(J38/J37,0)</f>
        <v>0.156007374062233</v>
      </c>
    </row>
    <row r="40" customFormat="false" ht="15" hidden="false" customHeight="false" outlineLevel="0" collapsed="false">
      <c r="B40" s="6" t="s">
        <v>878</v>
      </c>
      <c r="C40" s="6" t="s">
        <v>1469</v>
      </c>
      <c r="D40" s="9" t="n">
        <f aca="false">IFERROR(D37/D36,0)</f>
        <v>0</v>
      </c>
      <c r="E40" s="9" t="n">
        <f aca="false">IFERROR(E37/E36,0)</f>
        <v>0</v>
      </c>
      <c r="F40" s="9" t="n">
        <f aca="false">IFERROR(F37/F36,0)</f>
        <v>34000</v>
      </c>
      <c r="G40" s="9" t="n">
        <f aca="false">IFERROR(G37/G36,0)</f>
        <v>38081.6226277512</v>
      </c>
      <c r="H40" s="9" t="n">
        <f aca="false">IFERROR(H37/H36,0)</f>
        <v>36604.413807355</v>
      </c>
      <c r="I40" s="9" t="n">
        <f aca="false">IFERROR(I37/I36,0)</f>
        <v>42664.5570816312</v>
      </c>
      <c r="J40" s="9" t="n">
        <f aca="false">IFERROR(J37/J36,0)</f>
        <v>39364.7154520047</v>
      </c>
    </row>
    <row r="42" customFormat="false" ht="15" hidden="false" customHeight="false" outlineLevel="0" collapsed="false">
      <c r="B42" s="6" t="s">
        <v>878</v>
      </c>
      <c r="C42" s="6" t="s">
        <v>1470</v>
      </c>
      <c r="D42" s="7" t="n">
        <f aca="false">SUMIFS('Data SKU'!$F$5:$F$116,'Data SKU'!$A$5:$A$116,$B42,'Data SKU'!$C$5:$C$116,"Not stated in item master",'Data SKU'!$D$5:$D$116,3)</f>
        <v>0</v>
      </c>
      <c r="E42" s="7" t="n">
        <f aca="false">SUMIFS('Data SKU'!$F$5:$F$116,'Data SKU'!$A$5:$A$116,$B42,'Data SKU'!$C$5:$C$116,"Not stated in item master",'Data SKU'!$D$5:$D$116,4)</f>
        <v>3550.57</v>
      </c>
      <c r="F42" s="7" t="n">
        <f aca="false">SUMIFS('Data SKU'!$F$5:$F$116,'Data SKU'!$A$5:$A$116,$B42,'Data SKU'!$C$5:$C$116,"Not stated in item master",'Data SKU'!$D$5:$D$116,5)</f>
        <v>206.65</v>
      </c>
      <c r="G42" s="7" t="n">
        <f aca="false">SUMIFS('Data SKU'!$F$5:$F$116,'Data SKU'!$A$5:$A$116,$B42,'Data SKU'!$C$5:$C$116,"Not stated in item master",'Data SKU'!$D$5:$D$116,6)</f>
        <v>24808.14</v>
      </c>
      <c r="H42" s="7" t="n">
        <f aca="false">SUMIFS('Data SKU'!$F$5:$F$116,'Data SKU'!$A$5:$A$116,$B42,'Data SKU'!$C$5:$C$116,"Not stated in item master",'Data SKU'!$D$5:$D$116,7)</f>
        <v>19779.02</v>
      </c>
      <c r="I42" s="7" t="n">
        <f aca="false">SUMIFS('Data SKU'!$F$5:$F$116,'Data SKU'!$A$5:$A$116,$B42,'Data SKU'!$C$5:$C$116,"Not stated in item master",'Data SKU'!$D$5:$D$116,8)</f>
        <v>106958.41</v>
      </c>
      <c r="J42" s="9" t="n">
        <f aca="false">SUM(D42:I42)</f>
        <v>155302.79</v>
      </c>
    </row>
    <row r="43" customFormat="false" ht="15" hidden="false" customHeight="false" outlineLevel="0" collapsed="false">
      <c r="B43" s="6" t="s">
        <v>878</v>
      </c>
      <c r="C43" s="6" t="s">
        <v>1471</v>
      </c>
      <c r="D43" s="7" t="n">
        <f aca="false">SUMIFS('Data SKU'!$G$5:$G$116,'Data SKU'!$A$5:$A$116,$B43,'Data SKU'!$C$5:$C$116,"Not stated in item master",'Data SKU'!$D$5:$D$116,3)</f>
        <v>0</v>
      </c>
      <c r="E43" s="7" t="n">
        <f aca="false">SUMIFS('Data SKU'!$G$5:$G$116,'Data SKU'!$A$5:$A$116,$B43,'Data SKU'!$C$5:$C$116,"Not stated in item master",'Data SKU'!$D$5:$D$116,4)</f>
        <v>149939860</v>
      </c>
      <c r="F43" s="7" t="n">
        <f aca="false">SUMIFS('Data SKU'!$G$5:$G$116,'Data SKU'!$A$5:$A$116,$B43,'Data SKU'!$C$5:$C$116,"Not stated in item master",'Data SKU'!$D$5:$D$116,5)</f>
        <v>3203075</v>
      </c>
      <c r="G43" s="7" t="n">
        <f aca="false">SUMIFS('Data SKU'!$G$5:$G$116,'Data SKU'!$A$5:$A$116,$B43,'Data SKU'!$C$5:$C$116,"Not stated in item master",'Data SKU'!$D$5:$D$116,6)</f>
        <v>823156860</v>
      </c>
      <c r="H43" s="7" t="n">
        <f aca="false">SUMIFS('Data SKU'!$G$5:$G$116,'Data SKU'!$A$5:$A$116,$B43,'Data SKU'!$C$5:$C$116,"Not stated in item master",'Data SKU'!$D$5:$D$116,7)</f>
        <v>417792235</v>
      </c>
      <c r="I43" s="7" t="n">
        <f aca="false">SUMIFS('Data SKU'!$G$5:$G$116,'Data SKU'!$A$5:$A$116,$B43,'Data SKU'!$C$5:$C$116,"Not stated in item master",'Data SKU'!$D$5:$D$116,8)</f>
        <v>3064513583.79036</v>
      </c>
      <c r="J43" s="9" t="n">
        <f aca="false">SUM(D43:I43)</f>
        <v>4458605613.79036</v>
      </c>
    </row>
    <row r="44" customFormat="false" ht="15" hidden="false" customHeight="false" outlineLevel="0" collapsed="false">
      <c r="B44" s="6" t="s">
        <v>878</v>
      </c>
      <c r="C44" s="6" t="s">
        <v>1472</v>
      </c>
      <c r="D44" s="7" t="n">
        <f aca="false">SUMIFS('Data SKU'!$I$5:$I$116,'Data SKU'!$A$5:$A$116,$B44,'Data SKU'!$C$5:$C$116,"Not stated in item master",'Data SKU'!$D$5:$D$116,3)</f>
        <v>0</v>
      </c>
      <c r="E44" s="7" t="n">
        <f aca="false">SUMIFS('Data SKU'!$I$5:$I$116,'Data SKU'!$A$5:$A$116,$B44,'Data SKU'!$C$5:$C$116,"Not stated in item master",'Data SKU'!$D$5:$D$116,4)</f>
        <v>8812490</v>
      </c>
      <c r="F44" s="7" t="n">
        <f aca="false">SUMIFS('Data SKU'!$I$5:$I$116,'Data SKU'!$A$5:$A$116,$B44,'Data SKU'!$C$5:$C$116,"Not stated in item master",'Data SKU'!$D$5:$D$116,5)</f>
        <v>723275</v>
      </c>
      <c r="G44" s="7" t="n">
        <f aca="false">SUMIFS('Data SKU'!$I$5:$I$116,'Data SKU'!$A$5:$A$116,$B44,'Data SKU'!$C$5:$C$116,"Not stated in item master",'Data SKU'!$D$5:$D$116,6)</f>
        <v>111600083.34</v>
      </c>
      <c r="H44" s="7" t="n">
        <f aca="false">SUMIFS('Data SKU'!$I$5:$I$116,'Data SKU'!$A$5:$A$116,$B44,'Data SKU'!$C$5:$C$116,"Not stated in item master",'Data SKU'!$D$5:$D$116,7)</f>
        <v>67277456.03</v>
      </c>
      <c r="I44" s="7" t="n">
        <f aca="false">SUMIFS('Data SKU'!$I$5:$I$116,'Data SKU'!$A$5:$A$116,$B44,'Data SKU'!$C$5:$C$116,"Not stated in item master",'Data SKU'!$D$5:$D$116,8)</f>
        <v>122739064.744451</v>
      </c>
      <c r="J44" s="9" t="n">
        <f aca="false">SUM(D44:I44)</f>
        <v>311152369.114451</v>
      </c>
    </row>
    <row r="45" customFormat="false" ht="15" hidden="false" customHeight="false" outlineLevel="0" collapsed="false">
      <c r="B45" s="6" t="s">
        <v>878</v>
      </c>
      <c r="C45" s="11" t="s">
        <v>1473</v>
      </c>
      <c r="D45" s="57" t="n">
        <f aca="false">IFERROR(D44/D43,0)</f>
        <v>0</v>
      </c>
      <c r="E45" s="57" t="n">
        <f aca="false">IFERROR(E44/E43,0)</f>
        <v>0.0587734975876328</v>
      </c>
      <c r="F45" s="57" t="n">
        <f aca="false">IFERROR(F44/F43,0)</f>
        <v>0.225806451612903</v>
      </c>
      <c r="G45" s="57" t="n">
        <f aca="false">IFERROR(G44/G43,0)</f>
        <v>0.135575719237765</v>
      </c>
      <c r="H45" s="57" t="n">
        <f aca="false">IFERROR(H44/H43,0)</f>
        <v>0.161030891419033</v>
      </c>
      <c r="I45" s="57" t="n">
        <f aca="false">IFERROR(I44/I43,0)</f>
        <v>0.0400517280764149</v>
      </c>
      <c r="J45" s="57" t="n">
        <f aca="false">IFERROR(J44/J43,0)</f>
        <v>0.0697869235511803</v>
      </c>
    </row>
    <row r="46" customFormat="false" ht="15" hidden="false" customHeight="false" outlineLevel="0" collapsed="false">
      <c r="B46" s="6" t="s">
        <v>878</v>
      </c>
      <c r="C46" s="6" t="s">
        <v>1474</v>
      </c>
      <c r="D46" s="9" t="n">
        <f aca="false">IFERROR(D43/D42,0)</f>
        <v>0</v>
      </c>
      <c r="E46" s="9" t="n">
        <f aca="false">IFERROR(E43/E42,0)</f>
        <v>42229.7997222981</v>
      </c>
      <c r="F46" s="9" t="n">
        <f aca="false">IFERROR(F43/F42,0)</f>
        <v>15500</v>
      </c>
      <c r="G46" s="9" t="n">
        <f aca="false">IFERROR(G43/G42,0)</f>
        <v>33180.9180373861</v>
      </c>
      <c r="H46" s="9" t="n">
        <f aca="false">IFERROR(H43/H42,0)</f>
        <v>21122.9997745085</v>
      </c>
      <c r="I46" s="9" t="n">
        <f aca="false">IFERROR(I43/I42,0)</f>
        <v>28651.4504449941</v>
      </c>
      <c r="J46" s="9" t="n">
        <f aca="false">IFERROR(J43/J42,0)</f>
        <v>28709.1147157779</v>
      </c>
    </row>
    <row r="48" customFormat="false" ht="15" hidden="false" customHeight="false" outlineLevel="0" collapsed="false">
      <c r="B48" s="6" t="s">
        <v>878</v>
      </c>
      <c r="C48" s="6" t="s">
        <v>1475</v>
      </c>
      <c r="D48" s="7" t="n">
        <f aca="false">SUMIFS('Data SKU'!$F$5:$F$116,'Data SKU'!$A$5:$A$116,$B48,'Data SKU'!$C$5:$C$116,"n/a",'Data SKU'!$D$5:$D$116,3)</f>
        <v>0</v>
      </c>
      <c r="E48" s="7" t="n">
        <f aca="false">SUMIFS('Data SKU'!$F$5:$F$116,'Data SKU'!$A$5:$A$116,$B48,'Data SKU'!$C$5:$C$116,"n/a",'Data SKU'!$D$5:$D$116,4)</f>
        <v>0</v>
      </c>
      <c r="F48" s="7" t="n">
        <f aca="false">SUMIFS('Data SKU'!$F$5:$F$116,'Data SKU'!$A$5:$A$116,$B48,'Data SKU'!$C$5:$C$116,"n/a",'Data SKU'!$D$5:$D$116,5)</f>
        <v>0</v>
      </c>
      <c r="G48" s="7" t="n">
        <f aca="false">SUMIFS('Data SKU'!$F$5:$F$116,'Data SKU'!$A$5:$A$116,$B48,'Data SKU'!$C$5:$C$116,"n/a",'Data SKU'!$D$5:$D$116,6)</f>
        <v>0</v>
      </c>
      <c r="H48" s="7" t="n">
        <f aca="false">SUMIFS('Data SKU'!$F$5:$F$116,'Data SKU'!$A$5:$A$116,$B48,'Data SKU'!$C$5:$C$116,"n/a",'Data SKU'!$D$5:$D$116,7)</f>
        <v>0</v>
      </c>
      <c r="I48" s="7" t="n">
        <f aca="false">SUMIFS('Data SKU'!$F$5:$F$116,'Data SKU'!$A$5:$A$116,$B48,'Data SKU'!$C$5:$C$116,"n/a",'Data SKU'!$D$5:$D$116,8)</f>
        <v>3017.55</v>
      </c>
      <c r="J48" s="9" t="n">
        <f aca="false">SUM(D48:I48)</f>
        <v>3017.55</v>
      </c>
    </row>
    <row r="49" customFormat="false" ht="15" hidden="false" customHeight="false" outlineLevel="0" collapsed="false">
      <c r="B49" s="6" t="s">
        <v>878</v>
      </c>
      <c r="C49" s="6" t="s">
        <v>1476</v>
      </c>
      <c r="D49" s="7" t="n">
        <f aca="false">SUMIFS('Data SKU'!$G$5:$G$116,'Data SKU'!$A$5:$A$116,$B49,'Data SKU'!$C$5:$C$116,"n/a",'Data SKU'!$D$5:$D$116,3)</f>
        <v>0</v>
      </c>
      <c r="E49" s="7" t="n">
        <f aca="false">SUMIFS('Data SKU'!$G$5:$G$116,'Data SKU'!$A$5:$A$116,$B49,'Data SKU'!$C$5:$C$116,"n/a",'Data SKU'!$D$5:$D$116,4)</f>
        <v>0</v>
      </c>
      <c r="F49" s="7" t="n">
        <f aca="false">SUMIFS('Data SKU'!$G$5:$G$116,'Data SKU'!$A$5:$A$116,$B49,'Data SKU'!$C$5:$C$116,"n/a",'Data SKU'!$D$5:$D$116,5)</f>
        <v>0</v>
      </c>
      <c r="G49" s="7" t="n">
        <f aca="false">SUMIFS('Data SKU'!$G$5:$G$116,'Data SKU'!$A$5:$A$116,$B49,'Data SKU'!$C$5:$C$116,"n/a",'Data SKU'!$D$5:$D$116,6)</f>
        <v>0</v>
      </c>
      <c r="H49" s="7" t="n">
        <f aca="false">SUMIFS('Data SKU'!$G$5:$G$116,'Data SKU'!$A$5:$A$116,$B49,'Data SKU'!$C$5:$C$116,"n/a",'Data SKU'!$D$5:$D$116,7)</f>
        <v>0</v>
      </c>
      <c r="I49" s="7" t="n">
        <f aca="false">SUMIFS('Data SKU'!$G$5:$G$116,'Data SKU'!$A$5:$A$116,$B49,'Data SKU'!$C$5:$C$116,"n/a",'Data SKU'!$D$5:$D$116,8)</f>
        <v>90526500</v>
      </c>
      <c r="J49" s="9" t="n">
        <f aca="false">SUM(D49:I49)</f>
        <v>90526500</v>
      </c>
    </row>
    <row r="50" customFormat="false" ht="15" hidden="false" customHeight="false" outlineLevel="0" collapsed="false">
      <c r="B50" s="6" t="s">
        <v>878</v>
      </c>
      <c r="C50" s="6" t="s">
        <v>1477</v>
      </c>
      <c r="D50" s="7" t="n">
        <f aca="false">SUMIFS('Data SKU'!$I$5:$I$116,'Data SKU'!$A$5:$A$116,$B50,'Data SKU'!$C$5:$C$116,"n/a",'Data SKU'!$D$5:$D$116,3)</f>
        <v>0</v>
      </c>
      <c r="E50" s="7" t="n">
        <f aca="false">SUMIFS('Data SKU'!$I$5:$I$116,'Data SKU'!$A$5:$A$116,$B50,'Data SKU'!$C$5:$C$116,"n/a",'Data SKU'!$D$5:$D$116,4)</f>
        <v>0</v>
      </c>
      <c r="F50" s="7" t="n">
        <f aca="false">SUMIFS('Data SKU'!$I$5:$I$116,'Data SKU'!$A$5:$A$116,$B50,'Data SKU'!$C$5:$C$116,"n/a",'Data SKU'!$D$5:$D$116,5)</f>
        <v>0</v>
      </c>
      <c r="G50" s="7" t="n">
        <f aca="false">SUMIFS('Data SKU'!$I$5:$I$116,'Data SKU'!$A$5:$A$116,$B50,'Data SKU'!$C$5:$C$116,"n/a",'Data SKU'!$D$5:$D$116,6)</f>
        <v>0</v>
      </c>
      <c r="H50" s="7" t="n">
        <f aca="false">SUMIFS('Data SKU'!$I$5:$I$116,'Data SKU'!$A$5:$A$116,$B50,'Data SKU'!$C$5:$C$116,"n/a",'Data SKU'!$D$5:$D$116,7)</f>
        <v>-9218000</v>
      </c>
      <c r="I50" s="7" t="n">
        <f aca="false">SUMIFS('Data SKU'!$I$5:$I$116,'Data SKU'!$A$5:$A$116,$B50,'Data SKU'!$C$5:$C$116,"n/a",'Data SKU'!$D$5:$D$116,8)</f>
        <v>-18644656.06</v>
      </c>
      <c r="J50" s="9" t="n">
        <f aca="false">SUM(D50:I50)</f>
        <v>-27862656.06</v>
      </c>
    </row>
    <row r="51" customFormat="false" ht="15" hidden="false" customHeight="false" outlineLevel="0" collapsed="false">
      <c r="B51" s="6" t="s">
        <v>878</v>
      </c>
      <c r="C51" s="11" t="s">
        <v>1478</v>
      </c>
      <c r="D51" s="57" t="n">
        <f aca="false">IFERROR(D50/D49,0)</f>
        <v>0</v>
      </c>
      <c r="E51" s="57" t="n">
        <f aca="false">IFERROR(E50/E49,0)</f>
        <v>0</v>
      </c>
      <c r="F51" s="57" t="n">
        <f aca="false">IFERROR(F50/F49,0)</f>
        <v>0</v>
      </c>
      <c r="G51" s="57" t="n">
        <f aca="false">IFERROR(G50/G49,0)</f>
        <v>0</v>
      </c>
      <c r="H51" s="57" t="n">
        <f aca="false">IFERROR(H50/H49,0)</f>
        <v>0</v>
      </c>
      <c r="I51" s="57" t="n">
        <f aca="false">IFERROR(I50/I49,0)</f>
        <v>-0.205957990864554</v>
      </c>
      <c r="J51" s="57" t="n">
        <f aca="false">IFERROR(J50/J49,0)</f>
        <v>-0.307784527845438</v>
      </c>
    </row>
    <row r="52" customFormat="false" ht="15" hidden="false" customHeight="false" outlineLevel="0" collapsed="false">
      <c r="B52" s="6" t="s">
        <v>878</v>
      </c>
      <c r="C52" s="6" t="s">
        <v>1479</v>
      </c>
      <c r="D52" s="9" t="n">
        <f aca="false">IFERROR(D49/D48,0)</f>
        <v>0</v>
      </c>
      <c r="E52" s="9" t="n">
        <f aca="false">IFERROR(E49/E48,0)</f>
        <v>0</v>
      </c>
      <c r="F52" s="9" t="n">
        <f aca="false">IFERROR(F49/F48,0)</f>
        <v>0</v>
      </c>
      <c r="G52" s="9" t="n">
        <f aca="false">IFERROR(G49/G48,0)</f>
        <v>0</v>
      </c>
      <c r="H52" s="9" t="n">
        <f aca="false">IFERROR(H49/H48,0)</f>
        <v>0</v>
      </c>
      <c r="I52" s="9" t="n">
        <f aca="false">IFERROR(I49/I48,0)</f>
        <v>30000</v>
      </c>
      <c r="J52" s="9" t="n">
        <f aca="false">IFERROR(J49/J48,0)</f>
        <v>30000</v>
      </c>
    </row>
    <row r="54" customFormat="false" ht="15" hidden="false" customHeight="false" outlineLevel="0" collapsed="false">
      <c r="B54" s="6" t="s">
        <v>1141</v>
      </c>
      <c r="C54" s="6" t="s">
        <v>1475</v>
      </c>
      <c r="D54" s="7" t="n">
        <f aca="false">SUMIFS('Data SKU'!$F$5:$F$116,'Data SKU'!$A$5:$A$116,$B54,'Data SKU'!$C$5:$C$116,"n/a",'Data SKU'!$D$5:$D$116,3)</f>
        <v>0</v>
      </c>
      <c r="E54" s="7" t="n">
        <f aca="false">SUMIFS('Data SKU'!$F$5:$F$116,'Data SKU'!$A$5:$A$116,$B54,'Data SKU'!$C$5:$C$116,"n/a",'Data SKU'!$D$5:$D$116,4)</f>
        <v>0</v>
      </c>
      <c r="F54" s="7" t="n">
        <f aca="false">SUMIFS('Data SKU'!$F$5:$F$116,'Data SKU'!$A$5:$A$116,$B54,'Data SKU'!$C$5:$C$116,"n/a",'Data SKU'!$D$5:$D$116,5)</f>
        <v>0</v>
      </c>
      <c r="G54" s="7" t="n">
        <f aca="false">SUMIFS('Data SKU'!$F$5:$F$116,'Data SKU'!$A$5:$A$116,$B54,'Data SKU'!$C$5:$C$116,"n/a",'Data SKU'!$D$5:$D$116,6)</f>
        <v>0</v>
      </c>
      <c r="H54" s="7" t="n">
        <f aca="false">SUMIFS('Data SKU'!$F$5:$F$116,'Data SKU'!$A$5:$A$116,$B54,'Data SKU'!$C$5:$C$116,"n/a",'Data SKU'!$D$5:$D$116,7)</f>
        <v>0</v>
      </c>
      <c r="I54" s="7" t="n">
        <f aca="false">SUMIFS('Data SKU'!$F$5:$F$116,'Data SKU'!$A$5:$A$116,$B54,'Data SKU'!$C$5:$C$116,"n/a",'Data SKU'!$D$5:$D$116,8)</f>
        <v>0</v>
      </c>
      <c r="J54" s="9" t="n">
        <f aca="false">SUM(D54:I54)</f>
        <v>0</v>
      </c>
    </row>
    <row r="55" customFormat="false" ht="15" hidden="false" customHeight="false" outlineLevel="0" collapsed="false">
      <c r="B55" s="6" t="s">
        <v>1141</v>
      </c>
      <c r="C55" s="6" t="s">
        <v>1476</v>
      </c>
      <c r="D55" s="7" t="n">
        <f aca="false">SUMIFS('Data SKU'!$G$5:$G$116,'Data SKU'!$A$5:$A$116,$B55,'Data SKU'!$C$5:$C$116,"n/a",'Data SKU'!$D$5:$D$116,3)</f>
        <v>0</v>
      </c>
      <c r="E55" s="7" t="n">
        <f aca="false">SUMIFS('Data SKU'!$G$5:$G$116,'Data SKU'!$A$5:$A$116,$B55,'Data SKU'!$C$5:$C$116,"n/a",'Data SKU'!$D$5:$D$116,4)</f>
        <v>0</v>
      </c>
      <c r="F55" s="7" t="n">
        <f aca="false">SUMIFS('Data SKU'!$G$5:$G$116,'Data SKU'!$A$5:$A$116,$B55,'Data SKU'!$C$5:$C$116,"n/a",'Data SKU'!$D$5:$D$116,5)</f>
        <v>0</v>
      </c>
      <c r="G55" s="7" t="n">
        <f aca="false">SUMIFS('Data SKU'!$G$5:$G$116,'Data SKU'!$A$5:$A$116,$B55,'Data SKU'!$C$5:$C$116,"n/a",'Data SKU'!$D$5:$D$116,6)</f>
        <v>0</v>
      </c>
      <c r="H55" s="7" t="n">
        <f aca="false">SUMIFS('Data SKU'!$G$5:$G$116,'Data SKU'!$A$5:$A$116,$B55,'Data SKU'!$C$5:$C$116,"n/a",'Data SKU'!$D$5:$D$116,7)</f>
        <v>0</v>
      </c>
      <c r="I55" s="7" t="n">
        <f aca="false">SUMIFS('Data SKU'!$G$5:$G$116,'Data SKU'!$A$5:$A$116,$B55,'Data SKU'!$C$5:$C$116,"n/a",'Data SKU'!$D$5:$D$116,8)</f>
        <v>0</v>
      </c>
      <c r="J55" s="9" t="n">
        <f aca="false">SUM(D55:I55)</f>
        <v>0</v>
      </c>
    </row>
    <row r="56" customFormat="false" ht="15" hidden="false" customHeight="false" outlineLevel="0" collapsed="false">
      <c r="B56" s="6" t="s">
        <v>1141</v>
      </c>
      <c r="C56" s="6" t="s">
        <v>1477</v>
      </c>
      <c r="D56" s="7" t="n">
        <f aca="false">SUMIFS('Data SKU'!$I$5:$I$116,'Data SKU'!$A$5:$A$116,$B56,'Data SKU'!$C$5:$C$116,"n/a",'Data SKU'!$D$5:$D$116,3)</f>
        <v>0</v>
      </c>
      <c r="E56" s="7" t="n">
        <f aca="false">SUMIFS('Data SKU'!$I$5:$I$116,'Data SKU'!$A$5:$A$116,$B56,'Data SKU'!$C$5:$C$116,"n/a",'Data SKU'!$D$5:$D$116,4)</f>
        <v>0</v>
      </c>
      <c r="F56" s="7" t="n">
        <f aca="false">SUMIFS('Data SKU'!$I$5:$I$116,'Data SKU'!$A$5:$A$116,$B56,'Data SKU'!$C$5:$C$116,"n/a",'Data SKU'!$D$5:$D$116,5)</f>
        <v>0</v>
      </c>
      <c r="G56" s="7" t="n">
        <f aca="false">SUMIFS('Data SKU'!$I$5:$I$116,'Data SKU'!$A$5:$A$116,$B56,'Data SKU'!$C$5:$C$116,"n/a",'Data SKU'!$D$5:$D$116,6)</f>
        <v>0</v>
      </c>
      <c r="H56" s="7" t="n">
        <f aca="false">SUMIFS('Data SKU'!$I$5:$I$116,'Data SKU'!$A$5:$A$116,$B56,'Data SKU'!$C$5:$C$116,"n/a",'Data SKU'!$D$5:$D$116,7)</f>
        <v>0</v>
      </c>
      <c r="I56" s="7" t="n">
        <f aca="false">SUMIFS('Data SKU'!$I$5:$I$116,'Data SKU'!$A$5:$A$116,$B56,'Data SKU'!$C$5:$C$116,"n/a",'Data SKU'!$D$5:$D$116,8)</f>
        <v>0</v>
      </c>
      <c r="J56" s="9" t="n">
        <f aca="false">SUM(D56:I56)</f>
        <v>0</v>
      </c>
    </row>
    <row r="57" customFormat="false" ht="15" hidden="false" customHeight="false" outlineLevel="0" collapsed="false">
      <c r="B57" s="6" t="s">
        <v>1141</v>
      </c>
      <c r="C57" s="11" t="s">
        <v>1478</v>
      </c>
      <c r="D57" s="57" t="n">
        <f aca="false">IFERROR(D56/D55,0)</f>
        <v>0</v>
      </c>
      <c r="E57" s="57" t="n">
        <f aca="false">IFERROR(E56/E55,0)</f>
        <v>0</v>
      </c>
      <c r="F57" s="57" t="n">
        <f aca="false">IFERROR(F56/F55,0)</f>
        <v>0</v>
      </c>
      <c r="G57" s="57" t="n">
        <f aca="false">IFERROR(G56/G55,0)</f>
        <v>0</v>
      </c>
      <c r="H57" s="57" t="n">
        <f aca="false">IFERROR(H56/H55,0)</f>
        <v>0</v>
      </c>
      <c r="I57" s="57" t="n">
        <f aca="false">IFERROR(I56/I55,0)</f>
        <v>0</v>
      </c>
      <c r="J57" s="57" t="n">
        <f aca="false">IFERROR(J56/J55,0)</f>
        <v>0</v>
      </c>
    </row>
    <row r="58" customFormat="false" ht="15" hidden="false" customHeight="false" outlineLevel="0" collapsed="false">
      <c r="B58" s="6" t="s">
        <v>1141</v>
      </c>
      <c r="C58" s="6" t="s">
        <v>1479</v>
      </c>
      <c r="D58" s="9" t="n">
        <f aca="false">IFERROR(D55/D54,0)</f>
        <v>0</v>
      </c>
      <c r="E58" s="9" t="n">
        <f aca="false">IFERROR(E55/E54,0)</f>
        <v>0</v>
      </c>
      <c r="F58" s="9" t="n">
        <f aca="false">IFERROR(F55/F54,0)</f>
        <v>0</v>
      </c>
      <c r="G58" s="9" t="n">
        <f aca="false">IFERROR(G55/G54,0)</f>
        <v>0</v>
      </c>
      <c r="H58" s="9" t="n">
        <f aca="false">IFERROR(H55/H54,0)</f>
        <v>0</v>
      </c>
      <c r="I58" s="9" t="n">
        <f aca="false">IFERROR(I55/I54,0)</f>
        <v>0</v>
      </c>
      <c r="J58" s="9" t="n">
        <f aca="false">IFERROR(J55/J54,0)</f>
        <v>0</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26"/>
    <col collapsed="false" customWidth="true" hidden="false" outlineLevel="0" max="4" min="4" style="0" width="16"/>
    <col collapsed="false" customWidth="true" hidden="false" outlineLevel="0" max="10" min="5" style="0" width="14"/>
    <col collapsed="false" customWidth="true" hidden="false" outlineLevel="0" max="11" min="11" style="0" width="16"/>
  </cols>
  <sheetData>
    <row r="1" customFormat="false" ht="15" hidden="false" customHeight="false" outlineLevel="0" collapsed="false">
      <c r="A1" s="1" t="s">
        <v>1480</v>
      </c>
    </row>
    <row r="2" customFormat="false" ht="15" hidden="false" customHeight="false" outlineLevel="0" collapsed="false">
      <c r="A2" s="4" t="s">
        <v>1481</v>
      </c>
    </row>
    <row r="5" customFormat="false" ht="30" hidden="false" customHeight="true" outlineLevel="0" collapsed="false">
      <c r="B5" s="5" t="s">
        <v>862</v>
      </c>
      <c r="C5" s="5" t="s">
        <v>224</v>
      </c>
      <c r="D5" s="5" t="s">
        <v>308</v>
      </c>
      <c r="E5" s="5" t="s">
        <v>731</v>
      </c>
      <c r="F5" s="5" t="s">
        <v>732</v>
      </c>
      <c r="G5" s="5" t="s">
        <v>733</v>
      </c>
      <c r="H5" s="5" t="s">
        <v>734</v>
      </c>
      <c r="I5" s="5" t="s">
        <v>184</v>
      </c>
      <c r="J5" s="5" t="s">
        <v>185</v>
      </c>
      <c r="K5" s="5" t="s">
        <v>1459</v>
      </c>
    </row>
    <row r="6" customFormat="false" ht="15" hidden="false" customHeight="false" outlineLevel="0" collapsed="false">
      <c r="B6" s="6" t="s">
        <v>875</v>
      </c>
      <c r="C6" s="6" t="s">
        <v>236</v>
      </c>
      <c r="D6" s="6" t="s">
        <v>1099</v>
      </c>
      <c r="E6" s="7" t="n">
        <f aca="false">SUMIFS('Data SKU'!$F$5:$F$116,'Data SKU'!$A$5:$A$116,$B6,'Data SKU'!$B$5:$B$116,$C6,'Data SKU'!$D$5:$D$116,3)</f>
        <v>2007</v>
      </c>
      <c r="F6" s="7" t="n">
        <f aca="false">SUMIFS('Data SKU'!$F$5:$F$116,'Data SKU'!$A$5:$A$116,$B6,'Data SKU'!$B$5:$B$116,$C6,'Data SKU'!$D$5:$D$116,4)</f>
        <v>5784.31</v>
      </c>
      <c r="G6" s="7" t="n">
        <f aca="false">SUMIFS('Data SKU'!$F$5:$F$116,'Data SKU'!$A$5:$A$116,$B6,'Data SKU'!$B$5:$B$116,$C6,'Data SKU'!$D$5:$D$116,5)</f>
        <v>11727.63</v>
      </c>
      <c r="H6" s="7" t="n">
        <f aca="false">SUMIFS('Data SKU'!$F$5:$F$116,'Data SKU'!$A$5:$A$116,$B6,'Data SKU'!$B$5:$B$116,$C6,'Data SKU'!$D$5:$D$116,6)</f>
        <v>1495.05</v>
      </c>
      <c r="I6" s="7" t="n">
        <f aca="false">SUMIFS('Data SKU'!$F$5:$F$116,'Data SKU'!$A$5:$A$116,$B6,'Data SKU'!$B$5:$B$116,$C6,'Data SKU'!$D$5:$D$116,7)</f>
        <v>1122</v>
      </c>
      <c r="J6" s="7" t="n">
        <f aca="false">SUMIFS('Data SKU'!$F$5:$F$116,'Data SKU'!$A$5:$A$116,$B6,'Data SKU'!$B$5:$B$116,$C6,'Data SKU'!$D$5:$D$116,8)</f>
        <v>1795.77</v>
      </c>
      <c r="K6" s="9" t="n">
        <f aca="false">SUM(E6:J6)</f>
        <v>23931.76</v>
      </c>
    </row>
    <row r="7" customFormat="false" ht="15" hidden="false" customHeight="false" outlineLevel="0" collapsed="false">
      <c r="B7" s="6" t="s">
        <v>875</v>
      </c>
      <c r="C7" s="6" t="s">
        <v>236</v>
      </c>
      <c r="D7" s="6" t="s">
        <v>311</v>
      </c>
      <c r="E7" s="7" t="n">
        <f aca="false">SUMIFS('Data SKU'!$G$5:$G$116,'Data SKU'!$A$5:$A$116,$B7,'Data SKU'!$B$5:$B$116,$C7,'Data SKU'!$D$5:$D$116,3)</f>
        <v>94180500</v>
      </c>
      <c r="F7" s="7" t="n">
        <f aca="false">SUMIFS('Data SKU'!$G$5:$G$116,'Data SKU'!$A$5:$A$116,$B7,'Data SKU'!$B$5:$B$116,$C7,'Data SKU'!$D$5:$D$116,4)</f>
        <v>250958770</v>
      </c>
      <c r="G7" s="7" t="n">
        <f aca="false">SUMIFS('Data SKU'!$G$5:$G$116,'Data SKU'!$A$5:$A$116,$B7,'Data SKU'!$B$5:$B$116,$C7,'Data SKU'!$D$5:$D$116,5)</f>
        <v>471748885</v>
      </c>
      <c r="H7" s="7" t="n">
        <f aca="false">SUMIFS('Data SKU'!$G$5:$G$116,'Data SKU'!$A$5:$A$116,$B7,'Data SKU'!$B$5:$B$116,$C7,'Data SKU'!$D$5:$D$116,6)</f>
        <v>57280237.5</v>
      </c>
      <c r="I7" s="7" t="n">
        <f aca="false">SUMIFS('Data SKU'!$G$5:$G$116,'Data SKU'!$A$5:$A$116,$B7,'Data SKU'!$B$5:$B$116,$C7,'Data SKU'!$D$5:$D$116,7)</f>
        <v>46002000</v>
      </c>
      <c r="J7" s="7" t="n">
        <f aca="false">SUMIFS('Data SKU'!$G$5:$G$116,'Data SKU'!$A$5:$A$116,$B7,'Data SKU'!$B$5:$B$116,$C7,'Data SKU'!$D$5:$D$116,8)</f>
        <v>73626570</v>
      </c>
      <c r="K7" s="9" t="n">
        <f aca="false">SUM(E7:J7)</f>
        <v>993796962.5</v>
      </c>
    </row>
    <row r="8" customFormat="false" ht="15" hidden="false" customHeight="false" outlineLevel="0" collapsed="false">
      <c r="B8" s="6" t="s">
        <v>875</v>
      </c>
      <c r="C8" s="6" t="s">
        <v>236</v>
      </c>
      <c r="D8" s="6" t="s">
        <v>865</v>
      </c>
      <c r="E8" s="7" t="n">
        <f aca="false">SUMIFS('Data SKU'!$H$5:$H$116,'Data SKU'!$A$5:$A$116,$B8,'Data SKU'!$B$5:$B$116,$C8,'Data SKU'!$D$5:$D$116,3)</f>
        <v>111087559.56</v>
      </c>
      <c r="F8" s="7" t="n">
        <f aca="false">SUMIFS('Data SKU'!$H$5:$H$116,'Data SKU'!$A$5:$A$116,$B8,'Data SKU'!$B$5:$B$116,$C8,'Data SKU'!$D$5:$D$116,4)</f>
        <v>254912629.66</v>
      </c>
      <c r="G8" s="7" t="n">
        <f aca="false">SUMIFS('Data SKU'!$H$5:$H$116,'Data SKU'!$A$5:$A$116,$B8,'Data SKU'!$B$5:$B$116,$C8,'Data SKU'!$D$5:$D$116,5)</f>
        <v>487135892.09</v>
      </c>
      <c r="H8" s="7" t="n">
        <f aca="false">SUMIFS('Data SKU'!$H$5:$H$116,'Data SKU'!$A$5:$A$116,$B8,'Data SKU'!$B$5:$B$116,$C8,'Data SKU'!$D$5:$D$116,6)</f>
        <v>48193661.52</v>
      </c>
      <c r="I8" s="7" t="n">
        <f aca="false">SUMIFS('Data SKU'!$H$5:$H$116,'Data SKU'!$A$5:$A$116,$B8,'Data SKU'!$B$5:$B$116,$C8,'Data SKU'!$D$5:$D$116,7)</f>
        <v>39506955.52</v>
      </c>
      <c r="J8" s="7" t="n">
        <f aca="false">SUMIFS('Data SKU'!$H$5:$H$116,'Data SKU'!$A$5:$A$116,$B8,'Data SKU'!$B$5:$B$116,$C8,'Data SKU'!$D$5:$D$116,8)</f>
        <v>63727642.2432414</v>
      </c>
      <c r="K8" s="9" t="n">
        <f aca="false">SUM(E8:J8)</f>
        <v>1004564340.59324</v>
      </c>
    </row>
    <row r="9" customFormat="false" ht="15" hidden="false" customHeight="false" outlineLevel="0" collapsed="false">
      <c r="B9" s="6" t="s">
        <v>875</v>
      </c>
      <c r="C9" s="6" t="s">
        <v>236</v>
      </c>
      <c r="D9" s="6" t="s">
        <v>866</v>
      </c>
      <c r="E9" s="7" t="n">
        <f aca="false">SUMIFS('Data SKU'!$I$5:$I$116,'Data SKU'!$A$5:$A$116,$B9,'Data SKU'!$B$5:$B$116,$C9,'Data SKU'!$D$5:$D$116,3)</f>
        <v>-16907059.56</v>
      </c>
      <c r="F9" s="7" t="n">
        <f aca="false">SUMIFS('Data SKU'!$I$5:$I$116,'Data SKU'!$A$5:$A$116,$B9,'Data SKU'!$B$5:$B$116,$C9,'Data SKU'!$D$5:$D$116,4)</f>
        <v>-3953859.66</v>
      </c>
      <c r="G9" s="7" t="n">
        <f aca="false">SUMIFS('Data SKU'!$I$5:$I$116,'Data SKU'!$A$5:$A$116,$B9,'Data SKU'!$B$5:$B$116,$C9,'Data SKU'!$D$5:$D$116,5)</f>
        <v>-15387007.09</v>
      </c>
      <c r="H9" s="7" t="n">
        <f aca="false">SUMIFS('Data SKU'!$I$5:$I$116,'Data SKU'!$A$5:$A$116,$B9,'Data SKU'!$B$5:$B$116,$C9,'Data SKU'!$D$5:$D$116,6)</f>
        <v>9086575.98</v>
      </c>
      <c r="I9" s="7" t="n">
        <f aca="false">SUMIFS('Data SKU'!$I$5:$I$116,'Data SKU'!$A$5:$A$116,$B9,'Data SKU'!$B$5:$B$116,$C9,'Data SKU'!$D$5:$D$116,7)</f>
        <v>6495044.48</v>
      </c>
      <c r="J9" s="7" t="n">
        <f aca="false">SUMIFS('Data SKU'!$I$5:$I$116,'Data SKU'!$A$5:$A$116,$B9,'Data SKU'!$B$5:$B$116,$C9,'Data SKU'!$D$5:$D$116,8)</f>
        <v>9898927.75675857</v>
      </c>
      <c r="K9" s="9" t="n">
        <f aca="false">SUM(E9:J9)</f>
        <v>-10767378.0932415</v>
      </c>
    </row>
    <row r="10" customFormat="false" ht="15" hidden="false" customHeight="false" outlineLevel="0" collapsed="false">
      <c r="B10" s="6" t="s">
        <v>875</v>
      </c>
      <c r="C10" s="6" t="s">
        <v>236</v>
      </c>
      <c r="D10" s="11" t="s">
        <v>867</v>
      </c>
      <c r="E10" s="57" t="n">
        <f aca="false">IFERROR(E9/E7,0)</f>
        <v>-0.179517623711915</v>
      </c>
      <c r="F10" s="57" t="n">
        <f aca="false">IFERROR(F9/F7,0)</f>
        <v>-0.0157550168898262</v>
      </c>
      <c r="G10" s="57" t="n">
        <f aca="false">IFERROR(G9/G7,0)</f>
        <v>-0.0326169442668635</v>
      </c>
      <c r="H10" s="57" t="n">
        <f aca="false">IFERROR(H9/H7,0)</f>
        <v>0.158633699450007</v>
      </c>
      <c r="I10" s="57" t="n">
        <f aca="false">IFERROR(I9/I7,0)</f>
        <v>0.141190480413895</v>
      </c>
      <c r="J10" s="57" t="n">
        <f aca="false">IFERROR(J9/J7,0)</f>
        <v>0.134447764669175</v>
      </c>
      <c r="K10" s="57" t="n">
        <f aca="false">IFERROR(K9/K7,0)</f>
        <v>-0.0108345854329792</v>
      </c>
    </row>
    <row r="11" customFormat="false" ht="15" hidden="false" customHeight="false" outlineLevel="0" collapsed="false">
      <c r="B11" s="6" t="s">
        <v>875</v>
      </c>
      <c r="C11" s="6" t="s">
        <v>236</v>
      </c>
      <c r="D11" s="6" t="s">
        <v>1482</v>
      </c>
      <c r="E11" s="9" t="n">
        <f aca="false">IFERROR(E7/E6,0)</f>
        <v>46926.0089686099</v>
      </c>
      <c r="F11" s="9" t="n">
        <f aca="false">IFERROR(F7/F6,0)</f>
        <v>43386.1203842809</v>
      </c>
      <c r="G11" s="9" t="n">
        <f aca="false">IFERROR(G7/G6,0)</f>
        <v>40225.4236363187</v>
      </c>
      <c r="H11" s="9" t="n">
        <f aca="false">IFERROR(H7/H6,0)</f>
        <v>38313.2587538878</v>
      </c>
      <c r="I11" s="9" t="n">
        <f aca="false">IFERROR(I7/I6,0)</f>
        <v>41000</v>
      </c>
      <c r="J11" s="9" t="n">
        <f aca="false">IFERROR(J7/J6,0)</f>
        <v>41000</v>
      </c>
      <c r="K11" s="9" t="n">
        <f aca="false">IFERROR(K7/K6,0)</f>
        <v>41526.2798264733</v>
      </c>
    </row>
    <row r="12" customFormat="false" ht="15" hidden="false" customHeight="false" outlineLevel="0" collapsed="false">
      <c r="B12" s="6" t="s">
        <v>875</v>
      </c>
      <c r="C12" s="6" t="s">
        <v>236</v>
      </c>
      <c r="D12" s="6" t="s">
        <v>1447</v>
      </c>
      <c r="E12" s="9" t="n">
        <f aca="false">IFERROR(E8/E6,0)</f>
        <v>55350.0545889387</v>
      </c>
      <c r="F12" s="9" t="n">
        <f aca="false">IFERROR(F8/F6,0)</f>
        <v>44069.6694437193</v>
      </c>
      <c r="G12" s="9" t="n">
        <f aca="false">IFERROR(G8/G6,0)</f>
        <v>41537.4540371755</v>
      </c>
      <c r="H12" s="9" t="n">
        <f aca="false">IFERROR(H8/H6,0)</f>
        <v>32235.4847797733</v>
      </c>
      <c r="I12" s="9" t="n">
        <f aca="false">IFERROR(I8/I6,0)</f>
        <v>35211.1903030303</v>
      </c>
      <c r="J12" s="9" t="n">
        <f aca="false">IFERROR(J8/J6,0)</f>
        <v>35487.6416485638</v>
      </c>
      <c r="K12" s="9" t="n">
        <f aca="false">IFERROR(K8/K6,0)</f>
        <v>41976.199852967</v>
      </c>
    </row>
    <row r="14" customFormat="false" ht="15" hidden="false" customHeight="false" outlineLevel="0" collapsed="false">
      <c r="B14" s="6" t="s">
        <v>875</v>
      </c>
      <c r="C14" s="6" t="s">
        <v>1483</v>
      </c>
      <c r="D14" s="6" t="s">
        <v>1099</v>
      </c>
      <c r="E14" s="7" t="n">
        <f aca="false">SUMIFS('Data SKU'!$F$5:$F$116,'Data SKU'!$A$5:$A$116,$B14,'Data SKU'!$B$5:$B$116,$C14,'Data SKU'!$D$5:$D$116,3)</f>
        <v>0</v>
      </c>
      <c r="F14" s="7" t="n">
        <f aca="false">SUMIFS('Data SKU'!$F$5:$F$116,'Data SKU'!$A$5:$A$116,$B14,'Data SKU'!$B$5:$B$116,$C14,'Data SKU'!$D$5:$D$116,4)</f>
        <v>0</v>
      </c>
      <c r="G14" s="7" t="n">
        <f aca="false">SUMIFS('Data SKU'!$F$5:$F$116,'Data SKU'!$A$5:$A$116,$B14,'Data SKU'!$B$5:$B$116,$C14,'Data SKU'!$D$5:$D$116,5)</f>
        <v>5</v>
      </c>
      <c r="H14" s="7" t="n">
        <f aca="false">SUMIFS('Data SKU'!$F$5:$F$116,'Data SKU'!$A$5:$A$116,$B14,'Data SKU'!$B$5:$B$116,$C14,'Data SKU'!$D$5:$D$116,6)</f>
        <v>0</v>
      </c>
      <c r="I14" s="7" t="n">
        <f aca="false">SUMIFS('Data SKU'!$F$5:$F$116,'Data SKU'!$A$5:$A$116,$B14,'Data SKU'!$B$5:$B$116,$C14,'Data SKU'!$D$5:$D$116,7)</f>
        <v>0</v>
      </c>
      <c r="J14" s="7" t="n">
        <f aca="false">SUMIFS('Data SKU'!$F$5:$F$116,'Data SKU'!$A$5:$A$116,$B14,'Data SKU'!$B$5:$B$116,$C14,'Data SKU'!$D$5:$D$116,8)</f>
        <v>0</v>
      </c>
      <c r="K14" s="9" t="n">
        <f aca="false">SUM(E14:J14)</f>
        <v>5</v>
      </c>
    </row>
    <row r="15" customFormat="false" ht="15" hidden="false" customHeight="false" outlineLevel="0" collapsed="false">
      <c r="B15" s="6" t="s">
        <v>875</v>
      </c>
      <c r="C15" s="6" t="s">
        <v>1483</v>
      </c>
      <c r="D15" s="6" t="s">
        <v>311</v>
      </c>
      <c r="E15" s="7" t="n">
        <f aca="false">SUMIFS('Data SKU'!$G$5:$G$116,'Data SKU'!$A$5:$A$116,$B15,'Data SKU'!$B$5:$B$116,$C15,'Data SKU'!$D$5:$D$116,3)</f>
        <v>0</v>
      </c>
      <c r="F15" s="7" t="n">
        <f aca="false">SUMIFS('Data SKU'!$G$5:$G$116,'Data SKU'!$A$5:$A$116,$B15,'Data SKU'!$B$5:$B$116,$C15,'Data SKU'!$D$5:$D$116,4)</f>
        <v>0</v>
      </c>
      <c r="G15" s="7" t="n">
        <f aca="false">SUMIFS('Data SKU'!$G$5:$G$116,'Data SKU'!$A$5:$A$116,$B15,'Data SKU'!$B$5:$B$116,$C15,'Data SKU'!$D$5:$D$116,5)</f>
        <v>190000</v>
      </c>
      <c r="H15" s="7" t="n">
        <f aca="false">SUMIFS('Data SKU'!$G$5:$G$116,'Data SKU'!$A$5:$A$116,$B15,'Data SKU'!$B$5:$B$116,$C15,'Data SKU'!$D$5:$D$116,6)</f>
        <v>0</v>
      </c>
      <c r="I15" s="7" t="n">
        <f aca="false">SUMIFS('Data SKU'!$G$5:$G$116,'Data SKU'!$A$5:$A$116,$B15,'Data SKU'!$B$5:$B$116,$C15,'Data SKU'!$D$5:$D$116,7)</f>
        <v>0</v>
      </c>
      <c r="J15" s="7" t="n">
        <f aca="false">SUMIFS('Data SKU'!$G$5:$G$116,'Data SKU'!$A$5:$A$116,$B15,'Data SKU'!$B$5:$B$116,$C15,'Data SKU'!$D$5:$D$116,8)</f>
        <v>0</v>
      </c>
      <c r="K15" s="9" t="n">
        <f aca="false">SUM(E15:J15)</f>
        <v>190000</v>
      </c>
    </row>
    <row r="16" customFormat="false" ht="15" hidden="false" customHeight="false" outlineLevel="0" collapsed="false">
      <c r="B16" s="6" t="s">
        <v>875</v>
      </c>
      <c r="C16" s="6" t="s">
        <v>1483</v>
      </c>
      <c r="D16" s="6" t="s">
        <v>865</v>
      </c>
      <c r="E16" s="7" t="n">
        <f aca="false">SUMIFS('Data SKU'!$H$5:$H$116,'Data SKU'!$A$5:$A$116,$B16,'Data SKU'!$B$5:$B$116,$C16,'Data SKU'!$D$5:$D$116,3)</f>
        <v>0</v>
      </c>
      <c r="F16" s="7" t="n">
        <f aca="false">SUMIFS('Data SKU'!$H$5:$H$116,'Data SKU'!$A$5:$A$116,$B16,'Data SKU'!$B$5:$B$116,$C16,'Data SKU'!$D$5:$D$116,4)</f>
        <v>0</v>
      </c>
      <c r="G16" s="7" t="n">
        <f aca="false">SUMIFS('Data SKU'!$H$5:$H$116,'Data SKU'!$A$5:$A$116,$B16,'Data SKU'!$B$5:$B$116,$C16,'Data SKU'!$D$5:$D$116,5)</f>
        <v>176235.65</v>
      </c>
      <c r="H16" s="7" t="n">
        <f aca="false">SUMIFS('Data SKU'!$H$5:$H$116,'Data SKU'!$A$5:$A$116,$B16,'Data SKU'!$B$5:$B$116,$C16,'Data SKU'!$D$5:$D$116,6)</f>
        <v>0</v>
      </c>
      <c r="I16" s="7" t="n">
        <f aca="false">SUMIFS('Data SKU'!$H$5:$H$116,'Data SKU'!$A$5:$A$116,$B16,'Data SKU'!$B$5:$B$116,$C16,'Data SKU'!$D$5:$D$116,7)</f>
        <v>0</v>
      </c>
      <c r="J16" s="7" t="n">
        <f aca="false">SUMIFS('Data SKU'!$H$5:$H$116,'Data SKU'!$A$5:$A$116,$B16,'Data SKU'!$B$5:$B$116,$C16,'Data SKU'!$D$5:$D$116,8)</f>
        <v>0</v>
      </c>
      <c r="K16" s="9" t="n">
        <f aca="false">SUM(E16:J16)</f>
        <v>176235.65</v>
      </c>
    </row>
    <row r="17" customFormat="false" ht="15" hidden="false" customHeight="false" outlineLevel="0" collapsed="false">
      <c r="B17" s="6" t="s">
        <v>875</v>
      </c>
      <c r="C17" s="6" t="s">
        <v>1483</v>
      </c>
      <c r="D17" s="6" t="s">
        <v>866</v>
      </c>
      <c r="E17" s="7" t="n">
        <f aca="false">SUMIFS('Data SKU'!$I$5:$I$116,'Data SKU'!$A$5:$A$116,$B17,'Data SKU'!$B$5:$B$116,$C17,'Data SKU'!$D$5:$D$116,3)</f>
        <v>0</v>
      </c>
      <c r="F17" s="7" t="n">
        <f aca="false">SUMIFS('Data SKU'!$I$5:$I$116,'Data SKU'!$A$5:$A$116,$B17,'Data SKU'!$B$5:$B$116,$C17,'Data SKU'!$D$5:$D$116,4)</f>
        <v>0</v>
      </c>
      <c r="G17" s="7" t="n">
        <f aca="false">SUMIFS('Data SKU'!$I$5:$I$116,'Data SKU'!$A$5:$A$116,$B17,'Data SKU'!$B$5:$B$116,$C17,'Data SKU'!$D$5:$D$116,5)</f>
        <v>13764.35</v>
      </c>
      <c r="H17" s="7" t="n">
        <f aca="false">SUMIFS('Data SKU'!$I$5:$I$116,'Data SKU'!$A$5:$A$116,$B17,'Data SKU'!$B$5:$B$116,$C17,'Data SKU'!$D$5:$D$116,6)</f>
        <v>0</v>
      </c>
      <c r="I17" s="7" t="n">
        <f aca="false">SUMIFS('Data SKU'!$I$5:$I$116,'Data SKU'!$A$5:$A$116,$B17,'Data SKU'!$B$5:$B$116,$C17,'Data SKU'!$D$5:$D$116,7)</f>
        <v>0</v>
      </c>
      <c r="J17" s="7" t="n">
        <f aca="false">SUMIFS('Data SKU'!$I$5:$I$116,'Data SKU'!$A$5:$A$116,$B17,'Data SKU'!$B$5:$B$116,$C17,'Data SKU'!$D$5:$D$116,8)</f>
        <v>0</v>
      </c>
      <c r="K17" s="9" t="n">
        <f aca="false">SUM(E17:J17)</f>
        <v>13764.35</v>
      </c>
    </row>
    <row r="18" customFormat="false" ht="15" hidden="false" customHeight="false" outlineLevel="0" collapsed="false">
      <c r="B18" s="6" t="s">
        <v>875</v>
      </c>
      <c r="C18" s="6" t="s">
        <v>1483</v>
      </c>
      <c r="D18" s="11" t="s">
        <v>867</v>
      </c>
      <c r="E18" s="57" t="n">
        <f aca="false">IFERROR(E17/E15,0)</f>
        <v>0</v>
      </c>
      <c r="F18" s="57" t="n">
        <f aca="false">IFERROR(F17/F15,0)</f>
        <v>0</v>
      </c>
      <c r="G18" s="57" t="n">
        <f aca="false">IFERROR(G17/G15,0)</f>
        <v>0.0724439473684211</v>
      </c>
      <c r="H18" s="57" t="n">
        <f aca="false">IFERROR(H17/H15,0)</f>
        <v>0</v>
      </c>
      <c r="I18" s="57" t="n">
        <f aca="false">IFERROR(I17/I15,0)</f>
        <v>0</v>
      </c>
      <c r="J18" s="57" t="n">
        <f aca="false">IFERROR(J17/J15,0)</f>
        <v>0</v>
      </c>
      <c r="K18" s="57" t="n">
        <f aca="false">IFERROR(K17/K15,0)</f>
        <v>0.0724439473684211</v>
      </c>
    </row>
    <row r="19" customFormat="false" ht="15" hidden="false" customHeight="false" outlineLevel="0" collapsed="false">
      <c r="B19" s="6" t="s">
        <v>875</v>
      </c>
      <c r="C19" s="6" t="s">
        <v>1483</v>
      </c>
      <c r="D19" s="6" t="s">
        <v>1482</v>
      </c>
      <c r="E19" s="9" t="n">
        <f aca="false">IFERROR(E15/E14,0)</f>
        <v>0</v>
      </c>
      <c r="F19" s="9" t="n">
        <f aca="false">IFERROR(F15/F14,0)</f>
        <v>0</v>
      </c>
      <c r="G19" s="9" t="n">
        <f aca="false">IFERROR(G15/G14,0)</f>
        <v>38000</v>
      </c>
      <c r="H19" s="9" t="n">
        <f aca="false">IFERROR(H15/H14,0)</f>
        <v>0</v>
      </c>
      <c r="I19" s="9" t="n">
        <f aca="false">IFERROR(I15/I14,0)</f>
        <v>0</v>
      </c>
      <c r="J19" s="9" t="n">
        <f aca="false">IFERROR(J15/J14,0)</f>
        <v>0</v>
      </c>
      <c r="K19" s="9" t="n">
        <f aca="false">IFERROR(K15/K14,0)</f>
        <v>38000</v>
      </c>
    </row>
    <row r="20" customFormat="false" ht="15" hidden="false" customHeight="false" outlineLevel="0" collapsed="false">
      <c r="B20" s="6" t="s">
        <v>875</v>
      </c>
      <c r="C20" s="6" t="s">
        <v>1483</v>
      </c>
      <c r="D20" s="6" t="s">
        <v>1447</v>
      </c>
      <c r="E20" s="9" t="n">
        <f aca="false">IFERROR(E16/E14,0)</f>
        <v>0</v>
      </c>
      <c r="F20" s="9" t="n">
        <f aca="false">IFERROR(F16/F14,0)</f>
        <v>0</v>
      </c>
      <c r="G20" s="9" t="n">
        <f aca="false">IFERROR(G16/G14,0)</f>
        <v>35247.13</v>
      </c>
      <c r="H20" s="9" t="n">
        <f aca="false">IFERROR(H16/H14,0)</f>
        <v>0</v>
      </c>
      <c r="I20" s="9" t="n">
        <f aca="false">IFERROR(I16/I14,0)</f>
        <v>0</v>
      </c>
      <c r="J20" s="9" t="n">
        <f aca="false">IFERROR(J16/J14,0)</f>
        <v>0</v>
      </c>
      <c r="K20" s="9" t="n">
        <f aca="false">IFERROR(K16/K14,0)</f>
        <v>35247.13</v>
      </c>
    </row>
    <row r="22" customFormat="false" ht="15" hidden="false" customHeight="false" outlineLevel="0" collapsed="false">
      <c r="B22" s="6" t="s">
        <v>875</v>
      </c>
      <c r="C22" s="6" t="s">
        <v>239</v>
      </c>
      <c r="D22" s="6" t="s">
        <v>1099</v>
      </c>
      <c r="E22" s="7" t="n">
        <f aca="false">SUMIFS('Data SKU'!$F$5:$F$116,'Data SKU'!$A$5:$A$116,$B22,'Data SKU'!$B$5:$B$116,$C22,'Data SKU'!$D$5:$D$116,3)</f>
        <v>150</v>
      </c>
      <c r="F22" s="7" t="n">
        <f aca="false">SUMIFS('Data SKU'!$F$5:$F$116,'Data SKU'!$A$5:$A$116,$B22,'Data SKU'!$B$5:$B$116,$C22,'Data SKU'!$D$5:$D$116,4)</f>
        <v>1448.22</v>
      </c>
      <c r="G22" s="7" t="n">
        <f aca="false">SUMIFS('Data SKU'!$F$5:$F$116,'Data SKU'!$A$5:$A$116,$B22,'Data SKU'!$B$5:$B$116,$C22,'Data SKU'!$D$5:$D$116,5)</f>
        <v>2566.48</v>
      </c>
      <c r="H22" s="7" t="n">
        <f aca="false">SUMIFS('Data SKU'!$F$5:$F$116,'Data SKU'!$A$5:$A$116,$B22,'Data SKU'!$B$5:$B$116,$C22,'Data SKU'!$D$5:$D$116,6)</f>
        <v>2131.31</v>
      </c>
      <c r="I22" s="7" t="n">
        <f aca="false">SUMIFS('Data SKU'!$F$5:$F$116,'Data SKU'!$A$5:$A$116,$B22,'Data SKU'!$B$5:$B$116,$C22,'Data SKU'!$D$5:$D$116,7)</f>
        <v>0</v>
      </c>
      <c r="J22" s="7" t="n">
        <f aca="false">SUMIFS('Data SKU'!$F$5:$F$116,'Data SKU'!$A$5:$A$116,$B22,'Data SKU'!$B$5:$B$116,$C22,'Data SKU'!$D$5:$D$116,8)</f>
        <v>2686.08</v>
      </c>
      <c r="K22" s="9" t="n">
        <f aca="false">SUM(E22:J22)</f>
        <v>8982.09</v>
      </c>
    </row>
    <row r="23" customFormat="false" ht="15" hidden="false" customHeight="false" outlineLevel="0" collapsed="false">
      <c r="B23" s="6" t="s">
        <v>875</v>
      </c>
      <c r="C23" s="6" t="s">
        <v>239</v>
      </c>
      <c r="D23" s="6" t="s">
        <v>311</v>
      </c>
      <c r="E23" s="7" t="n">
        <f aca="false">SUMIFS('Data SKU'!$G$5:$G$116,'Data SKU'!$A$5:$A$116,$B23,'Data SKU'!$B$5:$B$116,$C23,'Data SKU'!$D$5:$D$116,3)</f>
        <v>6900000</v>
      </c>
      <c r="F23" s="7" t="n">
        <f aca="false">SUMIFS('Data SKU'!$G$5:$G$116,'Data SKU'!$A$5:$A$116,$B23,'Data SKU'!$B$5:$B$116,$C23,'Data SKU'!$D$5:$D$116,4)</f>
        <v>60677120</v>
      </c>
      <c r="G23" s="7" t="n">
        <f aca="false">SUMIFS('Data SKU'!$G$5:$G$116,'Data SKU'!$A$5:$A$116,$B23,'Data SKU'!$B$5:$B$116,$C23,'Data SKU'!$D$5:$D$116,5)</f>
        <v>103377790</v>
      </c>
      <c r="H23" s="7" t="n">
        <f aca="false">SUMIFS('Data SKU'!$G$5:$G$116,'Data SKU'!$A$5:$A$116,$B23,'Data SKU'!$B$5:$B$116,$C23,'Data SKU'!$D$5:$D$116,6)</f>
        <v>74595850</v>
      </c>
      <c r="I23" s="7" t="n">
        <f aca="false">SUMIFS('Data SKU'!$G$5:$G$116,'Data SKU'!$A$5:$A$116,$B23,'Data SKU'!$B$5:$B$116,$C23,'Data SKU'!$D$5:$D$116,7)</f>
        <v>0</v>
      </c>
      <c r="J23" s="7" t="n">
        <f aca="false">SUMIFS('Data SKU'!$G$5:$G$116,'Data SKU'!$A$5:$A$116,$B23,'Data SKU'!$B$5:$B$116,$C23,'Data SKU'!$D$5:$D$116,8)</f>
        <v>107443200</v>
      </c>
      <c r="K23" s="9" t="n">
        <f aca="false">SUM(E23:J23)</f>
        <v>352993960</v>
      </c>
    </row>
    <row r="24" customFormat="false" ht="15" hidden="false" customHeight="false" outlineLevel="0" collapsed="false">
      <c r="B24" s="6" t="s">
        <v>875</v>
      </c>
      <c r="C24" s="6" t="s">
        <v>239</v>
      </c>
      <c r="D24" s="6" t="s">
        <v>865</v>
      </c>
      <c r="E24" s="7" t="n">
        <f aca="false">SUMIFS('Data SKU'!$H$5:$H$116,'Data SKU'!$A$5:$A$116,$B24,'Data SKU'!$B$5:$B$116,$C24,'Data SKU'!$D$5:$D$116,3)</f>
        <v>8397750</v>
      </c>
      <c r="F24" s="7" t="n">
        <f aca="false">SUMIFS('Data SKU'!$H$5:$H$116,'Data SKU'!$A$5:$A$116,$B24,'Data SKU'!$B$5:$B$116,$C24,'Data SKU'!$D$5:$D$116,4)</f>
        <v>69349527.14</v>
      </c>
      <c r="G24" s="7" t="n">
        <f aca="false">SUMIFS('Data SKU'!$H$5:$H$116,'Data SKU'!$A$5:$A$116,$B24,'Data SKU'!$B$5:$B$116,$C24,'Data SKU'!$D$5:$D$116,5)</f>
        <v>99553618.19</v>
      </c>
      <c r="H24" s="7" t="n">
        <f aca="false">SUMIFS('Data SKU'!$H$5:$H$116,'Data SKU'!$A$5:$A$116,$B24,'Data SKU'!$B$5:$B$116,$C24,'Data SKU'!$D$5:$D$116,6)</f>
        <v>78510418.55</v>
      </c>
      <c r="I24" s="7" t="n">
        <f aca="false">SUMIFS('Data SKU'!$H$5:$H$116,'Data SKU'!$A$5:$A$116,$B24,'Data SKU'!$B$5:$B$116,$C24,'Data SKU'!$D$5:$D$116,7)</f>
        <v>0</v>
      </c>
      <c r="J24" s="7" t="n">
        <f aca="false">SUMIFS('Data SKU'!$H$5:$H$116,'Data SKU'!$A$5:$A$116,$B24,'Data SKU'!$B$5:$B$116,$C24,'Data SKU'!$D$5:$D$116,8)</f>
        <v>95611887.18</v>
      </c>
      <c r="K24" s="9" t="n">
        <f aca="false">SUM(E24:J24)</f>
        <v>351423201.06</v>
      </c>
    </row>
    <row r="25" customFormat="false" ht="15" hidden="false" customHeight="false" outlineLevel="0" collapsed="false">
      <c r="B25" s="6" t="s">
        <v>875</v>
      </c>
      <c r="C25" s="6" t="s">
        <v>239</v>
      </c>
      <c r="D25" s="6" t="s">
        <v>866</v>
      </c>
      <c r="E25" s="7" t="n">
        <f aca="false">SUMIFS('Data SKU'!$I$5:$I$116,'Data SKU'!$A$5:$A$116,$B25,'Data SKU'!$B$5:$B$116,$C25,'Data SKU'!$D$5:$D$116,3)</f>
        <v>-1497750</v>
      </c>
      <c r="F25" s="7" t="n">
        <f aca="false">SUMIFS('Data SKU'!$I$5:$I$116,'Data SKU'!$A$5:$A$116,$B25,'Data SKU'!$B$5:$B$116,$C25,'Data SKU'!$D$5:$D$116,4)</f>
        <v>-8672407.14</v>
      </c>
      <c r="G25" s="7" t="n">
        <f aca="false">SUMIFS('Data SKU'!$I$5:$I$116,'Data SKU'!$A$5:$A$116,$B25,'Data SKU'!$B$5:$B$116,$C25,'Data SKU'!$D$5:$D$116,5)</f>
        <v>3824171.81</v>
      </c>
      <c r="H25" s="7" t="n">
        <f aca="false">SUMIFS('Data SKU'!$I$5:$I$116,'Data SKU'!$A$5:$A$116,$B25,'Data SKU'!$B$5:$B$116,$C25,'Data SKU'!$D$5:$D$116,6)</f>
        <v>-3914568.55</v>
      </c>
      <c r="I25" s="7" t="n">
        <f aca="false">SUMIFS('Data SKU'!$I$5:$I$116,'Data SKU'!$A$5:$A$116,$B25,'Data SKU'!$B$5:$B$116,$C25,'Data SKU'!$D$5:$D$116,7)</f>
        <v>0</v>
      </c>
      <c r="J25" s="7" t="n">
        <f aca="false">SUMIFS('Data SKU'!$I$5:$I$116,'Data SKU'!$A$5:$A$116,$B25,'Data SKU'!$B$5:$B$116,$C25,'Data SKU'!$D$5:$D$116,8)</f>
        <v>11831312.82</v>
      </c>
      <c r="K25" s="9" t="n">
        <f aca="false">SUM(E25:J25)</f>
        <v>1570758.94000001</v>
      </c>
    </row>
    <row r="26" customFormat="false" ht="15" hidden="false" customHeight="false" outlineLevel="0" collapsed="false">
      <c r="B26" s="6" t="s">
        <v>875</v>
      </c>
      <c r="C26" s="6" t="s">
        <v>239</v>
      </c>
      <c r="D26" s="11" t="s">
        <v>867</v>
      </c>
      <c r="E26" s="57" t="n">
        <f aca="false">IFERROR(E25/E23,0)</f>
        <v>-0.217065217391304</v>
      </c>
      <c r="F26" s="57" t="n">
        <f aca="false">IFERROR(F25/F23,0)</f>
        <v>-0.142927138598536</v>
      </c>
      <c r="G26" s="57" t="n">
        <f aca="false">IFERROR(G25/G23,0)</f>
        <v>0.03699219929155</v>
      </c>
      <c r="H26" s="57" t="n">
        <f aca="false">IFERROR(H25/H23,0)</f>
        <v>-0.0524770285478347</v>
      </c>
      <c r="I26" s="57" t="n">
        <f aca="false">IFERROR(I25/I23,0)</f>
        <v>0</v>
      </c>
      <c r="J26" s="57" t="n">
        <f aca="false">IFERROR(J25/J23,0)</f>
        <v>0.110116906607398</v>
      </c>
      <c r="K26" s="57" t="n">
        <f aca="false">IFERROR(K25/K23,0)</f>
        <v>0.00444981817819209</v>
      </c>
    </row>
    <row r="27" customFormat="false" ht="15" hidden="false" customHeight="false" outlineLevel="0" collapsed="false">
      <c r="B27" s="6" t="s">
        <v>875</v>
      </c>
      <c r="C27" s="6" t="s">
        <v>239</v>
      </c>
      <c r="D27" s="6" t="s">
        <v>1482</v>
      </c>
      <c r="E27" s="9" t="n">
        <f aca="false">IFERROR(E23/E22,0)</f>
        <v>46000</v>
      </c>
      <c r="F27" s="9" t="n">
        <f aca="false">IFERROR(F23/F22,0)</f>
        <v>41897.7227216859</v>
      </c>
      <c r="G27" s="9" t="n">
        <f aca="false">IFERROR(G23/G22,0)</f>
        <v>40279.9904928151</v>
      </c>
      <c r="H27" s="9" t="n">
        <f aca="false">IFERROR(H23/H22,0)</f>
        <v>35000</v>
      </c>
      <c r="I27" s="9" t="n">
        <f aca="false">IFERROR(I23/I22,0)</f>
        <v>0</v>
      </c>
      <c r="J27" s="9" t="n">
        <f aca="false">IFERROR(J23/J22,0)</f>
        <v>40000</v>
      </c>
      <c r="K27" s="9" t="n">
        <f aca="false">IFERROR(K23/K22,0)</f>
        <v>39299.7576287924</v>
      </c>
    </row>
    <row r="28" customFormat="false" ht="15" hidden="false" customHeight="false" outlineLevel="0" collapsed="false">
      <c r="B28" s="6" t="s">
        <v>875</v>
      </c>
      <c r="C28" s="6" t="s">
        <v>239</v>
      </c>
      <c r="D28" s="6" t="s">
        <v>1447</v>
      </c>
      <c r="E28" s="9" t="n">
        <f aca="false">IFERROR(E24/E22,0)</f>
        <v>55985</v>
      </c>
      <c r="F28" s="9" t="n">
        <f aca="false">IFERROR(F24/F22,0)</f>
        <v>47886.0443440914</v>
      </c>
      <c r="G28" s="9" t="n">
        <f aca="false">IFERROR(G24/G22,0)</f>
        <v>38789.9450570431</v>
      </c>
      <c r="H28" s="9" t="n">
        <f aca="false">IFERROR(H24/H22,0)</f>
        <v>36836.6959991742</v>
      </c>
      <c r="I28" s="9" t="n">
        <f aca="false">IFERROR(I24/I22,0)</f>
        <v>0</v>
      </c>
      <c r="J28" s="9" t="n">
        <f aca="false">IFERROR(J24/J22,0)</f>
        <v>35595.3237357041</v>
      </c>
      <c r="K28" s="9" t="n">
        <f aca="false">IFERROR(K24/K22,0)</f>
        <v>39124.8808528973</v>
      </c>
    </row>
    <row r="30" customFormat="false" ht="15" hidden="false" customHeight="false" outlineLevel="0" collapsed="false">
      <c r="B30" s="6" t="s">
        <v>875</v>
      </c>
      <c r="C30" s="6" t="s">
        <v>1484</v>
      </c>
      <c r="D30" s="6" t="s">
        <v>1099</v>
      </c>
      <c r="E30" s="7" t="n">
        <f aca="false">SUMIFS('Data SKU'!$F$5:$F$116,'Data SKU'!$A$5:$A$116,$B30,'Data SKU'!$B$5:$B$116,$C30,'Data SKU'!$D$5:$D$116,3)</f>
        <v>815</v>
      </c>
      <c r="F30" s="7" t="n">
        <f aca="false">SUMIFS('Data SKU'!$F$5:$F$116,'Data SKU'!$A$5:$A$116,$B30,'Data SKU'!$B$5:$B$116,$C30,'Data SKU'!$D$5:$D$116,4)</f>
        <v>2984.8</v>
      </c>
      <c r="G30" s="7" t="n">
        <f aca="false">SUMIFS('Data SKU'!$F$5:$F$116,'Data SKU'!$A$5:$A$116,$B30,'Data SKU'!$B$5:$B$116,$C30,'Data SKU'!$D$5:$D$116,5)</f>
        <v>1331.53</v>
      </c>
      <c r="H30" s="7" t="n">
        <f aca="false">SUMIFS('Data SKU'!$F$5:$F$116,'Data SKU'!$A$5:$A$116,$B30,'Data SKU'!$B$5:$B$116,$C30,'Data SKU'!$D$5:$D$116,6)</f>
        <v>0</v>
      </c>
      <c r="I30" s="7" t="n">
        <f aca="false">SUMIFS('Data SKU'!$F$5:$F$116,'Data SKU'!$A$5:$A$116,$B30,'Data SKU'!$B$5:$B$116,$C30,'Data SKU'!$D$5:$D$116,7)</f>
        <v>0</v>
      </c>
      <c r="J30" s="7" t="n">
        <f aca="false">SUMIFS('Data SKU'!$F$5:$F$116,'Data SKU'!$A$5:$A$116,$B30,'Data SKU'!$B$5:$B$116,$C30,'Data SKU'!$D$5:$D$116,8)</f>
        <v>0</v>
      </c>
      <c r="K30" s="9" t="n">
        <f aca="false">SUM(E30:J30)</f>
        <v>5131.33</v>
      </c>
    </row>
    <row r="31" customFormat="false" ht="15" hidden="false" customHeight="false" outlineLevel="0" collapsed="false">
      <c r="B31" s="6" t="s">
        <v>875</v>
      </c>
      <c r="C31" s="6" t="s">
        <v>1484</v>
      </c>
      <c r="D31" s="6" t="s">
        <v>311</v>
      </c>
      <c r="E31" s="7" t="n">
        <f aca="false">SUMIFS('Data SKU'!$G$5:$G$116,'Data SKU'!$A$5:$A$116,$B31,'Data SKU'!$B$5:$B$116,$C31,'Data SKU'!$D$5:$D$116,3)</f>
        <v>37490000</v>
      </c>
      <c r="F31" s="7" t="n">
        <f aca="false">SUMIFS('Data SKU'!$G$5:$G$116,'Data SKU'!$A$5:$A$116,$B31,'Data SKU'!$B$5:$B$116,$C31,'Data SKU'!$D$5:$D$116,4)</f>
        <v>121854000</v>
      </c>
      <c r="G31" s="7" t="n">
        <f aca="false">SUMIFS('Data SKU'!$G$5:$G$116,'Data SKU'!$A$5:$A$116,$B31,'Data SKU'!$B$5:$B$116,$C31,'Data SKU'!$D$5:$D$116,5)</f>
        <v>52621660</v>
      </c>
      <c r="H31" s="7" t="n">
        <f aca="false">SUMIFS('Data SKU'!$G$5:$G$116,'Data SKU'!$A$5:$A$116,$B31,'Data SKU'!$B$5:$B$116,$C31,'Data SKU'!$D$5:$D$116,6)</f>
        <v>0</v>
      </c>
      <c r="I31" s="7" t="n">
        <f aca="false">SUMIFS('Data SKU'!$G$5:$G$116,'Data SKU'!$A$5:$A$116,$B31,'Data SKU'!$B$5:$B$116,$C31,'Data SKU'!$D$5:$D$116,7)</f>
        <v>0</v>
      </c>
      <c r="J31" s="7" t="n">
        <f aca="false">SUMIFS('Data SKU'!$G$5:$G$116,'Data SKU'!$A$5:$A$116,$B31,'Data SKU'!$B$5:$B$116,$C31,'Data SKU'!$D$5:$D$116,8)</f>
        <v>0</v>
      </c>
      <c r="K31" s="9" t="n">
        <f aca="false">SUM(E31:J31)</f>
        <v>211965660</v>
      </c>
    </row>
    <row r="32" customFormat="false" ht="15" hidden="false" customHeight="false" outlineLevel="0" collapsed="false">
      <c r="B32" s="6" t="s">
        <v>875</v>
      </c>
      <c r="C32" s="6" t="s">
        <v>1484</v>
      </c>
      <c r="D32" s="6" t="s">
        <v>865</v>
      </c>
      <c r="E32" s="7" t="n">
        <f aca="false">SUMIFS('Data SKU'!$H$5:$H$116,'Data SKU'!$A$5:$A$116,$B32,'Data SKU'!$B$5:$B$116,$C32,'Data SKU'!$D$5:$D$116,3)</f>
        <v>44814369.4</v>
      </c>
      <c r="F32" s="7" t="n">
        <f aca="false">SUMIFS('Data SKU'!$H$5:$H$116,'Data SKU'!$A$5:$A$116,$B32,'Data SKU'!$B$5:$B$116,$C32,'Data SKU'!$D$5:$D$116,4)</f>
        <v>145825965.82</v>
      </c>
      <c r="G32" s="7" t="n">
        <f aca="false">SUMIFS('Data SKU'!$H$5:$H$116,'Data SKU'!$A$5:$A$116,$B32,'Data SKU'!$B$5:$B$116,$C32,'Data SKU'!$D$5:$D$116,5)</f>
        <v>63180022.63</v>
      </c>
      <c r="H32" s="7" t="n">
        <f aca="false">SUMIFS('Data SKU'!$H$5:$H$116,'Data SKU'!$A$5:$A$116,$B32,'Data SKU'!$B$5:$B$116,$C32,'Data SKU'!$D$5:$D$116,6)</f>
        <v>0</v>
      </c>
      <c r="I32" s="7" t="n">
        <f aca="false">SUMIFS('Data SKU'!$H$5:$H$116,'Data SKU'!$A$5:$A$116,$B32,'Data SKU'!$B$5:$B$116,$C32,'Data SKU'!$D$5:$D$116,7)</f>
        <v>0</v>
      </c>
      <c r="J32" s="7" t="n">
        <f aca="false">SUMIFS('Data SKU'!$H$5:$H$116,'Data SKU'!$A$5:$A$116,$B32,'Data SKU'!$B$5:$B$116,$C32,'Data SKU'!$D$5:$D$116,8)</f>
        <v>0</v>
      </c>
      <c r="K32" s="9" t="n">
        <f aca="false">SUM(E32:J32)</f>
        <v>253820357.85</v>
      </c>
    </row>
    <row r="33" customFormat="false" ht="15" hidden="false" customHeight="false" outlineLevel="0" collapsed="false">
      <c r="B33" s="6" t="s">
        <v>875</v>
      </c>
      <c r="C33" s="6" t="s">
        <v>1484</v>
      </c>
      <c r="D33" s="6" t="s">
        <v>866</v>
      </c>
      <c r="E33" s="7" t="n">
        <f aca="false">SUMIFS('Data SKU'!$I$5:$I$116,'Data SKU'!$A$5:$A$116,$B33,'Data SKU'!$B$5:$B$116,$C33,'Data SKU'!$D$5:$D$116,3)</f>
        <v>-7324369.4</v>
      </c>
      <c r="F33" s="7" t="n">
        <f aca="false">SUMIFS('Data SKU'!$I$5:$I$116,'Data SKU'!$A$5:$A$116,$B33,'Data SKU'!$B$5:$B$116,$C33,'Data SKU'!$D$5:$D$116,4)</f>
        <v>-23971965.82</v>
      </c>
      <c r="G33" s="7" t="n">
        <f aca="false">SUMIFS('Data SKU'!$I$5:$I$116,'Data SKU'!$A$5:$A$116,$B33,'Data SKU'!$B$5:$B$116,$C33,'Data SKU'!$D$5:$D$116,5)</f>
        <v>-10558362.63</v>
      </c>
      <c r="H33" s="7" t="n">
        <f aca="false">SUMIFS('Data SKU'!$I$5:$I$116,'Data SKU'!$A$5:$A$116,$B33,'Data SKU'!$B$5:$B$116,$C33,'Data SKU'!$D$5:$D$116,6)</f>
        <v>0</v>
      </c>
      <c r="I33" s="7" t="n">
        <f aca="false">SUMIFS('Data SKU'!$I$5:$I$116,'Data SKU'!$A$5:$A$116,$B33,'Data SKU'!$B$5:$B$116,$C33,'Data SKU'!$D$5:$D$116,7)</f>
        <v>0</v>
      </c>
      <c r="J33" s="7" t="n">
        <f aca="false">SUMIFS('Data SKU'!$I$5:$I$116,'Data SKU'!$A$5:$A$116,$B33,'Data SKU'!$B$5:$B$116,$C33,'Data SKU'!$D$5:$D$116,8)</f>
        <v>0</v>
      </c>
      <c r="K33" s="9" t="n">
        <f aca="false">SUM(E33:J33)</f>
        <v>-41854697.85</v>
      </c>
    </row>
    <row r="34" customFormat="false" ht="15" hidden="false" customHeight="false" outlineLevel="0" collapsed="false">
      <c r="B34" s="6" t="s">
        <v>875</v>
      </c>
      <c r="C34" s="6" t="s">
        <v>1484</v>
      </c>
      <c r="D34" s="11" t="s">
        <v>867</v>
      </c>
      <c r="E34" s="57" t="n">
        <f aca="false">IFERROR(E33/E31,0)</f>
        <v>-0.195368615630835</v>
      </c>
      <c r="F34" s="57" t="n">
        <f aca="false">IFERROR(F33/F31,0)</f>
        <v>-0.196726950448898</v>
      </c>
      <c r="G34" s="57" t="n">
        <f aca="false">IFERROR(G33/G31,0)</f>
        <v>-0.200646703847807</v>
      </c>
      <c r="H34" s="57" t="n">
        <f aca="false">IFERROR(H33/H31,0)</f>
        <v>0</v>
      </c>
      <c r="I34" s="57" t="n">
        <f aca="false">IFERROR(I33/I31,0)</f>
        <v>0</v>
      </c>
      <c r="J34" s="57" t="n">
        <f aca="false">IFERROR(J33/J31,0)</f>
        <v>0</v>
      </c>
      <c r="K34" s="57" t="n">
        <f aca="false">IFERROR(K33/K31,0)</f>
        <v>-0.197459804809892</v>
      </c>
    </row>
    <row r="35" customFormat="false" ht="15" hidden="false" customHeight="false" outlineLevel="0" collapsed="false">
      <c r="B35" s="6" t="s">
        <v>875</v>
      </c>
      <c r="C35" s="6" t="s">
        <v>1484</v>
      </c>
      <c r="D35" s="6" t="s">
        <v>1482</v>
      </c>
      <c r="E35" s="9" t="n">
        <f aca="false">IFERROR(E31/E30,0)</f>
        <v>46000</v>
      </c>
      <c r="F35" s="9" t="n">
        <f aca="false">IFERROR(F31/F30,0)</f>
        <v>40824.8458858215</v>
      </c>
      <c r="G35" s="9" t="n">
        <f aca="false">IFERROR(G31/G30,0)</f>
        <v>39519.6953880123</v>
      </c>
      <c r="H35" s="9" t="n">
        <f aca="false">IFERROR(H31/H30,0)</f>
        <v>0</v>
      </c>
      <c r="I35" s="9" t="n">
        <f aca="false">IFERROR(I31/I30,0)</f>
        <v>0</v>
      </c>
      <c r="J35" s="9" t="n">
        <f aca="false">IFERROR(J31/J30,0)</f>
        <v>0</v>
      </c>
      <c r="K35" s="9" t="n">
        <f aca="false">IFERROR(K31/K30,0)</f>
        <v>41308.1325894067</v>
      </c>
    </row>
    <row r="36" customFormat="false" ht="15" hidden="false" customHeight="false" outlineLevel="0" collapsed="false">
      <c r="B36" s="6" t="s">
        <v>875</v>
      </c>
      <c r="C36" s="6" t="s">
        <v>1484</v>
      </c>
      <c r="D36" s="6" t="s">
        <v>1447</v>
      </c>
      <c r="E36" s="9" t="n">
        <f aca="false">IFERROR(E32/E30,0)</f>
        <v>54986.9563190184</v>
      </c>
      <c r="F36" s="9" t="n">
        <f aca="false">IFERROR(F32/F30,0)</f>
        <v>48856.1933194854</v>
      </c>
      <c r="G36" s="9" t="n">
        <f aca="false">IFERROR(G32/G30,0)</f>
        <v>47449.1920046863</v>
      </c>
      <c r="H36" s="9" t="n">
        <f aca="false">IFERROR(H32/H30,0)</f>
        <v>0</v>
      </c>
      <c r="I36" s="9" t="n">
        <f aca="false">IFERROR(I32/I30,0)</f>
        <v>0</v>
      </c>
      <c r="J36" s="9" t="n">
        <f aca="false">IFERROR(J32/J30,0)</f>
        <v>0</v>
      </c>
      <c r="K36" s="9" t="n">
        <f aca="false">IFERROR(K32/K30,0)</f>
        <v>49464.828387572</v>
      </c>
    </row>
    <row r="38" customFormat="false" ht="15" hidden="false" customHeight="false" outlineLevel="0" collapsed="false">
      <c r="B38" s="6" t="s">
        <v>875</v>
      </c>
      <c r="C38" s="6" t="s">
        <v>240</v>
      </c>
      <c r="D38" s="6" t="s">
        <v>1099</v>
      </c>
      <c r="E38" s="7" t="n">
        <f aca="false">SUMIFS('Data SKU'!$F$5:$F$116,'Data SKU'!$A$5:$A$116,$B38,'Data SKU'!$B$5:$B$116,$C38,'Data SKU'!$D$5:$D$116,3)</f>
        <v>0</v>
      </c>
      <c r="F38" s="7" t="n">
        <f aca="false">SUMIFS('Data SKU'!$F$5:$F$116,'Data SKU'!$A$5:$A$116,$B38,'Data SKU'!$B$5:$B$116,$C38,'Data SKU'!$D$5:$D$116,4)</f>
        <v>0</v>
      </c>
      <c r="G38" s="7" t="n">
        <f aca="false">SUMIFS('Data SKU'!$F$5:$F$116,'Data SKU'!$A$5:$A$116,$B38,'Data SKU'!$B$5:$B$116,$C38,'Data SKU'!$D$5:$D$116,5)</f>
        <v>0</v>
      </c>
      <c r="H38" s="7" t="n">
        <f aca="false">SUMIFS('Data SKU'!$F$5:$F$116,'Data SKU'!$A$5:$A$116,$B38,'Data SKU'!$B$5:$B$116,$C38,'Data SKU'!$D$5:$D$116,6)</f>
        <v>0</v>
      </c>
      <c r="I38" s="7" t="n">
        <f aca="false">SUMIFS('Data SKU'!$F$5:$F$116,'Data SKU'!$A$5:$A$116,$B38,'Data SKU'!$B$5:$B$116,$C38,'Data SKU'!$D$5:$D$116,7)</f>
        <v>0</v>
      </c>
      <c r="J38" s="7" t="n">
        <f aca="false">SUMIFS('Data SKU'!$F$5:$F$116,'Data SKU'!$A$5:$A$116,$B38,'Data SKU'!$B$5:$B$116,$C38,'Data SKU'!$D$5:$D$116,8)</f>
        <v>9061.48</v>
      </c>
      <c r="K38" s="9" t="n">
        <f aca="false">SUM(E38:J38)</f>
        <v>9061.48</v>
      </c>
    </row>
    <row r="39" customFormat="false" ht="15" hidden="false" customHeight="false" outlineLevel="0" collapsed="false">
      <c r="B39" s="6" t="s">
        <v>875</v>
      </c>
      <c r="C39" s="6" t="s">
        <v>240</v>
      </c>
      <c r="D39" s="6" t="s">
        <v>311</v>
      </c>
      <c r="E39" s="7" t="n">
        <f aca="false">SUMIFS('Data SKU'!$G$5:$G$116,'Data SKU'!$A$5:$A$116,$B39,'Data SKU'!$B$5:$B$116,$C39,'Data SKU'!$D$5:$D$116,3)</f>
        <v>0</v>
      </c>
      <c r="F39" s="7" t="n">
        <f aca="false">SUMIFS('Data SKU'!$G$5:$G$116,'Data SKU'!$A$5:$A$116,$B39,'Data SKU'!$B$5:$B$116,$C39,'Data SKU'!$D$5:$D$116,4)</f>
        <v>0</v>
      </c>
      <c r="G39" s="7" t="n">
        <f aca="false">SUMIFS('Data SKU'!$G$5:$G$116,'Data SKU'!$A$5:$A$116,$B39,'Data SKU'!$B$5:$B$116,$C39,'Data SKU'!$D$5:$D$116,5)</f>
        <v>0</v>
      </c>
      <c r="H39" s="7" t="n">
        <f aca="false">SUMIFS('Data SKU'!$G$5:$G$116,'Data SKU'!$A$5:$A$116,$B39,'Data SKU'!$B$5:$B$116,$C39,'Data SKU'!$D$5:$D$116,6)</f>
        <v>0</v>
      </c>
      <c r="I39" s="7" t="n">
        <f aca="false">SUMIFS('Data SKU'!$G$5:$G$116,'Data SKU'!$A$5:$A$116,$B39,'Data SKU'!$B$5:$B$116,$C39,'Data SKU'!$D$5:$D$116,7)</f>
        <v>0</v>
      </c>
      <c r="J39" s="7" t="n">
        <f aca="false">SUMIFS('Data SKU'!$G$5:$G$116,'Data SKU'!$A$5:$A$116,$B39,'Data SKU'!$B$5:$B$116,$C39,'Data SKU'!$D$5:$D$116,8)</f>
        <v>317493234</v>
      </c>
      <c r="K39" s="9" t="n">
        <f aca="false">SUM(E39:J39)</f>
        <v>317493234</v>
      </c>
    </row>
    <row r="40" customFormat="false" ht="15" hidden="false" customHeight="false" outlineLevel="0" collapsed="false">
      <c r="B40" s="6" t="s">
        <v>875</v>
      </c>
      <c r="C40" s="6" t="s">
        <v>240</v>
      </c>
      <c r="D40" s="6" t="s">
        <v>865</v>
      </c>
      <c r="E40" s="7" t="n">
        <f aca="false">SUMIFS('Data SKU'!$H$5:$H$116,'Data SKU'!$A$5:$A$116,$B40,'Data SKU'!$B$5:$B$116,$C40,'Data SKU'!$D$5:$D$116,3)</f>
        <v>0</v>
      </c>
      <c r="F40" s="7" t="n">
        <f aca="false">SUMIFS('Data SKU'!$H$5:$H$116,'Data SKU'!$A$5:$A$116,$B40,'Data SKU'!$B$5:$B$116,$C40,'Data SKU'!$D$5:$D$116,4)</f>
        <v>0</v>
      </c>
      <c r="G40" s="7" t="n">
        <f aca="false">SUMIFS('Data SKU'!$H$5:$H$116,'Data SKU'!$A$5:$A$116,$B40,'Data SKU'!$B$5:$B$116,$C40,'Data SKU'!$D$5:$D$116,5)</f>
        <v>0</v>
      </c>
      <c r="H40" s="7" t="n">
        <f aca="false">SUMIFS('Data SKU'!$H$5:$H$116,'Data SKU'!$A$5:$A$116,$B40,'Data SKU'!$B$5:$B$116,$C40,'Data SKU'!$D$5:$D$116,6)</f>
        <v>0</v>
      </c>
      <c r="I40" s="7" t="n">
        <f aca="false">SUMIFS('Data SKU'!$H$5:$H$116,'Data SKU'!$A$5:$A$116,$B40,'Data SKU'!$B$5:$B$116,$C40,'Data SKU'!$D$5:$D$116,7)</f>
        <v>0</v>
      </c>
      <c r="J40" s="7" t="n">
        <f aca="false">SUMIFS('Data SKU'!$H$5:$H$116,'Data SKU'!$A$5:$A$116,$B40,'Data SKU'!$B$5:$B$116,$C40,'Data SKU'!$D$5:$D$116,8)</f>
        <v>312861260.46</v>
      </c>
      <c r="K40" s="9" t="n">
        <f aca="false">SUM(E40:J40)</f>
        <v>312861260.46</v>
      </c>
    </row>
    <row r="41" customFormat="false" ht="15" hidden="false" customHeight="false" outlineLevel="0" collapsed="false">
      <c r="B41" s="6" t="s">
        <v>875</v>
      </c>
      <c r="C41" s="6" t="s">
        <v>240</v>
      </c>
      <c r="D41" s="6" t="s">
        <v>866</v>
      </c>
      <c r="E41" s="7" t="n">
        <f aca="false">SUMIFS('Data SKU'!$I$5:$I$116,'Data SKU'!$A$5:$A$116,$B41,'Data SKU'!$B$5:$B$116,$C41,'Data SKU'!$D$5:$D$116,3)</f>
        <v>0</v>
      </c>
      <c r="F41" s="7" t="n">
        <f aca="false">SUMIFS('Data SKU'!$I$5:$I$116,'Data SKU'!$A$5:$A$116,$B41,'Data SKU'!$B$5:$B$116,$C41,'Data SKU'!$D$5:$D$116,4)</f>
        <v>0</v>
      </c>
      <c r="G41" s="7" t="n">
        <f aca="false">SUMIFS('Data SKU'!$I$5:$I$116,'Data SKU'!$A$5:$A$116,$B41,'Data SKU'!$B$5:$B$116,$C41,'Data SKU'!$D$5:$D$116,5)</f>
        <v>0</v>
      </c>
      <c r="H41" s="7" t="n">
        <f aca="false">SUMIFS('Data SKU'!$I$5:$I$116,'Data SKU'!$A$5:$A$116,$B41,'Data SKU'!$B$5:$B$116,$C41,'Data SKU'!$D$5:$D$116,6)</f>
        <v>0</v>
      </c>
      <c r="I41" s="7" t="n">
        <f aca="false">SUMIFS('Data SKU'!$I$5:$I$116,'Data SKU'!$A$5:$A$116,$B41,'Data SKU'!$B$5:$B$116,$C41,'Data SKU'!$D$5:$D$116,7)</f>
        <v>0</v>
      </c>
      <c r="J41" s="7" t="n">
        <f aca="false">SUMIFS('Data SKU'!$I$5:$I$116,'Data SKU'!$A$5:$A$116,$B41,'Data SKU'!$B$5:$B$116,$C41,'Data SKU'!$D$5:$D$116,8)</f>
        <v>4631973.54000002</v>
      </c>
      <c r="K41" s="9" t="n">
        <f aca="false">SUM(E41:J41)</f>
        <v>4631973.54000002</v>
      </c>
    </row>
    <row r="42" customFormat="false" ht="15" hidden="false" customHeight="false" outlineLevel="0" collapsed="false">
      <c r="B42" s="6" t="s">
        <v>875</v>
      </c>
      <c r="C42" s="6" t="s">
        <v>240</v>
      </c>
      <c r="D42" s="11" t="s">
        <v>867</v>
      </c>
      <c r="E42" s="57" t="n">
        <f aca="false">IFERROR(E41/E39,0)</f>
        <v>0</v>
      </c>
      <c r="F42" s="57" t="n">
        <f aca="false">IFERROR(F41/F39,0)</f>
        <v>0</v>
      </c>
      <c r="G42" s="57" t="n">
        <f aca="false">IFERROR(G41/G39,0)</f>
        <v>0</v>
      </c>
      <c r="H42" s="57" t="n">
        <f aca="false">IFERROR(H41/H39,0)</f>
        <v>0</v>
      </c>
      <c r="I42" s="57" t="n">
        <f aca="false">IFERROR(I41/I39,0)</f>
        <v>0</v>
      </c>
      <c r="J42" s="57" t="n">
        <f aca="false">IFERROR(J41/J39,0)</f>
        <v>0.0145892039387524</v>
      </c>
      <c r="K42" s="57" t="n">
        <f aca="false">IFERROR(K41/K39,0)</f>
        <v>0.0145892039387524</v>
      </c>
    </row>
    <row r="43" customFormat="false" ht="15" hidden="false" customHeight="false" outlineLevel="0" collapsed="false">
      <c r="B43" s="6" t="s">
        <v>875</v>
      </c>
      <c r="C43" s="6" t="s">
        <v>240</v>
      </c>
      <c r="D43" s="6" t="s">
        <v>1482</v>
      </c>
      <c r="E43" s="9" t="n">
        <f aca="false">IFERROR(E39/E38,0)</f>
        <v>0</v>
      </c>
      <c r="F43" s="9" t="n">
        <f aca="false">IFERROR(F39/F38,0)</f>
        <v>0</v>
      </c>
      <c r="G43" s="9" t="n">
        <f aca="false">IFERROR(G39/G38,0)</f>
        <v>0</v>
      </c>
      <c r="H43" s="9" t="n">
        <f aca="false">IFERROR(H39/H38,0)</f>
        <v>0</v>
      </c>
      <c r="I43" s="9" t="n">
        <f aca="false">IFERROR(I39/I38,0)</f>
        <v>0</v>
      </c>
      <c r="J43" s="9" t="n">
        <f aca="false">IFERROR(J39/J38,0)</f>
        <v>35037.6797167792</v>
      </c>
      <c r="K43" s="9" t="n">
        <f aca="false">IFERROR(K39/K38,0)</f>
        <v>35037.6797167792</v>
      </c>
    </row>
    <row r="44" customFormat="false" ht="15" hidden="false" customHeight="false" outlineLevel="0" collapsed="false">
      <c r="B44" s="6" t="s">
        <v>875</v>
      </c>
      <c r="C44" s="6" t="s">
        <v>240</v>
      </c>
      <c r="D44" s="6" t="s">
        <v>1447</v>
      </c>
      <c r="E44" s="9" t="n">
        <f aca="false">IFERROR(E40/E38,0)</f>
        <v>0</v>
      </c>
      <c r="F44" s="9" t="n">
        <f aca="false">IFERROR(F40/F38,0)</f>
        <v>0</v>
      </c>
      <c r="G44" s="9" t="n">
        <f aca="false">IFERROR(G40/G38,0)</f>
        <v>0</v>
      </c>
      <c r="H44" s="9" t="n">
        <f aca="false">IFERROR(H40/H38,0)</f>
        <v>0</v>
      </c>
      <c r="I44" s="9" t="n">
        <f aca="false">IFERROR(I40/I38,0)</f>
        <v>0</v>
      </c>
      <c r="J44" s="9" t="n">
        <f aca="false">IFERROR(J40/J38,0)</f>
        <v>34526.5078618504</v>
      </c>
      <c r="K44" s="9" t="n">
        <f aca="false">IFERROR(K40/K38,0)</f>
        <v>34526.5078618504</v>
      </c>
    </row>
    <row r="46" customFormat="false" ht="15" hidden="false" customHeight="false" outlineLevel="0" collapsed="false">
      <c r="B46" s="6" t="s">
        <v>875</v>
      </c>
      <c r="C46" s="6" t="s">
        <v>242</v>
      </c>
      <c r="D46" s="6" t="s">
        <v>1099</v>
      </c>
      <c r="E46" s="7" t="n">
        <f aca="false">SUMIFS('Data SKU'!$F$5:$F$116,'Data SKU'!$A$5:$A$116,$B46,'Data SKU'!$B$5:$B$116,$C46,'Data SKU'!$D$5:$D$116,3)</f>
        <v>145</v>
      </c>
      <c r="F46" s="7" t="n">
        <f aca="false">SUMIFS('Data SKU'!$F$5:$F$116,'Data SKU'!$A$5:$A$116,$B46,'Data SKU'!$B$5:$B$116,$C46,'Data SKU'!$D$5:$D$116,4)</f>
        <v>789.25</v>
      </c>
      <c r="G46" s="7" t="n">
        <f aca="false">SUMIFS('Data SKU'!$F$5:$F$116,'Data SKU'!$A$5:$A$116,$B46,'Data SKU'!$B$5:$B$116,$C46,'Data SKU'!$D$5:$D$116,5)</f>
        <v>1284.22</v>
      </c>
      <c r="H46" s="7" t="n">
        <f aca="false">SUMIFS('Data SKU'!$F$5:$F$116,'Data SKU'!$A$5:$A$116,$B46,'Data SKU'!$B$5:$B$116,$C46,'Data SKU'!$D$5:$D$116,6)</f>
        <v>0</v>
      </c>
      <c r="I46" s="7" t="n">
        <f aca="false">SUMIFS('Data SKU'!$F$5:$F$116,'Data SKU'!$A$5:$A$116,$B46,'Data SKU'!$B$5:$B$116,$C46,'Data SKU'!$D$5:$D$116,7)</f>
        <v>462.2</v>
      </c>
      <c r="J46" s="7" t="n">
        <f aca="false">SUMIFS('Data SKU'!$F$5:$F$116,'Data SKU'!$A$5:$A$116,$B46,'Data SKU'!$B$5:$B$116,$C46,'Data SKU'!$D$5:$D$116,8)</f>
        <v>3666.8</v>
      </c>
      <c r="K46" s="9" t="n">
        <f aca="false">SUM(E46:J46)</f>
        <v>6347.47</v>
      </c>
    </row>
    <row r="47" customFormat="false" ht="15" hidden="false" customHeight="false" outlineLevel="0" collapsed="false">
      <c r="B47" s="6" t="s">
        <v>875</v>
      </c>
      <c r="C47" s="6" t="s">
        <v>242</v>
      </c>
      <c r="D47" s="6" t="s">
        <v>311</v>
      </c>
      <c r="E47" s="7" t="n">
        <f aca="false">SUMIFS('Data SKU'!$G$5:$G$116,'Data SKU'!$A$5:$A$116,$B47,'Data SKU'!$B$5:$B$116,$C47,'Data SKU'!$D$5:$D$116,3)</f>
        <v>2320000</v>
      </c>
      <c r="F47" s="7" t="n">
        <f aca="false">SUMIFS('Data SKU'!$G$5:$G$116,'Data SKU'!$A$5:$A$116,$B47,'Data SKU'!$B$5:$B$116,$C47,'Data SKU'!$D$5:$D$116,4)</f>
        <v>9301500</v>
      </c>
      <c r="G47" s="7" t="n">
        <f aca="false">SUMIFS('Data SKU'!$G$5:$G$116,'Data SKU'!$A$5:$A$116,$B47,'Data SKU'!$B$5:$B$116,$C47,'Data SKU'!$D$5:$D$116,5)</f>
        <v>11789880</v>
      </c>
      <c r="H47" s="7" t="n">
        <f aca="false">SUMIFS('Data SKU'!$G$5:$G$116,'Data SKU'!$A$5:$A$116,$B47,'Data SKU'!$B$5:$B$116,$C47,'Data SKU'!$D$5:$D$116,6)</f>
        <v>0</v>
      </c>
      <c r="I47" s="7" t="n">
        <f aca="false">SUMIFS('Data SKU'!$G$5:$G$116,'Data SKU'!$A$5:$A$116,$B47,'Data SKU'!$B$5:$B$116,$C47,'Data SKU'!$D$5:$D$116,7)</f>
        <v>2311000</v>
      </c>
      <c r="J47" s="7" t="n">
        <f aca="false">SUMIFS('Data SKU'!$G$5:$G$116,'Data SKU'!$A$5:$A$116,$B47,'Data SKU'!$B$5:$B$116,$C47,'Data SKU'!$D$5:$D$116,8)</f>
        <v>11370200</v>
      </c>
      <c r="K47" s="9" t="n">
        <f aca="false">SUM(E47:J47)</f>
        <v>37092580</v>
      </c>
    </row>
    <row r="48" customFormat="false" ht="15" hidden="false" customHeight="false" outlineLevel="0" collapsed="false">
      <c r="B48" s="6" t="s">
        <v>875</v>
      </c>
      <c r="C48" s="6" t="s">
        <v>242</v>
      </c>
      <c r="D48" s="6" t="s">
        <v>865</v>
      </c>
      <c r="E48" s="7" t="n">
        <f aca="false">SUMIFS('Data SKU'!$H$5:$H$116,'Data SKU'!$A$5:$A$116,$B48,'Data SKU'!$B$5:$B$116,$C48,'Data SKU'!$D$5:$D$116,3)</f>
        <v>0</v>
      </c>
      <c r="F48" s="7" t="n">
        <f aca="false">SUMIFS('Data SKU'!$H$5:$H$116,'Data SKU'!$A$5:$A$116,$B48,'Data SKU'!$B$5:$B$116,$C48,'Data SKU'!$D$5:$D$116,4)</f>
        <v>0</v>
      </c>
      <c r="G48" s="7" t="n">
        <f aca="false">SUMIFS('Data SKU'!$H$5:$H$116,'Data SKU'!$A$5:$A$116,$B48,'Data SKU'!$B$5:$B$116,$C48,'Data SKU'!$D$5:$D$116,5)</f>
        <v>7659685.86</v>
      </c>
      <c r="H48" s="7" t="n">
        <f aca="false">SUMIFS('Data SKU'!$H$5:$H$116,'Data SKU'!$A$5:$A$116,$B48,'Data SKU'!$B$5:$B$116,$C48,'Data SKU'!$D$5:$D$116,6)</f>
        <v>0</v>
      </c>
      <c r="I48" s="7" t="n">
        <f aca="false">SUMIFS('Data SKU'!$H$5:$H$116,'Data SKU'!$A$5:$A$116,$B48,'Data SKU'!$B$5:$B$116,$C48,'Data SKU'!$D$5:$D$116,7)</f>
        <v>3868511.95</v>
      </c>
      <c r="J48" s="7" t="n">
        <f aca="false">SUMIFS('Data SKU'!$H$5:$H$116,'Data SKU'!$A$5:$A$116,$B48,'Data SKU'!$B$5:$B$116,$C48,'Data SKU'!$D$5:$D$116,8)</f>
        <v>50747540.9406448</v>
      </c>
      <c r="K48" s="9" t="n">
        <f aca="false">SUM(E48:J48)</f>
        <v>62275738.7506448</v>
      </c>
    </row>
    <row r="49" customFormat="false" ht="15" hidden="false" customHeight="false" outlineLevel="0" collapsed="false">
      <c r="B49" s="6" t="s">
        <v>875</v>
      </c>
      <c r="C49" s="6" t="s">
        <v>242</v>
      </c>
      <c r="D49" s="6" t="s">
        <v>866</v>
      </c>
      <c r="E49" s="7" t="n">
        <f aca="false">SUMIFS('Data SKU'!$I$5:$I$116,'Data SKU'!$A$5:$A$116,$B49,'Data SKU'!$B$5:$B$116,$C49,'Data SKU'!$D$5:$D$116,3)</f>
        <v>2320000</v>
      </c>
      <c r="F49" s="7" t="n">
        <f aca="false">SUMIFS('Data SKU'!$I$5:$I$116,'Data SKU'!$A$5:$A$116,$B49,'Data SKU'!$B$5:$B$116,$C49,'Data SKU'!$D$5:$D$116,4)</f>
        <v>9301500</v>
      </c>
      <c r="G49" s="7" t="n">
        <f aca="false">SUMIFS('Data SKU'!$I$5:$I$116,'Data SKU'!$A$5:$A$116,$B49,'Data SKU'!$B$5:$B$116,$C49,'Data SKU'!$D$5:$D$116,5)</f>
        <v>4130194.14</v>
      </c>
      <c r="H49" s="7" t="n">
        <f aca="false">SUMIFS('Data SKU'!$I$5:$I$116,'Data SKU'!$A$5:$A$116,$B49,'Data SKU'!$B$5:$B$116,$C49,'Data SKU'!$D$5:$D$116,6)</f>
        <v>0</v>
      </c>
      <c r="I49" s="7" t="n">
        <f aca="false">SUMIFS('Data SKU'!$I$5:$I$116,'Data SKU'!$A$5:$A$116,$B49,'Data SKU'!$B$5:$B$116,$C49,'Data SKU'!$D$5:$D$116,7)</f>
        <v>-1557511.95</v>
      </c>
      <c r="J49" s="7" t="n">
        <f aca="false">SUMIFS('Data SKU'!$I$5:$I$116,'Data SKU'!$A$5:$A$116,$B49,'Data SKU'!$B$5:$B$116,$C49,'Data SKU'!$D$5:$D$116,8)</f>
        <v>-39377340.9406448</v>
      </c>
      <c r="K49" s="9" t="n">
        <f aca="false">SUM(E49:J49)</f>
        <v>-25183158.7506448</v>
      </c>
    </row>
    <row r="50" customFormat="false" ht="15" hidden="false" customHeight="false" outlineLevel="0" collapsed="false">
      <c r="B50" s="6" t="s">
        <v>875</v>
      </c>
      <c r="C50" s="6" t="s">
        <v>242</v>
      </c>
      <c r="D50" s="11" t="s">
        <v>867</v>
      </c>
      <c r="E50" s="57" t="n">
        <f aca="false">IFERROR(E49/E47,0)</f>
        <v>1</v>
      </c>
      <c r="F50" s="57" t="n">
        <f aca="false">IFERROR(F49/F47,0)</f>
        <v>1</v>
      </c>
      <c r="G50" s="57" t="n">
        <f aca="false">IFERROR(G49/G47,0)</f>
        <v>0.350316893810624</v>
      </c>
      <c r="H50" s="57" t="n">
        <f aca="false">IFERROR(H49/H47,0)</f>
        <v>0</v>
      </c>
      <c r="I50" s="57" t="n">
        <f aca="false">IFERROR(I49/I47,0)</f>
        <v>-0.673955841627001</v>
      </c>
      <c r="J50" s="57" t="n">
        <f aca="false">IFERROR(J49/J47,0)</f>
        <v>-3.4632056551903</v>
      </c>
      <c r="K50" s="57" t="n">
        <f aca="false">IFERROR(K49/K47,0)</f>
        <v>-0.678927126413012</v>
      </c>
    </row>
    <row r="51" customFormat="false" ht="15" hidden="false" customHeight="false" outlineLevel="0" collapsed="false">
      <c r="B51" s="6" t="s">
        <v>875</v>
      </c>
      <c r="C51" s="6" t="s">
        <v>242</v>
      </c>
      <c r="D51" s="6" t="s">
        <v>1482</v>
      </c>
      <c r="E51" s="9" t="n">
        <f aca="false">IFERROR(E47/E46,0)</f>
        <v>16000</v>
      </c>
      <c r="F51" s="9" t="n">
        <f aca="false">IFERROR(F47/F46,0)</f>
        <v>11785.2391510928</v>
      </c>
      <c r="G51" s="9" t="n">
        <f aca="false">IFERROR(G47/G46,0)</f>
        <v>9180.57653673047</v>
      </c>
      <c r="H51" s="9" t="n">
        <f aca="false">IFERROR(H47/H46,0)</f>
        <v>0</v>
      </c>
      <c r="I51" s="9" t="n">
        <f aca="false">IFERROR(I47/I46,0)</f>
        <v>5000</v>
      </c>
      <c r="J51" s="9" t="n">
        <f aca="false">IFERROR(J47/J46,0)</f>
        <v>3100.85087814989</v>
      </c>
      <c r="K51" s="9" t="n">
        <f aca="false">IFERROR(K47/K46,0)</f>
        <v>5843.67945023765</v>
      </c>
    </row>
    <row r="52" customFormat="false" ht="15" hidden="false" customHeight="false" outlineLevel="0" collapsed="false">
      <c r="B52" s="6" t="s">
        <v>875</v>
      </c>
      <c r="C52" s="6" t="s">
        <v>242</v>
      </c>
      <c r="D52" s="6" t="s">
        <v>1447</v>
      </c>
      <c r="E52" s="9" t="n">
        <f aca="false">IFERROR(E48/E46,0)</f>
        <v>0</v>
      </c>
      <c r="F52" s="9" t="n">
        <f aca="false">IFERROR(F48/F46,0)</f>
        <v>0</v>
      </c>
      <c r="G52" s="9" t="n">
        <f aca="false">IFERROR(G48/G46,0)</f>
        <v>5964.46548099235</v>
      </c>
      <c r="H52" s="9" t="n">
        <f aca="false">IFERROR(H48/H46,0)</f>
        <v>0</v>
      </c>
      <c r="I52" s="9" t="n">
        <f aca="false">IFERROR(I48/I46,0)</f>
        <v>8369.77920813501</v>
      </c>
      <c r="J52" s="9" t="n">
        <f aca="false">IFERROR(J48/J46,0)</f>
        <v>13839.7351752604</v>
      </c>
      <c r="K52" s="9" t="n">
        <f aca="false">IFERROR(K48/K46,0)</f>
        <v>9811.11194706628</v>
      </c>
    </row>
    <row r="54" customFormat="false" ht="15" hidden="false" customHeight="false" outlineLevel="0" collapsed="false">
      <c r="B54" s="6" t="s">
        <v>875</v>
      </c>
      <c r="C54" s="6" t="s">
        <v>243</v>
      </c>
      <c r="D54" s="6" t="s">
        <v>1099</v>
      </c>
      <c r="E54" s="7" t="n">
        <f aca="false">SUMIFS('Data SKU'!$F$5:$F$116,'Data SKU'!$A$5:$A$116,$B54,'Data SKU'!$B$5:$B$116,$C54,'Data SKU'!$D$5:$D$116,3)</f>
        <v>0</v>
      </c>
      <c r="F54" s="7" t="n">
        <f aca="false">SUMIFS('Data SKU'!$F$5:$F$116,'Data SKU'!$A$5:$A$116,$B54,'Data SKU'!$B$5:$B$116,$C54,'Data SKU'!$D$5:$D$116,4)</f>
        <v>0</v>
      </c>
      <c r="G54" s="7" t="n">
        <f aca="false">SUMIFS('Data SKU'!$F$5:$F$116,'Data SKU'!$A$5:$A$116,$B54,'Data SKU'!$B$5:$B$116,$C54,'Data SKU'!$D$5:$D$116,5)</f>
        <v>0</v>
      </c>
      <c r="H54" s="7" t="n">
        <f aca="false">SUMIFS('Data SKU'!$F$5:$F$116,'Data SKU'!$A$5:$A$116,$B54,'Data SKU'!$B$5:$B$116,$C54,'Data SKU'!$D$5:$D$116,6)</f>
        <v>0</v>
      </c>
      <c r="I54" s="7" t="n">
        <f aca="false">SUMIFS('Data SKU'!$F$5:$F$116,'Data SKU'!$A$5:$A$116,$B54,'Data SKU'!$B$5:$B$116,$C54,'Data SKU'!$D$5:$D$116,7)</f>
        <v>0</v>
      </c>
      <c r="J54" s="7" t="n">
        <f aca="false">SUMIFS('Data SKU'!$F$5:$F$116,'Data SKU'!$A$5:$A$116,$B54,'Data SKU'!$B$5:$B$116,$C54,'Data SKU'!$D$5:$D$116,8)</f>
        <v>0</v>
      </c>
      <c r="K54" s="9" t="n">
        <f aca="false">SUM(E54:J54)</f>
        <v>0</v>
      </c>
    </row>
    <row r="55" customFormat="false" ht="15" hidden="false" customHeight="false" outlineLevel="0" collapsed="false">
      <c r="B55" s="6" t="s">
        <v>875</v>
      </c>
      <c r="C55" s="6" t="s">
        <v>243</v>
      </c>
      <c r="D55" s="6" t="s">
        <v>311</v>
      </c>
      <c r="E55" s="7" t="n">
        <f aca="false">SUMIFS('Data SKU'!$G$5:$G$116,'Data SKU'!$A$5:$A$116,$B55,'Data SKU'!$B$5:$B$116,$C55,'Data SKU'!$D$5:$D$116,3)</f>
        <v>0</v>
      </c>
      <c r="F55" s="7" t="n">
        <f aca="false">SUMIFS('Data SKU'!$G$5:$G$116,'Data SKU'!$A$5:$A$116,$B55,'Data SKU'!$B$5:$B$116,$C55,'Data SKU'!$D$5:$D$116,4)</f>
        <v>0</v>
      </c>
      <c r="G55" s="7" t="n">
        <f aca="false">SUMIFS('Data SKU'!$G$5:$G$116,'Data SKU'!$A$5:$A$116,$B55,'Data SKU'!$B$5:$B$116,$C55,'Data SKU'!$D$5:$D$116,5)</f>
        <v>0</v>
      </c>
      <c r="H55" s="7" t="n">
        <f aca="false">SUMIFS('Data SKU'!$G$5:$G$116,'Data SKU'!$A$5:$A$116,$B55,'Data SKU'!$B$5:$B$116,$C55,'Data SKU'!$D$5:$D$116,6)</f>
        <v>0</v>
      </c>
      <c r="I55" s="7" t="n">
        <f aca="false">SUMIFS('Data SKU'!$G$5:$G$116,'Data SKU'!$A$5:$A$116,$B55,'Data SKU'!$B$5:$B$116,$C55,'Data SKU'!$D$5:$D$116,7)</f>
        <v>0</v>
      </c>
      <c r="J55" s="7" t="n">
        <f aca="false">SUMIFS('Data SKU'!$G$5:$G$116,'Data SKU'!$A$5:$A$116,$B55,'Data SKU'!$B$5:$B$116,$C55,'Data SKU'!$D$5:$D$116,8)</f>
        <v>0</v>
      </c>
      <c r="K55" s="9" t="n">
        <f aca="false">SUM(E55:J55)</f>
        <v>0</v>
      </c>
    </row>
    <row r="56" customFormat="false" ht="15" hidden="false" customHeight="false" outlineLevel="0" collapsed="false">
      <c r="B56" s="6" t="s">
        <v>875</v>
      </c>
      <c r="C56" s="6" t="s">
        <v>243</v>
      </c>
      <c r="D56" s="6" t="s">
        <v>865</v>
      </c>
      <c r="E56" s="7" t="n">
        <f aca="false">SUMIFS('Data SKU'!$H$5:$H$116,'Data SKU'!$A$5:$A$116,$B56,'Data SKU'!$B$5:$B$116,$C56,'Data SKU'!$D$5:$D$116,3)</f>
        <v>0</v>
      </c>
      <c r="F56" s="7" t="n">
        <f aca="false">SUMIFS('Data SKU'!$H$5:$H$116,'Data SKU'!$A$5:$A$116,$B56,'Data SKU'!$B$5:$B$116,$C56,'Data SKU'!$D$5:$D$116,4)</f>
        <v>22109838.58</v>
      </c>
      <c r="G56" s="7" t="n">
        <f aca="false">SUMIFS('Data SKU'!$H$5:$H$116,'Data SKU'!$A$5:$A$116,$B56,'Data SKU'!$B$5:$B$116,$C56,'Data SKU'!$D$5:$D$116,5)</f>
        <v>0</v>
      </c>
      <c r="H56" s="7" t="n">
        <f aca="false">SUMIFS('Data SKU'!$H$5:$H$116,'Data SKU'!$A$5:$A$116,$B56,'Data SKU'!$B$5:$B$116,$C56,'Data SKU'!$D$5:$D$116,6)</f>
        <v>0</v>
      </c>
      <c r="I56" s="7" t="n">
        <f aca="false">SUMIFS('Data SKU'!$H$5:$H$116,'Data SKU'!$A$5:$A$116,$B56,'Data SKU'!$B$5:$B$116,$C56,'Data SKU'!$D$5:$D$116,7)</f>
        <v>-81361</v>
      </c>
      <c r="J56" s="7" t="n">
        <f aca="false">SUMIFS('Data SKU'!$H$5:$H$116,'Data SKU'!$A$5:$A$116,$B56,'Data SKU'!$B$5:$B$116,$C56,'Data SKU'!$D$5:$D$116,8)</f>
        <v>0</v>
      </c>
      <c r="K56" s="9" t="n">
        <f aca="false">SUM(E56:J56)</f>
        <v>22028477.58</v>
      </c>
    </row>
    <row r="57" customFormat="false" ht="15" hidden="false" customHeight="false" outlineLevel="0" collapsed="false">
      <c r="B57" s="6" t="s">
        <v>875</v>
      </c>
      <c r="C57" s="6" t="s">
        <v>243</v>
      </c>
      <c r="D57" s="6" t="s">
        <v>866</v>
      </c>
      <c r="E57" s="7" t="n">
        <f aca="false">SUMIFS('Data SKU'!$I$5:$I$116,'Data SKU'!$A$5:$A$116,$B57,'Data SKU'!$B$5:$B$116,$C57,'Data SKU'!$D$5:$D$116,3)</f>
        <v>0</v>
      </c>
      <c r="F57" s="7" t="n">
        <f aca="false">SUMIFS('Data SKU'!$I$5:$I$116,'Data SKU'!$A$5:$A$116,$B57,'Data SKU'!$B$5:$B$116,$C57,'Data SKU'!$D$5:$D$116,4)</f>
        <v>-22109838.58</v>
      </c>
      <c r="G57" s="7" t="n">
        <f aca="false">SUMIFS('Data SKU'!$I$5:$I$116,'Data SKU'!$A$5:$A$116,$B57,'Data SKU'!$B$5:$B$116,$C57,'Data SKU'!$D$5:$D$116,5)</f>
        <v>0</v>
      </c>
      <c r="H57" s="7" t="n">
        <f aca="false">SUMIFS('Data SKU'!$I$5:$I$116,'Data SKU'!$A$5:$A$116,$B57,'Data SKU'!$B$5:$B$116,$C57,'Data SKU'!$D$5:$D$116,6)</f>
        <v>0</v>
      </c>
      <c r="I57" s="7" t="n">
        <f aca="false">SUMIFS('Data SKU'!$I$5:$I$116,'Data SKU'!$A$5:$A$116,$B57,'Data SKU'!$B$5:$B$116,$C57,'Data SKU'!$D$5:$D$116,7)</f>
        <v>81361</v>
      </c>
      <c r="J57" s="7" t="n">
        <f aca="false">SUMIFS('Data SKU'!$I$5:$I$116,'Data SKU'!$A$5:$A$116,$B57,'Data SKU'!$B$5:$B$116,$C57,'Data SKU'!$D$5:$D$116,8)</f>
        <v>0</v>
      </c>
      <c r="K57" s="9" t="n">
        <f aca="false">SUM(E57:J57)</f>
        <v>-22028477.58</v>
      </c>
    </row>
    <row r="58" customFormat="false" ht="15" hidden="false" customHeight="false" outlineLevel="0" collapsed="false">
      <c r="B58" s="6" t="s">
        <v>875</v>
      </c>
      <c r="C58" s="6" t="s">
        <v>243</v>
      </c>
      <c r="D58" s="11" t="s">
        <v>867</v>
      </c>
      <c r="E58" s="57" t="n">
        <f aca="false">IFERROR(E57/E55,0)</f>
        <v>0</v>
      </c>
      <c r="F58" s="57" t="n">
        <f aca="false">IFERROR(F57/F55,0)</f>
        <v>0</v>
      </c>
      <c r="G58" s="57" t="n">
        <f aca="false">IFERROR(G57/G55,0)</f>
        <v>0</v>
      </c>
      <c r="H58" s="57" t="n">
        <f aca="false">IFERROR(H57/H55,0)</f>
        <v>0</v>
      </c>
      <c r="I58" s="57" t="n">
        <f aca="false">IFERROR(I57/I55,0)</f>
        <v>0</v>
      </c>
      <c r="J58" s="57" t="n">
        <f aca="false">IFERROR(J57/J55,0)</f>
        <v>0</v>
      </c>
      <c r="K58" s="57" t="n">
        <f aca="false">IFERROR(K57/K55,0)</f>
        <v>0</v>
      </c>
    </row>
    <row r="59" customFormat="false" ht="15" hidden="false" customHeight="false" outlineLevel="0" collapsed="false">
      <c r="B59" s="6" t="s">
        <v>875</v>
      </c>
      <c r="C59" s="6" t="s">
        <v>243</v>
      </c>
      <c r="D59" s="6" t="s">
        <v>1482</v>
      </c>
      <c r="E59" s="9" t="n">
        <f aca="false">IFERROR(E55/E54,0)</f>
        <v>0</v>
      </c>
      <c r="F59" s="9" t="n">
        <f aca="false">IFERROR(F55/F54,0)</f>
        <v>0</v>
      </c>
      <c r="G59" s="9" t="n">
        <f aca="false">IFERROR(G55/G54,0)</f>
        <v>0</v>
      </c>
      <c r="H59" s="9" t="n">
        <f aca="false">IFERROR(H55/H54,0)</f>
        <v>0</v>
      </c>
      <c r="I59" s="9" t="n">
        <f aca="false">IFERROR(I55/I54,0)</f>
        <v>0</v>
      </c>
      <c r="J59" s="9" t="n">
        <f aca="false">IFERROR(J55/J54,0)</f>
        <v>0</v>
      </c>
      <c r="K59" s="9" t="n">
        <f aca="false">IFERROR(K55/K54,0)</f>
        <v>0</v>
      </c>
    </row>
    <row r="60" customFormat="false" ht="15" hidden="false" customHeight="false" outlineLevel="0" collapsed="false">
      <c r="B60" s="6" t="s">
        <v>875</v>
      </c>
      <c r="C60" s="6" t="s">
        <v>243</v>
      </c>
      <c r="D60" s="6" t="s">
        <v>1447</v>
      </c>
      <c r="E60" s="9" t="n">
        <f aca="false">IFERROR(E56/E54,0)</f>
        <v>0</v>
      </c>
      <c r="F60" s="9" t="n">
        <f aca="false">IFERROR(F56/F54,0)</f>
        <v>0</v>
      </c>
      <c r="G60" s="9" t="n">
        <f aca="false">IFERROR(G56/G54,0)</f>
        <v>0</v>
      </c>
      <c r="H60" s="9" t="n">
        <f aca="false">IFERROR(H56/H54,0)</f>
        <v>0</v>
      </c>
      <c r="I60" s="9" t="n">
        <f aca="false">IFERROR(I56/I54,0)</f>
        <v>0</v>
      </c>
      <c r="J60" s="9" t="n">
        <f aca="false">IFERROR(J56/J54,0)</f>
        <v>0</v>
      </c>
      <c r="K60" s="9" t="n">
        <f aca="false">IFERROR(K56/K54,0)</f>
        <v>0</v>
      </c>
    </row>
    <row r="62" customFormat="false" ht="15" hidden="false" customHeight="false" outlineLevel="0" collapsed="false">
      <c r="B62" s="6" t="s">
        <v>875</v>
      </c>
      <c r="C62" s="6" t="s">
        <v>244</v>
      </c>
      <c r="D62" s="6" t="s">
        <v>1099</v>
      </c>
      <c r="E62" s="7" t="n">
        <f aca="false">SUMIFS('Data SKU'!$F$5:$F$116,'Data SKU'!$A$5:$A$116,$B62,'Data SKU'!$B$5:$B$116,$C62,'Data SKU'!$D$5:$D$116,3)</f>
        <v>1940</v>
      </c>
      <c r="F62" s="7" t="n">
        <f aca="false">SUMIFS('Data SKU'!$F$5:$F$116,'Data SKU'!$A$5:$A$116,$B62,'Data SKU'!$B$5:$B$116,$C62,'Data SKU'!$D$5:$D$116,4)</f>
        <v>15793</v>
      </c>
      <c r="G62" s="7" t="n">
        <f aca="false">SUMIFS('Data SKU'!$F$5:$F$116,'Data SKU'!$A$5:$A$116,$B62,'Data SKU'!$B$5:$B$116,$C62,'Data SKU'!$D$5:$D$116,5)</f>
        <v>18470</v>
      </c>
      <c r="H62" s="7" t="n">
        <f aca="false">SUMIFS('Data SKU'!$F$5:$F$116,'Data SKU'!$A$5:$A$116,$B62,'Data SKU'!$B$5:$B$116,$C62,'Data SKU'!$D$5:$D$116,6)</f>
        <v>0</v>
      </c>
      <c r="I62" s="7" t="n">
        <f aca="false">SUMIFS('Data SKU'!$F$5:$F$116,'Data SKU'!$A$5:$A$116,$B62,'Data SKU'!$B$5:$B$116,$C62,'Data SKU'!$D$5:$D$116,7)</f>
        <v>1667.5</v>
      </c>
      <c r="J62" s="7" t="n">
        <f aca="false">SUMIFS('Data SKU'!$F$5:$F$116,'Data SKU'!$A$5:$A$116,$B62,'Data SKU'!$B$5:$B$116,$C62,'Data SKU'!$D$5:$D$116,8)</f>
        <v>6935.9</v>
      </c>
      <c r="K62" s="9" t="n">
        <f aca="false">SUM(E62:J62)</f>
        <v>44806.4</v>
      </c>
    </row>
    <row r="63" customFormat="false" ht="15" hidden="false" customHeight="false" outlineLevel="0" collapsed="false">
      <c r="B63" s="6" t="s">
        <v>875</v>
      </c>
      <c r="C63" s="6" t="s">
        <v>244</v>
      </c>
      <c r="D63" s="6" t="s">
        <v>311</v>
      </c>
      <c r="E63" s="7" t="n">
        <f aca="false">SUMIFS('Data SKU'!$G$5:$G$116,'Data SKU'!$A$5:$A$116,$B63,'Data SKU'!$B$5:$B$116,$C63,'Data SKU'!$D$5:$D$116,3)</f>
        <v>3492000</v>
      </c>
      <c r="F63" s="7" t="n">
        <f aca="false">SUMIFS('Data SKU'!$G$5:$G$116,'Data SKU'!$A$5:$A$116,$B63,'Data SKU'!$B$5:$B$116,$C63,'Data SKU'!$D$5:$D$116,4)</f>
        <v>13211900</v>
      </c>
      <c r="G63" s="7" t="n">
        <f aca="false">SUMIFS('Data SKU'!$G$5:$G$116,'Data SKU'!$A$5:$A$116,$B63,'Data SKU'!$B$5:$B$116,$C63,'Data SKU'!$D$5:$D$116,5)</f>
        <v>25152200</v>
      </c>
      <c r="H63" s="7" t="n">
        <f aca="false">SUMIFS('Data SKU'!$G$5:$G$116,'Data SKU'!$A$5:$A$116,$B63,'Data SKU'!$B$5:$B$116,$C63,'Data SKU'!$D$5:$D$116,6)</f>
        <v>0</v>
      </c>
      <c r="I63" s="7" t="n">
        <f aca="false">SUMIFS('Data SKU'!$G$5:$G$116,'Data SKU'!$A$5:$A$116,$B63,'Data SKU'!$B$5:$B$116,$C63,'Data SKU'!$D$5:$D$116,7)</f>
        <v>3137500</v>
      </c>
      <c r="J63" s="7" t="n">
        <f aca="false">SUMIFS('Data SKU'!$G$5:$G$116,'Data SKU'!$A$5:$A$116,$B63,'Data SKU'!$B$5:$B$116,$C63,'Data SKU'!$D$5:$D$116,8)</f>
        <v>31425150</v>
      </c>
      <c r="K63" s="9" t="n">
        <f aca="false">SUM(E63:J63)</f>
        <v>76418750</v>
      </c>
    </row>
    <row r="64" customFormat="false" ht="15" hidden="false" customHeight="false" outlineLevel="0" collapsed="false">
      <c r="B64" s="6" t="s">
        <v>875</v>
      </c>
      <c r="C64" s="6" t="s">
        <v>244</v>
      </c>
      <c r="D64" s="6" t="s">
        <v>865</v>
      </c>
      <c r="E64" s="7" t="n">
        <f aca="false">SUMIFS('Data SKU'!$H$5:$H$116,'Data SKU'!$A$5:$A$116,$B64,'Data SKU'!$B$5:$B$116,$C64,'Data SKU'!$D$5:$D$116,3)</f>
        <v>0</v>
      </c>
      <c r="F64" s="7" t="n">
        <f aca="false">SUMIFS('Data SKU'!$H$5:$H$116,'Data SKU'!$A$5:$A$116,$B64,'Data SKU'!$B$5:$B$116,$C64,'Data SKU'!$D$5:$D$116,4)</f>
        <v>0</v>
      </c>
      <c r="G64" s="7" t="n">
        <f aca="false">SUMIFS('Data SKU'!$H$5:$H$116,'Data SKU'!$A$5:$A$116,$B64,'Data SKU'!$B$5:$B$116,$C64,'Data SKU'!$D$5:$D$116,5)</f>
        <v>10778130.62</v>
      </c>
      <c r="H64" s="7" t="n">
        <f aca="false">SUMIFS('Data SKU'!$H$5:$H$116,'Data SKU'!$A$5:$A$116,$B64,'Data SKU'!$B$5:$B$116,$C64,'Data SKU'!$D$5:$D$116,6)</f>
        <v>0</v>
      </c>
      <c r="I64" s="7" t="n">
        <f aca="false">SUMIFS('Data SKU'!$H$5:$H$116,'Data SKU'!$A$5:$A$116,$B64,'Data SKU'!$B$5:$B$116,$C64,'Data SKU'!$D$5:$D$116,7)</f>
        <v>907440.03</v>
      </c>
      <c r="J64" s="7" t="n">
        <f aca="false">SUMIFS('Data SKU'!$H$5:$H$116,'Data SKU'!$A$5:$A$116,$B64,'Data SKU'!$B$5:$B$116,$C64,'Data SKU'!$D$5:$D$116,8)</f>
        <v>20678506.5946057</v>
      </c>
      <c r="K64" s="9" t="n">
        <f aca="false">SUM(E64:J64)</f>
        <v>32364077.2446057</v>
      </c>
    </row>
    <row r="65" customFormat="false" ht="15" hidden="false" customHeight="false" outlineLevel="0" collapsed="false">
      <c r="B65" s="6" t="s">
        <v>875</v>
      </c>
      <c r="C65" s="6" t="s">
        <v>244</v>
      </c>
      <c r="D65" s="6" t="s">
        <v>866</v>
      </c>
      <c r="E65" s="7" t="n">
        <f aca="false">SUMIFS('Data SKU'!$I$5:$I$116,'Data SKU'!$A$5:$A$116,$B65,'Data SKU'!$B$5:$B$116,$C65,'Data SKU'!$D$5:$D$116,3)</f>
        <v>3492000</v>
      </c>
      <c r="F65" s="7" t="n">
        <f aca="false">SUMIFS('Data SKU'!$I$5:$I$116,'Data SKU'!$A$5:$A$116,$B65,'Data SKU'!$B$5:$B$116,$C65,'Data SKU'!$D$5:$D$116,4)</f>
        <v>13211900</v>
      </c>
      <c r="G65" s="7" t="n">
        <f aca="false">SUMIFS('Data SKU'!$I$5:$I$116,'Data SKU'!$A$5:$A$116,$B65,'Data SKU'!$B$5:$B$116,$C65,'Data SKU'!$D$5:$D$116,5)</f>
        <v>14374069.38</v>
      </c>
      <c r="H65" s="7" t="n">
        <f aca="false">SUMIFS('Data SKU'!$I$5:$I$116,'Data SKU'!$A$5:$A$116,$B65,'Data SKU'!$B$5:$B$116,$C65,'Data SKU'!$D$5:$D$116,6)</f>
        <v>0</v>
      </c>
      <c r="I65" s="7" t="n">
        <f aca="false">SUMIFS('Data SKU'!$I$5:$I$116,'Data SKU'!$A$5:$A$116,$B65,'Data SKU'!$B$5:$B$116,$C65,'Data SKU'!$D$5:$D$116,7)</f>
        <v>2230059.97</v>
      </c>
      <c r="J65" s="7" t="n">
        <f aca="false">SUMIFS('Data SKU'!$I$5:$I$116,'Data SKU'!$A$5:$A$116,$B65,'Data SKU'!$B$5:$B$116,$C65,'Data SKU'!$D$5:$D$116,8)</f>
        <v>10746643.4053943</v>
      </c>
      <c r="K65" s="9" t="n">
        <f aca="false">SUM(E65:J65)</f>
        <v>44054672.7553943</v>
      </c>
    </row>
    <row r="66" customFormat="false" ht="15" hidden="false" customHeight="false" outlineLevel="0" collapsed="false">
      <c r="B66" s="6" t="s">
        <v>875</v>
      </c>
      <c r="C66" s="6" t="s">
        <v>244</v>
      </c>
      <c r="D66" s="11" t="s">
        <v>867</v>
      </c>
      <c r="E66" s="57" t="n">
        <f aca="false">IFERROR(E65/E63,0)</f>
        <v>1</v>
      </c>
      <c r="F66" s="57" t="n">
        <f aca="false">IFERROR(F65/F63,0)</f>
        <v>1</v>
      </c>
      <c r="G66" s="57" t="n">
        <f aca="false">IFERROR(G65/G63,0)</f>
        <v>0.571483583145808</v>
      </c>
      <c r="H66" s="57" t="n">
        <f aca="false">IFERROR(H65/H63,0)</f>
        <v>0</v>
      </c>
      <c r="I66" s="57" t="n">
        <f aca="false">IFERROR(I65/I63,0)</f>
        <v>0.710776086055777</v>
      </c>
      <c r="J66" s="57" t="n">
        <f aca="false">IFERROR(J65/J63,0)</f>
        <v>0.341975882546123</v>
      </c>
      <c r="K66" s="57" t="n">
        <f aca="false">IFERROR(K65/K63,0)</f>
        <v>0.576490360747779</v>
      </c>
    </row>
    <row r="67" customFormat="false" ht="15" hidden="false" customHeight="false" outlineLevel="0" collapsed="false">
      <c r="B67" s="6" t="s">
        <v>875</v>
      </c>
      <c r="C67" s="6" t="s">
        <v>244</v>
      </c>
      <c r="D67" s="6" t="s">
        <v>1482</v>
      </c>
      <c r="E67" s="9" t="n">
        <f aca="false">IFERROR(E63/E62,0)</f>
        <v>1800</v>
      </c>
      <c r="F67" s="9" t="n">
        <f aca="false">IFERROR(F63/F62,0)</f>
        <v>836.566833407206</v>
      </c>
      <c r="G67" s="9" t="n">
        <f aca="false">IFERROR(G63/G62,0)</f>
        <v>1361.78668110449</v>
      </c>
      <c r="H67" s="9" t="n">
        <f aca="false">IFERROR(H63/H62,0)</f>
        <v>0</v>
      </c>
      <c r="I67" s="9" t="n">
        <f aca="false">IFERROR(I63/I62,0)</f>
        <v>1881.55922038981</v>
      </c>
      <c r="J67" s="9" t="n">
        <f aca="false">IFERROR(J63/J62,0)</f>
        <v>4530.79629175738</v>
      </c>
      <c r="K67" s="9" t="n">
        <f aca="false">IFERROR(K63/K62,0)</f>
        <v>1705.53202221111</v>
      </c>
    </row>
    <row r="68" customFormat="false" ht="15" hidden="false" customHeight="false" outlineLevel="0" collapsed="false">
      <c r="B68" s="6" t="s">
        <v>875</v>
      </c>
      <c r="C68" s="6" t="s">
        <v>244</v>
      </c>
      <c r="D68" s="6" t="s">
        <v>1447</v>
      </c>
      <c r="E68" s="9" t="n">
        <f aca="false">IFERROR(E64/E62,0)</f>
        <v>0</v>
      </c>
      <c r="F68" s="9" t="n">
        <f aca="false">IFERROR(F64/F62,0)</f>
        <v>0</v>
      </c>
      <c r="G68" s="9" t="n">
        <f aca="false">IFERROR(G64/G62,0)</f>
        <v>583.547949106659</v>
      </c>
      <c r="H68" s="9" t="n">
        <f aca="false">IFERROR(H64/H62,0)</f>
        <v>0</v>
      </c>
      <c r="I68" s="9" t="n">
        <f aca="false">IFERROR(I64/I62,0)</f>
        <v>544.191922038981</v>
      </c>
      <c r="J68" s="9" t="n">
        <f aca="false">IFERROR(J64/J62,0)</f>
        <v>2981.37323124695</v>
      </c>
      <c r="K68" s="9" t="n">
        <f aca="false">IFERROR(K64/K62,0)</f>
        <v>722.30925145974</v>
      </c>
    </row>
    <row r="70" customFormat="false" ht="15" hidden="false" customHeight="false" outlineLevel="0" collapsed="false">
      <c r="B70" s="6" t="s">
        <v>875</v>
      </c>
      <c r="C70" s="6" t="s">
        <v>245</v>
      </c>
      <c r="D70" s="6" t="s">
        <v>1099</v>
      </c>
      <c r="E70" s="7" t="n">
        <f aca="false">SUMIFS('Data SKU'!$F$5:$F$116,'Data SKU'!$A$5:$A$116,$B70,'Data SKU'!$B$5:$B$116,$C70,'Data SKU'!$D$5:$D$116,3)</f>
        <v>1126.5</v>
      </c>
      <c r="F70" s="7" t="n">
        <f aca="false">SUMIFS('Data SKU'!$F$5:$F$116,'Data SKU'!$A$5:$A$116,$B70,'Data SKU'!$B$5:$B$116,$C70,'Data SKU'!$D$5:$D$116,4)</f>
        <v>5252.98</v>
      </c>
      <c r="G70" s="7" t="n">
        <f aca="false">SUMIFS('Data SKU'!$F$5:$F$116,'Data SKU'!$A$5:$A$116,$B70,'Data SKU'!$B$5:$B$116,$C70,'Data SKU'!$D$5:$D$116,5)</f>
        <v>5828.5</v>
      </c>
      <c r="H70" s="7" t="n">
        <f aca="false">SUMIFS('Data SKU'!$F$5:$F$116,'Data SKU'!$A$5:$A$116,$B70,'Data SKU'!$B$5:$B$116,$C70,'Data SKU'!$D$5:$D$116,6)</f>
        <v>0</v>
      </c>
      <c r="I70" s="7" t="n">
        <f aca="false">SUMIFS('Data SKU'!$F$5:$F$116,'Data SKU'!$A$5:$A$116,$B70,'Data SKU'!$B$5:$B$116,$C70,'Data SKU'!$D$5:$D$116,7)</f>
        <v>2645.92</v>
      </c>
      <c r="J70" s="7" t="n">
        <f aca="false">SUMIFS('Data SKU'!$F$5:$F$116,'Data SKU'!$A$5:$A$116,$B70,'Data SKU'!$B$5:$B$116,$C70,'Data SKU'!$D$5:$D$116,8)</f>
        <v>0</v>
      </c>
      <c r="K70" s="9" t="n">
        <f aca="false">SUM(E70:J70)</f>
        <v>14853.9</v>
      </c>
    </row>
    <row r="71" customFormat="false" ht="15" hidden="false" customHeight="false" outlineLevel="0" collapsed="false">
      <c r="B71" s="6" t="s">
        <v>875</v>
      </c>
      <c r="C71" s="6" t="s">
        <v>245</v>
      </c>
      <c r="D71" s="6" t="s">
        <v>311</v>
      </c>
      <c r="E71" s="7" t="n">
        <f aca="false">SUMIFS('Data SKU'!$G$5:$G$116,'Data SKU'!$A$5:$A$116,$B71,'Data SKU'!$B$5:$B$116,$C71,'Data SKU'!$D$5:$D$116,3)</f>
        <v>13518000</v>
      </c>
      <c r="F71" s="7" t="n">
        <f aca="false">SUMIFS('Data SKU'!$G$5:$G$116,'Data SKU'!$A$5:$A$116,$B71,'Data SKU'!$B$5:$B$116,$C71,'Data SKU'!$D$5:$D$116,4)</f>
        <v>52252910</v>
      </c>
      <c r="G71" s="7" t="n">
        <f aca="false">SUMIFS('Data SKU'!$G$5:$G$116,'Data SKU'!$A$5:$A$116,$B71,'Data SKU'!$B$5:$B$116,$C71,'Data SKU'!$D$5:$D$116,5)</f>
        <v>49055310</v>
      </c>
      <c r="H71" s="7" t="n">
        <f aca="false">SUMIFS('Data SKU'!$G$5:$G$116,'Data SKU'!$A$5:$A$116,$B71,'Data SKU'!$B$5:$B$116,$C71,'Data SKU'!$D$5:$D$116,6)</f>
        <v>0</v>
      </c>
      <c r="I71" s="7" t="n">
        <f aca="false">SUMIFS('Data SKU'!$G$5:$G$116,'Data SKU'!$A$5:$A$116,$B71,'Data SKU'!$B$5:$B$116,$C71,'Data SKU'!$D$5:$D$116,7)</f>
        <v>13229600</v>
      </c>
      <c r="J71" s="7" t="n">
        <f aca="false">SUMIFS('Data SKU'!$G$5:$G$116,'Data SKU'!$A$5:$A$116,$B71,'Data SKU'!$B$5:$B$116,$C71,'Data SKU'!$D$5:$D$116,8)</f>
        <v>0</v>
      </c>
      <c r="K71" s="9" t="n">
        <f aca="false">SUM(E71:J71)</f>
        <v>128055820</v>
      </c>
    </row>
    <row r="72" customFormat="false" ht="15" hidden="false" customHeight="false" outlineLevel="0" collapsed="false">
      <c r="B72" s="6" t="s">
        <v>875</v>
      </c>
      <c r="C72" s="6" t="s">
        <v>245</v>
      </c>
      <c r="D72" s="6" t="s">
        <v>865</v>
      </c>
      <c r="E72" s="7" t="n">
        <f aca="false">SUMIFS('Data SKU'!$H$5:$H$116,'Data SKU'!$A$5:$A$116,$B72,'Data SKU'!$B$5:$B$116,$C72,'Data SKU'!$D$5:$D$116,3)</f>
        <v>0</v>
      </c>
      <c r="F72" s="7" t="n">
        <f aca="false">SUMIFS('Data SKU'!$H$5:$H$116,'Data SKU'!$A$5:$A$116,$B72,'Data SKU'!$B$5:$B$116,$C72,'Data SKU'!$D$5:$D$116,4)</f>
        <v>0</v>
      </c>
      <c r="G72" s="7" t="n">
        <f aca="false">SUMIFS('Data SKU'!$H$5:$H$116,'Data SKU'!$A$5:$A$116,$B72,'Data SKU'!$B$5:$B$116,$C72,'Data SKU'!$D$5:$D$116,5)</f>
        <v>66475653</v>
      </c>
      <c r="H72" s="7" t="n">
        <f aca="false">SUMIFS('Data SKU'!$H$5:$H$116,'Data SKU'!$A$5:$A$116,$B72,'Data SKU'!$B$5:$B$116,$C72,'Data SKU'!$D$5:$D$116,6)</f>
        <v>0</v>
      </c>
      <c r="I72" s="7" t="n">
        <f aca="false">SUMIFS('Data SKU'!$H$5:$H$116,'Data SKU'!$A$5:$A$116,$B72,'Data SKU'!$B$5:$B$116,$C72,'Data SKU'!$D$5:$D$116,7)</f>
        <v>24725858.87</v>
      </c>
      <c r="J72" s="7" t="n">
        <f aca="false">SUMIFS('Data SKU'!$H$5:$H$116,'Data SKU'!$A$5:$A$116,$B72,'Data SKU'!$B$5:$B$116,$C72,'Data SKU'!$D$5:$D$116,8)</f>
        <v>0</v>
      </c>
      <c r="K72" s="9" t="n">
        <f aca="false">SUM(E72:J72)</f>
        <v>91201511.87</v>
      </c>
    </row>
    <row r="73" customFormat="false" ht="15" hidden="false" customHeight="false" outlineLevel="0" collapsed="false">
      <c r="B73" s="6" t="s">
        <v>875</v>
      </c>
      <c r="C73" s="6" t="s">
        <v>245</v>
      </c>
      <c r="D73" s="6" t="s">
        <v>866</v>
      </c>
      <c r="E73" s="7" t="n">
        <f aca="false">SUMIFS('Data SKU'!$I$5:$I$116,'Data SKU'!$A$5:$A$116,$B73,'Data SKU'!$B$5:$B$116,$C73,'Data SKU'!$D$5:$D$116,3)</f>
        <v>13518000</v>
      </c>
      <c r="F73" s="7" t="n">
        <f aca="false">SUMIFS('Data SKU'!$I$5:$I$116,'Data SKU'!$A$5:$A$116,$B73,'Data SKU'!$B$5:$B$116,$C73,'Data SKU'!$D$5:$D$116,4)</f>
        <v>52252910</v>
      </c>
      <c r="G73" s="7" t="n">
        <f aca="false">SUMIFS('Data SKU'!$I$5:$I$116,'Data SKU'!$A$5:$A$116,$B73,'Data SKU'!$B$5:$B$116,$C73,'Data SKU'!$D$5:$D$116,5)</f>
        <v>-17420343</v>
      </c>
      <c r="H73" s="7" t="n">
        <f aca="false">SUMIFS('Data SKU'!$I$5:$I$116,'Data SKU'!$A$5:$A$116,$B73,'Data SKU'!$B$5:$B$116,$C73,'Data SKU'!$D$5:$D$116,6)</f>
        <v>0</v>
      </c>
      <c r="I73" s="7" t="n">
        <f aca="false">SUMIFS('Data SKU'!$I$5:$I$116,'Data SKU'!$A$5:$A$116,$B73,'Data SKU'!$B$5:$B$116,$C73,'Data SKU'!$D$5:$D$116,7)</f>
        <v>-11496258.87</v>
      </c>
      <c r="J73" s="7" t="n">
        <f aca="false">SUMIFS('Data SKU'!$I$5:$I$116,'Data SKU'!$A$5:$A$116,$B73,'Data SKU'!$B$5:$B$116,$C73,'Data SKU'!$D$5:$D$116,8)</f>
        <v>0</v>
      </c>
      <c r="K73" s="9" t="n">
        <f aca="false">SUM(E73:J73)</f>
        <v>36854308.13</v>
      </c>
    </row>
    <row r="74" customFormat="false" ht="15" hidden="false" customHeight="false" outlineLevel="0" collapsed="false">
      <c r="B74" s="6" t="s">
        <v>875</v>
      </c>
      <c r="C74" s="6" t="s">
        <v>245</v>
      </c>
      <c r="D74" s="11" t="s">
        <v>867</v>
      </c>
      <c r="E74" s="57" t="n">
        <f aca="false">IFERROR(E73/E71,0)</f>
        <v>1</v>
      </c>
      <c r="F74" s="57" t="n">
        <f aca="false">IFERROR(F73/F71,0)</f>
        <v>1</v>
      </c>
      <c r="G74" s="57" t="n">
        <f aca="false">IFERROR(G73/G71,0)</f>
        <v>-0.355116357434088</v>
      </c>
      <c r="H74" s="57" t="n">
        <f aca="false">IFERROR(H73/H71,0)</f>
        <v>0</v>
      </c>
      <c r="I74" s="57" t="n">
        <f aca="false">IFERROR(I73/I71,0)</f>
        <v>-0.868980080274536</v>
      </c>
      <c r="J74" s="57" t="n">
        <f aca="false">IFERROR(J73/J71,0)</f>
        <v>0</v>
      </c>
      <c r="K74" s="57" t="n">
        <f aca="false">IFERROR(K73/K71,0)</f>
        <v>0.287798775018582</v>
      </c>
    </row>
    <row r="75" customFormat="false" ht="15" hidden="false" customHeight="false" outlineLevel="0" collapsed="false">
      <c r="B75" s="6" t="s">
        <v>875</v>
      </c>
      <c r="C75" s="6" t="s">
        <v>245</v>
      </c>
      <c r="D75" s="6" t="s">
        <v>1482</v>
      </c>
      <c r="E75" s="9" t="n">
        <f aca="false">IFERROR(E71/E70,0)</f>
        <v>12000</v>
      </c>
      <c r="F75" s="9" t="n">
        <f aca="false">IFERROR(F71/F70,0)</f>
        <v>9947.28896740517</v>
      </c>
      <c r="G75" s="9" t="n">
        <f aca="false">IFERROR(G71/G70,0)</f>
        <v>8416.45534871751</v>
      </c>
      <c r="H75" s="9" t="n">
        <f aca="false">IFERROR(H71/H70,0)</f>
        <v>0</v>
      </c>
      <c r="I75" s="9" t="n">
        <f aca="false">IFERROR(I71/I70,0)</f>
        <v>5000</v>
      </c>
      <c r="J75" s="9" t="n">
        <f aca="false">IFERROR(J71/J70,0)</f>
        <v>0</v>
      </c>
      <c r="K75" s="9" t="n">
        <f aca="false">IFERROR(K71/K70,0)</f>
        <v>8621.02343492282</v>
      </c>
    </row>
    <row r="76" customFormat="false" ht="15" hidden="false" customHeight="false" outlineLevel="0" collapsed="false">
      <c r="B76" s="6" t="s">
        <v>875</v>
      </c>
      <c r="C76" s="6" t="s">
        <v>245</v>
      </c>
      <c r="D76" s="6" t="s">
        <v>1447</v>
      </c>
      <c r="E76" s="9" t="n">
        <f aca="false">IFERROR(E72/E70,0)</f>
        <v>0</v>
      </c>
      <c r="F76" s="9" t="n">
        <f aca="false">IFERROR(F72/F70,0)</f>
        <v>0</v>
      </c>
      <c r="G76" s="9" t="n">
        <f aca="false">IFERROR(G72/G70,0)</f>
        <v>11405.2763146607</v>
      </c>
      <c r="H76" s="9" t="n">
        <f aca="false">IFERROR(H72/H70,0)</f>
        <v>0</v>
      </c>
      <c r="I76" s="9" t="n">
        <f aca="false">IFERROR(I72/I70,0)</f>
        <v>9344.90040137268</v>
      </c>
      <c r="J76" s="9" t="n">
        <f aca="false">IFERROR(J72/J70,0)</f>
        <v>0</v>
      </c>
      <c r="K76" s="9" t="n">
        <f aca="false">IFERROR(K72/K70,0)</f>
        <v>6139.90345094554</v>
      </c>
    </row>
    <row r="78" customFormat="false" ht="15" hidden="false" customHeight="false" outlineLevel="0" collapsed="false">
      <c r="B78" s="6" t="s">
        <v>875</v>
      </c>
      <c r="C78" s="6" t="s">
        <v>246</v>
      </c>
      <c r="D78" s="6" t="s">
        <v>1099</v>
      </c>
      <c r="E78" s="7" t="n">
        <f aca="false">SUMIFS('Data SKU'!$F$5:$F$116,'Data SKU'!$A$5:$A$116,$B78,'Data SKU'!$B$5:$B$116,$C78,'Data SKU'!$D$5:$D$116,3)</f>
        <v>0</v>
      </c>
      <c r="F78" s="7" t="n">
        <f aca="false">SUMIFS('Data SKU'!$F$5:$F$116,'Data SKU'!$A$5:$A$116,$B78,'Data SKU'!$B$5:$B$116,$C78,'Data SKU'!$D$5:$D$116,4)</f>
        <v>0</v>
      </c>
      <c r="G78" s="7" t="n">
        <f aca="false">SUMIFS('Data SKU'!$F$5:$F$116,'Data SKU'!$A$5:$A$116,$B78,'Data SKU'!$B$5:$B$116,$C78,'Data SKU'!$D$5:$D$116,5)</f>
        <v>17759.05</v>
      </c>
      <c r="H78" s="7" t="n">
        <f aca="false">SUMIFS('Data SKU'!$F$5:$F$116,'Data SKU'!$A$5:$A$116,$B78,'Data SKU'!$B$5:$B$116,$C78,'Data SKU'!$D$5:$D$116,6)</f>
        <v>11934.94</v>
      </c>
      <c r="I78" s="7" t="n">
        <f aca="false">SUMIFS('Data SKU'!$F$5:$F$116,'Data SKU'!$A$5:$A$116,$B78,'Data SKU'!$B$5:$B$116,$C78,'Data SKU'!$D$5:$D$116,7)</f>
        <v>5522.18</v>
      </c>
      <c r="J78" s="7" t="n">
        <f aca="false">SUMIFS('Data SKU'!$F$5:$F$116,'Data SKU'!$A$5:$A$116,$B78,'Data SKU'!$B$5:$B$116,$C78,'Data SKU'!$D$5:$D$116,8)</f>
        <v>59107.19</v>
      </c>
      <c r="K78" s="9" t="n">
        <f aca="false">SUM(E78:J78)</f>
        <v>94323.36</v>
      </c>
    </row>
    <row r="79" customFormat="false" ht="15" hidden="false" customHeight="false" outlineLevel="0" collapsed="false">
      <c r="B79" s="6" t="s">
        <v>875</v>
      </c>
      <c r="C79" s="6" t="s">
        <v>246</v>
      </c>
      <c r="D79" s="6" t="s">
        <v>311</v>
      </c>
      <c r="E79" s="7" t="n">
        <f aca="false">SUMIFS('Data SKU'!$G$5:$G$116,'Data SKU'!$A$5:$A$116,$B79,'Data SKU'!$B$5:$B$116,$C79,'Data SKU'!$D$5:$D$116,3)</f>
        <v>0</v>
      </c>
      <c r="F79" s="7" t="n">
        <f aca="false">SUMIFS('Data SKU'!$G$5:$G$116,'Data SKU'!$A$5:$A$116,$B79,'Data SKU'!$B$5:$B$116,$C79,'Data SKU'!$D$5:$D$116,4)</f>
        <v>0</v>
      </c>
      <c r="G79" s="7" t="n">
        <f aca="false">SUMIFS('Data SKU'!$G$5:$G$116,'Data SKU'!$A$5:$A$116,$B79,'Data SKU'!$B$5:$B$116,$C79,'Data SKU'!$D$5:$D$116,5)</f>
        <v>547855399</v>
      </c>
      <c r="H79" s="7" t="n">
        <f aca="false">SUMIFS('Data SKU'!$G$5:$G$116,'Data SKU'!$A$5:$A$116,$B79,'Data SKU'!$B$5:$B$116,$C79,'Data SKU'!$D$5:$D$116,6)</f>
        <v>368433356</v>
      </c>
      <c r="I79" s="7" t="n">
        <f aca="false">SUMIFS('Data SKU'!$G$5:$G$116,'Data SKU'!$A$5:$A$116,$B79,'Data SKU'!$B$5:$B$116,$C79,'Data SKU'!$D$5:$D$116,7)</f>
        <v>156390590</v>
      </c>
      <c r="J79" s="7" t="n">
        <f aca="false">SUMIFS('Data SKU'!$G$5:$G$116,'Data SKU'!$A$5:$A$116,$B79,'Data SKU'!$B$5:$B$116,$C79,'Data SKU'!$D$5:$D$116,8)</f>
        <v>2081499286.31342</v>
      </c>
      <c r="K79" s="9" t="n">
        <f aca="false">SUM(E79:J79)</f>
        <v>3154178631.31342</v>
      </c>
    </row>
    <row r="80" customFormat="false" ht="15" hidden="false" customHeight="false" outlineLevel="0" collapsed="false">
      <c r="B80" s="6" t="s">
        <v>875</v>
      </c>
      <c r="C80" s="6" t="s">
        <v>246</v>
      </c>
      <c r="D80" s="6" t="s">
        <v>865</v>
      </c>
      <c r="E80" s="7" t="n">
        <f aca="false">SUMIFS('Data SKU'!$H$5:$H$116,'Data SKU'!$A$5:$A$116,$B80,'Data SKU'!$B$5:$B$116,$C80,'Data SKU'!$D$5:$D$116,3)</f>
        <v>0</v>
      </c>
      <c r="F80" s="7" t="n">
        <f aca="false">SUMIFS('Data SKU'!$H$5:$H$116,'Data SKU'!$A$5:$A$116,$B80,'Data SKU'!$B$5:$B$116,$C80,'Data SKU'!$D$5:$D$116,4)</f>
        <v>0</v>
      </c>
      <c r="G80" s="7" t="n">
        <f aca="false">SUMIFS('Data SKU'!$H$5:$H$116,'Data SKU'!$A$5:$A$116,$B80,'Data SKU'!$B$5:$B$116,$C80,'Data SKU'!$D$5:$D$116,5)</f>
        <v>497770457.66</v>
      </c>
      <c r="H80" s="7" t="n">
        <f aca="false">SUMIFS('Data SKU'!$H$5:$H$116,'Data SKU'!$A$5:$A$116,$B80,'Data SKU'!$B$5:$B$116,$C80,'Data SKU'!$D$5:$D$116,6)</f>
        <v>307123153.73</v>
      </c>
      <c r="I80" s="7" t="n">
        <f aca="false">SUMIFS('Data SKU'!$H$5:$H$116,'Data SKU'!$A$5:$A$116,$B80,'Data SKU'!$B$5:$B$116,$C80,'Data SKU'!$D$5:$D$116,7)</f>
        <v>143023198.44</v>
      </c>
      <c r="J80" s="7" t="n">
        <f aca="false">SUMIFS('Data SKU'!$H$5:$H$116,'Data SKU'!$A$5:$A$116,$B80,'Data SKU'!$B$5:$B$116,$C80,'Data SKU'!$D$5:$D$116,8)</f>
        <v>2091900299.46827</v>
      </c>
      <c r="K80" s="9" t="n">
        <f aca="false">SUM(E80:J80)</f>
        <v>3039817109.29827</v>
      </c>
    </row>
    <row r="81" customFormat="false" ht="15" hidden="false" customHeight="false" outlineLevel="0" collapsed="false">
      <c r="B81" s="6" t="s">
        <v>875</v>
      </c>
      <c r="C81" s="6" t="s">
        <v>246</v>
      </c>
      <c r="D81" s="6" t="s">
        <v>866</v>
      </c>
      <c r="E81" s="7" t="n">
        <f aca="false">SUMIFS('Data SKU'!$I$5:$I$116,'Data SKU'!$A$5:$A$116,$B81,'Data SKU'!$B$5:$B$116,$C81,'Data SKU'!$D$5:$D$116,3)</f>
        <v>0</v>
      </c>
      <c r="F81" s="7" t="n">
        <f aca="false">SUMIFS('Data SKU'!$I$5:$I$116,'Data SKU'!$A$5:$A$116,$B81,'Data SKU'!$B$5:$B$116,$C81,'Data SKU'!$D$5:$D$116,4)</f>
        <v>0</v>
      </c>
      <c r="G81" s="7" t="n">
        <f aca="false">SUMIFS('Data SKU'!$I$5:$I$116,'Data SKU'!$A$5:$A$116,$B81,'Data SKU'!$B$5:$B$116,$C81,'Data SKU'!$D$5:$D$116,5)</f>
        <v>50084941.34</v>
      </c>
      <c r="H81" s="7" t="n">
        <f aca="false">SUMIFS('Data SKU'!$I$5:$I$116,'Data SKU'!$A$5:$A$116,$B81,'Data SKU'!$B$5:$B$116,$C81,'Data SKU'!$D$5:$D$116,6)</f>
        <v>61310202.27</v>
      </c>
      <c r="I81" s="7" t="n">
        <f aca="false">SUMIFS('Data SKU'!$I$5:$I$116,'Data SKU'!$A$5:$A$116,$B81,'Data SKU'!$B$5:$B$116,$C81,'Data SKU'!$D$5:$D$116,7)</f>
        <v>13367391.56</v>
      </c>
      <c r="J81" s="7" t="n">
        <f aca="false">SUMIFS('Data SKU'!$I$5:$I$116,'Data SKU'!$A$5:$A$116,$B81,'Data SKU'!$B$5:$B$116,$C81,'Data SKU'!$D$5:$D$116,8)</f>
        <v>-10401013.1548481</v>
      </c>
      <c r="K81" s="9" t="n">
        <f aca="false">SUM(E81:J81)</f>
        <v>114361522.015152</v>
      </c>
    </row>
    <row r="82" customFormat="false" ht="15" hidden="false" customHeight="false" outlineLevel="0" collapsed="false">
      <c r="B82" s="6" t="s">
        <v>875</v>
      </c>
      <c r="C82" s="6" t="s">
        <v>246</v>
      </c>
      <c r="D82" s="11" t="s">
        <v>867</v>
      </c>
      <c r="E82" s="57" t="n">
        <f aca="false">IFERROR(E81/E79,0)</f>
        <v>0</v>
      </c>
      <c r="F82" s="57" t="n">
        <f aca="false">IFERROR(F81/F79,0)</f>
        <v>0</v>
      </c>
      <c r="G82" s="57" t="n">
        <f aca="false">IFERROR(G81/G79,0)</f>
        <v>0.0914200013934699</v>
      </c>
      <c r="H82" s="57" t="n">
        <f aca="false">IFERROR(H81/H79,0)</f>
        <v>0.166407848995084</v>
      </c>
      <c r="I82" s="57" t="n">
        <f aca="false">IFERROR(I81/I79,0)</f>
        <v>0.0854743981719106</v>
      </c>
      <c r="J82" s="57" t="n">
        <f aca="false">IFERROR(J81/J79,0)</f>
        <v>-0.00499688528515881</v>
      </c>
      <c r="K82" s="57" t="n">
        <f aca="false">IFERROR(K81/K79,0)</f>
        <v>0.0362571481779175</v>
      </c>
    </row>
    <row r="83" customFormat="false" ht="15" hidden="false" customHeight="false" outlineLevel="0" collapsed="false">
      <c r="B83" s="6" t="s">
        <v>875</v>
      </c>
      <c r="C83" s="6" t="s">
        <v>246</v>
      </c>
      <c r="D83" s="6" t="s">
        <v>1482</v>
      </c>
      <c r="E83" s="9" t="n">
        <f aca="false">IFERROR(E79/E78,0)</f>
        <v>0</v>
      </c>
      <c r="F83" s="9" t="n">
        <f aca="false">IFERROR(F79/F78,0)</f>
        <v>0</v>
      </c>
      <c r="G83" s="9" t="n">
        <f aca="false">IFERROR(G79/G78,0)</f>
        <v>30849.3640707132</v>
      </c>
      <c r="H83" s="9" t="n">
        <f aca="false">IFERROR(H79/H78,0)</f>
        <v>30870.1473153615</v>
      </c>
      <c r="I83" s="9" t="n">
        <f aca="false">IFERROR(I79/I78,0)</f>
        <v>28320.444099975</v>
      </c>
      <c r="J83" s="9" t="n">
        <f aca="false">IFERROR(J79/J78,0)</f>
        <v>35215.6698079104</v>
      </c>
      <c r="K83" s="9" t="n">
        <f aca="false">IFERROR(K79/K78,0)</f>
        <v>33440.0580228845</v>
      </c>
    </row>
    <row r="84" customFormat="false" ht="15" hidden="false" customHeight="false" outlineLevel="0" collapsed="false">
      <c r="B84" s="6" t="s">
        <v>875</v>
      </c>
      <c r="C84" s="6" t="s">
        <v>246</v>
      </c>
      <c r="D84" s="6" t="s">
        <v>1447</v>
      </c>
      <c r="E84" s="9" t="n">
        <f aca="false">IFERROR(E80/E78,0)</f>
        <v>0</v>
      </c>
      <c r="F84" s="9" t="n">
        <f aca="false">IFERROR(F80/F78,0)</f>
        <v>0</v>
      </c>
      <c r="G84" s="9" t="n">
        <f aca="false">IFERROR(G80/G78,0)</f>
        <v>28029.115164381</v>
      </c>
      <c r="H84" s="9" t="n">
        <f aca="false">IFERROR(H80/H78,0)</f>
        <v>25733.1125024508</v>
      </c>
      <c r="I84" s="9" t="n">
        <f aca="false">IFERROR(I80/I78,0)</f>
        <v>25899.7711845684</v>
      </c>
      <c r="J84" s="9" t="n">
        <f aca="false">IFERROR(J80/J78,0)</f>
        <v>35391.6384701806</v>
      </c>
      <c r="K84" s="9" t="n">
        <f aca="false">IFERROR(K80/K78,0)</f>
        <v>32227.6168840706</v>
      </c>
    </row>
    <row r="86" customFormat="false" ht="15" hidden="false" customHeight="false" outlineLevel="0" collapsed="false">
      <c r="B86" s="6" t="s">
        <v>875</v>
      </c>
      <c r="C86" s="6" t="s">
        <v>248</v>
      </c>
      <c r="D86" s="6" t="s">
        <v>1099</v>
      </c>
      <c r="E86" s="7" t="n">
        <f aca="false">SUMIFS('Data SKU'!$F$5:$F$116,'Data SKU'!$A$5:$A$116,$B86,'Data SKU'!$B$5:$B$116,$C86,'Data SKU'!$D$5:$D$116,3)</f>
        <v>617</v>
      </c>
      <c r="F86" s="7" t="n">
        <f aca="false">SUMIFS('Data SKU'!$F$5:$F$116,'Data SKU'!$A$5:$A$116,$B86,'Data SKU'!$B$5:$B$116,$C86,'Data SKU'!$D$5:$D$116,4)</f>
        <v>1884.25</v>
      </c>
      <c r="G86" s="7" t="n">
        <f aca="false">SUMIFS('Data SKU'!$F$5:$F$116,'Data SKU'!$A$5:$A$116,$B86,'Data SKU'!$B$5:$B$116,$C86,'Data SKU'!$D$5:$D$116,5)</f>
        <v>3943.55</v>
      </c>
      <c r="H86" s="7" t="n">
        <f aca="false">SUMIFS('Data SKU'!$F$5:$F$116,'Data SKU'!$A$5:$A$116,$B86,'Data SKU'!$B$5:$B$116,$C86,'Data SKU'!$D$5:$D$116,6)</f>
        <v>0</v>
      </c>
      <c r="I86" s="7" t="n">
        <f aca="false">SUMIFS('Data SKU'!$F$5:$F$116,'Data SKU'!$A$5:$A$116,$B86,'Data SKU'!$B$5:$B$116,$C86,'Data SKU'!$D$5:$D$116,7)</f>
        <v>207.1</v>
      </c>
      <c r="J86" s="7" t="n">
        <f aca="false">SUMIFS('Data SKU'!$F$5:$F$116,'Data SKU'!$A$5:$A$116,$B86,'Data SKU'!$B$5:$B$116,$C86,'Data SKU'!$D$5:$D$116,8)</f>
        <v>5806</v>
      </c>
      <c r="K86" s="9" t="n">
        <f aca="false">SUM(E86:J86)</f>
        <v>12457.9</v>
      </c>
    </row>
    <row r="87" customFormat="false" ht="15" hidden="false" customHeight="false" outlineLevel="0" collapsed="false">
      <c r="B87" s="6" t="s">
        <v>875</v>
      </c>
      <c r="C87" s="6" t="s">
        <v>248</v>
      </c>
      <c r="D87" s="6" t="s">
        <v>311</v>
      </c>
      <c r="E87" s="7" t="n">
        <f aca="false">SUMIFS('Data SKU'!$G$5:$G$116,'Data SKU'!$A$5:$A$116,$B87,'Data SKU'!$B$5:$B$116,$C87,'Data SKU'!$D$5:$D$116,3)</f>
        <v>6170000</v>
      </c>
      <c r="F87" s="7" t="n">
        <f aca="false">SUMIFS('Data SKU'!$G$5:$G$116,'Data SKU'!$A$5:$A$116,$B87,'Data SKU'!$B$5:$B$116,$C87,'Data SKU'!$D$5:$D$116,4)</f>
        <v>16840135</v>
      </c>
      <c r="G87" s="7" t="n">
        <f aca="false">SUMIFS('Data SKU'!$G$5:$G$116,'Data SKU'!$A$5:$A$116,$B87,'Data SKU'!$B$5:$B$116,$C87,'Data SKU'!$D$5:$D$116,5)</f>
        <v>36936075</v>
      </c>
      <c r="H87" s="7" t="n">
        <f aca="false">SUMIFS('Data SKU'!$G$5:$G$116,'Data SKU'!$A$5:$A$116,$B87,'Data SKU'!$B$5:$B$116,$C87,'Data SKU'!$D$5:$D$116,6)</f>
        <v>0</v>
      </c>
      <c r="I87" s="7" t="n">
        <f aca="false">SUMIFS('Data SKU'!$G$5:$G$116,'Data SKU'!$A$5:$A$116,$B87,'Data SKU'!$B$5:$B$116,$C87,'Data SKU'!$D$5:$D$116,7)</f>
        <v>1035500</v>
      </c>
      <c r="J87" s="7" t="n">
        <f aca="false">SUMIFS('Data SKU'!$G$5:$G$116,'Data SKU'!$A$5:$A$116,$B87,'Data SKU'!$B$5:$B$116,$C87,'Data SKU'!$D$5:$D$116,8)</f>
        <v>23549600</v>
      </c>
      <c r="K87" s="9" t="n">
        <f aca="false">SUM(E87:J87)</f>
        <v>84531310</v>
      </c>
    </row>
    <row r="88" customFormat="false" ht="15" hidden="false" customHeight="false" outlineLevel="0" collapsed="false">
      <c r="B88" s="6" t="s">
        <v>875</v>
      </c>
      <c r="C88" s="6" t="s">
        <v>248</v>
      </c>
      <c r="D88" s="6" t="s">
        <v>865</v>
      </c>
      <c r="E88" s="7" t="n">
        <f aca="false">SUMIFS('Data SKU'!$H$5:$H$116,'Data SKU'!$A$5:$A$116,$B88,'Data SKU'!$B$5:$B$116,$C88,'Data SKU'!$D$5:$D$116,3)</f>
        <v>0</v>
      </c>
      <c r="F88" s="7" t="n">
        <f aca="false">SUMIFS('Data SKU'!$H$5:$H$116,'Data SKU'!$A$5:$A$116,$B88,'Data SKU'!$B$5:$B$116,$C88,'Data SKU'!$D$5:$D$116,4)</f>
        <v>0</v>
      </c>
      <c r="G88" s="7" t="n">
        <f aca="false">SUMIFS('Data SKU'!$H$5:$H$116,'Data SKU'!$A$5:$A$116,$B88,'Data SKU'!$B$5:$B$116,$C88,'Data SKU'!$D$5:$D$116,5)</f>
        <v>33620570.83</v>
      </c>
      <c r="H88" s="7" t="n">
        <f aca="false">SUMIFS('Data SKU'!$H$5:$H$116,'Data SKU'!$A$5:$A$116,$B88,'Data SKU'!$B$5:$B$116,$C88,'Data SKU'!$D$5:$D$116,6)</f>
        <v>0</v>
      </c>
      <c r="I88" s="7" t="n">
        <f aca="false">SUMIFS('Data SKU'!$H$5:$H$116,'Data SKU'!$A$5:$A$116,$B88,'Data SKU'!$B$5:$B$116,$C88,'Data SKU'!$D$5:$D$116,7)</f>
        <v>1614821.35</v>
      </c>
      <c r="J88" s="7" t="n">
        <f aca="false">SUMIFS('Data SKU'!$H$5:$H$116,'Data SKU'!$A$5:$A$116,$B88,'Data SKU'!$B$5:$B$116,$C88,'Data SKU'!$D$5:$D$116,8)</f>
        <v>72625281.0122424</v>
      </c>
      <c r="K88" s="9" t="n">
        <f aca="false">SUM(E88:J88)</f>
        <v>107860673.192242</v>
      </c>
    </row>
    <row r="89" customFormat="false" ht="15" hidden="false" customHeight="false" outlineLevel="0" collapsed="false">
      <c r="B89" s="6" t="s">
        <v>875</v>
      </c>
      <c r="C89" s="6" t="s">
        <v>248</v>
      </c>
      <c r="D89" s="6" t="s">
        <v>866</v>
      </c>
      <c r="E89" s="7" t="n">
        <f aca="false">SUMIFS('Data SKU'!$I$5:$I$116,'Data SKU'!$A$5:$A$116,$B89,'Data SKU'!$B$5:$B$116,$C89,'Data SKU'!$D$5:$D$116,3)</f>
        <v>6170000</v>
      </c>
      <c r="F89" s="7" t="n">
        <f aca="false">SUMIFS('Data SKU'!$I$5:$I$116,'Data SKU'!$A$5:$A$116,$B89,'Data SKU'!$B$5:$B$116,$C89,'Data SKU'!$D$5:$D$116,4)</f>
        <v>16840135</v>
      </c>
      <c r="G89" s="7" t="n">
        <f aca="false">SUMIFS('Data SKU'!$I$5:$I$116,'Data SKU'!$A$5:$A$116,$B89,'Data SKU'!$B$5:$B$116,$C89,'Data SKU'!$D$5:$D$116,5)</f>
        <v>3315504.17</v>
      </c>
      <c r="H89" s="7" t="n">
        <f aca="false">SUMIFS('Data SKU'!$I$5:$I$116,'Data SKU'!$A$5:$A$116,$B89,'Data SKU'!$B$5:$B$116,$C89,'Data SKU'!$D$5:$D$116,6)</f>
        <v>0</v>
      </c>
      <c r="I89" s="7" t="n">
        <f aca="false">SUMIFS('Data SKU'!$I$5:$I$116,'Data SKU'!$A$5:$A$116,$B89,'Data SKU'!$B$5:$B$116,$C89,'Data SKU'!$D$5:$D$116,7)</f>
        <v>-579321.35</v>
      </c>
      <c r="J89" s="7" t="n">
        <f aca="false">SUMIFS('Data SKU'!$I$5:$I$116,'Data SKU'!$A$5:$A$116,$B89,'Data SKU'!$B$5:$B$116,$C89,'Data SKU'!$D$5:$D$116,8)</f>
        <v>-49075681.0122424</v>
      </c>
      <c r="K89" s="9" t="n">
        <f aca="false">SUM(E89:J89)</f>
        <v>-23329363.1922423</v>
      </c>
    </row>
    <row r="90" customFormat="false" ht="15" hidden="false" customHeight="false" outlineLevel="0" collapsed="false">
      <c r="B90" s="6" t="s">
        <v>875</v>
      </c>
      <c r="C90" s="6" t="s">
        <v>248</v>
      </c>
      <c r="D90" s="11" t="s">
        <v>867</v>
      </c>
      <c r="E90" s="57" t="n">
        <f aca="false">IFERROR(E89/E87,0)</f>
        <v>1</v>
      </c>
      <c r="F90" s="57" t="n">
        <f aca="false">IFERROR(F89/F87,0)</f>
        <v>1</v>
      </c>
      <c r="G90" s="57" t="n">
        <f aca="false">IFERROR(G89/G87,0)</f>
        <v>0.0897633051156627</v>
      </c>
      <c r="H90" s="57" t="n">
        <f aca="false">IFERROR(H89/H87,0)</f>
        <v>0</v>
      </c>
      <c r="I90" s="57" t="n">
        <f aca="false">IFERROR(I89/I87,0)</f>
        <v>-0.559460502172864</v>
      </c>
      <c r="J90" s="57" t="n">
        <f aca="false">IFERROR(J89/J87,0)</f>
        <v>-2.08392843242528</v>
      </c>
      <c r="K90" s="57" t="n">
        <f aca="false">IFERROR(K89/K87,0)</f>
        <v>-0.27598487699105</v>
      </c>
    </row>
    <row r="91" customFormat="false" ht="15" hidden="false" customHeight="false" outlineLevel="0" collapsed="false">
      <c r="B91" s="6" t="s">
        <v>875</v>
      </c>
      <c r="C91" s="6" t="s">
        <v>248</v>
      </c>
      <c r="D91" s="6" t="s">
        <v>1482</v>
      </c>
      <c r="E91" s="9" t="n">
        <f aca="false">IFERROR(E87/E86,0)</f>
        <v>10000</v>
      </c>
      <c r="F91" s="9" t="n">
        <f aca="false">IFERROR(F87/F86,0)</f>
        <v>8937.31458139843</v>
      </c>
      <c r="G91" s="9" t="n">
        <f aca="false">IFERROR(G87/G86,0)</f>
        <v>9366.19923672833</v>
      </c>
      <c r="H91" s="9" t="n">
        <f aca="false">IFERROR(H87/H86,0)</f>
        <v>0</v>
      </c>
      <c r="I91" s="9" t="n">
        <f aca="false">IFERROR(I87/I86,0)</f>
        <v>5000</v>
      </c>
      <c r="J91" s="9" t="n">
        <f aca="false">IFERROR(J87/J86,0)</f>
        <v>4056.0799173269</v>
      </c>
      <c r="K91" s="9" t="n">
        <f aca="false">IFERROR(K87/K86,0)</f>
        <v>6785.35788535789</v>
      </c>
    </row>
    <row r="92" customFormat="false" ht="15" hidden="false" customHeight="false" outlineLevel="0" collapsed="false">
      <c r="B92" s="6" t="s">
        <v>875</v>
      </c>
      <c r="C92" s="6" t="s">
        <v>248</v>
      </c>
      <c r="D92" s="6" t="s">
        <v>1447</v>
      </c>
      <c r="E92" s="9" t="n">
        <f aca="false">IFERROR(E88/E86,0)</f>
        <v>0</v>
      </c>
      <c r="F92" s="9" t="n">
        <f aca="false">IFERROR(F88/F86,0)</f>
        <v>0</v>
      </c>
      <c r="G92" s="9" t="n">
        <f aca="false">IFERROR(G88/G86,0)</f>
        <v>8525.4582368678</v>
      </c>
      <c r="H92" s="9" t="n">
        <f aca="false">IFERROR(H88/H86,0)</f>
        <v>0</v>
      </c>
      <c r="I92" s="9" t="n">
        <f aca="false">IFERROR(I88/I86,0)</f>
        <v>7797.30251086432</v>
      </c>
      <c r="J92" s="9" t="n">
        <f aca="false">IFERROR(J88/J86,0)</f>
        <v>12508.6601812336</v>
      </c>
      <c r="K92" s="9" t="n">
        <f aca="false">IFERROR(K88/K86,0)</f>
        <v>8658.01404668864</v>
      </c>
    </row>
    <row r="94" customFormat="false" ht="15" hidden="false" customHeight="false" outlineLevel="0" collapsed="false">
      <c r="B94" s="6" t="s">
        <v>875</v>
      </c>
      <c r="C94" s="6" t="s">
        <v>255</v>
      </c>
      <c r="D94" s="6" t="s">
        <v>1099</v>
      </c>
      <c r="E94" s="7" t="n">
        <f aca="false">SUMIFS('Data SKU'!$F$5:$F$116,'Data SKU'!$A$5:$A$116,$B94,'Data SKU'!$B$5:$B$116,$C94,'Data SKU'!$D$5:$D$116,3)</f>
        <v>211.7</v>
      </c>
      <c r="F94" s="7" t="n">
        <f aca="false">SUMIFS('Data SKU'!$F$5:$F$116,'Data SKU'!$A$5:$A$116,$B94,'Data SKU'!$B$5:$B$116,$C94,'Data SKU'!$D$5:$D$116,4)</f>
        <v>343.2</v>
      </c>
      <c r="G94" s="7" t="n">
        <f aca="false">SUMIFS('Data SKU'!$F$5:$F$116,'Data SKU'!$A$5:$A$116,$B94,'Data SKU'!$B$5:$B$116,$C94,'Data SKU'!$D$5:$D$116,5)</f>
        <v>1275.67</v>
      </c>
      <c r="H94" s="7" t="n">
        <f aca="false">SUMIFS('Data SKU'!$F$5:$F$116,'Data SKU'!$A$5:$A$116,$B94,'Data SKU'!$B$5:$B$116,$C94,'Data SKU'!$D$5:$D$116,6)</f>
        <v>0</v>
      </c>
      <c r="I94" s="7" t="n">
        <f aca="false">SUMIFS('Data SKU'!$F$5:$F$116,'Data SKU'!$A$5:$A$116,$B94,'Data SKU'!$B$5:$B$116,$C94,'Data SKU'!$D$5:$D$116,7)</f>
        <v>0</v>
      </c>
      <c r="J94" s="7" t="n">
        <f aca="false">SUMIFS('Data SKU'!$F$5:$F$116,'Data SKU'!$A$5:$A$116,$B94,'Data SKU'!$B$5:$B$116,$C94,'Data SKU'!$D$5:$D$116,8)</f>
        <v>0</v>
      </c>
      <c r="K94" s="9" t="n">
        <f aca="false">SUM(E94:J94)</f>
        <v>1830.57</v>
      </c>
    </row>
    <row r="95" customFormat="false" ht="15" hidden="false" customHeight="false" outlineLevel="0" collapsed="false">
      <c r="B95" s="6" t="s">
        <v>875</v>
      </c>
      <c r="C95" s="6" t="s">
        <v>255</v>
      </c>
      <c r="D95" s="6" t="s">
        <v>311</v>
      </c>
      <c r="E95" s="7" t="n">
        <f aca="false">SUMIFS('Data SKU'!$G$5:$G$116,'Data SKU'!$A$5:$A$116,$B95,'Data SKU'!$B$5:$B$116,$C95,'Data SKU'!$D$5:$D$116,3)</f>
        <v>6774400</v>
      </c>
      <c r="F95" s="7" t="n">
        <f aca="false">SUMIFS('Data SKU'!$G$5:$G$116,'Data SKU'!$A$5:$A$116,$B95,'Data SKU'!$B$5:$B$116,$C95,'Data SKU'!$D$5:$D$116,4)</f>
        <v>9840800</v>
      </c>
      <c r="G95" s="7" t="n">
        <f aca="false">SUMIFS('Data SKU'!$G$5:$G$116,'Data SKU'!$A$5:$A$116,$B95,'Data SKU'!$B$5:$B$116,$C95,'Data SKU'!$D$5:$D$116,5)</f>
        <v>28913610</v>
      </c>
      <c r="H95" s="7" t="n">
        <f aca="false">SUMIFS('Data SKU'!$G$5:$G$116,'Data SKU'!$A$5:$A$116,$B95,'Data SKU'!$B$5:$B$116,$C95,'Data SKU'!$D$5:$D$116,6)</f>
        <v>0</v>
      </c>
      <c r="I95" s="7" t="n">
        <f aca="false">SUMIFS('Data SKU'!$G$5:$G$116,'Data SKU'!$A$5:$A$116,$B95,'Data SKU'!$B$5:$B$116,$C95,'Data SKU'!$D$5:$D$116,7)</f>
        <v>0</v>
      </c>
      <c r="J95" s="7" t="n">
        <f aca="false">SUMIFS('Data SKU'!$G$5:$G$116,'Data SKU'!$A$5:$A$116,$B95,'Data SKU'!$B$5:$B$116,$C95,'Data SKU'!$D$5:$D$116,8)</f>
        <v>0</v>
      </c>
      <c r="K95" s="9" t="n">
        <f aca="false">SUM(E95:J95)</f>
        <v>45528810</v>
      </c>
    </row>
    <row r="96" customFormat="false" ht="15" hidden="false" customHeight="false" outlineLevel="0" collapsed="false">
      <c r="B96" s="6" t="s">
        <v>875</v>
      </c>
      <c r="C96" s="6" t="s">
        <v>255</v>
      </c>
      <c r="D96" s="6" t="s">
        <v>865</v>
      </c>
      <c r="E96" s="7" t="n">
        <f aca="false">SUMIFS('Data SKU'!$H$5:$H$116,'Data SKU'!$A$5:$A$116,$B96,'Data SKU'!$B$5:$B$116,$C96,'Data SKU'!$D$5:$D$116,3)</f>
        <v>0</v>
      </c>
      <c r="F96" s="7" t="n">
        <f aca="false">SUMIFS('Data SKU'!$H$5:$H$116,'Data SKU'!$A$5:$A$116,$B96,'Data SKU'!$B$5:$B$116,$C96,'Data SKU'!$D$5:$D$116,4)</f>
        <v>0</v>
      </c>
      <c r="G96" s="7" t="n">
        <f aca="false">SUMIFS('Data SKU'!$H$5:$H$116,'Data SKU'!$A$5:$A$116,$B96,'Data SKU'!$B$5:$B$116,$C96,'Data SKU'!$D$5:$D$116,5)</f>
        <v>14518649.79</v>
      </c>
      <c r="H96" s="7" t="n">
        <f aca="false">SUMIFS('Data SKU'!$H$5:$H$116,'Data SKU'!$A$5:$A$116,$B96,'Data SKU'!$B$5:$B$116,$C96,'Data SKU'!$D$5:$D$116,6)</f>
        <v>0</v>
      </c>
      <c r="I96" s="7" t="n">
        <f aca="false">SUMIFS('Data SKU'!$H$5:$H$116,'Data SKU'!$A$5:$A$116,$B96,'Data SKU'!$B$5:$B$116,$C96,'Data SKU'!$D$5:$D$116,7)</f>
        <v>0</v>
      </c>
      <c r="J96" s="7" t="n">
        <f aca="false">SUMIFS('Data SKU'!$H$5:$H$116,'Data SKU'!$A$5:$A$116,$B96,'Data SKU'!$B$5:$B$116,$C96,'Data SKU'!$D$5:$D$116,8)</f>
        <v>0</v>
      </c>
      <c r="K96" s="9" t="n">
        <f aca="false">SUM(E96:J96)</f>
        <v>14518649.79</v>
      </c>
    </row>
    <row r="97" customFormat="false" ht="15" hidden="false" customHeight="false" outlineLevel="0" collapsed="false">
      <c r="B97" s="6" t="s">
        <v>875</v>
      </c>
      <c r="C97" s="6" t="s">
        <v>255</v>
      </c>
      <c r="D97" s="6" t="s">
        <v>866</v>
      </c>
      <c r="E97" s="7" t="n">
        <f aca="false">SUMIFS('Data SKU'!$I$5:$I$116,'Data SKU'!$A$5:$A$116,$B97,'Data SKU'!$B$5:$B$116,$C97,'Data SKU'!$D$5:$D$116,3)</f>
        <v>6774400</v>
      </c>
      <c r="F97" s="7" t="n">
        <f aca="false">SUMIFS('Data SKU'!$I$5:$I$116,'Data SKU'!$A$5:$A$116,$B97,'Data SKU'!$B$5:$B$116,$C97,'Data SKU'!$D$5:$D$116,4)</f>
        <v>9840800</v>
      </c>
      <c r="G97" s="7" t="n">
        <f aca="false">SUMIFS('Data SKU'!$I$5:$I$116,'Data SKU'!$A$5:$A$116,$B97,'Data SKU'!$B$5:$B$116,$C97,'Data SKU'!$D$5:$D$116,5)</f>
        <v>14394960.21</v>
      </c>
      <c r="H97" s="7" t="n">
        <f aca="false">SUMIFS('Data SKU'!$I$5:$I$116,'Data SKU'!$A$5:$A$116,$B97,'Data SKU'!$B$5:$B$116,$C97,'Data SKU'!$D$5:$D$116,6)</f>
        <v>0</v>
      </c>
      <c r="I97" s="7" t="n">
        <f aca="false">SUMIFS('Data SKU'!$I$5:$I$116,'Data SKU'!$A$5:$A$116,$B97,'Data SKU'!$B$5:$B$116,$C97,'Data SKU'!$D$5:$D$116,7)</f>
        <v>0</v>
      </c>
      <c r="J97" s="7" t="n">
        <f aca="false">SUMIFS('Data SKU'!$I$5:$I$116,'Data SKU'!$A$5:$A$116,$B97,'Data SKU'!$B$5:$B$116,$C97,'Data SKU'!$D$5:$D$116,8)</f>
        <v>0</v>
      </c>
      <c r="K97" s="9" t="n">
        <f aca="false">SUM(E97:J97)</f>
        <v>31010160.21</v>
      </c>
    </row>
    <row r="98" customFormat="false" ht="15" hidden="false" customHeight="false" outlineLevel="0" collapsed="false">
      <c r="B98" s="6" t="s">
        <v>875</v>
      </c>
      <c r="C98" s="6" t="s">
        <v>255</v>
      </c>
      <c r="D98" s="11" t="s">
        <v>867</v>
      </c>
      <c r="E98" s="57" t="n">
        <f aca="false">IFERROR(E97/E95,0)</f>
        <v>1</v>
      </c>
      <c r="F98" s="57" t="n">
        <f aca="false">IFERROR(F97/F95,0)</f>
        <v>1</v>
      </c>
      <c r="G98" s="57" t="n">
        <f aca="false">IFERROR(G97/G95,0)</f>
        <v>0.497861049173728</v>
      </c>
      <c r="H98" s="57" t="n">
        <f aca="false">IFERROR(H97/H95,0)</f>
        <v>0</v>
      </c>
      <c r="I98" s="57" t="n">
        <f aca="false">IFERROR(I97/I95,0)</f>
        <v>0</v>
      </c>
      <c r="J98" s="57" t="n">
        <f aca="false">IFERROR(J97/J95,0)</f>
        <v>0</v>
      </c>
      <c r="K98" s="57" t="n">
        <f aca="false">IFERROR(K97/K95,0)</f>
        <v>0.681110712316004</v>
      </c>
    </row>
    <row r="99" customFormat="false" ht="15" hidden="false" customHeight="false" outlineLevel="0" collapsed="false">
      <c r="B99" s="6" t="s">
        <v>875</v>
      </c>
      <c r="C99" s="6" t="s">
        <v>255</v>
      </c>
      <c r="D99" s="6" t="s">
        <v>1482</v>
      </c>
      <c r="E99" s="9" t="n">
        <f aca="false">IFERROR(E95/E94,0)</f>
        <v>32000</v>
      </c>
      <c r="F99" s="9" t="n">
        <f aca="false">IFERROR(F95/F94,0)</f>
        <v>28673.6596736597</v>
      </c>
      <c r="G99" s="9" t="n">
        <f aca="false">IFERROR(G95/G94,0)</f>
        <v>22665.43071484</v>
      </c>
      <c r="H99" s="9" t="n">
        <f aca="false">IFERROR(H95/H94,0)</f>
        <v>0</v>
      </c>
      <c r="I99" s="9" t="n">
        <f aca="false">IFERROR(I95/I94,0)</f>
        <v>0</v>
      </c>
      <c r="J99" s="9" t="n">
        <f aca="false">IFERROR(J95/J94,0)</f>
        <v>0</v>
      </c>
      <c r="K99" s="9" t="n">
        <f aca="false">IFERROR(K95/K94,0)</f>
        <v>24871.3843229158</v>
      </c>
    </row>
    <row r="100" customFormat="false" ht="15" hidden="false" customHeight="false" outlineLevel="0" collapsed="false">
      <c r="B100" s="6" t="s">
        <v>875</v>
      </c>
      <c r="C100" s="6" t="s">
        <v>255</v>
      </c>
      <c r="D100" s="6" t="s">
        <v>1447</v>
      </c>
      <c r="E100" s="9" t="n">
        <f aca="false">IFERROR(E96/E94,0)</f>
        <v>0</v>
      </c>
      <c r="F100" s="9" t="n">
        <f aca="false">IFERROR(F96/F94,0)</f>
        <v>0</v>
      </c>
      <c r="G100" s="9" t="n">
        <f aca="false">IFERROR(G96/G94,0)</f>
        <v>11381.1955991753</v>
      </c>
      <c r="H100" s="9" t="n">
        <f aca="false">IFERROR(H96/H94,0)</f>
        <v>0</v>
      </c>
      <c r="I100" s="9" t="n">
        <f aca="false">IFERROR(I96/I94,0)</f>
        <v>0</v>
      </c>
      <c r="J100" s="9" t="n">
        <f aca="false">IFERROR(J96/J94,0)</f>
        <v>0</v>
      </c>
      <c r="K100" s="9" t="n">
        <f aca="false">IFERROR(K96/K94,0)</f>
        <v>7931.21803044953</v>
      </c>
    </row>
    <row r="102" customFormat="false" ht="15" hidden="false" customHeight="false" outlineLevel="0" collapsed="false">
      <c r="B102" s="6" t="s">
        <v>875</v>
      </c>
      <c r="C102" s="6" t="s">
        <v>360</v>
      </c>
      <c r="D102" s="6" t="s">
        <v>1099</v>
      </c>
      <c r="E102" s="7" t="n">
        <f aca="false">SUMIFS('Data SKU'!$F$5:$F$116,'Data SKU'!$A$5:$A$116,$B102,'Data SKU'!$B$5:$B$116,$C102,'Data SKU'!$D$5:$D$116,3)</f>
        <v>0</v>
      </c>
      <c r="F102" s="7" t="n">
        <f aca="false">SUMIFS('Data SKU'!$F$5:$F$116,'Data SKU'!$A$5:$A$116,$B102,'Data SKU'!$B$5:$B$116,$C102,'Data SKU'!$D$5:$D$116,4)</f>
        <v>0</v>
      </c>
      <c r="G102" s="7" t="n">
        <f aca="false">SUMIFS('Data SKU'!$F$5:$F$116,'Data SKU'!$A$5:$A$116,$B102,'Data SKU'!$B$5:$B$116,$C102,'Data SKU'!$D$5:$D$116,5)</f>
        <v>134.85</v>
      </c>
      <c r="H102" s="7" t="n">
        <f aca="false">SUMIFS('Data SKU'!$F$5:$F$116,'Data SKU'!$A$5:$A$116,$B102,'Data SKU'!$B$5:$B$116,$C102,'Data SKU'!$D$5:$D$116,6)</f>
        <v>0</v>
      </c>
      <c r="I102" s="7" t="n">
        <f aca="false">SUMIFS('Data SKU'!$F$5:$F$116,'Data SKU'!$A$5:$A$116,$B102,'Data SKU'!$B$5:$B$116,$C102,'Data SKU'!$D$5:$D$116,7)</f>
        <v>0</v>
      </c>
      <c r="J102" s="7" t="n">
        <f aca="false">SUMIFS('Data SKU'!$F$5:$F$116,'Data SKU'!$A$5:$A$116,$B102,'Data SKU'!$B$5:$B$116,$C102,'Data SKU'!$D$5:$D$116,8)</f>
        <v>0</v>
      </c>
      <c r="K102" s="9" t="n">
        <f aca="false">SUM(E102:J102)</f>
        <v>134.85</v>
      </c>
    </row>
    <row r="103" customFormat="false" ht="15" hidden="false" customHeight="false" outlineLevel="0" collapsed="false">
      <c r="B103" s="6" t="s">
        <v>875</v>
      </c>
      <c r="C103" s="6" t="s">
        <v>360</v>
      </c>
      <c r="D103" s="6" t="s">
        <v>311</v>
      </c>
      <c r="E103" s="7" t="n">
        <f aca="false">SUMIFS('Data SKU'!$G$5:$G$116,'Data SKU'!$A$5:$A$116,$B103,'Data SKU'!$B$5:$B$116,$C103,'Data SKU'!$D$5:$D$116,3)</f>
        <v>0</v>
      </c>
      <c r="F103" s="7" t="n">
        <f aca="false">SUMIFS('Data SKU'!$G$5:$G$116,'Data SKU'!$A$5:$A$116,$B103,'Data SKU'!$B$5:$B$116,$C103,'Data SKU'!$D$5:$D$116,4)</f>
        <v>0</v>
      </c>
      <c r="G103" s="7" t="n">
        <f aca="false">SUMIFS('Data SKU'!$G$5:$G$116,'Data SKU'!$A$5:$A$116,$B103,'Data SKU'!$B$5:$B$116,$C103,'Data SKU'!$D$5:$D$116,5)</f>
        <v>3236400</v>
      </c>
      <c r="H103" s="7" t="n">
        <f aca="false">SUMIFS('Data SKU'!$G$5:$G$116,'Data SKU'!$A$5:$A$116,$B103,'Data SKU'!$B$5:$B$116,$C103,'Data SKU'!$D$5:$D$116,6)</f>
        <v>0</v>
      </c>
      <c r="I103" s="7" t="n">
        <f aca="false">SUMIFS('Data SKU'!$G$5:$G$116,'Data SKU'!$A$5:$A$116,$B103,'Data SKU'!$B$5:$B$116,$C103,'Data SKU'!$D$5:$D$116,7)</f>
        <v>0</v>
      </c>
      <c r="J103" s="7" t="n">
        <f aca="false">SUMIFS('Data SKU'!$G$5:$G$116,'Data SKU'!$A$5:$A$116,$B103,'Data SKU'!$B$5:$B$116,$C103,'Data SKU'!$D$5:$D$116,8)</f>
        <v>0</v>
      </c>
      <c r="K103" s="9" t="n">
        <f aca="false">SUM(E103:J103)</f>
        <v>3236400</v>
      </c>
    </row>
    <row r="104" customFormat="false" ht="15" hidden="false" customHeight="false" outlineLevel="0" collapsed="false">
      <c r="B104" s="6" t="s">
        <v>875</v>
      </c>
      <c r="C104" s="6" t="s">
        <v>360</v>
      </c>
      <c r="D104" s="6" t="s">
        <v>865</v>
      </c>
      <c r="E104" s="7" t="n">
        <f aca="false">SUMIFS('Data SKU'!$H$5:$H$116,'Data SKU'!$A$5:$A$116,$B104,'Data SKU'!$B$5:$B$116,$C104,'Data SKU'!$D$5:$D$116,3)</f>
        <v>0</v>
      </c>
      <c r="F104" s="7" t="n">
        <f aca="false">SUMIFS('Data SKU'!$H$5:$H$116,'Data SKU'!$A$5:$A$116,$B104,'Data SKU'!$B$5:$B$116,$C104,'Data SKU'!$D$5:$D$116,4)</f>
        <v>0</v>
      </c>
      <c r="G104" s="7" t="n">
        <f aca="false">SUMIFS('Data SKU'!$H$5:$H$116,'Data SKU'!$A$5:$A$116,$B104,'Data SKU'!$B$5:$B$116,$C104,'Data SKU'!$D$5:$D$116,5)</f>
        <v>3146842.88</v>
      </c>
      <c r="H104" s="7" t="n">
        <f aca="false">SUMIFS('Data SKU'!$H$5:$H$116,'Data SKU'!$A$5:$A$116,$B104,'Data SKU'!$B$5:$B$116,$C104,'Data SKU'!$D$5:$D$116,6)</f>
        <v>0</v>
      </c>
      <c r="I104" s="7" t="n">
        <f aca="false">SUMIFS('Data SKU'!$H$5:$H$116,'Data SKU'!$A$5:$A$116,$B104,'Data SKU'!$B$5:$B$116,$C104,'Data SKU'!$D$5:$D$116,7)</f>
        <v>0</v>
      </c>
      <c r="J104" s="7" t="n">
        <f aca="false">SUMIFS('Data SKU'!$H$5:$H$116,'Data SKU'!$A$5:$A$116,$B104,'Data SKU'!$B$5:$B$116,$C104,'Data SKU'!$D$5:$D$116,8)</f>
        <v>0</v>
      </c>
      <c r="K104" s="9" t="n">
        <f aca="false">SUM(E104:J104)</f>
        <v>3146842.88</v>
      </c>
    </row>
    <row r="105" customFormat="false" ht="15" hidden="false" customHeight="false" outlineLevel="0" collapsed="false">
      <c r="B105" s="6" t="s">
        <v>875</v>
      </c>
      <c r="C105" s="6" t="s">
        <v>360</v>
      </c>
      <c r="D105" s="6" t="s">
        <v>866</v>
      </c>
      <c r="E105" s="7" t="n">
        <f aca="false">SUMIFS('Data SKU'!$I$5:$I$116,'Data SKU'!$A$5:$A$116,$B105,'Data SKU'!$B$5:$B$116,$C105,'Data SKU'!$D$5:$D$116,3)</f>
        <v>0</v>
      </c>
      <c r="F105" s="7" t="n">
        <f aca="false">SUMIFS('Data SKU'!$I$5:$I$116,'Data SKU'!$A$5:$A$116,$B105,'Data SKU'!$B$5:$B$116,$C105,'Data SKU'!$D$5:$D$116,4)</f>
        <v>0</v>
      </c>
      <c r="G105" s="7" t="n">
        <f aca="false">SUMIFS('Data SKU'!$I$5:$I$116,'Data SKU'!$A$5:$A$116,$B105,'Data SKU'!$B$5:$B$116,$C105,'Data SKU'!$D$5:$D$116,5)</f>
        <v>89557.1200000001</v>
      </c>
      <c r="H105" s="7" t="n">
        <f aca="false">SUMIFS('Data SKU'!$I$5:$I$116,'Data SKU'!$A$5:$A$116,$B105,'Data SKU'!$B$5:$B$116,$C105,'Data SKU'!$D$5:$D$116,6)</f>
        <v>0</v>
      </c>
      <c r="I105" s="7" t="n">
        <f aca="false">SUMIFS('Data SKU'!$I$5:$I$116,'Data SKU'!$A$5:$A$116,$B105,'Data SKU'!$B$5:$B$116,$C105,'Data SKU'!$D$5:$D$116,7)</f>
        <v>0</v>
      </c>
      <c r="J105" s="7" t="n">
        <f aca="false">SUMIFS('Data SKU'!$I$5:$I$116,'Data SKU'!$A$5:$A$116,$B105,'Data SKU'!$B$5:$B$116,$C105,'Data SKU'!$D$5:$D$116,8)</f>
        <v>0</v>
      </c>
      <c r="K105" s="9" t="n">
        <f aca="false">SUM(E105:J105)</f>
        <v>89557.1200000001</v>
      </c>
    </row>
    <row r="106" customFormat="false" ht="15" hidden="false" customHeight="false" outlineLevel="0" collapsed="false">
      <c r="B106" s="6" t="s">
        <v>875</v>
      </c>
      <c r="C106" s="6" t="s">
        <v>360</v>
      </c>
      <c r="D106" s="11" t="s">
        <v>867</v>
      </c>
      <c r="E106" s="57" t="n">
        <f aca="false">IFERROR(E105/E103,0)</f>
        <v>0</v>
      </c>
      <c r="F106" s="57" t="n">
        <f aca="false">IFERROR(F105/F103,0)</f>
        <v>0</v>
      </c>
      <c r="G106" s="57" t="n">
        <f aca="false">IFERROR(G105/G103,0)</f>
        <v>0.027671832900754</v>
      </c>
      <c r="H106" s="57" t="n">
        <f aca="false">IFERROR(H105/H103,0)</f>
        <v>0</v>
      </c>
      <c r="I106" s="57" t="n">
        <f aca="false">IFERROR(I105/I103,0)</f>
        <v>0</v>
      </c>
      <c r="J106" s="57" t="n">
        <f aca="false">IFERROR(J105/J103,0)</f>
        <v>0</v>
      </c>
      <c r="K106" s="57" t="n">
        <f aca="false">IFERROR(K105/K103,0)</f>
        <v>0.027671832900754</v>
      </c>
    </row>
    <row r="107" customFormat="false" ht="15" hidden="false" customHeight="false" outlineLevel="0" collapsed="false">
      <c r="B107" s="6" t="s">
        <v>875</v>
      </c>
      <c r="C107" s="6" t="s">
        <v>360</v>
      </c>
      <c r="D107" s="6" t="s">
        <v>1482</v>
      </c>
      <c r="E107" s="9" t="n">
        <f aca="false">IFERROR(E103/E102,0)</f>
        <v>0</v>
      </c>
      <c r="F107" s="9" t="n">
        <f aca="false">IFERROR(F103/F102,0)</f>
        <v>0</v>
      </c>
      <c r="G107" s="9" t="n">
        <f aca="false">IFERROR(G103/G102,0)</f>
        <v>24000</v>
      </c>
      <c r="H107" s="9" t="n">
        <f aca="false">IFERROR(H103/H102,0)</f>
        <v>0</v>
      </c>
      <c r="I107" s="9" t="n">
        <f aca="false">IFERROR(I103/I102,0)</f>
        <v>0</v>
      </c>
      <c r="J107" s="9" t="n">
        <f aca="false">IFERROR(J103/J102,0)</f>
        <v>0</v>
      </c>
      <c r="K107" s="9" t="n">
        <f aca="false">IFERROR(K103/K102,0)</f>
        <v>24000</v>
      </c>
    </row>
    <row r="108" customFormat="false" ht="15" hidden="false" customHeight="false" outlineLevel="0" collapsed="false">
      <c r="B108" s="6" t="s">
        <v>875</v>
      </c>
      <c r="C108" s="6" t="s">
        <v>360</v>
      </c>
      <c r="D108" s="6" t="s">
        <v>1447</v>
      </c>
      <c r="E108" s="9" t="n">
        <f aca="false">IFERROR(E104/E102,0)</f>
        <v>0</v>
      </c>
      <c r="F108" s="9" t="n">
        <f aca="false">IFERROR(F104/F102,0)</f>
        <v>0</v>
      </c>
      <c r="G108" s="9" t="n">
        <f aca="false">IFERROR(G104/G102,0)</f>
        <v>23335.8760103819</v>
      </c>
      <c r="H108" s="9" t="n">
        <f aca="false">IFERROR(H104/H102,0)</f>
        <v>0</v>
      </c>
      <c r="I108" s="9" t="n">
        <f aca="false">IFERROR(I104/I102,0)</f>
        <v>0</v>
      </c>
      <c r="J108" s="9" t="n">
        <f aca="false">IFERROR(J104/J102,0)</f>
        <v>0</v>
      </c>
      <c r="K108" s="9" t="n">
        <f aca="false">IFERROR(K104/K102,0)</f>
        <v>23335.8760103819</v>
      </c>
    </row>
    <row r="110" customFormat="false" ht="15" hidden="false" customHeight="false" outlineLevel="0" collapsed="false">
      <c r="B110" s="6" t="s">
        <v>875</v>
      </c>
      <c r="C110" s="6" t="s">
        <v>249</v>
      </c>
      <c r="D110" s="6" t="s">
        <v>1099</v>
      </c>
      <c r="E110" s="7" t="n">
        <f aca="false">SUMIFS('Data SKU'!$F$5:$F$116,'Data SKU'!$A$5:$A$116,$B110,'Data SKU'!$B$5:$B$116,$C110,'Data SKU'!$D$5:$D$116,3)</f>
        <v>0</v>
      </c>
      <c r="F110" s="7" t="n">
        <f aca="false">SUMIFS('Data SKU'!$F$5:$F$116,'Data SKU'!$A$5:$A$116,$B110,'Data SKU'!$B$5:$B$116,$C110,'Data SKU'!$D$5:$D$116,4)</f>
        <v>0</v>
      </c>
      <c r="G110" s="7" t="n">
        <f aca="false">SUMIFS('Data SKU'!$F$5:$F$116,'Data SKU'!$A$5:$A$116,$B110,'Data SKU'!$B$5:$B$116,$C110,'Data SKU'!$D$5:$D$116,5)</f>
        <v>0</v>
      </c>
      <c r="H110" s="7" t="n">
        <f aca="false">SUMIFS('Data SKU'!$F$5:$F$116,'Data SKU'!$A$5:$A$116,$B110,'Data SKU'!$B$5:$B$116,$C110,'Data SKU'!$D$5:$D$116,6)</f>
        <v>0</v>
      </c>
      <c r="I110" s="7" t="n">
        <f aca="false">SUMIFS('Data SKU'!$F$5:$F$116,'Data SKU'!$A$5:$A$116,$B110,'Data SKU'!$B$5:$B$116,$C110,'Data SKU'!$D$5:$D$116,7)</f>
        <v>0</v>
      </c>
      <c r="J110" s="7" t="n">
        <f aca="false">SUMIFS('Data SKU'!$F$5:$F$116,'Data SKU'!$A$5:$A$116,$B110,'Data SKU'!$B$5:$B$116,$C110,'Data SKU'!$D$5:$D$116,8)</f>
        <v>0</v>
      </c>
      <c r="K110" s="9" t="n">
        <f aca="false">SUM(E110:J110)</f>
        <v>0</v>
      </c>
    </row>
    <row r="111" customFormat="false" ht="15" hidden="false" customHeight="false" outlineLevel="0" collapsed="false">
      <c r="B111" s="6" t="s">
        <v>875</v>
      </c>
      <c r="C111" s="6" t="s">
        <v>249</v>
      </c>
      <c r="D111" s="6" t="s">
        <v>311</v>
      </c>
      <c r="E111" s="7" t="n">
        <f aca="false">SUMIFS('Data SKU'!$G$5:$G$116,'Data SKU'!$A$5:$A$116,$B111,'Data SKU'!$B$5:$B$116,$C111,'Data SKU'!$D$5:$D$116,3)</f>
        <v>0</v>
      </c>
      <c r="F111" s="7" t="n">
        <f aca="false">SUMIFS('Data SKU'!$G$5:$G$116,'Data SKU'!$A$5:$A$116,$B111,'Data SKU'!$B$5:$B$116,$C111,'Data SKU'!$D$5:$D$116,4)</f>
        <v>0</v>
      </c>
      <c r="G111" s="7" t="n">
        <f aca="false">SUMIFS('Data SKU'!$G$5:$G$116,'Data SKU'!$A$5:$A$116,$B111,'Data SKU'!$B$5:$B$116,$C111,'Data SKU'!$D$5:$D$116,5)</f>
        <v>0</v>
      </c>
      <c r="H111" s="7" t="n">
        <f aca="false">SUMIFS('Data SKU'!$G$5:$G$116,'Data SKU'!$A$5:$A$116,$B111,'Data SKU'!$B$5:$B$116,$C111,'Data SKU'!$D$5:$D$116,6)</f>
        <v>0</v>
      </c>
      <c r="I111" s="7" t="n">
        <f aca="false">SUMIFS('Data SKU'!$G$5:$G$116,'Data SKU'!$A$5:$A$116,$B111,'Data SKU'!$B$5:$B$116,$C111,'Data SKU'!$D$5:$D$116,7)</f>
        <v>0</v>
      </c>
      <c r="J111" s="7" t="n">
        <f aca="false">SUMIFS('Data SKU'!$G$5:$G$116,'Data SKU'!$A$5:$A$116,$B111,'Data SKU'!$B$5:$B$116,$C111,'Data SKU'!$D$5:$D$116,8)</f>
        <v>0</v>
      </c>
      <c r="K111" s="9" t="n">
        <f aca="false">SUM(E111:J111)</f>
        <v>0</v>
      </c>
    </row>
    <row r="112" customFormat="false" ht="15" hidden="false" customHeight="false" outlineLevel="0" collapsed="false">
      <c r="B112" s="6" t="s">
        <v>875</v>
      </c>
      <c r="C112" s="6" t="s">
        <v>249</v>
      </c>
      <c r="D112" s="6" t="s">
        <v>865</v>
      </c>
      <c r="E112" s="7" t="n">
        <f aca="false">SUMIFS('Data SKU'!$H$5:$H$116,'Data SKU'!$A$5:$A$116,$B112,'Data SKU'!$B$5:$B$116,$C112,'Data SKU'!$D$5:$D$116,3)</f>
        <v>10852200</v>
      </c>
      <c r="F112" s="7" t="n">
        <f aca="false">SUMIFS('Data SKU'!$H$5:$H$116,'Data SKU'!$A$5:$A$116,$B112,'Data SKU'!$B$5:$B$116,$C112,'Data SKU'!$D$5:$D$116,4)</f>
        <v>24240270</v>
      </c>
      <c r="G112" s="7" t="n">
        <f aca="false">SUMIFS('Data SKU'!$H$5:$H$116,'Data SKU'!$A$5:$A$116,$B112,'Data SKU'!$B$5:$B$116,$C112,'Data SKU'!$D$5:$D$116,5)</f>
        <v>220490804.6</v>
      </c>
      <c r="H112" s="7" t="n">
        <f aca="false">SUMIFS('Data SKU'!$H$5:$H$116,'Data SKU'!$A$5:$A$116,$B112,'Data SKU'!$B$5:$B$116,$C112,'Data SKU'!$D$5:$D$116,6)</f>
        <v>50403540</v>
      </c>
      <c r="I112" s="7" t="n">
        <f aca="false">SUMIFS('Data SKU'!$H$5:$H$116,'Data SKU'!$A$5:$A$116,$B112,'Data SKU'!$B$5:$B$116,$C112,'Data SKU'!$D$5:$D$116,7)</f>
        <v>7000000</v>
      </c>
      <c r="J112" s="7" t="n">
        <f aca="false">SUMIFS('Data SKU'!$H$5:$H$116,'Data SKU'!$A$5:$A$116,$B112,'Data SKU'!$B$5:$B$116,$C112,'Data SKU'!$D$5:$D$116,8)</f>
        <v>0</v>
      </c>
      <c r="K112" s="9" t="n">
        <f aca="false">SUM(E112:J112)</f>
        <v>312986814.6</v>
      </c>
    </row>
    <row r="113" customFormat="false" ht="15" hidden="false" customHeight="false" outlineLevel="0" collapsed="false">
      <c r="B113" s="6" t="s">
        <v>875</v>
      </c>
      <c r="C113" s="6" t="s">
        <v>249</v>
      </c>
      <c r="D113" s="6" t="s">
        <v>866</v>
      </c>
      <c r="E113" s="7" t="n">
        <f aca="false">SUMIFS('Data SKU'!$I$5:$I$116,'Data SKU'!$A$5:$A$116,$B113,'Data SKU'!$B$5:$B$116,$C113,'Data SKU'!$D$5:$D$116,3)</f>
        <v>-10852200</v>
      </c>
      <c r="F113" s="7" t="n">
        <f aca="false">SUMIFS('Data SKU'!$I$5:$I$116,'Data SKU'!$A$5:$A$116,$B113,'Data SKU'!$B$5:$B$116,$C113,'Data SKU'!$D$5:$D$116,4)</f>
        <v>-24240270</v>
      </c>
      <c r="G113" s="7" t="n">
        <f aca="false">SUMIFS('Data SKU'!$I$5:$I$116,'Data SKU'!$A$5:$A$116,$B113,'Data SKU'!$B$5:$B$116,$C113,'Data SKU'!$D$5:$D$116,5)</f>
        <v>-220490804.6</v>
      </c>
      <c r="H113" s="7" t="n">
        <f aca="false">SUMIFS('Data SKU'!$I$5:$I$116,'Data SKU'!$A$5:$A$116,$B113,'Data SKU'!$B$5:$B$116,$C113,'Data SKU'!$D$5:$D$116,6)</f>
        <v>-50403540</v>
      </c>
      <c r="I113" s="7" t="n">
        <f aca="false">SUMIFS('Data SKU'!$I$5:$I$116,'Data SKU'!$A$5:$A$116,$B113,'Data SKU'!$B$5:$B$116,$C113,'Data SKU'!$D$5:$D$116,7)</f>
        <v>-7000000</v>
      </c>
      <c r="J113" s="7" t="n">
        <f aca="false">SUMIFS('Data SKU'!$I$5:$I$116,'Data SKU'!$A$5:$A$116,$B113,'Data SKU'!$B$5:$B$116,$C113,'Data SKU'!$D$5:$D$116,8)</f>
        <v>0</v>
      </c>
      <c r="K113" s="9" t="n">
        <f aca="false">SUM(E113:J113)</f>
        <v>-312986814.6</v>
      </c>
    </row>
    <row r="114" customFormat="false" ht="15" hidden="false" customHeight="false" outlineLevel="0" collapsed="false">
      <c r="B114" s="6" t="s">
        <v>875</v>
      </c>
      <c r="C114" s="6" t="s">
        <v>249</v>
      </c>
      <c r="D114" s="11" t="s">
        <v>867</v>
      </c>
      <c r="E114" s="57" t="n">
        <f aca="false">IFERROR(E113/E111,0)</f>
        <v>0</v>
      </c>
      <c r="F114" s="57" t="n">
        <f aca="false">IFERROR(F113/F111,0)</f>
        <v>0</v>
      </c>
      <c r="G114" s="57" t="n">
        <f aca="false">IFERROR(G113/G111,0)</f>
        <v>0</v>
      </c>
      <c r="H114" s="57" t="n">
        <f aca="false">IFERROR(H113/H111,0)</f>
        <v>0</v>
      </c>
      <c r="I114" s="57" t="n">
        <f aca="false">IFERROR(I113/I111,0)</f>
        <v>0</v>
      </c>
      <c r="J114" s="57" t="n">
        <f aca="false">IFERROR(J113/J111,0)</f>
        <v>0</v>
      </c>
      <c r="K114" s="57" t="n">
        <f aca="false">IFERROR(K113/K111,0)</f>
        <v>0</v>
      </c>
    </row>
    <row r="115" customFormat="false" ht="15" hidden="false" customHeight="false" outlineLevel="0" collapsed="false">
      <c r="B115" s="6" t="s">
        <v>875</v>
      </c>
      <c r="C115" s="6" t="s">
        <v>249</v>
      </c>
      <c r="D115" s="6" t="s">
        <v>1482</v>
      </c>
      <c r="E115" s="9" t="n">
        <f aca="false">IFERROR(E111/E110,0)</f>
        <v>0</v>
      </c>
      <c r="F115" s="9" t="n">
        <f aca="false">IFERROR(F111/F110,0)</f>
        <v>0</v>
      </c>
      <c r="G115" s="9" t="n">
        <f aca="false">IFERROR(G111/G110,0)</f>
        <v>0</v>
      </c>
      <c r="H115" s="9" t="n">
        <f aca="false">IFERROR(H111/H110,0)</f>
        <v>0</v>
      </c>
      <c r="I115" s="9" t="n">
        <f aca="false">IFERROR(I111/I110,0)</f>
        <v>0</v>
      </c>
      <c r="J115" s="9" t="n">
        <f aca="false">IFERROR(J111/J110,0)</f>
        <v>0</v>
      </c>
      <c r="K115" s="9" t="n">
        <f aca="false">IFERROR(K111/K110,0)</f>
        <v>0</v>
      </c>
    </row>
    <row r="116" customFormat="false" ht="15" hidden="false" customHeight="false" outlineLevel="0" collapsed="false">
      <c r="B116" s="6" t="s">
        <v>875</v>
      </c>
      <c r="C116" s="6" t="s">
        <v>249</v>
      </c>
      <c r="D116" s="6" t="s">
        <v>1447</v>
      </c>
      <c r="E116" s="9" t="n">
        <f aca="false">IFERROR(E112/E110,0)</f>
        <v>0</v>
      </c>
      <c r="F116" s="9" t="n">
        <f aca="false">IFERROR(F112/F110,0)</f>
        <v>0</v>
      </c>
      <c r="G116" s="9" t="n">
        <f aca="false">IFERROR(G112/G110,0)</f>
        <v>0</v>
      </c>
      <c r="H116" s="9" t="n">
        <f aca="false">IFERROR(H112/H110,0)</f>
        <v>0</v>
      </c>
      <c r="I116" s="9" t="n">
        <f aca="false">IFERROR(I112/I110,0)</f>
        <v>0</v>
      </c>
      <c r="J116" s="9" t="n">
        <f aca="false">IFERROR(J112/J110,0)</f>
        <v>0</v>
      </c>
      <c r="K116" s="9" t="n">
        <f aca="false">IFERROR(K112/K110,0)</f>
        <v>0</v>
      </c>
    </row>
    <row r="118" customFormat="false" ht="15" hidden="false" customHeight="false" outlineLevel="0" collapsed="false">
      <c r="B118" s="6" t="s">
        <v>875</v>
      </c>
      <c r="C118" s="6" t="s">
        <v>250</v>
      </c>
      <c r="D118" s="6" t="s">
        <v>1099</v>
      </c>
      <c r="E118" s="7" t="n">
        <f aca="false">SUMIFS('Data SKU'!$F$5:$F$116,'Data SKU'!$A$5:$A$116,$B118,'Data SKU'!$B$5:$B$116,$C118,'Data SKU'!$D$5:$D$116,3)</f>
        <v>0</v>
      </c>
      <c r="F118" s="7" t="n">
        <f aca="false">SUMIFS('Data SKU'!$F$5:$F$116,'Data SKU'!$A$5:$A$116,$B118,'Data SKU'!$B$5:$B$116,$C118,'Data SKU'!$D$5:$D$116,4)</f>
        <v>0</v>
      </c>
      <c r="G118" s="7" t="n">
        <f aca="false">SUMIFS('Data SKU'!$F$5:$F$116,'Data SKU'!$A$5:$A$116,$B118,'Data SKU'!$B$5:$B$116,$C118,'Data SKU'!$D$5:$D$116,5)</f>
        <v>0</v>
      </c>
      <c r="H118" s="7" t="n">
        <f aca="false">SUMIFS('Data SKU'!$F$5:$F$116,'Data SKU'!$A$5:$A$116,$B118,'Data SKU'!$B$5:$B$116,$C118,'Data SKU'!$D$5:$D$116,6)</f>
        <v>0</v>
      </c>
      <c r="I118" s="7" t="n">
        <f aca="false">SUMIFS('Data SKU'!$F$5:$F$116,'Data SKU'!$A$5:$A$116,$B118,'Data SKU'!$B$5:$B$116,$C118,'Data SKU'!$D$5:$D$116,7)</f>
        <v>0</v>
      </c>
      <c r="J118" s="7" t="n">
        <f aca="false">SUMIFS('Data SKU'!$F$5:$F$116,'Data SKU'!$A$5:$A$116,$B118,'Data SKU'!$B$5:$B$116,$C118,'Data SKU'!$D$5:$D$116,8)</f>
        <v>0</v>
      </c>
      <c r="K118" s="9" t="n">
        <f aca="false">SUM(E118:J118)</f>
        <v>0</v>
      </c>
    </row>
    <row r="119" customFormat="false" ht="15" hidden="false" customHeight="false" outlineLevel="0" collapsed="false">
      <c r="B119" s="6" t="s">
        <v>875</v>
      </c>
      <c r="C119" s="6" t="s">
        <v>250</v>
      </c>
      <c r="D119" s="6" t="s">
        <v>311</v>
      </c>
      <c r="E119" s="7" t="n">
        <f aca="false">SUMIFS('Data SKU'!$G$5:$G$116,'Data SKU'!$A$5:$A$116,$B119,'Data SKU'!$B$5:$B$116,$C119,'Data SKU'!$D$5:$D$116,3)</f>
        <v>0</v>
      </c>
      <c r="F119" s="7" t="n">
        <f aca="false">SUMIFS('Data SKU'!$G$5:$G$116,'Data SKU'!$A$5:$A$116,$B119,'Data SKU'!$B$5:$B$116,$C119,'Data SKU'!$D$5:$D$116,4)</f>
        <v>0</v>
      </c>
      <c r="G119" s="7" t="n">
        <f aca="false">SUMIFS('Data SKU'!$G$5:$G$116,'Data SKU'!$A$5:$A$116,$B119,'Data SKU'!$B$5:$B$116,$C119,'Data SKU'!$D$5:$D$116,5)</f>
        <v>0</v>
      </c>
      <c r="H119" s="7" t="n">
        <f aca="false">SUMIFS('Data SKU'!$G$5:$G$116,'Data SKU'!$A$5:$A$116,$B119,'Data SKU'!$B$5:$B$116,$C119,'Data SKU'!$D$5:$D$116,6)</f>
        <v>0</v>
      </c>
      <c r="I119" s="7" t="n">
        <f aca="false">SUMIFS('Data SKU'!$G$5:$G$116,'Data SKU'!$A$5:$A$116,$B119,'Data SKU'!$B$5:$B$116,$C119,'Data SKU'!$D$5:$D$116,7)</f>
        <v>0</v>
      </c>
      <c r="J119" s="7" t="n">
        <f aca="false">SUMIFS('Data SKU'!$G$5:$G$116,'Data SKU'!$A$5:$A$116,$B119,'Data SKU'!$B$5:$B$116,$C119,'Data SKU'!$D$5:$D$116,8)</f>
        <v>629600</v>
      </c>
      <c r="K119" s="9" t="n">
        <f aca="false">SUM(E119:J119)</f>
        <v>629600</v>
      </c>
    </row>
    <row r="120" customFormat="false" ht="15" hidden="false" customHeight="false" outlineLevel="0" collapsed="false">
      <c r="B120" s="6" t="s">
        <v>875</v>
      </c>
      <c r="C120" s="6" t="s">
        <v>250</v>
      </c>
      <c r="D120" s="6" t="s">
        <v>865</v>
      </c>
      <c r="E120" s="7" t="n">
        <f aca="false">SUMIFS('Data SKU'!$H$5:$H$116,'Data SKU'!$A$5:$A$116,$B120,'Data SKU'!$B$5:$B$116,$C120,'Data SKU'!$D$5:$D$116,3)</f>
        <v>0</v>
      </c>
      <c r="F120" s="7" t="n">
        <f aca="false">SUMIFS('Data SKU'!$H$5:$H$116,'Data SKU'!$A$5:$A$116,$B120,'Data SKU'!$B$5:$B$116,$C120,'Data SKU'!$D$5:$D$116,4)</f>
        <v>0</v>
      </c>
      <c r="G120" s="7" t="n">
        <f aca="false">SUMIFS('Data SKU'!$H$5:$H$116,'Data SKU'!$A$5:$A$116,$B120,'Data SKU'!$B$5:$B$116,$C120,'Data SKU'!$D$5:$D$116,5)</f>
        <v>0</v>
      </c>
      <c r="H120" s="7" t="n">
        <f aca="false">SUMIFS('Data SKU'!$H$5:$H$116,'Data SKU'!$A$5:$A$116,$B120,'Data SKU'!$B$5:$B$116,$C120,'Data SKU'!$D$5:$D$116,6)</f>
        <v>0</v>
      </c>
      <c r="I120" s="7" t="n">
        <f aca="false">SUMIFS('Data SKU'!$H$5:$H$116,'Data SKU'!$A$5:$A$116,$B120,'Data SKU'!$B$5:$B$116,$C120,'Data SKU'!$D$5:$D$116,7)</f>
        <v>0</v>
      </c>
      <c r="J120" s="7" t="n">
        <f aca="false">SUMIFS('Data SKU'!$H$5:$H$116,'Data SKU'!$A$5:$A$116,$B120,'Data SKU'!$B$5:$B$116,$C120,'Data SKU'!$D$5:$D$116,8)</f>
        <v>0</v>
      </c>
      <c r="K120" s="9" t="n">
        <f aca="false">SUM(E120:J120)</f>
        <v>0</v>
      </c>
    </row>
    <row r="121" customFormat="false" ht="15" hidden="false" customHeight="false" outlineLevel="0" collapsed="false">
      <c r="B121" s="6" t="s">
        <v>875</v>
      </c>
      <c r="C121" s="6" t="s">
        <v>250</v>
      </c>
      <c r="D121" s="6" t="s">
        <v>866</v>
      </c>
      <c r="E121" s="7" t="n">
        <f aca="false">SUMIFS('Data SKU'!$I$5:$I$116,'Data SKU'!$A$5:$A$116,$B121,'Data SKU'!$B$5:$B$116,$C121,'Data SKU'!$D$5:$D$116,3)</f>
        <v>0</v>
      </c>
      <c r="F121" s="7" t="n">
        <f aca="false">SUMIFS('Data SKU'!$I$5:$I$116,'Data SKU'!$A$5:$A$116,$B121,'Data SKU'!$B$5:$B$116,$C121,'Data SKU'!$D$5:$D$116,4)</f>
        <v>0</v>
      </c>
      <c r="G121" s="7" t="n">
        <f aca="false">SUMIFS('Data SKU'!$I$5:$I$116,'Data SKU'!$A$5:$A$116,$B121,'Data SKU'!$B$5:$B$116,$C121,'Data SKU'!$D$5:$D$116,5)</f>
        <v>0</v>
      </c>
      <c r="H121" s="7" t="n">
        <f aca="false">SUMIFS('Data SKU'!$I$5:$I$116,'Data SKU'!$A$5:$A$116,$B121,'Data SKU'!$B$5:$B$116,$C121,'Data SKU'!$D$5:$D$116,6)</f>
        <v>0</v>
      </c>
      <c r="I121" s="7" t="n">
        <f aca="false">SUMIFS('Data SKU'!$I$5:$I$116,'Data SKU'!$A$5:$A$116,$B121,'Data SKU'!$B$5:$B$116,$C121,'Data SKU'!$D$5:$D$116,7)</f>
        <v>0</v>
      </c>
      <c r="J121" s="7" t="n">
        <f aca="false">SUMIFS('Data SKU'!$I$5:$I$116,'Data SKU'!$A$5:$A$116,$B121,'Data SKU'!$B$5:$B$116,$C121,'Data SKU'!$D$5:$D$116,8)</f>
        <v>629600</v>
      </c>
      <c r="K121" s="9" t="n">
        <f aca="false">SUM(E121:J121)</f>
        <v>629600</v>
      </c>
    </row>
    <row r="122" customFormat="false" ht="15" hidden="false" customHeight="false" outlineLevel="0" collapsed="false">
      <c r="B122" s="6" t="s">
        <v>875</v>
      </c>
      <c r="C122" s="6" t="s">
        <v>250</v>
      </c>
      <c r="D122" s="11" t="s">
        <v>867</v>
      </c>
      <c r="E122" s="57" t="n">
        <f aca="false">IFERROR(E121/E119,0)</f>
        <v>0</v>
      </c>
      <c r="F122" s="57" t="n">
        <f aca="false">IFERROR(F121/F119,0)</f>
        <v>0</v>
      </c>
      <c r="G122" s="57" t="n">
        <f aca="false">IFERROR(G121/G119,0)</f>
        <v>0</v>
      </c>
      <c r="H122" s="57" t="n">
        <f aca="false">IFERROR(H121/H119,0)</f>
        <v>0</v>
      </c>
      <c r="I122" s="57" t="n">
        <f aca="false">IFERROR(I121/I119,0)</f>
        <v>0</v>
      </c>
      <c r="J122" s="57" t="n">
        <f aca="false">IFERROR(J121/J119,0)</f>
        <v>1</v>
      </c>
      <c r="K122" s="57" t="n">
        <f aca="false">IFERROR(K121/K119,0)</f>
        <v>1</v>
      </c>
    </row>
    <row r="123" customFormat="false" ht="15" hidden="false" customHeight="false" outlineLevel="0" collapsed="false">
      <c r="B123" s="6" t="s">
        <v>875</v>
      </c>
      <c r="C123" s="6" t="s">
        <v>250</v>
      </c>
      <c r="D123" s="6" t="s">
        <v>1482</v>
      </c>
      <c r="E123" s="9" t="n">
        <f aca="false">IFERROR(E119/E118,0)</f>
        <v>0</v>
      </c>
      <c r="F123" s="9" t="n">
        <f aca="false">IFERROR(F119/F118,0)</f>
        <v>0</v>
      </c>
      <c r="G123" s="9" t="n">
        <f aca="false">IFERROR(G119/G118,0)</f>
        <v>0</v>
      </c>
      <c r="H123" s="9" t="n">
        <f aca="false">IFERROR(H119/H118,0)</f>
        <v>0</v>
      </c>
      <c r="I123" s="9" t="n">
        <f aca="false">IFERROR(I119/I118,0)</f>
        <v>0</v>
      </c>
      <c r="J123" s="9" t="n">
        <f aca="false">IFERROR(J119/J118,0)</f>
        <v>0</v>
      </c>
      <c r="K123" s="9" t="n">
        <f aca="false">IFERROR(K119/K118,0)</f>
        <v>0</v>
      </c>
    </row>
    <row r="124" customFormat="false" ht="15" hidden="false" customHeight="false" outlineLevel="0" collapsed="false">
      <c r="B124" s="6" t="s">
        <v>875</v>
      </c>
      <c r="C124" s="6" t="s">
        <v>250</v>
      </c>
      <c r="D124" s="6" t="s">
        <v>1447</v>
      </c>
      <c r="E124" s="9" t="n">
        <f aca="false">IFERROR(E120/E118,0)</f>
        <v>0</v>
      </c>
      <c r="F124" s="9" t="n">
        <f aca="false">IFERROR(F120/F118,0)</f>
        <v>0</v>
      </c>
      <c r="G124" s="9" t="n">
        <f aca="false">IFERROR(G120/G118,0)</f>
        <v>0</v>
      </c>
      <c r="H124" s="9" t="n">
        <f aca="false">IFERROR(H120/H118,0)</f>
        <v>0</v>
      </c>
      <c r="I124" s="9" t="n">
        <f aca="false">IFERROR(I120/I118,0)</f>
        <v>0</v>
      </c>
      <c r="J124" s="9" t="n">
        <f aca="false">IFERROR(J120/J118,0)</f>
        <v>0</v>
      </c>
      <c r="K124" s="9" t="n">
        <f aca="false">IFERROR(K120/K118,0)</f>
        <v>0</v>
      </c>
    </row>
    <row r="126" customFormat="false" ht="15" hidden="false" customHeight="false" outlineLevel="0" collapsed="false">
      <c r="B126" s="6" t="s">
        <v>875</v>
      </c>
      <c r="C126" s="6" t="s">
        <v>251</v>
      </c>
      <c r="D126" s="6" t="s">
        <v>1099</v>
      </c>
      <c r="E126" s="7" t="n">
        <f aca="false">SUMIFS('Data SKU'!$F$5:$F$116,'Data SKU'!$A$5:$A$116,$B126,'Data SKU'!$B$5:$B$116,$C126,'Data SKU'!$D$5:$D$116,3)</f>
        <v>0</v>
      </c>
      <c r="F126" s="7" t="n">
        <f aca="false">SUMIFS('Data SKU'!$F$5:$F$116,'Data SKU'!$A$5:$A$116,$B126,'Data SKU'!$B$5:$B$116,$C126,'Data SKU'!$D$5:$D$116,4)</f>
        <v>969.23</v>
      </c>
      <c r="G126" s="7" t="n">
        <f aca="false">SUMIFS('Data SKU'!$F$5:$F$116,'Data SKU'!$A$5:$A$116,$B126,'Data SKU'!$B$5:$B$116,$C126,'Data SKU'!$D$5:$D$116,5)</f>
        <v>234.77</v>
      </c>
      <c r="H126" s="7" t="n">
        <f aca="false">SUMIFS('Data SKU'!$F$5:$F$116,'Data SKU'!$A$5:$A$116,$B126,'Data SKU'!$B$5:$B$116,$C126,'Data SKU'!$D$5:$D$116,6)</f>
        <v>0</v>
      </c>
      <c r="I126" s="7" t="n">
        <f aca="false">SUMIFS('Data SKU'!$F$5:$F$116,'Data SKU'!$A$5:$A$116,$B126,'Data SKU'!$B$5:$B$116,$C126,'Data SKU'!$D$5:$D$116,7)</f>
        <v>0</v>
      </c>
      <c r="J126" s="7" t="n">
        <f aca="false">SUMIFS('Data SKU'!$F$5:$F$116,'Data SKU'!$A$5:$A$116,$B126,'Data SKU'!$B$5:$B$116,$C126,'Data SKU'!$D$5:$D$116,8)</f>
        <v>1042.4</v>
      </c>
      <c r="K126" s="9" t="n">
        <f aca="false">SUM(E126:J126)</f>
        <v>2246.4</v>
      </c>
    </row>
    <row r="127" customFormat="false" ht="15" hidden="false" customHeight="false" outlineLevel="0" collapsed="false">
      <c r="B127" s="6" t="s">
        <v>875</v>
      </c>
      <c r="C127" s="6" t="s">
        <v>251</v>
      </c>
      <c r="D127" s="6" t="s">
        <v>311</v>
      </c>
      <c r="E127" s="7" t="n">
        <f aca="false">SUMIFS('Data SKU'!$G$5:$G$116,'Data SKU'!$A$5:$A$116,$B127,'Data SKU'!$B$5:$B$116,$C127,'Data SKU'!$D$5:$D$116,3)</f>
        <v>0</v>
      </c>
      <c r="F127" s="7" t="n">
        <f aca="false">SUMIFS('Data SKU'!$G$5:$G$116,'Data SKU'!$A$5:$A$116,$B127,'Data SKU'!$B$5:$B$116,$C127,'Data SKU'!$D$5:$D$116,4)</f>
        <v>34896650</v>
      </c>
      <c r="G127" s="7" t="n">
        <f aca="false">SUMIFS('Data SKU'!$G$5:$G$116,'Data SKU'!$A$5:$A$116,$B127,'Data SKU'!$B$5:$B$116,$C127,'Data SKU'!$D$5:$D$116,5)</f>
        <v>8008180</v>
      </c>
      <c r="H127" s="7" t="n">
        <f aca="false">SUMIFS('Data SKU'!$G$5:$G$116,'Data SKU'!$A$5:$A$116,$B127,'Data SKU'!$B$5:$B$116,$C127,'Data SKU'!$D$5:$D$116,6)</f>
        <v>0</v>
      </c>
      <c r="I127" s="7" t="n">
        <f aca="false">SUMIFS('Data SKU'!$G$5:$G$116,'Data SKU'!$A$5:$A$116,$B127,'Data SKU'!$B$5:$B$116,$C127,'Data SKU'!$D$5:$D$116,7)</f>
        <v>0</v>
      </c>
      <c r="J127" s="7" t="n">
        <f aca="false">SUMIFS('Data SKU'!$G$5:$G$116,'Data SKU'!$A$5:$A$116,$B127,'Data SKU'!$B$5:$B$116,$C127,'Data SKU'!$D$5:$D$116,8)</f>
        <v>36484000</v>
      </c>
      <c r="K127" s="9" t="n">
        <f aca="false">SUM(E127:J127)</f>
        <v>79388830</v>
      </c>
    </row>
    <row r="128" customFormat="false" ht="15" hidden="false" customHeight="false" outlineLevel="0" collapsed="false">
      <c r="B128" s="6" t="s">
        <v>875</v>
      </c>
      <c r="C128" s="6" t="s">
        <v>251</v>
      </c>
      <c r="D128" s="6" t="s">
        <v>865</v>
      </c>
      <c r="E128" s="7" t="n">
        <f aca="false">SUMIFS('Data SKU'!$H$5:$H$116,'Data SKU'!$A$5:$A$116,$B128,'Data SKU'!$B$5:$B$116,$C128,'Data SKU'!$D$5:$D$116,3)</f>
        <v>0</v>
      </c>
      <c r="F128" s="7" t="n">
        <f aca="false">SUMIFS('Data SKU'!$H$5:$H$116,'Data SKU'!$A$5:$A$116,$B128,'Data SKU'!$B$5:$B$116,$C128,'Data SKU'!$D$5:$D$116,4)</f>
        <v>44093660.17</v>
      </c>
      <c r="G128" s="7" t="n">
        <f aca="false">SUMIFS('Data SKU'!$H$5:$H$116,'Data SKU'!$A$5:$A$116,$B128,'Data SKU'!$B$5:$B$116,$C128,'Data SKU'!$D$5:$D$116,5)</f>
        <v>7218058.73</v>
      </c>
      <c r="H128" s="7" t="n">
        <f aca="false">SUMIFS('Data SKU'!$H$5:$H$116,'Data SKU'!$A$5:$A$116,$B128,'Data SKU'!$B$5:$B$116,$C128,'Data SKU'!$D$5:$D$116,6)</f>
        <v>0</v>
      </c>
      <c r="I128" s="7" t="n">
        <f aca="false">SUMIFS('Data SKU'!$H$5:$H$116,'Data SKU'!$A$5:$A$116,$B128,'Data SKU'!$B$5:$B$116,$C128,'Data SKU'!$D$5:$D$116,7)</f>
        <v>0</v>
      </c>
      <c r="J128" s="7" t="n">
        <f aca="false">SUMIFS('Data SKU'!$H$5:$H$116,'Data SKU'!$A$5:$A$116,$B128,'Data SKU'!$B$5:$B$116,$C128,'Data SKU'!$D$5:$D$116,8)</f>
        <v>32887890.9377794</v>
      </c>
      <c r="K128" s="9" t="n">
        <f aca="false">SUM(E128:J128)</f>
        <v>84199609.8377794</v>
      </c>
    </row>
    <row r="129" customFormat="false" ht="15" hidden="false" customHeight="false" outlineLevel="0" collapsed="false">
      <c r="B129" s="6" t="s">
        <v>875</v>
      </c>
      <c r="C129" s="6" t="s">
        <v>251</v>
      </c>
      <c r="D129" s="6" t="s">
        <v>866</v>
      </c>
      <c r="E129" s="7" t="n">
        <f aca="false">SUMIFS('Data SKU'!$I$5:$I$116,'Data SKU'!$A$5:$A$116,$B129,'Data SKU'!$B$5:$B$116,$C129,'Data SKU'!$D$5:$D$116,3)</f>
        <v>0</v>
      </c>
      <c r="F129" s="7" t="n">
        <f aca="false">SUMIFS('Data SKU'!$I$5:$I$116,'Data SKU'!$A$5:$A$116,$B129,'Data SKU'!$B$5:$B$116,$C129,'Data SKU'!$D$5:$D$116,4)</f>
        <v>-9197010.17</v>
      </c>
      <c r="G129" s="7" t="n">
        <f aca="false">SUMIFS('Data SKU'!$I$5:$I$116,'Data SKU'!$A$5:$A$116,$B129,'Data SKU'!$B$5:$B$116,$C129,'Data SKU'!$D$5:$D$116,5)</f>
        <v>790121.27</v>
      </c>
      <c r="H129" s="7" t="n">
        <f aca="false">SUMIFS('Data SKU'!$I$5:$I$116,'Data SKU'!$A$5:$A$116,$B129,'Data SKU'!$B$5:$B$116,$C129,'Data SKU'!$D$5:$D$116,6)</f>
        <v>0</v>
      </c>
      <c r="I129" s="7" t="n">
        <f aca="false">SUMIFS('Data SKU'!$I$5:$I$116,'Data SKU'!$A$5:$A$116,$B129,'Data SKU'!$B$5:$B$116,$C129,'Data SKU'!$D$5:$D$116,7)</f>
        <v>0</v>
      </c>
      <c r="J129" s="7" t="n">
        <f aca="false">SUMIFS('Data SKU'!$I$5:$I$116,'Data SKU'!$A$5:$A$116,$B129,'Data SKU'!$B$5:$B$116,$C129,'Data SKU'!$D$5:$D$116,8)</f>
        <v>3596109.06222062</v>
      </c>
      <c r="K129" s="9" t="n">
        <f aca="false">SUM(E129:J129)</f>
        <v>-4810779.83777938</v>
      </c>
    </row>
    <row r="130" customFormat="false" ht="15" hidden="false" customHeight="false" outlineLevel="0" collapsed="false">
      <c r="B130" s="6" t="s">
        <v>875</v>
      </c>
      <c r="C130" s="6" t="s">
        <v>251</v>
      </c>
      <c r="D130" s="11" t="s">
        <v>867</v>
      </c>
      <c r="E130" s="57" t="n">
        <f aca="false">IFERROR(E129/E127,0)</f>
        <v>0</v>
      </c>
      <c r="F130" s="57" t="n">
        <f aca="false">IFERROR(F129/F127,0)</f>
        <v>-0.263549944478911</v>
      </c>
      <c r="G130" s="57" t="n">
        <f aca="false">IFERROR(G129/G127,0)</f>
        <v>0.0986642745292938</v>
      </c>
      <c r="H130" s="57" t="n">
        <f aca="false">IFERROR(H129/H127,0)</f>
        <v>0</v>
      </c>
      <c r="I130" s="57" t="n">
        <f aca="false">IFERROR(I129/I127,0)</f>
        <v>0</v>
      </c>
      <c r="J130" s="57" t="n">
        <f aca="false">IFERROR(J129/J127,0)</f>
        <v>0.0985667432907745</v>
      </c>
      <c r="K130" s="57" t="n">
        <f aca="false">IFERROR(K129/K127,0)</f>
        <v>-0.0605976916120238</v>
      </c>
    </row>
    <row r="131" customFormat="false" ht="15" hidden="false" customHeight="false" outlineLevel="0" collapsed="false">
      <c r="B131" s="6" t="s">
        <v>875</v>
      </c>
      <c r="C131" s="6" t="s">
        <v>251</v>
      </c>
      <c r="D131" s="6" t="s">
        <v>1482</v>
      </c>
      <c r="E131" s="9" t="n">
        <f aca="false">IFERROR(E127/E126,0)</f>
        <v>0</v>
      </c>
      <c r="F131" s="9" t="n">
        <f aca="false">IFERROR(F127/F126,0)</f>
        <v>36004.5087337371</v>
      </c>
      <c r="G131" s="9" t="n">
        <f aca="false">IFERROR(G127/G126,0)</f>
        <v>34110.7466882481</v>
      </c>
      <c r="H131" s="9" t="n">
        <f aca="false">IFERROR(H127/H126,0)</f>
        <v>0</v>
      </c>
      <c r="I131" s="9" t="n">
        <f aca="false">IFERROR(I127/I126,0)</f>
        <v>0</v>
      </c>
      <c r="J131" s="9" t="n">
        <f aca="false">IFERROR(J127/J126,0)</f>
        <v>35000</v>
      </c>
      <c r="K131" s="9" t="n">
        <f aca="false">IFERROR(K127/K126,0)</f>
        <v>35340.4691951567</v>
      </c>
    </row>
    <row r="132" customFormat="false" ht="15" hidden="false" customHeight="false" outlineLevel="0" collapsed="false">
      <c r="B132" s="6" t="s">
        <v>875</v>
      </c>
      <c r="C132" s="6" t="s">
        <v>251</v>
      </c>
      <c r="D132" s="6" t="s">
        <v>1447</v>
      </c>
      <c r="E132" s="9" t="n">
        <f aca="false">IFERROR(E128/E126,0)</f>
        <v>0</v>
      </c>
      <c r="F132" s="9" t="n">
        <f aca="false">IFERROR(F128/F126,0)</f>
        <v>45493.495011504</v>
      </c>
      <c r="G132" s="9" t="n">
        <f aca="false">IFERROR(G128/G126,0)</f>
        <v>30745.2346125996</v>
      </c>
      <c r="H132" s="9" t="n">
        <f aca="false">IFERROR(H128/H126,0)</f>
        <v>0</v>
      </c>
      <c r="I132" s="9" t="n">
        <f aca="false">IFERROR(I128/I126,0)</f>
        <v>0</v>
      </c>
      <c r="J132" s="9" t="n">
        <f aca="false">IFERROR(J128/J126,0)</f>
        <v>31550.1639848229</v>
      </c>
      <c r="K132" s="9" t="n">
        <f aca="false">IFERROR(K128/K126,0)</f>
        <v>37482.020048869</v>
      </c>
    </row>
    <row r="134" customFormat="false" ht="15" hidden="false" customHeight="false" outlineLevel="0" collapsed="false">
      <c r="B134" s="6" t="s">
        <v>875</v>
      </c>
      <c r="C134" s="6" t="s">
        <v>252</v>
      </c>
      <c r="D134" s="6" t="s">
        <v>1099</v>
      </c>
      <c r="E134" s="7" t="n">
        <f aca="false">SUMIFS('Data SKU'!$F$5:$F$116,'Data SKU'!$A$5:$A$116,$B134,'Data SKU'!$B$5:$B$116,$C134,'Data SKU'!$D$5:$D$116,3)</f>
        <v>495</v>
      </c>
      <c r="F134" s="7" t="n">
        <f aca="false">SUMIFS('Data SKU'!$F$5:$F$116,'Data SKU'!$A$5:$A$116,$B134,'Data SKU'!$B$5:$B$116,$C134,'Data SKU'!$D$5:$D$116,4)</f>
        <v>2437.7</v>
      </c>
      <c r="G134" s="7" t="n">
        <f aca="false">SUMIFS('Data SKU'!$F$5:$F$116,'Data SKU'!$A$5:$A$116,$B134,'Data SKU'!$B$5:$B$116,$C134,'Data SKU'!$D$5:$D$116,5)</f>
        <v>1992.97</v>
      </c>
      <c r="H134" s="7" t="n">
        <f aca="false">SUMIFS('Data SKU'!$F$5:$F$116,'Data SKU'!$A$5:$A$116,$B134,'Data SKU'!$B$5:$B$116,$C134,'Data SKU'!$D$5:$D$116,6)</f>
        <v>0</v>
      </c>
      <c r="I134" s="7" t="n">
        <f aca="false">SUMIFS('Data SKU'!$F$5:$F$116,'Data SKU'!$A$5:$A$116,$B134,'Data SKU'!$B$5:$B$116,$C134,'Data SKU'!$D$5:$D$116,7)</f>
        <v>949.11</v>
      </c>
      <c r="J134" s="7" t="n">
        <f aca="false">SUMIFS('Data SKU'!$F$5:$F$116,'Data SKU'!$A$5:$A$116,$B134,'Data SKU'!$B$5:$B$116,$C134,'Data SKU'!$D$5:$D$116,8)</f>
        <v>0</v>
      </c>
      <c r="K134" s="9" t="n">
        <f aca="false">SUM(E134:J134)</f>
        <v>5874.78</v>
      </c>
    </row>
    <row r="135" customFormat="false" ht="15" hidden="false" customHeight="false" outlineLevel="0" collapsed="false">
      <c r="B135" s="6" t="s">
        <v>875</v>
      </c>
      <c r="C135" s="6" t="s">
        <v>252</v>
      </c>
      <c r="D135" s="6" t="s">
        <v>311</v>
      </c>
      <c r="E135" s="7" t="n">
        <f aca="false">SUMIFS('Data SKU'!$G$5:$G$116,'Data SKU'!$A$5:$A$116,$B135,'Data SKU'!$B$5:$B$116,$C135,'Data SKU'!$D$5:$D$116,3)</f>
        <v>16470000</v>
      </c>
      <c r="F135" s="7" t="n">
        <f aca="false">SUMIFS('Data SKU'!$G$5:$G$116,'Data SKU'!$A$5:$A$116,$B135,'Data SKU'!$B$5:$B$116,$C135,'Data SKU'!$D$5:$D$116,4)</f>
        <v>70827910</v>
      </c>
      <c r="G135" s="7" t="n">
        <f aca="false">SUMIFS('Data SKU'!$G$5:$G$116,'Data SKU'!$A$5:$A$116,$B135,'Data SKU'!$B$5:$B$116,$C135,'Data SKU'!$D$5:$D$116,5)</f>
        <v>54719295</v>
      </c>
      <c r="H135" s="7" t="n">
        <f aca="false">SUMIFS('Data SKU'!$G$5:$G$116,'Data SKU'!$A$5:$A$116,$B135,'Data SKU'!$B$5:$B$116,$C135,'Data SKU'!$D$5:$D$116,6)</f>
        <v>0</v>
      </c>
      <c r="I135" s="7" t="n">
        <f aca="false">SUMIFS('Data SKU'!$G$5:$G$116,'Data SKU'!$A$5:$A$116,$B135,'Data SKU'!$B$5:$B$116,$C135,'Data SKU'!$D$5:$D$116,7)</f>
        <v>24425970</v>
      </c>
      <c r="J135" s="7" t="n">
        <f aca="false">SUMIFS('Data SKU'!$G$5:$G$116,'Data SKU'!$A$5:$A$116,$B135,'Data SKU'!$B$5:$B$116,$C135,'Data SKU'!$D$5:$D$116,8)</f>
        <v>0</v>
      </c>
      <c r="K135" s="9" t="n">
        <f aca="false">SUM(E135:J135)</f>
        <v>166443175</v>
      </c>
    </row>
    <row r="136" customFormat="false" ht="15" hidden="false" customHeight="false" outlineLevel="0" collapsed="false">
      <c r="B136" s="6" t="s">
        <v>875</v>
      </c>
      <c r="C136" s="6" t="s">
        <v>252</v>
      </c>
      <c r="D136" s="6" t="s">
        <v>865</v>
      </c>
      <c r="E136" s="7" t="n">
        <f aca="false">SUMIFS('Data SKU'!$H$5:$H$116,'Data SKU'!$A$5:$A$116,$B136,'Data SKU'!$B$5:$B$116,$C136,'Data SKU'!$D$5:$D$116,3)</f>
        <v>0</v>
      </c>
      <c r="F136" s="7" t="n">
        <f aca="false">SUMIFS('Data SKU'!$H$5:$H$116,'Data SKU'!$A$5:$A$116,$B136,'Data SKU'!$B$5:$B$116,$C136,'Data SKU'!$D$5:$D$116,4)</f>
        <v>1.99</v>
      </c>
      <c r="G136" s="7" t="n">
        <f aca="false">SUMIFS('Data SKU'!$H$5:$H$116,'Data SKU'!$A$5:$A$116,$B136,'Data SKU'!$B$5:$B$116,$C136,'Data SKU'!$D$5:$D$116,5)</f>
        <v>34174743.91</v>
      </c>
      <c r="H136" s="7" t="n">
        <f aca="false">SUMIFS('Data SKU'!$H$5:$H$116,'Data SKU'!$A$5:$A$116,$B136,'Data SKU'!$B$5:$B$116,$C136,'Data SKU'!$D$5:$D$116,6)</f>
        <v>0</v>
      </c>
      <c r="I136" s="7" t="n">
        <f aca="false">SUMIFS('Data SKU'!$H$5:$H$116,'Data SKU'!$A$5:$A$116,$B136,'Data SKU'!$B$5:$B$116,$C136,'Data SKU'!$D$5:$D$116,7)</f>
        <v>27483367.45</v>
      </c>
      <c r="J136" s="7" t="n">
        <f aca="false">SUMIFS('Data SKU'!$H$5:$H$116,'Data SKU'!$A$5:$A$116,$B136,'Data SKU'!$B$5:$B$116,$C136,'Data SKU'!$D$5:$D$116,8)</f>
        <v>0</v>
      </c>
      <c r="K136" s="9" t="n">
        <f aca="false">SUM(E136:J136)</f>
        <v>61658113.35</v>
      </c>
    </row>
    <row r="137" customFormat="false" ht="15" hidden="false" customHeight="false" outlineLevel="0" collapsed="false">
      <c r="B137" s="6" t="s">
        <v>875</v>
      </c>
      <c r="C137" s="6" t="s">
        <v>252</v>
      </c>
      <c r="D137" s="6" t="s">
        <v>866</v>
      </c>
      <c r="E137" s="7" t="n">
        <f aca="false">SUMIFS('Data SKU'!$I$5:$I$116,'Data SKU'!$A$5:$A$116,$B137,'Data SKU'!$B$5:$B$116,$C137,'Data SKU'!$D$5:$D$116,3)</f>
        <v>16470000</v>
      </c>
      <c r="F137" s="7" t="n">
        <f aca="false">SUMIFS('Data SKU'!$I$5:$I$116,'Data SKU'!$A$5:$A$116,$B137,'Data SKU'!$B$5:$B$116,$C137,'Data SKU'!$D$5:$D$116,4)</f>
        <v>70827908.01</v>
      </c>
      <c r="G137" s="7" t="n">
        <f aca="false">SUMIFS('Data SKU'!$I$5:$I$116,'Data SKU'!$A$5:$A$116,$B137,'Data SKU'!$B$5:$B$116,$C137,'Data SKU'!$D$5:$D$116,5)</f>
        <v>20544551.09</v>
      </c>
      <c r="H137" s="7" t="n">
        <f aca="false">SUMIFS('Data SKU'!$I$5:$I$116,'Data SKU'!$A$5:$A$116,$B137,'Data SKU'!$B$5:$B$116,$C137,'Data SKU'!$D$5:$D$116,6)</f>
        <v>0</v>
      </c>
      <c r="I137" s="7" t="n">
        <f aca="false">SUMIFS('Data SKU'!$I$5:$I$116,'Data SKU'!$A$5:$A$116,$B137,'Data SKU'!$B$5:$B$116,$C137,'Data SKU'!$D$5:$D$116,7)</f>
        <v>-3057397.45</v>
      </c>
      <c r="J137" s="7" t="n">
        <f aca="false">SUMIFS('Data SKU'!$I$5:$I$116,'Data SKU'!$A$5:$A$116,$B137,'Data SKU'!$B$5:$B$116,$C137,'Data SKU'!$D$5:$D$116,8)</f>
        <v>0</v>
      </c>
      <c r="K137" s="9" t="n">
        <f aca="false">SUM(E137:J137)</f>
        <v>104785061.65</v>
      </c>
    </row>
    <row r="138" customFormat="false" ht="15" hidden="false" customHeight="false" outlineLevel="0" collapsed="false">
      <c r="B138" s="6" t="s">
        <v>875</v>
      </c>
      <c r="C138" s="6" t="s">
        <v>252</v>
      </c>
      <c r="D138" s="11" t="s">
        <v>867</v>
      </c>
      <c r="E138" s="57" t="n">
        <f aca="false">IFERROR(E137/E135,0)</f>
        <v>1</v>
      </c>
      <c r="F138" s="57" t="n">
        <f aca="false">IFERROR(F137/F135,0)</f>
        <v>0.999999971903731</v>
      </c>
      <c r="G138" s="57" t="n">
        <f aca="false">IFERROR(G137/G135,0)</f>
        <v>0.375453504837736</v>
      </c>
      <c r="H138" s="57" t="n">
        <f aca="false">IFERROR(H137/H135,0)</f>
        <v>0</v>
      </c>
      <c r="I138" s="57" t="n">
        <f aca="false">IFERROR(I137/I135,0)</f>
        <v>-0.125169950261955</v>
      </c>
      <c r="J138" s="57" t="n">
        <f aca="false">IFERROR(J137/J135,0)</f>
        <v>0</v>
      </c>
      <c r="K138" s="57" t="n">
        <f aca="false">IFERROR(K137/K135,0)</f>
        <v>0.629554571102119</v>
      </c>
    </row>
    <row r="139" customFormat="false" ht="15" hidden="false" customHeight="false" outlineLevel="0" collapsed="false">
      <c r="B139" s="6" t="s">
        <v>875</v>
      </c>
      <c r="C139" s="6" t="s">
        <v>252</v>
      </c>
      <c r="D139" s="6" t="s">
        <v>1482</v>
      </c>
      <c r="E139" s="9" t="n">
        <f aca="false">IFERROR(E135/E134,0)</f>
        <v>33272.7272727273</v>
      </c>
      <c r="F139" s="9" t="n">
        <f aca="false">IFERROR(F135/F134,0)</f>
        <v>29055.2200845059</v>
      </c>
      <c r="G139" s="9" t="n">
        <f aca="false">IFERROR(G135/G134,0)</f>
        <v>27456.1558879461</v>
      </c>
      <c r="H139" s="9" t="n">
        <f aca="false">IFERROR(H135/H134,0)</f>
        <v>0</v>
      </c>
      <c r="I139" s="9" t="n">
        <f aca="false">IFERROR(I135/I134,0)</f>
        <v>25735.6576160824</v>
      </c>
      <c r="J139" s="9" t="n">
        <f aca="false">IFERROR(J135/J134,0)</f>
        <v>0</v>
      </c>
      <c r="K139" s="9" t="n">
        <f aca="false">IFERROR(K135/K134,0)</f>
        <v>28331.8141275078</v>
      </c>
    </row>
    <row r="140" customFormat="false" ht="15" hidden="false" customHeight="false" outlineLevel="0" collapsed="false">
      <c r="B140" s="6" t="s">
        <v>875</v>
      </c>
      <c r="C140" s="6" t="s">
        <v>252</v>
      </c>
      <c r="D140" s="6" t="s">
        <v>1447</v>
      </c>
      <c r="E140" s="9" t="n">
        <f aca="false">IFERROR(E136/E134,0)</f>
        <v>0</v>
      </c>
      <c r="F140" s="9" t="n">
        <f aca="false">IFERROR(F136/F134,0)</f>
        <v>0.000816343274397998</v>
      </c>
      <c r="G140" s="9" t="n">
        <f aca="false">IFERROR(G136/G134,0)</f>
        <v>17147.6459304455</v>
      </c>
      <c r="H140" s="9" t="n">
        <f aca="false">IFERROR(H136/H134,0)</f>
        <v>0</v>
      </c>
      <c r="I140" s="9" t="n">
        <f aca="false">IFERROR(I136/I134,0)</f>
        <v>28956.9885998462</v>
      </c>
      <c r="J140" s="9" t="n">
        <f aca="false">IFERROR(J136/J134,0)</f>
        <v>0</v>
      </c>
      <c r="K140" s="9" t="n">
        <f aca="false">IFERROR(K136/K134,0)</f>
        <v>10495.3910359196</v>
      </c>
    </row>
    <row r="142" customFormat="false" ht="15" hidden="false" customHeight="false" outlineLevel="0" collapsed="false">
      <c r="B142" s="6" t="s">
        <v>875</v>
      </c>
      <c r="C142" s="6" t="s">
        <v>361</v>
      </c>
      <c r="D142" s="6" t="s">
        <v>1099</v>
      </c>
      <c r="E142" s="7" t="n">
        <f aca="false">SUMIFS('Data SKU'!$F$5:$F$116,'Data SKU'!$A$5:$A$116,$B142,'Data SKU'!$B$5:$B$116,$C142,'Data SKU'!$D$5:$D$116,3)</f>
        <v>241.5</v>
      </c>
      <c r="F142" s="7" t="n">
        <f aca="false">SUMIFS('Data SKU'!$F$5:$F$116,'Data SKU'!$A$5:$A$116,$B142,'Data SKU'!$B$5:$B$116,$C142,'Data SKU'!$D$5:$D$116,4)</f>
        <v>1248.47</v>
      </c>
      <c r="G142" s="7" t="n">
        <f aca="false">SUMIFS('Data SKU'!$F$5:$F$116,'Data SKU'!$A$5:$A$116,$B142,'Data SKU'!$B$5:$B$116,$C142,'Data SKU'!$D$5:$D$116,5)</f>
        <v>2392.03</v>
      </c>
      <c r="H142" s="7" t="n">
        <f aca="false">SUMIFS('Data SKU'!$F$5:$F$116,'Data SKU'!$A$5:$A$116,$B142,'Data SKU'!$B$5:$B$116,$C142,'Data SKU'!$D$5:$D$116,6)</f>
        <v>0</v>
      </c>
      <c r="I142" s="7" t="n">
        <f aca="false">SUMIFS('Data SKU'!$F$5:$F$116,'Data SKU'!$A$5:$A$116,$B142,'Data SKU'!$B$5:$B$116,$C142,'Data SKU'!$D$5:$D$116,7)</f>
        <v>0</v>
      </c>
      <c r="J142" s="7" t="n">
        <f aca="false">SUMIFS('Data SKU'!$F$5:$F$116,'Data SKU'!$A$5:$A$116,$B142,'Data SKU'!$B$5:$B$116,$C142,'Data SKU'!$D$5:$D$116,8)</f>
        <v>0</v>
      </c>
      <c r="K142" s="9" t="n">
        <f aca="false">SUM(E142:J142)</f>
        <v>3882</v>
      </c>
    </row>
    <row r="143" customFormat="false" ht="15" hidden="false" customHeight="false" outlineLevel="0" collapsed="false">
      <c r="B143" s="6" t="s">
        <v>875</v>
      </c>
      <c r="C143" s="6" t="s">
        <v>361</v>
      </c>
      <c r="D143" s="6" t="s">
        <v>311</v>
      </c>
      <c r="E143" s="7" t="n">
        <f aca="false">SUMIFS('Data SKU'!$G$5:$G$116,'Data SKU'!$A$5:$A$116,$B143,'Data SKU'!$B$5:$B$116,$C143,'Data SKU'!$D$5:$D$116,3)</f>
        <v>966000</v>
      </c>
      <c r="F143" s="7" t="n">
        <f aca="false">SUMIFS('Data SKU'!$G$5:$G$116,'Data SKU'!$A$5:$A$116,$B143,'Data SKU'!$B$5:$B$116,$C143,'Data SKU'!$D$5:$D$116,4)</f>
        <v>3059425</v>
      </c>
      <c r="G143" s="7" t="n">
        <f aca="false">SUMIFS('Data SKU'!$G$5:$G$116,'Data SKU'!$A$5:$A$116,$B143,'Data SKU'!$B$5:$B$116,$C143,'Data SKU'!$D$5:$D$116,5)</f>
        <v>7246090</v>
      </c>
      <c r="H143" s="7" t="n">
        <f aca="false">SUMIFS('Data SKU'!$G$5:$G$116,'Data SKU'!$A$5:$A$116,$B143,'Data SKU'!$B$5:$B$116,$C143,'Data SKU'!$D$5:$D$116,6)</f>
        <v>0</v>
      </c>
      <c r="I143" s="7" t="n">
        <f aca="false">SUMIFS('Data SKU'!$G$5:$G$116,'Data SKU'!$A$5:$A$116,$B143,'Data SKU'!$B$5:$B$116,$C143,'Data SKU'!$D$5:$D$116,7)</f>
        <v>0</v>
      </c>
      <c r="J143" s="7" t="n">
        <f aca="false">SUMIFS('Data SKU'!$G$5:$G$116,'Data SKU'!$A$5:$A$116,$B143,'Data SKU'!$B$5:$B$116,$C143,'Data SKU'!$D$5:$D$116,8)</f>
        <v>0</v>
      </c>
      <c r="K143" s="9" t="n">
        <f aca="false">SUM(E143:J143)</f>
        <v>11271515</v>
      </c>
    </row>
    <row r="144" customFormat="false" ht="15" hidden="false" customHeight="false" outlineLevel="0" collapsed="false">
      <c r="B144" s="6" t="s">
        <v>875</v>
      </c>
      <c r="C144" s="6" t="s">
        <v>361</v>
      </c>
      <c r="D144" s="6" t="s">
        <v>865</v>
      </c>
      <c r="E144" s="7" t="n">
        <f aca="false">SUMIFS('Data SKU'!$H$5:$H$116,'Data SKU'!$A$5:$A$116,$B144,'Data SKU'!$B$5:$B$116,$C144,'Data SKU'!$D$5:$D$116,3)</f>
        <v>0</v>
      </c>
      <c r="F144" s="7" t="n">
        <f aca="false">SUMIFS('Data SKU'!$H$5:$H$116,'Data SKU'!$A$5:$A$116,$B144,'Data SKU'!$B$5:$B$116,$C144,'Data SKU'!$D$5:$D$116,4)</f>
        <v>0</v>
      </c>
      <c r="G144" s="7" t="n">
        <f aca="false">SUMIFS('Data SKU'!$H$5:$H$116,'Data SKU'!$A$5:$A$116,$B144,'Data SKU'!$B$5:$B$116,$C144,'Data SKU'!$D$5:$D$116,5)</f>
        <v>16025508.59</v>
      </c>
      <c r="H144" s="7" t="n">
        <f aca="false">SUMIFS('Data SKU'!$H$5:$H$116,'Data SKU'!$A$5:$A$116,$B144,'Data SKU'!$B$5:$B$116,$C144,'Data SKU'!$D$5:$D$116,6)</f>
        <v>0</v>
      </c>
      <c r="I144" s="7" t="n">
        <f aca="false">SUMIFS('Data SKU'!$H$5:$H$116,'Data SKU'!$A$5:$A$116,$B144,'Data SKU'!$B$5:$B$116,$C144,'Data SKU'!$D$5:$D$116,7)</f>
        <v>0</v>
      </c>
      <c r="J144" s="7" t="n">
        <f aca="false">SUMIFS('Data SKU'!$H$5:$H$116,'Data SKU'!$A$5:$A$116,$B144,'Data SKU'!$B$5:$B$116,$C144,'Data SKU'!$D$5:$D$116,8)</f>
        <v>0</v>
      </c>
      <c r="K144" s="9" t="n">
        <f aca="false">SUM(E144:J144)</f>
        <v>16025508.59</v>
      </c>
    </row>
    <row r="145" customFormat="false" ht="15" hidden="false" customHeight="false" outlineLevel="0" collapsed="false">
      <c r="B145" s="6" t="s">
        <v>875</v>
      </c>
      <c r="C145" s="6" t="s">
        <v>361</v>
      </c>
      <c r="D145" s="6" t="s">
        <v>866</v>
      </c>
      <c r="E145" s="7" t="n">
        <f aca="false">SUMIFS('Data SKU'!$I$5:$I$116,'Data SKU'!$A$5:$A$116,$B145,'Data SKU'!$B$5:$B$116,$C145,'Data SKU'!$D$5:$D$116,3)</f>
        <v>966000</v>
      </c>
      <c r="F145" s="7" t="n">
        <f aca="false">SUMIFS('Data SKU'!$I$5:$I$116,'Data SKU'!$A$5:$A$116,$B145,'Data SKU'!$B$5:$B$116,$C145,'Data SKU'!$D$5:$D$116,4)</f>
        <v>3059425</v>
      </c>
      <c r="G145" s="7" t="n">
        <f aca="false">SUMIFS('Data SKU'!$I$5:$I$116,'Data SKU'!$A$5:$A$116,$B145,'Data SKU'!$B$5:$B$116,$C145,'Data SKU'!$D$5:$D$116,5)</f>
        <v>-8779418.59</v>
      </c>
      <c r="H145" s="7" t="n">
        <f aca="false">SUMIFS('Data SKU'!$I$5:$I$116,'Data SKU'!$A$5:$A$116,$B145,'Data SKU'!$B$5:$B$116,$C145,'Data SKU'!$D$5:$D$116,6)</f>
        <v>0</v>
      </c>
      <c r="I145" s="7" t="n">
        <f aca="false">SUMIFS('Data SKU'!$I$5:$I$116,'Data SKU'!$A$5:$A$116,$B145,'Data SKU'!$B$5:$B$116,$C145,'Data SKU'!$D$5:$D$116,7)</f>
        <v>0</v>
      </c>
      <c r="J145" s="7" t="n">
        <f aca="false">SUMIFS('Data SKU'!$I$5:$I$116,'Data SKU'!$A$5:$A$116,$B145,'Data SKU'!$B$5:$B$116,$C145,'Data SKU'!$D$5:$D$116,8)</f>
        <v>0</v>
      </c>
      <c r="K145" s="9" t="n">
        <f aca="false">SUM(E145:J145)</f>
        <v>-4753993.59</v>
      </c>
    </row>
    <row r="146" customFormat="false" ht="15" hidden="false" customHeight="false" outlineLevel="0" collapsed="false">
      <c r="B146" s="6" t="s">
        <v>875</v>
      </c>
      <c r="C146" s="6" t="s">
        <v>361</v>
      </c>
      <c r="D146" s="11" t="s">
        <v>867</v>
      </c>
      <c r="E146" s="57" t="n">
        <f aca="false">IFERROR(E145/E143,0)</f>
        <v>1</v>
      </c>
      <c r="F146" s="57" t="n">
        <f aca="false">IFERROR(F145/F143,0)</f>
        <v>1</v>
      </c>
      <c r="G146" s="57" t="n">
        <f aca="false">IFERROR(G145/G143,0)</f>
        <v>-1.21160772085359</v>
      </c>
      <c r="H146" s="57" t="n">
        <f aca="false">IFERROR(H145/H143,0)</f>
        <v>0</v>
      </c>
      <c r="I146" s="57" t="n">
        <f aca="false">IFERROR(I145/I143,0)</f>
        <v>0</v>
      </c>
      <c r="J146" s="57" t="n">
        <f aca="false">IFERROR(J145/J143,0)</f>
        <v>0</v>
      </c>
      <c r="K146" s="57" t="n">
        <f aca="false">IFERROR(K145/K143,0)</f>
        <v>-0.42177059516844</v>
      </c>
    </row>
    <row r="147" customFormat="false" ht="15" hidden="false" customHeight="false" outlineLevel="0" collapsed="false">
      <c r="B147" s="6" t="s">
        <v>875</v>
      </c>
      <c r="C147" s="6" t="s">
        <v>361</v>
      </c>
      <c r="D147" s="6" t="s">
        <v>1482</v>
      </c>
      <c r="E147" s="9" t="n">
        <f aca="false">IFERROR(E143/E142,0)</f>
        <v>4000</v>
      </c>
      <c r="F147" s="9" t="n">
        <f aca="false">IFERROR(F143/F142,0)</f>
        <v>2450.53946029941</v>
      </c>
      <c r="G147" s="9" t="n">
        <f aca="false">IFERROR(G143/G142,0)</f>
        <v>3029.26384702533</v>
      </c>
      <c r="H147" s="9" t="n">
        <f aca="false">IFERROR(H143/H142,0)</f>
        <v>0</v>
      </c>
      <c r="I147" s="9" t="n">
        <f aca="false">IFERROR(I143/I142,0)</f>
        <v>0</v>
      </c>
      <c r="J147" s="9" t="n">
        <f aca="false">IFERROR(J143/J142,0)</f>
        <v>0</v>
      </c>
      <c r="K147" s="9" t="n">
        <f aca="false">IFERROR(K143/K142,0)</f>
        <v>2903.53297269449</v>
      </c>
    </row>
    <row r="148" customFormat="false" ht="15" hidden="false" customHeight="false" outlineLevel="0" collapsed="false">
      <c r="B148" s="6" t="s">
        <v>875</v>
      </c>
      <c r="C148" s="6" t="s">
        <v>361</v>
      </c>
      <c r="D148" s="6" t="s">
        <v>1447</v>
      </c>
      <c r="E148" s="9" t="n">
        <f aca="false">IFERROR(E144/E142,0)</f>
        <v>0</v>
      </c>
      <c r="F148" s="9" t="n">
        <f aca="false">IFERROR(F144/F142,0)</f>
        <v>0</v>
      </c>
      <c r="G148" s="9" t="n">
        <f aca="false">IFERROR(G144/G142,0)</f>
        <v>6699.54331258387</v>
      </c>
      <c r="H148" s="9" t="n">
        <f aca="false">IFERROR(H144/H142,0)</f>
        <v>0</v>
      </c>
      <c r="I148" s="9" t="n">
        <f aca="false">IFERROR(I144/I142,0)</f>
        <v>0</v>
      </c>
      <c r="J148" s="9" t="n">
        <f aca="false">IFERROR(J144/J142,0)</f>
        <v>0</v>
      </c>
      <c r="K148" s="9" t="n">
        <f aca="false">IFERROR(K144/K142,0)</f>
        <v>4128.15780267903</v>
      </c>
    </row>
    <row r="150" customFormat="false" ht="15" hidden="false" customHeight="false" outlineLevel="0" collapsed="false">
      <c r="B150" s="6" t="s">
        <v>875</v>
      </c>
      <c r="C150" s="6" t="s">
        <v>253</v>
      </c>
      <c r="D150" s="6" t="s">
        <v>1099</v>
      </c>
      <c r="E150" s="7" t="n">
        <f aca="false">SUMIFS('Data SKU'!$F$5:$F$116,'Data SKU'!$A$5:$A$116,$B150,'Data SKU'!$B$5:$B$116,$C150,'Data SKU'!$D$5:$D$116,3)</f>
        <v>117</v>
      </c>
      <c r="F150" s="7" t="n">
        <f aca="false">SUMIFS('Data SKU'!$F$5:$F$116,'Data SKU'!$A$5:$A$116,$B150,'Data SKU'!$B$5:$B$116,$C150,'Data SKU'!$D$5:$D$116,4)</f>
        <v>158</v>
      </c>
      <c r="G150" s="7" t="n">
        <f aca="false">SUMIFS('Data SKU'!$F$5:$F$116,'Data SKU'!$A$5:$A$116,$B150,'Data SKU'!$B$5:$B$116,$C150,'Data SKU'!$D$5:$D$116,5)</f>
        <v>95</v>
      </c>
      <c r="H150" s="7" t="n">
        <f aca="false">SUMIFS('Data SKU'!$F$5:$F$116,'Data SKU'!$A$5:$A$116,$B150,'Data SKU'!$B$5:$B$116,$C150,'Data SKU'!$D$5:$D$116,6)</f>
        <v>0</v>
      </c>
      <c r="I150" s="7" t="n">
        <f aca="false">SUMIFS('Data SKU'!$F$5:$F$116,'Data SKU'!$A$5:$A$116,$B150,'Data SKU'!$B$5:$B$116,$C150,'Data SKU'!$D$5:$D$116,7)</f>
        <v>0</v>
      </c>
      <c r="J150" s="7" t="n">
        <f aca="false">SUMIFS('Data SKU'!$F$5:$F$116,'Data SKU'!$A$5:$A$116,$B150,'Data SKU'!$B$5:$B$116,$C150,'Data SKU'!$D$5:$D$116,8)</f>
        <v>5444.1</v>
      </c>
      <c r="K150" s="9" t="n">
        <f aca="false">SUM(E150:J150)</f>
        <v>5814.1</v>
      </c>
    </row>
    <row r="151" customFormat="false" ht="15" hidden="false" customHeight="false" outlineLevel="0" collapsed="false">
      <c r="B151" s="6" t="s">
        <v>875</v>
      </c>
      <c r="C151" s="6" t="s">
        <v>253</v>
      </c>
      <c r="D151" s="6" t="s">
        <v>311</v>
      </c>
      <c r="E151" s="7" t="n">
        <f aca="false">SUMIFS('Data SKU'!$G$5:$G$116,'Data SKU'!$A$5:$A$116,$B151,'Data SKU'!$B$5:$B$116,$C151,'Data SKU'!$D$5:$D$116,3)</f>
        <v>1755000</v>
      </c>
      <c r="F151" s="7" t="n">
        <f aca="false">SUMIFS('Data SKU'!$G$5:$G$116,'Data SKU'!$A$5:$A$116,$B151,'Data SKU'!$B$5:$B$116,$C151,'Data SKU'!$D$5:$D$116,4)</f>
        <v>2320000</v>
      </c>
      <c r="G151" s="7" t="n">
        <f aca="false">SUMIFS('Data SKU'!$G$5:$G$116,'Data SKU'!$A$5:$A$116,$B151,'Data SKU'!$B$5:$B$116,$C151,'Data SKU'!$D$5:$D$116,5)</f>
        <v>1330000</v>
      </c>
      <c r="H151" s="7" t="n">
        <f aca="false">SUMIFS('Data SKU'!$G$5:$G$116,'Data SKU'!$A$5:$A$116,$B151,'Data SKU'!$B$5:$B$116,$C151,'Data SKU'!$D$5:$D$116,6)</f>
        <v>0</v>
      </c>
      <c r="I151" s="7" t="n">
        <f aca="false">SUMIFS('Data SKU'!$G$5:$G$116,'Data SKU'!$A$5:$A$116,$B151,'Data SKU'!$B$5:$B$116,$C151,'Data SKU'!$D$5:$D$116,7)</f>
        <v>0</v>
      </c>
      <c r="J151" s="7" t="n">
        <f aca="false">SUMIFS('Data SKU'!$G$5:$G$116,'Data SKU'!$A$5:$A$116,$B151,'Data SKU'!$B$5:$B$116,$C151,'Data SKU'!$D$5:$D$116,8)</f>
        <v>8166150</v>
      </c>
      <c r="K151" s="9" t="n">
        <f aca="false">SUM(E151:J151)</f>
        <v>13571150</v>
      </c>
    </row>
    <row r="152" customFormat="false" ht="15" hidden="false" customHeight="false" outlineLevel="0" collapsed="false">
      <c r="B152" s="6" t="s">
        <v>875</v>
      </c>
      <c r="C152" s="6" t="s">
        <v>253</v>
      </c>
      <c r="D152" s="6" t="s">
        <v>865</v>
      </c>
      <c r="E152" s="7" t="n">
        <f aca="false">SUMIFS('Data SKU'!$H$5:$H$116,'Data SKU'!$A$5:$A$116,$B152,'Data SKU'!$B$5:$B$116,$C152,'Data SKU'!$D$5:$D$116,3)</f>
        <v>0</v>
      </c>
      <c r="F152" s="7" t="n">
        <f aca="false">SUMIFS('Data SKU'!$H$5:$H$116,'Data SKU'!$A$5:$A$116,$B152,'Data SKU'!$B$5:$B$116,$C152,'Data SKU'!$D$5:$D$116,4)</f>
        <v>0</v>
      </c>
      <c r="G152" s="7" t="n">
        <f aca="false">SUMIFS('Data SKU'!$H$5:$H$116,'Data SKU'!$A$5:$A$116,$B152,'Data SKU'!$B$5:$B$116,$C152,'Data SKU'!$D$5:$D$116,5)</f>
        <v>0</v>
      </c>
      <c r="H152" s="7" t="n">
        <f aca="false">SUMIFS('Data SKU'!$H$5:$H$116,'Data SKU'!$A$5:$A$116,$B152,'Data SKU'!$B$5:$B$116,$C152,'Data SKU'!$D$5:$D$116,6)</f>
        <v>0</v>
      </c>
      <c r="I152" s="7" t="n">
        <f aca="false">SUMIFS('Data SKU'!$H$5:$H$116,'Data SKU'!$A$5:$A$116,$B152,'Data SKU'!$B$5:$B$116,$C152,'Data SKU'!$D$5:$D$116,7)</f>
        <v>0</v>
      </c>
      <c r="J152" s="7" t="n">
        <f aca="false">SUMIFS('Data SKU'!$H$5:$H$116,'Data SKU'!$A$5:$A$116,$B152,'Data SKU'!$B$5:$B$116,$C152,'Data SKU'!$D$5:$D$116,8)</f>
        <v>14108925.2039693</v>
      </c>
      <c r="K152" s="9" t="n">
        <f aca="false">SUM(E152:J152)</f>
        <v>14108925.2039693</v>
      </c>
    </row>
    <row r="153" customFormat="false" ht="15" hidden="false" customHeight="false" outlineLevel="0" collapsed="false">
      <c r="B153" s="6" t="s">
        <v>875</v>
      </c>
      <c r="C153" s="6" t="s">
        <v>253</v>
      </c>
      <c r="D153" s="6" t="s">
        <v>866</v>
      </c>
      <c r="E153" s="7" t="n">
        <f aca="false">SUMIFS('Data SKU'!$I$5:$I$116,'Data SKU'!$A$5:$A$116,$B153,'Data SKU'!$B$5:$B$116,$C153,'Data SKU'!$D$5:$D$116,3)</f>
        <v>1755000</v>
      </c>
      <c r="F153" s="7" t="n">
        <f aca="false">SUMIFS('Data SKU'!$I$5:$I$116,'Data SKU'!$A$5:$A$116,$B153,'Data SKU'!$B$5:$B$116,$C153,'Data SKU'!$D$5:$D$116,4)</f>
        <v>2320000</v>
      </c>
      <c r="G153" s="7" t="n">
        <f aca="false">SUMIFS('Data SKU'!$I$5:$I$116,'Data SKU'!$A$5:$A$116,$B153,'Data SKU'!$B$5:$B$116,$C153,'Data SKU'!$D$5:$D$116,5)</f>
        <v>1330000</v>
      </c>
      <c r="H153" s="7" t="n">
        <f aca="false">SUMIFS('Data SKU'!$I$5:$I$116,'Data SKU'!$A$5:$A$116,$B153,'Data SKU'!$B$5:$B$116,$C153,'Data SKU'!$D$5:$D$116,6)</f>
        <v>0</v>
      </c>
      <c r="I153" s="7" t="n">
        <f aca="false">SUMIFS('Data SKU'!$I$5:$I$116,'Data SKU'!$A$5:$A$116,$B153,'Data SKU'!$B$5:$B$116,$C153,'Data SKU'!$D$5:$D$116,7)</f>
        <v>0</v>
      </c>
      <c r="J153" s="7" t="n">
        <f aca="false">SUMIFS('Data SKU'!$I$5:$I$116,'Data SKU'!$A$5:$A$116,$B153,'Data SKU'!$B$5:$B$116,$C153,'Data SKU'!$D$5:$D$116,8)</f>
        <v>-5942775.20396928</v>
      </c>
      <c r="K153" s="9" t="n">
        <f aca="false">SUM(E153:J153)</f>
        <v>-537775.203969276</v>
      </c>
    </row>
    <row r="154" customFormat="false" ht="15" hidden="false" customHeight="false" outlineLevel="0" collapsed="false">
      <c r="B154" s="6" t="s">
        <v>875</v>
      </c>
      <c r="C154" s="6" t="s">
        <v>253</v>
      </c>
      <c r="D154" s="11" t="s">
        <v>867</v>
      </c>
      <c r="E154" s="57" t="n">
        <f aca="false">IFERROR(E153/E151,0)</f>
        <v>1</v>
      </c>
      <c r="F154" s="57" t="n">
        <f aca="false">IFERROR(F153/F151,0)</f>
        <v>1</v>
      </c>
      <c r="G154" s="57" t="n">
        <f aca="false">IFERROR(G153/G151,0)</f>
        <v>1</v>
      </c>
      <c r="H154" s="57" t="n">
        <f aca="false">IFERROR(H153/H151,0)</f>
        <v>0</v>
      </c>
      <c r="I154" s="57" t="n">
        <f aca="false">IFERROR(I153/I151,0)</f>
        <v>0</v>
      </c>
      <c r="J154" s="57" t="n">
        <f aca="false">IFERROR(J153/J151,0)</f>
        <v>-0.727732799908069</v>
      </c>
      <c r="K154" s="57" t="n">
        <f aca="false">IFERROR(K153/K151,0)</f>
        <v>-0.0396263547281753</v>
      </c>
    </row>
    <row r="155" customFormat="false" ht="15" hidden="false" customHeight="false" outlineLevel="0" collapsed="false">
      <c r="B155" s="6" t="s">
        <v>875</v>
      </c>
      <c r="C155" s="6" t="s">
        <v>253</v>
      </c>
      <c r="D155" s="6" t="s">
        <v>1482</v>
      </c>
      <c r="E155" s="9" t="n">
        <f aca="false">IFERROR(E151/E150,0)</f>
        <v>15000</v>
      </c>
      <c r="F155" s="9" t="n">
        <f aca="false">IFERROR(F151/F150,0)</f>
        <v>14683.5443037975</v>
      </c>
      <c r="G155" s="9" t="n">
        <f aca="false">IFERROR(G151/G150,0)</f>
        <v>14000</v>
      </c>
      <c r="H155" s="9" t="n">
        <f aca="false">IFERROR(H151/H150,0)</f>
        <v>0</v>
      </c>
      <c r="I155" s="9" t="n">
        <f aca="false">IFERROR(I151/I150,0)</f>
        <v>0</v>
      </c>
      <c r="J155" s="9" t="n">
        <f aca="false">IFERROR(J151/J150,0)</f>
        <v>1500</v>
      </c>
      <c r="K155" s="9" t="n">
        <f aca="false">IFERROR(K151/K150,0)</f>
        <v>2334.17897868974</v>
      </c>
    </row>
    <row r="156" customFormat="false" ht="15" hidden="false" customHeight="false" outlineLevel="0" collapsed="false">
      <c r="B156" s="6" t="s">
        <v>875</v>
      </c>
      <c r="C156" s="6" t="s">
        <v>253</v>
      </c>
      <c r="D156" s="6" t="s">
        <v>1447</v>
      </c>
      <c r="E156" s="9" t="n">
        <f aca="false">IFERROR(E152/E150,0)</f>
        <v>0</v>
      </c>
      <c r="F156" s="9" t="n">
        <f aca="false">IFERROR(F152/F150,0)</f>
        <v>0</v>
      </c>
      <c r="G156" s="9" t="n">
        <f aca="false">IFERROR(G152/G150,0)</f>
        <v>0</v>
      </c>
      <c r="H156" s="9" t="n">
        <f aca="false">IFERROR(H152/H150,0)</f>
        <v>0</v>
      </c>
      <c r="I156" s="9" t="n">
        <f aca="false">IFERROR(I152/I150,0)</f>
        <v>0</v>
      </c>
      <c r="J156" s="9" t="n">
        <f aca="false">IFERROR(J152/J150,0)</f>
        <v>2591.5991998621</v>
      </c>
      <c r="K156" s="9" t="n">
        <f aca="false">IFERROR(K152/K150,0)</f>
        <v>2426.67398289835</v>
      </c>
    </row>
    <row r="158" customFormat="false" ht="15" hidden="false" customHeight="false" outlineLevel="0" collapsed="false">
      <c r="B158" s="6" t="s">
        <v>878</v>
      </c>
      <c r="C158" s="6" t="s">
        <v>236</v>
      </c>
      <c r="D158" s="6" t="s">
        <v>1099</v>
      </c>
      <c r="E158" s="7" t="n">
        <f aca="false">SUMIFS('Data SKU'!$F$5:$F$116,'Data SKU'!$A$5:$A$116,$B158,'Data SKU'!$B$5:$B$116,$C158,'Data SKU'!$D$5:$D$116,3)</f>
        <v>0</v>
      </c>
      <c r="F158" s="7" t="n">
        <f aca="false">SUMIFS('Data SKU'!$F$5:$F$116,'Data SKU'!$A$5:$A$116,$B158,'Data SKU'!$B$5:$B$116,$C158,'Data SKU'!$D$5:$D$116,4)</f>
        <v>3025.7</v>
      </c>
      <c r="G158" s="7" t="n">
        <f aca="false">SUMIFS('Data SKU'!$F$5:$F$116,'Data SKU'!$A$5:$A$116,$B158,'Data SKU'!$B$5:$B$116,$C158,'Data SKU'!$D$5:$D$116,5)</f>
        <v>0</v>
      </c>
      <c r="H158" s="7" t="n">
        <f aca="false">SUMIFS('Data SKU'!$F$5:$F$116,'Data SKU'!$A$5:$A$116,$B158,'Data SKU'!$B$5:$B$116,$C158,'Data SKU'!$D$5:$D$116,6)</f>
        <v>2605.65</v>
      </c>
      <c r="I158" s="7" t="n">
        <f aca="false">SUMIFS('Data SKU'!$F$5:$F$116,'Data SKU'!$A$5:$A$116,$B158,'Data SKU'!$B$5:$B$116,$C158,'Data SKU'!$D$5:$D$116,7)</f>
        <v>51091.07</v>
      </c>
      <c r="J158" s="7" t="n">
        <f aca="false">SUMIFS('Data SKU'!$F$5:$F$116,'Data SKU'!$A$5:$A$116,$B158,'Data SKU'!$B$5:$B$116,$C158,'Data SKU'!$D$5:$D$116,8)</f>
        <v>23881.06</v>
      </c>
      <c r="K158" s="9" t="n">
        <f aca="false">SUM(E158:J158)</f>
        <v>80603.48</v>
      </c>
    </row>
    <row r="159" customFormat="false" ht="15" hidden="false" customHeight="false" outlineLevel="0" collapsed="false">
      <c r="B159" s="6" t="s">
        <v>878</v>
      </c>
      <c r="C159" s="6" t="s">
        <v>236</v>
      </c>
      <c r="D159" s="6" t="s">
        <v>311</v>
      </c>
      <c r="E159" s="7" t="n">
        <f aca="false">SUMIFS('Data SKU'!$G$5:$G$116,'Data SKU'!$A$5:$A$116,$B159,'Data SKU'!$B$5:$B$116,$C159,'Data SKU'!$D$5:$D$116,3)</f>
        <v>0</v>
      </c>
      <c r="F159" s="7" t="n">
        <f aca="false">SUMIFS('Data SKU'!$G$5:$G$116,'Data SKU'!$A$5:$A$116,$B159,'Data SKU'!$B$5:$B$116,$C159,'Data SKU'!$D$5:$D$116,4)</f>
        <v>136156500</v>
      </c>
      <c r="G159" s="7" t="n">
        <f aca="false">SUMIFS('Data SKU'!$G$5:$G$116,'Data SKU'!$A$5:$A$116,$B159,'Data SKU'!$B$5:$B$116,$C159,'Data SKU'!$D$5:$D$116,5)</f>
        <v>0</v>
      </c>
      <c r="H159" s="7" t="n">
        <f aca="false">SUMIFS('Data SKU'!$G$5:$G$116,'Data SKU'!$A$5:$A$116,$B159,'Data SKU'!$B$5:$B$116,$C159,'Data SKU'!$D$5:$D$116,6)</f>
        <v>99227380</v>
      </c>
      <c r="I159" s="7" t="n">
        <f aca="false">SUMIFS('Data SKU'!$G$5:$G$116,'Data SKU'!$A$5:$A$116,$B159,'Data SKU'!$B$5:$B$116,$C159,'Data SKU'!$D$5:$D$116,7)</f>
        <v>1921787190</v>
      </c>
      <c r="J159" s="7" t="n">
        <f aca="false">SUMIFS('Data SKU'!$G$5:$G$116,'Data SKU'!$A$5:$A$116,$B159,'Data SKU'!$B$5:$B$116,$C159,'Data SKU'!$D$5:$D$116,8)</f>
        <v>1004997085</v>
      </c>
      <c r="K159" s="9" t="n">
        <f aca="false">SUM(E159:J159)</f>
        <v>3162168155</v>
      </c>
    </row>
    <row r="160" customFormat="false" ht="15" hidden="false" customHeight="false" outlineLevel="0" collapsed="false">
      <c r="B160" s="6" t="s">
        <v>878</v>
      </c>
      <c r="C160" s="6" t="s">
        <v>236</v>
      </c>
      <c r="D160" s="6" t="s">
        <v>865</v>
      </c>
      <c r="E160" s="7" t="n">
        <f aca="false">SUMIFS('Data SKU'!$H$5:$H$116,'Data SKU'!$A$5:$A$116,$B160,'Data SKU'!$B$5:$B$116,$C160,'Data SKU'!$D$5:$D$116,3)</f>
        <v>0</v>
      </c>
      <c r="F160" s="7" t="n">
        <f aca="false">SUMIFS('Data SKU'!$H$5:$H$116,'Data SKU'!$A$5:$A$116,$B160,'Data SKU'!$B$5:$B$116,$C160,'Data SKU'!$D$5:$D$116,4)</f>
        <v>130105100</v>
      </c>
      <c r="G160" s="7" t="n">
        <f aca="false">SUMIFS('Data SKU'!$H$5:$H$116,'Data SKU'!$A$5:$A$116,$B160,'Data SKU'!$B$5:$B$116,$C160,'Data SKU'!$D$5:$D$116,5)</f>
        <v>0</v>
      </c>
      <c r="H160" s="7" t="n">
        <f aca="false">SUMIFS('Data SKU'!$H$5:$H$116,'Data SKU'!$A$5:$A$116,$B160,'Data SKU'!$B$5:$B$116,$C160,'Data SKU'!$D$5:$D$116,6)</f>
        <v>96225623.25</v>
      </c>
      <c r="I160" s="7" t="n">
        <f aca="false">SUMIFS('Data SKU'!$H$5:$H$116,'Data SKU'!$A$5:$A$116,$B160,'Data SKU'!$B$5:$B$116,$C160,'Data SKU'!$D$5:$D$116,7)</f>
        <v>1579889406.64</v>
      </c>
      <c r="J160" s="7" t="n">
        <f aca="false">SUMIFS('Data SKU'!$H$5:$H$116,'Data SKU'!$A$5:$A$116,$B160,'Data SKU'!$B$5:$B$116,$C160,'Data SKU'!$D$5:$D$116,8)</f>
        <v>848407490.811876</v>
      </c>
      <c r="K160" s="9" t="n">
        <f aca="false">SUM(E160:J160)</f>
        <v>2654627620.70188</v>
      </c>
    </row>
    <row r="161" customFormat="false" ht="15" hidden="false" customHeight="false" outlineLevel="0" collapsed="false">
      <c r="B161" s="6" t="s">
        <v>878</v>
      </c>
      <c r="C161" s="6" t="s">
        <v>236</v>
      </c>
      <c r="D161" s="6" t="s">
        <v>866</v>
      </c>
      <c r="E161" s="7" t="n">
        <f aca="false">SUMIFS('Data SKU'!$I$5:$I$116,'Data SKU'!$A$5:$A$116,$B161,'Data SKU'!$B$5:$B$116,$C161,'Data SKU'!$D$5:$D$116,3)</f>
        <v>0</v>
      </c>
      <c r="F161" s="7" t="n">
        <f aca="false">SUMIFS('Data SKU'!$I$5:$I$116,'Data SKU'!$A$5:$A$116,$B161,'Data SKU'!$B$5:$B$116,$C161,'Data SKU'!$D$5:$D$116,4)</f>
        <v>6051400</v>
      </c>
      <c r="G161" s="7" t="n">
        <f aca="false">SUMIFS('Data SKU'!$I$5:$I$116,'Data SKU'!$A$5:$A$116,$B161,'Data SKU'!$B$5:$B$116,$C161,'Data SKU'!$D$5:$D$116,5)</f>
        <v>0</v>
      </c>
      <c r="H161" s="7" t="n">
        <f aca="false">SUMIFS('Data SKU'!$I$5:$I$116,'Data SKU'!$A$5:$A$116,$B161,'Data SKU'!$B$5:$B$116,$C161,'Data SKU'!$D$5:$D$116,6)</f>
        <v>3001756.75</v>
      </c>
      <c r="I161" s="7" t="n">
        <f aca="false">SUMIFS('Data SKU'!$I$5:$I$116,'Data SKU'!$A$5:$A$116,$B161,'Data SKU'!$B$5:$B$116,$C161,'Data SKU'!$D$5:$D$116,7)</f>
        <v>341897783.36</v>
      </c>
      <c r="J161" s="7" t="n">
        <f aca="false">SUMIFS('Data SKU'!$I$5:$I$116,'Data SKU'!$A$5:$A$116,$B161,'Data SKU'!$B$5:$B$116,$C161,'Data SKU'!$D$5:$D$116,8)</f>
        <v>156589594.188124</v>
      </c>
      <c r="K161" s="9" t="n">
        <f aca="false">SUM(E161:J161)</f>
        <v>507540534.298124</v>
      </c>
    </row>
    <row r="162" customFormat="false" ht="15" hidden="false" customHeight="false" outlineLevel="0" collapsed="false">
      <c r="B162" s="6" t="s">
        <v>878</v>
      </c>
      <c r="C162" s="6" t="s">
        <v>236</v>
      </c>
      <c r="D162" s="11" t="s">
        <v>867</v>
      </c>
      <c r="E162" s="57" t="n">
        <f aca="false">IFERROR(E161/E159,0)</f>
        <v>0</v>
      </c>
      <c r="F162" s="57" t="n">
        <f aca="false">IFERROR(F161/F159,0)</f>
        <v>0.0444444444444444</v>
      </c>
      <c r="G162" s="57" t="n">
        <f aca="false">IFERROR(G161/G159,0)</f>
        <v>0</v>
      </c>
      <c r="H162" s="57" t="n">
        <f aca="false">IFERROR(H161/H159,0)</f>
        <v>0.0302512950558606</v>
      </c>
      <c r="I162" s="57" t="n">
        <f aca="false">IFERROR(I161/I159,0)</f>
        <v>0.177906162107366</v>
      </c>
      <c r="J162" s="57" t="n">
        <f aca="false">IFERROR(J161/J159,0)</f>
        <v>0.155810993410119</v>
      </c>
      <c r="K162" s="57" t="n">
        <f aca="false">IFERROR(K161/K159,0)</f>
        <v>0.160503967347721</v>
      </c>
    </row>
    <row r="163" customFormat="false" ht="15" hidden="false" customHeight="false" outlineLevel="0" collapsed="false">
      <c r="B163" s="6" t="s">
        <v>878</v>
      </c>
      <c r="C163" s="6" t="s">
        <v>236</v>
      </c>
      <c r="D163" s="6" t="s">
        <v>1482</v>
      </c>
      <c r="E163" s="9" t="n">
        <f aca="false">IFERROR(E159/E158,0)</f>
        <v>0</v>
      </c>
      <c r="F163" s="9" t="n">
        <f aca="false">IFERROR(F159/F158,0)</f>
        <v>45000</v>
      </c>
      <c r="G163" s="9" t="n">
        <f aca="false">IFERROR(G159/G158,0)</f>
        <v>0</v>
      </c>
      <c r="H163" s="9" t="n">
        <f aca="false">IFERROR(H159/H158,0)</f>
        <v>38081.6226277512</v>
      </c>
      <c r="I163" s="9" t="n">
        <f aca="false">IFERROR(I159/I158,0)</f>
        <v>37614.9332946051</v>
      </c>
      <c r="J163" s="9" t="n">
        <f aca="false">IFERROR(J159/J158,0)</f>
        <v>42083.4370417394</v>
      </c>
      <c r="K163" s="9" t="n">
        <f aca="false">IFERROR(K159/K158,0)</f>
        <v>39231.1616694465</v>
      </c>
    </row>
    <row r="164" customFormat="false" ht="15" hidden="false" customHeight="false" outlineLevel="0" collapsed="false">
      <c r="B164" s="6" t="s">
        <v>878</v>
      </c>
      <c r="C164" s="6" t="s">
        <v>236</v>
      </c>
      <c r="D164" s="6" t="s">
        <v>1447</v>
      </c>
      <c r="E164" s="9" t="n">
        <f aca="false">IFERROR(E160/E158,0)</f>
        <v>0</v>
      </c>
      <c r="F164" s="9" t="n">
        <f aca="false">IFERROR(F160/F158,0)</f>
        <v>43000</v>
      </c>
      <c r="G164" s="9" t="n">
        <f aca="false">IFERROR(G160/G158,0)</f>
        <v>0</v>
      </c>
      <c r="H164" s="9" t="n">
        <f aca="false">IFERROR(H160/H158,0)</f>
        <v>36929.6042254332</v>
      </c>
      <c r="I164" s="9" t="n">
        <f aca="false">IFERROR(I160/I158,0)</f>
        <v>30923.0048742373</v>
      </c>
      <c r="J164" s="9" t="n">
        <f aca="false">IFERROR(J160/J158,0)</f>
        <v>35526.3749101537</v>
      </c>
      <c r="K164" s="9" t="n">
        <f aca="false">IFERROR(K160/K158,0)</f>
        <v>32934.4045778405</v>
      </c>
    </row>
    <row r="166" customFormat="false" ht="15" hidden="false" customHeight="false" outlineLevel="0" collapsed="false">
      <c r="B166" s="6" t="s">
        <v>878</v>
      </c>
      <c r="C166" s="6" t="s">
        <v>239</v>
      </c>
      <c r="D166" s="6" t="s">
        <v>1099</v>
      </c>
      <c r="E166" s="7" t="n">
        <f aca="false">SUMIFS('Data SKU'!$F$5:$F$116,'Data SKU'!$A$5:$A$116,$B166,'Data SKU'!$B$5:$B$116,$C166,'Data SKU'!$D$5:$D$116,3)</f>
        <v>0</v>
      </c>
      <c r="F166" s="7" t="n">
        <f aca="false">SUMIFS('Data SKU'!$F$5:$F$116,'Data SKU'!$A$5:$A$116,$B166,'Data SKU'!$B$5:$B$116,$C166,'Data SKU'!$D$5:$D$116,4)</f>
        <v>0</v>
      </c>
      <c r="G166" s="7" t="n">
        <f aca="false">SUMIFS('Data SKU'!$F$5:$F$116,'Data SKU'!$A$5:$A$116,$B166,'Data SKU'!$B$5:$B$116,$C166,'Data SKU'!$D$5:$D$116,5)</f>
        <v>0</v>
      </c>
      <c r="H166" s="7" t="n">
        <f aca="false">SUMIFS('Data SKU'!$F$5:$F$116,'Data SKU'!$A$5:$A$116,$B166,'Data SKU'!$B$5:$B$116,$C166,'Data SKU'!$D$5:$D$116,6)</f>
        <v>0</v>
      </c>
      <c r="I166" s="7" t="n">
        <f aca="false">SUMIFS('Data SKU'!$F$5:$F$116,'Data SKU'!$A$5:$A$116,$B166,'Data SKU'!$B$5:$B$116,$C166,'Data SKU'!$D$5:$D$116,7)</f>
        <v>16076.61</v>
      </c>
      <c r="J166" s="7" t="n">
        <f aca="false">SUMIFS('Data SKU'!$F$5:$F$116,'Data SKU'!$A$5:$A$116,$B166,'Data SKU'!$B$5:$B$116,$C166,'Data SKU'!$D$5:$D$116,8)</f>
        <v>34962.59</v>
      </c>
      <c r="K166" s="9" t="n">
        <f aca="false">SUM(E166:J166)</f>
        <v>51039.2</v>
      </c>
    </row>
    <row r="167" customFormat="false" ht="15" hidden="false" customHeight="false" outlineLevel="0" collapsed="false">
      <c r="B167" s="6" t="s">
        <v>878</v>
      </c>
      <c r="C167" s="6" t="s">
        <v>239</v>
      </c>
      <c r="D167" s="6" t="s">
        <v>311</v>
      </c>
      <c r="E167" s="7" t="n">
        <f aca="false">SUMIFS('Data SKU'!$G$5:$G$116,'Data SKU'!$A$5:$A$116,$B167,'Data SKU'!$B$5:$B$116,$C167,'Data SKU'!$D$5:$D$116,3)</f>
        <v>0</v>
      </c>
      <c r="F167" s="7" t="n">
        <f aca="false">SUMIFS('Data SKU'!$G$5:$G$116,'Data SKU'!$A$5:$A$116,$B167,'Data SKU'!$B$5:$B$116,$C167,'Data SKU'!$D$5:$D$116,4)</f>
        <v>0</v>
      </c>
      <c r="G167" s="7" t="n">
        <f aca="false">SUMIFS('Data SKU'!$G$5:$G$116,'Data SKU'!$A$5:$A$116,$B167,'Data SKU'!$B$5:$B$116,$C167,'Data SKU'!$D$5:$D$116,5)</f>
        <v>0</v>
      </c>
      <c r="H167" s="7" t="n">
        <f aca="false">SUMIFS('Data SKU'!$G$5:$G$116,'Data SKU'!$A$5:$A$116,$B167,'Data SKU'!$B$5:$B$116,$C167,'Data SKU'!$D$5:$D$116,6)</f>
        <v>0</v>
      </c>
      <c r="I167" s="7" t="n">
        <f aca="false">SUMIFS('Data SKU'!$G$5:$G$116,'Data SKU'!$A$5:$A$116,$B167,'Data SKU'!$B$5:$B$116,$C167,'Data SKU'!$D$5:$D$116,7)</f>
        <v>536846363.2</v>
      </c>
      <c r="J167" s="7" t="n">
        <f aca="false">SUMIFS('Data SKU'!$G$5:$G$116,'Data SKU'!$A$5:$A$116,$B167,'Data SKU'!$B$5:$B$116,$C167,'Data SKU'!$D$5:$D$116,8)</f>
        <v>1506981013.69622</v>
      </c>
      <c r="K167" s="9" t="n">
        <f aca="false">SUM(E167:J167)</f>
        <v>2043827376.89622</v>
      </c>
    </row>
    <row r="168" customFormat="false" ht="15" hidden="false" customHeight="false" outlineLevel="0" collapsed="false">
      <c r="B168" s="6" t="s">
        <v>878</v>
      </c>
      <c r="C168" s="6" t="s">
        <v>239</v>
      </c>
      <c r="D168" s="6" t="s">
        <v>865</v>
      </c>
      <c r="E168" s="7" t="n">
        <f aca="false">SUMIFS('Data SKU'!$H$5:$H$116,'Data SKU'!$A$5:$A$116,$B168,'Data SKU'!$B$5:$B$116,$C168,'Data SKU'!$D$5:$D$116,3)</f>
        <v>0</v>
      </c>
      <c r="F168" s="7" t="n">
        <f aca="false">SUMIFS('Data SKU'!$H$5:$H$116,'Data SKU'!$A$5:$A$116,$B168,'Data SKU'!$B$5:$B$116,$C168,'Data SKU'!$D$5:$D$116,4)</f>
        <v>0</v>
      </c>
      <c r="G168" s="7" t="n">
        <f aca="false">SUMIFS('Data SKU'!$H$5:$H$116,'Data SKU'!$A$5:$A$116,$B168,'Data SKU'!$B$5:$B$116,$C168,'Data SKU'!$D$5:$D$116,5)</f>
        <v>0</v>
      </c>
      <c r="H168" s="7" t="n">
        <f aca="false">SUMIFS('Data SKU'!$H$5:$H$116,'Data SKU'!$A$5:$A$116,$B168,'Data SKU'!$B$5:$B$116,$C168,'Data SKU'!$D$5:$D$116,6)</f>
        <v>0</v>
      </c>
      <c r="I168" s="7" t="n">
        <f aca="false">SUMIFS('Data SKU'!$H$5:$H$116,'Data SKU'!$A$5:$A$116,$B168,'Data SKU'!$B$5:$B$116,$C168,'Data SKU'!$D$5:$D$116,7)</f>
        <v>452631118.64</v>
      </c>
      <c r="J168" s="7" t="n">
        <f aca="false">SUMIFS('Data SKU'!$H$5:$H$116,'Data SKU'!$A$5:$A$116,$B168,'Data SKU'!$B$5:$B$116,$C168,'Data SKU'!$D$5:$D$116,8)</f>
        <v>1297994750.21794</v>
      </c>
      <c r="K168" s="9" t="n">
        <f aca="false">SUM(E168:J168)</f>
        <v>1750625868.85794</v>
      </c>
    </row>
    <row r="169" customFormat="false" ht="15" hidden="false" customHeight="false" outlineLevel="0" collapsed="false">
      <c r="B169" s="6" t="s">
        <v>878</v>
      </c>
      <c r="C169" s="6" t="s">
        <v>239</v>
      </c>
      <c r="D169" s="6" t="s">
        <v>866</v>
      </c>
      <c r="E169" s="7" t="n">
        <f aca="false">SUMIFS('Data SKU'!$I$5:$I$116,'Data SKU'!$A$5:$A$116,$B169,'Data SKU'!$B$5:$B$116,$C169,'Data SKU'!$D$5:$D$116,3)</f>
        <v>0</v>
      </c>
      <c r="F169" s="7" t="n">
        <f aca="false">SUMIFS('Data SKU'!$I$5:$I$116,'Data SKU'!$A$5:$A$116,$B169,'Data SKU'!$B$5:$B$116,$C169,'Data SKU'!$D$5:$D$116,4)</f>
        <v>0</v>
      </c>
      <c r="G169" s="7" t="n">
        <f aca="false">SUMIFS('Data SKU'!$I$5:$I$116,'Data SKU'!$A$5:$A$116,$B169,'Data SKU'!$B$5:$B$116,$C169,'Data SKU'!$D$5:$D$116,5)</f>
        <v>0</v>
      </c>
      <c r="H169" s="7" t="n">
        <f aca="false">SUMIFS('Data SKU'!$I$5:$I$116,'Data SKU'!$A$5:$A$116,$B169,'Data SKU'!$B$5:$B$116,$C169,'Data SKU'!$D$5:$D$116,6)</f>
        <v>0</v>
      </c>
      <c r="I169" s="7" t="n">
        <f aca="false">SUMIFS('Data SKU'!$I$5:$I$116,'Data SKU'!$A$5:$A$116,$B169,'Data SKU'!$B$5:$B$116,$C169,'Data SKU'!$D$5:$D$116,7)</f>
        <v>84215244.56</v>
      </c>
      <c r="J169" s="7" t="n">
        <f aca="false">SUMIFS('Data SKU'!$I$5:$I$116,'Data SKU'!$A$5:$A$116,$B169,'Data SKU'!$B$5:$B$116,$C169,'Data SKU'!$D$5:$D$116,8)</f>
        <v>208986263.478276</v>
      </c>
      <c r="K169" s="9" t="n">
        <f aca="false">SUM(E169:J169)</f>
        <v>293201508.038276</v>
      </c>
    </row>
    <row r="170" customFormat="false" ht="15" hidden="false" customHeight="false" outlineLevel="0" collapsed="false">
      <c r="B170" s="6" t="s">
        <v>878</v>
      </c>
      <c r="C170" s="6" t="s">
        <v>239</v>
      </c>
      <c r="D170" s="11" t="s">
        <v>867</v>
      </c>
      <c r="E170" s="57" t="n">
        <f aca="false">IFERROR(E169/E167,0)</f>
        <v>0</v>
      </c>
      <c r="F170" s="57" t="n">
        <f aca="false">IFERROR(F169/F167,0)</f>
        <v>0</v>
      </c>
      <c r="G170" s="57" t="n">
        <f aca="false">IFERROR(G169/G167,0)</f>
        <v>0</v>
      </c>
      <c r="H170" s="57" t="n">
        <f aca="false">IFERROR(H169/H167,0)</f>
        <v>0</v>
      </c>
      <c r="I170" s="57" t="n">
        <f aca="false">IFERROR(I169/I167,0)</f>
        <v>0.1568702897753</v>
      </c>
      <c r="J170" s="57" t="n">
        <f aca="false">IFERROR(J169/J167,0)</f>
        <v>0.138678763420973</v>
      </c>
      <c r="K170" s="57" t="n">
        <f aca="false">IFERROR(K169/K167,0)</f>
        <v>0.143457080256717</v>
      </c>
    </row>
    <row r="171" customFormat="false" ht="15" hidden="false" customHeight="false" outlineLevel="0" collapsed="false">
      <c r="B171" s="6" t="s">
        <v>878</v>
      </c>
      <c r="C171" s="6" t="s">
        <v>239</v>
      </c>
      <c r="D171" s="6" t="s">
        <v>1482</v>
      </c>
      <c r="E171" s="9" t="n">
        <f aca="false">IFERROR(E167/E166,0)</f>
        <v>0</v>
      </c>
      <c r="F171" s="9" t="n">
        <f aca="false">IFERROR(F167/F166,0)</f>
        <v>0</v>
      </c>
      <c r="G171" s="9" t="n">
        <f aca="false">IFERROR(G167/G166,0)</f>
        <v>0</v>
      </c>
      <c r="H171" s="9" t="n">
        <f aca="false">IFERROR(H167/H166,0)</f>
        <v>0</v>
      </c>
      <c r="I171" s="9" t="n">
        <f aca="false">IFERROR(I167/I166,0)</f>
        <v>33393.0078045061</v>
      </c>
      <c r="J171" s="9" t="n">
        <f aca="false">IFERROR(J167/J166,0)</f>
        <v>43102.6709890834</v>
      </c>
      <c r="K171" s="9" t="n">
        <f aca="false">IFERROR(K167/K166,0)</f>
        <v>40044.2674825667</v>
      </c>
    </row>
    <row r="172" customFormat="false" ht="15" hidden="false" customHeight="false" outlineLevel="0" collapsed="false">
      <c r="B172" s="6" t="s">
        <v>878</v>
      </c>
      <c r="C172" s="6" t="s">
        <v>239</v>
      </c>
      <c r="D172" s="6" t="s">
        <v>1447</v>
      </c>
      <c r="E172" s="9" t="n">
        <f aca="false">IFERROR(E168/E166,0)</f>
        <v>0</v>
      </c>
      <c r="F172" s="9" t="n">
        <f aca="false">IFERROR(F168/F166,0)</f>
        <v>0</v>
      </c>
      <c r="G172" s="9" t="n">
        <f aca="false">IFERROR(G168/G166,0)</f>
        <v>0</v>
      </c>
      <c r="H172" s="9" t="n">
        <f aca="false">IFERROR(H168/H166,0)</f>
        <v>0</v>
      </c>
      <c r="I172" s="9" t="n">
        <f aca="false">IFERROR(I168/I166,0)</f>
        <v>28154.6369937443</v>
      </c>
      <c r="J172" s="9" t="n">
        <f aca="false">IFERROR(J168/J166,0)</f>
        <v>37125.2458761763</v>
      </c>
      <c r="K172" s="9" t="n">
        <f aca="false">IFERROR(K168/K166,0)</f>
        <v>34299.6337884987</v>
      </c>
    </row>
    <row r="174" customFormat="false" ht="15" hidden="false" customHeight="false" outlineLevel="0" collapsed="false">
      <c r="B174" s="6" t="s">
        <v>878</v>
      </c>
      <c r="C174" s="6" t="s">
        <v>1484</v>
      </c>
      <c r="D174" s="6" t="s">
        <v>1099</v>
      </c>
      <c r="E174" s="7" t="n">
        <f aca="false">SUMIFS('Data SKU'!$F$5:$F$116,'Data SKU'!$A$5:$A$116,$B174,'Data SKU'!$B$5:$B$116,$C174,'Data SKU'!$D$5:$D$116,3)</f>
        <v>0</v>
      </c>
      <c r="F174" s="7" t="n">
        <f aca="false">SUMIFS('Data SKU'!$F$5:$F$116,'Data SKU'!$A$5:$A$116,$B174,'Data SKU'!$B$5:$B$116,$C174,'Data SKU'!$D$5:$D$116,4)</f>
        <v>0</v>
      </c>
      <c r="G174" s="7" t="n">
        <f aca="false">SUMIFS('Data SKU'!$F$5:$F$116,'Data SKU'!$A$5:$A$116,$B174,'Data SKU'!$B$5:$B$116,$C174,'Data SKU'!$D$5:$D$116,5)</f>
        <v>1076.68</v>
      </c>
      <c r="H174" s="7" t="n">
        <f aca="false">SUMIFS('Data SKU'!$F$5:$F$116,'Data SKU'!$A$5:$A$116,$B174,'Data SKU'!$B$5:$B$116,$C174,'Data SKU'!$D$5:$D$116,6)</f>
        <v>0</v>
      </c>
      <c r="I174" s="7" t="n">
        <f aca="false">SUMIFS('Data SKU'!$F$5:$F$116,'Data SKU'!$A$5:$A$116,$B174,'Data SKU'!$B$5:$B$116,$C174,'Data SKU'!$D$5:$D$116,7)</f>
        <v>0</v>
      </c>
      <c r="J174" s="7" t="n">
        <f aca="false">SUMIFS('Data SKU'!$F$5:$F$116,'Data SKU'!$A$5:$A$116,$B174,'Data SKU'!$B$5:$B$116,$C174,'Data SKU'!$D$5:$D$116,8)</f>
        <v>0</v>
      </c>
      <c r="K174" s="9" t="n">
        <f aca="false">SUM(E174:J174)</f>
        <v>1076.68</v>
      </c>
    </row>
    <row r="175" customFormat="false" ht="15" hidden="false" customHeight="false" outlineLevel="0" collapsed="false">
      <c r="B175" s="6" t="s">
        <v>878</v>
      </c>
      <c r="C175" s="6" t="s">
        <v>1484</v>
      </c>
      <c r="D175" s="6" t="s">
        <v>311</v>
      </c>
      <c r="E175" s="7" t="n">
        <f aca="false">SUMIFS('Data SKU'!$G$5:$G$116,'Data SKU'!$A$5:$A$116,$B175,'Data SKU'!$B$5:$B$116,$C175,'Data SKU'!$D$5:$D$116,3)</f>
        <v>0</v>
      </c>
      <c r="F175" s="7" t="n">
        <f aca="false">SUMIFS('Data SKU'!$G$5:$G$116,'Data SKU'!$A$5:$A$116,$B175,'Data SKU'!$B$5:$B$116,$C175,'Data SKU'!$D$5:$D$116,4)</f>
        <v>0</v>
      </c>
      <c r="G175" s="7" t="n">
        <f aca="false">SUMIFS('Data SKU'!$G$5:$G$116,'Data SKU'!$A$5:$A$116,$B175,'Data SKU'!$B$5:$B$116,$C175,'Data SKU'!$D$5:$D$116,5)</f>
        <v>36607120</v>
      </c>
      <c r="H175" s="7" t="n">
        <f aca="false">SUMIFS('Data SKU'!$G$5:$G$116,'Data SKU'!$A$5:$A$116,$B175,'Data SKU'!$B$5:$B$116,$C175,'Data SKU'!$D$5:$D$116,6)</f>
        <v>0</v>
      </c>
      <c r="I175" s="7" t="n">
        <f aca="false">SUMIFS('Data SKU'!$G$5:$G$116,'Data SKU'!$A$5:$A$116,$B175,'Data SKU'!$B$5:$B$116,$C175,'Data SKU'!$D$5:$D$116,7)</f>
        <v>0</v>
      </c>
      <c r="J175" s="7" t="n">
        <f aca="false">SUMIFS('Data SKU'!$G$5:$G$116,'Data SKU'!$A$5:$A$116,$B175,'Data SKU'!$B$5:$B$116,$C175,'Data SKU'!$D$5:$D$116,8)</f>
        <v>0</v>
      </c>
      <c r="K175" s="9" t="n">
        <f aca="false">SUM(E175:J175)</f>
        <v>36607120</v>
      </c>
    </row>
    <row r="176" customFormat="false" ht="15" hidden="false" customHeight="false" outlineLevel="0" collapsed="false">
      <c r="B176" s="6" t="s">
        <v>878</v>
      </c>
      <c r="C176" s="6" t="s">
        <v>1484</v>
      </c>
      <c r="D176" s="6" t="s">
        <v>865</v>
      </c>
      <c r="E176" s="7" t="n">
        <f aca="false">SUMIFS('Data SKU'!$H$5:$H$116,'Data SKU'!$A$5:$A$116,$B176,'Data SKU'!$B$5:$B$116,$C176,'Data SKU'!$D$5:$D$116,3)</f>
        <v>0</v>
      </c>
      <c r="F176" s="7" t="n">
        <f aca="false">SUMIFS('Data SKU'!$H$5:$H$116,'Data SKU'!$A$5:$A$116,$B176,'Data SKU'!$B$5:$B$116,$C176,'Data SKU'!$D$5:$D$116,4)</f>
        <v>0</v>
      </c>
      <c r="G176" s="7" t="n">
        <f aca="false">SUMIFS('Data SKU'!$H$5:$H$116,'Data SKU'!$A$5:$A$116,$B176,'Data SKU'!$B$5:$B$116,$C176,'Data SKU'!$D$5:$D$116,5)</f>
        <v>34453760</v>
      </c>
      <c r="H176" s="7" t="n">
        <f aca="false">SUMIFS('Data SKU'!$H$5:$H$116,'Data SKU'!$A$5:$A$116,$B176,'Data SKU'!$B$5:$B$116,$C176,'Data SKU'!$D$5:$D$116,6)</f>
        <v>0</v>
      </c>
      <c r="I176" s="7" t="n">
        <f aca="false">SUMIFS('Data SKU'!$H$5:$H$116,'Data SKU'!$A$5:$A$116,$B176,'Data SKU'!$B$5:$B$116,$C176,'Data SKU'!$D$5:$D$116,7)</f>
        <v>0</v>
      </c>
      <c r="J176" s="7" t="n">
        <f aca="false">SUMIFS('Data SKU'!$H$5:$H$116,'Data SKU'!$A$5:$A$116,$B176,'Data SKU'!$B$5:$B$116,$C176,'Data SKU'!$D$5:$D$116,8)</f>
        <v>0</v>
      </c>
      <c r="K176" s="9" t="n">
        <f aca="false">SUM(E176:J176)</f>
        <v>34453760</v>
      </c>
    </row>
    <row r="177" customFormat="false" ht="15" hidden="false" customHeight="false" outlineLevel="0" collapsed="false">
      <c r="B177" s="6" t="s">
        <v>878</v>
      </c>
      <c r="C177" s="6" t="s">
        <v>1484</v>
      </c>
      <c r="D177" s="6" t="s">
        <v>866</v>
      </c>
      <c r="E177" s="7" t="n">
        <f aca="false">SUMIFS('Data SKU'!$I$5:$I$116,'Data SKU'!$A$5:$A$116,$B177,'Data SKU'!$B$5:$B$116,$C177,'Data SKU'!$D$5:$D$116,3)</f>
        <v>0</v>
      </c>
      <c r="F177" s="7" t="n">
        <f aca="false">SUMIFS('Data SKU'!$I$5:$I$116,'Data SKU'!$A$5:$A$116,$B177,'Data SKU'!$B$5:$B$116,$C177,'Data SKU'!$D$5:$D$116,4)</f>
        <v>0</v>
      </c>
      <c r="G177" s="7" t="n">
        <f aca="false">SUMIFS('Data SKU'!$I$5:$I$116,'Data SKU'!$A$5:$A$116,$B177,'Data SKU'!$B$5:$B$116,$C177,'Data SKU'!$D$5:$D$116,5)</f>
        <v>2153360</v>
      </c>
      <c r="H177" s="7" t="n">
        <f aca="false">SUMIFS('Data SKU'!$I$5:$I$116,'Data SKU'!$A$5:$A$116,$B177,'Data SKU'!$B$5:$B$116,$C177,'Data SKU'!$D$5:$D$116,6)</f>
        <v>0</v>
      </c>
      <c r="I177" s="7" t="n">
        <f aca="false">SUMIFS('Data SKU'!$I$5:$I$116,'Data SKU'!$A$5:$A$116,$B177,'Data SKU'!$B$5:$B$116,$C177,'Data SKU'!$D$5:$D$116,7)</f>
        <v>0</v>
      </c>
      <c r="J177" s="7" t="n">
        <f aca="false">SUMIFS('Data SKU'!$I$5:$I$116,'Data SKU'!$A$5:$A$116,$B177,'Data SKU'!$B$5:$B$116,$C177,'Data SKU'!$D$5:$D$116,8)</f>
        <v>0</v>
      </c>
      <c r="K177" s="9" t="n">
        <f aca="false">SUM(E177:J177)</f>
        <v>2153360</v>
      </c>
    </row>
    <row r="178" customFormat="false" ht="15" hidden="false" customHeight="false" outlineLevel="0" collapsed="false">
      <c r="B178" s="6" t="s">
        <v>878</v>
      </c>
      <c r="C178" s="6" t="s">
        <v>1484</v>
      </c>
      <c r="D178" s="11" t="s">
        <v>867</v>
      </c>
      <c r="E178" s="57" t="n">
        <f aca="false">IFERROR(E177/E175,0)</f>
        <v>0</v>
      </c>
      <c r="F178" s="57" t="n">
        <f aca="false">IFERROR(F177/F175,0)</f>
        <v>0</v>
      </c>
      <c r="G178" s="57" t="n">
        <f aca="false">IFERROR(G177/G175,0)</f>
        <v>0.0588235294117647</v>
      </c>
      <c r="H178" s="57" t="n">
        <f aca="false">IFERROR(H177/H175,0)</f>
        <v>0</v>
      </c>
      <c r="I178" s="57" t="n">
        <f aca="false">IFERROR(I177/I175,0)</f>
        <v>0</v>
      </c>
      <c r="J178" s="57" t="n">
        <f aca="false">IFERROR(J177/J175,0)</f>
        <v>0</v>
      </c>
      <c r="K178" s="57" t="n">
        <f aca="false">IFERROR(K177/K175,0)</f>
        <v>0.0588235294117647</v>
      </c>
    </row>
    <row r="179" customFormat="false" ht="15" hidden="false" customHeight="false" outlineLevel="0" collapsed="false">
      <c r="B179" s="6" t="s">
        <v>878</v>
      </c>
      <c r="C179" s="6" t="s">
        <v>1484</v>
      </c>
      <c r="D179" s="6" t="s">
        <v>1482</v>
      </c>
      <c r="E179" s="9" t="n">
        <f aca="false">IFERROR(E175/E174,0)</f>
        <v>0</v>
      </c>
      <c r="F179" s="9" t="n">
        <f aca="false">IFERROR(F175/F174,0)</f>
        <v>0</v>
      </c>
      <c r="G179" s="9" t="n">
        <f aca="false">IFERROR(G175/G174,0)</f>
        <v>34000</v>
      </c>
      <c r="H179" s="9" t="n">
        <f aca="false">IFERROR(H175/H174,0)</f>
        <v>0</v>
      </c>
      <c r="I179" s="9" t="n">
        <f aca="false">IFERROR(I175/I174,0)</f>
        <v>0</v>
      </c>
      <c r="J179" s="9" t="n">
        <f aca="false">IFERROR(J175/J174,0)</f>
        <v>0</v>
      </c>
      <c r="K179" s="9" t="n">
        <f aca="false">IFERROR(K175/K174,0)</f>
        <v>34000</v>
      </c>
    </row>
    <row r="180" customFormat="false" ht="15" hidden="false" customHeight="false" outlineLevel="0" collapsed="false">
      <c r="B180" s="6" t="s">
        <v>878</v>
      </c>
      <c r="C180" s="6" t="s">
        <v>1484</v>
      </c>
      <c r="D180" s="6" t="s">
        <v>1447</v>
      </c>
      <c r="E180" s="9" t="n">
        <f aca="false">IFERROR(E176/E174,0)</f>
        <v>0</v>
      </c>
      <c r="F180" s="9" t="n">
        <f aca="false">IFERROR(F176/F174,0)</f>
        <v>0</v>
      </c>
      <c r="G180" s="9" t="n">
        <f aca="false">IFERROR(G176/G174,0)</f>
        <v>32000</v>
      </c>
      <c r="H180" s="9" t="n">
        <f aca="false">IFERROR(H176/H174,0)</f>
        <v>0</v>
      </c>
      <c r="I180" s="9" t="n">
        <f aca="false">IFERROR(I176/I174,0)</f>
        <v>0</v>
      </c>
      <c r="J180" s="9" t="n">
        <f aca="false">IFERROR(J176/J174,0)</f>
        <v>0</v>
      </c>
      <c r="K180" s="9" t="n">
        <f aca="false">IFERROR(K176/K174,0)</f>
        <v>32000</v>
      </c>
    </row>
    <row r="182" customFormat="false" ht="15" hidden="false" customHeight="false" outlineLevel="0" collapsed="false">
      <c r="B182" s="6" t="s">
        <v>878</v>
      </c>
      <c r="C182" s="6" t="s">
        <v>240</v>
      </c>
      <c r="D182" s="6" t="s">
        <v>1099</v>
      </c>
      <c r="E182" s="7" t="n">
        <f aca="false">SUMIFS('Data SKU'!$F$5:$F$116,'Data SKU'!$A$5:$A$116,$B182,'Data SKU'!$B$5:$B$116,$C182,'Data SKU'!$D$5:$D$116,3)</f>
        <v>0</v>
      </c>
      <c r="F182" s="7" t="n">
        <f aca="false">SUMIFS('Data SKU'!$F$5:$F$116,'Data SKU'!$A$5:$A$116,$B182,'Data SKU'!$B$5:$B$116,$C182,'Data SKU'!$D$5:$D$116,4)</f>
        <v>0</v>
      </c>
      <c r="G182" s="7" t="n">
        <f aca="false">SUMIFS('Data SKU'!$F$5:$F$116,'Data SKU'!$A$5:$A$116,$B182,'Data SKU'!$B$5:$B$116,$C182,'Data SKU'!$D$5:$D$116,5)</f>
        <v>0</v>
      </c>
      <c r="H182" s="7" t="n">
        <f aca="false">SUMIFS('Data SKU'!$F$5:$F$116,'Data SKU'!$A$5:$A$116,$B182,'Data SKU'!$B$5:$B$116,$C182,'Data SKU'!$D$5:$D$116,6)</f>
        <v>0</v>
      </c>
      <c r="I182" s="7" t="n">
        <f aca="false">SUMIFS('Data SKU'!$F$5:$F$116,'Data SKU'!$A$5:$A$116,$B182,'Data SKU'!$B$5:$B$116,$C182,'Data SKU'!$D$5:$D$116,7)</f>
        <v>0</v>
      </c>
      <c r="J182" s="7" t="n">
        <f aca="false">SUMIFS('Data SKU'!$F$5:$F$116,'Data SKU'!$A$5:$A$116,$B182,'Data SKU'!$B$5:$B$116,$C182,'Data SKU'!$D$5:$D$116,8)</f>
        <v>3017.55</v>
      </c>
      <c r="K182" s="9" t="n">
        <f aca="false">SUM(E182:J182)</f>
        <v>3017.55</v>
      </c>
    </row>
    <row r="183" customFormat="false" ht="15" hidden="false" customHeight="false" outlineLevel="0" collapsed="false">
      <c r="B183" s="6" t="s">
        <v>878</v>
      </c>
      <c r="C183" s="6" t="s">
        <v>240</v>
      </c>
      <c r="D183" s="6" t="s">
        <v>311</v>
      </c>
      <c r="E183" s="7" t="n">
        <f aca="false">SUMIFS('Data SKU'!$G$5:$G$116,'Data SKU'!$A$5:$A$116,$B183,'Data SKU'!$B$5:$B$116,$C183,'Data SKU'!$D$5:$D$116,3)</f>
        <v>0</v>
      </c>
      <c r="F183" s="7" t="n">
        <f aca="false">SUMIFS('Data SKU'!$G$5:$G$116,'Data SKU'!$A$5:$A$116,$B183,'Data SKU'!$B$5:$B$116,$C183,'Data SKU'!$D$5:$D$116,4)</f>
        <v>0</v>
      </c>
      <c r="G183" s="7" t="n">
        <f aca="false">SUMIFS('Data SKU'!$G$5:$G$116,'Data SKU'!$A$5:$A$116,$B183,'Data SKU'!$B$5:$B$116,$C183,'Data SKU'!$D$5:$D$116,5)</f>
        <v>0</v>
      </c>
      <c r="H183" s="7" t="n">
        <f aca="false">SUMIFS('Data SKU'!$G$5:$G$116,'Data SKU'!$A$5:$A$116,$B183,'Data SKU'!$B$5:$B$116,$C183,'Data SKU'!$D$5:$D$116,6)</f>
        <v>0</v>
      </c>
      <c r="I183" s="7" t="n">
        <f aca="false">SUMIFS('Data SKU'!$G$5:$G$116,'Data SKU'!$A$5:$A$116,$B183,'Data SKU'!$B$5:$B$116,$C183,'Data SKU'!$D$5:$D$116,7)</f>
        <v>0</v>
      </c>
      <c r="J183" s="7" t="n">
        <f aca="false">SUMIFS('Data SKU'!$G$5:$G$116,'Data SKU'!$A$5:$A$116,$B183,'Data SKU'!$B$5:$B$116,$C183,'Data SKU'!$D$5:$D$116,8)</f>
        <v>90526500</v>
      </c>
      <c r="K183" s="9" t="n">
        <f aca="false">SUM(E183:J183)</f>
        <v>90526500</v>
      </c>
    </row>
    <row r="184" customFormat="false" ht="15" hidden="false" customHeight="false" outlineLevel="0" collapsed="false">
      <c r="B184" s="6" t="s">
        <v>878</v>
      </c>
      <c r="C184" s="6" t="s">
        <v>240</v>
      </c>
      <c r="D184" s="6" t="s">
        <v>865</v>
      </c>
      <c r="E184" s="7" t="n">
        <f aca="false">SUMIFS('Data SKU'!$H$5:$H$116,'Data SKU'!$A$5:$A$116,$B184,'Data SKU'!$B$5:$B$116,$C184,'Data SKU'!$D$5:$D$116,3)</f>
        <v>0</v>
      </c>
      <c r="F184" s="7" t="n">
        <f aca="false">SUMIFS('Data SKU'!$H$5:$H$116,'Data SKU'!$A$5:$A$116,$B184,'Data SKU'!$B$5:$B$116,$C184,'Data SKU'!$D$5:$D$116,4)</f>
        <v>0</v>
      </c>
      <c r="G184" s="7" t="n">
        <f aca="false">SUMIFS('Data SKU'!$H$5:$H$116,'Data SKU'!$A$5:$A$116,$B184,'Data SKU'!$B$5:$B$116,$C184,'Data SKU'!$D$5:$D$116,5)</f>
        <v>0</v>
      </c>
      <c r="H184" s="7" t="n">
        <f aca="false">SUMIFS('Data SKU'!$H$5:$H$116,'Data SKU'!$A$5:$A$116,$B184,'Data SKU'!$B$5:$B$116,$C184,'Data SKU'!$D$5:$D$116,6)</f>
        <v>0</v>
      </c>
      <c r="I184" s="7" t="n">
        <f aca="false">SUMIFS('Data SKU'!$H$5:$H$116,'Data SKU'!$A$5:$A$116,$B184,'Data SKU'!$B$5:$B$116,$C184,'Data SKU'!$D$5:$D$116,7)</f>
        <v>0</v>
      </c>
      <c r="J184" s="7" t="n">
        <f aca="false">SUMIFS('Data SKU'!$H$5:$H$116,'Data SKU'!$A$5:$A$116,$B184,'Data SKU'!$B$5:$B$116,$C184,'Data SKU'!$D$5:$D$116,8)</f>
        <v>109171156.06</v>
      </c>
      <c r="K184" s="9" t="n">
        <f aca="false">SUM(E184:J184)</f>
        <v>109171156.06</v>
      </c>
    </row>
    <row r="185" customFormat="false" ht="15" hidden="false" customHeight="false" outlineLevel="0" collapsed="false">
      <c r="B185" s="6" t="s">
        <v>878</v>
      </c>
      <c r="C185" s="6" t="s">
        <v>240</v>
      </c>
      <c r="D185" s="6" t="s">
        <v>866</v>
      </c>
      <c r="E185" s="7" t="n">
        <f aca="false">SUMIFS('Data SKU'!$I$5:$I$116,'Data SKU'!$A$5:$A$116,$B185,'Data SKU'!$B$5:$B$116,$C185,'Data SKU'!$D$5:$D$116,3)</f>
        <v>0</v>
      </c>
      <c r="F185" s="7" t="n">
        <f aca="false">SUMIFS('Data SKU'!$I$5:$I$116,'Data SKU'!$A$5:$A$116,$B185,'Data SKU'!$B$5:$B$116,$C185,'Data SKU'!$D$5:$D$116,4)</f>
        <v>0</v>
      </c>
      <c r="G185" s="7" t="n">
        <f aca="false">SUMIFS('Data SKU'!$I$5:$I$116,'Data SKU'!$A$5:$A$116,$B185,'Data SKU'!$B$5:$B$116,$C185,'Data SKU'!$D$5:$D$116,5)</f>
        <v>0</v>
      </c>
      <c r="H185" s="7" t="n">
        <f aca="false">SUMIFS('Data SKU'!$I$5:$I$116,'Data SKU'!$A$5:$A$116,$B185,'Data SKU'!$B$5:$B$116,$C185,'Data SKU'!$D$5:$D$116,6)</f>
        <v>0</v>
      </c>
      <c r="I185" s="7" t="n">
        <f aca="false">SUMIFS('Data SKU'!$I$5:$I$116,'Data SKU'!$A$5:$A$116,$B185,'Data SKU'!$B$5:$B$116,$C185,'Data SKU'!$D$5:$D$116,7)</f>
        <v>0</v>
      </c>
      <c r="J185" s="7" t="n">
        <f aca="false">SUMIFS('Data SKU'!$I$5:$I$116,'Data SKU'!$A$5:$A$116,$B185,'Data SKU'!$B$5:$B$116,$C185,'Data SKU'!$D$5:$D$116,8)</f>
        <v>-18644656.06</v>
      </c>
      <c r="K185" s="9" t="n">
        <f aca="false">SUM(E185:J185)</f>
        <v>-18644656.06</v>
      </c>
    </row>
    <row r="186" customFormat="false" ht="15" hidden="false" customHeight="false" outlineLevel="0" collapsed="false">
      <c r="B186" s="6" t="s">
        <v>878</v>
      </c>
      <c r="C186" s="6" t="s">
        <v>240</v>
      </c>
      <c r="D186" s="11" t="s">
        <v>867</v>
      </c>
      <c r="E186" s="57" t="n">
        <f aca="false">IFERROR(E185/E183,0)</f>
        <v>0</v>
      </c>
      <c r="F186" s="57" t="n">
        <f aca="false">IFERROR(F185/F183,0)</f>
        <v>0</v>
      </c>
      <c r="G186" s="57" t="n">
        <f aca="false">IFERROR(G185/G183,0)</f>
        <v>0</v>
      </c>
      <c r="H186" s="57" t="n">
        <f aca="false">IFERROR(H185/H183,0)</f>
        <v>0</v>
      </c>
      <c r="I186" s="57" t="n">
        <f aca="false">IFERROR(I185/I183,0)</f>
        <v>0</v>
      </c>
      <c r="J186" s="57" t="n">
        <f aca="false">IFERROR(J185/J183,0)</f>
        <v>-0.205957990864554</v>
      </c>
      <c r="K186" s="57" t="n">
        <f aca="false">IFERROR(K185/K183,0)</f>
        <v>-0.205957990864554</v>
      </c>
    </row>
    <row r="187" customFormat="false" ht="15" hidden="false" customHeight="false" outlineLevel="0" collapsed="false">
      <c r="B187" s="6" t="s">
        <v>878</v>
      </c>
      <c r="C187" s="6" t="s">
        <v>240</v>
      </c>
      <c r="D187" s="6" t="s">
        <v>1482</v>
      </c>
      <c r="E187" s="9" t="n">
        <f aca="false">IFERROR(E183/E182,0)</f>
        <v>0</v>
      </c>
      <c r="F187" s="9" t="n">
        <f aca="false">IFERROR(F183/F182,0)</f>
        <v>0</v>
      </c>
      <c r="G187" s="9" t="n">
        <f aca="false">IFERROR(G183/G182,0)</f>
        <v>0</v>
      </c>
      <c r="H187" s="9" t="n">
        <f aca="false">IFERROR(H183/H182,0)</f>
        <v>0</v>
      </c>
      <c r="I187" s="9" t="n">
        <f aca="false">IFERROR(I183/I182,0)</f>
        <v>0</v>
      </c>
      <c r="J187" s="9" t="n">
        <f aca="false">IFERROR(J183/J182,0)</f>
        <v>30000</v>
      </c>
      <c r="K187" s="9" t="n">
        <f aca="false">IFERROR(K183/K182,0)</f>
        <v>30000</v>
      </c>
    </row>
    <row r="188" customFormat="false" ht="15" hidden="false" customHeight="false" outlineLevel="0" collapsed="false">
      <c r="B188" s="6" t="s">
        <v>878</v>
      </c>
      <c r="C188" s="6" t="s">
        <v>240</v>
      </c>
      <c r="D188" s="6" t="s">
        <v>1447</v>
      </c>
      <c r="E188" s="9" t="n">
        <f aca="false">IFERROR(E184/E182,0)</f>
        <v>0</v>
      </c>
      <c r="F188" s="9" t="n">
        <f aca="false">IFERROR(F184/F182,0)</f>
        <v>0</v>
      </c>
      <c r="G188" s="9" t="n">
        <f aca="false">IFERROR(G184/G182,0)</f>
        <v>0</v>
      </c>
      <c r="H188" s="9" t="n">
        <f aca="false">IFERROR(H184/H182,0)</f>
        <v>0</v>
      </c>
      <c r="I188" s="9" t="n">
        <f aca="false">IFERROR(I184/I182,0)</f>
        <v>0</v>
      </c>
      <c r="J188" s="9" t="n">
        <f aca="false">IFERROR(J184/J182,0)</f>
        <v>36178.7397259366</v>
      </c>
      <c r="K188" s="9" t="n">
        <f aca="false">IFERROR(K184/K182,0)</f>
        <v>36178.7397259366</v>
      </c>
    </row>
    <row r="190" customFormat="false" ht="15" hidden="false" customHeight="false" outlineLevel="0" collapsed="false">
      <c r="B190" s="6" t="s">
        <v>878</v>
      </c>
      <c r="C190" s="6" t="s">
        <v>244</v>
      </c>
      <c r="D190" s="6" t="s">
        <v>1099</v>
      </c>
      <c r="E190" s="7" t="n">
        <f aca="false">SUMIFS('Data SKU'!$F$5:$F$116,'Data SKU'!$A$5:$A$116,$B190,'Data SKU'!$B$5:$B$116,$C190,'Data SKU'!$D$5:$D$116,3)</f>
        <v>0</v>
      </c>
      <c r="F190" s="7" t="n">
        <f aca="false">SUMIFS('Data SKU'!$F$5:$F$116,'Data SKU'!$A$5:$A$116,$B190,'Data SKU'!$B$5:$B$116,$C190,'Data SKU'!$D$5:$D$116,4)</f>
        <v>0</v>
      </c>
      <c r="G190" s="7" t="n">
        <f aca="false">SUMIFS('Data SKU'!$F$5:$F$116,'Data SKU'!$A$5:$A$116,$B190,'Data SKU'!$B$5:$B$116,$C190,'Data SKU'!$D$5:$D$116,5)</f>
        <v>206.65</v>
      </c>
      <c r="H190" s="7" t="n">
        <f aca="false">SUMIFS('Data SKU'!$F$5:$F$116,'Data SKU'!$A$5:$A$116,$B190,'Data SKU'!$B$5:$B$116,$C190,'Data SKU'!$D$5:$D$116,6)</f>
        <v>0</v>
      </c>
      <c r="I190" s="7" t="n">
        <f aca="false">SUMIFS('Data SKU'!$F$5:$F$116,'Data SKU'!$A$5:$A$116,$B190,'Data SKU'!$B$5:$B$116,$C190,'Data SKU'!$D$5:$D$116,7)</f>
        <v>0</v>
      </c>
      <c r="J190" s="7" t="n">
        <f aca="false">SUMIFS('Data SKU'!$F$5:$F$116,'Data SKU'!$A$5:$A$116,$B190,'Data SKU'!$B$5:$B$116,$C190,'Data SKU'!$D$5:$D$116,8)</f>
        <v>0</v>
      </c>
      <c r="K190" s="9" t="n">
        <f aca="false">SUM(E190:J190)</f>
        <v>206.65</v>
      </c>
    </row>
    <row r="191" customFormat="false" ht="15" hidden="false" customHeight="false" outlineLevel="0" collapsed="false">
      <c r="B191" s="6" t="s">
        <v>878</v>
      </c>
      <c r="C191" s="6" t="s">
        <v>244</v>
      </c>
      <c r="D191" s="6" t="s">
        <v>311</v>
      </c>
      <c r="E191" s="7" t="n">
        <f aca="false">SUMIFS('Data SKU'!$G$5:$G$116,'Data SKU'!$A$5:$A$116,$B191,'Data SKU'!$B$5:$B$116,$C191,'Data SKU'!$D$5:$D$116,3)</f>
        <v>0</v>
      </c>
      <c r="F191" s="7" t="n">
        <f aca="false">SUMIFS('Data SKU'!$G$5:$G$116,'Data SKU'!$A$5:$A$116,$B191,'Data SKU'!$B$5:$B$116,$C191,'Data SKU'!$D$5:$D$116,4)</f>
        <v>0</v>
      </c>
      <c r="G191" s="7" t="n">
        <f aca="false">SUMIFS('Data SKU'!$G$5:$G$116,'Data SKU'!$A$5:$A$116,$B191,'Data SKU'!$B$5:$B$116,$C191,'Data SKU'!$D$5:$D$116,5)</f>
        <v>3203075</v>
      </c>
      <c r="H191" s="7" t="n">
        <f aca="false">SUMIFS('Data SKU'!$G$5:$G$116,'Data SKU'!$A$5:$A$116,$B191,'Data SKU'!$B$5:$B$116,$C191,'Data SKU'!$D$5:$D$116,6)</f>
        <v>0</v>
      </c>
      <c r="I191" s="7" t="n">
        <f aca="false">SUMIFS('Data SKU'!$G$5:$G$116,'Data SKU'!$A$5:$A$116,$B191,'Data SKU'!$B$5:$B$116,$C191,'Data SKU'!$D$5:$D$116,7)</f>
        <v>0</v>
      </c>
      <c r="J191" s="7" t="n">
        <f aca="false">SUMIFS('Data SKU'!$G$5:$G$116,'Data SKU'!$A$5:$A$116,$B191,'Data SKU'!$B$5:$B$116,$C191,'Data SKU'!$D$5:$D$116,8)</f>
        <v>0</v>
      </c>
      <c r="K191" s="9" t="n">
        <f aca="false">SUM(E191:J191)</f>
        <v>3203075</v>
      </c>
    </row>
    <row r="192" customFormat="false" ht="15" hidden="false" customHeight="false" outlineLevel="0" collapsed="false">
      <c r="B192" s="6" t="s">
        <v>878</v>
      </c>
      <c r="C192" s="6" t="s">
        <v>244</v>
      </c>
      <c r="D192" s="6" t="s">
        <v>865</v>
      </c>
      <c r="E192" s="7" t="n">
        <f aca="false">SUMIFS('Data SKU'!$H$5:$H$116,'Data SKU'!$A$5:$A$116,$B192,'Data SKU'!$B$5:$B$116,$C192,'Data SKU'!$D$5:$D$116,3)</f>
        <v>0</v>
      </c>
      <c r="F192" s="7" t="n">
        <f aca="false">SUMIFS('Data SKU'!$H$5:$H$116,'Data SKU'!$A$5:$A$116,$B192,'Data SKU'!$B$5:$B$116,$C192,'Data SKU'!$D$5:$D$116,4)</f>
        <v>0</v>
      </c>
      <c r="G192" s="7" t="n">
        <f aca="false">SUMIFS('Data SKU'!$H$5:$H$116,'Data SKU'!$A$5:$A$116,$B192,'Data SKU'!$B$5:$B$116,$C192,'Data SKU'!$D$5:$D$116,5)</f>
        <v>2479800</v>
      </c>
      <c r="H192" s="7" t="n">
        <f aca="false">SUMIFS('Data SKU'!$H$5:$H$116,'Data SKU'!$A$5:$A$116,$B192,'Data SKU'!$B$5:$B$116,$C192,'Data SKU'!$D$5:$D$116,6)</f>
        <v>0</v>
      </c>
      <c r="I192" s="7" t="n">
        <f aca="false">SUMIFS('Data SKU'!$H$5:$H$116,'Data SKU'!$A$5:$A$116,$B192,'Data SKU'!$B$5:$B$116,$C192,'Data SKU'!$D$5:$D$116,7)</f>
        <v>0</v>
      </c>
      <c r="J192" s="7" t="n">
        <f aca="false">SUMIFS('Data SKU'!$H$5:$H$116,'Data SKU'!$A$5:$A$116,$B192,'Data SKU'!$B$5:$B$116,$C192,'Data SKU'!$D$5:$D$116,8)</f>
        <v>0</v>
      </c>
      <c r="K192" s="9" t="n">
        <f aca="false">SUM(E192:J192)</f>
        <v>2479800</v>
      </c>
    </row>
    <row r="193" customFormat="false" ht="15" hidden="false" customHeight="false" outlineLevel="0" collapsed="false">
      <c r="B193" s="6" t="s">
        <v>878</v>
      </c>
      <c r="C193" s="6" t="s">
        <v>244</v>
      </c>
      <c r="D193" s="6" t="s">
        <v>866</v>
      </c>
      <c r="E193" s="7" t="n">
        <f aca="false">SUMIFS('Data SKU'!$I$5:$I$116,'Data SKU'!$A$5:$A$116,$B193,'Data SKU'!$B$5:$B$116,$C193,'Data SKU'!$D$5:$D$116,3)</f>
        <v>0</v>
      </c>
      <c r="F193" s="7" t="n">
        <f aca="false">SUMIFS('Data SKU'!$I$5:$I$116,'Data SKU'!$A$5:$A$116,$B193,'Data SKU'!$B$5:$B$116,$C193,'Data SKU'!$D$5:$D$116,4)</f>
        <v>0</v>
      </c>
      <c r="G193" s="7" t="n">
        <f aca="false">SUMIFS('Data SKU'!$I$5:$I$116,'Data SKU'!$A$5:$A$116,$B193,'Data SKU'!$B$5:$B$116,$C193,'Data SKU'!$D$5:$D$116,5)</f>
        <v>723275</v>
      </c>
      <c r="H193" s="7" t="n">
        <f aca="false">SUMIFS('Data SKU'!$I$5:$I$116,'Data SKU'!$A$5:$A$116,$B193,'Data SKU'!$B$5:$B$116,$C193,'Data SKU'!$D$5:$D$116,6)</f>
        <v>0</v>
      </c>
      <c r="I193" s="7" t="n">
        <f aca="false">SUMIFS('Data SKU'!$I$5:$I$116,'Data SKU'!$A$5:$A$116,$B193,'Data SKU'!$B$5:$B$116,$C193,'Data SKU'!$D$5:$D$116,7)</f>
        <v>0</v>
      </c>
      <c r="J193" s="7" t="n">
        <f aca="false">SUMIFS('Data SKU'!$I$5:$I$116,'Data SKU'!$A$5:$A$116,$B193,'Data SKU'!$B$5:$B$116,$C193,'Data SKU'!$D$5:$D$116,8)</f>
        <v>0</v>
      </c>
      <c r="K193" s="9" t="n">
        <f aca="false">SUM(E193:J193)</f>
        <v>723275</v>
      </c>
    </row>
    <row r="194" customFormat="false" ht="15" hidden="false" customHeight="false" outlineLevel="0" collapsed="false">
      <c r="B194" s="6" t="s">
        <v>878</v>
      </c>
      <c r="C194" s="6" t="s">
        <v>244</v>
      </c>
      <c r="D194" s="11" t="s">
        <v>867</v>
      </c>
      <c r="E194" s="57" t="n">
        <f aca="false">IFERROR(E193/E191,0)</f>
        <v>0</v>
      </c>
      <c r="F194" s="57" t="n">
        <f aca="false">IFERROR(F193/F191,0)</f>
        <v>0</v>
      </c>
      <c r="G194" s="57" t="n">
        <f aca="false">IFERROR(G193/G191,0)</f>
        <v>0.225806451612903</v>
      </c>
      <c r="H194" s="57" t="n">
        <f aca="false">IFERROR(H193/H191,0)</f>
        <v>0</v>
      </c>
      <c r="I194" s="57" t="n">
        <f aca="false">IFERROR(I193/I191,0)</f>
        <v>0</v>
      </c>
      <c r="J194" s="57" t="n">
        <f aca="false">IFERROR(J193/J191,0)</f>
        <v>0</v>
      </c>
      <c r="K194" s="57" t="n">
        <f aca="false">IFERROR(K193/K191,0)</f>
        <v>0.225806451612903</v>
      </c>
    </row>
    <row r="195" customFormat="false" ht="15" hidden="false" customHeight="false" outlineLevel="0" collapsed="false">
      <c r="B195" s="6" t="s">
        <v>878</v>
      </c>
      <c r="C195" s="6" t="s">
        <v>244</v>
      </c>
      <c r="D195" s="6" t="s">
        <v>1482</v>
      </c>
      <c r="E195" s="9" t="n">
        <f aca="false">IFERROR(E191/E190,0)</f>
        <v>0</v>
      </c>
      <c r="F195" s="9" t="n">
        <f aca="false">IFERROR(F191/F190,0)</f>
        <v>0</v>
      </c>
      <c r="G195" s="9" t="n">
        <f aca="false">IFERROR(G191/G190,0)</f>
        <v>15500</v>
      </c>
      <c r="H195" s="9" t="n">
        <f aca="false">IFERROR(H191/H190,0)</f>
        <v>0</v>
      </c>
      <c r="I195" s="9" t="n">
        <f aca="false">IFERROR(I191/I190,0)</f>
        <v>0</v>
      </c>
      <c r="J195" s="9" t="n">
        <f aca="false">IFERROR(J191/J190,0)</f>
        <v>0</v>
      </c>
      <c r="K195" s="9" t="n">
        <f aca="false">IFERROR(K191/K190,0)</f>
        <v>15500</v>
      </c>
    </row>
    <row r="196" customFormat="false" ht="15" hidden="false" customHeight="false" outlineLevel="0" collapsed="false">
      <c r="B196" s="6" t="s">
        <v>878</v>
      </c>
      <c r="C196" s="6" t="s">
        <v>244</v>
      </c>
      <c r="D196" s="6" t="s">
        <v>1447</v>
      </c>
      <c r="E196" s="9" t="n">
        <f aca="false">IFERROR(E192/E190,0)</f>
        <v>0</v>
      </c>
      <c r="F196" s="9" t="n">
        <f aca="false">IFERROR(F192/F190,0)</f>
        <v>0</v>
      </c>
      <c r="G196" s="9" t="n">
        <f aca="false">IFERROR(G192/G190,0)</f>
        <v>12000</v>
      </c>
      <c r="H196" s="9" t="n">
        <f aca="false">IFERROR(H192/H190,0)</f>
        <v>0</v>
      </c>
      <c r="I196" s="9" t="n">
        <f aca="false">IFERROR(I192/I190,0)</f>
        <v>0</v>
      </c>
      <c r="J196" s="9" t="n">
        <f aca="false">IFERROR(J192/J190,0)</f>
        <v>0</v>
      </c>
      <c r="K196" s="9" t="n">
        <f aca="false">IFERROR(K192/K190,0)</f>
        <v>12000</v>
      </c>
    </row>
    <row r="198" customFormat="false" ht="15" hidden="false" customHeight="false" outlineLevel="0" collapsed="false">
      <c r="B198" s="6" t="s">
        <v>878</v>
      </c>
      <c r="C198" s="6" t="s">
        <v>245</v>
      </c>
      <c r="D198" s="6" t="s">
        <v>1099</v>
      </c>
      <c r="E198" s="7" t="n">
        <f aca="false">SUMIFS('Data SKU'!$F$5:$F$116,'Data SKU'!$A$5:$A$116,$B198,'Data SKU'!$B$5:$B$116,$C198,'Data SKU'!$D$5:$D$116,3)</f>
        <v>0</v>
      </c>
      <c r="F198" s="7" t="n">
        <f aca="false">SUMIFS('Data SKU'!$F$5:$F$116,'Data SKU'!$A$5:$A$116,$B198,'Data SKU'!$B$5:$B$116,$C198,'Data SKU'!$D$5:$D$116,4)</f>
        <v>0</v>
      </c>
      <c r="G198" s="7" t="n">
        <f aca="false">SUMIFS('Data SKU'!$F$5:$F$116,'Data SKU'!$A$5:$A$116,$B198,'Data SKU'!$B$5:$B$116,$C198,'Data SKU'!$D$5:$D$116,5)</f>
        <v>0</v>
      </c>
      <c r="H198" s="7" t="n">
        <f aca="false">SUMIFS('Data SKU'!$F$5:$F$116,'Data SKU'!$A$5:$A$116,$B198,'Data SKU'!$B$5:$B$116,$C198,'Data SKU'!$D$5:$D$116,6)</f>
        <v>0</v>
      </c>
      <c r="I198" s="7" t="n">
        <f aca="false">SUMIFS('Data SKU'!$F$5:$F$116,'Data SKU'!$A$5:$A$116,$B198,'Data SKU'!$B$5:$B$116,$C198,'Data SKU'!$D$5:$D$116,7)</f>
        <v>5789.56</v>
      </c>
      <c r="J198" s="7" t="n">
        <f aca="false">SUMIFS('Data SKU'!$F$5:$F$116,'Data SKU'!$A$5:$A$116,$B198,'Data SKU'!$B$5:$B$116,$C198,'Data SKU'!$D$5:$D$116,8)</f>
        <v>13767.8</v>
      </c>
      <c r="K198" s="9" t="n">
        <f aca="false">SUM(E198:J198)</f>
        <v>19557.36</v>
      </c>
    </row>
    <row r="199" customFormat="false" ht="15" hidden="false" customHeight="false" outlineLevel="0" collapsed="false">
      <c r="B199" s="6" t="s">
        <v>878</v>
      </c>
      <c r="C199" s="6" t="s">
        <v>245</v>
      </c>
      <c r="D199" s="6" t="s">
        <v>311</v>
      </c>
      <c r="E199" s="7" t="n">
        <f aca="false">SUMIFS('Data SKU'!$G$5:$G$116,'Data SKU'!$A$5:$A$116,$B199,'Data SKU'!$B$5:$B$116,$C199,'Data SKU'!$D$5:$D$116,3)</f>
        <v>0</v>
      </c>
      <c r="F199" s="7" t="n">
        <f aca="false">SUMIFS('Data SKU'!$G$5:$G$116,'Data SKU'!$A$5:$A$116,$B199,'Data SKU'!$B$5:$B$116,$C199,'Data SKU'!$D$5:$D$116,4)</f>
        <v>0</v>
      </c>
      <c r="G199" s="7" t="n">
        <f aca="false">SUMIFS('Data SKU'!$G$5:$G$116,'Data SKU'!$A$5:$A$116,$B199,'Data SKU'!$B$5:$B$116,$C199,'Data SKU'!$D$5:$D$116,5)</f>
        <v>0</v>
      </c>
      <c r="H199" s="7" t="n">
        <f aca="false">SUMIFS('Data SKU'!$G$5:$G$116,'Data SKU'!$A$5:$A$116,$B199,'Data SKU'!$B$5:$B$116,$C199,'Data SKU'!$D$5:$D$116,6)</f>
        <v>0</v>
      </c>
      <c r="I199" s="7" t="n">
        <f aca="false">SUMIFS('Data SKU'!$G$5:$G$116,'Data SKU'!$A$5:$A$116,$B199,'Data SKU'!$B$5:$B$116,$C199,'Data SKU'!$D$5:$D$116,7)</f>
        <v>33741005</v>
      </c>
      <c r="J199" s="7" t="n">
        <f aca="false">SUMIFS('Data SKU'!$G$5:$G$116,'Data SKU'!$A$5:$A$116,$B199,'Data SKU'!$B$5:$B$116,$C199,'Data SKU'!$D$5:$D$116,8)</f>
        <v>150114800</v>
      </c>
      <c r="K199" s="9" t="n">
        <f aca="false">SUM(E199:J199)</f>
        <v>183855805</v>
      </c>
    </row>
    <row r="200" customFormat="false" ht="15" hidden="false" customHeight="false" outlineLevel="0" collapsed="false">
      <c r="B200" s="6" t="s">
        <v>878</v>
      </c>
      <c r="C200" s="6" t="s">
        <v>245</v>
      </c>
      <c r="D200" s="6" t="s">
        <v>865</v>
      </c>
      <c r="E200" s="7" t="n">
        <f aca="false">SUMIFS('Data SKU'!$H$5:$H$116,'Data SKU'!$A$5:$A$116,$B200,'Data SKU'!$B$5:$B$116,$C200,'Data SKU'!$D$5:$D$116,3)</f>
        <v>0</v>
      </c>
      <c r="F200" s="7" t="n">
        <f aca="false">SUMIFS('Data SKU'!$H$5:$H$116,'Data SKU'!$A$5:$A$116,$B200,'Data SKU'!$B$5:$B$116,$C200,'Data SKU'!$D$5:$D$116,4)</f>
        <v>0</v>
      </c>
      <c r="G200" s="7" t="n">
        <f aca="false">SUMIFS('Data SKU'!$H$5:$H$116,'Data SKU'!$A$5:$A$116,$B200,'Data SKU'!$B$5:$B$116,$C200,'Data SKU'!$D$5:$D$116,5)</f>
        <v>0</v>
      </c>
      <c r="H200" s="7" t="n">
        <f aca="false">SUMIFS('Data SKU'!$H$5:$H$116,'Data SKU'!$A$5:$A$116,$B200,'Data SKU'!$B$5:$B$116,$C200,'Data SKU'!$D$5:$D$116,6)</f>
        <v>0</v>
      </c>
      <c r="I200" s="7" t="n">
        <f aca="false">SUMIFS('Data SKU'!$H$5:$H$116,'Data SKU'!$A$5:$A$116,$B200,'Data SKU'!$B$5:$B$116,$C200,'Data SKU'!$D$5:$D$116,7)</f>
        <v>25824911.91</v>
      </c>
      <c r="J200" s="7" t="n">
        <f aca="false">SUMIFS('Data SKU'!$H$5:$H$116,'Data SKU'!$A$5:$A$116,$B200,'Data SKU'!$B$5:$B$116,$C200,'Data SKU'!$D$5:$D$116,8)</f>
        <v>140542258.00731</v>
      </c>
      <c r="K200" s="9" t="n">
        <f aca="false">SUM(E200:J200)</f>
        <v>166367169.91731</v>
      </c>
    </row>
    <row r="201" customFormat="false" ht="15" hidden="false" customHeight="false" outlineLevel="0" collapsed="false">
      <c r="B201" s="6" t="s">
        <v>878</v>
      </c>
      <c r="C201" s="6" t="s">
        <v>245</v>
      </c>
      <c r="D201" s="6" t="s">
        <v>866</v>
      </c>
      <c r="E201" s="7" t="n">
        <f aca="false">SUMIFS('Data SKU'!$I$5:$I$116,'Data SKU'!$A$5:$A$116,$B201,'Data SKU'!$B$5:$B$116,$C201,'Data SKU'!$D$5:$D$116,3)</f>
        <v>0</v>
      </c>
      <c r="F201" s="7" t="n">
        <f aca="false">SUMIFS('Data SKU'!$I$5:$I$116,'Data SKU'!$A$5:$A$116,$B201,'Data SKU'!$B$5:$B$116,$C201,'Data SKU'!$D$5:$D$116,4)</f>
        <v>0</v>
      </c>
      <c r="G201" s="7" t="n">
        <f aca="false">SUMIFS('Data SKU'!$I$5:$I$116,'Data SKU'!$A$5:$A$116,$B201,'Data SKU'!$B$5:$B$116,$C201,'Data SKU'!$D$5:$D$116,5)</f>
        <v>0</v>
      </c>
      <c r="H201" s="7" t="n">
        <f aca="false">SUMIFS('Data SKU'!$I$5:$I$116,'Data SKU'!$A$5:$A$116,$B201,'Data SKU'!$B$5:$B$116,$C201,'Data SKU'!$D$5:$D$116,6)</f>
        <v>0</v>
      </c>
      <c r="I201" s="7" t="n">
        <f aca="false">SUMIFS('Data SKU'!$I$5:$I$116,'Data SKU'!$A$5:$A$116,$B201,'Data SKU'!$B$5:$B$116,$C201,'Data SKU'!$D$5:$D$116,7)</f>
        <v>7916093.09</v>
      </c>
      <c r="J201" s="7" t="n">
        <f aca="false">SUMIFS('Data SKU'!$I$5:$I$116,'Data SKU'!$A$5:$A$116,$B201,'Data SKU'!$B$5:$B$116,$C201,'Data SKU'!$D$5:$D$116,8)</f>
        <v>9572541.99268955</v>
      </c>
      <c r="K201" s="9" t="n">
        <f aca="false">SUM(E201:J201)</f>
        <v>17488635.0826896</v>
      </c>
    </row>
    <row r="202" customFormat="false" ht="15" hidden="false" customHeight="false" outlineLevel="0" collapsed="false">
      <c r="B202" s="6" t="s">
        <v>878</v>
      </c>
      <c r="C202" s="6" t="s">
        <v>245</v>
      </c>
      <c r="D202" s="11" t="s">
        <v>867</v>
      </c>
      <c r="E202" s="57" t="n">
        <f aca="false">IFERROR(E201/E199,0)</f>
        <v>0</v>
      </c>
      <c r="F202" s="57" t="n">
        <f aca="false">IFERROR(F201/F199,0)</f>
        <v>0</v>
      </c>
      <c r="G202" s="57" t="n">
        <f aca="false">IFERROR(G201/G199,0)</f>
        <v>0</v>
      </c>
      <c r="H202" s="57" t="n">
        <f aca="false">IFERROR(H201/H199,0)</f>
        <v>0</v>
      </c>
      <c r="I202" s="57" t="n">
        <f aca="false">IFERROR(I201/I199,0)</f>
        <v>0.234613435195543</v>
      </c>
      <c r="J202" s="57" t="n">
        <f aca="false">IFERROR(J201/J199,0)</f>
        <v>0.0637681427326922</v>
      </c>
      <c r="K202" s="57" t="n">
        <f aca="false">IFERROR(K201/K199,0)</f>
        <v>0.0951214734976116</v>
      </c>
    </row>
    <row r="203" customFormat="false" ht="15" hidden="false" customHeight="false" outlineLevel="0" collapsed="false">
      <c r="B203" s="6" t="s">
        <v>878</v>
      </c>
      <c r="C203" s="6" t="s">
        <v>245</v>
      </c>
      <c r="D203" s="6" t="s">
        <v>1482</v>
      </c>
      <c r="E203" s="9" t="n">
        <f aca="false">IFERROR(E199/E198,0)</f>
        <v>0</v>
      </c>
      <c r="F203" s="9" t="n">
        <f aca="false">IFERROR(F199/F198,0)</f>
        <v>0</v>
      </c>
      <c r="G203" s="9" t="n">
        <f aca="false">IFERROR(G199/G198,0)</f>
        <v>0</v>
      </c>
      <c r="H203" s="9" t="n">
        <f aca="false">IFERROR(H199/H198,0)</f>
        <v>0</v>
      </c>
      <c r="I203" s="9" t="n">
        <f aca="false">IFERROR(I199/I198,0)</f>
        <v>5827.90488396355</v>
      </c>
      <c r="J203" s="9" t="n">
        <f aca="false">IFERROR(J199/J198,0)</f>
        <v>10903.3251499877</v>
      </c>
      <c r="K203" s="9" t="n">
        <f aca="false">IFERROR(K199/K198,0)</f>
        <v>9400.84985908119</v>
      </c>
    </row>
    <row r="204" customFormat="false" ht="15" hidden="false" customHeight="false" outlineLevel="0" collapsed="false">
      <c r="B204" s="6" t="s">
        <v>878</v>
      </c>
      <c r="C204" s="6" t="s">
        <v>245</v>
      </c>
      <c r="D204" s="6" t="s">
        <v>1447</v>
      </c>
      <c r="E204" s="9" t="n">
        <f aca="false">IFERROR(E200/E198,0)</f>
        <v>0</v>
      </c>
      <c r="F204" s="9" t="n">
        <f aca="false">IFERROR(F200/F198,0)</f>
        <v>0</v>
      </c>
      <c r="G204" s="9" t="n">
        <f aca="false">IFERROR(G200/G198,0)</f>
        <v>0</v>
      </c>
      <c r="H204" s="9" t="n">
        <f aca="false">IFERROR(H200/H198,0)</f>
        <v>0</v>
      </c>
      <c r="I204" s="9" t="n">
        <f aca="false">IFERROR(I200/I198,0)</f>
        <v>4460.60009914398</v>
      </c>
      <c r="J204" s="9" t="n">
        <f aca="false">IFERROR(J200/J198,0)</f>
        <v>10208.0403555623</v>
      </c>
      <c r="K204" s="9" t="n">
        <f aca="false">IFERROR(K200/K198,0)</f>
        <v>8506.62716835557</v>
      </c>
    </row>
    <row r="206" customFormat="false" ht="15" hidden="false" customHeight="false" outlineLevel="0" collapsed="false">
      <c r="B206" s="6" t="s">
        <v>878</v>
      </c>
      <c r="C206" s="6" t="s">
        <v>246</v>
      </c>
      <c r="D206" s="6" t="s">
        <v>1099</v>
      </c>
      <c r="E206" s="7" t="n">
        <f aca="false">SUMIFS('Data SKU'!$F$5:$F$116,'Data SKU'!$A$5:$A$116,$B206,'Data SKU'!$B$5:$B$116,$C206,'Data SKU'!$D$5:$D$116,3)</f>
        <v>0</v>
      </c>
      <c r="F206" s="7" t="n">
        <f aca="false">SUMIFS('Data SKU'!$F$5:$F$116,'Data SKU'!$A$5:$A$116,$B206,'Data SKU'!$B$5:$B$116,$C206,'Data SKU'!$D$5:$D$116,4)</f>
        <v>0</v>
      </c>
      <c r="G206" s="7" t="n">
        <f aca="false">SUMIFS('Data SKU'!$F$5:$F$116,'Data SKU'!$A$5:$A$116,$B206,'Data SKU'!$B$5:$B$116,$C206,'Data SKU'!$D$5:$D$116,5)</f>
        <v>0</v>
      </c>
      <c r="H206" s="7" t="n">
        <f aca="false">SUMIFS('Data SKU'!$F$5:$F$116,'Data SKU'!$A$5:$A$116,$B206,'Data SKU'!$B$5:$B$116,$C206,'Data SKU'!$D$5:$D$116,6)</f>
        <v>24808.14</v>
      </c>
      <c r="I206" s="7" t="n">
        <f aca="false">SUMIFS('Data SKU'!$F$5:$F$116,'Data SKU'!$A$5:$A$116,$B206,'Data SKU'!$B$5:$B$116,$C206,'Data SKU'!$D$5:$D$116,7)</f>
        <v>13989.46</v>
      </c>
      <c r="J206" s="7" t="n">
        <f aca="false">SUMIFS('Data SKU'!$F$5:$F$116,'Data SKU'!$A$5:$A$116,$B206,'Data SKU'!$B$5:$B$116,$C206,'Data SKU'!$D$5:$D$116,8)</f>
        <v>92890.61</v>
      </c>
      <c r="K206" s="9" t="n">
        <f aca="false">SUM(E206:J206)</f>
        <v>131688.21</v>
      </c>
    </row>
    <row r="207" customFormat="false" ht="15" hidden="false" customHeight="false" outlineLevel="0" collapsed="false">
      <c r="B207" s="6" t="s">
        <v>878</v>
      </c>
      <c r="C207" s="6" t="s">
        <v>246</v>
      </c>
      <c r="D207" s="6" t="s">
        <v>311</v>
      </c>
      <c r="E207" s="7" t="n">
        <f aca="false">SUMIFS('Data SKU'!$G$5:$G$116,'Data SKU'!$A$5:$A$116,$B207,'Data SKU'!$B$5:$B$116,$C207,'Data SKU'!$D$5:$D$116,3)</f>
        <v>0</v>
      </c>
      <c r="F207" s="7" t="n">
        <f aca="false">SUMIFS('Data SKU'!$G$5:$G$116,'Data SKU'!$A$5:$A$116,$B207,'Data SKU'!$B$5:$B$116,$C207,'Data SKU'!$D$5:$D$116,4)</f>
        <v>0</v>
      </c>
      <c r="G207" s="7" t="n">
        <f aca="false">SUMIFS('Data SKU'!$G$5:$G$116,'Data SKU'!$A$5:$A$116,$B207,'Data SKU'!$B$5:$B$116,$C207,'Data SKU'!$D$5:$D$116,5)</f>
        <v>0</v>
      </c>
      <c r="H207" s="7" t="n">
        <f aca="false">SUMIFS('Data SKU'!$G$5:$G$116,'Data SKU'!$A$5:$A$116,$B207,'Data SKU'!$B$5:$B$116,$C207,'Data SKU'!$D$5:$D$116,6)</f>
        <v>823156860</v>
      </c>
      <c r="I207" s="7" t="n">
        <f aca="false">SUMIFS('Data SKU'!$G$5:$G$116,'Data SKU'!$A$5:$A$116,$B207,'Data SKU'!$B$5:$B$116,$C207,'Data SKU'!$D$5:$D$116,7)</f>
        <v>384051230</v>
      </c>
      <c r="J207" s="7" t="n">
        <f aca="false">SUMIFS('Data SKU'!$G$5:$G$116,'Data SKU'!$A$5:$A$116,$B207,'Data SKU'!$B$5:$B$116,$C207,'Data SKU'!$D$5:$D$116,8)</f>
        <v>2905098783.79036</v>
      </c>
      <c r="K207" s="9" t="n">
        <f aca="false">SUM(E207:J207)</f>
        <v>4112306873.79036</v>
      </c>
    </row>
    <row r="208" customFormat="false" ht="15" hidden="false" customHeight="false" outlineLevel="0" collapsed="false">
      <c r="B208" s="6" t="s">
        <v>878</v>
      </c>
      <c r="C208" s="6" t="s">
        <v>246</v>
      </c>
      <c r="D208" s="6" t="s">
        <v>865</v>
      </c>
      <c r="E208" s="7" t="n">
        <f aca="false">SUMIFS('Data SKU'!$H$5:$H$116,'Data SKU'!$A$5:$A$116,$B208,'Data SKU'!$B$5:$B$116,$C208,'Data SKU'!$D$5:$D$116,3)</f>
        <v>0</v>
      </c>
      <c r="F208" s="7" t="n">
        <f aca="false">SUMIFS('Data SKU'!$H$5:$H$116,'Data SKU'!$A$5:$A$116,$B208,'Data SKU'!$B$5:$B$116,$C208,'Data SKU'!$D$5:$D$116,4)</f>
        <v>0</v>
      </c>
      <c r="G208" s="7" t="n">
        <f aca="false">SUMIFS('Data SKU'!$H$5:$H$116,'Data SKU'!$A$5:$A$116,$B208,'Data SKU'!$B$5:$B$116,$C208,'Data SKU'!$D$5:$D$116,5)</f>
        <v>0</v>
      </c>
      <c r="H208" s="7" t="n">
        <f aca="false">SUMIFS('Data SKU'!$H$5:$H$116,'Data SKU'!$A$5:$A$116,$B208,'Data SKU'!$B$5:$B$116,$C208,'Data SKU'!$D$5:$D$116,6)</f>
        <v>711556776.66</v>
      </c>
      <c r="I208" s="7" t="n">
        <f aca="false">SUMIFS('Data SKU'!$H$5:$H$116,'Data SKU'!$A$5:$A$116,$B208,'Data SKU'!$B$5:$B$116,$C208,'Data SKU'!$D$5:$D$116,7)</f>
        <v>324689867.06</v>
      </c>
      <c r="J208" s="7" t="n">
        <f aca="false">SUMIFS('Data SKU'!$H$5:$H$116,'Data SKU'!$A$5:$A$116,$B208,'Data SKU'!$B$5:$B$116,$C208,'Data SKU'!$D$5:$D$116,8)</f>
        <v>2792642425.65864</v>
      </c>
      <c r="K208" s="9" t="n">
        <f aca="false">SUM(E208:J208)</f>
        <v>3828889069.37864</v>
      </c>
    </row>
    <row r="209" customFormat="false" ht="15" hidden="false" customHeight="false" outlineLevel="0" collapsed="false">
      <c r="B209" s="6" t="s">
        <v>878</v>
      </c>
      <c r="C209" s="6" t="s">
        <v>246</v>
      </c>
      <c r="D209" s="6" t="s">
        <v>866</v>
      </c>
      <c r="E209" s="7" t="n">
        <f aca="false">SUMIFS('Data SKU'!$I$5:$I$116,'Data SKU'!$A$5:$A$116,$B209,'Data SKU'!$B$5:$B$116,$C209,'Data SKU'!$D$5:$D$116,3)</f>
        <v>0</v>
      </c>
      <c r="F209" s="7" t="n">
        <f aca="false">SUMIFS('Data SKU'!$I$5:$I$116,'Data SKU'!$A$5:$A$116,$B209,'Data SKU'!$B$5:$B$116,$C209,'Data SKU'!$D$5:$D$116,4)</f>
        <v>0</v>
      </c>
      <c r="G209" s="7" t="n">
        <f aca="false">SUMIFS('Data SKU'!$I$5:$I$116,'Data SKU'!$A$5:$A$116,$B209,'Data SKU'!$B$5:$B$116,$C209,'Data SKU'!$D$5:$D$116,5)</f>
        <v>0</v>
      </c>
      <c r="H209" s="7" t="n">
        <f aca="false">SUMIFS('Data SKU'!$I$5:$I$116,'Data SKU'!$A$5:$A$116,$B209,'Data SKU'!$B$5:$B$116,$C209,'Data SKU'!$D$5:$D$116,6)</f>
        <v>111600083.34</v>
      </c>
      <c r="I209" s="7" t="n">
        <f aca="false">SUMIFS('Data SKU'!$I$5:$I$116,'Data SKU'!$A$5:$A$116,$B209,'Data SKU'!$B$5:$B$116,$C209,'Data SKU'!$D$5:$D$116,7)</f>
        <v>59361362.94</v>
      </c>
      <c r="J209" s="7" t="n">
        <f aca="false">SUMIFS('Data SKU'!$I$5:$I$116,'Data SKU'!$A$5:$A$116,$B209,'Data SKU'!$B$5:$B$116,$C209,'Data SKU'!$D$5:$D$116,8)</f>
        <v>112456358.131719</v>
      </c>
      <c r="K209" s="9" t="n">
        <f aca="false">SUM(E209:J209)</f>
        <v>283417804.411719</v>
      </c>
    </row>
    <row r="210" customFormat="false" ht="15" hidden="false" customHeight="false" outlineLevel="0" collapsed="false">
      <c r="B210" s="6" t="s">
        <v>878</v>
      </c>
      <c r="C210" s="6" t="s">
        <v>246</v>
      </c>
      <c r="D210" s="11" t="s">
        <v>867</v>
      </c>
      <c r="E210" s="57" t="n">
        <f aca="false">IFERROR(E209/E207,0)</f>
        <v>0</v>
      </c>
      <c r="F210" s="57" t="n">
        <f aca="false">IFERROR(F209/F207,0)</f>
        <v>0</v>
      </c>
      <c r="G210" s="57" t="n">
        <f aca="false">IFERROR(G209/G207,0)</f>
        <v>0</v>
      </c>
      <c r="H210" s="57" t="n">
        <f aca="false">IFERROR(H209/H207,0)</f>
        <v>0.135575719237765</v>
      </c>
      <c r="I210" s="57" t="n">
        <f aca="false">IFERROR(I209/I207,0)</f>
        <v>0.154566261745861</v>
      </c>
      <c r="J210" s="57" t="n">
        <f aca="false">IFERROR(J209/J207,0)</f>
        <v>0.0387099945651397</v>
      </c>
      <c r="K210" s="57" t="n">
        <f aca="false">IFERROR(K209/K207,0)</f>
        <v>0.0689194199533289</v>
      </c>
    </row>
    <row r="211" customFormat="false" ht="15" hidden="false" customHeight="false" outlineLevel="0" collapsed="false">
      <c r="B211" s="6" t="s">
        <v>878</v>
      </c>
      <c r="C211" s="6" t="s">
        <v>246</v>
      </c>
      <c r="D211" s="6" t="s">
        <v>1482</v>
      </c>
      <c r="E211" s="9" t="n">
        <f aca="false">IFERROR(E207/E206,0)</f>
        <v>0</v>
      </c>
      <c r="F211" s="9" t="n">
        <f aca="false">IFERROR(F207/F206,0)</f>
        <v>0</v>
      </c>
      <c r="G211" s="9" t="n">
        <f aca="false">IFERROR(G207/G206,0)</f>
        <v>0</v>
      </c>
      <c r="H211" s="9" t="n">
        <f aca="false">IFERROR(H207/H206,0)</f>
        <v>33180.9180373861</v>
      </c>
      <c r="I211" s="9" t="n">
        <f aca="false">IFERROR(I207/I206,0)</f>
        <v>27452.8988252584</v>
      </c>
      <c r="J211" s="9" t="n">
        <f aca="false">IFERROR(J207/J206,0)</f>
        <v>31274.4074324666</v>
      </c>
      <c r="K211" s="9" t="n">
        <f aca="false">IFERROR(K207/K206,0)</f>
        <v>31227.6009658751</v>
      </c>
    </row>
    <row r="212" customFormat="false" ht="15" hidden="false" customHeight="false" outlineLevel="0" collapsed="false">
      <c r="B212" s="6" t="s">
        <v>878</v>
      </c>
      <c r="C212" s="6" t="s">
        <v>246</v>
      </c>
      <c r="D212" s="6" t="s">
        <v>1447</v>
      </c>
      <c r="E212" s="9" t="n">
        <f aca="false">IFERROR(E208/E206,0)</f>
        <v>0</v>
      </c>
      <c r="F212" s="9" t="n">
        <f aca="false">IFERROR(F208/F206,0)</f>
        <v>0</v>
      </c>
      <c r="G212" s="9" t="n">
        <f aca="false">IFERROR(G208/G206,0)</f>
        <v>0</v>
      </c>
      <c r="H212" s="9" t="n">
        <f aca="false">IFERROR(H208/H206,0)</f>
        <v>28682.3912094982</v>
      </c>
      <c r="I212" s="9" t="n">
        <f aca="false">IFERROR(I208/I206,0)</f>
        <v>23209.6068797509</v>
      </c>
      <c r="J212" s="9" t="n">
        <f aca="false">IFERROR(J208/J206,0)</f>
        <v>30063.7752907279</v>
      </c>
      <c r="K212" s="9" t="n">
        <f aca="false">IFERROR(K208/K206,0)</f>
        <v>29075.4128207729</v>
      </c>
    </row>
    <row r="214" customFormat="false" ht="15" hidden="false" customHeight="false" outlineLevel="0" collapsed="false">
      <c r="B214" s="6" t="s">
        <v>878</v>
      </c>
      <c r="C214" s="6" t="s">
        <v>255</v>
      </c>
      <c r="D214" s="6" t="s">
        <v>1099</v>
      </c>
      <c r="E214" s="7" t="n">
        <f aca="false">SUMIFS('Data SKU'!$F$5:$F$116,'Data SKU'!$A$5:$A$116,$B214,'Data SKU'!$B$5:$B$116,$C214,'Data SKU'!$D$5:$D$116,3)</f>
        <v>0</v>
      </c>
      <c r="F214" s="7" t="n">
        <f aca="false">SUMIFS('Data SKU'!$F$5:$F$116,'Data SKU'!$A$5:$A$116,$B214,'Data SKU'!$B$5:$B$116,$C214,'Data SKU'!$D$5:$D$116,4)</f>
        <v>524.87</v>
      </c>
      <c r="G214" s="7" t="n">
        <f aca="false">SUMIFS('Data SKU'!$F$5:$F$116,'Data SKU'!$A$5:$A$116,$B214,'Data SKU'!$B$5:$B$116,$C214,'Data SKU'!$D$5:$D$116,5)</f>
        <v>0</v>
      </c>
      <c r="H214" s="7" t="n">
        <f aca="false">SUMIFS('Data SKU'!$F$5:$F$116,'Data SKU'!$A$5:$A$116,$B214,'Data SKU'!$B$5:$B$116,$C214,'Data SKU'!$D$5:$D$116,6)</f>
        <v>0</v>
      </c>
      <c r="I214" s="7" t="n">
        <f aca="false">SUMIFS('Data SKU'!$F$5:$F$116,'Data SKU'!$A$5:$A$116,$B214,'Data SKU'!$B$5:$B$116,$C214,'Data SKU'!$D$5:$D$116,7)</f>
        <v>0</v>
      </c>
      <c r="J214" s="7" t="n">
        <f aca="false">SUMIFS('Data SKU'!$F$5:$F$116,'Data SKU'!$A$5:$A$116,$B214,'Data SKU'!$B$5:$B$116,$C214,'Data SKU'!$D$5:$D$116,8)</f>
        <v>105.37</v>
      </c>
      <c r="K214" s="9" t="n">
        <f aca="false">SUM(E214:J214)</f>
        <v>630.24</v>
      </c>
    </row>
    <row r="215" customFormat="false" ht="15" hidden="false" customHeight="false" outlineLevel="0" collapsed="false">
      <c r="B215" s="6" t="s">
        <v>878</v>
      </c>
      <c r="C215" s="6" t="s">
        <v>255</v>
      </c>
      <c r="D215" s="6" t="s">
        <v>311</v>
      </c>
      <c r="E215" s="7" t="n">
        <f aca="false">SUMIFS('Data SKU'!$G$5:$G$116,'Data SKU'!$A$5:$A$116,$B215,'Data SKU'!$B$5:$B$116,$C215,'Data SKU'!$D$5:$D$116,3)</f>
        <v>0</v>
      </c>
      <c r="F215" s="7" t="n">
        <f aca="false">SUMIFS('Data SKU'!$G$5:$G$116,'Data SKU'!$A$5:$A$116,$B215,'Data SKU'!$B$5:$B$116,$C215,'Data SKU'!$D$5:$D$116,4)</f>
        <v>13783360</v>
      </c>
      <c r="G215" s="7" t="n">
        <f aca="false">SUMIFS('Data SKU'!$G$5:$G$116,'Data SKU'!$A$5:$A$116,$B215,'Data SKU'!$B$5:$B$116,$C215,'Data SKU'!$D$5:$D$116,5)</f>
        <v>0</v>
      </c>
      <c r="H215" s="7" t="n">
        <f aca="false">SUMIFS('Data SKU'!$G$5:$G$116,'Data SKU'!$A$5:$A$116,$B215,'Data SKU'!$B$5:$B$116,$C215,'Data SKU'!$D$5:$D$116,6)</f>
        <v>0</v>
      </c>
      <c r="I215" s="7" t="n">
        <f aca="false">SUMIFS('Data SKU'!$G$5:$G$116,'Data SKU'!$A$5:$A$116,$B215,'Data SKU'!$B$5:$B$116,$C215,'Data SKU'!$D$5:$D$116,7)</f>
        <v>0</v>
      </c>
      <c r="J215" s="7" t="n">
        <f aca="false">SUMIFS('Data SKU'!$G$5:$G$116,'Data SKU'!$A$5:$A$116,$B215,'Data SKU'!$B$5:$B$116,$C215,'Data SKU'!$D$5:$D$116,8)</f>
        <v>3055730</v>
      </c>
      <c r="K215" s="9" t="n">
        <f aca="false">SUM(E215:J215)</f>
        <v>16839090</v>
      </c>
    </row>
    <row r="216" customFormat="false" ht="15" hidden="false" customHeight="false" outlineLevel="0" collapsed="false">
      <c r="B216" s="6" t="s">
        <v>878</v>
      </c>
      <c r="C216" s="6" t="s">
        <v>255</v>
      </c>
      <c r="D216" s="6" t="s">
        <v>865</v>
      </c>
      <c r="E216" s="7" t="n">
        <f aca="false">SUMIFS('Data SKU'!$H$5:$H$116,'Data SKU'!$A$5:$A$116,$B216,'Data SKU'!$B$5:$B$116,$C216,'Data SKU'!$D$5:$D$116,3)</f>
        <v>0</v>
      </c>
      <c r="F216" s="7" t="n">
        <f aca="false">SUMIFS('Data SKU'!$H$5:$H$116,'Data SKU'!$A$5:$A$116,$B216,'Data SKU'!$B$5:$B$116,$C216,'Data SKU'!$D$5:$D$116,4)</f>
        <v>11022270</v>
      </c>
      <c r="G216" s="7" t="n">
        <f aca="false">SUMIFS('Data SKU'!$H$5:$H$116,'Data SKU'!$A$5:$A$116,$B216,'Data SKU'!$B$5:$B$116,$C216,'Data SKU'!$D$5:$D$116,5)</f>
        <v>0</v>
      </c>
      <c r="H216" s="7" t="n">
        <f aca="false">SUMIFS('Data SKU'!$H$5:$H$116,'Data SKU'!$A$5:$A$116,$B216,'Data SKU'!$B$5:$B$116,$C216,'Data SKU'!$D$5:$D$116,6)</f>
        <v>0</v>
      </c>
      <c r="I216" s="7" t="n">
        <f aca="false">SUMIFS('Data SKU'!$H$5:$H$116,'Data SKU'!$A$5:$A$116,$B216,'Data SKU'!$B$5:$B$116,$C216,'Data SKU'!$D$5:$D$116,7)</f>
        <v>9218000</v>
      </c>
      <c r="J216" s="7" t="n">
        <f aca="false">SUMIFS('Data SKU'!$H$5:$H$116,'Data SKU'!$A$5:$A$116,$B216,'Data SKU'!$B$5:$B$116,$C216,'Data SKU'!$D$5:$D$116,8)</f>
        <v>2779760.97573386</v>
      </c>
      <c r="K216" s="9" t="n">
        <f aca="false">SUM(E216:J216)</f>
        <v>23020030.9757339</v>
      </c>
    </row>
    <row r="217" customFormat="false" ht="15" hidden="false" customHeight="false" outlineLevel="0" collapsed="false">
      <c r="B217" s="6" t="s">
        <v>878</v>
      </c>
      <c r="C217" s="6" t="s">
        <v>255</v>
      </c>
      <c r="D217" s="6" t="s">
        <v>866</v>
      </c>
      <c r="E217" s="7" t="n">
        <f aca="false">SUMIFS('Data SKU'!$I$5:$I$116,'Data SKU'!$A$5:$A$116,$B217,'Data SKU'!$B$5:$B$116,$C217,'Data SKU'!$D$5:$D$116,3)</f>
        <v>0</v>
      </c>
      <c r="F217" s="7" t="n">
        <f aca="false">SUMIFS('Data SKU'!$I$5:$I$116,'Data SKU'!$A$5:$A$116,$B217,'Data SKU'!$B$5:$B$116,$C217,'Data SKU'!$D$5:$D$116,4)</f>
        <v>2761090</v>
      </c>
      <c r="G217" s="7" t="n">
        <f aca="false">SUMIFS('Data SKU'!$I$5:$I$116,'Data SKU'!$A$5:$A$116,$B217,'Data SKU'!$B$5:$B$116,$C217,'Data SKU'!$D$5:$D$116,5)</f>
        <v>0</v>
      </c>
      <c r="H217" s="7" t="n">
        <f aca="false">SUMIFS('Data SKU'!$I$5:$I$116,'Data SKU'!$A$5:$A$116,$B217,'Data SKU'!$B$5:$B$116,$C217,'Data SKU'!$D$5:$D$116,6)</f>
        <v>0</v>
      </c>
      <c r="I217" s="7" t="n">
        <f aca="false">SUMIFS('Data SKU'!$I$5:$I$116,'Data SKU'!$A$5:$A$116,$B217,'Data SKU'!$B$5:$B$116,$C217,'Data SKU'!$D$5:$D$116,7)</f>
        <v>-9218000</v>
      </c>
      <c r="J217" s="7" t="n">
        <f aca="false">SUMIFS('Data SKU'!$I$5:$I$116,'Data SKU'!$A$5:$A$116,$B217,'Data SKU'!$B$5:$B$116,$C217,'Data SKU'!$D$5:$D$116,8)</f>
        <v>275969.024266136</v>
      </c>
      <c r="K217" s="9" t="n">
        <f aca="false">SUM(E217:J217)</f>
        <v>-6180940.97573386</v>
      </c>
    </row>
    <row r="218" customFormat="false" ht="15" hidden="false" customHeight="false" outlineLevel="0" collapsed="false">
      <c r="B218" s="6" t="s">
        <v>878</v>
      </c>
      <c r="C218" s="6" t="s">
        <v>255</v>
      </c>
      <c r="D218" s="11" t="s">
        <v>867</v>
      </c>
      <c r="E218" s="57" t="n">
        <f aca="false">IFERROR(E217/E215,0)</f>
        <v>0</v>
      </c>
      <c r="F218" s="57" t="n">
        <f aca="false">IFERROR(F217/F215,0)</f>
        <v>0.200320531423397</v>
      </c>
      <c r="G218" s="57" t="n">
        <f aca="false">IFERROR(G217/G215,0)</f>
        <v>0</v>
      </c>
      <c r="H218" s="57" t="n">
        <f aca="false">IFERROR(H217/H215,0)</f>
        <v>0</v>
      </c>
      <c r="I218" s="57" t="n">
        <f aca="false">IFERROR(I217/I215,0)</f>
        <v>0</v>
      </c>
      <c r="J218" s="57" t="n">
        <f aca="false">IFERROR(J217/J215,0)</f>
        <v>0.0903119792213764</v>
      </c>
      <c r="K218" s="57" t="n">
        <f aca="false">IFERROR(K217/K215,0)</f>
        <v>-0.367059085481096</v>
      </c>
    </row>
    <row r="219" customFormat="false" ht="15" hidden="false" customHeight="false" outlineLevel="0" collapsed="false">
      <c r="B219" s="6" t="s">
        <v>878</v>
      </c>
      <c r="C219" s="6" t="s">
        <v>255</v>
      </c>
      <c r="D219" s="6" t="s">
        <v>1482</v>
      </c>
      <c r="E219" s="9" t="n">
        <f aca="false">IFERROR(E215/E214,0)</f>
        <v>0</v>
      </c>
      <c r="F219" s="9" t="n">
        <f aca="false">IFERROR(F215/F214,0)</f>
        <v>26260.5216529807</v>
      </c>
      <c r="G219" s="9" t="n">
        <f aca="false">IFERROR(G215/G214,0)</f>
        <v>0</v>
      </c>
      <c r="H219" s="9" t="n">
        <f aca="false">IFERROR(H215/H214,0)</f>
        <v>0</v>
      </c>
      <c r="I219" s="9" t="n">
        <f aca="false">IFERROR(I215/I214,0)</f>
        <v>0</v>
      </c>
      <c r="J219" s="9" t="n">
        <f aca="false">IFERROR(J215/J214,0)</f>
        <v>29000</v>
      </c>
      <c r="K219" s="9" t="n">
        <f aca="false">IFERROR(K215/K214,0)</f>
        <v>26718.5357958873</v>
      </c>
    </row>
    <row r="220" customFormat="false" ht="15" hidden="false" customHeight="false" outlineLevel="0" collapsed="false">
      <c r="B220" s="6" t="s">
        <v>878</v>
      </c>
      <c r="C220" s="6" t="s">
        <v>255</v>
      </c>
      <c r="D220" s="6" t="s">
        <v>1447</v>
      </c>
      <c r="E220" s="9" t="n">
        <f aca="false">IFERROR(E216/E214,0)</f>
        <v>0</v>
      </c>
      <c r="F220" s="9" t="n">
        <f aca="false">IFERROR(F216/F214,0)</f>
        <v>21000</v>
      </c>
      <c r="G220" s="9" t="n">
        <f aca="false">IFERROR(G216/G214,0)</f>
        <v>0</v>
      </c>
      <c r="H220" s="9" t="n">
        <f aca="false">IFERROR(H216/H214,0)</f>
        <v>0</v>
      </c>
      <c r="I220" s="9" t="n">
        <f aca="false">IFERROR(I216/I214,0)</f>
        <v>0</v>
      </c>
      <c r="J220" s="9" t="n">
        <f aca="false">IFERROR(J216/J214,0)</f>
        <v>26380.9526025801</v>
      </c>
      <c r="K220" s="9" t="n">
        <f aca="false">IFERROR(K216/K214,0)</f>
        <v>36525.8171105196</v>
      </c>
    </row>
    <row r="222" customFormat="false" ht="15" hidden="false" customHeight="false" outlineLevel="0" collapsed="false">
      <c r="B222" s="6" t="s">
        <v>878</v>
      </c>
      <c r="C222" s="6" t="s">
        <v>252</v>
      </c>
      <c r="D222" s="6" t="s">
        <v>1099</v>
      </c>
      <c r="E222" s="7" t="n">
        <f aca="false">SUMIFS('Data SKU'!$F$5:$F$116,'Data SKU'!$A$5:$A$116,$B222,'Data SKU'!$B$5:$B$116,$C222,'Data SKU'!$D$5:$D$116,3)</f>
        <v>0</v>
      </c>
      <c r="F222" s="7" t="n">
        <f aca="false">SUMIFS('Data SKU'!$F$5:$F$116,'Data SKU'!$A$5:$A$116,$B222,'Data SKU'!$B$5:$B$116,$C222,'Data SKU'!$D$5:$D$116,4)</f>
        <v>0</v>
      </c>
      <c r="G222" s="7" t="n">
        <f aca="false">SUMIFS('Data SKU'!$F$5:$F$116,'Data SKU'!$A$5:$A$116,$B222,'Data SKU'!$B$5:$B$116,$C222,'Data SKU'!$D$5:$D$116,5)</f>
        <v>0</v>
      </c>
      <c r="H222" s="7" t="n">
        <f aca="false">SUMIFS('Data SKU'!$F$5:$F$116,'Data SKU'!$A$5:$A$116,$B222,'Data SKU'!$B$5:$B$116,$C222,'Data SKU'!$D$5:$D$116,6)</f>
        <v>0</v>
      </c>
      <c r="I222" s="7" t="n">
        <f aca="false">SUMIFS('Data SKU'!$F$5:$F$116,'Data SKU'!$A$5:$A$116,$B222,'Data SKU'!$B$5:$B$116,$C222,'Data SKU'!$D$5:$D$116,7)</f>
        <v>0</v>
      </c>
      <c r="J222" s="7" t="n">
        <f aca="false">SUMIFS('Data SKU'!$F$5:$F$116,'Data SKU'!$A$5:$A$116,$B222,'Data SKU'!$B$5:$B$116,$C222,'Data SKU'!$D$5:$D$116,8)</f>
        <v>300</v>
      </c>
      <c r="K222" s="9" t="n">
        <f aca="false">SUM(E222:J222)</f>
        <v>300</v>
      </c>
    </row>
    <row r="223" customFormat="false" ht="15" hidden="false" customHeight="false" outlineLevel="0" collapsed="false">
      <c r="B223" s="6" t="s">
        <v>878</v>
      </c>
      <c r="C223" s="6" t="s">
        <v>252</v>
      </c>
      <c r="D223" s="6" t="s">
        <v>311</v>
      </c>
      <c r="E223" s="7" t="n">
        <f aca="false">SUMIFS('Data SKU'!$G$5:$G$116,'Data SKU'!$A$5:$A$116,$B223,'Data SKU'!$B$5:$B$116,$C223,'Data SKU'!$D$5:$D$116,3)</f>
        <v>0</v>
      </c>
      <c r="F223" s="7" t="n">
        <f aca="false">SUMIFS('Data SKU'!$G$5:$G$116,'Data SKU'!$A$5:$A$116,$B223,'Data SKU'!$B$5:$B$116,$C223,'Data SKU'!$D$5:$D$116,4)</f>
        <v>0</v>
      </c>
      <c r="G223" s="7" t="n">
        <f aca="false">SUMIFS('Data SKU'!$G$5:$G$116,'Data SKU'!$A$5:$A$116,$B223,'Data SKU'!$B$5:$B$116,$C223,'Data SKU'!$D$5:$D$116,5)</f>
        <v>0</v>
      </c>
      <c r="H223" s="7" t="n">
        <f aca="false">SUMIFS('Data SKU'!$G$5:$G$116,'Data SKU'!$A$5:$A$116,$B223,'Data SKU'!$B$5:$B$116,$C223,'Data SKU'!$D$5:$D$116,6)</f>
        <v>0</v>
      </c>
      <c r="I223" s="7" t="n">
        <f aca="false">SUMIFS('Data SKU'!$G$5:$G$116,'Data SKU'!$A$5:$A$116,$B223,'Data SKU'!$B$5:$B$116,$C223,'Data SKU'!$D$5:$D$116,7)</f>
        <v>0</v>
      </c>
      <c r="J223" s="7" t="n">
        <f aca="false">SUMIFS('Data SKU'!$G$5:$G$116,'Data SKU'!$A$5:$A$116,$B223,'Data SKU'!$B$5:$B$116,$C223,'Data SKU'!$D$5:$D$116,8)</f>
        <v>9300000</v>
      </c>
      <c r="K223" s="9" t="n">
        <f aca="false">SUM(E223:J223)</f>
        <v>9300000</v>
      </c>
    </row>
    <row r="224" customFormat="false" ht="15" hidden="false" customHeight="false" outlineLevel="0" collapsed="false">
      <c r="B224" s="6" t="s">
        <v>878</v>
      </c>
      <c r="C224" s="6" t="s">
        <v>252</v>
      </c>
      <c r="D224" s="6" t="s">
        <v>865</v>
      </c>
      <c r="E224" s="7" t="n">
        <f aca="false">SUMIFS('Data SKU'!$H$5:$H$116,'Data SKU'!$A$5:$A$116,$B224,'Data SKU'!$B$5:$B$116,$C224,'Data SKU'!$D$5:$D$116,3)</f>
        <v>0</v>
      </c>
      <c r="F224" s="7" t="n">
        <f aca="false">SUMIFS('Data SKU'!$H$5:$H$116,'Data SKU'!$A$5:$A$116,$B224,'Data SKU'!$B$5:$B$116,$C224,'Data SKU'!$D$5:$D$116,4)</f>
        <v>0</v>
      </c>
      <c r="G224" s="7" t="n">
        <f aca="false">SUMIFS('Data SKU'!$H$5:$H$116,'Data SKU'!$A$5:$A$116,$B224,'Data SKU'!$B$5:$B$116,$C224,'Data SKU'!$D$5:$D$116,5)</f>
        <v>0</v>
      </c>
      <c r="H224" s="7" t="n">
        <f aca="false">SUMIFS('Data SKU'!$H$5:$H$116,'Data SKU'!$A$5:$A$116,$B224,'Data SKU'!$B$5:$B$116,$C224,'Data SKU'!$D$5:$D$116,6)</f>
        <v>0</v>
      </c>
      <c r="I224" s="7" t="n">
        <f aca="false">SUMIFS('Data SKU'!$H$5:$H$116,'Data SKU'!$A$5:$A$116,$B224,'Data SKU'!$B$5:$B$116,$C224,'Data SKU'!$D$5:$D$116,7)</f>
        <v>0</v>
      </c>
      <c r="J224" s="7" t="n">
        <f aca="false">SUMIFS('Data SKU'!$H$5:$H$116,'Data SKU'!$A$5:$A$116,$B224,'Data SKU'!$B$5:$B$116,$C224,'Data SKU'!$D$5:$D$116,8)</f>
        <v>8589835.37995705</v>
      </c>
      <c r="K224" s="9" t="n">
        <f aca="false">SUM(E224:J224)</f>
        <v>8589835.37995705</v>
      </c>
    </row>
    <row r="225" customFormat="false" ht="15" hidden="false" customHeight="false" outlineLevel="0" collapsed="false">
      <c r="B225" s="6" t="s">
        <v>878</v>
      </c>
      <c r="C225" s="6" t="s">
        <v>252</v>
      </c>
      <c r="D225" s="6" t="s">
        <v>866</v>
      </c>
      <c r="E225" s="7" t="n">
        <f aca="false">SUMIFS('Data SKU'!$I$5:$I$116,'Data SKU'!$A$5:$A$116,$B225,'Data SKU'!$B$5:$B$116,$C225,'Data SKU'!$D$5:$D$116,3)</f>
        <v>0</v>
      </c>
      <c r="F225" s="7" t="n">
        <f aca="false">SUMIFS('Data SKU'!$I$5:$I$116,'Data SKU'!$A$5:$A$116,$B225,'Data SKU'!$B$5:$B$116,$C225,'Data SKU'!$D$5:$D$116,4)</f>
        <v>0</v>
      </c>
      <c r="G225" s="7" t="n">
        <f aca="false">SUMIFS('Data SKU'!$I$5:$I$116,'Data SKU'!$A$5:$A$116,$B225,'Data SKU'!$B$5:$B$116,$C225,'Data SKU'!$D$5:$D$116,5)</f>
        <v>0</v>
      </c>
      <c r="H225" s="7" t="n">
        <f aca="false">SUMIFS('Data SKU'!$I$5:$I$116,'Data SKU'!$A$5:$A$116,$B225,'Data SKU'!$B$5:$B$116,$C225,'Data SKU'!$D$5:$D$116,6)</f>
        <v>0</v>
      </c>
      <c r="I225" s="7" t="n">
        <f aca="false">SUMIFS('Data SKU'!$I$5:$I$116,'Data SKU'!$A$5:$A$116,$B225,'Data SKU'!$B$5:$B$116,$C225,'Data SKU'!$D$5:$D$116,7)</f>
        <v>0</v>
      </c>
      <c r="J225" s="7" t="n">
        <f aca="false">SUMIFS('Data SKU'!$I$5:$I$116,'Data SKU'!$A$5:$A$116,$B225,'Data SKU'!$B$5:$B$116,$C225,'Data SKU'!$D$5:$D$116,8)</f>
        <v>710164.620042948</v>
      </c>
      <c r="K225" s="9" t="n">
        <f aca="false">SUM(E225:J225)</f>
        <v>710164.620042948</v>
      </c>
    </row>
    <row r="226" customFormat="false" ht="15" hidden="false" customHeight="false" outlineLevel="0" collapsed="false">
      <c r="B226" s="6" t="s">
        <v>878</v>
      </c>
      <c r="C226" s="6" t="s">
        <v>252</v>
      </c>
      <c r="D226" s="11" t="s">
        <v>867</v>
      </c>
      <c r="E226" s="57" t="n">
        <f aca="false">IFERROR(E225/E223,0)</f>
        <v>0</v>
      </c>
      <c r="F226" s="57" t="n">
        <f aca="false">IFERROR(F225/F223,0)</f>
        <v>0</v>
      </c>
      <c r="G226" s="57" t="n">
        <f aca="false">IFERROR(G225/G223,0)</f>
        <v>0</v>
      </c>
      <c r="H226" s="57" t="n">
        <f aca="false">IFERROR(H225/H223,0)</f>
        <v>0</v>
      </c>
      <c r="I226" s="57" t="n">
        <f aca="false">IFERROR(I225/I223,0)</f>
        <v>0</v>
      </c>
      <c r="J226" s="57" t="n">
        <f aca="false">IFERROR(J225/J223,0)</f>
        <v>0.0763617871013923</v>
      </c>
      <c r="K226" s="57" t="n">
        <f aca="false">IFERROR(K225/K223,0)</f>
        <v>0.0763617871013923</v>
      </c>
    </row>
    <row r="227" customFormat="false" ht="15" hidden="false" customHeight="false" outlineLevel="0" collapsed="false">
      <c r="B227" s="6" t="s">
        <v>878</v>
      </c>
      <c r="C227" s="6" t="s">
        <v>252</v>
      </c>
      <c r="D227" s="6" t="s">
        <v>1482</v>
      </c>
      <c r="E227" s="9" t="n">
        <f aca="false">IFERROR(E223/E222,0)</f>
        <v>0</v>
      </c>
      <c r="F227" s="9" t="n">
        <f aca="false">IFERROR(F223/F222,0)</f>
        <v>0</v>
      </c>
      <c r="G227" s="9" t="n">
        <f aca="false">IFERROR(G223/G222,0)</f>
        <v>0</v>
      </c>
      <c r="H227" s="9" t="n">
        <f aca="false">IFERROR(H223/H222,0)</f>
        <v>0</v>
      </c>
      <c r="I227" s="9" t="n">
        <f aca="false">IFERROR(I223/I222,0)</f>
        <v>0</v>
      </c>
      <c r="J227" s="9" t="n">
        <f aca="false">IFERROR(J223/J222,0)</f>
        <v>31000</v>
      </c>
      <c r="K227" s="9" t="n">
        <f aca="false">IFERROR(K223/K222,0)</f>
        <v>31000</v>
      </c>
    </row>
    <row r="228" customFormat="false" ht="15" hidden="false" customHeight="false" outlineLevel="0" collapsed="false">
      <c r="B228" s="6" t="s">
        <v>878</v>
      </c>
      <c r="C228" s="6" t="s">
        <v>252</v>
      </c>
      <c r="D228" s="6" t="s">
        <v>1447</v>
      </c>
      <c r="E228" s="9" t="n">
        <f aca="false">IFERROR(E224/E222,0)</f>
        <v>0</v>
      </c>
      <c r="F228" s="9" t="n">
        <f aca="false">IFERROR(F224/F222,0)</f>
        <v>0</v>
      </c>
      <c r="G228" s="9" t="n">
        <f aca="false">IFERROR(G224/G222,0)</f>
        <v>0</v>
      </c>
      <c r="H228" s="9" t="n">
        <f aca="false">IFERROR(H224/H222,0)</f>
        <v>0</v>
      </c>
      <c r="I228" s="9" t="n">
        <f aca="false">IFERROR(I224/I222,0)</f>
        <v>0</v>
      </c>
      <c r="J228" s="9" t="n">
        <f aca="false">IFERROR(J224/J222,0)</f>
        <v>28632.7845998568</v>
      </c>
      <c r="K228" s="9" t="n">
        <f aca="false">IFERROR(K224/K222,0)</f>
        <v>28632.7845998568</v>
      </c>
    </row>
    <row r="230" customFormat="false" ht="15" hidden="false" customHeight="false" outlineLevel="0" collapsed="false">
      <c r="B230" s="6" t="s">
        <v>878</v>
      </c>
      <c r="C230" s="6" t="s">
        <v>253</v>
      </c>
      <c r="D230" s="6" t="s">
        <v>1099</v>
      </c>
      <c r="E230" s="7" t="n">
        <f aca="false">SUMIFS('Data SKU'!$F$5:$F$116,'Data SKU'!$A$5:$A$116,$B230,'Data SKU'!$B$5:$B$116,$C230,'Data SKU'!$D$5:$D$116,3)</f>
        <v>0</v>
      </c>
      <c r="F230" s="7" t="n">
        <f aca="false">SUMIFS('Data SKU'!$F$5:$F$116,'Data SKU'!$A$5:$A$116,$B230,'Data SKU'!$B$5:$B$116,$C230,'Data SKU'!$D$5:$D$116,4)</f>
        <v>0</v>
      </c>
      <c r="G230" s="7" t="n">
        <f aca="false">SUMIFS('Data SKU'!$F$5:$F$116,'Data SKU'!$A$5:$A$116,$B230,'Data SKU'!$B$5:$B$116,$C230,'Data SKU'!$D$5:$D$116,5)</f>
        <v>315</v>
      </c>
      <c r="H230" s="7" t="n">
        <f aca="false">SUMIFS('Data SKU'!$F$5:$F$116,'Data SKU'!$A$5:$A$116,$B230,'Data SKU'!$B$5:$B$116,$C230,'Data SKU'!$D$5:$D$116,6)</f>
        <v>0</v>
      </c>
      <c r="I230" s="7" t="n">
        <f aca="false">SUMIFS('Data SKU'!$F$5:$F$116,'Data SKU'!$A$5:$A$116,$B230,'Data SKU'!$B$5:$B$116,$C230,'Data SKU'!$D$5:$D$116,7)</f>
        <v>0</v>
      </c>
      <c r="J230" s="7" t="n">
        <f aca="false">SUMIFS('Data SKU'!$F$5:$F$116,'Data SKU'!$A$5:$A$116,$B230,'Data SKU'!$B$5:$B$116,$C230,'Data SKU'!$D$5:$D$116,8)</f>
        <v>0</v>
      </c>
      <c r="K230" s="9" t="n">
        <f aca="false">SUM(E230:J230)</f>
        <v>315</v>
      </c>
    </row>
    <row r="231" customFormat="false" ht="15" hidden="false" customHeight="false" outlineLevel="0" collapsed="false">
      <c r="B231" s="6" t="s">
        <v>878</v>
      </c>
      <c r="C231" s="6" t="s">
        <v>253</v>
      </c>
      <c r="D231" s="6" t="s">
        <v>311</v>
      </c>
      <c r="E231" s="7" t="n">
        <f aca="false">SUMIFS('Data SKU'!$G$5:$G$116,'Data SKU'!$A$5:$A$116,$B231,'Data SKU'!$B$5:$B$116,$C231,'Data SKU'!$D$5:$D$116,3)</f>
        <v>0</v>
      </c>
      <c r="F231" s="7" t="n">
        <f aca="false">SUMIFS('Data SKU'!$G$5:$G$116,'Data SKU'!$A$5:$A$116,$B231,'Data SKU'!$B$5:$B$116,$C231,'Data SKU'!$D$5:$D$116,4)</f>
        <v>0</v>
      </c>
      <c r="G231" s="7" t="n">
        <f aca="false">SUMIFS('Data SKU'!$G$5:$G$116,'Data SKU'!$A$5:$A$116,$B231,'Data SKU'!$B$5:$B$116,$C231,'Data SKU'!$D$5:$D$116,5)</f>
        <v>4410000</v>
      </c>
      <c r="H231" s="7" t="n">
        <f aca="false">SUMIFS('Data SKU'!$G$5:$G$116,'Data SKU'!$A$5:$A$116,$B231,'Data SKU'!$B$5:$B$116,$C231,'Data SKU'!$D$5:$D$116,6)</f>
        <v>0</v>
      </c>
      <c r="I231" s="7" t="n">
        <f aca="false">SUMIFS('Data SKU'!$G$5:$G$116,'Data SKU'!$A$5:$A$116,$B231,'Data SKU'!$B$5:$B$116,$C231,'Data SKU'!$D$5:$D$116,7)</f>
        <v>0</v>
      </c>
      <c r="J231" s="7" t="n">
        <f aca="false">SUMIFS('Data SKU'!$G$5:$G$116,'Data SKU'!$A$5:$A$116,$B231,'Data SKU'!$B$5:$B$116,$C231,'Data SKU'!$D$5:$D$116,8)</f>
        <v>0</v>
      </c>
      <c r="K231" s="9" t="n">
        <f aca="false">SUM(E231:J231)</f>
        <v>4410000</v>
      </c>
    </row>
    <row r="232" customFormat="false" ht="15" hidden="false" customHeight="false" outlineLevel="0" collapsed="false">
      <c r="B232" s="6" t="s">
        <v>878</v>
      </c>
      <c r="C232" s="6" t="s">
        <v>253</v>
      </c>
      <c r="D232" s="6" t="s">
        <v>865</v>
      </c>
      <c r="E232" s="7" t="n">
        <f aca="false">SUMIFS('Data SKU'!$H$5:$H$116,'Data SKU'!$A$5:$A$116,$B232,'Data SKU'!$B$5:$B$116,$C232,'Data SKU'!$D$5:$D$116,3)</f>
        <v>0</v>
      </c>
      <c r="F232" s="7" t="n">
        <f aca="false">SUMIFS('Data SKU'!$H$5:$H$116,'Data SKU'!$A$5:$A$116,$B232,'Data SKU'!$B$5:$B$116,$C232,'Data SKU'!$D$5:$D$116,4)</f>
        <v>0</v>
      </c>
      <c r="G232" s="7" t="n">
        <f aca="false">SUMIFS('Data SKU'!$H$5:$H$116,'Data SKU'!$A$5:$A$116,$B232,'Data SKU'!$B$5:$B$116,$C232,'Data SKU'!$D$5:$D$116,5)</f>
        <v>3572500</v>
      </c>
      <c r="H232" s="7" t="n">
        <f aca="false">SUMIFS('Data SKU'!$H$5:$H$116,'Data SKU'!$A$5:$A$116,$B232,'Data SKU'!$B$5:$B$116,$C232,'Data SKU'!$D$5:$D$116,6)</f>
        <v>0</v>
      </c>
      <c r="I232" s="7" t="n">
        <f aca="false">SUMIFS('Data SKU'!$H$5:$H$116,'Data SKU'!$A$5:$A$116,$B232,'Data SKU'!$B$5:$B$116,$C232,'Data SKU'!$D$5:$D$116,7)</f>
        <v>0</v>
      </c>
      <c r="J232" s="7" t="n">
        <f aca="false">SUMIFS('Data SKU'!$H$5:$H$116,'Data SKU'!$A$5:$A$116,$B232,'Data SKU'!$B$5:$B$116,$C232,'Data SKU'!$D$5:$D$116,8)</f>
        <v>0</v>
      </c>
      <c r="K232" s="9" t="n">
        <f aca="false">SUM(E232:J232)</f>
        <v>3572500</v>
      </c>
    </row>
    <row r="233" customFormat="false" ht="15" hidden="false" customHeight="false" outlineLevel="0" collapsed="false">
      <c r="B233" s="6" t="s">
        <v>878</v>
      </c>
      <c r="C233" s="6" t="s">
        <v>253</v>
      </c>
      <c r="D233" s="6" t="s">
        <v>866</v>
      </c>
      <c r="E233" s="7" t="n">
        <f aca="false">SUMIFS('Data SKU'!$I$5:$I$116,'Data SKU'!$A$5:$A$116,$B233,'Data SKU'!$B$5:$B$116,$C233,'Data SKU'!$D$5:$D$116,3)</f>
        <v>0</v>
      </c>
      <c r="F233" s="7" t="n">
        <f aca="false">SUMIFS('Data SKU'!$I$5:$I$116,'Data SKU'!$A$5:$A$116,$B233,'Data SKU'!$B$5:$B$116,$C233,'Data SKU'!$D$5:$D$116,4)</f>
        <v>0</v>
      </c>
      <c r="G233" s="7" t="n">
        <f aca="false">SUMIFS('Data SKU'!$I$5:$I$116,'Data SKU'!$A$5:$A$116,$B233,'Data SKU'!$B$5:$B$116,$C233,'Data SKU'!$D$5:$D$116,5)</f>
        <v>837500</v>
      </c>
      <c r="H233" s="7" t="n">
        <f aca="false">SUMIFS('Data SKU'!$I$5:$I$116,'Data SKU'!$A$5:$A$116,$B233,'Data SKU'!$B$5:$B$116,$C233,'Data SKU'!$D$5:$D$116,6)</f>
        <v>0</v>
      </c>
      <c r="I233" s="7" t="n">
        <f aca="false">SUMIFS('Data SKU'!$I$5:$I$116,'Data SKU'!$A$5:$A$116,$B233,'Data SKU'!$B$5:$B$116,$C233,'Data SKU'!$D$5:$D$116,7)</f>
        <v>0</v>
      </c>
      <c r="J233" s="7" t="n">
        <f aca="false">SUMIFS('Data SKU'!$I$5:$I$116,'Data SKU'!$A$5:$A$116,$B233,'Data SKU'!$B$5:$B$116,$C233,'Data SKU'!$D$5:$D$116,8)</f>
        <v>0</v>
      </c>
      <c r="K233" s="9" t="n">
        <f aca="false">SUM(E233:J233)</f>
        <v>837500</v>
      </c>
    </row>
    <row r="234" customFormat="false" ht="15" hidden="false" customHeight="false" outlineLevel="0" collapsed="false">
      <c r="B234" s="6" t="s">
        <v>878</v>
      </c>
      <c r="C234" s="6" t="s">
        <v>253</v>
      </c>
      <c r="D234" s="11" t="s">
        <v>867</v>
      </c>
      <c r="E234" s="57" t="n">
        <f aca="false">IFERROR(E233/E231,0)</f>
        <v>0</v>
      </c>
      <c r="F234" s="57" t="n">
        <f aca="false">IFERROR(F233/F231,0)</f>
        <v>0</v>
      </c>
      <c r="G234" s="57" t="n">
        <f aca="false">IFERROR(G233/G231,0)</f>
        <v>0.189909297052154</v>
      </c>
      <c r="H234" s="57" t="n">
        <f aca="false">IFERROR(H233/H231,0)</f>
        <v>0</v>
      </c>
      <c r="I234" s="57" t="n">
        <f aca="false">IFERROR(I233/I231,0)</f>
        <v>0</v>
      </c>
      <c r="J234" s="57" t="n">
        <f aca="false">IFERROR(J233/J231,0)</f>
        <v>0</v>
      </c>
      <c r="K234" s="57" t="n">
        <f aca="false">IFERROR(K233/K231,0)</f>
        <v>0.189909297052154</v>
      </c>
    </row>
    <row r="235" customFormat="false" ht="15" hidden="false" customHeight="false" outlineLevel="0" collapsed="false">
      <c r="B235" s="6" t="s">
        <v>878</v>
      </c>
      <c r="C235" s="6" t="s">
        <v>253</v>
      </c>
      <c r="D235" s="6" t="s">
        <v>1482</v>
      </c>
      <c r="E235" s="9" t="n">
        <f aca="false">IFERROR(E231/E230,0)</f>
        <v>0</v>
      </c>
      <c r="F235" s="9" t="n">
        <f aca="false">IFERROR(F231/F230,0)</f>
        <v>0</v>
      </c>
      <c r="G235" s="9" t="n">
        <f aca="false">IFERROR(G231/G230,0)</f>
        <v>14000</v>
      </c>
      <c r="H235" s="9" t="n">
        <f aca="false">IFERROR(H231/H230,0)</f>
        <v>0</v>
      </c>
      <c r="I235" s="9" t="n">
        <f aca="false">IFERROR(I231/I230,0)</f>
        <v>0</v>
      </c>
      <c r="J235" s="9" t="n">
        <f aca="false">IFERROR(J231/J230,0)</f>
        <v>0</v>
      </c>
      <c r="K235" s="9" t="n">
        <f aca="false">IFERROR(K231/K230,0)</f>
        <v>14000</v>
      </c>
    </row>
    <row r="236" customFormat="false" ht="15" hidden="false" customHeight="false" outlineLevel="0" collapsed="false">
      <c r="B236" s="6" t="s">
        <v>878</v>
      </c>
      <c r="C236" s="6" t="s">
        <v>253</v>
      </c>
      <c r="D236" s="6" t="s">
        <v>1447</v>
      </c>
      <c r="E236" s="9" t="n">
        <f aca="false">IFERROR(E232/E230,0)</f>
        <v>0</v>
      </c>
      <c r="F236" s="9" t="n">
        <f aca="false">IFERROR(F232/F230,0)</f>
        <v>0</v>
      </c>
      <c r="G236" s="9" t="n">
        <f aca="false">IFERROR(G232/G230,0)</f>
        <v>11341.2698412698</v>
      </c>
      <c r="H236" s="9" t="n">
        <f aca="false">IFERROR(H232/H230,0)</f>
        <v>0</v>
      </c>
      <c r="I236" s="9" t="n">
        <f aca="false">IFERROR(I232/I230,0)</f>
        <v>0</v>
      </c>
      <c r="J236" s="9" t="n">
        <f aca="false">IFERROR(J232/J230,0)</f>
        <v>0</v>
      </c>
      <c r="K236" s="9" t="n">
        <f aca="false">IFERROR(K232/K230,0)</f>
        <v>11341.2698412698</v>
      </c>
    </row>
    <row r="238" customFormat="false" ht="15" hidden="false" customHeight="false" outlineLevel="0" collapsed="false">
      <c r="B238" s="6" t="s">
        <v>1141</v>
      </c>
      <c r="C238" s="6" t="s">
        <v>240</v>
      </c>
      <c r="D238" s="6" t="s">
        <v>1099</v>
      </c>
      <c r="E238" s="7" t="n">
        <f aca="false">SUMIFS('Data SKU'!$F$5:$F$116,'Data SKU'!$A$5:$A$116,$B238,'Data SKU'!$B$5:$B$116,$C238,'Data SKU'!$D$5:$D$116,3)</f>
        <v>0</v>
      </c>
      <c r="F238" s="7" t="n">
        <f aca="false">SUMIFS('Data SKU'!$F$5:$F$116,'Data SKU'!$A$5:$A$116,$B238,'Data SKU'!$B$5:$B$116,$C238,'Data SKU'!$D$5:$D$116,4)</f>
        <v>0</v>
      </c>
      <c r="G238" s="7" t="n">
        <f aca="false">SUMIFS('Data SKU'!$F$5:$F$116,'Data SKU'!$A$5:$A$116,$B238,'Data SKU'!$B$5:$B$116,$C238,'Data SKU'!$D$5:$D$116,5)</f>
        <v>0</v>
      </c>
      <c r="H238" s="7" t="n">
        <f aca="false">SUMIFS('Data SKU'!$F$5:$F$116,'Data SKU'!$A$5:$A$116,$B238,'Data SKU'!$B$5:$B$116,$C238,'Data SKU'!$D$5:$D$116,6)</f>
        <v>0</v>
      </c>
      <c r="I238" s="7" t="n">
        <f aca="false">SUMIFS('Data SKU'!$F$5:$F$116,'Data SKU'!$A$5:$A$116,$B238,'Data SKU'!$B$5:$B$116,$C238,'Data SKU'!$D$5:$D$116,7)</f>
        <v>0</v>
      </c>
      <c r="J238" s="7" t="n">
        <f aca="false">SUMIFS('Data SKU'!$F$5:$F$116,'Data SKU'!$A$5:$A$116,$B238,'Data SKU'!$B$5:$B$116,$C238,'Data SKU'!$D$5:$D$116,8)</f>
        <v>0</v>
      </c>
      <c r="K238" s="9" t="n">
        <f aca="false">SUM(E238:J238)</f>
        <v>0</v>
      </c>
    </row>
    <row r="239" customFormat="false" ht="15" hidden="false" customHeight="false" outlineLevel="0" collapsed="false">
      <c r="B239" s="6" t="s">
        <v>1141</v>
      </c>
      <c r="C239" s="6" t="s">
        <v>240</v>
      </c>
      <c r="D239" s="6" t="s">
        <v>311</v>
      </c>
      <c r="E239" s="7" t="n">
        <f aca="false">SUMIFS('Data SKU'!$G$5:$G$116,'Data SKU'!$A$5:$A$116,$B239,'Data SKU'!$B$5:$B$116,$C239,'Data SKU'!$D$5:$D$116,3)</f>
        <v>0</v>
      </c>
      <c r="F239" s="7" t="n">
        <f aca="false">SUMIFS('Data SKU'!$G$5:$G$116,'Data SKU'!$A$5:$A$116,$B239,'Data SKU'!$B$5:$B$116,$C239,'Data SKU'!$D$5:$D$116,4)</f>
        <v>0</v>
      </c>
      <c r="G239" s="7" t="n">
        <f aca="false">SUMIFS('Data SKU'!$G$5:$G$116,'Data SKU'!$A$5:$A$116,$B239,'Data SKU'!$B$5:$B$116,$C239,'Data SKU'!$D$5:$D$116,5)</f>
        <v>0</v>
      </c>
      <c r="H239" s="7" t="n">
        <f aca="false">SUMIFS('Data SKU'!$G$5:$G$116,'Data SKU'!$A$5:$A$116,$B239,'Data SKU'!$B$5:$B$116,$C239,'Data SKU'!$D$5:$D$116,6)</f>
        <v>0</v>
      </c>
      <c r="I239" s="7" t="n">
        <f aca="false">SUMIFS('Data SKU'!$G$5:$G$116,'Data SKU'!$A$5:$A$116,$B239,'Data SKU'!$B$5:$B$116,$C239,'Data SKU'!$D$5:$D$116,7)</f>
        <v>0</v>
      </c>
      <c r="J239" s="7" t="n">
        <f aca="false">SUMIFS('Data SKU'!$G$5:$G$116,'Data SKU'!$A$5:$A$116,$B239,'Data SKU'!$B$5:$B$116,$C239,'Data SKU'!$D$5:$D$116,8)</f>
        <v>0</v>
      </c>
      <c r="K239" s="9" t="n">
        <f aca="false">SUM(E239:J239)</f>
        <v>0</v>
      </c>
    </row>
    <row r="240" customFormat="false" ht="15" hidden="false" customHeight="false" outlineLevel="0" collapsed="false">
      <c r="B240" s="6" t="s">
        <v>1141</v>
      </c>
      <c r="C240" s="6" t="s">
        <v>240</v>
      </c>
      <c r="D240" s="6" t="s">
        <v>865</v>
      </c>
      <c r="E240" s="7" t="n">
        <f aca="false">SUMIFS('Data SKU'!$H$5:$H$116,'Data SKU'!$A$5:$A$116,$B240,'Data SKU'!$B$5:$B$116,$C240,'Data SKU'!$D$5:$D$116,3)</f>
        <v>0</v>
      </c>
      <c r="F240" s="7" t="n">
        <f aca="false">SUMIFS('Data SKU'!$H$5:$H$116,'Data SKU'!$A$5:$A$116,$B240,'Data SKU'!$B$5:$B$116,$C240,'Data SKU'!$D$5:$D$116,4)</f>
        <v>0</v>
      </c>
      <c r="G240" s="7" t="n">
        <f aca="false">SUMIFS('Data SKU'!$H$5:$H$116,'Data SKU'!$A$5:$A$116,$B240,'Data SKU'!$B$5:$B$116,$C240,'Data SKU'!$D$5:$D$116,5)</f>
        <v>0</v>
      </c>
      <c r="H240" s="7" t="n">
        <f aca="false">SUMIFS('Data SKU'!$H$5:$H$116,'Data SKU'!$A$5:$A$116,$B240,'Data SKU'!$B$5:$B$116,$C240,'Data SKU'!$D$5:$D$116,6)</f>
        <v>0</v>
      </c>
      <c r="I240" s="7" t="n">
        <f aca="false">SUMIFS('Data SKU'!$H$5:$H$116,'Data SKU'!$A$5:$A$116,$B240,'Data SKU'!$B$5:$B$116,$C240,'Data SKU'!$D$5:$D$116,7)</f>
        <v>0</v>
      </c>
      <c r="J240" s="7" t="n">
        <f aca="false">SUMIFS('Data SKU'!$H$5:$H$116,'Data SKU'!$A$5:$A$116,$B240,'Data SKU'!$B$5:$B$116,$C240,'Data SKU'!$D$5:$D$116,8)</f>
        <v>0</v>
      </c>
      <c r="K240" s="9" t="n">
        <f aca="false">SUM(E240:J240)</f>
        <v>0</v>
      </c>
    </row>
    <row r="241" customFormat="false" ht="15" hidden="false" customHeight="false" outlineLevel="0" collapsed="false">
      <c r="B241" s="6" t="s">
        <v>1141</v>
      </c>
      <c r="C241" s="6" t="s">
        <v>240</v>
      </c>
      <c r="D241" s="6" t="s">
        <v>866</v>
      </c>
      <c r="E241" s="7" t="n">
        <f aca="false">SUMIFS('Data SKU'!$I$5:$I$116,'Data SKU'!$A$5:$A$116,$B241,'Data SKU'!$B$5:$B$116,$C241,'Data SKU'!$D$5:$D$116,3)</f>
        <v>0</v>
      </c>
      <c r="F241" s="7" t="n">
        <f aca="false">SUMIFS('Data SKU'!$I$5:$I$116,'Data SKU'!$A$5:$A$116,$B241,'Data SKU'!$B$5:$B$116,$C241,'Data SKU'!$D$5:$D$116,4)</f>
        <v>0</v>
      </c>
      <c r="G241" s="7" t="n">
        <f aca="false">SUMIFS('Data SKU'!$I$5:$I$116,'Data SKU'!$A$5:$A$116,$B241,'Data SKU'!$B$5:$B$116,$C241,'Data SKU'!$D$5:$D$116,5)</f>
        <v>0</v>
      </c>
      <c r="H241" s="7" t="n">
        <f aca="false">SUMIFS('Data SKU'!$I$5:$I$116,'Data SKU'!$A$5:$A$116,$B241,'Data SKU'!$B$5:$B$116,$C241,'Data SKU'!$D$5:$D$116,6)</f>
        <v>0</v>
      </c>
      <c r="I241" s="7" t="n">
        <f aca="false">SUMIFS('Data SKU'!$I$5:$I$116,'Data SKU'!$A$5:$A$116,$B241,'Data SKU'!$B$5:$B$116,$C241,'Data SKU'!$D$5:$D$116,7)</f>
        <v>0</v>
      </c>
      <c r="J241" s="7" t="n">
        <f aca="false">SUMIFS('Data SKU'!$I$5:$I$116,'Data SKU'!$A$5:$A$116,$B241,'Data SKU'!$B$5:$B$116,$C241,'Data SKU'!$D$5:$D$116,8)</f>
        <v>0</v>
      </c>
      <c r="K241" s="9" t="n">
        <f aca="false">SUM(E241:J241)</f>
        <v>0</v>
      </c>
    </row>
    <row r="242" customFormat="false" ht="15" hidden="false" customHeight="false" outlineLevel="0" collapsed="false">
      <c r="B242" s="6" t="s">
        <v>1141</v>
      </c>
      <c r="C242" s="6" t="s">
        <v>240</v>
      </c>
      <c r="D242" s="11" t="s">
        <v>867</v>
      </c>
      <c r="E242" s="57" t="n">
        <f aca="false">IFERROR(E241/E239,0)</f>
        <v>0</v>
      </c>
      <c r="F242" s="57" t="n">
        <f aca="false">IFERROR(F241/F239,0)</f>
        <v>0</v>
      </c>
      <c r="G242" s="57" t="n">
        <f aca="false">IFERROR(G241/G239,0)</f>
        <v>0</v>
      </c>
      <c r="H242" s="57" t="n">
        <f aca="false">IFERROR(H241/H239,0)</f>
        <v>0</v>
      </c>
      <c r="I242" s="57" t="n">
        <f aca="false">IFERROR(I241/I239,0)</f>
        <v>0</v>
      </c>
      <c r="J242" s="57" t="n">
        <f aca="false">IFERROR(J241/J239,0)</f>
        <v>0</v>
      </c>
      <c r="K242" s="57" t="n">
        <f aca="false">IFERROR(K241/K239,0)</f>
        <v>0</v>
      </c>
    </row>
    <row r="243" customFormat="false" ht="15" hidden="false" customHeight="false" outlineLevel="0" collapsed="false">
      <c r="B243" s="6" t="s">
        <v>1141</v>
      </c>
      <c r="C243" s="6" t="s">
        <v>240</v>
      </c>
      <c r="D243" s="6" t="s">
        <v>1482</v>
      </c>
      <c r="E243" s="9" t="n">
        <f aca="false">IFERROR(E239/E238,0)</f>
        <v>0</v>
      </c>
      <c r="F243" s="9" t="n">
        <f aca="false">IFERROR(F239/F238,0)</f>
        <v>0</v>
      </c>
      <c r="G243" s="9" t="n">
        <f aca="false">IFERROR(G239/G238,0)</f>
        <v>0</v>
      </c>
      <c r="H243" s="9" t="n">
        <f aca="false">IFERROR(H239/H238,0)</f>
        <v>0</v>
      </c>
      <c r="I243" s="9" t="n">
        <f aca="false">IFERROR(I239/I238,0)</f>
        <v>0</v>
      </c>
      <c r="J243" s="9" t="n">
        <f aca="false">IFERROR(J239/J238,0)</f>
        <v>0</v>
      </c>
      <c r="K243" s="9" t="n">
        <f aca="false">IFERROR(K239/K238,0)</f>
        <v>0</v>
      </c>
    </row>
    <row r="244" customFormat="false" ht="15" hidden="false" customHeight="false" outlineLevel="0" collapsed="false">
      <c r="B244" s="6" t="s">
        <v>1141</v>
      </c>
      <c r="C244" s="6" t="s">
        <v>240</v>
      </c>
      <c r="D244" s="6" t="s">
        <v>1447</v>
      </c>
      <c r="E244" s="9" t="n">
        <f aca="false">IFERROR(E240/E238,0)</f>
        <v>0</v>
      </c>
      <c r="F244" s="9" t="n">
        <f aca="false">IFERROR(F240/F238,0)</f>
        <v>0</v>
      </c>
      <c r="G244" s="9" t="n">
        <f aca="false">IFERROR(G240/G238,0)</f>
        <v>0</v>
      </c>
      <c r="H244" s="9" t="n">
        <f aca="false">IFERROR(H240/H238,0)</f>
        <v>0</v>
      </c>
      <c r="I244" s="9" t="n">
        <f aca="false">IFERROR(I240/I238,0)</f>
        <v>0</v>
      </c>
      <c r="J244" s="9" t="n">
        <f aca="false">IFERROR(J240/J238,0)</f>
        <v>0</v>
      </c>
      <c r="K244" s="9" t="n">
        <f aca="false">IFERROR(K240/K238,0)</f>
        <v>0</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1"/>
    <col collapsed="false" customWidth="true" hidden="false" outlineLevel="0" max="8" min="4" style="0" width="13"/>
    <col collapsed="false" customWidth="true" hidden="false" outlineLevel="0" max="9" min="9" style="0" width="9"/>
    <col collapsed="false" customWidth="true" hidden="false" outlineLevel="0" max="10" min="10" style="0" width="30"/>
    <col collapsed="false" customWidth="true" hidden="false" outlineLevel="0" max="11" min="11" style="0" width="52"/>
    <col collapsed="false" customWidth="true" hidden="false" outlineLevel="0" max="12" min="12" style="0" width="14"/>
    <col collapsed="false" customWidth="true" hidden="false" outlineLevel="0" max="13" min="13" style="0" width="11"/>
    <col collapsed="false" customWidth="true" hidden="false" outlineLevel="0" max="14" min="14" style="0" width="9"/>
    <col collapsed="false" customWidth="true" hidden="false" outlineLevel="0" max="15" min="15" style="0" width="12"/>
    <col collapsed="false" customWidth="true" hidden="false" outlineLevel="0" max="16" min="16" style="0" width="34"/>
  </cols>
  <sheetData>
    <row r="1" customFormat="false" ht="15" hidden="false" customHeight="false" outlineLevel="0" collapsed="false">
      <c r="A1" s="1" t="s">
        <v>1485</v>
      </c>
    </row>
    <row r="2" customFormat="false" ht="15" hidden="false" customHeight="false" outlineLevel="0" collapsed="false">
      <c r="A2" s="4" t="s">
        <v>1486</v>
      </c>
    </row>
    <row r="3" customFormat="false" ht="15" hidden="false" customHeight="false" outlineLevel="0" collapsed="false">
      <c r="A3" s="11" t="s">
        <v>1487</v>
      </c>
      <c r="B3" s="89" t="s">
        <v>1143</v>
      </c>
      <c r="C3" s="90" t="s">
        <v>1488</v>
      </c>
    </row>
    <row r="5" customFormat="false" ht="30" hidden="false" customHeight="true" outlineLevel="0" collapsed="false">
      <c r="A5" s="5" t="s">
        <v>308</v>
      </c>
      <c r="B5" s="5" t="s">
        <v>731</v>
      </c>
      <c r="C5" s="5" t="s">
        <v>732</v>
      </c>
      <c r="D5" s="5" t="s">
        <v>733</v>
      </c>
      <c r="E5" s="5" t="s">
        <v>734</v>
      </c>
      <c r="F5" s="5" t="s">
        <v>184</v>
      </c>
      <c r="G5" s="5" t="s">
        <v>185</v>
      </c>
    </row>
    <row r="6" customFormat="false" ht="15" hidden="false" customHeight="false" outlineLevel="0" collapsed="false">
      <c r="A6" s="6" t="s">
        <v>1489</v>
      </c>
      <c r="B6" s="9" t="n">
        <f aca="false">SUMIFS($H$24:$H$256,$B$24:$B$256,3,$E$24:$E$256,"Exp",$L$24:$L$256,"RPA")</f>
        <v>0</v>
      </c>
      <c r="C6" s="9" t="n">
        <f aca="false">SUMIFS($H$24:$H$256,$B$24:$B$256,4,$E$24:$E$256,"Exp",$L$24:$L$256,"RPA")</f>
        <v>0</v>
      </c>
      <c r="D6" s="9" t="n">
        <f aca="false">SUMIFS($H$24:$H$256,$B$24:$B$256,5,$E$24:$E$256,"Exp",$L$24:$L$256,"RPA")</f>
        <v>36350000</v>
      </c>
      <c r="E6" s="9" t="n">
        <f aca="false">SUMIFS($H$24:$H$256,$B$24:$B$256,6,$E$24:$E$256,"Exp",$L$24:$L$256,"RPA")</f>
        <v>120050000</v>
      </c>
      <c r="F6" s="9" t="n">
        <f aca="false">SUMIFS($H$24:$H$256,$B$24:$B$256,7,$E$24:$E$256,"Exp",$L$24:$L$256,"RPA")</f>
        <v>8400000</v>
      </c>
      <c r="G6" s="9" t="n">
        <f aca="false">SUMIFS($H$24:$H$256,$B$24:$B$256,8,$E$24:$E$256,"Exp",$L$24:$L$256,"RPA")</f>
        <v>48800000</v>
      </c>
    </row>
    <row r="7" customFormat="false" ht="15" hidden="false" customHeight="false" outlineLevel="0" collapsed="false">
      <c r="A7" s="6" t="s">
        <v>1490</v>
      </c>
      <c r="B7" s="9" t="n">
        <f aca="false">SUMIFS($H$24:$H$256,$B$24:$B$256,3,$E$24:$E$256,"Exp",$L$24:$L$256,"Trading")</f>
        <v>0</v>
      </c>
      <c r="C7" s="9" t="n">
        <f aca="false">SUMIFS($H$24:$H$256,$B$24:$B$256,4,$E$24:$E$256,"Exp",$L$24:$L$256,"Trading")</f>
        <v>0</v>
      </c>
      <c r="D7" s="9" t="n">
        <f aca="false">SUMIFS($H$24:$H$256,$B$24:$B$256,5,$E$24:$E$256,"Exp",$L$24:$L$256,"Trading")</f>
        <v>0</v>
      </c>
      <c r="E7" s="9" t="n">
        <f aca="false">SUMIFS($H$24:$H$256,$B$24:$B$256,6,$E$24:$E$256,"Exp",$L$24:$L$256,"Trading")</f>
        <v>0</v>
      </c>
      <c r="F7" s="9" t="n">
        <f aca="false">SUMIFS($H$24:$H$256,$B$24:$B$256,7,$E$24:$E$256,"Exp",$L$24:$L$256,"Trading")</f>
        <v>0</v>
      </c>
      <c r="G7" s="9" t="n">
        <f aca="false">SUMIFS($H$24:$H$256,$B$24:$B$256,8,$E$24:$E$256,"Exp",$L$24:$L$256,"Trading")</f>
        <v>0</v>
      </c>
    </row>
    <row r="8" customFormat="false" ht="15" hidden="false" customHeight="false" outlineLevel="0" collapsed="false">
      <c r="A8" s="6" t="s">
        <v>1491</v>
      </c>
      <c r="B8" s="9" t="n">
        <f aca="false">SUMIFS($H$24:$H$256,$B$24:$B$256,3,$E$24:$E$256,"Exp",$L$24:$L$256,"Shared")</f>
        <v>784000</v>
      </c>
      <c r="C8" s="9" t="n">
        <f aca="false">SUMIFS($H$24:$H$256,$B$24:$B$256,4,$E$24:$E$256,"Exp",$L$24:$L$256,"Shared")</f>
        <v>22455278</v>
      </c>
      <c r="D8" s="9" t="n">
        <f aca="false">SUMIFS($H$24:$H$256,$B$24:$B$256,5,$E$24:$E$256,"Exp",$L$24:$L$256,"Shared")</f>
        <v>37745800</v>
      </c>
      <c r="E8" s="9" t="n">
        <f aca="false">SUMIFS($H$24:$H$256,$B$24:$B$256,6,$E$24:$E$256,"Exp",$L$24:$L$256,"Shared")</f>
        <v>35794100</v>
      </c>
      <c r="F8" s="9" t="n">
        <f aca="false">SUMIFS($H$24:$H$256,$B$24:$B$256,7,$E$24:$E$256,"Exp",$L$24:$L$256,"Shared")</f>
        <v>19445558</v>
      </c>
      <c r="G8" s="9" t="n">
        <f aca="false">SUMIFS($H$24:$H$256,$B$24:$B$256,8,$E$24:$E$256,"Exp",$L$24:$L$256,"Shared")</f>
        <v>17000000</v>
      </c>
    </row>
    <row r="9" customFormat="false" ht="15" hidden="false" customHeight="false" outlineLevel="0" collapsed="false">
      <c r="A9" s="6" t="s">
        <v>1492</v>
      </c>
      <c r="B9" s="9" t="n">
        <f aca="false">SUMIFS($H$24:$H$256,$B$24:$B$256,3,$E$24:$E$256,"Blast",$L$24:$L$256,"RPA")</f>
        <v>0</v>
      </c>
      <c r="C9" s="9" t="n">
        <f aca="false">SUMIFS($H$24:$H$256,$B$24:$B$256,4,$E$24:$E$256,"Blast",$L$24:$L$256,"RPA")</f>
        <v>22816868</v>
      </c>
      <c r="D9" s="9" t="n">
        <f aca="false">SUMIFS($H$24:$H$256,$B$24:$B$256,5,$E$24:$E$256,"Blast",$L$24:$L$256,"RPA")</f>
        <v>50391798.95</v>
      </c>
      <c r="E9" s="9" t="n">
        <f aca="false">SUMIFS($H$24:$H$256,$B$24:$B$256,6,$E$24:$E$256,"Blast",$L$24:$L$256,"RPA")</f>
        <v>36816324.99</v>
      </c>
      <c r="F9" s="9" t="n">
        <f aca="false">SUMIFS($H$24:$H$256,$B$24:$B$256,7,$E$24:$E$256,"Blast",$L$24:$L$256,"RPA")</f>
        <v>8835484.5</v>
      </c>
      <c r="G9" s="9" t="n">
        <f aca="false">SUMIFS($H$24:$H$256,$B$24:$B$256,8,$E$24:$E$256,"Blast",$L$24:$L$256,"RPA")</f>
        <v>34545850</v>
      </c>
    </row>
    <row r="10" customFormat="false" ht="15" hidden="false" customHeight="false" outlineLevel="0" collapsed="false">
      <c r="A10" s="6" t="s">
        <v>1493</v>
      </c>
      <c r="B10" s="9" t="n">
        <f aca="false">SUMIFS($H$24:$H$256,$B$24:$B$256,3,$E$24:$E$256,"Blast",$L$24:$L$256,"Trading")</f>
        <v>0</v>
      </c>
      <c r="C10" s="9" t="n">
        <f aca="false">SUMIFS($H$24:$H$256,$B$24:$B$256,4,$E$24:$E$256,"Blast",$L$24:$L$256,"Trading")</f>
        <v>0</v>
      </c>
      <c r="D10" s="9" t="n">
        <f aca="false">SUMIFS($H$24:$H$256,$B$24:$B$256,5,$E$24:$E$256,"Blast",$L$24:$L$256,"Trading")</f>
        <v>0</v>
      </c>
      <c r="E10" s="9" t="n">
        <f aca="false">SUMIFS($H$24:$H$256,$B$24:$B$256,6,$E$24:$E$256,"Blast",$L$24:$L$256,"Trading")</f>
        <v>0</v>
      </c>
      <c r="F10" s="9" t="n">
        <f aca="false">SUMIFS($H$24:$H$256,$B$24:$B$256,7,$E$24:$E$256,"Blast",$L$24:$L$256,"Trading")</f>
        <v>82923435</v>
      </c>
      <c r="G10" s="9" t="n">
        <f aca="false">SUMIFS($H$24:$H$256,$B$24:$B$256,8,$E$24:$E$256,"Blast",$L$24:$L$256,"Trading")</f>
        <v>0</v>
      </c>
    </row>
    <row r="11" customFormat="false" ht="15" hidden="false" customHeight="false" outlineLevel="0" collapsed="false">
      <c r="A11" s="6" t="s">
        <v>1494</v>
      </c>
      <c r="B11" s="9" t="n">
        <f aca="false">SUMIFS($H$24:$H$256,$B$24:$B$256,3,$E$24:$E$256,"Blast",$L$24:$L$256,"Shared")</f>
        <v>0</v>
      </c>
      <c r="C11" s="9" t="n">
        <f aca="false">SUMIFS($H$24:$H$256,$B$24:$B$256,4,$E$24:$E$256,"Blast",$L$24:$L$256,"Shared")</f>
        <v>0</v>
      </c>
      <c r="D11" s="9" t="n">
        <f aca="false">SUMIFS($H$24:$H$256,$B$24:$B$256,5,$E$24:$E$256,"Blast",$L$24:$L$256,"Shared")</f>
        <v>0</v>
      </c>
      <c r="E11" s="9" t="n">
        <f aca="false">SUMIFS($H$24:$H$256,$B$24:$B$256,6,$E$24:$E$256,"Blast",$L$24:$L$256,"Shared")</f>
        <v>0</v>
      </c>
      <c r="F11" s="9" t="n">
        <f aca="false">SUMIFS($H$24:$H$256,$B$24:$B$256,7,$E$24:$E$256,"Blast",$L$24:$L$256,"Shared")</f>
        <v>0</v>
      </c>
      <c r="G11" s="9" t="n">
        <f aca="false">SUMIFS($H$24:$H$256,$B$24:$B$256,8,$E$24:$E$256,"Blast",$L$24:$L$256,"Shared")</f>
        <v>0</v>
      </c>
    </row>
    <row r="12" customFormat="false" ht="15" hidden="false" customHeight="false" outlineLevel="0" collapsed="false">
      <c r="A12" s="25" t="s">
        <v>1495</v>
      </c>
      <c r="B12" s="26" t="n">
        <f aca="false">SUM(B6:B11)</f>
        <v>784000</v>
      </c>
      <c r="C12" s="26" t="n">
        <f aca="false">SUM(C6:C11)</f>
        <v>45272146</v>
      </c>
      <c r="D12" s="26" t="n">
        <f aca="false">SUM(D6:D11)</f>
        <v>124487598.95</v>
      </c>
      <c r="E12" s="26" t="n">
        <f aca="false">SUM(E6:E11)</f>
        <v>192660424.99</v>
      </c>
      <c r="F12" s="26" t="n">
        <f aca="false">SUM(F6:F11)</f>
        <v>119604477.5</v>
      </c>
      <c r="G12" s="26" t="n">
        <f aca="false">SUM(G6:G11)</f>
        <v>100345850</v>
      </c>
    </row>
    <row r="13" customFormat="false" ht="15" hidden="false" customHeight="false" outlineLevel="0" collapsed="false">
      <c r="A13" s="6" t="s">
        <v>1496</v>
      </c>
      <c r="B13" s="22" t="n">
        <f aca="false">IF(('Segment GP'!D40+'Segment GP'!D41)=0,0,'Segment GP'!D40/('Segment GP'!D40+'Segment GP'!D41))</f>
        <v>1</v>
      </c>
      <c r="C13" s="22" t="n">
        <f aca="false">IF(('Segment GP'!E40+'Segment GP'!E41)=0,0,'Segment GP'!E40/('Segment GP'!E40+'Segment GP'!E41))</f>
        <v>0.916739244320066</v>
      </c>
      <c r="D13" s="22" t="n">
        <f aca="false">IF(('Segment GP'!F40+'Segment GP'!F41)=0,0,'Segment GP'!F40/('Segment GP'!F40+'Segment GP'!F41))</f>
        <v>0.977373449842142</v>
      </c>
      <c r="E13" s="22" t="n">
        <f aca="false">IF(('Segment GP'!G40+'Segment GP'!G41)=0,0,'Segment GP'!G40/('Segment GP'!G40+'Segment GP'!G41))</f>
        <v>0.362100463314911</v>
      </c>
      <c r="F13" s="22" t="n">
        <f aca="false">IF(('Segment GP'!H40+'Segment GP'!H41)=0,0,'Segment GP'!H40/('Segment GP'!H40+'Segment GP'!H41))</f>
        <v>0.126363219008003</v>
      </c>
      <c r="G13" s="22" t="n">
        <f aca="false">IF(('Segment GP'!M40+'Segment GP'!M41)=0,0,'Segment GP'!M40/('Segment GP'!M40+'Segment GP'!M41))</f>
        <v>0.361271475441325</v>
      </c>
    </row>
    <row r="14" customFormat="false" ht="15" hidden="false" customHeight="false" outlineLevel="0" collapsed="false">
      <c r="A14" s="6" t="s">
        <v>1497</v>
      </c>
      <c r="B14" s="83"/>
      <c r="C14" s="83"/>
      <c r="D14" s="83"/>
      <c r="E14" s="83"/>
      <c r="F14" s="83"/>
      <c r="G14" s="83"/>
    </row>
    <row r="15" customFormat="false" ht="15" hidden="false" customHeight="false" outlineLevel="0" collapsed="false">
      <c r="A15" s="11" t="s">
        <v>1498</v>
      </c>
      <c r="B15" s="57" t="n">
        <f aca="false">IF(B14="",B13,B14)</f>
        <v>1</v>
      </c>
      <c r="C15" s="57" t="n">
        <f aca="false">IF(C14="",C13,C14)</f>
        <v>0.916739244320066</v>
      </c>
      <c r="D15" s="57" t="n">
        <f aca="false">IF(D14="",D13,D14)</f>
        <v>0.977373449842142</v>
      </c>
      <c r="E15" s="57" t="n">
        <f aca="false">IF(E14="",E13,E14)</f>
        <v>0.362100463314911</v>
      </c>
      <c r="F15" s="57" t="n">
        <f aca="false">IF(F14="",F13,F14)</f>
        <v>0.126363219008003</v>
      </c>
      <c r="G15" s="57" t="n">
        <f aca="false">IF(G14="",G13,G14)</f>
        <v>0.361271475441325</v>
      </c>
    </row>
    <row r="16" customFormat="false" ht="15" hidden="false" customHeight="false" outlineLevel="0" collapsed="false">
      <c r="A16" s="29" t="s">
        <v>1499</v>
      </c>
      <c r="B16" s="69" t="n">
        <f aca="false">B6+B9+(B8+B11)*B15</f>
        <v>784000</v>
      </c>
      <c r="C16" s="69" t="n">
        <f aca="false">C6+C9+(C8+C11)*C15</f>
        <v>43402502.584717</v>
      </c>
      <c r="D16" s="69" t="n">
        <f aca="false">D6+D9+(D8+D11)*D15</f>
        <v>123633541.713052</v>
      </c>
      <c r="E16" s="69" t="n">
        <f aca="false">E6+E9+(E8+E11)*E15</f>
        <v>169827385.18394</v>
      </c>
      <c r="F16" s="69" t="n">
        <f aca="false">F6+F9+(F8+F11)*F15</f>
        <v>19692687.8042868</v>
      </c>
      <c r="G16" s="69" t="n">
        <f aca="false">G6+G9+(G8+G11)*G15</f>
        <v>89487465.0825025</v>
      </c>
    </row>
    <row r="17" customFormat="false" ht="15" hidden="false" customHeight="false" outlineLevel="0" collapsed="false">
      <c r="A17" s="29" t="s">
        <v>1500</v>
      </c>
      <c r="B17" s="69" t="n">
        <f aca="false">B7+B10+(B8+B11)*(1-B15)</f>
        <v>0</v>
      </c>
      <c r="C17" s="69" t="n">
        <f aca="false">C7+C10+(C8+C11)*(1-C15)</f>
        <v>1869643.415283</v>
      </c>
      <c r="D17" s="69" t="n">
        <f aca="false">D7+D10+(D8+D11)*(1-D15)</f>
        <v>854057.236948467</v>
      </c>
      <c r="E17" s="69" t="n">
        <f aca="false">E7+E10+(E8+E11)*(1-E15)</f>
        <v>22833039.8060597</v>
      </c>
      <c r="F17" s="69" t="n">
        <f aca="false">F7+F10+(F8+F11)*(1-F15)</f>
        <v>99911789.6957132</v>
      </c>
      <c r="G17" s="69" t="n">
        <f aca="false">G7+G10+(G8+G11)*(1-G15)</f>
        <v>10858384.9174975</v>
      </c>
    </row>
    <row r="18" customFormat="false" ht="15" hidden="false" customHeight="false" outlineLevel="0" collapsed="false">
      <c r="A18" s="6" t="s">
        <v>1501</v>
      </c>
      <c r="B18" s="9" t="n">
        <f aca="false">ROUND(B16+B17-B12,0)</f>
        <v>0</v>
      </c>
      <c r="C18" s="9" t="n">
        <f aca="false">ROUND(C16+C17-C12,0)</f>
        <v>0</v>
      </c>
      <c r="D18" s="9" t="n">
        <f aca="false">ROUND(D16+D17-D12,0)</f>
        <v>0</v>
      </c>
      <c r="E18" s="9" t="n">
        <f aca="false">ROUND(E16+E17-E12,0)</f>
        <v>0</v>
      </c>
      <c r="F18" s="9" t="n">
        <f aca="false">ROUND(F16+F17-F12,0)</f>
        <v>0</v>
      </c>
      <c r="G18" s="9" t="n">
        <f aca="false">ROUND(G16+G17-G12,0)</f>
        <v>0</v>
      </c>
    </row>
    <row r="19" customFormat="false" ht="15" hidden="false" customHeight="false" outlineLevel="0" collapsed="false">
      <c r="A19" s="6" t="s">
        <v>1502</v>
      </c>
      <c r="B19" s="7" t="n">
        <f aca="false">SUMIFS(I_GL!$D$5:$D$29,I_GL!$C$5:$C$29,"COS Exp")+SUMIFS(I_GL!$D$5:$D$29,I_GL!$C$5:$C$29,"COS Blast")</f>
        <v>784000</v>
      </c>
      <c r="C19" s="7" t="n">
        <f aca="false">SUMIFS(I_GL!$E$5:$E$29,I_GL!$C$5:$C$29,"COS Exp")+SUMIFS(I_GL!$E$5:$E$29,I_GL!$C$5:$C$29,"COS Blast")</f>
        <v>45272146</v>
      </c>
      <c r="D19" s="7" t="n">
        <f aca="false">SUMIFS(I_GL!$F$5:$F$29,I_GL!$C$5:$C$29,"COS Exp")+SUMIFS(I_GL!$F$5:$F$29,I_GL!$C$5:$C$29,"COS Blast")</f>
        <v>124487598.95</v>
      </c>
      <c r="E19" s="7" t="n">
        <f aca="false">SUMIFS(I_GL!$G$5:$G$29,I_GL!$C$5:$C$29,"COS Exp")+SUMIFS(I_GL!$G$5:$G$29,I_GL!$C$5:$C$29,"COS Blast")</f>
        <v>192660424.99</v>
      </c>
      <c r="F19" s="7" t="n">
        <f aca="false">SUMIFS(I_GL!$H$5:$H$29,I_GL!$C$5:$C$29,"COS Exp")+SUMIFS(I_GL!$H$5:$H$29,I_GL!$C$5:$C$29,"COS Blast")</f>
        <v>119604477.5</v>
      </c>
      <c r="G19" s="7" t="n">
        <f aca="false">SUMIFS(I_GL!$I$5:$I$29,I_GL!$C$5:$C$29,"COS Exp")+SUMIFS(I_GL!$I$5:$I$29,I_GL!$C$5:$C$29,"COS Blast")</f>
        <v>100345850</v>
      </c>
    </row>
    <row r="20" customFormat="false" ht="15" hidden="false" customHeight="false" outlineLevel="0" collapsed="false">
      <c r="A20" s="6" t="s">
        <v>1503</v>
      </c>
      <c r="B20" s="9" t="n">
        <f aca="false">ROUND(B12-B19,0)</f>
        <v>0</v>
      </c>
      <c r="C20" s="9" t="n">
        <f aca="false">ROUND(C12-C19,0)</f>
        <v>0</v>
      </c>
      <c r="D20" s="9" t="n">
        <f aca="false">ROUND(D12-D19,0)</f>
        <v>0</v>
      </c>
      <c r="E20" s="9" t="n">
        <f aca="false">ROUND(E12-E19,0)</f>
        <v>0</v>
      </c>
      <c r="F20" s="9" t="n">
        <f aca="false">ROUND(F12-F19,0)</f>
        <v>0</v>
      </c>
      <c r="G20" s="9" t="n">
        <f aca="false">ROUND(G12-G19,0)</f>
        <v>0</v>
      </c>
    </row>
    <row r="23" customFormat="false" ht="30" hidden="false" customHeight="true" outlineLevel="0" collapsed="false">
      <c r="A23" s="5" t="s">
        <v>1504</v>
      </c>
      <c r="B23" s="5" t="s">
        <v>1505</v>
      </c>
      <c r="C23" s="5" t="s">
        <v>1238</v>
      </c>
      <c r="D23" s="5" t="s">
        <v>1506</v>
      </c>
      <c r="E23" s="5" t="s">
        <v>1507</v>
      </c>
      <c r="F23" s="5" t="s">
        <v>1508</v>
      </c>
      <c r="G23" s="5" t="s">
        <v>182</v>
      </c>
      <c r="H23" s="5" t="s">
        <v>1509</v>
      </c>
      <c r="I23" s="5" t="s">
        <v>1510</v>
      </c>
      <c r="J23" s="5" t="s">
        <v>1511</v>
      </c>
      <c r="K23" s="5" t="s">
        <v>1512</v>
      </c>
      <c r="L23" s="5" t="s">
        <v>1513</v>
      </c>
      <c r="M23" s="5" t="s">
        <v>1514</v>
      </c>
    </row>
    <row r="24" customFormat="false" ht="15" hidden="false" customHeight="false" outlineLevel="0" collapsed="false">
      <c r="A24" s="74" t="n">
        <v>5100007</v>
      </c>
      <c r="B24" s="91" t="n">
        <v>3</v>
      </c>
      <c r="C24" s="74" t="s">
        <v>1515</v>
      </c>
      <c r="D24" s="74" t="s">
        <v>1516</v>
      </c>
      <c r="E24" s="6" t="s">
        <v>1517</v>
      </c>
      <c r="F24" s="74"/>
      <c r="G24" s="74" t="s">
        <v>1518</v>
      </c>
      <c r="H24" s="8" t="n">
        <v>300000</v>
      </c>
      <c r="I24" s="6" t="s">
        <v>1519</v>
      </c>
      <c r="J24" s="12" t="s">
        <v>1520</v>
      </c>
      <c r="K24" s="78"/>
      <c r="L24" s="6" t="str">
        <f aca="false">IF(K24="",I24,K24)</f>
        <v>Shared</v>
      </c>
      <c r="M24" s="6"/>
    </row>
    <row r="25" customFormat="false" ht="15" hidden="false" customHeight="false" outlineLevel="0" collapsed="false">
      <c r="A25" s="74" t="n">
        <v>5100007</v>
      </c>
      <c r="B25" s="91" t="n">
        <v>3</v>
      </c>
      <c r="C25" s="74" t="s">
        <v>1521</v>
      </c>
      <c r="D25" s="74" t="s">
        <v>1522</v>
      </c>
      <c r="E25" s="6" t="s">
        <v>1517</v>
      </c>
      <c r="F25" s="74"/>
      <c r="G25" s="74" t="s">
        <v>1523</v>
      </c>
      <c r="H25" s="8" t="n">
        <v>484000</v>
      </c>
      <c r="I25" s="6" t="s">
        <v>1519</v>
      </c>
      <c r="J25" s="12" t="s">
        <v>1520</v>
      </c>
      <c r="K25" s="78"/>
      <c r="L25" s="6" t="str">
        <f aca="false">IF(K25="",I25,K25)</f>
        <v>Shared</v>
      </c>
      <c r="M25" s="6"/>
    </row>
    <row r="26" customFormat="false" ht="15" hidden="false" customHeight="false" outlineLevel="0" collapsed="false">
      <c r="A26" s="74" t="n">
        <v>5100002</v>
      </c>
      <c r="B26" s="91" t="n">
        <v>4</v>
      </c>
      <c r="C26" s="74" t="s">
        <v>1524</v>
      </c>
      <c r="D26" s="74" t="s">
        <v>1525</v>
      </c>
      <c r="E26" s="6" t="s">
        <v>1517</v>
      </c>
      <c r="F26" s="74" t="s">
        <v>1526</v>
      </c>
      <c r="G26" s="74" t="s">
        <v>1527</v>
      </c>
      <c r="H26" s="8" t="n">
        <v>17000000</v>
      </c>
      <c r="I26" s="6" t="s">
        <v>1519</v>
      </c>
      <c r="J26" s="12" t="s">
        <v>1528</v>
      </c>
      <c r="K26" s="78"/>
      <c r="L26" s="6" t="str">
        <f aca="false">IF(K26="",I26,K26)</f>
        <v>Shared</v>
      </c>
      <c r="M26" s="6"/>
    </row>
    <row r="27" customFormat="false" ht="15" hidden="false" customHeight="false" outlineLevel="0" collapsed="false">
      <c r="A27" s="74" t="n">
        <v>5100007</v>
      </c>
      <c r="B27" s="91" t="n">
        <v>4</v>
      </c>
      <c r="C27" s="74" t="s">
        <v>1529</v>
      </c>
      <c r="D27" s="74" t="s">
        <v>1530</v>
      </c>
      <c r="E27" s="6" t="s">
        <v>1517</v>
      </c>
      <c r="F27" s="74"/>
      <c r="G27" s="74" t="s">
        <v>1531</v>
      </c>
      <c r="H27" s="8" t="n">
        <v>241000</v>
      </c>
      <c r="I27" s="6" t="s">
        <v>1519</v>
      </c>
      <c r="J27" s="12" t="s">
        <v>1520</v>
      </c>
      <c r="K27" s="78"/>
      <c r="L27" s="6" t="str">
        <f aca="false">IF(K27="",I27,K27)</f>
        <v>Shared</v>
      </c>
      <c r="M27" s="6"/>
    </row>
    <row r="28" customFormat="false" ht="15" hidden="false" customHeight="false" outlineLevel="0" collapsed="false">
      <c r="A28" s="74" t="n">
        <v>5100007</v>
      </c>
      <c r="B28" s="91" t="n">
        <v>4</v>
      </c>
      <c r="C28" s="74" t="s">
        <v>1529</v>
      </c>
      <c r="D28" s="74" t="s">
        <v>1530</v>
      </c>
      <c r="E28" s="6" t="s">
        <v>1517</v>
      </c>
      <c r="F28" s="74"/>
      <c r="G28" s="74" t="s">
        <v>1531</v>
      </c>
      <c r="H28" s="8" t="n">
        <v>328200</v>
      </c>
      <c r="I28" s="6" t="s">
        <v>1519</v>
      </c>
      <c r="J28" s="12" t="s">
        <v>1520</v>
      </c>
      <c r="K28" s="78"/>
      <c r="L28" s="6" t="str">
        <f aca="false">IF(K28="",I28,K28)</f>
        <v>Shared</v>
      </c>
      <c r="M28" s="6"/>
    </row>
    <row r="29" customFormat="false" ht="15" hidden="false" customHeight="false" outlineLevel="0" collapsed="false">
      <c r="A29" s="74" t="n">
        <v>5100007</v>
      </c>
      <c r="B29" s="91" t="n">
        <v>4</v>
      </c>
      <c r="C29" s="74" t="s">
        <v>1529</v>
      </c>
      <c r="D29" s="74" t="s">
        <v>1530</v>
      </c>
      <c r="E29" s="6" t="s">
        <v>1517</v>
      </c>
      <c r="F29" s="74"/>
      <c r="G29" s="74" t="s">
        <v>1531</v>
      </c>
      <c r="H29" s="8" t="n">
        <v>60000</v>
      </c>
      <c r="I29" s="6" t="s">
        <v>1519</v>
      </c>
      <c r="J29" s="12" t="s">
        <v>1520</v>
      </c>
      <c r="K29" s="78"/>
      <c r="L29" s="6" t="str">
        <f aca="false">IF(K29="",I29,K29)</f>
        <v>Shared</v>
      </c>
      <c r="M29" s="6"/>
    </row>
    <row r="30" customFormat="false" ht="15" hidden="false" customHeight="false" outlineLevel="0" collapsed="false">
      <c r="A30" s="74" t="n">
        <v>5100007</v>
      </c>
      <c r="B30" s="91" t="n">
        <v>4</v>
      </c>
      <c r="C30" s="74" t="s">
        <v>1529</v>
      </c>
      <c r="D30" s="74" t="s">
        <v>1530</v>
      </c>
      <c r="E30" s="6" t="s">
        <v>1517</v>
      </c>
      <c r="F30" s="74"/>
      <c r="G30" s="74" t="s">
        <v>1532</v>
      </c>
      <c r="H30" s="8" t="n">
        <v>155700</v>
      </c>
      <c r="I30" s="6" t="s">
        <v>1519</v>
      </c>
      <c r="J30" s="12" t="s">
        <v>1520</v>
      </c>
      <c r="K30" s="78"/>
      <c r="L30" s="6" t="str">
        <f aca="false">IF(K30="",I30,K30)</f>
        <v>Shared</v>
      </c>
      <c r="M30" s="6"/>
    </row>
    <row r="31" customFormat="false" ht="15" hidden="false" customHeight="false" outlineLevel="0" collapsed="false">
      <c r="A31" s="74" t="n">
        <v>5100007</v>
      </c>
      <c r="B31" s="91" t="n">
        <v>4</v>
      </c>
      <c r="C31" s="74" t="s">
        <v>1533</v>
      </c>
      <c r="D31" s="74" t="s">
        <v>1534</v>
      </c>
      <c r="E31" s="6" t="s">
        <v>1517</v>
      </c>
      <c r="F31" s="74"/>
      <c r="G31" s="74" t="s">
        <v>1532</v>
      </c>
      <c r="H31" s="8" t="n">
        <v>328200</v>
      </c>
      <c r="I31" s="6" t="s">
        <v>1519</v>
      </c>
      <c r="J31" s="12" t="s">
        <v>1520</v>
      </c>
      <c r="K31" s="78"/>
      <c r="L31" s="6" t="str">
        <f aca="false">IF(K31="",I31,K31)</f>
        <v>Shared</v>
      </c>
      <c r="M31" s="6"/>
    </row>
    <row r="32" customFormat="false" ht="15" hidden="false" customHeight="false" outlineLevel="0" collapsed="false">
      <c r="A32" s="74" t="n">
        <v>5100007</v>
      </c>
      <c r="B32" s="91" t="n">
        <v>4</v>
      </c>
      <c r="C32" s="74" t="s">
        <v>1533</v>
      </c>
      <c r="D32" s="74" t="s">
        <v>1534</v>
      </c>
      <c r="E32" s="6" t="s">
        <v>1517</v>
      </c>
      <c r="F32" s="74"/>
      <c r="G32" s="74" t="s">
        <v>1532</v>
      </c>
      <c r="H32" s="8" t="n">
        <v>168200</v>
      </c>
      <c r="I32" s="6" t="s">
        <v>1519</v>
      </c>
      <c r="J32" s="12" t="s">
        <v>1520</v>
      </c>
      <c r="K32" s="78"/>
      <c r="L32" s="6" t="str">
        <f aca="false">IF(K32="",I32,K32)</f>
        <v>Shared</v>
      </c>
      <c r="M32" s="6"/>
    </row>
    <row r="33" customFormat="false" ht="15" hidden="false" customHeight="false" outlineLevel="0" collapsed="false">
      <c r="A33" s="74" t="n">
        <v>5100007</v>
      </c>
      <c r="B33" s="91" t="n">
        <v>4</v>
      </c>
      <c r="C33" s="74" t="s">
        <v>1529</v>
      </c>
      <c r="D33" s="74" t="s">
        <v>1535</v>
      </c>
      <c r="E33" s="6" t="s">
        <v>1517</v>
      </c>
      <c r="F33" s="74"/>
      <c r="G33" s="74" t="s">
        <v>1536</v>
      </c>
      <c r="H33" s="8" t="n">
        <v>320154</v>
      </c>
      <c r="I33" s="6" t="s">
        <v>1519</v>
      </c>
      <c r="J33" s="12" t="s">
        <v>1520</v>
      </c>
      <c r="K33" s="78"/>
      <c r="L33" s="6" t="str">
        <f aca="false">IF(K33="",I33,K33)</f>
        <v>Shared</v>
      </c>
      <c r="M33" s="6"/>
    </row>
    <row r="34" customFormat="false" ht="15" hidden="false" customHeight="false" outlineLevel="0" collapsed="false">
      <c r="A34" s="74" t="n">
        <v>5100007</v>
      </c>
      <c r="B34" s="91" t="n">
        <v>4</v>
      </c>
      <c r="C34" s="74" t="s">
        <v>1529</v>
      </c>
      <c r="D34" s="74" t="s">
        <v>1535</v>
      </c>
      <c r="E34" s="6" t="s">
        <v>1517</v>
      </c>
      <c r="F34" s="74"/>
      <c r="G34" s="74" t="s">
        <v>1536</v>
      </c>
      <c r="H34" s="8" t="n">
        <v>80000</v>
      </c>
      <c r="I34" s="6" t="s">
        <v>1519</v>
      </c>
      <c r="J34" s="12" t="s">
        <v>1520</v>
      </c>
      <c r="K34" s="78"/>
      <c r="L34" s="6" t="str">
        <f aca="false">IF(K34="",I34,K34)</f>
        <v>Shared</v>
      </c>
      <c r="M34" s="6"/>
    </row>
    <row r="35" customFormat="false" ht="15" hidden="false" customHeight="false" outlineLevel="0" collapsed="false">
      <c r="A35" s="74" t="n">
        <v>5100007</v>
      </c>
      <c r="B35" s="91" t="n">
        <v>4</v>
      </c>
      <c r="C35" s="74" t="s">
        <v>1529</v>
      </c>
      <c r="D35" s="74" t="s">
        <v>1535</v>
      </c>
      <c r="E35" s="6" t="s">
        <v>1517</v>
      </c>
      <c r="F35" s="74"/>
      <c r="G35" s="74" t="s">
        <v>1536</v>
      </c>
      <c r="H35" s="8" t="n">
        <v>198685</v>
      </c>
      <c r="I35" s="6" t="s">
        <v>1519</v>
      </c>
      <c r="J35" s="12" t="s">
        <v>1520</v>
      </c>
      <c r="K35" s="78"/>
      <c r="L35" s="6" t="str">
        <f aca="false">IF(K35="",I35,K35)</f>
        <v>Shared</v>
      </c>
      <c r="M35" s="6"/>
    </row>
    <row r="36" customFormat="false" ht="15" hidden="false" customHeight="false" outlineLevel="0" collapsed="false">
      <c r="A36" s="74" t="n">
        <v>5100007</v>
      </c>
      <c r="B36" s="91" t="n">
        <v>4</v>
      </c>
      <c r="C36" s="74" t="s">
        <v>1529</v>
      </c>
      <c r="D36" s="74" t="s">
        <v>1535</v>
      </c>
      <c r="E36" s="6" t="s">
        <v>1517</v>
      </c>
      <c r="F36" s="74"/>
      <c r="G36" s="74" t="s">
        <v>1536</v>
      </c>
      <c r="H36" s="8" t="n">
        <v>157750</v>
      </c>
      <c r="I36" s="6" t="s">
        <v>1519</v>
      </c>
      <c r="J36" s="12" t="s">
        <v>1520</v>
      </c>
      <c r="K36" s="78"/>
      <c r="L36" s="6" t="str">
        <f aca="false">IF(K36="",I36,K36)</f>
        <v>Shared</v>
      </c>
      <c r="M36" s="6"/>
    </row>
    <row r="37" customFormat="false" ht="15" hidden="false" customHeight="false" outlineLevel="0" collapsed="false">
      <c r="A37" s="74" t="n">
        <v>5100007</v>
      </c>
      <c r="B37" s="91" t="n">
        <v>4</v>
      </c>
      <c r="C37" s="74" t="s">
        <v>1529</v>
      </c>
      <c r="D37" s="74" t="s">
        <v>1535</v>
      </c>
      <c r="E37" s="6" t="s">
        <v>1517</v>
      </c>
      <c r="F37" s="74"/>
      <c r="G37" s="74" t="s">
        <v>1536</v>
      </c>
      <c r="H37" s="8" t="n">
        <v>147500</v>
      </c>
      <c r="I37" s="6" t="s">
        <v>1519</v>
      </c>
      <c r="J37" s="12" t="s">
        <v>1520</v>
      </c>
      <c r="K37" s="78"/>
      <c r="L37" s="6" t="str">
        <f aca="false">IF(K37="",I37,K37)</f>
        <v>Shared</v>
      </c>
      <c r="M37" s="6"/>
    </row>
    <row r="38" customFormat="false" ht="15" hidden="false" customHeight="false" outlineLevel="0" collapsed="false">
      <c r="A38" s="74" t="n">
        <v>5100007</v>
      </c>
      <c r="B38" s="91" t="n">
        <v>4</v>
      </c>
      <c r="C38" s="74" t="s">
        <v>1529</v>
      </c>
      <c r="D38" s="74" t="s">
        <v>1535</v>
      </c>
      <c r="E38" s="6" t="s">
        <v>1517</v>
      </c>
      <c r="F38" s="74"/>
      <c r="G38" s="74" t="s">
        <v>1536</v>
      </c>
      <c r="H38" s="8" t="n">
        <v>281000</v>
      </c>
      <c r="I38" s="6" t="s">
        <v>1519</v>
      </c>
      <c r="J38" s="12" t="s">
        <v>1520</v>
      </c>
      <c r="K38" s="78"/>
      <c r="L38" s="6" t="str">
        <f aca="false">IF(K38="",I38,K38)</f>
        <v>Shared</v>
      </c>
      <c r="M38" s="6"/>
    </row>
    <row r="39" customFormat="false" ht="15" hidden="false" customHeight="false" outlineLevel="0" collapsed="false">
      <c r="A39" s="74" t="n">
        <v>5100007</v>
      </c>
      <c r="B39" s="91" t="n">
        <v>4</v>
      </c>
      <c r="C39" s="74" t="s">
        <v>1529</v>
      </c>
      <c r="D39" s="74" t="s">
        <v>1535</v>
      </c>
      <c r="E39" s="6" t="s">
        <v>1517</v>
      </c>
      <c r="F39" s="74"/>
      <c r="G39" s="74" t="s">
        <v>1537</v>
      </c>
      <c r="H39" s="8" t="n">
        <v>142300</v>
      </c>
      <c r="I39" s="6" t="s">
        <v>1519</v>
      </c>
      <c r="J39" s="12" t="s">
        <v>1520</v>
      </c>
      <c r="K39" s="78"/>
      <c r="L39" s="6" t="str">
        <f aca="false">IF(K39="",I39,K39)</f>
        <v>Shared</v>
      </c>
      <c r="M39" s="6"/>
    </row>
    <row r="40" customFormat="false" ht="15" hidden="false" customHeight="false" outlineLevel="0" collapsed="false">
      <c r="A40" s="74" t="n">
        <v>5100007</v>
      </c>
      <c r="B40" s="91" t="n">
        <v>4</v>
      </c>
      <c r="C40" s="74" t="s">
        <v>1529</v>
      </c>
      <c r="D40" s="74" t="s">
        <v>1535</v>
      </c>
      <c r="E40" s="6" t="s">
        <v>1517</v>
      </c>
      <c r="F40" s="74"/>
      <c r="G40" s="74" t="s">
        <v>1538</v>
      </c>
      <c r="H40" s="8" t="n">
        <v>50000</v>
      </c>
      <c r="I40" s="6" t="s">
        <v>1519</v>
      </c>
      <c r="J40" s="12" t="s">
        <v>1520</v>
      </c>
      <c r="K40" s="78"/>
      <c r="L40" s="6" t="str">
        <f aca="false">IF(K40="",I40,K40)</f>
        <v>Shared</v>
      </c>
      <c r="M40" s="6"/>
    </row>
    <row r="41" customFormat="false" ht="15" hidden="false" customHeight="false" outlineLevel="0" collapsed="false">
      <c r="A41" s="74" t="n">
        <v>5100007</v>
      </c>
      <c r="B41" s="91" t="n">
        <v>4</v>
      </c>
      <c r="C41" s="74" t="s">
        <v>1529</v>
      </c>
      <c r="D41" s="74" t="s">
        <v>1535</v>
      </c>
      <c r="E41" s="6" t="s">
        <v>1517</v>
      </c>
      <c r="F41" s="74"/>
      <c r="G41" s="74" t="s">
        <v>1537</v>
      </c>
      <c r="H41" s="8" t="n">
        <v>77000</v>
      </c>
      <c r="I41" s="6" t="s">
        <v>1519</v>
      </c>
      <c r="J41" s="12" t="s">
        <v>1520</v>
      </c>
      <c r="K41" s="78"/>
      <c r="L41" s="6" t="str">
        <f aca="false">IF(K41="",I41,K41)</f>
        <v>Shared</v>
      </c>
      <c r="M41" s="6"/>
    </row>
    <row r="42" customFormat="false" ht="15" hidden="false" customHeight="false" outlineLevel="0" collapsed="false">
      <c r="A42" s="74" t="n">
        <v>5100007</v>
      </c>
      <c r="B42" s="91" t="n">
        <v>4</v>
      </c>
      <c r="C42" s="74" t="s">
        <v>1529</v>
      </c>
      <c r="D42" s="74" t="s">
        <v>1535</v>
      </c>
      <c r="E42" s="6" t="s">
        <v>1517</v>
      </c>
      <c r="F42" s="74"/>
      <c r="G42" s="74" t="s">
        <v>1537</v>
      </c>
      <c r="H42" s="8" t="n">
        <v>180082</v>
      </c>
      <c r="I42" s="6" t="s">
        <v>1519</v>
      </c>
      <c r="J42" s="12" t="s">
        <v>1520</v>
      </c>
      <c r="K42" s="78"/>
      <c r="L42" s="6" t="str">
        <f aca="false">IF(K42="",I42,K42)</f>
        <v>Shared</v>
      </c>
      <c r="M42" s="6"/>
    </row>
    <row r="43" customFormat="false" ht="15" hidden="false" customHeight="false" outlineLevel="0" collapsed="false">
      <c r="A43" s="74" t="n">
        <v>5100007</v>
      </c>
      <c r="B43" s="91" t="n">
        <v>4</v>
      </c>
      <c r="C43" s="74" t="s">
        <v>1529</v>
      </c>
      <c r="D43" s="74" t="s">
        <v>1535</v>
      </c>
      <c r="E43" s="6" t="s">
        <v>1517</v>
      </c>
      <c r="F43" s="74"/>
      <c r="G43" s="74" t="s">
        <v>1537</v>
      </c>
      <c r="H43" s="8" t="n">
        <v>123076</v>
      </c>
      <c r="I43" s="6" t="s">
        <v>1519</v>
      </c>
      <c r="J43" s="12" t="s">
        <v>1520</v>
      </c>
      <c r="K43" s="78"/>
      <c r="L43" s="6" t="str">
        <f aca="false">IF(K43="",I43,K43)</f>
        <v>Shared</v>
      </c>
      <c r="M43" s="6"/>
    </row>
    <row r="44" customFormat="false" ht="15" hidden="false" customHeight="false" outlineLevel="0" collapsed="false">
      <c r="A44" s="74" t="n">
        <v>5100007</v>
      </c>
      <c r="B44" s="91" t="n">
        <v>4</v>
      </c>
      <c r="C44" s="74" t="s">
        <v>1529</v>
      </c>
      <c r="D44" s="74" t="s">
        <v>1535</v>
      </c>
      <c r="E44" s="6" t="s">
        <v>1517</v>
      </c>
      <c r="F44" s="74"/>
      <c r="G44" s="74" t="s">
        <v>1538</v>
      </c>
      <c r="H44" s="8" t="n">
        <v>29000</v>
      </c>
      <c r="I44" s="6" t="s">
        <v>1519</v>
      </c>
      <c r="J44" s="12" t="s">
        <v>1520</v>
      </c>
      <c r="K44" s="78"/>
      <c r="L44" s="6" t="str">
        <f aca="false">IF(K44="",I44,K44)</f>
        <v>Shared</v>
      </c>
      <c r="M44" s="6"/>
    </row>
    <row r="45" customFormat="false" ht="15" hidden="false" customHeight="false" outlineLevel="0" collapsed="false">
      <c r="A45" s="74" t="n">
        <v>5100007</v>
      </c>
      <c r="B45" s="91" t="n">
        <v>4</v>
      </c>
      <c r="C45" s="74" t="s">
        <v>1529</v>
      </c>
      <c r="D45" s="74" t="s">
        <v>1535</v>
      </c>
      <c r="E45" s="6" t="s">
        <v>1517</v>
      </c>
      <c r="F45" s="74"/>
      <c r="G45" s="74" t="s">
        <v>1537</v>
      </c>
      <c r="H45" s="8" t="n">
        <v>102564</v>
      </c>
      <c r="I45" s="6" t="s">
        <v>1519</v>
      </c>
      <c r="J45" s="12" t="s">
        <v>1520</v>
      </c>
      <c r="K45" s="78"/>
      <c r="L45" s="6" t="str">
        <f aca="false">IF(K45="",I45,K45)</f>
        <v>Shared</v>
      </c>
      <c r="M45" s="6"/>
    </row>
    <row r="46" customFormat="false" ht="15" hidden="false" customHeight="false" outlineLevel="0" collapsed="false">
      <c r="A46" s="74" t="n">
        <v>5100007</v>
      </c>
      <c r="B46" s="91" t="n">
        <v>4</v>
      </c>
      <c r="C46" s="74" t="s">
        <v>1529</v>
      </c>
      <c r="D46" s="74" t="s">
        <v>1535</v>
      </c>
      <c r="E46" s="6" t="s">
        <v>1517</v>
      </c>
      <c r="F46" s="74"/>
      <c r="G46" s="74" t="s">
        <v>1538</v>
      </c>
      <c r="H46" s="8" t="n">
        <v>50000</v>
      </c>
      <c r="I46" s="6" t="s">
        <v>1519</v>
      </c>
      <c r="J46" s="12" t="s">
        <v>1520</v>
      </c>
      <c r="K46" s="78"/>
      <c r="L46" s="6" t="str">
        <f aca="false">IF(K46="",I46,K46)</f>
        <v>Shared</v>
      </c>
      <c r="M46" s="6"/>
    </row>
    <row r="47" customFormat="false" ht="15" hidden="false" customHeight="false" outlineLevel="0" collapsed="false">
      <c r="A47" s="74" t="n">
        <v>5100007</v>
      </c>
      <c r="B47" s="91" t="n">
        <v>4</v>
      </c>
      <c r="C47" s="74" t="s">
        <v>1533</v>
      </c>
      <c r="D47" s="74" t="s">
        <v>1539</v>
      </c>
      <c r="E47" s="6" t="s">
        <v>1517</v>
      </c>
      <c r="F47" s="74"/>
      <c r="G47" s="74" t="s">
        <v>1523</v>
      </c>
      <c r="H47" s="8" t="n">
        <v>-484000</v>
      </c>
      <c r="I47" s="6" t="s">
        <v>1519</v>
      </c>
      <c r="J47" s="12" t="s">
        <v>1520</v>
      </c>
      <c r="K47" s="78"/>
      <c r="L47" s="6" t="str">
        <f aca="false">IF(K47="",I47,K47)</f>
        <v>Shared</v>
      </c>
      <c r="M47" s="6"/>
    </row>
    <row r="48" customFormat="false" ht="15" hidden="false" customHeight="false" outlineLevel="0" collapsed="false">
      <c r="A48" s="74" t="n">
        <v>5100007</v>
      </c>
      <c r="B48" s="91" t="n">
        <v>4</v>
      </c>
      <c r="C48" s="74" t="s">
        <v>1540</v>
      </c>
      <c r="D48" s="74" t="s">
        <v>1541</v>
      </c>
      <c r="E48" s="6" t="s">
        <v>1517</v>
      </c>
      <c r="F48" s="74" t="s">
        <v>1542</v>
      </c>
      <c r="G48" s="74" t="s">
        <v>1543</v>
      </c>
      <c r="H48" s="8" t="n">
        <v>1200000</v>
      </c>
      <c r="I48" s="6" t="s">
        <v>1519</v>
      </c>
      <c r="J48" s="12" t="s">
        <v>1544</v>
      </c>
      <c r="K48" s="78"/>
      <c r="L48" s="6" t="str">
        <f aca="false">IF(K48="",I48,K48)</f>
        <v>Shared</v>
      </c>
      <c r="M48" s="6"/>
    </row>
    <row r="49" customFormat="false" ht="15" hidden="false" customHeight="false" outlineLevel="0" collapsed="false">
      <c r="A49" s="74" t="n">
        <v>5100007</v>
      </c>
      <c r="B49" s="91" t="n">
        <v>4</v>
      </c>
      <c r="C49" s="74" t="s">
        <v>1545</v>
      </c>
      <c r="D49" s="74" t="s">
        <v>1546</v>
      </c>
      <c r="E49" s="6" t="s">
        <v>1517</v>
      </c>
      <c r="F49" s="74" t="s">
        <v>302</v>
      </c>
      <c r="G49" s="74" t="s">
        <v>1547</v>
      </c>
      <c r="H49" s="8" t="n">
        <v>246500</v>
      </c>
      <c r="I49" s="6" t="s">
        <v>1519</v>
      </c>
      <c r="J49" s="12" t="s">
        <v>1544</v>
      </c>
      <c r="K49" s="78"/>
      <c r="L49" s="6" t="str">
        <f aca="false">IF(K49="",I49,K49)</f>
        <v>Shared</v>
      </c>
      <c r="M49" s="6"/>
    </row>
    <row r="50" customFormat="false" ht="15" hidden="false" customHeight="false" outlineLevel="0" collapsed="false">
      <c r="A50" s="74" t="n">
        <v>5100007</v>
      </c>
      <c r="B50" s="91" t="n">
        <v>4</v>
      </c>
      <c r="C50" s="74" t="s">
        <v>1545</v>
      </c>
      <c r="D50" s="74" t="s">
        <v>1546</v>
      </c>
      <c r="E50" s="6" t="s">
        <v>1517</v>
      </c>
      <c r="F50" s="74" t="s">
        <v>302</v>
      </c>
      <c r="G50" s="74" t="s">
        <v>1548</v>
      </c>
      <c r="H50" s="8" t="n">
        <v>212867</v>
      </c>
      <c r="I50" s="6" t="s">
        <v>1519</v>
      </c>
      <c r="J50" s="12" t="s">
        <v>1544</v>
      </c>
      <c r="K50" s="78"/>
      <c r="L50" s="6" t="str">
        <f aca="false">IF(K50="",I50,K50)</f>
        <v>Shared</v>
      </c>
      <c r="M50" s="6"/>
    </row>
    <row r="51" customFormat="false" ht="15" hidden="false" customHeight="false" outlineLevel="0" collapsed="false">
      <c r="A51" s="74" t="n">
        <v>5100009</v>
      </c>
      <c r="B51" s="91" t="n">
        <v>4</v>
      </c>
      <c r="C51" s="74" t="s">
        <v>1549</v>
      </c>
      <c r="D51" s="74" t="s">
        <v>1550</v>
      </c>
      <c r="E51" s="6" t="s">
        <v>1551</v>
      </c>
      <c r="F51" s="74"/>
      <c r="G51" s="74" t="s">
        <v>1552</v>
      </c>
      <c r="H51" s="8" t="n">
        <v>-1100000</v>
      </c>
      <c r="I51" s="6" t="s">
        <v>875</v>
      </c>
      <c r="J51" s="12" t="s">
        <v>1553</v>
      </c>
      <c r="K51" s="78"/>
      <c r="L51" s="6" t="str">
        <f aca="false">IF(K51="",I51,K51)</f>
        <v>RPA</v>
      </c>
      <c r="M51" s="6"/>
    </row>
    <row r="52" customFormat="false" ht="15" hidden="false" customHeight="false" outlineLevel="0" collapsed="false">
      <c r="A52" s="74" t="n">
        <v>5100009</v>
      </c>
      <c r="B52" s="91" t="n">
        <v>4</v>
      </c>
      <c r="C52" s="74" t="s">
        <v>1529</v>
      </c>
      <c r="D52" s="74" t="s">
        <v>1554</v>
      </c>
      <c r="E52" s="6" t="s">
        <v>1551</v>
      </c>
      <c r="F52" s="74" t="s">
        <v>1555</v>
      </c>
      <c r="G52" s="74" t="s">
        <v>1556</v>
      </c>
      <c r="H52" s="8" t="n">
        <v>1766220</v>
      </c>
      <c r="I52" s="6" t="s">
        <v>875</v>
      </c>
      <c r="J52" s="12" t="s">
        <v>1557</v>
      </c>
      <c r="K52" s="78"/>
      <c r="L52" s="6" t="str">
        <f aca="false">IF(K52="",I52,K52)</f>
        <v>RPA</v>
      </c>
      <c r="M52" s="6"/>
    </row>
    <row r="53" customFormat="false" ht="15" hidden="false" customHeight="false" outlineLevel="0" collapsed="false">
      <c r="A53" s="74" t="n">
        <v>5100009</v>
      </c>
      <c r="B53" s="91" t="n">
        <v>4</v>
      </c>
      <c r="C53" s="74" t="s">
        <v>1524</v>
      </c>
      <c r="D53" s="74" t="s">
        <v>1558</v>
      </c>
      <c r="E53" s="6" t="s">
        <v>1551</v>
      </c>
      <c r="F53" s="74" t="s">
        <v>1555</v>
      </c>
      <c r="G53" s="74" t="s">
        <v>1559</v>
      </c>
      <c r="H53" s="8" t="n">
        <v>51000</v>
      </c>
      <c r="I53" s="6" t="s">
        <v>875</v>
      </c>
      <c r="J53" s="12" t="s">
        <v>1557</v>
      </c>
      <c r="K53" s="78"/>
      <c r="L53" s="6" t="str">
        <f aca="false">IF(K53="",I53,K53)</f>
        <v>RPA</v>
      </c>
      <c r="M53" s="6"/>
    </row>
    <row r="54" customFormat="false" ht="15" hidden="false" customHeight="false" outlineLevel="0" collapsed="false">
      <c r="A54" s="74" t="n">
        <v>5100009</v>
      </c>
      <c r="B54" s="91" t="n">
        <v>4</v>
      </c>
      <c r="C54" s="74" t="s">
        <v>1524</v>
      </c>
      <c r="D54" s="74" t="s">
        <v>1558</v>
      </c>
      <c r="E54" s="6" t="s">
        <v>1551</v>
      </c>
      <c r="F54" s="74" t="s">
        <v>1555</v>
      </c>
      <c r="G54" s="74" t="s">
        <v>1560</v>
      </c>
      <c r="H54" s="8" t="n">
        <v>608940</v>
      </c>
      <c r="I54" s="6" t="s">
        <v>875</v>
      </c>
      <c r="J54" s="12" t="s">
        <v>1557</v>
      </c>
      <c r="K54" s="78"/>
      <c r="L54" s="6" t="str">
        <f aca="false">IF(K54="",I54,K54)</f>
        <v>RPA</v>
      </c>
      <c r="M54" s="6"/>
    </row>
    <row r="55" customFormat="false" ht="15" hidden="false" customHeight="false" outlineLevel="0" collapsed="false">
      <c r="A55" s="74" t="n">
        <v>5100009</v>
      </c>
      <c r="B55" s="91" t="n">
        <v>4</v>
      </c>
      <c r="C55" s="74" t="s">
        <v>1540</v>
      </c>
      <c r="D55" s="74" t="s">
        <v>1561</v>
      </c>
      <c r="E55" s="6" t="s">
        <v>1551</v>
      </c>
      <c r="F55" s="74" t="s">
        <v>1562</v>
      </c>
      <c r="G55" s="74" t="s">
        <v>1563</v>
      </c>
      <c r="H55" s="8" t="n">
        <v>4022300</v>
      </c>
      <c r="I55" s="6" t="s">
        <v>875</v>
      </c>
      <c r="J55" s="12" t="s">
        <v>1564</v>
      </c>
      <c r="K55" s="78"/>
      <c r="L55" s="6" t="str">
        <f aca="false">IF(K55="",I55,K55)</f>
        <v>RPA</v>
      </c>
      <c r="M55" s="6"/>
    </row>
    <row r="56" customFormat="false" ht="15" hidden="false" customHeight="false" outlineLevel="0" collapsed="false">
      <c r="A56" s="74" t="n">
        <v>5100009</v>
      </c>
      <c r="B56" s="91" t="n">
        <v>4</v>
      </c>
      <c r="C56" s="74" t="s">
        <v>1565</v>
      </c>
      <c r="D56" s="74" t="s">
        <v>1566</v>
      </c>
      <c r="E56" s="6" t="s">
        <v>1551</v>
      </c>
      <c r="F56" s="74" t="s">
        <v>1562</v>
      </c>
      <c r="G56" s="74" t="s">
        <v>1563</v>
      </c>
      <c r="H56" s="8" t="n">
        <v>4080850</v>
      </c>
      <c r="I56" s="6" t="s">
        <v>875</v>
      </c>
      <c r="J56" s="12" t="s">
        <v>1564</v>
      </c>
      <c r="K56" s="78"/>
      <c r="L56" s="6" t="str">
        <f aca="false">IF(K56="",I56,K56)</f>
        <v>RPA</v>
      </c>
      <c r="M56" s="6"/>
    </row>
    <row r="57" customFormat="false" ht="15" hidden="false" customHeight="false" outlineLevel="0" collapsed="false">
      <c r="A57" s="74" t="n">
        <v>5100009</v>
      </c>
      <c r="B57" s="91" t="n">
        <v>4</v>
      </c>
      <c r="C57" s="74" t="s">
        <v>1524</v>
      </c>
      <c r="D57" s="74" t="s">
        <v>1567</v>
      </c>
      <c r="E57" s="6" t="s">
        <v>1551</v>
      </c>
      <c r="F57" s="74" t="s">
        <v>1562</v>
      </c>
      <c r="G57" s="74" t="s">
        <v>1563</v>
      </c>
      <c r="H57" s="8" t="n">
        <v>5167310</v>
      </c>
      <c r="I57" s="6" t="s">
        <v>875</v>
      </c>
      <c r="J57" s="12" t="s">
        <v>1564</v>
      </c>
      <c r="K57" s="78"/>
      <c r="L57" s="6" t="str">
        <f aca="false">IF(K57="",I57,K57)</f>
        <v>RPA</v>
      </c>
      <c r="M57" s="6"/>
    </row>
    <row r="58" customFormat="false" ht="15" hidden="false" customHeight="false" outlineLevel="0" collapsed="false">
      <c r="A58" s="74" t="n">
        <v>5100009</v>
      </c>
      <c r="B58" s="91" t="n">
        <v>4</v>
      </c>
      <c r="C58" s="74" t="s">
        <v>1568</v>
      </c>
      <c r="D58" s="74" t="s">
        <v>1569</v>
      </c>
      <c r="E58" s="6" t="s">
        <v>1551</v>
      </c>
      <c r="F58" s="74" t="s">
        <v>1562</v>
      </c>
      <c r="G58" s="74" t="s">
        <v>1563</v>
      </c>
      <c r="H58" s="8" t="n">
        <v>1715450</v>
      </c>
      <c r="I58" s="6" t="s">
        <v>875</v>
      </c>
      <c r="J58" s="12" t="s">
        <v>1564</v>
      </c>
      <c r="K58" s="78"/>
      <c r="L58" s="6" t="str">
        <f aca="false">IF(K58="",I58,K58)</f>
        <v>RPA</v>
      </c>
      <c r="M58" s="6"/>
    </row>
    <row r="59" customFormat="false" ht="15" hidden="false" customHeight="false" outlineLevel="0" collapsed="false">
      <c r="A59" s="74" t="n">
        <v>5100009</v>
      </c>
      <c r="B59" s="91" t="n">
        <v>4</v>
      </c>
      <c r="C59" s="74" t="s">
        <v>1570</v>
      </c>
      <c r="D59" s="74" t="s">
        <v>1571</v>
      </c>
      <c r="E59" s="6" t="s">
        <v>1551</v>
      </c>
      <c r="F59" s="74" t="s">
        <v>1562</v>
      </c>
      <c r="G59" s="74" t="s">
        <v>1563</v>
      </c>
      <c r="H59" s="8" t="n">
        <v>2041280</v>
      </c>
      <c r="I59" s="6" t="s">
        <v>875</v>
      </c>
      <c r="J59" s="12" t="s">
        <v>1564</v>
      </c>
      <c r="K59" s="78"/>
      <c r="L59" s="6" t="str">
        <f aca="false">IF(K59="",I59,K59)</f>
        <v>RPA</v>
      </c>
      <c r="M59" s="6"/>
    </row>
    <row r="60" customFormat="false" ht="15" hidden="false" customHeight="false" outlineLevel="0" collapsed="false">
      <c r="A60" s="74" t="n">
        <v>5100009</v>
      </c>
      <c r="B60" s="91" t="n">
        <v>4</v>
      </c>
      <c r="C60" s="74" t="s">
        <v>1572</v>
      </c>
      <c r="D60" s="74" t="s">
        <v>1573</v>
      </c>
      <c r="E60" s="6" t="s">
        <v>1551</v>
      </c>
      <c r="F60" s="74" t="s">
        <v>1555</v>
      </c>
      <c r="G60" s="74" t="s">
        <v>1559</v>
      </c>
      <c r="H60" s="8" t="n">
        <v>25000</v>
      </c>
      <c r="I60" s="6" t="s">
        <v>875</v>
      </c>
      <c r="J60" s="12" t="s">
        <v>1557</v>
      </c>
      <c r="K60" s="78"/>
      <c r="L60" s="6" t="str">
        <f aca="false">IF(K60="",I60,K60)</f>
        <v>RPA</v>
      </c>
      <c r="M60" s="6"/>
    </row>
    <row r="61" customFormat="false" ht="15" hidden="false" customHeight="false" outlineLevel="0" collapsed="false">
      <c r="A61" s="74" t="n">
        <v>5100009</v>
      </c>
      <c r="B61" s="91" t="n">
        <v>4</v>
      </c>
      <c r="C61" s="74" t="s">
        <v>1572</v>
      </c>
      <c r="D61" s="74" t="s">
        <v>1573</v>
      </c>
      <c r="E61" s="6" t="s">
        <v>1551</v>
      </c>
      <c r="F61" s="74" t="s">
        <v>1555</v>
      </c>
      <c r="G61" s="74" t="s">
        <v>1560</v>
      </c>
      <c r="H61" s="8" t="n">
        <v>325320</v>
      </c>
      <c r="I61" s="6" t="s">
        <v>875</v>
      </c>
      <c r="J61" s="12" t="s">
        <v>1557</v>
      </c>
      <c r="K61" s="78"/>
      <c r="L61" s="6" t="str">
        <f aca="false">IF(K61="",I61,K61)</f>
        <v>RPA</v>
      </c>
      <c r="M61" s="6"/>
    </row>
    <row r="62" customFormat="false" ht="15" hidden="false" customHeight="false" outlineLevel="0" collapsed="false">
      <c r="A62" s="74" t="n">
        <v>5100009</v>
      </c>
      <c r="B62" s="91" t="n">
        <v>4</v>
      </c>
      <c r="C62" s="74" t="s">
        <v>1574</v>
      </c>
      <c r="D62" s="74" t="s">
        <v>1575</v>
      </c>
      <c r="E62" s="6" t="s">
        <v>1551</v>
      </c>
      <c r="F62" s="74" t="s">
        <v>1555</v>
      </c>
      <c r="G62" s="74" t="s">
        <v>1559</v>
      </c>
      <c r="H62" s="8" t="n">
        <v>107500</v>
      </c>
      <c r="I62" s="6" t="s">
        <v>875</v>
      </c>
      <c r="J62" s="12" t="s">
        <v>1557</v>
      </c>
      <c r="K62" s="78"/>
      <c r="L62" s="6" t="str">
        <f aca="false">IF(K62="",I62,K62)</f>
        <v>RPA</v>
      </c>
      <c r="M62" s="6"/>
    </row>
    <row r="63" customFormat="false" ht="15" hidden="false" customHeight="false" outlineLevel="0" collapsed="false">
      <c r="A63" s="74" t="n">
        <v>5100009</v>
      </c>
      <c r="B63" s="91" t="n">
        <v>4</v>
      </c>
      <c r="C63" s="74" t="s">
        <v>1574</v>
      </c>
      <c r="D63" s="74" t="s">
        <v>1575</v>
      </c>
      <c r="E63" s="6" t="s">
        <v>1551</v>
      </c>
      <c r="F63" s="74" t="s">
        <v>1555</v>
      </c>
      <c r="G63" s="74" t="s">
        <v>1560</v>
      </c>
      <c r="H63" s="8" t="n">
        <v>1234428</v>
      </c>
      <c r="I63" s="6" t="s">
        <v>875</v>
      </c>
      <c r="J63" s="12" t="s">
        <v>1557</v>
      </c>
      <c r="K63" s="78"/>
      <c r="L63" s="6" t="str">
        <f aca="false">IF(K63="",I63,K63)</f>
        <v>RPA</v>
      </c>
      <c r="M63" s="6"/>
    </row>
    <row r="64" customFormat="false" ht="15" hidden="false" customHeight="false" outlineLevel="0" collapsed="false">
      <c r="A64" s="74" t="n">
        <v>5100009</v>
      </c>
      <c r="B64" s="91" t="n">
        <v>4</v>
      </c>
      <c r="C64" s="74" t="s">
        <v>1549</v>
      </c>
      <c r="D64" s="74" t="s">
        <v>1576</v>
      </c>
      <c r="E64" s="6" t="s">
        <v>1551</v>
      </c>
      <c r="F64" s="74" t="s">
        <v>1562</v>
      </c>
      <c r="G64" s="74" t="s">
        <v>1563</v>
      </c>
      <c r="H64" s="8" t="n">
        <v>2771270</v>
      </c>
      <c r="I64" s="6" t="s">
        <v>875</v>
      </c>
      <c r="J64" s="12" t="s">
        <v>1564</v>
      </c>
      <c r="K64" s="78"/>
      <c r="L64" s="6" t="str">
        <f aca="false">IF(K64="",I64,K64)</f>
        <v>RPA</v>
      </c>
      <c r="M64" s="6"/>
    </row>
    <row r="65" customFormat="false" ht="15" hidden="false" customHeight="false" outlineLevel="0" collapsed="false">
      <c r="A65" s="74" t="n">
        <v>5100010</v>
      </c>
      <c r="B65" s="91" t="n">
        <v>4</v>
      </c>
      <c r="C65" s="74" t="s">
        <v>1565</v>
      </c>
      <c r="D65" s="74" t="s">
        <v>1577</v>
      </c>
      <c r="E65" s="6" t="s">
        <v>1517</v>
      </c>
      <c r="F65" s="74"/>
      <c r="G65" s="74" t="s">
        <v>1578</v>
      </c>
      <c r="H65" s="8" t="n">
        <v>42000</v>
      </c>
      <c r="I65" s="6" t="s">
        <v>1519</v>
      </c>
      <c r="J65" s="12" t="s">
        <v>1579</v>
      </c>
      <c r="K65" s="78"/>
      <c r="L65" s="6" t="str">
        <f aca="false">IF(K65="",I65,K65)</f>
        <v>Shared</v>
      </c>
      <c r="M65" s="6"/>
    </row>
    <row r="66" customFormat="false" ht="15" hidden="false" customHeight="false" outlineLevel="0" collapsed="false">
      <c r="A66" s="74" t="n">
        <v>5100010</v>
      </c>
      <c r="B66" s="91" t="n">
        <v>4</v>
      </c>
      <c r="C66" s="74" t="s">
        <v>1565</v>
      </c>
      <c r="D66" s="74" t="s">
        <v>1577</v>
      </c>
      <c r="E66" s="6" t="s">
        <v>1517</v>
      </c>
      <c r="F66" s="74"/>
      <c r="G66" s="74" t="s">
        <v>1580</v>
      </c>
      <c r="H66" s="8" t="n">
        <v>153500</v>
      </c>
      <c r="I66" s="6" t="s">
        <v>1519</v>
      </c>
      <c r="J66" s="12" t="s">
        <v>1579</v>
      </c>
      <c r="K66" s="78"/>
      <c r="L66" s="6" t="str">
        <f aca="false">IF(K66="",I66,K66)</f>
        <v>Shared</v>
      </c>
      <c r="M66" s="6"/>
    </row>
    <row r="67" customFormat="false" ht="15" hidden="false" customHeight="false" outlineLevel="0" collapsed="false">
      <c r="A67" s="74" t="n">
        <v>5100010</v>
      </c>
      <c r="B67" s="91" t="n">
        <v>4</v>
      </c>
      <c r="C67" s="74" t="s">
        <v>1565</v>
      </c>
      <c r="D67" s="74" t="s">
        <v>1577</v>
      </c>
      <c r="E67" s="6" t="s">
        <v>1517</v>
      </c>
      <c r="F67" s="74"/>
      <c r="G67" s="74" t="s">
        <v>1581</v>
      </c>
      <c r="H67" s="8" t="n">
        <v>215000</v>
      </c>
      <c r="I67" s="6" t="s">
        <v>1519</v>
      </c>
      <c r="J67" s="12" t="s">
        <v>1579</v>
      </c>
      <c r="K67" s="78"/>
      <c r="L67" s="6" t="str">
        <f aca="false">IF(K67="",I67,K67)</f>
        <v>Shared</v>
      </c>
      <c r="M67" s="6"/>
    </row>
    <row r="68" customFormat="false" ht="15" hidden="false" customHeight="false" outlineLevel="0" collapsed="false">
      <c r="A68" s="74" t="n">
        <v>5100010</v>
      </c>
      <c r="B68" s="91" t="n">
        <v>4</v>
      </c>
      <c r="C68" s="74" t="s">
        <v>1565</v>
      </c>
      <c r="D68" s="74" t="s">
        <v>1577</v>
      </c>
      <c r="E68" s="6" t="s">
        <v>1517</v>
      </c>
      <c r="F68" s="74"/>
      <c r="G68" s="74" t="s">
        <v>1582</v>
      </c>
      <c r="H68" s="8" t="n">
        <v>212000</v>
      </c>
      <c r="I68" s="6" t="s">
        <v>1519</v>
      </c>
      <c r="J68" s="12" t="s">
        <v>1579</v>
      </c>
      <c r="K68" s="78"/>
      <c r="L68" s="6" t="str">
        <f aca="false">IF(K68="",I68,K68)</f>
        <v>Shared</v>
      </c>
      <c r="M68" s="6"/>
    </row>
    <row r="69" customFormat="false" ht="15" hidden="false" customHeight="false" outlineLevel="0" collapsed="false">
      <c r="A69" s="74" t="n">
        <v>5100010</v>
      </c>
      <c r="B69" s="91" t="n">
        <v>4</v>
      </c>
      <c r="C69" s="74" t="s">
        <v>1565</v>
      </c>
      <c r="D69" s="74" t="s">
        <v>1577</v>
      </c>
      <c r="E69" s="6" t="s">
        <v>1517</v>
      </c>
      <c r="F69" s="74"/>
      <c r="G69" s="74" t="s">
        <v>1583</v>
      </c>
      <c r="H69" s="8" t="n">
        <v>247500</v>
      </c>
      <c r="I69" s="6" t="s">
        <v>1519</v>
      </c>
      <c r="J69" s="12" t="s">
        <v>1579</v>
      </c>
      <c r="K69" s="78"/>
      <c r="L69" s="6" t="str">
        <f aca="false">IF(K69="",I69,K69)</f>
        <v>Shared</v>
      </c>
      <c r="M69" s="6"/>
    </row>
    <row r="70" customFormat="false" ht="15" hidden="false" customHeight="false" outlineLevel="0" collapsed="false">
      <c r="A70" s="74" t="n">
        <v>5100010</v>
      </c>
      <c r="B70" s="91" t="n">
        <v>4</v>
      </c>
      <c r="C70" s="74" t="s">
        <v>1565</v>
      </c>
      <c r="D70" s="74" t="s">
        <v>1577</v>
      </c>
      <c r="E70" s="6" t="s">
        <v>1517</v>
      </c>
      <c r="F70" s="74"/>
      <c r="G70" s="74" t="s">
        <v>1584</v>
      </c>
      <c r="H70" s="8" t="n">
        <v>189500</v>
      </c>
      <c r="I70" s="6" t="s">
        <v>1519</v>
      </c>
      <c r="J70" s="12" t="s">
        <v>1579</v>
      </c>
      <c r="K70" s="78"/>
      <c r="L70" s="6" t="str">
        <f aca="false">IF(K70="",I70,K70)</f>
        <v>Shared</v>
      </c>
      <c r="M70" s="6"/>
    </row>
    <row r="71" customFormat="false" ht="15" hidden="false" customHeight="false" outlineLevel="0" collapsed="false">
      <c r="A71" s="74" t="n">
        <v>5100002</v>
      </c>
      <c r="B71" s="91" t="n">
        <v>5</v>
      </c>
      <c r="C71" s="74" t="s">
        <v>1585</v>
      </c>
      <c r="D71" s="74" t="s">
        <v>1586</v>
      </c>
      <c r="E71" s="6" t="s">
        <v>1517</v>
      </c>
      <c r="F71" s="74" t="s">
        <v>1526</v>
      </c>
      <c r="G71" s="74" t="s">
        <v>1587</v>
      </c>
      <c r="H71" s="8" t="n">
        <v>17000000</v>
      </c>
      <c r="I71" s="6" t="s">
        <v>1519</v>
      </c>
      <c r="J71" s="12" t="s">
        <v>1528</v>
      </c>
      <c r="K71" s="78"/>
      <c r="L71" s="6" t="str">
        <f aca="false">IF(K71="",I71,K71)</f>
        <v>Shared</v>
      </c>
      <c r="M71" s="6"/>
    </row>
    <row r="72" customFormat="false" ht="15" hidden="false" customHeight="false" outlineLevel="0" collapsed="false">
      <c r="A72" s="74" t="n">
        <v>5100007</v>
      </c>
      <c r="B72" s="91" t="n">
        <v>5</v>
      </c>
      <c r="C72" s="74" t="s">
        <v>1588</v>
      </c>
      <c r="D72" s="74" t="s">
        <v>1589</v>
      </c>
      <c r="E72" s="6" t="s">
        <v>1517</v>
      </c>
      <c r="F72" s="74"/>
      <c r="G72" s="74" t="s">
        <v>1590</v>
      </c>
      <c r="H72" s="8" t="n">
        <v>600000</v>
      </c>
      <c r="I72" s="6" t="s">
        <v>1519</v>
      </c>
      <c r="J72" s="12" t="s">
        <v>1520</v>
      </c>
      <c r="K72" s="78"/>
      <c r="L72" s="6" t="str">
        <f aca="false">IF(K72="",I72,K72)</f>
        <v>Shared</v>
      </c>
      <c r="M72" s="6"/>
    </row>
    <row r="73" customFormat="false" ht="15" hidden="false" customHeight="false" outlineLevel="0" collapsed="false">
      <c r="A73" s="74" t="n">
        <v>5100007</v>
      </c>
      <c r="B73" s="91" t="n">
        <v>5</v>
      </c>
      <c r="C73" s="74" t="s">
        <v>1591</v>
      </c>
      <c r="D73" s="74" t="s">
        <v>1592</v>
      </c>
      <c r="E73" s="6" t="s">
        <v>1517</v>
      </c>
      <c r="F73" s="74"/>
      <c r="G73" s="74" t="s">
        <v>1593</v>
      </c>
      <c r="H73" s="8" t="n">
        <v>120000</v>
      </c>
      <c r="I73" s="6" t="s">
        <v>1519</v>
      </c>
      <c r="J73" s="12" t="s">
        <v>1520</v>
      </c>
      <c r="K73" s="78"/>
      <c r="L73" s="6" t="str">
        <f aca="false">IF(K73="",I73,K73)</f>
        <v>Shared</v>
      </c>
      <c r="M73" s="6"/>
    </row>
    <row r="74" customFormat="false" ht="15" hidden="false" customHeight="false" outlineLevel="0" collapsed="false">
      <c r="A74" s="74" t="n">
        <v>5100007</v>
      </c>
      <c r="B74" s="91" t="n">
        <v>5</v>
      </c>
      <c r="C74" s="74" t="s">
        <v>1594</v>
      </c>
      <c r="D74" s="74" t="s">
        <v>1595</v>
      </c>
      <c r="E74" s="6" t="s">
        <v>1517</v>
      </c>
      <c r="F74" s="74"/>
      <c r="G74" s="74" t="s">
        <v>1596</v>
      </c>
      <c r="H74" s="8" t="n">
        <v>825800</v>
      </c>
      <c r="I74" s="6" t="s">
        <v>1519</v>
      </c>
      <c r="J74" s="12" t="s">
        <v>1520</v>
      </c>
      <c r="K74" s="78"/>
      <c r="L74" s="6" t="str">
        <f aca="false">IF(K74="",I74,K74)</f>
        <v>Shared</v>
      </c>
      <c r="M74" s="6"/>
    </row>
    <row r="75" customFormat="false" ht="15" hidden="false" customHeight="false" outlineLevel="0" collapsed="false">
      <c r="A75" s="74" t="n">
        <v>5100007</v>
      </c>
      <c r="B75" s="91" t="n">
        <v>5</v>
      </c>
      <c r="C75" s="74" t="s">
        <v>1588</v>
      </c>
      <c r="D75" s="74" t="s">
        <v>1597</v>
      </c>
      <c r="E75" s="6" t="s">
        <v>1517</v>
      </c>
      <c r="F75" s="74" t="s">
        <v>1598</v>
      </c>
      <c r="G75" s="74" t="s">
        <v>1599</v>
      </c>
      <c r="H75" s="8" t="n">
        <v>12950000</v>
      </c>
      <c r="I75" s="6" t="s">
        <v>875</v>
      </c>
      <c r="J75" s="12" t="s">
        <v>1600</v>
      </c>
      <c r="K75" s="78"/>
      <c r="L75" s="6" t="str">
        <f aca="false">IF(K75="",I75,K75)</f>
        <v>RPA</v>
      </c>
      <c r="M75" s="6"/>
    </row>
    <row r="76" customFormat="false" ht="15" hidden="false" customHeight="false" outlineLevel="0" collapsed="false">
      <c r="A76" s="74" t="n">
        <v>5100007</v>
      </c>
      <c r="B76" s="91" t="n">
        <v>5</v>
      </c>
      <c r="C76" s="74" t="s">
        <v>1601</v>
      </c>
      <c r="D76" s="74" t="s">
        <v>1602</v>
      </c>
      <c r="E76" s="6" t="s">
        <v>1517</v>
      </c>
      <c r="F76" s="74" t="s">
        <v>1598</v>
      </c>
      <c r="G76" s="74" t="s">
        <v>1603</v>
      </c>
      <c r="H76" s="8" t="n">
        <v>10400000</v>
      </c>
      <c r="I76" s="6" t="s">
        <v>875</v>
      </c>
      <c r="J76" s="12" t="s">
        <v>1600</v>
      </c>
      <c r="K76" s="78"/>
      <c r="L76" s="6" t="str">
        <f aca="false">IF(K76="",I76,K76)</f>
        <v>RPA</v>
      </c>
      <c r="M76" s="6"/>
    </row>
    <row r="77" customFormat="false" ht="15" hidden="false" customHeight="false" outlineLevel="0" collapsed="false">
      <c r="A77" s="74" t="n">
        <v>5100007</v>
      </c>
      <c r="B77" s="91" t="n">
        <v>5</v>
      </c>
      <c r="C77" s="74" t="s">
        <v>1604</v>
      </c>
      <c r="D77" s="74" t="s">
        <v>1605</v>
      </c>
      <c r="E77" s="6" t="s">
        <v>1517</v>
      </c>
      <c r="F77" s="74" t="s">
        <v>1598</v>
      </c>
      <c r="G77" s="74" t="s">
        <v>1603</v>
      </c>
      <c r="H77" s="8" t="n">
        <v>7800000</v>
      </c>
      <c r="I77" s="6" t="s">
        <v>875</v>
      </c>
      <c r="J77" s="12" t="s">
        <v>1600</v>
      </c>
      <c r="K77" s="78"/>
      <c r="L77" s="6" t="str">
        <f aca="false">IF(K77="",I77,K77)</f>
        <v>RPA</v>
      </c>
      <c r="M77" s="6"/>
    </row>
    <row r="78" customFormat="false" ht="15" hidden="false" customHeight="false" outlineLevel="0" collapsed="false">
      <c r="A78" s="74" t="n">
        <v>5100007</v>
      </c>
      <c r="B78" s="91" t="n">
        <v>5</v>
      </c>
      <c r="C78" s="74" t="s">
        <v>1604</v>
      </c>
      <c r="D78" s="74" t="s">
        <v>1606</v>
      </c>
      <c r="E78" s="6" t="s">
        <v>1517</v>
      </c>
      <c r="F78" s="74" t="s">
        <v>1598</v>
      </c>
      <c r="G78" s="74" t="s">
        <v>1603</v>
      </c>
      <c r="H78" s="8" t="n">
        <v>5200000</v>
      </c>
      <c r="I78" s="6" t="s">
        <v>875</v>
      </c>
      <c r="J78" s="12" t="s">
        <v>1600</v>
      </c>
      <c r="K78" s="78"/>
      <c r="L78" s="6" t="str">
        <f aca="false">IF(K78="",I78,K78)</f>
        <v>RPA</v>
      </c>
      <c r="M78" s="6"/>
    </row>
    <row r="79" customFormat="false" ht="15" hidden="false" customHeight="false" outlineLevel="0" collapsed="false">
      <c r="A79" s="74" t="n">
        <v>5100007</v>
      </c>
      <c r="B79" s="91" t="n">
        <v>5</v>
      </c>
      <c r="C79" s="74" t="s">
        <v>1607</v>
      </c>
      <c r="D79" s="74" t="s">
        <v>1608</v>
      </c>
      <c r="E79" s="6" t="s">
        <v>1517</v>
      </c>
      <c r="F79" s="74" t="s">
        <v>1542</v>
      </c>
      <c r="G79" s="74" t="s">
        <v>1609</v>
      </c>
      <c r="H79" s="8" t="n">
        <v>1000000</v>
      </c>
      <c r="I79" s="6" t="s">
        <v>1519</v>
      </c>
      <c r="J79" s="12" t="s">
        <v>1544</v>
      </c>
      <c r="K79" s="78"/>
      <c r="L79" s="6" t="str">
        <f aca="false">IF(K79="",I79,K79)</f>
        <v>Shared</v>
      </c>
      <c r="M79" s="6"/>
    </row>
    <row r="80" customFormat="false" ht="15" hidden="false" customHeight="false" outlineLevel="0" collapsed="false">
      <c r="A80" s="74" t="n">
        <v>5100007</v>
      </c>
      <c r="B80" s="91" t="n">
        <v>5</v>
      </c>
      <c r="C80" s="74" t="s">
        <v>1610</v>
      </c>
      <c r="D80" s="74" t="s">
        <v>1611</v>
      </c>
      <c r="E80" s="6" t="s">
        <v>1517</v>
      </c>
      <c r="F80" s="74" t="s">
        <v>1612</v>
      </c>
      <c r="G80" s="74" t="s">
        <v>1613</v>
      </c>
      <c r="H80" s="8" t="n">
        <v>5400000</v>
      </c>
      <c r="I80" s="6" t="s">
        <v>1519</v>
      </c>
      <c r="J80" s="12" t="s">
        <v>1544</v>
      </c>
      <c r="K80" s="78"/>
      <c r="L80" s="6" t="str">
        <f aca="false">IF(K80="",I80,K80)</f>
        <v>Shared</v>
      </c>
      <c r="M80" s="6"/>
    </row>
    <row r="81" customFormat="false" ht="15" hidden="false" customHeight="false" outlineLevel="0" collapsed="false">
      <c r="A81" s="74" t="n">
        <v>5100007</v>
      </c>
      <c r="B81" s="91" t="n">
        <v>5</v>
      </c>
      <c r="C81" s="74" t="s">
        <v>1614</v>
      </c>
      <c r="D81" s="74" t="s">
        <v>1615</v>
      </c>
      <c r="E81" s="6" t="s">
        <v>1517</v>
      </c>
      <c r="F81" s="74" t="s">
        <v>1612</v>
      </c>
      <c r="G81" s="74" t="s">
        <v>1616</v>
      </c>
      <c r="H81" s="8" t="n">
        <v>5400000</v>
      </c>
      <c r="I81" s="6" t="s">
        <v>1519</v>
      </c>
      <c r="J81" s="12" t="s">
        <v>1544</v>
      </c>
      <c r="K81" s="78"/>
      <c r="L81" s="6" t="str">
        <f aca="false">IF(K81="",I81,K81)</f>
        <v>Shared</v>
      </c>
      <c r="M81" s="6"/>
    </row>
    <row r="82" customFormat="false" ht="15" hidden="false" customHeight="false" outlineLevel="0" collapsed="false">
      <c r="A82" s="74" t="n">
        <v>5100007</v>
      </c>
      <c r="B82" s="91" t="n">
        <v>5</v>
      </c>
      <c r="C82" s="74" t="s">
        <v>1617</v>
      </c>
      <c r="D82" s="74" t="s">
        <v>1618</v>
      </c>
      <c r="E82" s="6" t="s">
        <v>1517</v>
      </c>
      <c r="F82" s="74" t="s">
        <v>1612</v>
      </c>
      <c r="G82" s="74" t="s">
        <v>1619</v>
      </c>
      <c r="H82" s="8" t="n">
        <v>6000000</v>
      </c>
      <c r="I82" s="6" t="s">
        <v>1519</v>
      </c>
      <c r="J82" s="12" t="s">
        <v>1544</v>
      </c>
      <c r="K82" s="78"/>
      <c r="L82" s="6" t="str">
        <f aca="false">IF(K82="",I82,K82)</f>
        <v>Shared</v>
      </c>
      <c r="M82" s="6"/>
    </row>
    <row r="83" customFormat="false" ht="15" hidden="false" customHeight="false" outlineLevel="0" collapsed="false">
      <c r="A83" s="74" t="n">
        <v>5100007</v>
      </c>
      <c r="B83" s="91" t="n">
        <v>5</v>
      </c>
      <c r="C83" s="74" t="s">
        <v>1620</v>
      </c>
      <c r="D83" s="74" t="s">
        <v>1621</v>
      </c>
      <c r="E83" s="6" t="s">
        <v>1517</v>
      </c>
      <c r="F83" s="74" t="s">
        <v>1542</v>
      </c>
      <c r="G83" s="74" t="s">
        <v>1622</v>
      </c>
      <c r="H83" s="8" t="n">
        <v>1400000</v>
      </c>
      <c r="I83" s="6" t="s">
        <v>1519</v>
      </c>
      <c r="J83" s="12" t="s">
        <v>1544</v>
      </c>
      <c r="K83" s="78"/>
      <c r="L83" s="6" t="str">
        <f aca="false">IF(K83="",I83,K83)</f>
        <v>Shared</v>
      </c>
      <c r="M83" s="6"/>
    </row>
    <row r="84" customFormat="false" ht="15" hidden="false" customHeight="false" outlineLevel="0" collapsed="false">
      <c r="A84" s="74" t="n">
        <v>5100009</v>
      </c>
      <c r="B84" s="91" t="n">
        <v>5</v>
      </c>
      <c r="C84" s="74" t="s">
        <v>1607</v>
      </c>
      <c r="D84" s="74" t="s">
        <v>1623</v>
      </c>
      <c r="E84" s="6" t="s">
        <v>1551</v>
      </c>
      <c r="F84" s="74"/>
      <c r="G84" s="74" t="s">
        <v>1624</v>
      </c>
      <c r="H84" s="8" t="n">
        <v>30894740.18</v>
      </c>
      <c r="I84" s="6" t="s">
        <v>875</v>
      </c>
      <c r="J84" s="12" t="s">
        <v>1625</v>
      </c>
      <c r="K84" s="78"/>
      <c r="L84" s="6" t="str">
        <f aca="false">IF(K84="",I84,K84)</f>
        <v>RPA</v>
      </c>
      <c r="M84" s="6"/>
    </row>
    <row r="85" customFormat="false" ht="15" hidden="false" customHeight="false" outlineLevel="0" collapsed="false">
      <c r="A85" s="74" t="n">
        <v>5100009</v>
      </c>
      <c r="B85" s="91" t="n">
        <v>5</v>
      </c>
      <c r="C85" s="74" t="s">
        <v>1607</v>
      </c>
      <c r="D85" s="74" t="s">
        <v>1626</v>
      </c>
      <c r="E85" s="6" t="s">
        <v>1551</v>
      </c>
      <c r="F85" s="74"/>
      <c r="G85" s="74" t="s">
        <v>1624</v>
      </c>
      <c r="H85" s="8" t="n">
        <v>-17985564.85</v>
      </c>
      <c r="I85" s="6" t="s">
        <v>875</v>
      </c>
      <c r="J85" s="12" t="s">
        <v>1625</v>
      </c>
      <c r="K85" s="78"/>
      <c r="L85" s="6" t="str">
        <f aca="false">IF(K85="",I85,K85)</f>
        <v>RPA</v>
      </c>
      <c r="M85" s="6"/>
    </row>
    <row r="86" customFormat="false" ht="15" hidden="false" customHeight="false" outlineLevel="0" collapsed="false">
      <c r="A86" s="74" t="n">
        <v>5100009</v>
      </c>
      <c r="B86" s="91" t="n">
        <v>5</v>
      </c>
      <c r="C86" s="74" t="s">
        <v>1607</v>
      </c>
      <c r="D86" s="74" t="s">
        <v>1627</v>
      </c>
      <c r="E86" s="6" t="s">
        <v>1551</v>
      </c>
      <c r="F86" s="74"/>
      <c r="G86" s="74" t="s">
        <v>1628</v>
      </c>
      <c r="H86" s="8" t="n">
        <v>75399781.07</v>
      </c>
      <c r="I86" s="6" t="s">
        <v>875</v>
      </c>
      <c r="J86" s="12" t="s">
        <v>1625</v>
      </c>
      <c r="K86" s="78"/>
      <c r="L86" s="6" t="str">
        <f aca="false">IF(K86="",I86,K86)</f>
        <v>RPA</v>
      </c>
      <c r="M86" s="6"/>
    </row>
    <row r="87" customFormat="false" ht="15" hidden="false" customHeight="false" outlineLevel="0" collapsed="false">
      <c r="A87" s="74" t="n">
        <v>5100009</v>
      </c>
      <c r="B87" s="91" t="n">
        <v>5</v>
      </c>
      <c r="C87" s="74" t="s">
        <v>1607</v>
      </c>
      <c r="D87" s="74" t="s">
        <v>1629</v>
      </c>
      <c r="E87" s="6" t="s">
        <v>1551</v>
      </c>
      <c r="F87" s="74"/>
      <c r="G87" s="74" t="s">
        <v>1628</v>
      </c>
      <c r="H87" s="8" t="n">
        <v>-75039988.34</v>
      </c>
      <c r="I87" s="6" t="s">
        <v>875</v>
      </c>
      <c r="J87" s="12" t="s">
        <v>1625</v>
      </c>
      <c r="K87" s="78"/>
      <c r="L87" s="6" t="str">
        <f aca="false">IF(K87="",I87,K87)</f>
        <v>RPA</v>
      </c>
      <c r="M87" s="6"/>
    </row>
    <row r="88" customFormat="false" ht="15" hidden="false" customHeight="false" outlineLevel="0" collapsed="false">
      <c r="A88" s="74" t="n">
        <v>5100009</v>
      </c>
      <c r="B88" s="91" t="n">
        <v>5</v>
      </c>
      <c r="C88" s="74" t="s">
        <v>1607</v>
      </c>
      <c r="D88" s="74" t="s">
        <v>1630</v>
      </c>
      <c r="E88" s="6" t="s">
        <v>1551</v>
      </c>
      <c r="F88" s="74"/>
      <c r="G88" s="74" t="s">
        <v>1628</v>
      </c>
      <c r="H88" s="8" t="n">
        <v>347970.17</v>
      </c>
      <c r="I88" s="6" t="s">
        <v>875</v>
      </c>
      <c r="J88" s="12" t="s">
        <v>1625</v>
      </c>
      <c r="K88" s="78"/>
      <c r="L88" s="6" t="str">
        <f aca="false">IF(K88="",I88,K88)</f>
        <v>RPA</v>
      </c>
      <c r="M88" s="6"/>
    </row>
    <row r="89" customFormat="false" ht="15" hidden="false" customHeight="false" outlineLevel="0" collapsed="false">
      <c r="A89" s="74" t="n">
        <v>5100009</v>
      </c>
      <c r="B89" s="91" t="n">
        <v>5</v>
      </c>
      <c r="C89" s="74" t="s">
        <v>1607</v>
      </c>
      <c r="D89" s="74" t="s">
        <v>1631</v>
      </c>
      <c r="E89" s="6" t="s">
        <v>1551</v>
      </c>
      <c r="F89" s="74"/>
      <c r="G89" s="74" t="s">
        <v>1632</v>
      </c>
      <c r="H89" s="8" t="n">
        <v>360263.69</v>
      </c>
      <c r="I89" s="6" t="s">
        <v>875</v>
      </c>
      <c r="J89" s="12" t="s">
        <v>1625</v>
      </c>
      <c r="K89" s="78"/>
      <c r="L89" s="6" t="str">
        <f aca="false">IF(K89="",I89,K89)</f>
        <v>RPA</v>
      </c>
      <c r="M89" s="6"/>
    </row>
    <row r="90" customFormat="false" ht="15" hidden="false" customHeight="false" outlineLevel="0" collapsed="false">
      <c r="A90" s="74" t="n">
        <v>5100009</v>
      </c>
      <c r="B90" s="91" t="n">
        <v>5</v>
      </c>
      <c r="C90" s="74" t="s">
        <v>1633</v>
      </c>
      <c r="D90" s="74" t="s">
        <v>1634</v>
      </c>
      <c r="E90" s="6" t="s">
        <v>1551</v>
      </c>
      <c r="F90" s="74"/>
      <c r="G90" s="74" t="s">
        <v>1632</v>
      </c>
      <c r="H90" s="8" t="n">
        <v>-172500</v>
      </c>
      <c r="I90" s="6" t="s">
        <v>875</v>
      </c>
      <c r="J90" s="12" t="s">
        <v>1625</v>
      </c>
      <c r="K90" s="78"/>
      <c r="L90" s="6" t="str">
        <f aca="false">IF(K90="",I90,K90)</f>
        <v>RPA</v>
      </c>
      <c r="M90" s="6"/>
    </row>
    <row r="91" customFormat="false" ht="15" hidden="false" customHeight="false" outlineLevel="0" collapsed="false">
      <c r="A91" s="74" t="n">
        <v>5100009</v>
      </c>
      <c r="B91" s="91" t="n">
        <v>5</v>
      </c>
      <c r="C91" s="74" t="s">
        <v>1635</v>
      </c>
      <c r="D91" s="74" t="s">
        <v>1636</v>
      </c>
      <c r="E91" s="6" t="s">
        <v>1551</v>
      </c>
      <c r="F91" s="74"/>
      <c r="G91" s="74" t="s">
        <v>1637</v>
      </c>
      <c r="H91" s="8" t="n">
        <v>2778101.04</v>
      </c>
      <c r="I91" s="6" t="s">
        <v>875</v>
      </c>
      <c r="J91" s="12" t="s">
        <v>1625</v>
      </c>
      <c r="K91" s="78"/>
      <c r="L91" s="6" t="str">
        <f aca="false">IF(K91="",I91,K91)</f>
        <v>RPA</v>
      </c>
      <c r="M91" s="6"/>
    </row>
    <row r="92" customFormat="false" ht="15" hidden="false" customHeight="false" outlineLevel="0" collapsed="false">
      <c r="A92" s="74" t="n">
        <v>5100009</v>
      </c>
      <c r="B92" s="91" t="n">
        <v>5</v>
      </c>
      <c r="C92" s="74" t="s">
        <v>1601</v>
      </c>
      <c r="D92" s="74" t="s">
        <v>1638</v>
      </c>
      <c r="E92" s="6" t="s">
        <v>1551</v>
      </c>
      <c r="F92" s="74"/>
      <c r="G92" s="74" t="s">
        <v>1639</v>
      </c>
      <c r="H92" s="8" t="n">
        <v>3.78</v>
      </c>
      <c r="I92" s="6" t="s">
        <v>875</v>
      </c>
      <c r="J92" s="12" t="s">
        <v>1625</v>
      </c>
      <c r="K92" s="78"/>
      <c r="L92" s="6" t="str">
        <f aca="false">IF(K92="",I92,K92)</f>
        <v>RPA</v>
      </c>
      <c r="M92" s="6"/>
    </row>
    <row r="93" customFormat="false" ht="15" hidden="false" customHeight="false" outlineLevel="0" collapsed="false">
      <c r="A93" s="74" t="n">
        <v>5100009</v>
      </c>
      <c r="B93" s="91" t="n">
        <v>5</v>
      </c>
      <c r="C93" s="74" t="s">
        <v>1604</v>
      </c>
      <c r="D93" s="74" t="s">
        <v>1640</v>
      </c>
      <c r="E93" s="6" t="s">
        <v>1551</v>
      </c>
      <c r="F93" s="74"/>
      <c r="G93" s="74" t="s">
        <v>1641</v>
      </c>
      <c r="H93" s="8" t="n">
        <v>4.63</v>
      </c>
      <c r="I93" s="6" t="s">
        <v>875</v>
      </c>
      <c r="J93" s="12" t="s">
        <v>1625</v>
      </c>
      <c r="K93" s="78"/>
      <c r="L93" s="6" t="str">
        <f aca="false">IF(K93="",I93,K93)</f>
        <v>RPA</v>
      </c>
      <c r="M93" s="6"/>
    </row>
    <row r="94" customFormat="false" ht="15" hidden="false" customHeight="false" outlineLevel="0" collapsed="false">
      <c r="A94" s="74" t="n">
        <v>5100009</v>
      </c>
      <c r="B94" s="91" t="n">
        <v>5</v>
      </c>
      <c r="C94" s="74" t="s">
        <v>1642</v>
      </c>
      <c r="D94" s="74" t="s">
        <v>1643</v>
      </c>
      <c r="E94" s="6" t="s">
        <v>1551</v>
      </c>
      <c r="F94" s="74"/>
      <c r="G94" s="74" t="s">
        <v>1644</v>
      </c>
      <c r="H94" s="8" t="n">
        <v>1513599.35</v>
      </c>
      <c r="I94" s="6" t="s">
        <v>875</v>
      </c>
      <c r="J94" s="12" t="s">
        <v>1625</v>
      </c>
      <c r="K94" s="78"/>
      <c r="L94" s="6" t="str">
        <f aca="false">IF(K94="",I94,K94)</f>
        <v>RPA</v>
      </c>
      <c r="M94" s="6"/>
    </row>
    <row r="95" customFormat="false" ht="15" hidden="false" customHeight="false" outlineLevel="0" collapsed="false">
      <c r="A95" s="74" t="n">
        <v>5100009</v>
      </c>
      <c r="B95" s="91" t="n">
        <v>5</v>
      </c>
      <c r="C95" s="74" t="s">
        <v>1645</v>
      </c>
      <c r="D95" s="74" t="s">
        <v>1646</v>
      </c>
      <c r="E95" s="6" t="s">
        <v>1551</v>
      </c>
      <c r="F95" s="74"/>
      <c r="G95" s="74" t="s">
        <v>1647</v>
      </c>
      <c r="H95" s="8" t="n">
        <v>2.06</v>
      </c>
      <c r="I95" s="6" t="s">
        <v>875</v>
      </c>
      <c r="J95" s="12" t="s">
        <v>1625</v>
      </c>
      <c r="K95" s="78"/>
      <c r="L95" s="6" t="str">
        <f aca="false">IF(K95="",I95,K95)</f>
        <v>RPA</v>
      </c>
      <c r="M95" s="6"/>
    </row>
    <row r="96" customFormat="false" ht="15" hidden="false" customHeight="false" outlineLevel="0" collapsed="false">
      <c r="A96" s="74" t="n">
        <v>5100009</v>
      </c>
      <c r="B96" s="91" t="n">
        <v>5</v>
      </c>
      <c r="C96" s="74" t="s">
        <v>1648</v>
      </c>
      <c r="D96" s="74" t="s">
        <v>1649</v>
      </c>
      <c r="E96" s="6" t="s">
        <v>1551</v>
      </c>
      <c r="F96" s="74"/>
      <c r="G96" s="74" t="s">
        <v>1632</v>
      </c>
      <c r="H96" s="8" t="n">
        <v>-5498159.83</v>
      </c>
      <c r="I96" s="6" t="s">
        <v>875</v>
      </c>
      <c r="J96" s="12" t="s">
        <v>1625</v>
      </c>
      <c r="K96" s="78"/>
      <c r="L96" s="6" t="str">
        <f aca="false">IF(K96="",I96,K96)</f>
        <v>RPA</v>
      </c>
      <c r="M96" s="6"/>
    </row>
    <row r="97" customFormat="false" ht="15" hidden="false" customHeight="false" outlineLevel="0" collapsed="false">
      <c r="A97" s="74" t="n">
        <v>5100009</v>
      </c>
      <c r="B97" s="91" t="n">
        <v>5</v>
      </c>
      <c r="C97" s="74" t="s">
        <v>1617</v>
      </c>
      <c r="D97" s="74" t="s">
        <v>1650</v>
      </c>
      <c r="E97" s="6" t="s">
        <v>1551</v>
      </c>
      <c r="F97" s="74" t="s">
        <v>1555</v>
      </c>
      <c r="G97" s="74" t="s">
        <v>1559</v>
      </c>
      <c r="H97" s="8" t="n">
        <v>22500</v>
      </c>
      <c r="I97" s="6" t="s">
        <v>875</v>
      </c>
      <c r="J97" s="12" t="s">
        <v>1557</v>
      </c>
      <c r="K97" s="78"/>
      <c r="L97" s="6" t="str">
        <f aca="false">IF(K97="",I97,K97)</f>
        <v>RPA</v>
      </c>
      <c r="M97" s="6"/>
    </row>
    <row r="98" customFormat="false" ht="15" hidden="false" customHeight="false" outlineLevel="0" collapsed="false">
      <c r="A98" s="74" t="n">
        <v>5100009</v>
      </c>
      <c r="B98" s="91" t="n">
        <v>5</v>
      </c>
      <c r="C98" s="74" t="s">
        <v>1617</v>
      </c>
      <c r="D98" s="74" t="s">
        <v>1650</v>
      </c>
      <c r="E98" s="6" t="s">
        <v>1551</v>
      </c>
      <c r="F98" s="74" t="s">
        <v>1555</v>
      </c>
      <c r="G98" s="74" t="s">
        <v>1560</v>
      </c>
      <c r="H98" s="8" t="n">
        <v>318510</v>
      </c>
      <c r="I98" s="6" t="s">
        <v>875</v>
      </c>
      <c r="J98" s="12" t="s">
        <v>1557</v>
      </c>
      <c r="K98" s="78"/>
      <c r="L98" s="6" t="str">
        <f aca="false">IF(K98="",I98,K98)</f>
        <v>RPA</v>
      </c>
      <c r="M98" s="6"/>
    </row>
    <row r="99" customFormat="false" ht="15" hidden="false" customHeight="false" outlineLevel="0" collapsed="false">
      <c r="A99" s="74" t="n">
        <v>5100009</v>
      </c>
      <c r="B99" s="91" t="n">
        <v>5</v>
      </c>
      <c r="C99" s="74" t="s">
        <v>1651</v>
      </c>
      <c r="D99" s="74" t="s">
        <v>1652</v>
      </c>
      <c r="E99" s="6" t="s">
        <v>1551</v>
      </c>
      <c r="F99" s="74" t="s">
        <v>1562</v>
      </c>
      <c r="G99" s="74" t="s">
        <v>1653</v>
      </c>
      <c r="H99" s="8" t="n">
        <v>3048854</v>
      </c>
      <c r="I99" s="6" t="s">
        <v>875</v>
      </c>
      <c r="J99" s="12" t="s">
        <v>1564</v>
      </c>
      <c r="K99" s="78"/>
      <c r="L99" s="6" t="str">
        <f aca="false">IF(K99="",I99,K99)</f>
        <v>RPA</v>
      </c>
      <c r="M99" s="6"/>
    </row>
    <row r="100" customFormat="false" ht="15" hidden="false" customHeight="false" outlineLevel="0" collapsed="false">
      <c r="A100" s="74" t="n">
        <v>5100009</v>
      </c>
      <c r="B100" s="91" t="n">
        <v>5</v>
      </c>
      <c r="C100" s="74" t="s">
        <v>1654</v>
      </c>
      <c r="D100" s="74" t="s">
        <v>1655</v>
      </c>
      <c r="E100" s="6" t="s">
        <v>1551</v>
      </c>
      <c r="F100" s="74" t="s">
        <v>1555</v>
      </c>
      <c r="G100" s="74" t="s">
        <v>1559</v>
      </c>
      <c r="H100" s="8" t="n">
        <v>32500</v>
      </c>
      <c r="I100" s="6" t="s">
        <v>875</v>
      </c>
      <c r="J100" s="12" t="s">
        <v>1557</v>
      </c>
      <c r="K100" s="78"/>
      <c r="L100" s="6" t="str">
        <f aca="false">IF(K100="",I100,K100)</f>
        <v>RPA</v>
      </c>
      <c r="M100" s="6"/>
    </row>
    <row r="101" customFormat="false" ht="15" hidden="false" customHeight="false" outlineLevel="0" collapsed="false">
      <c r="A101" s="74" t="n">
        <v>5100009</v>
      </c>
      <c r="B101" s="91" t="n">
        <v>5</v>
      </c>
      <c r="C101" s="74" t="s">
        <v>1654</v>
      </c>
      <c r="D101" s="74" t="s">
        <v>1655</v>
      </c>
      <c r="E101" s="6" t="s">
        <v>1551</v>
      </c>
      <c r="F101" s="74" t="s">
        <v>1555</v>
      </c>
      <c r="G101" s="74" t="s">
        <v>1560</v>
      </c>
      <c r="H101" s="8" t="n">
        <v>487770</v>
      </c>
      <c r="I101" s="6" t="s">
        <v>875</v>
      </c>
      <c r="J101" s="12" t="s">
        <v>1557</v>
      </c>
      <c r="K101" s="78"/>
      <c r="L101" s="6" t="str">
        <f aca="false">IF(K101="",I101,K101)</f>
        <v>RPA</v>
      </c>
      <c r="M101" s="6"/>
    </row>
    <row r="102" customFormat="false" ht="15" hidden="false" customHeight="false" outlineLevel="0" collapsed="false">
      <c r="A102" s="74" t="n">
        <v>5100009</v>
      </c>
      <c r="B102" s="91" t="n">
        <v>5</v>
      </c>
      <c r="C102" s="74" t="s">
        <v>1656</v>
      </c>
      <c r="D102" s="74" t="s">
        <v>1657</v>
      </c>
      <c r="E102" s="6" t="s">
        <v>1551</v>
      </c>
      <c r="F102" s="74" t="s">
        <v>1555</v>
      </c>
      <c r="G102" s="74" t="s">
        <v>1559</v>
      </c>
      <c r="H102" s="8" t="n">
        <v>167500</v>
      </c>
      <c r="I102" s="6" t="s">
        <v>875</v>
      </c>
      <c r="J102" s="12" t="s">
        <v>1557</v>
      </c>
      <c r="K102" s="78"/>
      <c r="L102" s="6" t="str">
        <f aca="false">IF(K102="",I102,K102)</f>
        <v>RPA</v>
      </c>
      <c r="M102" s="6"/>
    </row>
    <row r="103" customFormat="false" ht="15" hidden="false" customHeight="false" outlineLevel="0" collapsed="false">
      <c r="A103" s="74" t="n">
        <v>5100009</v>
      </c>
      <c r="B103" s="91" t="n">
        <v>5</v>
      </c>
      <c r="C103" s="74" t="s">
        <v>1656</v>
      </c>
      <c r="D103" s="74" t="s">
        <v>1657</v>
      </c>
      <c r="E103" s="6" t="s">
        <v>1551</v>
      </c>
      <c r="F103" s="74" t="s">
        <v>1555</v>
      </c>
      <c r="G103" s="74" t="s">
        <v>1560</v>
      </c>
      <c r="H103" s="8" t="n">
        <v>1912332</v>
      </c>
      <c r="I103" s="6" t="s">
        <v>875</v>
      </c>
      <c r="J103" s="12" t="s">
        <v>1557</v>
      </c>
      <c r="K103" s="78"/>
      <c r="L103" s="6" t="str">
        <f aca="false">IF(K103="",I103,K103)</f>
        <v>RPA</v>
      </c>
      <c r="M103" s="6"/>
    </row>
    <row r="104" customFormat="false" ht="15" hidden="false" customHeight="false" outlineLevel="0" collapsed="false">
      <c r="A104" s="74" t="n">
        <v>5100009</v>
      </c>
      <c r="B104" s="91" t="n">
        <v>5</v>
      </c>
      <c r="C104" s="74" t="s">
        <v>1656</v>
      </c>
      <c r="D104" s="74" t="s">
        <v>1657</v>
      </c>
      <c r="E104" s="6" t="s">
        <v>1551</v>
      </c>
      <c r="F104" s="74" t="s">
        <v>1555</v>
      </c>
      <c r="G104" s="74" t="s">
        <v>1658</v>
      </c>
      <c r="H104" s="8" t="n">
        <v>876485.5</v>
      </c>
      <c r="I104" s="6" t="s">
        <v>875</v>
      </c>
      <c r="J104" s="12" t="s">
        <v>1557</v>
      </c>
      <c r="K104" s="78"/>
      <c r="L104" s="6" t="str">
        <f aca="false">IF(K104="",I104,K104)</f>
        <v>RPA</v>
      </c>
      <c r="M104" s="6"/>
    </row>
    <row r="105" customFormat="false" ht="15" hidden="false" customHeight="false" outlineLevel="0" collapsed="false">
      <c r="A105" s="74" t="n">
        <v>5100009</v>
      </c>
      <c r="B105" s="91" t="n">
        <v>5</v>
      </c>
      <c r="C105" s="74" t="s">
        <v>1588</v>
      </c>
      <c r="D105" s="74" t="s">
        <v>1659</v>
      </c>
      <c r="E105" s="6" t="s">
        <v>1551</v>
      </c>
      <c r="F105" s="74" t="s">
        <v>1555</v>
      </c>
      <c r="G105" s="74" t="s">
        <v>1559</v>
      </c>
      <c r="H105" s="8" t="n">
        <v>20800</v>
      </c>
      <c r="I105" s="6" t="s">
        <v>875</v>
      </c>
      <c r="J105" s="12" t="s">
        <v>1557</v>
      </c>
      <c r="K105" s="78"/>
      <c r="L105" s="6" t="str">
        <f aca="false">IF(K105="",I105,K105)</f>
        <v>RPA</v>
      </c>
      <c r="M105" s="6"/>
    </row>
    <row r="106" customFormat="false" ht="15" hidden="false" customHeight="false" outlineLevel="0" collapsed="false">
      <c r="A106" s="74" t="n">
        <v>5100009</v>
      </c>
      <c r="B106" s="91" t="n">
        <v>5</v>
      </c>
      <c r="C106" s="74" t="s">
        <v>1588</v>
      </c>
      <c r="D106" s="74" t="s">
        <v>1659</v>
      </c>
      <c r="E106" s="6" t="s">
        <v>1551</v>
      </c>
      <c r="F106" s="74" t="s">
        <v>1555</v>
      </c>
      <c r="G106" s="74" t="s">
        <v>1560</v>
      </c>
      <c r="H106" s="8" t="n">
        <v>243990</v>
      </c>
      <c r="I106" s="6" t="s">
        <v>875</v>
      </c>
      <c r="J106" s="12" t="s">
        <v>1557</v>
      </c>
      <c r="K106" s="78"/>
      <c r="L106" s="6" t="str">
        <f aca="false">IF(K106="",I106,K106)</f>
        <v>RPA</v>
      </c>
      <c r="M106" s="6"/>
    </row>
    <row r="107" customFormat="false" ht="15" hidden="false" customHeight="false" outlineLevel="0" collapsed="false">
      <c r="A107" s="74" t="n">
        <v>5100009</v>
      </c>
      <c r="B107" s="91" t="n">
        <v>5</v>
      </c>
      <c r="C107" s="74" t="s">
        <v>1660</v>
      </c>
      <c r="D107" s="74" t="s">
        <v>1661</v>
      </c>
      <c r="E107" s="6" t="s">
        <v>1551</v>
      </c>
      <c r="F107" s="74" t="s">
        <v>1555</v>
      </c>
      <c r="G107" s="74" t="s">
        <v>1559</v>
      </c>
      <c r="H107" s="8" t="n">
        <v>59800</v>
      </c>
      <c r="I107" s="6" t="s">
        <v>875</v>
      </c>
      <c r="J107" s="12" t="s">
        <v>1557</v>
      </c>
      <c r="K107" s="78"/>
      <c r="L107" s="6" t="str">
        <f aca="false">IF(K107="",I107,K107)</f>
        <v>RPA</v>
      </c>
      <c r="M107" s="6"/>
    </row>
    <row r="108" customFormat="false" ht="15" hidden="false" customHeight="false" outlineLevel="0" collapsed="false">
      <c r="A108" s="74" t="n">
        <v>5100009</v>
      </c>
      <c r="B108" s="91" t="n">
        <v>5</v>
      </c>
      <c r="C108" s="74" t="s">
        <v>1660</v>
      </c>
      <c r="D108" s="74" t="s">
        <v>1661</v>
      </c>
      <c r="E108" s="6" t="s">
        <v>1551</v>
      </c>
      <c r="F108" s="74" t="s">
        <v>1555</v>
      </c>
      <c r="G108" s="74" t="s">
        <v>1560</v>
      </c>
      <c r="H108" s="8" t="n">
        <v>1012935</v>
      </c>
      <c r="I108" s="6" t="s">
        <v>875</v>
      </c>
      <c r="J108" s="12" t="s">
        <v>1557</v>
      </c>
      <c r="K108" s="78"/>
      <c r="L108" s="6" t="str">
        <f aca="false">IF(K108="",I108,K108)</f>
        <v>RPA</v>
      </c>
      <c r="M108" s="6"/>
    </row>
    <row r="109" customFormat="false" ht="15" hidden="false" customHeight="false" outlineLevel="0" collapsed="false">
      <c r="A109" s="74" t="n">
        <v>5100009</v>
      </c>
      <c r="B109" s="91" t="n">
        <v>5</v>
      </c>
      <c r="C109" s="74" t="s">
        <v>1660</v>
      </c>
      <c r="D109" s="74" t="s">
        <v>1661</v>
      </c>
      <c r="E109" s="6" t="s">
        <v>1551</v>
      </c>
      <c r="F109" s="74" t="s">
        <v>1555</v>
      </c>
      <c r="G109" s="74" t="s">
        <v>1658</v>
      </c>
      <c r="H109" s="8" t="n">
        <v>371409.5</v>
      </c>
      <c r="I109" s="6" t="s">
        <v>875</v>
      </c>
      <c r="J109" s="12" t="s">
        <v>1557</v>
      </c>
      <c r="K109" s="78"/>
      <c r="L109" s="6" t="str">
        <f aca="false">IF(K109="",I109,K109)</f>
        <v>RPA</v>
      </c>
      <c r="M109" s="6"/>
    </row>
    <row r="110" customFormat="false" ht="15" hidden="false" customHeight="false" outlineLevel="0" collapsed="false">
      <c r="A110" s="74" t="n">
        <v>5100009</v>
      </c>
      <c r="B110" s="91" t="n">
        <v>5</v>
      </c>
      <c r="C110" s="74" t="s">
        <v>1620</v>
      </c>
      <c r="D110" s="74" t="s">
        <v>1662</v>
      </c>
      <c r="E110" s="6" t="s">
        <v>1551</v>
      </c>
      <c r="F110" s="74" t="s">
        <v>1562</v>
      </c>
      <c r="G110" s="74" t="s">
        <v>1663</v>
      </c>
      <c r="H110" s="8" t="n">
        <v>142130</v>
      </c>
      <c r="I110" s="6" t="s">
        <v>875</v>
      </c>
      <c r="J110" s="12" t="s">
        <v>1564</v>
      </c>
      <c r="K110" s="78"/>
      <c r="L110" s="6" t="str">
        <f aca="false">IF(K110="",I110,K110)</f>
        <v>RPA</v>
      </c>
      <c r="M110" s="6"/>
    </row>
    <row r="111" customFormat="false" ht="15" hidden="false" customHeight="false" outlineLevel="0" collapsed="false">
      <c r="A111" s="74" t="n">
        <v>5100009</v>
      </c>
      <c r="B111" s="91" t="n">
        <v>5</v>
      </c>
      <c r="C111" s="74" t="s">
        <v>1620</v>
      </c>
      <c r="D111" s="74" t="s">
        <v>1662</v>
      </c>
      <c r="E111" s="6" t="s">
        <v>1551</v>
      </c>
      <c r="F111" s="74" t="s">
        <v>1562</v>
      </c>
      <c r="G111" s="74" t="s">
        <v>1664</v>
      </c>
      <c r="H111" s="8" t="n">
        <v>2652580</v>
      </c>
      <c r="I111" s="6" t="s">
        <v>875</v>
      </c>
      <c r="J111" s="12" t="s">
        <v>1564</v>
      </c>
      <c r="K111" s="78"/>
      <c r="L111" s="6" t="str">
        <f aca="false">IF(K111="",I111,K111)</f>
        <v>RPA</v>
      </c>
      <c r="M111" s="6"/>
    </row>
    <row r="112" customFormat="false" ht="15" hidden="false" customHeight="false" outlineLevel="0" collapsed="false">
      <c r="A112" s="74" t="n">
        <v>5100009</v>
      </c>
      <c r="B112" s="91" t="n">
        <v>5</v>
      </c>
      <c r="C112" s="74" t="s">
        <v>1607</v>
      </c>
      <c r="D112" s="74" t="s">
        <v>1665</v>
      </c>
      <c r="E112" s="6" t="s">
        <v>1551</v>
      </c>
      <c r="F112" s="74" t="s">
        <v>1562</v>
      </c>
      <c r="G112" s="74" t="s">
        <v>1666</v>
      </c>
      <c r="H112" s="8" t="n">
        <v>132690</v>
      </c>
      <c r="I112" s="6" t="s">
        <v>875</v>
      </c>
      <c r="J112" s="12" t="s">
        <v>1564</v>
      </c>
      <c r="K112" s="78"/>
      <c r="L112" s="6" t="str">
        <f aca="false">IF(K112="",I112,K112)</f>
        <v>RPA</v>
      </c>
      <c r="M112" s="6"/>
    </row>
    <row r="113" customFormat="false" ht="15" hidden="false" customHeight="false" outlineLevel="0" collapsed="false">
      <c r="A113" s="74" t="n">
        <v>5100009</v>
      </c>
      <c r="B113" s="91" t="n">
        <v>5</v>
      </c>
      <c r="C113" s="74" t="s">
        <v>1607</v>
      </c>
      <c r="D113" s="74" t="s">
        <v>1665</v>
      </c>
      <c r="E113" s="6" t="s">
        <v>1551</v>
      </c>
      <c r="F113" s="74" t="s">
        <v>1562</v>
      </c>
      <c r="G113" s="74" t="s">
        <v>1667</v>
      </c>
      <c r="H113" s="8" t="n">
        <v>233190</v>
      </c>
      <c r="I113" s="6" t="s">
        <v>875</v>
      </c>
      <c r="J113" s="12" t="s">
        <v>1564</v>
      </c>
      <c r="K113" s="78"/>
      <c r="L113" s="6" t="str">
        <f aca="false">IF(K113="",I113,K113)</f>
        <v>RPA</v>
      </c>
      <c r="M113" s="6"/>
    </row>
    <row r="114" customFormat="false" ht="15" hidden="false" customHeight="false" outlineLevel="0" collapsed="false">
      <c r="A114" s="74" t="n">
        <v>5100009</v>
      </c>
      <c r="B114" s="91" t="n">
        <v>5</v>
      </c>
      <c r="C114" s="74" t="s">
        <v>1668</v>
      </c>
      <c r="D114" s="74" t="s">
        <v>1669</v>
      </c>
      <c r="E114" s="6" t="s">
        <v>1551</v>
      </c>
      <c r="F114" s="74" t="s">
        <v>1562</v>
      </c>
      <c r="G114" s="74" t="s">
        <v>1670</v>
      </c>
      <c r="H114" s="8" t="n">
        <v>1120830</v>
      </c>
      <c r="I114" s="6" t="s">
        <v>875</v>
      </c>
      <c r="J114" s="12" t="s">
        <v>1564</v>
      </c>
      <c r="K114" s="78"/>
      <c r="L114" s="6" t="str">
        <f aca="false">IF(K114="",I114,K114)</f>
        <v>RPA</v>
      </c>
      <c r="M114" s="6"/>
    </row>
    <row r="115" customFormat="false" ht="15" hidden="false" customHeight="false" outlineLevel="0" collapsed="false">
      <c r="A115" s="74" t="n">
        <v>5100009</v>
      </c>
      <c r="B115" s="91" t="n">
        <v>5</v>
      </c>
      <c r="C115" s="74" t="s">
        <v>1668</v>
      </c>
      <c r="D115" s="74" t="s">
        <v>1671</v>
      </c>
      <c r="E115" s="6" t="s">
        <v>1551</v>
      </c>
      <c r="F115" s="74" t="s">
        <v>1562</v>
      </c>
      <c r="G115" s="74" t="s">
        <v>1672</v>
      </c>
      <c r="H115" s="8" t="n">
        <v>169400</v>
      </c>
      <c r="I115" s="6" t="s">
        <v>875</v>
      </c>
      <c r="J115" s="12" t="s">
        <v>1564</v>
      </c>
      <c r="K115" s="78"/>
      <c r="L115" s="6" t="str">
        <f aca="false">IF(K115="",I115,K115)</f>
        <v>RPA</v>
      </c>
      <c r="M115" s="6"/>
    </row>
    <row r="116" customFormat="false" ht="15" hidden="false" customHeight="false" outlineLevel="0" collapsed="false">
      <c r="A116" s="74" t="n">
        <v>5100009</v>
      </c>
      <c r="B116" s="91" t="n">
        <v>5</v>
      </c>
      <c r="C116" s="74" t="s">
        <v>1668</v>
      </c>
      <c r="D116" s="74" t="s">
        <v>1671</v>
      </c>
      <c r="E116" s="6" t="s">
        <v>1551</v>
      </c>
      <c r="F116" s="74" t="s">
        <v>1562</v>
      </c>
      <c r="G116" s="74" t="s">
        <v>1673</v>
      </c>
      <c r="H116" s="8" t="n">
        <v>494050</v>
      </c>
      <c r="I116" s="6" t="s">
        <v>875</v>
      </c>
      <c r="J116" s="12" t="s">
        <v>1564</v>
      </c>
      <c r="K116" s="78"/>
      <c r="L116" s="6" t="str">
        <f aca="false">IF(K116="",I116,K116)</f>
        <v>RPA</v>
      </c>
      <c r="M116" s="6"/>
    </row>
    <row r="117" customFormat="false" ht="15" hidden="false" customHeight="false" outlineLevel="0" collapsed="false">
      <c r="A117" s="74" t="n">
        <v>5100009</v>
      </c>
      <c r="B117" s="91" t="n">
        <v>5</v>
      </c>
      <c r="C117" s="74" t="s">
        <v>1668</v>
      </c>
      <c r="D117" s="74" t="s">
        <v>1671</v>
      </c>
      <c r="E117" s="6" t="s">
        <v>1551</v>
      </c>
      <c r="F117" s="74" t="s">
        <v>1562</v>
      </c>
      <c r="G117" s="74" t="s">
        <v>1674</v>
      </c>
      <c r="H117" s="8" t="n">
        <v>2001130</v>
      </c>
      <c r="I117" s="6" t="s">
        <v>875</v>
      </c>
      <c r="J117" s="12" t="s">
        <v>1564</v>
      </c>
      <c r="K117" s="78"/>
      <c r="L117" s="6" t="str">
        <f aca="false">IF(K117="",I117,K117)</f>
        <v>RPA</v>
      </c>
      <c r="M117" s="6"/>
    </row>
    <row r="118" customFormat="false" ht="15" hidden="false" customHeight="false" outlineLevel="0" collapsed="false">
      <c r="A118" s="74" t="n">
        <v>5100009</v>
      </c>
      <c r="B118" s="91" t="n">
        <v>5</v>
      </c>
      <c r="C118" s="74" t="s">
        <v>1668</v>
      </c>
      <c r="D118" s="74" t="s">
        <v>1671</v>
      </c>
      <c r="E118" s="6" t="s">
        <v>1551</v>
      </c>
      <c r="F118" s="74" t="s">
        <v>1562</v>
      </c>
      <c r="G118" s="74" t="s">
        <v>1675</v>
      </c>
      <c r="H118" s="8" t="n">
        <v>328290</v>
      </c>
      <c r="I118" s="6" t="s">
        <v>875</v>
      </c>
      <c r="J118" s="12" t="s">
        <v>1564</v>
      </c>
      <c r="K118" s="78"/>
      <c r="L118" s="6" t="str">
        <f aca="false">IF(K118="",I118,K118)</f>
        <v>RPA</v>
      </c>
      <c r="M118" s="6"/>
    </row>
    <row r="119" customFormat="false" ht="15" hidden="false" customHeight="false" outlineLevel="0" collapsed="false">
      <c r="A119" s="74" t="n">
        <v>5100009</v>
      </c>
      <c r="B119" s="91" t="n">
        <v>5</v>
      </c>
      <c r="C119" s="74" t="s">
        <v>1654</v>
      </c>
      <c r="D119" s="74" t="s">
        <v>1676</v>
      </c>
      <c r="E119" s="6" t="s">
        <v>1551</v>
      </c>
      <c r="F119" s="74" t="s">
        <v>1562</v>
      </c>
      <c r="G119" s="74" t="s">
        <v>1677</v>
      </c>
      <c r="H119" s="8" t="n">
        <v>1803190</v>
      </c>
      <c r="I119" s="6" t="s">
        <v>875</v>
      </c>
      <c r="J119" s="12" t="s">
        <v>1564</v>
      </c>
      <c r="K119" s="78"/>
      <c r="L119" s="6" t="str">
        <f aca="false">IF(K119="",I119,K119)</f>
        <v>RPA</v>
      </c>
      <c r="M119" s="6"/>
    </row>
    <row r="120" customFormat="false" ht="15" hidden="false" customHeight="false" outlineLevel="0" collapsed="false">
      <c r="A120" s="74" t="n">
        <v>5100009</v>
      </c>
      <c r="B120" s="91" t="n">
        <v>5</v>
      </c>
      <c r="C120" s="74" t="s">
        <v>1654</v>
      </c>
      <c r="D120" s="74" t="s">
        <v>1676</v>
      </c>
      <c r="E120" s="6" t="s">
        <v>1551</v>
      </c>
      <c r="F120" s="74" t="s">
        <v>1562</v>
      </c>
      <c r="G120" s="74" t="s">
        <v>1678</v>
      </c>
      <c r="H120" s="8" t="n">
        <v>2612200</v>
      </c>
      <c r="I120" s="6" t="s">
        <v>875</v>
      </c>
      <c r="J120" s="12" t="s">
        <v>1564</v>
      </c>
      <c r="K120" s="78"/>
      <c r="L120" s="6" t="str">
        <f aca="false">IF(K120="",I120,K120)</f>
        <v>RPA</v>
      </c>
      <c r="M120" s="6"/>
    </row>
    <row r="121" customFormat="false" ht="15" hidden="false" customHeight="false" outlineLevel="0" collapsed="false">
      <c r="A121" s="74" t="n">
        <v>5100009</v>
      </c>
      <c r="B121" s="91" t="n">
        <v>5</v>
      </c>
      <c r="C121" s="74" t="s">
        <v>1654</v>
      </c>
      <c r="D121" s="74" t="s">
        <v>1676</v>
      </c>
      <c r="E121" s="6" t="s">
        <v>1551</v>
      </c>
      <c r="F121" s="74" t="s">
        <v>1562</v>
      </c>
      <c r="G121" s="74" t="s">
        <v>1679</v>
      </c>
      <c r="H121" s="8" t="n">
        <v>1265650</v>
      </c>
      <c r="I121" s="6" t="s">
        <v>875</v>
      </c>
      <c r="J121" s="12" t="s">
        <v>1564</v>
      </c>
      <c r="K121" s="78"/>
      <c r="L121" s="6" t="str">
        <f aca="false">IF(K121="",I121,K121)</f>
        <v>RPA</v>
      </c>
      <c r="M121" s="6"/>
    </row>
    <row r="122" customFormat="false" ht="15" hidden="false" customHeight="false" outlineLevel="0" collapsed="false">
      <c r="A122" s="74" t="n">
        <v>5100009</v>
      </c>
      <c r="B122" s="91" t="n">
        <v>5</v>
      </c>
      <c r="C122" s="74" t="s">
        <v>1594</v>
      </c>
      <c r="D122" s="74" t="s">
        <v>1680</v>
      </c>
      <c r="E122" s="6" t="s">
        <v>1551</v>
      </c>
      <c r="F122" s="74" t="s">
        <v>1562</v>
      </c>
      <c r="G122" s="74" t="s">
        <v>1681</v>
      </c>
      <c r="H122" s="8" t="n">
        <v>1014740</v>
      </c>
      <c r="I122" s="6" t="s">
        <v>875</v>
      </c>
      <c r="J122" s="12" t="s">
        <v>1564</v>
      </c>
      <c r="K122" s="78"/>
      <c r="L122" s="6" t="str">
        <f aca="false">IF(K122="",I122,K122)</f>
        <v>RPA</v>
      </c>
      <c r="M122" s="6"/>
    </row>
    <row r="123" customFormat="false" ht="15" hidden="false" customHeight="false" outlineLevel="0" collapsed="false">
      <c r="A123" s="74" t="n">
        <v>5100009</v>
      </c>
      <c r="B123" s="91" t="n">
        <v>5</v>
      </c>
      <c r="C123" s="74" t="s">
        <v>1633</v>
      </c>
      <c r="D123" s="74" t="s">
        <v>1682</v>
      </c>
      <c r="E123" s="6" t="s">
        <v>1551</v>
      </c>
      <c r="F123" s="74" t="s">
        <v>1562</v>
      </c>
      <c r="G123" s="74" t="s">
        <v>1683</v>
      </c>
      <c r="H123" s="8" t="n">
        <v>1256110</v>
      </c>
      <c r="I123" s="6" t="s">
        <v>875</v>
      </c>
      <c r="J123" s="12" t="s">
        <v>1564</v>
      </c>
      <c r="K123" s="78"/>
      <c r="L123" s="6" t="str">
        <f aca="false">IF(K123="",I123,K123)</f>
        <v>RPA</v>
      </c>
      <c r="M123" s="6"/>
    </row>
    <row r="124" customFormat="false" ht="15" hidden="false" customHeight="false" outlineLevel="0" collapsed="false">
      <c r="A124" s="74" t="n">
        <v>5100009</v>
      </c>
      <c r="B124" s="91" t="n">
        <v>5</v>
      </c>
      <c r="C124" s="74" t="s">
        <v>1633</v>
      </c>
      <c r="D124" s="74" t="s">
        <v>1682</v>
      </c>
      <c r="E124" s="6" t="s">
        <v>1551</v>
      </c>
      <c r="F124" s="74" t="s">
        <v>1562</v>
      </c>
      <c r="G124" s="74" t="s">
        <v>1684</v>
      </c>
      <c r="H124" s="8" t="n">
        <v>41350</v>
      </c>
      <c r="I124" s="6" t="s">
        <v>875</v>
      </c>
      <c r="J124" s="12" t="s">
        <v>1564</v>
      </c>
      <c r="K124" s="78"/>
      <c r="L124" s="6" t="str">
        <f aca="false">IF(K124="",I124,K124)</f>
        <v>RPA</v>
      </c>
      <c r="M124" s="6"/>
    </row>
    <row r="125" customFormat="false" ht="15" hidden="false" customHeight="false" outlineLevel="0" collapsed="false">
      <c r="A125" s="74" t="n">
        <v>5100009</v>
      </c>
      <c r="B125" s="91" t="n">
        <v>5</v>
      </c>
      <c r="C125" s="74" t="s">
        <v>1588</v>
      </c>
      <c r="D125" s="74" t="s">
        <v>1685</v>
      </c>
      <c r="E125" s="6" t="s">
        <v>1551</v>
      </c>
      <c r="F125" s="74" t="s">
        <v>1562</v>
      </c>
      <c r="G125" s="74" t="s">
        <v>1686</v>
      </c>
      <c r="H125" s="8" t="n">
        <v>1071560</v>
      </c>
      <c r="I125" s="6" t="s">
        <v>875</v>
      </c>
      <c r="J125" s="12" t="s">
        <v>1564</v>
      </c>
      <c r="K125" s="78"/>
      <c r="L125" s="6" t="str">
        <f aca="false">IF(K125="",I125,K125)</f>
        <v>RPA</v>
      </c>
      <c r="M125" s="6"/>
    </row>
    <row r="126" customFormat="false" ht="15" hidden="false" customHeight="false" outlineLevel="0" collapsed="false">
      <c r="A126" s="74" t="n">
        <v>5100009</v>
      </c>
      <c r="B126" s="91" t="n">
        <v>5</v>
      </c>
      <c r="C126" s="74" t="s">
        <v>1588</v>
      </c>
      <c r="D126" s="74" t="s">
        <v>1685</v>
      </c>
      <c r="E126" s="6" t="s">
        <v>1551</v>
      </c>
      <c r="F126" s="74" t="s">
        <v>1562</v>
      </c>
      <c r="G126" s="74" t="s">
        <v>1687</v>
      </c>
      <c r="H126" s="8" t="n">
        <v>256350</v>
      </c>
      <c r="I126" s="6" t="s">
        <v>875</v>
      </c>
      <c r="J126" s="12" t="s">
        <v>1564</v>
      </c>
      <c r="K126" s="78"/>
      <c r="L126" s="6" t="str">
        <f aca="false">IF(K126="",I126,K126)</f>
        <v>RPA</v>
      </c>
      <c r="M126" s="6"/>
    </row>
    <row r="127" customFormat="false" ht="15" hidden="false" customHeight="false" outlineLevel="0" collapsed="false">
      <c r="A127" s="74" t="n">
        <v>5100009</v>
      </c>
      <c r="B127" s="91" t="n">
        <v>5</v>
      </c>
      <c r="C127" s="74" t="s">
        <v>1635</v>
      </c>
      <c r="D127" s="74" t="s">
        <v>1688</v>
      </c>
      <c r="E127" s="6" t="s">
        <v>1551</v>
      </c>
      <c r="F127" s="74" t="s">
        <v>1562</v>
      </c>
      <c r="G127" s="74" t="s">
        <v>1689</v>
      </c>
      <c r="H127" s="8" t="n">
        <v>1115320</v>
      </c>
      <c r="I127" s="6" t="s">
        <v>875</v>
      </c>
      <c r="J127" s="12" t="s">
        <v>1564</v>
      </c>
      <c r="K127" s="78"/>
      <c r="L127" s="6" t="str">
        <f aca="false">IF(K127="",I127,K127)</f>
        <v>RPA</v>
      </c>
      <c r="M127" s="6"/>
    </row>
    <row r="128" customFormat="false" ht="15" hidden="false" customHeight="false" outlineLevel="0" collapsed="false">
      <c r="A128" s="74" t="n">
        <v>5100009</v>
      </c>
      <c r="B128" s="91" t="n">
        <v>5</v>
      </c>
      <c r="C128" s="74" t="s">
        <v>1635</v>
      </c>
      <c r="D128" s="74" t="s">
        <v>1688</v>
      </c>
      <c r="E128" s="6" t="s">
        <v>1551</v>
      </c>
      <c r="F128" s="74" t="s">
        <v>1562</v>
      </c>
      <c r="G128" s="74" t="s">
        <v>1690</v>
      </c>
      <c r="H128" s="8" t="n">
        <v>986640</v>
      </c>
      <c r="I128" s="6" t="s">
        <v>875</v>
      </c>
      <c r="J128" s="12" t="s">
        <v>1564</v>
      </c>
      <c r="K128" s="78"/>
      <c r="L128" s="6" t="str">
        <f aca="false">IF(K128="",I128,K128)</f>
        <v>RPA</v>
      </c>
      <c r="M128" s="6"/>
    </row>
    <row r="129" customFormat="false" ht="15" hidden="false" customHeight="false" outlineLevel="0" collapsed="false">
      <c r="A129" s="74" t="n">
        <v>5100009</v>
      </c>
      <c r="B129" s="91" t="n">
        <v>5</v>
      </c>
      <c r="C129" s="74" t="s">
        <v>1642</v>
      </c>
      <c r="D129" s="74" t="s">
        <v>1691</v>
      </c>
      <c r="E129" s="6" t="s">
        <v>1551</v>
      </c>
      <c r="F129" s="74" t="s">
        <v>287</v>
      </c>
      <c r="G129" s="74" t="s">
        <v>1692</v>
      </c>
      <c r="H129" s="8" t="n">
        <v>1599360</v>
      </c>
      <c r="I129" s="6" t="s">
        <v>875</v>
      </c>
      <c r="J129" s="12" t="s">
        <v>1693</v>
      </c>
      <c r="K129" s="78"/>
      <c r="L129" s="6" t="str">
        <f aca="false">IF(K129="",I129,K129)</f>
        <v>RPA</v>
      </c>
      <c r="M129" s="6"/>
    </row>
    <row r="130" customFormat="false" ht="15" hidden="false" customHeight="false" outlineLevel="0" collapsed="false">
      <c r="A130" s="74" t="n">
        <v>5100009</v>
      </c>
      <c r="B130" s="91" t="n">
        <v>5</v>
      </c>
      <c r="C130" s="74" t="s">
        <v>1648</v>
      </c>
      <c r="D130" s="74" t="s">
        <v>1694</v>
      </c>
      <c r="E130" s="6" t="s">
        <v>1551</v>
      </c>
      <c r="F130" s="74" t="s">
        <v>287</v>
      </c>
      <c r="G130" s="74" t="s">
        <v>1695</v>
      </c>
      <c r="H130" s="8" t="n">
        <v>2285280</v>
      </c>
      <c r="I130" s="6" t="s">
        <v>875</v>
      </c>
      <c r="J130" s="12" t="s">
        <v>1693</v>
      </c>
      <c r="K130" s="78"/>
      <c r="L130" s="6" t="str">
        <f aca="false">IF(K130="",I130,K130)</f>
        <v>RPA</v>
      </c>
      <c r="M130" s="6"/>
    </row>
    <row r="131" customFormat="false" ht="15" hidden="false" customHeight="false" outlineLevel="0" collapsed="false">
      <c r="A131" s="74" t="n">
        <v>5100009</v>
      </c>
      <c r="B131" s="91" t="n">
        <v>5</v>
      </c>
      <c r="C131" s="74" t="s">
        <v>1660</v>
      </c>
      <c r="D131" s="74" t="s">
        <v>1696</v>
      </c>
      <c r="E131" s="6" t="s">
        <v>1551</v>
      </c>
      <c r="F131" s="74" t="s">
        <v>287</v>
      </c>
      <c r="G131" s="74" t="s">
        <v>1697</v>
      </c>
      <c r="H131" s="8" t="n">
        <v>2941520</v>
      </c>
      <c r="I131" s="6" t="s">
        <v>875</v>
      </c>
      <c r="J131" s="12" t="s">
        <v>1693</v>
      </c>
      <c r="K131" s="78"/>
      <c r="L131" s="6" t="str">
        <f aca="false">IF(K131="",I131,K131)</f>
        <v>RPA</v>
      </c>
      <c r="M131" s="6"/>
    </row>
    <row r="132" customFormat="false" ht="15" hidden="false" customHeight="false" outlineLevel="0" collapsed="false">
      <c r="A132" s="74" t="n">
        <v>5100009</v>
      </c>
      <c r="B132" s="91" t="n">
        <v>5</v>
      </c>
      <c r="C132" s="74" t="s">
        <v>1645</v>
      </c>
      <c r="D132" s="74" t="s">
        <v>1698</v>
      </c>
      <c r="E132" s="6" t="s">
        <v>1551</v>
      </c>
      <c r="F132" s="74" t="s">
        <v>287</v>
      </c>
      <c r="G132" s="74" t="s">
        <v>1699</v>
      </c>
      <c r="H132" s="8" t="n">
        <v>1622880</v>
      </c>
      <c r="I132" s="6" t="s">
        <v>875</v>
      </c>
      <c r="J132" s="12" t="s">
        <v>1693</v>
      </c>
      <c r="K132" s="78"/>
      <c r="L132" s="6" t="str">
        <f aca="false">IF(K132="",I132,K132)</f>
        <v>RPA</v>
      </c>
      <c r="M132" s="6"/>
    </row>
    <row r="133" customFormat="false" ht="15" hidden="false" customHeight="false" outlineLevel="0" collapsed="false">
      <c r="A133" s="74" t="n">
        <v>5100009</v>
      </c>
      <c r="B133" s="91" t="n">
        <v>5</v>
      </c>
      <c r="C133" s="74" t="s">
        <v>1645</v>
      </c>
      <c r="D133" s="74" t="s">
        <v>1698</v>
      </c>
      <c r="E133" s="6" t="s">
        <v>1551</v>
      </c>
      <c r="F133" s="74" t="s">
        <v>287</v>
      </c>
      <c r="G133" s="74" t="s">
        <v>1700</v>
      </c>
      <c r="H133" s="8" t="n">
        <v>1245760</v>
      </c>
      <c r="I133" s="6" t="s">
        <v>875</v>
      </c>
      <c r="J133" s="12" t="s">
        <v>1693</v>
      </c>
      <c r="K133" s="78"/>
      <c r="L133" s="6" t="str">
        <f aca="false">IF(K133="",I133,K133)</f>
        <v>RPA</v>
      </c>
      <c r="M133" s="6"/>
    </row>
    <row r="134" customFormat="false" ht="15" hidden="false" customHeight="false" outlineLevel="0" collapsed="false">
      <c r="A134" s="74" t="n">
        <v>5100009</v>
      </c>
      <c r="B134" s="91" t="n">
        <v>5</v>
      </c>
      <c r="C134" s="74" t="s">
        <v>1642</v>
      </c>
      <c r="D134" s="74" t="s">
        <v>1701</v>
      </c>
      <c r="E134" s="6" t="s">
        <v>1551</v>
      </c>
      <c r="F134" s="74" t="s">
        <v>1555</v>
      </c>
      <c r="G134" s="74" t="s">
        <v>1559</v>
      </c>
      <c r="H134" s="8" t="n">
        <v>15600</v>
      </c>
      <c r="I134" s="6" t="s">
        <v>875</v>
      </c>
      <c r="J134" s="12" t="s">
        <v>1557</v>
      </c>
      <c r="K134" s="78"/>
      <c r="L134" s="6" t="str">
        <f aca="false">IF(K134="",I134,K134)</f>
        <v>RPA</v>
      </c>
      <c r="M134" s="6"/>
    </row>
    <row r="135" customFormat="false" ht="15" hidden="false" customHeight="false" outlineLevel="0" collapsed="false">
      <c r="A135" s="74" t="n">
        <v>5100009</v>
      </c>
      <c r="B135" s="91" t="n">
        <v>5</v>
      </c>
      <c r="C135" s="74" t="s">
        <v>1642</v>
      </c>
      <c r="D135" s="74" t="s">
        <v>1701</v>
      </c>
      <c r="E135" s="6" t="s">
        <v>1551</v>
      </c>
      <c r="F135" s="74" t="s">
        <v>1555</v>
      </c>
      <c r="G135" s="74" t="s">
        <v>1560</v>
      </c>
      <c r="H135" s="8" t="n">
        <v>218865</v>
      </c>
      <c r="I135" s="6" t="s">
        <v>875</v>
      </c>
      <c r="J135" s="12" t="s">
        <v>1557</v>
      </c>
      <c r="K135" s="78"/>
      <c r="L135" s="6" t="str">
        <f aca="false">IF(K135="",I135,K135)</f>
        <v>RPA</v>
      </c>
      <c r="M135" s="6"/>
    </row>
    <row r="136" customFormat="false" ht="15" hidden="false" customHeight="false" outlineLevel="0" collapsed="false">
      <c r="A136" s="74" t="n">
        <v>5100009</v>
      </c>
      <c r="B136" s="91" t="n">
        <v>5</v>
      </c>
      <c r="C136" s="74" t="s">
        <v>1645</v>
      </c>
      <c r="D136" s="74" t="s">
        <v>1702</v>
      </c>
      <c r="E136" s="6" t="s">
        <v>1551</v>
      </c>
      <c r="F136" s="74" t="s">
        <v>1555</v>
      </c>
      <c r="G136" s="74" t="s">
        <v>1559</v>
      </c>
      <c r="H136" s="8" t="n">
        <v>39000</v>
      </c>
      <c r="I136" s="6" t="s">
        <v>875</v>
      </c>
      <c r="J136" s="12" t="s">
        <v>1557</v>
      </c>
      <c r="K136" s="78"/>
      <c r="L136" s="6" t="str">
        <f aca="false">IF(K136="",I136,K136)</f>
        <v>RPA</v>
      </c>
      <c r="M136" s="6"/>
    </row>
    <row r="137" customFormat="false" ht="15" hidden="false" customHeight="false" outlineLevel="0" collapsed="false">
      <c r="A137" s="74" t="n">
        <v>5100009</v>
      </c>
      <c r="B137" s="91" t="n">
        <v>5</v>
      </c>
      <c r="C137" s="74" t="s">
        <v>1645</v>
      </c>
      <c r="D137" s="74" t="s">
        <v>1702</v>
      </c>
      <c r="E137" s="6" t="s">
        <v>1551</v>
      </c>
      <c r="F137" s="74" t="s">
        <v>1555</v>
      </c>
      <c r="G137" s="74" t="s">
        <v>1560</v>
      </c>
      <c r="H137" s="8" t="n">
        <v>552495</v>
      </c>
      <c r="I137" s="6" t="s">
        <v>875</v>
      </c>
      <c r="J137" s="12" t="s">
        <v>1557</v>
      </c>
      <c r="K137" s="78"/>
      <c r="L137" s="6" t="str">
        <f aca="false">IF(K137="",I137,K137)</f>
        <v>RPA</v>
      </c>
      <c r="M137" s="6"/>
    </row>
    <row r="138" customFormat="false" ht="15" hidden="false" customHeight="false" outlineLevel="0" collapsed="false">
      <c r="A138" s="74" t="n">
        <v>5100002</v>
      </c>
      <c r="B138" s="91" t="n">
        <v>6</v>
      </c>
      <c r="C138" s="74" t="s">
        <v>1703</v>
      </c>
      <c r="D138" s="74" t="s">
        <v>1704</v>
      </c>
      <c r="E138" s="6" t="s">
        <v>1517</v>
      </c>
      <c r="F138" s="74" t="s">
        <v>1526</v>
      </c>
      <c r="G138" s="74" t="s">
        <v>1705</v>
      </c>
      <c r="H138" s="8" t="n">
        <v>17000000</v>
      </c>
      <c r="I138" s="6" t="s">
        <v>1519</v>
      </c>
      <c r="J138" s="12" t="s">
        <v>1528</v>
      </c>
      <c r="K138" s="78"/>
      <c r="L138" s="6" t="str">
        <f aca="false">IF(K138="",I138,K138)</f>
        <v>Shared</v>
      </c>
      <c r="M138" s="6"/>
    </row>
    <row r="139" customFormat="false" ht="15" hidden="false" customHeight="false" outlineLevel="0" collapsed="false">
      <c r="A139" s="74" t="n">
        <v>5100007</v>
      </c>
      <c r="B139" s="91" t="n">
        <v>6</v>
      </c>
      <c r="C139" s="74" t="s">
        <v>1706</v>
      </c>
      <c r="D139" s="74" t="s">
        <v>1707</v>
      </c>
      <c r="E139" s="6" t="s">
        <v>1517</v>
      </c>
      <c r="F139" s="74"/>
      <c r="G139" s="74" t="s">
        <v>1708</v>
      </c>
      <c r="H139" s="8" t="n">
        <v>294100</v>
      </c>
      <c r="I139" s="6" t="s">
        <v>1519</v>
      </c>
      <c r="J139" s="12" t="s">
        <v>1520</v>
      </c>
      <c r="K139" s="78"/>
      <c r="L139" s="6" t="str">
        <f aca="false">IF(K139="",I139,K139)</f>
        <v>Shared</v>
      </c>
      <c r="M139" s="6"/>
    </row>
    <row r="140" customFormat="false" ht="15" hidden="false" customHeight="false" outlineLevel="0" collapsed="false">
      <c r="A140" s="74" t="n">
        <v>5100007</v>
      </c>
      <c r="B140" s="91" t="n">
        <v>6</v>
      </c>
      <c r="C140" s="74" t="s">
        <v>1709</v>
      </c>
      <c r="D140" s="74" t="s">
        <v>1710</v>
      </c>
      <c r="E140" s="6" t="s">
        <v>1517</v>
      </c>
      <c r="F140" s="74" t="s">
        <v>1711</v>
      </c>
      <c r="G140" s="74" t="s">
        <v>1712</v>
      </c>
      <c r="H140" s="8" t="n">
        <v>2600000</v>
      </c>
      <c r="I140" s="6" t="s">
        <v>1519</v>
      </c>
      <c r="J140" s="12" t="s">
        <v>1544</v>
      </c>
      <c r="K140" s="78"/>
      <c r="L140" s="6" t="str">
        <f aca="false">IF(K140="",I140,K140)</f>
        <v>Shared</v>
      </c>
      <c r="M140" s="6"/>
    </row>
    <row r="141" customFormat="false" ht="15" hidden="false" customHeight="false" outlineLevel="0" collapsed="false">
      <c r="A141" s="74" t="n">
        <v>5100007</v>
      </c>
      <c r="B141" s="91" t="n">
        <v>6</v>
      </c>
      <c r="C141" s="74" t="s">
        <v>1713</v>
      </c>
      <c r="D141" s="74" t="s">
        <v>1714</v>
      </c>
      <c r="E141" s="6" t="s">
        <v>1517</v>
      </c>
      <c r="F141" s="74" t="s">
        <v>1598</v>
      </c>
      <c r="G141" s="74" t="s">
        <v>1603</v>
      </c>
      <c r="H141" s="8" t="n">
        <v>3500000</v>
      </c>
      <c r="I141" s="6" t="s">
        <v>875</v>
      </c>
      <c r="J141" s="12" t="s">
        <v>1600</v>
      </c>
      <c r="K141" s="78"/>
      <c r="L141" s="6" t="str">
        <f aca="false">IF(K141="",I141,K141)</f>
        <v>RPA</v>
      </c>
      <c r="M141" s="6"/>
    </row>
    <row r="142" customFormat="false" ht="15" hidden="false" customHeight="false" outlineLevel="0" collapsed="false">
      <c r="A142" s="74" t="n">
        <v>5100007</v>
      </c>
      <c r="B142" s="91" t="n">
        <v>6</v>
      </c>
      <c r="C142" s="74" t="s">
        <v>1713</v>
      </c>
      <c r="D142" s="74" t="s">
        <v>1715</v>
      </c>
      <c r="E142" s="6" t="s">
        <v>1517</v>
      </c>
      <c r="F142" s="74" t="s">
        <v>1598</v>
      </c>
      <c r="G142" s="74" t="s">
        <v>1716</v>
      </c>
      <c r="H142" s="8" t="n">
        <v>13200000</v>
      </c>
      <c r="I142" s="6" t="s">
        <v>875</v>
      </c>
      <c r="J142" s="12" t="s">
        <v>1600</v>
      </c>
      <c r="K142" s="78"/>
      <c r="L142" s="6" t="str">
        <f aca="false">IF(K142="",I142,K142)</f>
        <v>RPA</v>
      </c>
      <c r="M142" s="6"/>
    </row>
    <row r="143" customFormat="false" ht="15" hidden="false" customHeight="false" outlineLevel="0" collapsed="false">
      <c r="A143" s="74" t="n">
        <v>5100007</v>
      </c>
      <c r="B143" s="91" t="n">
        <v>6</v>
      </c>
      <c r="C143" s="74" t="s">
        <v>1717</v>
      </c>
      <c r="D143" s="74" t="s">
        <v>1718</v>
      </c>
      <c r="E143" s="6" t="s">
        <v>1517</v>
      </c>
      <c r="F143" s="74" t="s">
        <v>1598</v>
      </c>
      <c r="G143" s="74" t="s">
        <v>1719</v>
      </c>
      <c r="H143" s="8" t="n">
        <v>14700000</v>
      </c>
      <c r="I143" s="6" t="s">
        <v>875</v>
      </c>
      <c r="J143" s="12" t="s">
        <v>1600</v>
      </c>
      <c r="K143" s="78"/>
      <c r="L143" s="6" t="str">
        <f aca="false">IF(K143="",I143,K143)</f>
        <v>RPA</v>
      </c>
      <c r="M143" s="6"/>
    </row>
    <row r="144" customFormat="false" ht="15" hidden="false" customHeight="false" outlineLevel="0" collapsed="false">
      <c r="A144" s="74" t="n">
        <v>5100007</v>
      </c>
      <c r="B144" s="91" t="n">
        <v>6</v>
      </c>
      <c r="C144" s="74" t="s">
        <v>1720</v>
      </c>
      <c r="D144" s="74" t="s">
        <v>1721</v>
      </c>
      <c r="E144" s="6" t="s">
        <v>1517</v>
      </c>
      <c r="F144" s="74" t="s">
        <v>1722</v>
      </c>
      <c r="G144" s="74" t="s">
        <v>1723</v>
      </c>
      <c r="H144" s="8" t="n">
        <v>5500000</v>
      </c>
      <c r="I144" s="6" t="s">
        <v>875</v>
      </c>
      <c r="J144" s="12" t="s">
        <v>1600</v>
      </c>
      <c r="K144" s="78"/>
      <c r="L144" s="6" t="str">
        <f aca="false">IF(K144="",I144,K144)</f>
        <v>RPA</v>
      </c>
      <c r="M144" s="6"/>
    </row>
    <row r="145" customFormat="false" ht="15" hidden="false" customHeight="false" outlineLevel="0" collapsed="false">
      <c r="A145" s="74" t="n">
        <v>5100007</v>
      </c>
      <c r="B145" s="91" t="n">
        <v>6</v>
      </c>
      <c r="C145" s="74" t="s">
        <v>1724</v>
      </c>
      <c r="D145" s="74" t="s">
        <v>1725</v>
      </c>
      <c r="E145" s="6" t="s">
        <v>1517</v>
      </c>
      <c r="F145" s="74" t="s">
        <v>1722</v>
      </c>
      <c r="G145" s="74" t="s">
        <v>1726</v>
      </c>
      <c r="H145" s="8" t="n">
        <v>16750000</v>
      </c>
      <c r="I145" s="6" t="s">
        <v>875</v>
      </c>
      <c r="J145" s="12" t="s">
        <v>1600</v>
      </c>
      <c r="K145" s="78"/>
      <c r="L145" s="6" t="str">
        <f aca="false">IF(K145="",I145,K145)</f>
        <v>RPA</v>
      </c>
      <c r="M145" s="6"/>
    </row>
    <row r="146" customFormat="false" ht="15" hidden="false" customHeight="false" outlineLevel="0" collapsed="false">
      <c r="A146" s="74" t="n">
        <v>5100007</v>
      </c>
      <c r="B146" s="91" t="n">
        <v>6</v>
      </c>
      <c r="C146" s="74" t="s">
        <v>1706</v>
      </c>
      <c r="D146" s="74" t="s">
        <v>1727</v>
      </c>
      <c r="E146" s="6" t="s">
        <v>1517</v>
      </c>
      <c r="F146" s="74" t="s">
        <v>1542</v>
      </c>
      <c r="G146" s="74" t="s">
        <v>1728</v>
      </c>
      <c r="H146" s="8" t="n">
        <v>1300000</v>
      </c>
      <c r="I146" s="6" t="s">
        <v>1519</v>
      </c>
      <c r="J146" s="12" t="s">
        <v>1544</v>
      </c>
      <c r="K146" s="78"/>
      <c r="L146" s="6" t="str">
        <f aca="false">IF(K146="",I146,K146)</f>
        <v>Shared</v>
      </c>
      <c r="M146" s="6"/>
    </row>
    <row r="147" customFormat="false" ht="15" hidden="false" customHeight="false" outlineLevel="0" collapsed="false">
      <c r="A147" s="74" t="n">
        <v>5100007</v>
      </c>
      <c r="B147" s="91" t="n">
        <v>6</v>
      </c>
      <c r="C147" s="74" t="s">
        <v>1729</v>
      </c>
      <c r="D147" s="74" t="s">
        <v>1730</v>
      </c>
      <c r="E147" s="6" t="s">
        <v>1517</v>
      </c>
      <c r="F147" s="74" t="s">
        <v>1542</v>
      </c>
      <c r="G147" s="74" t="s">
        <v>1731</v>
      </c>
      <c r="H147" s="8" t="n">
        <v>1300000</v>
      </c>
      <c r="I147" s="6" t="s">
        <v>1519</v>
      </c>
      <c r="J147" s="12" t="s">
        <v>1544</v>
      </c>
      <c r="K147" s="78"/>
      <c r="L147" s="6" t="str">
        <f aca="false">IF(K147="",I147,K147)</f>
        <v>Shared</v>
      </c>
      <c r="M147" s="6"/>
    </row>
    <row r="148" customFormat="false" ht="15" hidden="false" customHeight="false" outlineLevel="0" collapsed="false">
      <c r="A148" s="74" t="n">
        <v>5100007</v>
      </c>
      <c r="B148" s="91" t="n">
        <v>6</v>
      </c>
      <c r="C148" s="74" t="s">
        <v>1729</v>
      </c>
      <c r="D148" s="74" t="s">
        <v>1732</v>
      </c>
      <c r="E148" s="6" t="s">
        <v>1517</v>
      </c>
      <c r="F148" s="74" t="s">
        <v>1722</v>
      </c>
      <c r="G148" s="74" t="s">
        <v>1733</v>
      </c>
      <c r="H148" s="8" t="n">
        <v>8400000</v>
      </c>
      <c r="I148" s="6" t="s">
        <v>875</v>
      </c>
      <c r="J148" s="12" t="s">
        <v>1600</v>
      </c>
      <c r="K148" s="78"/>
      <c r="L148" s="6" t="str">
        <f aca="false">IF(K148="",I148,K148)</f>
        <v>RPA</v>
      </c>
      <c r="M148" s="6"/>
    </row>
    <row r="149" customFormat="false" ht="15" hidden="false" customHeight="false" outlineLevel="0" collapsed="false">
      <c r="A149" s="74" t="n">
        <v>5100007</v>
      </c>
      <c r="B149" s="91" t="n">
        <v>6</v>
      </c>
      <c r="C149" s="74" t="s">
        <v>1734</v>
      </c>
      <c r="D149" s="74" t="s">
        <v>1735</v>
      </c>
      <c r="E149" s="6" t="s">
        <v>1517</v>
      </c>
      <c r="F149" s="74" t="s">
        <v>1598</v>
      </c>
      <c r="G149" s="74" t="s">
        <v>1736</v>
      </c>
      <c r="H149" s="8" t="n">
        <v>18000000</v>
      </c>
      <c r="I149" s="6" t="s">
        <v>875</v>
      </c>
      <c r="J149" s="12" t="s">
        <v>1600</v>
      </c>
      <c r="K149" s="78"/>
      <c r="L149" s="6" t="str">
        <f aca="false">IF(K149="",I149,K149)</f>
        <v>RPA</v>
      </c>
      <c r="M149" s="6"/>
    </row>
    <row r="150" customFormat="false" ht="15" hidden="false" customHeight="false" outlineLevel="0" collapsed="false">
      <c r="A150" s="74" t="n">
        <v>5100007</v>
      </c>
      <c r="B150" s="91" t="n">
        <v>6</v>
      </c>
      <c r="C150" s="74" t="s">
        <v>1737</v>
      </c>
      <c r="D150" s="74" t="s">
        <v>1738</v>
      </c>
      <c r="E150" s="6" t="s">
        <v>1517</v>
      </c>
      <c r="F150" s="74" t="s">
        <v>1612</v>
      </c>
      <c r="G150" s="74" t="s">
        <v>1739</v>
      </c>
      <c r="H150" s="8" t="n">
        <v>5400000</v>
      </c>
      <c r="I150" s="6" t="s">
        <v>1519</v>
      </c>
      <c r="J150" s="12" t="s">
        <v>1544</v>
      </c>
      <c r="K150" s="78"/>
      <c r="L150" s="6" t="str">
        <f aca="false">IF(K150="",I150,K150)</f>
        <v>Shared</v>
      </c>
      <c r="M150" s="6"/>
    </row>
    <row r="151" customFormat="false" ht="15" hidden="false" customHeight="false" outlineLevel="0" collapsed="false">
      <c r="A151" s="74" t="n">
        <v>5100007</v>
      </c>
      <c r="B151" s="91" t="n">
        <v>6</v>
      </c>
      <c r="C151" s="74" t="s">
        <v>1737</v>
      </c>
      <c r="D151" s="74" t="s">
        <v>1740</v>
      </c>
      <c r="E151" s="6" t="s">
        <v>1517</v>
      </c>
      <c r="F151" s="74" t="s">
        <v>1612</v>
      </c>
      <c r="G151" s="74" t="s">
        <v>1741</v>
      </c>
      <c r="H151" s="8" t="n">
        <v>6000000</v>
      </c>
      <c r="I151" s="6" t="s">
        <v>1519</v>
      </c>
      <c r="J151" s="12" t="s">
        <v>1544</v>
      </c>
      <c r="K151" s="78"/>
      <c r="L151" s="6" t="str">
        <f aca="false">IF(K151="",I151,K151)</f>
        <v>Shared</v>
      </c>
      <c r="M151" s="6"/>
    </row>
    <row r="152" customFormat="false" ht="15" hidden="false" customHeight="false" outlineLevel="0" collapsed="false">
      <c r="A152" s="74" t="n">
        <v>5100007</v>
      </c>
      <c r="B152" s="91" t="n">
        <v>6</v>
      </c>
      <c r="C152" s="74" t="s">
        <v>1742</v>
      </c>
      <c r="D152" s="74" t="s">
        <v>1743</v>
      </c>
      <c r="E152" s="6" t="s">
        <v>1517</v>
      </c>
      <c r="F152" s="74" t="s">
        <v>1598</v>
      </c>
      <c r="G152" s="74" t="s">
        <v>1744</v>
      </c>
      <c r="H152" s="8" t="n">
        <v>10000000</v>
      </c>
      <c r="I152" s="6" t="s">
        <v>875</v>
      </c>
      <c r="J152" s="12" t="s">
        <v>1600</v>
      </c>
      <c r="K152" s="78"/>
      <c r="L152" s="6" t="str">
        <f aca="false">IF(K152="",I152,K152)</f>
        <v>RPA</v>
      </c>
      <c r="M152" s="6"/>
    </row>
    <row r="153" customFormat="false" ht="15" hidden="false" customHeight="false" outlineLevel="0" collapsed="false">
      <c r="A153" s="74" t="n">
        <v>5100007</v>
      </c>
      <c r="B153" s="91" t="n">
        <v>6</v>
      </c>
      <c r="C153" s="74" t="s">
        <v>1742</v>
      </c>
      <c r="D153" s="74" t="s">
        <v>1745</v>
      </c>
      <c r="E153" s="6" t="s">
        <v>1517</v>
      </c>
      <c r="F153" s="74" t="s">
        <v>1542</v>
      </c>
      <c r="G153" s="74" t="s">
        <v>1746</v>
      </c>
      <c r="H153" s="8" t="n">
        <v>1300000</v>
      </c>
      <c r="I153" s="6" t="s">
        <v>1519</v>
      </c>
      <c r="J153" s="12" t="s">
        <v>1544</v>
      </c>
      <c r="K153" s="78"/>
      <c r="L153" s="6" t="str">
        <f aca="false">IF(K153="",I153,K153)</f>
        <v>Shared</v>
      </c>
      <c r="M153" s="6"/>
    </row>
    <row r="154" customFormat="false" ht="15" hidden="false" customHeight="false" outlineLevel="0" collapsed="false">
      <c r="A154" s="74" t="n">
        <v>5100007</v>
      </c>
      <c r="B154" s="91" t="n">
        <v>6</v>
      </c>
      <c r="C154" s="74" t="s">
        <v>1747</v>
      </c>
      <c r="D154" s="74" t="s">
        <v>1748</v>
      </c>
      <c r="E154" s="6" t="s">
        <v>1517</v>
      </c>
      <c r="F154" s="74" t="s">
        <v>1598</v>
      </c>
      <c r="G154" s="74" t="s">
        <v>1749</v>
      </c>
      <c r="H154" s="8" t="n">
        <v>30000000</v>
      </c>
      <c r="I154" s="6" t="s">
        <v>875</v>
      </c>
      <c r="J154" s="12" t="s">
        <v>1600</v>
      </c>
      <c r="K154" s="78"/>
      <c r="L154" s="6" t="str">
        <f aca="false">IF(K154="",I154,K154)</f>
        <v>RPA</v>
      </c>
      <c r="M154" s="6"/>
    </row>
    <row r="155" customFormat="false" ht="15" hidden="false" customHeight="false" outlineLevel="0" collapsed="false">
      <c r="A155" s="74" t="n">
        <v>5100009</v>
      </c>
      <c r="B155" s="91" t="n">
        <v>6</v>
      </c>
      <c r="C155" s="74" t="s">
        <v>1750</v>
      </c>
      <c r="D155" s="74" t="s">
        <v>1751</v>
      </c>
      <c r="E155" s="6" t="s">
        <v>1551</v>
      </c>
      <c r="F155" s="74"/>
      <c r="G155" s="74" t="s">
        <v>1752</v>
      </c>
      <c r="H155" s="8" t="n">
        <v>0.02</v>
      </c>
      <c r="I155" s="6" t="s">
        <v>875</v>
      </c>
      <c r="J155" s="12" t="s">
        <v>1625</v>
      </c>
      <c r="K155" s="78"/>
      <c r="L155" s="6" t="str">
        <f aca="false">IF(K155="",I155,K155)</f>
        <v>RPA</v>
      </c>
      <c r="M155" s="6"/>
    </row>
    <row r="156" customFormat="false" ht="15" hidden="false" customHeight="false" outlineLevel="0" collapsed="false">
      <c r="A156" s="74" t="n">
        <v>5100009</v>
      </c>
      <c r="B156" s="91" t="n">
        <v>6</v>
      </c>
      <c r="C156" s="74" t="s">
        <v>1709</v>
      </c>
      <c r="D156" s="74" t="s">
        <v>1753</v>
      </c>
      <c r="E156" s="6" t="s">
        <v>1551</v>
      </c>
      <c r="F156" s="74"/>
      <c r="G156" s="74" t="s">
        <v>1754</v>
      </c>
      <c r="H156" s="8" t="n">
        <v>-0.01</v>
      </c>
      <c r="I156" s="6" t="s">
        <v>875</v>
      </c>
      <c r="J156" s="12" t="s">
        <v>1625</v>
      </c>
      <c r="K156" s="78"/>
      <c r="L156" s="6" t="str">
        <f aca="false">IF(K156="",I156,K156)</f>
        <v>RPA</v>
      </c>
      <c r="M156" s="6"/>
    </row>
    <row r="157" customFormat="false" ht="15" hidden="false" customHeight="false" outlineLevel="0" collapsed="false">
      <c r="A157" s="74" t="n">
        <v>5100009</v>
      </c>
      <c r="B157" s="91" t="n">
        <v>6</v>
      </c>
      <c r="C157" s="74" t="s">
        <v>1703</v>
      </c>
      <c r="D157" s="74" t="s">
        <v>1755</v>
      </c>
      <c r="E157" s="6" t="s">
        <v>1551</v>
      </c>
      <c r="F157" s="74"/>
      <c r="G157" s="74" t="s">
        <v>1756</v>
      </c>
      <c r="H157" s="8" t="n">
        <v>-0.02</v>
      </c>
      <c r="I157" s="6" t="s">
        <v>875</v>
      </c>
      <c r="J157" s="12" t="s">
        <v>1625</v>
      </c>
      <c r="K157" s="78"/>
      <c r="L157" s="6" t="str">
        <f aca="false">IF(K157="",I157,K157)</f>
        <v>RPA</v>
      </c>
      <c r="M157" s="6"/>
    </row>
    <row r="158" customFormat="false" ht="15" hidden="false" customHeight="false" outlineLevel="0" collapsed="false">
      <c r="A158" s="74" t="n">
        <v>5100009</v>
      </c>
      <c r="B158" s="91" t="n">
        <v>6</v>
      </c>
      <c r="C158" s="74" t="s">
        <v>1757</v>
      </c>
      <c r="D158" s="74" t="s">
        <v>1758</v>
      </c>
      <c r="E158" s="6" t="s">
        <v>1551</v>
      </c>
      <c r="F158" s="74" t="s">
        <v>1555</v>
      </c>
      <c r="G158" s="74" t="s">
        <v>1559</v>
      </c>
      <c r="H158" s="8" t="n">
        <v>436800</v>
      </c>
      <c r="I158" s="6" t="s">
        <v>875</v>
      </c>
      <c r="J158" s="12" t="s">
        <v>1557</v>
      </c>
      <c r="K158" s="78"/>
      <c r="L158" s="6" t="str">
        <f aca="false">IF(K158="",I158,K158)</f>
        <v>RPA</v>
      </c>
      <c r="M158" s="6"/>
    </row>
    <row r="159" customFormat="false" ht="15" hidden="false" customHeight="false" outlineLevel="0" collapsed="false">
      <c r="A159" s="74" t="n">
        <v>5100009</v>
      </c>
      <c r="B159" s="91" t="n">
        <v>6</v>
      </c>
      <c r="C159" s="74" t="s">
        <v>1757</v>
      </c>
      <c r="D159" s="74" t="s">
        <v>1758</v>
      </c>
      <c r="E159" s="6" t="s">
        <v>1551</v>
      </c>
      <c r="F159" s="74" t="s">
        <v>1555</v>
      </c>
      <c r="G159" s="74" t="s">
        <v>1560</v>
      </c>
      <c r="H159" s="8" t="n">
        <v>4673575</v>
      </c>
      <c r="I159" s="6" t="s">
        <v>875</v>
      </c>
      <c r="J159" s="12" t="s">
        <v>1557</v>
      </c>
      <c r="K159" s="78"/>
      <c r="L159" s="6" t="str">
        <f aca="false">IF(K159="",I159,K159)</f>
        <v>RPA</v>
      </c>
      <c r="M159" s="6"/>
    </row>
    <row r="160" customFormat="false" ht="15" hidden="false" customHeight="false" outlineLevel="0" collapsed="false">
      <c r="A160" s="74" t="n">
        <v>5100009</v>
      </c>
      <c r="B160" s="91" t="n">
        <v>6</v>
      </c>
      <c r="C160" s="74" t="s">
        <v>1759</v>
      </c>
      <c r="D160" s="74" t="s">
        <v>1760</v>
      </c>
      <c r="E160" s="6" t="s">
        <v>1551</v>
      </c>
      <c r="F160" s="74" t="s">
        <v>1555</v>
      </c>
      <c r="G160" s="74" t="s">
        <v>1559</v>
      </c>
      <c r="H160" s="8" t="n">
        <v>364000</v>
      </c>
      <c r="I160" s="6" t="s">
        <v>875</v>
      </c>
      <c r="J160" s="12" t="s">
        <v>1557</v>
      </c>
      <c r="K160" s="78"/>
      <c r="L160" s="6" t="str">
        <f aca="false">IF(K160="",I160,K160)</f>
        <v>RPA</v>
      </c>
      <c r="M160" s="6"/>
    </row>
    <row r="161" customFormat="false" ht="15" hidden="false" customHeight="false" outlineLevel="0" collapsed="false">
      <c r="A161" s="74" t="n">
        <v>5100009</v>
      </c>
      <c r="B161" s="91" t="n">
        <v>6</v>
      </c>
      <c r="C161" s="74" t="s">
        <v>1759</v>
      </c>
      <c r="D161" s="74" t="s">
        <v>1760</v>
      </c>
      <c r="E161" s="6" t="s">
        <v>1551</v>
      </c>
      <c r="F161" s="74" t="s">
        <v>1555</v>
      </c>
      <c r="G161" s="74" t="s">
        <v>1560</v>
      </c>
      <c r="H161" s="8" t="n">
        <v>3768387.5</v>
      </c>
      <c r="I161" s="6" t="s">
        <v>875</v>
      </c>
      <c r="J161" s="12" t="s">
        <v>1557</v>
      </c>
      <c r="K161" s="78"/>
      <c r="L161" s="6" t="str">
        <f aca="false">IF(K161="",I161,K161)</f>
        <v>RPA</v>
      </c>
      <c r="M161" s="6"/>
    </row>
    <row r="162" customFormat="false" ht="15" hidden="false" customHeight="false" outlineLevel="0" collapsed="false">
      <c r="A162" s="74" t="n">
        <v>5100009</v>
      </c>
      <c r="B162" s="91" t="n">
        <v>6</v>
      </c>
      <c r="C162" s="74" t="s">
        <v>1717</v>
      </c>
      <c r="D162" s="74" t="s">
        <v>1761</v>
      </c>
      <c r="E162" s="6" t="s">
        <v>1551</v>
      </c>
      <c r="F162" s="74" t="s">
        <v>287</v>
      </c>
      <c r="G162" s="74" t="s">
        <v>1560</v>
      </c>
      <c r="H162" s="8" t="n">
        <v>1374400</v>
      </c>
      <c r="I162" s="6" t="s">
        <v>875</v>
      </c>
      <c r="J162" s="12" t="s">
        <v>1693</v>
      </c>
      <c r="K162" s="78"/>
      <c r="L162" s="6" t="str">
        <f aca="false">IF(K162="",I162,K162)</f>
        <v>RPA</v>
      </c>
      <c r="M162" s="6"/>
    </row>
    <row r="163" customFormat="false" ht="15" hidden="false" customHeight="false" outlineLevel="0" collapsed="false">
      <c r="A163" s="74" t="n">
        <v>5100009</v>
      </c>
      <c r="B163" s="91" t="n">
        <v>6</v>
      </c>
      <c r="C163" s="74" t="s">
        <v>1720</v>
      </c>
      <c r="D163" s="74" t="s">
        <v>1762</v>
      </c>
      <c r="E163" s="6" t="s">
        <v>1551</v>
      </c>
      <c r="F163" s="74" t="s">
        <v>287</v>
      </c>
      <c r="G163" s="74" t="s">
        <v>1560</v>
      </c>
      <c r="H163" s="8" t="n">
        <v>2261920</v>
      </c>
      <c r="I163" s="6" t="s">
        <v>875</v>
      </c>
      <c r="J163" s="12" t="s">
        <v>1693</v>
      </c>
      <c r="K163" s="78"/>
      <c r="L163" s="6" t="str">
        <f aca="false">IF(K163="",I163,K163)</f>
        <v>RPA</v>
      </c>
      <c r="M163" s="6"/>
    </row>
    <row r="164" customFormat="false" ht="15" hidden="false" customHeight="false" outlineLevel="0" collapsed="false">
      <c r="A164" s="74" t="n">
        <v>5100009</v>
      </c>
      <c r="B164" s="91" t="n">
        <v>6</v>
      </c>
      <c r="C164" s="74" t="s">
        <v>1763</v>
      </c>
      <c r="D164" s="74" t="s">
        <v>1764</v>
      </c>
      <c r="E164" s="6" t="s">
        <v>1551</v>
      </c>
      <c r="F164" s="74" t="s">
        <v>287</v>
      </c>
      <c r="G164" s="74" t="s">
        <v>1560</v>
      </c>
      <c r="H164" s="8" t="n">
        <v>1992160</v>
      </c>
      <c r="I164" s="6" t="s">
        <v>875</v>
      </c>
      <c r="J164" s="12" t="s">
        <v>1693</v>
      </c>
      <c r="K164" s="78"/>
      <c r="L164" s="6" t="str">
        <f aca="false">IF(K164="",I164,K164)</f>
        <v>RPA</v>
      </c>
      <c r="M164" s="6"/>
    </row>
    <row r="165" customFormat="false" ht="15" hidden="false" customHeight="false" outlineLevel="0" collapsed="false">
      <c r="A165" s="74" t="n">
        <v>5100009</v>
      </c>
      <c r="B165" s="91" t="n">
        <v>6</v>
      </c>
      <c r="C165" s="74" t="s">
        <v>1713</v>
      </c>
      <c r="D165" s="74" t="s">
        <v>1765</v>
      </c>
      <c r="E165" s="6" t="s">
        <v>1551</v>
      </c>
      <c r="F165" s="74" t="s">
        <v>287</v>
      </c>
      <c r="G165" s="74" t="s">
        <v>1560</v>
      </c>
      <c r="H165" s="8" t="n">
        <v>1452640</v>
      </c>
      <c r="I165" s="6" t="s">
        <v>875</v>
      </c>
      <c r="J165" s="12" t="s">
        <v>1693</v>
      </c>
      <c r="K165" s="78"/>
      <c r="L165" s="6" t="str">
        <f aca="false">IF(K165="",I165,K165)</f>
        <v>RPA</v>
      </c>
      <c r="M165" s="6"/>
    </row>
    <row r="166" customFormat="false" ht="15" hidden="false" customHeight="false" outlineLevel="0" collapsed="false">
      <c r="A166" s="74" t="n">
        <v>5100009</v>
      </c>
      <c r="B166" s="91" t="n">
        <v>6</v>
      </c>
      <c r="C166" s="74" t="s">
        <v>1766</v>
      </c>
      <c r="D166" s="74" t="s">
        <v>1767</v>
      </c>
      <c r="E166" s="6" t="s">
        <v>1551</v>
      </c>
      <c r="F166" s="74" t="s">
        <v>1768</v>
      </c>
      <c r="G166" s="74" t="s">
        <v>1769</v>
      </c>
      <c r="H166" s="8" t="n">
        <v>5319187.5</v>
      </c>
      <c r="I166" s="6" t="s">
        <v>875</v>
      </c>
      <c r="J166" s="12" t="s">
        <v>1770</v>
      </c>
      <c r="K166" s="78"/>
      <c r="L166" s="6" t="str">
        <f aca="false">IF(K166="",I166,K166)</f>
        <v>RPA</v>
      </c>
      <c r="M166" s="6"/>
    </row>
    <row r="167" customFormat="false" ht="15" hidden="false" customHeight="false" outlineLevel="0" collapsed="false">
      <c r="A167" s="74" t="n">
        <v>5100009</v>
      </c>
      <c r="B167" s="91" t="n">
        <v>6</v>
      </c>
      <c r="C167" s="74" t="s">
        <v>1766</v>
      </c>
      <c r="D167" s="74" t="s">
        <v>1767</v>
      </c>
      <c r="E167" s="6" t="s">
        <v>1551</v>
      </c>
      <c r="F167" s="74" t="s">
        <v>1768</v>
      </c>
      <c r="G167" s="74" t="s">
        <v>1771</v>
      </c>
      <c r="H167" s="8" t="n">
        <v>844750</v>
      </c>
      <c r="I167" s="6" t="s">
        <v>875</v>
      </c>
      <c r="J167" s="12" t="s">
        <v>1770</v>
      </c>
      <c r="K167" s="78"/>
      <c r="L167" s="6" t="str">
        <f aca="false">IF(K167="",I167,K167)</f>
        <v>RPA</v>
      </c>
      <c r="M167" s="6"/>
    </row>
    <row r="168" customFormat="false" ht="15" hidden="false" customHeight="false" outlineLevel="0" collapsed="false">
      <c r="A168" s="74" t="n">
        <v>5100009</v>
      </c>
      <c r="B168" s="91" t="n">
        <v>6</v>
      </c>
      <c r="C168" s="74" t="s">
        <v>1766</v>
      </c>
      <c r="D168" s="74" t="s">
        <v>1767</v>
      </c>
      <c r="E168" s="6" t="s">
        <v>1551</v>
      </c>
      <c r="F168" s="74" t="s">
        <v>1768</v>
      </c>
      <c r="G168" s="74" t="s">
        <v>1772</v>
      </c>
      <c r="H168" s="8" t="n">
        <v>1481625</v>
      </c>
      <c r="I168" s="6" t="s">
        <v>875</v>
      </c>
      <c r="J168" s="12" t="s">
        <v>1770</v>
      </c>
      <c r="K168" s="78"/>
      <c r="L168" s="6" t="str">
        <f aca="false">IF(K168="",I168,K168)</f>
        <v>RPA</v>
      </c>
      <c r="M168" s="6"/>
    </row>
    <row r="169" customFormat="false" ht="15" hidden="false" customHeight="false" outlineLevel="0" collapsed="false">
      <c r="A169" s="74" t="n">
        <v>5100009</v>
      </c>
      <c r="B169" s="91" t="n">
        <v>6</v>
      </c>
      <c r="C169" s="74" t="s">
        <v>1773</v>
      </c>
      <c r="D169" s="74" t="s">
        <v>1774</v>
      </c>
      <c r="E169" s="6" t="s">
        <v>1551</v>
      </c>
      <c r="F169" s="74" t="s">
        <v>287</v>
      </c>
      <c r="G169" s="74" t="s">
        <v>1775</v>
      </c>
      <c r="H169" s="8" t="n">
        <v>1313120</v>
      </c>
      <c r="I169" s="6" t="s">
        <v>875</v>
      </c>
      <c r="J169" s="12" t="s">
        <v>1693</v>
      </c>
      <c r="K169" s="78"/>
      <c r="L169" s="6" t="str">
        <f aca="false">IF(K169="",I169,K169)</f>
        <v>RPA</v>
      </c>
      <c r="M169" s="6"/>
    </row>
    <row r="170" customFormat="false" ht="15" hidden="false" customHeight="false" outlineLevel="0" collapsed="false">
      <c r="A170" s="74" t="n">
        <v>5100009</v>
      </c>
      <c r="B170" s="91" t="n">
        <v>6</v>
      </c>
      <c r="C170" s="74" t="s">
        <v>1773</v>
      </c>
      <c r="D170" s="74" t="s">
        <v>1774</v>
      </c>
      <c r="E170" s="6" t="s">
        <v>1551</v>
      </c>
      <c r="F170" s="74" t="s">
        <v>287</v>
      </c>
      <c r="G170" s="74" t="s">
        <v>1776</v>
      </c>
      <c r="H170" s="8" t="n">
        <v>1564720</v>
      </c>
      <c r="I170" s="6" t="s">
        <v>875</v>
      </c>
      <c r="J170" s="12" t="s">
        <v>1693</v>
      </c>
      <c r="K170" s="78"/>
      <c r="L170" s="6" t="str">
        <f aca="false">IF(K170="",I170,K170)</f>
        <v>RPA</v>
      </c>
      <c r="M170" s="6"/>
    </row>
    <row r="171" customFormat="false" ht="15" hidden="false" customHeight="false" outlineLevel="0" collapsed="false">
      <c r="A171" s="74" t="n">
        <v>5100009</v>
      </c>
      <c r="B171" s="91" t="n">
        <v>6</v>
      </c>
      <c r="C171" s="74" t="s">
        <v>1773</v>
      </c>
      <c r="D171" s="74" t="s">
        <v>1774</v>
      </c>
      <c r="E171" s="6" t="s">
        <v>1551</v>
      </c>
      <c r="F171" s="74" t="s">
        <v>287</v>
      </c>
      <c r="G171" s="74" t="s">
        <v>1777</v>
      </c>
      <c r="H171" s="8" t="n">
        <v>1271920</v>
      </c>
      <c r="I171" s="6" t="s">
        <v>875</v>
      </c>
      <c r="J171" s="12" t="s">
        <v>1693</v>
      </c>
      <c r="K171" s="78"/>
      <c r="L171" s="6" t="str">
        <f aca="false">IF(K171="",I171,K171)</f>
        <v>RPA</v>
      </c>
      <c r="M171" s="6"/>
    </row>
    <row r="172" customFormat="false" ht="15" hidden="false" customHeight="false" outlineLevel="0" collapsed="false">
      <c r="A172" s="74" t="n">
        <v>5100009</v>
      </c>
      <c r="B172" s="91" t="n">
        <v>6</v>
      </c>
      <c r="C172" s="74" t="s">
        <v>1778</v>
      </c>
      <c r="D172" s="74" t="s">
        <v>1779</v>
      </c>
      <c r="E172" s="6" t="s">
        <v>1551</v>
      </c>
      <c r="F172" s="74" t="s">
        <v>287</v>
      </c>
      <c r="G172" s="74" t="s">
        <v>1780</v>
      </c>
      <c r="H172" s="8" t="n">
        <v>4444320</v>
      </c>
      <c r="I172" s="6" t="s">
        <v>875</v>
      </c>
      <c r="J172" s="12" t="s">
        <v>1693</v>
      </c>
      <c r="K172" s="78"/>
      <c r="L172" s="6" t="str">
        <f aca="false">IF(K172="",I172,K172)</f>
        <v>RPA</v>
      </c>
      <c r="M172" s="6"/>
    </row>
    <row r="173" customFormat="false" ht="15" hidden="false" customHeight="false" outlineLevel="0" collapsed="false">
      <c r="A173" s="74" t="n">
        <v>5100009</v>
      </c>
      <c r="B173" s="91" t="n">
        <v>6</v>
      </c>
      <c r="C173" s="74" t="s">
        <v>1706</v>
      </c>
      <c r="D173" s="74" t="s">
        <v>1781</v>
      </c>
      <c r="E173" s="6" t="s">
        <v>1551</v>
      </c>
      <c r="F173" s="74" t="s">
        <v>287</v>
      </c>
      <c r="G173" s="74" t="s">
        <v>1782</v>
      </c>
      <c r="H173" s="8" t="n">
        <v>2959200</v>
      </c>
      <c r="I173" s="6" t="s">
        <v>875</v>
      </c>
      <c r="J173" s="12" t="s">
        <v>1693</v>
      </c>
      <c r="K173" s="78"/>
      <c r="L173" s="6" t="str">
        <f aca="false">IF(K173="",I173,K173)</f>
        <v>RPA</v>
      </c>
      <c r="M173" s="6"/>
    </row>
    <row r="174" customFormat="false" ht="15" hidden="false" customHeight="false" outlineLevel="0" collapsed="false">
      <c r="A174" s="74" t="n">
        <v>5100009</v>
      </c>
      <c r="B174" s="91" t="n">
        <v>6</v>
      </c>
      <c r="C174" s="74" t="s">
        <v>1757</v>
      </c>
      <c r="D174" s="74" t="s">
        <v>1783</v>
      </c>
      <c r="E174" s="6" t="s">
        <v>1551</v>
      </c>
      <c r="F174" s="74" t="s">
        <v>287</v>
      </c>
      <c r="G174" s="74" t="s">
        <v>1784</v>
      </c>
      <c r="H174" s="8" t="n">
        <v>1293600</v>
      </c>
      <c r="I174" s="6" t="s">
        <v>875</v>
      </c>
      <c r="J174" s="12" t="s">
        <v>1693</v>
      </c>
      <c r="K174" s="78"/>
      <c r="L174" s="6" t="str">
        <f aca="false">IF(K174="",I174,K174)</f>
        <v>RPA</v>
      </c>
      <c r="M174" s="6"/>
    </row>
    <row r="175" customFormat="false" ht="15" hidden="false" customHeight="false" outlineLevel="0" collapsed="false">
      <c r="A175" s="74" t="n">
        <v>5100010</v>
      </c>
      <c r="B175" s="91" t="n">
        <v>6</v>
      </c>
      <c r="C175" s="74" t="s">
        <v>1729</v>
      </c>
      <c r="D175" s="74" t="s">
        <v>1785</v>
      </c>
      <c r="E175" s="6" t="s">
        <v>1517</v>
      </c>
      <c r="F175" s="74"/>
      <c r="G175" s="74" t="s">
        <v>1786</v>
      </c>
      <c r="H175" s="8" t="n">
        <v>600000</v>
      </c>
      <c r="I175" s="6" t="s">
        <v>1519</v>
      </c>
      <c r="J175" s="12" t="s">
        <v>1579</v>
      </c>
      <c r="K175" s="78"/>
      <c r="L175" s="6" t="str">
        <f aca="false">IF(K175="",I175,K175)</f>
        <v>Shared</v>
      </c>
      <c r="M175" s="6"/>
    </row>
    <row r="176" customFormat="false" ht="15" hidden="false" customHeight="false" outlineLevel="0" collapsed="false">
      <c r="A176" s="74" t="n">
        <v>5100002</v>
      </c>
      <c r="B176" s="91" t="n">
        <v>7</v>
      </c>
      <c r="C176" s="74" t="s">
        <v>1787</v>
      </c>
      <c r="D176" s="74" t="s">
        <v>1788</v>
      </c>
      <c r="E176" s="6" t="s">
        <v>1517</v>
      </c>
      <c r="F176" s="74" t="s">
        <v>1526</v>
      </c>
      <c r="G176" s="74" t="s">
        <v>1789</v>
      </c>
      <c r="H176" s="8" t="n">
        <v>17000000</v>
      </c>
      <c r="I176" s="6" t="s">
        <v>1519</v>
      </c>
      <c r="J176" s="12" t="s">
        <v>1528</v>
      </c>
      <c r="K176" s="78"/>
      <c r="L176" s="6" t="str">
        <f aca="false">IF(K176="",I176,K176)</f>
        <v>Shared</v>
      </c>
      <c r="M176" s="6"/>
    </row>
    <row r="177" customFormat="false" ht="15" hidden="false" customHeight="false" outlineLevel="0" collapsed="false">
      <c r="A177" s="74" t="n">
        <v>5100007</v>
      </c>
      <c r="B177" s="91" t="n">
        <v>7</v>
      </c>
      <c r="C177" s="74" t="s">
        <v>1790</v>
      </c>
      <c r="D177" s="74" t="s">
        <v>1791</v>
      </c>
      <c r="E177" s="6" t="s">
        <v>1517</v>
      </c>
      <c r="F177" s="74"/>
      <c r="G177" s="74" t="s">
        <v>1792</v>
      </c>
      <c r="H177" s="8" t="n">
        <v>139679</v>
      </c>
      <c r="I177" s="6" t="s">
        <v>1519</v>
      </c>
      <c r="J177" s="12" t="s">
        <v>1520</v>
      </c>
      <c r="K177" s="78"/>
      <c r="L177" s="6" t="str">
        <f aca="false">IF(K177="",I177,K177)</f>
        <v>Shared</v>
      </c>
      <c r="M177" s="6"/>
    </row>
    <row r="178" customFormat="false" ht="15" hidden="false" customHeight="false" outlineLevel="0" collapsed="false">
      <c r="A178" s="74" t="n">
        <v>5100007</v>
      </c>
      <c r="B178" s="91" t="n">
        <v>7</v>
      </c>
      <c r="C178" s="74" t="s">
        <v>1790</v>
      </c>
      <c r="D178" s="74" t="s">
        <v>1791</v>
      </c>
      <c r="E178" s="6" t="s">
        <v>1517</v>
      </c>
      <c r="F178" s="74"/>
      <c r="G178" s="74" t="s">
        <v>1793</v>
      </c>
      <c r="H178" s="8" t="n">
        <v>105879</v>
      </c>
      <c r="I178" s="6" t="s">
        <v>1519</v>
      </c>
      <c r="J178" s="12" t="s">
        <v>1520</v>
      </c>
      <c r="K178" s="78"/>
      <c r="L178" s="6" t="str">
        <f aca="false">IF(K178="",I178,K178)</f>
        <v>Shared</v>
      </c>
      <c r="M178" s="6"/>
    </row>
    <row r="179" customFormat="false" ht="15" hidden="false" customHeight="false" outlineLevel="0" collapsed="false">
      <c r="A179" s="74" t="n">
        <v>5100007</v>
      </c>
      <c r="B179" s="91" t="n">
        <v>7</v>
      </c>
      <c r="C179" s="74" t="s">
        <v>1794</v>
      </c>
      <c r="D179" s="74" t="s">
        <v>1795</v>
      </c>
      <c r="E179" s="6" t="s">
        <v>1517</v>
      </c>
      <c r="F179" s="74" t="s">
        <v>1598</v>
      </c>
      <c r="G179" s="74" t="s">
        <v>1796</v>
      </c>
      <c r="H179" s="8" t="n">
        <v>4200000</v>
      </c>
      <c r="I179" s="6" t="s">
        <v>875</v>
      </c>
      <c r="J179" s="12" t="s">
        <v>1600</v>
      </c>
      <c r="K179" s="78"/>
      <c r="L179" s="6" t="str">
        <f aca="false">IF(K179="",I179,K179)</f>
        <v>RPA</v>
      </c>
      <c r="M179" s="6"/>
    </row>
    <row r="180" customFormat="false" ht="15" hidden="false" customHeight="false" outlineLevel="0" collapsed="false">
      <c r="A180" s="74" t="n">
        <v>5100007</v>
      </c>
      <c r="B180" s="91" t="n">
        <v>7</v>
      </c>
      <c r="C180" s="74" t="s">
        <v>1797</v>
      </c>
      <c r="D180" s="74" t="s">
        <v>1798</v>
      </c>
      <c r="E180" s="6" t="s">
        <v>1517</v>
      </c>
      <c r="F180" s="74" t="s">
        <v>1598</v>
      </c>
      <c r="G180" s="74" t="s">
        <v>1749</v>
      </c>
      <c r="H180" s="8" t="n">
        <v>4200000</v>
      </c>
      <c r="I180" s="6" t="s">
        <v>875</v>
      </c>
      <c r="J180" s="12" t="s">
        <v>1600</v>
      </c>
      <c r="K180" s="78"/>
      <c r="L180" s="6" t="str">
        <f aca="false">IF(K180="",I180,K180)</f>
        <v>RPA</v>
      </c>
      <c r="M180" s="6"/>
    </row>
    <row r="181" customFormat="false" ht="15" hidden="false" customHeight="false" outlineLevel="0" collapsed="false">
      <c r="A181" s="74" t="n">
        <v>5100007</v>
      </c>
      <c r="B181" s="91" t="n">
        <v>7</v>
      </c>
      <c r="C181" s="74" t="s">
        <v>1799</v>
      </c>
      <c r="D181" s="74" t="s">
        <v>1800</v>
      </c>
      <c r="E181" s="6" t="s">
        <v>1517</v>
      </c>
      <c r="F181" s="74" t="s">
        <v>1801</v>
      </c>
      <c r="G181" s="74" t="s">
        <v>1802</v>
      </c>
      <c r="H181" s="8" t="n">
        <v>1100000</v>
      </c>
      <c r="I181" s="6" t="s">
        <v>1519</v>
      </c>
      <c r="J181" s="12" t="s">
        <v>1544</v>
      </c>
      <c r="K181" s="78"/>
      <c r="L181" s="6" t="str">
        <f aca="false">IF(K181="",I181,K181)</f>
        <v>Shared</v>
      </c>
      <c r="M181" s="6"/>
    </row>
    <row r="182" customFormat="false" ht="15" hidden="false" customHeight="false" outlineLevel="0" collapsed="false">
      <c r="A182" s="74" t="n">
        <v>5100007</v>
      </c>
      <c r="B182" s="91" t="n">
        <v>7</v>
      </c>
      <c r="C182" s="74" t="s">
        <v>1803</v>
      </c>
      <c r="D182" s="74" t="s">
        <v>1804</v>
      </c>
      <c r="E182" s="6" t="s">
        <v>1517</v>
      </c>
      <c r="F182" s="74" t="s">
        <v>1801</v>
      </c>
      <c r="G182" s="74" t="s">
        <v>1805</v>
      </c>
      <c r="H182" s="8" t="n">
        <v>1100000</v>
      </c>
      <c r="I182" s="6" t="s">
        <v>1519</v>
      </c>
      <c r="J182" s="12" t="s">
        <v>1544</v>
      </c>
      <c r="K182" s="78"/>
      <c r="L182" s="6" t="str">
        <f aca="false">IF(K182="",I182,K182)</f>
        <v>Shared</v>
      </c>
      <c r="M182" s="6"/>
    </row>
    <row r="183" customFormat="false" ht="15" hidden="false" customHeight="false" outlineLevel="0" collapsed="false">
      <c r="A183" s="74" t="n">
        <v>5100009</v>
      </c>
      <c r="B183" s="91" t="n">
        <v>7</v>
      </c>
      <c r="C183" s="74" t="s">
        <v>1797</v>
      </c>
      <c r="D183" s="74" t="s">
        <v>1806</v>
      </c>
      <c r="E183" s="6" t="s">
        <v>1551</v>
      </c>
      <c r="F183" s="74" t="s">
        <v>1555</v>
      </c>
      <c r="G183" s="74" t="s">
        <v>1807</v>
      </c>
      <c r="H183" s="8" t="n">
        <v>1681487.5</v>
      </c>
      <c r="I183" s="6" t="s">
        <v>875</v>
      </c>
      <c r="J183" s="12" t="s">
        <v>1557</v>
      </c>
      <c r="K183" s="78"/>
      <c r="L183" s="6" t="str">
        <f aca="false">IF(K183="",I183,K183)</f>
        <v>RPA</v>
      </c>
      <c r="M183" s="92" t="s">
        <v>1808</v>
      </c>
    </row>
    <row r="184" customFormat="false" ht="15" hidden="false" customHeight="false" outlineLevel="0" collapsed="false">
      <c r="A184" s="74" t="n">
        <v>5100009</v>
      </c>
      <c r="B184" s="91" t="n">
        <v>7</v>
      </c>
      <c r="C184" s="74" t="s">
        <v>1797</v>
      </c>
      <c r="D184" s="74" t="s">
        <v>1809</v>
      </c>
      <c r="E184" s="6" t="s">
        <v>1551</v>
      </c>
      <c r="F184" s="74" t="s">
        <v>1810</v>
      </c>
      <c r="G184" s="74" t="s">
        <v>1811</v>
      </c>
      <c r="H184" s="8" t="n">
        <v>7095690</v>
      </c>
      <c r="I184" s="6" t="s">
        <v>878</v>
      </c>
      <c r="J184" s="12" t="s">
        <v>1812</v>
      </c>
      <c r="K184" s="78"/>
      <c r="L184" s="6" t="str">
        <f aca="false">IF(K184="",I184,K184)</f>
        <v>Trading</v>
      </c>
      <c r="M184" s="92" t="s">
        <v>1808</v>
      </c>
    </row>
    <row r="185" customFormat="false" ht="15" hidden="false" customHeight="false" outlineLevel="0" collapsed="false">
      <c r="A185" s="74" t="n">
        <v>5100009</v>
      </c>
      <c r="B185" s="91" t="n">
        <v>7</v>
      </c>
      <c r="C185" s="74" t="s">
        <v>1797</v>
      </c>
      <c r="D185" s="74" t="s">
        <v>1813</v>
      </c>
      <c r="E185" s="6" t="s">
        <v>1551</v>
      </c>
      <c r="F185" s="74" t="s">
        <v>1810</v>
      </c>
      <c r="G185" s="74" t="s">
        <v>1814</v>
      </c>
      <c r="H185" s="8" t="n">
        <v>17234445</v>
      </c>
      <c r="I185" s="6" t="s">
        <v>878</v>
      </c>
      <c r="J185" s="12" t="s">
        <v>1812</v>
      </c>
      <c r="K185" s="78"/>
      <c r="L185" s="6" t="str">
        <f aca="false">IF(K185="",I185,K185)</f>
        <v>Trading</v>
      </c>
      <c r="M185" s="92" t="s">
        <v>1808</v>
      </c>
    </row>
    <row r="186" customFormat="false" ht="15" hidden="false" customHeight="false" outlineLevel="0" collapsed="false">
      <c r="A186" s="74" t="n">
        <v>5100009</v>
      </c>
      <c r="B186" s="91" t="n">
        <v>7</v>
      </c>
      <c r="C186" s="74" t="s">
        <v>1815</v>
      </c>
      <c r="D186" s="74" t="s">
        <v>1816</v>
      </c>
      <c r="E186" s="6" t="s">
        <v>1551</v>
      </c>
      <c r="F186" s="74" t="s">
        <v>1810</v>
      </c>
      <c r="G186" s="74" t="s">
        <v>1817</v>
      </c>
      <c r="H186" s="8" t="n">
        <v>9149565</v>
      </c>
      <c r="I186" s="6" t="s">
        <v>878</v>
      </c>
      <c r="J186" s="12" t="s">
        <v>1812</v>
      </c>
      <c r="K186" s="78"/>
      <c r="L186" s="6" t="str">
        <f aca="false">IF(K186="",I186,K186)</f>
        <v>Trading</v>
      </c>
      <c r="M186" s="92" t="s">
        <v>1808</v>
      </c>
    </row>
    <row r="187" customFormat="false" ht="15" hidden="false" customHeight="false" outlineLevel="0" collapsed="false">
      <c r="A187" s="74" t="n">
        <v>5100009</v>
      </c>
      <c r="B187" s="91" t="n">
        <v>7</v>
      </c>
      <c r="C187" s="74" t="s">
        <v>1818</v>
      </c>
      <c r="D187" s="74" t="s">
        <v>1819</v>
      </c>
      <c r="E187" s="6" t="s">
        <v>1551</v>
      </c>
      <c r="F187" s="74" t="s">
        <v>1810</v>
      </c>
      <c r="G187" s="74" t="s">
        <v>1820</v>
      </c>
      <c r="H187" s="8" t="n">
        <v>12594990</v>
      </c>
      <c r="I187" s="6" t="s">
        <v>878</v>
      </c>
      <c r="J187" s="12" t="s">
        <v>1812</v>
      </c>
      <c r="K187" s="78"/>
      <c r="L187" s="6" t="str">
        <f aca="false">IF(K187="",I187,K187)</f>
        <v>Trading</v>
      </c>
      <c r="M187" s="92" t="s">
        <v>1808</v>
      </c>
    </row>
    <row r="188" customFormat="false" ht="15" hidden="false" customHeight="false" outlineLevel="0" collapsed="false">
      <c r="A188" s="74" t="n">
        <v>5100009</v>
      </c>
      <c r="B188" s="91" t="n">
        <v>7</v>
      </c>
      <c r="C188" s="74" t="s">
        <v>1821</v>
      </c>
      <c r="D188" s="74" t="s">
        <v>1822</v>
      </c>
      <c r="E188" s="6" t="s">
        <v>1551</v>
      </c>
      <c r="F188" s="74" t="s">
        <v>1810</v>
      </c>
      <c r="G188" s="74" t="s">
        <v>1823</v>
      </c>
      <c r="H188" s="8" t="n">
        <v>13863150</v>
      </c>
      <c r="I188" s="6" t="s">
        <v>878</v>
      </c>
      <c r="J188" s="12" t="s">
        <v>1812</v>
      </c>
      <c r="K188" s="78"/>
      <c r="L188" s="6" t="str">
        <f aca="false">IF(K188="",I188,K188)</f>
        <v>Trading</v>
      </c>
      <c r="M188" s="92" t="s">
        <v>1808</v>
      </c>
    </row>
    <row r="189" customFormat="false" ht="15" hidden="false" customHeight="false" outlineLevel="0" collapsed="false">
      <c r="A189" s="74" t="n">
        <v>5100009</v>
      </c>
      <c r="B189" s="91" t="n">
        <v>7</v>
      </c>
      <c r="C189" s="74" t="s">
        <v>1824</v>
      </c>
      <c r="D189" s="74" t="s">
        <v>1825</v>
      </c>
      <c r="E189" s="6" t="s">
        <v>1551</v>
      </c>
      <c r="F189" s="74" t="s">
        <v>1810</v>
      </c>
      <c r="G189" s="74" t="s">
        <v>1826</v>
      </c>
      <c r="H189" s="8" t="n">
        <v>9229050</v>
      </c>
      <c r="I189" s="6" t="s">
        <v>878</v>
      </c>
      <c r="J189" s="12" t="s">
        <v>1812</v>
      </c>
      <c r="K189" s="78"/>
      <c r="L189" s="6" t="str">
        <f aca="false">IF(K189="",I189,K189)</f>
        <v>Trading</v>
      </c>
      <c r="M189" s="92" t="s">
        <v>1808</v>
      </c>
    </row>
    <row r="190" customFormat="false" ht="15" hidden="false" customHeight="false" outlineLevel="0" collapsed="false">
      <c r="A190" s="74" t="n">
        <v>5100009</v>
      </c>
      <c r="B190" s="91" t="n">
        <v>7</v>
      </c>
      <c r="C190" s="74" t="s">
        <v>1827</v>
      </c>
      <c r="D190" s="74" t="s">
        <v>1828</v>
      </c>
      <c r="E190" s="6" t="s">
        <v>1551</v>
      </c>
      <c r="F190" s="74" t="s">
        <v>1810</v>
      </c>
      <c r="G190" s="74" t="s">
        <v>1829</v>
      </c>
      <c r="H190" s="8" t="n">
        <v>13756545</v>
      </c>
      <c r="I190" s="6" t="s">
        <v>878</v>
      </c>
      <c r="J190" s="12" t="s">
        <v>1812</v>
      </c>
      <c r="K190" s="78"/>
      <c r="L190" s="6" t="str">
        <f aca="false">IF(K190="",I190,K190)</f>
        <v>Trading</v>
      </c>
      <c r="M190" s="92" t="s">
        <v>1808</v>
      </c>
    </row>
    <row r="191" customFormat="false" ht="15" hidden="false" customHeight="false" outlineLevel="0" collapsed="false">
      <c r="A191" s="74" t="n">
        <v>5100009</v>
      </c>
      <c r="B191" s="91" t="n">
        <v>7</v>
      </c>
      <c r="C191" s="74" t="s">
        <v>1830</v>
      </c>
      <c r="D191" s="74" t="s">
        <v>1831</v>
      </c>
      <c r="E191" s="6" t="s">
        <v>1551</v>
      </c>
      <c r="F191" s="74" t="s">
        <v>1768</v>
      </c>
      <c r="G191" s="74" t="s">
        <v>1832</v>
      </c>
      <c r="H191" s="8" t="n">
        <v>5874797</v>
      </c>
      <c r="I191" s="6" t="s">
        <v>875</v>
      </c>
      <c r="J191" s="12" t="s">
        <v>1770</v>
      </c>
      <c r="K191" s="78"/>
      <c r="L191" s="6" t="str">
        <f aca="false">IF(K191="",I191,K191)</f>
        <v>RPA</v>
      </c>
      <c r="M191" s="6"/>
    </row>
    <row r="192" customFormat="false" ht="15" hidden="false" customHeight="false" outlineLevel="0" collapsed="false">
      <c r="A192" s="74" t="n">
        <v>5100009</v>
      </c>
      <c r="B192" s="91" t="n">
        <v>7</v>
      </c>
      <c r="C192" s="74" t="s">
        <v>1833</v>
      </c>
      <c r="D192" s="74" t="s">
        <v>1834</v>
      </c>
      <c r="E192" s="6" t="s">
        <v>1551</v>
      </c>
      <c r="F192" s="74" t="s">
        <v>287</v>
      </c>
      <c r="G192" s="74" t="s">
        <v>1835</v>
      </c>
      <c r="H192" s="8" t="n">
        <v>1279200</v>
      </c>
      <c r="I192" s="6" t="s">
        <v>875</v>
      </c>
      <c r="J192" s="12" t="s">
        <v>1693</v>
      </c>
      <c r="K192" s="78"/>
      <c r="L192" s="6" t="str">
        <f aca="false">IF(K192="",I192,K192)</f>
        <v>RPA</v>
      </c>
      <c r="M192" s="6"/>
    </row>
    <row r="193" customFormat="false" ht="15" hidden="false" customHeight="false" outlineLevel="0" collapsed="false">
      <c r="A193" s="74" t="n">
        <v>5100002</v>
      </c>
      <c r="B193" s="91" t="n">
        <v>8</v>
      </c>
      <c r="C193" s="74" t="s">
        <v>1836</v>
      </c>
      <c r="D193" s="74" t="s">
        <v>1837</v>
      </c>
      <c r="E193" s="6" t="s">
        <v>1517</v>
      </c>
      <c r="F193" s="74" t="s">
        <v>1526</v>
      </c>
      <c r="G193" s="74" t="s">
        <v>1838</v>
      </c>
      <c r="H193" s="8" t="n">
        <v>17000000</v>
      </c>
      <c r="I193" s="6" t="s">
        <v>1519</v>
      </c>
      <c r="J193" s="12" t="s">
        <v>1528</v>
      </c>
      <c r="K193" s="78"/>
      <c r="L193" s="6" t="str">
        <f aca="false">IF(K193="",I193,K193)</f>
        <v>Shared</v>
      </c>
      <c r="M193" s="6"/>
    </row>
    <row r="194" customFormat="false" ht="15" hidden="false" customHeight="false" outlineLevel="0" collapsed="false">
      <c r="A194" s="74" t="n">
        <v>5100002</v>
      </c>
      <c r="B194" s="91" t="n">
        <v>8</v>
      </c>
      <c r="C194" s="74" t="s">
        <v>1839</v>
      </c>
      <c r="D194" s="74" t="s">
        <v>1840</v>
      </c>
      <c r="E194" s="6" t="s">
        <v>1517</v>
      </c>
      <c r="F194" s="74" t="s">
        <v>1598</v>
      </c>
      <c r="G194" s="74" t="s">
        <v>1841</v>
      </c>
      <c r="H194" s="8" t="n">
        <v>20000000</v>
      </c>
      <c r="I194" s="6" t="s">
        <v>875</v>
      </c>
      <c r="J194" s="12" t="s">
        <v>1842</v>
      </c>
      <c r="K194" s="78"/>
      <c r="L194" s="6" t="str">
        <f aca="false">IF(K194="",I194,K194)</f>
        <v>RPA</v>
      </c>
      <c r="M194" s="6"/>
    </row>
    <row r="195" customFormat="false" ht="15" hidden="false" customHeight="false" outlineLevel="0" collapsed="false">
      <c r="A195" s="74" t="n">
        <v>5100007</v>
      </c>
      <c r="B195" s="91" t="n">
        <v>8</v>
      </c>
      <c r="C195" s="74" t="s">
        <v>1843</v>
      </c>
      <c r="D195" s="74" t="s">
        <v>1844</v>
      </c>
      <c r="E195" s="6" t="s">
        <v>1517</v>
      </c>
      <c r="F195" s="74" t="s">
        <v>1598</v>
      </c>
      <c r="G195" s="74" t="s">
        <v>1845</v>
      </c>
      <c r="H195" s="8" t="n">
        <v>8800000</v>
      </c>
      <c r="I195" s="6" t="s">
        <v>875</v>
      </c>
      <c r="J195" s="12" t="s">
        <v>1600</v>
      </c>
      <c r="K195" s="78"/>
      <c r="L195" s="6" t="str">
        <f aca="false">IF(K195="",I195,K195)</f>
        <v>RPA</v>
      </c>
      <c r="M195" s="6"/>
    </row>
    <row r="196" customFormat="false" ht="15" hidden="false" customHeight="false" outlineLevel="0" collapsed="false">
      <c r="A196" s="74" t="n">
        <v>5100007</v>
      </c>
      <c r="B196" s="91" t="n">
        <v>8</v>
      </c>
      <c r="C196" s="74" t="s">
        <v>1846</v>
      </c>
      <c r="D196" s="74" t="s">
        <v>1847</v>
      </c>
      <c r="E196" s="6" t="s">
        <v>1517</v>
      </c>
      <c r="F196" s="74" t="s">
        <v>1598</v>
      </c>
      <c r="G196" s="74" t="s">
        <v>1848</v>
      </c>
      <c r="H196" s="8" t="n">
        <v>34000000</v>
      </c>
      <c r="I196" s="6" t="s">
        <v>875</v>
      </c>
      <c r="J196" s="12" t="s">
        <v>1600</v>
      </c>
      <c r="K196" s="78"/>
      <c r="L196" s="6" t="str">
        <f aca="false">IF(K196="",I196,K196)</f>
        <v>RPA</v>
      </c>
      <c r="M196" s="6"/>
    </row>
    <row r="197" customFormat="false" ht="15" hidden="false" customHeight="false" outlineLevel="0" collapsed="false">
      <c r="A197" s="74" t="n">
        <v>5100007</v>
      </c>
      <c r="B197" s="91" t="n">
        <v>8</v>
      </c>
      <c r="C197" s="74" t="s">
        <v>1849</v>
      </c>
      <c r="D197" s="74" t="s">
        <v>1850</v>
      </c>
      <c r="E197" s="6" t="s">
        <v>1517</v>
      </c>
      <c r="F197" s="74" t="s">
        <v>1542</v>
      </c>
      <c r="G197" s="74" t="s">
        <v>1851</v>
      </c>
      <c r="H197" s="8" t="n">
        <v>3500000</v>
      </c>
      <c r="I197" s="6" t="s">
        <v>875</v>
      </c>
      <c r="J197" s="12" t="s">
        <v>1852</v>
      </c>
      <c r="K197" s="78"/>
      <c r="L197" s="6" t="str">
        <f aca="false">IF(K197="",I197,K197)</f>
        <v>RPA</v>
      </c>
      <c r="M197" s="6"/>
    </row>
    <row r="198" customFormat="false" ht="15" hidden="false" customHeight="false" outlineLevel="0" collapsed="false">
      <c r="A198" s="74" t="n">
        <v>5100007</v>
      </c>
      <c r="B198" s="91" t="n">
        <v>8</v>
      </c>
      <c r="C198" s="74" t="s">
        <v>1849</v>
      </c>
      <c r="D198" s="74" t="s">
        <v>1850</v>
      </c>
      <c r="E198" s="6" t="s">
        <v>1517</v>
      </c>
      <c r="F198" s="74" t="s">
        <v>1542</v>
      </c>
      <c r="G198" s="74" t="s">
        <v>1853</v>
      </c>
      <c r="H198" s="8" t="n">
        <v>2500000</v>
      </c>
      <c r="I198" s="6" t="s">
        <v>875</v>
      </c>
      <c r="J198" s="12" t="s">
        <v>1852</v>
      </c>
      <c r="K198" s="78"/>
      <c r="L198" s="6" t="str">
        <f aca="false">IF(K198="",I198,K198)</f>
        <v>RPA</v>
      </c>
      <c r="M198" s="6"/>
    </row>
    <row r="199" customFormat="false" ht="15" hidden="false" customHeight="false" outlineLevel="0" collapsed="false">
      <c r="A199" s="74" t="n">
        <v>5100007</v>
      </c>
      <c r="B199" s="91" t="n">
        <v>8</v>
      </c>
      <c r="C199" s="74" t="s">
        <v>1849</v>
      </c>
      <c r="D199" s="74" t="s">
        <v>1854</v>
      </c>
      <c r="E199" s="6" t="s">
        <v>1517</v>
      </c>
      <c r="F199" s="74" t="s">
        <v>1598</v>
      </c>
      <c r="G199" s="74" t="s">
        <v>1855</v>
      </c>
      <c r="H199" s="8" t="n">
        <v>9000000</v>
      </c>
      <c r="I199" s="6" t="s">
        <v>875</v>
      </c>
      <c r="J199" s="12" t="s">
        <v>1600</v>
      </c>
      <c r="K199" s="78"/>
      <c r="L199" s="6" t="str">
        <f aca="false">IF(K199="",I199,K199)</f>
        <v>RPA</v>
      </c>
      <c r="M199" s="6"/>
    </row>
    <row r="200" customFormat="false" ht="15" hidden="false" customHeight="false" outlineLevel="0" collapsed="false">
      <c r="A200" s="74" t="n">
        <v>5100007</v>
      </c>
      <c r="B200" s="91" t="n">
        <v>8</v>
      </c>
      <c r="C200" s="74" t="s">
        <v>1849</v>
      </c>
      <c r="D200" s="74" t="s">
        <v>1291</v>
      </c>
      <c r="E200" s="6" t="s">
        <v>1517</v>
      </c>
      <c r="F200" s="74" t="s">
        <v>1292</v>
      </c>
      <c r="G200" s="74" t="s">
        <v>1855</v>
      </c>
      <c r="H200" s="8" t="n">
        <v>-9000000</v>
      </c>
      <c r="I200" s="6" t="s">
        <v>875</v>
      </c>
      <c r="J200" s="12" t="s">
        <v>1600</v>
      </c>
      <c r="K200" s="78"/>
      <c r="L200" s="6" t="str">
        <f aca="false">IF(K200="",I200,K200)</f>
        <v>RPA</v>
      </c>
      <c r="M200" s="6"/>
    </row>
    <row r="201" customFormat="false" ht="15" hidden="false" customHeight="false" outlineLevel="0" collapsed="false">
      <c r="A201" s="74" t="n">
        <v>5100007</v>
      </c>
      <c r="B201" s="91" t="n">
        <v>8</v>
      </c>
      <c r="C201" s="74" t="s">
        <v>1856</v>
      </c>
      <c r="D201" s="74" t="s">
        <v>1857</v>
      </c>
      <c r="E201" s="6" t="s">
        <v>1517</v>
      </c>
      <c r="F201" s="74" t="s">
        <v>1598</v>
      </c>
      <c r="G201" s="74" t="s">
        <v>1858</v>
      </c>
      <c r="H201" s="8" t="n">
        <v>24000000</v>
      </c>
      <c r="I201" s="6" t="s">
        <v>875</v>
      </c>
      <c r="J201" s="12" t="s">
        <v>1600</v>
      </c>
      <c r="K201" s="78"/>
      <c r="L201" s="6" t="str">
        <f aca="false">IF(K201="",I201,K201)</f>
        <v>RPA</v>
      </c>
      <c r="M201" s="6"/>
    </row>
    <row r="202" customFormat="false" ht="15" hidden="false" customHeight="false" outlineLevel="0" collapsed="false">
      <c r="A202" s="74" t="n">
        <v>5100007</v>
      </c>
      <c r="B202" s="91" t="n">
        <v>8</v>
      </c>
      <c r="C202" s="74" t="s">
        <v>1859</v>
      </c>
      <c r="D202" s="74" t="s">
        <v>1295</v>
      </c>
      <c r="E202" s="6" t="s">
        <v>1517</v>
      </c>
      <c r="F202" s="74" t="s">
        <v>1296</v>
      </c>
      <c r="G202" s="74" t="s">
        <v>1858</v>
      </c>
      <c r="H202" s="8" t="n">
        <v>-24000000</v>
      </c>
      <c r="I202" s="6" t="s">
        <v>875</v>
      </c>
      <c r="J202" s="12" t="s">
        <v>1600</v>
      </c>
      <c r="K202" s="78"/>
      <c r="L202" s="6" t="str">
        <f aca="false">IF(K202="",I202,K202)</f>
        <v>RPA</v>
      </c>
      <c r="M202" s="6"/>
    </row>
    <row r="203" customFormat="false" ht="15" hidden="false" customHeight="false" outlineLevel="0" collapsed="false">
      <c r="A203" s="74" t="n">
        <v>5100007</v>
      </c>
      <c r="B203" s="91" t="n">
        <v>8</v>
      </c>
      <c r="C203" s="74" t="s">
        <v>1860</v>
      </c>
      <c r="D203" s="74" t="s">
        <v>1861</v>
      </c>
      <c r="E203" s="6" t="s">
        <v>1517</v>
      </c>
      <c r="F203" s="74" t="s">
        <v>1598</v>
      </c>
      <c r="G203" s="74" t="s">
        <v>1855</v>
      </c>
      <c r="H203" s="8" t="n">
        <v>7000000</v>
      </c>
      <c r="I203" s="6" t="s">
        <v>875</v>
      </c>
      <c r="J203" s="12" t="s">
        <v>1600</v>
      </c>
      <c r="K203" s="78"/>
      <c r="L203" s="6" t="str">
        <f aca="false">IF(K203="",I203,K203)</f>
        <v>RPA</v>
      </c>
      <c r="M203" s="6"/>
    </row>
    <row r="204" customFormat="false" ht="15" hidden="false" customHeight="false" outlineLevel="0" collapsed="false">
      <c r="A204" s="74" t="n">
        <v>5100007</v>
      </c>
      <c r="B204" s="91" t="n">
        <v>8</v>
      </c>
      <c r="C204" s="74" t="s">
        <v>1860</v>
      </c>
      <c r="D204" s="74" t="s">
        <v>1299</v>
      </c>
      <c r="E204" s="6" t="s">
        <v>1517</v>
      </c>
      <c r="F204" s="74" t="s">
        <v>1300</v>
      </c>
      <c r="G204" s="74" t="s">
        <v>1855</v>
      </c>
      <c r="H204" s="8" t="n">
        <v>-7000000</v>
      </c>
      <c r="I204" s="6" t="s">
        <v>875</v>
      </c>
      <c r="J204" s="12" t="s">
        <v>1600</v>
      </c>
      <c r="K204" s="78"/>
      <c r="L204" s="6" t="str">
        <f aca="false">IF(K204="",I204,K204)</f>
        <v>RPA</v>
      </c>
      <c r="M204" s="6"/>
    </row>
    <row r="205" customFormat="false" ht="15" hidden="false" customHeight="false" outlineLevel="0" collapsed="false">
      <c r="A205" s="74" t="n">
        <v>5100007</v>
      </c>
      <c r="B205" s="91" t="n">
        <v>8</v>
      </c>
      <c r="C205" s="74" t="s">
        <v>1839</v>
      </c>
      <c r="D205" s="74" t="s">
        <v>1862</v>
      </c>
      <c r="E205" s="6" t="s">
        <v>1517</v>
      </c>
      <c r="F205" s="74" t="s">
        <v>1598</v>
      </c>
      <c r="G205" s="74" t="s">
        <v>1863</v>
      </c>
      <c r="H205" s="8" t="n">
        <v>18000000</v>
      </c>
      <c r="I205" s="6" t="s">
        <v>875</v>
      </c>
      <c r="J205" s="12" t="s">
        <v>1600</v>
      </c>
      <c r="K205" s="78"/>
      <c r="L205" s="6" t="str">
        <f aca="false">IF(K205="",I205,K205)</f>
        <v>RPA</v>
      </c>
      <c r="M205" s="6"/>
    </row>
    <row r="206" customFormat="false" ht="15" hidden="false" customHeight="false" outlineLevel="0" collapsed="false">
      <c r="A206" s="74" t="n">
        <v>5100007</v>
      </c>
      <c r="B206" s="91" t="n">
        <v>8</v>
      </c>
      <c r="C206" s="74" t="s">
        <v>1839</v>
      </c>
      <c r="D206" s="74" t="s">
        <v>1303</v>
      </c>
      <c r="E206" s="6" t="s">
        <v>1517</v>
      </c>
      <c r="F206" s="74" t="s">
        <v>1296</v>
      </c>
      <c r="G206" s="74" t="s">
        <v>1863</v>
      </c>
      <c r="H206" s="8" t="n">
        <v>-18000000</v>
      </c>
      <c r="I206" s="6" t="s">
        <v>875</v>
      </c>
      <c r="J206" s="12" t="s">
        <v>1600</v>
      </c>
      <c r="K206" s="78"/>
      <c r="L206" s="6" t="str">
        <f aca="false">IF(K206="",I206,K206)</f>
        <v>RPA</v>
      </c>
      <c r="M206" s="6"/>
    </row>
    <row r="207" customFormat="false" ht="15" hidden="false" customHeight="false" outlineLevel="0" collapsed="false">
      <c r="A207" s="74" t="n">
        <v>5100007</v>
      </c>
      <c r="B207" s="91" t="n">
        <v>8</v>
      </c>
      <c r="C207" s="74" t="s">
        <v>1864</v>
      </c>
      <c r="D207" s="74" t="s">
        <v>1865</v>
      </c>
      <c r="E207" s="6" t="s">
        <v>1517</v>
      </c>
      <c r="F207" s="74" t="s">
        <v>1598</v>
      </c>
      <c r="G207" s="74" t="s">
        <v>1866</v>
      </c>
      <c r="H207" s="8" t="n">
        <v>16000000</v>
      </c>
      <c r="I207" s="6" t="s">
        <v>875</v>
      </c>
      <c r="J207" s="12" t="s">
        <v>1600</v>
      </c>
      <c r="K207" s="78"/>
      <c r="L207" s="6" t="str">
        <f aca="false">IF(K207="",I207,K207)</f>
        <v>RPA</v>
      </c>
      <c r="M207" s="6"/>
    </row>
    <row r="208" customFormat="false" ht="15" hidden="false" customHeight="false" outlineLevel="0" collapsed="false">
      <c r="A208" s="74" t="n">
        <v>5100007</v>
      </c>
      <c r="B208" s="91" t="n">
        <v>8</v>
      </c>
      <c r="C208" s="74" t="s">
        <v>1867</v>
      </c>
      <c r="D208" s="74" t="s">
        <v>1868</v>
      </c>
      <c r="E208" s="6" t="s">
        <v>1517</v>
      </c>
      <c r="F208" s="74" t="s">
        <v>1598</v>
      </c>
      <c r="G208" s="74" t="s">
        <v>1866</v>
      </c>
      <c r="H208" s="8" t="n">
        <v>9000000</v>
      </c>
      <c r="I208" s="6" t="s">
        <v>875</v>
      </c>
      <c r="J208" s="12" t="s">
        <v>1600</v>
      </c>
      <c r="K208" s="78"/>
      <c r="L208" s="6" t="str">
        <f aca="false">IF(K208="",I208,K208)</f>
        <v>RPA</v>
      </c>
      <c r="M208" s="6"/>
    </row>
    <row r="209" customFormat="false" ht="15" hidden="false" customHeight="false" outlineLevel="0" collapsed="false">
      <c r="A209" s="74" t="n">
        <v>5100007</v>
      </c>
      <c r="B209" s="91" t="n">
        <v>8</v>
      </c>
      <c r="C209" s="74" t="s">
        <v>1864</v>
      </c>
      <c r="D209" s="74" t="s">
        <v>1306</v>
      </c>
      <c r="E209" s="6" t="s">
        <v>1517</v>
      </c>
      <c r="F209" s="74" t="s">
        <v>1296</v>
      </c>
      <c r="G209" s="74" t="s">
        <v>1866</v>
      </c>
      <c r="H209" s="8" t="n">
        <v>-25000000</v>
      </c>
      <c r="I209" s="6" t="s">
        <v>875</v>
      </c>
      <c r="J209" s="12" t="s">
        <v>1600</v>
      </c>
      <c r="K209" s="78"/>
      <c r="L209" s="6" t="str">
        <f aca="false">IF(K209="",I209,K209)</f>
        <v>RPA</v>
      </c>
      <c r="M209" s="6"/>
    </row>
    <row r="210" customFormat="false" ht="15" hidden="false" customHeight="false" outlineLevel="0" collapsed="false">
      <c r="A210" s="74" t="n">
        <v>5100007</v>
      </c>
      <c r="B210" s="91" t="n">
        <v>8</v>
      </c>
      <c r="C210" s="74" t="s">
        <v>1869</v>
      </c>
      <c r="D210" s="74" t="s">
        <v>1870</v>
      </c>
      <c r="E210" s="6" t="s">
        <v>1517</v>
      </c>
      <c r="F210" s="74" t="s">
        <v>1598</v>
      </c>
      <c r="G210" s="74" t="s">
        <v>1871</v>
      </c>
      <c r="H210" s="8" t="n">
        <v>9000000</v>
      </c>
      <c r="I210" s="6" t="s">
        <v>875</v>
      </c>
      <c r="J210" s="12" t="s">
        <v>1600</v>
      </c>
      <c r="K210" s="78"/>
      <c r="L210" s="6" t="str">
        <f aca="false">IF(K210="",I210,K210)</f>
        <v>RPA</v>
      </c>
      <c r="M210" s="6"/>
    </row>
    <row r="211" customFormat="false" ht="15" hidden="false" customHeight="false" outlineLevel="0" collapsed="false">
      <c r="A211" s="74" t="n">
        <v>5100007</v>
      </c>
      <c r="B211" s="91" t="n">
        <v>8</v>
      </c>
      <c r="C211" s="74" t="s">
        <v>1867</v>
      </c>
      <c r="D211" s="74" t="s">
        <v>1309</v>
      </c>
      <c r="E211" s="6" t="s">
        <v>1517</v>
      </c>
      <c r="F211" s="74" t="s">
        <v>1296</v>
      </c>
      <c r="G211" s="74" t="s">
        <v>1870</v>
      </c>
      <c r="H211" s="8" t="n">
        <v>-9000000</v>
      </c>
      <c r="I211" s="6" t="s">
        <v>875</v>
      </c>
      <c r="J211" s="12" t="s">
        <v>1600</v>
      </c>
      <c r="K211" s="78"/>
      <c r="L211" s="6" t="str">
        <f aca="false">IF(K211="",I211,K211)</f>
        <v>RPA</v>
      </c>
      <c r="M211" s="6"/>
    </row>
    <row r="212" customFormat="false" ht="15" hidden="false" customHeight="false" outlineLevel="0" collapsed="false">
      <c r="A212" s="74" t="n">
        <v>5100007</v>
      </c>
      <c r="B212" s="91" t="n">
        <v>8</v>
      </c>
      <c r="C212" s="74" t="s">
        <v>1872</v>
      </c>
      <c r="D212" s="74" t="s">
        <v>1873</v>
      </c>
      <c r="E212" s="6" t="s">
        <v>1517</v>
      </c>
      <c r="F212" s="74" t="s">
        <v>1598</v>
      </c>
      <c r="G212" s="74" t="s">
        <v>1874</v>
      </c>
      <c r="H212" s="8" t="n">
        <v>11000000</v>
      </c>
      <c r="I212" s="6" t="s">
        <v>875</v>
      </c>
      <c r="J212" s="12" t="s">
        <v>1600</v>
      </c>
      <c r="K212" s="78"/>
      <c r="L212" s="6" t="str">
        <f aca="false">IF(K212="",I212,K212)</f>
        <v>RPA</v>
      </c>
      <c r="M212" s="6"/>
    </row>
    <row r="213" customFormat="false" ht="15" hidden="false" customHeight="false" outlineLevel="0" collapsed="false">
      <c r="A213" s="74" t="n">
        <v>5100007</v>
      </c>
      <c r="B213" s="91" t="n">
        <v>8</v>
      </c>
      <c r="C213" s="74" t="s">
        <v>1875</v>
      </c>
      <c r="D213" s="74" t="s">
        <v>1876</v>
      </c>
      <c r="E213" s="6" t="s">
        <v>1517</v>
      </c>
      <c r="F213" s="74" t="s">
        <v>1598</v>
      </c>
      <c r="G213" s="74" t="s">
        <v>1841</v>
      </c>
      <c r="H213" s="8" t="n">
        <v>11000000</v>
      </c>
      <c r="I213" s="6" t="s">
        <v>875</v>
      </c>
      <c r="J213" s="12" t="s">
        <v>1600</v>
      </c>
      <c r="K213" s="78"/>
      <c r="L213" s="6" t="str">
        <f aca="false">IF(K213="",I213,K213)</f>
        <v>RPA</v>
      </c>
      <c r="M213" s="6"/>
    </row>
    <row r="214" customFormat="false" ht="15" hidden="false" customHeight="false" outlineLevel="0" collapsed="false">
      <c r="A214" s="74" t="n">
        <v>5100007</v>
      </c>
      <c r="B214" s="91" t="n">
        <v>8</v>
      </c>
      <c r="C214" s="74" t="s">
        <v>1869</v>
      </c>
      <c r="D214" s="74" t="s">
        <v>1877</v>
      </c>
      <c r="E214" s="6" t="s">
        <v>1517</v>
      </c>
      <c r="F214" s="74" t="s">
        <v>1598</v>
      </c>
      <c r="G214" s="74" t="s">
        <v>1841</v>
      </c>
      <c r="H214" s="8" t="n">
        <v>18000000</v>
      </c>
      <c r="I214" s="6" t="s">
        <v>875</v>
      </c>
      <c r="J214" s="12" t="s">
        <v>1600</v>
      </c>
      <c r="K214" s="78"/>
      <c r="L214" s="6" t="str">
        <f aca="false">IF(K214="",I214,K214)</f>
        <v>RPA</v>
      </c>
      <c r="M214" s="6"/>
    </row>
    <row r="215" customFormat="false" ht="15" hidden="false" customHeight="false" outlineLevel="0" collapsed="false">
      <c r="A215" s="74" t="n">
        <v>5100007</v>
      </c>
      <c r="B215" s="91" t="n">
        <v>8</v>
      </c>
      <c r="C215" s="74" t="s">
        <v>1869</v>
      </c>
      <c r="D215" s="74" t="s">
        <v>1878</v>
      </c>
      <c r="E215" s="6" t="s">
        <v>1517</v>
      </c>
      <c r="F215" s="74" t="s">
        <v>1598</v>
      </c>
      <c r="G215" s="74" t="s">
        <v>1879</v>
      </c>
      <c r="H215" s="8" t="n">
        <v>18000000</v>
      </c>
      <c r="I215" s="6" t="s">
        <v>875</v>
      </c>
      <c r="J215" s="12" t="s">
        <v>1600</v>
      </c>
      <c r="K215" s="78"/>
      <c r="L215" s="6" t="str">
        <f aca="false">IF(K215="",I215,K215)</f>
        <v>RPA</v>
      </c>
      <c r="M215" s="6"/>
    </row>
    <row r="216" customFormat="false" ht="15" hidden="false" customHeight="false" outlineLevel="0" collapsed="false">
      <c r="A216" s="74" t="n">
        <v>5100007</v>
      </c>
      <c r="B216" s="91" t="n">
        <v>8</v>
      </c>
      <c r="C216" s="74" t="s">
        <v>1869</v>
      </c>
      <c r="D216" s="74" t="s">
        <v>1878</v>
      </c>
      <c r="E216" s="6" t="s">
        <v>1517</v>
      </c>
      <c r="F216" s="74" t="s">
        <v>1598</v>
      </c>
      <c r="G216" s="74" t="s">
        <v>1880</v>
      </c>
      <c r="H216" s="8" t="n">
        <v>11000000</v>
      </c>
      <c r="I216" s="6" t="s">
        <v>875</v>
      </c>
      <c r="J216" s="12" t="s">
        <v>1600</v>
      </c>
      <c r="K216" s="78"/>
      <c r="L216" s="6" t="str">
        <f aca="false">IF(K216="",I216,K216)</f>
        <v>RPA</v>
      </c>
      <c r="M216" s="6"/>
    </row>
    <row r="217" customFormat="false" ht="15" hidden="false" customHeight="false" outlineLevel="0" collapsed="false">
      <c r="A217" s="74" t="n">
        <v>5100007</v>
      </c>
      <c r="B217" s="91" t="n">
        <v>8</v>
      </c>
      <c r="C217" s="74" t="s">
        <v>1881</v>
      </c>
      <c r="D217" s="74" t="s">
        <v>1882</v>
      </c>
      <c r="E217" s="6" t="s">
        <v>1517</v>
      </c>
      <c r="F217" s="74" t="s">
        <v>1598</v>
      </c>
      <c r="G217" s="74" t="s">
        <v>1883</v>
      </c>
      <c r="H217" s="8" t="n">
        <v>11000000</v>
      </c>
      <c r="I217" s="6" t="s">
        <v>875</v>
      </c>
      <c r="J217" s="12" t="s">
        <v>1600</v>
      </c>
      <c r="K217" s="78"/>
      <c r="L217" s="6" t="str">
        <f aca="false">IF(K217="",I217,K217)</f>
        <v>RPA</v>
      </c>
      <c r="M217" s="6"/>
    </row>
    <row r="218" customFormat="false" ht="15" hidden="false" customHeight="false" outlineLevel="0" collapsed="false">
      <c r="A218" s="74" t="n">
        <v>5100007</v>
      </c>
      <c r="B218" s="91" t="n">
        <v>8</v>
      </c>
      <c r="C218" s="74" t="s">
        <v>1884</v>
      </c>
      <c r="D218" s="74" t="s">
        <v>1885</v>
      </c>
      <c r="E218" s="6" t="s">
        <v>1517</v>
      </c>
      <c r="F218" s="74" t="s">
        <v>1598</v>
      </c>
      <c r="G218" s="74" t="s">
        <v>1886</v>
      </c>
      <c r="H218" s="8" t="n">
        <v>15000000</v>
      </c>
      <c r="I218" s="6" t="s">
        <v>875</v>
      </c>
      <c r="J218" s="12" t="s">
        <v>1600</v>
      </c>
      <c r="K218" s="78"/>
      <c r="L218" s="6" t="str">
        <f aca="false">IF(K218="",I218,K218)</f>
        <v>RPA</v>
      </c>
      <c r="M218" s="6"/>
    </row>
    <row r="219" customFormat="false" ht="15" hidden="false" customHeight="false" outlineLevel="0" collapsed="false">
      <c r="A219" s="74" t="n">
        <v>5100007</v>
      </c>
      <c r="B219" s="91" t="n">
        <v>8</v>
      </c>
      <c r="C219" s="74" t="s">
        <v>1887</v>
      </c>
      <c r="D219" s="74" t="s">
        <v>1888</v>
      </c>
      <c r="E219" s="6" t="s">
        <v>1517</v>
      </c>
      <c r="F219" s="74" t="s">
        <v>1598</v>
      </c>
      <c r="G219" s="74" t="s">
        <v>1889</v>
      </c>
      <c r="H219" s="8" t="n">
        <v>12000000</v>
      </c>
      <c r="I219" s="6" t="s">
        <v>875</v>
      </c>
      <c r="J219" s="12" t="s">
        <v>1600</v>
      </c>
      <c r="K219" s="78"/>
      <c r="L219" s="6" t="str">
        <f aca="false">IF(K219="",I219,K219)</f>
        <v>RPA</v>
      </c>
      <c r="M219" s="6"/>
    </row>
    <row r="220" customFormat="false" ht="15" hidden="false" customHeight="false" outlineLevel="0" collapsed="false">
      <c r="A220" s="74" t="n">
        <v>5100007</v>
      </c>
      <c r="B220" s="91" t="n">
        <v>8</v>
      </c>
      <c r="C220" s="74" t="s">
        <v>1872</v>
      </c>
      <c r="D220" s="74" t="s">
        <v>1890</v>
      </c>
      <c r="E220" s="6" t="s">
        <v>1517</v>
      </c>
      <c r="F220" s="74" t="s">
        <v>1598</v>
      </c>
      <c r="G220" s="74" t="s">
        <v>1883</v>
      </c>
      <c r="H220" s="8" t="n">
        <v>39000000</v>
      </c>
      <c r="I220" s="6" t="s">
        <v>875</v>
      </c>
      <c r="J220" s="12" t="s">
        <v>1600</v>
      </c>
      <c r="K220" s="78"/>
      <c r="L220" s="6" t="str">
        <f aca="false">IF(K220="",I220,K220)</f>
        <v>RPA</v>
      </c>
      <c r="M220" s="6"/>
    </row>
    <row r="221" customFormat="false" ht="15" hidden="false" customHeight="false" outlineLevel="0" collapsed="false">
      <c r="A221" s="74" t="n">
        <v>5100007</v>
      </c>
      <c r="B221" s="91" t="n">
        <v>8</v>
      </c>
      <c r="C221" s="74" t="s">
        <v>1881</v>
      </c>
      <c r="D221" s="74" t="s">
        <v>1891</v>
      </c>
      <c r="E221" s="6" t="s">
        <v>1517</v>
      </c>
      <c r="F221" s="74" t="s">
        <v>1598</v>
      </c>
      <c r="G221" s="74" t="s">
        <v>1892</v>
      </c>
      <c r="H221" s="8" t="n">
        <v>9000000</v>
      </c>
      <c r="I221" s="6" t="s">
        <v>875</v>
      </c>
      <c r="J221" s="12" t="s">
        <v>1600</v>
      </c>
      <c r="K221" s="78"/>
      <c r="L221" s="6" t="str">
        <f aca="false">IF(K221="",I221,K221)</f>
        <v>RPA</v>
      </c>
      <c r="M221" s="6"/>
    </row>
    <row r="222" customFormat="false" ht="15" hidden="false" customHeight="false" outlineLevel="0" collapsed="false">
      <c r="A222" s="74" t="n">
        <v>5100007</v>
      </c>
      <c r="B222" s="91" t="n">
        <v>8</v>
      </c>
      <c r="C222" s="74" t="s">
        <v>1893</v>
      </c>
      <c r="D222" s="74" t="s">
        <v>1894</v>
      </c>
      <c r="E222" s="6" t="s">
        <v>1517</v>
      </c>
      <c r="F222" s="74" t="s">
        <v>1598</v>
      </c>
      <c r="G222" s="74" t="s">
        <v>1895</v>
      </c>
      <c r="H222" s="8" t="n">
        <v>14400000</v>
      </c>
      <c r="I222" s="6" t="s">
        <v>875</v>
      </c>
      <c r="J222" s="12" t="s">
        <v>1600</v>
      </c>
      <c r="K222" s="78"/>
      <c r="L222" s="6" t="str">
        <f aca="false">IF(K222="",I222,K222)</f>
        <v>RPA</v>
      </c>
      <c r="M222" s="6"/>
    </row>
    <row r="223" customFormat="false" ht="15" hidden="false" customHeight="false" outlineLevel="0" collapsed="false">
      <c r="A223" s="74" t="n">
        <v>5100007</v>
      </c>
      <c r="B223" s="91" t="n">
        <v>8</v>
      </c>
      <c r="C223" s="74" t="s">
        <v>1867</v>
      </c>
      <c r="D223" s="74" t="s">
        <v>1896</v>
      </c>
      <c r="E223" s="6" t="s">
        <v>1517</v>
      </c>
      <c r="F223" s="74" t="s">
        <v>1296</v>
      </c>
      <c r="G223" s="74" t="s">
        <v>1878</v>
      </c>
      <c r="H223" s="8" t="n">
        <v>-29000000</v>
      </c>
      <c r="I223" s="6" t="s">
        <v>875</v>
      </c>
      <c r="J223" s="12" t="s">
        <v>1600</v>
      </c>
      <c r="K223" s="78"/>
      <c r="L223" s="6" t="str">
        <f aca="false">IF(K223="",I223,K223)</f>
        <v>RPA</v>
      </c>
      <c r="M223" s="6"/>
    </row>
    <row r="224" customFormat="false" ht="15" hidden="false" customHeight="false" outlineLevel="0" collapsed="false">
      <c r="A224" s="74" t="n">
        <v>5100007</v>
      </c>
      <c r="B224" s="91" t="n">
        <v>8</v>
      </c>
      <c r="C224" s="74" t="s">
        <v>1836</v>
      </c>
      <c r="D224" s="74" t="s">
        <v>1897</v>
      </c>
      <c r="E224" s="6" t="s">
        <v>1517</v>
      </c>
      <c r="F224" s="74" t="s">
        <v>1296</v>
      </c>
      <c r="G224" s="74" t="s">
        <v>1882</v>
      </c>
      <c r="H224" s="8" t="n">
        <v>-11000000</v>
      </c>
      <c r="I224" s="6" t="s">
        <v>875</v>
      </c>
      <c r="J224" s="12" t="s">
        <v>1600</v>
      </c>
      <c r="K224" s="78"/>
      <c r="L224" s="6" t="str">
        <f aca="false">IF(K224="",I224,K224)</f>
        <v>RPA</v>
      </c>
      <c r="M224" s="6"/>
    </row>
    <row r="225" customFormat="false" ht="15" hidden="false" customHeight="false" outlineLevel="0" collapsed="false">
      <c r="A225" s="74" t="n">
        <v>5100007</v>
      </c>
      <c r="B225" s="91" t="n">
        <v>8</v>
      </c>
      <c r="C225" s="74" t="s">
        <v>1893</v>
      </c>
      <c r="D225" s="74" t="s">
        <v>1898</v>
      </c>
      <c r="E225" s="6" t="s">
        <v>1517</v>
      </c>
      <c r="F225" s="74" t="s">
        <v>1296</v>
      </c>
      <c r="G225" s="74" t="s">
        <v>1873</v>
      </c>
      <c r="H225" s="8" t="n">
        <v>-11000000</v>
      </c>
      <c r="I225" s="6" t="s">
        <v>875</v>
      </c>
      <c r="J225" s="12" t="s">
        <v>1600</v>
      </c>
      <c r="K225" s="78"/>
      <c r="L225" s="6" t="str">
        <f aca="false">IF(K225="",I225,K225)</f>
        <v>RPA</v>
      </c>
      <c r="M225" s="6"/>
    </row>
    <row r="226" customFormat="false" ht="15" hidden="false" customHeight="false" outlineLevel="0" collapsed="false">
      <c r="A226" s="74" t="n">
        <v>5100007</v>
      </c>
      <c r="B226" s="91" t="n">
        <v>8</v>
      </c>
      <c r="C226" s="74" t="s">
        <v>1899</v>
      </c>
      <c r="D226" s="74" t="s">
        <v>1900</v>
      </c>
      <c r="E226" s="6" t="s">
        <v>1517</v>
      </c>
      <c r="F226" s="74" t="s">
        <v>1296</v>
      </c>
      <c r="G226" s="74" t="s">
        <v>1840</v>
      </c>
      <c r="H226" s="8" t="n">
        <v>-20000000</v>
      </c>
      <c r="I226" s="6" t="s">
        <v>875</v>
      </c>
      <c r="J226" s="12" t="s">
        <v>1600</v>
      </c>
      <c r="K226" s="78"/>
      <c r="L226" s="6" t="str">
        <f aca="false">IF(K226="",I226,K226)</f>
        <v>RPA</v>
      </c>
      <c r="M226" s="6"/>
    </row>
    <row r="227" customFormat="false" ht="15" hidden="false" customHeight="false" outlineLevel="0" collapsed="false">
      <c r="A227" s="74" t="n">
        <v>5100007</v>
      </c>
      <c r="B227" s="91" t="n">
        <v>8</v>
      </c>
      <c r="C227" s="74" t="s">
        <v>1899</v>
      </c>
      <c r="D227" s="74" t="s">
        <v>1900</v>
      </c>
      <c r="E227" s="6" t="s">
        <v>1517</v>
      </c>
      <c r="F227" s="74" t="s">
        <v>1296</v>
      </c>
      <c r="G227" s="74" t="s">
        <v>1877</v>
      </c>
      <c r="H227" s="8" t="n">
        <v>-18000000</v>
      </c>
      <c r="I227" s="6" t="s">
        <v>875</v>
      </c>
      <c r="J227" s="12" t="s">
        <v>1600</v>
      </c>
      <c r="K227" s="78"/>
      <c r="L227" s="6" t="str">
        <f aca="false">IF(K227="",I227,K227)</f>
        <v>RPA</v>
      </c>
      <c r="M227" s="6"/>
    </row>
    <row r="228" customFormat="false" ht="15" hidden="false" customHeight="false" outlineLevel="0" collapsed="false">
      <c r="A228" s="74" t="n">
        <v>5100007</v>
      </c>
      <c r="B228" s="91" t="n">
        <v>8</v>
      </c>
      <c r="C228" s="74" t="s">
        <v>1899</v>
      </c>
      <c r="D228" s="74" t="s">
        <v>1900</v>
      </c>
      <c r="E228" s="6" t="s">
        <v>1517</v>
      </c>
      <c r="F228" s="74" t="s">
        <v>1296</v>
      </c>
      <c r="G228" s="74" t="s">
        <v>1876</v>
      </c>
      <c r="H228" s="8" t="n">
        <v>-11000000</v>
      </c>
      <c r="I228" s="6" t="s">
        <v>875</v>
      </c>
      <c r="J228" s="12" t="s">
        <v>1600</v>
      </c>
      <c r="K228" s="78"/>
      <c r="L228" s="6" t="str">
        <f aca="false">IF(K228="",I228,K228)</f>
        <v>RPA</v>
      </c>
      <c r="M228" s="6"/>
    </row>
    <row r="229" customFormat="false" ht="15" hidden="false" customHeight="false" outlineLevel="0" collapsed="false">
      <c r="A229" s="74" t="n">
        <v>5100007</v>
      </c>
      <c r="B229" s="91" t="n">
        <v>8</v>
      </c>
      <c r="C229" s="74" t="s">
        <v>1881</v>
      </c>
      <c r="D229" s="74" t="s">
        <v>1312</v>
      </c>
      <c r="E229" s="6" t="s">
        <v>1517</v>
      </c>
      <c r="F229" s="74" t="s">
        <v>1296</v>
      </c>
      <c r="G229" s="74" t="s">
        <v>1891</v>
      </c>
      <c r="H229" s="8" t="n">
        <v>-9000000</v>
      </c>
      <c r="I229" s="6" t="s">
        <v>875</v>
      </c>
      <c r="J229" s="12" t="s">
        <v>1600</v>
      </c>
      <c r="K229" s="78"/>
      <c r="L229" s="6" t="str">
        <f aca="false">IF(K229="",I229,K229)</f>
        <v>RPA</v>
      </c>
      <c r="M229" s="6"/>
    </row>
    <row r="230" customFormat="false" ht="15" hidden="false" customHeight="false" outlineLevel="0" collapsed="false">
      <c r="A230" s="74" t="n">
        <v>5100007</v>
      </c>
      <c r="B230" s="91" t="n">
        <v>8</v>
      </c>
      <c r="C230" s="74" t="s">
        <v>1872</v>
      </c>
      <c r="D230" s="74" t="s">
        <v>1315</v>
      </c>
      <c r="E230" s="6" t="s">
        <v>1517</v>
      </c>
      <c r="F230" s="74" t="s">
        <v>1296</v>
      </c>
      <c r="G230" s="74" t="s">
        <v>1890</v>
      </c>
      <c r="H230" s="8" t="n">
        <v>-25500000</v>
      </c>
      <c r="I230" s="6" t="s">
        <v>875</v>
      </c>
      <c r="J230" s="12" t="s">
        <v>1600</v>
      </c>
      <c r="K230" s="78"/>
      <c r="L230" s="6" t="str">
        <f aca="false">IF(K230="",I230,K230)</f>
        <v>RPA</v>
      </c>
      <c r="M230" s="6"/>
    </row>
    <row r="231" customFormat="false" ht="15" hidden="false" customHeight="false" outlineLevel="0" collapsed="false">
      <c r="A231" s="74" t="n">
        <v>5100007</v>
      </c>
      <c r="B231" s="91" t="n">
        <v>8</v>
      </c>
      <c r="C231" s="74" t="s">
        <v>1901</v>
      </c>
      <c r="D231" s="74" t="s">
        <v>1318</v>
      </c>
      <c r="E231" s="6" t="s">
        <v>1517</v>
      </c>
      <c r="F231" s="74" t="s">
        <v>1296</v>
      </c>
      <c r="G231" s="74" t="s">
        <v>1890</v>
      </c>
      <c r="H231" s="8" t="n">
        <v>-13500000</v>
      </c>
      <c r="I231" s="6" t="s">
        <v>875</v>
      </c>
      <c r="J231" s="12" t="s">
        <v>1600</v>
      </c>
      <c r="K231" s="78"/>
      <c r="L231" s="6" t="str">
        <f aca="false">IF(K231="",I231,K231)</f>
        <v>RPA</v>
      </c>
      <c r="M231" s="6"/>
    </row>
    <row r="232" customFormat="false" ht="15" hidden="false" customHeight="false" outlineLevel="0" collapsed="false">
      <c r="A232" s="74" t="n">
        <v>5100007</v>
      </c>
      <c r="B232" s="91" t="n">
        <v>8</v>
      </c>
      <c r="C232" s="74" t="s">
        <v>1893</v>
      </c>
      <c r="D232" s="74" t="s">
        <v>1321</v>
      </c>
      <c r="E232" s="6" t="s">
        <v>1517</v>
      </c>
      <c r="F232" s="74" t="s">
        <v>1296</v>
      </c>
      <c r="G232" s="74" t="s">
        <v>1894</v>
      </c>
      <c r="H232" s="8" t="n">
        <v>-14400000</v>
      </c>
      <c r="I232" s="6" t="s">
        <v>875</v>
      </c>
      <c r="J232" s="12" t="s">
        <v>1600</v>
      </c>
      <c r="K232" s="78"/>
      <c r="L232" s="6" t="str">
        <f aca="false">IF(K232="",I232,K232)</f>
        <v>RPA</v>
      </c>
      <c r="M232" s="6"/>
    </row>
    <row r="233" customFormat="false" ht="15" hidden="false" customHeight="false" outlineLevel="0" collapsed="false">
      <c r="A233" s="74" t="n">
        <v>5100007</v>
      </c>
      <c r="B233" s="91" t="n">
        <v>8</v>
      </c>
      <c r="C233" s="74" t="s">
        <v>1884</v>
      </c>
      <c r="D233" s="74" t="s">
        <v>1324</v>
      </c>
      <c r="E233" s="6" t="s">
        <v>1517</v>
      </c>
      <c r="F233" s="74" t="s">
        <v>1296</v>
      </c>
      <c r="G233" s="74" t="s">
        <v>1885</v>
      </c>
      <c r="H233" s="8" t="n">
        <v>-15000000</v>
      </c>
      <c r="I233" s="6" t="s">
        <v>875</v>
      </c>
      <c r="J233" s="12" t="s">
        <v>1600</v>
      </c>
      <c r="K233" s="78"/>
      <c r="L233" s="6" t="str">
        <f aca="false">IF(K233="",I233,K233)</f>
        <v>RPA</v>
      </c>
      <c r="M233" s="6"/>
    </row>
    <row r="234" customFormat="false" ht="15" hidden="false" customHeight="false" outlineLevel="0" collapsed="false">
      <c r="A234" s="74" t="n">
        <v>5100007</v>
      </c>
      <c r="B234" s="91" t="n">
        <v>8</v>
      </c>
      <c r="C234" s="74" t="s">
        <v>1902</v>
      </c>
      <c r="D234" s="74" t="s">
        <v>1327</v>
      </c>
      <c r="E234" s="6" t="s">
        <v>1517</v>
      </c>
      <c r="F234" s="74" t="s">
        <v>1296</v>
      </c>
      <c r="G234" s="74" t="s">
        <v>1888</v>
      </c>
      <c r="H234" s="8" t="n">
        <v>-12000000</v>
      </c>
      <c r="I234" s="6" t="s">
        <v>875</v>
      </c>
      <c r="J234" s="12" t="s">
        <v>1600</v>
      </c>
      <c r="K234" s="78"/>
      <c r="L234" s="6" t="str">
        <f aca="false">IF(K234="",I234,K234)</f>
        <v>RPA</v>
      </c>
      <c r="M234" s="6"/>
    </row>
    <row r="235" customFormat="false" ht="15" hidden="false" customHeight="false" outlineLevel="0" collapsed="false">
      <c r="A235" s="74" t="n">
        <v>5100009</v>
      </c>
      <c r="B235" s="91" t="n">
        <v>8</v>
      </c>
      <c r="C235" s="74" t="s">
        <v>1881</v>
      </c>
      <c r="D235" s="74" t="s">
        <v>1903</v>
      </c>
      <c r="E235" s="6" t="s">
        <v>1551</v>
      </c>
      <c r="F235" s="74"/>
      <c r="G235" s="74" t="s">
        <v>1904</v>
      </c>
      <c r="H235" s="8" t="n">
        <v>1415125</v>
      </c>
      <c r="I235" s="6" t="s">
        <v>875</v>
      </c>
      <c r="J235" s="12" t="s">
        <v>1557</v>
      </c>
      <c r="K235" s="78"/>
      <c r="L235" s="6" t="str">
        <f aca="false">IF(K235="",I235,K235)</f>
        <v>RPA</v>
      </c>
      <c r="M235" s="92" t="s">
        <v>1905</v>
      </c>
    </row>
    <row r="236" customFormat="false" ht="15" hidden="false" customHeight="false" outlineLevel="0" collapsed="false">
      <c r="A236" s="74" t="n">
        <v>5100009</v>
      </c>
      <c r="B236" s="91" t="n">
        <v>8</v>
      </c>
      <c r="C236" s="74" t="s">
        <v>1906</v>
      </c>
      <c r="D236" s="74" t="s">
        <v>1907</v>
      </c>
      <c r="E236" s="6" t="s">
        <v>1551</v>
      </c>
      <c r="F236" s="74" t="s">
        <v>287</v>
      </c>
      <c r="G236" s="74" t="s">
        <v>1908</v>
      </c>
      <c r="H236" s="8" t="n">
        <v>16720</v>
      </c>
      <c r="I236" s="6" t="s">
        <v>875</v>
      </c>
      <c r="J236" s="12" t="s">
        <v>1693</v>
      </c>
      <c r="K236" s="78"/>
      <c r="L236" s="6" t="str">
        <f aca="false">IF(K236="",I236,K236)</f>
        <v>RPA</v>
      </c>
      <c r="M236" s="6"/>
    </row>
    <row r="237" customFormat="false" ht="15" hidden="false" customHeight="false" outlineLevel="0" collapsed="false">
      <c r="A237" s="74" t="n">
        <v>5100009</v>
      </c>
      <c r="B237" s="91" t="n">
        <v>8</v>
      </c>
      <c r="C237" s="74" t="s">
        <v>1906</v>
      </c>
      <c r="D237" s="74" t="s">
        <v>1907</v>
      </c>
      <c r="E237" s="6" t="s">
        <v>1551</v>
      </c>
      <c r="F237" s="74" t="s">
        <v>287</v>
      </c>
      <c r="G237" s="74" t="s">
        <v>1909</v>
      </c>
      <c r="H237" s="8" t="n">
        <v>118320</v>
      </c>
      <c r="I237" s="6" t="s">
        <v>875</v>
      </c>
      <c r="J237" s="12" t="s">
        <v>1693</v>
      </c>
      <c r="K237" s="78"/>
      <c r="L237" s="6" t="str">
        <f aca="false">IF(K237="",I237,K237)</f>
        <v>RPA</v>
      </c>
      <c r="M237" s="6"/>
    </row>
    <row r="238" customFormat="false" ht="15" hidden="false" customHeight="false" outlineLevel="0" collapsed="false">
      <c r="A238" s="74" t="n">
        <v>5100009</v>
      </c>
      <c r="B238" s="91" t="n">
        <v>8</v>
      </c>
      <c r="C238" s="74" t="s">
        <v>1906</v>
      </c>
      <c r="D238" s="74" t="s">
        <v>1907</v>
      </c>
      <c r="E238" s="6" t="s">
        <v>1551</v>
      </c>
      <c r="F238" s="74" t="s">
        <v>287</v>
      </c>
      <c r="G238" s="74" t="s">
        <v>1910</v>
      </c>
      <c r="H238" s="8" t="n">
        <v>719600</v>
      </c>
      <c r="I238" s="6" t="s">
        <v>875</v>
      </c>
      <c r="J238" s="12" t="s">
        <v>1693</v>
      </c>
      <c r="K238" s="78"/>
      <c r="L238" s="6" t="str">
        <f aca="false">IF(K238="",I238,K238)</f>
        <v>RPA</v>
      </c>
      <c r="M238" s="6"/>
    </row>
    <row r="239" customFormat="false" ht="15" hidden="false" customHeight="false" outlineLevel="0" collapsed="false">
      <c r="A239" s="74" t="n">
        <v>5100009</v>
      </c>
      <c r="B239" s="91" t="n">
        <v>8</v>
      </c>
      <c r="C239" s="74" t="s">
        <v>1906</v>
      </c>
      <c r="D239" s="74" t="s">
        <v>1907</v>
      </c>
      <c r="E239" s="6" t="s">
        <v>1551</v>
      </c>
      <c r="F239" s="74" t="s">
        <v>287</v>
      </c>
      <c r="G239" s="74" t="s">
        <v>1911</v>
      </c>
      <c r="H239" s="8" t="n">
        <v>90720</v>
      </c>
      <c r="I239" s="6" t="s">
        <v>875</v>
      </c>
      <c r="J239" s="12" t="s">
        <v>1693</v>
      </c>
      <c r="K239" s="78"/>
      <c r="L239" s="6" t="str">
        <f aca="false">IF(K239="",I239,K239)</f>
        <v>RPA</v>
      </c>
      <c r="M239" s="6"/>
    </row>
    <row r="240" customFormat="false" ht="15" hidden="false" customHeight="false" outlineLevel="0" collapsed="false">
      <c r="A240" s="74" t="n">
        <v>5100009</v>
      </c>
      <c r="B240" s="91" t="n">
        <v>8</v>
      </c>
      <c r="C240" s="74" t="s">
        <v>1856</v>
      </c>
      <c r="D240" s="74" t="s">
        <v>1912</v>
      </c>
      <c r="E240" s="6" t="s">
        <v>1551</v>
      </c>
      <c r="F240" s="74" t="s">
        <v>1555</v>
      </c>
      <c r="G240" s="74" t="s">
        <v>1913</v>
      </c>
      <c r="H240" s="8" t="n">
        <v>1415125</v>
      </c>
      <c r="I240" s="6" t="s">
        <v>875</v>
      </c>
      <c r="J240" s="12" t="s">
        <v>1557</v>
      </c>
      <c r="K240" s="78"/>
      <c r="L240" s="6" t="str">
        <f aca="false">IF(K240="",I240,K240)</f>
        <v>RPA</v>
      </c>
      <c r="M240" s="92" t="s">
        <v>1808</v>
      </c>
    </row>
    <row r="241" customFormat="false" ht="15" hidden="false" customHeight="false" outlineLevel="0" collapsed="false">
      <c r="A241" s="74" t="n">
        <v>5100009</v>
      </c>
      <c r="B241" s="91" t="n">
        <v>8</v>
      </c>
      <c r="C241" s="74" t="s">
        <v>1856</v>
      </c>
      <c r="D241" s="74" t="s">
        <v>1912</v>
      </c>
      <c r="E241" s="6" t="s">
        <v>1551</v>
      </c>
      <c r="F241" s="74" t="s">
        <v>1555</v>
      </c>
      <c r="G241" s="74" t="s">
        <v>1559</v>
      </c>
      <c r="H241" s="8" t="n">
        <v>119600</v>
      </c>
      <c r="I241" s="6" t="s">
        <v>875</v>
      </c>
      <c r="J241" s="12" t="s">
        <v>1557</v>
      </c>
      <c r="K241" s="78"/>
      <c r="L241" s="6" t="str">
        <f aca="false">IF(K241="",I241,K241)</f>
        <v>RPA</v>
      </c>
      <c r="M241" s="92" t="s">
        <v>1808</v>
      </c>
    </row>
    <row r="242" customFormat="false" ht="15" hidden="false" customHeight="false" outlineLevel="0" collapsed="false">
      <c r="A242" s="74" t="n">
        <v>5100009</v>
      </c>
      <c r="B242" s="91" t="n">
        <v>8</v>
      </c>
      <c r="C242" s="74" t="s">
        <v>1859</v>
      </c>
      <c r="D242" s="74" t="s">
        <v>1914</v>
      </c>
      <c r="E242" s="6" t="s">
        <v>1551</v>
      </c>
      <c r="F242" s="74" t="s">
        <v>287</v>
      </c>
      <c r="G242" s="74" t="s">
        <v>1915</v>
      </c>
      <c r="H242" s="8" t="n">
        <v>1001920</v>
      </c>
      <c r="I242" s="6" t="s">
        <v>875</v>
      </c>
      <c r="J242" s="12" t="s">
        <v>1693</v>
      </c>
      <c r="K242" s="78"/>
      <c r="L242" s="6" t="str">
        <f aca="false">IF(K242="",I242,K242)</f>
        <v>RPA</v>
      </c>
      <c r="M242" s="6"/>
    </row>
    <row r="243" customFormat="false" ht="15" hidden="false" customHeight="false" outlineLevel="0" collapsed="false">
      <c r="A243" s="74" t="n">
        <v>5100009</v>
      </c>
      <c r="B243" s="91" t="n">
        <v>8</v>
      </c>
      <c r="C243" s="74" t="s">
        <v>1860</v>
      </c>
      <c r="D243" s="74" t="s">
        <v>1916</v>
      </c>
      <c r="E243" s="6" t="s">
        <v>1551</v>
      </c>
      <c r="F243" s="74" t="s">
        <v>287</v>
      </c>
      <c r="G243" s="74" t="s">
        <v>1917</v>
      </c>
      <c r="H243" s="8" t="n">
        <v>1762160</v>
      </c>
      <c r="I243" s="6" t="s">
        <v>875</v>
      </c>
      <c r="J243" s="12" t="s">
        <v>1693</v>
      </c>
      <c r="K243" s="78"/>
      <c r="L243" s="6" t="str">
        <f aca="false">IF(K243="",I243,K243)</f>
        <v>RPA</v>
      </c>
      <c r="M243" s="6"/>
    </row>
    <row r="244" customFormat="false" ht="15" hidden="false" customHeight="false" outlineLevel="0" collapsed="false">
      <c r="A244" s="74" t="n">
        <v>5100009</v>
      </c>
      <c r="B244" s="91" t="n">
        <v>8</v>
      </c>
      <c r="C244" s="74" t="s">
        <v>1839</v>
      </c>
      <c r="D244" s="74" t="s">
        <v>1918</v>
      </c>
      <c r="E244" s="6" t="s">
        <v>1551</v>
      </c>
      <c r="F244" s="74" t="s">
        <v>287</v>
      </c>
      <c r="G244" s="74" t="s">
        <v>1919</v>
      </c>
      <c r="H244" s="8" t="n">
        <v>2574640</v>
      </c>
      <c r="I244" s="6" t="s">
        <v>875</v>
      </c>
      <c r="J244" s="12" t="s">
        <v>1693</v>
      </c>
      <c r="K244" s="78"/>
      <c r="L244" s="6" t="str">
        <f aca="false">IF(K244="",I244,K244)</f>
        <v>RPA</v>
      </c>
      <c r="M244" s="6"/>
    </row>
    <row r="245" customFormat="false" ht="15" hidden="false" customHeight="false" outlineLevel="0" collapsed="false">
      <c r="A245" s="74" t="n">
        <v>5100009</v>
      </c>
      <c r="B245" s="91" t="n">
        <v>8</v>
      </c>
      <c r="C245" s="74" t="s">
        <v>1864</v>
      </c>
      <c r="D245" s="74" t="s">
        <v>1920</v>
      </c>
      <c r="E245" s="6" t="s">
        <v>1551</v>
      </c>
      <c r="F245" s="74" t="s">
        <v>287</v>
      </c>
      <c r="G245" s="74" t="s">
        <v>1921</v>
      </c>
      <c r="H245" s="8" t="n">
        <v>2491280</v>
      </c>
      <c r="I245" s="6" t="s">
        <v>875</v>
      </c>
      <c r="J245" s="12" t="s">
        <v>1693</v>
      </c>
      <c r="K245" s="78"/>
      <c r="L245" s="6" t="str">
        <f aca="false">IF(K245="",I245,K245)</f>
        <v>RPA</v>
      </c>
      <c r="M245" s="6"/>
    </row>
    <row r="246" customFormat="false" ht="15" hidden="false" customHeight="false" outlineLevel="0" collapsed="false">
      <c r="A246" s="74" t="n">
        <v>5100009</v>
      </c>
      <c r="B246" s="91" t="n">
        <v>8</v>
      </c>
      <c r="C246" s="74" t="s">
        <v>1867</v>
      </c>
      <c r="D246" s="74" t="s">
        <v>1922</v>
      </c>
      <c r="E246" s="6" t="s">
        <v>1551</v>
      </c>
      <c r="F246" s="74" t="s">
        <v>287</v>
      </c>
      <c r="G246" s="74" t="s">
        <v>1923</v>
      </c>
      <c r="H246" s="8" t="n">
        <v>3276720</v>
      </c>
      <c r="I246" s="6" t="s">
        <v>875</v>
      </c>
      <c r="J246" s="12" t="s">
        <v>1693</v>
      </c>
      <c r="K246" s="78"/>
      <c r="L246" s="6" t="str">
        <f aca="false">IF(K246="",I246,K246)</f>
        <v>RPA</v>
      </c>
      <c r="M246" s="6"/>
    </row>
    <row r="247" customFormat="false" ht="15" hidden="false" customHeight="false" outlineLevel="0" collapsed="false">
      <c r="A247" s="74" t="n">
        <v>5100009</v>
      </c>
      <c r="B247" s="91" t="n">
        <v>8</v>
      </c>
      <c r="C247" s="74" t="s">
        <v>1884</v>
      </c>
      <c r="D247" s="74" t="s">
        <v>1924</v>
      </c>
      <c r="E247" s="6" t="s">
        <v>1551</v>
      </c>
      <c r="F247" s="74" t="s">
        <v>287</v>
      </c>
      <c r="G247" s="74" t="s">
        <v>1925</v>
      </c>
      <c r="H247" s="8" t="n">
        <v>4338800</v>
      </c>
      <c r="I247" s="6" t="s">
        <v>875</v>
      </c>
      <c r="J247" s="12" t="s">
        <v>1693</v>
      </c>
      <c r="K247" s="78"/>
      <c r="L247" s="6" t="str">
        <f aca="false">IF(K247="",I247,K247)</f>
        <v>RPA</v>
      </c>
      <c r="M247" s="6"/>
    </row>
    <row r="248" customFormat="false" ht="15" hidden="false" customHeight="false" outlineLevel="0" collapsed="false">
      <c r="A248" s="74" t="n">
        <v>5100009</v>
      </c>
      <c r="B248" s="91" t="n">
        <v>8</v>
      </c>
      <c r="C248" s="74" t="s">
        <v>1884</v>
      </c>
      <c r="D248" s="74" t="s">
        <v>1924</v>
      </c>
      <c r="E248" s="6" t="s">
        <v>1551</v>
      </c>
      <c r="F248" s="74" t="s">
        <v>287</v>
      </c>
      <c r="G248" s="74" t="s">
        <v>1926</v>
      </c>
      <c r="H248" s="8" t="n">
        <v>2115920</v>
      </c>
      <c r="I248" s="6" t="s">
        <v>875</v>
      </c>
      <c r="J248" s="12" t="s">
        <v>1693</v>
      </c>
      <c r="K248" s="78"/>
      <c r="L248" s="6" t="str">
        <f aca="false">IF(K248="",I248,K248)</f>
        <v>RPA</v>
      </c>
      <c r="M248" s="6"/>
    </row>
    <row r="249" customFormat="false" ht="15" hidden="false" customHeight="false" outlineLevel="0" collapsed="false">
      <c r="A249" s="74" t="n">
        <v>5100009</v>
      </c>
      <c r="B249" s="91" t="n">
        <v>8</v>
      </c>
      <c r="C249" s="74" t="s">
        <v>1902</v>
      </c>
      <c r="D249" s="74" t="s">
        <v>1927</v>
      </c>
      <c r="E249" s="6" t="s">
        <v>1551</v>
      </c>
      <c r="F249" s="74" t="s">
        <v>287</v>
      </c>
      <c r="G249" s="74" t="s">
        <v>1928</v>
      </c>
      <c r="H249" s="8" t="n">
        <v>1903520</v>
      </c>
      <c r="I249" s="6" t="s">
        <v>875</v>
      </c>
      <c r="J249" s="12" t="s">
        <v>1693</v>
      </c>
      <c r="K249" s="78"/>
      <c r="L249" s="6" t="str">
        <f aca="false">IF(K249="",I249,K249)</f>
        <v>RPA</v>
      </c>
      <c r="M249" s="6"/>
    </row>
    <row r="250" customFormat="false" ht="15" hidden="false" customHeight="false" outlineLevel="0" collapsed="false">
      <c r="A250" s="74" t="n">
        <v>5100009</v>
      </c>
      <c r="B250" s="91" t="n">
        <v>8</v>
      </c>
      <c r="C250" s="74" t="s">
        <v>1902</v>
      </c>
      <c r="D250" s="74" t="s">
        <v>1927</v>
      </c>
      <c r="E250" s="6" t="s">
        <v>1551</v>
      </c>
      <c r="F250" s="74" t="s">
        <v>287</v>
      </c>
      <c r="G250" s="74" t="s">
        <v>1929</v>
      </c>
      <c r="H250" s="8" t="n">
        <v>48320</v>
      </c>
      <c r="I250" s="6" t="s">
        <v>875</v>
      </c>
      <c r="J250" s="12" t="s">
        <v>1693</v>
      </c>
      <c r="K250" s="78"/>
      <c r="L250" s="6" t="str">
        <f aca="false">IF(K250="",I250,K250)</f>
        <v>RPA</v>
      </c>
      <c r="M250" s="6"/>
    </row>
    <row r="251" customFormat="false" ht="15" hidden="false" customHeight="false" outlineLevel="0" collapsed="false">
      <c r="A251" s="74" t="n">
        <v>5100009</v>
      </c>
      <c r="B251" s="91" t="n">
        <v>8</v>
      </c>
      <c r="C251" s="74" t="s">
        <v>1872</v>
      </c>
      <c r="D251" s="74" t="s">
        <v>1930</v>
      </c>
      <c r="E251" s="6" t="s">
        <v>1551</v>
      </c>
      <c r="F251" s="74" t="s">
        <v>287</v>
      </c>
      <c r="G251" s="74" t="s">
        <v>1931</v>
      </c>
      <c r="H251" s="8" t="n">
        <v>1938320</v>
      </c>
      <c r="I251" s="6" t="s">
        <v>875</v>
      </c>
      <c r="J251" s="12" t="s">
        <v>1693</v>
      </c>
      <c r="K251" s="78"/>
      <c r="L251" s="6" t="str">
        <f aca="false">IF(K251="",I251,K251)</f>
        <v>RPA</v>
      </c>
      <c r="M251" s="6"/>
    </row>
    <row r="252" customFormat="false" ht="15" hidden="false" customHeight="false" outlineLevel="0" collapsed="false">
      <c r="A252" s="74" t="n">
        <v>5100009</v>
      </c>
      <c r="B252" s="91" t="n">
        <v>8</v>
      </c>
      <c r="C252" s="74" t="s">
        <v>1901</v>
      </c>
      <c r="D252" s="74" t="s">
        <v>1932</v>
      </c>
      <c r="E252" s="6" t="s">
        <v>1551</v>
      </c>
      <c r="F252" s="74" t="s">
        <v>287</v>
      </c>
      <c r="G252" s="74" t="s">
        <v>1933</v>
      </c>
      <c r="H252" s="8" t="n">
        <v>2587600</v>
      </c>
      <c r="I252" s="6" t="s">
        <v>875</v>
      </c>
      <c r="J252" s="12" t="s">
        <v>1693</v>
      </c>
      <c r="K252" s="78"/>
      <c r="L252" s="6" t="str">
        <f aca="false">IF(K252="",I252,K252)</f>
        <v>RPA</v>
      </c>
      <c r="M252" s="6"/>
    </row>
    <row r="253" customFormat="false" ht="15" hidden="false" customHeight="false" outlineLevel="0" collapsed="false">
      <c r="A253" s="74" t="n">
        <v>5100009</v>
      </c>
      <c r="B253" s="91" t="n">
        <v>8</v>
      </c>
      <c r="C253" s="74" t="s">
        <v>1881</v>
      </c>
      <c r="D253" s="74" t="s">
        <v>1934</v>
      </c>
      <c r="E253" s="6" t="s">
        <v>1551</v>
      </c>
      <c r="F253" s="74" t="s">
        <v>287</v>
      </c>
      <c r="G253" s="74" t="s">
        <v>1935</v>
      </c>
      <c r="H253" s="8" t="n">
        <v>3258880</v>
      </c>
      <c r="I253" s="6" t="s">
        <v>875</v>
      </c>
      <c r="J253" s="12" t="s">
        <v>1693</v>
      </c>
      <c r="K253" s="78"/>
      <c r="L253" s="6" t="str">
        <f aca="false">IF(K253="",I253,K253)</f>
        <v>RPA</v>
      </c>
      <c r="M253" s="6"/>
    </row>
    <row r="254" customFormat="false" ht="15" hidden="false" customHeight="false" outlineLevel="0" collapsed="false">
      <c r="A254" s="74" t="n">
        <v>5100009</v>
      </c>
      <c r="B254" s="91" t="n">
        <v>8</v>
      </c>
      <c r="C254" s="74" t="s">
        <v>1893</v>
      </c>
      <c r="D254" s="74" t="s">
        <v>1936</v>
      </c>
      <c r="E254" s="6" t="s">
        <v>1551</v>
      </c>
      <c r="F254" s="74" t="s">
        <v>287</v>
      </c>
      <c r="G254" s="74" t="s">
        <v>1937</v>
      </c>
      <c r="H254" s="8" t="n">
        <v>2124320</v>
      </c>
      <c r="I254" s="6" t="s">
        <v>875</v>
      </c>
      <c r="J254" s="12" t="s">
        <v>1693</v>
      </c>
      <c r="K254" s="78"/>
      <c r="L254" s="6" t="str">
        <f aca="false">IF(K254="",I254,K254)</f>
        <v>RPA</v>
      </c>
      <c r="M254" s="6"/>
    </row>
    <row r="255" customFormat="false" ht="15" hidden="false" customHeight="false" outlineLevel="0" collapsed="false">
      <c r="A255" s="74" t="n">
        <v>5100009</v>
      </c>
      <c r="B255" s="91" t="n">
        <v>8</v>
      </c>
      <c r="C255" s="74" t="s">
        <v>1893</v>
      </c>
      <c r="D255" s="74" t="s">
        <v>1936</v>
      </c>
      <c r="E255" s="6" t="s">
        <v>1551</v>
      </c>
      <c r="F255" s="74" t="s">
        <v>287</v>
      </c>
      <c r="G255" s="74" t="s">
        <v>1938</v>
      </c>
      <c r="H255" s="8" t="n">
        <v>812240</v>
      </c>
      <c r="I255" s="6" t="s">
        <v>875</v>
      </c>
      <c r="J255" s="12" t="s">
        <v>1693</v>
      </c>
      <c r="K255" s="78"/>
      <c r="L255" s="6" t="str">
        <f aca="false">IF(K255="",I255,K255)</f>
        <v>RPA</v>
      </c>
      <c r="M255" s="6"/>
    </row>
    <row r="256" customFormat="false" ht="15" hidden="false" customHeight="false" outlineLevel="0" collapsed="false">
      <c r="A256" s="74" t="n">
        <v>5100009</v>
      </c>
      <c r="B256" s="91" t="n">
        <v>8</v>
      </c>
      <c r="C256" s="74" t="s">
        <v>1939</v>
      </c>
      <c r="D256" s="74" t="s">
        <v>1940</v>
      </c>
      <c r="E256" s="6" t="s">
        <v>1551</v>
      </c>
      <c r="F256" s="74" t="s">
        <v>287</v>
      </c>
      <c r="G256" s="74" t="s">
        <v>1941</v>
      </c>
      <c r="H256" s="8" t="n">
        <v>416000</v>
      </c>
      <c r="I256" s="6" t="s">
        <v>875</v>
      </c>
      <c r="J256" s="12" t="s">
        <v>1693</v>
      </c>
      <c r="K256" s="78"/>
      <c r="L256" s="6" t="str">
        <f aca="false">IF(K256="",I256,K256)</f>
        <v>RPA</v>
      </c>
      <c r="M256" s="6"/>
    </row>
  </sheetData>
  <dataValidations count="1">
    <dataValidation allowBlank="false" errorStyle="stop" operator="between" showDropDown="false" showErrorMessage="false" showInputMessage="false" sqref="B3" type="list">
      <formula1>"Yes,No"</formula1>
      <formula2>0</formula2>
    </dataValidation>
  </dataValidation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2"/>
    <col collapsed="false" customWidth="true" hidden="false" outlineLevel="0" max="8" min="3" style="0" width="16"/>
    <col collapsed="false" customWidth="true" hidden="false" outlineLevel="0" max="9" min="9" style="0" width="40"/>
  </cols>
  <sheetData>
    <row r="1" customFormat="false" ht="15" hidden="false" customHeight="false" outlineLevel="0" collapsed="false">
      <c r="A1" s="1" t="s">
        <v>1942</v>
      </c>
    </row>
    <row r="2" customFormat="false" ht="15" hidden="false" customHeight="false" outlineLevel="0" collapsed="false">
      <c r="A2" s="4" t="s">
        <v>1943</v>
      </c>
    </row>
    <row r="5" customFormat="false" ht="30" hidden="false" customHeight="true" outlineLevel="0" collapsed="false">
      <c r="B5" s="5" t="s">
        <v>308</v>
      </c>
      <c r="C5" s="5" t="s">
        <v>731</v>
      </c>
      <c r="D5" s="5" t="s">
        <v>732</v>
      </c>
      <c r="E5" s="5" t="s">
        <v>733</v>
      </c>
      <c r="F5" s="5" t="s">
        <v>734</v>
      </c>
      <c r="G5" s="5" t="s">
        <v>184</v>
      </c>
      <c r="H5" s="5" t="s">
        <v>185</v>
      </c>
      <c r="I5" s="5" t="s">
        <v>40</v>
      </c>
    </row>
    <row r="6" customFormat="false" ht="15" hidden="false" customHeight="false" outlineLevel="0" collapsed="false">
      <c r="B6" s="6" t="s">
        <v>1944</v>
      </c>
      <c r="C6" s="8" t="n">
        <v>190035900</v>
      </c>
      <c r="D6" s="8" t="n">
        <v>646041120</v>
      </c>
      <c r="E6" s="8" t="n">
        <v>1402180774</v>
      </c>
      <c r="F6" s="8" t="n">
        <v>500309443.5</v>
      </c>
      <c r="G6" s="8" t="n">
        <v>246532160</v>
      </c>
      <c r="H6" s="8" t="n">
        <v>3044438109</v>
      </c>
      <c r="I6" s="12"/>
    </row>
    <row r="7" customFormat="false" ht="15" hidden="false" customHeight="false" outlineLevel="0" collapsed="false">
      <c r="B7" s="6" t="s">
        <v>1945</v>
      </c>
      <c r="C7" s="7" t="n">
        <f aca="false">'Segment GP'!D6</f>
        <v>190035900</v>
      </c>
      <c r="D7" s="7" t="n">
        <f aca="false">'Segment GP'!E6</f>
        <v>646041120</v>
      </c>
      <c r="E7" s="7" t="n">
        <f aca="false">'Segment GP'!F6</f>
        <v>1402180774</v>
      </c>
      <c r="F7" s="7" t="n">
        <f aca="false">'Segment GP'!G6</f>
        <v>500309443.5</v>
      </c>
      <c r="G7" s="7" t="n">
        <f aca="false">'Segment GP'!H6</f>
        <v>246532160</v>
      </c>
      <c r="H7" s="7" t="n">
        <f aca="false">'Segment GP'!I6</f>
        <v>3044438109</v>
      </c>
    </row>
    <row r="8" customFormat="false" ht="15" hidden="false" customHeight="false" outlineLevel="0" collapsed="false">
      <c r="B8" s="11" t="s">
        <v>36</v>
      </c>
      <c r="C8" s="16" t="n">
        <f aca="false">ROUND(C7-C6,0)</f>
        <v>0</v>
      </c>
      <c r="D8" s="16" t="n">
        <f aca="false">ROUND(D7-D6,0)</f>
        <v>0</v>
      </c>
      <c r="E8" s="16" t="n">
        <f aca="false">ROUND(E7-E6,0)</f>
        <v>0</v>
      </c>
      <c r="F8" s="16" t="n">
        <f aca="false">ROUND(F7-F6,0)</f>
        <v>0</v>
      </c>
      <c r="G8" s="16" t="n">
        <f aca="false">ROUND(G7-G6,0)</f>
        <v>0</v>
      </c>
      <c r="H8" s="16" t="n">
        <f aca="false">ROUND(H7-H6,0)</f>
        <v>0</v>
      </c>
    </row>
    <row r="10" customFormat="false" ht="15" hidden="false" customHeight="false" outlineLevel="0" collapsed="false">
      <c r="B10" s="6" t="s">
        <v>1946</v>
      </c>
      <c r="C10" s="8" t="n">
        <v>0</v>
      </c>
      <c r="D10" s="8" t="n">
        <v>149939860</v>
      </c>
      <c r="E10" s="8" t="n">
        <v>44220195</v>
      </c>
      <c r="F10" s="8" t="n">
        <v>922384240</v>
      </c>
      <c r="G10" s="8" t="n">
        <v>2876425788.2</v>
      </c>
      <c r="H10" s="8" t="n">
        <v>5317322794</v>
      </c>
      <c r="I10" s="12"/>
    </row>
    <row r="11" customFormat="false" ht="15" hidden="false" customHeight="false" outlineLevel="0" collapsed="false">
      <c r="B11" s="6" t="s">
        <v>1947</v>
      </c>
      <c r="C11" s="7" t="n">
        <f aca="false">'Segment GP'!D7</f>
        <v>-0</v>
      </c>
      <c r="D11" s="7" t="n">
        <f aca="false">'Segment GP'!E7</f>
        <v>149939860</v>
      </c>
      <c r="E11" s="7" t="n">
        <f aca="false">'Segment GP'!F7</f>
        <v>44220195</v>
      </c>
      <c r="F11" s="7" t="n">
        <f aca="false">'Segment GP'!G7</f>
        <v>922384240</v>
      </c>
      <c r="G11" s="7" t="n">
        <f aca="false">'Segment GP'!H7</f>
        <v>2876425788.2</v>
      </c>
      <c r="H11" s="7" t="n">
        <f aca="false">'Segment GP'!I7</f>
        <v>5317322794</v>
      </c>
    </row>
    <row r="12" customFormat="false" ht="15" hidden="false" customHeight="false" outlineLevel="0" collapsed="false">
      <c r="B12" s="11" t="s">
        <v>36</v>
      </c>
      <c r="C12" s="16" t="n">
        <f aca="false">ROUND(C11-C10,0)</f>
        <v>-0</v>
      </c>
      <c r="D12" s="16" t="n">
        <f aca="false">ROUND(D11-D10,0)</f>
        <v>0</v>
      </c>
      <c r="E12" s="16" t="n">
        <f aca="false">ROUND(E11-E10,0)</f>
        <v>0</v>
      </c>
      <c r="F12" s="16" t="n">
        <f aca="false">ROUND(F11-F10,0)</f>
        <v>0</v>
      </c>
      <c r="G12" s="16" t="n">
        <f aca="false">ROUND(G11-G10,0)</f>
        <v>0</v>
      </c>
      <c r="H12" s="16" t="n">
        <f aca="false">ROUND(H11-H10,0)</f>
        <v>0</v>
      </c>
    </row>
    <row r="14" customFormat="false" ht="15" hidden="false" customHeight="false" outlineLevel="0" collapsed="false">
      <c r="B14" s="6" t="s">
        <v>1948</v>
      </c>
      <c r="C14" s="8" t="n">
        <v>-175935878.96</v>
      </c>
      <c r="D14" s="8" t="n">
        <v>-560531893.36</v>
      </c>
      <c r="E14" s="8" t="n">
        <v>-1561924874.37</v>
      </c>
      <c r="F14" s="8" t="n">
        <v>-484230773.79</v>
      </c>
      <c r="G14" s="8" t="n">
        <v>-248048792.61</v>
      </c>
      <c r="H14" s="8" t="n">
        <v>-3118984330.9</v>
      </c>
      <c r="I14" s="12" t="s">
        <v>1949</v>
      </c>
    </row>
    <row r="15" customFormat="false" ht="15" hidden="false" customHeight="false" outlineLevel="0" collapsed="false">
      <c r="B15" s="6" t="s">
        <v>1950</v>
      </c>
      <c r="C15" s="7" t="n">
        <f aca="false">'Segment GP'!D13</f>
        <v>-175151878.96</v>
      </c>
      <c r="D15" s="7" t="n">
        <f aca="false">'Segment GP'!E13</f>
        <v>-560531893.36</v>
      </c>
      <c r="E15" s="7" t="n">
        <f aca="false">'Segment GP'!F13</f>
        <v>-1561924874.37</v>
      </c>
      <c r="F15" s="7" t="n">
        <f aca="false">'Segment GP'!G13</f>
        <v>-484230773.79</v>
      </c>
      <c r="G15" s="7" t="n">
        <f aca="false">'Segment GP'!H13</f>
        <v>-248048792.53</v>
      </c>
      <c r="H15" s="7" t="n">
        <f aca="false">'Segment GP'!I13</f>
        <v>-3118984330.9</v>
      </c>
    </row>
    <row r="16" customFormat="false" ht="15" hidden="false" customHeight="false" outlineLevel="0" collapsed="false">
      <c r="B16" s="11" t="s">
        <v>36</v>
      </c>
      <c r="C16" s="16" t="n">
        <f aca="false">ROUND(C15-C14,0)</f>
        <v>784000</v>
      </c>
      <c r="D16" s="16" t="n">
        <f aca="false">ROUND(D15-D14,0)</f>
        <v>0</v>
      </c>
      <c r="E16" s="16" t="n">
        <f aca="false">ROUND(E15-E14,0)</f>
        <v>0</v>
      </c>
      <c r="F16" s="16" t="n">
        <f aca="false">ROUND(F15-F14,0)</f>
        <v>0</v>
      </c>
      <c r="G16" s="16" t="n">
        <f aca="false">ROUND(G15-G14,0)</f>
        <v>0</v>
      </c>
      <c r="H16" s="16" t="n">
        <f aca="false">ROUND(H15-H14,0)</f>
        <v>0</v>
      </c>
    </row>
    <row r="18" customFormat="false" ht="15" hidden="false" customHeight="false" outlineLevel="0" collapsed="false">
      <c r="B18" s="6" t="s">
        <v>1951</v>
      </c>
      <c r="C18" s="8" t="n">
        <v>0</v>
      </c>
      <c r="D18" s="8" t="n">
        <v>-141127370</v>
      </c>
      <c r="E18" s="8" t="n">
        <v>-40506060</v>
      </c>
      <c r="F18" s="8" t="n">
        <v>-807782400.1</v>
      </c>
      <c r="G18" s="8" t="n">
        <v>-2392253304.86</v>
      </c>
      <c r="H18" s="8" t="n">
        <v>-4835720965.07</v>
      </c>
      <c r="I18" s="12"/>
    </row>
    <row r="19" customFormat="false" ht="15" hidden="false" customHeight="false" outlineLevel="0" collapsed="false">
      <c r="B19" s="6" t="s">
        <v>1952</v>
      </c>
      <c r="C19" s="7" t="n">
        <f aca="false">'Segment GP'!D14</f>
        <v>-0</v>
      </c>
      <c r="D19" s="7" t="n">
        <f aca="false">'Segment GP'!E14</f>
        <v>-141127370</v>
      </c>
      <c r="E19" s="7" t="n">
        <f aca="false">'Segment GP'!F14</f>
        <v>-40506060</v>
      </c>
      <c r="F19" s="7" t="n">
        <f aca="false">'Segment GP'!G14</f>
        <v>-807782400.1</v>
      </c>
      <c r="G19" s="7" t="n">
        <f aca="false">'Segment GP'!H14</f>
        <v>-2392253304.86</v>
      </c>
      <c r="H19" s="7" t="n">
        <f aca="false">'Segment GP'!I14</f>
        <v>-4835720965.07</v>
      </c>
    </row>
    <row r="20" customFormat="false" ht="15" hidden="false" customHeight="false" outlineLevel="0" collapsed="false">
      <c r="B20" s="11" t="s">
        <v>36</v>
      </c>
      <c r="C20" s="16" t="n">
        <f aca="false">ROUND(C19-C18,0)</f>
        <v>-0</v>
      </c>
      <c r="D20" s="16" t="n">
        <f aca="false">ROUND(D19-D18,0)</f>
        <v>0</v>
      </c>
      <c r="E20" s="16" t="n">
        <f aca="false">ROUND(E19-E18,0)</f>
        <v>0</v>
      </c>
      <c r="F20" s="16" t="n">
        <f aca="false">ROUND(F19-F18,0)</f>
        <v>0</v>
      </c>
      <c r="G20" s="16" t="n">
        <f aca="false">ROUND(G19-G18,0)</f>
        <v>0</v>
      </c>
      <c r="H20" s="16" t="n">
        <f aca="false">ROUND(H19-H18,0)</f>
        <v>0</v>
      </c>
    </row>
    <row r="22" customFormat="false" ht="15" hidden="false" customHeight="false" outlineLevel="0" collapsed="false">
      <c r="B22" s="6" t="s">
        <v>1953</v>
      </c>
      <c r="C22" s="8" t="n">
        <v>0</v>
      </c>
      <c r="D22" s="8" t="n">
        <v>-45272146</v>
      </c>
      <c r="E22" s="8" t="n">
        <v>-124487598.95</v>
      </c>
      <c r="F22" s="8" t="n">
        <v>-192660424.99</v>
      </c>
      <c r="G22" s="8" t="n">
        <v>-119604477.5</v>
      </c>
      <c r="H22" s="8" t="n">
        <v>-100345850</v>
      </c>
      <c r="I22" s="12" t="s">
        <v>1954</v>
      </c>
    </row>
    <row r="23" customFormat="false" ht="15" hidden="false" customHeight="false" outlineLevel="0" collapsed="false">
      <c r="B23" s="6" t="s">
        <v>1955</v>
      </c>
      <c r="C23" s="7" t="n">
        <f aca="false">'Segment GP'!D29</f>
        <v>-784000</v>
      </c>
      <c r="D23" s="7" t="n">
        <f aca="false">'Segment GP'!E29</f>
        <v>-45272146</v>
      </c>
      <c r="E23" s="7" t="n">
        <f aca="false">'Segment GP'!F29</f>
        <v>-124487598.95</v>
      </c>
      <c r="F23" s="7" t="n">
        <f aca="false">'Segment GP'!G29</f>
        <v>-192660424.99</v>
      </c>
      <c r="G23" s="7" t="n">
        <f aca="false">'Segment GP'!H29</f>
        <v>-119604477.5</v>
      </c>
      <c r="H23" s="7" t="n">
        <f aca="false">'Segment GP'!I29</f>
        <v>-100345850</v>
      </c>
    </row>
    <row r="24" customFormat="false" ht="15" hidden="false" customHeight="false" outlineLevel="0" collapsed="false">
      <c r="B24" s="11" t="s">
        <v>36</v>
      </c>
      <c r="C24" s="16" t="n">
        <f aca="false">ROUND(C23-C22,0)</f>
        <v>-784000</v>
      </c>
      <c r="D24" s="16" t="n">
        <f aca="false">ROUND(D23-D22,0)</f>
        <v>0</v>
      </c>
      <c r="E24" s="16" t="n">
        <f aca="false">ROUND(E23-E22,0)</f>
        <v>0</v>
      </c>
      <c r="F24" s="16" t="n">
        <f aca="false">ROUND(F23-F22,0)</f>
        <v>0</v>
      </c>
      <c r="G24" s="16" t="n">
        <f aca="false">ROUND(G23-G22,0)</f>
        <v>0</v>
      </c>
      <c r="H24" s="16" t="n">
        <f aca="false">ROUND(H23-H22,0)</f>
        <v>0</v>
      </c>
    </row>
    <row r="26" customFormat="false" ht="15" hidden="false" customHeight="false" outlineLevel="0" collapsed="false">
      <c r="B26" s="6" t="s">
        <v>1956</v>
      </c>
      <c r="C26" s="8" t="n">
        <v>14100021.04</v>
      </c>
      <c r="D26" s="8" t="n">
        <v>49049570.64</v>
      </c>
      <c r="E26" s="8" t="n">
        <v>-280517564.32</v>
      </c>
      <c r="F26" s="8" t="n">
        <v>-61979915.38</v>
      </c>
      <c r="G26" s="8" t="n">
        <v>363051373.23</v>
      </c>
      <c r="H26" s="8" t="n">
        <v>306709757.030003</v>
      </c>
      <c r="I26" s="12"/>
    </row>
    <row r="27" customFormat="false" ht="15" hidden="false" customHeight="false" outlineLevel="0" collapsed="false">
      <c r="B27" s="6" t="s">
        <v>1957</v>
      </c>
      <c r="C27" s="7" t="n">
        <f aca="false">'Segment GP'!D34</f>
        <v>14100021.04</v>
      </c>
      <c r="D27" s="7" t="n">
        <f aca="false">'Segment GP'!E34</f>
        <v>49049570.64</v>
      </c>
      <c r="E27" s="7" t="n">
        <f aca="false">'Segment GP'!F34</f>
        <v>-280517564.32</v>
      </c>
      <c r="F27" s="7" t="n">
        <f aca="false">'Segment GP'!G34</f>
        <v>-61979915.3800001</v>
      </c>
      <c r="G27" s="7" t="n">
        <f aca="false">'Segment GP'!H34</f>
        <v>363051373.309999</v>
      </c>
      <c r="H27" s="7" t="n">
        <f aca="false">'Segment GP'!I34</f>
        <v>306709757.030001</v>
      </c>
    </row>
    <row r="28" customFormat="false" ht="15" hidden="false" customHeight="false" outlineLevel="0" collapsed="false">
      <c r="B28" s="11" t="s">
        <v>36</v>
      </c>
      <c r="C28" s="16" t="n">
        <f aca="false">ROUND(C27-C26,0)</f>
        <v>0</v>
      </c>
      <c r="D28" s="16" t="n">
        <f aca="false">ROUND(D27-D26,0)</f>
        <v>0</v>
      </c>
      <c r="E28" s="16" t="n">
        <f aca="false">ROUND(E27-E26,0)</f>
        <v>0</v>
      </c>
      <c r="F28" s="16" t="n">
        <f aca="false">ROUND(F27-F26,0)</f>
        <v>0</v>
      </c>
      <c r="G28" s="16" t="n">
        <f aca="false">ROUND(G27-G26,0)</f>
        <v>0</v>
      </c>
      <c r="H28" s="16" t="n">
        <f aca="false">ROUND(H27-H26,0)</f>
        <v>-0</v>
      </c>
    </row>
    <row r="30" customFormat="false" ht="15" hidden="false" customHeight="false" outlineLevel="0" collapsed="false">
      <c r="B30" s="18" t="s">
        <v>1958</v>
      </c>
    </row>
    <row r="31" customFormat="false" ht="30" hidden="false" customHeight="true" outlineLevel="0" collapsed="false">
      <c r="B31" s="5" t="s">
        <v>308</v>
      </c>
      <c r="C31" s="5" t="s">
        <v>1959</v>
      </c>
      <c r="D31" s="5" t="s">
        <v>1960</v>
      </c>
      <c r="E31" s="5" t="s">
        <v>1961</v>
      </c>
      <c r="F31" s="5" t="s">
        <v>1962</v>
      </c>
      <c r="G31" s="5" t="s">
        <v>1963</v>
      </c>
      <c r="H31" s="5"/>
      <c r="I31" s="5"/>
    </row>
    <row r="32" customFormat="false" ht="15" hidden="false" customHeight="false" outlineLevel="0" collapsed="false">
      <c r="B32" s="6" t="s">
        <v>1964</v>
      </c>
      <c r="C32" s="7" t="n">
        <f aca="false">I_GL!$M$7+I_GL!$M$8</f>
        <v>1365502897.18</v>
      </c>
      <c r="D32" s="7" t="n">
        <f aca="false">I_GL!$M$10+I_GL!$M$5</f>
        <v>2058624478.01</v>
      </c>
      <c r="E32" s="7" t="n">
        <f aca="false">I_GL!$M$9</f>
        <v>17245400</v>
      </c>
      <c r="F32" s="7" t="n">
        <f aca="false">I_GL!$M$6</f>
        <v>91185802.3799998</v>
      </c>
      <c r="G32" s="9" t="n">
        <f aca="false">SUM(C32:F32)</f>
        <v>3532558577.57</v>
      </c>
      <c r="I32" s="12" t="s">
        <v>1965</v>
      </c>
    </row>
    <row r="33" customFormat="false" ht="15" hidden="false" customHeight="false" outlineLevel="0" collapsed="false">
      <c r="B33" s="6" t="s">
        <v>1966</v>
      </c>
      <c r="C33" s="7" t="n">
        <f aca="false">I_Items!L138</f>
        <v>2313034608.61</v>
      </c>
      <c r="D33" s="7" t="n">
        <f aca="false">I_Items!L139</f>
        <v>2058624478.5</v>
      </c>
      <c r="E33" s="7" t="n">
        <f aca="false">I_Items!L140</f>
        <v>17245400</v>
      </c>
      <c r="F33" s="7" t="n">
        <f aca="false">SUMIFS('MA Engine'!$S$6:$S$1110,'MA Engine'!$P$6:$P$1110,"Y")</f>
        <v>91185802.2270655</v>
      </c>
      <c r="G33" s="9" t="n">
        <f aca="false">SUM(C33:F33)</f>
        <v>4480090289.33707</v>
      </c>
    </row>
    <row r="34" customFormat="false" ht="15" hidden="false" customHeight="false" outlineLevel="0" collapsed="false">
      <c r="B34" s="11" t="s">
        <v>1967</v>
      </c>
      <c r="C34" s="16" t="n">
        <f aca="false">C32-C33</f>
        <v>-947531711.43</v>
      </c>
      <c r="D34" s="16" t="n">
        <f aca="false">D32-D33</f>
        <v>-0.490000009536743</v>
      </c>
      <c r="E34" s="16" t="n">
        <f aca="false">E32-E33</f>
        <v>0</v>
      </c>
      <c r="F34" s="16" t="n">
        <f aca="false">F32-F33</f>
        <v>0.152934238314629</v>
      </c>
      <c r="G34" s="16" t="n">
        <f aca="false">SUM(C34:F34)</f>
        <v>-947531711.767066</v>
      </c>
    </row>
    <row r="35" customFormat="false" ht="15" hidden="false" customHeight="false" outlineLevel="0" collapsed="false">
      <c r="B35" s="6" t="s">
        <v>1968</v>
      </c>
      <c r="C35" s="7" t="n">
        <f aca="false">-Unbilled!L17</f>
        <v>-947613074</v>
      </c>
      <c r="D35" s="9" t="n">
        <v>0</v>
      </c>
      <c r="E35" s="9" t="n">
        <v>0</v>
      </c>
      <c r="F35" s="9" t="n">
        <v>0</v>
      </c>
      <c r="G35" s="9" t="n">
        <f aca="false">SUM(C35:F35)</f>
        <v>-947613074</v>
      </c>
    </row>
    <row r="36" customFormat="false" ht="15" hidden="false" customHeight="false" outlineLevel="0" collapsed="false">
      <c r="B36" s="6" t="s">
        <v>1969</v>
      </c>
      <c r="C36" s="7" t="n">
        <f aca="false">SUMIFS('MA Engine'!$S$6:$S$1110,'MA Engine'!$C$6:$C$1110,"RPA",'MA Engine'!$H$6:$H$1110,7,'MA Engine'!$I$6:$I$1110,"DO")-I_GL!H19-I_GL!H20</f>
        <v>81361.1258058697</v>
      </c>
      <c r="D36" s="9" t="n">
        <v>0</v>
      </c>
      <c r="E36" s="9" t="n">
        <v>0</v>
      </c>
      <c r="F36" s="9" t="n">
        <v>0</v>
      </c>
      <c r="G36" s="9" t="n">
        <f aca="false">SUM(C36:F36)</f>
        <v>81361.1258058697</v>
      </c>
    </row>
    <row r="37" customFormat="false" ht="15" hidden="false" customHeight="false" outlineLevel="0" collapsed="false">
      <c r="B37" s="11" t="s">
        <v>1970</v>
      </c>
      <c r="C37" s="16" t="n">
        <f aca="false">ROUND(C34-C35-C36,0)</f>
        <v>1</v>
      </c>
      <c r="D37" s="16" t="n">
        <f aca="false">ROUND(D34-D35-D36,0)</f>
        <v>-0</v>
      </c>
      <c r="E37" s="16" t="n">
        <f aca="false">ROUND(E34-E35-E36,0)</f>
        <v>0</v>
      </c>
      <c r="F37" s="16" t="n">
        <f aca="false">ROUND(F34-F35-F36,0)</f>
        <v>0</v>
      </c>
      <c r="G37" s="16" t="n">
        <f aca="false">SUM(C37:F37)</f>
        <v>1</v>
      </c>
    </row>
    <row r="39" customFormat="false" ht="15" hidden="false" customHeight="false" outlineLevel="0" collapsed="false">
      <c r="B39" s="18" t="s">
        <v>1971</v>
      </c>
    </row>
    <row r="40" customFormat="false" ht="30" hidden="false" customHeight="true" outlineLevel="0" collapsed="false">
      <c r="B40" s="5" t="s">
        <v>308</v>
      </c>
      <c r="C40" s="5" t="s">
        <v>1959</v>
      </c>
      <c r="D40" s="5" t="s">
        <v>1960</v>
      </c>
      <c r="E40" s="5" t="s">
        <v>1961</v>
      </c>
      <c r="F40" s="5" t="s">
        <v>1962</v>
      </c>
      <c r="G40" s="5" t="s">
        <v>1963</v>
      </c>
      <c r="H40" s="5"/>
      <c r="I40" s="5"/>
    </row>
    <row r="41" customFormat="false" ht="15" hidden="false" customHeight="false" outlineLevel="0" collapsed="false">
      <c r="B41" s="6" t="s">
        <v>1972</v>
      </c>
      <c r="C41" s="7" t="n">
        <f aca="false">I_GL!$N$7+I_GL!$N$8</f>
        <v>942623497.2</v>
      </c>
      <c r="D41" s="7" t="n">
        <f aca="false">I_GL!$N$10+I_GL!$N$5</f>
        <v>1674035994.39</v>
      </c>
      <c r="E41" s="7" t="n">
        <f aca="false">I_GL!$N$9</f>
        <v>857600</v>
      </c>
      <c r="F41" s="7" t="n">
        <f aca="false">I_GL!$N$6</f>
        <v>0.00999975204467773</v>
      </c>
      <c r="G41" s="9" t="n">
        <f aca="false">SUM(C41:F41)</f>
        <v>2617517091.6</v>
      </c>
    </row>
    <row r="42" customFormat="false" ht="15" hidden="false" customHeight="false" outlineLevel="0" collapsed="false">
      <c r="B42" s="6" t="s">
        <v>1973</v>
      </c>
      <c r="C42" s="7" t="n">
        <f aca="false">SUMIFS('MA Engine'!$L$6:$L$1110,'MA Engine'!$C$6:$C$1110,"RPA",'MA Engine'!$I$6:$I$1110,"Opening")+SUMIFS(I_Items!$J$5:$J$133,I_Items!$C$5:$C$133,"RPA",I_Items!$H$5:$H$133,"Dormant")</f>
        <v>942623495.97</v>
      </c>
      <c r="D42" s="7" t="n">
        <f aca="false">SUMIFS('MA Engine'!$L$6:$L$1110,'MA Engine'!$C$6:$C$1110,"Trading",'MA Engine'!$I$6:$I$1110,"Opening")+SUMIFS(I_Items!$J$5:$J$133,I_Items!$C$5:$C$133,"Trading",I_Items!$H$5:$H$133,"Dormant")</f>
        <v>1674035994.09</v>
      </c>
      <c r="E42" s="7" t="n">
        <f aca="false">SUMIFS('MA Engine'!$L$6:$L$1110,'MA Engine'!$C$6:$C$1110,"Other",'MA Engine'!$I$6:$I$1110,"Opening")+SUMIFS(I_Items!$J$5:$J$133,I_Items!$C$5:$C$133,"Other",I_Items!$H$5:$H$133,"Dormant")</f>
        <v>857600</v>
      </c>
      <c r="F42" s="9" t="n">
        <v>0</v>
      </c>
      <c r="G42" s="9" t="n">
        <f aca="false">SUM(C42:F42)</f>
        <v>2617517090.06</v>
      </c>
    </row>
    <row r="43" customFormat="false" ht="15" hidden="false" customHeight="false" outlineLevel="0" collapsed="false">
      <c r="B43" s="11" t="s">
        <v>1974</v>
      </c>
      <c r="C43" s="16" t="n">
        <f aca="false">ROUND(C41-C42,0)</f>
        <v>1</v>
      </c>
      <c r="D43" s="16" t="n">
        <f aca="false">ROUND(D41-D42,0)</f>
        <v>0</v>
      </c>
      <c r="E43" s="16" t="n">
        <f aca="false">ROUND(E41-E42,0)</f>
        <v>0</v>
      </c>
      <c r="F43" s="16" t="n">
        <f aca="false">ROUND(F41-F42,0)</f>
        <v>0</v>
      </c>
      <c r="G43" s="16" t="n">
        <f aca="false">SUM(C43:F43)</f>
        <v>1</v>
      </c>
    </row>
    <row r="45" customFormat="false" ht="15" hidden="false" customHeight="false" outlineLevel="0" collapsed="false">
      <c r="B45" s="6" t="s">
        <v>1975</v>
      </c>
      <c r="C45" s="7" t="n">
        <f aca="false">I_GL!$L$7+I_GL!$L$8</f>
        <v>752230699.71</v>
      </c>
      <c r="D45" s="7" t="n">
        <f aca="false">I_GL!$L$10+I_GL!$L$5</f>
        <v>2143524024.53</v>
      </c>
      <c r="E45" s="7" t="n">
        <f aca="false">I_GL!$L$9</f>
        <v>0</v>
      </c>
      <c r="F45" s="7" t="n">
        <f aca="false">I_GL!$L$6</f>
        <v>0.00999975204467773</v>
      </c>
      <c r="G45" s="9" t="n">
        <f aca="false">SUM(C45:F45)</f>
        <v>2895754724.25</v>
      </c>
    </row>
    <row r="46" customFormat="false" ht="15" hidden="false" customHeight="false" outlineLevel="0" collapsed="false">
      <c r="B46" s="6" t="s">
        <v>1976</v>
      </c>
      <c r="C46" s="7" t="n">
        <f aca="false">SUMIFS('MA Engine'!$L$6:$L$1110,'MA Engine'!$C$6:$C$1110,"RPA",'MA Engine'!$I$6:$I$1110,"Opening")+SUMIFS('MA Engine'!$L$6:$L$1110,'MA Engine'!$C$6:$C$1110,"RPA",'MA Engine'!$H$6:$H$1110,7,'MA Engine'!$I$6:$I$1110,"&lt;&gt;Opening")-SUMIFS('MA Engine'!$S$6:$S$1110,'MA Engine'!$C$6:$C$1110,"RPA",'MA Engine'!$H$6:$H$1110,7)+SUMIFS(I_Items!$J$5:$J$133,I_Items!$C$5:$C$133,"RPA",I_Items!$H$5:$H$133,"Dormant")</f>
        <v>752149337.354194</v>
      </c>
      <c r="D46" s="7" t="n">
        <f aca="false">SUMIFS('MA Engine'!$L$6:$L$1110,'MA Engine'!$C$6:$C$1110,"Trading",'MA Engine'!$I$6:$I$1110,"Opening")+SUMIFS('MA Engine'!$L$6:$L$1110,'MA Engine'!$C$6:$C$1110,"Trading",'MA Engine'!$H$6:$H$1110,7,'MA Engine'!$I$6:$I$1110,"&lt;&gt;Opening")-SUMIFS('MA Engine'!$S$6:$S$1110,'MA Engine'!$C$6:$C$1110,"Trading",'MA Engine'!$H$6:$H$1110,7)+SUMIFS(I_Items!$J$5:$J$133,I_Items!$C$5:$C$133,"Trading",I_Items!$H$5:$H$133,"Dormant")</f>
        <v>2143524026.46681</v>
      </c>
      <c r="E46" s="7" t="n">
        <f aca="false">SUMIFS('MA Engine'!$L$6:$L$1110,'MA Engine'!$C$6:$C$1110,"Other",'MA Engine'!$I$6:$I$1110,"Opening")+SUMIFS('MA Engine'!$L$6:$L$1110,'MA Engine'!$C$6:$C$1110,"Other",'MA Engine'!$H$6:$H$1110,7,'MA Engine'!$I$6:$I$1110,"&lt;&gt;Opening")-SUMIFS('MA Engine'!$S$6:$S$1110,'MA Engine'!$C$6:$C$1110,"Other",'MA Engine'!$H$6:$H$1110,7)+SUMIFS(I_Items!$J$5:$J$133,I_Items!$C$5:$C$133,"Other",I_Items!$H$5:$H$133,"Dormant")</f>
        <v>0</v>
      </c>
      <c r="F46" s="9" t="n">
        <v>0</v>
      </c>
      <c r="G46" s="9" t="n">
        <f aca="false">SUM(C46:F46)</f>
        <v>2895673363.821</v>
      </c>
    </row>
    <row r="47" customFormat="false" ht="15" hidden="false" customHeight="false" outlineLevel="0" collapsed="false">
      <c r="B47" s="11" t="s">
        <v>1977</v>
      </c>
      <c r="C47" s="16" t="n">
        <f aca="false">ROUND(C45-C46,0)</f>
        <v>81362</v>
      </c>
      <c r="D47" s="16" t="n">
        <f aca="false">ROUND(D45-D46,0)</f>
        <v>-2</v>
      </c>
      <c r="E47" s="16" t="n">
        <f aca="false">ROUND(E45-E46,0)</f>
        <v>0</v>
      </c>
      <c r="F47" s="16" t="n">
        <f aca="false">ROUND(F45-F46,0)</f>
        <v>0</v>
      </c>
      <c r="G47" s="16" t="n">
        <f aca="false">SUM(C47:F47)</f>
        <v>81360</v>
      </c>
      <c r="I47" s="12" t="s">
        <v>1978</v>
      </c>
    </row>
    <row r="51" customFormat="false" ht="15" hidden="false" customHeight="false" outlineLevel="0" collapsed="false">
      <c r="B51" s="18" t="s">
        <v>1979</v>
      </c>
    </row>
    <row r="52" customFormat="false" ht="15" hidden="false" customHeight="false" outlineLevel="0" collapsed="false">
      <c r="B52" s="6" t="s">
        <v>1980</v>
      </c>
      <c r="H52" s="8" t="n">
        <v>-26517860.5099974</v>
      </c>
    </row>
    <row r="53" customFormat="false" ht="15" hidden="false" customHeight="false" outlineLevel="0" collapsed="false">
      <c r="B53" s="6" t="s">
        <v>1981</v>
      </c>
      <c r="H53" s="7" t="n">
        <f aca="false">'Segment GP'!K34</f>
        <v>-3008569.91583142</v>
      </c>
    </row>
    <row r="54" customFormat="false" ht="15" hidden="false" customHeight="false" outlineLevel="0" collapsed="false">
      <c r="B54" s="6" t="s">
        <v>1982</v>
      </c>
      <c r="H54" s="7" t="n">
        <f aca="false">'Segment GP'!L34</f>
        <v>2436949.57751734</v>
      </c>
    </row>
    <row r="55" customFormat="false" ht="15" hidden="false" customHeight="false" outlineLevel="0" collapsed="false">
      <c r="B55" s="11" t="s">
        <v>1983</v>
      </c>
      <c r="H55" s="16" t="n">
        <f aca="false">SUM(H52:H54)</f>
        <v>-27089480.8483115</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7" min="3" style="0" width="11"/>
    <col collapsed="false" customWidth="true" hidden="false" outlineLevel="0" max="9" min="8" style="0" width="12"/>
  </cols>
  <sheetData>
    <row r="1" customFormat="false" ht="15" hidden="false" customHeight="false" outlineLevel="0" collapsed="false">
      <c r="A1" s="1" t="s">
        <v>1984</v>
      </c>
    </row>
    <row r="2" customFormat="false" ht="15" hidden="false" customHeight="false" outlineLevel="0" collapsed="false">
      <c r="A2" s="4" t="s">
        <v>1985</v>
      </c>
    </row>
    <row r="5" customFormat="false" ht="30" hidden="false" customHeight="true" outlineLevel="0" collapsed="false">
      <c r="B5" s="5" t="s">
        <v>1986</v>
      </c>
      <c r="C5" s="5" t="s">
        <v>731</v>
      </c>
      <c r="D5" s="5" t="s">
        <v>732</v>
      </c>
      <c r="E5" s="5" t="s">
        <v>733</v>
      </c>
      <c r="F5" s="5" t="s">
        <v>734</v>
      </c>
      <c r="G5" s="5" t="s">
        <v>184</v>
      </c>
      <c r="H5" s="5" t="s">
        <v>185</v>
      </c>
      <c r="I5" s="5" t="s">
        <v>1987</v>
      </c>
    </row>
    <row r="6" customFormat="false" ht="15" hidden="false" customHeight="false" outlineLevel="0" collapsed="false">
      <c r="B6" s="6" t="s">
        <v>189</v>
      </c>
      <c r="C6" s="19" t="n">
        <f aca="false">'Segment GP'!D6/1000000</f>
        <v>190.0359</v>
      </c>
      <c r="D6" s="19" t="n">
        <f aca="false">'Segment GP'!E6/1000000</f>
        <v>646.04112</v>
      </c>
      <c r="E6" s="19" t="n">
        <f aca="false">'Segment GP'!F6/1000000</f>
        <v>1402.180774</v>
      </c>
      <c r="F6" s="19" t="n">
        <f aca="false">'Segment GP'!G6/1000000</f>
        <v>500.3094435</v>
      </c>
      <c r="G6" s="19" t="n">
        <f aca="false">'Segment GP'!H6/1000000</f>
        <v>246.53216</v>
      </c>
      <c r="H6" s="19" t="n">
        <f aca="false">'Segment GP'!M6/1000000</f>
        <v>2691.68699031342</v>
      </c>
      <c r="I6" s="19" t="n">
        <f aca="false">'Segment GP'!N6/1000000</f>
        <v>5676.78638781342</v>
      </c>
    </row>
    <row r="7" customFormat="false" ht="15" hidden="false" customHeight="false" outlineLevel="0" collapsed="false">
      <c r="B7" s="6" t="s">
        <v>191</v>
      </c>
      <c r="C7" s="19" t="n">
        <f aca="false">'Segment GP'!D7/1000000</f>
        <v>-0</v>
      </c>
      <c r="D7" s="19" t="n">
        <f aca="false">'Segment GP'!E7/1000000</f>
        <v>149.93986</v>
      </c>
      <c r="E7" s="19" t="n">
        <f aca="false">'Segment GP'!F7/1000000</f>
        <v>44.220195</v>
      </c>
      <c r="F7" s="19" t="n">
        <f aca="false">'Segment GP'!G7/1000000</f>
        <v>922.38424</v>
      </c>
      <c r="G7" s="19" t="n">
        <f aca="false">'Segment GP'!H7/1000000</f>
        <v>2876.4257882</v>
      </c>
      <c r="H7" s="19" t="n">
        <f aca="false">'Segment GP'!M7/1000000</f>
        <v>5670.07391268658</v>
      </c>
      <c r="I7" s="19" t="n">
        <f aca="false">'Segment GP'!N7/1000000</f>
        <v>9663.04399588658</v>
      </c>
    </row>
    <row r="8" customFormat="false" ht="15" hidden="false" customHeight="false" outlineLevel="0" collapsed="false">
      <c r="B8" s="6" t="s">
        <v>1988</v>
      </c>
      <c r="C8" s="19" t="n">
        <f aca="false">'Segment GP'!D8/1000000</f>
        <v>0</v>
      </c>
      <c r="D8" s="19" t="n">
        <f aca="false">'Segment GP'!E8/1000000</f>
        <v>0</v>
      </c>
      <c r="E8" s="19" t="n">
        <f aca="false">'Segment GP'!F8/1000000</f>
        <v>0</v>
      </c>
      <c r="F8" s="19" t="n">
        <f aca="false">'Segment GP'!G8/1000000</f>
        <v>0</v>
      </c>
      <c r="G8" s="19" t="n">
        <f aca="false">'Segment GP'!H8/1000000</f>
        <v>0</v>
      </c>
      <c r="H8" s="19" t="n">
        <f aca="false">'Segment GP'!M8/1000000</f>
        <v>0</v>
      </c>
      <c r="I8" s="19" t="n">
        <f aca="false">'Segment GP'!N8/1000000</f>
        <v>0</v>
      </c>
    </row>
    <row r="9" customFormat="false" ht="15" hidden="false" customHeight="false" outlineLevel="0" collapsed="false">
      <c r="B9" s="11" t="s">
        <v>1989</v>
      </c>
      <c r="C9" s="19" t="n">
        <f aca="false">'Segment GP'!D9/1000000</f>
        <v>190.0359</v>
      </c>
      <c r="D9" s="19" t="n">
        <f aca="false">'Segment GP'!E9/1000000</f>
        <v>795.98098</v>
      </c>
      <c r="E9" s="19" t="n">
        <f aca="false">'Segment GP'!F9/1000000</f>
        <v>1446.400969</v>
      </c>
      <c r="F9" s="19" t="n">
        <f aca="false">'Segment GP'!G9/1000000</f>
        <v>1422.6936835</v>
      </c>
      <c r="G9" s="19" t="n">
        <f aca="false">'Segment GP'!H9/1000000</f>
        <v>3122.9579482</v>
      </c>
      <c r="H9" s="19" t="n">
        <f aca="false">'Segment GP'!M9/1000000</f>
        <v>8361.760903</v>
      </c>
      <c r="I9" s="19" t="n">
        <f aca="false">'Segment GP'!N9/1000000</f>
        <v>15339.8303837</v>
      </c>
    </row>
    <row r="10" customFormat="false" ht="15" hidden="false" customHeight="false" outlineLevel="0" collapsed="false">
      <c r="B10" s="6" t="s">
        <v>1990</v>
      </c>
      <c r="C10" s="19" t="n">
        <f aca="false">'Segment GP'!D13/1000000</f>
        <v>-175.15187896</v>
      </c>
      <c r="D10" s="19" t="n">
        <f aca="false">'Segment GP'!E13/1000000</f>
        <v>-560.53189336</v>
      </c>
      <c r="E10" s="19" t="n">
        <f aca="false">'Segment GP'!F13/1000000</f>
        <v>-1561.92487437</v>
      </c>
      <c r="F10" s="19" t="n">
        <f aca="false">'Segment GP'!G13/1000000</f>
        <v>-484.23077379</v>
      </c>
      <c r="G10" s="19" t="n">
        <f aca="false">'Segment GP'!H13/1000000</f>
        <v>-248.04879253</v>
      </c>
      <c r="H10" s="19" t="n">
        <f aca="false">'Segment GP'!M13/1000000</f>
        <v>-2755.14923325809</v>
      </c>
      <c r="I10" s="19" t="n">
        <f aca="false">'Segment GP'!N13/1000000</f>
        <v>-5785.03744626809</v>
      </c>
    </row>
    <row r="11" customFormat="false" ht="15" hidden="false" customHeight="false" outlineLevel="0" collapsed="false">
      <c r="B11" s="6" t="s">
        <v>1991</v>
      </c>
      <c r="C11" s="19" t="n">
        <f aca="false">'Segment GP'!D14/1000000</f>
        <v>-0</v>
      </c>
      <c r="D11" s="19" t="n">
        <f aca="false">'Segment GP'!E14/1000000</f>
        <v>-141.12737</v>
      </c>
      <c r="E11" s="19" t="n">
        <f aca="false">'Segment GP'!F14/1000000</f>
        <v>-40.50606</v>
      </c>
      <c r="F11" s="19" t="n">
        <f aca="false">'Segment GP'!G14/1000000</f>
        <v>-807.7824001</v>
      </c>
      <c r="G11" s="19" t="n">
        <f aca="false">'Segment GP'!H14/1000000</f>
        <v>-2392.25330486</v>
      </c>
      <c r="H11" s="19" t="n">
        <f aca="false">'Segment GP'!M14/1000000</f>
        <v>-5200.12768266033</v>
      </c>
      <c r="I11" s="19" t="n">
        <f aca="false">'Segment GP'!N14/1000000</f>
        <v>-8581.79681762033</v>
      </c>
    </row>
    <row r="12" customFormat="false" ht="15" hidden="false" customHeight="false" outlineLevel="0" collapsed="false">
      <c r="B12" s="6" t="s">
        <v>1992</v>
      </c>
      <c r="C12" s="19" t="n">
        <f aca="false">'Segment GP'!D15/1000000</f>
        <v>0</v>
      </c>
      <c r="D12" s="19" t="n">
        <f aca="false">'Segment GP'!E15/1000000</f>
        <v>0</v>
      </c>
      <c r="E12" s="19" t="n">
        <f aca="false">'Segment GP'!F15/1000000</f>
        <v>0</v>
      </c>
      <c r="F12" s="19" t="n">
        <f aca="false">'Segment GP'!G15/1000000</f>
        <v>0</v>
      </c>
      <c r="G12" s="19" t="n">
        <f aca="false">'Segment GP'!H15/1000000</f>
        <v>0</v>
      </c>
      <c r="H12" s="19" t="n">
        <f aca="false">'Segment GP'!M15/1000000</f>
        <v>0</v>
      </c>
      <c r="I12" s="19" t="n">
        <f aca="false">'Segment GP'!N15/1000000</f>
        <v>0</v>
      </c>
    </row>
    <row r="13" customFormat="false" ht="15" hidden="false" customHeight="false" outlineLevel="0" collapsed="false">
      <c r="B13" s="6" t="s">
        <v>1993</v>
      </c>
      <c r="C13" s="19" t="n">
        <f aca="false">'Segment GP'!D29/1000000</f>
        <v>-0.784</v>
      </c>
      <c r="D13" s="19" t="n">
        <f aca="false">'Segment GP'!E29/1000000</f>
        <v>-45.272146</v>
      </c>
      <c r="E13" s="19" t="n">
        <f aca="false">'Segment GP'!F29/1000000</f>
        <v>-124.48759895</v>
      </c>
      <c r="F13" s="19" t="n">
        <f aca="false">'Segment GP'!G29/1000000</f>
        <v>-192.66042499</v>
      </c>
      <c r="G13" s="19" t="n">
        <f aca="false">'Segment GP'!H29/1000000</f>
        <v>-119.6044775</v>
      </c>
      <c r="H13" s="19" t="n">
        <f aca="false">'Segment GP'!M29/1000000</f>
        <v>-100.34585</v>
      </c>
      <c r="I13" s="19" t="n">
        <f aca="false">'Segment GP'!N29/1000000</f>
        <v>-583.15449744</v>
      </c>
    </row>
    <row r="14" customFormat="false" ht="15" hidden="false" customHeight="false" outlineLevel="0" collapsed="false">
      <c r="B14" s="6" t="s">
        <v>774</v>
      </c>
      <c r="C14" s="19" t="n">
        <f aca="false">'Segment GP'!D31/1000000</f>
        <v>14.88402104</v>
      </c>
      <c r="D14" s="19" t="n">
        <f aca="false">'Segment GP'!E31/1000000</f>
        <v>85.50922664</v>
      </c>
      <c r="E14" s="19" t="n">
        <f aca="false">'Segment GP'!F31/1000000</f>
        <v>-159.74410037</v>
      </c>
      <c r="F14" s="19" t="n">
        <f aca="false">'Segment GP'!G31/1000000</f>
        <v>16.07866971</v>
      </c>
      <c r="G14" s="19" t="n">
        <f aca="false">'Segment GP'!H31/1000000</f>
        <v>-1.51663253000003</v>
      </c>
      <c r="H14" s="19" t="n">
        <f aca="false">'Segment GP'!M31/1000000</f>
        <v>-63.4622429446635</v>
      </c>
      <c r="I14" s="19" t="n">
        <f aca="false">'Segment GP'!N31/1000000</f>
        <v>-108.251058454663</v>
      </c>
    </row>
    <row r="15" customFormat="false" ht="15" hidden="false" customHeight="false" outlineLevel="0" collapsed="false">
      <c r="B15" s="6" t="s">
        <v>775</v>
      </c>
      <c r="C15" s="19" t="n">
        <f aca="false">'Segment GP'!D32/1000000</f>
        <v>0</v>
      </c>
      <c r="D15" s="19" t="n">
        <f aca="false">'Segment GP'!E32/1000000</f>
        <v>8.81249</v>
      </c>
      <c r="E15" s="19" t="n">
        <f aca="false">'Segment GP'!F32/1000000</f>
        <v>3.714135</v>
      </c>
      <c r="F15" s="19" t="n">
        <f aca="false">'Segment GP'!G32/1000000</f>
        <v>114.6018399</v>
      </c>
      <c r="G15" s="19" t="n">
        <f aca="false">'Segment GP'!H32/1000000</f>
        <v>484.17248334</v>
      </c>
      <c r="H15" s="19" t="n">
        <f aca="false">'Segment GP'!M32/1000000</f>
        <v>469.94623002625</v>
      </c>
      <c r="I15" s="19" t="n">
        <f aca="false">'Segment GP'!N32/1000000</f>
        <v>1081.24717826625</v>
      </c>
    </row>
    <row r="16" customFormat="false" ht="15" hidden="false" customHeight="false" outlineLevel="0" collapsed="false">
      <c r="B16" s="6" t="s">
        <v>1994</v>
      </c>
      <c r="C16" s="19" t="n">
        <f aca="false">'Segment GP'!D33/1000000</f>
        <v>-0.784</v>
      </c>
      <c r="D16" s="19" t="n">
        <f aca="false">'Segment GP'!E33/1000000</f>
        <v>-45.272146</v>
      </c>
      <c r="E16" s="19" t="n">
        <f aca="false">'Segment GP'!F33/1000000</f>
        <v>-124.48759895</v>
      </c>
      <c r="F16" s="19" t="n">
        <f aca="false">'Segment GP'!G33/1000000</f>
        <v>-192.66042499</v>
      </c>
      <c r="G16" s="19" t="n">
        <f aca="false">'Segment GP'!H33/1000000</f>
        <v>-119.6044775</v>
      </c>
      <c r="H16" s="19" t="n">
        <f aca="false">'Segment GP'!M33/1000000</f>
        <v>-100.34585</v>
      </c>
      <c r="I16" s="19" t="n">
        <f aca="false">'Segment GP'!N33/1000000</f>
        <v>-583.15449744</v>
      </c>
    </row>
    <row r="17" customFormat="false" ht="15" hidden="false" customHeight="false" outlineLevel="0" collapsed="false">
      <c r="B17" s="11" t="s">
        <v>193</v>
      </c>
      <c r="C17" s="19" t="n">
        <f aca="false">'Segment GP'!D34/1000000</f>
        <v>14.10002104</v>
      </c>
      <c r="D17" s="19" t="n">
        <f aca="false">'Segment GP'!E34/1000000</f>
        <v>49.04957064</v>
      </c>
      <c r="E17" s="19" t="n">
        <f aca="false">'Segment GP'!F34/1000000</f>
        <v>-280.51756432</v>
      </c>
      <c r="F17" s="19" t="n">
        <f aca="false">'Segment GP'!G34/1000000</f>
        <v>-61.9799153800001</v>
      </c>
      <c r="G17" s="19" t="n">
        <f aca="false">'Segment GP'!H34/1000000</f>
        <v>363.051373309999</v>
      </c>
      <c r="H17" s="19" t="n">
        <f aca="false">'Segment GP'!M34/1000000</f>
        <v>306.138137081587</v>
      </c>
      <c r="I17" s="19" t="n">
        <f aca="false">'Segment GP'!N34/1000000</f>
        <v>389.841622371588</v>
      </c>
    </row>
    <row r="18" customFormat="false" ht="15" hidden="false" customHeight="false" outlineLevel="0" collapsed="false">
      <c r="B18" s="6" t="s">
        <v>1995</v>
      </c>
      <c r="C18" s="19" t="n">
        <f aca="false">'Segment GP'!D35*100</f>
        <v>7.83221540772033</v>
      </c>
      <c r="D18" s="19" t="n">
        <f aca="false">'Segment GP'!E35*100</f>
        <v>13.2358798833115</v>
      </c>
      <c r="E18" s="19" t="n">
        <f aca="false">'Segment GP'!F35*100</f>
        <v>-11.392546762305</v>
      </c>
      <c r="F18" s="19" t="n">
        <f aca="false">'Segment GP'!G35*100</f>
        <v>3.21374499700004</v>
      </c>
      <c r="G18" s="19" t="n">
        <f aca="false">'Segment GP'!H35*100</f>
        <v>-0.615186485203404</v>
      </c>
      <c r="H18" s="19" t="n">
        <f aca="false">'Segment GP'!M35*100</f>
        <v>-2.35771258593756</v>
      </c>
      <c r="I18" s="19" t="n">
        <f aca="false">'Segment GP'!N35*100</f>
        <v>-1.90690737786171</v>
      </c>
    </row>
    <row r="19" customFormat="false" ht="15" hidden="false" customHeight="false" outlineLevel="0" collapsed="false">
      <c r="B19" s="6" t="s">
        <v>1996</v>
      </c>
      <c r="C19" s="19" t="n">
        <f aca="false">'Segment GP'!D36*100</f>
        <v>0</v>
      </c>
      <c r="D19" s="19" t="n">
        <f aca="false">'Segment GP'!E36*100</f>
        <v>5.87734975876328</v>
      </c>
      <c r="E19" s="19" t="n">
        <f aca="false">'Segment GP'!F36*100</f>
        <v>8.39918277158208</v>
      </c>
      <c r="F19" s="19" t="n">
        <f aca="false">'Segment GP'!G36*100</f>
        <v>12.4245227672147</v>
      </c>
      <c r="G19" s="19" t="n">
        <f aca="false">'Segment GP'!H36*100</f>
        <v>16.8324343818021</v>
      </c>
      <c r="H19" s="19" t="n">
        <f aca="false">'Segment GP'!M36*100</f>
        <v>8.28818525583525</v>
      </c>
      <c r="I19" s="19" t="n">
        <f aca="false">'Segment GP'!N36*100</f>
        <v>11.1895090069601</v>
      </c>
    </row>
    <row r="20" customFormat="false" ht="15" hidden="false" customHeight="false" outlineLevel="0" collapsed="false">
      <c r="B20" s="6" t="s">
        <v>1997</v>
      </c>
      <c r="C20" s="19" t="n">
        <f aca="false">'Segment GP'!D38*100</f>
        <v>7.41966177969531</v>
      </c>
      <c r="D20" s="19" t="n">
        <f aca="false">'Segment GP'!E38*100</f>
        <v>6.162153603218</v>
      </c>
      <c r="E20" s="19" t="n">
        <f aca="false">'Segment GP'!F38*100</f>
        <v>-19.3941770181433</v>
      </c>
      <c r="F20" s="19" t="n">
        <f aca="false">'Segment GP'!G38*100</f>
        <v>-4.35651863073729</v>
      </c>
      <c r="G20" s="19" t="n">
        <f aca="false">'Segment GP'!H38*100</f>
        <v>11.6252405357957</v>
      </c>
      <c r="H20" s="19" t="n">
        <f aca="false">'Segment GP'!M38*100</f>
        <v>3.66116827104865</v>
      </c>
      <c r="I20" s="19" t="n">
        <f aca="false">'Segment GP'!N38*100</f>
        <v>2.54136853290002</v>
      </c>
    </row>
    <row r="21" customFormat="false" ht="15" hidden="false" customHeight="false" outlineLevel="0" collapsed="false">
      <c r="B21" s="6" t="s">
        <v>1998</v>
      </c>
      <c r="C21" s="19" t="n">
        <f aca="false">'Segment GP'!D22*100</f>
        <v>7.83221540772033</v>
      </c>
      <c r="D21" s="19" t="n">
        <f aca="false">'Segment GP'!E22*100</f>
        <v>13.2358798833115</v>
      </c>
      <c r="E21" s="19" t="n">
        <f aca="false">'Segment GP'!F22*100</f>
        <v>-11.392546762305</v>
      </c>
      <c r="F21" s="19" t="n">
        <f aca="false">'Segment GP'!G22*100</f>
        <v>3.21374499700004</v>
      </c>
      <c r="G21" s="19" t="n">
        <f aca="false">'Segment GP'!H22*100</f>
        <v>-0.615186485203404</v>
      </c>
      <c r="H21" s="19" t="n">
        <f aca="false">'Segment GP'!M22*100</f>
        <v>-2.35771258593756</v>
      </c>
      <c r="I21" s="19" t="n">
        <f aca="false">'Segment GP'!N22*100</f>
        <v>-1.90690737786171</v>
      </c>
    </row>
    <row r="22" customFormat="false" ht="15" hidden="false" customHeight="false" outlineLevel="0" collapsed="false">
      <c r="B22" s="6" t="s">
        <v>1999</v>
      </c>
      <c r="C22" s="19" t="n">
        <f aca="false">'Segment GP'!D23*100</f>
        <v>0</v>
      </c>
      <c r="D22" s="19" t="n">
        <f aca="false">'Segment GP'!E23*100</f>
        <v>5.87734975876328</v>
      </c>
      <c r="E22" s="19" t="n">
        <f aca="false">'Segment GP'!F23*100</f>
        <v>8.39918277158208</v>
      </c>
      <c r="F22" s="19" t="n">
        <f aca="false">'Segment GP'!G23*100</f>
        <v>12.4245227672147</v>
      </c>
      <c r="G22" s="19" t="n">
        <f aca="false">'Segment GP'!H23*100</f>
        <v>16.8324343818021</v>
      </c>
      <c r="H22" s="19" t="n">
        <f aca="false">'Segment GP'!M23*100</f>
        <v>8.28818525583525</v>
      </c>
      <c r="I22" s="19" t="n">
        <f aca="false">'Segment GP'!N23*100</f>
        <v>11.1895090069601</v>
      </c>
    </row>
    <row r="25" customFormat="false" ht="19.5" hidden="false" customHeight="true" outlineLevel="0" collapsed="false">
      <c r="B25" s="5" t="s">
        <v>2000</v>
      </c>
      <c r="C25" s="5" t="s">
        <v>2001</v>
      </c>
      <c r="D25" s="5" t="s">
        <v>2002</v>
      </c>
    </row>
    <row r="26" customFormat="false" ht="15" hidden="false" customHeight="false" outlineLevel="0" collapsed="false">
      <c r="B26" s="53" t="str">
        <f aca="false">'GP Waterfall'!B16</f>
        <v>GP margin Jul-26</v>
      </c>
      <c r="C26" s="13" t="n">
        <f aca="false">'GP Waterfall'!C16*100</f>
        <v>-0.615186485203404</v>
      </c>
      <c r="D26" s="13" t="n">
        <f aca="false">'GP Waterfall'!D16*100</f>
        <v>-0.615186485203404</v>
      </c>
    </row>
    <row r="27" customFormat="false" ht="15" hidden="false" customHeight="false" outlineLevel="0" collapsed="false">
      <c r="B27" s="53" t="str">
        <f aca="false">'GP Waterfall'!B17</f>
        <v>Stok pra-Juli</v>
      </c>
      <c r="C27" s="13" t="n">
        <f aca="false">'GP Waterfall'!C17*100</f>
        <v>1.49828513922452</v>
      </c>
      <c r="D27" s="13" t="n">
        <f aca="false">'GP Waterfall'!D17*100</f>
        <v>1.50769380846776</v>
      </c>
    </row>
    <row r="28" customFormat="false" ht="15" hidden="false" customHeight="false" outlineLevel="0" collapsed="false">
      <c r="B28" s="53" t="str">
        <f aca="false">'GP Waterfall'!B18</f>
        <v>Produksi Juli</v>
      </c>
      <c r="C28" s="13" t="n">
        <f aca="false">'GP Waterfall'!C18*100</f>
        <v>0.405724207380383</v>
      </c>
      <c r="D28" s="13" t="n">
        <f aca="false">'GP Waterfall'!D18*100</f>
        <v>0.372353986309379</v>
      </c>
    </row>
    <row r="29" customFormat="false" ht="15" hidden="false" customHeight="false" outlineLevel="0" collapsed="false">
      <c r="B29" s="53" t="str">
        <f aca="false">'GP Waterfall'!B19</f>
        <v>Produksi Agustus</v>
      </c>
      <c r="C29" s="13" t="n">
        <f aca="false">'GP Waterfall'!C19*100</f>
        <v>-3.91471755877174</v>
      </c>
      <c r="D29" s="13" t="n">
        <f aca="false">'GP Waterfall'!D19*100</f>
        <v>-3.89075600694398</v>
      </c>
    </row>
    <row r="30" customFormat="false" ht="15" hidden="false" customHeight="false" outlineLevel="0" collapsed="false">
      <c r="B30" s="53" t="str">
        <f aca="false">'GP Waterfall'!B20</f>
        <v>Cost of sales others</v>
      </c>
      <c r="C30" s="13" t="n">
        <f aca="false">'GP Waterfall'!C20*100</f>
        <v>0</v>
      </c>
      <c r="D30" s="13" t="n">
        <f aca="false">'GP Waterfall'!D20*100</f>
        <v>0</v>
      </c>
    </row>
    <row r="31" customFormat="false" ht="15" hidden="false" customHeight="false" outlineLevel="0" collapsed="false">
      <c r="B31" s="53" t="str">
        <f aca="false">'GP Waterfall'!B21</f>
        <v>Lain-lain</v>
      </c>
      <c r="C31" s="13" t="n">
        <f aca="false">'GP Waterfall'!C21*100</f>
        <v>0.268182111432676</v>
      </c>
      <c r="D31" s="13" t="n">
        <f aca="false">'GP Waterfall'!D21*100</f>
        <v>0.268182111432676</v>
      </c>
    </row>
    <row r="32" customFormat="false" ht="15" hidden="false" customHeight="false" outlineLevel="0" collapsed="false">
      <c r="B32" s="53" t="str">
        <f aca="false">'GP Waterfall'!B22</f>
        <v>GP margin Aug-26 (corrected)</v>
      </c>
      <c r="C32" s="13" t="n">
        <f aca="false">'GP Waterfall'!C22*100</f>
        <v>-2.35771258593757</v>
      </c>
      <c r="D32" s="13" t="n">
        <f aca="false">'GP Waterfall'!D22*100</f>
        <v>-2.35771258593758</v>
      </c>
    </row>
    <row r="34" customFormat="false" ht="19.5" hidden="false" customHeight="true" outlineLevel="0" collapsed="false">
      <c r="B34" s="5" t="s">
        <v>2003</v>
      </c>
      <c r="C34" s="5" t="s">
        <v>2001</v>
      </c>
      <c r="D34" s="5" t="s">
        <v>2002</v>
      </c>
    </row>
    <row r="35" customFormat="false" ht="15" hidden="false" customHeight="false" outlineLevel="0" collapsed="false">
      <c r="B35" s="53" t="str">
        <f aca="false">'GP Waterfall'!B48</f>
        <v>GP margin Jul-26</v>
      </c>
      <c r="C35" s="13" t="n">
        <f aca="false">'GP Waterfall'!C48*100</f>
        <v>16.8324343818021</v>
      </c>
      <c r="D35" s="13" t="n">
        <f aca="false">'GP Waterfall'!D48*100</f>
        <v>16.8324343818021</v>
      </c>
    </row>
    <row r="36" customFormat="false" ht="15" hidden="false" customHeight="false" outlineLevel="0" collapsed="false">
      <c r="B36" s="53" t="str">
        <f aca="false">'GP Waterfall'!B49</f>
        <v>Stok pra-Juli</v>
      </c>
      <c r="C36" s="13" t="n">
        <f aca="false">'GP Waterfall'!C49*100</f>
        <v>-0.310035137890414</v>
      </c>
      <c r="D36" s="13" t="n">
        <f aca="false">'GP Waterfall'!D49*100</f>
        <v>-0.00468084494066902</v>
      </c>
    </row>
    <row r="37" customFormat="false" ht="15" hidden="false" customHeight="false" outlineLevel="0" collapsed="false">
      <c r="B37" s="53" t="str">
        <f aca="false">'GP Waterfall'!B50</f>
        <v>Pembelian Juli</v>
      </c>
      <c r="C37" s="13" t="n">
        <f aca="false">'GP Waterfall'!C50*100</f>
        <v>-0.327438440388464</v>
      </c>
      <c r="D37" s="13" t="n">
        <f aca="false">'GP Waterfall'!D50*100</f>
        <v>-1.94287888600614</v>
      </c>
    </row>
    <row r="38" customFormat="false" ht="15" hidden="false" customHeight="false" outlineLevel="0" collapsed="false">
      <c r="B38" s="53" t="str">
        <f aca="false">'GP Waterfall'!B51</f>
        <v>Pembelian Agustus</v>
      </c>
      <c r="C38" s="13" t="n">
        <f aca="false">'GP Waterfall'!C51*100</f>
        <v>-7.30920881679058</v>
      </c>
      <c r="D38" s="13" t="n">
        <f aca="false">'GP Waterfall'!D51*100</f>
        <v>-5.99912266412265</v>
      </c>
    </row>
    <row r="39" customFormat="false" ht="15" hidden="false" customHeight="false" outlineLevel="0" collapsed="false">
      <c r="B39" s="53" t="str">
        <f aca="false">'GP Waterfall'!B52</f>
        <v>Cost of sales others</v>
      </c>
      <c r="C39" s="13" t="n">
        <f aca="false">'GP Waterfall'!C52*100</f>
        <v>0</v>
      </c>
      <c r="D39" s="13" t="n">
        <f aca="false">'GP Waterfall'!D52*100</f>
        <v>0</v>
      </c>
    </row>
    <row r="40" customFormat="false" ht="15" hidden="false" customHeight="false" outlineLevel="0" collapsed="false">
      <c r="B40" s="53" t="str">
        <f aca="false">'GP Waterfall'!B53</f>
        <v>Lain-lain</v>
      </c>
      <c r="C40" s="13" t="n">
        <f aca="false">'GP Waterfall'!C53*100</f>
        <v>-0.597566730897423</v>
      </c>
      <c r="D40" s="13" t="n">
        <f aca="false">'GP Waterfall'!D53*100</f>
        <v>-0.597566730897423</v>
      </c>
    </row>
    <row r="41" customFormat="false" ht="15" hidden="false" customHeight="false" outlineLevel="0" collapsed="false">
      <c r="B41" s="53" t="str">
        <f aca="false">'GP Waterfall'!B54</f>
        <v>GP margin Aug-26 (corrected)</v>
      </c>
      <c r="C41" s="13" t="n">
        <f aca="false">'GP Waterfall'!C54*100</f>
        <v>8.28818525583525</v>
      </c>
      <c r="D41" s="13" t="n">
        <f aca="false">'GP Waterfall'!D54*100</f>
        <v>8.28818525583525</v>
      </c>
    </row>
    <row r="43" customFormat="false" ht="19.5" hidden="false" customHeight="true" outlineLevel="0" collapsed="false">
      <c r="B43" s="5" t="s">
        <v>2004</v>
      </c>
      <c r="C43" s="5" t="s">
        <v>850</v>
      </c>
    </row>
    <row r="44" customFormat="false" ht="15" hidden="false" customHeight="false" outlineLevel="0" collapsed="false">
      <c r="B44" s="53" t="str">
        <f aca="false">'GP Waterfall'!B71</f>
        <v>GP margin Jul-26 — KGR</v>
      </c>
      <c r="C44" s="13" t="n">
        <f aca="false">'GP Waterfall'!C71*100</f>
        <v>11.6252405357957</v>
      </c>
    </row>
    <row r="45" customFormat="false" ht="15" hidden="false" customHeight="false" outlineLevel="0" collapsed="false">
      <c r="B45" s="53" t="str">
        <f aca="false">'GP Waterfall'!B72</f>
        <v>RPA — margin change</v>
      </c>
      <c r="C45" s="13" t="n">
        <f aca="false">'GP Waterfall'!C72*100</f>
        <v>-0.560926686380728</v>
      </c>
    </row>
    <row r="46" customFormat="false" ht="15" hidden="false" customHeight="false" outlineLevel="0" collapsed="false">
      <c r="B46" s="53" t="str">
        <f aca="false">'GP Waterfall'!B73</f>
        <v>Trading — margin change</v>
      </c>
      <c r="C46" s="13" t="n">
        <f aca="false">'GP Waterfall'!C73*100</f>
        <v>-5.79381838761479</v>
      </c>
    </row>
    <row r="47" customFormat="false" ht="15" hidden="false" customHeight="false" outlineLevel="0" collapsed="false">
      <c r="B47" s="53" t="str">
        <f aca="false">'GP Waterfall'!B74</f>
        <v>Segment mix</v>
      </c>
      <c r="C47" s="13" t="n">
        <f aca="false">'GP Waterfall'!C74*100</f>
        <v>-4.23911667130923</v>
      </c>
    </row>
    <row r="48" customFormat="false" ht="15" hidden="false" customHeight="false" outlineLevel="0" collapsed="false">
      <c r="B48" s="53" t="str">
        <f aca="false">'GP Waterfall'!B75</f>
        <v>Not in a segment (cost of sales others not allocated + unbilled without segment)</v>
      </c>
      <c r="C48" s="13" t="n">
        <f aca="false">'GP Waterfall'!C75*100</f>
        <v>2.6297894805577</v>
      </c>
    </row>
    <row r="49" customFormat="false" ht="15" hidden="false" customHeight="false" outlineLevel="0" collapsed="false">
      <c r="B49" s="53" t="str">
        <f aca="false">'GP Waterfall'!B76</f>
        <v>GP margin Aug-26 — KGR (corrected)</v>
      </c>
      <c r="C49" s="13" t="n">
        <f aca="false">'GP Waterfall'!C76*100</f>
        <v>3.66116827104863</v>
      </c>
    </row>
    <row r="51" customFormat="false" ht="19.5" hidden="false" customHeight="true" outlineLevel="0" collapsed="false">
      <c r="B51" s="5" t="s">
        <v>2005</v>
      </c>
      <c r="C51" s="5" t="s">
        <v>184</v>
      </c>
      <c r="D51" s="5" t="s">
        <v>2006</v>
      </c>
      <c r="E51" s="5" t="s">
        <v>2007</v>
      </c>
      <c r="F51" s="5" t="s">
        <v>489</v>
      </c>
      <c r="G51" s="5" t="s">
        <v>827</v>
      </c>
      <c r="H51" s="5" t="s">
        <v>185</v>
      </c>
    </row>
    <row r="52" customFormat="false" ht="15" hidden="false" customHeight="false" outlineLevel="0" collapsed="false">
      <c r="B52" s="53" t="str">
        <f aca="false">'GP Waterfall'!B6</f>
        <v>Pendapatan</v>
      </c>
      <c r="C52" s="19" t="n">
        <f aca="false">IF('GP Waterfall'!C6="","",'GP Waterfall'!C6/1000000)</f>
        <v>246.53216</v>
      </c>
      <c r="D52" s="19" t="n">
        <f aca="false">IF('GP Waterfall'!D6="","",'GP Waterfall'!D6/1000000)</f>
        <v>541.663321142672</v>
      </c>
      <c r="E52" s="19" t="n">
        <f aca="false">IF('GP Waterfall'!E6="","",'GP Waterfall'!E6/1000000)</f>
        <v>81.4681396018553</v>
      </c>
      <c r="F52" s="19" t="n">
        <f aca="false">IF('GP Waterfall'!F6="","",'GP Waterfall'!F6/1000000)</f>
        <v>1750.4326955689</v>
      </c>
      <c r="G52" s="19" t="n">
        <f aca="false">IF('GP Waterfall'!G6="","",'GP Waterfall'!G6/1000000)</f>
        <v>318.122834</v>
      </c>
      <c r="H52" s="19" t="n">
        <f aca="false">IF('GP Waterfall'!H6="","",'GP Waterfall'!H6/1000000)</f>
        <v>2691.68699031342</v>
      </c>
    </row>
    <row r="53" customFormat="false" ht="15" hidden="false" customHeight="false" outlineLevel="0" collapsed="false">
      <c r="B53" s="53" t="str">
        <f aca="false">'GP Waterfall'!B7</f>
        <v>HPP produk (as booked)</v>
      </c>
      <c r="C53" s="19" t="n">
        <f aca="false">IF('GP Waterfall'!C7="","",'GP Waterfall'!C7/1000000)</f>
        <v>-248.04879253</v>
      </c>
      <c r="D53" s="19" t="n">
        <f aca="false">IF('GP Waterfall'!D7="","",'GP Waterfall'!D7/1000000)</f>
        <v>-504.66641451934</v>
      </c>
      <c r="E53" s="19" t="n">
        <f aca="false">IF('GP Waterfall'!E7="","",'GP Waterfall'!E7/1000000)</f>
        <v>-71.0484948798225</v>
      </c>
      <c r="F53" s="19" t="n">
        <f aca="false">IF('GP Waterfall'!F7="","",'GP Waterfall'!F7/1000000)</f>
        <v>-1866.57306418159</v>
      </c>
      <c r="G53" s="19" t="n">
        <f aca="false">IF('GP Waterfall'!G7="","",'GP Waterfall'!G7/1000000)</f>
        <v>-312.861259677333</v>
      </c>
      <c r="H53" s="19" t="n">
        <f aca="false">IF('GP Waterfall'!H7="","",'GP Waterfall'!H7/1000000)</f>
        <v>-2755.14923325809</v>
      </c>
    </row>
    <row r="54" customFormat="false" ht="15" hidden="false" customHeight="false" outlineLevel="0" collapsed="false">
      <c r="B54" s="53" t="str">
        <f aca="false">'GP Waterfall'!B8</f>
        <v>Laba kotor produk</v>
      </c>
      <c r="C54" s="19" t="n">
        <f aca="false">IF('GP Waterfall'!C8="","",'GP Waterfall'!C8/1000000)</f>
        <v>-1.51663253000003</v>
      </c>
      <c r="D54" s="19" t="n">
        <f aca="false">IF('GP Waterfall'!D8="","",'GP Waterfall'!D8/1000000)</f>
        <v>36.996906623332</v>
      </c>
      <c r="E54" s="19" t="n">
        <f aca="false">IF('GP Waterfall'!E8="","",'GP Waterfall'!E8/1000000)</f>
        <v>10.4196447220328</v>
      </c>
      <c r="F54" s="19" t="n">
        <f aca="false">IF('GP Waterfall'!F8="","",'GP Waterfall'!F8/1000000)</f>
        <v>-116.140368612696</v>
      </c>
      <c r="G54" s="19" t="n">
        <f aca="false">IF('GP Waterfall'!G8="","",'GP Waterfall'!G8/1000000)</f>
        <v>5.26157432266712</v>
      </c>
      <c r="H54" s="19" t="n">
        <f aca="false">IF('GP Waterfall'!H8="","",'GP Waterfall'!H8/1000000)</f>
        <v>-63.4622429446635</v>
      </c>
    </row>
    <row r="55" customFormat="false" ht="15" hidden="false" customHeight="false" outlineLevel="0" collapsed="false">
      <c r="B55" s="53" t="str">
        <f aca="false">'GP Waterfall'!B9</f>
        <v>Cost of sales others (only if allocated — COS Others B3)</v>
      </c>
      <c r="C55" s="19" t="n">
        <f aca="false">IF('GP Waterfall'!C9="","",'GP Waterfall'!C9/1000000)</f>
        <v>0</v>
      </c>
      <c r="D55" s="19" t="str">
        <f aca="false">IF('GP Waterfall'!D9="","",'GP Waterfall'!D9/1000000)</f>
        <v/>
      </c>
      <c r="E55" s="19" t="str">
        <f aca="false">IF('GP Waterfall'!E9="","",'GP Waterfall'!E9/1000000)</f>
        <v/>
      </c>
      <c r="F55" s="19" t="str">
        <f aca="false">IF('GP Waterfall'!F9="","",'GP Waterfall'!F9/1000000)</f>
        <v/>
      </c>
      <c r="G55" s="19" t="n">
        <f aca="false">IF('GP Waterfall'!G9="","",'GP Waterfall'!G9/1000000)</f>
        <v>0</v>
      </c>
      <c r="H55" s="19" t="n">
        <f aca="false">IF('GP Waterfall'!H9="","",'GP Waterfall'!H9/1000000)</f>
        <v>0</v>
      </c>
    </row>
    <row r="56" customFormat="false" ht="15" hidden="false" customHeight="false" outlineLevel="0" collapsed="false">
      <c r="B56" s="53" t="str">
        <f aca="false">'GP Waterfall'!B10</f>
        <v>Laba kotor</v>
      </c>
      <c r="C56" s="19" t="n">
        <f aca="false">IF('GP Waterfall'!C10="","",'GP Waterfall'!C10/1000000)</f>
        <v>-1.51663253000003</v>
      </c>
      <c r="D56" s="19" t="n">
        <f aca="false">IF('GP Waterfall'!D10="","",'GP Waterfall'!D10/1000000)</f>
        <v>36.996906623332</v>
      </c>
      <c r="E56" s="19" t="n">
        <f aca="false">IF('GP Waterfall'!E10="","",'GP Waterfall'!E10/1000000)</f>
        <v>10.4196447220328</v>
      </c>
      <c r="F56" s="19" t="n">
        <f aca="false">IF('GP Waterfall'!F10="","",'GP Waterfall'!F10/1000000)</f>
        <v>-116.140368612696</v>
      </c>
      <c r="G56" s="19" t="n">
        <f aca="false">IF('GP Waterfall'!G10="","",'GP Waterfall'!G10/1000000)</f>
        <v>5.26157432266712</v>
      </c>
      <c r="H56" s="19" t="n">
        <f aca="false">IF('GP Waterfall'!H10="","",'GP Waterfall'!H10/1000000)</f>
        <v>-63.4622429446635</v>
      </c>
    </row>
    <row r="57" customFormat="false" ht="15" hidden="false" customHeight="false" outlineLevel="0" collapsed="false">
      <c r="B57" s="53" t="str">
        <f aca="false">'GP Waterfall'!B11</f>
        <v>GP margin</v>
      </c>
      <c r="C57" s="19" t="n">
        <f aca="false">IF('GP Waterfall'!C11="","",'GP Waterfall'!C11*100)</f>
        <v>-0.615186485203404</v>
      </c>
      <c r="D57" s="19" t="n">
        <f aca="false">IF('GP Waterfall'!D11="","",'GP Waterfall'!D11*100)</f>
        <v>6.83024033181438</v>
      </c>
      <c r="E57" s="19" t="n">
        <f aca="false">IF('GP Waterfall'!E11="","",'GP Waterfall'!E11*100)</f>
        <v>12.7898400196136</v>
      </c>
      <c r="F57" s="19" t="n">
        <f aca="false">IF('GP Waterfall'!F11="","",'GP Waterfall'!F11*100)</f>
        <v>-6.63495196968711</v>
      </c>
      <c r="G57" s="19" t="str">
        <f aca="false">IF('GP Waterfall'!G11="","",'GP Waterfall'!G11*100)</f>
        <v/>
      </c>
      <c r="H57" s="19" t="n">
        <f aca="false">IF('GP Waterfall'!H11="","",'GP Waterfall'!H11*100)</f>
        <v>-2.35771258593756</v>
      </c>
    </row>
    <row r="59" customFormat="false" ht="19.5" hidden="false" customHeight="true" outlineLevel="0" collapsed="false">
      <c r="B59" s="5" t="s">
        <v>2008</v>
      </c>
      <c r="C59" s="5" t="s">
        <v>184</v>
      </c>
      <c r="D59" s="5" t="s">
        <v>2006</v>
      </c>
      <c r="E59" s="5" t="s">
        <v>2007</v>
      </c>
      <c r="F59" s="5" t="s">
        <v>489</v>
      </c>
      <c r="G59" s="5" t="s">
        <v>827</v>
      </c>
      <c r="H59" s="5" t="s">
        <v>185</v>
      </c>
    </row>
    <row r="60" customFormat="false" ht="15" hidden="false" customHeight="false" outlineLevel="0" collapsed="false">
      <c r="B60" s="53" t="str">
        <f aca="false">'GP Waterfall'!B38</f>
        <v>Pendapatan</v>
      </c>
      <c r="C60" s="19" t="n">
        <f aca="false">IF('GP Waterfall'!C38="","",'GP Waterfall'!C38/1000000)</f>
        <v>2876.4257882</v>
      </c>
      <c r="D60" s="19" t="n">
        <f aca="false">IF('GP Waterfall'!D38="","",'GP Waterfall'!D38/1000000)</f>
        <v>320.324342329988</v>
      </c>
      <c r="E60" s="19" t="n">
        <f aca="false">IF('GP Waterfall'!E38="","",'GP Waterfall'!E38/1000000)</f>
        <v>2306.57732651934</v>
      </c>
      <c r="F60" s="19" t="n">
        <f aca="false">IF('GP Waterfall'!F38="","",'GP Waterfall'!F38/1000000)</f>
        <v>2952.64574383725</v>
      </c>
      <c r="G60" s="19" t="n">
        <f aca="false">IF('GP Waterfall'!G38="","",'GP Waterfall'!G38/1000000)</f>
        <v>90.5265</v>
      </c>
      <c r="H60" s="19" t="n">
        <f aca="false">IF('GP Waterfall'!H38="","",'GP Waterfall'!H38/1000000)</f>
        <v>5670.07391268658</v>
      </c>
    </row>
    <row r="61" customFormat="false" ht="15" hidden="false" customHeight="false" outlineLevel="0" collapsed="false">
      <c r="B61" s="53" t="str">
        <f aca="false">'GP Waterfall'!B39</f>
        <v>HPP produk (as booked)</v>
      </c>
      <c r="C61" s="19" t="n">
        <f aca="false">IF('GP Waterfall'!C39="","",'GP Waterfall'!C39/1000000)</f>
        <v>-2392.25330486</v>
      </c>
      <c r="D61" s="19" t="n">
        <f aca="false">IF('GP Waterfall'!D39="","",'GP Waterfall'!D39/1000000)</f>
        <v>-283.985179072039</v>
      </c>
      <c r="E61" s="19" t="n">
        <f aca="false">IF('GP Waterfall'!E39="","",'GP Waterfall'!E39/1000000)</f>
        <v>-1936.89021315602</v>
      </c>
      <c r="F61" s="19" t="n">
        <f aca="false">IF('GP Waterfall'!F39="","",'GP Waterfall'!F39/1000000)</f>
        <v>-2870.0811288234</v>
      </c>
      <c r="G61" s="19" t="n">
        <f aca="false">IF('GP Waterfall'!G39="","",'GP Waterfall'!G39/1000000)</f>
        <v>-109.171161608867</v>
      </c>
      <c r="H61" s="19" t="n">
        <f aca="false">IF('GP Waterfall'!H39="","",'GP Waterfall'!H39/1000000)</f>
        <v>-5200.12768266033</v>
      </c>
    </row>
    <row r="62" customFormat="false" ht="15" hidden="false" customHeight="false" outlineLevel="0" collapsed="false">
      <c r="B62" s="53" t="str">
        <f aca="false">'GP Waterfall'!B40</f>
        <v>Laba kotor produk</v>
      </c>
      <c r="C62" s="19" t="n">
        <f aca="false">IF('GP Waterfall'!C40="","",'GP Waterfall'!C40/1000000)</f>
        <v>484.17248334</v>
      </c>
      <c r="D62" s="19" t="n">
        <f aca="false">IF('GP Waterfall'!D40="","",'GP Waterfall'!D40/1000000)</f>
        <v>36.3391632579482</v>
      </c>
      <c r="E62" s="19" t="n">
        <f aca="false">IF('GP Waterfall'!E40="","",'GP Waterfall'!E40/1000000)</f>
        <v>369.68711336332</v>
      </c>
      <c r="F62" s="19" t="n">
        <f aca="false">IF('GP Waterfall'!F40="","",'GP Waterfall'!F40/1000000)</f>
        <v>82.5646150138483</v>
      </c>
      <c r="G62" s="19" t="n">
        <f aca="false">IF('GP Waterfall'!G40="","",'GP Waterfall'!G40/1000000)</f>
        <v>-18.6446616088667</v>
      </c>
      <c r="H62" s="19" t="n">
        <f aca="false">IF('GP Waterfall'!H40="","",'GP Waterfall'!H40/1000000)</f>
        <v>469.94623002625</v>
      </c>
    </row>
    <row r="63" customFormat="false" ht="15" hidden="false" customHeight="false" outlineLevel="0" collapsed="false">
      <c r="B63" s="53" t="str">
        <f aca="false">'GP Waterfall'!B41</f>
        <v>Cost of sales others (only if allocated — COS Others B3)</v>
      </c>
      <c r="C63" s="19" t="n">
        <f aca="false">IF('GP Waterfall'!C41="","",'GP Waterfall'!C41/1000000)</f>
        <v>0</v>
      </c>
      <c r="D63" s="19" t="str">
        <f aca="false">IF('GP Waterfall'!D41="","",'GP Waterfall'!D41/1000000)</f>
        <v/>
      </c>
      <c r="E63" s="19" t="str">
        <f aca="false">IF('GP Waterfall'!E41="","",'GP Waterfall'!E41/1000000)</f>
        <v/>
      </c>
      <c r="F63" s="19" t="str">
        <f aca="false">IF('GP Waterfall'!F41="","",'GP Waterfall'!F41/1000000)</f>
        <v/>
      </c>
      <c r="G63" s="19" t="n">
        <f aca="false">IF('GP Waterfall'!G41="","",'GP Waterfall'!G41/1000000)</f>
        <v>0</v>
      </c>
      <c r="H63" s="19" t="n">
        <f aca="false">IF('GP Waterfall'!H41="","",'GP Waterfall'!H41/1000000)</f>
        <v>0</v>
      </c>
    </row>
    <row r="64" customFormat="false" ht="15" hidden="false" customHeight="false" outlineLevel="0" collapsed="false">
      <c r="B64" s="53" t="str">
        <f aca="false">'GP Waterfall'!B42</f>
        <v>Laba kotor</v>
      </c>
      <c r="C64" s="19" t="n">
        <f aca="false">IF('GP Waterfall'!C42="","",'GP Waterfall'!C42/1000000)</f>
        <v>484.17248334</v>
      </c>
      <c r="D64" s="19" t="n">
        <f aca="false">IF('GP Waterfall'!D42="","",'GP Waterfall'!D42/1000000)</f>
        <v>36.3391632579482</v>
      </c>
      <c r="E64" s="19" t="n">
        <f aca="false">IF('GP Waterfall'!E42="","",'GP Waterfall'!E42/1000000)</f>
        <v>369.68711336332</v>
      </c>
      <c r="F64" s="19" t="n">
        <f aca="false">IF('GP Waterfall'!F42="","",'GP Waterfall'!F42/1000000)</f>
        <v>82.5646150138483</v>
      </c>
      <c r="G64" s="19" t="n">
        <f aca="false">IF('GP Waterfall'!G42="","",'GP Waterfall'!G42/1000000)</f>
        <v>-18.6446616088667</v>
      </c>
      <c r="H64" s="19" t="n">
        <f aca="false">IF('GP Waterfall'!H42="","",'GP Waterfall'!H42/1000000)</f>
        <v>469.94623002625</v>
      </c>
    </row>
    <row r="65" customFormat="false" ht="15" hidden="false" customHeight="false" outlineLevel="0" collapsed="false">
      <c r="B65" s="53" t="str">
        <f aca="false">'GP Waterfall'!B43</f>
        <v>GP margin</v>
      </c>
      <c r="C65" s="19" t="n">
        <f aca="false">IF('GP Waterfall'!C43="","",'GP Waterfall'!C43*100)</f>
        <v>16.8324343818021</v>
      </c>
      <c r="D65" s="19" t="n">
        <f aca="false">IF('GP Waterfall'!D43="","",'GP Waterfall'!D43*100)</f>
        <v>11.3444900857746</v>
      </c>
      <c r="E65" s="19" t="n">
        <f aca="false">IF('GP Waterfall'!E43="","",'GP Waterfall'!E43*100)</f>
        <v>16.0275187444586</v>
      </c>
      <c r="F65" s="19" t="n">
        <f aca="false">IF('GP Waterfall'!F43="","",'GP Waterfall'!F43*100)</f>
        <v>2.79629261946432</v>
      </c>
      <c r="G65" s="19" t="str">
        <f aca="false">IF('GP Waterfall'!G43="","",'GP Waterfall'!G43*100)</f>
        <v/>
      </c>
      <c r="H65" s="19" t="n">
        <f aca="false">IF('GP Waterfall'!H43="","",'GP Waterfall'!H43*100)</f>
        <v>8.28818525583525</v>
      </c>
    </row>
    <row r="67" customFormat="false" ht="15" hidden="false" customHeight="false" outlineLevel="0" collapsed="false">
      <c r="B67" s="28" t="s">
        <v>2009</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24"/>
    <col collapsed="false" customWidth="true" hidden="false" outlineLevel="0" max="5" min="4" style="0" width="8"/>
    <col collapsed="false" customWidth="true" hidden="false" outlineLevel="0" max="6" min="6" style="0" width="13"/>
    <col collapsed="false" customWidth="true" hidden="false" outlineLevel="0" max="8" min="7" style="0" width="16"/>
    <col collapsed="false" customWidth="true" hidden="false" outlineLevel="0" max="9" min="9" style="0" width="15"/>
    <col collapsed="false" customWidth="true" hidden="false" outlineLevel="0" max="12" min="10" style="0" width="11"/>
    <col collapsed="false" customWidth="true" hidden="false" outlineLevel="0" max="13" min="13" style="0" width="9"/>
    <col collapsed="false" customWidth="true" hidden="false" outlineLevel="0" max="14" min="14" style="0" width="26"/>
    <col collapsed="false" customWidth="true" hidden="false" outlineLevel="0" max="15" min="15" style="0" width="16"/>
    <col collapsed="false" customWidth="true" hidden="false" outlineLevel="0" max="16" min="16" style="0" width="50"/>
  </cols>
  <sheetData>
    <row r="1" customFormat="false" ht="15" hidden="false" customHeight="false" outlineLevel="0" collapsed="false">
      <c r="A1" s="1" t="s">
        <v>2010</v>
      </c>
    </row>
    <row r="2" customFormat="false" ht="15" hidden="false" customHeight="false" outlineLevel="0" collapsed="false">
      <c r="A2" s="4" t="s">
        <v>2011</v>
      </c>
    </row>
    <row r="4" customFormat="false" ht="30" hidden="false" customHeight="true" outlineLevel="0" collapsed="false">
      <c r="A4" s="5" t="s">
        <v>862</v>
      </c>
      <c r="B4" s="5" t="s">
        <v>224</v>
      </c>
      <c r="C4" s="5" t="s">
        <v>225</v>
      </c>
      <c r="D4" s="5" t="s">
        <v>2012</v>
      </c>
      <c r="E4" s="5" t="s">
        <v>1505</v>
      </c>
      <c r="F4" s="5" t="s">
        <v>2013</v>
      </c>
      <c r="G4" s="5" t="s">
        <v>2014</v>
      </c>
      <c r="H4" s="5" t="s">
        <v>2015</v>
      </c>
      <c r="I4" s="5" t="s">
        <v>2016</v>
      </c>
      <c r="J4" s="5" t="s">
        <v>2017</v>
      </c>
      <c r="K4" s="5" t="s">
        <v>2018</v>
      </c>
      <c r="L4" s="5" t="s">
        <v>2019</v>
      </c>
      <c r="M4" s="5" t="s">
        <v>867</v>
      </c>
      <c r="N4" s="5" t="s">
        <v>1202</v>
      </c>
      <c r="O4" s="5" t="s">
        <v>2020</v>
      </c>
      <c r="P4" s="5" t="s">
        <v>1330</v>
      </c>
    </row>
    <row r="5" customFormat="false" ht="15" hidden="false" customHeight="false" outlineLevel="0" collapsed="false">
      <c r="A5" s="74" t="s">
        <v>875</v>
      </c>
      <c r="B5" s="74" t="s">
        <v>236</v>
      </c>
      <c r="C5" s="74" t="s">
        <v>237</v>
      </c>
      <c r="D5" s="91" t="n">
        <v>3</v>
      </c>
      <c r="E5" s="74" t="s">
        <v>731</v>
      </c>
      <c r="F5" s="10" t="n">
        <v>2007</v>
      </c>
      <c r="G5" s="8" t="n">
        <v>94180500</v>
      </c>
      <c r="H5" s="8" t="n">
        <v>111087559.56</v>
      </c>
      <c r="I5" s="9" t="n">
        <f aca="false">G5-H5</f>
        <v>-16907059.56</v>
      </c>
      <c r="J5" s="9" t="n">
        <f aca="false">IFERROR(G5/F5,0)</f>
        <v>46926.0089686099</v>
      </c>
      <c r="K5" s="9" t="n">
        <f aca="false">IFERROR(H5/F5,0)</f>
        <v>55350.0545889387</v>
      </c>
      <c r="L5" s="9" t="n">
        <f aca="false">IFERROR(I5/F5,0)</f>
        <v>-8424.04562032885</v>
      </c>
      <c r="M5" s="21" t="n">
        <f aca="false">IFERROR(I5/G5,0)</f>
        <v>-0.179517623711915</v>
      </c>
      <c r="N5" s="6" t="s">
        <v>2021</v>
      </c>
      <c r="O5" s="9" t="n">
        <f aca="false">H5</f>
        <v>111087559.56</v>
      </c>
      <c r="P5" s="12" t="s">
        <v>2022</v>
      </c>
    </row>
    <row r="6" customFormat="false" ht="15" hidden="false" customHeight="false" outlineLevel="0" collapsed="false">
      <c r="A6" s="74" t="s">
        <v>875</v>
      </c>
      <c r="B6" s="74" t="s">
        <v>236</v>
      </c>
      <c r="C6" s="74" t="s">
        <v>237</v>
      </c>
      <c r="D6" s="91" t="n">
        <v>4</v>
      </c>
      <c r="E6" s="74" t="s">
        <v>732</v>
      </c>
      <c r="F6" s="10" t="n">
        <v>2598.3</v>
      </c>
      <c r="G6" s="8" t="n">
        <v>115323050</v>
      </c>
      <c r="H6" s="8" t="n">
        <v>105737602.57</v>
      </c>
      <c r="I6" s="9" t="n">
        <f aca="false">G6-H6</f>
        <v>9585447.43000001</v>
      </c>
      <c r="J6" s="9" t="n">
        <f aca="false">IFERROR(G6/F6,0)</f>
        <v>44384.0395643305</v>
      </c>
      <c r="K6" s="9" t="n">
        <f aca="false">IFERROR(H6/F6,0)</f>
        <v>40694.9168956625</v>
      </c>
      <c r="L6" s="9" t="n">
        <f aca="false">IFERROR(I6/F6,0)</f>
        <v>3689.12266866798</v>
      </c>
      <c r="M6" s="21" t="n">
        <f aca="false">IFERROR(I6/G6,0)</f>
        <v>0.083118226841902</v>
      </c>
      <c r="N6" s="6" t="s">
        <v>2021</v>
      </c>
      <c r="O6" s="9" t="n">
        <f aca="false">H6</f>
        <v>105737602.57</v>
      </c>
      <c r="P6" s="12" t="s">
        <v>2022</v>
      </c>
    </row>
    <row r="7" customFormat="false" ht="15" hidden="false" customHeight="false" outlineLevel="0" collapsed="false">
      <c r="A7" s="74" t="s">
        <v>875</v>
      </c>
      <c r="B7" s="74" t="s">
        <v>236</v>
      </c>
      <c r="C7" s="74" t="s">
        <v>237</v>
      </c>
      <c r="D7" s="91" t="n">
        <v>5</v>
      </c>
      <c r="E7" s="74" t="s">
        <v>733</v>
      </c>
      <c r="F7" s="10" t="n">
        <v>455.78</v>
      </c>
      <c r="G7" s="8" t="n">
        <v>18493700</v>
      </c>
      <c r="H7" s="8" t="n">
        <v>17048109.79</v>
      </c>
      <c r="I7" s="9" t="n">
        <f aca="false">G7-H7</f>
        <v>1445590.21</v>
      </c>
      <c r="J7" s="9" t="n">
        <f aca="false">IFERROR(G7/F7,0)</f>
        <v>40575.93575848</v>
      </c>
      <c r="K7" s="9" t="n">
        <f aca="false">IFERROR(H7/F7,0)</f>
        <v>37404.2515906797</v>
      </c>
      <c r="L7" s="9" t="n">
        <f aca="false">IFERROR(I7/F7,0)</f>
        <v>3171.68416780026</v>
      </c>
      <c r="M7" s="21" t="n">
        <f aca="false">IFERROR(I7/G7,0)</f>
        <v>0.0781666302578716</v>
      </c>
      <c r="N7" s="6" t="s">
        <v>2021</v>
      </c>
      <c r="O7" s="9" t="n">
        <f aca="false">H7</f>
        <v>17048109.79</v>
      </c>
      <c r="P7" s="12" t="s">
        <v>2022</v>
      </c>
    </row>
    <row r="8" customFormat="false" ht="15" hidden="false" customHeight="false" outlineLevel="0" collapsed="false">
      <c r="A8" s="74" t="s">
        <v>875</v>
      </c>
      <c r="B8" s="74" t="s">
        <v>236</v>
      </c>
      <c r="C8" s="74" t="s">
        <v>237</v>
      </c>
      <c r="D8" s="91" t="n">
        <v>8</v>
      </c>
      <c r="E8" s="74" t="s">
        <v>185</v>
      </c>
      <c r="F8" s="10" t="n">
        <v>226.37</v>
      </c>
      <c r="G8" s="8" t="n">
        <v>9281170</v>
      </c>
      <c r="H8" s="7" t="n">
        <f aca="false">SUMIFS('MA Engine'!$X$6:$X$1110,'MA Engine'!$C$6:$C$1110,$A8,'MA Engine'!$D$6:$D$1110,$B8,'MA Engine'!$E$6:$E$1110,$C8,'MA Engine'!$H$6:$H$1110,8,'MA Engine'!$I$6:$I$1110,"DO",'MA Engine'!$P$6:$P$1110,"&lt;&gt;Y")</f>
        <v>8467200.41</v>
      </c>
      <c r="I8" s="9" t="n">
        <f aca="false">G8-H8</f>
        <v>813969.59</v>
      </c>
      <c r="J8" s="9" t="n">
        <f aca="false">IFERROR(G8/F8,0)</f>
        <v>41000</v>
      </c>
      <c r="K8" s="9" t="n">
        <f aca="false">IFERROR(H8/F8,0)</f>
        <v>37404.2514909219</v>
      </c>
      <c r="L8" s="9" t="n">
        <f aca="false">IFERROR(I8/F8,0)</f>
        <v>3595.74850907806</v>
      </c>
      <c r="M8" s="21" t="n">
        <f aca="false">IFERROR(I8/G8,0)</f>
        <v>0.0877011831482453</v>
      </c>
      <c r="N8" s="6" t="s">
        <v>2021</v>
      </c>
      <c r="O8" s="7" t="n">
        <f aca="false">SUMIFS('MA Engine'!$S$6:$S$1110,'MA Engine'!$C$6:$C$1110,$A8,'MA Engine'!$D$6:$D$1110,$B8,'MA Engine'!$E$6:$E$1110,$C8,'MA Engine'!$H$6:$H$1110,8,'MA Engine'!$I$6:$I$1110,"DO",'MA Engine'!$P$6:$P$1110,"&lt;&gt;Y")</f>
        <v>8467200.41</v>
      </c>
      <c r="P8" s="12" t="s">
        <v>2023</v>
      </c>
    </row>
    <row r="9" customFormat="false" ht="15" hidden="false" customHeight="false" outlineLevel="0" collapsed="false">
      <c r="A9" s="74" t="s">
        <v>875</v>
      </c>
      <c r="B9" s="74" t="s">
        <v>236</v>
      </c>
      <c r="C9" s="74" t="s">
        <v>238</v>
      </c>
      <c r="D9" s="91" t="n">
        <v>4</v>
      </c>
      <c r="E9" s="74" t="s">
        <v>732</v>
      </c>
      <c r="F9" s="10" t="n">
        <v>3186.01</v>
      </c>
      <c r="G9" s="8" t="n">
        <v>135635720</v>
      </c>
      <c r="H9" s="8" t="n">
        <v>149175027.09</v>
      </c>
      <c r="I9" s="9" t="n">
        <f aca="false">G9-H9</f>
        <v>-13539307.09</v>
      </c>
      <c r="J9" s="9" t="n">
        <f aca="false">IFERROR(G9/F9,0)</f>
        <v>42572.2832006177</v>
      </c>
      <c r="K9" s="9" t="n">
        <f aca="false">IFERROR(H9/F9,0)</f>
        <v>46821.8954397507</v>
      </c>
      <c r="L9" s="9" t="n">
        <f aca="false">IFERROR(I9/F9,0)</f>
        <v>-4249.61223913296</v>
      </c>
      <c r="M9" s="21" t="n">
        <f aca="false">IFERROR(I9/G9,0)</f>
        <v>-0.0998211023615313</v>
      </c>
      <c r="N9" s="6" t="s">
        <v>2021</v>
      </c>
      <c r="O9" s="9" t="n">
        <f aca="false">H9</f>
        <v>149175027.09</v>
      </c>
      <c r="P9" s="12" t="s">
        <v>2022</v>
      </c>
    </row>
    <row r="10" customFormat="false" ht="15" hidden="false" customHeight="false" outlineLevel="0" collapsed="false">
      <c r="A10" s="74" t="s">
        <v>875</v>
      </c>
      <c r="B10" s="74" t="s">
        <v>236</v>
      </c>
      <c r="C10" s="74" t="s">
        <v>238</v>
      </c>
      <c r="D10" s="91" t="n">
        <v>5</v>
      </c>
      <c r="E10" s="74" t="s">
        <v>733</v>
      </c>
      <c r="F10" s="10" t="n">
        <v>11271.85</v>
      </c>
      <c r="G10" s="8" t="n">
        <v>453255185</v>
      </c>
      <c r="H10" s="8" t="n">
        <v>470087782.3</v>
      </c>
      <c r="I10" s="9" t="n">
        <f aca="false">G10-H10</f>
        <v>-16832597.3</v>
      </c>
      <c r="J10" s="9" t="n">
        <f aca="false">IFERROR(G10/F10,0)</f>
        <v>40211.2505932921</v>
      </c>
      <c r="K10" s="9" t="n">
        <f aca="false">IFERROR(H10/F10,0)</f>
        <v>41704.5810847376</v>
      </c>
      <c r="L10" s="9" t="n">
        <f aca="false">IFERROR(I10/F10,0)</f>
        <v>-1493.3304914455</v>
      </c>
      <c r="M10" s="21" t="n">
        <f aca="false">IFERROR(I10/G10,0)</f>
        <v>-0.0371371312608371</v>
      </c>
      <c r="N10" s="6" t="s">
        <v>2021</v>
      </c>
      <c r="O10" s="9" t="n">
        <f aca="false">H10</f>
        <v>470087782.3</v>
      </c>
      <c r="P10" s="12" t="s">
        <v>2022</v>
      </c>
    </row>
    <row r="11" customFormat="false" ht="15" hidden="false" customHeight="false" outlineLevel="0" collapsed="false">
      <c r="A11" s="74" t="s">
        <v>875</v>
      </c>
      <c r="B11" s="74" t="s">
        <v>236</v>
      </c>
      <c r="C11" s="74" t="s">
        <v>238</v>
      </c>
      <c r="D11" s="91" t="n">
        <v>6</v>
      </c>
      <c r="E11" s="74" t="s">
        <v>734</v>
      </c>
      <c r="F11" s="10" t="n">
        <v>1495.05</v>
      </c>
      <c r="G11" s="8" t="n">
        <v>57280237.5</v>
      </c>
      <c r="H11" s="8" t="n">
        <v>48193661.52</v>
      </c>
      <c r="I11" s="9" t="n">
        <f aca="false">G11-H11</f>
        <v>9086575.98</v>
      </c>
      <c r="J11" s="9" t="n">
        <f aca="false">IFERROR(G11/F11,0)</f>
        <v>38313.2587538878</v>
      </c>
      <c r="K11" s="9" t="n">
        <f aca="false">IFERROR(H11/F11,0)</f>
        <v>32235.4847797733</v>
      </c>
      <c r="L11" s="9" t="n">
        <f aca="false">IFERROR(I11/F11,0)</f>
        <v>6077.77397411458</v>
      </c>
      <c r="M11" s="21" t="n">
        <f aca="false">IFERROR(I11/G11,0)</f>
        <v>0.158633699450007</v>
      </c>
      <c r="N11" s="6" t="s">
        <v>2021</v>
      </c>
      <c r="O11" s="9" t="n">
        <f aca="false">H11</f>
        <v>48193661.52</v>
      </c>
      <c r="P11" s="12" t="s">
        <v>2022</v>
      </c>
    </row>
    <row r="12" customFormat="false" ht="15" hidden="false" customHeight="false" outlineLevel="0" collapsed="false">
      <c r="A12" s="74" t="s">
        <v>875</v>
      </c>
      <c r="B12" s="74" t="s">
        <v>236</v>
      </c>
      <c r="C12" s="74" t="s">
        <v>238</v>
      </c>
      <c r="D12" s="91" t="n">
        <v>7</v>
      </c>
      <c r="E12" s="74" t="s">
        <v>184</v>
      </c>
      <c r="F12" s="10" t="n">
        <v>1122</v>
      </c>
      <c r="G12" s="8" t="n">
        <v>46002000</v>
      </c>
      <c r="H12" s="8" t="n">
        <v>39506955.52</v>
      </c>
      <c r="I12" s="9" t="n">
        <f aca="false">G12-H12</f>
        <v>6495044.48</v>
      </c>
      <c r="J12" s="9" t="n">
        <f aca="false">IFERROR(G12/F12,0)</f>
        <v>41000</v>
      </c>
      <c r="K12" s="9" t="n">
        <f aca="false">IFERROR(H12/F12,0)</f>
        <v>35211.1903030303</v>
      </c>
      <c r="L12" s="9" t="n">
        <f aca="false">IFERROR(I12/F12,0)</f>
        <v>5788.80969696969</v>
      </c>
      <c r="M12" s="21" t="n">
        <f aca="false">IFERROR(I12/G12,0)</f>
        <v>0.141190480413895</v>
      </c>
      <c r="N12" s="6" t="s">
        <v>2021</v>
      </c>
      <c r="O12" s="9" t="n">
        <f aca="false">H12</f>
        <v>39506955.52</v>
      </c>
      <c r="P12" s="12" t="s">
        <v>2022</v>
      </c>
    </row>
    <row r="13" customFormat="false" ht="15" hidden="false" customHeight="false" outlineLevel="0" collapsed="false">
      <c r="A13" s="74" t="s">
        <v>875</v>
      </c>
      <c r="B13" s="74" t="s">
        <v>236</v>
      </c>
      <c r="C13" s="74" t="s">
        <v>238</v>
      </c>
      <c r="D13" s="91" t="n">
        <v>8</v>
      </c>
      <c r="E13" s="74" t="s">
        <v>185</v>
      </c>
      <c r="F13" s="10" t="n">
        <v>1569.4</v>
      </c>
      <c r="G13" s="8" t="n">
        <v>64345400</v>
      </c>
      <c r="H13" s="7" t="n">
        <f aca="false">SUMIFS('MA Engine'!$X$6:$X$1110,'MA Engine'!$C$6:$C$1110,$A13,'MA Engine'!$D$6:$D$1110,$B13,'MA Engine'!$E$6:$E$1110,$C13,'MA Engine'!$H$6:$H$1110,8,'MA Engine'!$I$6:$I$1110,"DO",'MA Engine'!$P$6:$P$1110,"&lt;&gt;Y")</f>
        <v>55260441.8332414</v>
      </c>
      <c r="I13" s="9" t="n">
        <f aca="false">G13-H13</f>
        <v>9084958.16675857</v>
      </c>
      <c r="J13" s="9" t="n">
        <f aca="false">IFERROR(G13/F13,0)</f>
        <v>41000</v>
      </c>
      <c r="K13" s="9" t="n">
        <f aca="false">IFERROR(H13/F13,0)</f>
        <v>35211.1901575388</v>
      </c>
      <c r="L13" s="9" t="n">
        <f aca="false">IFERROR(I13/F13,0)</f>
        <v>5788.80984246117</v>
      </c>
      <c r="M13" s="21" t="n">
        <f aca="false">IFERROR(I13/G13,0)</f>
        <v>0.141190483962468</v>
      </c>
      <c r="N13" s="6" t="s">
        <v>2021</v>
      </c>
      <c r="O13" s="7" t="n">
        <f aca="false">SUMIFS('MA Engine'!$S$6:$S$1110,'MA Engine'!$C$6:$C$1110,$A13,'MA Engine'!$D$6:$D$1110,$B13,'MA Engine'!$E$6:$E$1110,$C13,'MA Engine'!$H$6:$H$1110,8,'MA Engine'!$I$6:$I$1110,"DO",'MA Engine'!$P$6:$P$1110,"&lt;&gt;Y")</f>
        <v>55260441.8332414</v>
      </c>
      <c r="P13" s="12" t="s">
        <v>2023</v>
      </c>
    </row>
    <row r="14" customFormat="false" ht="15" hidden="false" customHeight="false" outlineLevel="0" collapsed="false">
      <c r="A14" s="74" t="s">
        <v>875</v>
      </c>
      <c r="B14" s="74" t="s">
        <v>1483</v>
      </c>
      <c r="C14" s="74" t="s">
        <v>237</v>
      </c>
      <c r="D14" s="91" t="n">
        <v>5</v>
      </c>
      <c r="E14" s="74" t="s">
        <v>733</v>
      </c>
      <c r="F14" s="10" t="n">
        <v>5</v>
      </c>
      <c r="G14" s="8" t="n">
        <v>190000</v>
      </c>
      <c r="H14" s="8" t="n">
        <v>176235.65</v>
      </c>
      <c r="I14" s="9" t="n">
        <f aca="false">G14-H14</f>
        <v>13764.35</v>
      </c>
      <c r="J14" s="9" t="n">
        <f aca="false">IFERROR(G14/F14,0)</f>
        <v>38000</v>
      </c>
      <c r="K14" s="9" t="n">
        <f aca="false">IFERROR(H14/F14,0)</f>
        <v>35247.13</v>
      </c>
      <c r="L14" s="9" t="n">
        <f aca="false">IFERROR(I14/F14,0)</f>
        <v>2752.87</v>
      </c>
      <c r="M14" s="21" t="n">
        <f aca="false">IFERROR(I14/G14,0)</f>
        <v>0.0724439473684211</v>
      </c>
      <c r="N14" s="6" t="s">
        <v>2021</v>
      </c>
      <c r="O14" s="9" t="n">
        <f aca="false">H14</f>
        <v>176235.65</v>
      </c>
      <c r="P14" s="12" t="s">
        <v>2022</v>
      </c>
    </row>
    <row r="15" customFormat="false" ht="15" hidden="false" customHeight="false" outlineLevel="0" collapsed="false">
      <c r="A15" s="74" t="s">
        <v>875</v>
      </c>
      <c r="B15" s="74" t="s">
        <v>239</v>
      </c>
      <c r="C15" s="74" t="s">
        <v>237</v>
      </c>
      <c r="D15" s="91" t="n">
        <v>3</v>
      </c>
      <c r="E15" s="74" t="s">
        <v>731</v>
      </c>
      <c r="F15" s="10" t="n">
        <v>150</v>
      </c>
      <c r="G15" s="8" t="n">
        <v>6900000</v>
      </c>
      <c r="H15" s="8" t="n">
        <v>8397750</v>
      </c>
      <c r="I15" s="9" t="n">
        <f aca="false">G15-H15</f>
        <v>-1497750</v>
      </c>
      <c r="J15" s="9" t="n">
        <f aca="false">IFERROR(G15/F15,0)</f>
        <v>46000</v>
      </c>
      <c r="K15" s="9" t="n">
        <f aca="false">IFERROR(H15/F15,0)</f>
        <v>55985</v>
      </c>
      <c r="L15" s="9" t="n">
        <f aca="false">IFERROR(I15/F15,0)</f>
        <v>-9985</v>
      </c>
      <c r="M15" s="21" t="n">
        <f aca="false">IFERROR(I15/G15,0)</f>
        <v>-0.217065217391304</v>
      </c>
      <c r="N15" s="6" t="s">
        <v>2021</v>
      </c>
      <c r="O15" s="9" t="n">
        <f aca="false">H15</f>
        <v>8397750</v>
      </c>
      <c r="P15" s="12" t="s">
        <v>2022</v>
      </c>
    </row>
    <row r="16" customFormat="false" ht="15" hidden="false" customHeight="false" outlineLevel="0" collapsed="false">
      <c r="A16" s="74" t="s">
        <v>875</v>
      </c>
      <c r="B16" s="74" t="s">
        <v>239</v>
      </c>
      <c r="C16" s="74" t="s">
        <v>237</v>
      </c>
      <c r="D16" s="91" t="n">
        <v>4</v>
      </c>
      <c r="E16" s="74" t="s">
        <v>732</v>
      </c>
      <c r="F16" s="10" t="n">
        <v>922</v>
      </c>
      <c r="G16" s="8" t="n">
        <v>39207000</v>
      </c>
      <c r="H16" s="8" t="n">
        <v>45931774.28</v>
      </c>
      <c r="I16" s="9" t="n">
        <f aca="false">G16-H16</f>
        <v>-6724774.28</v>
      </c>
      <c r="J16" s="9" t="n">
        <f aca="false">IFERROR(G16/F16,0)</f>
        <v>42523.8611713666</v>
      </c>
      <c r="K16" s="9" t="n">
        <f aca="false">IFERROR(H16/F16,0)</f>
        <v>49817.5426030369</v>
      </c>
      <c r="L16" s="9" t="n">
        <f aca="false">IFERROR(I16/F16,0)</f>
        <v>-7293.68143167028</v>
      </c>
      <c r="M16" s="21" t="n">
        <f aca="false">IFERROR(I16/G16,0)</f>
        <v>-0.171519735761471</v>
      </c>
      <c r="N16" s="6" t="s">
        <v>2021</v>
      </c>
      <c r="O16" s="9" t="n">
        <f aca="false">H16</f>
        <v>45931774.28</v>
      </c>
      <c r="P16" s="12" t="s">
        <v>2022</v>
      </c>
    </row>
    <row r="17" customFormat="false" ht="15" hidden="false" customHeight="false" outlineLevel="0" collapsed="false">
      <c r="A17" s="74" t="s">
        <v>875</v>
      </c>
      <c r="B17" s="74" t="s">
        <v>239</v>
      </c>
      <c r="C17" s="74" t="s">
        <v>237</v>
      </c>
      <c r="D17" s="91" t="n">
        <v>5</v>
      </c>
      <c r="E17" s="74" t="s">
        <v>733</v>
      </c>
      <c r="F17" s="10" t="n">
        <v>5</v>
      </c>
      <c r="G17" s="8" t="n">
        <v>190000</v>
      </c>
      <c r="H17" s="8" t="n">
        <v>214394.39</v>
      </c>
      <c r="I17" s="9" t="n">
        <f aca="false">G17-H17</f>
        <v>-24394.39</v>
      </c>
      <c r="J17" s="9" t="n">
        <f aca="false">IFERROR(G17/F17,0)</f>
        <v>38000</v>
      </c>
      <c r="K17" s="9" t="n">
        <f aca="false">IFERROR(H17/F17,0)</f>
        <v>42878.878</v>
      </c>
      <c r="L17" s="9" t="n">
        <f aca="false">IFERROR(I17/F17,0)</f>
        <v>-4878.878</v>
      </c>
      <c r="M17" s="21" t="n">
        <f aca="false">IFERROR(I17/G17,0)</f>
        <v>-0.12839152631579</v>
      </c>
      <c r="N17" s="6" t="s">
        <v>2021</v>
      </c>
      <c r="O17" s="9" t="n">
        <f aca="false">H17</f>
        <v>214394.39</v>
      </c>
      <c r="P17" s="12" t="s">
        <v>2022</v>
      </c>
    </row>
    <row r="18" customFormat="false" ht="15" hidden="false" customHeight="false" outlineLevel="0" collapsed="false">
      <c r="A18" s="74" t="s">
        <v>875</v>
      </c>
      <c r="B18" s="74" t="s">
        <v>239</v>
      </c>
      <c r="C18" s="74" t="s">
        <v>237</v>
      </c>
      <c r="D18" s="91" t="n">
        <v>8</v>
      </c>
      <c r="E18" s="74" t="s">
        <v>185</v>
      </c>
      <c r="F18" s="10" t="n">
        <v>274.57</v>
      </c>
      <c r="G18" s="8" t="n">
        <v>10982800</v>
      </c>
      <c r="H18" s="7" t="n">
        <f aca="false">SUMIFS('MA Engine'!$X$6:$X$1110,'MA Engine'!$C$6:$C$1110,$A18,'MA Engine'!$D$6:$D$1110,$B18,'MA Engine'!$E$6:$E$1110,$C18,'MA Engine'!$H$6:$H$1110,8,'MA Engine'!$I$6:$I$1110,"DO",'MA Engine'!$P$6:$P$1110,"&lt;&gt;Y")</f>
        <v>11773253.58</v>
      </c>
      <c r="I18" s="9" t="n">
        <f aca="false">G18-H18</f>
        <v>-790453.58</v>
      </c>
      <c r="J18" s="9" t="n">
        <f aca="false">IFERROR(G18/F18,0)</f>
        <v>40000</v>
      </c>
      <c r="K18" s="9" t="n">
        <f aca="false">IFERROR(H18/F18,0)</f>
        <v>42878.8781731435</v>
      </c>
      <c r="L18" s="9" t="n">
        <f aca="false">IFERROR(I18/F18,0)</f>
        <v>-2878.87817314346</v>
      </c>
      <c r="M18" s="21" t="n">
        <f aca="false">IFERROR(I18/G18,0)</f>
        <v>-0.0719719543285865</v>
      </c>
      <c r="N18" s="6" t="s">
        <v>2021</v>
      </c>
      <c r="O18" s="7" t="n">
        <f aca="false">SUMIFS('MA Engine'!$S$6:$S$1110,'MA Engine'!$C$6:$C$1110,$A18,'MA Engine'!$D$6:$D$1110,$B18,'MA Engine'!$E$6:$E$1110,$C18,'MA Engine'!$H$6:$H$1110,8,'MA Engine'!$I$6:$I$1110,"DO",'MA Engine'!$P$6:$P$1110,"&lt;&gt;Y")</f>
        <v>11773253.58</v>
      </c>
      <c r="P18" s="12" t="s">
        <v>2023</v>
      </c>
    </row>
    <row r="19" customFormat="false" ht="15" hidden="false" customHeight="false" outlineLevel="0" collapsed="false">
      <c r="A19" s="74" t="s">
        <v>875</v>
      </c>
      <c r="B19" s="74" t="s">
        <v>239</v>
      </c>
      <c r="C19" s="74" t="s">
        <v>238</v>
      </c>
      <c r="D19" s="91" t="n">
        <v>4</v>
      </c>
      <c r="E19" s="74" t="s">
        <v>732</v>
      </c>
      <c r="F19" s="10" t="n">
        <v>526.22</v>
      </c>
      <c r="G19" s="8" t="n">
        <v>21470120</v>
      </c>
      <c r="H19" s="8" t="n">
        <v>23417752.86</v>
      </c>
      <c r="I19" s="9" t="n">
        <f aca="false">G19-H19</f>
        <v>-1947632.86</v>
      </c>
      <c r="J19" s="9" t="n">
        <f aca="false">IFERROR(G19/F19,0)</f>
        <v>40800.6537189769</v>
      </c>
      <c r="K19" s="9" t="n">
        <f aca="false">IFERROR(H19/F19,0)</f>
        <v>44501.8297670176</v>
      </c>
      <c r="L19" s="9" t="n">
        <f aca="false">IFERROR(I19/F19,0)</f>
        <v>-3701.17604804074</v>
      </c>
      <c r="M19" s="21" t="n">
        <f aca="false">IFERROR(I19/G19,0)</f>
        <v>-0.0907136457551238</v>
      </c>
      <c r="N19" s="6" t="s">
        <v>2021</v>
      </c>
      <c r="O19" s="9" t="n">
        <f aca="false">H19</f>
        <v>23417752.86</v>
      </c>
      <c r="P19" s="12" t="s">
        <v>2022</v>
      </c>
    </row>
    <row r="20" customFormat="false" ht="15" hidden="false" customHeight="false" outlineLevel="0" collapsed="false">
      <c r="A20" s="74" t="s">
        <v>875</v>
      </c>
      <c r="B20" s="74" t="s">
        <v>239</v>
      </c>
      <c r="C20" s="74" t="s">
        <v>238</v>
      </c>
      <c r="D20" s="91" t="n">
        <v>5</v>
      </c>
      <c r="E20" s="74" t="s">
        <v>733</v>
      </c>
      <c r="F20" s="10" t="n">
        <v>2561.48</v>
      </c>
      <c r="G20" s="8" t="n">
        <v>103187790</v>
      </c>
      <c r="H20" s="8" t="n">
        <v>99339223.8</v>
      </c>
      <c r="I20" s="9" t="n">
        <f aca="false">G20-H20</f>
        <v>3848566.2</v>
      </c>
      <c r="J20" s="9" t="n">
        <f aca="false">IFERROR(G20/F20,0)</f>
        <v>40284.4410262817</v>
      </c>
      <c r="K20" s="9" t="n">
        <f aca="false">IFERROR(H20/F20,0)</f>
        <v>38781.9634742415</v>
      </c>
      <c r="L20" s="9" t="n">
        <f aca="false">IFERROR(I20/F20,0)</f>
        <v>1502.47755204023</v>
      </c>
      <c r="M20" s="21" t="n">
        <f aca="false">IFERROR(I20/G20,0)</f>
        <v>0.0372967208620323</v>
      </c>
      <c r="N20" s="6" t="s">
        <v>2021</v>
      </c>
      <c r="O20" s="9" t="n">
        <f aca="false">H20</f>
        <v>99339223.8</v>
      </c>
      <c r="P20" s="12" t="s">
        <v>2022</v>
      </c>
    </row>
    <row r="21" customFormat="false" ht="15" hidden="false" customHeight="false" outlineLevel="0" collapsed="false">
      <c r="A21" s="74" t="s">
        <v>875</v>
      </c>
      <c r="B21" s="74" t="s">
        <v>239</v>
      </c>
      <c r="C21" s="74" t="s">
        <v>238</v>
      </c>
      <c r="D21" s="91" t="n">
        <v>6</v>
      </c>
      <c r="E21" s="74" t="s">
        <v>734</v>
      </c>
      <c r="F21" s="10" t="n">
        <v>2131.31</v>
      </c>
      <c r="G21" s="8" t="n">
        <v>74595850</v>
      </c>
      <c r="H21" s="8" t="n">
        <v>78510418.55</v>
      </c>
      <c r="I21" s="9" t="n">
        <f aca="false">G21-H21</f>
        <v>-3914568.55</v>
      </c>
      <c r="J21" s="9" t="n">
        <f aca="false">IFERROR(G21/F21,0)</f>
        <v>35000</v>
      </c>
      <c r="K21" s="9" t="n">
        <f aca="false">IFERROR(H21/F21,0)</f>
        <v>36836.6959991742</v>
      </c>
      <c r="L21" s="9" t="n">
        <f aca="false">IFERROR(I21/F21,0)</f>
        <v>-1836.69599917422</v>
      </c>
      <c r="M21" s="21" t="n">
        <f aca="false">IFERROR(I21/G21,0)</f>
        <v>-0.0524770285478347</v>
      </c>
      <c r="N21" s="6" t="s">
        <v>2021</v>
      </c>
      <c r="O21" s="9" t="n">
        <f aca="false">H21</f>
        <v>78510418.55</v>
      </c>
      <c r="P21" s="12" t="s">
        <v>2022</v>
      </c>
    </row>
    <row r="22" customFormat="false" ht="15" hidden="false" customHeight="false" outlineLevel="0" collapsed="false">
      <c r="A22" s="74" t="s">
        <v>875</v>
      </c>
      <c r="B22" s="74" t="s">
        <v>239</v>
      </c>
      <c r="C22" s="74" t="s">
        <v>238</v>
      </c>
      <c r="D22" s="91" t="n">
        <v>8</v>
      </c>
      <c r="E22" s="74" t="s">
        <v>185</v>
      </c>
      <c r="F22" s="10" t="n">
        <v>2411.51</v>
      </c>
      <c r="G22" s="8" t="n">
        <v>96460400</v>
      </c>
      <c r="H22" s="7" t="n">
        <f aca="false">SUMIFS('MA Engine'!$X$6:$X$1110,'MA Engine'!$C$6:$C$1110,$A22,'MA Engine'!$D$6:$D$1110,$B22,'MA Engine'!$E$6:$E$1110,$C22,'MA Engine'!$H$6:$H$1110,8,'MA Engine'!$I$6:$I$1110,"DO",'MA Engine'!$P$6:$P$1110,"&lt;&gt;Y")</f>
        <v>83838633.6</v>
      </c>
      <c r="I22" s="9" t="n">
        <f aca="false">G22-H22</f>
        <v>12621766.4</v>
      </c>
      <c r="J22" s="9" t="n">
        <f aca="false">IFERROR(G22/F22,0)</f>
        <v>40000</v>
      </c>
      <c r="K22" s="9" t="n">
        <f aca="false">IFERROR(H22/F22,0)</f>
        <v>34766.0319053207</v>
      </c>
      <c r="L22" s="9" t="n">
        <f aca="false">IFERROR(I22/F22,0)</f>
        <v>5233.96809467927</v>
      </c>
      <c r="M22" s="21" t="n">
        <f aca="false">IFERROR(I22/G22,0)</f>
        <v>0.130849202366982</v>
      </c>
      <c r="N22" s="6" t="s">
        <v>2021</v>
      </c>
      <c r="O22" s="7" t="n">
        <f aca="false">SUMIFS('MA Engine'!$S$6:$S$1110,'MA Engine'!$C$6:$C$1110,$A22,'MA Engine'!$D$6:$D$1110,$B22,'MA Engine'!$E$6:$E$1110,$C22,'MA Engine'!$H$6:$H$1110,8,'MA Engine'!$I$6:$I$1110,"DO",'MA Engine'!$P$6:$P$1110,"&lt;&gt;Y")</f>
        <v>83838633.6</v>
      </c>
      <c r="P22" s="12" t="s">
        <v>2023</v>
      </c>
    </row>
    <row r="23" customFormat="false" ht="15" hidden="false" customHeight="false" outlineLevel="0" collapsed="false">
      <c r="A23" s="74" t="s">
        <v>875</v>
      </c>
      <c r="B23" s="74" t="s">
        <v>1484</v>
      </c>
      <c r="C23" s="74" t="s">
        <v>237</v>
      </c>
      <c r="D23" s="91" t="n">
        <v>3</v>
      </c>
      <c r="E23" s="74" t="s">
        <v>731</v>
      </c>
      <c r="F23" s="10" t="n">
        <v>815</v>
      </c>
      <c r="G23" s="8" t="n">
        <v>37490000</v>
      </c>
      <c r="H23" s="8" t="n">
        <v>44814369.4</v>
      </c>
      <c r="I23" s="9" t="n">
        <f aca="false">G23-H23</f>
        <v>-7324369.4</v>
      </c>
      <c r="J23" s="9" t="n">
        <f aca="false">IFERROR(G23/F23,0)</f>
        <v>46000</v>
      </c>
      <c r="K23" s="9" t="n">
        <f aca="false">IFERROR(H23/F23,0)</f>
        <v>54986.9563190184</v>
      </c>
      <c r="L23" s="9" t="n">
        <f aca="false">IFERROR(I23/F23,0)</f>
        <v>-8986.9563190184</v>
      </c>
      <c r="M23" s="21" t="n">
        <f aca="false">IFERROR(I23/G23,0)</f>
        <v>-0.195368615630835</v>
      </c>
      <c r="N23" s="6" t="s">
        <v>2021</v>
      </c>
      <c r="O23" s="9" t="n">
        <f aca="false">H23</f>
        <v>44814369.4</v>
      </c>
      <c r="P23" s="12" t="s">
        <v>2022</v>
      </c>
    </row>
    <row r="24" customFormat="false" ht="15" hidden="false" customHeight="false" outlineLevel="0" collapsed="false">
      <c r="A24" s="74" t="s">
        <v>875</v>
      </c>
      <c r="B24" s="74" t="s">
        <v>1484</v>
      </c>
      <c r="C24" s="74" t="s">
        <v>237</v>
      </c>
      <c r="D24" s="91" t="n">
        <v>4</v>
      </c>
      <c r="E24" s="74" t="s">
        <v>732</v>
      </c>
      <c r="F24" s="10" t="n">
        <v>492</v>
      </c>
      <c r="G24" s="8" t="n">
        <v>22142000</v>
      </c>
      <c r="H24" s="8" t="n">
        <v>27544620</v>
      </c>
      <c r="I24" s="9" t="n">
        <f aca="false">G24-H24</f>
        <v>-5402620</v>
      </c>
      <c r="J24" s="9" t="n">
        <f aca="false">IFERROR(G24/F24,0)</f>
        <v>45004.0650406504</v>
      </c>
      <c r="K24" s="9" t="n">
        <f aca="false">IFERROR(H24/F24,0)</f>
        <v>55985</v>
      </c>
      <c r="L24" s="9" t="n">
        <f aca="false">IFERROR(I24/F24,0)</f>
        <v>-10980.9349593496</v>
      </c>
      <c r="M24" s="21" t="n">
        <f aca="false">IFERROR(I24/G24,0)</f>
        <v>-0.24399873543492</v>
      </c>
      <c r="N24" s="6" t="s">
        <v>2021</v>
      </c>
      <c r="O24" s="9" t="n">
        <f aca="false">H24</f>
        <v>27544620</v>
      </c>
      <c r="P24" s="12" t="s">
        <v>2022</v>
      </c>
    </row>
    <row r="25" customFormat="false" ht="15" hidden="false" customHeight="false" outlineLevel="0" collapsed="false">
      <c r="A25" s="74" t="s">
        <v>875</v>
      </c>
      <c r="B25" s="74" t="s">
        <v>1484</v>
      </c>
      <c r="C25" s="74" t="s">
        <v>238</v>
      </c>
      <c r="D25" s="91" t="n">
        <v>4</v>
      </c>
      <c r="E25" s="74" t="s">
        <v>732</v>
      </c>
      <c r="F25" s="10" t="n">
        <v>2492.8</v>
      </c>
      <c r="G25" s="8" t="n">
        <v>99712000</v>
      </c>
      <c r="H25" s="8" t="n">
        <v>118281345.82</v>
      </c>
      <c r="I25" s="9" t="n">
        <f aca="false">G25-H25</f>
        <v>-18569345.82</v>
      </c>
      <c r="J25" s="9" t="n">
        <f aca="false">IFERROR(G25/F25,0)</f>
        <v>40000</v>
      </c>
      <c r="K25" s="9" t="n">
        <f aca="false">IFERROR(H25/F25,0)</f>
        <v>47449.1920009628</v>
      </c>
      <c r="L25" s="9" t="n">
        <f aca="false">IFERROR(I25/F25,0)</f>
        <v>-7449.19200096277</v>
      </c>
      <c r="M25" s="21" t="n">
        <f aca="false">IFERROR(I25/G25,0)</f>
        <v>-0.186229800024069</v>
      </c>
      <c r="N25" s="6" t="s">
        <v>2021</v>
      </c>
      <c r="O25" s="9" t="n">
        <f aca="false">H25</f>
        <v>118281345.82</v>
      </c>
      <c r="P25" s="12" t="s">
        <v>2022</v>
      </c>
    </row>
    <row r="26" customFormat="false" ht="15" hidden="false" customHeight="false" outlineLevel="0" collapsed="false">
      <c r="A26" s="74" t="s">
        <v>875</v>
      </c>
      <c r="B26" s="74" t="s">
        <v>1484</v>
      </c>
      <c r="C26" s="74" t="s">
        <v>238</v>
      </c>
      <c r="D26" s="91" t="n">
        <v>5</v>
      </c>
      <c r="E26" s="74" t="s">
        <v>733</v>
      </c>
      <c r="F26" s="10" t="n">
        <v>1331.53</v>
      </c>
      <c r="G26" s="8" t="n">
        <v>52621660</v>
      </c>
      <c r="H26" s="8" t="n">
        <v>63180022.63</v>
      </c>
      <c r="I26" s="9" t="n">
        <f aca="false">G26-H26</f>
        <v>-10558362.63</v>
      </c>
      <c r="J26" s="9" t="n">
        <f aca="false">IFERROR(G26/F26,0)</f>
        <v>39519.6953880123</v>
      </c>
      <c r="K26" s="9" t="n">
        <f aca="false">IFERROR(H26/F26,0)</f>
        <v>47449.1920046863</v>
      </c>
      <c r="L26" s="9" t="n">
        <f aca="false">IFERROR(I26/F26,0)</f>
        <v>-7929.49661667405</v>
      </c>
      <c r="M26" s="21" t="n">
        <f aca="false">IFERROR(I26/G26,0)</f>
        <v>-0.200646703847807</v>
      </c>
      <c r="N26" s="6" t="s">
        <v>2021</v>
      </c>
      <c r="O26" s="9" t="n">
        <f aca="false">H26</f>
        <v>63180022.63</v>
      </c>
      <c r="P26" s="12" t="s">
        <v>2022</v>
      </c>
    </row>
    <row r="27" customFormat="false" ht="15" hidden="false" customHeight="false" outlineLevel="0" collapsed="false">
      <c r="A27" s="74" t="s">
        <v>875</v>
      </c>
      <c r="B27" s="74" t="s">
        <v>242</v>
      </c>
      <c r="C27" s="74" t="s">
        <v>237</v>
      </c>
      <c r="D27" s="91" t="n">
        <v>3</v>
      </c>
      <c r="E27" s="74" t="s">
        <v>731</v>
      </c>
      <c r="F27" s="10" t="n">
        <v>145</v>
      </c>
      <c r="G27" s="8" t="n">
        <v>2320000</v>
      </c>
      <c r="H27" s="8" t="n">
        <v>0</v>
      </c>
      <c r="I27" s="9" t="n">
        <f aca="false">G27-H27</f>
        <v>2320000</v>
      </c>
      <c r="J27" s="9" t="n">
        <f aca="false">IFERROR(G27/F27,0)</f>
        <v>16000</v>
      </c>
      <c r="K27" s="9" t="n">
        <f aca="false">IFERROR(H27/F27,0)</f>
        <v>0</v>
      </c>
      <c r="L27" s="9" t="n">
        <f aca="false">IFERROR(I27/F27,0)</f>
        <v>16000</v>
      </c>
      <c r="M27" s="21" t="n">
        <f aca="false">IFERROR(I27/G27,0)</f>
        <v>1</v>
      </c>
      <c r="N27" s="6" t="s">
        <v>2021</v>
      </c>
      <c r="O27" s="9" t="n">
        <f aca="false">H27</f>
        <v>0</v>
      </c>
      <c r="P27" s="12" t="s">
        <v>2022</v>
      </c>
    </row>
    <row r="28" customFormat="false" ht="15" hidden="false" customHeight="false" outlineLevel="0" collapsed="false">
      <c r="A28" s="74" t="s">
        <v>875</v>
      </c>
      <c r="B28" s="74" t="s">
        <v>242</v>
      </c>
      <c r="C28" s="74" t="s">
        <v>237</v>
      </c>
      <c r="D28" s="91" t="n">
        <v>4</v>
      </c>
      <c r="E28" s="74" t="s">
        <v>732</v>
      </c>
      <c r="F28" s="10" t="n">
        <v>743.83</v>
      </c>
      <c r="G28" s="8" t="n">
        <v>8847300</v>
      </c>
      <c r="H28" s="8" t="n">
        <v>0</v>
      </c>
      <c r="I28" s="9" t="n">
        <f aca="false">G28-H28</f>
        <v>8847300</v>
      </c>
      <c r="J28" s="9" t="n">
        <f aca="false">IFERROR(G28/F28,0)</f>
        <v>11894.2500302488</v>
      </c>
      <c r="K28" s="9" t="n">
        <f aca="false">IFERROR(H28/F28,0)</f>
        <v>0</v>
      </c>
      <c r="L28" s="9" t="n">
        <f aca="false">IFERROR(I28/F28,0)</f>
        <v>11894.2500302488</v>
      </c>
      <c r="M28" s="21" t="n">
        <f aca="false">IFERROR(I28/G28,0)</f>
        <v>1</v>
      </c>
      <c r="N28" s="6" t="s">
        <v>2021</v>
      </c>
      <c r="O28" s="9" t="n">
        <f aca="false">H28</f>
        <v>0</v>
      </c>
      <c r="P28" s="12" t="s">
        <v>2022</v>
      </c>
    </row>
    <row r="29" customFormat="false" ht="15" hidden="false" customHeight="false" outlineLevel="0" collapsed="false">
      <c r="A29" s="74" t="s">
        <v>875</v>
      </c>
      <c r="B29" s="74" t="s">
        <v>242</v>
      </c>
      <c r="C29" s="74" t="s">
        <v>237</v>
      </c>
      <c r="D29" s="91" t="n">
        <v>5</v>
      </c>
      <c r="E29" s="74" t="s">
        <v>733</v>
      </c>
      <c r="F29" s="10" t="n">
        <v>979.16</v>
      </c>
      <c r="G29" s="8" t="n">
        <v>8639220</v>
      </c>
      <c r="H29" s="8" t="n">
        <v>4924569.73</v>
      </c>
      <c r="I29" s="9" t="n">
        <f aca="false">G29-H29</f>
        <v>3714650.27</v>
      </c>
      <c r="J29" s="9" t="n">
        <f aca="false">IFERROR(G29/F29,0)</f>
        <v>8823.09326361371</v>
      </c>
      <c r="K29" s="9" t="n">
        <f aca="false">IFERROR(H29/F29,0)</f>
        <v>5029.38205196291</v>
      </c>
      <c r="L29" s="9" t="n">
        <f aca="false">IFERROR(I29/F29,0)</f>
        <v>3793.7112116508</v>
      </c>
      <c r="M29" s="21" t="n">
        <f aca="false">IFERROR(I29/G29,0)</f>
        <v>0.42997519104734</v>
      </c>
      <c r="N29" s="6" t="s">
        <v>2021</v>
      </c>
      <c r="O29" s="9" t="n">
        <f aca="false">H29</f>
        <v>4924569.73</v>
      </c>
      <c r="P29" s="12" t="s">
        <v>2022</v>
      </c>
    </row>
    <row r="30" customFormat="false" ht="15" hidden="false" customHeight="false" outlineLevel="0" collapsed="false">
      <c r="A30" s="74" t="s">
        <v>875</v>
      </c>
      <c r="B30" s="74" t="s">
        <v>242</v>
      </c>
      <c r="C30" s="74" t="s">
        <v>237</v>
      </c>
      <c r="D30" s="91" t="n">
        <v>8</v>
      </c>
      <c r="E30" s="74" t="s">
        <v>185</v>
      </c>
      <c r="F30" s="10" t="n">
        <v>3666.8</v>
      </c>
      <c r="G30" s="8" t="n">
        <v>11370200</v>
      </c>
      <c r="H30" s="7" t="n">
        <f aca="false">SUMIFS('MA Engine'!$X$6:$X$1110,'MA Engine'!$C$6:$C$1110,$A30,'MA Engine'!$D$6:$D$1110,$B30,'MA Engine'!$E$6:$E$1110,$C30,'MA Engine'!$H$6:$H$1110,8,'MA Engine'!$I$6:$I$1110,"DO",'MA Engine'!$P$6:$P$1110,"&lt;&gt;Y")</f>
        <v>50747540.9406448</v>
      </c>
      <c r="I30" s="9" t="n">
        <f aca="false">G30-H30</f>
        <v>-39377340.9406448</v>
      </c>
      <c r="J30" s="9" t="n">
        <f aca="false">IFERROR(G30/F30,0)</f>
        <v>3100.85087814989</v>
      </c>
      <c r="K30" s="9" t="n">
        <f aca="false">IFERROR(H30/F30,0)</f>
        <v>13839.7351752604</v>
      </c>
      <c r="L30" s="9" t="n">
        <f aca="false">IFERROR(I30/F30,0)</f>
        <v>-10738.8842971105</v>
      </c>
      <c r="M30" s="21" t="n">
        <f aca="false">IFERROR(I30/G30,0)</f>
        <v>-3.4632056551903</v>
      </c>
      <c r="N30" s="6" t="s">
        <v>2021</v>
      </c>
      <c r="O30" s="7" t="n">
        <f aca="false">SUMIFS('MA Engine'!$S$6:$S$1110,'MA Engine'!$C$6:$C$1110,$A30,'MA Engine'!$D$6:$D$1110,$B30,'MA Engine'!$E$6:$E$1110,$C30,'MA Engine'!$H$6:$H$1110,8,'MA Engine'!$I$6:$I$1110,"DO",'MA Engine'!$P$6:$P$1110,"&lt;&gt;Y")</f>
        <v>50747540.9406448</v>
      </c>
      <c r="P30" s="12" t="s">
        <v>2023</v>
      </c>
    </row>
    <row r="31" customFormat="false" ht="15" hidden="false" customHeight="false" outlineLevel="0" collapsed="false">
      <c r="A31" s="74" t="s">
        <v>875</v>
      </c>
      <c r="B31" s="74" t="s">
        <v>242</v>
      </c>
      <c r="C31" s="74" t="s">
        <v>238</v>
      </c>
      <c r="D31" s="91" t="n">
        <v>4</v>
      </c>
      <c r="E31" s="74" t="s">
        <v>732</v>
      </c>
      <c r="F31" s="10" t="n">
        <v>45.42</v>
      </c>
      <c r="G31" s="8" t="n">
        <v>454200</v>
      </c>
      <c r="H31" s="8" t="n">
        <v>0</v>
      </c>
      <c r="I31" s="9" t="n">
        <f aca="false">G31-H31</f>
        <v>454200</v>
      </c>
      <c r="J31" s="9" t="n">
        <f aca="false">IFERROR(G31/F31,0)</f>
        <v>10000</v>
      </c>
      <c r="K31" s="9" t="n">
        <f aca="false">IFERROR(H31/F31,0)</f>
        <v>0</v>
      </c>
      <c r="L31" s="9" t="n">
        <f aca="false">IFERROR(I31/F31,0)</f>
        <v>10000</v>
      </c>
      <c r="M31" s="21" t="n">
        <f aca="false">IFERROR(I31/G31,0)</f>
        <v>1</v>
      </c>
      <c r="N31" s="6" t="s">
        <v>2021</v>
      </c>
      <c r="O31" s="9" t="n">
        <f aca="false">H31</f>
        <v>0</v>
      </c>
      <c r="P31" s="12" t="s">
        <v>2022</v>
      </c>
    </row>
    <row r="32" customFormat="false" ht="15" hidden="false" customHeight="false" outlineLevel="0" collapsed="false">
      <c r="A32" s="74" t="s">
        <v>875</v>
      </c>
      <c r="B32" s="74" t="s">
        <v>242</v>
      </c>
      <c r="C32" s="74" t="s">
        <v>238</v>
      </c>
      <c r="D32" s="91" t="n">
        <v>5</v>
      </c>
      <c r="E32" s="74" t="s">
        <v>733</v>
      </c>
      <c r="F32" s="10" t="n">
        <v>305.06</v>
      </c>
      <c r="G32" s="8" t="n">
        <v>3150660</v>
      </c>
      <c r="H32" s="8" t="n">
        <v>2735116.13</v>
      </c>
      <c r="I32" s="9" t="n">
        <f aca="false">G32-H32</f>
        <v>415543.87</v>
      </c>
      <c r="J32" s="9" t="n">
        <f aca="false">IFERROR(G32/F32,0)</f>
        <v>10328.001048974</v>
      </c>
      <c r="K32" s="9" t="n">
        <f aca="false">IFERROR(H32/F32,0)</f>
        <v>8965.83009899692</v>
      </c>
      <c r="L32" s="9" t="n">
        <f aca="false">IFERROR(I32/F32,0)</f>
        <v>1362.17094997705</v>
      </c>
      <c r="M32" s="21" t="n">
        <f aca="false">IFERROR(I32/G32,0)</f>
        <v>0.131891054572693</v>
      </c>
      <c r="N32" s="6" t="s">
        <v>2021</v>
      </c>
      <c r="O32" s="9" t="n">
        <f aca="false">H32</f>
        <v>2735116.13</v>
      </c>
      <c r="P32" s="12" t="s">
        <v>2022</v>
      </c>
    </row>
    <row r="33" customFormat="false" ht="15" hidden="false" customHeight="false" outlineLevel="0" collapsed="false">
      <c r="A33" s="74" t="s">
        <v>875</v>
      </c>
      <c r="B33" s="74" t="s">
        <v>242</v>
      </c>
      <c r="C33" s="74" t="s">
        <v>238</v>
      </c>
      <c r="D33" s="91" t="n">
        <v>7</v>
      </c>
      <c r="E33" s="74" t="s">
        <v>184</v>
      </c>
      <c r="F33" s="10" t="n">
        <v>462.2</v>
      </c>
      <c r="G33" s="8" t="n">
        <v>2311000</v>
      </c>
      <c r="H33" s="8" t="n">
        <v>3868511.95</v>
      </c>
      <c r="I33" s="9" t="n">
        <f aca="false">G33-H33</f>
        <v>-1557511.95</v>
      </c>
      <c r="J33" s="9" t="n">
        <f aca="false">IFERROR(G33/F33,0)</f>
        <v>5000</v>
      </c>
      <c r="K33" s="9" t="n">
        <f aca="false">IFERROR(H33/F33,0)</f>
        <v>8369.77920813501</v>
      </c>
      <c r="L33" s="9" t="n">
        <f aca="false">IFERROR(I33/F33,0)</f>
        <v>-3369.77920813501</v>
      </c>
      <c r="M33" s="21" t="n">
        <f aca="false">IFERROR(I33/G33,0)</f>
        <v>-0.673955841627001</v>
      </c>
      <c r="N33" s="6" t="s">
        <v>2021</v>
      </c>
      <c r="O33" s="9" t="n">
        <f aca="false">H33</f>
        <v>3868511.95</v>
      </c>
      <c r="P33" s="12" t="s">
        <v>2022</v>
      </c>
    </row>
    <row r="34" customFormat="false" ht="15" hidden="false" customHeight="false" outlineLevel="0" collapsed="false">
      <c r="A34" s="74" t="s">
        <v>875</v>
      </c>
      <c r="B34" s="74" t="s">
        <v>243</v>
      </c>
      <c r="C34" s="74" t="s">
        <v>241</v>
      </c>
      <c r="D34" s="91" t="n">
        <v>4</v>
      </c>
      <c r="E34" s="74" t="s">
        <v>732</v>
      </c>
      <c r="F34" s="10" t="n">
        <v>0</v>
      </c>
      <c r="G34" s="8" t="n">
        <v>0</v>
      </c>
      <c r="H34" s="8" t="n">
        <v>22109838.58</v>
      </c>
      <c r="I34" s="9" t="n">
        <f aca="false">G34-H34</f>
        <v>-22109838.58</v>
      </c>
      <c r="J34" s="9" t="n">
        <f aca="false">IFERROR(G34/F34,0)</f>
        <v>0</v>
      </c>
      <c r="K34" s="9" t="n">
        <f aca="false">IFERROR(H34/F34,0)</f>
        <v>0</v>
      </c>
      <c r="L34" s="9" t="n">
        <f aca="false">IFERROR(I34/F34,0)</f>
        <v>0</v>
      </c>
      <c r="M34" s="21" t="n">
        <f aca="false">IFERROR(I34/G34,0)</f>
        <v>0</v>
      </c>
      <c r="N34" s="6" t="s">
        <v>2024</v>
      </c>
      <c r="O34" s="9" t="n">
        <f aca="false">H34</f>
        <v>22109838.58</v>
      </c>
      <c r="P34" s="12" t="s">
        <v>2025</v>
      </c>
    </row>
    <row r="35" customFormat="false" ht="15" hidden="false" customHeight="false" outlineLevel="0" collapsed="false">
      <c r="A35" s="74" t="s">
        <v>875</v>
      </c>
      <c r="B35" s="74" t="s">
        <v>243</v>
      </c>
      <c r="C35" s="74" t="s">
        <v>241</v>
      </c>
      <c r="D35" s="91" t="n">
        <v>7</v>
      </c>
      <c r="E35" s="74" t="s">
        <v>184</v>
      </c>
      <c r="F35" s="10" t="n">
        <v>0</v>
      </c>
      <c r="G35" s="8" t="n">
        <v>0</v>
      </c>
      <c r="H35" s="8" t="n">
        <v>-81361</v>
      </c>
      <c r="I35" s="9" t="n">
        <f aca="false">G35-H35</f>
        <v>81361</v>
      </c>
      <c r="J35" s="9" t="n">
        <f aca="false">IFERROR(G35/F35,0)</f>
        <v>0</v>
      </c>
      <c r="K35" s="9" t="n">
        <f aca="false">IFERROR(H35/F35,0)</f>
        <v>0</v>
      </c>
      <c r="L35" s="9" t="n">
        <f aca="false">IFERROR(I35/F35,0)</f>
        <v>0</v>
      </c>
      <c r="M35" s="21" t="n">
        <f aca="false">IFERROR(I35/G35,0)</f>
        <v>0</v>
      </c>
      <c r="N35" s="6" t="s">
        <v>2024</v>
      </c>
      <c r="O35" s="9" t="n">
        <f aca="false">H35</f>
        <v>-81361</v>
      </c>
      <c r="P35" s="12" t="s">
        <v>2026</v>
      </c>
    </row>
    <row r="36" customFormat="false" ht="15" hidden="false" customHeight="false" outlineLevel="0" collapsed="false">
      <c r="A36" s="74" t="s">
        <v>875</v>
      </c>
      <c r="B36" s="74" t="s">
        <v>244</v>
      </c>
      <c r="C36" s="74" t="s">
        <v>237</v>
      </c>
      <c r="D36" s="91" t="n">
        <v>3</v>
      </c>
      <c r="E36" s="74" t="s">
        <v>731</v>
      </c>
      <c r="F36" s="10" t="n">
        <v>1940</v>
      </c>
      <c r="G36" s="8" t="n">
        <v>3492000</v>
      </c>
      <c r="H36" s="8" t="n">
        <v>0</v>
      </c>
      <c r="I36" s="9" t="n">
        <f aca="false">G36-H36</f>
        <v>3492000</v>
      </c>
      <c r="J36" s="9" t="n">
        <f aca="false">IFERROR(G36/F36,0)</f>
        <v>1800</v>
      </c>
      <c r="K36" s="9" t="n">
        <f aca="false">IFERROR(H36/F36,0)</f>
        <v>0</v>
      </c>
      <c r="L36" s="9" t="n">
        <f aca="false">IFERROR(I36/F36,0)</f>
        <v>1800</v>
      </c>
      <c r="M36" s="21" t="n">
        <f aca="false">IFERROR(I36/G36,0)</f>
        <v>1</v>
      </c>
      <c r="N36" s="6" t="s">
        <v>2021</v>
      </c>
      <c r="O36" s="9" t="n">
        <f aca="false">H36</f>
        <v>0</v>
      </c>
      <c r="P36" s="12" t="s">
        <v>2022</v>
      </c>
    </row>
    <row r="37" customFormat="false" ht="15" hidden="false" customHeight="false" outlineLevel="0" collapsed="false">
      <c r="A37" s="74" t="s">
        <v>875</v>
      </c>
      <c r="B37" s="74" t="s">
        <v>244</v>
      </c>
      <c r="C37" s="74" t="s">
        <v>237</v>
      </c>
      <c r="D37" s="91" t="n">
        <v>4</v>
      </c>
      <c r="E37" s="74" t="s">
        <v>732</v>
      </c>
      <c r="F37" s="10" t="n">
        <v>15793</v>
      </c>
      <c r="G37" s="8" t="n">
        <v>13211900</v>
      </c>
      <c r="H37" s="8" t="n">
        <v>0</v>
      </c>
      <c r="I37" s="9" t="n">
        <f aca="false">G37-H37</f>
        <v>13211900</v>
      </c>
      <c r="J37" s="9" t="n">
        <f aca="false">IFERROR(G37/F37,0)</f>
        <v>836.566833407206</v>
      </c>
      <c r="K37" s="9" t="n">
        <f aca="false">IFERROR(H37/F37,0)</f>
        <v>0</v>
      </c>
      <c r="L37" s="9" t="n">
        <f aca="false">IFERROR(I37/F37,0)</f>
        <v>836.566833407206</v>
      </c>
      <c r="M37" s="21" t="n">
        <f aca="false">IFERROR(I37/G37,0)</f>
        <v>1</v>
      </c>
      <c r="N37" s="6" t="s">
        <v>2021</v>
      </c>
      <c r="O37" s="9" t="n">
        <f aca="false">H37</f>
        <v>0</v>
      </c>
      <c r="P37" s="12" t="s">
        <v>2022</v>
      </c>
    </row>
    <row r="38" customFormat="false" ht="15" hidden="false" customHeight="false" outlineLevel="0" collapsed="false">
      <c r="A38" s="74" t="s">
        <v>875</v>
      </c>
      <c r="B38" s="74" t="s">
        <v>244</v>
      </c>
      <c r="C38" s="74" t="s">
        <v>237</v>
      </c>
      <c r="D38" s="91" t="n">
        <v>5</v>
      </c>
      <c r="E38" s="74" t="s">
        <v>733</v>
      </c>
      <c r="F38" s="10" t="n">
        <v>18470</v>
      </c>
      <c r="G38" s="8" t="n">
        <v>25152200</v>
      </c>
      <c r="H38" s="8" t="n">
        <v>10778130.62</v>
      </c>
      <c r="I38" s="9" t="n">
        <f aca="false">G38-H38</f>
        <v>14374069.38</v>
      </c>
      <c r="J38" s="9" t="n">
        <f aca="false">IFERROR(G38/F38,0)</f>
        <v>1361.78668110449</v>
      </c>
      <c r="K38" s="9" t="n">
        <f aca="false">IFERROR(H38/F38,0)</f>
        <v>583.547949106659</v>
      </c>
      <c r="L38" s="9" t="n">
        <f aca="false">IFERROR(I38/F38,0)</f>
        <v>778.238731997834</v>
      </c>
      <c r="M38" s="21" t="n">
        <f aca="false">IFERROR(I38/G38,0)</f>
        <v>0.571483583145808</v>
      </c>
      <c r="N38" s="6" t="s">
        <v>2021</v>
      </c>
      <c r="O38" s="9" t="n">
        <f aca="false">H38</f>
        <v>10778130.62</v>
      </c>
      <c r="P38" s="12" t="s">
        <v>2022</v>
      </c>
    </row>
    <row r="39" customFormat="false" ht="15" hidden="false" customHeight="false" outlineLevel="0" collapsed="false">
      <c r="A39" s="74" t="s">
        <v>875</v>
      </c>
      <c r="B39" s="74" t="s">
        <v>244</v>
      </c>
      <c r="C39" s="74" t="s">
        <v>237</v>
      </c>
      <c r="D39" s="91" t="n">
        <v>7</v>
      </c>
      <c r="E39" s="74" t="s">
        <v>184</v>
      </c>
      <c r="F39" s="10" t="n">
        <v>367.5</v>
      </c>
      <c r="G39" s="8" t="n">
        <v>1837500</v>
      </c>
      <c r="H39" s="8" t="n">
        <v>186381.12</v>
      </c>
      <c r="I39" s="9" t="n">
        <f aca="false">G39-H39</f>
        <v>1651118.88</v>
      </c>
      <c r="J39" s="9" t="n">
        <f aca="false">IFERROR(G39/F39,0)</f>
        <v>5000</v>
      </c>
      <c r="K39" s="9" t="n">
        <f aca="false">IFERROR(H39/F39,0)</f>
        <v>507.159510204082</v>
      </c>
      <c r="L39" s="9" t="n">
        <f aca="false">IFERROR(I39/F39,0)</f>
        <v>4492.84048979592</v>
      </c>
      <c r="M39" s="21" t="n">
        <f aca="false">IFERROR(I39/G39,0)</f>
        <v>0.898568097959184</v>
      </c>
      <c r="N39" s="6" t="s">
        <v>2021</v>
      </c>
      <c r="O39" s="9" t="n">
        <f aca="false">H39</f>
        <v>186381.12</v>
      </c>
      <c r="P39" s="12" t="s">
        <v>2022</v>
      </c>
    </row>
    <row r="40" customFormat="false" ht="15" hidden="false" customHeight="false" outlineLevel="0" collapsed="false">
      <c r="A40" s="74" t="s">
        <v>875</v>
      </c>
      <c r="B40" s="74" t="s">
        <v>244</v>
      </c>
      <c r="C40" s="74" t="s">
        <v>237</v>
      </c>
      <c r="D40" s="91" t="n">
        <v>8</v>
      </c>
      <c r="E40" s="74" t="s">
        <v>185</v>
      </c>
      <c r="F40" s="10" t="n">
        <v>6714.4</v>
      </c>
      <c r="G40" s="8" t="n">
        <v>30317650</v>
      </c>
      <c r="H40" s="7" t="n">
        <f aca="false">SUMIFS('MA Engine'!$X$6:$X$1110,'MA Engine'!$C$6:$C$1110,$A40,'MA Engine'!$D$6:$D$1110,$B40,'MA Engine'!$E$6:$E$1110,$C40,'MA Engine'!$H$6:$H$1110,8,'MA Engine'!$I$6:$I$1110,"DO",'MA Engine'!$P$6:$P$1110,"&lt;&gt;Y")</f>
        <v>20555649.2482591</v>
      </c>
      <c r="I40" s="9" t="n">
        <f aca="false">G40-H40</f>
        <v>9762000.75174093</v>
      </c>
      <c r="J40" s="9" t="n">
        <f aca="false">IFERROR(G40/F40,0)</f>
        <v>4515.31782437746</v>
      </c>
      <c r="K40" s="9" t="n">
        <f aca="false">IFERROR(H40/F40,0)</f>
        <v>3061.42756586725</v>
      </c>
      <c r="L40" s="9" t="n">
        <f aca="false">IFERROR(I40/F40,0)</f>
        <v>1453.89025851021</v>
      </c>
      <c r="M40" s="21" t="n">
        <f aca="false">IFERROR(I40/G40,0)</f>
        <v>0.32199068040369</v>
      </c>
      <c r="N40" s="6" t="s">
        <v>2021</v>
      </c>
      <c r="O40" s="7" t="n">
        <f aca="false">SUMIFS('MA Engine'!$S$6:$S$1110,'MA Engine'!$C$6:$C$1110,$A40,'MA Engine'!$D$6:$D$1110,$B40,'MA Engine'!$E$6:$E$1110,$C40,'MA Engine'!$H$6:$H$1110,8,'MA Engine'!$I$6:$I$1110,"DO",'MA Engine'!$P$6:$P$1110,"&lt;&gt;Y")</f>
        <v>20555649.2482591</v>
      </c>
      <c r="P40" s="12" t="s">
        <v>2023</v>
      </c>
    </row>
    <row r="41" customFormat="false" ht="15" hidden="false" customHeight="false" outlineLevel="0" collapsed="false">
      <c r="A41" s="74" t="s">
        <v>875</v>
      </c>
      <c r="B41" s="74" t="s">
        <v>244</v>
      </c>
      <c r="C41" s="74" t="s">
        <v>238</v>
      </c>
      <c r="D41" s="91" t="n">
        <v>7</v>
      </c>
      <c r="E41" s="74" t="s">
        <v>184</v>
      </c>
      <c r="F41" s="10" t="n">
        <v>1300</v>
      </c>
      <c r="G41" s="8" t="n">
        <v>1300000</v>
      </c>
      <c r="H41" s="8" t="n">
        <v>721058.91</v>
      </c>
      <c r="I41" s="9" t="n">
        <f aca="false">G41-H41</f>
        <v>578941.09</v>
      </c>
      <c r="J41" s="9" t="n">
        <f aca="false">IFERROR(G41/F41,0)</f>
        <v>1000</v>
      </c>
      <c r="K41" s="9" t="n">
        <f aca="false">IFERROR(H41/F41,0)</f>
        <v>554.6607</v>
      </c>
      <c r="L41" s="9" t="n">
        <f aca="false">IFERROR(I41/F41,0)</f>
        <v>445.3393</v>
      </c>
      <c r="M41" s="21" t="n">
        <f aca="false">IFERROR(I41/G41,0)</f>
        <v>0.4453393</v>
      </c>
      <c r="N41" s="6" t="s">
        <v>2021</v>
      </c>
      <c r="O41" s="9" t="n">
        <f aca="false">H41</f>
        <v>721058.91</v>
      </c>
      <c r="P41" s="12" t="s">
        <v>2022</v>
      </c>
    </row>
    <row r="42" customFormat="false" ht="15" hidden="false" customHeight="false" outlineLevel="0" collapsed="false">
      <c r="A42" s="74" t="s">
        <v>875</v>
      </c>
      <c r="B42" s="74" t="s">
        <v>244</v>
      </c>
      <c r="C42" s="74" t="s">
        <v>238</v>
      </c>
      <c r="D42" s="91" t="n">
        <v>8</v>
      </c>
      <c r="E42" s="74" t="s">
        <v>185</v>
      </c>
      <c r="F42" s="10" t="n">
        <v>221.5</v>
      </c>
      <c r="G42" s="8" t="n">
        <v>1107500</v>
      </c>
      <c r="H42" s="7" t="n">
        <f aca="false">SUMIFS('MA Engine'!$X$6:$X$1110,'MA Engine'!$C$6:$C$1110,$A42,'MA Engine'!$D$6:$D$1110,$B42,'MA Engine'!$E$6:$E$1110,$C42,'MA Engine'!$H$6:$H$1110,8,'MA Engine'!$I$6:$I$1110,"DO",'MA Engine'!$P$6:$P$1110,"&lt;&gt;Y")</f>
        <v>122857.346346631</v>
      </c>
      <c r="I42" s="9" t="n">
        <f aca="false">G42-H42</f>
        <v>984642.653653369</v>
      </c>
      <c r="J42" s="9" t="n">
        <f aca="false">IFERROR(G42/F42,0)</f>
        <v>5000</v>
      </c>
      <c r="K42" s="9" t="n">
        <f aca="false">IFERROR(H42/F42,0)</f>
        <v>554.660705853865</v>
      </c>
      <c r="L42" s="9" t="n">
        <f aca="false">IFERROR(I42/F42,0)</f>
        <v>4445.33929414613</v>
      </c>
      <c r="M42" s="21" t="n">
        <f aca="false">IFERROR(I42/G42,0)</f>
        <v>0.889067858829227</v>
      </c>
      <c r="N42" s="6" t="s">
        <v>2021</v>
      </c>
      <c r="O42" s="7" t="n">
        <f aca="false">SUMIFS('MA Engine'!$S$6:$S$1110,'MA Engine'!$C$6:$C$1110,$A42,'MA Engine'!$D$6:$D$1110,$B42,'MA Engine'!$E$6:$E$1110,$C42,'MA Engine'!$H$6:$H$1110,8,'MA Engine'!$I$6:$I$1110,"DO",'MA Engine'!$P$6:$P$1110,"&lt;&gt;Y")</f>
        <v>122857.346346631</v>
      </c>
      <c r="P42" s="12" t="s">
        <v>2023</v>
      </c>
    </row>
    <row r="43" customFormat="false" ht="15" hidden="false" customHeight="false" outlineLevel="0" collapsed="false">
      <c r="A43" s="74" t="s">
        <v>875</v>
      </c>
      <c r="B43" s="74" t="s">
        <v>245</v>
      </c>
      <c r="C43" s="74" t="s">
        <v>237</v>
      </c>
      <c r="D43" s="91" t="n">
        <v>3</v>
      </c>
      <c r="E43" s="74" t="s">
        <v>731</v>
      </c>
      <c r="F43" s="10" t="n">
        <v>1126.5</v>
      </c>
      <c r="G43" s="8" t="n">
        <v>13518000</v>
      </c>
      <c r="H43" s="8" t="n">
        <v>0</v>
      </c>
      <c r="I43" s="9" t="n">
        <f aca="false">G43-H43</f>
        <v>13518000</v>
      </c>
      <c r="J43" s="9" t="n">
        <f aca="false">IFERROR(G43/F43,0)</f>
        <v>12000</v>
      </c>
      <c r="K43" s="9" t="n">
        <f aca="false">IFERROR(H43/F43,0)</f>
        <v>0</v>
      </c>
      <c r="L43" s="9" t="n">
        <f aca="false">IFERROR(I43/F43,0)</f>
        <v>12000</v>
      </c>
      <c r="M43" s="21" t="n">
        <f aca="false">IFERROR(I43/G43,0)</f>
        <v>1</v>
      </c>
      <c r="N43" s="6" t="s">
        <v>2021</v>
      </c>
      <c r="O43" s="9" t="n">
        <f aca="false">H43</f>
        <v>0</v>
      </c>
      <c r="P43" s="12" t="s">
        <v>2022</v>
      </c>
    </row>
    <row r="44" customFormat="false" ht="15" hidden="false" customHeight="false" outlineLevel="0" collapsed="false">
      <c r="A44" s="74" t="s">
        <v>875</v>
      </c>
      <c r="B44" s="74" t="s">
        <v>245</v>
      </c>
      <c r="C44" s="74" t="s">
        <v>237</v>
      </c>
      <c r="D44" s="91" t="n">
        <v>4</v>
      </c>
      <c r="E44" s="74" t="s">
        <v>732</v>
      </c>
      <c r="F44" s="10" t="n">
        <v>5252.98</v>
      </c>
      <c r="G44" s="8" t="n">
        <v>52252910</v>
      </c>
      <c r="H44" s="8" t="n">
        <v>0</v>
      </c>
      <c r="I44" s="9" t="n">
        <f aca="false">G44-H44</f>
        <v>52252910</v>
      </c>
      <c r="J44" s="9" t="n">
        <f aca="false">IFERROR(G44/F44,0)</f>
        <v>9947.28896740517</v>
      </c>
      <c r="K44" s="9" t="n">
        <f aca="false">IFERROR(H44/F44,0)</f>
        <v>0</v>
      </c>
      <c r="L44" s="9" t="n">
        <f aca="false">IFERROR(I44/F44,0)</f>
        <v>9947.28896740517</v>
      </c>
      <c r="M44" s="21" t="n">
        <f aca="false">IFERROR(I44/G44,0)</f>
        <v>1</v>
      </c>
      <c r="N44" s="6" t="s">
        <v>2021</v>
      </c>
      <c r="O44" s="9" t="n">
        <f aca="false">H44</f>
        <v>0</v>
      </c>
      <c r="P44" s="12" t="s">
        <v>2022</v>
      </c>
    </row>
    <row r="45" customFormat="false" ht="15" hidden="false" customHeight="false" outlineLevel="0" collapsed="false">
      <c r="A45" s="74" t="s">
        <v>875</v>
      </c>
      <c r="B45" s="74" t="s">
        <v>245</v>
      </c>
      <c r="C45" s="74" t="s">
        <v>237</v>
      </c>
      <c r="D45" s="91" t="n">
        <v>5</v>
      </c>
      <c r="E45" s="74" t="s">
        <v>733</v>
      </c>
      <c r="F45" s="10" t="n">
        <v>2525.77</v>
      </c>
      <c r="G45" s="8" t="n">
        <v>22633470</v>
      </c>
      <c r="H45" s="8" t="n">
        <v>7227420.71</v>
      </c>
      <c r="I45" s="9" t="n">
        <f aca="false">G45-H45</f>
        <v>15406049.29</v>
      </c>
      <c r="J45" s="9" t="n">
        <f aca="false">IFERROR(G45/F45,0)</f>
        <v>8961.01782822664</v>
      </c>
      <c r="K45" s="9" t="n">
        <f aca="false">IFERROR(H45/F45,0)</f>
        <v>2861.47222827098</v>
      </c>
      <c r="L45" s="9" t="n">
        <f aca="false">IFERROR(I45/F45,0)</f>
        <v>6099.54559995566</v>
      </c>
      <c r="M45" s="21" t="n">
        <f aca="false">IFERROR(I45/G45,0)</f>
        <v>0.680675534507082</v>
      </c>
      <c r="N45" s="6" t="s">
        <v>2021</v>
      </c>
      <c r="O45" s="9" t="n">
        <f aca="false">H45</f>
        <v>7227420.71</v>
      </c>
      <c r="P45" s="12" t="s">
        <v>2022</v>
      </c>
    </row>
    <row r="46" customFormat="false" ht="15" hidden="false" customHeight="false" outlineLevel="0" collapsed="false">
      <c r="A46" s="74" t="s">
        <v>875</v>
      </c>
      <c r="B46" s="74" t="s">
        <v>245</v>
      </c>
      <c r="C46" s="74" t="s">
        <v>238</v>
      </c>
      <c r="D46" s="91" t="n">
        <v>5</v>
      </c>
      <c r="E46" s="74" t="s">
        <v>733</v>
      </c>
      <c r="F46" s="10" t="n">
        <v>3302.73</v>
      </c>
      <c r="G46" s="8" t="n">
        <v>26421840</v>
      </c>
      <c r="H46" s="8" t="n">
        <v>59248232.29</v>
      </c>
      <c r="I46" s="9" t="n">
        <f aca="false">G46-H46</f>
        <v>-32826392.29</v>
      </c>
      <c r="J46" s="9" t="n">
        <f aca="false">IFERROR(G46/F46,0)</f>
        <v>8000</v>
      </c>
      <c r="K46" s="9" t="n">
        <f aca="false">IFERROR(H46/F46,0)</f>
        <v>17939.1691994199</v>
      </c>
      <c r="L46" s="9" t="n">
        <f aca="false">IFERROR(I46/F46,0)</f>
        <v>-9939.16919941987</v>
      </c>
      <c r="M46" s="21" t="n">
        <f aca="false">IFERROR(I46/G46,0)</f>
        <v>-1.24239614992748</v>
      </c>
      <c r="N46" s="6" t="s">
        <v>2021</v>
      </c>
      <c r="O46" s="9" t="n">
        <f aca="false">H46</f>
        <v>59248232.29</v>
      </c>
      <c r="P46" s="12" t="s">
        <v>2022</v>
      </c>
    </row>
    <row r="47" customFormat="false" ht="15" hidden="false" customHeight="false" outlineLevel="0" collapsed="false">
      <c r="A47" s="74" t="s">
        <v>875</v>
      </c>
      <c r="B47" s="74" t="s">
        <v>245</v>
      </c>
      <c r="C47" s="74" t="s">
        <v>238</v>
      </c>
      <c r="D47" s="91" t="n">
        <v>7</v>
      </c>
      <c r="E47" s="74" t="s">
        <v>184</v>
      </c>
      <c r="F47" s="10" t="n">
        <v>2645.92</v>
      </c>
      <c r="G47" s="8" t="n">
        <v>13229600</v>
      </c>
      <c r="H47" s="8" t="n">
        <v>24725858.87</v>
      </c>
      <c r="I47" s="9" t="n">
        <f aca="false">G47-H47</f>
        <v>-11496258.87</v>
      </c>
      <c r="J47" s="9" t="n">
        <f aca="false">IFERROR(G47/F47,0)</f>
        <v>5000</v>
      </c>
      <c r="K47" s="9" t="n">
        <f aca="false">IFERROR(H47/F47,0)</f>
        <v>9344.90040137268</v>
      </c>
      <c r="L47" s="9" t="n">
        <f aca="false">IFERROR(I47/F47,0)</f>
        <v>-4344.90040137268</v>
      </c>
      <c r="M47" s="21" t="n">
        <f aca="false">IFERROR(I47/G47,0)</f>
        <v>-0.868980080274536</v>
      </c>
      <c r="N47" s="6" t="s">
        <v>2021</v>
      </c>
      <c r="O47" s="9" t="n">
        <f aca="false">H47</f>
        <v>24725858.87</v>
      </c>
      <c r="P47" s="12" t="s">
        <v>2022</v>
      </c>
    </row>
    <row r="48" customFormat="false" ht="15" hidden="false" customHeight="false" outlineLevel="0" collapsed="false">
      <c r="A48" s="74" t="s">
        <v>875</v>
      </c>
      <c r="B48" s="74" t="s">
        <v>246</v>
      </c>
      <c r="C48" s="74" t="s">
        <v>237</v>
      </c>
      <c r="D48" s="91" t="n">
        <v>5</v>
      </c>
      <c r="E48" s="74" t="s">
        <v>733</v>
      </c>
      <c r="F48" s="10" t="n">
        <v>6868.39</v>
      </c>
      <c r="G48" s="8" t="n">
        <v>221644979</v>
      </c>
      <c r="H48" s="8" t="n">
        <v>211823876.22</v>
      </c>
      <c r="I48" s="9" t="n">
        <f aca="false">G48-H48</f>
        <v>9821102.78</v>
      </c>
      <c r="J48" s="9" t="n">
        <f aca="false">IFERROR(G48/F48,0)</f>
        <v>32270.2960955915</v>
      </c>
      <c r="K48" s="9" t="n">
        <f aca="false">IFERROR(H48/F48,0)</f>
        <v>30840.3972721409</v>
      </c>
      <c r="L48" s="9" t="n">
        <f aca="false">IFERROR(I48/F48,0)</f>
        <v>1429.89882345062</v>
      </c>
      <c r="M48" s="21" t="n">
        <f aca="false">IFERROR(I48/G48,0)</f>
        <v>0.0443100620835629</v>
      </c>
      <c r="N48" s="6" t="s">
        <v>2021</v>
      </c>
      <c r="O48" s="9" t="n">
        <f aca="false">H48</f>
        <v>211823876.22</v>
      </c>
      <c r="P48" s="12" t="s">
        <v>2022</v>
      </c>
    </row>
    <row r="49" customFormat="false" ht="15" hidden="false" customHeight="false" outlineLevel="0" collapsed="false">
      <c r="A49" s="74" t="s">
        <v>875</v>
      </c>
      <c r="B49" s="74" t="s">
        <v>246</v>
      </c>
      <c r="C49" s="74" t="s">
        <v>237</v>
      </c>
      <c r="D49" s="91" t="n">
        <v>7</v>
      </c>
      <c r="E49" s="74" t="s">
        <v>184</v>
      </c>
      <c r="F49" s="10" t="n">
        <v>86.3</v>
      </c>
      <c r="G49" s="8" t="n">
        <v>2502700</v>
      </c>
      <c r="H49" s="8" t="n">
        <v>2230473.55</v>
      </c>
      <c r="I49" s="9" t="n">
        <f aca="false">G49-H49</f>
        <v>272226.45</v>
      </c>
      <c r="J49" s="9" t="n">
        <f aca="false">IFERROR(G49/F49,0)</f>
        <v>29000</v>
      </c>
      <c r="K49" s="9" t="n">
        <f aca="false">IFERROR(H49/F49,0)</f>
        <v>25845.5799536501</v>
      </c>
      <c r="L49" s="9" t="n">
        <f aca="false">IFERROR(I49/F49,0)</f>
        <v>3154.42004634994</v>
      </c>
      <c r="M49" s="21" t="n">
        <f aca="false">IFERROR(I49/G49,0)</f>
        <v>0.10877310504655</v>
      </c>
      <c r="N49" s="6" t="s">
        <v>2021</v>
      </c>
      <c r="O49" s="9" t="n">
        <f aca="false">H49</f>
        <v>2230473.55</v>
      </c>
      <c r="P49" s="12" t="s">
        <v>2022</v>
      </c>
    </row>
    <row r="50" customFormat="false" ht="15" hidden="false" customHeight="false" outlineLevel="0" collapsed="false">
      <c r="A50" s="74" t="s">
        <v>875</v>
      </c>
      <c r="B50" s="74" t="s">
        <v>246</v>
      </c>
      <c r="C50" s="74" t="s">
        <v>237</v>
      </c>
      <c r="D50" s="91" t="n">
        <v>8</v>
      </c>
      <c r="E50" s="74" t="s">
        <v>185</v>
      </c>
      <c r="F50" s="10" t="n">
        <v>34844.83</v>
      </c>
      <c r="G50" s="8" t="n">
        <v>1278996095</v>
      </c>
      <c r="H50" s="7" t="n">
        <f aca="false">SUMIFS('MA Engine'!$X$6:$X$1110,'MA Engine'!$C$6:$C$1110,$A50,'MA Engine'!$D$6:$D$1110,$B50,'MA Engine'!$E$6:$E$1110,$C50,'MA Engine'!$H$6:$H$1110,8,'MA Engine'!$I$6:$I$1110,"DO",'MA Engine'!$P$6:$P$1110,"&lt;&gt;Y")</f>
        <v>1302404893.10103</v>
      </c>
      <c r="I50" s="9" t="n">
        <f aca="false">G50-H50</f>
        <v>-23408798.1010349</v>
      </c>
      <c r="J50" s="9" t="n">
        <f aca="false">IFERROR(G50/F50,0)</f>
        <v>36705.4766804717</v>
      </c>
      <c r="K50" s="9" t="n">
        <f aca="false">IFERROR(H50/F50,0)</f>
        <v>37377.2778659283</v>
      </c>
      <c r="L50" s="9" t="n">
        <f aca="false">IFERROR(I50/F50,0)</f>
        <v>-671.801185456634</v>
      </c>
      <c r="M50" s="21" t="n">
        <f aca="false">IFERROR(I50/G50,0)</f>
        <v>-0.0183024781643566</v>
      </c>
      <c r="N50" s="6" t="s">
        <v>2021</v>
      </c>
      <c r="O50" s="7" t="n">
        <f aca="false">SUMIFS('MA Engine'!$S$6:$S$1110,'MA Engine'!$C$6:$C$1110,$A50,'MA Engine'!$D$6:$D$1110,$B50,'MA Engine'!$E$6:$E$1110,$C50,'MA Engine'!$H$6:$H$1110,8,'MA Engine'!$I$6:$I$1110,"DO",'MA Engine'!$P$6:$P$1110,"&lt;&gt;Y")</f>
        <v>1304841842.67855</v>
      </c>
      <c r="P50" s="12" t="s">
        <v>2023</v>
      </c>
    </row>
    <row r="51" customFormat="false" ht="15" hidden="false" customHeight="false" outlineLevel="0" collapsed="false">
      <c r="A51" s="74" t="s">
        <v>875</v>
      </c>
      <c r="B51" s="74" t="s">
        <v>246</v>
      </c>
      <c r="C51" s="74" t="s">
        <v>238</v>
      </c>
      <c r="D51" s="91" t="n">
        <v>5</v>
      </c>
      <c r="E51" s="74" t="s">
        <v>733</v>
      </c>
      <c r="F51" s="10" t="n">
        <v>390.96</v>
      </c>
      <c r="G51" s="8" t="n">
        <v>13319360</v>
      </c>
      <c r="H51" s="8" t="n">
        <v>10684737.94</v>
      </c>
      <c r="I51" s="9" t="n">
        <f aca="false">G51-H51</f>
        <v>2634622.06</v>
      </c>
      <c r="J51" s="9" t="n">
        <f aca="false">IFERROR(G51/F51,0)</f>
        <v>34068.3445876816</v>
      </c>
      <c r="K51" s="9" t="n">
        <f aca="false">IFERROR(H51/F51,0)</f>
        <v>27329.4913546143</v>
      </c>
      <c r="L51" s="9" t="n">
        <f aca="false">IFERROR(I51/F51,0)</f>
        <v>6738.85323306732</v>
      </c>
      <c r="M51" s="21" t="n">
        <f aca="false">IFERROR(I51/G51,0)</f>
        <v>0.197803953042789</v>
      </c>
      <c r="N51" s="6" t="s">
        <v>2021</v>
      </c>
      <c r="O51" s="9" t="n">
        <f aca="false">H51</f>
        <v>10684737.94</v>
      </c>
      <c r="P51" s="12" t="s">
        <v>2022</v>
      </c>
    </row>
    <row r="52" customFormat="false" ht="15" hidden="false" customHeight="false" outlineLevel="0" collapsed="false">
      <c r="A52" s="74" t="s">
        <v>875</v>
      </c>
      <c r="B52" s="74" t="s">
        <v>246</v>
      </c>
      <c r="C52" s="74" t="s">
        <v>238</v>
      </c>
      <c r="D52" s="91" t="n">
        <v>6</v>
      </c>
      <c r="E52" s="74" t="s">
        <v>734</v>
      </c>
      <c r="F52" s="10" t="n">
        <v>11934.94</v>
      </c>
      <c r="G52" s="8" t="n">
        <v>368433356</v>
      </c>
      <c r="H52" s="8" t="n">
        <v>307123153.73</v>
      </c>
      <c r="I52" s="9" t="n">
        <f aca="false">G52-H52</f>
        <v>61310202.27</v>
      </c>
      <c r="J52" s="9" t="n">
        <f aca="false">IFERROR(G52/F52,0)</f>
        <v>30870.1473153615</v>
      </c>
      <c r="K52" s="9" t="n">
        <f aca="false">IFERROR(H52/F52,0)</f>
        <v>25733.1125024508</v>
      </c>
      <c r="L52" s="9" t="n">
        <f aca="false">IFERROR(I52/F52,0)</f>
        <v>5137.03481291066</v>
      </c>
      <c r="M52" s="21" t="n">
        <f aca="false">IFERROR(I52/G52,0)</f>
        <v>0.166407848995084</v>
      </c>
      <c r="N52" s="6" t="s">
        <v>2021</v>
      </c>
      <c r="O52" s="9" t="n">
        <f aca="false">H52</f>
        <v>307123153.73</v>
      </c>
      <c r="P52" s="12" t="s">
        <v>2022</v>
      </c>
    </row>
    <row r="53" customFormat="false" ht="15" hidden="false" customHeight="false" outlineLevel="0" collapsed="false">
      <c r="A53" s="74" t="s">
        <v>875</v>
      </c>
      <c r="B53" s="74" t="s">
        <v>246</v>
      </c>
      <c r="C53" s="74" t="s">
        <v>238</v>
      </c>
      <c r="D53" s="91" t="n">
        <v>7</v>
      </c>
      <c r="E53" s="74" t="s">
        <v>184</v>
      </c>
      <c r="F53" s="10" t="n">
        <v>5435.88</v>
      </c>
      <c r="G53" s="8" t="n">
        <v>153887890</v>
      </c>
      <c r="H53" s="8" t="n">
        <v>140792724.89</v>
      </c>
      <c r="I53" s="9" t="n">
        <f aca="false">G53-H53</f>
        <v>13095165.11</v>
      </c>
      <c r="J53" s="9" t="n">
        <f aca="false">IFERROR(G53/F53,0)</f>
        <v>28309.6554743666</v>
      </c>
      <c r="K53" s="9" t="n">
        <f aca="false">IFERROR(H53/F53,0)</f>
        <v>25900.6315242426</v>
      </c>
      <c r="L53" s="9" t="n">
        <f aca="false">IFERROR(I53/F53,0)</f>
        <v>2409.02395012399</v>
      </c>
      <c r="M53" s="21" t="n">
        <f aca="false">IFERROR(I53/G53,0)</f>
        <v>0.0850954880855148</v>
      </c>
      <c r="N53" s="6" t="s">
        <v>2021</v>
      </c>
      <c r="O53" s="9" t="n">
        <f aca="false">H53</f>
        <v>140792724.89</v>
      </c>
      <c r="P53" s="12" t="s">
        <v>2022</v>
      </c>
    </row>
    <row r="54" customFormat="false" ht="15" hidden="false" customHeight="false" outlineLevel="0" collapsed="false">
      <c r="A54" s="74" t="s">
        <v>875</v>
      </c>
      <c r="B54" s="74" t="s">
        <v>246</v>
      </c>
      <c r="C54" s="74" t="s">
        <v>238</v>
      </c>
      <c r="D54" s="91" t="n">
        <v>8</v>
      </c>
      <c r="E54" s="74" t="s">
        <v>185</v>
      </c>
      <c r="F54" s="10" t="n">
        <v>16066.62</v>
      </c>
      <c r="G54" s="8" t="n">
        <v>508633605</v>
      </c>
      <c r="H54" s="7" t="n">
        <f aca="false">SUMIFS('MA Engine'!$X$6:$X$1110,'MA Engine'!$C$6:$C$1110,$A54,'MA Engine'!$D$6:$D$1110,$B54,'MA Engine'!$E$6:$E$1110,$C54,'MA Engine'!$H$6:$H$1110,8,'MA Engine'!$I$6:$I$1110,"DO",'MA Engine'!$P$6:$P$1110,"&lt;&gt;Y")</f>
        <v>494157354.575424</v>
      </c>
      <c r="I54" s="9" t="n">
        <f aca="false">G54-H54</f>
        <v>14476250.4245756</v>
      </c>
      <c r="J54" s="9" t="n">
        <f aca="false">IFERROR(G54/F54,0)</f>
        <v>31657.7852093346</v>
      </c>
      <c r="K54" s="9" t="n">
        <f aca="false">IFERROR(H54/F54,0)</f>
        <v>30756.7711550671</v>
      </c>
      <c r="L54" s="9" t="n">
        <f aca="false">IFERROR(I54/F54,0)</f>
        <v>901.01405426752</v>
      </c>
      <c r="M54" s="21" t="n">
        <f aca="false">IFERROR(I54/G54,0)</f>
        <v>0.0284610577875121</v>
      </c>
      <c r="N54" s="6" t="s">
        <v>2021</v>
      </c>
      <c r="O54" s="7" t="n">
        <f aca="false">SUMIFS('MA Engine'!$S$6:$S$1110,'MA Engine'!$C$6:$C$1110,$A54,'MA Engine'!$D$6:$D$1110,$B54,'MA Engine'!$E$6:$E$1110,$C54,'MA Engine'!$H$6:$H$1110,8,'MA Engine'!$I$6:$I$1110,"DO",'MA Engine'!$P$6:$P$1110,"&lt;&gt;Y")</f>
        <v>494157354.575424</v>
      </c>
      <c r="P54" s="12" t="s">
        <v>2023</v>
      </c>
    </row>
    <row r="55" customFormat="false" ht="15" hidden="false" customHeight="false" outlineLevel="0" collapsed="false">
      <c r="A55" s="74" t="s">
        <v>875</v>
      </c>
      <c r="B55" s="74" t="s">
        <v>246</v>
      </c>
      <c r="C55" s="74" t="s">
        <v>247</v>
      </c>
      <c r="D55" s="91" t="n">
        <v>5</v>
      </c>
      <c r="E55" s="74" t="s">
        <v>733</v>
      </c>
      <c r="F55" s="10" t="n">
        <v>10499.7</v>
      </c>
      <c r="G55" s="8" t="n">
        <v>312891060</v>
      </c>
      <c r="H55" s="8" t="n">
        <v>275261843.5</v>
      </c>
      <c r="I55" s="9" t="n">
        <f aca="false">G55-H55</f>
        <v>37629216.5</v>
      </c>
      <c r="J55" s="9" t="n">
        <f aca="false">IFERROR(G55/F55,0)</f>
        <v>29800</v>
      </c>
      <c r="K55" s="9" t="n">
        <f aca="false">IFERROR(H55/F55,0)</f>
        <v>26216.1626998867</v>
      </c>
      <c r="L55" s="9" t="n">
        <f aca="false">IFERROR(I55/F55,0)</f>
        <v>3583.83730011334</v>
      </c>
      <c r="M55" s="21" t="n">
        <f aca="false">IFERROR(I55/G55,0)</f>
        <v>0.120262996648099</v>
      </c>
      <c r="N55" s="6" t="s">
        <v>2021</v>
      </c>
      <c r="O55" s="9" t="n">
        <f aca="false">H55</f>
        <v>275261843.5</v>
      </c>
      <c r="P55" s="12" t="s">
        <v>2022</v>
      </c>
    </row>
    <row r="56" customFormat="false" ht="15" hidden="false" customHeight="false" outlineLevel="0" collapsed="false">
      <c r="A56" s="74" t="s">
        <v>875</v>
      </c>
      <c r="B56" s="74" t="s">
        <v>246</v>
      </c>
      <c r="C56" s="74" t="s">
        <v>247</v>
      </c>
      <c r="D56" s="91" t="n">
        <v>8</v>
      </c>
      <c r="E56" s="74" t="s">
        <v>185</v>
      </c>
      <c r="F56" s="10" t="n">
        <v>811.29</v>
      </c>
      <c r="G56" s="8" t="n">
        <v>24338700</v>
      </c>
      <c r="H56" s="7" t="n">
        <f aca="false">SUMIFS('MA Engine'!$X$6:$X$1110,'MA Engine'!$C$6:$C$1110,$A56,'MA Engine'!$D$6:$D$1110,$B56,'MA Engine'!$E$6:$E$1110,$C56,'MA Engine'!$H$6:$H$1110,8,'MA Engine'!$I$6:$I$1110,"DO",'MA Engine'!$P$6:$P$1110,"&lt;&gt;Y")</f>
        <v>21984386.316208</v>
      </c>
      <c r="I56" s="9" t="n">
        <f aca="false">G56-H56</f>
        <v>2354313.68379197</v>
      </c>
      <c r="J56" s="9" t="n">
        <f aca="false">IFERROR(G56/F56,0)</f>
        <v>30000</v>
      </c>
      <c r="K56" s="9" t="n">
        <f aca="false">IFERROR(H56/F56,0)</f>
        <v>27098.0615023087</v>
      </c>
      <c r="L56" s="9" t="n">
        <f aca="false">IFERROR(I56/F56,0)</f>
        <v>2901.93849769129</v>
      </c>
      <c r="M56" s="21" t="n">
        <f aca="false">IFERROR(I56/G56,0)</f>
        <v>0.0967312832563764</v>
      </c>
      <c r="N56" s="6" t="s">
        <v>2021</v>
      </c>
      <c r="O56" s="7" t="n">
        <f aca="false">SUMIFS('MA Engine'!$S$6:$S$1110,'MA Engine'!$C$6:$C$1110,$A56,'MA Engine'!$D$6:$D$1110,$B56,'MA Engine'!$E$6:$E$1110,$C56,'MA Engine'!$H$6:$H$1110,8,'MA Engine'!$I$6:$I$1110,"DO",'MA Engine'!$P$6:$P$1110,"&lt;&gt;Y")</f>
        <v>21984386.316208</v>
      </c>
      <c r="P56" s="12" t="s">
        <v>2023</v>
      </c>
    </row>
    <row r="57" customFormat="false" ht="15" hidden="false" customHeight="false" outlineLevel="0" collapsed="false">
      <c r="A57" s="74" t="s">
        <v>875</v>
      </c>
      <c r="B57" s="74" t="s">
        <v>248</v>
      </c>
      <c r="C57" s="74" t="s">
        <v>237</v>
      </c>
      <c r="D57" s="91" t="n">
        <v>3</v>
      </c>
      <c r="E57" s="74" t="s">
        <v>731</v>
      </c>
      <c r="F57" s="10" t="n">
        <v>617</v>
      </c>
      <c r="G57" s="8" t="n">
        <v>6170000</v>
      </c>
      <c r="H57" s="8" t="n">
        <v>0</v>
      </c>
      <c r="I57" s="9" t="n">
        <f aca="false">G57-H57</f>
        <v>6170000</v>
      </c>
      <c r="J57" s="9" t="n">
        <f aca="false">IFERROR(G57/F57,0)</f>
        <v>10000</v>
      </c>
      <c r="K57" s="9" t="n">
        <f aca="false">IFERROR(H57/F57,0)</f>
        <v>0</v>
      </c>
      <c r="L57" s="9" t="n">
        <f aca="false">IFERROR(I57/F57,0)</f>
        <v>10000</v>
      </c>
      <c r="M57" s="21" t="n">
        <f aca="false">IFERROR(I57/G57,0)</f>
        <v>1</v>
      </c>
      <c r="N57" s="6" t="s">
        <v>2021</v>
      </c>
      <c r="O57" s="9" t="n">
        <f aca="false">H57</f>
        <v>0</v>
      </c>
      <c r="P57" s="12" t="s">
        <v>2022</v>
      </c>
    </row>
    <row r="58" customFormat="false" ht="15" hidden="false" customHeight="false" outlineLevel="0" collapsed="false">
      <c r="A58" s="74" t="s">
        <v>875</v>
      </c>
      <c r="B58" s="74" t="s">
        <v>248</v>
      </c>
      <c r="C58" s="74" t="s">
        <v>237</v>
      </c>
      <c r="D58" s="91" t="n">
        <v>4</v>
      </c>
      <c r="E58" s="74" t="s">
        <v>732</v>
      </c>
      <c r="F58" s="10" t="n">
        <v>1884.25</v>
      </c>
      <c r="G58" s="8" t="n">
        <v>16840135</v>
      </c>
      <c r="H58" s="8" t="n">
        <v>0</v>
      </c>
      <c r="I58" s="9" t="n">
        <f aca="false">G58-H58</f>
        <v>16840135</v>
      </c>
      <c r="J58" s="9" t="n">
        <f aca="false">IFERROR(G58/F58,0)</f>
        <v>8937.31458139843</v>
      </c>
      <c r="K58" s="9" t="n">
        <f aca="false">IFERROR(H58/F58,0)</f>
        <v>0</v>
      </c>
      <c r="L58" s="9" t="n">
        <f aca="false">IFERROR(I58/F58,0)</f>
        <v>8937.31458139843</v>
      </c>
      <c r="M58" s="21" t="n">
        <f aca="false">IFERROR(I58/G58,0)</f>
        <v>1</v>
      </c>
      <c r="N58" s="6" t="s">
        <v>2021</v>
      </c>
      <c r="O58" s="9" t="n">
        <f aca="false">H58</f>
        <v>0</v>
      </c>
      <c r="P58" s="12" t="s">
        <v>2022</v>
      </c>
    </row>
    <row r="59" customFormat="false" ht="15" hidden="false" customHeight="false" outlineLevel="0" collapsed="false">
      <c r="A59" s="74" t="s">
        <v>875</v>
      </c>
      <c r="B59" s="74" t="s">
        <v>248</v>
      </c>
      <c r="C59" s="74" t="s">
        <v>237</v>
      </c>
      <c r="D59" s="91" t="n">
        <v>5</v>
      </c>
      <c r="E59" s="74" t="s">
        <v>733</v>
      </c>
      <c r="F59" s="10" t="n">
        <v>3943.55</v>
      </c>
      <c r="G59" s="8" t="n">
        <v>36936075</v>
      </c>
      <c r="H59" s="8" t="n">
        <v>33620570.83</v>
      </c>
      <c r="I59" s="9" t="n">
        <f aca="false">G59-H59</f>
        <v>3315504.17</v>
      </c>
      <c r="J59" s="9" t="n">
        <f aca="false">IFERROR(G59/F59,0)</f>
        <v>9366.19923672833</v>
      </c>
      <c r="K59" s="9" t="n">
        <f aca="false">IFERROR(H59/F59,0)</f>
        <v>8525.4582368678</v>
      </c>
      <c r="L59" s="9" t="n">
        <f aca="false">IFERROR(I59/F59,0)</f>
        <v>840.740999860532</v>
      </c>
      <c r="M59" s="21" t="n">
        <f aca="false">IFERROR(I59/G59,0)</f>
        <v>0.0897633051156627</v>
      </c>
      <c r="N59" s="6" t="s">
        <v>2021</v>
      </c>
      <c r="O59" s="9" t="n">
        <f aca="false">H59</f>
        <v>33620570.83</v>
      </c>
      <c r="P59" s="12" t="s">
        <v>2022</v>
      </c>
    </row>
    <row r="60" customFormat="false" ht="15" hidden="false" customHeight="false" outlineLevel="0" collapsed="false">
      <c r="A60" s="74" t="s">
        <v>875</v>
      </c>
      <c r="B60" s="74" t="s">
        <v>248</v>
      </c>
      <c r="C60" s="74" t="s">
        <v>237</v>
      </c>
      <c r="D60" s="91" t="n">
        <v>8</v>
      </c>
      <c r="E60" s="74" t="s">
        <v>185</v>
      </c>
      <c r="F60" s="10" t="n">
        <v>5642.2</v>
      </c>
      <c r="G60" s="8" t="n">
        <v>22730600</v>
      </c>
      <c r="H60" s="7" t="n">
        <f aca="false">SUMIFS('MA Engine'!$X$6:$X$1110,'MA Engine'!$C$6:$C$1110,$A60,'MA Engine'!$D$6:$D$1110,$B60,'MA Engine'!$E$6:$E$1110,$C60,'MA Engine'!$H$6:$H$1110,8,'MA Engine'!$I$6:$I$1110,"DO",'MA Engine'!$P$6:$P$1110,"&lt;&gt;Y")</f>
        <v>71348082.8503753</v>
      </c>
      <c r="I60" s="9" t="n">
        <f aca="false">G60-H60</f>
        <v>-48617482.8503753</v>
      </c>
      <c r="J60" s="9" t="n">
        <f aca="false">IFERROR(G60/F60,0)</f>
        <v>4028.67675729325</v>
      </c>
      <c r="K60" s="9" t="n">
        <f aca="false">IFERROR(H60/F60,0)</f>
        <v>12645.4366825663</v>
      </c>
      <c r="L60" s="9" t="n">
        <f aca="false">IFERROR(I60/F60,0)</f>
        <v>-8616.759925273</v>
      </c>
      <c r="M60" s="21" t="n">
        <f aca="false">IFERROR(I60/G60,0)</f>
        <v>-2.138856116881</v>
      </c>
      <c r="N60" s="6" t="s">
        <v>2021</v>
      </c>
      <c r="O60" s="7" t="n">
        <f aca="false">SUMIFS('MA Engine'!$S$6:$S$1110,'MA Engine'!$C$6:$C$1110,$A60,'MA Engine'!$D$6:$D$1110,$B60,'MA Engine'!$E$6:$E$1110,$C60,'MA Engine'!$H$6:$H$1110,8,'MA Engine'!$I$6:$I$1110,"DO",'MA Engine'!$P$6:$P$1110,"&lt;&gt;Y")</f>
        <v>71348082.8503753</v>
      </c>
      <c r="P60" s="12" t="s">
        <v>2023</v>
      </c>
    </row>
    <row r="61" customFormat="false" ht="15" hidden="false" customHeight="false" outlineLevel="0" collapsed="false">
      <c r="A61" s="74" t="s">
        <v>875</v>
      </c>
      <c r="B61" s="74" t="s">
        <v>248</v>
      </c>
      <c r="C61" s="74" t="s">
        <v>238</v>
      </c>
      <c r="D61" s="91" t="n">
        <v>7</v>
      </c>
      <c r="E61" s="74" t="s">
        <v>184</v>
      </c>
      <c r="F61" s="10" t="n">
        <v>207.1</v>
      </c>
      <c r="G61" s="8" t="n">
        <v>1035500</v>
      </c>
      <c r="H61" s="8" t="n">
        <v>1614821.35</v>
      </c>
      <c r="I61" s="9" t="n">
        <f aca="false">G61-H61</f>
        <v>-579321.35</v>
      </c>
      <c r="J61" s="9" t="n">
        <f aca="false">IFERROR(G61/F61,0)</f>
        <v>5000</v>
      </c>
      <c r="K61" s="9" t="n">
        <f aca="false">IFERROR(H61/F61,0)</f>
        <v>7797.30251086432</v>
      </c>
      <c r="L61" s="9" t="n">
        <f aca="false">IFERROR(I61/F61,0)</f>
        <v>-2797.30251086432</v>
      </c>
      <c r="M61" s="21" t="n">
        <f aca="false">IFERROR(I61/G61,0)</f>
        <v>-0.559460502172864</v>
      </c>
      <c r="N61" s="6" t="s">
        <v>2021</v>
      </c>
      <c r="O61" s="9" t="n">
        <f aca="false">H61</f>
        <v>1614821.35</v>
      </c>
      <c r="P61" s="12" t="s">
        <v>2022</v>
      </c>
    </row>
    <row r="62" customFormat="false" ht="15" hidden="false" customHeight="false" outlineLevel="0" collapsed="false">
      <c r="A62" s="74" t="s">
        <v>875</v>
      </c>
      <c r="B62" s="74" t="s">
        <v>248</v>
      </c>
      <c r="C62" s="74" t="s">
        <v>238</v>
      </c>
      <c r="D62" s="91" t="n">
        <v>8</v>
      </c>
      <c r="E62" s="74" t="s">
        <v>185</v>
      </c>
      <c r="F62" s="10" t="n">
        <v>163.8</v>
      </c>
      <c r="G62" s="8" t="n">
        <v>819000</v>
      </c>
      <c r="H62" s="7" t="n">
        <f aca="false">SUMIFS('MA Engine'!$X$6:$X$1110,'MA Engine'!$C$6:$C$1110,$A62,'MA Engine'!$D$6:$D$1110,$B62,'MA Engine'!$E$6:$E$1110,$C62,'MA Engine'!$H$6:$H$1110,8,'MA Engine'!$I$6:$I$1110,"DO",'MA Engine'!$P$6:$P$1110,"&lt;&gt;Y")</f>
        <v>1277198.16186701</v>
      </c>
      <c r="I62" s="9" t="n">
        <f aca="false">G62-H62</f>
        <v>-458198.161867009</v>
      </c>
      <c r="J62" s="9" t="n">
        <f aca="false">IFERROR(G62/F62,0)</f>
        <v>5000</v>
      </c>
      <c r="K62" s="9" t="n">
        <f aca="false">IFERROR(H62/F62,0)</f>
        <v>7797.30257550066</v>
      </c>
      <c r="L62" s="9" t="n">
        <f aca="false">IFERROR(I62/F62,0)</f>
        <v>-2797.30257550066</v>
      </c>
      <c r="M62" s="21" t="n">
        <f aca="false">IFERROR(I62/G62,0)</f>
        <v>-0.559460515100133</v>
      </c>
      <c r="N62" s="6" t="s">
        <v>2021</v>
      </c>
      <c r="O62" s="7" t="n">
        <f aca="false">SUMIFS('MA Engine'!$S$6:$S$1110,'MA Engine'!$C$6:$C$1110,$A62,'MA Engine'!$D$6:$D$1110,$B62,'MA Engine'!$E$6:$E$1110,$C62,'MA Engine'!$H$6:$H$1110,8,'MA Engine'!$I$6:$I$1110,"DO",'MA Engine'!$P$6:$P$1110,"&lt;&gt;Y")</f>
        <v>1277198.16186701</v>
      </c>
      <c r="P62" s="12" t="s">
        <v>2023</v>
      </c>
    </row>
    <row r="63" customFormat="false" ht="15" hidden="false" customHeight="false" outlineLevel="0" collapsed="false">
      <c r="A63" s="74" t="s">
        <v>875</v>
      </c>
      <c r="B63" s="74" t="s">
        <v>255</v>
      </c>
      <c r="C63" s="74" t="s">
        <v>237</v>
      </c>
      <c r="D63" s="91" t="n">
        <v>3</v>
      </c>
      <c r="E63" s="74" t="s">
        <v>731</v>
      </c>
      <c r="F63" s="10" t="n">
        <v>211.7</v>
      </c>
      <c r="G63" s="8" t="n">
        <v>6774400</v>
      </c>
      <c r="H63" s="8" t="n">
        <v>0</v>
      </c>
      <c r="I63" s="9" t="n">
        <f aca="false">G63-H63</f>
        <v>6774400</v>
      </c>
      <c r="J63" s="9" t="n">
        <f aca="false">IFERROR(G63/F63,0)</f>
        <v>32000</v>
      </c>
      <c r="K63" s="9" t="n">
        <f aca="false">IFERROR(H63/F63,0)</f>
        <v>0</v>
      </c>
      <c r="L63" s="9" t="n">
        <f aca="false">IFERROR(I63/F63,0)</f>
        <v>32000</v>
      </c>
      <c r="M63" s="21" t="n">
        <f aca="false">IFERROR(I63/G63,0)</f>
        <v>1</v>
      </c>
      <c r="N63" s="6" t="s">
        <v>2021</v>
      </c>
      <c r="O63" s="9" t="n">
        <f aca="false">H63</f>
        <v>0</v>
      </c>
      <c r="P63" s="12" t="s">
        <v>2022</v>
      </c>
    </row>
    <row r="64" customFormat="false" ht="15" hidden="false" customHeight="false" outlineLevel="0" collapsed="false">
      <c r="A64" s="74" t="s">
        <v>875</v>
      </c>
      <c r="B64" s="74" t="s">
        <v>255</v>
      </c>
      <c r="C64" s="74" t="s">
        <v>237</v>
      </c>
      <c r="D64" s="91" t="n">
        <v>4</v>
      </c>
      <c r="E64" s="74" t="s">
        <v>732</v>
      </c>
      <c r="F64" s="10" t="n">
        <v>343.2</v>
      </c>
      <c r="G64" s="8" t="n">
        <v>9840800</v>
      </c>
      <c r="H64" s="8" t="n">
        <v>0</v>
      </c>
      <c r="I64" s="9" t="n">
        <f aca="false">G64-H64</f>
        <v>9840800</v>
      </c>
      <c r="J64" s="9" t="n">
        <f aca="false">IFERROR(G64/F64,0)</f>
        <v>28673.6596736597</v>
      </c>
      <c r="K64" s="9" t="n">
        <f aca="false">IFERROR(H64/F64,0)</f>
        <v>0</v>
      </c>
      <c r="L64" s="9" t="n">
        <f aca="false">IFERROR(I64/F64,0)</f>
        <v>28673.6596736597</v>
      </c>
      <c r="M64" s="21" t="n">
        <f aca="false">IFERROR(I64/G64,0)</f>
        <v>1</v>
      </c>
      <c r="N64" s="6" t="s">
        <v>2021</v>
      </c>
      <c r="O64" s="9" t="n">
        <f aca="false">H64</f>
        <v>0</v>
      </c>
      <c r="P64" s="12" t="s">
        <v>2022</v>
      </c>
    </row>
    <row r="65" customFormat="false" ht="15" hidden="false" customHeight="false" outlineLevel="0" collapsed="false">
      <c r="A65" s="74" t="s">
        <v>875</v>
      </c>
      <c r="B65" s="74" t="s">
        <v>255</v>
      </c>
      <c r="C65" s="74" t="s">
        <v>237</v>
      </c>
      <c r="D65" s="91" t="n">
        <v>5</v>
      </c>
      <c r="E65" s="74" t="s">
        <v>733</v>
      </c>
      <c r="F65" s="10" t="n">
        <v>823.3</v>
      </c>
      <c r="G65" s="8" t="n">
        <v>18505920</v>
      </c>
      <c r="H65" s="8" t="n">
        <v>2658734.76</v>
      </c>
      <c r="I65" s="9" t="n">
        <f aca="false">G65-H65</f>
        <v>15847185.24</v>
      </c>
      <c r="J65" s="9" t="n">
        <f aca="false">IFERROR(G65/F65,0)</f>
        <v>22477.7359407263</v>
      </c>
      <c r="K65" s="9" t="n">
        <f aca="false">IFERROR(H65/F65,0)</f>
        <v>3229.36324547553</v>
      </c>
      <c r="L65" s="9" t="n">
        <f aca="false">IFERROR(I65/F65,0)</f>
        <v>19248.3726952508</v>
      </c>
      <c r="M65" s="21" t="n">
        <f aca="false">IFERROR(I65/G65,0)</f>
        <v>0.856330581781398</v>
      </c>
      <c r="N65" s="6" t="s">
        <v>2021</v>
      </c>
      <c r="O65" s="9" t="n">
        <f aca="false">H65</f>
        <v>2658734.76</v>
      </c>
      <c r="P65" s="12" t="s">
        <v>2022</v>
      </c>
    </row>
    <row r="66" customFormat="false" ht="15" hidden="false" customHeight="false" outlineLevel="0" collapsed="false">
      <c r="A66" s="74" t="s">
        <v>875</v>
      </c>
      <c r="B66" s="74" t="s">
        <v>255</v>
      </c>
      <c r="C66" s="74" t="s">
        <v>238</v>
      </c>
      <c r="D66" s="91" t="n">
        <v>5</v>
      </c>
      <c r="E66" s="74" t="s">
        <v>733</v>
      </c>
      <c r="F66" s="10" t="n">
        <v>452.37</v>
      </c>
      <c r="G66" s="8" t="n">
        <v>10407690</v>
      </c>
      <c r="H66" s="8" t="n">
        <v>11859915.03</v>
      </c>
      <c r="I66" s="9" t="n">
        <f aca="false">G66-H66</f>
        <v>-1452225.03</v>
      </c>
      <c r="J66" s="9" t="n">
        <f aca="false">IFERROR(G66/F66,0)</f>
        <v>23007.0296438756</v>
      </c>
      <c r="K66" s="9" t="n">
        <f aca="false">IFERROR(H66/F66,0)</f>
        <v>26217.2890112076</v>
      </c>
      <c r="L66" s="9" t="n">
        <f aca="false">IFERROR(I66/F66,0)</f>
        <v>-3210.25936733205</v>
      </c>
      <c r="M66" s="21" t="n">
        <f aca="false">IFERROR(I66/G66,0)</f>
        <v>-0.139533847568481</v>
      </c>
      <c r="N66" s="6" t="s">
        <v>2021</v>
      </c>
      <c r="O66" s="9" t="n">
        <f aca="false">H66</f>
        <v>11859915.03</v>
      </c>
      <c r="P66" s="12" t="s">
        <v>2022</v>
      </c>
    </row>
    <row r="67" customFormat="false" ht="15" hidden="false" customHeight="false" outlineLevel="0" collapsed="false">
      <c r="A67" s="74" t="s">
        <v>875</v>
      </c>
      <c r="B67" s="74" t="s">
        <v>360</v>
      </c>
      <c r="C67" s="74" t="s">
        <v>238</v>
      </c>
      <c r="D67" s="91" t="n">
        <v>5</v>
      </c>
      <c r="E67" s="74" t="s">
        <v>733</v>
      </c>
      <c r="F67" s="10" t="n">
        <v>134.85</v>
      </c>
      <c r="G67" s="8" t="n">
        <v>3236400</v>
      </c>
      <c r="H67" s="8" t="n">
        <v>3146842.88</v>
      </c>
      <c r="I67" s="9" t="n">
        <f aca="false">G67-H67</f>
        <v>89557.1200000001</v>
      </c>
      <c r="J67" s="9" t="n">
        <f aca="false">IFERROR(G67/F67,0)</f>
        <v>24000</v>
      </c>
      <c r="K67" s="9" t="n">
        <f aca="false">IFERROR(H67/F67,0)</f>
        <v>23335.8760103819</v>
      </c>
      <c r="L67" s="9" t="n">
        <f aca="false">IFERROR(I67/F67,0)</f>
        <v>664.123989618095</v>
      </c>
      <c r="M67" s="21" t="n">
        <f aca="false">IFERROR(I67/G67,0)</f>
        <v>0.027671832900754</v>
      </c>
      <c r="N67" s="6" t="s">
        <v>2021</v>
      </c>
      <c r="O67" s="9" t="n">
        <f aca="false">H67</f>
        <v>3146842.88</v>
      </c>
      <c r="P67" s="12" t="s">
        <v>2022</v>
      </c>
    </row>
    <row r="68" customFormat="false" ht="15" hidden="false" customHeight="false" outlineLevel="0" collapsed="false">
      <c r="A68" s="74" t="s">
        <v>875</v>
      </c>
      <c r="B68" s="74" t="s">
        <v>249</v>
      </c>
      <c r="C68" s="74" t="s">
        <v>241</v>
      </c>
      <c r="D68" s="91" t="n">
        <v>3</v>
      </c>
      <c r="E68" s="74" t="s">
        <v>731</v>
      </c>
      <c r="F68" s="10" t="n">
        <v>0</v>
      </c>
      <c r="G68" s="8" t="n">
        <v>0</v>
      </c>
      <c r="H68" s="7" t="n">
        <f aca="false">I_GL!D21-0</f>
        <v>10852200</v>
      </c>
      <c r="I68" s="9" t="n">
        <f aca="false">G68-H68</f>
        <v>-10852200</v>
      </c>
      <c r="J68" s="9" t="n">
        <f aca="false">IFERROR(G68/F68,0)</f>
        <v>0</v>
      </c>
      <c r="K68" s="9" t="n">
        <f aca="false">IFERROR(H68/F68,0)</f>
        <v>0</v>
      </c>
      <c r="L68" s="9" t="n">
        <f aca="false">IFERROR(I68/F68,0)</f>
        <v>0</v>
      </c>
      <c r="M68" s="21" t="n">
        <f aca="false">IFERROR(I68/G68,0)</f>
        <v>0</v>
      </c>
      <c r="N68" s="6" t="s">
        <v>2024</v>
      </c>
      <c r="O68" s="9" t="n">
        <f aca="false">H68</f>
        <v>10852200</v>
      </c>
      <c r="P68" s="12" t="s">
        <v>2027</v>
      </c>
    </row>
    <row r="69" customFormat="false" ht="15" hidden="false" customHeight="false" outlineLevel="0" collapsed="false">
      <c r="A69" s="74" t="s">
        <v>875</v>
      </c>
      <c r="B69" s="74" t="s">
        <v>249</v>
      </c>
      <c r="C69" s="74" t="s">
        <v>241</v>
      </c>
      <c r="D69" s="91" t="n">
        <v>4</v>
      </c>
      <c r="E69" s="74" t="s">
        <v>732</v>
      </c>
      <c r="F69" s="10" t="n">
        <v>0</v>
      </c>
      <c r="G69" s="8" t="n">
        <v>0</v>
      </c>
      <c r="H69" s="7" t="n">
        <f aca="false">I_GL!E21-76362362.2</f>
        <v>24240270</v>
      </c>
      <c r="I69" s="9" t="n">
        <f aca="false">G69-H69</f>
        <v>-24240270</v>
      </c>
      <c r="J69" s="9" t="n">
        <f aca="false">IFERROR(G69/F69,0)</f>
        <v>0</v>
      </c>
      <c r="K69" s="9" t="n">
        <f aca="false">IFERROR(H69/F69,0)</f>
        <v>0</v>
      </c>
      <c r="L69" s="9" t="n">
        <f aca="false">IFERROR(I69/F69,0)</f>
        <v>0</v>
      </c>
      <c r="M69" s="21" t="n">
        <f aca="false">IFERROR(I69/G69,0)</f>
        <v>0</v>
      </c>
      <c r="N69" s="6" t="s">
        <v>2024</v>
      </c>
      <c r="O69" s="9" t="n">
        <f aca="false">H69</f>
        <v>24240270</v>
      </c>
      <c r="P69" s="12" t="s">
        <v>2028</v>
      </c>
    </row>
    <row r="70" customFormat="false" ht="15" hidden="false" customHeight="false" outlineLevel="0" collapsed="false">
      <c r="A70" s="74" t="s">
        <v>875</v>
      </c>
      <c r="B70" s="74" t="s">
        <v>249</v>
      </c>
      <c r="C70" s="74" t="s">
        <v>241</v>
      </c>
      <c r="D70" s="91" t="n">
        <v>5</v>
      </c>
      <c r="E70" s="74" t="s">
        <v>733</v>
      </c>
      <c r="F70" s="10" t="n">
        <v>0</v>
      </c>
      <c r="G70" s="8" t="n">
        <v>0</v>
      </c>
      <c r="H70" s="7" t="n">
        <f aca="false">I_GL!F21--76362362.2</f>
        <v>220490804.6</v>
      </c>
      <c r="I70" s="9" t="n">
        <f aca="false">G70-H70</f>
        <v>-220490804.6</v>
      </c>
      <c r="J70" s="9" t="n">
        <f aca="false">IFERROR(G70/F70,0)</f>
        <v>0</v>
      </c>
      <c r="K70" s="9" t="n">
        <f aca="false">IFERROR(H70/F70,0)</f>
        <v>0</v>
      </c>
      <c r="L70" s="9" t="n">
        <f aca="false">IFERROR(I70/F70,0)</f>
        <v>0</v>
      </c>
      <c r="M70" s="21" t="n">
        <f aca="false">IFERROR(I70/G70,0)</f>
        <v>0</v>
      </c>
      <c r="N70" s="6" t="s">
        <v>2024</v>
      </c>
      <c r="O70" s="9" t="n">
        <f aca="false">H70</f>
        <v>220490804.6</v>
      </c>
      <c r="P70" s="12" t="s">
        <v>2028</v>
      </c>
    </row>
    <row r="71" customFormat="false" ht="15" hidden="false" customHeight="false" outlineLevel="0" collapsed="false">
      <c r="A71" s="74" t="s">
        <v>875</v>
      </c>
      <c r="B71" s="74" t="s">
        <v>249</v>
      </c>
      <c r="C71" s="74" t="s">
        <v>241</v>
      </c>
      <c r="D71" s="91" t="n">
        <v>6</v>
      </c>
      <c r="E71" s="74" t="s">
        <v>734</v>
      </c>
      <c r="F71" s="10" t="n">
        <v>0</v>
      </c>
      <c r="G71" s="8" t="n">
        <v>0</v>
      </c>
      <c r="H71" s="7" t="n">
        <f aca="false">I_GL!G21-0</f>
        <v>50403540</v>
      </c>
      <c r="I71" s="9" t="n">
        <f aca="false">G71-H71</f>
        <v>-50403540</v>
      </c>
      <c r="J71" s="9" t="n">
        <f aca="false">IFERROR(G71/F71,0)</f>
        <v>0</v>
      </c>
      <c r="K71" s="9" t="n">
        <f aca="false">IFERROR(H71/F71,0)</f>
        <v>0</v>
      </c>
      <c r="L71" s="9" t="n">
        <f aca="false">IFERROR(I71/F71,0)</f>
        <v>0</v>
      </c>
      <c r="M71" s="21" t="n">
        <f aca="false">IFERROR(I71/G71,0)</f>
        <v>0</v>
      </c>
      <c r="N71" s="6" t="s">
        <v>2024</v>
      </c>
      <c r="O71" s="9" t="n">
        <f aca="false">H71</f>
        <v>50403540</v>
      </c>
      <c r="P71" s="12" t="s">
        <v>2027</v>
      </c>
    </row>
    <row r="72" customFormat="false" ht="15" hidden="false" customHeight="false" outlineLevel="0" collapsed="false">
      <c r="A72" s="74" t="s">
        <v>875</v>
      </c>
      <c r="B72" s="74" t="s">
        <v>249</v>
      </c>
      <c r="C72" s="74" t="s">
        <v>241</v>
      </c>
      <c r="D72" s="91" t="n">
        <v>7</v>
      </c>
      <c r="E72" s="74" t="s">
        <v>184</v>
      </c>
      <c r="F72" s="10" t="n">
        <v>0</v>
      </c>
      <c r="G72" s="8" t="n">
        <v>0</v>
      </c>
      <c r="H72" s="7" t="n">
        <f aca="false">I_GL!H21-0</f>
        <v>7000000</v>
      </c>
      <c r="I72" s="9" t="n">
        <f aca="false">G72-H72</f>
        <v>-7000000</v>
      </c>
      <c r="J72" s="9" t="n">
        <f aca="false">IFERROR(G72/F72,0)</f>
        <v>0</v>
      </c>
      <c r="K72" s="9" t="n">
        <f aca="false">IFERROR(H72/F72,0)</f>
        <v>0</v>
      </c>
      <c r="L72" s="9" t="n">
        <f aca="false">IFERROR(I72/F72,0)</f>
        <v>0</v>
      </c>
      <c r="M72" s="21" t="n">
        <f aca="false">IFERROR(I72/G72,0)</f>
        <v>0</v>
      </c>
      <c r="N72" s="6" t="s">
        <v>2024</v>
      </c>
      <c r="O72" s="9" t="n">
        <f aca="false">H72</f>
        <v>7000000</v>
      </c>
      <c r="P72" s="12" t="s">
        <v>2027</v>
      </c>
    </row>
    <row r="73" customFormat="false" ht="15" hidden="false" customHeight="false" outlineLevel="0" collapsed="false">
      <c r="A73" s="74" t="s">
        <v>875</v>
      </c>
      <c r="B73" s="74" t="s">
        <v>250</v>
      </c>
      <c r="C73" s="74" t="s">
        <v>241</v>
      </c>
      <c r="D73" s="91" t="n">
        <v>8</v>
      </c>
      <c r="E73" s="74" t="s">
        <v>185</v>
      </c>
      <c r="F73" s="10" t="n">
        <v>0</v>
      </c>
      <c r="G73" s="8" t="n">
        <v>629600</v>
      </c>
      <c r="H73" s="8" t="n">
        <v>0</v>
      </c>
      <c r="I73" s="9" t="n">
        <f aca="false">G73-H73</f>
        <v>629600</v>
      </c>
      <c r="J73" s="9" t="n">
        <f aca="false">IFERROR(G73/F73,0)</f>
        <v>0</v>
      </c>
      <c r="K73" s="9" t="n">
        <f aca="false">IFERROR(H73/F73,0)</f>
        <v>0</v>
      </c>
      <c r="L73" s="9" t="n">
        <f aca="false">IFERROR(I73/F73,0)</f>
        <v>0</v>
      </c>
      <c r="M73" s="21" t="n">
        <f aca="false">IFERROR(I73/G73,0)</f>
        <v>1</v>
      </c>
      <c r="N73" s="6" t="s">
        <v>2024</v>
      </c>
      <c r="O73" s="9" t="n">
        <f aca="false">H73</f>
        <v>0</v>
      </c>
      <c r="P73" s="12" t="s">
        <v>2029</v>
      </c>
    </row>
    <row r="74" customFormat="false" ht="15" hidden="false" customHeight="false" outlineLevel="0" collapsed="false">
      <c r="A74" s="74" t="s">
        <v>875</v>
      </c>
      <c r="B74" s="74" t="s">
        <v>251</v>
      </c>
      <c r="C74" s="74" t="s">
        <v>237</v>
      </c>
      <c r="D74" s="91" t="n">
        <v>4</v>
      </c>
      <c r="E74" s="74" t="s">
        <v>732</v>
      </c>
      <c r="F74" s="10" t="n">
        <v>969.23</v>
      </c>
      <c r="G74" s="8" t="n">
        <v>34896650</v>
      </c>
      <c r="H74" s="8" t="n">
        <v>44093660.17</v>
      </c>
      <c r="I74" s="9" t="n">
        <f aca="false">G74-H74</f>
        <v>-9197010.17</v>
      </c>
      <c r="J74" s="9" t="n">
        <f aca="false">IFERROR(G74/F74,0)</f>
        <v>36004.5087337371</v>
      </c>
      <c r="K74" s="9" t="n">
        <f aca="false">IFERROR(H74/F74,0)</f>
        <v>45493.495011504</v>
      </c>
      <c r="L74" s="9" t="n">
        <f aca="false">IFERROR(I74/F74,0)</f>
        <v>-9488.98627776689</v>
      </c>
      <c r="M74" s="21" t="n">
        <f aca="false">IFERROR(I74/G74,0)</f>
        <v>-0.263549944478911</v>
      </c>
      <c r="N74" s="6" t="s">
        <v>2021</v>
      </c>
      <c r="O74" s="9" t="n">
        <f aca="false">H74</f>
        <v>44093660.17</v>
      </c>
      <c r="P74" s="12" t="s">
        <v>2022</v>
      </c>
    </row>
    <row r="75" customFormat="false" ht="15" hidden="false" customHeight="false" outlineLevel="0" collapsed="false">
      <c r="A75" s="74" t="s">
        <v>875</v>
      </c>
      <c r="B75" s="74" t="s">
        <v>251</v>
      </c>
      <c r="C75" s="74" t="s">
        <v>237</v>
      </c>
      <c r="D75" s="91" t="n">
        <v>5</v>
      </c>
      <c r="E75" s="74" t="s">
        <v>733</v>
      </c>
      <c r="F75" s="10" t="n">
        <v>21</v>
      </c>
      <c r="G75" s="8" t="n">
        <v>740000</v>
      </c>
      <c r="H75" s="8" t="n">
        <v>614181.23</v>
      </c>
      <c r="I75" s="9" t="n">
        <f aca="false">G75-H75</f>
        <v>125818.77</v>
      </c>
      <c r="J75" s="9" t="n">
        <f aca="false">IFERROR(G75/F75,0)</f>
        <v>35238.0952380952</v>
      </c>
      <c r="K75" s="9" t="n">
        <f aca="false">IFERROR(H75/F75,0)</f>
        <v>29246.7252380952</v>
      </c>
      <c r="L75" s="9" t="n">
        <f aca="false">IFERROR(I75/F75,0)</f>
        <v>5991.37</v>
      </c>
      <c r="M75" s="21" t="n">
        <f aca="false">IFERROR(I75/G75,0)</f>
        <v>0.170025364864865</v>
      </c>
      <c r="N75" s="6" t="s">
        <v>2021</v>
      </c>
      <c r="O75" s="9" t="n">
        <f aca="false">H75</f>
        <v>614181.23</v>
      </c>
      <c r="P75" s="12" t="s">
        <v>2022</v>
      </c>
    </row>
    <row r="76" customFormat="false" ht="15" hidden="false" customHeight="false" outlineLevel="0" collapsed="false">
      <c r="A76" s="74" t="s">
        <v>875</v>
      </c>
      <c r="B76" s="74" t="s">
        <v>251</v>
      </c>
      <c r="C76" s="74" t="s">
        <v>238</v>
      </c>
      <c r="D76" s="91" t="n">
        <v>5</v>
      </c>
      <c r="E76" s="74" t="s">
        <v>733</v>
      </c>
      <c r="F76" s="10" t="n">
        <v>213.77</v>
      </c>
      <c r="G76" s="8" t="n">
        <v>7268180</v>
      </c>
      <c r="H76" s="8" t="n">
        <v>6603877.5</v>
      </c>
      <c r="I76" s="9" t="n">
        <f aca="false">G76-H76</f>
        <v>664302.5</v>
      </c>
      <c r="J76" s="9" t="n">
        <f aca="false">IFERROR(G76/F76,0)</f>
        <v>34000</v>
      </c>
      <c r="K76" s="9" t="n">
        <f aca="false">IFERROR(H76/F76,0)</f>
        <v>30892.4428123684</v>
      </c>
      <c r="L76" s="9" t="n">
        <f aca="false">IFERROR(I76/F76,0)</f>
        <v>3107.55718763157</v>
      </c>
      <c r="M76" s="21" t="n">
        <f aca="false">IFERROR(I76/G76,0)</f>
        <v>0.0913987408126931</v>
      </c>
      <c r="N76" s="6" t="s">
        <v>2021</v>
      </c>
      <c r="O76" s="9" t="n">
        <f aca="false">H76</f>
        <v>6603877.5</v>
      </c>
      <c r="P76" s="12" t="s">
        <v>2022</v>
      </c>
    </row>
    <row r="77" customFormat="false" ht="15" hidden="false" customHeight="false" outlineLevel="0" collapsed="false">
      <c r="A77" s="74" t="s">
        <v>875</v>
      </c>
      <c r="B77" s="74" t="s">
        <v>251</v>
      </c>
      <c r="C77" s="74" t="s">
        <v>238</v>
      </c>
      <c r="D77" s="91" t="n">
        <v>8</v>
      </c>
      <c r="E77" s="74" t="s">
        <v>185</v>
      </c>
      <c r="F77" s="10" t="n">
        <v>1042.4</v>
      </c>
      <c r="G77" s="8" t="n">
        <v>36484000</v>
      </c>
      <c r="H77" s="7" t="n">
        <f aca="false">SUMIFS('MA Engine'!$X$6:$X$1110,'MA Engine'!$C$6:$C$1110,$A77,'MA Engine'!$D$6:$D$1110,$B77,'MA Engine'!$E$6:$E$1110,$C77,'MA Engine'!$H$6:$H$1110,8,'MA Engine'!$I$6:$I$1110,"DO",'MA Engine'!$P$6:$P$1110,"&lt;&gt;Y")</f>
        <v>32887890.9377794</v>
      </c>
      <c r="I77" s="9" t="n">
        <f aca="false">G77-H77</f>
        <v>3596109.06222062</v>
      </c>
      <c r="J77" s="9" t="n">
        <f aca="false">IFERROR(G77/F77,0)</f>
        <v>35000</v>
      </c>
      <c r="K77" s="9" t="n">
        <f aca="false">IFERROR(H77/F77,0)</f>
        <v>31550.1639848229</v>
      </c>
      <c r="L77" s="9" t="n">
        <f aca="false">IFERROR(I77/F77,0)</f>
        <v>3449.83601517711</v>
      </c>
      <c r="M77" s="21" t="n">
        <f aca="false">IFERROR(I77/G77,0)</f>
        <v>0.0985667432907745</v>
      </c>
      <c r="N77" s="6" t="s">
        <v>2021</v>
      </c>
      <c r="O77" s="7" t="n">
        <f aca="false">SUMIFS('MA Engine'!$S$6:$S$1110,'MA Engine'!$C$6:$C$1110,$A77,'MA Engine'!$D$6:$D$1110,$B77,'MA Engine'!$E$6:$E$1110,$C77,'MA Engine'!$H$6:$H$1110,8,'MA Engine'!$I$6:$I$1110,"DO",'MA Engine'!$P$6:$P$1110,"&lt;&gt;Y")</f>
        <v>32887890.9377794</v>
      </c>
      <c r="P77" s="12" t="s">
        <v>2023</v>
      </c>
    </row>
    <row r="78" customFormat="false" ht="15" hidden="false" customHeight="false" outlineLevel="0" collapsed="false">
      <c r="A78" s="74" t="s">
        <v>875</v>
      </c>
      <c r="B78" s="74" t="s">
        <v>252</v>
      </c>
      <c r="C78" s="74" t="s">
        <v>237</v>
      </c>
      <c r="D78" s="91" t="n">
        <v>3</v>
      </c>
      <c r="E78" s="74" t="s">
        <v>731</v>
      </c>
      <c r="F78" s="10" t="n">
        <v>495</v>
      </c>
      <c r="G78" s="8" t="n">
        <v>16470000</v>
      </c>
      <c r="H78" s="8" t="n">
        <v>0</v>
      </c>
      <c r="I78" s="9" t="n">
        <f aca="false">G78-H78</f>
        <v>16470000</v>
      </c>
      <c r="J78" s="9" t="n">
        <f aca="false">IFERROR(G78/F78,0)</f>
        <v>33272.7272727273</v>
      </c>
      <c r="K78" s="9" t="n">
        <f aca="false">IFERROR(H78/F78,0)</f>
        <v>0</v>
      </c>
      <c r="L78" s="9" t="n">
        <f aca="false">IFERROR(I78/F78,0)</f>
        <v>33272.7272727273</v>
      </c>
      <c r="M78" s="21" t="n">
        <f aca="false">IFERROR(I78/G78,0)</f>
        <v>1</v>
      </c>
      <c r="N78" s="6" t="s">
        <v>2021</v>
      </c>
      <c r="O78" s="9" t="n">
        <f aca="false">H78</f>
        <v>0</v>
      </c>
      <c r="P78" s="12" t="s">
        <v>2022</v>
      </c>
    </row>
    <row r="79" customFormat="false" ht="15" hidden="false" customHeight="false" outlineLevel="0" collapsed="false">
      <c r="A79" s="74" t="s">
        <v>875</v>
      </c>
      <c r="B79" s="74" t="s">
        <v>252</v>
      </c>
      <c r="C79" s="74" t="s">
        <v>237</v>
      </c>
      <c r="D79" s="91" t="n">
        <v>4</v>
      </c>
      <c r="E79" s="74" t="s">
        <v>732</v>
      </c>
      <c r="F79" s="10" t="n">
        <v>1424.56</v>
      </c>
      <c r="G79" s="8" t="n">
        <v>41237700</v>
      </c>
      <c r="H79" s="8" t="n">
        <v>0</v>
      </c>
      <c r="I79" s="9" t="n">
        <f aca="false">G79-H79</f>
        <v>41237700</v>
      </c>
      <c r="J79" s="9" t="n">
        <f aca="false">IFERROR(G79/F79,0)</f>
        <v>28947.6750716011</v>
      </c>
      <c r="K79" s="9" t="n">
        <f aca="false">IFERROR(H79/F79,0)</f>
        <v>0</v>
      </c>
      <c r="L79" s="9" t="n">
        <f aca="false">IFERROR(I79/F79,0)</f>
        <v>28947.6750716011</v>
      </c>
      <c r="M79" s="21" t="n">
        <f aca="false">IFERROR(I79/G79,0)</f>
        <v>1</v>
      </c>
      <c r="N79" s="6" t="s">
        <v>2021</v>
      </c>
      <c r="O79" s="9" t="n">
        <f aca="false">H79</f>
        <v>0</v>
      </c>
      <c r="P79" s="12" t="s">
        <v>2022</v>
      </c>
    </row>
    <row r="80" customFormat="false" ht="15" hidden="false" customHeight="false" outlineLevel="0" collapsed="false">
      <c r="A80" s="74" t="s">
        <v>875</v>
      </c>
      <c r="B80" s="74" t="s">
        <v>252</v>
      </c>
      <c r="C80" s="74" t="s">
        <v>237</v>
      </c>
      <c r="D80" s="91" t="n">
        <v>5</v>
      </c>
      <c r="E80" s="74" t="s">
        <v>733</v>
      </c>
      <c r="F80" s="10" t="n">
        <v>1373.21</v>
      </c>
      <c r="G80" s="8" t="n">
        <v>37845230</v>
      </c>
      <c r="H80" s="8" t="n">
        <v>17230312.82</v>
      </c>
      <c r="I80" s="9" t="n">
        <f aca="false">G80-H80</f>
        <v>20614917.18</v>
      </c>
      <c r="J80" s="9" t="n">
        <f aca="false">IFERROR(G80/F80,0)</f>
        <v>27559.6813306049</v>
      </c>
      <c r="K80" s="9" t="n">
        <f aca="false">IFERROR(H80/F80,0)</f>
        <v>12547.4711224066</v>
      </c>
      <c r="L80" s="9" t="n">
        <f aca="false">IFERROR(I80/F80,0)</f>
        <v>15012.2102081983</v>
      </c>
      <c r="M80" s="21" t="n">
        <f aca="false">IFERROR(I80/G80,0)</f>
        <v>0.544716393056668</v>
      </c>
      <c r="N80" s="6" t="s">
        <v>2021</v>
      </c>
      <c r="O80" s="9" t="n">
        <f aca="false">H80</f>
        <v>17230312.82</v>
      </c>
      <c r="P80" s="12" t="s">
        <v>2022</v>
      </c>
    </row>
    <row r="81" customFormat="false" ht="15" hidden="false" customHeight="false" outlineLevel="0" collapsed="false">
      <c r="A81" s="74" t="s">
        <v>875</v>
      </c>
      <c r="B81" s="74" t="s">
        <v>252</v>
      </c>
      <c r="C81" s="74" t="s">
        <v>238</v>
      </c>
      <c r="D81" s="91" t="n">
        <v>4</v>
      </c>
      <c r="E81" s="74" t="s">
        <v>732</v>
      </c>
      <c r="F81" s="10" t="n">
        <v>1013.14</v>
      </c>
      <c r="G81" s="8" t="n">
        <v>29590210</v>
      </c>
      <c r="H81" s="8" t="n">
        <v>1.99</v>
      </c>
      <c r="I81" s="9" t="n">
        <f aca="false">G81-H81</f>
        <v>29590208.01</v>
      </c>
      <c r="J81" s="9" t="n">
        <f aca="false">IFERROR(G81/F81,0)</f>
        <v>29206.4374124011</v>
      </c>
      <c r="K81" s="9" t="n">
        <f aca="false">IFERROR(H81/F81,0)</f>
        <v>0.00196419053635233</v>
      </c>
      <c r="L81" s="9" t="n">
        <f aca="false">IFERROR(I81/F81,0)</f>
        <v>29206.4354482105</v>
      </c>
      <c r="M81" s="21" t="n">
        <f aca="false">IFERROR(I81/G81,0)</f>
        <v>0.999999932748027</v>
      </c>
      <c r="N81" s="6" t="s">
        <v>2021</v>
      </c>
      <c r="O81" s="9" t="n">
        <f aca="false">H81</f>
        <v>1.99</v>
      </c>
      <c r="P81" s="12" t="s">
        <v>2022</v>
      </c>
    </row>
    <row r="82" customFormat="false" ht="15" hidden="false" customHeight="false" outlineLevel="0" collapsed="false">
      <c r="A82" s="74" t="s">
        <v>875</v>
      </c>
      <c r="B82" s="74" t="s">
        <v>252</v>
      </c>
      <c r="C82" s="74" t="s">
        <v>238</v>
      </c>
      <c r="D82" s="91" t="n">
        <v>5</v>
      </c>
      <c r="E82" s="74" t="s">
        <v>733</v>
      </c>
      <c r="F82" s="10" t="n">
        <v>619.76</v>
      </c>
      <c r="G82" s="8" t="n">
        <v>16874065</v>
      </c>
      <c r="H82" s="8" t="n">
        <v>16944431.09</v>
      </c>
      <c r="I82" s="9" t="n">
        <f aca="false">G82-H82</f>
        <v>-70366.0899999999</v>
      </c>
      <c r="J82" s="9" t="n">
        <f aca="false">IFERROR(G82/F82,0)</f>
        <v>27226.7732670711</v>
      </c>
      <c r="K82" s="9" t="n">
        <f aca="false">IFERROR(H82/F82,0)</f>
        <v>27340.3109106751</v>
      </c>
      <c r="L82" s="9" t="n">
        <f aca="false">IFERROR(I82/F82,0)</f>
        <v>-113.537643603976</v>
      </c>
      <c r="M82" s="21" t="n">
        <f aca="false">IFERROR(I82/G82,0)</f>
        <v>-0.00417007342332745</v>
      </c>
      <c r="N82" s="6" t="s">
        <v>2021</v>
      </c>
      <c r="O82" s="9" t="n">
        <f aca="false">H82</f>
        <v>16944431.09</v>
      </c>
      <c r="P82" s="12" t="s">
        <v>2022</v>
      </c>
    </row>
    <row r="83" customFormat="false" ht="15" hidden="false" customHeight="false" outlineLevel="0" collapsed="false">
      <c r="A83" s="74" t="s">
        <v>875</v>
      </c>
      <c r="B83" s="74" t="s">
        <v>252</v>
      </c>
      <c r="C83" s="74" t="s">
        <v>238</v>
      </c>
      <c r="D83" s="91" t="n">
        <v>7</v>
      </c>
      <c r="E83" s="74" t="s">
        <v>184</v>
      </c>
      <c r="F83" s="10" t="n">
        <v>949.11</v>
      </c>
      <c r="G83" s="8" t="n">
        <v>24425970</v>
      </c>
      <c r="H83" s="8" t="n">
        <v>27483367.45</v>
      </c>
      <c r="I83" s="9" t="n">
        <f aca="false">G83-H83</f>
        <v>-3057397.45</v>
      </c>
      <c r="J83" s="9" t="n">
        <f aca="false">IFERROR(G83/F83,0)</f>
        <v>25735.6576160824</v>
      </c>
      <c r="K83" s="9" t="n">
        <f aca="false">IFERROR(H83/F83,0)</f>
        <v>28956.9885998462</v>
      </c>
      <c r="L83" s="9" t="n">
        <f aca="false">IFERROR(I83/F83,0)</f>
        <v>-3221.33098376374</v>
      </c>
      <c r="M83" s="21" t="n">
        <f aca="false">IFERROR(I83/G83,0)</f>
        <v>-0.125169950261955</v>
      </c>
      <c r="N83" s="6" t="s">
        <v>2021</v>
      </c>
      <c r="O83" s="9" t="n">
        <f aca="false">H83</f>
        <v>27483367.45</v>
      </c>
      <c r="P83" s="12" t="s">
        <v>2022</v>
      </c>
    </row>
    <row r="84" customFormat="false" ht="15" hidden="false" customHeight="false" outlineLevel="0" collapsed="false">
      <c r="A84" s="74" t="s">
        <v>875</v>
      </c>
      <c r="B84" s="74" t="s">
        <v>361</v>
      </c>
      <c r="C84" s="74" t="s">
        <v>237</v>
      </c>
      <c r="D84" s="91" t="n">
        <v>3</v>
      </c>
      <c r="E84" s="74" t="s">
        <v>731</v>
      </c>
      <c r="F84" s="10" t="n">
        <v>241.5</v>
      </c>
      <c r="G84" s="8" t="n">
        <v>966000</v>
      </c>
      <c r="H84" s="8" t="n">
        <v>0</v>
      </c>
      <c r="I84" s="9" t="n">
        <f aca="false">G84-H84</f>
        <v>966000</v>
      </c>
      <c r="J84" s="9" t="n">
        <f aca="false">IFERROR(G84/F84,0)</f>
        <v>4000</v>
      </c>
      <c r="K84" s="9" t="n">
        <f aca="false">IFERROR(H84/F84,0)</f>
        <v>0</v>
      </c>
      <c r="L84" s="9" t="n">
        <f aca="false">IFERROR(I84/F84,0)</f>
        <v>4000</v>
      </c>
      <c r="M84" s="21" t="n">
        <f aca="false">IFERROR(I84/G84,0)</f>
        <v>1</v>
      </c>
      <c r="N84" s="6" t="s">
        <v>2021</v>
      </c>
      <c r="O84" s="9" t="n">
        <f aca="false">H84</f>
        <v>0</v>
      </c>
      <c r="P84" s="12" t="s">
        <v>2022</v>
      </c>
    </row>
    <row r="85" customFormat="false" ht="15" hidden="false" customHeight="false" outlineLevel="0" collapsed="false">
      <c r="A85" s="74" t="s">
        <v>875</v>
      </c>
      <c r="B85" s="74" t="s">
        <v>361</v>
      </c>
      <c r="C85" s="74" t="s">
        <v>237</v>
      </c>
      <c r="D85" s="91" t="n">
        <v>4</v>
      </c>
      <c r="E85" s="74" t="s">
        <v>732</v>
      </c>
      <c r="F85" s="10" t="n">
        <v>1248.47</v>
      </c>
      <c r="G85" s="8" t="n">
        <v>3059425</v>
      </c>
      <c r="H85" s="8" t="n">
        <v>0</v>
      </c>
      <c r="I85" s="9" t="n">
        <f aca="false">G85-H85</f>
        <v>3059425</v>
      </c>
      <c r="J85" s="9" t="n">
        <f aca="false">IFERROR(G85/F85,0)</f>
        <v>2450.53946029941</v>
      </c>
      <c r="K85" s="9" t="n">
        <f aca="false">IFERROR(H85/F85,0)</f>
        <v>0</v>
      </c>
      <c r="L85" s="9" t="n">
        <f aca="false">IFERROR(I85/F85,0)</f>
        <v>2450.53946029941</v>
      </c>
      <c r="M85" s="21" t="n">
        <f aca="false">IFERROR(I85/G85,0)</f>
        <v>1</v>
      </c>
      <c r="N85" s="6" t="s">
        <v>2021</v>
      </c>
      <c r="O85" s="9" t="n">
        <f aca="false">H85</f>
        <v>0</v>
      </c>
      <c r="P85" s="12" t="s">
        <v>2022</v>
      </c>
    </row>
    <row r="86" customFormat="false" ht="15" hidden="false" customHeight="false" outlineLevel="0" collapsed="false">
      <c r="A86" s="74" t="s">
        <v>875</v>
      </c>
      <c r="B86" s="74" t="s">
        <v>361</v>
      </c>
      <c r="C86" s="74" t="s">
        <v>237</v>
      </c>
      <c r="D86" s="91" t="n">
        <v>5</v>
      </c>
      <c r="E86" s="74" t="s">
        <v>733</v>
      </c>
      <c r="F86" s="10" t="n">
        <v>160</v>
      </c>
      <c r="G86" s="8" t="n">
        <v>400000</v>
      </c>
      <c r="H86" s="8" t="n">
        <v>45957.79</v>
      </c>
      <c r="I86" s="9" t="n">
        <f aca="false">G86-H86</f>
        <v>354042.21</v>
      </c>
      <c r="J86" s="9" t="n">
        <f aca="false">IFERROR(G86/F86,0)</f>
        <v>2500</v>
      </c>
      <c r="K86" s="9" t="n">
        <f aca="false">IFERROR(H86/F86,0)</f>
        <v>287.2361875</v>
      </c>
      <c r="L86" s="9" t="n">
        <f aca="false">IFERROR(I86/F86,0)</f>
        <v>2212.7638125</v>
      </c>
      <c r="M86" s="21" t="n">
        <f aca="false">IFERROR(I86/G86,0)</f>
        <v>0.885105525</v>
      </c>
      <c r="N86" s="6" t="s">
        <v>2021</v>
      </c>
      <c r="O86" s="9" t="n">
        <f aca="false">H86</f>
        <v>45957.79</v>
      </c>
      <c r="P86" s="12" t="s">
        <v>2022</v>
      </c>
    </row>
    <row r="87" customFormat="false" ht="15" hidden="false" customHeight="false" outlineLevel="0" collapsed="false">
      <c r="A87" s="74" t="s">
        <v>875</v>
      </c>
      <c r="B87" s="74" t="s">
        <v>361</v>
      </c>
      <c r="C87" s="74" t="s">
        <v>238</v>
      </c>
      <c r="D87" s="91" t="n">
        <v>5</v>
      </c>
      <c r="E87" s="74" t="s">
        <v>733</v>
      </c>
      <c r="F87" s="10" t="n">
        <v>2232.03</v>
      </c>
      <c r="G87" s="8" t="n">
        <v>6846090</v>
      </c>
      <c r="H87" s="8" t="n">
        <v>15979550.8</v>
      </c>
      <c r="I87" s="9" t="n">
        <f aca="false">G87-H87</f>
        <v>-9133460.8</v>
      </c>
      <c r="J87" s="9" t="n">
        <f aca="false">IFERROR(G87/F87,0)</f>
        <v>3067.20339780379</v>
      </c>
      <c r="K87" s="9" t="n">
        <f aca="false">IFERROR(H87/F87,0)</f>
        <v>7159.20072758879</v>
      </c>
      <c r="L87" s="9" t="n">
        <f aca="false">IFERROR(I87/F87,0)</f>
        <v>-4091.99732978499</v>
      </c>
      <c r="M87" s="21" t="n">
        <f aca="false">IFERROR(I87/G87,0)</f>
        <v>-1.33411345746258</v>
      </c>
      <c r="N87" s="6" t="s">
        <v>2021</v>
      </c>
      <c r="O87" s="9" t="n">
        <f aca="false">H87</f>
        <v>15979550.8</v>
      </c>
      <c r="P87" s="12" t="s">
        <v>2022</v>
      </c>
    </row>
    <row r="88" customFormat="false" ht="15" hidden="false" customHeight="false" outlineLevel="0" collapsed="false">
      <c r="A88" s="74" t="s">
        <v>875</v>
      </c>
      <c r="B88" s="74" t="s">
        <v>253</v>
      </c>
      <c r="C88" s="74" t="s">
        <v>237</v>
      </c>
      <c r="D88" s="91" t="n">
        <v>3</v>
      </c>
      <c r="E88" s="74" t="s">
        <v>731</v>
      </c>
      <c r="F88" s="10" t="n">
        <v>117</v>
      </c>
      <c r="G88" s="8" t="n">
        <v>1755000</v>
      </c>
      <c r="H88" s="8" t="n">
        <v>0</v>
      </c>
      <c r="I88" s="9" t="n">
        <f aca="false">G88-H88</f>
        <v>1755000</v>
      </c>
      <c r="J88" s="9" t="n">
        <f aca="false">IFERROR(G88/F88,0)</f>
        <v>15000</v>
      </c>
      <c r="K88" s="9" t="n">
        <f aca="false">IFERROR(H88/F88,0)</f>
        <v>0</v>
      </c>
      <c r="L88" s="9" t="n">
        <f aca="false">IFERROR(I88/F88,0)</f>
        <v>15000</v>
      </c>
      <c r="M88" s="21" t="n">
        <f aca="false">IFERROR(I88/G88,0)</f>
        <v>1</v>
      </c>
      <c r="N88" s="6" t="s">
        <v>2021</v>
      </c>
      <c r="O88" s="9" t="n">
        <f aca="false">H88</f>
        <v>0</v>
      </c>
      <c r="P88" s="12" t="s">
        <v>2022</v>
      </c>
    </row>
    <row r="89" customFormat="false" ht="15" hidden="false" customHeight="false" outlineLevel="0" collapsed="false">
      <c r="A89" s="74" t="s">
        <v>875</v>
      </c>
      <c r="B89" s="74" t="s">
        <v>253</v>
      </c>
      <c r="C89" s="74" t="s">
        <v>237</v>
      </c>
      <c r="D89" s="91" t="n">
        <v>4</v>
      </c>
      <c r="E89" s="74" t="s">
        <v>732</v>
      </c>
      <c r="F89" s="10" t="n">
        <v>158</v>
      </c>
      <c r="G89" s="8" t="n">
        <v>2320000</v>
      </c>
      <c r="H89" s="8" t="n">
        <v>0</v>
      </c>
      <c r="I89" s="9" t="n">
        <f aca="false">G89-H89</f>
        <v>2320000</v>
      </c>
      <c r="J89" s="9" t="n">
        <f aca="false">IFERROR(G89/F89,0)</f>
        <v>14683.5443037975</v>
      </c>
      <c r="K89" s="9" t="n">
        <f aca="false">IFERROR(H89/F89,0)</f>
        <v>0</v>
      </c>
      <c r="L89" s="9" t="n">
        <f aca="false">IFERROR(I89/F89,0)</f>
        <v>14683.5443037975</v>
      </c>
      <c r="M89" s="21" t="n">
        <f aca="false">IFERROR(I89/G89,0)</f>
        <v>1</v>
      </c>
      <c r="N89" s="6" t="s">
        <v>2021</v>
      </c>
      <c r="O89" s="9" t="n">
        <f aca="false">H89</f>
        <v>0</v>
      </c>
      <c r="P89" s="12" t="s">
        <v>2022</v>
      </c>
    </row>
    <row r="90" customFormat="false" ht="15" hidden="false" customHeight="false" outlineLevel="0" collapsed="false">
      <c r="A90" s="74" t="s">
        <v>875</v>
      </c>
      <c r="B90" s="74" t="s">
        <v>253</v>
      </c>
      <c r="C90" s="74" t="s">
        <v>237</v>
      </c>
      <c r="D90" s="91" t="n">
        <v>5</v>
      </c>
      <c r="E90" s="74" t="s">
        <v>733</v>
      </c>
      <c r="F90" s="10" t="n">
        <v>95</v>
      </c>
      <c r="G90" s="8" t="n">
        <v>1330000</v>
      </c>
      <c r="H90" s="8" t="n">
        <v>0</v>
      </c>
      <c r="I90" s="9" t="n">
        <f aca="false">G90-H90</f>
        <v>1330000</v>
      </c>
      <c r="J90" s="9" t="n">
        <f aca="false">IFERROR(G90/F90,0)</f>
        <v>14000</v>
      </c>
      <c r="K90" s="9" t="n">
        <f aca="false">IFERROR(H90/F90,0)</f>
        <v>0</v>
      </c>
      <c r="L90" s="9" t="n">
        <f aca="false">IFERROR(I90/F90,0)</f>
        <v>14000</v>
      </c>
      <c r="M90" s="21" t="n">
        <f aca="false">IFERROR(I90/G90,0)</f>
        <v>1</v>
      </c>
      <c r="N90" s="6" t="s">
        <v>2021</v>
      </c>
      <c r="O90" s="9" t="n">
        <f aca="false">H90</f>
        <v>0</v>
      </c>
      <c r="P90" s="12" t="s">
        <v>2022</v>
      </c>
    </row>
    <row r="91" customFormat="false" ht="15" hidden="false" customHeight="false" outlineLevel="0" collapsed="false">
      <c r="A91" s="74" t="s">
        <v>875</v>
      </c>
      <c r="B91" s="74" t="s">
        <v>253</v>
      </c>
      <c r="C91" s="74" t="s">
        <v>237</v>
      </c>
      <c r="D91" s="91" t="n">
        <v>8</v>
      </c>
      <c r="E91" s="74" t="s">
        <v>185</v>
      </c>
      <c r="F91" s="10" t="n">
        <v>5444.1</v>
      </c>
      <c r="G91" s="8" t="n">
        <v>8166150</v>
      </c>
      <c r="H91" s="7" t="n">
        <f aca="false">SUMIFS('MA Engine'!$X$6:$X$1110,'MA Engine'!$C$6:$C$1110,$A91,'MA Engine'!$D$6:$D$1110,$B91,'MA Engine'!$E$6:$E$1110,$C91,'MA Engine'!$H$6:$H$1110,8,'MA Engine'!$I$6:$I$1110,"DO",'MA Engine'!$P$6:$P$1110,"&lt;&gt;Y")</f>
        <v>14108925.2039693</v>
      </c>
      <c r="I91" s="9" t="n">
        <f aca="false">G91-H91</f>
        <v>-5942775.20396928</v>
      </c>
      <c r="J91" s="9" t="n">
        <f aca="false">IFERROR(G91/F91,0)</f>
        <v>1500</v>
      </c>
      <c r="K91" s="9" t="n">
        <f aca="false">IFERROR(H91/F91,0)</f>
        <v>2591.5991998621</v>
      </c>
      <c r="L91" s="9" t="n">
        <f aca="false">IFERROR(I91/F91,0)</f>
        <v>-1091.5991998621</v>
      </c>
      <c r="M91" s="21" t="n">
        <f aca="false">IFERROR(I91/G91,0)</f>
        <v>-0.727732799908069</v>
      </c>
      <c r="N91" s="6" t="s">
        <v>2021</v>
      </c>
      <c r="O91" s="7" t="n">
        <f aca="false">SUMIFS('MA Engine'!$S$6:$S$1110,'MA Engine'!$C$6:$C$1110,$A91,'MA Engine'!$D$6:$D$1110,$B91,'MA Engine'!$E$6:$E$1110,$C91,'MA Engine'!$H$6:$H$1110,8,'MA Engine'!$I$6:$I$1110,"DO",'MA Engine'!$P$6:$P$1110,"&lt;&gt;Y")</f>
        <v>14108925.2039693</v>
      </c>
      <c r="P91" s="12" t="s">
        <v>2023</v>
      </c>
    </row>
    <row r="92" customFormat="false" ht="15" hidden="false" customHeight="false" outlineLevel="0" collapsed="false">
      <c r="A92" s="74" t="s">
        <v>878</v>
      </c>
      <c r="B92" s="74" t="s">
        <v>236</v>
      </c>
      <c r="C92" s="74" t="s">
        <v>238</v>
      </c>
      <c r="D92" s="91" t="n">
        <v>6</v>
      </c>
      <c r="E92" s="74" t="s">
        <v>734</v>
      </c>
      <c r="F92" s="10" t="n">
        <v>2605.65</v>
      </c>
      <c r="G92" s="8" t="n">
        <v>99227380</v>
      </c>
      <c r="H92" s="8" t="n">
        <v>96225623.25</v>
      </c>
      <c r="I92" s="9" t="n">
        <f aca="false">G92-H92</f>
        <v>3001756.75</v>
      </c>
      <c r="J92" s="9" t="n">
        <f aca="false">IFERROR(G92/F92,0)</f>
        <v>38081.6226277512</v>
      </c>
      <c r="K92" s="9" t="n">
        <f aca="false">IFERROR(H92/F92,0)</f>
        <v>36929.6042254332</v>
      </c>
      <c r="L92" s="9" t="n">
        <f aca="false">IFERROR(I92/F92,0)</f>
        <v>1152.01840231804</v>
      </c>
      <c r="M92" s="21" t="n">
        <f aca="false">IFERROR(I92/G92,0)</f>
        <v>0.0302512950558606</v>
      </c>
      <c r="N92" s="6" t="s">
        <v>2021</v>
      </c>
      <c r="O92" s="9" t="n">
        <f aca="false">H92</f>
        <v>96225623.25</v>
      </c>
      <c r="P92" s="12" t="s">
        <v>2022</v>
      </c>
    </row>
    <row r="93" customFormat="false" ht="15" hidden="false" customHeight="false" outlineLevel="0" collapsed="false">
      <c r="A93" s="74" t="s">
        <v>878</v>
      </c>
      <c r="B93" s="74" t="s">
        <v>236</v>
      </c>
      <c r="C93" s="74" t="s">
        <v>238</v>
      </c>
      <c r="D93" s="91" t="n">
        <v>7</v>
      </c>
      <c r="E93" s="74" t="s">
        <v>184</v>
      </c>
      <c r="F93" s="10" t="n">
        <v>51091.07</v>
      </c>
      <c r="G93" s="8" t="n">
        <v>1921787190</v>
      </c>
      <c r="H93" s="8" t="n">
        <v>1579889406.64</v>
      </c>
      <c r="I93" s="9" t="n">
        <f aca="false">G93-H93</f>
        <v>341897783.36</v>
      </c>
      <c r="J93" s="9" t="n">
        <f aca="false">IFERROR(G93/F93,0)</f>
        <v>37614.9332946051</v>
      </c>
      <c r="K93" s="9" t="n">
        <f aca="false">IFERROR(H93/F93,0)</f>
        <v>30923.0048742373</v>
      </c>
      <c r="L93" s="9" t="n">
        <f aca="false">IFERROR(I93/F93,0)</f>
        <v>6691.92842036778</v>
      </c>
      <c r="M93" s="21" t="n">
        <f aca="false">IFERROR(I93/G93,0)</f>
        <v>0.177906162107366</v>
      </c>
      <c r="N93" s="6" t="s">
        <v>2021</v>
      </c>
      <c r="O93" s="9" t="n">
        <f aca="false">H93</f>
        <v>1579889406.64</v>
      </c>
      <c r="P93" s="12" t="s">
        <v>2022</v>
      </c>
    </row>
    <row r="94" customFormat="false" ht="15" hidden="false" customHeight="false" outlineLevel="0" collapsed="false">
      <c r="A94" s="74" t="s">
        <v>878</v>
      </c>
      <c r="B94" s="74" t="s">
        <v>236</v>
      </c>
      <c r="C94" s="74" t="s">
        <v>238</v>
      </c>
      <c r="D94" s="91" t="n">
        <v>8</v>
      </c>
      <c r="E94" s="74" t="s">
        <v>185</v>
      </c>
      <c r="F94" s="10" t="n">
        <v>23881.06</v>
      </c>
      <c r="G94" s="8" t="n">
        <v>1004997085</v>
      </c>
      <c r="H94" s="7" t="n">
        <f aca="false">SUMIFS('MA Engine'!$X$6:$X$1110,'MA Engine'!$C$6:$C$1110,$A94,'MA Engine'!$D$6:$D$1110,$B94,'MA Engine'!$E$6:$E$1110,$C94,'MA Engine'!$H$6:$H$1110,8,'MA Engine'!$I$6:$I$1110,"DO",'MA Engine'!$P$6:$P$1110,"&lt;&gt;Y")</f>
        <v>848407490.811876</v>
      </c>
      <c r="I94" s="9" t="n">
        <f aca="false">G94-H94</f>
        <v>156589594.188124</v>
      </c>
      <c r="J94" s="9" t="n">
        <f aca="false">IFERROR(G94/F94,0)</f>
        <v>42083.4370417394</v>
      </c>
      <c r="K94" s="9" t="n">
        <f aca="false">IFERROR(H94/F94,0)</f>
        <v>35526.3749101537</v>
      </c>
      <c r="L94" s="9" t="n">
        <f aca="false">IFERROR(I94/F94,0)</f>
        <v>6557.06213158562</v>
      </c>
      <c r="M94" s="21" t="n">
        <f aca="false">IFERROR(I94/G94,0)</f>
        <v>0.155810993410119</v>
      </c>
      <c r="N94" s="6" t="s">
        <v>2021</v>
      </c>
      <c r="O94" s="7" t="n">
        <f aca="false">SUMIFS('MA Engine'!$S$6:$S$1110,'MA Engine'!$C$6:$C$1110,$A94,'MA Engine'!$D$6:$D$1110,$B94,'MA Engine'!$E$6:$E$1110,$C94,'MA Engine'!$H$6:$H$1110,8,'MA Engine'!$I$6:$I$1110,"DO",'MA Engine'!$P$6:$P$1110,"&lt;&gt;Y")</f>
        <v>848407490.811876</v>
      </c>
      <c r="P94" s="12" t="s">
        <v>2023</v>
      </c>
    </row>
    <row r="95" customFormat="false" ht="15" hidden="false" customHeight="false" outlineLevel="0" collapsed="false">
      <c r="A95" s="74" t="s">
        <v>878</v>
      </c>
      <c r="B95" s="74" t="s">
        <v>236</v>
      </c>
      <c r="C95" s="74" t="s">
        <v>247</v>
      </c>
      <c r="D95" s="91" t="n">
        <v>4</v>
      </c>
      <c r="E95" s="74" t="s">
        <v>732</v>
      </c>
      <c r="F95" s="10" t="n">
        <v>3025.7</v>
      </c>
      <c r="G95" s="8" t="n">
        <v>136156500</v>
      </c>
      <c r="H95" s="8" t="n">
        <v>130105100</v>
      </c>
      <c r="I95" s="9" t="n">
        <f aca="false">G95-H95</f>
        <v>6051400</v>
      </c>
      <c r="J95" s="9" t="n">
        <f aca="false">IFERROR(G95/F95,0)</f>
        <v>45000</v>
      </c>
      <c r="K95" s="9" t="n">
        <f aca="false">IFERROR(H95/F95,0)</f>
        <v>43000</v>
      </c>
      <c r="L95" s="9" t="n">
        <f aca="false">IFERROR(I95/F95,0)</f>
        <v>2000</v>
      </c>
      <c r="M95" s="21" t="n">
        <f aca="false">IFERROR(I95/G95,0)</f>
        <v>0.0444444444444444</v>
      </c>
      <c r="N95" s="6" t="s">
        <v>2021</v>
      </c>
      <c r="O95" s="9" t="n">
        <f aca="false">H95</f>
        <v>130105100</v>
      </c>
      <c r="P95" s="12" t="s">
        <v>2022</v>
      </c>
    </row>
    <row r="96" customFormat="false" ht="15" hidden="false" customHeight="false" outlineLevel="0" collapsed="false">
      <c r="A96" s="74" t="s">
        <v>878</v>
      </c>
      <c r="B96" s="74" t="s">
        <v>239</v>
      </c>
      <c r="C96" s="74" t="s">
        <v>238</v>
      </c>
      <c r="D96" s="91" t="n">
        <v>7</v>
      </c>
      <c r="E96" s="74" t="s">
        <v>184</v>
      </c>
      <c r="F96" s="10" t="n">
        <v>16076.61</v>
      </c>
      <c r="G96" s="8" t="n">
        <v>536846363.2</v>
      </c>
      <c r="H96" s="8" t="n">
        <v>452631118.64</v>
      </c>
      <c r="I96" s="9" t="n">
        <f aca="false">G96-H96</f>
        <v>84215244.56</v>
      </c>
      <c r="J96" s="9" t="n">
        <f aca="false">IFERROR(G96/F96,0)</f>
        <v>33393.0078045061</v>
      </c>
      <c r="K96" s="9" t="n">
        <f aca="false">IFERROR(H96/F96,0)</f>
        <v>28154.6369937443</v>
      </c>
      <c r="L96" s="9" t="n">
        <f aca="false">IFERROR(I96/F96,0)</f>
        <v>5238.37081076172</v>
      </c>
      <c r="M96" s="21" t="n">
        <f aca="false">IFERROR(I96/G96,0)</f>
        <v>0.1568702897753</v>
      </c>
      <c r="N96" s="6" t="s">
        <v>2021</v>
      </c>
      <c r="O96" s="9" t="n">
        <f aca="false">H96</f>
        <v>452631118.64</v>
      </c>
      <c r="P96" s="12" t="s">
        <v>2022</v>
      </c>
    </row>
    <row r="97" customFormat="false" ht="15" hidden="false" customHeight="false" outlineLevel="0" collapsed="false">
      <c r="A97" s="74" t="s">
        <v>878</v>
      </c>
      <c r="B97" s="74" t="s">
        <v>239</v>
      </c>
      <c r="C97" s="74" t="s">
        <v>238</v>
      </c>
      <c r="D97" s="91" t="n">
        <v>8</v>
      </c>
      <c r="E97" s="74" t="s">
        <v>185</v>
      </c>
      <c r="F97" s="10" t="n">
        <v>34858.29</v>
      </c>
      <c r="G97" s="8" t="n">
        <v>1501887520</v>
      </c>
      <c r="H97" s="7" t="n">
        <f aca="false">SUMIFS('MA Engine'!$X$6:$X$1110,'MA Engine'!$C$6:$C$1110,$A97,'MA Engine'!$D$6:$D$1110,$B97,'MA Engine'!$E$6:$E$1110,$C97,'MA Engine'!$H$6:$H$1110,8,'MA Engine'!$I$6:$I$1110,"DO",'MA Engine'!$P$6:$P$1110,"&lt;&gt;Y")</f>
        <v>1293071939.38851</v>
      </c>
      <c r="I97" s="9" t="n">
        <f aca="false">G97-H97</f>
        <v>208815580.611489</v>
      </c>
      <c r="J97" s="9" t="n">
        <f aca="false">IFERROR(G97/F97,0)</f>
        <v>43085.5191118096</v>
      </c>
      <c r="K97" s="9" t="n">
        <f aca="false">IFERROR(H97/F97,0)</f>
        <v>37095.1053361628</v>
      </c>
      <c r="L97" s="9" t="n">
        <f aca="false">IFERROR(I97/F97,0)</f>
        <v>5990.41377564673</v>
      </c>
      <c r="M97" s="21" t="n">
        <f aca="false">IFERROR(I97/G97,0)</f>
        <v>0.139035432301541</v>
      </c>
      <c r="N97" s="6" t="s">
        <v>2021</v>
      </c>
      <c r="O97" s="7" t="n">
        <f aca="false">SUMIFS('MA Engine'!$S$6:$S$1110,'MA Engine'!$C$6:$C$1110,$A97,'MA Engine'!$D$6:$D$1110,$B97,'MA Engine'!$E$6:$E$1110,$C97,'MA Engine'!$H$6:$H$1110,8,'MA Engine'!$I$6:$I$1110,"DO",'MA Engine'!$P$6:$P$1110,"&lt;&gt;Y")</f>
        <v>1293071939.38851</v>
      </c>
      <c r="P97" s="12" t="s">
        <v>2023</v>
      </c>
    </row>
    <row r="98" customFormat="false" ht="15" hidden="false" customHeight="false" outlineLevel="0" collapsed="false">
      <c r="A98" s="74" t="s">
        <v>878</v>
      </c>
      <c r="B98" s="74" t="s">
        <v>1484</v>
      </c>
      <c r="C98" s="74" t="s">
        <v>238</v>
      </c>
      <c r="D98" s="91" t="n">
        <v>5</v>
      </c>
      <c r="E98" s="74" t="s">
        <v>733</v>
      </c>
      <c r="F98" s="10" t="n">
        <v>1076.68</v>
      </c>
      <c r="G98" s="8" t="n">
        <v>36607120</v>
      </c>
      <c r="H98" s="8" t="n">
        <v>34453760</v>
      </c>
      <c r="I98" s="9" t="n">
        <f aca="false">G98-H98</f>
        <v>2153360</v>
      </c>
      <c r="J98" s="9" t="n">
        <f aca="false">IFERROR(G98/F98,0)</f>
        <v>34000</v>
      </c>
      <c r="K98" s="9" t="n">
        <f aca="false">IFERROR(H98/F98,0)</f>
        <v>32000</v>
      </c>
      <c r="L98" s="9" t="n">
        <f aca="false">IFERROR(I98/F98,0)</f>
        <v>2000</v>
      </c>
      <c r="M98" s="21" t="n">
        <f aca="false">IFERROR(I98/G98,0)</f>
        <v>0.0588235294117647</v>
      </c>
      <c r="N98" s="6" t="s">
        <v>2021</v>
      </c>
      <c r="O98" s="9" t="n">
        <f aca="false">H98</f>
        <v>34453760</v>
      </c>
      <c r="P98" s="12" t="s">
        <v>2022</v>
      </c>
    </row>
    <row r="99" customFormat="false" ht="15" hidden="false" customHeight="false" outlineLevel="0" collapsed="false">
      <c r="A99" s="74" t="s">
        <v>878</v>
      </c>
      <c r="B99" s="74" t="s">
        <v>244</v>
      </c>
      <c r="C99" s="74" t="s">
        <v>247</v>
      </c>
      <c r="D99" s="91" t="n">
        <v>5</v>
      </c>
      <c r="E99" s="74" t="s">
        <v>733</v>
      </c>
      <c r="F99" s="10" t="n">
        <v>206.65</v>
      </c>
      <c r="G99" s="8" t="n">
        <v>3203075</v>
      </c>
      <c r="H99" s="8" t="n">
        <v>2479800</v>
      </c>
      <c r="I99" s="9" t="n">
        <f aca="false">G99-H99</f>
        <v>723275</v>
      </c>
      <c r="J99" s="9" t="n">
        <f aca="false">IFERROR(G99/F99,0)</f>
        <v>15500</v>
      </c>
      <c r="K99" s="9" t="n">
        <f aca="false">IFERROR(H99/F99,0)</f>
        <v>12000</v>
      </c>
      <c r="L99" s="9" t="n">
        <f aca="false">IFERROR(I99/F99,0)</f>
        <v>3500</v>
      </c>
      <c r="M99" s="21" t="n">
        <f aca="false">IFERROR(I99/G99,0)</f>
        <v>0.225806451612903</v>
      </c>
      <c r="N99" s="6" t="s">
        <v>2021</v>
      </c>
      <c r="O99" s="9" t="n">
        <f aca="false">H99</f>
        <v>2479800</v>
      </c>
      <c r="P99" s="12" t="s">
        <v>2022</v>
      </c>
    </row>
    <row r="100" customFormat="false" ht="15" hidden="false" customHeight="false" outlineLevel="0" collapsed="false">
      <c r="A100" s="74" t="s">
        <v>878</v>
      </c>
      <c r="B100" s="74" t="s">
        <v>245</v>
      </c>
      <c r="C100" s="74" t="s">
        <v>247</v>
      </c>
      <c r="D100" s="91" t="n">
        <v>7</v>
      </c>
      <c r="E100" s="74" t="s">
        <v>184</v>
      </c>
      <c r="F100" s="10" t="n">
        <v>5789.56</v>
      </c>
      <c r="G100" s="8" t="n">
        <v>33741005</v>
      </c>
      <c r="H100" s="8" t="n">
        <v>25824911.91</v>
      </c>
      <c r="I100" s="9" t="n">
        <f aca="false">G100-H100</f>
        <v>7916093.09</v>
      </c>
      <c r="J100" s="9" t="n">
        <f aca="false">IFERROR(G100/F100,0)</f>
        <v>5827.90488396355</v>
      </c>
      <c r="K100" s="9" t="n">
        <f aca="false">IFERROR(H100/F100,0)</f>
        <v>4460.60009914398</v>
      </c>
      <c r="L100" s="9" t="n">
        <f aca="false">IFERROR(I100/F100,0)</f>
        <v>1367.30478481957</v>
      </c>
      <c r="M100" s="21" t="n">
        <f aca="false">IFERROR(I100/G100,0)</f>
        <v>0.234613435195543</v>
      </c>
      <c r="N100" s="6" t="s">
        <v>2021</v>
      </c>
      <c r="O100" s="9" t="n">
        <f aca="false">H100</f>
        <v>25824911.91</v>
      </c>
      <c r="P100" s="12" t="s">
        <v>2022</v>
      </c>
    </row>
    <row r="101" customFormat="false" ht="15" hidden="false" customHeight="false" outlineLevel="0" collapsed="false">
      <c r="A101" s="74" t="s">
        <v>878</v>
      </c>
      <c r="B101" s="74" t="s">
        <v>245</v>
      </c>
      <c r="C101" s="74" t="s">
        <v>247</v>
      </c>
      <c r="D101" s="91" t="n">
        <v>8</v>
      </c>
      <c r="E101" s="74" t="s">
        <v>185</v>
      </c>
      <c r="F101" s="10" t="n">
        <v>13767.8</v>
      </c>
      <c r="G101" s="8" t="n">
        <v>150114800</v>
      </c>
      <c r="H101" s="7" t="n">
        <f aca="false">SUMIFS('MA Engine'!$X$6:$X$1110,'MA Engine'!$C$6:$C$1110,$A101,'MA Engine'!$D$6:$D$1110,$B101,'MA Engine'!$E$6:$E$1110,$C101,'MA Engine'!$H$6:$H$1110,8,'MA Engine'!$I$6:$I$1110,"DO",'MA Engine'!$P$6:$P$1110,"&lt;&gt;Y")</f>
        <v>140542258.00731</v>
      </c>
      <c r="I101" s="9" t="n">
        <f aca="false">G101-H101</f>
        <v>9572541.99268955</v>
      </c>
      <c r="J101" s="9" t="n">
        <f aca="false">IFERROR(G101/F101,0)</f>
        <v>10903.3251499877</v>
      </c>
      <c r="K101" s="9" t="n">
        <f aca="false">IFERROR(H101/F101,0)</f>
        <v>10208.0403555623</v>
      </c>
      <c r="L101" s="9" t="n">
        <f aca="false">IFERROR(I101/F101,0)</f>
        <v>695.284794425366</v>
      </c>
      <c r="M101" s="21" t="n">
        <f aca="false">IFERROR(I101/G101,0)</f>
        <v>0.0637681427326922</v>
      </c>
      <c r="N101" s="6" t="s">
        <v>2021</v>
      </c>
      <c r="O101" s="7" t="n">
        <f aca="false">SUMIFS('MA Engine'!$S$6:$S$1110,'MA Engine'!$C$6:$C$1110,$A101,'MA Engine'!$D$6:$D$1110,$B101,'MA Engine'!$E$6:$E$1110,$C101,'MA Engine'!$H$6:$H$1110,8,'MA Engine'!$I$6:$I$1110,"DO",'MA Engine'!$P$6:$P$1110,"&lt;&gt;Y")</f>
        <v>140542258.00731</v>
      </c>
      <c r="P101" s="12" t="s">
        <v>2023</v>
      </c>
    </row>
    <row r="102" customFormat="false" ht="15" hidden="false" customHeight="false" outlineLevel="0" collapsed="false">
      <c r="A102" s="74" t="s">
        <v>878</v>
      </c>
      <c r="B102" s="74" t="s">
        <v>246</v>
      </c>
      <c r="C102" s="74" t="s">
        <v>247</v>
      </c>
      <c r="D102" s="91" t="n">
        <v>6</v>
      </c>
      <c r="E102" s="74" t="s">
        <v>734</v>
      </c>
      <c r="F102" s="10" t="n">
        <v>24808.14</v>
      </c>
      <c r="G102" s="8" t="n">
        <v>823156860</v>
      </c>
      <c r="H102" s="8" t="n">
        <v>711556776.66</v>
      </c>
      <c r="I102" s="9" t="n">
        <f aca="false">G102-H102</f>
        <v>111600083.34</v>
      </c>
      <c r="J102" s="9" t="n">
        <f aca="false">IFERROR(G102/F102,0)</f>
        <v>33180.9180373861</v>
      </c>
      <c r="K102" s="9" t="n">
        <f aca="false">IFERROR(H102/F102,0)</f>
        <v>28682.3912094982</v>
      </c>
      <c r="L102" s="9" t="n">
        <f aca="false">IFERROR(I102/F102,0)</f>
        <v>4498.52682788795</v>
      </c>
      <c r="M102" s="21" t="n">
        <f aca="false">IFERROR(I102/G102,0)</f>
        <v>0.135575719237765</v>
      </c>
      <c r="N102" s="6" t="s">
        <v>2021</v>
      </c>
      <c r="O102" s="9" t="n">
        <f aca="false">H102</f>
        <v>711556776.66</v>
      </c>
      <c r="P102" s="12" t="s">
        <v>2022</v>
      </c>
    </row>
    <row r="103" customFormat="false" ht="15" hidden="false" customHeight="false" outlineLevel="0" collapsed="false">
      <c r="A103" s="74" t="s">
        <v>878</v>
      </c>
      <c r="B103" s="74" t="s">
        <v>246</v>
      </c>
      <c r="C103" s="74" t="s">
        <v>247</v>
      </c>
      <c r="D103" s="91" t="n">
        <v>7</v>
      </c>
      <c r="E103" s="74" t="s">
        <v>184</v>
      </c>
      <c r="F103" s="10" t="n">
        <v>13989.46</v>
      </c>
      <c r="G103" s="8" t="n">
        <v>384051230</v>
      </c>
      <c r="H103" s="8" t="n">
        <v>324689867.06</v>
      </c>
      <c r="I103" s="9" t="n">
        <f aca="false">G103-H103</f>
        <v>59361362.94</v>
      </c>
      <c r="J103" s="9" t="n">
        <f aca="false">IFERROR(G103/F103,0)</f>
        <v>27452.8988252584</v>
      </c>
      <c r="K103" s="9" t="n">
        <f aca="false">IFERROR(H103/F103,0)</f>
        <v>23209.6068797509</v>
      </c>
      <c r="L103" s="9" t="n">
        <f aca="false">IFERROR(I103/F103,0)</f>
        <v>4243.29194550755</v>
      </c>
      <c r="M103" s="21" t="n">
        <f aca="false">IFERROR(I103/G103,0)</f>
        <v>0.154566261745861</v>
      </c>
      <c r="N103" s="6" t="s">
        <v>2021</v>
      </c>
      <c r="O103" s="9" t="n">
        <f aca="false">H103</f>
        <v>324689867.06</v>
      </c>
      <c r="P103" s="12" t="s">
        <v>2022</v>
      </c>
    </row>
    <row r="104" customFormat="false" ht="15" hidden="false" customHeight="false" outlineLevel="0" collapsed="false">
      <c r="A104" s="74" t="s">
        <v>878</v>
      </c>
      <c r="B104" s="74" t="s">
        <v>246</v>
      </c>
      <c r="C104" s="74" t="s">
        <v>247</v>
      </c>
      <c r="D104" s="91" t="n">
        <v>8</v>
      </c>
      <c r="E104" s="74" t="s">
        <v>185</v>
      </c>
      <c r="F104" s="10" t="n">
        <v>84661.9</v>
      </c>
      <c r="G104" s="8" t="n">
        <v>2647967658.8</v>
      </c>
      <c r="H104" s="7" t="n">
        <f aca="false">SUMIFS('MA Engine'!$X$6:$X$1110,'MA Engine'!$C$6:$C$1110,$A104,'MA Engine'!$D$6:$D$1110,$B104,'MA Engine'!$E$6:$E$1110,$C104,'MA Engine'!$H$6:$H$1110,8,'MA Engine'!$I$6:$I$1110,"DO",'MA Engine'!$P$6:$P$1110,"&lt;&gt;Y")</f>
        <v>2542329674.95774</v>
      </c>
      <c r="I104" s="9" t="n">
        <f aca="false">G104-H104</f>
        <v>105637983.842256</v>
      </c>
      <c r="J104" s="9" t="n">
        <f aca="false">IFERROR(G104/F104,0)</f>
        <v>31276.9694372557</v>
      </c>
      <c r="K104" s="9" t="n">
        <f aca="false">IFERROR(H104/F104,0)</f>
        <v>30029.2064666366</v>
      </c>
      <c r="L104" s="9" t="n">
        <f aca="false">IFERROR(I104/F104,0)</f>
        <v>1247.76297061909</v>
      </c>
      <c r="M104" s="21" t="n">
        <f aca="false">IFERROR(I104/G104,0)</f>
        <v>0.0398939856728193</v>
      </c>
      <c r="N104" s="6" t="s">
        <v>2021</v>
      </c>
      <c r="O104" s="7" t="n">
        <f aca="false">SUMIFS('MA Engine'!$S$6:$S$1110,'MA Engine'!$C$6:$C$1110,$A104,'MA Engine'!$D$6:$D$1110,$B104,'MA Engine'!$E$6:$E$1110,$C104,'MA Engine'!$H$6:$H$1110,8,'MA Engine'!$I$6:$I$1110,"DO",'MA Engine'!$P$6:$P$1110,"&lt;&gt;Y")</f>
        <v>2542329674.95774</v>
      </c>
      <c r="P104" s="12" t="s">
        <v>2023</v>
      </c>
    </row>
    <row r="105" customFormat="false" ht="15" hidden="false" customHeight="false" outlineLevel="0" collapsed="false">
      <c r="A105" s="74" t="s">
        <v>878</v>
      </c>
      <c r="B105" s="74" t="s">
        <v>255</v>
      </c>
      <c r="C105" s="74" t="s">
        <v>238</v>
      </c>
      <c r="D105" s="91" t="n">
        <v>8</v>
      </c>
      <c r="E105" s="74" t="s">
        <v>185</v>
      </c>
      <c r="F105" s="10" t="n">
        <v>105.37</v>
      </c>
      <c r="G105" s="8" t="n">
        <v>3055730</v>
      </c>
      <c r="H105" s="7" t="n">
        <f aca="false">SUMIFS('MA Engine'!$X$6:$X$1110,'MA Engine'!$C$6:$C$1110,$A105,'MA Engine'!$D$6:$D$1110,$B105,'MA Engine'!$E$6:$E$1110,$C105,'MA Engine'!$H$6:$H$1110,8,'MA Engine'!$I$6:$I$1110,"DO",'MA Engine'!$P$6:$P$1110,"&lt;&gt;Y")</f>
        <v>2779760.97573386</v>
      </c>
      <c r="I105" s="9" t="n">
        <f aca="false">G105-H105</f>
        <v>275969.024266136</v>
      </c>
      <c r="J105" s="9" t="n">
        <f aca="false">IFERROR(G105/F105,0)</f>
        <v>29000</v>
      </c>
      <c r="K105" s="9" t="n">
        <f aca="false">IFERROR(H105/F105,0)</f>
        <v>26380.9526025801</v>
      </c>
      <c r="L105" s="9" t="n">
        <f aca="false">IFERROR(I105/F105,0)</f>
        <v>2619.04739741991</v>
      </c>
      <c r="M105" s="21" t="n">
        <f aca="false">IFERROR(I105/G105,0)</f>
        <v>0.0903119792213764</v>
      </c>
      <c r="N105" s="6" t="s">
        <v>2021</v>
      </c>
      <c r="O105" s="7" t="n">
        <f aca="false">SUMIFS('MA Engine'!$S$6:$S$1110,'MA Engine'!$C$6:$C$1110,$A105,'MA Engine'!$D$6:$D$1110,$B105,'MA Engine'!$E$6:$E$1110,$C105,'MA Engine'!$H$6:$H$1110,8,'MA Engine'!$I$6:$I$1110,"DO",'MA Engine'!$P$6:$P$1110,"&lt;&gt;Y")</f>
        <v>2779760.97573386</v>
      </c>
      <c r="P105" s="12" t="s">
        <v>2023</v>
      </c>
    </row>
    <row r="106" customFormat="false" ht="15" hidden="false" customHeight="false" outlineLevel="0" collapsed="false">
      <c r="A106" s="74" t="s">
        <v>878</v>
      </c>
      <c r="B106" s="74" t="s">
        <v>255</v>
      </c>
      <c r="C106" s="74" t="s">
        <v>247</v>
      </c>
      <c r="D106" s="91" t="n">
        <v>4</v>
      </c>
      <c r="E106" s="74" t="s">
        <v>732</v>
      </c>
      <c r="F106" s="10" t="n">
        <v>524.87</v>
      </c>
      <c r="G106" s="8" t="n">
        <v>13783360</v>
      </c>
      <c r="H106" s="8" t="n">
        <v>11022270</v>
      </c>
      <c r="I106" s="9" t="n">
        <f aca="false">G106-H106</f>
        <v>2761090</v>
      </c>
      <c r="J106" s="9" t="n">
        <f aca="false">IFERROR(G106/F106,0)</f>
        <v>26260.5216529807</v>
      </c>
      <c r="K106" s="9" t="n">
        <f aca="false">IFERROR(H106/F106,0)</f>
        <v>21000</v>
      </c>
      <c r="L106" s="9" t="n">
        <f aca="false">IFERROR(I106/F106,0)</f>
        <v>5260.52165298074</v>
      </c>
      <c r="M106" s="21" t="n">
        <f aca="false">IFERROR(I106/G106,0)</f>
        <v>0.200320531423397</v>
      </c>
      <c r="N106" s="6" t="s">
        <v>2021</v>
      </c>
      <c r="O106" s="9" t="n">
        <f aca="false">H106</f>
        <v>11022270</v>
      </c>
      <c r="P106" s="12" t="s">
        <v>2022</v>
      </c>
    </row>
    <row r="107" customFormat="false" ht="15" hidden="false" customHeight="false" outlineLevel="0" collapsed="false">
      <c r="A107" s="74" t="s">
        <v>878</v>
      </c>
      <c r="B107" s="74" t="s">
        <v>255</v>
      </c>
      <c r="C107" s="74" t="s">
        <v>241</v>
      </c>
      <c r="D107" s="91" t="n">
        <v>7</v>
      </c>
      <c r="E107" s="74" t="s">
        <v>184</v>
      </c>
      <c r="F107" s="10" t="n">
        <v>0</v>
      </c>
      <c r="G107" s="8" t="n">
        <v>0</v>
      </c>
      <c r="H107" s="8" t="n">
        <v>9218000</v>
      </c>
      <c r="I107" s="9" t="n">
        <f aca="false">G107-H107</f>
        <v>-9218000</v>
      </c>
      <c r="J107" s="9" t="n">
        <f aca="false">IFERROR(G107/F107,0)</f>
        <v>0</v>
      </c>
      <c r="K107" s="9" t="n">
        <f aca="false">IFERROR(H107/F107,0)</f>
        <v>0</v>
      </c>
      <c r="L107" s="9" t="n">
        <f aca="false">IFERROR(I107/F107,0)</f>
        <v>0</v>
      </c>
      <c r="M107" s="21" t="n">
        <f aca="false">IFERROR(I107/G107,0)</f>
        <v>0</v>
      </c>
      <c r="N107" s="6" t="s">
        <v>2024</v>
      </c>
      <c r="O107" s="9" t="n">
        <f aca="false">H107</f>
        <v>9218000</v>
      </c>
      <c r="P107" s="12" t="s">
        <v>2030</v>
      </c>
    </row>
    <row r="108" customFormat="false" ht="15" hidden="false" customHeight="false" outlineLevel="0" collapsed="false">
      <c r="A108" s="74" t="s">
        <v>878</v>
      </c>
      <c r="B108" s="74" t="s">
        <v>252</v>
      </c>
      <c r="C108" s="74" t="s">
        <v>247</v>
      </c>
      <c r="D108" s="91" t="n">
        <v>8</v>
      </c>
      <c r="E108" s="74" t="s">
        <v>185</v>
      </c>
      <c r="F108" s="10" t="n">
        <v>300</v>
      </c>
      <c r="G108" s="8" t="n">
        <v>9300000</v>
      </c>
      <c r="H108" s="7" t="n">
        <f aca="false">SUMIFS('MA Engine'!$X$6:$X$1110,'MA Engine'!$C$6:$C$1110,$A108,'MA Engine'!$D$6:$D$1110,$B108,'MA Engine'!$E$6:$E$1110,$C108,'MA Engine'!$H$6:$H$1110,8,'MA Engine'!$I$6:$I$1110,"DO",'MA Engine'!$P$6:$P$1110,"&lt;&gt;Y")</f>
        <v>8589835.37995705</v>
      </c>
      <c r="I108" s="9" t="n">
        <f aca="false">G108-H108</f>
        <v>710164.620042948</v>
      </c>
      <c r="J108" s="9" t="n">
        <f aca="false">IFERROR(G108/F108,0)</f>
        <v>31000</v>
      </c>
      <c r="K108" s="9" t="n">
        <f aca="false">IFERROR(H108/F108,0)</f>
        <v>28632.7845998568</v>
      </c>
      <c r="L108" s="9" t="n">
        <f aca="false">IFERROR(I108/F108,0)</f>
        <v>2367.21540014316</v>
      </c>
      <c r="M108" s="21" t="n">
        <f aca="false">IFERROR(I108/G108,0)</f>
        <v>0.0763617871013923</v>
      </c>
      <c r="N108" s="6" t="s">
        <v>2021</v>
      </c>
      <c r="O108" s="7" t="n">
        <f aca="false">SUMIFS('MA Engine'!$S$6:$S$1110,'MA Engine'!$C$6:$C$1110,$A108,'MA Engine'!$D$6:$D$1110,$B108,'MA Engine'!$E$6:$E$1110,$C108,'MA Engine'!$H$6:$H$1110,8,'MA Engine'!$I$6:$I$1110,"DO",'MA Engine'!$P$6:$P$1110,"&lt;&gt;Y")</f>
        <v>8589835.37995705</v>
      </c>
      <c r="P108" s="12" t="s">
        <v>2023</v>
      </c>
    </row>
    <row r="109" customFormat="false" ht="15" hidden="false" customHeight="false" outlineLevel="0" collapsed="false">
      <c r="A109" s="74" t="s">
        <v>878</v>
      </c>
      <c r="B109" s="74" t="s">
        <v>253</v>
      </c>
      <c r="C109" s="74" t="s">
        <v>237</v>
      </c>
      <c r="D109" s="91" t="n">
        <v>5</v>
      </c>
      <c r="E109" s="74" t="s">
        <v>733</v>
      </c>
      <c r="F109" s="10" t="n">
        <v>315</v>
      </c>
      <c r="G109" s="8" t="n">
        <v>4410000</v>
      </c>
      <c r="H109" s="8" t="n">
        <v>3572500</v>
      </c>
      <c r="I109" s="9" t="n">
        <f aca="false">G109-H109</f>
        <v>837500</v>
      </c>
      <c r="J109" s="9" t="n">
        <f aca="false">IFERROR(G109/F109,0)</f>
        <v>14000</v>
      </c>
      <c r="K109" s="9" t="n">
        <f aca="false">IFERROR(H109/F109,0)</f>
        <v>11341.2698412698</v>
      </c>
      <c r="L109" s="9" t="n">
        <f aca="false">IFERROR(I109/F109,0)</f>
        <v>2658.73015873016</v>
      </c>
      <c r="M109" s="21" t="n">
        <f aca="false">IFERROR(I109/G109,0)</f>
        <v>0.189909297052154</v>
      </c>
      <c r="N109" s="6" t="s">
        <v>2021</v>
      </c>
      <c r="O109" s="9" t="n">
        <f aca="false">H109</f>
        <v>3572500</v>
      </c>
      <c r="P109" s="12" t="s">
        <v>2022</v>
      </c>
    </row>
    <row r="110" customFormat="false" ht="15" hidden="false" customHeight="false" outlineLevel="0" collapsed="false">
      <c r="A110" s="74" t="s">
        <v>875</v>
      </c>
      <c r="B110" s="74" t="s">
        <v>246</v>
      </c>
      <c r="C110" s="74" t="s">
        <v>237</v>
      </c>
      <c r="D110" s="91" t="n">
        <v>8</v>
      </c>
      <c r="E110" s="74" t="s">
        <v>185</v>
      </c>
      <c r="F110" s="13" t="n">
        <f aca="false">SUMIFS(Unbilled!$K$22:$K$38,Unbilled!$G$22:$G$38,$A110,Unbilled!$H$22:$H$38,$B110,Unbilled!$I$22:$I$38,$C110)</f>
        <v>6783.1</v>
      </c>
      <c r="G110" s="7" t="n">
        <f aca="false">SUMIFS(Unbilled!$U$22:$U$38,Unbilled!$G$22:$G$38,$A110,Unbilled!$H$22:$H$38,$B110,Unbilled!$I$22:$I$38,$C110)</f>
        <v>252670475</v>
      </c>
      <c r="H110" s="7" t="n">
        <f aca="false">SUMIFS(Unbilled!$O$22:$O$38,Unbilled!$G$22:$G$38,$A110,Unbilled!$H$22:$H$38,$B110,Unbilled!$I$22:$I$38,$C110)</f>
        <v>257058246.191192</v>
      </c>
      <c r="I110" s="9" t="n">
        <f aca="false">G110-H110</f>
        <v>-4387771.19119161</v>
      </c>
      <c r="J110" s="9" t="n">
        <f aca="false">IFERROR(G110/F110,0)</f>
        <v>37250</v>
      </c>
      <c r="K110" s="9" t="n">
        <f aca="false">IFERROR(H110/F110,0)</f>
        <v>37896.8681268434</v>
      </c>
      <c r="L110" s="9" t="n">
        <f aca="false">IFERROR(I110/F110,0)</f>
        <v>-646.868126843422</v>
      </c>
      <c r="M110" s="21" t="n">
        <f aca="false">IFERROR(I110/G110,0)</f>
        <v>-0.01736558729781</v>
      </c>
      <c r="N110" s="6" t="s">
        <v>2031</v>
      </c>
      <c r="O110" s="7" t="n">
        <f aca="false">SUMIFS(Unbilled!$N$22:$N$38,Unbilled!$G$22:$G$38,$A110,Unbilled!$H$22:$H$38,$B110,Unbilled!$I$22:$I$38,$C110)</f>
        <v>254034722.678</v>
      </c>
      <c r="P110" s="12" t="s">
        <v>2032</v>
      </c>
    </row>
    <row r="111" customFormat="false" ht="15" hidden="false" customHeight="false" outlineLevel="0" collapsed="false">
      <c r="A111" s="74" t="s">
        <v>875</v>
      </c>
      <c r="B111" s="74" t="s">
        <v>246</v>
      </c>
      <c r="C111" s="74" t="s">
        <v>247</v>
      </c>
      <c r="D111" s="91" t="n">
        <v>8</v>
      </c>
      <c r="E111" s="74" t="s">
        <v>185</v>
      </c>
      <c r="F111" s="13" t="n">
        <f aca="false">SUMIFS(Unbilled!$K$22:$K$38,Unbilled!$G$22:$G$38,$A111,Unbilled!$H$22:$H$38,$B111,Unbilled!$I$22:$I$38,$C111)</f>
        <v>601.35</v>
      </c>
      <c r="G111" s="7" t="n">
        <f aca="false">SUMIFS(Unbilled!$U$22:$U$38,Unbilled!$G$22:$G$38,$A111,Unbilled!$H$22:$H$38,$B111,Unbilled!$I$22:$I$38,$C111)</f>
        <v>16860411.3134241</v>
      </c>
      <c r="H111" s="7" t="n">
        <f aca="false">SUMIFS(Unbilled!$O$22:$O$38,Unbilled!$G$22:$G$38,$A111,Unbilled!$H$22:$H$38,$B111,Unbilled!$I$22:$I$38,$C111)</f>
        <v>16295419.2844133</v>
      </c>
      <c r="I111" s="9" t="n">
        <f aca="false">G111-H111</f>
        <v>564992.02901079</v>
      </c>
      <c r="J111" s="9" t="n">
        <f aca="false">IFERROR(G111/F111,0)</f>
        <v>28037.6009203029</v>
      </c>
      <c r="K111" s="9" t="n">
        <f aca="false">IFERROR(H111/F111,0)</f>
        <v>27098.0615023087</v>
      </c>
      <c r="L111" s="9" t="n">
        <f aca="false">IFERROR(I111/F111,0)</f>
        <v>939.539417994162</v>
      </c>
      <c r="M111" s="21" t="n">
        <f aca="false">IFERROR(I111/G111,0)</f>
        <v>0.0335099789980181</v>
      </c>
      <c r="N111" s="6" t="s">
        <v>2031</v>
      </c>
      <c r="O111" s="7" t="n">
        <f aca="false">SUMIFS(Unbilled!$N$22:$N$38,Unbilled!$G$22:$G$38,$A111,Unbilled!$H$22:$H$38,$B111,Unbilled!$I$22:$I$38,$C111)</f>
        <v>16295418.381</v>
      </c>
      <c r="P111" s="12" t="s">
        <v>2032</v>
      </c>
    </row>
    <row r="112" customFormat="false" ht="15" hidden="false" customHeight="false" outlineLevel="0" collapsed="false">
      <c r="A112" s="74" t="s">
        <v>878</v>
      </c>
      <c r="B112" s="74" t="s">
        <v>239</v>
      </c>
      <c r="C112" s="74" t="s">
        <v>238</v>
      </c>
      <c r="D112" s="91" t="n">
        <v>8</v>
      </c>
      <c r="E112" s="74" t="s">
        <v>185</v>
      </c>
      <c r="F112" s="13" t="n">
        <f aca="false">SUMIFS(Unbilled!$K$22:$K$38,Unbilled!$G$22:$G$38,$A112,Unbilled!$H$22:$H$38,$B112,Unbilled!$I$22:$I$38,$C112)</f>
        <v>104.3</v>
      </c>
      <c r="G112" s="7" t="n">
        <f aca="false">SUMIFS(Unbilled!$U$22:$U$38,Unbilled!$G$22:$G$38,$A112,Unbilled!$H$22:$H$38,$B112,Unbilled!$I$22:$I$38,$C112)</f>
        <v>5093493.69621751</v>
      </c>
      <c r="H112" s="7" t="n">
        <f aca="false">SUMIFS(Unbilled!$O$22:$O$38,Unbilled!$G$22:$G$38,$A112,Unbilled!$H$22:$H$38,$B112,Unbilled!$I$22:$I$38,$C112)</f>
        <v>4922810.82943072</v>
      </c>
      <c r="I112" s="9" t="n">
        <f aca="false">G112-H112</f>
        <v>170682.866786786</v>
      </c>
      <c r="J112" s="9" t="n">
        <f aca="false">IFERROR(G112/F112,0)</f>
        <v>48835.0306444631</v>
      </c>
      <c r="K112" s="9" t="n">
        <f aca="false">IFERROR(H112/F112,0)</f>
        <v>47198.5697931996</v>
      </c>
      <c r="L112" s="9" t="n">
        <f aca="false">IFERROR(I112/F112,0)</f>
        <v>1636.46085126353</v>
      </c>
      <c r="M112" s="21" t="n">
        <f aca="false">IFERROR(I112/G112,0)</f>
        <v>0.0335099789980181</v>
      </c>
      <c r="N112" s="6" t="s">
        <v>2031</v>
      </c>
      <c r="O112" s="7" t="n">
        <f aca="false">SUMIFS(Unbilled!$N$22:$N$38,Unbilled!$G$22:$G$38,$A112,Unbilled!$H$22:$H$38,$B112,Unbilled!$I$22:$I$38,$C112)</f>
        <v>4922810.851</v>
      </c>
      <c r="P112" s="12" t="s">
        <v>2032</v>
      </c>
    </row>
    <row r="113" customFormat="false" ht="15" hidden="false" customHeight="false" outlineLevel="0" collapsed="false">
      <c r="A113" s="74" t="s">
        <v>878</v>
      </c>
      <c r="B113" s="74" t="s">
        <v>246</v>
      </c>
      <c r="C113" s="74" t="s">
        <v>247</v>
      </c>
      <c r="D113" s="91" t="n">
        <v>8</v>
      </c>
      <c r="E113" s="74" t="s">
        <v>185</v>
      </c>
      <c r="F113" s="13" t="n">
        <f aca="false">SUMIFS(Unbilled!$K$22:$K$38,Unbilled!$G$22:$G$38,$A113,Unbilled!$H$22:$H$38,$B113,Unbilled!$I$22:$I$38,$C113)</f>
        <v>8228.71</v>
      </c>
      <c r="G113" s="7" t="n">
        <f aca="false">SUMIFS(Unbilled!$U$22:$U$38,Unbilled!$G$22:$G$38,$A113,Unbilled!$H$22:$H$38,$B113,Unbilled!$I$22:$I$38,$C113)</f>
        <v>257131124.990358</v>
      </c>
      <c r="H113" s="7" t="n">
        <f aca="false">SUMIFS(Unbilled!$O$22:$O$38,Unbilled!$G$22:$G$38,$A113,Unbilled!$H$22:$H$38,$B113,Unbilled!$I$22:$I$38,$C113)</f>
        <v>250312750.700896</v>
      </c>
      <c r="I113" s="9" t="n">
        <f aca="false">G113-H113</f>
        <v>6818374.28946263</v>
      </c>
      <c r="J113" s="9" t="n">
        <f aca="false">IFERROR(G113/F113,0)</f>
        <v>31248.0479917701</v>
      </c>
      <c r="K113" s="9" t="n">
        <f aca="false">IFERROR(H113/F113,0)</f>
        <v>30419.4400703021</v>
      </c>
      <c r="L113" s="9" t="n">
        <f aca="false">IFERROR(I113/F113,0)</f>
        <v>828.607921467961</v>
      </c>
      <c r="M113" s="21" t="n">
        <f aca="false">IFERROR(I113/G113,0)</f>
        <v>0.0265171098587084</v>
      </c>
      <c r="N113" s="6" t="s">
        <v>2031</v>
      </c>
      <c r="O113" s="7" t="n">
        <f aca="false">SUMIFS(Unbilled!$N$22:$N$38,Unbilled!$G$22:$G$38,$A113,Unbilled!$H$22:$H$38,$B113,Unbilled!$I$22:$I$38,$C113)</f>
        <v>250327705.1801</v>
      </c>
      <c r="P113" s="12" t="s">
        <v>2032</v>
      </c>
    </row>
    <row r="114" customFormat="false" ht="15" hidden="false" customHeight="false" outlineLevel="0" collapsed="false">
      <c r="A114" s="74" t="s">
        <v>875</v>
      </c>
      <c r="B114" s="74" t="s">
        <v>240</v>
      </c>
      <c r="C114" s="74" t="s">
        <v>241</v>
      </c>
      <c r="D114" s="91" t="n">
        <v>8</v>
      </c>
      <c r="E114" s="74" t="s">
        <v>185</v>
      </c>
      <c r="F114" s="13" t="n">
        <f aca="false">SUMIFS(Unbilled!$G$11:$G$16,Unbilled!$N$11:$N$16,$A114)</f>
        <v>9061.48</v>
      </c>
      <c r="G114" s="7" t="n">
        <f aca="false">SUMIFS(Unbilled!$H$11:$H$16,Unbilled!$N$11:$N$16,$A114)</f>
        <v>317493234</v>
      </c>
      <c r="H114" s="7" t="n">
        <f aca="false">SUMIFS(Unbilled!$L$11:$L$16,Unbilled!$N$11:$N$16,$A114)</f>
        <v>312861260.46</v>
      </c>
      <c r="I114" s="9" t="n">
        <f aca="false">G114-H114</f>
        <v>4631973.54000002</v>
      </c>
      <c r="J114" s="9" t="n">
        <f aca="false">IFERROR(G114/F114,0)</f>
        <v>35037.6797167792</v>
      </c>
      <c r="K114" s="9" t="n">
        <f aca="false">IFERROR(H114/F114,0)</f>
        <v>34526.5078618504</v>
      </c>
      <c r="L114" s="9" t="n">
        <f aca="false">IFERROR(I114/F114,0)</f>
        <v>511.171854928778</v>
      </c>
      <c r="M114" s="21" t="n">
        <f aca="false">IFERROR(I114/G114,0)</f>
        <v>0.0145892039387524</v>
      </c>
      <c r="N114" s="6" t="s">
        <v>2033</v>
      </c>
      <c r="O114" s="9" t="n">
        <f aca="false">H114</f>
        <v>312861260.46</v>
      </c>
      <c r="P114" s="12" t="s">
        <v>2034</v>
      </c>
    </row>
    <row r="115" customFormat="false" ht="15" hidden="false" customHeight="false" outlineLevel="0" collapsed="false">
      <c r="A115" s="74" t="s">
        <v>878</v>
      </c>
      <c r="B115" s="74" t="s">
        <v>240</v>
      </c>
      <c r="C115" s="74" t="s">
        <v>241</v>
      </c>
      <c r="D115" s="91" t="n">
        <v>8</v>
      </c>
      <c r="E115" s="74" t="s">
        <v>185</v>
      </c>
      <c r="F115" s="13" t="n">
        <f aca="false">SUMIFS(Unbilled!$G$11:$G$16,Unbilled!$N$11:$N$16,$A115)</f>
        <v>3017.55</v>
      </c>
      <c r="G115" s="7" t="n">
        <f aca="false">SUMIFS(Unbilled!$H$11:$H$16,Unbilled!$N$11:$N$16,$A115)</f>
        <v>90526500</v>
      </c>
      <c r="H115" s="7" t="n">
        <f aca="false">SUMIFS(Unbilled!$L$11:$L$16,Unbilled!$N$11:$N$16,$A115)</f>
        <v>109171156.06</v>
      </c>
      <c r="I115" s="9" t="n">
        <f aca="false">G115-H115</f>
        <v>-18644656.06</v>
      </c>
      <c r="J115" s="9" t="n">
        <f aca="false">IFERROR(G115/F115,0)</f>
        <v>30000</v>
      </c>
      <c r="K115" s="9" t="n">
        <f aca="false">IFERROR(H115/F115,0)</f>
        <v>36178.7397259366</v>
      </c>
      <c r="L115" s="9" t="n">
        <f aca="false">IFERROR(I115/F115,0)</f>
        <v>-6178.7397259366</v>
      </c>
      <c r="M115" s="21" t="n">
        <f aca="false">IFERROR(I115/G115,0)</f>
        <v>-0.205957990864554</v>
      </c>
      <c r="N115" s="6" t="s">
        <v>2033</v>
      </c>
      <c r="O115" s="9" t="n">
        <f aca="false">H115</f>
        <v>109171156.06</v>
      </c>
      <c r="P115" s="12" t="s">
        <v>2034</v>
      </c>
    </row>
    <row r="116" customFormat="false" ht="15" hidden="false" customHeight="false" outlineLevel="0" collapsed="false">
      <c r="A116" s="74" t="s">
        <v>1141</v>
      </c>
      <c r="B116" s="74" t="s">
        <v>240</v>
      </c>
      <c r="C116" s="74" t="s">
        <v>241</v>
      </c>
      <c r="D116" s="91" t="n">
        <v>8</v>
      </c>
      <c r="E116" s="74" t="s">
        <v>185</v>
      </c>
      <c r="F116" s="13" t="n">
        <f aca="false">SUMIFS(Unbilled!$G$11:$G$16,Unbilled!$N$11:$N$16,$A116)</f>
        <v>0</v>
      </c>
      <c r="G116" s="7" t="n">
        <f aca="false">SUMIFS(Unbilled!$H$11:$H$16,Unbilled!$N$11:$N$16,$A116)</f>
        <v>0</v>
      </c>
      <c r="H116" s="7" t="n">
        <f aca="false">SUMIFS(Unbilled!$L$11:$L$16,Unbilled!$N$11:$N$16,$A116)</f>
        <v>0</v>
      </c>
      <c r="I116" s="9" t="n">
        <f aca="false">G116-H116</f>
        <v>0</v>
      </c>
      <c r="J116" s="9" t="n">
        <f aca="false">IFERROR(G116/F116,0)</f>
        <v>0</v>
      </c>
      <c r="K116" s="9" t="n">
        <f aca="false">IFERROR(H116/F116,0)</f>
        <v>0</v>
      </c>
      <c r="L116" s="9" t="n">
        <f aca="false">IFERROR(I116/F116,0)</f>
        <v>0</v>
      </c>
      <c r="M116" s="21" t="n">
        <f aca="false">IFERROR(I116/G116,0)</f>
        <v>0</v>
      </c>
      <c r="N116" s="6" t="s">
        <v>2033</v>
      </c>
      <c r="O116" s="9" t="n">
        <f aca="false">H116</f>
        <v>0</v>
      </c>
      <c r="P116" s="12" t="s">
        <v>2034</v>
      </c>
    </row>
    <row r="117" customFormat="false" ht="15" hidden="false" customHeight="false" outlineLevel="0" collapsed="false">
      <c r="B117" s="25" t="s">
        <v>304</v>
      </c>
      <c r="F117" s="26" t="n">
        <f aca="false">SUM(F5:F116)</f>
        <v>528117.76</v>
      </c>
      <c r="G117" s="26" t="n">
        <f aca="false">SUM(G5:G116)</f>
        <v>15339830383.5</v>
      </c>
      <c r="H117" s="26" t="n">
        <f aca="false">SUM(H5:H116)</f>
        <v>14366834259.0722</v>
      </c>
      <c r="I117" s="26" t="n">
        <f aca="false">SUM(I5:I116)</f>
        <v>972996124.427786</v>
      </c>
      <c r="O117" s="26" t="n">
        <f aca="false">SUM(O5:O116)</f>
        <v>14366262638.7339</v>
      </c>
    </row>
  </sheetData>
  <autoFilter ref="A4:P116"/>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1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0"/>
    <col collapsed="false" customWidth="true" hidden="false" outlineLevel="0" max="3" min="3" style="0" width="8"/>
    <col collapsed="false" customWidth="true" hidden="false" outlineLevel="0" max="5" min="4" style="0" width="20"/>
    <col collapsed="false" customWidth="true" hidden="false" outlineLevel="0" max="6" min="6" style="0" width="6"/>
    <col collapsed="false" customWidth="true" hidden="false" outlineLevel="0" max="7" min="7" style="0" width="10"/>
    <col collapsed="false" customWidth="true" hidden="false" outlineLevel="0" max="8" min="8" style="0" width="6"/>
    <col collapsed="false" customWidth="true" hidden="false" outlineLevel="0" max="9" min="9" style="0" width="9"/>
    <col collapsed="false" customWidth="true" hidden="false" outlineLevel="0" max="10" min="10" style="0" width="20"/>
    <col collapsed="false" customWidth="true" hidden="false" outlineLevel="0" max="11" min="11" style="0" width="11"/>
    <col collapsed="false" customWidth="true" hidden="false" outlineLevel="0" max="12" min="12" style="0" width="14"/>
    <col collapsed="false" customWidth="true" hidden="false" outlineLevel="0" max="13" min="13" style="0" width="11"/>
    <col collapsed="false" customWidth="true" hidden="false" outlineLevel="0" max="14" min="14" style="0" width="14"/>
    <col collapsed="false" customWidth="true" hidden="false" outlineLevel="0" max="15" min="15" style="0" width="8"/>
    <col collapsed="false" customWidth="true" hidden="false" outlineLevel="0" max="16" min="16" style="0" width="6"/>
    <col collapsed="false" customWidth="true" hidden="false" outlineLevel="0" max="17" min="17" style="0" width="7"/>
    <col collapsed="false" customWidth="true" hidden="false" outlineLevel="0" max="18" min="18" style="0" width="11"/>
    <col collapsed="false" customWidth="true" hidden="false" outlineLevel="0" max="19" min="19" style="0" width="14"/>
    <col collapsed="false" customWidth="true" hidden="false" outlineLevel="0" max="20" min="20" style="0" width="11"/>
    <col collapsed="false" customWidth="true" hidden="false" outlineLevel="0" max="21" min="21" style="0" width="14"/>
    <col collapsed="false" customWidth="true" hidden="false" outlineLevel="0" max="23" min="22" style="0" width="11"/>
    <col collapsed="false" customWidth="true" hidden="false" outlineLevel="0" max="24" min="24" style="0" width="14"/>
    <col collapsed="false" customWidth="true" hidden="false" outlineLevel="0" max="25" min="25" style="0" width="11"/>
    <col collapsed="false" customWidth="true" hidden="false" outlineLevel="0" max="26" min="26" style="0" width="14"/>
    <col collapsed="false" customWidth="true" hidden="false" outlineLevel="0" max="27" min="27" style="0" width="11"/>
    <col collapsed="false" customWidth="true" hidden="false" outlineLevel="0" max="29" min="28" style="0" width="10"/>
    <col collapsed="false" customWidth="true" hidden="false" outlineLevel="0" max="30" min="30" style="0" width="5"/>
    <col collapsed="false" customWidth="true" hidden="false" outlineLevel="0" max="36" min="31" style="0" width="11"/>
    <col collapsed="false" customWidth="true" hidden="false" outlineLevel="0" max="39" min="37" style="0" width="13"/>
  </cols>
  <sheetData>
    <row r="1" customFormat="false" ht="15" hidden="false" customHeight="false" outlineLevel="0" collapsed="false">
      <c r="A1" s="1" t="s">
        <v>2035</v>
      </c>
    </row>
    <row r="2" customFormat="false" ht="15" hidden="false" customHeight="false" outlineLevel="0" collapsed="false">
      <c r="A2" s="4" t="s">
        <v>2036</v>
      </c>
    </row>
    <row r="4" customFormat="false" ht="18" hidden="false" customHeight="true" outlineLevel="0" collapsed="false">
      <c r="K4" s="5" t="s">
        <v>2037</v>
      </c>
      <c r="R4" s="5" t="s">
        <v>2038</v>
      </c>
      <c r="W4" s="5" t="s">
        <v>2039</v>
      </c>
      <c r="AB4" s="5" t="s">
        <v>2040</v>
      </c>
      <c r="AE4" s="5" t="s">
        <v>2041</v>
      </c>
    </row>
    <row r="5" customFormat="false" ht="30" hidden="false" customHeight="true" outlineLevel="0" collapsed="false">
      <c r="A5" s="5" t="s">
        <v>31</v>
      </c>
      <c r="B5" s="5" t="s">
        <v>883</v>
      </c>
      <c r="C5" s="5" t="s">
        <v>862</v>
      </c>
      <c r="D5" s="5" t="s">
        <v>224</v>
      </c>
      <c r="E5" s="5" t="s">
        <v>225</v>
      </c>
      <c r="F5" s="5" t="s">
        <v>884</v>
      </c>
      <c r="G5" s="5" t="s">
        <v>1238</v>
      </c>
      <c r="H5" s="5" t="s">
        <v>1505</v>
      </c>
      <c r="I5" s="5" t="s">
        <v>2042</v>
      </c>
      <c r="J5" s="5" t="s">
        <v>2043</v>
      </c>
      <c r="K5" s="5" t="s">
        <v>2044</v>
      </c>
      <c r="L5" s="5" t="s">
        <v>2045</v>
      </c>
      <c r="M5" s="5" t="s">
        <v>2046</v>
      </c>
      <c r="N5" s="5" t="s">
        <v>2047</v>
      </c>
      <c r="O5" s="5" t="s">
        <v>2048</v>
      </c>
      <c r="P5" s="5" t="s">
        <v>897</v>
      </c>
      <c r="Q5" s="5" t="s">
        <v>2049</v>
      </c>
      <c r="R5" s="5" t="s">
        <v>2050</v>
      </c>
      <c r="S5" s="5" t="s">
        <v>2051</v>
      </c>
      <c r="T5" s="5" t="s">
        <v>2052</v>
      </c>
      <c r="U5" s="5" t="s">
        <v>2053</v>
      </c>
      <c r="V5" s="5" t="s">
        <v>2054</v>
      </c>
      <c r="W5" s="5" t="s">
        <v>2055</v>
      </c>
      <c r="X5" s="5" t="s">
        <v>2056</v>
      </c>
      <c r="Y5" s="5" t="s">
        <v>2057</v>
      </c>
      <c r="Z5" s="5" t="s">
        <v>2058</v>
      </c>
      <c r="AA5" s="5" t="s">
        <v>2059</v>
      </c>
      <c r="AB5" s="5" t="s">
        <v>2060</v>
      </c>
      <c r="AC5" s="5" t="s">
        <v>2061</v>
      </c>
      <c r="AD5" s="5" t="s">
        <v>2062</v>
      </c>
      <c r="AE5" s="5" t="s">
        <v>2063</v>
      </c>
      <c r="AF5" s="5" t="s">
        <v>2064</v>
      </c>
      <c r="AG5" s="5" t="s">
        <v>2065</v>
      </c>
      <c r="AH5" s="5" t="s">
        <v>2066</v>
      </c>
      <c r="AI5" s="5" t="s">
        <v>2067</v>
      </c>
      <c r="AJ5" s="5" t="s">
        <v>2068</v>
      </c>
      <c r="AK5" s="5" t="s">
        <v>2069</v>
      </c>
      <c r="AL5" s="5" t="s">
        <v>2070</v>
      </c>
      <c r="AM5" s="5" t="s">
        <v>2071</v>
      </c>
    </row>
    <row r="6" customFormat="false" ht="15" hidden="false" customHeight="false" outlineLevel="0" collapsed="false">
      <c r="A6" s="6" t="n">
        <v>1</v>
      </c>
      <c r="B6" s="74" t="s">
        <v>948</v>
      </c>
      <c r="C6" s="53" t="str">
        <f aca="false">INDEX(I_Items!$C$5:$C$133,MATCH($B6,I_Items!$A$5:$A$133,0))</f>
        <v>RPA</v>
      </c>
      <c r="D6" s="53" t="str">
        <f aca="false">INDEX(I_Items!$D$5:$D$133,MATCH($B6,I_Items!$A$5:$A$133,0))</f>
        <v>Ceker</v>
      </c>
      <c r="E6" s="53" t="str">
        <f aca="false">INDEX(I_Items!$F$5:$F$133,MATCH($B6,I_Items!$A$5:$A$133,0))</f>
        <v>Fresh</v>
      </c>
      <c r="F6" s="53" t="str">
        <f aca="false">IF(INDEX(I_Items!$E$5:$E$133,MATCH($B6,I_Items!$A$5:$A$133,0))="","",INDEX(I_Items!$E$5:$E$133,MATCH($B6,I_Items!$A$5:$A$133,0)))</f>
        <v/>
      </c>
      <c r="G6" s="76" t="n">
        <v>46204</v>
      </c>
      <c r="H6" s="23" t="n">
        <f aca="false">MONTH(G6)</f>
        <v>7</v>
      </c>
      <c r="I6" s="74" t="s">
        <v>2072</v>
      </c>
      <c r="J6" s="74" t="s">
        <v>2073</v>
      </c>
      <c r="K6" s="10" t="n">
        <v>1416.94</v>
      </c>
      <c r="L6" s="8" t="n">
        <v>12528305.73</v>
      </c>
      <c r="M6" s="10" t="n">
        <v>0</v>
      </c>
      <c r="N6" s="8" t="n">
        <v>0</v>
      </c>
      <c r="O6" s="74"/>
      <c r="P6" s="74"/>
      <c r="Q6" s="74"/>
      <c r="R6" s="14" t="n">
        <f aca="false">IF(I6="Unbilled",0,M6)</f>
        <v>0</v>
      </c>
      <c r="S6" s="9" t="n">
        <f aca="false">IF(R6=0,0,IF(O6="Booked",N6,R6*V5))</f>
        <v>0</v>
      </c>
      <c r="T6" s="14" t="n">
        <f aca="false">IF(I6="Opening",K6,T5+K6-R6)</f>
        <v>1416.94</v>
      </c>
      <c r="U6" s="9" t="n">
        <f aca="false">IF(I6="Opening",L6,U5+L6-S6)</f>
        <v>12528305.73</v>
      </c>
      <c r="V6" s="9" t="n">
        <f aca="false">IF(T6&gt;0,U6/T6,IF(I6="Opening",0,V5))</f>
        <v>8841.80397899699</v>
      </c>
      <c r="W6" s="14" t="n">
        <f aca="false">M6</f>
        <v>0</v>
      </c>
      <c r="X6" s="9" t="n">
        <f aca="false">IF(W6=0,0,IF(O6="Booked",N6,W6*AA5))</f>
        <v>0</v>
      </c>
      <c r="Y6" s="14" t="n">
        <f aca="false">IF(I6="Opening",K6,Y5+K6-W6)</f>
        <v>1416.94</v>
      </c>
      <c r="Z6" s="9" t="n">
        <f aca="false">IF(I6="Opening",L6,Z5+L6-X6)</f>
        <v>12528305.73</v>
      </c>
      <c r="AA6" s="9" t="n">
        <f aca="false">IF(Y6&gt;0,Z6/Y6,IF(I6="Opening",0,AA5))</f>
        <v>8841.80397899699</v>
      </c>
      <c r="AB6" s="9" t="n">
        <f aca="false">IF(AND(I6="DO",O6="MA"),S6-N6,0)</f>
        <v>0</v>
      </c>
      <c r="AC6" s="9" t="n">
        <f aca="false">IF(I6="DO",X6-S6,0)</f>
        <v>0</v>
      </c>
      <c r="AD6" s="23" t="n">
        <f aca="false">IF(B7&lt;&gt;B6,1,0)</f>
        <v>0</v>
      </c>
      <c r="AE6" s="14" t="n">
        <f aca="false">IF(I6="Opening",0,AE5+W6)</f>
        <v>0</v>
      </c>
      <c r="AF6" s="14" t="n">
        <f aca="false">IF(I6="Opening",K6,AF5)</f>
        <v>1416.94</v>
      </c>
      <c r="AG6" s="14" t="n">
        <f aca="false">SUMIFS($K$6:$K$1110,$B$6:$B$1110,B6,$H$6:$H$1110,7,$I$6:$I$1110,"&lt;&gt;Opening")</f>
        <v>0</v>
      </c>
      <c r="AH6" s="14" t="n">
        <f aca="false">IF(W6=0,0,MAX(0,MIN(AE6,AF6)-MIN(AE6-W6,AF6)))</f>
        <v>0</v>
      </c>
      <c r="AI6" s="14" t="n">
        <f aca="false">IF(W6=0,0,MAX(0,MIN(AE6,AF6+AG6)-MAX(AE6-W6,AF6)))</f>
        <v>0</v>
      </c>
      <c r="AJ6" s="14" t="n">
        <f aca="false">W6-AH6-AI6</f>
        <v>0</v>
      </c>
      <c r="AK6" s="9" t="n">
        <f aca="false">IF(W6=0,0,X6*AH6/W6)</f>
        <v>0</v>
      </c>
      <c r="AL6" s="9" t="n">
        <f aca="false">IF(W6=0,0,X6*AI6/W6)</f>
        <v>0</v>
      </c>
      <c r="AM6" s="9" t="n">
        <f aca="false">X6-AK6-AL6</f>
        <v>0</v>
      </c>
    </row>
    <row r="7" customFormat="false" ht="15" hidden="false" customHeight="false" outlineLevel="0" collapsed="false">
      <c r="A7" s="6" t="n">
        <v>2</v>
      </c>
      <c r="B7" s="74" t="s">
        <v>948</v>
      </c>
      <c r="C7" s="53" t="str">
        <f aca="false">INDEX(I_Items!$C$5:$C$133,MATCH($B7,I_Items!$A$5:$A$133,0))</f>
        <v>RPA</v>
      </c>
      <c r="D7" s="53" t="str">
        <f aca="false">INDEX(I_Items!$D$5:$D$133,MATCH($B7,I_Items!$A$5:$A$133,0))</f>
        <v>Ceker</v>
      </c>
      <c r="E7" s="53" t="str">
        <f aca="false">INDEX(I_Items!$F$5:$F$133,MATCH($B7,I_Items!$A$5:$A$133,0))</f>
        <v>Fresh</v>
      </c>
      <c r="F7" s="53" t="str">
        <f aca="false">IF(INDEX(I_Items!$E$5:$E$133,MATCH($B7,I_Items!$A$5:$A$133,0))="","",INDEX(I_Items!$E$5:$E$133,MATCH($B7,I_Items!$A$5:$A$133,0)))</f>
        <v/>
      </c>
      <c r="G7" s="76" t="n">
        <v>46241</v>
      </c>
      <c r="H7" s="23" t="n">
        <f aca="false">MONTH(G7)</f>
        <v>8</v>
      </c>
      <c r="I7" s="74" t="s">
        <v>2074</v>
      </c>
      <c r="J7" s="74" t="s">
        <v>1290</v>
      </c>
      <c r="K7" s="10" t="n">
        <v>184.9</v>
      </c>
      <c r="L7" s="8" t="n">
        <v>2349301.79</v>
      </c>
      <c r="M7" s="10" t="n">
        <v>0</v>
      </c>
      <c r="N7" s="8" t="n">
        <v>0</v>
      </c>
      <c r="O7" s="74"/>
      <c r="P7" s="74"/>
      <c r="Q7" s="74"/>
      <c r="R7" s="14" t="n">
        <f aca="false">IF(I7="Unbilled",0,M7)</f>
        <v>0</v>
      </c>
      <c r="S7" s="9" t="n">
        <f aca="false">IF(R7=0,0,IF(O7="Booked",N7,R7*V6))</f>
        <v>0</v>
      </c>
      <c r="T7" s="14" t="n">
        <f aca="false">IF(I7="Opening",K7,T6+K7-R7)</f>
        <v>1601.84</v>
      </c>
      <c r="U7" s="9" t="n">
        <f aca="false">IF(I7="Opening",L7,U6+L7-S7)</f>
        <v>14877607.52</v>
      </c>
      <c r="V7" s="9" t="n">
        <f aca="false">IF(T7&gt;0,U7/T7,IF(I7="Opening",0,V6))</f>
        <v>9287.82370274185</v>
      </c>
      <c r="W7" s="14" t="n">
        <f aca="false">M7</f>
        <v>0</v>
      </c>
      <c r="X7" s="9" t="n">
        <f aca="false">IF(W7=0,0,IF(O7="Booked",N7,W7*AA6))</f>
        <v>0</v>
      </c>
      <c r="Y7" s="14" t="n">
        <f aca="false">IF(I7="Opening",K7,Y6+K7-W7)</f>
        <v>1601.84</v>
      </c>
      <c r="Z7" s="9" t="n">
        <f aca="false">IF(I7="Opening",L7,Z6+L7-X7)</f>
        <v>14877607.52</v>
      </c>
      <c r="AA7" s="9" t="n">
        <f aca="false">IF(Y7&gt;0,Z7/Y7,IF(I7="Opening",0,AA6))</f>
        <v>9287.82370274185</v>
      </c>
      <c r="AB7" s="9" t="n">
        <f aca="false">IF(AND(I7="DO",O7="MA"),S7-N7,0)</f>
        <v>0</v>
      </c>
      <c r="AC7" s="9" t="n">
        <f aca="false">IF(I7="DO",X7-S7,0)</f>
        <v>0</v>
      </c>
      <c r="AD7" s="23" t="n">
        <f aca="false">IF(B8&lt;&gt;B7,1,0)</f>
        <v>0</v>
      </c>
      <c r="AE7" s="14" t="n">
        <f aca="false">IF(I7="Opening",0,AE6+W7)</f>
        <v>0</v>
      </c>
      <c r="AF7" s="14" t="n">
        <f aca="false">IF(I7="Opening",K7,AF6)</f>
        <v>1416.94</v>
      </c>
      <c r="AG7" s="14" t="n">
        <f aca="false">AG6</f>
        <v>0</v>
      </c>
      <c r="AH7" s="14" t="n">
        <f aca="false">IF(W7=0,0,MAX(0,MIN(AE7,AF7)-MIN(AE7-W7,AF7)))</f>
        <v>0</v>
      </c>
      <c r="AI7" s="14" t="n">
        <f aca="false">IF(W7=0,0,MAX(0,MIN(AE7,AF7+AG7)-MAX(AE7-W7,AF7)))</f>
        <v>0</v>
      </c>
      <c r="AJ7" s="14" t="n">
        <f aca="false">W7-AH7-AI7</f>
        <v>0</v>
      </c>
      <c r="AK7" s="9" t="n">
        <f aca="false">IF(W7=0,0,X7*AH7/W7)</f>
        <v>0</v>
      </c>
      <c r="AL7" s="9" t="n">
        <f aca="false">IF(W7=0,0,X7*AI7/W7)</f>
        <v>0</v>
      </c>
      <c r="AM7" s="9" t="n">
        <f aca="false">X7-AK7-AL7</f>
        <v>0</v>
      </c>
    </row>
    <row r="8" customFormat="false" ht="15" hidden="false" customHeight="false" outlineLevel="0" collapsed="false">
      <c r="A8" s="6" t="n">
        <v>3</v>
      </c>
      <c r="B8" s="74" t="s">
        <v>948</v>
      </c>
      <c r="C8" s="53" t="str">
        <f aca="false">INDEX(I_Items!$C$5:$C$133,MATCH($B8,I_Items!$A$5:$A$133,0))</f>
        <v>RPA</v>
      </c>
      <c r="D8" s="53" t="str">
        <f aca="false">INDEX(I_Items!$D$5:$D$133,MATCH($B8,I_Items!$A$5:$A$133,0))</f>
        <v>Ceker</v>
      </c>
      <c r="E8" s="53" t="str">
        <f aca="false">INDEX(I_Items!$F$5:$F$133,MATCH($B8,I_Items!$A$5:$A$133,0))</f>
        <v>Fresh</v>
      </c>
      <c r="F8" s="53" t="str">
        <f aca="false">IF(INDEX(I_Items!$E$5:$E$133,MATCH($B8,I_Items!$A$5:$A$133,0))="","",INDEX(I_Items!$E$5:$E$133,MATCH($B8,I_Items!$A$5:$A$133,0)))</f>
        <v/>
      </c>
      <c r="G8" s="76" t="n">
        <v>46242</v>
      </c>
      <c r="H8" s="23" t="n">
        <f aca="false">MONTH(G8)</f>
        <v>8</v>
      </c>
      <c r="I8" s="74" t="s">
        <v>2075</v>
      </c>
      <c r="J8" s="74" t="s">
        <v>2076</v>
      </c>
      <c r="K8" s="10" t="n">
        <v>0</v>
      </c>
      <c r="L8" s="8" t="n">
        <v>0</v>
      </c>
      <c r="M8" s="10" t="n">
        <v>94.5</v>
      </c>
      <c r="N8" s="8" t="n">
        <v>877699.34</v>
      </c>
      <c r="O8" s="74" t="s">
        <v>2077</v>
      </c>
      <c r="P8" s="74"/>
      <c r="Q8" s="74"/>
      <c r="R8" s="14" t="n">
        <f aca="false">IF(I8="Unbilled",0,M8)</f>
        <v>94.5</v>
      </c>
      <c r="S8" s="9" t="n">
        <f aca="false">IF(R8=0,0,IF(O8="Booked",N8,R8*V7))</f>
        <v>877699.339909104</v>
      </c>
      <c r="T8" s="14" t="n">
        <f aca="false">IF(I8="Opening",K8,T7+K8-R8)</f>
        <v>1507.34</v>
      </c>
      <c r="U8" s="9" t="n">
        <f aca="false">IF(I8="Opening",L8,U7+L8-S8)</f>
        <v>13999908.1800909</v>
      </c>
      <c r="V8" s="9" t="n">
        <f aca="false">IF(T8&gt;0,U8/T8,IF(I8="Opening",0,V7))</f>
        <v>9287.82370274185</v>
      </c>
      <c r="W8" s="14" t="n">
        <f aca="false">M8</f>
        <v>94.5</v>
      </c>
      <c r="X8" s="9" t="n">
        <f aca="false">IF(W8=0,0,IF(O8="Booked",N8,W8*AA7))</f>
        <v>877699.339909104</v>
      </c>
      <c r="Y8" s="14" t="n">
        <f aca="false">IF(I8="Opening",K8,Y7+K8-W8)</f>
        <v>1507.34</v>
      </c>
      <c r="Z8" s="9" t="n">
        <f aca="false">IF(I8="Opening",L8,Z7+L8-X8)</f>
        <v>13999908.1800909</v>
      </c>
      <c r="AA8" s="9" t="n">
        <f aca="false">IF(Y8&gt;0,Z8/Y8,IF(I8="Opening",0,AA7))</f>
        <v>9287.82370274185</v>
      </c>
      <c r="AB8" s="9" t="n">
        <f aca="false">IF(AND(I8="DO",O8="MA"),S8-N8,0)</f>
        <v>-9.0895569883287E-005</v>
      </c>
      <c r="AC8" s="9" t="n">
        <f aca="false">IF(I8="DO",X8-S8,0)</f>
        <v>0</v>
      </c>
      <c r="AD8" s="23" t="n">
        <f aca="false">IF(B9&lt;&gt;B8,1,0)</f>
        <v>0</v>
      </c>
      <c r="AE8" s="14" t="n">
        <f aca="false">IF(I8="Opening",0,AE7+W8)</f>
        <v>94.5</v>
      </c>
      <c r="AF8" s="14" t="n">
        <f aca="false">IF(I8="Opening",K8,AF7)</f>
        <v>1416.94</v>
      </c>
      <c r="AG8" s="14" t="n">
        <f aca="false">AG7</f>
        <v>0</v>
      </c>
      <c r="AH8" s="14" t="n">
        <f aca="false">IF(W8=0,0,MAX(0,MIN(AE8,AF8)-MIN(AE8-W8,AF8)))</f>
        <v>94.5</v>
      </c>
      <c r="AI8" s="14" t="n">
        <f aca="false">IF(W8=0,0,MAX(0,MIN(AE8,AF8+AG8)-MAX(AE8-W8,AF8)))</f>
        <v>0</v>
      </c>
      <c r="AJ8" s="14" t="n">
        <f aca="false">W8-AH8-AI8</f>
        <v>0</v>
      </c>
      <c r="AK8" s="9" t="n">
        <f aca="false">IF(W8=0,0,X8*AH8/W8)</f>
        <v>877699.339909104</v>
      </c>
      <c r="AL8" s="9" t="n">
        <f aca="false">IF(W8=0,0,X8*AI8/W8)</f>
        <v>0</v>
      </c>
      <c r="AM8" s="9" t="n">
        <f aca="false">X8-AK8-AL8</f>
        <v>0</v>
      </c>
    </row>
    <row r="9" customFormat="false" ht="15" hidden="false" customHeight="false" outlineLevel="0" collapsed="false">
      <c r="A9" s="6" t="n">
        <v>4</v>
      </c>
      <c r="B9" s="74" t="s">
        <v>948</v>
      </c>
      <c r="C9" s="53" t="str">
        <f aca="false">INDEX(I_Items!$C$5:$C$133,MATCH($B9,I_Items!$A$5:$A$133,0))</f>
        <v>RPA</v>
      </c>
      <c r="D9" s="53" t="str">
        <f aca="false">INDEX(I_Items!$D$5:$D$133,MATCH($B9,I_Items!$A$5:$A$133,0))</f>
        <v>Ceker</v>
      </c>
      <c r="E9" s="53" t="str">
        <f aca="false">INDEX(I_Items!$F$5:$F$133,MATCH($B9,I_Items!$A$5:$A$133,0))</f>
        <v>Fresh</v>
      </c>
      <c r="F9" s="53" t="str">
        <f aca="false">IF(INDEX(I_Items!$E$5:$E$133,MATCH($B9,I_Items!$A$5:$A$133,0))="","",INDEX(I_Items!$E$5:$E$133,MATCH($B9,I_Items!$A$5:$A$133,0)))</f>
        <v/>
      </c>
      <c r="G9" s="76" t="n">
        <v>46242</v>
      </c>
      <c r="H9" s="23" t="n">
        <f aca="false">MONTH(G9)</f>
        <v>8</v>
      </c>
      <c r="I9" s="74" t="s">
        <v>2075</v>
      </c>
      <c r="J9" s="74" t="s">
        <v>2078</v>
      </c>
      <c r="K9" s="10" t="n">
        <v>0</v>
      </c>
      <c r="L9" s="8" t="n">
        <v>0</v>
      </c>
      <c r="M9" s="10" t="n">
        <v>90.4</v>
      </c>
      <c r="N9" s="8" t="n">
        <v>839619.26</v>
      </c>
      <c r="O9" s="74" t="s">
        <v>2077</v>
      </c>
      <c r="P9" s="74"/>
      <c r="Q9" s="74"/>
      <c r="R9" s="14" t="n">
        <f aca="false">IF(I9="Unbilled",0,M9)</f>
        <v>90.4</v>
      </c>
      <c r="S9" s="9" t="n">
        <f aca="false">IF(R9=0,0,IF(O9="Booked",N9,R9*V8))</f>
        <v>839619.262727863</v>
      </c>
      <c r="T9" s="14" t="n">
        <f aca="false">IF(I9="Opening",K9,T8+K9-R9)</f>
        <v>1416.94</v>
      </c>
      <c r="U9" s="9" t="n">
        <f aca="false">IF(I9="Opening",L9,U8+L9-S9)</f>
        <v>13160288.917363</v>
      </c>
      <c r="V9" s="9" t="n">
        <f aca="false">IF(T9&gt;0,U9/T9,IF(I9="Opening",0,V8))</f>
        <v>9287.82370274185</v>
      </c>
      <c r="W9" s="14" t="n">
        <f aca="false">M9</f>
        <v>90.4</v>
      </c>
      <c r="X9" s="9" t="n">
        <f aca="false">IF(W9=0,0,IF(O9="Booked",N9,W9*AA8))</f>
        <v>839619.262727863</v>
      </c>
      <c r="Y9" s="14" t="n">
        <f aca="false">IF(I9="Opening",K9,Y8+K9-W9)</f>
        <v>1416.94</v>
      </c>
      <c r="Z9" s="9" t="n">
        <f aca="false">IF(I9="Opening",L9,Z8+L9-X9)</f>
        <v>13160288.917363</v>
      </c>
      <c r="AA9" s="9" t="n">
        <f aca="false">IF(Y9&gt;0,Z9/Y9,IF(I9="Opening",0,AA8))</f>
        <v>9287.82370274185</v>
      </c>
      <c r="AB9" s="9" t="n">
        <f aca="false">IF(AND(I9="DO",O9="MA"),S9-N9,0)</f>
        <v>0.00272786291316152</v>
      </c>
      <c r="AC9" s="9" t="n">
        <f aca="false">IF(I9="DO",X9-S9,0)</f>
        <v>0</v>
      </c>
      <c r="AD9" s="23" t="n">
        <f aca="false">IF(B10&lt;&gt;B9,1,0)</f>
        <v>0</v>
      </c>
      <c r="AE9" s="14" t="n">
        <f aca="false">IF(I9="Opening",0,AE8+W9)</f>
        <v>184.9</v>
      </c>
      <c r="AF9" s="14" t="n">
        <f aca="false">IF(I9="Opening",K9,AF8)</f>
        <v>1416.94</v>
      </c>
      <c r="AG9" s="14" t="n">
        <f aca="false">AG8</f>
        <v>0</v>
      </c>
      <c r="AH9" s="14" t="n">
        <f aca="false">IF(W9=0,0,MAX(0,MIN(AE9,AF9)-MIN(AE9-W9,AF9)))</f>
        <v>90.4</v>
      </c>
      <c r="AI9" s="14" t="n">
        <f aca="false">IF(W9=0,0,MAX(0,MIN(AE9,AF9+AG9)-MAX(AE9-W9,AF9)))</f>
        <v>0</v>
      </c>
      <c r="AJ9" s="14" t="n">
        <f aca="false">W9-AH9-AI9</f>
        <v>0</v>
      </c>
      <c r="AK9" s="9" t="n">
        <f aca="false">IF(W9=0,0,X9*AH9/W9)</f>
        <v>839619.262727863</v>
      </c>
      <c r="AL9" s="9" t="n">
        <f aca="false">IF(W9=0,0,X9*AI9/W9)</f>
        <v>0</v>
      </c>
      <c r="AM9" s="9" t="n">
        <f aca="false">X9-AK9-AL9</f>
        <v>0</v>
      </c>
    </row>
    <row r="10" customFormat="false" ht="15" hidden="false" customHeight="false" outlineLevel="0" collapsed="false">
      <c r="A10" s="6" t="n">
        <v>5</v>
      </c>
      <c r="B10" s="74" t="s">
        <v>948</v>
      </c>
      <c r="C10" s="53" t="str">
        <f aca="false">INDEX(I_Items!$C$5:$C$133,MATCH($B10,I_Items!$A$5:$A$133,0))</f>
        <v>RPA</v>
      </c>
      <c r="D10" s="53" t="str">
        <f aca="false">INDEX(I_Items!$D$5:$D$133,MATCH($B10,I_Items!$A$5:$A$133,0))</f>
        <v>Ceker</v>
      </c>
      <c r="E10" s="53" t="str">
        <f aca="false">INDEX(I_Items!$F$5:$F$133,MATCH($B10,I_Items!$A$5:$A$133,0))</f>
        <v>Fresh</v>
      </c>
      <c r="F10" s="53" t="str">
        <f aca="false">IF(INDEX(I_Items!$E$5:$E$133,MATCH($B10,I_Items!$A$5:$A$133,0))="","",INDEX(I_Items!$E$5:$E$133,MATCH($B10,I_Items!$A$5:$A$133,0)))</f>
        <v/>
      </c>
      <c r="G10" s="76" t="n">
        <v>46244</v>
      </c>
      <c r="H10" s="23" t="n">
        <f aca="false">MONTH(G10)</f>
        <v>8</v>
      </c>
      <c r="I10" s="74" t="s">
        <v>2074</v>
      </c>
      <c r="J10" s="74" t="s">
        <v>1294</v>
      </c>
      <c r="K10" s="10" t="n">
        <v>329.3</v>
      </c>
      <c r="L10" s="8" t="n">
        <v>4296254.44</v>
      </c>
      <c r="M10" s="10" t="n">
        <v>0</v>
      </c>
      <c r="N10" s="8" t="n">
        <v>0</v>
      </c>
      <c r="O10" s="74"/>
      <c r="P10" s="74"/>
      <c r="Q10" s="74"/>
      <c r="R10" s="14" t="n">
        <f aca="false">IF(I10="Unbilled",0,M10)</f>
        <v>0</v>
      </c>
      <c r="S10" s="9" t="n">
        <f aca="false">IF(R10=0,0,IF(O10="Booked",N10,R10*V9))</f>
        <v>0</v>
      </c>
      <c r="T10" s="14" t="n">
        <f aca="false">IF(I10="Opening",K10,T9+K10-R10)</f>
        <v>1746.24</v>
      </c>
      <c r="U10" s="9" t="n">
        <f aca="false">IF(I10="Opening",L10,U9+L10-S10)</f>
        <v>17456543.357363</v>
      </c>
      <c r="V10" s="9" t="n">
        <f aca="false">IF(T10&gt;0,U10/T10,IF(I10="Opening",0,V9))</f>
        <v>9996.6461410591</v>
      </c>
      <c r="W10" s="14" t="n">
        <f aca="false">M10</f>
        <v>0</v>
      </c>
      <c r="X10" s="9" t="n">
        <f aca="false">IF(W10=0,0,IF(O10="Booked",N10,W10*AA9))</f>
        <v>0</v>
      </c>
      <c r="Y10" s="14" t="n">
        <f aca="false">IF(I10="Opening",K10,Y9+K10-W10)</f>
        <v>1746.24</v>
      </c>
      <c r="Z10" s="9" t="n">
        <f aca="false">IF(I10="Opening",L10,Z9+L10-X10)</f>
        <v>17456543.357363</v>
      </c>
      <c r="AA10" s="9" t="n">
        <f aca="false">IF(Y10&gt;0,Z10/Y10,IF(I10="Opening",0,AA9))</f>
        <v>9996.6461410591</v>
      </c>
      <c r="AB10" s="9" t="n">
        <f aca="false">IF(AND(I10="DO",O10="MA"),S10-N10,0)</f>
        <v>0</v>
      </c>
      <c r="AC10" s="9" t="n">
        <f aca="false">IF(I10="DO",X10-S10,0)</f>
        <v>0</v>
      </c>
      <c r="AD10" s="23" t="n">
        <f aca="false">IF(B11&lt;&gt;B10,1,0)</f>
        <v>0</v>
      </c>
      <c r="AE10" s="14" t="n">
        <f aca="false">IF(I10="Opening",0,AE9+W10)</f>
        <v>184.9</v>
      </c>
      <c r="AF10" s="14" t="n">
        <f aca="false">IF(I10="Opening",K10,AF9)</f>
        <v>1416.94</v>
      </c>
      <c r="AG10" s="14" t="n">
        <f aca="false">AG9</f>
        <v>0</v>
      </c>
      <c r="AH10" s="14" t="n">
        <f aca="false">IF(W10=0,0,MAX(0,MIN(AE10,AF10)-MIN(AE10-W10,AF10)))</f>
        <v>0</v>
      </c>
      <c r="AI10" s="14" t="n">
        <f aca="false">IF(W10=0,0,MAX(0,MIN(AE10,AF10+AG10)-MAX(AE10-W10,AF10)))</f>
        <v>0</v>
      </c>
      <c r="AJ10" s="14" t="n">
        <f aca="false">W10-AH10-AI10</f>
        <v>0</v>
      </c>
      <c r="AK10" s="9" t="n">
        <f aca="false">IF(W10=0,0,X10*AH10/W10)</f>
        <v>0</v>
      </c>
      <c r="AL10" s="9" t="n">
        <f aca="false">IF(W10=0,0,X10*AI10/W10)</f>
        <v>0</v>
      </c>
      <c r="AM10" s="9" t="n">
        <f aca="false">X10-AK10-AL10</f>
        <v>0</v>
      </c>
    </row>
    <row r="11" customFormat="false" ht="15" hidden="false" customHeight="false" outlineLevel="0" collapsed="false">
      <c r="A11" s="6" t="n">
        <v>6</v>
      </c>
      <c r="B11" s="74" t="s">
        <v>948</v>
      </c>
      <c r="C11" s="53" t="str">
        <f aca="false">INDEX(I_Items!$C$5:$C$133,MATCH($B11,I_Items!$A$5:$A$133,0))</f>
        <v>RPA</v>
      </c>
      <c r="D11" s="53" t="str">
        <f aca="false">INDEX(I_Items!$D$5:$D$133,MATCH($B11,I_Items!$A$5:$A$133,0))</f>
        <v>Ceker</v>
      </c>
      <c r="E11" s="53" t="str">
        <f aca="false">INDEX(I_Items!$F$5:$F$133,MATCH($B11,I_Items!$A$5:$A$133,0))</f>
        <v>Fresh</v>
      </c>
      <c r="F11" s="53" t="str">
        <f aca="false">IF(INDEX(I_Items!$E$5:$E$133,MATCH($B11,I_Items!$A$5:$A$133,0))="","",INDEX(I_Items!$E$5:$E$133,MATCH($B11,I_Items!$A$5:$A$133,0)))</f>
        <v/>
      </c>
      <c r="G11" s="76" t="n">
        <v>46244</v>
      </c>
      <c r="H11" s="23" t="n">
        <f aca="false">MONTH(G11)</f>
        <v>8</v>
      </c>
      <c r="I11" s="74" t="s">
        <v>2074</v>
      </c>
      <c r="J11" s="74" t="s">
        <v>1298</v>
      </c>
      <c r="K11" s="10" t="n">
        <v>222.2</v>
      </c>
      <c r="L11" s="8" t="n">
        <v>3065086.08</v>
      </c>
      <c r="M11" s="10" t="n">
        <v>0</v>
      </c>
      <c r="N11" s="8" t="n">
        <v>0</v>
      </c>
      <c r="O11" s="74"/>
      <c r="P11" s="74"/>
      <c r="Q11" s="74"/>
      <c r="R11" s="14" t="n">
        <f aca="false">IF(I11="Unbilled",0,M11)</f>
        <v>0</v>
      </c>
      <c r="S11" s="9" t="n">
        <f aca="false">IF(R11=0,0,IF(O11="Booked",N11,R11*V10))</f>
        <v>0</v>
      </c>
      <c r="T11" s="14" t="n">
        <f aca="false">IF(I11="Opening",K11,T10+K11-R11)</f>
        <v>1968.44</v>
      </c>
      <c r="U11" s="9" t="n">
        <f aca="false">IF(I11="Opening",L11,U10+L11-S11)</f>
        <v>20521629.437363</v>
      </c>
      <c r="V11" s="9" t="n">
        <f aca="false">IF(T11&gt;0,U11/T11,IF(I11="Opening",0,V10))</f>
        <v>10425.3263687809</v>
      </c>
      <c r="W11" s="14" t="n">
        <f aca="false">M11</f>
        <v>0</v>
      </c>
      <c r="X11" s="9" t="n">
        <f aca="false">IF(W11=0,0,IF(O11="Booked",N11,W11*AA10))</f>
        <v>0</v>
      </c>
      <c r="Y11" s="14" t="n">
        <f aca="false">IF(I11="Opening",K11,Y10+K11-W11)</f>
        <v>1968.44</v>
      </c>
      <c r="Z11" s="9" t="n">
        <f aca="false">IF(I11="Opening",L11,Z10+L11-X11)</f>
        <v>20521629.437363</v>
      </c>
      <c r="AA11" s="9" t="n">
        <f aca="false">IF(Y11&gt;0,Z11/Y11,IF(I11="Opening",0,AA10))</f>
        <v>10425.3263687809</v>
      </c>
      <c r="AB11" s="9" t="n">
        <f aca="false">IF(AND(I11="DO",O11="MA"),S11-N11,0)</f>
        <v>0</v>
      </c>
      <c r="AC11" s="9" t="n">
        <f aca="false">IF(I11="DO",X11-S11,0)</f>
        <v>0</v>
      </c>
      <c r="AD11" s="23" t="n">
        <f aca="false">IF(B12&lt;&gt;B11,1,0)</f>
        <v>0</v>
      </c>
      <c r="AE11" s="14" t="n">
        <f aca="false">IF(I11="Opening",0,AE10+W11)</f>
        <v>184.9</v>
      </c>
      <c r="AF11" s="14" t="n">
        <f aca="false">IF(I11="Opening",K11,AF10)</f>
        <v>1416.94</v>
      </c>
      <c r="AG11" s="14" t="n">
        <f aca="false">AG10</f>
        <v>0</v>
      </c>
      <c r="AH11" s="14" t="n">
        <f aca="false">IF(W11=0,0,MAX(0,MIN(AE11,AF11)-MIN(AE11-W11,AF11)))</f>
        <v>0</v>
      </c>
      <c r="AI11" s="14" t="n">
        <f aca="false">IF(W11=0,0,MAX(0,MIN(AE11,AF11+AG11)-MAX(AE11-W11,AF11)))</f>
        <v>0</v>
      </c>
      <c r="AJ11" s="14" t="n">
        <f aca="false">W11-AH11-AI11</f>
        <v>0</v>
      </c>
      <c r="AK11" s="9" t="n">
        <f aca="false">IF(W11=0,0,X11*AH11/W11)</f>
        <v>0</v>
      </c>
      <c r="AL11" s="9" t="n">
        <f aca="false">IF(W11=0,0,X11*AI11/W11)</f>
        <v>0</v>
      </c>
      <c r="AM11" s="9" t="n">
        <f aca="false">X11-AK11-AL11</f>
        <v>0</v>
      </c>
    </row>
    <row r="12" customFormat="false" ht="15" hidden="false" customHeight="false" outlineLevel="0" collapsed="false">
      <c r="A12" s="6" t="n">
        <v>7</v>
      </c>
      <c r="B12" s="74" t="s">
        <v>948</v>
      </c>
      <c r="C12" s="53" t="str">
        <f aca="false">INDEX(I_Items!$C$5:$C$133,MATCH($B12,I_Items!$A$5:$A$133,0))</f>
        <v>RPA</v>
      </c>
      <c r="D12" s="53" t="str">
        <f aca="false">INDEX(I_Items!$D$5:$D$133,MATCH($B12,I_Items!$A$5:$A$133,0))</f>
        <v>Ceker</v>
      </c>
      <c r="E12" s="53" t="str">
        <f aca="false">INDEX(I_Items!$F$5:$F$133,MATCH($B12,I_Items!$A$5:$A$133,0))</f>
        <v>Fresh</v>
      </c>
      <c r="F12" s="53" t="str">
        <f aca="false">IF(INDEX(I_Items!$E$5:$E$133,MATCH($B12,I_Items!$A$5:$A$133,0))="","",INDEX(I_Items!$E$5:$E$133,MATCH($B12,I_Items!$A$5:$A$133,0)))</f>
        <v/>
      </c>
      <c r="G12" s="76" t="n">
        <v>46246</v>
      </c>
      <c r="H12" s="23" t="n">
        <f aca="false">MONTH(G12)</f>
        <v>8</v>
      </c>
      <c r="I12" s="74" t="s">
        <v>2075</v>
      </c>
      <c r="J12" s="74" t="s">
        <v>2079</v>
      </c>
      <c r="K12" s="10" t="n">
        <v>0</v>
      </c>
      <c r="L12" s="8" t="n">
        <v>0</v>
      </c>
      <c r="M12" s="10" t="n">
        <v>118</v>
      </c>
      <c r="N12" s="8" t="n">
        <v>1230188.52</v>
      </c>
      <c r="O12" s="74" t="s">
        <v>2077</v>
      </c>
      <c r="P12" s="74"/>
      <c r="Q12" s="74"/>
      <c r="R12" s="14" t="n">
        <f aca="false">IF(I12="Unbilled",0,M12)</f>
        <v>118</v>
      </c>
      <c r="S12" s="9" t="n">
        <f aca="false">IF(R12=0,0,IF(O12="Booked",N12,R12*V11))</f>
        <v>1230188.51151614</v>
      </c>
      <c r="T12" s="14" t="n">
        <f aca="false">IF(I12="Opening",K12,T11+K12-R12)</f>
        <v>1850.44</v>
      </c>
      <c r="U12" s="9" t="n">
        <f aca="false">IF(I12="Opening",L12,U11+L12-S12)</f>
        <v>19291440.9258469</v>
      </c>
      <c r="V12" s="9" t="n">
        <f aca="false">IF(T12&gt;0,U12/T12,IF(I12="Opening",0,V11))</f>
        <v>10425.3263687809</v>
      </c>
      <c r="W12" s="14" t="n">
        <f aca="false">M12</f>
        <v>118</v>
      </c>
      <c r="X12" s="9" t="n">
        <f aca="false">IF(W12=0,0,IF(O12="Booked",N12,W12*AA11))</f>
        <v>1230188.51151614</v>
      </c>
      <c r="Y12" s="14" t="n">
        <f aca="false">IF(I12="Opening",K12,Y11+K12-W12)</f>
        <v>1850.44</v>
      </c>
      <c r="Z12" s="9" t="n">
        <f aca="false">IF(I12="Opening",L12,Z11+L12-X12)</f>
        <v>19291440.9258469</v>
      </c>
      <c r="AA12" s="9" t="n">
        <f aca="false">IF(Y12&gt;0,Z12/Y12,IF(I12="Opening",0,AA11))</f>
        <v>10425.3263687809</v>
      </c>
      <c r="AB12" s="9" t="n">
        <f aca="false">IF(AND(I12="DO",O12="MA"),S12-N12,0)</f>
        <v>-0.00848385621793568</v>
      </c>
      <c r="AC12" s="9" t="n">
        <f aca="false">IF(I12="DO",X12-S12,0)</f>
        <v>0</v>
      </c>
      <c r="AD12" s="23" t="n">
        <f aca="false">IF(B13&lt;&gt;B12,1,0)</f>
        <v>0</v>
      </c>
      <c r="AE12" s="14" t="n">
        <f aca="false">IF(I12="Opening",0,AE11+W12)</f>
        <v>302.9</v>
      </c>
      <c r="AF12" s="14" t="n">
        <f aca="false">IF(I12="Opening",K12,AF11)</f>
        <v>1416.94</v>
      </c>
      <c r="AG12" s="14" t="n">
        <f aca="false">AG11</f>
        <v>0</v>
      </c>
      <c r="AH12" s="14" t="n">
        <f aca="false">IF(W12=0,0,MAX(0,MIN(AE12,AF12)-MIN(AE12-W12,AF12)))</f>
        <v>118</v>
      </c>
      <c r="AI12" s="14" t="n">
        <f aca="false">IF(W12=0,0,MAX(0,MIN(AE12,AF12+AG12)-MAX(AE12-W12,AF12)))</f>
        <v>0</v>
      </c>
      <c r="AJ12" s="14" t="n">
        <f aca="false">W12-AH12-AI12</f>
        <v>0</v>
      </c>
      <c r="AK12" s="9" t="n">
        <f aca="false">IF(W12=0,0,X12*AH12/W12)</f>
        <v>1230188.51151614</v>
      </c>
      <c r="AL12" s="9" t="n">
        <f aca="false">IF(W12=0,0,X12*AI12/W12)</f>
        <v>0</v>
      </c>
      <c r="AM12" s="9" t="n">
        <f aca="false">X12-AK12-AL12</f>
        <v>0</v>
      </c>
    </row>
    <row r="13" customFormat="false" ht="15" hidden="false" customHeight="false" outlineLevel="0" collapsed="false">
      <c r="A13" s="6" t="n">
        <v>8</v>
      </c>
      <c r="B13" s="74" t="s">
        <v>948</v>
      </c>
      <c r="C13" s="53" t="str">
        <f aca="false">INDEX(I_Items!$C$5:$C$133,MATCH($B13,I_Items!$A$5:$A$133,0))</f>
        <v>RPA</v>
      </c>
      <c r="D13" s="53" t="str">
        <f aca="false">INDEX(I_Items!$D$5:$D$133,MATCH($B13,I_Items!$A$5:$A$133,0))</f>
        <v>Ceker</v>
      </c>
      <c r="E13" s="53" t="str">
        <f aca="false">INDEX(I_Items!$F$5:$F$133,MATCH($B13,I_Items!$A$5:$A$133,0))</f>
        <v>Fresh</v>
      </c>
      <c r="F13" s="53" t="str">
        <f aca="false">IF(INDEX(I_Items!$E$5:$E$133,MATCH($B13,I_Items!$A$5:$A$133,0))="","",INDEX(I_Items!$E$5:$E$133,MATCH($B13,I_Items!$A$5:$A$133,0)))</f>
        <v/>
      </c>
      <c r="G13" s="76" t="n">
        <v>46246</v>
      </c>
      <c r="H13" s="23" t="n">
        <f aca="false">MONTH(G13)</f>
        <v>8</v>
      </c>
      <c r="I13" s="74" t="s">
        <v>2075</v>
      </c>
      <c r="J13" s="74" t="s">
        <v>2080</v>
      </c>
      <c r="K13" s="10" t="n">
        <v>0</v>
      </c>
      <c r="L13" s="8" t="n">
        <v>0</v>
      </c>
      <c r="M13" s="10" t="n">
        <v>107.8</v>
      </c>
      <c r="N13" s="8" t="n">
        <v>1123850.19</v>
      </c>
      <c r="O13" s="74" t="s">
        <v>2077</v>
      </c>
      <c r="P13" s="74"/>
      <c r="Q13" s="74"/>
      <c r="R13" s="14" t="n">
        <f aca="false">IF(I13="Unbilled",0,M13)</f>
        <v>107.8</v>
      </c>
      <c r="S13" s="9" t="n">
        <f aca="false">IF(R13=0,0,IF(O13="Booked",N13,R13*V12))</f>
        <v>1123850.18255458</v>
      </c>
      <c r="T13" s="14" t="n">
        <f aca="false">IF(I13="Opening",K13,T12+K13-R13)</f>
        <v>1742.64</v>
      </c>
      <c r="U13" s="9" t="n">
        <f aca="false">IF(I13="Opening",L13,U12+L13-S13)</f>
        <v>18167590.7432923</v>
      </c>
      <c r="V13" s="9" t="n">
        <f aca="false">IF(T13&gt;0,U13/T13,IF(I13="Opening",0,V12))</f>
        <v>10425.3263687809</v>
      </c>
      <c r="W13" s="14" t="n">
        <f aca="false">M13</f>
        <v>107.8</v>
      </c>
      <c r="X13" s="9" t="n">
        <f aca="false">IF(W13=0,0,IF(O13="Booked",N13,W13*AA12))</f>
        <v>1123850.18255458</v>
      </c>
      <c r="Y13" s="14" t="n">
        <f aca="false">IF(I13="Opening",K13,Y12+K13-W13)</f>
        <v>1742.64</v>
      </c>
      <c r="Z13" s="9" t="n">
        <f aca="false">IF(I13="Opening",L13,Z12+L13-X13)</f>
        <v>18167590.7432923</v>
      </c>
      <c r="AA13" s="9" t="n">
        <f aca="false">IF(Y13&gt;0,Z13/Y13,IF(I13="Opening",0,AA12))</f>
        <v>10425.3263687809</v>
      </c>
      <c r="AB13" s="9" t="n">
        <f aca="false">IF(AND(I13="DO",O13="MA"),S13-N13,0)</f>
        <v>-0.00744542106986046</v>
      </c>
      <c r="AC13" s="9" t="n">
        <f aca="false">IF(I13="DO",X13-S13,0)</f>
        <v>0</v>
      </c>
      <c r="AD13" s="23" t="n">
        <f aca="false">IF(B14&lt;&gt;B13,1,0)</f>
        <v>0</v>
      </c>
      <c r="AE13" s="14" t="n">
        <f aca="false">IF(I13="Opening",0,AE12+W13)</f>
        <v>410.7</v>
      </c>
      <c r="AF13" s="14" t="n">
        <f aca="false">IF(I13="Opening",K13,AF12)</f>
        <v>1416.94</v>
      </c>
      <c r="AG13" s="14" t="n">
        <f aca="false">AG12</f>
        <v>0</v>
      </c>
      <c r="AH13" s="14" t="n">
        <f aca="false">IF(W13=0,0,MAX(0,MIN(AE13,AF13)-MIN(AE13-W13,AF13)))</f>
        <v>107.8</v>
      </c>
      <c r="AI13" s="14" t="n">
        <f aca="false">IF(W13=0,0,MAX(0,MIN(AE13,AF13+AG13)-MAX(AE13-W13,AF13)))</f>
        <v>0</v>
      </c>
      <c r="AJ13" s="14" t="n">
        <f aca="false">W13-AH13-AI13</f>
        <v>0</v>
      </c>
      <c r="AK13" s="9" t="n">
        <f aca="false">IF(W13=0,0,X13*AH13/W13)</f>
        <v>1123850.18255458</v>
      </c>
      <c r="AL13" s="9" t="n">
        <f aca="false">IF(W13=0,0,X13*AI13/W13)</f>
        <v>0</v>
      </c>
      <c r="AM13" s="9" t="n">
        <f aca="false">X13-AK13-AL13</f>
        <v>0</v>
      </c>
    </row>
    <row r="14" customFormat="false" ht="15" hidden="false" customHeight="false" outlineLevel="0" collapsed="false">
      <c r="A14" s="6" t="n">
        <v>9</v>
      </c>
      <c r="B14" s="74" t="s">
        <v>948</v>
      </c>
      <c r="C14" s="53" t="str">
        <f aca="false">INDEX(I_Items!$C$5:$C$133,MATCH($B14,I_Items!$A$5:$A$133,0))</f>
        <v>RPA</v>
      </c>
      <c r="D14" s="53" t="str">
        <f aca="false">INDEX(I_Items!$D$5:$D$133,MATCH($B14,I_Items!$A$5:$A$133,0))</f>
        <v>Ceker</v>
      </c>
      <c r="E14" s="53" t="str">
        <f aca="false">INDEX(I_Items!$F$5:$F$133,MATCH($B14,I_Items!$A$5:$A$133,0))</f>
        <v>Fresh</v>
      </c>
      <c r="F14" s="53" t="str">
        <f aca="false">IF(INDEX(I_Items!$E$5:$E$133,MATCH($B14,I_Items!$A$5:$A$133,0))="","",INDEX(I_Items!$E$5:$E$133,MATCH($B14,I_Items!$A$5:$A$133,0)))</f>
        <v/>
      </c>
      <c r="G14" s="76" t="n">
        <v>46246</v>
      </c>
      <c r="H14" s="23" t="n">
        <f aca="false">MONTH(G14)</f>
        <v>8</v>
      </c>
      <c r="I14" s="74" t="s">
        <v>2075</v>
      </c>
      <c r="J14" s="74" t="s">
        <v>2081</v>
      </c>
      <c r="K14" s="10" t="n">
        <v>0</v>
      </c>
      <c r="L14" s="8" t="n">
        <v>0</v>
      </c>
      <c r="M14" s="10" t="n">
        <v>103.5</v>
      </c>
      <c r="N14" s="8" t="n">
        <v>1079021.28</v>
      </c>
      <c r="O14" s="74" t="s">
        <v>2077</v>
      </c>
      <c r="P14" s="74"/>
      <c r="Q14" s="74"/>
      <c r="R14" s="14" t="n">
        <f aca="false">IF(I14="Unbilled",0,M14)</f>
        <v>103.5</v>
      </c>
      <c r="S14" s="9" t="n">
        <f aca="false">IF(R14=0,0,IF(O14="Booked",N14,R14*V13))</f>
        <v>1079021.27916882</v>
      </c>
      <c r="T14" s="14" t="n">
        <f aca="false">IF(I14="Opening",K14,T13+K14-R14)</f>
        <v>1639.14</v>
      </c>
      <c r="U14" s="9" t="n">
        <f aca="false">IF(I14="Opening",L14,U13+L14-S14)</f>
        <v>17088569.4641235</v>
      </c>
      <c r="V14" s="9" t="n">
        <f aca="false">IF(T14&gt;0,U14/T14,IF(I14="Opening",0,V13))</f>
        <v>10425.3263687809</v>
      </c>
      <c r="W14" s="14" t="n">
        <f aca="false">M14</f>
        <v>103.5</v>
      </c>
      <c r="X14" s="9" t="n">
        <f aca="false">IF(W14=0,0,IF(O14="Booked",N14,W14*AA13))</f>
        <v>1079021.27916882</v>
      </c>
      <c r="Y14" s="14" t="n">
        <f aca="false">IF(I14="Opening",K14,Y13+K14-W14)</f>
        <v>1639.14</v>
      </c>
      <c r="Z14" s="9" t="n">
        <f aca="false">IF(I14="Opening",L14,Z13+L14-X14)</f>
        <v>17088569.4641235</v>
      </c>
      <c r="AA14" s="9" t="n">
        <f aca="false">IF(Y14&gt;0,Z14/Y14,IF(I14="Opening",0,AA13))</f>
        <v>10425.3263687809</v>
      </c>
      <c r="AB14" s="9" t="n">
        <f aca="false">IF(AND(I14="DO",O14="MA"),S14-N14,0)</f>
        <v>-0.000831179087981582</v>
      </c>
      <c r="AC14" s="9" t="n">
        <f aca="false">IF(I14="DO",X14-S14,0)</f>
        <v>0</v>
      </c>
      <c r="AD14" s="23" t="n">
        <f aca="false">IF(B15&lt;&gt;B14,1,0)</f>
        <v>0</v>
      </c>
      <c r="AE14" s="14" t="n">
        <f aca="false">IF(I14="Opening",0,AE13+W14)</f>
        <v>514.2</v>
      </c>
      <c r="AF14" s="14" t="n">
        <f aca="false">IF(I14="Opening",K14,AF13)</f>
        <v>1416.94</v>
      </c>
      <c r="AG14" s="14" t="n">
        <f aca="false">AG13</f>
        <v>0</v>
      </c>
      <c r="AH14" s="14" t="n">
        <f aca="false">IF(W14=0,0,MAX(0,MIN(AE14,AF14)-MIN(AE14-W14,AF14)))</f>
        <v>103.5</v>
      </c>
      <c r="AI14" s="14" t="n">
        <f aca="false">IF(W14=0,0,MAX(0,MIN(AE14,AF14+AG14)-MAX(AE14-W14,AF14)))</f>
        <v>0</v>
      </c>
      <c r="AJ14" s="14" t="n">
        <f aca="false">W14-AH14-AI14</f>
        <v>0</v>
      </c>
      <c r="AK14" s="9" t="n">
        <f aca="false">IF(W14=0,0,X14*AH14/W14)</f>
        <v>1079021.27916882</v>
      </c>
      <c r="AL14" s="9" t="n">
        <f aca="false">IF(W14=0,0,X14*AI14/W14)</f>
        <v>0</v>
      </c>
      <c r="AM14" s="9" t="n">
        <f aca="false">X14-AK14-AL14</f>
        <v>0</v>
      </c>
    </row>
    <row r="15" customFormat="false" ht="15" hidden="false" customHeight="false" outlineLevel="0" collapsed="false">
      <c r="A15" s="6" t="n">
        <v>10</v>
      </c>
      <c r="B15" s="74" t="s">
        <v>948</v>
      </c>
      <c r="C15" s="53" t="str">
        <f aca="false">INDEX(I_Items!$C$5:$C$133,MATCH($B15,I_Items!$A$5:$A$133,0))</f>
        <v>RPA</v>
      </c>
      <c r="D15" s="53" t="str">
        <f aca="false">INDEX(I_Items!$D$5:$D$133,MATCH($B15,I_Items!$A$5:$A$133,0))</f>
        <v>Ceker</v>
      </c>
      <c r="E15" s="53" t="str">
        <f aca="false">INDEX(I_Items!$F$5:$F$133,MATCH($B15,I_Items!$A$5:$A$133,0))</f>
        <v>Fresh</v>
      </c>
      <c r="F15" s="53" t="str">
        <f aca="false">IF(INDEX(I_Items!$E$5:$E$133,MATCH($B15,I_Items!$A$5:$A$133,0))="","",INDEX(I_Items!$E$5:$E$133,MATCH($B15,I_Items!$A$5:$A$133,0)))</f>
        <v/>
      </c>
      <c r="G15" s="76" t="n">
        <v>46246</v>
      </c>
      <c r="H15" s="23" t="n">
        <f aca="false">MONTH(G15)</f>
        <v>8</v>
      </c>
      <c r="I15" s="74" t="s">
        <v>2075</v>
      </c>
      <c r="J15" s="74" t="s">
        <v>2082</v>
      </c>
      <c r="K15" s="10" t="n">
        <v>0</v>
      </c>
      <c r="L15" s="8" t="n">
        <v>0</v>
      </c>
      <c r="M15" s="10" t="n">
        <v>111.1</v>
      </c>
      <c r="N15" s="8" t="n">
        <v>1158253.76</v>
      </c>
      <c r="O15" s="74" t="s">
        <v>2077</v>
      </c>
      <c r="P15" s="74"/>
      <c r="Q15" s="74"/>
      <c r="R15" s="14" t="n">
        <f aca="false">IF(I15="Unbilled",0,M15)</f>
        <v>111.1</v>
      </c>
      <c r="S15" s="9" t="n">
        <f aca="false">IF(R15=0,0,IF(O15="Booked",N15,R15*V14))</f>
        <v>1158253.75957156</v>
      </c>
      <c r="T15" s="14" t="n">
        <f aca="false">IF(I15="Opening",K15,T14+K15-R15)</f>
        <v>1528.04</v>
      </c>
      <c r="U15" s="9" t="n">
        <f aca="false">IF(I15="Opening",L15,U14+L15-S15)</f>
        <v>15930315.7045519</v>
      </c>
      <c r="V15" s="9" t="n">
        <f aca="false">IF(T15&gt;0,U15/T15,IF(I15="Opening",0,V14))</f>
        <v>10425.3263687809</v>
      </c>
      <c r="W15" s="14" t="n">
        <f aca="false">M15</f>
        <v>111.1</v>
      </c>
      <c r="X15" s="9" t="n">
        <f aca="false">IF(W15=0,0,IF(O15="Booked",N15,W15*AA14))</f>
        <v>1158253.75957156</v>
      </c>
      <c r="Y15" s="14" t="n">
        <f aca="false">IF(I15="Opening",K15,Y14+K15-W15)</f>
        <v>1528.04</v>
      </c>
      <c r="Z15" s="9" t="n">
        <f aca="false">IF(I15="Opening",L15,Z14+L15-X15)</f>
        <v>15930315.7045519</v>
      </c>
      <c r="AA15" s="9" t="n">
        <f aca="false">IF(Y15&gt;0,Z15/Y15,IF(I15="Opening",0,AA14))</f>
        <v>10425.3263687809</v>
      </c>
      <c r="AB15" s="9" t="n">
        <f aca="false">IF(AND(I15="DO",O15="MA"),S15-N15,0)</f>
        <v>-0.000428444473072886</v>
      </c>
      <c r="AC15" s="9" t="n">
        <f aca="false">IF(I15="DO",X15-S15,0)</f>
        <v>0</v>
      </c>
      <c r="AD15" s="23" t="n">
        <f aca="false">IF(B16&lt;&gt;B15,1,0)</f>
        <v>0</v>
      </c>
      <c r="AE15" s="14" t="n">
        <f aca="false">IF(I15="Opening",0,AE14+W15)</f>
        <v>625.3</v>
      </c>
      <c r="AF15" s="14" t="n">
        <f aca="false">IF(I15="Opening",K15,AF14)</f>
        <v>1416.94</v>
      </c>
      <c r="AG15" s="14" t="n">
        <f aca="false">AG14</f>
        <v>0</v>
      </c>
      <c r="AH15" s="14" t="n">
        <f aca="false">IF(W15=0,0,MAX(0,MIN(AE15,AF15)-MIN(AE15-W15,AF15)))</f>
        <v>111.1</v>
      </c>
      <c r="AI15" s="14" t="n">
        <f aca="false">IF(W15=0,0,MAX(0,MIN(AE15,AF15+AG15)-MAX(AE15-W15,AF15)))</f>
        <v>0</v>
      </c>
      <c r="AJ15" s="14" t="n">
        <f aca="false">W15-AH15-AI15</f>
        <v>0</v>
      </c>
      <c r="AK15" s="9" t="n">
        <f aca="false">IF(W15=0,0,X15*AH15/W15)</f>
        <v>1158253.75957156</v>
      </c>
      <c r="AL15" s="9" t="n">
        <f aca="false">IF(W15=0,0,X15*AI15/W15)</f>
        <v>0</v>
      </c>
      <c r="AM15" s="9" t="n">
        <f aca="false">X15-AK15-AL15</f>
        <v>0</v>
      </c>
    </row>
    <row r="16" customFormat="false" ht="15" hidden="false" customHeight="false" outlineLevel="0" collapsed="false">
      <c r="A16" s="6" t="n">
        <v>11</v>
      </c>
      <c r="B16" s="74" t="s">
        <v>948</v>
      </c>
      <c r="C16" s="53" t="str">
        <f aca="false">INDEX(I_Items!$C$5:$C$133,MATCH($B16,I_Items!$A$5:$A$133,0))</f>
        <v>RPA</v>
      </c>
      <c r="D16" s="53" t="str">
        <f aca="false">INDEX(I_Items!$D$5:$D$133,MATCH($B16,I_Items!$A$5:$A$133,0))</f>
        <v>Ceker</v>
      </c>
      <c r="E16" s="53" t="str">
        <f aca="false">INDEX(I_Items!$F$5:$F$133,MATCH($B16,I_Items!$A$5:$A$133,0))</f>
        <v>Fresh</v>
      </c>
      <c r="F16" s="53" t="str">
        <f aca="false">IF(INDEX(I_Items!$E$5:$E$133,MATCH($B16,I_Items!$A$5:$A$133,0))="","",INDEX(I_Items!$E$5:$E$133,MATCH($B16,I_Items!$A$5:$A$133,0)))</f>
        <v/>
      </c>
      <c r="G16" s="76" t="n">
        <v>46246</v>
      </c>
      <c r="H16" s="23" t="n">
        <f aca="false">MONTH(G16)</f>
        <v>8</v>
      </c>
      <c r="I16" s="74" t="s">
        <v>2075</v>
      </c>
      <c r="J16" s="74" t="s">
        <v>2083</v>
      </c>
      <c r="K16" s="10" t="n">
        <v>0</v>
      </c>
      <c r="L16" s="8" t="n">
        <v>0</v>
      </c>
      <c r="M16" s="10" t="n">
        <v>105.9</v>
      </c>
      <c r="N16" s="8" t="n">
        <v>1104042.07</v>
      </c>
      <c r="O16" s="74" t="s">
        <v>2077</v>
      </c>
      <c r="P16" s="74"/>
      <c r="Q16" s="74"/>
      <c r="R16" s="14" t="n">
        <f aca="false">IF(I16="Unbilled",0,M16)</f>
        <v>105.9</v>
      </c>
      <c r="S16" s="9" t="n">
        <f aca="false">IF(R16=0,0,IF(O16="Booked",N16,R16*V15))</f>
        <v>1104042.0624539</v>
      </c>
      <c r="T16" s="14" t="n">
        <f aca="false">IF(I16="Opening",K16,T15+K16-R16)</f>
        <v>1422.14</v>
      </c>
      <c r="U16" s="9" t="n">
        <f aca="false">IF(I16="Opening",L16,U15+L16-S16)</f>
        <v>14826273.642098</v>
      </c>
      <c r="V16" s="9" t="n">
        <f aca="false">IF(T16&gt;0,U16/T16,IF(I16="Opening",0,V15))</f>
        <v>10425.3263687809</v>
      </c>
      <c r="W16" s="14" t="n">
        <f aca="false">M16</f>
        <v>105.9</v>
      </c>
      <c r="X16" s="9" t="n">
        <f aca="false">IF(W16=0,0,IF(O16="Booked",N16,W16*AA15))</f>
        <v>1104042.0624539</v>
      </c>
      <c r="Y16" s="14" t="n">
        <f aca="false">IF(I16="Opening",K16,Y15+K16-W16)</f>
        <v>1422.14</v>
      </c>
      <c r="Z16" s="9" t="n">
        <f aca="false">IF(I16="Opening",L16,Z15+L16-X16)</f>
        <v>14826273.642098</v>
      </c>
      <c r="AA16" s="9" t="n">
        <f aca="false">IF(Y16&gt;0,Z16/Y16,IF(I16="Opening",0,AA15))</f>
        <v>10425.3263687809</v>
      </c>
      <c r="AB16" s="9" t="n">
        <f aca="false">IF(AND(I16="DO",O16="MA"),S16-N16,0)</f>
        <v>-0.00754610495641828</v>
      </c>
      <c r="AC16" s="9" t="n">
        <f aca="false">IF(I16="DO",X16-S16,0)</f>
        <v>0</v>
      </c>
      <c r="AD16" s="23" t="n">
        <f aca="false">IF(B17&lt;&gt;B16,1,0)</f>
        <v>0</v>
      </c>
      <c r="AE16" s="14" t="n">
        <f aca="false">IF(I16="Opening",0,AE15+W16)</f>
        <v>731.2</v>
      </c>
      <c r="AF16" s="14" t="n">
        <f aca="false">IF(I16="Opening",K16,AF15)</f>
        <v>1416.94</v>
      </c>
      <c r="AG16" s="14" t="n">
        <f aca="false">AG15</f>
        <v>0</v>
      </c>
      <c r="AH16" s="14" t="n">
        <f aca="false">IF(W16=0,0,MAX(0,MIN(AE16,AF16)-MIN(AE16-W16,AF16)))</f>
        <v>105.9</v>
      </c>
      <c r="AI16" s="14" t="n">
        <f aca="false">IF(W16=0,0,MAX(0,MIN(AE16,AF16+AG16)-MAX(AE16-W16,AF16)))</f>
        <v>0</v>
      </c>
      <c r="AJ16" s="14" t="n">
        <f aca="false">W16-AH16-AI16</f>
        <v>0</v>
      </c>
      <c r="AK16" s="9" t="n">
        <f aca="false">IF(W16=0,0,X16*AH16/W16)</f>
        <v>1104042.06245389</v>
      </c>
      <c r="AL16" s="9" t="n">
        <f aca="false">IF(W16=0,0,X16*AI16/W16)</f>
        <v>0</v>
      </c>
      <c r="AM16" s="9" t="n">
        <f aca="false">X16-AK16-AL16</f>
        <v>0</v>
      </c>
    </row>
    <row r="17" customFormat="false" ht="15" hidden="false" customHeight="false" outlineLevel="0" collapsed="false">
      <c r="A17" s="6" t="n">
        <v>12</v>
      </c>
      <c r="B17" s="74" t="s">
        <v>948</v>
      </c>
      <c r="C17" s="53" t="str">
        <f aca="false">INDEX(I_Items!$C$5:$C$133,MATCH($B17,I_Items!$A$5:$A$133,0))</f>
        <v>RPA</v>
      </c>
      <c r="D17" s="53" t="str">
        <f aca="false">INDEX(I_Items!$D$5:$D$133,MATCH($B17,I_Items!$A$5:$A$133,0))</f>
        <v>Ceker</v>
      </c>
      <c r="E17" s="53" t="str">
        <f aca="false">INDEX(I_Items!$F$5:$F$133,MATCH($B17,I_Items!$A$5:$A$133,0))</f>
        <v>Fresh</v>
      </c>
      <c r="F17" s="53" t="str">
        <f aca="false">IF(INDEX(I_Items!$E$5:$E$133,MATCH($B17,I_Items!$A$5:$A$133,0))="","",INDEX(I_Items!$E$5:$E$133,MATCH($B17,I_Items!$A$5:$A$133,0)))</f>
        <v/>
      </c>
      <c r="G17" s="76" t="n">
        <v>46248</v>
      </c>
      <c r="H17" s="23" t="n">
        <f aca="false">MONTH(G17)</f>
        <v>8</v>
      </c>
      <c r="I17" s="74" t="s">
        <v>2074</v>
      </c>
      <c r="J17" s="74" t="s">
        <v>1302</v>
      </c>
      <c r="K17" s="10" t="n">
        <v>413.8</v>
      </c>
      <c r="L17" s="8" t="n">
        <v>5760974.66</v>
      </c>
      <c r="M17" s="10" t="n">
        <v>0</v>
      </c>
      <c r="N17" s="8" t="n">
        <v>0</v>
      </c>
      <c r="O17" s="74"/>
      <c r="P17" s="74"/>
      <c r="Q17" s="74"/>
      <c r="R17" s="14" t="n">
        <f aca="false">IF(I17="Unbilled",0,M17)</f>
        <v>0</v>
      </c>
      <c r="S17" s="9" t="n">
        <f aca="false">IF(R17=0,0,IF(O17="Booked",N17,R17*V16))</f>
        <v>0</v>
      </c>
      <c r="T17" s="14" t="n">
        <f aca="false">IF(I17="Opening",K17,T16+K17-R17)</f>
        <v>1835.94</v>
      </c>
      <c r="U17" s="9" t="n">
        <f aca="false">IF(I17="Opening",L17,U16+L17-S17)</f>
        <v>20587248.302098</v>
      </c>
      <c r="V17" s="9" t="n">
        <f aca="false">IF(T17&gt;0,U17/T17,IF(I17="Opening",0,V16))</f>
        <v>11213.4646568505</v>
      </c>
      <c r="W17" s="14" t="n">
        <f aca="false">M17</f>
        <v>0</v>
      </c>
      <c r="X17" s="9" t="n">
        <f aca="false">IF(W17=0,0,IF(O17="Booked",N17,W17*AA16))</f>
        <v>0</v>
      </c>
      <c r="Y17" s="14" t="n">
        <f aca="false">IF(I17="Opening",K17,Y16+K17-W17)</f>
        <v>1835.94</v>
      </c>
      <c r="Z17" s="9" t="n">
        <f aca="false">IF(I17="Opening",L17,Z16+L17-X17)</f>
        <v>20587248.302098</v>
      </c>
      <c r="AA17" s="9" t="n">
        <f aca="false">IF(Y17&gt;0,Z17/Y17,IF(I17="Opening",0,AA16))</f>
        <v>11213.4646568505</v>
      </c>
      <c r="AB17" s="9" t="n">
        <f aca="false">IF(AND(I17="DO",O17="MA"),S17-N17,0)</f>
        <v>0</v>
      </c>
      <c r="AC17" s="9" t="n">
        <f aca="false">IF(I17="DO",X17-S17,0)</f>
        <v>0</v>
      </c>
      <c r="AD17" s="23" t="n">
        <f aca="false">IF(B18&lt;&gt;B17,1,0)</f>
        <v>0</v>
      </c>
      <c r="AE17" s="14" t="n">
        <f aca="false">IF(I17="Opening",0,AE16+W17)</f>
        <v>731.2</v>
      </c>
      <c r="AF17" s="14" t="n">
        <f aca="false">IF(I17="Opening",K17,AF16)</f>
        <v>1416.94</v>
      </c>
      <c r="AG17" s="14" t="n">
        <f aca="false">AG16</f>
        <v>0</v>
      </c>
      <c r="AH17" s="14" t="n">
        <f aca="false">IF(W17=0,0,MAX(0,MIN(AE17,AF17)-MIN(AE17-W17,AF17)))</f>
        <v>0</v>
      </c>
      <c r="AI17" s="14" t="n">
        <f aca="false">IF(W17=0,0,MAX(0,MIN(AE17,AF17+AG17)-MAX(AE17-W17,AF17)))</f>
        <v>0</v>
      </c>
      <c r="AJ17" s="14" t="n">
        <f aca="false">W17-AH17-AI17</f>
        <v>0</v>
      </c>
      <c r="AK17" s="9" t="n">
        <f aca="false">IF(W17=0,0,X17*AH17/W17)</f>
        <v>0</v>
      </c>
      <c r="AL17" s="9" t="n">
        <f aca="false">IF(W17=0,0,X17*AI17/W17)</f>
        <v>0</v>
      </c>
      <c r="AM17" s="9" t="n">
        <f aca="false">X17-AK17-AL17</f>
        <v>0</v>
      </c>
    </row>
    <row r="18" customFormat="false" ht="15" hidden="false" customHeight="false" outlineLevel="0" collapsed="false">
      <c r="A18" s="6" t="n">
        <v>13</v>
      </c>
      <c r="B18" s="74" t="s">
        <v>948</v>
      </c>
      <c r="C18" s="53" t="str">
        <f aca="false">INDEX(I_Items!$C$5:$C$133,MATCH($B18,I_Items!$A$5:$A$133,0))</f>
        <v>RPA</v>
      </c>
      <c r="D18" s="53" t="str">
        <f aca="false">INDEX(I_Items!$D$5:$D$133,MATCH($B18,I_Items!$A$5:$A$133,0))</f>
        <v>Ceker</v>
      </c>
      <c r="E18" s="53" t="str">
        <f aca="false">INDEX(I_Items!$F$5:$F$133,MATCH($B18,I_Items!$A$5:$A$133,0))</f>
        <v>Fresh</v>
      </c>
      <c r="F18" s="53" t="str">
        <f aca="false">IF(INDEX(I_Items!$E$5:$E$133,MATCH($B18,I_Items!$A$5:$A$133,0))="","",INDEX(I_Items!$E$5:$E$133,MATCH($B18,I_Items!$A$5:$A$133,0)))</f>
        <v/>
      </c>
      <c r="G18" s="76" t="n">
        <v>46252</v>
      </c>
      <c r="H18" s="23" t="n">
        <f aca="false">MONTH(G18)</f>
        <v>8</v>
      </c>
      <c r="I18" s="74" t="s">
        <v>2075</v>
      </c>
      <c r="J18" s="74" t="s">
        <v>2084</v>
      </c>
      <c r="K18" s="10" t="n">
        <v>0</v>
      </c>
      <c r="L18" s="8" t="n">
        <v>0</v>
      </c>
      <c r="M18" s="10" t="n">
        <v>89.4</v>
      </c>
      <c r="N18" s="8" t="n">
        <v>1002483.74</v>
      </c>
      <c r="O18" s="74" t="s">
        <v>2077</v>
      </c>
      <c r="P18" s="74"/>
      <c r="Q18" s="74"/>
      <c r="R18" s="14" t="n">
        <f aca="false">IF(I18="Unbilled",0,M18)</f>
        <v>89.4</v>
      </c>
      <c r="S18" s="9" t="n">
        <f aca="false">IF(R18=0,0,IF(O18="Booked",N18,R18*V17))</f>
        <v>1002483.74032243</v>
      </c>
      <c r="T18" s="14" t="n">
        <f aca="false">IF(I18="Opening",K18,T17+K18-R18)</f>
        <v>1746.54</v>
      </c>
      <c r="U18" s="9" t="n">
        <f aca="false">IF(I18="Opening",L18,U17+L18-S18)</f>
        <v>19584764.5617756</v>
      </c>
      <c r="V18" s="9" t="n">
        <f aca="false">IF(T18&gt;0,U18/T18,IF(I18="Opening",0,V17))</f>
        <v>11213.4646568505</v>
      </c>
      <c r="W18" s="14" t="n">
        <f aca="false">M18</f>
        <v>89.4</v>
      </c>
      <c r="X18" s="9" t="n">
        <f aca="false">IF(W18=0,0,IF(O18="Booked",N18,W18*AA17))</f>
        <v>1002483.74032243</v>
      </c>
      <c r="Y18" s="14" t="n">
        <f aca="false">IF(I18="Opening",K18,Y17+K18-W18)</f>
        <v>1746.54</v>
      </c>
      <c r="Z18" s="9" t="n">
        <f aca="false">IF(I18="Opening",L18,Z17+L18-X18)</f>
        <v>19584764.5617756</v>
      </c>
      <c r="AA18" s="9" t="n">
        <f aca="false">IF(Y18&gt;0,Z18/Y18,IF(I18="Opening",0,AA17))</f>
        <v>11213.4646568505</v>
      </c>
      <c r="AB18" s="9" t="n">
        <f aca="false">IF(AND(I18="DO",O18="MA"),S18-N18,0)</f>
        <v>0.000322431442327797</v>
      </c>
      <c r="AC18" s="9" t="n">
        <f aca="false">IF(I18="DO",X18-S18,0)</f>
        <v>0</v>
      </c>
      <c r="AD18" s="23" t="n">
        <f aca="false">IF(B19&lt;&gt;B18,1,0)</f>
        <v>0</v>
      </c>
      <c r="AE18" s="14" t="n">
        <f aca="false">IF(I18="Opening",0,AE17+W18)</f>
        <v>820.6</v>
      </c>
      <c r="AF18" s="14" t="n">
        <f aca="false">IF(I18="Opening",K18,AF17)</f>
        <v>1416.94</v>
      </c>
      <c r="AG18" s="14" t="n">
        <f aca="false">AG17</f>
        <v>0</v>
      </c>
      <c r="AH18" s="14" t="n">
        <f aca="false">IF(W18=0,0,MAX(0,MIN(AE18,AF18)-MIN(AE18-W18,AF18)))</f>
        <v>89.4</v>
      </c>
      <c r="AI18" s="14" t="n">
        <f aca="false">IF(W18=0,0,MAX(0,MIN(AE18,AF18+AG18)-MAX(AE18-W18,AF18)))</f>
        <v>0</v>
      </c>
      <c r="AJ18" s="14" t="n">
        <f aca="false">W18-AH18-AI18</f>
        <v>0</v>
      </c>
      <c r="AK18" s="9" t="n">
        <f aca="false">IF(W18=0,0,X18*AH18/W18)</f>
        <v>1002483.74032243</v>
      </c>
      <c r="AL18" s="9" t="n">
        <f aca="false">IF(W18=0,0,X18*AI18/W18)</f>
        <v>0</v>
      </c>
      <c r="AM18" s="9" t="n">
        <f aca="false">X18-AK18-AL18</f>
        <v>0</v>
      </c>
    </row>
    <row r="19" customFormat="false" ht="15" hidden="false" customHeight="false" outlineLevel="0" collapsed="false">
      <c r="A19" s="6" t="n">
        <v>14</v>
      </c>
      <c r="B19" s="74" t="s">
        <v>948</v>
      </c>
      <c r="C19" s="53" t="str">
        <f aca="false">INDEX(I_Items!$C$5:$C$133,MATCH($B19,I_Items!$A$5:$A$133,0))</f>
        <v>RPA</v>
      </c>
      <c r="D19" s="53" t="str">
        <f aca="false">INDEX(I_Items!$D$5:$D$133,MATCH($B19,I_Items!$A$5:$A$133,0))</f>
        <v>Ceker</v>
      </c>
      <c r="E19" s="53" t="str">
        <f aca="false">INDEX(I_Items!$F$5:$F$133,MATCH($B19,I_Items!$A$5:$A$133,0))</f>
        <v>Fresh</v>
      </c>
      <c r="F19" s="53" t="str">
        <f aca="false">IF(INDEX(I_Items!$E$5:$E$133,MATCH($B19,I_Items!$A$5:$A$133,0))="","",INDEX(I_Items!$E$5:$E$133,MATCH($B19,I_Items!$A$5:$A$133,0)))</f>
        <v/>
      </c>
      <c r="G19" s="76" t="n">
        <v>46252</v>
      </c>
      <c r="H19" s="23" t="n">
        <f aca="false">MONTH(G19)</f>
        <v>8</v>
      </c>
      <c r="I19" s="74" t="s">
        <v>2075</v>
      </c>
      <c r="J19" s="74" t="s">
        <v>2085</v>
      </c>
      <c r="K19" s="10" t="n">
        <v>0</v>
      </c>
      <c r="L19" s="8" t="n">
        <v>0</v>
      </c>
      <c r="M19" s="10" t="n">
        <v>105.1</v>
      </c>
      <c r="N19" s="8" t="n">
        <v>1178535.14</v>
      </c>
      <c r="O19" s="74" t="s">
        <v>2077</v>
      </c>
      <c r="P19" s="74"/>
      <c r="Q19" s="74"/>
      <c r="R19" s="14" t="n">
        <f aca="false">IF(I19="Unbilled",0,M19)</f>
        <v>105.1</v>
      </c>
      <c r="S19" s="9" t="n">
        <f aca="false">IF(R19=0,0,IF(O19="Booked",N19,R19*V18))</f>
        <v>1178535.13543498</v>
      </c>
      <c r="T19" s="14" t="n">
        <f aca="false">IF(I19="Opening",K19,T18+K19-R19)</f>
        <v>1641.44</v>
      </c>
      <c r="U19" s="9" t="n">
        <f aca="false">IF(I19="Opening",L19,U18+L19-S19)</f>
        <v>18406229.4263406</v>
      </c>
      <c r="V19" s="9" t="n">
        <f aca="false">IF(T19&gt;0,U19/T19,IF(I19="Opening",0,V18))</f>
        <v>11213.4646568505</v>
      </c>
      <c r="W19" s="14" t="n">
        <f aca="false">M19</f>
        <v>105.1</v>
      </c>
      <c r="X19" s="9" t="n">
        <f aca="false">IF(W19=0,0,IF(O19="Booked",N19,W19*AA18))</f>
        <v>1178535.13543498</v>
      </c>
      <c r="Y19" s="14" t="n">
        <f aca="false">IF(I19="Opening",K19,Y18+K19-W19)</f>
        <v>1641.44</v>
      </c>
      <c r="Z19" s="9" t="n">
        <f aca="false">IF(I19="Opening",L19,Z18+L19-X19)</f>
        <v>18406229.4263406</v>
      </c>
      <c r="AA19" s="9" t="n">
        <f aca="false">IF(Y19&gt;0,Z19/Y19,IF(I19="Opening",0,AA18))</f>
        <v>11213.4646568505</v>
      </c>
      <c r="AB19" s="9" t="n">
        <f aca="false">IF(AND(I19="DO",O19="MA"),S19-N19,0)</f>
        <v>-0.00456501613371074</v>
      </c>
      <c r="AC19" s="9" t="n">
        <f aca="false">IF(I19="DO",X19-S19,0)</f>
        <v>0</v>
      </c>
      <c r="AD19" s="23" t="n">
        <f aca="false">IF(B20&lt;&gt;B19,1,0)</f>
        <v>0</v>
      </c>
      <c r="AE19" s="14" t="n">
        <f aca="false">IF(I19="Opening",0,AE18+W19)</f>
        <v>925.7</v>
      </c>
      <c r="AF19" s="14" t="n">
        <f aca="false">IF(I19="Opening",K19,AF18)</f>
        <v>1416.94</v>
      </c>
      <c r="AG19" s="14" t="n">
        <f aca="false">AG18</f>
        <v>0</v>
      </c>
      <c r="AH19" s="14" t="n">
        <f aca="false">IF(W19=0,0,MAX(0,MIN(AE19,AF19)-MIN(AE19-W19,AF19)))</f>
        <v>105.1</v>
      </c>
      <c r="AI19" s="14" t="n">
        <f aca="false">IF(W19=0,0,MAX(0,MIN(AE19,AF19+AG19)-MAX(AE19-W19,AF19)))</f>
        <v>0</v>
      </c>
      <c r="AJ19" s="14" t="n">
        <f aca="false">W19-AH19-AI19</f>
        <v>0</v>
      </c>
      <c r="AK19" s="9" t="n">
        <f aca="false">IF(W19=0,0,X19*AH19/W19)</f>
        <v>1178535.13543498</v>
      </c>
      <c r="AL19" s="9" t="n">
        <f aca="false">IF(W19=0,0,X19*AI19/W19)</f>
        <v>0</v>
      </c>
      <c r="AM19" s="9" t="n">
        <f aca="false">X19-AK19-AL19</f>
        <v>0</v>
      </c>
    </row>
    <row r="20" customFormat="false" ht="15" hidden="false" customHeight="false" outlineLevel="0" collapsed="false">
      <c r="A20" s="6" t="n">
        <v>15</v>
      </c>
      <c r="B20" s="74" t="s">
        <v>948</v>
      </c>
      <c r="C20" s="53" t="str">
        <f aca="false">INDEX(I_Items!$C$5:$C$133,MATCH($B20,I_Items!$A$5:$A$133,0))</f>
        <v>RPA</v>
      </c>
      <c r="D20" s="53" t="str">
        <f aca="false">INDEX(I_Items!$D$5:$D$133,MATCH($B20,I_Items!$A$5:$A$133,0))</f>
        <v>Ceker</v>
      </c>
      <c r="E20" s="53" t="str">
        <f aca="false">INDEX(I_Items!$F$5:$F$133,MATCH($B20,I_Items!$A$5:$A$133,0))</f>
        <v>Fresh</v>
      </c>
      <c r="F20" s="53" t="str">
        <f aca="false">IF(INDEX(I_Items!$E$5:$E$133,MATCH($B20,I_Items!$A$5:$A$133,0))="","",INDEX(I_Items!$E$5:$E$133,MATCH($B20,I_Items!$A$5:$A$133,0)))</f>
        <v/>
      </c>
      <c r="G20" s="76" t="n">
        <v>46252</v>
      </c>
      <c r="H20" s="23" t="n">
        <f aca="false">MONTH(G20)</f>
        <v>8</v>
      </c>
      <c r="I20" s="74" t="s">
        <v>2075</v>
      </c>
      <c r="J20" s="74" t="s">
        <v>2086</v>
      </c>
      <c r="K20" s="10" t="n">
        <v>0</v>
      </c>
      <c r="L20" s="8" t="n">
        <v>0</v>
      </c>
      <c r="M20" s="10" t="n">
        <v>109</v>
      </c>
      <c r="N20" s="8" t="n">
        <v>1222267.65</v>
      </c>
      <c r="O20" s="74" t="s">
        <v>2077</v>
      </c>
      <c r="P20" s="74"/>
      <c r="Q20" s="74"/>
      <c r="R20" s="14" t="n">
        <f aca="false">IF(I20="Unbilled",0,M20)</f>
        <v>109</v>
      </c>
      <c r="S20" s="9" t="n">
        <f aca="false">IF(R20=0,0,IF(O20="Booked",N20,R20*V19))</f>
        <v>1222267.6475967</v>
      </c>
      <c r="T20" s="14" t="n">
        <f aca="false">IF(I20="Opening",K20,T19+K20-R20)</f>
        <v>1532.44</v>
      </c>
      <c r="U20" s="9" t="n">
        <f aca="false">IF(I20="Opening",L20,U19+L20-S20)</f>
        <v>17183961.7787439</v>
      </c>
      <c r="V20" s="9" t="n">
        <f aca="false">IF(T20&gt;0,U20/T20,IF(I20="Opening",0,V19))</f>
        <v>11213.4646568505</v>
      </c>
      <c r="W20" s="14" t="n">
        <f aca="false">M20</f>
        <v>109</v>
      </c>
      <c r="X20" s="9" t="n">
        <f aca="false">IF(W20=0,0,IF(O20="Booked",N20,W20*AA19))</f>
        <v>1222267.6475967</v>
      </c>
      <c r="Y20" s="14" t="n">
        <f aca="false">IF(I20="Opening",K20,Y19+K20-W20)</f>
        <v>1532.44</v>
      </c>
      <c r="Z20" s="9" t="n">
        <f aca="false">IF(I20="Opening",L20,Z19+L20-X20)</f>
        <v>17183961.7787439</v>
      </c>
      <c r="AA20" s="9" t="n">
        <f aca="false">IF(Y20&gt;0,Z20/Y20,IF(I20="Opening",0,AA19))</f>
        <v>11213.4646568505</v>
      </c>
      <c r="AB20" s="9" t="n">
        <f aca="false">IF(AND(I20="DO",O20="MA"),S20-N20,0)</f>
        <v>-0.00240329932421446</v>
      </c>
      <c r="AC20" s="9" t="n">
        <f aca="false">IF(I20="DO",X20-S20,0)</f>
        <v>0</v>
      </c>
      <c r="AD20" s="23" t="n">
        <f aca="false">IF(B21&lt;&gt;B20,1,0)</f>
        <v>0</v>
      </c>
      <c r="AE20" s="14" t="n">
        <f aca="false">IF(I20="Opening",0,AE19+W20)</f>
        <v>1034.7</v>
      </c>
      <c r="AF20" s="14" t="n">
        <f aca="false">IF(I20="Opening",K20,AF19)</f>
        <v>1416.94</v>
      </c>
      <c r="AG20" s="14" t="n">
        <f aca="false">AG19</f>
        <v>0</v>
      </c>
      <c r="AH20" s="14" t="n">
        <f aca="false">IF(W20=0,0,MAX(0,MIN(AE20,AF20)-MIN(AE20-W20,AF20)))</f>
        <v>109</v>
      </c>
      <c r="AI20" s="14" t="n">
        <f aca="false">IF(W20=0,0,MAX(0,MIN(AE20,AF20+AG20)-MAX(AE20-W20,AF20)))</f>
        <v>0</v>
      </c>
      <c r="AJ20" s="14" t="n">
        <f aca="false">W20-AH20-AI20</f>
        <v>0</v>
      </c>
      <c r="AK20" s="9" t="n">
        <f aca="false">IF(W20=0,0,X20*AH20/W20)</f>
        <v>1222267.6475967</v>
      </c>
      <c r="AL20" s="9" t="n">
        <f aca="false">IF(W20=0,0,X20*AI20/W20)</f>
        <v>0</v>
      </c>
      <c r="AM20" s="9" t="n">
        <f aca="false">X20-AK20-AL20</f>
        <v>0</v>
      </c>
    </row>
    <row r="21" customFormat="false" ht="15" hidden="false" customHeight="false" outlineLevel="0" collapsed="false">
      <c r="A21" s="6" t="n">
        <v>16</v>
      </c>
      <c r="B21" s="74" t="s">
        <v>948</v>
      </c>
      <c r="C21" s="53" t="str">
        <f aca="false">INDEX(I_Items!$C$5:$C$133,MATCH($B21,I_Items!$A$5:$A$133,0))</f>
        <v>RPA</v>
      </c>
      <c r="D21" s="53" t="str">
        <f aca="false">INDEX(I_Items!$D$5:$D$133,MATCH($B21,I_Items!$A$5:$A$133,0))</f>
        <v>Ceker</v>
      </c>
      <c r="E21" s="53" t="str">
        <f aca="false">INDEX(I_Items!$F$5:$F$133,MATCH($B21,I_Items!$A$5:$A$133,0))</f>
        <v>Fresh</v>
      </c>
      <c r="F21" s="53" t="str">
        <f aca="false">IF(INDEX(I_Items!$E$5:$E$133,MATCH($B21,I_Items!$A$5:$A$133,0))="","",INDEX(I_Items!$E$5:$E$133,MATCH($B21,I_Items!$A$5:$A$133,0)))</f>
        <v/>
      </c>
      <c r="G21" s="76" t="n">
        <v>46252</v>
      </c>
      <c r="H21" s="23" t="n">
        <f aca="false">MONTH(G21)</f>
        <v>8</v>
      </c>
      <c r="I21" s="74" t="s">
        <v>2075</v>
      </c>
      <c r="J21" s="74" t="s">
        <v>2087</v>
      </c>
      <c r="K21" s="10" t="n">
        <v>0</v>
      </c>
      <c r="L21" s="8" t="n">
        <v>0</v>
      </c>
      <c r="M21" s="10" t="n">
        <v>110.3</v>
      </c>
      <c r="N21" s="8" t="n">
        <v>1236845.16</v>
      </c>
      <c r="O21" s="74" t="s">
        <v>2077</v>
      </c>
      <c r="P21" s="74"/>
      <c r="Q21" s="74"/>
      <c r="R21" s="14" t="n">
        <f aca="false">IF(I21="Unbilled",0,M21)</f>
        <v>110.3</v>
      </c>
      <c r="S21" s="9" t="n">
        <f aca="false">IF(R21=0,0,IF(O21="Booked",N21,R21*V20))</f>
        <v>1236845.15165061</v>
      </c>
      <c r="T21" s="14" t="n">
        <f aca="false">IF(I21="Opening",K21,T20+K21-R21)</f>
        <v>1422.14</v>
      </c>
      <c r="U21" s="9" t="n">
        <f aca="false">IF(I21="Opening",L21,U20+L21-S21)</f>
        <v>15947116.6270933</v>
      </c>
      <c r="V21" s="9" t="n">
        <f aca="false">IF(T21&gt;0,U21/T21,IF(I21="Opening",0,V20))</f>
        <v>11213.4646568505</v>
      </c>
      <c r="W21" s="14" t="n">
        <f aca="false">M21</f>
        <v>110.3</v>
      </c>
      <c r="X21" s="9" t="n">
        <f aca="false">IF(W21=0,0,IF(O21="Booked",N21,W21*AA20))</f>
        <v>1236845.15165061</v>
      </c>
      <c r="Y21" s="14" t="n">
        <f aca="false">IF(I21="Opening",K21,Y20+K21-W21)</f>
        <v>1422.14</v>
      </c>
      <c r="Z21" s="9" t="n">
        <f aca="false">IF(I21="Opening",L21,Z20+L21-X21)</f>
        <v>15947116.6270933</v>
      </c>
      <c r="AA21" s="9" t="n">
        <f aca="false">IF(Y21&gt;0,Z21/Y21,IF(I21="Opening",0,AA20))</f>
        <v>11213.4646568505</v>
      </c>
      <c r="AB21" s="9" t="n">
        <f aca="false">IF(AND(I21="DO",O21="MA"),S21-N21,0)</f>
        <v>-0.00834939396008849</v>
      </c>
      <c r="AC21" s="9" t="n">
        <f aca="false">IF(I21="DO",X21-S21,0)</f>
        <v>0</v>
      </c>
      <c r="AD21" s="23" t="n">
        <f aca="false">IF(B22&lt;&gt;B21,1,0)</f>
        <v>0</v>
      </c>
      <c r="AE21" s="14" t="n">
        <f aca="false">IF(I21="Opening",0,AE20+W21)</f>
        <v>1145</v>
      </c>
      <c r="AF21" s="14" t="n">
        <f aca="false">IF(I21="Opening",K21,AF20)</f>
        <v>1416.94</v>
      </c>
      <c r="AG21" s="14" t="n">
        <f aca="false">AG20</f>
        <v>0</v>
      </c>
      <c r="AH21" s="14" t="n">
        <f aca="false">IF(W21=0,0,MAX(0,MIN(AE21,AF21)-MIN(AE21-W21,AF21)))</f>
        <v>110.3</v>
      </c>
      <c r="AI21" s="14" t="n">
        <f aca="false">IF(W21=0,0,MAX(0,MIN(AE21,AF21+AG21)-MAX(AE21-W21,AF21)))</f>
        <v>0</v>
      </c>
      <c r="AJ21" s="14" t="n">
        <f aca="false">W21-AH21-AI21</f>
        <v>0</v>
      </c>
      <c r="AK21" s="9" t="n">
        <f aca="false">IF(W21=0,0,X21*AH21/W21)</f>
        <v>1236845.15165061</v>
      </c>
      <c r="AL21" s="9" t="n">
        <f aca="false">IF(W21=0,0,X21*AI21/W21)</f>
        <v>0</v>
      </c>
      <c r="AM21" s="9" t="n">
        <f aca="false">X21-AK21-AL21</f>
        <v>0</v>
      </c>
    </row>
    <row r="22" customFormat="false" ht="15" hidden="false" customHeight="false" outlineLevel="0" collapsed="false">
      <c r="A22" s="6" t="n">
        <v>17</v>
      </c>
      <c r="B22" s="74" t="s">
        <v>948</v>
      </c>
      <c r="C22" s="53" t="str">
        <f aca="false">INDEX(I_Items!$C$5:$C$133,MATCH($B22,I_Items!$A$5:$A$133,0))</f>
        <v>RPA</v>
      </c>
      <c r="D22" s="53" t="str">
        <f aca="false">INDEX(I_Items!$D$5:$D$133,MATCH($B22,I_Items!$A$5:$A$133,0))</f>
        <v>Ceker</v>
      </c>
      <c r="E22" s="53" t="str">
        <f aca="false">INDEX(I_Items!$F$5:$F$133,MATCH($B22,I_Items!$A$5:$A$133,0))</f>
        <v>Fresh</v>
      </c>
      <c r="F22" s="53" t="str">
        <f aca="false">IF(INDEX(I_Items!$E$5:$E$133,MATCH($B22,I_Items!$A$5:$A$133,0))="","",INDEX(I_Items!$E$5:$E$133,MATCH($B22,I_Items!$A$5:$A$133,0)))</f>
        <v/>
      </c>
      <c r="G22" s="76" t="n">
        <v>46253</v>
      </c>
      <c r="H22" s="23" t="n">
        <f aca="false">MONTH(G22)</f>
        <v>8</v>
      </c>
      <c r="I22" s="74" t="s">
        <v>2074</v>
      </c>
      <c r="J22" s="74" t="s">
        <v>1305</v>
      </c>
      <c r="K22" s="10" t="n">
        <v>480.5</v>
      </c>
      <c r="L22" s="8" t="n">
        <v>8803153.58</v>
      </c>
      <c r="M22" s="10" t="n">
        <v>0</v>
      </c>
      <c r="N22" s="8" t="n">
        <v>0</v>
      </c>
      <c r="O22" s="74"/>
      <c r="P22" s="74"/>
      <c r="Q22" s="74"/>
      <c r="R22" s="14" t="n">
        <f aca="false">IF(I22="Unbilled",0,M22)</f>
        <v>0</v>
      </c>
      <c r="S22" s="9" t="n">
        <f aca="false">IF(R22=0,0,IF(O22="Booked",N22,R22*V21))</f>
        <v>0</v>
      </c>
      <c r="T22" s="14" t="n">
        <f aca="false">IF(I22="Opening",K22,T21+K22-R22)</f>
        <v>1902.64</v>
      </c>
      <c r="U22" s="9" t="n">
        <f aca="false">IF(I22="Opening",L22,U21+L22-S22)</f>
        <v>24750270.2070933</v>
      </c>
      <c r="V22" s="9" t="n">
        <f aca="false">IF(T22&gt;0,U22/T22,IF(I22="Opening",0,V21))</f>
        <v>13008.3831976061</v>
      </c>
      <c r="W22" s="14" t="n">
        <f aca="false">M22</f>
        <v>0</v>
      </c>
      <c r="X22" s="9" t="n">
        <f aca="false">IF(W22=0,0,IF(O22="Booked",N22,W22*AA21))</f>
        <v>0</v>
      </c>
      <c r="Y22" s="14" t="n">
        <f aca="false">IF(I22="Opening",K22,Y21+K22-W22)</f>
        <v>1902.64</v>
      </c>
      <c r="Z22" s="9" t="n">
        <f aca="false">IF(I22="Opening",L22,Z21+L22-X22)</f>
        <v>24750270.2070933</v>
      </c>
      <c r="AA22" s="9" t="n">
        <f aca="false">IF(Y22&gt;0,Z22/Y22,IF(I22="Opening",0,AA21))</f>
        <v>13008.3831976061</v>
      </c>
      <c r="AB22" s="9" t="n">
        <f aca="false">IF(AND(I22="DO",O22="MA"),S22-N22,0)</f>
        <v>0</v>
      </c>
      <c r="AC22" s="9" t="n">
        <f aca="false">IF(I22="DO",X22-S22,0)</f>
        <v>0</v>
      </c>
      <c r="AD22" s="23" t="n">
        <f aca="false">IF(B23&lt;&gt;B22,1,0)</f>
        <v>0</v>
      </c>
      <c r="AE22" s="14" t="n">
        <f aca="false">IF(I22="Opening",0,AE21+W22)</f>
        <v>1145</v>
      </c>
      <c r="AF22" s="14" t="n">
        <f aca="false">IF(I22="Opening",K22,AF21)</f>
        <v>1416.94</v>
      </c>
      <c r="AG22" s="14" t="n">
        <f aca="false">AG21</f>
        <v>0</v>
      </c>
      <c r="AH22" s="14" t="n">
        <f aca="false">IF(W22=0,0,MAX(0,MIN(AE22,AF22)-MIN(AE22-W22,AF22)))</f>
        <v>0</v>
      </c>
      <c r="AI22" s="14" t="n">
        <f aca="false">IF(W22=0,0,MAX(0,MIN(AE22,AF22+AG22)-MAX(AE22-W22,AF22)))</f>
        <v>0</v>
      </c>
      <c r="AJ22" s="14" t="n">
        <f aca="false">W22-AH22-AI22</f>
        <v>0</v>
      </c>
      <c r="AK22" s="9" t="n">
        <f aca="false">IF(W22=0,0,X22*AH22/W22)</f>
        <v>0</v>
      </c>
      <c r="AL22" s="9" t="n">
        <f aca="false">IF(W22=0,0,X22*AI22/W22)</f>
        <v>0</v>
      </c>
      <c r="AM22" s="9" t="n">
        <f aca="false">X22-AK22-AL22</f>
        <v>0</v>
      </c>
    </row>
    <row r="23" customFormat="false" ht="15" hidden="false" customHeight="false" outlineLevel="0" collapsed="false">
      <c r="A23" s="6" t="n">
        <v>18</v>
      </c>
      <c r="B23" s="74" t="s">
        <v>948</v>
      </c>
      <c r="C23" s="53" t="str">
        <f aca="false">INDEX(I_Items!$C$5:$C$133,MATCH($B23,I_Items!$A$5:$A$133,0))</f>
        <v>RPA</v>
      </c>
      <c r="D23" s="53" t="str">
        <f aca="false">INDEX(I_Items!$D$5:$D$133,MATCH($B23,I_Items!$A$5:$A$133,0))</f>
        <v>Ceker</v>
      </c>
      <c r="E23" s="53" t="str">
        <f aca="false">INDEX(I_Items!$F$5:$F$133,MATCH($B23,I_Items!$A$5:$A$133,0))</f>
        <v>Fresh</v>
      </c>
      <c r="F23" s="53" t="str">
        <f aca="false">IF(INDEX(I_Items!$E$5:$E$133,MATCH($B23,I_Items!$A$5:$A$133,0))="","",INDEX(I_Items!$E$5:$E$133,MATCH($B23,I_Items!$A$5:$A$133,0)))</f>
        <v/>
      </c>
      <c r="G23" s="76" t="n">
        <v>46254</v>
      </c>
      <c r="H23" s="23" t="n">
        <f aca="false">MONTH(G23)</f>
        <v>8</v>
      </c>
      <c r="I23" s="74" t="s">
        <v>2074</v>
      </c>
      <c r="J23" s="74" t="s">
        <v>1308</v>
      </c>
      <c r="K23" s="10" t="n">
        <v>228.9</v>
      </c>
      <c r="L23" s="8" t="n">
        <v>4203053.22</v>
      </c>
      <c r="M23" s="10" t="n">
        <v>0</v>
      </c>
      <c r="N23" s="8" t="n">
        <v>0</v>
      </c>
      <c r="O23" s="74"/>
      <c r="P23" s="74"/>
      <c r="Q23" s="74"/>
      <c r="R23" s="14" t="n">
        <f aca="false">IF(I23="Unbilled",0,M23)</f>
        <v>0</v>
      </c>
      <c r="S23" s="9" t="n">
        <f aca="false">IF(R23=0,0,IF(O23="Booked",N23,R23*V22))</f>
        <v>0</v>
      </c>
      <c r="T23" s="14" t="n">
        <f aca="false">IF(I23="Opening",K23,T22+K23-R23)</f>
        <v>2131.54</v>
      </c>
      <c r="U23" s="9" t="n">
        <f aca="false">IF(I23="Opening",L23,U22+L23-S23)</f>
        <v>28953323.4270933</v>
      </c>
      <c r="V23" s="9" t="n">
        <f aca="false">IF(T23&gt;0,U23/T23,IF(I23="Opening",0,V22))</f>
        <v>13583.2888086047</v>
      </c>
      <c r="W23" s="14" t="n">
        <f aca="false">M23</f>
        <v>0</v>
      </c>
      <c r="X23" s="9" t="n">
        <f aca="false">IF(W23=0,0,IF(O23="Booked",N23,W23*AA22))</f>
        <v>0</v>
      </c>
      <c r="Y23" s="14" t="n">
        <f aca="false">IF(I23="Opening",K23,Y22+K23-W23)</f>
        <v>2131.54</v>
      </c>
      <c r="Z23" s="9" t="n">
        <f aca="false">IF(I23="Opening",L23,Z22+L23-X23)</f>
        <v>28953323.4270933</v>
      </c>
      <c r="AA23" s="9" t="n">
        <f aca="false">IF(Y23&gt;0,Z23/Y23,IF(I23="Opening",0,AA22))</f>
        <v>13583.2888086047</v>
      </c>
      <c r="AB23" s="9" t="n">
        <f aca="false">IF(AND(I23="DO",O23="MA"),S23-N23,0)</f>
        <v>0</v>
      </c>
      <c r="AC23" s="9" t="n">
        <f aca="false">IF(I23="DO",X23-S23,0)</f>
        <v>0</v>
      </c>
      <c r="AD23" s="23" t="n">
        <f aca="false">IF(B24&lt;&gt;B23,1,0)</f>
        <v>0</v>
      </c>
      <c r="AE23" s="14" t="n">
        <f aca="false">IF(I23="Opening",0,AE22+W23)</f>
        <v>1145</v>
      </c>
      <c r="AF23" s="14" t="n">
        <f aca="false">IF(I23="Opening",K23,AF22)</f>
        <v>1416.94</v>
      </c>
      <c r="AG23" s="14" t="n">
        <f aca="false">AG22</f>
        <v>0</v>
      </c>
      <c r="AH23" s="14" t="n">
        <f aca="false">IF(W23=0,0,MAX(0,MIN(AE23,AF23)-MIN(AE23-W23,AF23)))</f>
        <v>0</v>
      </c>
      <c r="AI23" s="14" t="n">
        <f aca="false">IF(W23=0,0,MAX(0,MIN(AE23,AF23+AG23)-MAX(AE23-W23,AF23)))</f>
        <v>0</v>
      </c>
      <c r="AJ23" s="14" t="n">
        <f aca="false">W23-AH23-AI23</f>
        <v>0</v>
      </c>
      <c r="AK23" s="9" t="n">
        <f aca="false">IF(W23=0,0,X23*AH23/W23)</f>
        <v>0</v>
      </c>
      <c r="AL23" s="9" t="n">
        <f aca="false">IF(W23=0,0,X23*AI23/W23)</f>
        <v>0</v>
      </c>
      <c r="AM23" s="9" t="n">
        <f aca="false">X23-AK23-AL23</f>
        <v>0</v>
      </c>
    </row>
    <row r="24" customFormat="false" ht="15" hidden="false" customHeight="false" outlineLevel="0" collapsed="false">
      <c r="A24" s="6" t="n">
        <v>19</v>
      </c>
      <c r="B24" s="74" t="s">
        <v>948</v>
      </c>
      <c r="C24" s="53" t="str">
        <f aca="false">INDEX(I_Items!$C$5:$C$133,MATCH($B24,I_Items!$A$5:$A$133,0))</f>
        <v>RPA</v>
      </c>
      <c r="D24" s="53" t="str">
        <f aca="false">INDEX(I_Items!$D$5:$D$133,MATCH($B24,I_Items!$A$5:$A$133,0))</f>
        <v>Ceker</v>
      </c>
      <c r="E24" s="53" t="str">
        <f aca="false">INDEX(I_Items!$F$5:$F$133,MATCH($B24,I_Items!$A$5:$A$133,0))</f>
        <v>Fresh</v>
      </c>
      <c r="F24" s="53" t="str">
        <f aca="false">IF(INDEX(I_Items!$E$5:$E$133,MATCH($B24,I_Items!$A$5:$A$133,0))="","",INDEX(I_Items!$E$5:$E$133,MATCH($B24,I_Items!$A$5:$A$133,0)))</f>
        <v/>
      </c>
      <c r="G24" s="76" t="n">
        <v>46255</v>
      </c>
      <c r="H24" s="23" t="n">
        <f aca="false">MONTH(G24)</f>
        <v>8</v>
      </c>
      <c r="I24" s="74" t="s">
        <v>2075</v>
      </c>
      <c r="J24" s="74" t="s">
        <v>2088</v>
      </c>
      <c r="K24" s="10" t="n">
        <v>0</v>
      </c>
      <c r="L24" s="8" t="n">
        <v>0</v>
      </c>
      <c r="M24" s="10" t="n">
        <v>118.7</v>
      </c>
      <c r="N24" s="8" t="n">
        <v>1612336.38</v>
      </c>
      <c r="O24" s="74" t="s">
        <v>2077</v>
      </c>
      <c r="P24" s="74"/>
      <c r="Q24" s="74"/>
      <c r="R24" s="14" t="n">
        <f aca="false">IF(I24="Unbilled",0,M24)</f>
        <v>118.7</v>
      </c>
      <c r="S24" s="9" t="n">
        <f aca="false">IF(R24=0,0,IF(O24="Booked",N24,R24*V23))</f>
        <v>1612336.38158138</v>
      </c>
      <c r="T24" s="14" t="n">
        <f aca="false">IF(I24="Opening",K24,T23+K24-R24)</f>
        <v>2012.84</v>
      </c>
      <c r="U24" s="9" t="n">
        <f aca="false">IF(I24="Opening",L24,U23+L24-S24)</f>
        <v>27340987.0455119</v>
      </c>
      <c r="V24" s="9" t="n">
        <f aca="false">IF(T24&gt;0,U24/T24,IF(I24="Opening",0,V23))</f>
        <v>13583.2888086047</v>
      </c>
      <c r="W24" s="14" t="n">
        <f aca="false">M24</f>
        <v>118.7</v>
      </c>
      <c r="X24" s="9" t="n">
        <f aca="false">IF(W24=0,0,IF(O24="Booked",N24,W24*AA23))</f>
        <v>1612336.38158138</v>
      </c>
      <c r="Y24" s="14" t="n">
        <f aca="false">IF(I24="Opening",K24,Y23+K24-W24)</f>
        <v>2012.84</v>
      </c>
      <c r="Z24" s="9" t="n">
        <f aca="false">IF(I24="Opening",L24,Z23+L24-X24)</f>
        <v>27340987.0455119</v>
      </c>
      <c r="AA24" s="9" t="n">
        <f aca="false">IF(Y24&gt;0,Z24/Y24,IF(I24="Opening",0,AA23))</f>
        <v>13583.2888086047</v>
      </c>
      <c r="AB24" s="9" t="n">
        <f aca="false">IF(AND(I24="DO",O24="MA"),S24-N24,0)</f>
        <v>0.00158138107508421</v>
      </c>
      <c r="AC24" s="9" t="n">
        <f aca="false">IF(I24="DO",X24-S24,0)</f>
        <v>0</v>
      </c>
      <c r="AD24" s="23" t="n">
        <f aca="false">IF(B25&lt;&gt;B24,1,0)</f>
        <v>0</v>
      </c>
      <c r="AE24" s="14" t="n">
        <f aca="false">IF(I24="Opening",0,AE23+W24)</f>
        <v>1263.7</v>
      </c>
      <c r="AF24" s="14" t="n">
        <f aca="false">IF(I24="Opening",K24,AF23)</f>
        <v>1416.94</v>
      </c>
      <c r="AG24" s="14" t="n">
        <f aca="false">AG23</f>
        <v>0</v>
      </c>
      <c r="AH24" s="14" t="n">
        <f aca="false">IF(W24=0,0,MAX(0,MIN(AE24,AF24)-MIN(AE24-W24,AF24)))</f>
        <v>118.7</v>
      </c>
      <c r="AI24" s="14" t="n">
        <f aca="false">IF(W24=0,0,MAX(0,MIN(AE24,AF24+AG24)-MAX(AE24-W24,AF24)))</f>
        <v>0</v>
      </c>
      <c r="AJ24" s="14" t="n">
        <f aca="false">W24-AH24-AI24</f>
        <v>0</v>
      </c>
      <c r="AK24" s="9" t="n">
        <f aca="false">IF(W24=0,0,X24*AH24/W24)</f>
        <v>1612336.38158138</v>
      </c>
      <c r="AL24" s="9" t="n">
        <f aca="false">IF(W24=0,0,X24*AI24/W24)</f>
        <v>0</v>
      </c>
      <c r="AM24" s="9" t="n">
        <f aca="false">X24-AK24-AL24</f>
        <v>0</v>
      </c>
    </row>
    <row r="25" customFormat="false" ht="15" hidden="false" customHeight="false" outlineLevel="0" collapsed="false">
      <c r="A25" s="6" t="n">
        <v>20</v>
      </c>
      <c r="B25" s="74" t="s">
        <v>948</v>
      </c>
      <c r="C25" s="53" t="str">
        <f aca="false">INDEX(I_Items!$C$5:$C$133,MATCH($B25,I_Items!$A$5:$A$133,0))</f>
        <v>RPA</v>
      </c>
      <c r="D25" s="53" t="str">
        <f aca="false">INDEX(I_Items!$D$5:$D$133,MATCH($B25,I_Items!$A$5:$A$133,0))</f>
        <v>Ceker</v>
      </c>
      <c r="E25" s="53" t="str">
        <f aca="false">INDEX(I_Items!$F$5:$F$133,MATCH($B25,I_Items!$A$5:$A$133,0))</f>
        <v>Fresh</v>
      </c>
      <c r="F25" s="53" t="str">
        <f aca="false">IF(INDEX(I_Items!$E$5:$E$133,MATCH($B25,I_Items!$A$5:$A$133,0))="","",INDEX(I_Items!$E$5:$E$133,MATCH($B25,I_Items!$A$5:$A$133,0)))</f>
        <v/>
      </c>
      <c r="G25" s="76" t="n">
        <v>46255</v>
      </c>
      <c r="H25" s="23" t="n">
        <f aca="false">MONTH(G25)</f>
        <v>8</v>
      </c>
      <c r="I25" s="74" t="s">
        <v>2075</v>
      </c>
      <c r="J25" s="74" t="s">
        <v>2089</v>
      </c>
      <c r="K25" s="10" t="n">
        <v>0</v>
      </c>
      <c r="L25" s="8" t="n">
        <v>0</v>
      </c>
      <c r="M25" s="10" t="n">
        <v>131.3</v>
      </c>
      <c r="N25" s="8" t="n">
        <v>1783485.82</v>
      </c>
      <c r="O25" s="74" t="s">
        <v>2077</v>
      </c>
      <c r="P25" s="74"/>
      <c r="Q25" s="74"/>
      <c r="R25" s="14" t="n">
        <f aca="false">IF(I25="Unbilled",0,M25)</f>
        <v>131.3</v>
      </c>
      <c r="S25" s="9" t="n">
        <f aca="false">IF(R25=0,0,IF(O25="Booked",N25,R25*V24))</f>
        <v>1783485.8205698</v>
      </c>
      <c r="T25" s="14" t="n">
        <f aca="false">IF(I25="Opening",K25,T24+K25-R25)</f>
        <v>1881.54</v>
      </c>
      <c r="U25" s="9" t="n">
        <f aca="false">IF(I25="Opening",L25,U24+L25-S25)</f>
        <v>25557501.2249421</v>
      </c>
      <c r="V25" s="9" t="n">
        <f aca="false">IF(T25&gt;0,U25/T25,IF(I25="Opening",0,V24))</f>
        <v>13583.2888086047</v>
      </c>
      <c r="W25" s="14" t="n">
        <f aca="false">M25</f>
        <v>131.3</v>
      </c>
      <c r="X25" s="9" t="n">
        <f aca="false">IF(W25=0,0,IF(O25="Booked",N25,W25*AA24))</f>
        <v>1783485.8205698</v>
      </c>
      <c r="Y25" s="14" t="n">
        <f aca="false">IF(I25="Opening",K25,Y24+K25-W25)</f>
        <v>1881.54</v>
      </c>
      <c r="Z25" s="9" t="n">
        <f aca="false">IF(I25="Opening",L25,Z24+L25-X25)</f>
        <v>25557501.2249421</v>
      </c>
      <c r="AA25" s="9" t="n">
        <f aca="false">IF(Y25&gt;0,Z25/Y25,IF(I25="Opening",0,AA24))</f>
        <v>13583.2888086047</v>
      </c>
      <c r="AB25" s="9" t="n">
        <f aca="false">IF(AND(I25="DO",O25="MA"),S25-N25,0)</f>
        <v>0.000569800613448024</v>
      </c>
      <c r="AC25" s="9" t="n">
        <f aca="false">IF(I25="DO",X25-S25,0)</f>
        <v>0</v>
      </c>
      <c r="AD25" s="23" t="n">
        <f aca="false">IF(B26&lt;&gt;B25,1,0)</f>
        <v>0</v>
      </c>
      <c r="AE25" s="14" t="n">
        <f aca="false">IF(I25="Opening",0,AE24+W25)</f>
        <v>1395</v>
      </c>
      <c r="AF25" s="14" t="n">
        <f aca="false">IF(I25="Opening",K25,AF24)</f>
        <v>1416.94</v>
      </c>
      <c r="AG25" s="14" t="n">
        <f aca="false">AG24</f>
        <v>0</v>
      </c>
      <c r="AH25" s="14" t="n">
        <f aca="false">IF(W25=0,0,MAX(0,MIN(AE25,AF25)-MIN(AE25-W25,AF25)))</f>
        <v>131.3</v>
      </c>
      <c r="AI25" s="14" t="n">
        <f aca="false">IF(W25=0,0,MAX(0,MIN(AE25,AF25+AG25)-MAX(AE25-W25,AF25)))</f>
        <v>0</v>
      </c>
      <c r="AJ25" s="14" t="n">
        <f aca="false">W25-AH25-AI25</f>
        <v>0</v>
      </c>
      <c r="AK25" s="9" t="n">
        <f aca="false">IF(W25=0,0,X25*AH25/W25)</f>
        <v>1783485.8205698</v>
      </c>
      <c r="AL25" s="9" t="n">
        <f aca="false">IF(W25=0,0,X25*AI25/W25)</f>
        <v>0</v>
      </c>
      <c r="AM25" s="9" t="n">
        <f aca="false">X25-AK25-AL25</f>
        <v>0</v>
      </c>
    </row>
    <row r="26" customFormat="false" ht="15" hidden="false" customHeight="false" outlineLevel="0" collapsed="false">
      <c r="A26" s="6" t="n">
        <v>21</v>
      </c>
      <c r="B26" s="74" t="s">
        <v>948</v>
      </c>
      <c r="C26" s="53" t="str">
        <f aca="false">INDEX(I_Items!$C$5:$C$133,MATCH($B26,I_Items!$A$5:$A$133,0))</f>
        <v>RPA</v>
      </c>
      <c r="D26" s="53" t="str">
        <f aca="false">INDEX(I_Items!$D$5:$D$133,MATCH($B26,I_Items!$A$5:$A$133,0))</f>
        <v>Ceker</v>
      </c>
      <c r="E26" s="53" t="str">
        <f aca="false">INDEX(I_Items!$F$5:$F$133,MATCH($B26,I_Items!$A$5:$A$133,0))</f>
        <v>Fresh</v>
      </c>
      <c r="F26" s="53" t="str">
        <f aca="false">IF(INDEX(I_Items!$E$5:$E$133,MATCH($B26,I_Items!$A$5:$A$133,0))="","",INDEX(I_Items!$E$5:$E$133,MATCH($B26,I_Items!$A$5:$A$133,0)))</f>
        <v/>
      </c>
      <c r="G26" s="76" t="n">
        <v>46255</v>
      </c>
      <c r="H26" s="23" t="n">
        <f aca="false">MONTH(G26)</f>
        <v>8</v>
      </c>
      <c r="I26" s="74" t="s">
        <v>2075</v>
      </c>
      <c r="J26" s="74" t="s">
        <v>2090</v>
      </c>
      <c r="K26" s="10" t="n">
        <v>0</v>
      </c>
      <c r="L26" s="8" t="n">
        <v>0</v>
      </c>
      <c r="M26" s="10" t="n">
        <v>124.1</v>
      </c>
      <c r="N26" s="8" t="n">
        <v>1685686.14</v>
      </c>
      <c r="O26" s="74" t="s">
        <v>2077</v>
      </c>
      <c r="P26" s="74"/>
      <c r="Q26" s="74"/>
      <c r="R26" s="14" t="n">
        <f aca="false">IF(I26="Unbilled",0,M26)</f>
        <v>124.1</v>
      </c>
      <c r="S26" s="9" t="n">
        <f aca="false">IF(R26=0,0,IF(O26="Booked",N26,R26*V25))</f>
        <v>1685686.14114785</v>
      </c>
      <c r="T26" s="14" t="n">
        <f aca="false">IF(I26="Opening",K26,T25+K26-R26)</f>
        <v>1757.44</v>
      </c>
      <c r="U26" s="9" t="n">
        <f aca="false">IF(I26="Opening",L26,U25+L26-S26)</f>
        <v>23871815.0837943</v>
      </c>
      <c r="V26" s="9" t="n">
        <f aca="false">IF(T26&gt;0,U26/T26,IF(I26="Opening",0,V25))</f>
        <v>13583.2888086047</v>
      </c>
      <c r="W26" s="14" t="n">
        <f aca="false">M26</f>
        <v>124.1</v>
      </c>
      <c r="X26" s="9" t="n">
        <f aca="false">IF(W26=0,0,IF(O26="Booked",N26,W26*AA25))</f>
        <v>1685686.14114785</v>
      </c>
      <c r="Y26" s="14" t="n">
        <f aca="false">IF(I26="Opening",K26,Y25+K26-W26)</f>
        <v>1757.44</v>
      </c>
      <c r="Z26" s="9" t="n">
        <f aca="false">IF(I26="Opening",L26,Z25+L26-X26)</f>
        <v>23871815.0837943</v>
      </c>
      <c r="AA26" s="9" t="n">
        <f aca="false">IF(Y26&gt;0,Z26/Y26,IF(I26="Opening",0,AA25))</f>
        <v>13583.2888086047</v>
      </c>
      <c r="AB26" s="9" t="n">
        <f aca="false">IF(AND(I26="DO",O26="MA"),S26-N26,0)</f>
        <v>0.00114784622564912</v>
      </c>
      <c r="AC26" s="9" t="n">
        <f aca="false">IF(I26="DO",X26-S26,0)</f>
        <v>0</v>
      </c>
      <c r="AD26" s="23" t="n">
        <f aca="false">IF(B27&lt;&gt;B26,1,0)</f>
        <v>0</v>
      </c>
      <c r="AE26" s="14" t="n">
        <f aca="false">IF(I26="Opening",0,AE25+W26)</f>
        <v>1519.1</v>
      </c>
      <c r="AF26" s="14" t="n">
        <f aca="false">IF(I26="Opening",K26,AF25)</f>
        <v>1416.94</v>
      </c>
      <c r="AG26" s="14" t="n">
        <f aca="false">AG25</f>
        <v>0</v>
      </c>
      <c r="AH26" s="14" t="n">
        <f aca="false">IF(W26=0,0,MAX(0,MIN(AE26,AF26)-MIN(AE26-W26,AF26)))</f>
        <v>21.9400000000001</v>
      </c>
      <c r="AI26" s="14" t="n">
        <f aca="false">IF(W26=0,0,MAX(0,MIN(AE26,AF26+AG26)-MAX(AE26-W26,AF26)))</f>
        <v>0</v>
      </c>
      <c r="AJ26" s="14" t="n">
        <f aca="false">W26-AH26-AI26</f>
        <v>102.16</v>
      </c>
      <c r="AK26" s="9" t="n">
        <f aca="false">IF(W26=0,0,X26*AH26/W26)</f>
        <v>298017.356460788</v>
      </c>
      <c r="AL26" s="9" t="n">
        <f aca="false">IF(W26=0,0,X26*AI26/W26)</f>
        <v>0</v>
      </c>
      <c r="AM26" s="9" t="n">
        <f aca="false">X26-AK26-AL26</f>
        <v>1387668.78468706</v>
      </c>
    </row>
    <row r="27" customFormat="false" ht="15" hidden="false" customHeight="false" outlineLevel="0" collapsed="false">
      <c r="A27" s="6" t="n">
        <v>22</v>
      </c>
      <c r="B27" s="74" t="s">
        <v>948</v>
      </c>
      <c r="C27" s="53" t="str">
        <f aca="false">INDEX(I_Items!$C$5:$C$133,MATCH($B27,I_Items!$A$5:$A$133,0))</f>
        <v>RPA</v>
      </c>
      <c r="D27" s="53" t="str">
        <f aca="false">INDEX(I_Items!$D$5:$D$133,MATCH($B27,I_Items!$A$5:$A$133,0))</f>
        <v>Ceker</v>
      </c>
      <c r="E27" s="53" t="str">
        <f aca="false">INDEX(I_Items!$F$5:$F$133,MATCH($B27,I_Items!$A$5:$A$133,0))</f>
        <v>Fresh</v>
      </c>
      <c r="F27" s="53" t="str">
        <f aca="false">IF(INDEX(I_Items!$E$5:$E$133,MATCH($B27,I_Items!$A$5:$A$133,0))="","",INDEX(I_Items!$E$5:$E$133,MATCH($B27,I_Items!$A$5:$A$133,0)))</f>
        <v/>
      </c>
      <c r="G27" s="76" t="n">
        <v>46255</v>
      </c>
      <c r="H27" s="23" t="n">
        <f aca="false">MONTH(G27)</f>
        <v>8</v>
      </c>
      <c r="I27" s="74" t="s">
        <v>2075</v>
      </c>
      <c r="J27" s="74" t="s">
        <v>2091</v>
      </c>
      <c r="K27" s="10" t="n">
        <v>0</v>
      </c>
      <c r="L27" s="8" t="n">
        <v>0</v>
      </c>
      <c r="M27" s="10" t="n">
        <v>106.4</v>
      </c>
      <c r="N27" s="8" t="n">
        <v>1445261.93</v>
      </c>
      <c r="O27" s="74" t="s">
        <v>2077</v>
      </c>
      <c r="P27" s="74"/>
      <c r="Q27" s="74"/>
      <c r="R27" s="14" t="n">
        <f aca="false">IF(I27="Unbilled",0,M27)</f>
        <v>106.4</v>
      </c>
      <c r="S27" s="9" t="n">
        <f aca="false">IF(R27=0,0,IF(O27="Booked",N27,R27*V26))</f>
        <v>1445261.92923554</v>
      </c>
      <c r="T27" s="14" t="n">
        <f aca="false">IF(I27="Opening",K27,T26+K27-R27)</f>
        <v>1651.04</v>
      </c>
      <c r="U27" s="9" t="n">
        <f aca="false">IF(I27="Opening",L27,U26+L27-S27)</f>
        <v>22426553.1545587</v>
      </c>
      <c r="V27" s="9" t="n">
        <f aca="false">IF(T27&gt;0,U27/T27,IF(I27="Opening",0,V26))</f>
        <v>13583.2888086047</v>
      </c>
      <c r="W27" s="14" t="n">
        <f aca="false">M27</f>
        <v>106.4</v>
      </c>
      <c r="X27" s="9" t="n">
        <f aca="false">IF(W27=0,0,IF(O27="Booked",N27,W27*AA26))</f>
        <v>1445261.92923554</v>
      </c>
      <c r="Y27" s="14" t="n">
        <f aca="false">IF(I27="Opening",K27,Y26+K27-W27)</f>
        <v>1651.04</v>
      </c>
      <c r="Z27" s="9" t="n">
        <f aca="false">IF(I27="Opening",L27,Z26+L27-X27)</f>
        <v>22426553.1545587</v>
      </c>
      <c r="AA27" s="9" t="n">
        <f aca="false">IF(Y27&gt;0,Z27/Y27,IF(I27="Opening",0,AA26))</f>
        <v>13583.2888086047</v>
      </c>
      <c r="AB27" s="9" t="n">
        <f aca="false">IF(AND(I27="DO",O27="MA"),S27-N27,0)</f>
        <v>-0.00076445727609098</v>
      </c>
      <c r="AC27" s="9" t="n">
        <f aca="false">IF(I27="DO",X27-S27,0)</f>
        <v>0</v>
      </c>
      <c r="AD27" s="23" t="n">
        <f aca="false">IF(B28&lt;&gt;B27,1,0)</f>
        <v>0</v>
      </c>
      <c r="AE27" s="14" t="n">
        <f aca="false">IF(I27="Opening",0,AE26+W27)</f>
        <v>1625.5</v>
      </c>
      <c r="AF27" s="14" t="n">
        <f aca="false">IF(I27="Opening",K27,AF26)</f>
        <v>1416.94</v>
      </c>
      <c r="AG27" s="14" t="n">
        <f aca="false">AG26</f>
        <v>0</v>
      </c>
      <c r="AH27" s="14" t="n">
        <f aca="false">IF(W27=0,0,MAX(0,MIN(AE27,AF27)-MIN(AE27-W27,AF27)))</f>
        <v>0</v>
      </c>
      <c r="AI27" s="14" t="n">
        <f aca="false">IF(W27=0,0,MAX(0,MIN(AE27,AF27+AG27)-MAX(AE27-W27,AF27)))</f>
        <v>0</v>
      </c>
      <c r="AJ27" s="14" t="n">
        <f aca="false">W27-AH27-AI27</f>
        <v>106.4</v>
      </c>
      <c r="AK27" s="9" t="n">
        <f aca="false">IF(W27=0,0,X27*AH27/W27)</f>
        <v>0</v>
      </c>
      <c r="AL27" s="9" t="n">
        <f aca="false">IF(W27=0,0,X27*AI27/W27)</f>
        <v>0</v>
      </c>
      <c r="AM27" s="9" t="n">
        <f aca="false">X27-AK27-AL27</f>
        <v>1445261.92923554</v>
      </c>
    </row>
    <row r="28" customFormat="false" ht="15" hidden="false" customHeight="false" outlineLevel="0" collapsed="false">
      <c r="A28" s="6" t="n">
        <v>23</v>
      </c>
      <c r="B28" s="74" t="s">
        <v>948</v>
      </c>
      <c r="C28" s="53" t="str">
        <f aca="false">INDEX(I_Items!$C$5:$C$133,MATCH($B28,I_Items!$A$5:$A$133,0))</f>
        <v>RPA</v>
      </c>
      <c r="D28" s="53" t="str">
        <f aca="false">INDEX(I_Items!$D$5:$D$133,MATCH($B28,I_Items!$A$5:$A$133,0))</f>
        <v>Ceker</v>
      </c>
      <c r="E28" s="53" t="str">
        <f aca="false">INDEX(I_Items!$F$5:$F$133,MATCH($B28,I_Items!$A$5:$A$133,0))</f>
        <v>Fresh</v>
      </c>
      <c r="F28" s="53" t="str">
        <f aca="false">IF(INDEX(I_Items!$E$5:$E$133,MATCH($B28,I_Items!$A$5:$A$133,0))="","",INDEX(I_Items!$E$5:$E$133,MATCH($B28,I_Items!$A$5:$A$133,0)))</f>
        <v/>
      </c>
      <c r="G28" s="76" t="n">
        <v>46255</v>
      </c>
      <c r="H28" s="23" t="n">
        <f aca="false">MONTH(G28)</f>
        <v>8</v>
      </c>
      <c r="I28" s="74" t="s">
        <v>2075</v>
      </c>
      <c r="J28" s="74" t="s">
        <v>2092</v>
      </c>
      <c r="K28" s="10" t="n">
        <v>0</v>
      </c>
      <c r="L28" s="8" t="n">
        <v>0</v>
      </c>
      <c r="M28" s="10" t="n">
        <v>111.2</v>
      </c>
      <c r="N28" s="8" t="n">
        <v>1510461.71</v>
      </c>
      <c r="O28" s="74" t="s">
        <v>2077</v>
      </c>
      <c r="P28" s="74"/>
      <c r="Q28" s="74"/>
      <c r="R28" s="14" t="n">
        <f aca="false">IF(I28="Unbilled",0,M28)</f>
        <v>111.2</v>
      </c>
      <c r="S28" s="9" t="n">
        <f aca="false">IF(R28=0,0,IF(O28="Booked",N28,R28*V27))</f>
        <v>1510461.71551685</v>
      </c>
      <c r="T28" s="14" t="n">
        <f aca="false">IF(I28="Opening",K28,T27+K28-R28)</f>
        <v>1539.84</v>
      </c>
      <c r="U28" s="9" t="n">
        <f aca="false">IF(I28="Opening",L28,U27+L28-S28)</f>
        <v>20916091.4390419</v>
      </c>
      <c r="V28" s="9" t="n">
        <f aca="false">IF(T28&gt;0,U28/T28,IF(I28="Opening",0,V27))</f>
        <v>13583.2888086047</v>
      </c>
      <c r="W28" s="14" t="n">
        <f aca="false">M28</f>
        <v>111.2</v>
      </c>
      <c r="X28" s="9" t="n">
        <f aca="false">IF(W28=0,0,IF(O28="Booked",N28,W28*AA27))</f>
        <v>1510461.71551685</v>
      </c>
      <c r="Y28" s="14" t="n">
        <f aca="false">IF(I28="Opening",K28,Y27+K28-W28)</f>
        <v>1539.84</v>
      </c>
      <c r="Z28" s="9" t="n">
        <f aca="false">IF(I28="Opening",L28,Z27+L28-X28)</f>
        <v>20916091.4390419</v>
      </c>
      <c r="AA28" s="9" t="n">
        <f aca="false">IF(Y28&gt;0,Z28/Y28,IF(I28="Opening",0,AA27))</f>
        <v>13583.2888086047</v>
      </c>
      <c r="AB28" s="9" t="n">
        <f aca="false">IF(AND(I28="DO",O28="MA"),S28-N28,0)</f>
        <v>0.00551684550009668</v>
      </c>
      <c r="AC28" s="9" t="n">
        <f aca="false">IF(I28="DO",X28-S28,0)</f>
        <v>0</v>
      </c>
      <c r="AD28" s="23" t="n">
        <f aca="false">IF(B29&lt;&gt;B28,1,0)</f>
        <v>0</v>
      </c>
      <c r="AE28" s="14" t="n">
        <f aca="false">IF(I28="Opening",0,AE27+W28)</f>
        <v>1736.7</v>
      </c>
      <c r="AF28" s="14" t="n">
        <f aca="false">IF(I28="Opening",K28,AF27)</f>
        <v>1416.94</v>
      </c>
      <c r="AG28" s="14" t="n">
        <f aca="false">AG27</f>
        <v>0</v>
      </c>
      <c r="AH28" s="14" t="n">
        <f aca="false">IF(W28=0,0,MAX(0,MIN(AE28,AF28)-MIN(AE28-W28,AF28)))</f>
        <v>0</v>
      </c>
      <c r="AI28" s="14" t="n">
        <f aca="false">IF(W28=0,0,MAX(0,MIN(AE28,AF28+AG28)-MAX(AE28-W28,AF28)))</f>
        <v>0</v>
      </c>
      <c r="AJ28" s="14" t="n">
        <f aca="false">W28-AH28-AI28</f>
        <v>111.2</v>
      </c>
      <c r="AK28" s="9" t="n">
        <f aca="false">IF(W28=0,0,X28*AH28/W28)</f>
        <v>0</v>
      </c>
      <c r="AL28" s="9" t="n">
        <f aca="false">IF(W28=0,0,X28*AI28/W28)</f>
        <v>0</v>
      </c>
      <c r="AM28" s="9" t="n">
        <f aca="false">X28-AK28-AL28</f>
        <v>1510461.71551685</v>
      </c>
    </row>
    <row r="29" customFormat="false" ht="15" hidden="false" customHeight="false" outlineLevel="0" collapsed="false">
      <c r="A29" s="6" t="n">
        <v>24</v>
      </c>
      <c r="B29" s="74" t="s">
        <v>948</v>
      </c>
      <c r="C29" s="53" t="str">
        <f aca="false">INDEX(I_Items!$C$5:$C$133,MATCH($B29,I_Items!$A$5:$A$133,0))</f>
        <v>RPA</v>
      </c>
      <c r="D29" s="53" t="str">
        <f aca="false">INDEX(I_Items!$D$5:$D$133,MATCH($B29,I_Items!$A$5:$A$133,0))</f>
        <v>Ceker</v>
      </c>
      <c r="E29" s="53" t="str">
        <f aca="false">INDEX(I_Items!$F$5:$F$133,MATCH($B29,I_Items!$A$5:$A$133,0))</f>
        <v>Fresh</v>
      </c>
      <c r="F29" s="53" t="str">
        <f aca="false">IF(INDEX(I_Items!$E$5:$E$133,MATCH($B29,I_Items!$A$5:$A$133,0))="","",INDEX(I_Items!$E$5:$E$133,MATCH($B29,I_Items!$A$5:$A$133,0)))</f>
        <v/>
      </c>
      <c r="G29" s="76" t="n">
        <v>46255</v>
      </c>
      <c r="H29" s="23" t="n">
        <f aca="false">MONTH(G29)</f>
        <v>8</v>
      </c>
      <c r="I29" s="74" t="s">
        <v>2075</v>
      </c>
      <c r="J29" s="74" t="s">
        <v>2093</v>
      </c>
      <c r="K29" s="10" t="n">
        <v>0</v>
      </c>
      <c r="L29" s="8" t="n">
        <v>0</v>
      </c>
      <c r="M29" s="10" t="n">
        <v>117.7</v>
      </c>
      <c r="N29" s="8" t="n">
        <v>1598753.09</v>
      </c>
      <c r="O29" s="74" t="s">
        <v>2077</v>
      </c>
      <c r="P29" s="74"/>
      <c r="Q29" s="74"/>
      <c r="R29" s="14" t="n">
        <f aca="false">IF(I29="Unbilled",0,M29)</f>
        <v>117.7</v>
      </c>
      <c r="S29" s="9" t="n">
        <f aca="false">IF(R29=0,0,IF(O29="Booked",N29,R29*V28))</f>
        <v>1598753.09277278</v>
      </c>
      <c r="T29" s="14" t="n">
        <f aca="false">IF(I29="Opening",K29,T28+K29-R29)</f>
        <v>1422.14</v>
      </c>
      <c r="U29" s="9" t="n">
        <f aca="false">IF(I29="Opening",L29,U28+L29-S29)</f>
        <v>19317338.3462691</v>
      </c>
      <c r="V29" s="9" t="n">
        <f aca="false">IF(T29&gt;0,U29/T29,IF(I29="Opening",0,V28))</f>
        <v>13583.2888086047</v>
      </c>
      <c r="W29" s="14" t="n">
        <f aca="false">M29</f>
        <v>117.7</v>
      </c>
      <c r="X29" s="9" t="n">
        <f aca="false">IF(W29=0,0,IF(O29="Booked",N29,W29*AA28))</f>
        <v>1598753.09277278</v>
      </c>
      <c r="Y29" s="14" t="n">
        <f aca="false">IF(I29="Opening",K29,Y28+K29-W29)</f>
        <v>1422.14</v>
      </c>
      <c r="Z29" s="9" t="n">
        <f aca="false">IF(I29="Opening",L29,Z28+L29-X29)</f>
        <v>19317338.3462691</v>
      </c>
      <c r="AA29" s="9" t="n">
        <f aca="false">IF(Y29&gt;0,Z29/Y29,IF(I29="Opening",0,AA28))</f>
        <v>13583.2888086047</v>
      </c>
      <c r="AB29" s="9" t="n">
        <f aca="false">IF(AND(I29="DO",O29="MA"),S29-N29,0)</f>
        <v>0.00277277594432235</v>
      </c>
      <c r="AC29" s="9" t="n">
        <f aca="false">IF(I29="DO",X29-S29,0)</f>
        <v>0</v>
      </c>
      <c r="AD29" s="23" t="n">
        <f aca="false">IF(B30&lt;&gt;B29,1,0)</f>
        <v>0</v>
      </c>
      <c r="AE29" s="14" t="n">
        <f aca="false">IF(I29="Opening",0,AE28+W29)</f>
        <v>1854.4</v>
      </c>
      <c r="AF29" s="14" t="n">
        <f aca="false">IF(I29="Opening",K29,AF28)</f>
        <v>1416.94</v>
      </c>
      <c r="AG29" s="14" t="n">
        <f aca="false">AG28</f>
        <v>0</v>
      </c>
      <c r="AH29" s="14" t="n">
        <f aca="false">IF(W29=0,0,MAX(0,MIN(AE29,AF29)-MIN(AE29-W29,AF29)))</f>
        <v>0</v>
      </c>
      <c r="AI29" s="14" t="n">
        <f aca="false">IF(W29=0,0,MAX(0,MIN(AE29,AF29+AG29)-MAX(AE29-W29,AF29)))</f>
        <v>0</v>
      </c>
      <c r="AJ29" s="14" t="n">
        <f aca="false">W29-AH29-AI29</f>
        <v>117.7</v>
      </c>
      <c r="AK29" s="9" t="n">
        <f aca="false">IF(W29=0,0,X29*AH29/W29)</f>
        <v>0</v>
      </c>
      <c r="AL29" s="9" t="n">
        <f aca="false">IF(W29=0,0,X29*AI29/W29)</f>
        <v>0</v>
      </c>
      <c r="AM29" s="9" t="n">
        <f aca="false">X29-AK29-AL29</f>
        <v>1598753.09277278</v>
      </c>
    </row>
    <row r="30" customFormat="false" ht="15" hidden="false" customHeight="false" outlineLevel="0" collapsed="false">
      <c r="A30" s="6" t="n">
        <v>25</v>
      </c>
      <c r="B30" s="74" t="s">
        <v>948</v>
      </c>
      <c r="C30" s="53" t="str">
        <f aca="false">INDEX(I_Items!$C$5:$C$133,MATCH($B30,I_Items!$A$5:$A$133,0))</f>
        <v>RPA</v>
      </c>
      <c r="D30" s="53" t="str">
        <f aca="false">INDEX(I_Items!$D$5:$D$133,MATCH($B30,I_Items!$A$5:$A$133,0))</f>
        <v>Ceker</v>
      </c>
      <c r="E30" s="53" t="str">
        <f aca="false">INDEX(I_Items!$F$5:$F$133,MATCH($B30,I_Items!$A$5:$A$133,0))</f>
        <v>Fresh</v>
      </c>
      <c r="F30" s="53" t="str">
        <f aca="false">IF(INDEX(I_Items!$E$5:$E$133,MATCH($B30,I_Items!$A$5:$A$133,0))="","",INDEX(I_Items!$E$5:$E$133,MATCH($B30,I_Items!$A$5:$A$133,0)))</f>
        <v/>
      </c>
      <c r="G30" s="76" t="n">
        <v>46255</v>
      </c>
      <c r="H30" s="23" t="n">
        <f aca="false">MONTH(G30)</f>
        <v>8</v>
      </c>
      <c r="I30" s="74" t="s">
        <v>2074</v>
      </c>
      <c r="J30" s="74" t="s">
        <v>1311</v>
      </c>
      <c r="K30" s="10" t="n">
        <v>210.5</v>
      </c>
      <c r="L30" s="8" t="n">
        <v>3900309.35</v>
      </c>
      <c r="M30" s="10" t="n">
        <v>0</v>
      </c>
      <c r="N30" s="8" t="n">
        <v>0</v>
      </c>
      <c r="O30" s="74"/>
      <c r="P30" s="74"/>
      <c r="Q30" s="74"/>
      <c r="R30" s="14" t="n">
        <f aca="false">IF(I30="Unbilled",0,M30)</f>
        <v>0</v>
      </c>
      <c r="S30" s="9" t="n">
        <f aca="false">IF(R30=0,0,IF(O30="Booked",N30,R30*V29))</f>
        <v>0</v>
      </c>
      <c r="T30" s="14" t="n">
        <f aca="false">IF(I30="Opening",K30,T29+K30-R30)</f>
        <v>1632.64</v>
      </c>
      <c r="U30" s="9" t="n">
        <f aca="false">IF(I30="Opening",L30,U29+L30-S30)</f>
        <v>23217647.6962691</v>
      </c>
      <c r="V30" s="9" t="n">
        <f aca="false">IF(T30&gt;0,U30/T30,IF(I30="Opening",0,V29))</f>
        <v>14220.9229813487</v>
      </c>
      <c r="W30" s="14" t="n">
        <f aca="false">M30</f>
        <v>0</v>
      </c>
      <c r="X30" s="9" t="n">
        <f aca="false">IF(W30=0,0,IF(O30="Booked",N30,W30*AA29))</f>
        <v>0</v>
      </c>
      <c r="Y30" s="14" t="n">
        <f aca="false">IF(I30="Opening",K30,Y29+K30-W30)</f>
        <v>1632.64</v>
      </c>
      <c r="Z30" s="9" t="n">
        <f aca="false">IF(I30="Opening",L30,Z29+L30-X30)</f>
        <v>23217647.6962691</v>
      </c>
      <c r="AA30" s="9" t="n">
        <f aca="false">IF(Y30&gt;0,Z30/Y30,IF(I30="Opening",0,AA29))</f>
        <v>14220.9229813487</v>
      </c>
      <c r="AB30" s="9" t="n">
        <f aca="false">IF(AND(I30="DO",O30="MA"),S30-N30,0)</f>
        <v>0</v>
      </c>
      <c r="AC30" s="9" t="n">
        <f aca="false">IF(I30="DO",X30-S30,0)</f>
        <v>0</v>
      </c>
      <c r="AD30" s="23" t="n">
        <f aca="false">IF(B31&lt;&gt;B30,1,0)</f>
        <v>0</v>
      </c>
      <c r="AE30" s="14" t="n">
        <f aca="false">IF(I30="Opening",0,AE29+W30)</f>
        <v>1854.4</v>
      </c>
      <c r="AF30" s="14" t="n">
        <f aca="false">IF(I30="Opening",K30,AF29)</f>
        <v>1416.94</v>
      </c>
      <c r="AG30" s="14" t="n">
        <f aca="false">AG29</f>
        <v>0</v>
      </c>
      <c r="AH30" s="14" t="n">
        <f aca="false">IF(W30=0,0,MAX(0,MIN(AE30,AF30)-MIN(AE30-W30,AF30)))</f>
        <v>0</v>
      </c>
      <c r="AI30" s="14" t="n">
        <f aca="false">IF(W30=0,0,MAX(0,MIN(AE30,AF30+AG30)-MAX(AE30-W30,AF30)))</f>
        <v>0</v>
      </c>
      <c r="AJ30" s="14" t="n">
        <f aca="false">W30-AH30-AI30</f>
        <v>0</v>
      </c>
      <c r="AK30" s="9" t="n">
        <f aca="false">IF(W30=0,0,X30*AH30/W30)</f>
        <v>0</v>
      </c>
      <c r="AL30" s="9" t="n">
        <f aca="false">IF(W30=0,0,X30*AI30/W30)</f>
        <v>0</v>
      </c>
      <c r="AM30" s="9" t="n">
        <f aca="false">X30-AK30-AL30</f>
        <v>0</v>
      </c>
    </row>
    <row r="31" customFormat="false" ht="15" hidden="false" customHeight="false" outlineLevel="0" collapsed="false">
      <c r="A31" s="6" t="n">
        <v>26</v>
      </c>
      <c r="B31" s="74" t="s">
        <v>948</v>
      </c>
      <c r="C31" s="53" t="str">
        <f aca="false">INDEX(I_Items!$C$5:$C$133,MATCH($B31,I_Items!$A$5:$A$133,0))</f>
        <v>RPA</v>
      </c>
      <c r="D31" s="53" t="str">
        <f aca="false">INDEX(I_Items!$D$5:$D$133,MATCH($B31,I_Items!$A$5:$A$133,0))</f>
        <v>Ceker</v>
      </c>
      <c r="E31" s="53" t="str">
        <f aca="false">INDEX(I_Items!$F$5:$F$133,MATCH($B31,I_Items!$A$5:$A$133,0))</f>
        <v>Fresh</v>
      </c>
      <c r="F31" s="53" t="str">
        <f aca="false">IF(INDEX(I_Items!$E$5:$E$133,MATCH($B31,I_Items!$A$5:$A$133,0))="","",INDEX(I_Items!$E$5:$E$133,MATCH($B31,I_Items!$A$5:$A$133,0)))</f>
        <v/>
      </c>
      <c r="G31" s="76" t="n">
        <v>46259</v>
      </c>
      <c r="H31" s="23" t="n">
        <f aca="false">MONTH(G31)</f>
        <v>8</v>
      </c>
      <c r="I31" s="74" t="s">
        <v>2074</v>
      </c>
      <c r="J31" s="74" t="s">
        <v>1314</v>
      </c>
      <c r="K31" s="10" t="n">
        <v>307.8</v>
      </c>
      <c r="L31" s="8" t="n">
        <v>5503776.39</v>
      </c>
      <c r="M31" s="10" t="n">
        <v>0</v>
      </c>
      <c r="N31" s="8" t="n">
        <v>0</v>
      </c>
      <c r="O31" s="74"/>
      <c r="P31" s="74"/>
      <c r="Q31" s="74"/>
      <c r="R31" s="14" t="n">
        <f aca="false">IF(I31="Unbilled",0,M31)</f>
        <v>0</v>
      </c>
      <c r="S31" s="9" t="n">
        <f aca="false">IF(R31=0,0,IF(O31="Booked",N31,R31*V30))</f>
        <v>0</v>
      </c>
      <c r="T31" s="14" t="n">
        <f aca="false">IF(I31="Opening",K31,T30+K31-R31)</f>
        <v>1940.44</v>
      </c>
      <c r="U31" s="9" t="n">
        <f aca="false">IF(I31="Opening",L31,U30+L31-S31)</f>
        <v>28721424.0862691</v>
      </c>
      <c r="V31" s="9" t="n">
        <f aca="false">IF(T31&gt;0,U31/T31,IF(I31="Opening",0,V30))</f>
        <v>14801.5007350236</v>
      </c>
      <c r="W31" s="14" t="n">
        <f aca="false">M31</f>
        <v>0</v>
      </c>
      <c r="X31" s="9" t="n">
        <f aca="false">IF(W31=0,0,IF(O31="Booked",N31,W31*AA30))</f>
        <v>0</v>
      </c>
      <c r="Y31" s="14" t="n">
        <f aca="false">IF(I31="Opening",K31,Y30+K31-W31)</f>
        <v>1940.44</v>
      </c>
      <c r="Z31" s="9" t="n">
        <f aca="false">IF(I31="Opening",L31,Z30+L31-X31)</f>
        <v>28721424.0862691</v>
      </c>
      <c r="AA31" s="9" t="n">
        <f aca="false">IF(Y31&gt;0,Z31/Y31,IF(I31="Opening",0,AA30))</f>
        <v>14801.5007350236</v>
      </c>
      <c r="AB31" s="9" t="n">
        <f aca="false">IF(AND(I31="DO",O31="MA"),S31-N31,0)</f>
        <v>0</v>
      </c>
      <c r="AC31" s="9" t="n">
        <f aca="false">IF(I31="DO",X31-S31,0)</f>
        <v>0</v>
      </c>
      <c r="AD31" s="23" t="n">
        <f aca="false">IF(B32&lt;&gt;B31,1,0)</f>
        <v>0</v>
      </c>
      <c r="AE31" s="14" t="n">
        <f aca="false">IF(I31="Opening",0,AE30+W31)</f>
        <v>1854.4</v>
      </c>
      <c r="AF31" s="14" t="n">
        <f aca="false">IF(I31="Opening",K31,AF30)</f>
        <v>1416.94</v>
      </c>
      <c r="AG31" s="14" t="n">
        <f aca="false">AG30</f>
        <v>0</v>
      </c>
      <c r="AH31" s="14" t="n">
        <f aca="false">IF(W31=0,0,MAX(0,MIN(AE31,AF31)-MIN(AE31-W31,AF31)))</f>
        <v>0</v>
      </c>
      <c r="AI31" s="14" t="n">
        <f aca="false">IF(W31=0,0,MAX(0,MIN(AE31,AF31+AG31)-MAX(AE31-W31,AF31)))</f>
        <v>0</v>
      </c>
      <c r="AJ31" s="14" t="n">
        <f aca="false">W31-AH31-AI31</f>
        <v>0</v>
      </c>
      <c r="AK31" s="9" t="n">
        <f aca="false">IF(W31=0,0,X31*AH31/W31)</f>
        <v>0</v>
      </c>
      <c r="AL31" s="9" t="n">
        <f aca="false">IF(W31=0,0,X31*AI31/W31)</f>
        <v>0</v>
      </c>
      <c r="AM31" s="9" t="n">
        <f aca="false">X31-AK31-AL31</f>
        <v>0</v>
      </c>
    </row>
    <row r="32" customFormat="false" ht="15" hidden="false" customHeight="false" outlineLevel="0" collapsed="false">
      <c r="A32" s="6" t="n">
        <v>27</v>
      </c>
      <c r="B32" s="74" t="s">
        <v>948</v>
      </c>
      <c r="C32" s="53" t="str">
        <f aca="false">INDEX(I_Items!$C$5:$C$133,MATCH($B32,I_Items!$A$5:$A$133,0))</f>
        <v>RPA</v>
      </c>
      <c r="D32" s="53" t="str">
        <f aca="false">INDEX(I_Items!$D$5:$D$133,MATCH($B32,I_Items!$A$5:$A$133,0))</f>
        <v>Ceker</v>
      </c>
      <c r="E32" s="53" t="str">
        <f aca="false">INDEX(I_Items!$F$5:$F$133,MATCH($B32,I_Items!$A$5:$A$133,0))</f>
        <v>Fresh</v>
      </c>
      <c r="F32" s="53" t="str">
        <f aca="false">IF(INDEX(I_Items!$E$5:$E$133,MATCH($B32,I_Items!$A$5:$A$133,0))="","",INDEX(I_Items!$E$5:$E$133,MATCH($B32,I_Items!$A$5:$A$133,0)))</f>
        <v/>
      </c>
      <c r="G32" s="76" t="n">
        <v>46260</v>
      </c>
      <c r="H32" s="23" t="n">
        <f aca="false">MONTH(G32)</f>
        <v>8</v>
      </c>
      <c r="I32" s="74" t="s">
        <v>2074</v>
      </c>
      <c r="J32" s="74" t="s">
        <v>1317</v>
      </c>
      <c r="K32" s="10" t="n">
        <v>325.6</v>
      </c>
      <c r="L32" s="8" t="n">
        <v>5946741.79</v>
      </c>
      <c r="M32" s="10" t="n">
        <v>0</v>
      </c>
      <c r="N32" s="8" t="n">
        <v>0</v>
      </c>
      <c r="O32" s="74"/>
      <c r="P32" s="74"/>
      <c r="Q32" s="74"/>
      <c r="R32" s="14" t="n">
        <f aca="false">IF(I32="Unbilled",0,M32)</f>
        <v>0</v>
      </c>
      <c r="S32" s="9" t="n">
        <f aca="false">IF(R32=0,0,IF(O32="Booked",N32,R32*V31))</f>
        <v>0</v>
      </c>
      <c r="T32" s="14" t="n">
        <f aca="false">IF(I32="Opening",K32,T31+K32-R32)</f>
        <v>2266.04</v>
      </c>
      <c r="U32" s="9" t="n">
        <f aca="false">IF(I32="Opening",L32,U31+L32-S32)</f>
        <v>34668165.8762691</v>
      </c>
      <c r="V32" s="9" t="n">
        <f aca="false">IF(T32&gt;0,U32/T32,IF(I32="Opening",0,V31))</f>
        <v>15299.0087890192</v>
      </c>
      <c r="W32" s="14" t="n">
        <f aca="false">M32</f>
        <v>0</v>
      </c>
      <c r="X32" s="9" t="n">
        <f aca="false">IF(W32=0,0,IF(O32="Booked",N32,W32*AA31))</f>
        <v>0</v>
      </c>
      <c r="Y32" s="14" t="n">
        <f aca="false">IF(I32="Opening",K32,Y31+K32-W32)</f>
        <v>2266.04</v>
      </c>
      <c r="Z32" s="9" t="n">
        <f aca="false">IF(I32="Opening",L32,Z31+L32-X32)</f>
        <v>34668165.8762691</v>
      </c>
      <c r="AA32" s="9" t="n">
        <f aca="false">IF(Y32&gt;0,Z32/Y32,IF(I32="Opening",0,AA31))</f>
        <v>15299.0087890192</v>
      </c>
      <c r="AB32" s="9" t="n">
        <f aca="false">IF(AND(I32="DO",O32="MA"),S32-N32,0)</f>
        <v>0</v>
      </c>
      <c r="AC32" s="9" t="n">
        <f aca="false">IF(I32="DO",X32-S32,0)</f>
        <v>0</v>
      </c>
      <c r="AD32" s="23" t="n">
        <f aca="false">IF(B33&lt;&gt;B32,1,0)</f>
        <v>0</v>
      </c>
      <c r="AE32" s="14" t="n">
        <f aca="false">IF(I32="Opening",0,AE31+W32)</f>
        <v>1854.4</v>
      </c>
      <c r="AF32" s="14" t="n">
        <f aca="false">IF(I32="Opening",K32,AF31)</f>
        <v>1416.94</v>
      </c>
      <c r="AG32" s="14" t="n">
        <f aca="false">AG31</f>
        <v>0</v>
      </c>
      <c r="AH32" s="14" t="n">
        <f aca="false">IF(W32=0,0,MAX(0,MIN(AE32,AF32)-MIN(AE32-W32,AF32)))</f>
        <v>0</v>
      </c>
      <c r="AI32" s="14" t="n">
        <f aca="false">IF(W32=0,0,MAX(0,MIN(AE32,AF32+AG32)-MAX(AE32-W32,AF32)))</f>
        <v>0</v>
      </c>
      <c r="AJ32" s="14" t="n">
        <f aca="false">W32-AH32-AI32</f>
        <v>0</v>
      </c>
      <c r="AK32" s="9" t="n">
        <f aca="false">IF(W32=0,0,X32*AH32/W32)</f>
        <v>0</v>
      </c>
      <c r="AL32" s="9" t="n">
        <f aca="false">IF(W32=0,0,X32*AI32/W32)</f>
        <v>0</v>
      </c>
      <c r="AM32" s="9" t="n">
        <f aca="false">X32-AK32-AL32</f>
        <v>0</v>
      </c>
    </row>
    <row r="33" customFormat="false" ht="15" hidden="false" customHeight="false" outlineLevel="0" collapsed="false">
      <c r="A33" s="6" t="n">
        <v>28</v>
      </c>
      <c r="B33" s="74" t="s">
        <v>948</v>
      </c>
      <c r="C33" s="53" t="str">
        <f aca="false">INDEX(I_Items!$C$5:$C$133,MATCH($B33,I_Items!$A$5:$A$133,0))</f>
        <v>RPA</v>
      </c>
      <c r="D33" s="53" t="str">
        <f aca="false">INDEX(I_Items!$D$5:$D$133,MATCH($B33,I_Items!$A$5:$A$133,0))</f>
        <v>Ceker</v>
      </c>
      <c r="E33" s="53" t="str">
        <f aca="false">INDEX(I_Items!$F$5:$F$133,MATCH($B33,I_Items!$A$5:$A$133,0))</f>
        <v>Fresh</v>
      </c>
      <c r="F33" s="53" t="str">
        <f aca="false">IF(INDEX(I_Items!$E$5:$E$133,MATCH($B33,I_Items!$A$5:$A$133,0))="","",INDEX(I_Items!$E$5:$E$133,MATCH($B33,I_Items!$A$5:$A$133,0)))</f>
        <v/>
      </c>
      <c r="G33" s="76" t="n">
        <v>46260</v>
      </c>
      <c r="H33" s="23" t="n">
        <f aca="false">MONTH(G33)</f>
        <v>8</v>
      </c>
      <c r="I33" s="74" t="s">
        <v>2075</v>
      </c>
      <c r="J33" s="74" t="s">
        <v>2094</v>
      </c>
      <c r="K33" s="10" t="n">
        <v>0</v>
      </c>
      <c r="L33" s="8" t="n">
        <v>0</v>
      </c>
      <c r="M33" s="10" t="n">
        <v>110.9</v>
      </c>
      <c r="N33" s="8" t="n">
        <v>1696660.08</v>
      </c>
      <c r="O33" s="74" t="s">
        <v>2077</v>
      </c>
      <c r="P33" s="74"/>
      <c r="Q33" s="74"/>
      <c r="R33" s="14" t="n">
        <f aca="false">IF(I33="Unbilled",0,M33)</f>
        <v>110.9</v>
      </c>
      <c r="S33" s="9" t="n">
        <f aca="false">IF(R33=0,0,IF(O33="Booked",N33,R33*V32))</f>
        <v>1696660.07470223</v>
      </c>
      <c r="T33" s="14" t="n">
        <f aca="false">IF(I33="Opening",K33,T32+K33-R33)</f>
        <v>2155.14</v>
      </c>
      <c r="U33" s="9" t="n">
        <f aca="false">IF(I33="Opening",L33,U32+L33-S33)</f>
        <v>32971505.8015669</v>
      </c>
      <c r="V33" s="9" t="n">
        <f aca="false">IF(T33&gt;0,U33/T33,IF(I33="Opening",0,V32))</f>
        <v>15299.0087890192</v>
      </c>
      <c r="W33" s="14" t="n">
        <f aca="false">M33</f>
        <v>110.9</v>
      </c>
      <c r="X33" s="9" t="n">
        <f aca="false">IF(W33=0,0,IF(O33="Booked",N33,W33*AA32))</f>
        <v>1696660.07470223</v>
      </c>
      <c r="Y33" s="14" t="n">
        <f aca="false">IF(I33="Opening",K33,Y32+K33-W33)</f>
        <v>2155.14</v>
      </c>
      <c r="Z33" s="9" t="n">
        <f aca="false">IF(I33="Opening",L33,Z32+L33-X33)</f>
        <v>32971505.8015669</v>
      </c>
      <c r="AA33" s="9" t="n">
        <f aca="false">IF(Y33&gt;0,Z33/Y33,IF(I33="Opening",0,AA32))</f>
        <v>15299.0087890192</v>
      </c>
      <c r="AB33" s="9" t="n">
        <f aca="false">IF(AND(I33="DO",O33="MA"),S33-N33,0)</f>
        <v>-0.0052977679297328</v>
      </c>
      <c r="AC33" s="9" t="n">
        <f aca="false">IF(I33="DO",X33-S33,0)</f>
        <v>0</v>
      </c>
      <c r="AD33" s="23" t="n">
        <f aca="false">IF(B34&lt;&gt;B33,1,0)</f>
        <v>0</v>
      </c>
      <c r="AE33" s="14" t="n">
        <f aca="false">IF(I33="Opening",0,AE32+W33)</f>
        <v>1965.3</v>
      </c>
      <c r="AF33" s="14" t="n">
        <f aca="false">IF(I33="Opening",K33,AF32)</f>
        <v>1416.94</v>
      </c>
      <c r="AG33" s="14" t="n">
        <f aca="false">AG32</f>
        <v>0</v>
      </c>
      <c r="AH33" s="14" t="n">
        <f aca="false">IF(W33=0,0,MAX(0,MIN(AE33,AF33)-MIN(AE33-W33,AF33)))</f>
        <v>0</v>
      </c>
      <c r="AI33" s="14" t="n">
        <f aca="false">IF(W33=0,0,MAX(0,MIN(AE33,AF33+AG33)-MAX(AE33-W33,AF33)))</f>
        <v>0</v>
      </c>
      <c r="AJ33" s="14" t="n">
        <f aca="false">W33-AH33-AI33</f>
        <v>110.9</v>
      </c>
      <c r="AK33" s="9" t="n">
        <f aca="false">IF(W33=0,0,X33*AH33/W33)</f>
        <v>0</v>
      </c>
      <c r="AL33" s="9" t="n">
        <f aca="false">IF(W33=0,0,X33*AI33/W33)</f>
        <v>0</v>
      </c>
      <c r="AM33" s="9" t="n">
        <f aca="false">X33-AK33-AL33</f>
        <v>1696660.07470223</v>
      </c>
    </row>
    <row r="34" customFormat="false" ht="15" hidden="false" customHeight="false" outlineLevel="0" collapsed="false">
      <c r="A34" s="6" t="n">
        <v>29</v>
      </c>
      <c r="B34" s="74" t="s">
        <v>948</v>
      </c>
      <c r="C34" s="53" t="str">
        <f aca="false">INDEX(I_Items!$C$5:$C$133,MATCH($B34,I_Items!$A$5:$A$133,0))</f>
        <v>RPA</v>
      </c>
      <c r="D34" s="53" t="str">
        <f aca="false">INDEX(I_Items!$D$5:$D$133,MATCH($B34,I_Items!$A$5:$A$133,0))</f>
        <v>Ceker</v>
      </c>
      <c r="E34" s="53" t="str">
        <f aca="false">INDEX(I_Items!$F$5:$F$133,MATCH($B34,I_Items!$A$5:$A$133,0))</f>
        <v>Fresh</v>
      </c>
      <c r="F34" s="53" t="str">
        <f aca="false">IF(INDEX(I_Items!$E$5:$E$133,MATCH($B34,I_Items!$A$5:$A$133,0))="","",INDEX(I_Items!$E$5:$E$133,MATCH($B34,I_Items!$A$5:$A$133,0)))</f>
        <v/>
      </c>
      <c r="G34" s="76" t="n">
        <v>46260</v>
      </c>
      <c r="H34" s="23" t="n">
        <f aca="false">MONTH(G34)</f>
        <v>8</v>
      </c>
      <c r="I34" s="74" t="s">
        <v>2075</v>
      </c>
      <c r="J34" s="74" t="s">
        <v>2095</v>
      </c>
      <c r="K34" s="10" t="n">
        <v>0</v>
      </c>
      <c r="L34" s="8" t="n">
        <v>0</v>
      </c>
      <c r="M34" s="10" t="n">
        <v>96</v>
      </c>
      <c r="N34" s="8" t="n">
        <v>1468704.84</v>
      </c>
      <c r="O34" s="74" t="s">
        <v>2077</v>
      </c>
      <c r="P34" s="74"/>
      <c r="Q34" s="74"/>
      <c r="R34" s="14" t="n">
        <f aca="false">IF(I34="Unbilled",0,M34)</f>
        <v>96</v>
      </c>
      <c r="S34" s="9" t="n">
        <f aca="false">IF(R34=0,0,IF(O34="Booked",N34,R34*V33))</f>
        <v>1468704.84374585</v>
      </c>
      <c r="T34" s="14" t="n">
        <f aca="false">IF(I34="Opening",K34,T33+K34-R34)</f>
        <v>2059.14</v>
      </c>
      <c r="U34" s="9" t="n">
        <f aca="false">IF(I34="Opening",L34,U33+L34-S34)</f>
        <v>31502800.957821</v>
      </c>
      <c r="V34" s="9" t="n">
        <f aca="false">IF(T34&gt;0,U34/T34,IF(I34="Opening",0,V33))</f>
        <v>15299.0087890192</v>
      </c>
      <c r="W34" s="14" t="n">
        <f aca="false">M34</f>
        <v>96</v>
      </c>
      <c r="X34" s="9" t="n">
        <f aca="false">IF(W34=0,0,IF(O34="Booked",N34,W34*AA33))</f>
        <v>1468704.84374585</v>
      </c>
      <c r="Y34" s="14" t="n">
        <f aca="false">IF(I34="Opening",K34,Y33+K34-W34)</f>
        <v>2059.14</v>
      </c>
      <c r="Z34" s="9" t="n">
        <f aca="false">IF(I34="Opening",L34,Z33+L34-X34)</f>
        <v>31502800.957821</v>
      </c>
      <c r="AA34" s="9" t="n">
        <f aca="false">IF(Y34&gt;0,Z34/Y34,IF(I34="Opening",0,AA33))</f>
        <v>15299.0087890192</v>
      </c>
      <c r="AB34" s="9" t="n">
        <f aca="false">IF(AND(I34="DO",O34="MA"),S34-N34,0)</f>
        <v>0.0037458457518369</v>
      </c>
      <c r="AC34" s="9" t="n">
        <f aca="false">IF(I34="DO",X34-S34,0)</f>
        <v>0</v>
      </c>
      <c r="AD34" s="23" t="n">
        <f aca="false">IF(B35&lt;&gt;B34,1,0)</f>
        <v>0</v>
      </c>
      <c r="AE34" s="14" t="n">
        <f aca="false">IF(I34="Opening",0,AE33+W34)</f>
        <v>2061.3</v>
      </c>
      <c r="AF34" s="14" t="n">
        <f aca="false">IF(I34="Opening",K34,AF33)</f>
        <v>1416.94</v>
      </c>
      <c r="AG34" s="14" t="n">
        <f aca="false">AG33</f>
        <v>0</v>
      </c>
      <c r="AH34" s="14" t="n">
        <f aca="false">IF(W34=0,0,MAX(0,MIN(AE34,AF34)-MIN(AE34-W34,AF34)))</f>
        <v>0</v>
      </c>
      <c r="AI34" s="14" t="n">
        <f aca="false">IF(W34=0,0,MAX(0,MIN(AE34,AF34+AG34)-MAX(AE34-W34,AF34)))</f>
        <v>0</v>
      </c>
      <c r="AJ34" s="14" t="n">
        <f aca="false">W34-AH34-AI34</f>
        <v>96</v>
      </c>
      <c r="AK34" s="9" t="n">
        <f aca="false">IF(W34=0,0,X34*AH34/W34)</f>
        <v>0</v>
      </c>
      <c r="AL34" s="9" t="n">
        <f aca="false">IF(W34=0,0,X34*AI34/W34)</f>
        <v>0</v>
      </c>
      <c r="AM34" s="9" t="n">
        <f aca="false">X34-AK34-AL34</f>
        <v>1468704.84374585</v>
      </c>
    </row>
    <row r="35" customFormat="false" ht="15" hidden="false" customHeight="false" outlineLevel="0" collapsed="false">
      <c r="A35" s="6" t="n">
        <v>30</v>
      </c>
      <c r="B35" s="74" t="s">
        <v>948</v>
      </c>
      <c r="C35" s="53" t="str">
        <f aca="false">INDEX(I_Items!$C$5:$C$133,MATCH($B35,I_Items!$A$5:$A$133,0))</f>
        <v>RPA</v>
      </c>
      <c r="D35" s="53" t="str">
        <f aca="false">INDEX(I_Items!$D$5:$D$133,MATCH($B35,I_Items!$A$5:$A$133,0))</f>
        <v>Ceker</v>
      </c>
      <c r="E35" s="53" t="str">
        <f aca="false">INDEX(I_Items!$F$5:$F$133,MATCH($B35,I_Items!$A$5:$A$133,0))</f>
        <v>Fresh</v>
      </c>
      <c r="F35" s="53" t="str">
        <f aca="false">IF(INDEX(I_Items!$E$5:$E$133,MATCH($B35,I_Items!$A$5:$A$133,0))="","",INDEX(I_Items!$E$5:$E$133,MATCH($B35,I_Items!$A$5:$A$133,0)))</f>
        <v/>
      </c>
      <c r="G35" s="76" t="n">
        <v>46260</v>
      </c>
      <c r="H35" s="23" t="n">
        <f aca="false">MONTH(G35)</f>
        <v>8</v>
      </c>
      <c r="I35" s="74" t="s">
        <v>2075</v>
      </c>
      <c r="J35" s="74" t="s">
        <v>2096</v>
      </c>
      <c r="K35" s="10" t="n">
        <v>0</v>
      </c>
      <c r="L35" s="8" t="n">
        <v>0</v>
      </c>
      <c r="M35" s="10" t="n">
        <v>100.9</v>
      </c>
      <c r="N35" s="8" t="n">
        <v>1543669.99</v>
      </c>
      <c r="O35" s="74" t="s">
        <v>2077</v>
      </c>
      <c r="P35" s="74"/>
      <c r="Q35" s="74"/>
      <c r="R35" s="14" t="n">
        <f aca="false">IF(I35="Unbilled",0,M35)</f>
        <v>100.9</v>
      </c>
      <c r="S35" s="9" t="n">
        <f aca="false">IF(R35=0,0,IF(O35="Booked",N35,R35*V34))</f>
        <v>1543669.98681204</v>
      </c>
      <c r="T35" s="14" t="n">
        <f aca="false">IF(I35="Opening",K35,T34+K35-R35)</f>
        <v>1958.24</v>
      </c>
      <c r="U35" s="9" t="n">
        <f aca="false">IF(I35="Opening",L35,U34+L35-S35)</f>
        <v>29959130.971009</v>
      </c>
      <c r="V35" s="9" t="n">
        <f aca="false">IF(T35&gt;0,U35/T35,IF(I35="Opening",0,V34))</f>
        <v>15299.0087890192</v>
      </c>
      <c r="W35" s="14" t="n">
        <f aca="false">M35</f>
        <v>100.9</v>
      </c>
      <c r="X35" s="9" t="n">
        <f aca="false">IF(W35=0,0,IF(O35="Booked",N35,W35*AA34))</f>
        <v>1543669.98681204</v>
      </c>
      <c r="Y35" s="14" t="n">
        <f aca="false">IF(I35="Opening",K35,Y34+K35-W35)</f>
        <v>1958.24</v>
      </c>
      <c r="Z35" s="9" t="n">
        <f aca="false">IF(I35="Opening",L35,Z34+L35-X35)</f>
        <v>29959130.971009</v>
      </c>
      <c r="AA35" s="9" t="n">
        <f aca="false">IF(Y35&gt;0,Z35/Y35,IF(I35="Opening",0,AA34))</f>
        <v>15299.0087890192</v>
      </c>
      <c r="AB35" s="9" t="n">
        <f aca="false">IF(AND(I35="DO",O35="MA"),S35-N35,0)</f>
        <v>-0.00318796024657786</v>
      </c>
      <c r="AC35" s="9" t="n">
        <f aca="false">IF(I35="DO",X35-S35,0)</f>
        <v>0</v>
      </c>
      <c r="AD35" s="23" t="n">
        <f aca="false">IF(B36&lt;&gt;B35,1,0)</f>
        <v>0</v>
      </c>
      <c r="AE35" s="14" t="n">
        <f aca="false">IF(I35="Opening",0,AE34+W35)</f>
        <v>2162.2</v>
      </c>
      <c r="AF35" s="14" t="n">
        <f aca="false">IF(I35="Opening",K35,AF34)</f>
        <v>1416.94</v>
      </c>
      <c r="AG35" s="14" t="n">
        <f aca="false">AG34</f>
        <v>0</v>
      </c>
      <c r="AH35" s="14" t="n">
        <f aca="false">IF(W35=0,0,MAX(0,MIN(AE35,AF35)-MIN(AE35-W35,AF35)))</f>
        <v>0</v>
      </c>
      <c r="AI35" s="14" t="n">
        <f aca="false">IF(W35=0,0,MAX(0,MIN(AE35,AF35+AG35)-MAX(AE35-W35,AF35)))</f>
        <v>0</v>
      </c>
      <c r="AJ35" s="14" t="n">
        <f aca="false">W35-AH35-AI35</f>
        <v>100.9</v>
      </c>
      <c r="AK35" s="9" t="n">
        <f aca="false">IF(W35=0,0,X35*AH35/W35)</f>
        <v>0</v>
      </c>
      <c r="AL35" s="9" t="n">
        <f aca="false">IF(W35=0,0,X35*AI35/W35)</f>
        <v>0</v>
      </c>
      <c r="AM35" s="9" t="n">
        <f aca="false">X35-AK35-AL35</f>
        <v>1543669.98681204</v>
      </c>
    </row>
    <row r="36" customFormat="false" ht="15" hidden="false" customHeight="false" outlineLevel="0" collapsed="false">
      <c r="A36" s="6" t="n">
        <v>31</v>
      </c>
      <c r="B36" s="74" t="s">
        <v>948</v>
      </c>
      <c r="C36" s="53" t="str">
        <f aca="false">INDEX(I_Items!$C$5:$C$133,MATCH($B36,I_Items!$A$5:$A$133,0))</f>
        <v>RPA</v>
      </c>
      <c r="D36" s="53" t="str">
        <f aca="false">INDEX(I_Items!$D$5:$D$133,MATCH($B36,I_Items!$A$5:$A$133,0))</f>
        <v>Ceker</v>
      </c>
      <c r="E36" s="53" t="str">
        <f aca="false">INDEX(I_Items!$F$5:$F$133,MATCH($B36,I_Items!$A$5:$A$133,0))</f>
        <v>Fresh</v>
      </c>
      <c r="F36" s="53" t="str">
        <f aca="false">IF(INDEX(I_Items!$E$5:$E$133,MATCH($B36,I_Items!$A$5:$A$133,0))="","",INDEX(I_Items!$E$5:$E$133,MATCH($B36,I_Items!$A$5:$A$133,0)))</f>
        <v/>
      </c>
      <c r="G36" s="76" t="n">
        <v>46261</v>
      </c>
      <c r="H36" s="23" t="n">
        <f aca="false">MONTH(G36)</f>
        <v>8</v>
      </c>
      <c r="I36" s="74" t="s">
        <v>2074</v>
      </c>
      <c r="J36" s="74" t="s">
        <v>1320</v>
      </c>
      <c r="K36" s="10" t="n">
        <v>316.1</v>
      </c>
      <c r="L36" s="8" t="n">
        <v>5698895.02</v>
      </c>
      <c r="M36" s="10" t="n">
        <v>0</v>
      </c>
      <c r="N36" s="8" t="n">
        <v>0</v>
      </c>
      <c r="O36" s="74"/>
      <c r="P36" s="74"/>
      <c r="Q36" s="74"/>
      <c r="R36" s="14" t="n">
        <f aca="false">IF(I36="Unbilled",0,M36)</f>
        <v>0</v>
      </c>
      <c r="S36" s="9" t="n">
        <f aca="false">IF(R36=0,0,IF(O36="Booked",N36,R36*V35))</f>
        <v>0</v>
      </c>
      <c r="T36" s="14" t="n">
        <f aca="false">IF(I36="Opening",K36,T35+K36-R36)</f>
        <v>2274.34</v>
      </c>
      <c r="U36" s="9" t="n">
        <f aca="false">IF(I36="Opening",L36,U35+L36-S36)</f>
        <v>35658025.991009</v>
      </c>
      <c r="V36" s="9" t="n">
        <f aca="false">IF(T36&gt;0,U36/T36,IF(I36="Opening",0,V35))</f>
        <v>15678.4060391186</v>
      </c>
      <c r="W36" s="14" t="n">
        <f aca="false">M36</f>
        <v>0</v>
      </c>
      <c r="X36" s="9" t="n">
        <f aca="false">IF(W36=0,0,IF(O36="Booked",N36,W36*AA35))</f>
        <v>0</v>
      </c>
      <c r="Y36" s="14" t="n">
        <f aca="false">IF(I36="Opening",K36,Y35+K36-W36)</f>
        <v>2274.34</v>
      </c>
      <c r="Z36" s="9" t="n">
        <f aca="false">IF(I36="Opening",L36,Z35+L36-X36)</f>
        <v>35658025.991009</v>
      </c>
      <c r="AA36" s="9" t="n">
        <f aca="false">IF(Y36&gt;0,Z36/Y36,IF(I36="Opening",0,AA35))</f>
        <v>15678.4060391186</v>
      </c>
      <c r="AB36" s="9" t="n">
        <f aca="false">IF(AND(I36="DO",O36="MA"),S36-N36,0)</f>
        <v>0</v>
      </c>
      <c r="AC36" s="9" t="n">
        <f aca="false">IF(I36="DO",X36-S36,0)</f>
        <v>0</v>
      </c>
      <c r="AD36" s="23" t="n">
        <f aca="false">IF(B37&lt;&gt;B36,1,0)</f>
        <v>0</v>
      </c>
      <c r="AE36" s="14" t="n">
        <f aca="false">IF(I36="Opening",0,AE35+W36)</f>
        <v>2162.2</v>
      </c>
      <c r="AF36" s="14" t="n">
        <f aca="false">IF(I36="Opening",K36,AF35)</f>
        <v>1416.94</v>
      </c>
      <c r="AG36" s="14" t="n">
        <f aca="false">AG35</f>
        <v>0</v>
      </c>
      <c r="AH36" s="14" t="n">
        <f aca="false">IF(W36=0,0,MAX(0,MIN(AE36,AF36)-MIN(AE36-W36,AF36)))</f>
        <v>0</v>
      </c>
      <c r="AI36" s="14" t="n">
        <f aca="false">IF(W36=0,0,MAX(0,MIN(AE36,AF36+AG36)-MAX(AE36-W36,AF36)))</f>
        <v>0</v>
      </c>
      <c r="AJ36" s="14" t="n">
        <f aca="false">W36-AH36-AI36</f>
        <v>0</v>
      </c>
      <c r="AK36" s="9" t="n">
        <f aca="false">IF(W36=0,0,X36*AH36/W36)</f>
        <v>0</v>
      </c>
      <c r="AL36" s="9" t="n">
        <f aca="false">IF(W36=0,0,X36*AI36/W36)</f>
        <v>0</v>
      </c>
      <c r="AM36" s="9" t="n">
        <f aca="false">X36-AK36-AL36</f>
        <v>0</v>
      </c>
    </row>
    <row r="37" customFormat="false" ht="15" hidden="false" customHeight="false" outlineLevel="0" collapsed="false">
      <c r="A37" s="6" t="n">
        <v>32</v>
      </c>
      <c r="B37" s="74" t="s">
        <v>948</v>
      </c>
      <c r="C37" s="53" t="str">
        <f aca="false">INDEX(I_Items!$C$5:$C$133,MATCH($B37,I_Items!$A$5:$A$133,0))</f>
        <v>RPA</v>
      </c>
      <c r="D37" s="53" t="str">
        <f aca="false">INDEX(I_Items!$D$5:$D$133,MATCH($B37,I_Items!$A$5:$A$133,0))</f>
        <v>Ceker</v>
      </c>
      <c r="E37" s="53" t="str">
        <f aca="false">INDEX(I_Items!$F$5:$F$133,MATCH($B37,I_Items!$A$5:$A$133,0))</f>
        <v>Fresh</v>
      </c>
      <c r="F37" s="53" t="str">
        <f aca="false">IF(INDEX(I_Items!$E$5:$E$133,MATCH($B37,I_Items!$A$5:$A$133,0))="","",INDEX(I_Items!$E$5:$E$133,MATCH($B37,I_Items!$A$5:$A$133,0)))</f>
        <v/>
      </c>
      <c r="G37" s="76" t="n">
        <v>46262</v>
      </c>
      <c r="H37" s="23" t="n">
        <f aca="false">MONTH(G37)</f>
        <v>8</v>
      </c>
      <c r="I37" s="74" t="s">
        <v>2074</v>
      </c>
      <c r="J37" s="74" t="s">
        <v>1323</v>
      </c>
      <c r="K37" s="10" t="n">
        <v>429.3</v>
      </c>
      <c r="L37" s="8" t="n">
        <v>7803758.82</v>
      </c>
      <c r="M37" s="10" t="n">
        <v>0</v>
      </c>
      <c r="N37" s="8" t="n">
        <v>0</v>
      </c>
      <c r="O37" s="74"/>
      <c r="P37" s="74"/>
      <c r="Q37" s="74"/>
      <c r="R37" s="14" t="n">
        <f aca="false">IF(I37="Unbilled",0,M37)</f>
        <v>0</v>
      </c>
      <c r="S37" s="9" t="n">
        <f aca="false">IF(R37=0,0,IF(O37="Booked",N37,R37*V36))</f>
        <v>0</v>
      </c>
      <c r="T37" s="14" t="n">
        <f aca="false">IF(I37="Opening",K37,T36+K37-R37)</f>
        <v>2703.64</v>
      </c>
      <c r="U37" s="9" t="n">
        <f aca="false">IF(I37="Opening",L37,U36+L37-S37)</f>
        <v>43461784.811009</v>
      </c>
      <c r="V37" s="9" t="n">
        <f aca="false">IF(T37&gt;0,U37/T37,IF(I37="Opening",0,V36))</f>
        <v>16075.285471072</v>
      </c>
      <c r="W37" s="14" t="n">
        <f aca="false">M37</f>
        <v>0</v>
      </c>
      <c r="X37" s="9" t="n">
        <f aca="false">IF(W37=0,0,IF(O37="Booked",N37,W37*AA36))</f>
        <v>0</v>
      </c>
      <c r="Y37" s="14" t="n">
        <f aca="false">IF(I37="Opening",K37,Y36+K37-W37)</f>
        <v>2703.64</v>
      </c>
      <c r="Z37" s="9" t="n">
        <f aca="false">IF(I37="Opening",L37,Z36+L37-X37)</f>
        <v>43461784.811009</v>
      </c>
      <c r="AA37" s="9" t="n">
        <f aca="false">IF(Y37&gt;0,Z37/Y37,IF(I37="Opening",0,AA36))</f>
        <v>16075.285471072</v>
      </c>
      <c r="AB37" s="9" t="n">
        <f aca="false">IF(AND(I37="DO",O37="MA"),S37-N37,0)</f>
        <v>0</v>
      </c>
      <c r="AC37" s="9" t="n">
        <f aca="false">IF(I37="DO",X37-S37,0)</f>
        <v>0</v>
      </c>
      <c r="AD37" s="23" t="n">
        <f aca="false">IF(B38&lt;&gt;B37,1,0)</f>
        <v>0</v>
      </c>
      <c r="AE37" s="14" t="n">
        <f aca="false">IF(I37="Opening",0,AE36+W37)</f>
        <v>2162.2</v>
      </c>
      <c r="AF37" s="14" t="n">
        <f aca="false">IF(I37="Opening",K37,AF36)</f>
        <v>1416.94</v>
      </c>
      <c r="AG37" s="14" t="n">
        <f aca="false">AG36</f>
        <v>0</v>
      </c>
      <c r="AH37" s="14" t="n">
        <f aca="false">IF(W37=0,0,MAX(0,MIN(AE37,AF37)-MIN(AE37-W37,AF37)))</f>
        <v>0</v>
      </c>
      <c r="AI37" s="14" t="n">
        <f aca="false">IF(W37=0,0,MAX(0,MIN(AE37,AF37+AG37)-MAX(AE37-W37,AF37)))</f>
        <v>0</v>
      </c>
      <c r="AJ37" s="14" t="n">
        <f aca="false">W37-AH37-AI37</f>
        <v>0</v>
      </c>
      <c r="AK37" s="9" t="n">
        <f aca="false">IF(W37=0,0,X37*AH37/W37)</f>
        <v>0</v>
      </c>
      <c r="AL37" s="9" t="n">
        <f aca="false">IF(W37=0,0,X37*AI37/W37)</f>
        <v>0</v>
      </c>
      <c r="AM37" s="9" t="n">
        <f aca="false">X37-AK37-AL37</f>
        <v>0</v>
      </c>
    </row>
    <row r="38" customFormat="false" ht="15" hidden="false" customHeight="false" outlineLevel="0" collapsed="false">
      <c r="A38" s="6" t="n">
        <v>33</v>
      </c>
      <c r="B38" s="74" t="s">
        <v>948</v>
      </c>
      <c r="C38" s="53" t="str">
        <f aca="false">INDEX(I_Items!$C$5:$C$133,MATCH($B38,I_Items!$A$5:$A$133,0))</f>
        <v>RPA</v>
      </c>
      <c r="D38" s="53" t="str">
        <f aca="false">INDEX(I_Items!$D$5:$D$133,MATCH($B38,I_Items!$A$5:$A$133,0))</f>
        <v>Ceker</v>
      </c>
      <c r="E38" s="53" t="str">
        <f aca="false">INDEX(I_Items!$F$5:$F$133,MATCH($B38,I_Items!$A$5:$A$133,0))</f>
        <v>Fresh</v>
      </c>
      <c r="F38" s="53" t="str">
        <f aca="false">IF(INDEX(I_Items!$E$5:$E$133,MATCH($B38,I_Items!$A$5:$A$133,0))="","",INDEX(I_Items!$E$5:$E$133,MATCH($B38,I_Items!$A$5:$A$133,0)))</f>
        <v/>
      </c>
      <c r="G38" s="76" t="n">
        <v>46263</v>
      </c>
      <c r="H38" s="23" t="n">
        <f aca="false">MONTH(G38)</f>
        <v>8</v>
      </c>
      <c r="I38" s="74" t="s">
        <v>2075</v>
      </c>
      <c r="J38" s="74" t="s">
        <v>2097</v>
      </c>
      <c r="K38" s="10" t="n">
        <v>0</v>
      </c>
      <c r="L38" s="8" t="n">
        <v>0</v>
      </c>
      <c r="M38" s="10" t="n">
        <v>123.6</v>
      </c>
      <c r="N38" s="8" t="n">
        <v>1986905.29</v>
      </c>
      <c r="O38" s="74" t="s">
        <v>2077</v>
      </c>
      <c r="P38" s="74"/>
      <c r="Q38" s="74"/>
      <c r="R38" s="14" t="n">
        <f aca="false">IF(I38="Unbilled",0,M38)</f>
        <v>123.6</v>
      </c>
      <c r="S38" s="9" t="n">
        <f aca="false">IF(R38=0,0,IF(O38="Booked",N38,R38*V37))</f>
        <v>1986905.28422449</v>
      </c>
      <c r="T38" s="14" t="n">
        <f aca="false">IF(I38="Opening",K38,T37+K38-R38)</f>
        <v>2580.04</v>
      </c>
      <c r="U38" s="9" t="n">
        <f aca="false">IF(I38="Opening",L38,U37+L38-S38)</f>
        <v>41474879.5267845</v>
      </c>
      <c r="V38" s="9" t="n">
        <f aca="false">IF(T38&gt;0,U38/T38,IF(I38="Opening",0,V37))</f>
        <v>16075.285471072</v>
      </c>
      <c r="W38" s="14" t="n">
        <f aca="false">M38</f>
        <v>123.6</v>
      </c>
      <c r="X38" s="9" t="n">
        <f aca="false">IF(W38=0,0,IF(O38="Booked",N38,W38*AA37))</f>
        <v>1986905.28422449</v>
      </c>
      <c r="Y38" s="14" t="n">
        <f aca="false">IF(I38="Opening",K38,Y37+K38-W38)</f>
        <v>2580.04</v>
      </c>
      <c r="Z38" s="9" t="n">
        <f aca="false">IF(I38="Opening",L38,Z37+L38-X38)</f>
        <v>41474879.5267845</v>
      </c>
      <c r="AA38" s="9" t="n">
        <f aca="false">IF(Y38&gt;0,Z38/Y38,IF(I38="Opening",0,AA37))</f>
        <v>16075.285471072</v>
      </c>
      <c r="AB38" s="9" t="n">
        <f aca="false">IF(AND(I38="DO",O38="MA"),S38-N38,0)</f>
        <v>-0.00577550544403493</v>
      </c>
      <c r="AC38" s="9" t="n">
        <f aca="false">IF(I38="DO",X38-S38,0)</f>
        <v>0</v>
      </c>
      <c r="AD38" s="23" t="n">
        <f aca="false">IF(B39&lt;&gt;B38,1,0)</f>
        <v>0</v>
      </c>
      <c r="AE38" s="14" t="n">
        <f aca="false">IF(I38="Opening",0,AE37+W38)</f>
        <v>2285.8</v>
      </c>
      <c r="AF38" s="14" t="n">
        <f aca="false">IF(I38="Opening",K38,AF37)</f>
        <v>1416.94</v>
      </c>
      <c r="AG38" s="14" t="n">
        <f aca="false">AG37</f>
        <v>0</v>
      </c>
      <c r="AH38" s="14" t="n">
        <f aca="false">IF(W38=0,0,MAX(0,MIN(AE38,AF38)-MIN(AE38-W38,AF38)))</f>
        <v>0</v>
      </c>
      <c r="AI38" s="14" t="n">
        <f aca="false">IF(W38=0,0,MAX(0,MIN(AE38,AF38+AG38)-MAX(AE38-W38,AF38)))</f>
        <v>0</v>
      </c>
      <c r="AJ38" s="14" t="n">
        <f aca="false">W38-AH38-AI38</f>
        <v>123.6</v>
      </c>
      <c r="AK38" s="9" t="n">
        <f aca="false">IF(W38=0,0,X38*AH38/W38)</f>
        <v>0</v>
      </c>
      <c r="AL38" s="9" t="n">
        <f aca="false">IF(W38=0,0,X38*AI38/W38)</f>
        <v>0</v>
      </c>
      <c r="AM38" s="9" t="n">
        <f aca="false">X38-AK38-AL38</f>
        <v>1986905.28422449</v>
      </c>
    </row>
    <row r="39" customFormat="false" ht="15" hidden="false" customHeight="false" outlineLevel="0" collapsed="false">
      <c r="A39" s="6" t="n">
        <v>34</v>
      </c>
      <c r="B39" s="74" t="s">
        <v>948</v>
      </c>
      <c r="C39" s="53" t="str">
        <f aca="false">INDEX(I_Items!$C$5:$C$133,MATCH($B39,I_Items!$A$5:$A$133,0))</f>
        <v>RPA</v>
      </c>
      <c r="D39" s="53" t="str">
        <f aca="false">INDEX(I_Items!$D$5:$D$133,MATCH($B39,I_Items!$A$5:$A$133,0))</f>
        <v>Ceker</v>
      </c>
      <c r="E39" s="53" t="str">
        <f aca="false">INDEX(I_Items!$F$5:$F$133,MATCH($B39,I_Items!$A$5:$A$133,0))</f>
        <v>Fresh</v>
      </c>
      <c r="F39" s="53" t="str">
        <f aca="false">IF(INDEX(I_Items!$E$5:$E$133,MATCH($B39,I_Items!$A$5:$A$133,0))="","",INDEX(I_Items!$E$5:$E$133,MATCH($B39,I_Items!$A$5:$A$133,0)))</f>
        <v/>
      </c>
      <c r="G39" s="76" t="n">
        <v>46263</v>
      </c>
      <c r="H39" s="23" t="n">
        <f aca="false">MONTH(G39)</f>
        <v>8</v>
      </c>
      <c r="I39" s="74" t="s">
        <v>2075</v>
      </c>
      <c r="J39" s="74" t="s">
        <v>2098</v>
      </c>
      <c r="K39" s="10" t="n">
        <v>0</v>
      </c>
      <c r="L39" s="8" t="n">
        <v>0</v>
      </c>
      <c r="M39" s="10" t="n">
        <v>110.7</v>
      </c>
      <c r="N39" s="8" t="n">
        <v>1779534.1</v>
      </c>
      <c r="O39" s="74" t="s">
        <v>2077</v>
      </c>
      <c r="P39" s="74"/>
      <c r="Q39" s="74"/>
      <c r="R39" s="14" t="n">
        <f aca="false">IF(I39="Unbilled",0,M39)</f>
        <v>110.7</v>
      </c>
      <c r="S39" s="9" t="n">
        <f aca="false">IF(R39=0,0,IF(O39="Booked",N39,R39*V38))</f>
        <v>1779534.10164767</v>
      </c>
      <c r="T39" s="14" t="n">
        <f aca="false">IF(I39="Opening",K39,T38+K39-R39)</f>
        <v>2469.34</v>
      </c>
      <c r="U39" s="9" t="n">
        <f aca="false">IF(I39="Opening",L39,U38+L39-S39)</f>
        <v>39695345.4251368</v>
      </c>
      <c r="V39" s="9" t="n">
        <f aca="false">IF(T39&gt;0,U39/T39,IF(I39="Opening",0,V38))</f>
        <v>16075.285471072</v>
      </c>
      <c r="W39" s="14" t="n">
        <f aca="false">M39</f>
        <v>110.7</v>
      </c>
      <c r="X39" s="9" t="n">
        <f aca="false">IF(W39=0,0,IF(O39="Booked",N39,W39*AA38))</f>
        <v>1779534.10164767</v>
      </c>
      <c r="Y39" s="14" t="n">
        <f aca="false">IF(I39="Opening",K39,Y38+K39-W39)</f>
        <v>2469.34</v>
      </c>
      <c r="Z39" s="9" t="n">
        <f aca="false">IF(I39="Opening",L39,Z38+L39-X39)</f>
        <v>39695345.4251368</v>
      </c>
      <c r="AA39" s="9" t="n">
        <f aca="false">IF(Y39&gt;0,Z39/Y39,IF(I39="Opening",0,AA38))</f>
        <v>16075.285471072</v>
      </c>
      <c r="AB39" s="9" t="n">
        <f aca="false">IF(AND(I39="DO",O39="MA"),S39-N39,0)</f>
        <v>0.00164766632951796</v>
      </c>
      <c r="AC39" s="9" t="n">
        <f aca="false">IF(I39="DO",X39-S39,0)</f>
        <v>0</v>
      </c>
      <c r="AD39" s="23" t="n">
        <f aca="false">IF(B40&lt;&gt;B39,1,0)</f>
        <v>0</v>
      </c>
      <c r="AE39" s="14" t="n">
        <f aca="false">IF(I39="Opening",0,AE38+W39)</f>
        <v>2396.5</v>
      </c>
      <c r="AF39" s="14" t="n">
        <f aca="false">IF(I39="Opening",K39,AF38)</f>
        <v>1416.94</v>
      </c>
      <c r="AG39" s="14" t="n">
        <f aca="false">AG38</f>
        <v>0</v>
      </c>
      <c r="AH39" s="14" t="n">
        <f aca="false">IF(W39=0,0,MAX(0,MIN(AE39,AF39)-MIN(AE39-W39,AF39)))</f>
        <v>0</v>
      </c>
      <c r="AI39" s="14" t="n">
        <f aca="false">IF(W39=0,0,MAX(0,MIN(AE39,AF39+AG39)-MAX(AE39-W39,AF39)))</f>
        <v>0</v>
      </c>
      <c r="AJ39" s="14" t="n">
        <f aca="false">W39-AH39-AI39</f>
        <v>110.7</v>
      </c>
      <c r="AK39" s="9" t="n">
        <f aca="false">IF(W39=0,0,X39*AH39/W39)</f>
        <v>0</v>
      </c>
      <c r="AL39" s="9" t="n">
        <f aca="false">IF(W39=0,0,X39*AI39/W39)</f>
        <v>0</v>
      </c>
      <c r="AM39" s="9" t="n">
        <f aca="false">X39-AK39-AL39</f>
        <v>1779534.10164767</v>
      </c>
    </row>
    <row r="40" customFormat="false" ht="15" hidden="false" customHeight="false" outlineLevel="0" collapsed="false">
      <c r="A40" s="6" t="n">
        <v>35</v>
      </c>
      <c r="B40" s="74" t="s">
        <v>948</v>
      </c>
      <c r="C40" s="53" t="str">
        <f aca="false">INDEX(I_Items!$C$5:$C$133,MATCH($B40,I_Items!$A$5:$A$133,0))</f>
        <v>RPA</v>
      </c>
      <c r="D40" s="53" t="str">
        <f aca="false">INDEX(I_Items!$D$5:$D$133,MATCH($B40,I_Items!$A$5:$A$133,0))</f>
        <v>Ceker</v>
      </c>
      <c r="E40" s="53" t="str">
        <f aca="false">INDEX(I_Items!$F$5:$F$133,MATCH($B40,I_Items!$A$5:$A$133,0))</f>
        <v>Fresh</v>
      </c>
      <c r="F40" s="53" t="str">
        <f aca="false">IF(INDEX(I_Items!$E$5:$E$133,MATCH($B40,I_Items!$A$5:$A$133,0))="","",INDEX(I_Items!$E$5:$E$133,MATCH($B40,I_Items!$A$5:$A$133,0)))</f>
        <v/>
      </c>
      <c r="G40" s="76" t="n">
        <v>46263</v>
      </c>
      <c r="H40" s="23" t="n">
        <f aca="false">MONTH(G40)</f>
        <v>8</v>
      </c>
      <c r="I40" s="74" t="s">
        <v>2075</v>
      </c>
      <c r="J40" s="74" t="s">
        <v>2099</v>
      </c>
      <c r="K40" s="10" t="n">
        <v>0</v>
      </c>
      <c r="L40" s="8" t="n">
        <v>0</v>
      </c>
      <c r="M40" s="10" t="n">
        <v>91.3</v>
      </c>
      <c r="N40" s="8" t="n">
        <v>1467673.57</v>
      </c>
      <c r="O40" s="74" t="s">
        <v>2077</v>
      </c>
      <c r="P40" s="74"/>
      <c r="Q40" s="74"/>
      <c r="R40" s="14" t="n">
        <f aca="false">IF(I40="Unbilled",0,M40)</f>
        <v>91.3</v>
      </c>
      <c r="S40" s="9" t="n">
        <f aca="false">IF(R40=0,0,IF(O40="Booked",N40,R40*V39))</f>
        <v>1467673.56350887</v>
      </c>
      <c r="T40" s="14" t="n">
        <f aca="false">IF(I40="Opening",K40,T39+K40-R40)</f>
        <v>2378.04</v>
      </c>
      <c r="U40" s="9" t="n">
        <f aca="false">IF(I40="Opening",L40,U39+L40-S40)</f>
        <v>38227671.861628</v>
      </c>
      <c r="V40" s="9" t="n">
        <f aca="false">IF(T40&gt;0,U40/T40,IF(I40="Opening",0,V39))</f>
        <v>16075.285471072</v>
      </c>
      <c r="W40" s="14" t="n">
        <f aca="false">M40</f>
        <v>91.3</v>
      </c>
      <c r="X40" s="9" t="n">
        <f aca="false">IF(W40=0,0,IF(O40="Booked",N40,W40*AA39))</f>
        <v>1467673.56350887</v>
      </c>
      <c r="Y40" s="14" t="n">
        <f aca="false">IF(I40="Opening",K40,Y39+K40-W40)</f>
        <v>2378.04</v>
      </c>
      <c r="Z40" s="9" t="n">
        <f aca="false">IF(I40="Opening",L40,Z39+L40-X40)</f>
        <v>38227671.861628</v>
      </c>
      <c r="AA40" s="9" t="n">
        <f aca="false">IF(Y40&gt;0,Z40/Y40,IF(I40="Opening",0,AA39))</f>
        <v>16075.285471072</v>
      </c>
      <c r="AB40" s="9" t="n">
        <f aca="false">IF(AND(I40="DO",O40="MA"),S40-N40,0)</f>
        <v>-0.00649112998507917</v>
      </c>
      <c r="AC40" s="9" t="n">
        <f aca="false">IF(I40="DO",X40-S40,0)</f>
        <v>0</v>
      </c>
      <c r="AD40" s="23" t="n">
        <f aca="false">IF(B41&lt;&gt;B40,1,0)</f>
        <v>0</v>
      </c>
      <c r="AE40" s="14" t="n">
        <f aca="false">IF(I40="Opening",0,AE39+W40)</f>
        <v>2487.8</v>
      </c>
      <c r="AF40" s="14" t="n">
        <f aca="false">IF(I40="Opening",K40,AF39)</f>
        <v>1416.94</v>
      </c>
      <c r="AG40" s="14" t="n">
        <f aca="false">AG39</f>
        <v>0</v>
      </c>
      <c r="AH40" s="14" t="n">
        <f aca="false">IF(W40=0,0,MAX(0,MIN(AE40,AF40)-MIN(AE40-W40,AF40)))</f>
        <v>0</v>
      </c>
      <c r="AI40" s="14" t="n">
        <f aca="false">IF(W40=0,0,MAX(0,MIN(AE40,AF40+AG40)-MAX(AE40-W40,AF40)))</f>
        <v>0</v>
      </c>
      <c r="AJ40" s="14" t="n">
        <f aca="false">W40-AH40-AI40</f>
        <v>91.3</v>
      </c>
      <c r="AK40" s="9" t="n">
        <f aca="false">IF(W40=0,0,X40*AH40/W40)</f>
        <v>0</v>
      </c>
      <c r="AL40" s="9" t="n">
        <f aca="false">IF(W40=0,0,X40*AI40/W40)</f>
        <v>0</v>
      </c>
      <c r="AM40" s="9" t="n">
        <f aca="false">X40-AK40-AL40</f>
        <v>1467673.56350887</v>
      </c>
    </row>
    <row r="41" customFormat="false" ht="15" hidden="false" customHeight="false" outlineLevel="0" collapsed="false">
      <c r="A41" s="6" t="n">
        <v>36</v>
      </c>
      <c r="B41" s="74" t="s">
        <v>948</v>
      </c>
      <c r="C41" s="53" t="str">
        <f aca="false">INDEX(I_Items!$C$5:$C$133,MATCH($B41,I_Items!$A$5:$A$133,0))</f>
        <v>RPA</v>
      </c>
      <c r="D41" s="53" t="str">
        <f aca="false">INDEX(I_Items!$D$5:$D$133,MATCH($B41,I_Items!$A$5:$A$133,0))</f>
        <v>Ceker</v>
      </c>
      <c r="E41" s="53" t="str">
        <f aca="false">INDEX(I_Items!$F$5:$F$133,MATCH($B41,I_Items!$A$5:$A$133,0))</f>
        <v>Fresh</v>
      </c>
      <c r="F41" s="53" t="str">
        <f aca="false">IF(INDEX(I_Items!$E$5:$E$133,MATCH($B41,I_Items!$A$5:$A$133,0))="","",INDEX(I_Items!$E$5:$E$133,MATCH($B41,I_Items!$A$5:$A$133,0)))</f>
        <v/>
      </c>
      <c r="G41" s="76" t="n">
        <v>46263</v>
      </c>
      <c r="H41" s="23" t="n">
        <f aca="false">MONTH(G41)</f>
        <v>8</v>
      </c>
      <c r="I41" s="74" t="s">
        <v>2075</v>
      </c>
      <c r="J41" s="74" t="s">
        <v>2100</v>
      </c>
      <c r="K41" s="10" t="n">
        <v>0</v>
      </c>
      <c r="L41" s="8" t="n">
        <v>0</v>
      </c>
      <c r="M41" s="10" t="n">
        <v>110.3</v>
      </c>
      <c r="N41" s="8" t="n">
        <v>1773103.99</v>
      </c>
      <c r="O41" s="74" t="s">
        <v>2077</v>
      </c>
      <c r="P41" s="74"/>
      <c r="Q41" s="74"/>
      <c r="R41" s="14" t="n">
        <f aca="false">IF(I41="Unbilled",0,M41)</f>
        <v>110.3</v>
      </c>
      <c r="S41" s="9" t="n">
        <f aca="false">IF(R41=0,0,IF(O41="Booked",N41,R41*V40))</f>
        <v>1773103.98745924</v>
      </c>
      <c r="T41" s="14" t="n">
        <f aca="false">IF(I41="Opening",K41,T40+K41-R41)</f>
        <v>2267.74</v>
      </c>
      <c r="U41" s="9" t="n">
        <f aca="false">IF(I41="Opening",L41,U40+L41-S41)</f>
        <v>36454567.8741687</v>
      </c>
      <c r="V41" s="9" t="n">
        <f aca="false">IF(T41&gt;0,U41/T41,IF(I41="Opening",0,V40))</f>
        <v>16075.285471072</v>
      </c>
      <c r="W41" s="14" t="n">
        <f aca="false">M41</f>
        <v>110.3</v>
      </c>
      <c r="X41" s="9" t="n">
        <f aca="false">IF(W41=0,0,IF(O41="Booked",N41,W41*AA40))</f>
        <v>1773103.98745924</v>
      </c>
      <c r="Y41" s="14" t="n">
        <f aca="false">IF(I41="Opening",K41,Y40+K41-W41)</f>
        <v>2267.74</v>
      </c>
      <c r="Z41" s="9" t="n">
        <f aca="false">IF(I41="Opening",L41,Z40+L41-X41)</f>
        <v>36454567.8741687</v>
      </c>
      <c r="AA41" s="9" t="n">
        <f aca="false">IF(Y41&gt;0,Z41/Y41,IF(I41="Opening",0,AA40))</f>
        <v>16075.285471072</v>
      </c>
      <c r="AB41" s="9" t="n">
        <f aca="false">IF(AND(I41="DO",O41="MA"),S41-N41,0)</f>
        <v>-0.00254076230339706</v>
      </c>
      <c r="AC41" s="9" t="n">
        <f aca="false">IF(I41="DO",X41-S41,0)</f>
        <v>0</v>
      </c>
      <c r="AD41" s="23" t="n">
        <f aca="false">IF(B42&lt;&gt;B41,1,0)</f>
        <v>0</v>
      </c>
      <c r="AE41" s="14" t="n">
        <f aca="false">IF(I41="Opening",0,AE40+W41)</f>
        <v>2598.1</v>
      </c>
      <c r="AF41" s="14" t="n">
        <f aca="false">IF(I41="Opening",K41,AF40)</f>
        <v>1416.94</v>
      </c>
      <c r="AG41" s="14" t="n">
        <f aca="false">AG40</f>
        <v>0</v>
      </c>
      <c r="AH41" s="14" t="n">
        <f aca="false">IF(W41=0,0,MAX(0,MIN(AE41,AF41)-MIN(AE41-W41,AF41)))</f>
        <v>0</v>
      </c>
      <c r="AI41" s="14" t="n">
        <f aca="false">IF(W41=0,0,MAX(0,MIN(AE41,AF41+AG41)-MAX(AE41-W41,AF41)))</f>
        <v>0</v>
      </c>
      <c r="AJ41" s="14" t="n">
        <f aca="false">W41-AH41-AI41</f>
        <v>110.3</v>
      </c>
      <c r="AK41" s="9" t="n">
        <f aca="false">IF(W41=0,0,X41*AH41/W41)</f>
        <v>0</v>
      </c>
      <c r="AL41" s="9" t="n">
        <f aca="false">IF(W41=0,0,X41*AI41/W41)</f>
        <v>0</v>
      </c>
      <c r="AM41" s="9" t="n">
        <f aca="false">X41-AK41-AL41</f>
        <v>1773103.98745924</v>
      </c>
    </row>
    <row r="42" customFormat="false" ht="15" hidden="false" customHeight="false" outlineLevel="0" collapsed="false">
      <c r="A42" s="6" t="n">
        <v>37</v>
      </c>
      <c r="B42" s="74" t="s">
        <v>948</v>
      </c>
      <c r="C42" s="53" t="str">
        <f aca="false">INDEX(I_Items!$C$5:$C$133,MATCH($B42,I_Items!$A$5:$A$133,0))</f>
        <v>RPA</v>
      </c>
      <c r="D42" s="53" t="str">
        <f aca="false">INDEX(I_Items!$D$5:$D$133,MATCH($B42,I_Items!$A$5:$A$133,0))</f>
        <v>Ceker</v>
      </c>
      <c r="E42" s="53" t="str">
        <f aca="false">INDEX(I_Items!$F$5:$F$133,MATCH($B42,I_Items!$A$5:$A$133,0))</f>
        <v>Fresh</v>
      </c>
      <c r="F42" s="53" t="str">
        <f aca="false">IF(INDEX(I_Items!$E$5:$E$133,MATCH($B42,I_Items!$A$5:$A$133,0))="","",INDEX(I_Items!$E$5:$E$133,MATCH($B42,I_Items!$A$5:$A$133,0)))</f>
        <v/>
      </c>
      <c r="G42" s="76" t="n">
        <v>46263</v>
      </c>
      <c r="H42" s="23" t="n">
        <f aca="false">MONTH(G42)</f>
        <v>8</v>
      </c>
      <c r="I42" s="74" t="s">
        <v>2075</v>
      </c>
      <c r="J42" s="74" t="s">
        <v>2101</v>
      </c>
      <c r="K42" s="10" t="n">
        <v>0</v>
      </c>
      <c r="L42" s="8" t="n">
        <v>0</v>
      </c>
      <c r="M42" s="10" t="n">
        <v>102.3</v>
      </c>
      <c r="N42" s="8" t="n">
        <v>1644501.71</v>
      </c>
      <c r="O42" s="74" t="s">
        <v>2077</v>
      </c>
      <c r="P42" s="74"/>
      <c r="Q42" s="74"/>
      <c r="R42" s="14" t="n">
        <f aca="false">IF(I42="Unbilled",0,M42)</f>
        <v>102.3</v>
      </c>
      <c r="S42" s="9" t="n">
        <f aca="false">IF(R42=0,0,IF(O42="Booked",N42,R42*V41))</f>
        <v>1644501.70369066</v>
      </c>
      <c r="T42" s="14" t="n">
        <f aca="false">IF(I42="Opening",K42,T41+K42-R42)</f>
        <v>2165.44</v>
      </c>
      <c r="U42" s="9" t="n">
        <f aca="false">IF(I42="Opening",L42,U41+L42-S42)</f>
        <v>34810066.1704781</v>
      </c>
      <c r="V42" s="9" t="n">
        <f aca="false">IF(T42&gt;0,U42/T42,IF(I42="Opening",0,V41))</f>
        <v>16075.285471072</v>
      </c>
      <c r="W42" s="14" t="n">
        <f aca="false">M42</f>
        <v>102.3</v>
      </c>
      <c r="X42" s="9" t="n">
        <f aca="false">IF(W42=0,0,IF(O42="Booked",N42,W42*AA41))</f>
        <v>1644501.70369066</v>
      </c>
      <c r="Y42" s="14" t="n">
        <f aca="false">IF(I42="Opening",K42,Y41+K42-W42)</f>
        <v>2165.44</v>
      </c>
      <c r="Z42" s="9" t="n">
        <f aca="false">IF(I42="Opening",L42,Z41+L42-X42)</f>
        <v>34810066.1704781</v>
      </c>
      <c r="AA42" s="9" t="n">
        <f aca="false">IF(Y42&gt;0,Z42/Y42,IF(I42="Opening",0,AA41))</f>
        <v>16075.285471072</v>
      </c>
      <c r="AB42" s="9" t="n">
        <f aca="false">IF(AND(I42="DO",O42="MA"),S42-N42,0)</f>
        <v>-0.00630933768115938</v>
      </c>
      <c r="AC42" s="9" t="n">
        <f aca="false">IF(I42="DO",X42-S42,0)</f>
        <v>0</v>
      </c>
      <c r="AD42" s="23" t="n">
        <f aca="false">IF(B43&lt;&gt;B42,1,0)</f>
        <v>0</v>
      </c>
      <c r="AE42" s="14" t="n">
        <f aca="false">IF(I42="Opening",0,AE41+W42)</f>
        <v>2700.4</v>
      </c>
      <c r="AF42" s="14" t="n">
        <f aca="false">IF(I42="Opening",K42,AF41)</f>
        <v>1416.94</v>
      </c>
      <c r="AG42" s="14" t="n">
        <f aca="false">AG41</f>
        <v>0</v>
      </c>
      <c r="AH42" s="14" t="n">
        <f aca="false">IF(W42=0,0,MAX(0,MIN(AE42,AF42)-MIN(AE42-W42,AF42)))</f>
        <v>0</v>
      </c>
      <c r="AI42" s="14" t="n">
        <f aca="false">IF(W42=0,0,MAX(0,MIN(AE42,AF42+AG42)-MAX(AE42-W42,AF42)))</f>
        <v>0</v>
      </c>
      <c r="AJ42" s="14" t="n">
        <f aca="false">W42-AH42-AI42</f>
        <v>102.3</v>
      </c>
      <c r="AK42" s="9" t="n">
        <f aca="false">IF(W42=0,0,X42*AH42/W42)</f>
        <v>0</v>
      </c>
      <c r="AL42" s="9" t="n">
        <f aca="false">IF(W42=0,0,X42*AI42/W42)</f>
        <v>0</v>
      </c>
      <c r="AM42" s="9" t="n">
        <f aca="false">X42-AK42-AL42</f>
        <v>1644501.70369066</v>
      </c>
    </row>
    <row r="43" customFormat="false" ht="15" hidden="false" customHeight="false" outlineLevel="0" collapsed="false">
      <c r="A43" s="6" t="n">
        <v>38</v>
      </c>
      <c r="B43" s="74" t="s">
        <v>948</v>
      </c>
      <c r="C43" s="53" t="str">
        <f aca="false">INDEX(I_Items!$C$5:$C$133,MATCH($B43,I_Items!$A$5:$A$133,0))</f>
        <v>RPA</v>
      </c>
      <c r="D43" s="53" t="str">
        <f aca="false">INDEX(I_Items!$D$5:$D$133,MATCH($B43,I_Items!$A$5:$A$133,0))</f>
        <v>Ceker</v>
      </c>
      <c r="E43" s="53" t="str">
        <f aca="false">INDEX(I_Items!$F$5:$F$133,MATCH($B43,I_Items!$A$5:$A$133,0))</f>
        <v>Fresh</v>
      </c>
      <c r="F43" s="53" t="str">
        <f aca="false">IF(INDEX(I_Items!$E$5:$E$133,MATCH($B43,I_Items!$A$5:$A$133,0))="","",INDEX(I_Items!$E$5:$E$133,MATCH($B43,I_Items!$A$5:$A$133,0)))</f>
        <v/>
      </c>
      <c r="G43" s="76" t="n">
        <v>46263</v>
      </c>
      <c r="H43" s="23" t="n">
        <f aca="false">MONTH(G43)</f>
        <v>8</v>
      </c>
      <c r="I43" s="74" t="s">
        <v>2075</v>
      </c>
      <c r="J43" s="74" t="s">
        <v>2102</v>
      </c>
      <c r="K43" s="10" t="n">
        <v>0</v>
      </c>
      <c r="L43" s="8" t="n">
        <v>0</v>
      </c>
      <c r="M43" s="10" t="n">
        <v>103.5</v>
      </c>
      <c r="N43" s="8" t="n">
        <v>1663792.05</v>
      </c>
      <c r="O43" s="74" t="s">
        <v>2077</v>
      </c>
      <c r="P43" s="74"/>
      <c r="Q43" s="74"/>
      <c r="R43" s="14" t="n">
        <f aca="false">IF(I43="Unbilled",0,M43)</f>
        <v>103.5</v>
      </c>
      <c r="S43" s="9" t="n">
        <f aca="false">IF(R43=0,0,IF(O43="Booked",N43,R43*V42))</f>
        <v>1663792.04625595</v>
      </c>
      <c r="T43" s="14" t="n">
        <f aca="false">IF(I43="Opening",K43,T42+K43-R43)</f>
        <v>2061.94</v>
      </c>
      <c r="U43" s="9" t="n">
        <f aca="false">IF(I43="Opening",L43,U42+L43-S43)</f>
        <v>33146274.1242221</v>
      </c>
      <c r="V43" s="9" t="n">
        <f aca="false">IF(T43&gt;0,U43/T43,IF(I43="Opening",0,V42))</f>
        <v>16075.285471072</v>
      </c>
      <c r="W43" s="14" t="n">
        <f aca="false">M43</f>
        <v>103.5</v>
      </c>
      <c r="X43" s="9" t="n">
        <f aca="false">IF(W43=0,0,IF(O43="Booked",N43,W43*AA42))</f>
        <v>1663792.04625595</v>
      </c>
      <c r="Y43" s="14" t="n">
        <f aca="false">IF(I43="Opening",K43,Y42+K43-W43)</f>
        <v>2061.94</v>
      </c>
      <c r="Z43" s="9" t="n">
        <f aca="false">IF(I43="Opening",L43,Z42+L43-X43)</f>
        <v>33146274.1242221</v>
      </c>
      <c r="AA43" s="9" t="n">
        <f aca="false">IF(Y43&gt;0,Z43/Y43,IF(I43="Opening",0,AA42))</f>
        <v>16075.285471072</v>
      </c>
      <c r="AB43" s="9" t="n">
        <f aca="false">IF(AND(I43="DO",O43="MA"),S43-N43,0)</f>
        <v>-0.00374405132606626</v>
      </c>
      <c r="AC43" s="9" t="n">
        <f aca="false">IF(I43="DO",X43-S43,0)</f>
        <v>0</v>
      </c>
      <c r="AD43" s="23" t="n">
        <f aca="false">IF(B44&lt;&gt;B43,1,0)</f>
        <v>0</v>
      </c>
      <c r="AE43" s="14" t="n">
        <f aca="false">IF(I43="Opening",0,AE42+W43)</f>
        <v>2803.9</v>
      </c>
      <c r="AF43" s="14" t="n">
        <f aca="false">IF(I43="Opening",K43,AF42)</f>
        <v>1416.94</v>
      </c>
      <c r="AG43" s="14" t="n">
        <f aca="false">AG42</f>
        <v>0</v>
      </c>
      <c r="AH43" s="14" t="n">
        <f aca="false">IF(W43=0,0,MAX(0,MIN(AE43,AF43)-MIN(AE43-W43,AF43)))</f>
        <v>0</v>
      </c>
      <c r="AI43" s="14" t="n">
        <f aca="false">IF(W43=0,0,MAX(0,MIN(AE43,AF43+AG43)-MAX(AE43-W43,AF43)))</f>
        <v>0</v>
      </c>
      <c r="AJ43" s="14" t="n">
        <f aca="false">W43-AH43-AI43</f>
        <v>103.5</v>
      </c>
      <c r="AK43" s="9" t="n">
        <f aca="false">IF(W43=0,0,X43*AH43/W43)</f>
        <v>0</v>
      </c>
      <c r="AL43" s="9" t="n">
        <f aca="false">IF(W43=0,0,X43*AI43/W43)</f>
        <v>0</v>
      </c>
      <c r="AM43" s="9" t="n">
        <f aca="false">X43-AK43-AL43</f>
        <v>1663792.04625595</v>
      </c>
    </row>
    <row r="44" customFormat="false" ht="15" hidden="false" customHeight="false" outlineLevel="0" collapsed="false">
      <c r="A44" s="6" t="n">
        <v>39</v>
      </c>
      <c r="B44" s="74" t="s">
        <v>948</v>
      </c>
      <c r="C44" s="53" t="str">
        <f aca="false">INDEX(I_Items!$C$5:$C$133,MATCH($B44,I_Items!$A$5:$A$133,0))</f>
        <v>RPA</v>
      </c>
      <c r="D44" s="53" t="str">
        <f aca="false">INDEX(I_Items!$D$5:$D$133,MATCH($B44,I_Items!$A$5:$A$133,0))</f>
        <v>Ceker</v>
      </c>
      <c r="E44" s="53" t="str">
        <f aca="false">INDEX(I_Items!$F$5:$F$133,MATCH($B44,I_Items!$A$5:$A$133,0))</f>
        <v>Fresh</v>
      </c>
      <c r="F44" s="53" t="str">
        <f aca="false">IF(INDEX(I_Items!$E$5:$E$133,MATCH($B44,I_Items!$A$5:$A$133,0))="","",INDEX(I_Items!$E$5:$E$133,MATCH($B44,I_Items!$A$5:$A$133,0)))</f>
        <v/>
      </c>
      <c r="G44" s="76" t="n">
        <v>46263</v>
      </c>
      <c r="H44" s="23" t="n">
        <f aca="false">MONTH(G44)</f>
        <v>8</v>
      </c>
      <c r="I44" s="74" t="s">
        <v>2075</v>
      </c>
      <c r="J44" s="74" t="s">
        <v>2103</v>
      </c>
      <c r="K44" s="10" t="n">
        <v>0</v>
      </c>
      <c r="L44" s="8" t="n">
        <v>0</v>
      </c>
      <c r="M44" s="10" t="n">
        <v>107.8</v>
      </c>
      <c r="N44" s="8" t="n">
        <v>1732915.78</v>
      </c>
      <c r="O44" s="74" t="s">
        <v>2077</v>
      </c>
      <c r="P44" s="74"/>
      <c r="Q44" s="74"/>
      <c r="R44" s="14" t="n">
        <f aca="false">IF(I44="Unbilled",0,M44)</f>
        <v>107.8</v>
      </c>
      <c r="S44" s="9" t="n">
        <f aca="false">IF(R44=0,0,IF(O44="Booked",N44,R44*V43))</f>
        <v>1732915.77378156</v>
      </c>
      <c r="T44" s="14" t="n">
        <f aca="false">IF(I44="Opening",K44,T43+K44-R44)</f>
        <v>1954.14</v>
      </c>
      <c r="U44" s="9" t="n">
        <f aca="false">IF(I44="Opening",L44,U43+L44-S44)</f>
        <v>31413358.3504406</v>
      </c>
      <c r="V44" s="9" t="n">
        <f aca="false">IF(T44&gt;0,U44/T44,IF(I44="Opening",0,V43))</f>
        <v>16075.285471072</v>
      </c>
      <c r="W44" s="14" t="n">
        <f aca="false">M44</f>
        <v>107.8</v>
      </c>
      <c r="X44" s="9" t="n">
        <f aca="false">IF(W44=0,0,IF(O44="Booked",N44,W44*AA43))</f>
        <v>1732915.77378156</v>
      </c>
      <c r="Y44" s="14" t="n">
        <f aca="false">IF(I44="Opening",K44,Y43+K44-W44)</f>
        <v>1954.14</v>
      </c>
      <c r="Z44" s="9" t="n">
        <f aca="false">IF(I44="Opening",L44,Z43+L44-X44)</f>
        <v>31413358.3504406</v>
      </c>
      <c r="AA44" s="9" t="n">
        <f aca="false">IF(Y44&gt;0,Z44/Y44,IF(I44="Opening",0,AA43))</f>
        <v>16075.285471072</v>
      </c>
      <c r="AB44" s="9" t="n">
        <f aca="false">IF(AND(I44="DO",O44="MA"),S44-N44,0)</f>
        <v>-0.00621844199486077</v>
      </c>
      <c r="AC44" s="9" t="n">
        <f aca="false">IF(I44="DO",X44-S44,0)</f>
        <v>0</v>
      </c>
      <c r="AD44" s="23" t="n">
        <f aca="false">IF(B45&lt;&gt;B44,1,0)</f>
        <v>0</v>
      </c>
      <c r="AE44" s="14" t="n">
        <f aca="false">IF(I44="Opening",0,AE43+W44)</f>
        <v>2911.7</v>
      </c>
      <c r="AF44" s="14" t="n">
        <f aca="false">IF(I44="Opening",K44,AF43)</f>
        <v>1416.94</v>
      </c>
      <c r="AG44" s="14" t="n">
        <f aca="false">AG43</f>
        <v>0</v>
      </c>
      <c r="AH44" s="14" t="n">
        <f aca="false">IF(W44=0,0,MAX(0,MIN(AE44,AF44)-MIN(AE44-W44,AF44)))</f>
        <v>0</v>
      </c>
      <c r="AI44" s="14" t="n">
        <f aca="false">IF(W44=0,0,MAX(0,MIN(AE44,AF44+AG44)-MAX(AE44-W44,AF44)))</f>
        <v>0</v>
      </c>
      <c r="AJ44" s="14" t="n">
        <f aca="false">W44-AH44-AI44</f>
        <v>107.8</v>
      </c>
      <c r="AK44" s="9" t="n">
        <f aca="false">IF(W44=0,0,X44*AH44/W44)</f>
        <v>0</v>
      </c>
      <c r="AL44" s="9" t="n">
        <f aca="false">IF(W44=0,0,X44*AI44/W44)</f>
        <v>0</v>
      </c>
      <c r="AM44" s="9" t="n">
        <f aca="false">X44-AK44-AL44</f>
        <v>1732915.77378156</v>
      </c>
    </row>
    <row r="45" customFormat="false" ht="15" hidden="false" customHeight="false" outlineLevel="0" collapsed="false">
      <c r="A45" s="6" t="n">
        <v>40</v>
      </c>
      <c r="B45" s="74" t="s">
        <v>948</v>
      </c>
      <c r="C45" s="53" t="str">
        <f aca="false">INDEX(I_Items!$C$5:$C$133,MATCH($B45,I_Items!$A$5:$A$133,0))</f>
        <v>RPA</v>
      </c>
      <c r="D45" s="53" t="str">
        <f aca="false">INDEX(I_Items!$D$5:$D$133,MATCH($B45,I_Items!$A$5:$A$133,0))</f>
        <v>Ceker</v>
      </c>
      <c r="E45" s="53" t="str">
        <f aca="false">INDEX(I_Items!$F$5:$F$133,MATCH($B45,I_Items!$A$5:$A$133,0))</f>
        <v>Fresh</v>
      </c>
      <c r="F45" s="53" t="str">
        <f aca="false">IF(INDEX(I_Items!$E$5:$E$133,MATCH($B45,I_Items!$A$5:$A$133,0))="","",INDEX(I_Items!$E$5:$E$133,MATCH($B45,I_Items!$A$5:$A$133,0)))</f>
        <v/>
      </c>
      <c r="G45" s="76" t="n">
        <v>46263</v>
      </c>
      <c r="H45" s="23" t="n">
        <f aca="false">MONTH(G45)</f>
        <v>8</v>
      </c>
      <c r="I45" s="74" t="s">
        <v>2075</v>
      </c>
      <c r="J45" s="74" t="s">
        <v>2104</v>
      </c>
      <c r="K45" s="10" t="n">
        <v>0</v>
      </c>
      <c r="L45" s="8" t="n">
        <v>0</v>
      </c>
      <c r="M45" s="10" t="n">
        <v>109.1</v>
      </c>
      <c r="N45" s="8" t="n">
        <v>1753813.65</v>
      </c>
      <c r="O45" s="74" t="s">
        <v>2077</v>
      </c>
      <c r="P45" s="74"/>
      <c r="Q45" s="74"/>
      <c r="R45" s="14" t="n">
        <f aca="false">IF(I45="Unbilled",0,M45)</f>
        <v>109.1</v>
      </c>
      <c r="S45" s="9" t="n">
        <f aca="false">IF(R45=0,0,IF(O45="Booked",N45,R45*V44))</f>
        <v>1753813.64489395</v>
      </c>
      <c r="T45" s="14" t="n">
        <f aca="false">IF(I45="Opening",K45,T44+K45-R45)</f>
        <v>1845.04</v>
      </c>
      <c r="U45" s="9" t="n">
        <f aca="false">IF(I45="Opening",L45,U44+L45-S45)</f>
        <v>29659544.7055466</v>
      </c>
      <c r="V45" s="9" t="n">
        <f aca="false">IF(T45&gt;0,U45/T45,IF(I45="Opening",0,V44))</f>
        <v>16075.285471072</v>
      </c>
      <c r="W45" s="14" t="n">
        <f aca="false">M45</f>
        <v>109.1</v>
      </c>
      <c r="X45" s="9" t="n">
        <f aca="false">IF(W45=0,0,IF(O45="Booked",N45,W45*AA44))</f>
        <v>1753813.64489395</v>
      </c>
      <c r="Y45" s="14" t="n">
        <f aca="false">IF(I45="Opening",K45,Y44+K45-W45)</f>
        <v>1845.04</v>
      </c>
      <c r="Z45" s="9" t="n">
        <f aca="false">IF(I45="Opening",L45,Z44+L45-X45)</f>
        <v>29659544.7055466</v>
      </c>
      <c r="AA45" s="9" t="n">
        <f aca="false">IF(Y45&gt;0,Z45/Y45,IF(I45="Opening",0,AA44))</f>
        <v>16075.285471072</v>
      </c>
      <c r="AB45" s="9" t="n">
        <f aca="false">IF(AND(I45="DO",O45="MA"),S45-N45,0)</f>
        <v>-0.00510604842565954</v>
      </c>
      <c r="AC45" s="9" t="n">
        <f aca="false">IF(I45="DO",X45-S45,0)</f>
        <v>0</v>
      </c>
      <c r="AD45" s="23" t="n">
        <f aca="false">IF(B46&lt;&gt;B45,1,0)</f>
        <v>0</v>
      </c>
      <c r="AE45" s="14" t="n">
        <f aca="false">IF(I45="Opening",0,AE44+W45)</f>
        <v>3020.8</v>
      </c>
      <c r="AF45" s="14" t="n">
        <f aca="false">IF(I45="Opening",K45,AF44)</f>
        <v>1416.94</v>
      </c>
      <c r="AG45" s="14" t="n">
        <f aca="false">AG44</f>
        <v>0</v>
      </c>
      <c r="AH45" s="14" t="n">
        <f aca="false">IF(W45=0,0,MAX(0,MIN(AE45,AF45)-MIN(AE45-W45,AF45)))</f>
        <v>0</v>
      </c>
      <c r="AI45" s="14" t="n">
        <f aca="false">IF(W45=0,0,MAX(0,MIN(AE45,AF45+AG45)-MAX(AE45-W45,AF45)))</f>
        <v>0</v>
      </c>
      <c r="AJ45" s="14" t="n">
        <f aca="false">W45-AH45-AI45</f>
        <v>109.1</v>
      </c>
      <c r="AK45" s="9" t="n">
        <f aca="false">IF(W45=0,0,X45*AH45/W45)</f>
        <v>0</v>
      </c>
      <c r="AL45" s="9" t="n">
        <f aca="false">IF(W45=0,0,X45*AI45/W45)</f>
        <v>0</v>
      </c>
      <c r="AM45" s="9" t="n">
        <f aca="false">X45-AK45-AL45</f>
        <v>1753813.64489395</v>
      </c>
    </row>
    <row r="46" customFormat="false" ht="15" hidden="false" customHeight="false" outlineLevel="0" collapsed="false">
      <c r="A46" s="6" t="n">
        <v>41</v>
      </c>
      <c r="B46" s="74" t="s">
        <v>948</v>
      </c>
      <c r="C46" s="53" t="str">
        <f aca="false">INDEX(I_Items!$C$5:$C$133,MATCH($B46,I_Items!$A$5:$A$133,0))</f>
        <v>RPA</v>
      </c>
      <c r="D46" s="53" t="str">
        <f aca="false">INDEX(I_Items!$D$5:$D$133,MATCH($B46,I_Items!$A$5:$A$133,0))</f>
        <v>Ceker</v>
      </c>
      <c r="E46" s="53" t="str">
        <f aca="false">INDEX(I_Items!$F$5:$F$133,MATCH($B46,I_Items!$A$5:$A$133,0))</f>
        <v>Fresh</v>
      </c>
      <c r="F46" s="53" t="str">
        <f aca="false">IF(INDEX(I_Items!$E$5:$E$133,MATCH($B46,I_Items!$A$5:$A$133,0))="","",INDEX(I_Items!$E$5:$E$133,MATCH($B46,I_Items!$A$5:$A$133,0)))</f>
        <v/>
      </c>
      <c r="G46" s="76" t="n">
        <v>46263</v>
      </c>
      <c r="H46" s="23" t="n">
        <f aca="false">MONTH(G46)</f>
        <v>8</v>
      </c>
      <c r="I46" s="74" t="s">
        <v>2075</v>
      </c>
      <c r="J46" s="74" t="s">
        <v>2105</v>
      </c>
      <c r="K46" s="10" t="n">
        <v>0</v>
      </c>
      <c r="L46" s="8" t="n">
        <v>0</v>
      </c>
      <c r="M46" s="10" t="n">
        <v>112.2</v>
      </c>
      <c r="N46" s="8" t="n">
        <v>1803647.03</v>
      </c>
      <c r="O46" s="74" t="s">
        <v>2077</v>
      </c>
      <c r="P46" s="74"/>
      <c r="Q46" s="74"/>
      <c r="R46" s="14" t="n">
        <f aca="false">IF(I46="Unbilled",0,M46)</f>
        <v>112.2</v>
      </c>
      <c r="S46" s="9" t="n">
        <f aca="false">IF(R46=0,0,IF(O46="Booked",N46,R46*V45))</f>
        <v>1803647.02985427</v>
      </c>
      <c r="T46" s="14" t="n">
        <f aca="false">IF(I46="Opening",K46,T45+K46-R46)</f>
        <v>1732.84</v>
      </c>
      <c r="U46" s="9" t="n">
        <f aca="false">IF(I46="Opening",L46,U45+L46-S46)</f>
        <v>27855897.6756923</v>
      </c>
      <c r="V46" s="9" t="n">
        <f aca="false">IF(T46&gt;0,U46/T46,IF(I46="Opening",0,V45))</f>
        <v>16075.285471072</v>
      </c>
      <c r="W46" s="14" t="n">
        <f aca="false">M46</f>
        <v>112.2</v>
      </c>
      <c r="X46" s="9" t="n">
        <f aca="false">IF(W46=0,0,IF(O46="Booked",N46,W46*AA45))</f>
        <v>1803647.02985427</v>
      </c>
      <c r="Y46" s="14" t="n">
        <f aca="false">IF(I46="Opening",K46,Y45+K46-W46)</f>
        <v>1732.84</v>
      </c>
      <c r="Z46" s="9" t="n">
        <f aca="false">IF(I46="Opening",L46,Z45+L46-X46)</f>
        <v>27855897.6756923</v>
      </c>
      <c r="AA46" s="9" t="n">
        <f aca="false">IF(Y46&gt;0,Z46/Y46,IF(I46="Opening",0,AA45))</f>
        <v>16075.285471072</v>
      </c>
      <c r="AB46" s="9" t="n">
        <f aca="false">IF(AND(I46="DO",O46="MA"),S46-N46,0)</f>
        <v>-0.000145725207403302</v>
      </c>
      <c r="AC46" s="9" t="n">
        <f aca="false">IF(I46="DO",X46-S46,0)</f>
        <v>0</v>
      </c>
      <c r="AD46" s="23" t="n">
        <f aca="false">IF(B47&lt;&gt;B46,1,0)</f>
        <v>0</v>
      </c>
      <c r="AE46" s="14" t="n">
        <f aca="false">IF(I46="Opening",0,AE45+W46)</f>
        <v>3133</v>
      </c>
      <c r="AF46" s="14" t="n">
        <f aca="false">IF(I46="Opening",K46,AF45)</f>
        <v>1416.94</v>
      </c>
      <c r="AG46" s="14" t="n">
        <f aca="false">AG45</f>
        <v>0</v>
      </c>
      <c r="AH46" s="14" t="n">
        <f aca="false">IF(W46=0,0,MAX(0,MIN(AE46,AF46)-MIN(AE46-W46,AF46)))</f>
        <v>0</v>
      </c>
      <c r="AI46" s="14" t="n">
        <f aca="false">IF(W46=0,0,MAX(0,MIN(AE46,AF46+AG46)-MAX(AE46-W46,AF46)))</f>
        <v>0</v>
      </c>
      <c r="AJ46" s="14" t="n">
        <f aca="false">W46-AH46-AI46</f>
        <v>112.2</v>
      </c>
      <c r="AK46" s="9" t="n">
        <f aca="false">IF(W46=0,0,X46*AH46/W46)</f>
        <v>0</v>
      </c>
      <c r="AL46" s="9" t="n">
        <f aca="false">IF(W46=0,0,X46*AI46/W46)</f>
        <v>0</v>
      </c>
      <c r="AM46" s="9" t="n">
        <f aca="false">X46-AK46-AL46</f>
        <v>1803647.02985427</v>
      </c>
    </row>
    <row r="47" customFormat="false" ht="15" hidden="false" customHeight="false" outlineLevel="0" collapsed="false">
      <c r="A47" s="6" t="n">
        <v>42</v>
      </c>
      <c r="B47" s="74" t="s">
        <v>948</v>
      </c>
      <c r="C47" s="53" t="str">
        <f aca="false">INDEX(I_Items!$C$5:$C$133,MATCH($B47,I_Items!$A$5:$A$133,0))</f>
        <v>RPA</v>
      </c>
      <c r="D47" s="53" t="str">
        <f aca="false">INDEX(I_Items!$D$5:$D$133,MATCH($B47,I_Items!$A$5:$A$133,0))</f>
        <v>Ceker</v>
      </c>
      <c r="E47" s="53" t="str">
        <f aca="false">INDEX(I_Items!$F$5:$F$133,MATCH($B47,I_Items!$A$5:$A$133,0))</f>
        <v>Fresh</v>
      </c>
      <c r="F47" s="53" t="str">
        <f aca="false">IF(INDEX(I_Items!$E$5:$E$133,MATCH($B47,I_Items!$A$5:$A$133,0))="","",INDEX(I_Items!$E$5:$E$133,MATCH($B47,I_Items!$A$5:$A$133,0)))</f>
        <v/>
      </c>
      <c r="G47" s="76" t="n">
        <v>46263</v>
      </c>
      <c r="H47" s="23" t="n">
        <f aca="false">MONTH(G47)</f>
        <v>8</v>
      </c>
      <c r="I47" s="74" t="s">
        <v>2075</v>
      </c>
      <c r="J47" s="74" t="s">
        <v>2106</v>
      </c>
      <c r="K47" s="10" t="n">
        <v>0</v>
      </c>
      <c r="L47" s="8" t="n">
        <v>0</v>
      </c>
      <c r="M47" s="10" t="n">
        <v>100.2</v>
      </c>
      <c r="N47" s="8" t="n">
        <v>1610743.61</v>
      </c>
      <c r="O47" s="74" t="s">
        <v>2077</v>
      </c>
      <c r="P47" s="74"/>
      <c r="Q47" s="74"/>
      <c r="R47" s="14" t="n">
        <f aca="false">IF(I47="Unbilled",0,M47)</f>
        <v>100.2</v>
      </c>
      <c r="S47" s="9" t="n">
        <f aca="false">IF(R47=0,0,IF(O47="Booked",N47,R47*V46))</f>
        <v>1610743.60420141</v>
      </c>
      <c r="T47" s="14" t="n">
        <f aca="false">IF(I47="Opening",K47,T46+K47-R47)</f>
        <v>1632.64</v>
      </c>
      <c r="U47" s="9" t="n">
        <f aca="false">IF(I47="Opening",L47,U46+L47-S47)</f>
        <v>26245154.0714909</v>
      </c>
      <c r="V47" s="9" t="n">
        <f aca="false">IF(T47&gt;0,U47/T47,IF(I47="Opening",0,V46))</f>
        <v>16075.285471072</v>
      </c>
      <c r="W47" s="14" t="n">
        <f aca="false">M47</f>
        <v>100.2</v>
      </c>
      <c r="X47" s="9" t="n">
        <f aca="false">IF(W47=0,0,IF(O47="Booked",N47,W47*AA46))</f>
        <v>1610743.60420141</v>
      </c>
      <c r="Y47" s="14" t="n">
        <f aca="false">IF(I47="Opening",K47,Y46+K47-W47)</f>
        <v>1632.64</v>
      </c>
      <c r="Z47" s="9" t="n">
        <f aca="false">IF(I47="Opening",L47,Z46+L47-X47)</f>
        <v>26245154.0714909</v>
      </c>
      <c r="AA47" s="9" t="n">
        <f aca="false">IF(Y47&gt;0,Z47/Y47,IF(I47="Opening",0,AA46))</f>
        <v>16075.285471072</v>
      </c>
      <c r="AB47" s="9" t="n">
        <f aca="false">IF(AND(I47="DO",O47="MA"),S47-N47,0)</f>
        <v>-0.00579858897253871</v>
      </c>
      <c r="AC47" s="9" t="n">
        <f aca="false">IF(I47="DO",X47-S47,0)</f>
        <v>0</v>
      </c>
      <c r="AD47" s="23" t="n">
        <f aca="false">IF(B48&lt;&gt;B47,1,0)</f>
        <v>0</v>
      </c>
      <c r="AE47" s="14" t="n">
        <f aca="false">IF(I47="Opening",0,AE46+W47)</f>
        <v>3233.2</v>
      </c>
      <c r="AF47" s="14" t="n">
        <f aca="false">IF(I47="Opening",K47,AF46)</f>
        <v>1416.94</v>
      </c>
      <c r="AG47" s="14" t="n">
        <f aca="false">AG46</f>
        <v>0</v>
      </c>
      <c r="AH47" s="14" t="n">
        <f aca="false">IF(W47=0,0,MAX(0,MIN(AE47,AF47)-MIN(AE47-W47,AF47)))</f>
        <v>0</v>
      </c>
      <c r="AI47" s="14" t="n">
        <f aca="false">IF(W47=0,0,MAX(0,MIN(AE47,AF47+AG47)-MAX(AE47-W47,AF47)))</f>
        <v>0</v>
      </c>
      <c r="AJ47" s="14" t="n">
        <f aca="false">W47-AH47-AI47</f>
        <v>100.2</v>
      </c>
      <c r="AK47" s="9" t="n">
        <f aca="false">IF(W47=0,0,X47*AH47/W47)</f>
        <v>0</v>
      </c>
      <c r="AL47" s="9" t="n">
        <f aca="false">IF(W47=0,0,X47*AI47/W47)</f>
        <v>0</v>
      </c>
      <c r="AM47" s="9" t="n">
        <f aca="false">X47-AK47-AL47</f>
        <v>1610743.60420141</v>
      </c>
    </row>
    <row r="48" customFormat="false" ht="15" hidden="false" customHeight="false" outlineLevel="0" collapsed="false">
      <c r="A48" s="6" t="n">
        <v>43</v>
      </c>
      <c r="B48" s="74" t="s">
        <v>948</v>
      </c>
      <c r="C48" s="53" t="str">
        <f aca="false">INDEX(I_Items!$C$5:$C$133,MATCH($B48,I_Items!$A$5:$A$133,0))</f>
        <v>RPA</v>
      </c>
      <c r="D48" s="53" t="str">
        <f aca="false">INDEX(I_Items!$D$5:$D$133,MATCH($B48,I_Items!$A$5:$A$133,0))</f>
        <v>Ceker</v>
      </c>
      <c r="E48" s="53" t="str">
        <f aca="false">INDEX(I_Items!$F$5:$F$133,MATCH($B48,I_Items!$A$5:$A$133,0))</f>
        <v>Fresh</v>
      </c>
      <c r="F48" s="53" t="str">
        <f aca="false">IF(INDEX(I_Items!$E$5:$E$133,MATCH($B48,I_Items!$A$5:$A$133,0))="","",INDEX(I_Items!$E$5:$E$133,MATCH($B48,I_Items!$A$5:$A$133,0)))</f>
        <v/>
      </c>
      <c r="G48" s="76" t="n">
        <v>46265</v>
      </c>
      <c r="H48" s="23" t="n">
        <f aca="false">MONTH(G48)</f>
        <v>8</v>
      </c>
      <c r="I48" s="74" t="s">
        <v>2074</v>
      </c>
      <c r="J48" s="74" t="s">
        <v>1326</v>
      </c>
      <c r="K48" s="10" t="n">
        <v>433.6</v>
      </c>
      <c r="L48" s="8" t="n">
        <v>7746229.18</v>
      </c>
      <c r="M48" s="10" t="n">
        <v>0</v>
      </c>
      <c r="N48" s="8" t="n">
        <v>0</v>
      </c>
      <c r="O48" s="74"/>
      <c r="P48" s="74"/>
      <c r="Q48" s="74"/>
      <c r="R48" s="14" t="n">
        <f aca="false">IF(I48="Unbilled",0,M48)</f>
        <v>0</v>
      </c>
      <c r="S48" s="9" t="n">
        <f aca="false">IF(R48=0,0,IF(O48="Booked",N48,R48*V47))</f>
        <v>0</v>
      </c>
      <c r="T48" s="14" t="n">
        <f aca="false">IF(I48="Opening",K48,T47+K48-R48)</f>
        <v>2066.24</v>
      </c>
      <c r="U48" s="9" t="n">
        <f aca="false">IF(I48="Opening",L48,U47+L48-S48)</f>
        <v>33991383.2514909</v>
      </c>
      <c r="V48" s="9" t="n">
        <f aca="false">IF(T48&gt;0,U48/T48,IF(I48="Opening",0,V47))</f>
        <v>16450.8398111986</v>
      </c>
      <c r="W48" s="14" t="n">
        <f aca="false">M48</f>
        <v>0</v>
      </c>
      <c r="X48" s="9" t="n">
        <f aca="false">IF(W48=0,0,IF(O48="Booked",N48,W48*AA47))</f>
        <v>0</v>
      </c>
      <c r="Y48" s="14" t="n">
        <f aca="false">IF(I48="Opening",K48,Y47+K48-W48)</f>
        <v>2066.24</v>
      </c>
      <c r="Z48" s="9" t="n">
        <f aca="false">IF(I48="Opening",L48,Z47+L48-X48)</f>
        <v>33991383.2514909</v>
      </c>
      <c r="AA48" s="9" t="n">
        <f aca="false">IF(Y48&gt;0,Z48/Y48,IF(I48="Opening",0,AA47))</f>
        <v>16450.8398111986</v>
      </c>
      <c r="AB48" s="9" t="n">
        <f aca="false">IF(AND(I48="DO",O48="MA"),S48-N48,0)</f>
        <v>0</v>
      </c>
      <c r="AC48" s="9" t="n">
        <f aca="false">IF(I48="DO",X48-S48,0)</f>
        <v>0</v>
      </c>
      <c r="AD48" s="23" t="n">
        <f aca="false">IF(B49&lt;&gt;B48,1,0)</f>
        <v>0</v>
      </c>
      <c r="AE48" s="14" t="n">
        <f aca="false">IF(I48="Opening",0,AE47+W48)</f>
        <v>3233.2</v>
      </c>
      <c r="AF48" s="14" t="n">
        <f aca="false">IF(I48="Opening",K48,AF47)</f>
        <v>1416.94</v>
      </c>
      <c r="AG48" s="14" t="n">
        <f aca="false">AG47</f>
        <v>0</v>
      </c>
      <c r="AH48" s="14" t="n">
        <f aca="false">IF(W48=0,0,MAX(0,MIN(AE48,AF48)-MIN(AE48-W48,AF48)))</f>
        <v>0</v>
      </c>
      <c r="AI48" s="14" t="n">
        <f aca="false">IF(W48=0,0,MAX(0,MIN(AE48,AF48+AG48)-MAX(AE48-W48,AF48)))</f>
        <v>0</v>
      </c>
      <c r="AJ48" s="14" t="n">
        <f aca="false">W48-AH48-AI48</f>
        <v>0</v>
      </c>
      <c r="AK48" s="9" t="n">
        <f aca="false">IF(W48=0,0,X48*AH48/W48)</f>
        <v>0</v>
      </c>
      <c r="AL48" s="9" t="n">
        <f aca="false">IF(W48=0,0,X48*AI48/W48)</f>
        <v>0</v>
      </c>
      <c r="AM48" s="9" t="n">
        <f aca="false">X48-AK48-AL48</f>
        <v>0</v>
      </c>
    </row>
    <row r="49" customFormat="false" ht="15" hidden="false" customHeight="false" outlineLevel="0" collapsed="false">
      <c r="A49" s="6" t="n">
        <v>44</v>
      </c>
      <c r="B49" s="74" t="s">
        <v>948</v>
      </c>
      <c r="C49" s="53" t="str">
        <f aca="false">INDEX(I_Items!$C$5:$C$133,MATCH($B49,I_Items!$A$5:$A$133,0))</f>
        <v>RPA</v>
      </c>
      <c r="D49" s="53" t="str">
        <f aca="false">INDEX(I_Items!$D$5:$D$133,MATCH($B49,I_Items!$A$5:$A$133,0))</f>
        <v>Ceker</v>
      </c>
      <c r="E49" s="53" t="str">
        <f aca="false">INDEX(I_Items!$F$5:$F$133,MATCH($B49,I_Items!$A$5:$A$133,0))</f>
        <v>Fresh</v>
      </c>
      <c r="F49" s="53" t="str">
        <f aca="false">IF(INDEX(I_Items!$E$5:$E$133,MATCH($B49,I_Items!$A$5:$A$133,0))="","",INDEX(I_Items!$E$5:$E$133,MATCH($B49,I_Items!$A$5:$A$133,0)))</f>
        <v/>
      </c>
      <c r="G49" s="76" t="n">
        <v>46265</v>
      </c>
      <c r="H49" s="23" t="n">
        <f aca="false">MONTH(G49)</f>
        <v>8</v>
      </c>
      <c r="I49" s="74" t="s">
        <v>2075</v>
      </c>
      <c r="J49" s="74" t="s">
        <v>2107</v>
      </c>
      <c r="K49" s="10" t="n">
        <v>0</v>
      </c>
      <c r="L49" s="8" t="n">
        <v>0</v>
      </c>
      <c r="M49" s="10" t="n">
        <v>117.8</v>
      </c>
      <c r="N49" s="8" t="n">
        <v>1937908.93</v>
      </c>
      <c r="O49" s="74" t="s">
        <v>2077</v>
      </c>
      <c r="P49" s="74"/>
      <c r="Q49" s="74"/>
      <c r="R49" s="14" t="n">
        <f aca="false">IF(I49="Unbilled",0,M49)</f>
        <v>117.8</v>
      </c>
      <c r="S49" s="9" t="n">
        <f aca="false">IF(R49=0,0,IF(O49="Booked",N49,R49*V48))</f>
        <v>1937908.92975919</v>
      </c>
      <c r="T49" s="14" t="n">
        <f aca="false">IF(I49="Opening",K49,T48+K49-R49)</f>
        <v>1948.44</v>
      </c>
      <c r="U49" s="9" t="n">
        <f aca="false">IF(I49="Opening",L49,U48+L49-S49)</f>
        <v>32053474.3217317</v>
      </c>
      <c r="V49" s="9" t="n">
        <f aca="false">IF(T49&gt;0,U49/T49,IF(I49="Opening",0,V48))</f>
        <v>16450.8398111986</v>
      </c>
      <c r="W49" s="14" t="n">
        <f aca="false">M49</f>
        <v>117.8</v>
      </c>
      <c r="X49" s="9" t="n">
        <f aca="false">IF(W49=0,0,IF(O49="Booked",N49,W49*AA48))</f>
        <v>1937908.92975919</v>
      </c>
      <c r="Y49" s="14" t="n">
        <f aca="false">IF(I49="Opening",K49,Y48+K49-W49)</f>
        <v>1948.44</v>
      </c>
      <c r="Z49" s="9" t="n">
        <f aca="false">IF(I49="Opening",L49,Z48+L49-X49)</f>
        <v>32053474.3217317</v>
      </c>
      <c r="AA49" s="9" t="n">
        <f aca="false">IF(Y49&gt;0,Z49/Y49,IF(I49="Opening",0,AA48))</f>
        <v>16450.8398111986</v>
      </c>
      <c r="AB49" s="9" t="n">
        <f aca="false">IF(AND(I49="DO",O49="MA"),S49-N49,0)</f>
        <v>-0.000240808119997382</v>
      </c>
      <c r="AC49" s="9" t="n">
        <f aca="false">IF(I49="DO",X49-S49,0)</f>
        <v>0</v>
      </c>
      <c r="AD49" s="23" t="n">
        <f aca="false">IF(B50&lt;&gt;B49,1,0)</f>
        <v>0</v>
      </c>
      <c r="AE49" s="14" t="n">
        <f aca="false">IF(I49="Opening",0,AE48+W49)</f>
        <v>3351</v>
      </c>
      <c r="AF49" s="14" t="n">
        <f aca="false">IF(I49="Opening",K49,AF48)</f>
        <v>1416.94</v>
      </c>
      <c r="AG49" s="14" t="n">
        <f aca="false">AG48</f>
        <v>0</v>
      </c>
      <c r="AH49" s="14" t="n">
        <f aca="false">IF(W49=0,0,MAX(0,MIN(AE49,AF49)-MIN(AE49-W49,AF49)))</f>
        <v>0</v>
      </c>
      <c r="AI49" s="14" t="n">
        <f aca="false">IF(W49=0,0,MAX(0,MIN(AE49,AF49+AG49)-MAX(AE49-W49,AF49)))</f>
        <v>0</v>
      </c>
      <c r="AJ49" s="14" t="n">
        <f aca="false">W49-AH49-AI49</f>
        <v>117.8</v>
      </c>
      <c r="AK49" s="9" t="n">
        <f aca="false">IF(W49=0,0,X49*AH49/W49)</f>
        <v>0</v>
      </c>
      <c r="AL49" s="9" t="n">
        <f aca="false">IF(W49=0,0,X49*AI49/W49)</f>
        <v>0</v>
      </c>
      <c r="AM49" s="9" t="n">
        <f aca="false">X49-AK49-AL49</f>
        <v>1937908.92975919</v>
      </c>
    </row>
    <row r="50" customFormat="false" ht="15" hidden="false" customHeight="false" outlineLevel="0" collapsed="false">
      <c r="A50" s="6" t="n">
        <v>45</v>
      </c>
      <c r="B50" s="74" t="s">
        <v>948</v>
      </c>
      <c r="C50" s="53" t="str">
        <f aca="false">INDEX(I_Items!$C$5:$C$133,MATCH($B50,I_Items!$A$5:$A$133,0))</f>
        <v>RPA</v>
      </c>
      <c r="D50" s="53" t="str">
        <f aca="false">INDEX(I_Items!$D$5:$D$133,MATCH($B50,I_Items!$A$5:$A$133,0))</f>
        <v>Ceker</v>
      </c>
      <c r="E50" s="53" t="str">
        <f aca="false">INDEX(I_Items!$F$5:$F$133,MATCH($B50,I_Items!$A$5:$A$133,0))</f>
        <v>Fresh</v>
      </c>
      <c r="F50" s="53" t="str">
        <f aca="false">IF(INDEX(I_Items!$E$5:$E$133,MATCH($B50,I_Items!$A$5:$A$133,0))="","",INDEX(I_Items!$E$5:$E$133,MATCH($B50,I_Items!$A$5:$A$133,0)))</f>
        <v/>
      </c>
      <c r="G50" s="76" t="n">
        <v>46265</v>
      </c>
      <c r="H50" s="23" t="n">
        <f aca="false">MONTH(G50)</f>
        <v>8</v>
      </c>
      <c r="I50" s="74" t="s">
        <v>2075</v>
      </c>
      <c r="J50" s="74" t="s">
        <v>2108</v>
      </c>
      <c r="K50" s="10" t="n">
        <v>0</v>
      </c>
      <c r="L50" s="8" t="n">
        <v>0</v>
      </c>
      <c r="M50" s="10" t="n">
        <v>105.9</v>
      </c>
      <c r="N50" s="8" t="n">
        <v>1742143.93</v>
      </c>
      <c r="O50" s="74" t="s">
        <v>2077</v>
      </c>
      <c r="P50" s="74"/>
      <c r="Q50" s="74"/>
      <c r="R50" s="14" t="n">
        <f aca="false">IF(I50="Unbilled",0,M50)</f>
        <v>105.9</v>
      </c>
      <c r="S50" s="9" t="n">
        <f aca="false">IF(R50=0,0,IF(O50="Booked",N50,R50*V49))</f>
        <v>1742143.93600593</v>
      </c>
      <c r="T50" s="14" t="n">
        <f aca="false">IF(I50="Opening",K50,T49+K50-R50)</f>
        <v>1842.54</v>
      </c>
      <c r="U50" s="9" t="n">
        <f aca="false">IF(I50="Opening",L50,U49+L50-S50)</f>
        <v>30311330.3857258</v>
      </c>
      <c r="V50" s="9" t="n">
        <f aca="false">IF(T50&gt;0,U50/T50,IF(I50="Opening",0,V49))</f>
        <v>16450.8398111986</v>
      </c>
      <c r="W50" s="14" t="n">
        <f aca="false">M50</f>
        <v>105.9</v>
      </c>
      <c r="X50" s="9" t="n">
        <f aca="false">IF(W50=0,0,IF(O50="Booked",N50,W50*AA49))</f>
        <v>1742143.93600593</v>
      </c>
      <c r="Y50" s="14" t="n">
        <f aca="false">IF(I50="Opening",K50,Y49+K50-W50)</f>
        <v>1842.54</v>
      </c>
      <c r="Z50" s="9" t="n">
        <f aca="false">IF(I50="Opening",L50,Z49+L50-X50)</f>
        <v>30311330.3857258</v>
      </c>
      <c r="AA50" s="9" t="n">
        <f aca="false">IF(Y50&gt;0,Z50/Y50,IF(I50="Opening",0,AA49))</f>
        <v>16450.8398111986</v>
      </c>
      <c r="AB50" s="9" t="n">
        <f aca="false">IF(AND(I50="DO",O50="MA"),S50-N50,0)</f>
        <v>0.00600592908449471</v>
      </c>
      <c r="AC50" s="9" t="n">
        <f aca="false">IF(I50="DO",X50-S50,0)</f>
        <v>0</v>
      </c>
      <c r="AD50" s="23" t="n">
        <f aca="false">IF(B51&lt;&gt;B50,1,0)</f>
        <v>0</v>
      </c>
      <c r="AE50" s="14" t="n">
        <f aca="false">IF(I50="Opening",0,AE49+W50)</f>
        <v>3456.9</v>
      </c>
      <c r="AF50" s="14" t="n">
        <f aca="false">IF(I50="Opening",K50,AF49)</f>
        <v>1416.94</v>
      </c>
      <c r="AG50" s="14" t="n">
        <f aca="false">AG49</f>
        <v>0</v>
      </c>
      <c r="AH50" s="14" t="n">
        <f aca="false">IF(W50=0,0,MAX(0,MIN(AE50,AF50)-MIN(AE50-W50,AF50)))</f>
        <v>0</v>
      </c>
      <c r="AI50" s="14" t="n">
        <f aca="false">IF(W50=0,0,MAX(0,MIN(AE50,AF50+AG50)-MAX(AE50-W50,AF50)))</f>
        <v>0</v>
      </c>
      <c r="AJ50" s="14" t="n">
        <f aca="false">W50-AH50-AI50</f>
        <v>105.9</v>
      </c>
      <c r="AK50" s="9" t="n">
        <f aca="false">IF(W50=0,0,X50*AH50/W50)</f>
        <v>0</v>
      </c>
      <c r="AL50" s="9" t="n">
        <f aca="false">IF(W50=0,0,X50*AI50/W50)</f>
        <v>0</v>
      </c>
      <c r="AM50" s="9" t="n">
        <f aca="false">X50-AK50-AL50</f>
        <v>1742143.93600593</v>
      </c>
    </row>
    <row r="51" customFormat="false" ht="15" hidden="false" customHeight="false" outlineLevel="0" collapsed="false">
      <c r="A51" s="6" t="n">
        <v>46</v>
      </c>
      <c r="B51" s="74" t="s">
        <v>948</v>
      </c>
      <c r="C51" s="53" t="str">
        <f aca="false">INDEX(I_Items!$C$5:$C$133,MATCH($B51,I_Items!$A$5:$A$133,0))</f>
        <v>RPA</v>
      </c>
      <c r="D51" s="53" t="str">
        <f aca="false">INDEX(I_Items!$D$5:$D$133,MATCH($B51,I_Items!$A$5:$A$133,0))</f>
        <v>Ceker</v>
      </c>
      <c r="E51" s="53" t="str">
        <f aca="false">INDEX(I_Items!$F$5:$F$133,MATCH($B51,I_Items!$A$5:$A$133,0))</f>
        <v>Fresh</v>
      </c>
      <c r="F51" s="53" t="str">
        <f aca="false">IF(INDEX(I_Items!$E$5:$E$133,MATCH($B51,I_Items!$A$5:$A$133,0))="","",INDEX(I_Items!$E$5:$E$133,MATCH($B51,I_Items!$A$5:$A$133,0)))</f>
        <v/>
      </c>
      <c r="G51" s="76" t="n">
        <v>46265</v>
      </c>
      <c r="H51" s="23" t="n">
        <f aca="false">MONTH(G51)</f>
        <v>8</v>
      </c>
      <c r="I51" s="74" t="s">
        <v>2075</v>
      </c>
      <c r="J51" s="74" t="s">
        <v>2109</v>
      </c>
      <c r="K51" s="10" t="n">
        <v>0</v>
      </c>
      <c r="L51" s="8" t="n">
        <v>0</v>
      </c>
      <c r="M51" s="10" t="n">
        <v>106</v>
      </c>
      <c r="N51" s="8" t="n">
        <v>1743789.02</v>
      </c>
      <c r="O51" s="74" t="s">
        <v>2077</v>
      </c>
      <c r="P51" s="74"/>
      <c r="Q51" s="74"/>
      <c r="R51" s="14" t="n">
        <f aca="false">IF(I51="Unbilled",0,M51)</f>
        <v>106</v>
      </c>
      <c r="S51" s="9" t="n">
        <f aca="false">IF(R51=0,0,IF(O51="Booked",N51,R51*V50))</f>
        <v>1743789.01998705</v>
      </c>
      <c r="T51" s="14" t="n">
        <f aca="false">IF(I51="Opening",K51,T50+K51-R51)</f>
        <v>1736.54</v>
      </c>
      <c r="U51" s="9" t="n">
        <f aca="false">IF(I51="Opening",L51,U50+L51-S51)</f>
        <v>28567541.3657388</v>
      </c>
      <c r="V51" s="9" t="n">
        <f aca="false">IF(T51&gt;0,U51/T51,IF(I51="Opening",0,V50))</f>
        <v>16450.8398111986</v>
      </c>
      <c r="W51" s="14" t="n">
        <f aca="false">M51</f>
        <v>106</v>
      </c>
      <c r="X51" s="9" t="n">
        <f aca="false">IF(W51=0,0,IF(O51="Booked",N51,W51*AA50))</f>
        <v>1743789.01998705</v>
      </c>
      <c r="Y51" s="14" t="n">
        <f aca="false">IF(I51="Opening",K51,Y50+K51-W51)</f>
        <v>1736.54</v>
      </c>
      <c r="Z51" s="9" t="n">
        <f aca="false">IF(I51="Opening",L51,Z50+L51-X51)</f>
        <v>28567541.3657388</v>
      </c>
      <c r="AA51" s="9" t="n">
        <f aca="false">IF(Y51&gt;0,Z51/Y51,IF(I51="Opening",0,AA50))</f>
        <v>16450.8398111986</v>
      </c>
      <c r="AB51" s="9" t="n">
        <f aca="false">IF(AND(I51="DO",O51="MA"),S51-N51,0)</f>
        <v>-1.29512045532465E-005</v>
      </c>
      <c r="AC51" s="9" t="n">
        <f aca="false">IF(I51="DO",X51-S51,0)</f>
        <v>0</v>
      </c>
      <c r="AD51" s="23" t="n">
        <f aca="false">IF(B52&lt;&gt;B51,1,0)</f>
        <v>0</v>
      </c>
      <c r="AE51" s="14" t="n">
        <f aca="false">IF(I51="Opening",0,AE50+W51)</f>
        <v>3562.9</v>
      </c>
      <c r="AF51" s="14" t="n">
        <f aca="false">IF(I51="Opening",K51,AF50)</f>
        <v>1416.94</v>
      </c>
      <c r="AG51" s="14" t="n">
        <f aca="false">AG50</f>
        <v>0</v>
      </c>
      <c r="AH51" s="14" t="n">
        <f aca="false">IF(W51=0,0,MAX(0,MIN(AE51,AF51)-MIN(AE51-W51,AF51)))</f>
        <v>0</v>
      </c>
      <c r="AI51" s="14" t="n">
        <f aca="false">IF(W51=0,0,MAX(0,MIN(AE51,AF51+AG51)-MAX(AE51-W51,AF51)))</f>
        <v>0</v>
      </c>
      <c r="AJ51" s="14" t="n">
        <f aca="false">W51-AH51-AI51</f>
        <v>106</v>
      </c>
      <c r="AK51" s="9" t="n">
        <f aca="false">IF(W51=0,0,X51*AH51/W51)</f>
        <v>0</v>
      </c>
      <c r="AL51" s="9" t="n">
        <f aca="false">IF(W51=0,0,X51*AI51/W51)</f>
        <v>0</v>
      </c>
      <c r="AM51" s="9" t="n">
        <f aca="false">X51-AK51-AL51</f>
        <v>1743789.01998705</v>
      </c>
    </row>
    <row r="52" customFormat="false" ht="15" hidden="false" customHeight="false" outlineLevel="0" collapsed="false">
      <c r="A52" s="6" t="n">
        <v>47</v>
      </c>
      <c r="B52" s="74" t="s">
        <v>948</v>
      </c>
      <c r="C52" s="53" t="str">
        <f aca="false">INDEX(I_Items!$C$5:$C$133,MATCH($B52,I_Items!$A$5:$A$133,0))</f>
        <v>RPA</v>
      </c>
      <c r="D52" s="53" t="str">
        <f aca="false">INDEX(I_Items!$D$5:$D$133,MATCH($B52,I_Items!$A$5:$A$133,0))</f>
        <v>Ceker</v>
      </c>
      <c r="E52" s="53" t="str">
        <f aca="false">INDEX(I_Items!$F$5:$F$133,MATCH($B52,I_Items!$A$5:$A$133,0))</f>
        <v>Fresh</v>
      </c>
      <c r="F52" s="53" t="str">
        <f aca="false">IF(INDEX(I_Items!$E$5:$E$133,MATCH($B52,I_Items!$A$5:$A$133,0))="","",INDEX(I_Items!$E$5:$E$133,MATCH($B52,I_Items!$A$5:$A$133,0)))</f>
        <v/>
      </c>
      <c r="G52" s="76" t="n">
        <v>46265</v>
      </c>
      <c r="H52" s="23" t="n">
        <f aca="false">MONTH(G52)</f>
        <v>8</v>
      </c>
      <c r="I52" s="74" t="s">
        <v>2075</v>
      </c>
      <c r="J52" s="74" t="s">
        <v>2110</v>
      </c>
      <c r="K52" s="10" t="n">
        <v>0</v>
      </c>
      <c r="L52" s="8" t="n">
        <v>0</v>
      </c>
      <c r="M52" s="10" t="n">
        <v>103.9</v>
      </c>
      <c r="N52" s="8" t="n">
        <v>1709242.26</v>
      </c>
      <c r="O52" s="74" t="s">
        <v>2077</v>
      </c>
      <c r="P52" s="74"/>
      <c r="Q52" s="74"/>
      <c r="R52" s="14" t="n">
        <f aca="false">IF(I52="Unbilled",0,M52)</f>
        <v>103.9</v>
      </c>
      <c r="S52" s="9" t="n">
        <f aca="false">IF(R52=0,0,IF(O52="Booked",N52,R52*V51))</f>
        <v>1709242.25638353</v>
      </c>
      <c r="T52" s="14" t="n">
        <f aca="false">IF(I52="Opening",K52,T51+K52-R52)</f>
        <v>1632.64</v>
      </c>
      <c r="U52" s="9" t="n">
        <f aca="false">IF(I52="Opening",L52,U51+L52-S52)</f>
        <v>26858299.1093552</v>
      </c>
      <c r="V52" s="9" t="n">
        <f aca="false">IF(T52&gt;0,U52/T52,IF(I52="Opening",0,V51))</f>
        <v>16450.8398111986</v>
      </c>
      <c r="W52" s="14" t="n">
        <f aca="false">M52</f>
        <v>103.9</v>
      </c>
      <c r="X52" s="9" t="n">
        <f aca="false">IF(W52=0,0,IF(O52="Booked",N52,W52*AA51))</f>
        <v>1709242.25638353</v>
      </c>
      <c r="Y52" s="14" t="n">
        <f aca="false">IF(I52="Opening",K52,Y51+K52-W52)</f>
        <v>1632.64</v>
      </c>
      <c r="Z52" s="9" t="n">
        <f aca="false">IF(I52="Opening",L52,Z51+L52-X52)</f>
        <v>26858299.1093552</v>
      </c>
      <c r="AA52" s="9" t="n">
        <f aca="false">IF(Y52&gt;0,Z52/Y52,IF(I52="Opening",0,AA51))</f>
        <v>16450.8398111986</v>
      </c>
      <c r="AB52" s="9" t="n">
        <f aca="false">IF(AND(I52="DO",O52="MA"),S52-N52,0)</f>
        <v>-0.00361646804958582</v>
      </c>
      <c r="AC52" s="9" t="n">
        <f aca="false">IF(I52="DO",X52-S52,0)</f>
        <v>0</v>
      </c>
      <c r="AD52" s="23" t="n">
        <f aca="false">IF(B53&lt;&gt;B52,1,0)</f>
        <v>1</v>
      </c>
      <c r="AE52" s="14" t="n">
        <f aca="false">IF(I52="Opening",0,AE51+W52)</f>
        <v>3666.8</v>
      </c>
      <c r="AF52" s="14" t="n">
        <f aca="false">IF(I52="Opening",K52,AF51)</f>
        <v>1416.94</v>
      </c>
      <c r="AG52" s="14" t="n">
        <f aca="false">AG51</f>
        <v>0</v>
      </c>
      <c r="AH52" s="14" t="n">
        <f aca="false">IF(W52=0,0,MAX(0,MIN(AE52,AF52)-MIN(AE52-W52,AF52)))</f>
        <v>0</v>
      </c>
      <c r="AI52" s="14" t="n">
        <f aca="false">IF(W52=0,0,MAX(0,MIN(AE52,AF52+AG52)-MAX(AE52-W52,AF52)))</f>
        <v>0</v>
      </c>
      <c r="AJ52" s="14" t="n">
        <f aca="false">W52-AH52-AI52</f>
        <v>103.9</v>
      </c>
      <c r="AK52" s="9" t="n">
        <f aca="false">IF(W52=0,0,X52*AH52/W52)</f>
        <v>0</v>
      </c>
      <c r="AL52" s="9" t="n">
        <f aca="false">IF(W52=0,0,X52*AI52/W52)</f>
        <v>0</v>
      </c>
      <c r="AM52" s="9" t="n">
        <f aca="false">X52-AK52-AL52</f>
        <v>1709242.25638353</v>
      </c>
    </row>
    <row r="53" customFormat="false" ht="15" hidden="false" customHeight="false" outlineLevel="0" collapsed="false">
      <c r="A53" s="6" t="n">
        <v>48</v>
      </c>
      <c r="B53" s="74" t="s">
        <v>949</v>
      </c>
      <c r="C53" s="53" t="str">
        <f aca="false">INDEX(I_Items!$C$5:$C$133,MATCH($B53,I_Items!$A$5:$A$133,0))</f>
        <v>RPA</v>
      </c>
      <c r="D53" s="53" t="str">
        <f aca="false">INDEX(I_Items!$D$5:$D$133,MATCH($B53,I_Items!$A$5:$A$133,0))</f>
        <v>HJA (Hati/Jantung/Ampela)</v>
      </c>
      <c r="E53" s="53" t="str">
        <f aca="false">INDEX(I_Items!$F$5:$F$133,MATCH($B53,I_Items!$A$5:$A$133,0))</f>
        <v>Fresh</v>
      </c>
      <c r="F53" s="53" t="str">
        <f aca="false">IF(INDEX(I_Items!$E$5:$E$133,MATCH($B53,I_Items!$A$5:$A$133,0))="","",INDEX(I_Items!$E$5:$E$133,MATCH($B53,I_Items!$A$5:$A$133,0)))</f>
        <v/>
      </c>
      <c r="G53" s="76" t="n">
        <v>46204</v>
      </c>
      <c r="H53" s="23" t="n">
        <f aca="false">MONTH(G53)</f>
        <v>7</v>
      </c>
      <c r="I53" s="74" t="s">
        <v>2072</v>
      </c>
      <c r="J53" s="74" t="s">
        <v>2073</v>
      </c>
      <c r="K53" s="10" t="n">
        <v>4337.9</v>
      </c>
      <c r="L53" s="8" t="n">
        <v>2859314.5</v>
      </c>
      <c r="M53" s="10" t="n">
        <v>0</v>
      </c>
      <c r="N53" s="8" t="n">
        <v>0</v>
      </c>
      <c r="O53" s="74"/>
      <c r="P53" s="74"/>
      <c r="Q53" s="74"/>
      <c r="R53" s="14" t="n">
        <f aca="false">IF(I53="Unbilled",0,M53)</f>
        <v>0</v>
      </c>
      <c r="S53" s="9" t="n">
        <f aca="false">IF(R53=0,0,IF(O53="Booked",N53,R53*V52))</f>
        <v>0</v>
      </c>
      <c r="T53" s="14" t="n">
        <f aca="false">IF(I53="Opening",K53,T52+K53-R53)</f>
        <v>4337.9</v>
      </c>
      <c r="U53" s="9" t="n">
        <f aca="false">IF(I53="Opening",L53,U52+L53-S53)</f>
        <v>2859314.5</v>
      </c>
      <c r="V53" s="9" t="n">
        <f aca="false">IF(T53&gt;0,U53/T53,IF(I53="Opening",0,V52))</f>
        <v>659.147167984509</v>
      </c>
      <c r="W53" s="14" t="n">
        <f aca="false">M53</f>
        <v>0</v>
      </c>
      <c r="X53" s="9" t="n">
        <f aca="false">IF(W53=0,0,IF(O53="Booked",N53,W53*AA52))</f>
        <v>0</v>
      </c>
      <c r="Y53" s="14" t="n">
        <f aca="false">IF(I53="Opening",K53,Y52+K53-W53)</f>
        <v>4337.9</v>
      </c>
      <c r="Z53" s="9" t="n">
        <f aca="false">IF(I53="Opening",L53,Z52+L53-X53)</f>
        <v>2859314.5</v>
      </c>
      <c r="AA53" s="9" t="n">
        <f aca="false">IF(Y53&gt;0,Z53/Y53,IF(I53="Opening",0,AA52))</f>
        <v>659.147167984509</v>
      </c>
      <c r="AB53" s="9" t="n">
        <f aca="false">IF(AND(I53="DO",O53="MA"),S53-N53,0)</f>
        <v>0</v>
      </c>
      <c r="AC53" s="9" t="n">
        <f aca="false">IF(I53="DO",X53-S53,0)</f>
        <v>0</v>
      </c>
      <c r="AD53" s="23" t="n">
        <f aca="false">IF(B54&lt;&gt;B53,1,0)</f>
        <v>0</v>
      </c>
      <c r="AE53" s="14" t="n">
        <f aca="false">IF(I53="Opening",0,AE52+W53)</f>
        <v>0</v>
      </c>
      <c r="AF53" s="14" t="n">
        <f aca="false">IF(I53="Opening",K53,AF52)</f>
        <v>4337.9</v>
      </c>
      <c r="AG53" s="14" t="n">
        <f aca="false">SUMIFS($K$6:$K$1110,$B$6:$B$1110,B53,$H$6:$H$1110,7,$I$6:$I$1110,"&lt;&gt;Opening")</f>
        <v>1300</v>
      </c>
      <c r="AH53" s="14" t="n">
        <f aca="false">IF(W53=0,0,MAX(0,MIN(AE53,AF53)-MIN(AE53-W53,AF53)))</f>
        <v>0</v>
      </c>
      <c r="AI53" s="14" t="n">
        <f aca="false">IF(W53=0,0,MAX(0,MIN(AE53,AF53+AG53)-MAX(AE53-W53,AF53)))</f>
        <v>0</v>
      </c>
      <c r="AJ53" s="14" t="n">
        <f aca="false">W53-AH53-AI53</f>
        <v>0</v>
      </c>
      <c r="AK53" s="9" t="n">
        <f aca="false">IF(W53=0,0,X53*AH53/W53)</f>
        <v>0</v>
      </c>
      <c r="AL53" s="9" t="n">
        <f aca="false">IF(W53=0,0,X53*AI53/W53)</f>
        <v>0</v>
      </c>
      <c r="AM53" s="9" t="n">
        <f aca="false">X53-AK53-AL53</f>
        <v>0</v>
      </c>
    </row>
    <row r="54" customFormat="false" ht="15" hidden="false" customHeight="false" outlineLevel="0" collapsed="false">
      <c r="A54" s="6" t="n">
        <v>49</v>
      </c>
      <c r="B54" s="74" t="s">
        <v>949</v>
      </c>
      <c r="C54" s="53" t="str">
        <f aca="false">INDEX(I_Items!$C$5:$C$133,MATCH($B54,I_Items!$A$5:$A$133,0))</f>
        <v>RPA</v>
      </c>
      <c r="D54" s="53" t="str">
        <f aca="false">INDEX(I_Items!$D$5:$D$133,MATCH($B54,I_Items!$A$5:$A$133,0))</f>
        <v>HJA (Hati/Jantung/Ampela)</v>
      </c>
      <c r="E54" s="53" t="str">
        <f aca="false">INDEX(I_Items!$F$5:$F$133,MATCH($B54,I_Items!$A$5:$A$133,0))</f>
        <v>Fresh</v>
      </c>
      <c r="F54" s="53" t="str">
        <f aca="false">IF(INDEX(I_Items!$E$5:$E$133,MATCH($B54,I_Items!$A$5:$A$133,0))="","",INDEX(I_Items!$E$5:$E$133,MATCH($B54,I_Items!$A$5:$A$133,0)))</f>
        <v/>
      </c>
      <c r="G54" s="76" t="n">
        <v>46205</v>
      </c>
      <c r="H54" s="23" t="n">
        <f aca="false">MONTH(G54)</f>
        <v>7</v>
      </c>
      <c r="I54" s="74" t="s">
        <v>2074</v>
      </c>
      <c r="J54" s="74" t="s">
        <v>2111</v>
      </c>
      <c r="K54" s="10" t="n">
        <v>1300</v>
      </c>
      <c r="L54" s="8" t="n">
        <v>0</v>
      </c>
      <c r="M54" s="10" t="n">
        <v>0</v>
      </c>
      <c r="N54" s="8" t="n">
        <v>0</v>
      </c>
      <c r="O54" s="74"/>
      <c r="P54" s="74"/>
      <c r="Q54" s="74"/>
      <c r="R54" s="14" t="n">
        <f aca="false">IF(I54="Unbilled",0,M54)</f>
        <v>0</v>
      </c>
      <c r="S54" s="9" t="n">
        <f aca="false">IF(R54=0,0,IF(O54="Booked",N54,R54*V53))</f>
        <v>0</v>
      </c>
      <c r="T54" s="14" t="n">
        <f aca="false">IF(I54="Opening",K54,T53+K54-R54)</f>
        <v>5637.9</v>
      </c>
      <c r="U54" s="9" t="n">
        <f aca="false">IF(I54="Opening",L54,U53+L54-S54)</f>
        <v>2859314.5</v>
      </c>
      <c r="V54" s="9" t="n">
        <f aca="false">IF(T54&gt;0,U54/T54,IF(I54="Opening",0,V53))</f>
        <v>507.159492009436</v>
      </c>
      <c r="W54" s="14" t="n">
        <f aca="false">M54</f>
        <v>0</v>
      </c>
      <c r="X54" s="9" t="n">
        <f aca="false">IF(W54=0,0,IF(O54="Booked",N54,W54*AA53))</f>
        <v>0</v>
      </c>
      <c r="Y54" s="14" t="n">
        <f aca="false">IF(I54="Opening",K54,Y53+K54-W54)</f>
        <v>5637.9</v>
      </c>
      <c r="Z54" s="9" t="n">
        <f aca="false">IF(I54="Opening",L54,Z53+L54-X54)</f>
        <v>2859314.5</v>
      </c>
      <c r="AA54" s="9" t="n">
        <f aca="false">IF(Y54&gt;0,Z54/Y54,IF(I54="Opening",0,AA53))</f>
        <v>507.159492009436</v>
      </c>
      <c r="AB54" s="9" t="n">
        <f aca="false">IF(AND(I54="DO",O54="MA"),S54-N54,0)</f>
        <v>0</v>
      </c>
      <c r="AC54" s="9" t="n">
        <f aca="false">IF(I54="DO",X54-S54,0)</f>
        <v>0</v>
      </c>
      <c r="AD54" s="23" t="n">
        <f aca="false">IF(B55&lt;&gt;B54,1,0)</f>
        <v>0</v>
      </c>
      <c r="AE54" s="14" t="n">
        <f aca="false">IF(I54="Opening",0,AE53+W54)</f>
        <v>0</v>
      </c>
      <c r="AF54" s="14" t="n">
        <f aca="false">IF(I54="Opening",K54,AF53)</f>
        <v>4337.9</v>
      </c>
      <c r="AG54" s="14" t="n">
        <f aca="false">AG53</f>
        <v>1300</v>
      </c>
      <c r="AH54" s="14" t="n">
        <f aca="false">IF(W54=0,0,MAX(0,MIN(AE54,AF54)-MIN(AE54-W54,AF54)))</f>
        <v>0</v>
      </c>
      <c r="AI54" s="14" t="n">
        <f aca="false">IF(W54=0,0,MAX(0,MIN(AE54,AF54+AG54)-MAX(AE54-W54,AF54)))</f>
        <v>0</v>
      </c>
      <c r="AJ54" s="14" t="n">
        <f aca="false">W54-AH54-AI54</f>
        <v>0</v>
      </c>
      <c r="AK54" s="9" t="n">
        <f aca="false">IF(W54=0,0,X54*AH54/W54)</f>
        <v>0</v>
      </c>
      <c r="AL54" s="9" t="n">
        <f aca="false">IF(W54=0,0,X54*AI54/W54)</f>
        <v>0</v>
      </c>
      <c r="AM54" s="9" t="n">
        <f aca="false">X54-AK54-AL54</f>
        <v>0</v>
      </c>
    </row>
    <row r="55" customFormat="false" ht="15" hidden="false" customHeight="false" outlineLevel="0" collapsed="false">
      <c r="A55" s="6" t="n">
        <v>50</v>
      </c>
      <c r="B55" s="74" t="s">
        <v>949</v>
      </c>
      <c r="C55" s="53" t="str">
        <f aca="false">INDEX(I_Items!$C$5:$C$133,MATCH($B55,I_Items!$A$5:$A$133,0))</f>
        <v>RPA</v>
      </c>
      <c r="D55" s="53" t="str">
        <f aca="false">INDEX(I_Items!$D$5:$D$133,MATCH($B55,I_Items!$A$5:$A$133,0))</f>
        <v>HJA (Hati/Jantung/Ampela)</v>
      </c>
      <c r="E55" s="53" t="str">
        <f aca="false">INDEX(I_Items!$F$5:$F$133,MATCH($B55,I_Items!$A$5:$A$133,0))</f>
        <v>Fresh</v>
      </c>
      <c r="F55" s="53" t="str">
        <f aca="false">IF(INDEX(I_Items!$E$5:$E$133,MATCH($B55,I_Items!$A$5:$A$133,0))="","",INDEX(I_Items!$E$5:$E$133,MATCH($B55,I_Items!$A$5:$A$133,0)))</f>
        <v/>
      </c>
      <c r="G55" s="76" t="n">
        <v>46220</v>
      </c>
      <c r="H55" s="23" t="n">
        <f aca="false">MONTH(G55)</f>
        <v>7</v>
      </c>
      <c r="I55" s="74" t="s">
        <v>2075</v>
      </c>
      <c r="J55" s="74" t="s">
        <v>2112</v>
      </c>
      <c r="K55" s="10" t="n">
        <v>0</v>
      </c>
      <c r="L55" s="8" t="n">
        <v>0</v>
      </c>
      <c r="M55" s="10" t="n">
        <v>313.7</v>
      </c>
      <c r="N55" s="8" t="n">
        <v>159095.94</v>
      </c>
      <c r="O55" s="74" t="s">
        <v>2077</v>
      </c>
      <c r="P55" s="74"/>
      <c r="Q55" s="74"/>
      <c r="R55" s="14" t="n">
        <f aca="false">IF(I55="Unbilled",0,M55)</f>
        <v>313.7</v>
      </c>
      <c r="S55" s="9" t="n">
        <f aca="false">IF(R55=0,0,IF(O55="Booked",N55,R55*V54))</f>
        <v>159095.93264336</v>
      </c>
      <c r="T55" s="14" t="n">
        <f aca="false">IF(I55="Opening",K55,T54+K55-R55)</f>
        <v>5324.2</v>
      </c>
      <c r="U55" s="9" t="n">
        <f aca="false">IF(I55="Opening",L55,U54+L55-S55)</f>
        <v>2700218.56735664</v>
      </c>
      <c r="V55" s="9" t="n">
        <f aca="false">IF(T55&gt;0,U55/T55,IF(I55="Opening",0,V54))</f>
        <v>507.159492009436</v>
      </c>
      <c r="W55" s="14" t="n">
        <f aca="false">M55</f>
        <v>313.7</v>
      </c>
      <c r="X55" s="9" t="n">
        <f aca="false">IF(W55=0,0,IF(O55="Booked",N55,W55*AA54))</f>
        <v>159095.93264336</v>
      </c>
      <c r="Y55" s="14" t="n">
        <f aca="false">IF(I55="Opening",K55,Y54+K55-W55)</f>
        <v>5324.2</v>
      </c>
      <c r="Z55" s="9" t="n">
        <f aca="false">IF(I55="Opening",L55,Z54+L55-X55)</f>
        <v>2700218.56735664</v>
      </c>
      <c r="AA55" s="9" t="n">
        <f aca="false">IF(Y55&gt;0,Z55/Y55,IF(I55="Opening",0,AA54))</f>
        <v>507.159492009436</v>
      </c>
      <c r="AB55" s="9" t="n">
        <f aca="false">IF(AND(I55="DO",O55="MA"),S55-N55,0)</f>
        <v>-0.00735663989325985</v>
      </c>
      <c r="AC55" s="9" t="n">
        <f aca="false">IF(I55="DO",X55-S55,0)</f>
        <v>0</v>
      </c>
      <c r="AD55" s="23" t="n">
        <f aca="false">IF(B56&lt;&gt;B55,1,0)</f>
        <v>0</v>
      </c>
      <c r="AE55" s="14" t="n">
        <f aca="false">IF(I55="Opening",0,AE54+W55)</f>
        <v>313.7</v>
      </c>
      <c r="AF55" s="14" t="n">
        <f aca="false">IF(I55="Opening",K55,AF54)</f>
        <v>4337.9</v>
      </c>
      <c r="AG55" s="14" t="n">
        <f aca="false">AG54</f>
        <v>1300</v>
      </c>
      <c r="AH55" s="14" t="n">
        <f aca="false">IF(W55=0,0,MAX(0,MIN(AE55,AF55)-MIN(AE55-W55,AF55)))</f>
        <v>313.7</v>
      </c>
      <c r="AI55" s="14" t="n">
        <f aca="false">IF(W55=0,0,MAX(0,MIN(AE55,AF55+AG55)-MAX(AE55-W55,AF55)))</f>
        <v>0</v>
      </c>
      <c r="AJ55" s="14" t="n">
        <f aca="false">W55-AH55-AI55</f>
        <v>0</v>
      </c>
      <c r="AK55" s="9" t="n">
        <f aca="false">IF(W55=0,0,X55*AH55/W55)</f>
        <v>159095.93264336</v>
      </c>
      <c r="AL55" s="9" t="n">
        <f aca="false">IF(W55=0,0,X55*AI55/W55)</f>
        <v>0</v>
      </c>
      <c r="AM55" s="9" t="n">
        <f aca="false">X55-AK55-AL55</f>
        <v>0</v>
      </c>
    </row>
    <row r="56" customFormat="false" ht="15" hidden="false" customHeight="false" outlineLevel="0" collapsed="false">
      <c r="A56" s="6" t="n">
        <v>51</v>
      </c>
      <c r="B56" s="74" t="s">
        <v>949</v>
      </c>
      <c r="C56" s="53" t="str">
        <f aca="false">INDEX(I_Items!$C$5:$C$133,MATCH($B56,I_Items!$A$5:$A$133,0))</f>
        <v>RPA</v>
      </c>
      <c r="D56" s="53" t="str">
        <f aca="false">INDEX(I_Items!$D$5:$D$133,MATCH($B56,I_Items!$A$5:$A$133,0))</f>
        <v>HJA (Hati/Jantung/Ampela)</v>
      </c>
      <c r="E56" s="53" t="str">
        <f aca="false">INDEX(I_Items!$F$5:$F$133,MATCH($B56,I_Items!$A$5:$A$133,0))</f>
        <v>Fresh</v>
      </c>
      <c r="F56" s="53" t="str">
        <f aca="false">IF(INDEX(I_Items!$E$5:$E$133,MATCH($B56,I_Items!$A$5:$A$133,0))="","",INDEX(I_Items!$E$5:$E$133,MATCH($B56,I_Items!$A$5:$A$133,0)))</f>
        <v/>
      </c>
      <c r="G56" s="76" t="n">
        <v>46220</v>
      </c>
      <c r="H56" s="23" t="n">
        <f aca="false">MONTH(G56)</f>
        <v>7</v>
      </c>
      <c r="I56" s="74" t="s">
        <v>2075</v>
      </c>
      <c r="J56" s="74" t="s">
        <v>2113</v>
      </c>
      <c r="K56" s="10" t="n">
        <v>0</v>
      </c>
      <c r="L56" s="8" t="n">
        <v>0</v>
      </c>
      <c r="M56" s="10" t="n">
        <v>53.8</v>
      </c>
      <c r="N56" s="8" t="n">
        <v>27285.18</v>
      </c>
      <c r="O56" s="74" t="s">
        <v>2077</v>
      </c>
      <c r="P56" s="74"/>
      <c r="Q56" s="74"/>
      <c r="R56" s="14" t="n">
        <f aca="false">IF(I56="Unbilled",0,M56)</f>
        <v>53.8</v>
      </c>
      <c r="S56" s="9" t="n">
        <f aca="false">IF(R56=0,0,IF(O56="Booked",N56,R56*V55))</f>
        <v>27285.1806701077</v>
      </c>
      <c r="T56" s="14" t="n">
        <f aca="false">IF(I56="Opening",K56,T55+K56-R56)</f>
        <v>5270.4</v>
      </c>
      <c r="U56" s="9" t="n">
        <f aca="false">IF(I56="Opening",L56,U55+L56-S56)</f>
        <v>2672933.38668653</v>
      </c>
      <c r="V56" s="9" t="n">
        <f aca="false">IF(T56&gt;0,U56/T56,IF(I56="Opening",0,V55))</f>
        <v>507.159492009436</v>
      </c>
      <c r="W56" s="14" t="n">
        <f aca="false">M56</f>
        <v>53.8</v>
      </c>
      <c r="X56" s="9" t="n">
        <f aca="false">IF(W56=0,0,IF(O56="Booked",N56,W56*AA55))</f>
        <v>27285.1806701077</v>
      </c>
      <c r="Y56" s="14" t="n">
        <f aca="false">IF(I56="Opening",K56,Y55+K56-W56)</f>
        <v>5270.4</v>
      </c>
      <c r="Z56" s="9" t="n">
        <f aca="false">IF(I56="Opening",L56,Z55+L56-X56)</f>
        <v>2672933.38668653</v>
      </c>
      <c r="AA56" s="9" t="n">
        <f aca="false">IF(Y56&gt;0,Z56/Y56,IF(I56="Opening",0,AA55))</f>
        <v>507.159492009436</v>
      </c>
      <c r="AB56" s="9" t="n">
        <f aca="false">IF(AND(I56="DO",O56="MA"),S56-N56,0)</f>
        <v>0.000670107663609088</v>
      </c>
      <c r="AC56" s="9" t="n">
        <f aca="false">IF(I56="DO",X56-S56,0)</f>
        <v>0</v>
      </c>
      <c r="AD56" s="23" t="n">
        <f aca="false">IF(B57&lt;&gt;B56,1,0)</f>
        <v>0</v>
      </c>
      <c r="AE56" s="14" t="n">
        <f aca="false">IF(I56="Opening",0,AE55+W56)</f>
        <v>367.5</v>
      </c>
      <c r="AF56" s="14" t="n">
        <f aca="false">IF(I56="Opening",K56,AF55)</f>
        <v>4337.9</v>
      </c>
      <c r="AG56" s="14" t="n">
        <f aca="false">AG55</f>
        <v>1300</v>
      </c>
      <c r="AH56" s="14" t="n">
        <f aca="false">IF(W56=0,0,MAX(0,MIN(AE56,AF56)-MIN(AE56-W56,AF56)))</f>
        <v>53.8</v>
      </c>
      <c r="AI56" s="14" t="n">
        <f aca="false">IF(W56=0,0,MAX(0,MIN(AE56,AF56+AG56)-MAX(AE56-W56,AF56)))</f>
        <v>0</v>
      </c>
      <c r="AJ56" s="14" t="n">
        <f aca="false">W56-AH56-AI56</f>
        <v>0</v>
      </c>
      <c r="AK56" s="9" t="n">
        <f aca="false">IF(W56=0,0,X56*AH56/W56)</f>
        <v>27285.1806701077</v>
      </c>
      <c r="AL56" s="9" t="n">
        <f aca="false">IF(W56=0,0,X56*AI56/W56)</f>
        <v>0</v>
      </c>
      <c r="AM56" s="9" t="n">
        <f aca="false">X56-AK56-AL56</f>
        <v>0</v>
      </c>
    </row>
    <row r="57" customFormat="false" ht="15" hidden="false" customHeight="false" outlineLevel="0" collapsed="false">
      <c r="A57" s="6" t="n">
        <v>52</v>
      </c>
      <c r="B57" s="74" t="s">
        <v>949</v>
      </c>
      <c r="C57" s="53" t="str">
        <f aca="false">INDEX(I_Items!$C$5:$C$133,MATCH($B57,I_Items!$A$5:$A$133,0))</f>
        <v>RPA</v>
      </c>
      <c r="D57" s="53" t="str">
        <f aca="false">INDEX(I_Items!$D$5:$D$133,MATCH($B57,I_Items!$A$5:$A$133,0))</f>
        <v>HJA (Hati/Jantung/Ampela)</v>
      </c>
      <c r="E57" s="53" t="str">
        <f aca="false">INDEX(I_Items!$F$5:$F$133,MATCH($B57,I_Items!$A$5:$A$133,0))</f>
        <v>Fresh</v>
      </c>
      <c r="F57" s="53" t="str">
        <f aca="false">IF(INDEX(I_Items!$E$5:$E$133,MATCH($B57,I_Items!$A$5:$A$133,0))="","",INDEX(I_Items!$E$5:$E$133,MATCH($B57,I_Items!$A$5:$A$133,0)))</f>
        <v/>
      </c>
      <c r="G57" s="76" t="n">
        <v>46241</v>
      </c>
      <c r="H57" s="23" t="n">
        <f aca="false">MONTH(G57)</f>
        <v>8</v>
      </c>
      <c r="I57" s="74" t="s">
        <v>2074</v>
      </c>
      <c r="J57" s="74" t="s">
        <v>1290</v>
      </c>
      <c r="K57" s="10" t="n">
        <v>427.2</v>
      </c>
      <c r="L57" s="8" t="n">
        <v>2713958.15</v>
      </c>
      <c r="M57" s="10" t="n">
        <v>0</v>
      </c>
      <c r="N57" s="8" t="n">
        <v>0</v>
      </c>
      <c r="O57" s="74"/>
      <c r="P57" s="74"/>
      <c r="Q57" s="74"/>
      <c r="R57" s="14" t="n">
        <f aca="false">IF(I57="Unbilled",0,M57)</f>
        <v>0</v>
      </c>
      <c r="S57" s="9" t="n">
        <f aca="false">IF(R57=0,0,IF(O57="Booked",N57,R57*V56))</f>
        <v>0</v>
      </c>
      <c r="T57" s="14" t="n">
        <f aca="false">IF(I57="Opening",K57,T56+K57-R57)</f>
        <v>5697.6</v>
      </c>
      <c r="U57" s="9" t="n">
        <f aca="false">IF(I57="Opening",L57,U56+L57-S57)</f>
        <v>5386891.53668653</v>
      </c>
      <c r="V57" s="9" t="n">
        <f aca="false">IF(T57&gt;0,U57/T57,IF(I57="Opening",0,V56))</f>
        <v>945.46678192336</v>
      </c>
      <c r="W57" s="14" t="n">
        <f aca="false">M57</f>
        <v>0</v>
      </c>
      <c r="X57" s="9" t="n">
        <f aca="false">IF(W57=0,0,IF(O57="Booked",N57,W57*AA56))</f>
        <v>0</v>
      </c>
      <c r="Y57" s="14" t="n">
        <f aca="false">IF(I57="Opening",K57,Y56+K57-W57)</f>
        <v>5697.6</v>
      </c>
      <c r="Z57" s="9" t="n">
        <f aca="false">IF(I57="Opening",L57,Z56+L57-X57)</f>
        <v>5386891.53668653</v>
      </c>
      <c r="AA57" s="9" t="n">
        <f aca="false">IF(Y57&gt;0,Z57/Y57,IF(I57="Opening",0,AA56))</f>
        <v>945.46678192336</v>
      </c>
      <c r="AB57" s="9" t="n">
        <f aca="false">IF(AND(I57="DO",O57="MA"),S57-N57,0)</f>
        <v>0</v>
      </c>
      <c r="AC57" s="9" t="n">
        <f aca="false">IF(I57="DO",X57-S57,0)</f>
        <v>0</v>
      </c>
      <c r="AD57" s="23" t="n">
        <f aca="false">IF(B58&lt;&gt;B57,1,0)</f>
        <v>0</v>
      </c>
      <c r="AE57" s="14" t="n">
        <f aca="false">IF(I57="Opening",0,AE56+W57)</f>
        <v>367.5</v>
      </c>
      <c r="AF57" s="14" t="n">
        <f aca="false">IF(I57="Opening",K57,AF56)</f>
        <v>4337.9</v>
      </c>
      <c r="AG57" s="14" t="n">
        <f aca="false">AG56</f>
        <v>1300</v>
      </c>
      <c r="AH57" s="14" t="n">
        <f aca="false">IF(W57=0,0,MAX(0,MIN(AE57,AF57)-MIN(AE57-W57,AF57)))</f>
        <v>0</v>
      </c>
      <c r="AI57" s="14" t="n">
        <f aca="false">IF(W57=0,0,MAX(0,MIN(AE57,AF57+AG57)-MAX(AE57-W57,AF57)))</f>
        <v>0</v>
      </c>
      <c r="AJ57" s="14" t="n">
        <f aca="false">W57-AH57-AI57</f>
        <v>0</v>
      </c>
      <c r="AK57" s="9" t="n">
        <f aca="false">IF(W57=0,0,X57*AH57/W57)</f>
        <v>0</v>
      </c>
      <c r="AL57" s="9" t="n">
        <f aca="false">IF(W57=0,0,X57*AI57/W57)</f>
        <v>0</v>
      </c>
      <c r="AM57" s="9" t="n">
        <f aca="false">X57-AK57-AL57</f>
        <v>0</v>
      </c>
    </row>
    <row r="58" customFormat="false" ht="15" hidden="false" customHeight="false" outlineLevel="0" collapsed="false">
      <c r="A58" s="6" t="n">
        <v>53</v>
      </c>
      <c r="B58" s="74" t="s">
        <v>949</v>
      </c>
      <c r="C58" s="53" t="str">
        <f aca="false">INDEX(I_Items!$C$5:$C$133,MATCH($B58,I_Items!$A$5:$A$133,0))</f>
        <v>RPA</v>
      </c>
      <c r="D58" s="53" t="str">
        <f aca="false">INDEX(I_Items!$D$5:$D$133,MATCH($B58,I_Items!$A$5:$A$133,0))</f>
        <v>HJA (Hati/Jantung/Ampela)</v>
      </c>
      <c r="E58" s="53" t="str">
        <f aca="false">INDEX(I_Items!$F$5:$F$133,MATCH($B58,I_Items!$A$5:$A$133,0))</f>
        <v>Fresh</v>
      </c>
      <c r="F58" s="53" t="str">
        <f aca="false">IF(INDEX(I_Items!$E$5:$E$133,MATCH($B58,I_Items!$A$5:$A$133,0))="","",INDEX(I_Items!$E$5:$E$133,MATCH($B58,I_Items!$A$5:$A$133,0)))</f>
        <v/>
      </c>
      <c r="G58" s="76" t="n">
        <v>46242</v>
      </c>
      <c r="H58" s="23" t="n">
        <f aca="false">MONTH(G58)</f>
        <v>8</v>
      </c>
      <c r="I58" s="74" t="s">
        <v>2075</v>
      </c>
      <c r="J58" s="74" t="s">
        <v>2078</v>
      </c>
      <c r="K58" s="10" t="n">
        <v>0</v>
      </c>
      <c r="L58" s="8" t="n">
        <v>0</v>
      </c>
      <c r="M58" s="10" t="n">
        <v>205.7</v>
      </c>
      <c r="N58" s="8" t="n">
        <v>194482.52</v>
      </c>
      <c r="O58" s="74" t="s">
        <v>2077</v>
      </c>
      <c r="P58" s="74"/>
      <c r="Q58" s="74"/>
      <c r="R58" s="14" t="n">
        <f aca="false">IF(I58="Unbilled",0,M58)</f>
        <v>205.7</v>
      </c>
      <c r="S58" s="9" t="n">
        <f aca="false">IF(R58=0,0,IF(O58="Booked",N58,R58*V57))</f>
        <v>194482.517041635</v>
      </c>
      <c r="T58" s="14" t="n">
        <f aca="false">IF(I58="Opening",K58,T57+K58-R58)</f>
        <v>5491.9</v>
      </c>
      <c r="U58" s="9" t="n">
        <f aca="false">IF(I58="Opening",L58,U57+L58-S58)</f>
        <v>5192409.0196449</v>
      </c>
      <c r="V58" s="9" t="n">
        <f aca="false">IF(T58&gt;0,U58/T58,IF(I58="Opening",0,V57))</f>
        <v>945.46678192336</v>
      </c>
      <c r="W58" s="14" t="n">
        <f aca="false">M58</f>
        <v>205.7</v>
      </c>
      <c r="X58" s="9" t="n">
        <f aca="false">IF(W58=0,0,IF(O58="Booked",N58,W58*AA57))</f>
        <v>194482.517041635</v>
      </c>
      <c r="Y58" s="14" t="n">
        <f aca="false">IF(I58="Opening",K58,Y57+K58-W58)</f>
        <v>5491.9</v>
      </c>
      <c r="Z58" s="9" t="n">
        <f aca="false">IF(I58="Opening",L58,Z57+L58-X58)</f>
        <v>5192409.0196449</v>
      </c>
      <c r="AA58" s="9" t="n">
        <f aca="false">IF(Y58&gt;0,Z58/Y58,IF(I58="Opening",0,AA57))</f>
        <v>945.46678192336</v>
      </c>
      <c r="AB58" s="9" t="n">
        <f aca="false">IF(AND(I58="DO",O58="MA"),S58-N58,0)</f>
        <v>-0.00295836495934054</v>
      </c>
      <c r="AC58" s="9" t="n">
        <f aca="false">IF(I58="DO",X58-S58,0)</f>
        <v>0</v>
      </c>
      <c r="AD58" s="23" t="n">
        <f aca="false">IF(B59&lt;&gt;B58,1,0)</f>
        <v>0</v>
      </c>
      <c r="AE58" s="14" t="n">
        <f aca="false">IF(I58="Opening",0,AE57+W58)</f>
        <v>573.2</v>
      </c>
      <c r="AF58" s="14" t="n">
        <f aca="false">IF(I58="Opening",K58,AF57)</f>
        <v>4337.9</v>
      </c>
      <c r="AG58" s="14" t="n">
        <f aca="false">AG57</f>
        <v>1300</v>
      </c>
      <c r="AH58" s="14" t="n">
        <f aca="false">IF(W58=0,0,MAX(0,MIN(AE58,AF58)-MIN(AE58-W58,AF58)))</f>
        <v>205.7</v>
      </c>
      <c r="AI58" s="14" t="n">
        <f aca="false">IF(W58=0,0,MAX(0,MIN(AE58,AF58+AG58)-MAX(AE58-W58,AF58)))</f>
        <v>0</v>
      </c>
      <c r="AJ58" s="14" t="n">
        <f aca="false">W58-AH58-AI58</f>
        <v>0</v>
      </c>
      <c r="AK58" s="9" t="n">
        <f aca="false">IF(W58=0,0,X58*AH58/W58)</f>
        <v>194482.517041635</v>
      </c>
      <c r="AL58" s="9" t="n">
        <f aca="false">IF(W58=0,0,X58*AI58/W58)</f>
        <v>0</v>
      </c>
      <c r="AM58" s="9" t="n">
        <f aca="false">X58-AK58-AL58</f>
        <v>0</v>
      </c>
    </row>
    <row r="59" customFormat="false" ht="15" hidden="false" customHeight="false" outlineLevel="0" collapsed="false">
      <c r="A59" s="6" t="n">
        <v>54</v>
      </c>
      <c r="B59" s="74" t="s">
        <v>949</v>
      </c>
      <c r="C59" s="53" t="str">
        <f aca="false">INDEX(I_Items!$C$5:$C$133,MATCH($B59,I_Items!$A$5:$A$133,0))</f>
        <v>RPA</v>
      </c>
      <c r="D59" s="53" t="str">
        <f aca="false">INDEX(I_Items!$D$5:$D$133,MATCH($B59,I_Items!$A$5:$A$133,0))</f>
        <v>HJA (Hati/Jantung/Ampela)</v>
      </c>
      <c r="E59" s="53" t="str">
        <f aca="false">INDEX(I_Items!$F$5:$F$133,MATCH($B59,I_Items!$A$5:$A$133,0))</f>
        <v>Fresh</v>
      </c>
      <c r="F59" s="53" t="str">
        <f aca="false">IF(INDEX(I_Items!$E$5:$E$133,MATCH($B59,I_Items!$A$5:$A$133,0))="","",INDEX(I_Items!$E$5:$E$133,MATCH($B59,I_Items!$A$5:$A$133,0)))</f>
        <v/>
      </c>
      <c r="G59" s="76" t="n">
        <v>46244</v>
      </c>
      <c r="H59" s="23" t="n">
        <f aca="false">MONTH(G59)</f>
        <v>8</v>
      </c>
      <c r="I59" s="74" t="s">
        <v>2074</v>
      </c>
      <c r="J59" s="74" t="s">
        <v>1294</v>
      </c>
      <c r="K59" s="10" t="n">
        <v>590.7</v>
      </c>
      <c r="L59" s="8" t="n">
        <v>3211101.2</v>
      </c>
      <c r="M59" s="10" t="n">
        <v>0</v>
      </c>
      <c r="N59" s="8" t="n">
        <v>0</v>
      </c>
      <c r="O59" s="74"/>
      <c r="P59" s="74"/>
      <c r="Q59" s="74"/>
      <c r="R59" s="14" t="n">
        <f aca="false">IF(I59="Unbilled",0,M59)</f>
        <v>0</v>
      </c>
      <c r="S59" s="9" t="n">
        <f aca="false">IF(R59=0,0,IF(O59="Booked",N59,R59*V58))</f>
        <v>0</v>
      </c>
      <c r="T59" s="14" t="n">
        <f aca="false">IF(I59="Opening",K59,T58+K59-R59)</f>
        <v>6082.6</v>
      </c>
      <c r="U59" s="9" t="n">
        <f aca="false">IF(I59="Opening",L59,U58+L59-S59)</f>
        <v>8403510.2196449</v>
      </c>
      <c r="V59" s="9" t="n">
        <f aca="false">IF(T59&gt;0,U59/T59,IF(I59="Opening",0,V58))</f>
        <v>1381.56548509599</v>
      </c>
      <c r="W59" s="14" t="n">
        <f aca="false">M59</f>
        <v>0</v>
      </c>
      <c r="X59" s="9" t="n">
        <f aca="false">IF(W59=0,0,IF(O59="Booked",N59,W59*AA58))</f>
        <v>0</v>
      </c>
      <c r="Y59" s="14" t="n">
        <f aca="false">IF(I59="Opening",K59,Y58+K59-W59)</f>
        <v>6082.6</v>
      </c>
      <c r="Z59" s="9" t="n">
        <f aca="false">IF(I59="Opening",L59,Z58+L59-X59)</f>
        <v>8403510.2196449</v>
      </c>
      <c r="AA59" s="9" t="n">
        <f aca="false">IF(Y59&gt;0,Z59/Y59,IF(I59="Opening",0,AA58))</f>
        <v>1381.56548509599</v>
      </c>
      <c r="AB59" s="9" t="n">
        <f aca="false">IF(AND(I59="DO",O59="MA"),S59-N59,0)</f>
        <v>0</v>
      </c>
      <c r="AC59" s="9" t="n">
        <f aca="false">IF(I59="DO",X59-S59,0)</f>
        <v>0</v>
      </c>
      <c r="AD59" s="23" t="n">
        <f aca="false">IF(B60&lt;&gt;B59,1,0)</f>
        <v>0</v>
      </c>
      <c r="AE59" s="14" t="n">
        <f aca="false">IF(I59="Opening",0,AE58+W59)</f>
        <v>573.2</v>
      </c>
      <c r="AF59" s="14" t="n">
        <f aca="false">IF(I59="Opening",K59,AF58)</f>
        <v>4337.9</v>
      </c>
      <c r="AG59" s="14" t="n">
        <f aca="false">AG58</f>
        <v>1300</v>
      </c>
      <c r="AH59" s="14" t="n">
        <f aca="false">IF(W59=0,0,MAX(0,MIN(AE59,AF59)-MIN(AE59-W59,AF59)))</f>
        <v>0</v>
      </c>
      <c r="AI59" s="14" t="n">
        <f aca="false">IF(W59=0,0,MAX(0,MIN(AE59,AF59+AG59)-MAX(AE59-W59,AF59)))</f>
        <v>0</v>
      </c>
      <c r="AJ59" s="14" t="n">
        <f aca="false">W59-AH59-AI59</f>
        <v>0</v>
      </c>
      <c r="AK59" s="9" t="n">
        <f aca="false">IF(W59=0,0,X59*AH59/W59)</f>
        <v>0</v>
      </c>
      <c r="AL59" s="9" t="n">
        <f aca="false">IF(W59=0,0,X59*AI59/W59)</f>
        <v>0</v>
      </c>
      <c r="AM59" s="9" t="n">
        <f aca="false">X59-AK59-AL59</f>
        <v>0</v>
      </c>
    </row>
    <row r="60" customFormat="false" ht="15" hidden="false" customHeight="false" outlineLevel="0" collapsed="false">
      <c r="A60" s="6" t="n">
        <v>55</v>
      </c>
      <c r="B60" s="74" t="s">
        <v>949</v>
      </c>
      <c r="C60" s="53" t="str">
        <f aca="false">INDEX(I_Items!$C$5:$C$133,MATCH($B60,I_Items!$A$5:$A$133,0))</f>
        <v>RPA</v>
      </c>
      <c r="D60" s="53" t="str">
        <f aca="false">INDEX(I_Items!$D$5:$D$133,MATCH($B60,I_Items!$A$5:$A$133,0))</f>
        <v>HJA (Hati/Jantung/Ampela)</v>
      </c>
      <c r="E60" s="53" t="str">
        <f aca="false">INDEX(I_Items!$F$5:$F$133,MATCH($B60,I_Items!$A$5:$A$133,0))</f>
        <v>Fresh</v>
      </c>
      <c r="F60" s="53" t="str">
        <f aca="false">IF(INDEX(I_Items!$E$5:$E$133,MATCH($B60,I_Items!$A$5:$A$133,0))="","",INDEX(I_Items!$E$5:$E$133,MATCH($B60,I_Items!$A$5:$A$133,0)))</f>
        <v/>
      </c>
      <c r="G60" s="76" t="n">
        <v>46244</v>
      </c>
      <c r="H60" s="23" t="n">
        <f aca="false">MONTH(G60)</f>
        <v>8</v>
      </c>
      <c r="I60" s="74" t="s">
        <v>2074</v>
      </c>
      <c r="J60" s="74" t="s">
        <v>1298</v>
      </c>
      <c r="K60" s="10" t="n">
        <v>415.2</v>
      </c>
      <c r="L60" s="8" t="n">
        <v>2386408.17</v>
      </c>
      <c r="M60" s="10" t="n">
        <v>0</v>
      </c>
      <c r="N60" s="8" t="n">
        <v>0</v>
      </c>
      <c r="O60" s="74"/>
      <c r="P60" s="74"/>
      <c r="Q60" s="74"/>
      <c r="R60" s="14" t="n">
        <f aca="false">IF(I60="Unbilled",0,M60)</f>
        <v>0</v>
      </c>
      <c r="S60" s="9" t="n">
        <f aca="false">IF(R60=0,0,IF(O60="Booked",N60,R60*V59))</f>
        <v>0</v>
      </c>
      <c r="T60" s="14" t="n">
        <f aca="false">IF(I60="Opening",K60,T59+K60-R60)</f>
        <v>6497.8</v>
      </c>
      <c r="U60" s="9" t="n">
        <f aca="false">IF(I60="Opening",L60,U59+L60-S60)</f>
        <v>10789918.3896449</v>
      </c>
      <c r="V60" s="9" t="n">
        <f aca="false">IF(T60&gt;0,U60/T60,IF(I60="Opening",0,V59))</f>
        <v>1660.54947669133</v>
      </c>
      <c r="W60" s="14" t="n">
        <f aca="false">M60</f>
        <v>0</v>
      </c>
      <c r="X60" s="9" t="n">
        <f aca="false">IF(W60=0,0,IF(O60="Booked",N60,W60*AA59))</f>
        <v>0</v>
      </c>
      <c r="Y60" s="14" t="n">
        <f aca="false">IF(I60="Opening",K60,Y59+K60-W60)</f>
        <v>6497.8</v>
      </c>
      <c r="Z60" s="9" t="n">
        <f aca="false">IF(I60="Opening",L60,Z59+L60-X60)</f>
        <v>10789918.3896449</v>
      </c>
      <c r="AA60" s="9" t="n">
        <f aca="false">IF(Y60&gt;0,Z60/Y60,IF(I60="Opening",0,AA59))</f>
        <v>1660.54947669133</v>
      </c>
      <c r="AB60" s="9" t="n">
        <f aca="false">IF(AND(I60="DO",O60="MA"),S60-N60,0)</f>
        <v>0</v>
      </c>
      <c r="AC60" s="9" t="n">
        <f aca="false">IF(I60="DO",X60-S60,0)</f>
        <v>0</v>
      </c>
      <c r="AD60" s="23" t="n">
        <f aca="false">IF(B61&lt;&gt;B60,1,0)</f>
        <v>0</v>
      </c>
      <c r="AE60" s="14" t="n">
        <f aca="false">IF(I60="Opening",0,AE59+W60)</f>
        <v>573.2</v>
      </c>
      <c r="AF60" s="14" t="n">
        <f aca="false">IF(I60="Opening",K60,AF59)</f>
        <v>4337.9</v>
      </c>
      <c r="AG60" s="14" t="n">
        <f aca="false">AG59</f>
        <v>1300</v>
      </c>
      <c r="AH60" s="14" t="n">
        <f aca="false">IF(W60=0,0,MAX(0,MIN(AE60,AF60)-MIN(AE60-W60,AF60)))</f>
        <v>0</v>
      </c>
      <c r="AI60" s="14" t="n">
        <f aca="false">IF(W60=0,0,MAX(0,MIN(AE60,AF60+AG60)-MAX(AE60-W60,AF60)))</f>
        <v>0</v>
      </c>
      <c r="AJ60" s="14" t="n">
        <f aca="false">W60-AH60-AI60</f>
        <v>0</v>
      </c>
      <c r="AK60" s="9" t="n">
        <f aca="false">IF(W60=0,0,X60*AH60/W60)</f>
        <v>0</v>
      </c>
      <c r="AL60" s="9" t="n">
        <f aca="false">IF(W60=0,0,X60*AI60/W60)</f>
        <v>0</v>
      </c>
      <c r="AM60" s="9" t="n">
        <f aca="false">X60-AK60-AL60</f>
        <v>0</v>
      </c>
    </row>
    <row r="61" customFormat="false" ht="15" hidden="false" customHeight="false" outlineLevel="0" collapsed="false">
      <c r="A61" s="6" t="n">
        <v>56</v>
      </c>
      <c r="B61" s="74" t="s">
        <v>949</v>
      </c>
      <c r="C61" s="53" t="str">
        <f aca="false">INDEX(I_Items!$C$5:$C$133,MATCH($B61,I_Items!$A$5:$A$133,0))</f>
        <v>RPA</v>
      </c>
      <c r="D61" s="53" t="str">
        <f aca="false">INDEX(I_Items!$D$5:$D$133,MATCH($B61,I_Items!$A$5:$A$133,0))</f>
        <v>HJA (Hati/Jantung/Ampela)</v>
      </c>
      <c r="E61" s="53" t="str">
        <f aca="false">INDEX(I_Items!$F$5:$F$133,MATCH($B61,I_Items!$A$5:$A$133,0))</f>
        <v>Fresh</v>
      </c>
      <c r="F61" s="53" t="str">
        <f aca="false">IF(INDEX(I_Items!$E$5:$E$133,MATCH($B61,I_Items!$A$5:$A$133,0))="","",INDEX(I_Items!$E$5:$E$133,MATCH($B61,I_Items!$A$5:$A$133,0)))</f>
        <v/>
      </c>
      <c r="G61" s="76" t="n">
        <v>46246</v>
      </c>
      <c r="H61" s="23" t="n">
        <f aca="false">MONTH(G61)</f>
        <v>8</v>
      </c>
      <c r="I61" s="74" t="s">
        <v>2075</v>
      </c>
      <c r="J61" s="74" t="s">
        <v>2079</v>
      </c>
      <c r="K61" s="10" t="n">
        <v>0</v>
      </c>
      <c r="L61" s="8" t="n">
        <v>0</v>
      </c>
      <c r="M61" s="10" t="n">
        <v>218.1</v>
      </c>
      <c r="N61" s="8" t="n">
        <v>362165.85</v>
      </c>
      <c r="O61" s="74" t="s">
        <v>2077</v>
      </c>
      <c r="P61" s="74"/>
      <c r="Q61" s="74"/>
      <c r="R61" s="14" t="n">
        <f aca="false">IF(I61="Unbilled",0,M61)</f>
        <v>218.1</v>
      </c>
      <c r="S61" s="9" t="n">
        <f aca="false">IF(R61=0,0,IF(O61="Booked",N61,R61*V60))</f>
        <v>362165.840866378</v>
      </c>
      <c r="T61" s="14" t="n">
        <f aca="false">IF(I61="Opening",K61,T60+K61-R61)</f>
        <v>6279.7</v>
      </c>
      <c r="U61" s="9" t="n">
        <f aca="false">IF(I61="Opening",L61,U60+L61-S61)</f>
        <v>10427752.5487785</v>
      </c>
      <c r="V61" s="9" t="n">
        <f aca="false">IF(T61&gt;0,U61/T61,IF(I61="Opening",0,V60))</f>
        <v>1660.54947669133</v>
      </c>
      <c r="W61" s="14" t="n">
        <f aca="false">M61</f>
        <v>218.1</v>
      </c>
      <c r="X61" s="9" t="n">
        <f aca="false">IF(W61=0,0,IF(O61="Booked",N61,W61*AA60))</f>
        <v>362165.840866378</v>
      </c>
      <c r="Y61" s="14" t="n">
        <f aca="false">IF(I61="Opening",K61,Y60+K61-W61)</f>
        <v>6279.7</v>
      </c>
      <c r="Z61" s="9" t="n">
        <f aca="false">IF(I61="Opening",L61,Z60+L61-X61)</f>
        <v>10427752.5487785</v>
      </c>
      <c r="AA61" s="9" t="n">
        <f aca="false">IF(Y61&gt;0,Z61/Y61,IF(I61="Opening",0,AA60))</f>
        <v>1660.54947669133</v>
      </c>
      <c r="AB61" s="9" t="n">
        <f aca="false">IF(AND(I61="DO",O61="MA"),S61-N61,0)</f>
        <v>-0.0091336218174547</v>
      </c>
      <c r="AC61" s="9" t="n">
        <f aca="false">IF(I61="DO",X61-S61,0)</f>
        <v>0</v>
      </c>
      <c r="AD61" s="23" t="n">
        <f aca="false">IF(B62&lt;&gt;B61,1,0)</f>
        <v>0</v>
      </c>
      <c r="AE61" s="14" t="n">
        <f aca="false">IF(I61="Opening",0,AE60+W61)</f>
        <v>791.3</v>
      </c>
      <c r="AF61" s="14" t="n">
        <f aca="false">IF(I61="Opening",K61,AF60)</f>
        <v>4337.9</v>
      </c>
      <c r="AG61" s="14" t="n">
        <f aca="false">AG60</f>
        <v>1300</v>
      </c>
      <c r="AH61" s="14" t="n">
        <f aca="false">IF(W61=0,0,MAX(0,MIN(AE61,AF61)-MIN(AE61-W61,AF61)))</f>
        <v>218.1</v>
      </c>
      <c r="AI61" s="14" t="n">
        <f aca="false">IF(W61=0,0,MAX(0,MIN(AE61,AF61+AG61)-MAX(AE61-W61,AF61)))</f>
        <v>0</v>
      </c>
      <c r="AJ61" s="14" t="n">
        <f aca="false">W61-AH61-AI61</f>
        <v>0</v>
      </c>
      <c r="AK61" s="9" t="n">
        <f aca="false">IF(W61=0,0,X61*AH61/W61)</f>
        <v>362165.840866378</v>
      </c>
      <c r="AL61" s="9" t="n">
        <f aca="false">IF(W61=0,0,X61*AI61/W61)</f>
        <v>0</v>
      </c>
      <c r="AM61" s="9" t="n">
        <f aca="false">X61-AK61-AL61</f>
        <v>0</v>
      </c>
    </row>
    <row r="62" customFormat="false" ht="15" hidden="false" customHeight="false" outlineLevel="0" collapsed="false">
      <c r="A62" s="6" t="n">
        <v>57</v>
      </c>
      <c r="B62" s="74" t="s">
        <v>949</v>
      </c>
      <c r="C62" s="53" t="str">
        <f aca="false">INDEX(I_Items!$C$5:$C$133,MATCH($B62,I_Items!$A$5:$A$133,0))</f>
        <v>RPA</v>
      </c>
      <c r="D62" s="53" t="str">
        <f aca="false">INDEX(I_Items!$D$5:$D$133,MATCH($B62,I_Items!$A$5:$A$133,0))</f>
        <v>HJA (Hati/Jantung/Ampela)</v>
      </c>
      <c r="E62" s="53" t="str">
        <f aca="false">INDEX(I_Items!$F$5:$F$133,MATCH($B62,I_Items!$A$5:$A$133,0))</f>
        <v>Fresh</v>
      </c>
      <c r="F62" s="53" t="str">
        <f aca="false">IF(INDEX(I_Items!$E$5:$E$133,MATCH($B62,I_Items!$A$5:$A$133,0))="","",INDEX(I_Items!$E$5:$E$133,MATCH($B62,I_Items!$A$5:$A$133,0)))</f>
        <v/>
      </c>
      <c r="G62" s="76" t="n">
        <v>46246</v>
      </c>
      <c r="H62" s="23" t="n">
        <f aca="false">MONTH(G62)</f>
        <v>8</v>
      </c>
      <c r="I62" s="74" t="s">
        <v>2075</v>
      </c>
      <c r="J62" s="74" t="s">
        <v>2080</v>
      </c>
      <c r="K62" s="10" t="n">
        <v>0</v>
      </c>
      <c r="L62" s="8" t="n">
        <v>0</v>
      </c>
      <c r="M62" s="10" t="n">
        <v>194.7</v>
      </c>
      <c r="N62" s="8" t="n">
        <v>323308.99</v>
      </c>
      <c r="O62" s="74" t="s">
        <v>2077</v>
      </c>
      <c r="P62" s="74"/>
      <c r="Q62" s="74"/>
      <c r="R62" s="14" t="n">
        <f aca="false">IF(I62="Unbilled",0,M62)</f>
        <v>194.7</v>
      </c>
      <c r="S62" s="9" t="n">
        <f aca="false">IF(R62=0,0,IF(O62="Booked",N62,R62*V61))</f>
        <v>323308.983111801</v>
      </c>
      <c r="T62" s="14" t="n">
        <f aca="false">IF(I62="Opening",K62,T61+K62-R62)</f>
        <v>6085</v>
      </c>
      <c r="U62" s="9" t="n">
        <f aca="false">IF(I62="Opening",L62,U61+L62-S62)</f>
        <v>10104443.5656667</v>
      </c>
      <c r="V62" s="9" t="n">
        <f aca="false">IF(T62&gt;0,U62/T62,IF(I62="Opening",0,V61))</f>
        <v>1660.54947669133</v>
      </c>
      <c r="W62" s="14" t="n">
        <f aca="false">M62</f>
        <v>194.7</v>
      </c>
      <c r="X62" s="9" t="n">
        <f aca="false">IF(W62=0,0,IF(O62="Booked",N62,W62*AA61))</f>
        <v>323308.983111801</v>
      </c>
      <c r="Y62" s="14" t="n">
        <f aca="false">IF(I62="Opening",K62,Y61+K62-W62)</f>
        <v>6085</v>
      </c>
      <c r="Z62" s="9" t="n">
        <f aca="false">IF(I62="Opening",L62,Z61+L62-X62)</f>
        <v>10104443.5656667</v>
      </c>
      <c r="AA62" s="9" t="n">
        <f aca="false">IF(Y62&gt;0,Z62/Y62,IF(I62="Opening",0,AA61))</f>
        <v>1660.54947669133</v>
      </c>
      <c r="AB62" s="9" t="n">
        <f aca="false">IF(AND(I62="DO",O62="MA"),S62-N62,0)</f>
        <v>-0.00688819878268987</v>
      </c>
      <c r="AC62" s="9" t="n">
        <f aca="false">IF(I62="DO",X62-S62,0)</f>
        <v>0</v>
      </c>
      <c r="AD62" s="23" t="n">
        <f aca="false">IF(B63&lt;&gt;B62,1,0)</f>
        <v>0</v>
      </c>
      <c r="AE62" s="14" t="n">
        <f aca="false">IF(I62="Opening",0,AE61+W62)</f>
        <v>986</v>
      </c>
      <c r="AF62" s="14" t="n">
        <f aca="false">IF(I62="Opening",K62,AF61)</f>
        <v>4337.9</v>
      </c>
      <c r="AG62" s="14" t="n">
        <f aca="false">AG61</f>
        <v>1300</v>
      </c>
      <c r="AH62" s="14" t="n">
        <f aca="false">IF(W62=0,0,MAX(0,MIN(AE62,AF62)-MIN(AE62-W62,AF62)))</f>
        <v>194.7</v>
      </c>
      <c r="AI62" s="14" t="n">
        <f aca="false">IF(W62=0,0,MAX(0,MIN(AE62,AF62+AG62)-MAX(AE62-W62,AF62)))</f>
        <v>0</v>
      </c>
      <c r="AJ62" s="14" t="n">
        <f aca="false">W62-AH62-AI62</f>
        <v>0</v>
      </c>
      <c r="AK62" s="9" t="n">
        <f aca="false">IF(W62=0,0,X62*AH62/W62)</f>
        <v>323308.983111801</v>
      </c>
      <c r="AL62" s="9" t="n">
        <f aca="false">IF(W62=0,0,X62*AI62/W62)</f>
        <v>0</v>
      </c>
      <c r="AM62" s="9" t="n">
        <f aca="false">X62-AK62-AL62</f>
        <v>0</v>
      </c>
    </row>
    <row r="63" customFormat="false" ht="15" hidden="false" customHeight="false" outlineLevel="0" collapsed="false">
      <c r="A63" s="6" t="n">
        <v>58</v>
      </c>
      <c r="B63" s="74" t="s">
        <v>949</v>
      </c>
      <c r="C63" s="53" t="str">
        <f aca="false">INDEX(I_Items!$C$5:$C$133,MATCH($B63,I_Items!$A$5:$A$133,0))</f>
        <v>RPA</v>
      </c>
      <c r="D63" s="53" t="str">
        <f aca="false">INDEX(I_Items!$D$5:$D$133,MATCH($B63,I_Items!$A$5:$A$133,0))</f>
        <v>HJA (Hati/Jantung/Ampela)</v>
      </c>
      <c r="E63" s="53" t="str">
        <f aca="false">INDEX(I_Items!$F$5:$F$133,MATCH($B63,I_Items!$A$5:$A$133,0))</f>
        <v>Fresh</v>
      </c>
      <c r="F63" s="53" t="str">
        <f aca="false">IF(INDEX(I_Items!$E$5:$E$133,MATCH($B63,I_Items!$A$5:$A$133,0))="","",INDEX(I_Items!$E$5:$E$133,MATCH($B63,I_Items!$A$5:$A$133,0)))</f>
        <v/>
      </c>
      <c r="G63" s="76" t="n">
        <v>46246</v>
      </c>
      <c r="H63" s="23" t="n">
        <f aca="false">MONTH(G63)</f>
        <v>8</v>
      </c>
      <c r="I63" s="74" t="s">
        <v>2075</v>
      </c>
      <c r="J63" s="74" t="s">
        <v>2081</v>
      </c>
      <c r="K63" s="10" t="n">
        <v>0</v>
      </c>
      <c r="L63" s="8" t="n">
        <v>0</v>
      </c>
      <c r="M63" s="10" t="n">
        <v>177.9</v>
      </c>
      <c r="N63" s="8" t="n">
        <v>295411.76</v>
      </c>
      <c r="O63" s="74" t="s">
        <v>2077</v>
      </c>
      <c r="P63" s="74"/>
      <c r="Q63" s="74"/>
      <c r="R63" s="14" t="n">
        <f aca="false">IF(I63="Unbilled",0,M63)</f>
        <v>177.9</v>
      </c>
      <c r="S63" s="9" t="n">
        <f aca="false">IF(R63=0,0,IF(O63="Booked",N63,R63*V62))</f>
        <v>295411.751903387</v>
      </c>
      <c r="T63" s="14" t="n">
        <f aca="false">IF(I63="Opening",K63,T62+K63-R63)</f>
        <v>5907.1</v>
      </c>
      <c r="U63" s="9" t="n">
        <f aca="false">IF(I63="Opening",L63,U62+L63-S63)</f>
        <v>9809031.81376333</v>
      </c>
      <c r="V63" s="9" t="n">
        <f aca="false">IF(T63&gt;0,U63/T63,IF(I63="Opening",0,V62))</f>
        <v>1660.54947669133</v>
      </c>
      <c r="W63" s="14" t="n">
        <f aca="false">M63</f>
        <v>177.9</v>
      </c>
      <c r="X63" s="9" t="n">
        <f aca="false">IF(W63=0,0,IF(O63="Booked",N63,W63*AA62))</f>
        <v>295411.751903387</v>
      </c>
      <c r="Y63" s="14" t="n">
        <f aca="false">IF(I63="Opening",K63,Y62+K63-W63)</f>
        <v>5907.1</v>
      </c>
      <c r="Z63" s="9" t="n">
        <f aca="false">IF(I63="Opening",L63,Z62+L63-X63)</f>
        <v>9809031.81376333</v>
      </c>
      <c r="AA63" s="9" t="n">
        <f aca="false">IF(Y63&gt;0,Z63/Y63,IF(I63="Opening",0,AA62))</f>
        <v>1660.54947669133</v>
      </c>
      <c r="AB63" s="9" t="n">
        <f aca="false">IF(AND(I63="DO",O63="MA"),S63-N63,0)</f>
        <v>-0.00809661304811016</v>
      </c>
      <c r="AC63" s="9" t="n">
        <f aca="false">IF(I63="DO",X63-S63,0)</f>
        <v>0</v>
      </c>
      <c r="AD63" s="23" t="n">
        <f aca="false">IF(B64&lt;&gt;B63,1,0)</f>
        <v>0</v>
      </c>
      <c r="AE63" s="14" t="n">
        <f aca="false">IF(I63="Opening",0,AE62+W63)</f>
        <v>1163.9</v>
      </c>
      <c r="AF63" s="14" t="n">
        <f aca="false">IF(I63="Opening",K63,AF62)</f>
        <v>4337.9</v>
      </c>
      <c r="AG63" s="14" t="n">
        <f aca="false">AG62</f>
        <v>1300</v>
      </c>
      <c r="AH63" s="14" t="n">
        <f aca="false">IF(W63=0,0,MAX(0,MIN(AE63,AF63)-MIN(AE63-W63,AF63)))</f>
        <v>177.9</v>
      </c>
      <c r="AI63" s="14" t="n">
        <f aca="false">IF(W63=0,0,MAX(0,MIN(AE63,AF63+AG63)-MAX(AE63-W63,AF63)))</f>
        <v>0</v>
      </c>
      <c r="AJ63" s="14" t="n">
        <f aca="false">W63-AH63-AI63</f>
        <v>0</v>
      </c>
      <c r="AK63" s="9" t="n">
        <f aca="false">IF(W63=0,0,X63*AH63/W63)</f>
        <v>295411.751903387</v>
      </c>
      <c r="AL63" s="9" t="n">
        <f aca="false">IF(W63=0,0,X63*AI63/W63)</f>
        <v>0</v>
      </c>
      <c r="AM63" s="9" t="n">
        <f aca="false">X63-AK63-AL63</f>
        <v>0</v>
      </c>
    </row>
    <row r="64" customFormat="false" ht="15" hidden="false" customHeight="false" outlineLevel="0" collapsed="false">
      <c r="A64" s="6" t="n">
        <v>59</v>
      </c>
      <c r="B64" s="74" t="s">
        <v>949</v>
      </c>
      <c r="C64" s="53" t="str">
        <f aca="false">INDEX(I_Items!$C$5:$C$133,MATCH($B64,I_Items!$A$5:$A$133,0))</f>
        <v>RPA</v>
      </c>
      <c r="D64" s="53" t="str">
        <f aca="false">INDEX(I_Items!$D$5:$D$133,MATCH($B64,I_Items!$A$5:$A$133,0))</f>
        <v>HJA (Hati/Jantung/Ampela)</v>
      </c>
      <c r="E64" s="53" t="str">
        <f aca="false">INDEX(I_Items!$F$5:$F$133,MATCH($B64,I_Items!$A$5:$A$133,0))</f>
        <v>Fresh</v>
      </c>
      <c r="F64" s="53" t="str">
        <f aca="false">IF(INDEX(I_Items!$E$5:$E$133,MATCH($B64,I_Items!$A$5:$A$133,0))="","",INDEX(I_Items!$E$5:$E$133,MATCH($B64,I_Items!$A$5:$A$133,0)))</f>
        <v/>
      </c>
      <c r="G64" s="76" t="n">
        <v>46246</v>
      </c>
      <c r="H64" s="23" t="n">
        <f aca="false">MONTH(G64)</f>
        <v>8</v>
      </c>
      <c r="I64" s="74" t="s">
        <v>2075</v>
      </c>
      <c r="J64" s="74" t="s">
        <v>2082</v>
      </c>
      <c r="K64" s="10" t="n">
        <v>0</v>
      </c>
      <c r="L64" s="8" t="n">
        <v>0</v>
      </c>
      <c r="M64" s="10" t="n">
        <v>207.6</v>
      </c>
      <c r="N64" s="8" t="n">
        <v>344730.08</v>
      </c>
      <c r="O64" s="74" t="s">
        <v>2077</v>
      </c>
      <c r="P64" s="74"/>
      <c r="Q64" s="74"/>
      <c r="R64" s="14" t="n">
        <f aca="false">IF(I64="Unbilled",0,M64)</f>
        <v>207.6</v>
      </c>
      <c r="S64" s="9" t="n">
        <f aca="false">IF(R64=0,0,IF(O64="Booked",N64,R64*V63))</f>
        <v>344730.071361119</v>
      </c>
      <c r="T64" s="14" t="n">
        <f aca="false">IF(I64="Opening",K64,T63+K64-R64)</f>
        <v>5699.5</v>
      </c>
      <c r="U64" s="9" t="n">
        <f aca="false">IF(I64="Opening",L64,U63+L64-S64)</f>
        <v>9464301.74240221</v>
      </c>
      <c r="V64" s="9" t="n">
        <f aca="false">IF(T64&gt;0,U64/T64,IF(I64="Opening",0,V63))</f>
        <v>1660.54947669133</v>
      </c>
      <c r="W64" s="14" t="n">
        <f aca="false">M64</f>
        <v>207.6</v>
      </c>
      <c r="X64" s="9" t="n">
        <f aca="false">IF(W64=0,0,IF(O64="Booked",N64,W64*AA63))</f>
        <v>344730.071361119</v>
      </c>
      <c r="Y64" s="14" t="n">
        <f aca="false">IF(I64="Opening",K64,Y63+K64-W64)</f>
        <v>5699.5</v>
      </c>
      <c r="Z64" s="9" t="n">
        <f aca="false">IF(I64="Opening",L64,Z63+L64-X64)</f>
        <v>9464301.74240221</v>
      </c>
      <c r="AA64" s="9" t="n">
        <f aca="false">IF(Y64&gt;0,Z64/Y64,IF(I64="Opening",0,AA63))</f>
        <v>1660.54947669133</v>
      </c>
      <c r="AB64" s="9" t="n">
        <f aca="false">IF(AND(I64="DO",O64="MA"),S64-N64,0)</f>
        <v>-0.00863888073945418</v>
      </c>
      <c r="AC64" s="9" t="n">
        <f aca="false">IF(I64="DO",X64-S64,0)</f>
        <v>0</v>
      </c>
      <c r="AD64" s="23" t="n">
        <f aca="false">IF(B65&lt;&gt;B64,1,0)</f>
        <v>0</v>
      </c>
      <c r="AE64" s="14" t="n">
        <f aca="false">IF(I64="Opening",0,AE63+W64)</f>
        <v>1371.5</v>
      </c>
      <c r="AF64" s="14" t="n">
        <f aca="false">IF(I64="Opening",K64,AF63)</f>
        <v>4337.9</v>
      </c>
      <c r="AG64" s="14" t="n">
        <f aca="false">AG63</f>
        <v>1300</v>
      </c>
      <c r="AH64" s="14" t="n">
        <f aca="false">IF(W64=0,0,MAX(0,MIN(AE64,AF64)-MIN(AE64-W64,AF64)))</f>
        <v>207.6</v>
      </c>
      <c r="AI64" s="14" t="n">
        <f aca="false">IF(W64=0,0,MAX(0,MIN(AE64,AF64+AG64)-MAX(AE64-W64,AF64)))</f>
        <v>0</v>
      </c>
      <c r="AJ64" s="14" t="n">
        <f aca="false">W64-AH64-AI64</f>
        <v>0</v>
      </c>
      <c r="AK64" s="9" t="n">
        <f aca="false">IF(W64=0,0,X64*AH64/W64)</f>
        <v>344730.071361119</v>
      </c>
      <c r="AL64" s="9" t="n">
        <f aca="false">IF(W64=0,0,X64*AI64/W64)</f>
        <v>0</v>
      </c>
      <c r="AM64" s="9" t="n">
        <f aca="false">X64-AK64-AL64</f>
        <v>0</v>
      </c>
    </row>
    <row r="65" customFormat="false" ht="15" hidden="false" customHeight="false" outlineLevel="0" collapsed="false">
      <c r="A65" s="6" t="n">
        <v>60</v>
      </c>
      <c r="B65" s="74" t="s">
        <v>949</v>
      </c>
      <c r="C65" s="53" t="str">
        <f aca="false">INDEX(I_Items!$C$5:$C$133,MATCH($B65,I_Items!$A$5:$A$133,0))</f>
        <v>RPA</v>
      </c>
      <c r="D65" s="53" t="str">
        <f aca="false">INDEX(I_Items!$D$5:$D$133,MATCH($B65,I_Items!$A$5:$A$133,0))</f>
        <v>HJA (Hati/Jantung/Ampela)</v>
      </c>
      <c r="E65" s="53" t="str">
        <f aca="false">INDEX(I_Items!$F$5:$F$133,MATCH($B65,I_Items!$A$5:$A$133,0))</f>
        <v>Fresh</v>
      </c>
      <c r="F65" s="53" t="str">
        <f aca="false">IF(INDEX(I_Items!$E$5:$E$133,MATCH($B65,I_Items!$A$5:$A$133,0))="","",INDEX(I_Items!$E$5:$E$133,MATCH($B65,I_Items!$A$5:$A$133,0)))</f>
        <v/>
      </c>
      <c r="G65" s="76" t="n">
        <v>46246</v>
      </c>
      <c r="H65" s="23" t="n">
        <f aca="false">MONTH(G65)</f>
        <v>8</v>
      </c>
      <c r="I65" s="74" t="s">
        <v>2075</v>
      </c>
      <c r="J65" s="74" t="s">
        <v>2083</v>
      </c>
      <c r="K65" s="10" t="n">
        <v>0</v>
      </c>
      <c r="L65" s="8" t="n">
        <v>0</v>
      </c>
      <c r="M65" s="10" t="n">
        <v>180.6</v>
      </c>
      <c r="N65" s="8" t="n">
        <v>299895.24</v>
      </c>
      <c r="O65" s="74" t="s">
        <v>2077</v>
      </c>
      <c r="P65" s="74"/>
      <c r="Q65" s="74"/>
      <c r="R65" s="14" t="n">
        <f aca="false">IF(I65="Unbilled",0,M65)</f>
        <v>180.6</v>
      </c>
      <c r="S65" s="9" t="n">
        <f aca="false">IF(R65=0,0,IF(O65="Booked",N65,R65*V64))</f>
        <v>299895.235490454</v>
      </c>
      <c r="T65" s="14" t="n">
        <f aca="false">IF(I65="Opening",K65,T64+K65-R65)</f>
        <v>5518.9</v>
      </c>
      <c r="U65" s="9" t="n">
        <f aca="false">IF(I65="Opening",L65,U64+L65-S65)</f>
        <v>9164406.50691176</v>
      </c>
      <c r="V65" s="9" t="n">
        <f aca="false">IF(T65&gt;0,U65/T65,IF(I65="Opening",0,V64))</f>
        <v>1660.54947669133</v>
      </c>
      <c r="W65" s="14" t="n">
        <f aca="false">M65</f>
        <v>180.6</v>
      </c>
      <c r="X65" s="9" t="n">
        <f aca="false">IF(W65=0,0,IF(O65="Booked",N65,W65*AA64))</f>
        <v>299895.235490454</v>
      </c>
      <c r="Y65" s="14" t="n">
        <f aca="false">IF(I65="Opening",K65,Y64+K65-W65)</f>
        <v>5518.9</v>
      </c>
      <c r="Z65" s="9" t="n">
        <f aca="false">IF(I65="Opening",L65,Z64+L65-X65)</f>
        <v>9164406.50691176</v>
      </c>
      <c r="AA65" s="9" t="n">
        <f aca="false">IF(Y65&gt;0,Z65/Y65,IF(I65="Opening",0,AA64))</f>
        <v>1660.54947669133</v>
      </c>
      <c r="AB65" s="9" t="n">
        <f aca="false">IF(AND(I65="DO",O65="MA"),S65-N65,0)</f>
        <v>-0.00450954644475132</v>
      </c>
      <c r="AC65" s="9" t="n">
        <f aca="false">IF(I65="DO",X65-S65,0)</f>
        <v>0</v>
      </c>
      <c r="AD65" s="23" t="n">
        <f aca="false">IF(B66&lt;&gt;B65,1,0)</f>
        <v>0</v>
      </c>
      <c r="AE65" s="14" t="n">
        <f aca="false">IF(I65="Opening",0,AE64+W65)</f>
        <v>1552.1</v>
      </c>
      <c r="AF65" s="14" t="n">
        <f aca="false">IF(I65="Opening",K65,AF64)</f>
        <v>4337.9</v>
      </c>
      <c r="AG65" s="14" t="n">
        <f aca="false">AG64</f>
        <v>1300</v>
      </c>
      <c r="AH65" s="14" t="n">
        <f aca="false">IF(W65=0,0,MAX(0,MIN(AE65,AF65)-MIN(AE65-W65,AF65)))</f>
        <v>180.6</v>
      </c>
      <c r="AI65" s="14" t="n">
        <f aca="false">IF(W65=0,0,MAX(0,MIN(AE65,AF65+AG65)-MAX(AE65-W65,AF65)))</f>
        <v>0</v>
      </c>
      <c r="AJ65" s="14" t="n">
        <f aca="false">W65-AH65-AI65</f>
        <v>0</v>
      </c>
      <c r="AK65" s="9" t="n">
        <f aca="false">IF(W65=0,0,X65*AH65/W65)</f>
        <v>299895.235490453</v>
      </c>
      <c r="AL65" s="9" t="n">
        <f aca="false">IF(W65=0,0,X65*AI65/W65)</f>
        <v>0</v>
      </c>
      <c r="AM65" s="9" t="n">
        <f aca="false">X65-AK65-AL65</f>
        <v>0</v>
      </c>
    </row>
    <row r="66" customFormat="false" ht="15" hidden="false" customHeight="false" outlineLevel="0" collapsed="false">
      <c r="A66" s="6" t="n">
        <v>61</v>
      </c>
      <c r="B66" s="74" t="s">
        <v>949</v>
      </c>
      <c r="C66" s="53" t="str">
        <f aca="false">INDEX(I_Items!$C$5:$C$133,MATCH($B66,I_Items!$A$5:$A$133,0))</f>
        <v>RPA</v>
      </c>
      <c r="D66" s="53" t="str">
        <f aca="false">INDEX(I_Items!$D$5:$D$133,MATCH($B66,I_Items!$A$5:$A$133,0))</f>
        <v>HJA (Hati/Jantung/Ampela)</v>
      </c>
      <c r="E66" s="53" t="str">
        <f aca="false">INDEX(I_Items!$F$5:$F$133,MATCH($B66,I_Items!$A$5:$A$133,0))</f>
        <v>Fresh</v>
      </c>
      <c r="F66" s="53" t="str">
        <f aca="false">IF(INDEX(I_Items!$E$5:$E$133,MATCH($B66,I_Items!$A$5:$A$133,0))="","",INDEX(I_Items!$E$5:$E$133,MATCH($B66,I_Items!$A$5:$A$133,0)))</f>
        <v/>
      </c>
      <c r="G66" s="76" t="n">
        <v>46248</v>
      </c>
      <c r="H66" s="23" t="n">
        <f aca="false">MONTH(G66)</f>
        <v>8</v>
      </c>
      <c r="I66" s="74" t="s">
        <v>2074</v>
      </c>
      <c r="J66" s="74" t="s">
        <v>1302</v>
      </c>
      <c r="K66" s="10" t="n">
        <v>850.1</v>
      </c>
      <c r="L66" s="8" t="n">
        <v>4931332.34</v>
      </c>
      <c r="M66" s="10" t="n">
        <v>0</v>
      </c>
      <c r="N66" s="8" t="n">
        <v>0</v>
      </c>
      <c r="O66" s="74"/>
      <c r="P66" s="74"/>
      <c r="Q66" s="74"/>
      <c r="R66" s="14" t="n">
        <f aca="false">IF(I66="Unbilled",0,M66)</f>
        <v>0</v>
      </c>
      <c r="S66" s="9" t="n">
        <f aca="false">IF(R66=0,0,IF(O66="Booked",N66,R66*V65))</f>
        <v>0</v>
      </c>
      <c r="T66" s="14" t="n">
        <f aca="false">IF(I66="Opening",K66,T65+K66-R66)</f>
        <v>6369</v>
      </c>
      <c r="U66" s="9" t="n">
        <f aca="false">IF(I66="Opening",L66,U65+L66-S66)</f>
        <v>14095738.8469118</v>
      </c>
      <c r="V66" s="9" t="n">
        <f aca="false">IF(T66&gt;0,U66/T66,IF(I66="Opening",0,V65))</f>
        <v>2213.17928197704</v>
      </c>
      <c r="W66" s="14" t="n">
        <f aca="false">M66</f>
        <v>0</v>
      </c>
      <c r="X66" s="9" t="n">
        <f aca="false">IF(W66=0,0,IF(O66="Booked",N66,W66*AA65))</f>
        <v>0</v>
      </c>
      <c r="Y66" s="14" t="n">
        <f aca="false">IF(I66="Opening",K66,Y65+K66-W66)</f>
        <v>6369</v>
      </c>
      <c r="Z66" s="9" t="n">
        <f aca="false">IF(I66="Opening",L66,Z65+L66-X66)</f>
        <v>14095738.8469118</v>
      </c>
      <c r="AA66" s="9" t="n">
        <f aca="false">IF(Y66&gt;0,Z66/Y66,IF(I66="Opening",0,AA65))</f>
        <v>2213.17928197704</v>
      </c>
      <c r="AB66" s="9" t="n">
        <f aca="false">IF(AND(I66="DO",O66="MA"),S66-N66,0)</f>
        <v>0</v>
      </c>
      <c r="AC66" s="9" t="n">
        <f aca="false">IF(I66="DO",X66-S66,0)</f>
        <v>0</v>
      </c>
      <c r="AD66" s="23" t="n">
        <f aca="false">IF(B67&lt;&gt;B66,1,0)</f>
        <v>0</v>
      </c>
      <c r="AE66" s="14" t="n">
        <f aca="false">IF(I66="Opening",0,AE65+W66)</f>
        <v>1552.1</v>
      </c>
      <c r="AF66" s="14" t="n">
        <f aca="false">IF(I66="Opening",K66,AF65)</f>
        <v>4337.9</v>
      </c>
      <c r="AG66" s="14" t="n">
        <f aca="false">AG65</f>
        <v>1300</v>
      </c>
      <c r="AH66" s="14" t="n">
        <f aca="false">IF(W66=0,0,MAX(0,MIN(AE66,AF66)-MIN(AE66-W66,AF66)))</f>
        <v>0</v>
      </c>
      <c r="AI66" s="14" t="n">
        <f aca="false">IF(W66=0,0,MAX(0,MIN(AE66,AF66+AG66)-MAX(AE66-W66,AF66)))</f>
        <v>0</v>
      </c>
      <c r="AJ66" s="14" t="n">
        <f aca="false">W66-AH66-AI66</f>
        <v>0</v>
      </c>
      <c r="AK66" s="9" t="n">
        <f aca="false">IF(W66=0,0,X66*AH66/W66)</f>
        <v>0</v>
      </c>
      <c r="AL66" s="9" t="n">
        <f aca="false">IF(W66=0,0,X66*AI66/W66)</f>
        <v>0</v>
      </c>
      <c r="AM66" s="9" t="n">
        <f aca="false">X66-AK66-AL66</f>
        <v>0</v>
      </c>
    </row>
    <row r="67" customFormat="false" ht="15" hidden="false" customHeight="false" outlineLevel="0" collapsed="false">
      <c r="A67" s="6" t="n">
        <v>62</v>
      </c>
      <c r="B67" s="74" t="s">
        <v>949</v>
      </c>
      <c r="C67" s="53" t="str">
        <f aca="false">INDEX(I_Items!$C$5:$C$133,MATCH($B67,I_Items!$A$5:$A$133,0))</f>
        <v>RPA</v>
      </c>
      <c r="D67" s="53" t="str">
        <f aca="false">INDEX(I_Items!$D$5:$D$133,MATCH($B67,I_Items!$A$5:$A$133,0))</f>
        <v>HJA (Hati/Jantung/Ampela)</v>
      </c>
      <c r="E67" s="53" t="str">
        <f aca="false">INDEX(I_Items!$F$5:$F$133,MATCH($B67,I_Items!$A$5:$A$133,0))</f>
        <v>Fresh</v>
      </c>
      <c r="F67" s="53" t="str">
        <f aca="false">IF(INDEX(I_Items!$E$5:$E$133,MATCH($B67,I_Items!$A$5:$A$133,0))="","",INDEX(I_Items!$E$5:$E$133,MATCH($B67,I_Items!$A$5:$A$133,0)))</f>
        <v/>
      </c>
      <c r="G67" s="76" t="n">
        <v>46252</v>
      </c>
      <c r="H67" s="23" t="n">
        <f aca="false">MONTH(G67)</f>
        <v>8</v>
      </c>
      <c r="I67" s="74" t="s">
        <v>2075</v>
      </c>
      <c r="J67" s="74" t="s">
        <v>2084</v>
      </c>
      <c r="K67" s="10" t="n">
        <v>0</v>
      </c>
      <c r="L67" s="8" t="n">
        <v>0</v>
      </c>
      <c r="M67" s="10" t="n">
        <v>175.3</v>
      </c>
      <c r="N67" s="8" t="n">
        <v>387970.33</v>
      </c>
      <c r="O67" s="74" t="s">
        <v>2077</v>
      </c>
      <c r="P67" s="74"/>
      <c r="Q67" s="74"/>
      <c r="R67" s="14" t="n">
        <f aca="false">IF(I67="Unbilled",0,M67)</f>
        <v>175.3</v>
      </c>
      <c r="S67" s="9" t="n">
        <f aca="false">IF(R67=0,0,IF(O67="Booked",N67,R67*V66))</f>
        <v>387970.328130575</v>
      </c>
      <c r="T67" s="14" t="n">
        <f aca="false">IF(I67="Opening",K67,T66+K67-R67)</f>
        <v>6193.7</v>
      </c>
      <c r="U67" s="9" t="n">
        <f aca="false">IF(I67="Opening",L67,U66+L67-S67)</f>
        <v>13707768.5187812</v>
      </c>
      <c r="V67" s="9" t="n">
        <f aca="false">IF(T67&gt;0,U67/T67,IF(I67="Opening",0,V66))</f>
        <v>2213.17928197704</v>
      </c>
      <c r="W67" s="14" t="n">
        <f aca="false">M67</f>
        <v>175.3</v>
      </c>
      <c r="X67" s="9" t="n">
        <f aca="false">IF(W67=0,0,IF(O67="Booked",N67,W67*AA66))</f>
        <v>387970.328130575</v>
      </c>
      <c r="Y67" s="14" t="n">
        <f aca="false">IF(I67="Opening",K67,Y66+K67-W67)</f>
        <v>6193.7</v>
      </c>
      <c r="Z67" s="9" t="n">
        <f aca="false">IF(I67="Opening",L67,Z66+L67-X67)</f>
        <v>13707768.5187812</v>
      </c>
      <c r="AA67" s="9" t="n">
        <f aca="false">IF(Y67&gt;0,Z67/Y67,IF(I67="Opening",0,AA66))</f>
        <v>2213.17928197704</v>
      </c>
      <c r="AB67" s="9" t="n">
        <f aca="false">IF(AND(I67="DO",O67="MA"),S67-N67,0)</f>
        <v>-0.00186942506115884</v>
      </c>
      <c r="AC67" s="9" t="n">
        <f aca="false">IF(I67="DO",X67-S67,0)</f>
        <v>0</v>
      </c>
      <c r="AD67" s="23" t="n">
        <f aca="false">IF(B68&lt;&gt;B67,1,0)</f>
        <v>0</v>
      </c>
      <c r="AE67" s="14" t="n">
        <f aca="false">IF(I67="Opening",0,AE66+W67)</f>
        <v>1727.4</v>
      </c>
      <c r="AF67" s="14" t="n">
        <f aca="false">IF(I67="Opening",K67,AF66)</f>
        <v>4337.9</v>
      </c>
      <c r="AG67" s="14" t="n">
        <f aca="false">AG66</f>
        <v>1300</v>
      </c>
      <c r="AH67" s="14" t="n">
        <f aca="false">IF(W67=0,0,MAX(0,MIN(AE67,AF67)-MIN(AE67-W67,AF67)))</f>
        <v>175.3</v>
      </c>
      <c r="AI67" s="14" t="n">
        <f aca="false">IF(W67=0,0,MAX(0,MIN(AE67,AF67+AG67)-MAX(AE67-W67,AF67)))</f>
        <v>0</v>
      </c>
      <c r="AJ67" s="14" t="n">
        <f aca="false">W67-AH67-AI67</f>
        <v>0</v>
      </c>
      <c r="AK67" s="9" t="n">
        <f aca="false">IF(W67=0,0,X67*AH67/W67)</f>
        <v>387970.328130575</v>
      </c>
      <c r="AL67" s="9" t="n">
        <f aca="false">IF(W67=0,0,X67*AI67/W67)</f>
        <v>0</v>
      </c>
      <c r="AM67" s="9" t="n">
        <f aca="false">X67-AK67-AL67</f>
        <v>0</v>
      </c>
    </row>
    <row r="68" customFormat="false" ht="15" hidden="false" customHeight="false" outlineLevel="0" collapsed="false">
      <c r="A68" s="6" t="n">
        <v>63</v>
      </c>
      <c r="B68" s="74" t="s">
        <v>949</v>
      </c>
      <c r="C68" s="53" t="str">
        <f aca="false">INDEX(I_Items!$C$5:$C$133,MATCH($B68,I_Items!$A$5:$A$133,0))</f>
        <v>RPA</v>
      </c>
      <c r="D68" s="53" t="str">
        <f aca="false">INDEX(I_Items!$D$5:$D$133,MATCH($B68,I_Items!$A$5:$A$133,0))</f>
        <v>HJA (Hati/Jantung/Ampela)</v>
      </c>
      <c r="E68" s="53" t="str">
        <f aca="false">INDEX(I_Items!$F$5:$F$133,MATCH($B68,I_Items!$A$5:$A$133,0))</f>
        <v>Fresh</v>
      </c>
      <c r="F68" s="53" t="str">
        <f aca="false">IF(INDEX(I_Items!$E$5:$E$133,MATCH($B68,I_Items!$A$5:$A$133,0))="","",INDEX(I_Items!$E$5:$E$133,MATCH($B68,I_Items!$A$5:$A$133,0)))</f>
        <v/>
      </c>
      <c r="G68" s="76" t="n">
        <v>46252</v>
      </c>
      <c r="H68" s="23" t="n">
        <f aca="false">MONTH(G68)</f>
        <v>8</v>
      </c>
      <c r="I68" s="74" t="s">
        <v>2075</v>
      </c>
      <c r="J68" s="74" t="s">
        <v>2085</v>
      </c>
      <c r="K68" s="10" t="n">
        <v>0</v>
      </c>
      <c r="L68" s="8" t="n">
        <v>0</v>
      </c>
      <c r="M68" s="10" t="n">
        <v>228.8</v>
      </c>
      <c r="N68" s="8" t="n">
        <v>506375.42</v>
      </c>
      <c r="O68" s="74" t="s">
        <v>2077</v>
      </c>
      <c r="P68" s="74"/>
      <c r="Q68" s="74"/>
      <c r="R68" s="14" t="n">
        <f aca="false">IF(I68="Unbilled",0,M68)</f>
        <v>228.8</v>
      </c>
      <c r="S68" s="9" t="n">
        <f aca="false">IF(R68=0,0,IF(O68="Booked",N68,R68*V67))</f>
        <v>506375.419716347</v>
      </c>
      <c r="T68" s="14" t="n">
        <f aca="false">IF(I68="Opening",K68,T67+K68-R68)</f>
        <v>5964.9</v>
      </c>
      <c r="U68" s="9" t="n">
        <f aca="false">IF(I68="Opening",L68,U67+L68-S68)</f>
        <v>13201393.0990648</v>
      </c>
      <c r="V68" s="9" t="n">
        <f aca="false">IF(T68&gt;0,U68/T68,IF(I68="Opening",0,V67))</f>
        <v>2213.17928197704</v>
      </c>
      <c r="W68" s="14" t="n">
        <f aca="false">M68</f>
        <v>228.8</v>
      </c>
      <c r="X68" s="9" t="n">
        <f aca="false">IF(W68=0,0,IF(O68="Booked",N68,W68*AA67))</f>
        <v>506375.419716347</v>
      </c>
      <c r="Y68" s="14" t="n">
        <f aca="false">IF(I68="Opening",K68,Y67+K68-W68)</f>
        <v>5964.9</v>
      </c>
      <c r="Z68" s="9" t="n">
        <f aca="false">IF(I68="Opening",L68,Z67+L68-X68)</f>
        <v>13201393.0990648</v>
      </c>
      <c r="AA68" s="9" t="n">
        <f aca="false">IF(Y68&gt;0,Z68/Y68,IF(I68="Opening",0,AA67))</f>
        <v>2213.17928197704</v>
      </c>
      <c r="AB68" s="9" t="n">
        <f aca="false">IF(AND(I68="DO",O68="MA"),S68-N68,0)</f>
        <v>-0.000283653440419585</v>
      </c>
      <c r="AC68" s="9" t="n">
        <f aca="false">IF(I68="DO",X68-S68,0)</f>
        <v>0</v>
      </c>
      <c r="AD68" s="23" t="n">
        <f aca="false">IF(B69&lt;&gt;B68,1,0)</f>
        <v>0</v>
      </c>
      <c r="AE68" s="14" t="n">
        <f aca="false">IF(I68="Opening",0,AE67+W68)</f>
        <v>1956.2</v>
      </c>
      <c r="AF68" s="14" t="n">
        <f aca="false">IF(I68="Opening",K68,AF67)</f>
        <v>4337.9</v>
      </c>
      <c r="AG68" s="14" t="n">
        <f aca="false">AG67</f>
        <v>1300</v>
      </c>
      <c r="AH68" s="14" t="n">
        <f aca="false">IF(W68=0,0,MAX(0,MIN(AE68,AF68)-MIN(AE68-W68,AF68)))</f>
        <v>228.8</v>
      </c>
      <c r="AI68" s="14" t="n">
        <f aca="false">IF(W68=0,0,MAX(0,MIN(AE68,AF68+AG68)-MAX(AE68-W68,AF68)))</f>
        <v>0</v>
      </c>
      <c r="AJ68" s="14" t="n">
        <f aca="false">W68-AH68-AI68</f>
        <v>0</v>
      </c>
      <c r="AK68" s="9" t="n">
        <f aca="false">IF(W68=0,0,X68*AH68/W68)</f>
        <v>506375.419716346</v>
      </c>
      <c r="AL68" s="9" t="n">
        <f aca="false">IF(W68=0,0,X68*AI68/W68)</f>
        <v>0</v>
      </c>
      <c r="AM68" s="9" t="n">
        <f aca="false">X68-AK68-AL68</f>
        <v>0</v>
      </c>
    </row>
    <row r="69" customFormat="false" ht="15" hidden="false" customHeight="false" outlineLevel="0" collapsed="false">
      <c r="A69" s="6" t="n">
        <v>64</v>
      </c>
      <c r="B69" s="74" t="s">
        <v>949</v>
      </c>
      <c r="C69" s="53" t="str">
        <f aca="false">INDEX(I_Items!$C$5:$C$133,MATCH($B69,I_Items!$A$5:$A$133,0))</f>
        <v>RPA</v>
      </c>
      <c r="D69" s="53" t="str">
        <f aca="false">INDEX(I_Items!$D$5:$D$133,MATCH($B69,I_Items!$A$5:$A$133,0))</f>
        <v>HJA (Hati/Jantung/Ampela)</v>
      </c>
      <c r="E69" s="53" t="str">
        <f aca="false">INDEX(I_Items!$F$5:$F$133,MATCH($B69,I_Items!$A$5:$A$133,0))</f>
        <v>Fresh</v>
      </c>
      <c r="F69" s="53" t="str">
        <f aca="false">IF(INDEX(I_Items!$E$5:$E$133,MATCH($B69,I_Items!$A$5:$A$133,0))="","",INDEX(I_Items!$E$5:$E$133,MATCH($B69,I_Items!$A$5:$A$133,0)))</f>
        <v/>
      </c>
      <c r="G69" s="76" t="n">
        <v>46252</v>
      </c>
      <c r="H69" s="23" t="n">
        <f aca="false">MONTH(G69)</f>
        <v>8</v>
      </c>
      <c r="I69" s="74" t="s">
        <v>2075</v>
      </c>
      <c r="J69" s="74" t="s">
        <v>2086</v>
      </c>
      <c r="K69" s="10" t="n">
        <v>0</v>
      </c>
      <c r="L69" s="8" t="n">
        <v>0</v>
      </c>
      <c r="M69" s="10" t="n">
        <v>221.6</v>
      </c>
      <c r="N69" s="8" t="n">
        <v>490440.53</v>
      </c>
      <c r="O69" s="74" t="s">
        <v>2077</v>
      </c>
      <c r="P69" s="74"/>
      <c r="Q69" s="74"/>
      <c r="R69" s="14" t="n">
        <f aca="false">IF(I69="Unbilled",0,M69)</f>
        <v>221.6</v>
      </c>
      <c r="S69" s="9" t="n">
        <f aca="false">IF(R69=0,0,IF(O69="Booked",N69,R69*V68))</f>
        <v>490440.528886112</v>
      </c>
      <c r="T69" s="14" t="n">
        <f aca="false">IF(I69="Opening",K69,T68+K69-R69)</f>
        <v>5743.3</v>
      </c>
      <c r="U69" s="9" t="n">
        <f aca="false">IF(I69="Opening",L69,U68+L69-S69)</f>
        <v>12710952.5701787</v>
      </c>
      <c r="V69" s="9" t="n">
        <f aca="false">IF(T69&gt;0,U69/T69,IF(I69="Opening",0,V68))</f>
        <v>2213.17928197704</v>
      </c>
      <c r="W69" s="14" t="n">
        <f aca="false">M69</f>
        <v>221.6</v>
      </c>
      <c r="X69" s="9" t="n">
        <f aca="false">IF(W69=0,0,IF(O69="Booked",N69,W69*AA68))</f>
        <v>490440.528886112</v>
      </c>
      <c r="Y69" s="14" t="n">
        <f aca="false">IF(I69="Opening",K69,Y68+K69-W69)</f>
        <v>5743.3</v>
      </c>
      <c r="Z69" s="9" t="n">
        <f aca="false">IF(I69="Opening",L69,Z68+L69-X69)</f>
        <v>12710952.5701787</v>
      </c>
      <c r="AA69" s="9" t="n">
        <f aca="false">IF(Y69&gt;0,Z69/Y69,IF(I69="Opening",0,AA68))</f>
        <v>2213.17928197704</v>
      </c>
      <c r="AB69" s="9" t="n">
        <f aca="false">IF(AND(I69="DO",O69="MA"),S69-N69,0)</f>
        <v>-0.00111388822551817</v>
      </c>
      <c r="AC69" s="9" t="n">
        <f aca="false">IF(I69="DO",X69-S69,0)</f>
        <v>0</v>
      </c>
      <c r="AD69" s="23" t="n">
        <f aca="false">IF(B70&lt;&gt;B69,1,0)</f>
        <v>0</v>
      </c>
      <c r="AE69" s="14" t="n">
        <f aca="false">IF(I69="Opening",0,AE68+W69)</f>
        <v>2177.8</v>
      </c>
      <c r="AF69" s="14" t="n">
        <f aca="false">IF(I69="Opening",K69,AF68)</f>
        <v>4337.9</v>
      </c>
      <c r="AG69" s="14" t="n">
        <f aca="false">AG68</f>
        <v>1300</v>
      </c>
      <c r="AH69" s="14" t="n">
        <f aca="false">IF(W69=0,0,MAX(0,MIN(AE69,AF69)-MIN(AE69-W69,AF69)))</f>
        <v>221.6</v>
      </c>
      <c r="AI69" s="14" t="n">
        <f aca="false">IF(W69=0,0,MAX(0,MIN(AE69,AF69+AG69)-MAX(AE69-W69,AF69)))</f>
        <v>0</v>
      </c>
      <c r="AJ69" s="14" t="n">
        <f aca="false">W69-AH69-AI69</f>
        <v>0</v>
      </c>
      <c r="AK69" s="9" t="n">
        <f aca="false">IF(W69=0,0,X69*AH69/W69)</f>
        <v>490440.528886112</v>
      </c>
      <c r="AL69" s="9" t="n">
        <f aca="false">IF(W69=0,0,X69*AI69/W69)</f>
        <v>0</v>
      </c>
      <c r="AM69" s="9" t="n">
        <f aca="false">X69-AK69-AL69</f>
        <v>0</v>
      </c>
    </row>
    <row r="70" customFormat="false" ht="15" hidden="false" customHeight="false" outlineLevel="0" collapsed="false">
      <c r="A70" s="6" t="n">
        <v>65</v>
      </c>
      <c r="B70" s="74" t="s">
        <v>949</v>
      </c>
      <c r="C70" s="53" t="str">
        <f aca="false">INDEX(I_Items!$C$5:$C$133,MATCH($B70,I_Items!$A$5:$A$133,0))</f>
        <v>RPA</v>
      </c>
      <c r="D70" s="53" t="str">
        <f aca="false">INDEX(I_Items!$D$5:$D$133,MATCH($B70,I_Items!$A$5:$A$133,0))</f>
        <v>HJA (Hati/Jantung/Ampela)</v>
      </c>
      <c r="E70" s="53" t="str">
        <f aca="false">INDEX(I_Items!$F$5:$F$133,MATCH($B70,I_Items!$A$5:$A$133,0))</f>
        <v>Fresh</v>
      </c>
      <c r="F70" s="53" t="str">
        <f aca="false">IF(INDEX(I_Items!$E$5:$E$133,MATCH($B70,I_Items!$A$5:$A$133,0))="","",INDEX(I_Items!$E$5:$E$133,MATCH($B70,I_Items!$A$5:$A$133,0)))</f>
        <v/>
      </c>
      <c r="G70" s="76" t="n">
        <v>46252</v>
      </c>
      <c r="H70" s="23" t="n">
        <f aca="false">MONTH(G70)</f>
        <v>8</v>
      </c>
      <c r="I70" s="74" t="s">
        <v>2075</v>
      </c>
      <c r="J70" s="74" t="s">
        <v>2087</v>
      </c>
      <c r="K70" s="10" t="n">
        <v>0</v>
      </c>
      <c r="L70" s="8" t="n">
        <v>0</v>
      </c>
      <c r="M70" s="10" t="n">
        <v>224.4</v>
      </c>
      <c r="N70" s="8" t="n">
        <v>496637.43</v>
      </c>
      <c r="O70" s="74" t="s">
        <v>2077</v>
      </c>
      <c r="P70" s="74"/>
      <c r="Q70" s="74"/>
      <c r="R70" s="14" t="n">
        <f aca="false">IF(I70="Unbilled",0,M70)</f>
        <v>224.4</v>
      </c>
      <c r="S70" s="9" t="n">
        <f aca="false">IF(R70=0,0,IF(O70="Booked",N70,R70*V69))</f>
        <v>496637.430875648</v>
      </c>
      <c r="T70" s="14" t="n">
        <f aca="false">IF(I70="Opening",K70,T69+K70-R70)</f>
        <v>5518.9</v>
      </c>
      <c r="U70" s="9" t="n">
        <f aca="false">IF(I70="Opening",L70,U69+L70-S70)</f>
        <v>12214315.1393031</v>
      </c>
      <c r="V70" s="9" t="n">
        <f aca="false">IF(T70&gt;0,U70/T70,IF(I70="Opening",0,V69))</f>
        <v>2213.17928197704</v>
      </c>
      <c r="W70" s="14" t="n">
        <f aca="false">M70</f>
        <v>224.4</v>
      </c>
      <c r="X70" s="9" t="n">
        <f aca="false">IF(W70=0,0,IF(O70="Booked",N70,W70*AA69))</f>
        <v>496637.430875648</v>
      </c>
      <c r="Y70" s="14" t="n">
        <f aca="false">IF(I70="Opening",K70,Y69+K70-W70)</f>
        <v>5518.9</v>
      </c>
      <c r="Z70" s="9" t="n">
        <f aca="false">IF(I70="Opening",L70,Z69+L70-X70)</f>
        <v>12214315.1393031</v>
      </c>
      <c r="AA70" s="9" t="n">
        <f aca="false">IF(Y70&gt;0,Z70/Y70,IF(I70="Opening",0,AA69))</f>
        <v>2213.17928197704</v>
      </c>
      <c r="AB70" s="9" t="n">
        <f aca="false">IF(AND(I70="DO",O70="MA"),S70-N70,0)</f>
        <v>0.000875647587236017</v>
      </c>
      <c r="AC70" s="9" t="n">
        <f aca="false">IF(I70="DO",X70-S70,0)</f>
        <v>0</v>
      </c>
      <c r="AD70" s="23" t="n">
        <f aca="false">IF(B71&lt;&gt;B70,1,0)</f>
        <v>0</v>
      </c>
      <c r="AE70" s="14" t="n">
        <f aca="false">IF(I70="Opening",0,AE69+W70)</f>
        <v>2402.2</v>
      </c>
      <c r="AF70" s="14" t="n">
        <f aca="false">IF(I70="Opening",K70,AF69)</f>
        <v>4337.9</v>
      </c>
      <c r="AG70" s="14" t="n">
        <f aca="false">AG69</f>
        <v>1300</v>
      </c>
      <c r="AH70" s="14" t="n">
        <f aca="false">IF(W70=0,0,MAX(0,MIN(AE70,AF70)-MIN(AE70-W70,AF70)))</f>
        <v>224.4</v>
      </c>
      <c r="AI70" s="14" t="n">
        <f aca="false">IF(W70=0,0,MAX(0,MIN(AE70,AF70+AG70)-MAX(AE70-W70,AF70)))</f>
        <v>0</v>
      </c>
      <c r="AJ70" s="14" t="n">
        <f aca="false">W70-AH70-AI70</f>
        <v>0</v>
      </c>
      <c r="AK70" s="9" t="n">
        <f aca="false">IF(W70=0,0,X70*AH70/W70)</f>
        <v>496637.430875648</v>
      </c>
      <c r="AL70" s="9" t="n">
        <f aca="false">IF(W70=0,0,X70*AI70/W70)</f>
        <v>0</v>
      </c>
      <c r="AM70" s="9" t="n">
        <f aca="false">X70-AK70-AL70</f>
        <v>0</v>
      </c>
    </row>
    <row r="71" customFormat="false" ht="15" hidden="false" customHeight="false" outlineLevel="0" collapsed="false">
      <c r="A71" s="6" t="n">
        <v>66</v>
      </c>
      <c r="B71" s="74" t="s">
        <v>949</v>
      </c>
      <c r="C71" s="53" t="str">
        <f aca="false">INDEX(I_Items!$C$5:$C$133,MATCH($B71,I_Items!$A$5:$A$133,0))</f>
        <v>RPA</v>
      </c>
      <c r="D71" s="53" t="str">
        <f aca="false">INDEX(I_Items!$D$5:$D$133,MATCH($B71,I_Items!$A$5:$A$133,0))</f>
        <v>HJA (Hati/Jantung/Ampela)</v>
      </c>
      <c r="E71" s="53" t="str">
        <f aca="false">INDEX(I_Items!$F$5:$F$133,MATCH($B71,I_Items!$A$5:$A$133,0))</f>
        <v>Fresh</v>
      </c>
      <c r="F71" s="53" t="str">
        <f aca="false">IF(INDEX(I_Items!$E$5:$E$133,MATCH($B71,I_Items!$A$5:$A$133,0))="","",INDEX(I_Items!$E$5:$E$133,MATCH($B71,I_Items!$A$5:$A$133,0)))</f>
        <v/>
      </c>
      <c r="G71" s="76" t="n">
        <v>46253</v>
      </c>
      <c r="H71" s="23" t="n">
        <f aca="false">MONTH(G71)</f>
        <v>8</v>
      </c>
      <c r="I71" s="74" t="s">
        <v>2074</v>
      </c>
      <c r="J71" s="74" t="s">
        <v>1305</v>
      </c>
      <c r="K71" s="10" t="n">
        <v>829.6</v>
      </c>
      <c r="L71" s="8" t="n">
        <v>4749672.38</v>
      </c>
      <c r="M71" s="10" t="n">
        <v>0</v>
      </c>
      <c r="N71" s="8" t="n">
        <v>0</v>
      </c>
      <c r="O71" s="74"/>
      <c r="P71" s="74"/>
      <c r="Q71" s="74"/>
      <c r="R71" s="14" t="n">
        <f aca="false">IF(I71="Unbilled",0,M71)</f>
        <v>0</v>
      </c>
      <c r="S71" s="9" t="n">
        <f aca="false">IF(R71=0,0,IF(O71="Booked",N71,R71*V70))</f>
        <v>0</v>
      </c>
      <c r="T71" s="14" t="n">
        <f aca="false">IF(I71="Opening",K71,T70+K71-R71)</f>
        <v>6348.5</v>
      </c>
      <c r="U71" s="9" t="n">
        <f aca="false">IF(I71="Opening",L71,U70+L71-S71)</f>
        <v>16963987.5193031</v>
      </c>
      <c r="V71" s="9" t="n">
        <f aca="false">IF(T71&gt;0,U71/T71,IF(I71="Opening",0,V70))</f>
        <v>2672.12530823078</v>
      </c>
      <c r="W71" s="14" t="n">
        <f aca="false">M71</f>
        <v>0</v>
      </c>
      <c r="X71" s="9" t="n">
        <f aca="false">IF(W71=0,0,IF(O71="Booked",N71,W71*AA70))</f>
        <v>0</v>
      </c>
      <c r="Y71" s="14" t="n">
        <f aca="false">IF(I71="Opening",K71,Y70+K71-W71)</f>
        <v>6348.5</v>
      </c>
      <c r="Z71" s="9" t="n">
        <f aca="false">IF(I71="Opening",L71,Z70+L71-X71)</f>
        <v>16963987.5193031</v>
      </c>
      <c r="AA71" s="9" t="n">
        <f aca="false">IF(Y71&gt;0,Z71/Y71,IF(I71="Opening",0,AA70))</f>
        <v>2672.12530823078</v>
      </c>
      <c r="AB71" s="9" t="n">
        <f aca="false">IF(AND(I71="DO",O71="MA"),S71-N71,0)</f>
        <v>0</v>
      </c>
      <c r="AC71" s="9" t="n">
        <f aca="false">IF(I71="DO",X71-S71,0)</f>
        <v>0</v>
      </c>
      <c r="AD71" s="23" t="n">
        <f aca="false">IF(B72&lt;&gt;B71,1,0)</f>
        <v>0</v>
      </c>
      <c r="AE71" s="14" t="n">
        <f aca="false">IF(I71="Opening",0,AE70+W71)</f>
        <v>2402.2</v>
      </c>
      <c r="AF71" s="14" t="n">
        <f aca="false">IF(I71="Opening",K71,AF70)</f>
        <v>4337.9</v>
      </c>
      <c r="AG71" s="14" t="n">
        <f aca="false">AG70</f>
        <v>1300</v>
      </c>
      <c r="AH71" s="14" t="n">
        <f aca="false">IF(W71=0,0,MAX(0,MIN(AE71,AF71)-MIN(AE71-W71,AF71)))</f>
        <v>0</v>
      </c>
      <c r="AI71" s="14" t="n">
        <f aca="false">IF(W71=0,0,MAX(0,MIN(AE71,AF71+AG71)-MAX(AE71-W71,AF71)))</f>
        <v>0</v>
      </c>
      <c r="AJ71" s="14" t="n">
        <f aca="false">W71-AH71-AI71</f>
        <v>0</v>
      </c>
      <c r="AK71" s="9" t="n">
        <f aca="false">IF(W71=0,0,X71*AH71/W71)</f>
        <v>0</v>
      </c>
      <c r="AL71" s="9" t="n">
        <f aca="false">IF(W71=0,0,X71*AI71/W71)</f>
        <v>0</v>
      </c>
      <c r="AM71" s="9" t="n">
        <f aca="false">X71-AK71-AL71</f>
        <v>0</v>
      </c>
    </row>
    <row r="72" customFormat="false" ht="15" hidden="false" customHeight="false" outlineLevel="0" collapsed="false">
      <c r="A72" s="6" t="n">
        <v>67</v>
      </c>
      <c r="B72" s="74" t="s">
        <v>949</v>
      </c>
      <c r="C72" s="53" t="str">
        <f aca="false">INDEX(I_Items!$C$5:$C$133,MATCH($B72,I_Items!$A$5:$A$133,0))</f>
        <v>RPA</v>
      </c>
      <c r="D72" s="53" t="str">
        <f aca="false">INDEX(I_Items!$D$5:$D$133,MATCH($B72,I_Items!$A$5:$A$133,0))</f>
        <v>HJA (Hati/Jantung/Ampela)</v>
      </c>
      <c r="E72" s="53" t="str">
        <f aca="false">INDEX(I_Items!$F$5:$F$133,MATCH($B72,I_Items!$A$5:$A$133,0))</f>
        <v>Fresh</v>
      </c>
      <c r="F72" s="53" t="str">
        <f aca="false">IF(INDEX(I_Items!$E$5:$E$133,MATCH($B72,I_Items!$A$5:$A$133,0))="","",INDEX(I_Items!$E$5:$E$133,MATCH($B72,I_Items!$A$5:$A$133,0)))</f>
        <v/>
      </c>
      <c r="G72" s="76" t="n">
        <v>46254</v>
      </c>
      <c r="H72" s="23" t="n">
        <f aca="false">MONTH(G72)</f>
        <v>8</v>
      </c>
      <c r="I72" s="74" t="s">
        <v>2074</v>
      </c>
      <c r="J72" s="74" t="s">
        <v>1308</v>
      </c>
      <c r="K72" s="10" t="n">
        <v>468.4</v>
      </c>
      <c r="L72" s="8" t="n">
        <v>2687732.27</v>
      </c>
      <c r="M72" s="10" t="n">
        <v>0</v>
      </c>
      <c r="N72" s="8" t="n">
        <v>0</v>
      </c>
      <c r="O72" s="74"/>
      <c r="P72" s="74"/>
      <c r="Q72" s="74"/>
      <c r="R72" s="14" t="n">
        <f aca="false">IF(I72="Unbilled",0,M72)</f>
        <v>0</v>
      </c>
      <c r="S72" s="9" t="n">
        <f aca="false">IF(R72=0,0,IF(O72="Booked",N72,R72*V71))</f>
        <v>0</v>
      </c>
      <c r="T72" s="14" t="n">
        <f aca="false">IF(I72="Opening",K72,T71+K72-R72)</f>
        <v>6816.9</v>
      </c>
      <c r="U72" s="9" t="n">
        <f aca="false">IF(I72="Opening",L72,U71+L72-S72)</f>
        <v>19651719.7893031</v>
      </c>
      <c r="V72" s="9" t="n">
        <f aca="false">IF(T72&gt;0,U72/T72,IF(I72="Opening",0,V71))</f>
        <v>2882.79420107425</v>
      </c>
      <c r="W72" s="14" t="n">
        <f aca="false">M72</f>
        <v>0</v>
      </c>
      <c r="X72" s="9" t="n">
        <f aca="false">IF(W72=0,0,IF(O72="Booked",N72,W72*AA71))</f>
        <v>0</v>
      </c>
      <c r="Y72" s="14" t="n">
        <f aca="false">IF(I72="Opening",K72,Y71+K72-W72)</f>
        <v>6816.9</v>
      </c>
      <c r="Z72" s="9" t="n">
        <f aca="false">IF(I72="Opening",L72,Z71+L72-X72)</f>
        <v>19651719.7893031</v>
      </c>
      <c r="AA72" s="9" t="n">
        <f aca="false">IF(Y72&gt;0,Z72/Y72,IF(I72="Opening",0,AA71))</f>
        <v>2882.79420107425</v>
      </c>
      <c r="AB72" s="9" t="n">
        <f aca="false">IF(AND(I72="DO",O72="MA"),S72-N72,0)</f>
        <v>0</v>
      </c>
      <c r="AC72" s="9" t="n">
        <f aca="false">IF(I72="DO",X72-S72,0)</f>
        <v>0</v>
      </c>
      <c r="AD72" s="23" t="n">
        <f aca="false">IF(B73&lt;&gt;B72,1,0)</f>
        <v>0</v>
      </c>
      <c r="AE72" s="14" t="n">
        <f aca="false">IF(I72="Opening",0,AE71+W72)</f>
        <v>2402.2</v>
      </c>
      <c r="AF72" s="14" t="n">
        <f aca="false">IF(I72="Opening",K72,AF71)</f>
        <v>4337.9</v>
      </c>
      <c r="AG72" s="14" t="n">
        <f aca="false">AG71</f>
        <v>1300</v>
      </c>
      <c r="AH72" s="14" t="n">
        <f aca="false">IF(W72=0,0,MAX(0,MIN(AE72,AF72)-MIN(AE72-W72,AF72)))</f>
        <v>0</v>
      </c>
      <c r="AI72" s="14" t="n">
        <f aca="false">IF(W72=0,0,MAX(0,MIN(AE72,AF72+AG72)-MAX(AE72-W72,AF72)))</f>
        <v>0</v>
      </c>
      <c r="AJ72" s="14" t="n">
        <f aca="false">W72-AH72-AI72</f>
        <v>0</v>
      </c>
      <c r="AK72" s="9" t="n">
        <f aca="false">IF(W72=0,0,X72*AH72/W72)</f>
        <v>0</v>
      </c>
      <c r="AL72" s="9" t="n">
        <f aca="false">IF(W72=0,0,X72*AI72/W72)</f>
        <v>0</v>
      </c>
      <c r="AM72" s="9" t="n">
        <f aca="false">X72-AK72-AL72</f>
        <v>0</v>
      </c>
    </row>
    <row r="73" customFormat="false" ht="15" hidden="false" customHeight="false" outlineLevel="0" collapsed="false">
      <c r="A73" s="6" t="n">
        <v>68</v>
      </c>
      <c r="B73" s="74" t="s">
        <v>949</v>
      </c>
      <c r="C73" s="53" t="str">
        <f aca="false">INDEX(I_Items!$C$5:$C$133,MATCH($B73,I_Items!$A$5:$A$133,0))</f>
        <v>RPA</v>
      </c>
      <c r="D73" s="53" t="str">
        <f aca="false">INDEX(I_Items!$D$5:$D$133,MATCH($B73,I_Items!$A$5:$A$133,0))</f>
        <v>HJA (Hati/Jantung/Ampela)</v>
      </c>
      <c r="E73" s="53" t="str">
        <f aca="false">INDEX(I_Items!$F$5:$F$133,MATCH($B73,I_Items!$A$5:$A$133,0))</f>
        <v>Fresh</v>
      </c>
      <c r="F73" s="53" t="str">
        <f aca="false">IF(INDEX(I_Items!$E$5:$E$133,MATCH($B73,I_Items!$A$5:$A$133,0))="","",INDEX(I_Items!$E$5:$E$133,MATCH($B73,I_Items!$A$5:$A$133,0)))</f>
        <v/>
      </c>
      <c r="G73" s="76" t="n">
        <v>46255</v>
      </c>
      <c r="H73" s="23" t="n">
        <f aca="false">MONTH(G73)</f>
        <v>8</v>
      </c>
      <c r="I73" s="74" t="s">
        <v>2075</v>
      </c>
      <c r="J73" s="74" t="s">
        <v>2088</v>
      </c>
      <c r="K73" s="10" t="n">
        <v>0</v>
      </c>
      <c r="L73" s="8" t="n">
        <v>0</v>
      </c>
      <c r="M73" s="10" t="n">
        <v>222.3</v>
      </c>
      <c r="N73" s="8" t="n">
        <v>640845.15</v>
      </c>
      <c r="O73" s="74" t="s">
        <v>2077</v>
      </c>
      <c r="P73" s="74"/>
      <c r="Q73" s="74"/>
      <c r="R73" s="14" t="n">
        <f aca="false">IF(I73="Unbilled",0,M73)</f>
        <v>222.3</v>
      </c>
      <c r="S73" s="9" t="n">
        <f aca="false">IF(R73=0,0,IF(O73="Booked",N73,R73*V72))</f>
        <v>640845.150898807</v>
      </c>
      <c r="T73" s="14" t="n">
        <f aca="false">IF(I73="Opening",K73,T72+K73-R73)</f>
        <v>6594.6</v>
      </c>
      <c r="U73" s="9" t="n">
        <f aca="false">IF(I73="Opening",L73,U72+L73-S73)</f>
        <v>19010874.6384043</v>
      </c>
      <c r="V73" s="9" t="n">
        <f aca="false">IF(T73&gt;0,U73/T73,IF(I73="Opening",0,V72))</f>
        <v>2882.79420107425</v>
      </c>
      <c r="W73" s="14" t="n">
        <f aca="false">M73</f>
        <v>222.3</v>
      </c>
      <c r="X73" s="9" t="n">
        <f aca="false">IF(W73=0,0,IF(O73="Booked",N73,W73*AA72))</f>
        <v>640845.150898807</v>
      </c>
      <c r="Y73" s="14" t="n">
        <f aca="false">IF(I73="Opening",K73,Y72+K73-W73)</f>
        <v>6594.6</v>
      </c>
      <c r="Z73" s="9" t="n">
        <f aca="false">IF(I73="Opening",L73,Z72+L73-X73)</f>
        <v>19010874.6384043</v>
      </c>
      <c r="AA73" s="9" t="n">
        <f aca="false">IF(Y73&gt;0,Z73/Y73,IF(I73="Opening",0,AA72))</f>
        <v>2882.79420107425</v>
      </c>
      <c r="AB73" s="9" t="n">
        <f aca="false">IF(AND(I73="DO",O73="MA"),S73-N73,0)</f>
        <v>0.000898806611075997</v>
      </c>
      <c r="AC73" s="9" t="n">
        <f aca="false">IF(I73="DO",X73-S73,0)</f>
        <v>0</v>
      </c>
      <c r="AD73" s="23" t="n">
        <f aca="false">IF(B74&lt;&gt;B73,1,0)</f>
        <v>0</v>
      </c>
      <c r="AE73" s="14" t="n">
        <f aca="false">IF(I73="Opening",0,AE72+W73)</f>
        <v>2624.5</v>
      </c>
      <c r="AF73" s="14" t="n">
        <f aca="false">IF(I73="Opening",K73,AF72)</f>
        <v>4337.9</v>
      </c>
      <c r="AG73" s="14" t="n">
        <f aca="false">AG72</f>
        <v>1300</v>
      </c>
      <c r="AH73" s="14" t="n">
        <f aca="false">IF(W73=0,0,MAX(0,MIN(AE73,AF73)-MIN(AE73-W73,AF73)))</f>
        <v>222.3</v>
      </c>
      <c r="AI73" s="14" t="n">
        <f aca="false">IF(W73=0,0,MAX(0,MIN(AE73,AF73+AG73)-MAX(AE73-W73,AF73)))</f>
        <v>0</v>
      </c>
      <c r="AJ73" s="14" t="n">
        <f aca="false">W73-AH73-AI73</f>
        <v>0</v>
      </c>
      <c r="AK73" s="9" t="n">
        <f aca="false">IF(W73=0,0,X73*AH73/W73)</f>
        <v>640845.150898807</v>
      </c>
      <c r="AL73" s="9" t="n">
        <f aca="false">IF(W73=0,0,X73*AI73/W73)</f>
        <v>0</v>
      </c>
      <c r="AM73" s="9" t="n">
        <f aca="false">X73-AK73-AL73</f>
        <v>0</v>
      </c>
    </row>
    <row r="74" customFormat="false" ht="15" hidden="false" customHeight="false" outlineLevel="0" collapsed="false">
      <c r="A74" s="6" t="n">
        <v>69</v>
      </c>
      <c r="B74" s="74" t="s">
        <v>949</v>
      </c>
      <c r="C74" s="53" t="str">
        <f aca="false">INDEX(I_Items!$C$5:$C$133,MATCH($B74,I_Items!$A$5:$A$133,0))</f>
        <v>RPA</v>
      </c>
      <c r="D74" s="53" t="str">
        <f aca="false">INDEX(I_Items!$D$5:$D$133,MATCH($B74,I_Items!$A$5:$A$133,0))</f>
        <v>HJA (Hati/Jantung/Ampela)</v>
      </c>
      <c r="E74" s="53" t="str">
        <f aca="false">INDEX(I_Items!$F$5:$F$133,MATCH($B74,I_Items!$A$5:$A$133,0))</f>
        <v>Fresh</v>
      </c>
      <c r="F74" s="53" t="str">
        <f aca="false">IF(INDEX(I_Items!$E$5:$E$133,MATCH($B74,I_Items!$A$5:$A$133,0))="","",INDEX(I_Items!$E$5:$E$133,MATCH($B74,I_Items!$A$5:$A$133,0)))</f>
        <v/>
      </c>
      <c r="G74" s="76" t="n">
        <v>46255</v>
      </c>
      <c r="H74" s="23" t="n">
        <f aca="false">MONTH(G74)</f>
        <v>8</v>
      </c>
      <c r="I74" s="74" t="s">
        <v>2075</v>
      </c>
      <c r="J74" s="74" t="s">
        <v>2089</v>
      </c>
      <c r="K74" s="10" t="n">
        <v>0</v>
      </c>
      <c r="L74" s="8" t="n">
        <v>0</v>
      </c>
      <c r="M74" s="10" t="n">
        <v>214.2</v>
      </c>
      <c r="N74" s="8" t="n">
        <v>617494.52</v>
      </c>
      <c r="O74" s="74" t="s">
        <v>2077</v>
      </c>
      <c r="P74" s="74"/>
      <c r="Q74" s="74"/>
      <c r="R74" s="14" t="n">
        <f aca="false">IF(I74="Unbilled",0,M74)</f>
        <v>214.2</v>
      </c>
      <c r="S74" s="9" t="n">
        <f aca="false">IF(R74=0,0,IF(O74="Booked",N74,R74*V73))</f>
        <v>617494.517870105</v>
      </c>
      <c r="T74" s="14" t="n">
        <f aca="false">IF(I74="Opening",K74,T73+K74-R74)</f>
        <v>6380.4</v>
      </c>
      <c r="U74" s="9" t="n">
        <f aca="false">IF(I74="Opening",L74,U73+L74-S74)</f>
        <v>18393380.1205342</v>
      </c>
      <c r="V74" s="9" t="n">
        <f aca="false">IF(T74&gt;0,U74/T74,IF(I74="Opening",0,V73))</f>
        <v>2882.79420107425</v>
      </c>
      <c r="W74" s="14" t="n">
        <f aca="false">M74</f>
        <v>214.2</v>
      </c>
      <c r="X74" s="9" t="n">
        <f aca="false">IF(W74=0,0,IF(O74="Booked",N74,W74*AA73))</f>
        <v>617494.517870105</v>
      </c>
      <c r="Y74" s="14" t="n">
        <f aca="false">IF(I74="Opening",K74,Y73+K74-W74)</f>
        <v>6380.4</v>
      </c>
      <c r="Z74" s="9" t="n">
        <f aca="false">IF(I74="Opening",L74,Z73+L74-X74)</f>
        <v>18393380.1205342</v>
      </c>
      <c r="AA74" s="9" t="n">
        <f aca="false">IF(Y74&gt;0,Z74/Y74,IF(I74="Opening",0,AA73))</f>
        <v>2882.79420107425</v>
      </c>
      <c r="AB74" s="9" t="n">
        <f aca="false">IF(AND(I74="DO",O74="MA"),S74-N74,0)</f>
        <v>-0.00212989491410553</v>
      </c>
      <c r="AC74" s="9" t="n">
        <f aca="false">IF(I74="DO",X74-S74,0)</f>
        <v>0</v>
      </c>
      <c r="AD74" s="23" t="n">
        <f aca="false">IF(B75&lt;&gt;B74,1,0)</f>
        <v>0</v>
      </c>
      <c r="AE74" s="14" t="n">
        <f aca="false">IF(I74="Opening",0,AE73+W74)</f>
        <v>2838.7</v>
      </c>
      <c r="AF74" s="14" t="n">
        <f aca="false">IF(I74="Opening",K74,AF73)</f>
        <v>4337.9</v>
      </c>
      <c r="AG74" s="14" t="n">
        <f aca="false">AG73</f>
        <v>1300</v>
      </c>
      <c r="AH74" s="14" t="n">
        <f aca="false">IF(W74=0,0,MAX(0,MIN(AE74,AF74)-MIN(AE74-W74,AF74)))</f>
        <v>214.2</v>
      </c>
      <c r="AI74" s="14" t="n">
        <f aca="false">IF(W74=0,0,MAX(0,MIN(AE74,AF74+AG74)-MAX(AE74-W74,AF74)))</f>
        <v>0</v>
      </c>
      <c r="AJ74" s="14" t="n">
        <f aca="false">W74-AH74-AI74</f>
        <v>0</v>
      </c>
      <c r="AK74" s="9" t="n">
        <f aca="false">IF(W74=0,0,X74*AH74/W74)</f>
        <v>617494.517870105</v>
      </c>
      <c r="AL74" s="9" t="n">
        <f aca="false">IF(W74=0,0,X74*AI74/W74)</f>
        <v>0</v>
      </c>
      <c r="AM74" s="9" t="n">
        <f aca="false">X74-AK74-AL74</f>
        <v>0</v>
      </c>
    </row>
    <row r="75" customFormat="false" ht="15" hidden="false" customHeight="false" outlineLevel="0" collapsed="false">
      <c r="A75" s="6" t="n">
        <v>70</v>
      </c>
      <c r="B75" s="74" t="s">
        <v>949</v>
      </c>
      <c r="C75" s="53" t="str">
        <f aca="false">INDEX(I_Items!$C$5:$C$133,MATCH($B75,I_Items!$A$5:$A$133,0))</f>
        <v>RPA</v>
      </c>
      <c r="D75" s="53" t="str">
        <f aca="false">INDEX(I_Items!$D$5:$D$133,MATCH($B75,I_Items!$A$5:$A$133,0))</f>
        <v>HJA (Hati/Jantung/Ampela)</v>
      </c>
      <c r="E75" s="53" t="str">
        <f aca="false">INDEX(I_Items!$F$5:$F$133,MATCH($B75,I_Items!$A$5:$A$133,0))</f>
        <v>Fresh</v>
      </c>
      <c r="F75" s="53" t="str">
        <f aca="false">IF(INDEX(I_Items!$E$5:$E$133,MATCH($B75,I_Items!$A$5:$A$133,0))="","",INDEX(I_Items!$E$5:$E$133,MATCH($B75,I_Items!$A$5:$A$133,0)))</f>
        <v/>
      </c>
      <c r="G75" s="76" t="n">
        <v>46255</v>
      </c>
      <c r="H75" s="23" t="n">
        <f aca="false">MONTH(G75)</f>
        <v>8</v>
      </c>
      <c r="I75" s="74" t="s">
        <v>2075</v>
      </c>
      <c r="J75" s="74" t="s">
        <v>2090</v>
      </c>
      <c r="K75" s="10" t="n">
        <v>0</v>
      </c>
      <c r="L75" s="8" t="n">
        <v>0</v>
      </c>
      <c r="M75" s="10" t="n">
        <v>185</v>
      </c>
      <c r="N75" s="8" t="n">
        <v>533316.93</v>
      </c>
      <c r="O75" s="74" t="s">
        <v>2077</v>
      </c>
      <c r="P75" s="74"/>
      <c r="Q75" s="74"/>
      <c r="R75" s="14" t="n">
        <f aca="false">IF(I75="Unbilled",0,M75)</f>
        <v>185</v>
      </c>
      <c r="S75" s="9" t="n">
        <f aca="false">IF(R75=0,0,IF(O75="Booked",N75,R75*V74))</f>
        <v>533316.927198737</v>
      </c>
      <c r="T75" s="14" t="n">
        <f aca="false">IF(I75="Opening",K75,T74+K75-R75)</f>
        <v>6195.4</v>
      </c>
      <c r="U75" s="9" t="n">
        <f aca="false">IF(I75="Opening",L75,U74+L75-S75)</f>
        <v>17860063.1933354</v>
      </c>
      <c r="V75" s="9" t="n">
        <f aca="false">IF(T75&gt;0,U75/T75,IF(I75="Opening",0,V74))</f>
        <v>2882.79420107425</v>
      </c>
      <c r="W75" s="14" t="n">
        <f aca="false">M75</f>
        <v>185</v>
      </c>
      <c r="X75" s="9" t="n">
        <f aca="false">IF(W75=0,0,IF(O75="Booked",N75,W75*AA74))</f>
        <v>533316.927198737</v>
      </c>
      <c r="Y75" s="14" t="n">
        <f aca="false">IF(I75="Opening",K75,Y74+K75-W75)</f>
        <v>6195.4</v>
      </c>
      <c r="Z75" s="9" t="n">
        <f aca="false">IF(I75="Opening",L75,Z74+L75-X75)</f>
        <v>17860063.1933354</v>
      </c>
      <c r="AA75" s="9" t="n">
        <f aca="false">IF(Y75&gt;0,Z75/Y75,IF(I75="Opening",0,AA74))</f>
        <v>2882.79420107425</v>
      </c>
      <c r="AB75" s="9" t="n">
        <f aca="false">IF(AND(I75="DO",O75="MA"),S75-N75,0)</f>
        <v>-0.00280126312281936</v>
      </c>
      <c r="AC75" s="9" t="n">
        <f aca="false">IF(I75="DO",X75-S75,0)</f>
        <v>0</v>
      </c>
      <c r="AD75" s="23" t="n">
        <f aca="false">IF(B76&lt;&gt;B75,1,0)</f>
        <v>0</v>
      </c>
      <c r="AE75" s="14" t="n">
        <f aca="false">IF(I75="Opening",0,AE74+W75)</f>
        <v>3023.7</v>
      </c>
      <c r="AF75" s="14" t="n">
        <f aca="false">IF(I75="Opening",K75,AF74)</f>
        <v>4337.9</v>
      </c>
      <c r="AG75" s="14" t="n">
        <f aca="false">AG74</f>
        <v>1300</v>
      </c>
      <c r="AH75" s="14" t="n">
        <f aca="false">IF(W75=0,0,MAX(0,MIN(AE75,AF75)-MIN(AE75-W75,AF75)))</f>
        <v>185</v>
      </c>
      <c r="AI75" s="14" t="n">
        <f aca="false">IF(W75=0,0,MAX(0,MIN(AE75,AF75+AG75)-MAX(AE75-W75,AF75)))</f>
        <v>0</v>
      </c>
      <c r="AJ75" s="14" t="n">
        <f aca="false">W75-AH75-AI75</f>
        <v>0</v>
      </c>
      <c r="AK75" s="9" t="n">
        <f aca="false">IF(W75=0,0,X75*AH75/W75)</f>
        <v>533316.927198737</v>
      </c>
      <c r="AL75" s="9" t="n">
        <f aca="false">IF(W75=0,0,X75*AI75/W75)</f>
        <v>0</v>
      </c>
      <c r="AM75" s="9" t="n">
        <f aca="false">X75-AK75-AL75</f>
        <v>0</v>
      </c>
    </row>
    <row r="76" customFormat="false" ht="15" hidden="false" customHeight="false" outlineLevel="0" collapsed="false">
      <c r="A76" s="6" t="n">
        <v>71</v>
      </c>
      <c r="B76" s="74" t="s">
        <v>949</v>
      </c>
      <c r="C76" s="53" t="str">
        <f aca="false">INDEX(I_Items!$C$5:$C$133,MATCH($B76,I_Items!$A$5:$A$133,0))</f>
        <v>RPA</v>
      </c>
      <c r="D76" s="53" t="str">
        <f aca="false">INDEX(I_Items!$D$5:$D$133,MATCH($B76,I_Items!$A$5:$A$133,0))</f>
        <v>HJA (Hati/Jantung/Ampela)</v>
      </c>
      <c r="E76" s="53" t="str">
        <f aca="false">INDEX(I_Items!$F$5:$F$133,MATCH($B76,I_Items!$A$5:$A$133,0))</f>
        <v>Fresh</v>
      </c>
      <c r="F76" s="53" t="str">
        <f aca="false">IF(INDEX(I_Items!$E$5:$E$133,MATCH($B76,I_Items!$A$5:$A$133,0))="","",INDEX(I_Items!$E$5:$E$133,MATCH($B76,I_Items!$A$5:$A$133,0)))</f>
        <v/>
      </c>
      <c r="G76" s="76" t="n">
        <v>46255</v>
      </c>
      <c r="H76" s="23" t="n">
        <f aca="false">MONTH(G76)</f>
        <v>8</v>
      </c>
      <c r="I76" s="74" t="s">
        <v>2075</v>
      </c>
      <c r="J76" s="74" t="s">
        <v>2091</v>
      </c>
      <c r="K76" s="10" t="n">
        <v>0</v>
      </c>
      <c r="L76" s="8" t="n">
        <v>0</v>
      </c>
      <c r="M76" s="10" t="n">
        <v>208.1</v>
      </c>
      <c r="N76" s="8" t="n">
        <v>599909.47</v>
      </c>
      <c r="O76" s="74" t="s">
        <v>2077</v>
      </c>
      <c r="P76" s="74"/>
      <c r="Q76" s="74"/>
      <c r="R76" s="14" t="n">
        <f aca="false">IF(I76="Unbilled",0,M76)</f>
        <v>208.1</v>
      </c>
      <c r="S76" s="9" t="n">
        <f aca="false">IF(R76=0,0,IF(O76="Booked",N76,R76*V75))</f>
        <v>599909.473243552</v>
      </c>
      <c r="T76" s="14" t="n">
        <f aca="false">IF(I76="Opening",K76,T75+K76-R76)</f>
        <v>5987.3</v>
      </c>
      <c r="U76" s="9" t="n">
        <f aca="false">IF(I76="Opening",L76,U75+L76-S76)</f>
        <v>17260153.7200919</v>
      </c>
      <c r="V76" s="9" t="n">
        <f aca="false">IF(T76&gt;0,U76/T76,IF(I76="Opening",0,V75))</f>
        <v>2882.79420107425</v>
      </c>
      <c r="W76" s="14" t="n">
        <f aca="false">M76</f>
        <v>208.1</v>
      </c>
      <c r="X76" s="9" t="n">
        <f aca="false">IF(W76=0,0,IF(O76="Booked",N76,W76*AA75))</f>
        <v>599909.473243552</v>
      </c>
      <c r="Y76" s="14" t="n">
        <f aca="false">IF(I76="Opening",K76,Y75+K76-W76)</f>
        <v>5987.3</v>
      </c>
      <c r="Z76" s="9" t="n">
        <f aca="false">IF(I76="Opening",L76,Z75+L76-X76)</f>
        <v>17260153.7200919</v>
      </c>
      <c r="AA76" s="9" t="n">
        <f aca="false">IF(Y76&gt;0,Z76/Y76,IF(I76="Opening",0,AA75))</f>
        <v>2882.79420107425</v>
      </c>
      <c r="AB76" s="9" t="n">
        <f aca="false">IF(AND(I76="DO",O76="MA"),S76-N76,0)</f>
        <v>0.00324355205520988</v>
      </c>
      <c r="AC76" s="9" t="n">
        <f aca="false">IF(I76="DO",X76-S76,0)</f>
        <v>0</v>
      </c>
      <c r="AD76" s="23" t="n">
        <f aca="false">IF(B77&lt;&gt;B76,1,0)</f>
        <v>0</v>
      </c>
      <c r="AE76" s="14" t="n">
        <f aca="false">IF(I76="Opening",0,AE75+W76)</f>
        <v>3231.8</v>
      </c>
      <c r="AF76" s="14" t="n">
        <f aca="false">IF(I76="Opening",K76,AF75)</f>
        <v>4337.9</v>
      </c>
      <c r="AG76" s="14" t="n">
        <f aca="false">AG75</f>
        <v>1300</v>
      </c>
      <c r="AH76" s="14" t="n">
        <f aca="false">IF(W76=0,0,MAX(0,MIN(AE76,AF76)-MIN(AE76-W76,AF76)))</f>
        <v>208.1</v>
      </c>
      <c r="AI76" s="14" t="n">
        <f aca="false">IF(W76=0,0,MAX(0,MIN(AE76,AF76+AG76)-MAX(AE76-W76,AF76)))</f>
        <v>0</v>
      </c>
      <c r="AJ76" s="14" t="n">
        <f aca="false">W76-AH76-AI76</f>
        <v>0</v>
      </c>
      <c r="AK76" s="9" t="n">
        <f aca="false">IF(W76=0,0,X76*AH76/W76)</f>
        <v>599909.473243552</v>
      </c>
      <c r="AL76" s="9" t="n">
        <f aca="false">IF(W76=0,0,X76*AI76/W76)</f>
        <v>0</v>
      </c>
      <c r="AM76" s="9" t="n">
        <f aca="false">X76-AK76-AL76</f>
        <v>0</v>
      </c>
    </row>
    <row r="77" customFormat="false" ht="15" hidden="false" customHeight="false" outlineLevel="0" collapsed="false">
      <c r="A77" s="6" t="n">
        <v>72</v>
      </c>
      <c r="B77" s="74" t="s">
        <v>949</v>
      </c>
      <c r="C77" s="53" t="str">
        <f aca="false">INDEX(I_Items!$C$5:$C$133,MATCH($B77,I_Items!$A$5:$A$133,0))</f>
        <v>RPA</v>
      </c>
      <c r="D77" s="53" t="str">
        <f aca="false">INDEX(I_Items!$D$5:$D$133,MATCH($B77,I_Items!$A$5:$A$133,0))</f>
        <v>HJA (Hati/Jantung/Ampela)</v>
      </c>
      <c r="E77" s="53" t="str">
        <f aca="false">INDEX(I_Items!$F$5:$F$133,MATCH($B77,I_Items!$A$5:$A$133,0))</f>
        <v>Fresh</v>
      </c>
      <c r="F77" s="53" t="str">
        <f aca="false">IF(INDEX(I_Items!$E$5:$E$133,MATCH($B77,I_Items!$A$5:$A$133,0))="","",INDEX(I_Items!$E$5:$E$133,MATCH($B77,I_Items!$A$5:$A$133,0)))</f>
        <v/>
      </c>
      <c r="G77" s="76" t="n">
        <v>46255</v>
      </c>
      <c r="H77" s="23" t="n">
        <f aca="false">MONTH(G77)</f>
        <v>8</v>
      </c>
      <c r="I77" s="74" t="s">
        <v>2075</v>
      </c>
      <c r="J77" s="74" t="s">
        <v>2092</v>
      </c>
      <c r="K77" s="10" t="n">
        <v>0</v>
      </c>
      <c r="L77" s="8" t="n">
        <v>0</v>
      </c>
      <c r="M77" s="10" t="n">
        <v>258.8</v>
      </c>
      <c r="N77" s="8" t="n">
        <v>746067.14</v>
      </c>
      <c r="O77" s="74" t="s">
        <v>2077</v>
      </c>
      <c r="P77" s="74"/>
      <c r="Q77" s="74"/>
      <c r="R77" s="14" t="n">
        <f aca="false">IF(I77="Unbilled",0,M77)</f>
        <v>258.8</v>
      </c>
      <c r="S77" s="9" t="n">
        <f aca="false">IF(R77=0,0,IF(O77="Booked",N77,R77*V76))</f>
        <v>746067.139238017</v>
      </c>
      <c r="T77" s="14" t="n">
        <f aca="false">IF(I77="Opening",K77,T76+K77-R77)</f>
        <v>5728.5</v>
      </c>
      <c r="U77" s="9" t="n">
        <f aca="false">IF(I77="Opening",L77,U76+L77-S77)</f>
        <v>16514086.5808539</v>
      </c>
      <c r="V77" s="9" t="n">
        <f aca="false">IF(T77&gt;0,U77/T77,IF(I77="Opening",0,V76))</f>
        <v>2882.79420107425</v>
      </c>
      <c r="W77" s="14" t="n">
        <f aca="false">M77</f>
        <v>258.8</v>
      </c>
      <c r="X77" s="9" t="n">
        <f aca="false">IF(W77=0,0,IF(O77="Booked",N77,W77*AA76))</f>
        <v>746067.139238017</v>
      </c>
      <c r="Y77" s="14" t="n">
        <f aca="false">IF(I77="Opening",K77,Y76+K77-W77)</f>
        <v>5728.5</v>
      </c>
      <c r="Z77" s="9" t="n">
        <f aca="false">IF(I77="Opening",L77,Z76+L77-X77)</f>
        <v>16514086.5808539</v>
      </c>
      <c r="AA77" s="9" t="n">
        <f aca="false">IF(Y77&gt;0,Z77/Y77,IF(I77="Opening",0,AA76))</f>
        <v>2882.79420107425</v>
      </c>
      <c r="AB77" s="9" t="n">
        <f aca="false">IF(AND(I77="DO",O77="MA"),S77-N77,0)</f>
        <v>-0.000761983217671514</v>
      </c>
      <c r="AC77" s="9" t="n">
        <f aca="false">IF(I77="DO",X77-S77,0)</f>
        <v>0</v>
      </c>
      <c r="AD77" s="23" t="n">
        <f aca="false">IF(B78&lt;&gt;B77,1,0)</f>
        <v>0</v>
      </c>
      <c r="AE77" s="14" t="n">
        <f aca="false">IF(I77="Opening",0,AE76+W77)</f>
        <v>3490.6</v>
      </c>
      <c r="AF77" s="14" t="n">
        <f aca="false">IF(I77="Opening",K77,AF76)</f>
        <v>4337.9</v>
      </c>
      <c r="AG77" s="14" t="n">
        <f aca="false">AG76</f>
        <v>1300</v>
      </c>
      <c r="AH77" s="14" t="n">
        <f aca="false">IF(W77=0,0,MAX(0,MIN(AE77,AF77)-MIN(AE77-W77,AF77)))</f>
        <v>258.8</v>
      </c>
      <c r="AI77" s="14" t="n">
        <f aca="false">IF(W77=0,0,MAX(0,MIN(AE77,AF77+AG77)-MAX(AE77-W77,AF77)))</f>
        <v>0</v>
      </c>
      <c r="AJ77" s="14" t="n">
        <f aca="false">W77-AH77-AI77</f>
        <v>0</v>
      </c>
      <c r="AK77" s="9" t="n">
        <f aca="false">IF(W77=0,0,X77*AH77/W77)</f>
        <v>746067.139238017</v>
      </c>
      <c r="AL77" s="9" t="n">
        <f aca="false">IF(W77=0,0,X77*AI77/W77)</f>
        <v>0</v>
      </c>
      <c r="AM77" s="9" t="n">
        <f aca="false">X77-AK77-AL77</f>
        <v>0</v>
      </c>
    </row>
    <row r="78" customFormat="false" ht="15" hidden="false" customHeight="false" outlineLevel="0" collapsed="false">
      <c r="A78" s="6" t="n">
        <v>73</v>
      </c>
      <c r="B78" s="74" t="s">
        <v>949</v>
      </c>
      <c r="C78" s="53" t="str">
        <f aca="false">INDEX(I_Items!$C$5:$C$133,MATCH($B78,I_Items!$A$5:$A$133,0))</f>
        <v>RPA</v>
      </c>
      <c r="D78" s="53" t="str">
        <f aca="false">INDEX(I_Items!$D$5:$D$133,MATCH($B78,I_Items!$A$5:$A$133,0))</f>
        <v>HJA (Hati/Jantung/Ampela)</v>
      </c>
      <c r="E78" s="53" t="str">
        <f aca="false">INDEX(I_Items!$F$5:$F$133,MATCH($B78,I_Items!$A$5:$A$133,0))</f>
        <v>Fresh</v>
      </c>
      <c r="F78" s="53" t="str">
        <f aca="false">IF(INDEX(I_Items!$E$5:$E$133,MATCH($B78,I_Items!$A$5:$A$133,0))="","",INDEX(I_Items!$E$5:$E$133,MATCH($B78,I_Items!$A$5:$A$133,0)))</f>
        <v/>
      </c>
      <c r="G78" s="76" t="n">
        <v>46255</v>
      </c>
      <c r="H78" s="23" t="n">
        <f aca="false">MONTH(G78)</f>
        <v>8</v>
      </c>
      <c r="I78" s="74" t="s">
        <v>2075</v>
      </c>
      <c r="J78" s="74" t="s">
        <v>2093</v>
      </c>
      <c r="K78" s="10" t="n">
        <v>0</v>
      </c>
      <c r="L78" s="8" t="n">
        <v>0</v>
      </c>
      <c r="M78" s="10" t="n">
        <v>209.6</v>
      </c>
      <c r="N78" s="8" t="n">
        <v>604233.66</v>
      </c>
      <c r="O78" s="74" t="s">
        <v>2077</v>
      </c>
      <c r="P78" s="74"/>
      <c r="Q78" s="74"/>
      <c r="R78" s="14" t="n">
        <f aca="false">IF(I78="Unbilled",0,M78)</f>
        <v>209.6</v>
      </c>
      <c r="S78" s="9" t="n">
        <f aca="false">IF(R78=0,0,IF(O78="Booked",N78,R78*V77))</f>
        <v>604233.664545164</v>
      </c>
      <c r="T78" s="14" t="n">
        <f aca="false">IF(I78="Opening",K78,T77+K78-R78)</f>
        <v>5518.9</v>
      </c>
      <c r="U78" s="9" t="n">
        <f aca="false">IF(I78="Opening",L78,U77+L78-S78)</f>
        <v>15909852.9163087</v>
      </c>
      <c r="V78" s="9" t="n">
        <f aca="false">IF(T78&gt;0,U78/T78,IF(I78="Opening",0,V77))</f>
        <v>2882.79420107425</v>
      </c>
      <c r="W78" s="14" t="n">
        <f aca="false">M78</f>
        <v>209.6</v>
      </c>
      <c r="X78" s="9" t="n">
        <f aca="false">IF(W78=0,0,IF(O78="Booked",N78,W78*AA77))</f>
        <v>604233.664545164</v>
      </c>
      <c r="Y78" s="14" t="n">
        <f aca="false">IF(I78="Opening",K78,Y77+K78-W78)</f>
        <v>5518.9</v>
      </c>
      <c r="Z78" s="9" t="n">
        <f aca="false">IF(I78="Opening",L78,Z77+L78-X78)</f>
        <v>15909852.9163087</v>
      </c>
      <c r="AA78" s="9" t="n">
        <f aca="false">IF(Y78&gt;0,Z78/Y78,IF(I78="Opening",0,AA77))</f>
        <v>2882.79420107425</v>
      </c>
      <c r="AB78" s="9" t="n">
        <f aca="false">IF(AND(I78="DO",O78="MA"),S78-N78,0)</f>
        <v>0.00454516347963363</v>
      </c>
      <c r="AC78" s="9" t="n">
        <f aca="false">IF(I78="DO",X78-S78,0)</f>
        <v>0</v>
      </c>
      <c r="AD78" s="23" t="n">
        <f aca="false">IF(B79&lt;&gt;B78,1,0)</f>
        <v>0</v>
      </c>
      <c r="AE78" s="14" t="n">
        <f aca="false">IF(I78="Opening",0,AE77+W78)</f>
        <v>3700.2</v>
      </c>
      <c r="AF78" s="14" t="n">
        <f aca="false">IF(I78="Opening",K78,AF77)</f>
        <v>4337.9</v>
      </c>
      <c r="AG78" s="14" t="n">
        <f aca="false">AG77</f>
        <v>1300</v>
      </c>
      <c r="AH78" s="14" t="n">
        <f aca="false">IF(W78=0,0,MAX(0,MIN(AE78,AF78)-MIN(AE78-W78,AF78)))</f>
        <v>209.6</v>
      </c>
      <c r="AI78" s="14" t="n">
        <f aca="false">IF(W78=0,0,MAX(0,MIN(AE78,AF78+AG78)-MAX(AE78-W78,AF78)))</f>
        <v>0</v>
      </c>
      <c r="AJ78" s="14" t="n">
        <f aca="false">W78-AH78-AI78</f>
        <v>0</v>
      </c>
      <c r="AK78" s="9" t="n">
        <f aca="false">IF(W78=0,0,X78*AH78/W78)</f>
        <v>604233.664545163</v>
      </c>
      <c r="AL78" s="9" t="n">
        <f aca="false">IF(W78=0,0,X78*AI78/W78)</f>
        <v>0</v>
      </c>
      <c r="AM78" s="9" t="n">
        <f aca="false">X78-AK78-AL78</f>
        <v>0</v>
      </c>
    </row>
    <row r="79" customFormat="false" ht="15" hidden="false" customHeight="false" outlineLevel="0" collapsed="false">
      <c r="A79" s="6" t="n">
        <v>74</v>
      </c>
      <c r="B79" s="74" t="s">
        <v>949</v>
      </c>
      <c r="C79" s="53" t="str">
        <f aca="false">INDEX(I_Items!$C$5:$C$133,MATCH($B79,I_Items!$A$5:$A$133,0))</f>
        <v>RPA</v>
      </c>
      <c r="D79" s="53" t="str">
        <f aca="false">INDEX(I_Items!$D$5:$D$133,MATCH($B79,I_Items!$A$5:$A$133,0))</f>
        <v>HJA (Hati/Jantung/Ampela)</v>
      </c>
      <c r="E79" s="53" t="str">
        <f aca="false">INDEX(I_Items!$F$5:$F$133,MATCH($B79,I_Items!$A$5:$A$133,0))</f>
        <v>Fresh</v>
      </c>
      <c r="F79" s="53" t="str">
        <f aca="false">IF(INDEX(I_Items!$E$5:$E$133,MATCH($B79,I_Items!$A$5:$A$133,0))="","",INDEX(I_Items!$E$5:$E$133,MATCH($B79,I_Items!$A$5:$A$133,0)))</f>
        <v/>
      </c>
      <c r="G79" s="76" t="n">
        <v>46255</v>
      </c>
      <c r="H79" s="23" t="n">
        <f aca="false">MONTH(G79)</f>
        <v>8</v>
      </c>
      <c r="I79" s="74" t="s">
        <v>2074</v>
      </c>
      <c r="J79" s="74" t="s">
        <v>1311</v>
      </c>
      <c r="K79" s="10" t="n">
        <v>413.9</v>
      </c>
      <c r="L79" s="8" t="n">
        <v>2396582.61</v>
      </c>
      <c r="M79" s="10" t="n">
        <v>0</v>
      </c>
      <c r="N79" s="8" t="n">
        <v>0</v>
      </c>
      <c r="O79" s="74"/>
      <c r="P79" s="74"/>
      <c r="Q79" s="74"/>
      <c r="R79" s="14" t="n">
        <f aca="false">IF(I79="Unbilled",0,M79)</f>
        <v>0</v>
      </c>
      <c r="S79" s="9" t="n">
        <f aca="false">IF(R79=0,0,IF(O79="Booked",N79,R79*V78))</f>
        <v>0</v>
      </c>
      <c r="T79" s="14" t="n">
        <f aca="false">IF(I79="Opening",K79,T78+K79-R79)</f>
        <v>5932.8</v>
      </c>
      <c r="U79" s="9" t="n">
        <f aca="false">IF(I79="Opening",L79,U78+L79-S79)</f>
        <v>18306435.5263087</v>
      </c>
      <c r="V79" s="9" t="n">
        <f aca="false">IF(T79&gt;0,U79/T79,IF(I79="Opening",0,V78))</f>
        <v>3085.63166233628</v>
      </c>
      <c r="W79" s="14" t="n">
        <f aca="false">M79</f>
        <v>0</v>
      </c>
      <c r="X79" s="9" t="n">
        <f aca="false">IF(W79=0,0,IF(O79="Booked",N79,W79*AA78))</f>
        <v>0</v>
      </c>
      <c r="Y79" s="14" t="n">
        <f aca="false">IF(I79="Opening",K79,Y78+K79-W79)</f>
        <v>5932.8</v>
      </c>
      <c r="Z79" s="9" t="n">
        <f aca="false">IF(I79="Opening",L79,Z78+L79-X79)</f>
        <v>18306435.5263087</v>
      </c>
      <c r="AA79" s="9" t="n">
        <f aca="false">IF(Y79&gt;0,Z79/Y79,IF(I79="Opening",0,AA78))</f>
        <v>3085.63166233628</v>
      </c>
      <c r="AB79" s="9" t="n">
        <f aca="false">IF(AND(I79="DO",O79="MA"),S79-N79,0)</f>
        <v>0</v>
      </c>
      <c r="AC79" s="9" t="n">
        <f aca="false">IF(I79="DO",X79-S79,0)</f>
        <v>0</v>
      </c>
      <c r="AD79" s="23" t="n">
        <f aca="false">IF(B80&lt;&gt;B79,1,0)</f>
        <v>0</v>
      </c>
      <c r="AE79" s="14" t="n">
        <f aca="false">IF(I79="Opening",0,AE78+W79)</f>
        <v>3700.2</v>
      </c>
      <c r="AF79" s="14" t="n">
        <f aca="false">IF(I79="Opening",K79,AF78)</f>
        <v>4337.9</v>
      </c>
      <c r="AG79" s="14" t="n">
        <f aca="false">AG78</f>
        <v>1300</v>
      </c>
      <c r="AH79" s="14" t="n">
        <f aca="false">IF(W79=0,0,MAX(0,MIN(AE79,AF79)-MIN(AE79-W79,AF79)))</f>
        <v>0</v>
      </c>
      <c r="AI79" s="14" t="n">
        <f aca="false">IF(W79=0,0,MAX(0,MIN(AE79,AF79+AG79)-MAX(AE79-W79,AF79)))</f>
        <v>0</v>
      </c>
      <c r="AJ79" s="14" t="n">
        <f aca="false">W79-AH79-AI79</f>
        <v>0</v>
      </c>
      <c r="AK79" s="9" t="n">
        <f aca="false">IF(W79=0,0,X79*AH79/W79)</f>
        <v>0</v>
      </c>
      <c r="AL79" s="9" t="n">
        <f aca="false">IF(W79=0,0,X79*AI79/W79)</f>
        <v>0</v>
      </c>
      <c r="AM79" s="9" t="n">
        <f aca="false">X79-AK79-AL79</f>
        <v>0</v>
      </c>
    </row>
    <row r="80" customFormat="false" ht="15" hidden="false" customHeight="false" outlineLevel="0" collapsed="false">
      <c r="A80" s="6" t="n">
        <v>75</v>
      </c>
      <c r="B80" s="74" t="s">
        <v>949</v>
      </c>
      <c r="C80" s="53" t="str">
        <f aca="false">INDEX(I_Items!$C$5:$C$133,MATCH($B80,I_Items!$A$5:$A$133,0))</f>
        <v>RPA</v>
      </c>
      <c r="D80" s="53" t="str">
        <f aca="false">INDEX(I_Items!$D$5:$D$133,MATCH($B80,I_Items!$A$5:$A$133,0))</f>
        <v>HJA (Hati/Jantung/Ampela)</v>
      </c>
      <c r="E80" s="53" t="str">
        <f aca="false">INDEX(I_Items!$F$5:$F$133,MATCH($B80,I_Items!$A$5:$A$133,0))</f>
        <v>Fresh</v>
      </c>
      <c r="F80" s="53" t="str">
        <f aca="false">IF(INDEX(I_Items!$E$5:$E$133,MATCH($B80,I_Items!$A$5:$A$133,0))="","",INDEX(I_Items!$E$5:$E$133,MATCH($B80,I_Items!$A$5:$A$133,0)))</f>
        <v/>
      </c>
      <c r="G80" s="76" t="n">
        <v>46259</v>
      </c>
      <c r="H80" s="23" t="n">
        <f aca="false">MONTH(G80)</f>
        <v>8</v>
      </c>
      <c r="I80" s="74" t="s">
        <v>2074</v>
      </c>
      <c r="J80" s="74" t="s">
        <v>1314</v>
      </c>
      <c r="K80" s="10" t="n">
        <v>577</v>
      </c>
      <c r="L80" s="8" t="n">
        <v>3224170.52</v>
      </c>
      <c r="M80" s="10" t="n">
        <v>0</v>
      </c>
      <c r="N80" s="8" t="n">
        <v>0</v>
      </c>
      <c r="O80" s="74"/>
      <c r="P80" s="74"/>
      <c r="Q80" s="74"/>
      <c r="R80" s="14" t="n">
        <f aca="false">IF(I80="Unbilled",0,M80)</f>
        <v>0</v>
      </c>
      <c r="S80" s="9" t="n">
        <f aca="false">IF(R80=0,0,IF(O80="Booked",N80,R80*V79))</f>
        <v>0</v>
      </c>
      <c r="T80" s="14" t="n">
        <f aca="false">IF(I80="Opening",K80,T79+K80-R80)</f>
        <v>6509.8</v>
      </c>
      <c r="U80" s="9" t="n">
        <f aca="false">IF(I80="Opening",L80,U79+L80-S80)</f>
        <v>21530606.0463087</v>
      </c>
      <c r="V80" s="9" t="n">
        <f aca="false">IF(T80&gt;0,U80/T80,IF(I80="Opening",0,V79))</f>
        <v>3307.41436700186</v>
      </c>
      <c r="W80" s="14" t="n">
        <f aca="false">M80</f>
        <v>0</v>
      </c>
      <c r="X80" s="9" t="n">
        <f aca="false">IF(W80=0,0,IF(O80="Booked",N80,W80*AA79))</f>
        <v>0</v>
      </c>
      <c r="Y80" s="14" t="n">
        <f aca="false">IF(I80="Opening",K80,Y79+K80-W80)</f>
        <v>6509.8</v>
      </c>
      <c r="Z80" s="9" t="n">
        <f aca="false">IF(I80="Opening",L80,Z79+L80-X80)</f>
        <v>21530606.0463087</v>
      </c>
      <c r="AA80" s="9" t="n">
        <f aca="false">IF(Y80&gt;0,Z80/Y80,IF(I80="Opening",0,AA79))</f>
        <v>3307.41436700186</v>
      </c>
      <c r="AB80" s="9" t="n">
        <f aca="false">IF(AND(I80="DO",O80="MA"),S80-N80,0)</f>
        <v>0</v>
      </c>
      <c r="AC80" s="9" t="n">
        <f aca="false">IF(I80="DO",X80-S80,0)</f>
        <v>0</v>
      </c>
      <c r="AD80" s="23" t="n">
        <f aca="false">IF(B81&lt;&gt;B80,1,0)</f>
        <v>0</v>
      </c>
      <c r="AE80" s="14" t="n">
        <f aca="false">IF(I80="Opening",0,AE79+W80)</f>
        <v>3700.2</v>
      </c>
      <c r="AF80" s="14" t="n">
        <f aca="false">IF(I80="Opening",K80,AF79)</f>
        <v>4337.9</v>
      </c>
      <c r="AG80" s="14" t="n">
        <f aca="false">AG79</f>
        <v>1300</v>
      </c>
      <c r="AH80" s="14" t="n">
        <f aca="false">IF(W80=0,0,MAX(0,MIN(AE80,AF80)-MIN(AE80-W80,AF80)))</f>
        <v>0</v>
      </c>
      <c r="AI80" s="14" t="n">
        <f aca="false">IF(W80=0,0,MAX(0,MIN(AE80,AF80+AG80)-MAX(AE80-W80,AF80)))</f>
        <v>0</v>
      </c>
      <c r="AJ80" s="14" t="n">
        <f aca="false">W80-AH80-AI80</f>
        <v>0</v>
      </c>
      <c r="AK80" s="9" t="n">
        <f aca="false">IF(W80=0,0,X80*AH80/W80)</f>
        <v>0</v>
      </c>
      <c r="AL80" s="9" t="n">
        <f aca="false">IF(W80=0,0,X80*AI80/W80)</f>
        <v>0</v>
      </c>
      <c r="AM80" s="9" t="n">
        <f aca="false">X80-AK80-AL80</f>
        <v>0</v>
      </c>
    </row>
    <row r="81" customFormat="false" ht="15" hidden="false" customHeight="false" outlineLevel="0" collapsed="false">
      <c r="A81" s="6" t="n">
        <v>76</v>
      </c>
      <c r="B81" s="74" t="s">
        <v>949</v>
      </c>
      <c r="C81" s="53" t="str">
        <f aca="false">INDEX(I_Items!$C$5:$C$133,MATCH($B81,I_Items!$A$5:$A$133,0))</f>
        <v>RPA</v>
      </c>
      <c r="D81" s="53" t="str">
        <f aca="false">INDEX(I_Items!$D$5:$D$133,MATCH($B81,I_Items!$A$5:$A$133,0))</f>
        <v>HJA (Hati/Jantung/Ampela)</v>
      </c>
      <c r="E81" s="53" t="str">
        <f aca="false">INDEX(I_Items!$F$5:$F$133,MATCH($B81,I_Items!$A$5:$A$133,0))</f>
        <v>Fresh</v>
      </c>
      <c r="F81" s="53" t="str">
        <f aca="false">IF(INDEX(I_Items!$E$5:$E$133,MATCH($B81,I_Items!$A$5:$A$133,0))="","",INDEX(I_Items!$E$5:$E$133,MATCH($B81,I_Items!$A$5:$A$133,0)))</f>
        <v/>
      </c>
      <c r="G81" s="76" t="n">
        <v>46260</v>
      </c>
      <c r="H81" s="23" t="n">
        <f aca="false">MONTH(G81)</f>
        <v>8</v>
      </c>
      <c r="I81" s="74" t="s">
        <v>2074</v>
      </c>
      <c r="J81" s="74" t="s">
        <v>1317</v>
      </c>
      <c r="K81" s="10" t="n">
        <v>622.3</v>
      </c>
      <c r="L81" s="8" t="n">
        <v>3551767.36</v>
      </c>
      <c r="M81" s="10" t="n">
        <v>0</v>
      </c>
      <c r="N81" s="8" t="n">
        <v>0</v>
      </c>
      <c r="O81" s="74"/>
      <c r="P81" s="74"/>
      <c r="Q81" s="74"/>
      <c r="R81" s="14" t="n">
        <f aca="false">IF(I81="Unbilled",0,M81)</f>
        <v>0</v>
      </c>
      <c r="S81" s="9" t="n">
        <f aca="false">IF(R81=0,0,IF(O81="Booked",N81,R81*V80))</f>
        <v>0</v>
      </c>
      <c r="T81" s="14" t="n">
        <f aca="false">IF(I81="Opening",K81,T80+K81-R81)</f>
        <v>7132.1</v>
      </c>
      <c r="U81" s="9" t="n">
        <f aca="false">IF(I81="Opening",L81,U80+L81-S81)</f>
        <v>25082373.4063087</v>
      </c>
      <c r="V81" s="9" t="n">
        <f aca="false">IF(T81&gt;0,U81/T81,IF(I81="Opening",0,V80))</f>
        <v>3516.82862078612</v>
      </c>
      <c r="W81" s="14" t="n">
        <f aca="false">M81</f>
        <v>0</v>
      </c>
      <c r="X81" s="9" t="n">
        <f aca="false">IF(W81=0,0,IF(O81="Booked",N81,W81*AA80))</f>
        <v>0</v>
      </c>
      <c r="Y81" s="14" t="n">
        <f aca="false">IF(I81="Opening",K81,Y80+K81-W81)</f>
        <v>7132.1</v>
      </c>
      <c r="Z81" s="9" t="n">
        <f aca="false">IF(I81="Opening",L81,Z80+L81-X81)</f>
        <v>25082373.4063087</v>
      </c>
      <c r="AA81" s="9" t="n">
        <f aca="false">IF(Y81&gt;0,Z81/Y81,IF(I81="Opening",0,AA80))</f>
        <v>3516.82862078612</v>
      </c>
      <c r="AB81" s="9" t="n">
        <f aca="false">IF(AND(I81="DO",O81="MA"),S81-N81,0)</f>
        <v>0</v>
      </c>
      <c r="AC81" s="9" t="n">
        <f aca="false">IF(I81="DO",X81-S81,0)</f>
        <v>0</v>
      </c>
      <c r="AD81" s="23" t="n">
        <f aca="false">IF(B82&lt;&gt;B81,1,0)</f>
        <v>0</v>
      </c>
      <c r="AE81" s="14" t="n">
        <f aca="false">IF(I81="Opening",0,AE80+W81)</f>
        <v>3700.2</v>
      </c>
      <c r="AF81" s="14" t="n">
        <f aca="false">IF(I81="Opening",K81,AF80)</f>
        <v>4337.9</v>
      </c>
      <c r="AG81" s="14" t="n">
        <f aca="false">AG80</f>
        <v>1300</v>
      </c>
      <c r="AH81" s="14" t="n">
        <f aca="false">IF(W81=0,0,MAX(0,MIN(AE81,AF81)-MIN(AE81-W81,AF81)))</f>
        <v>0</v>
      </c>
      <c r="AI81" s="14" t="n">
        <f aca="false">IF(W81=0,0,MAX(0,MIN(AE81,AF81+AG81)-MAX(AE81-W81,AF81)))</f>
        <v>0</v>
      </c>
      <c r="AJ81" s="14" t="n">
        <f aca="false">W81-AH81-AI81</f>
        <v>0</v>
      </c>
      <c r="AK81" s="9" t="n">
        <f aca="false">IF(W81=0,0,X81*AH81/W81)</f>
        <v>0</v>
      </c>
      <c r="AL81" s="9" t="n">
        <f aca="false">IF(W81=0,0,X81*AI81/W81)</f>
        <v>0</v>
      </c>
      <c r="AM81" s="9" t="n">
        <f aca="false">X81-AK81-AL81</f>
        <v>0</v>
      </c>
    </row>
    <row r="82" customFormat="false" ht="15" hidden="false" customHeight="false" outlineLevel="0" collapsed="false">
      <c r="A82" s="6" t="n">
        <v>77</v>
      </c>
      <c r="B82" s="74" t="s">
        <v>949</v>
      </c>
      <c r="C82" s="53" t="str">
        <f aca="false">INDEX(I_Items!$C$5:$C$133,MATCH($B82,I_Items!$A$5:$A$133,0))</f>
        <v>RPA</v>
      </c>
      <c r="D82" s="53" t="str">
        <f aca="false">INDEX(I_Items!$D$5:$D$133,MATCH($B82,I_Items!$A$5:$A$133,0))</f>
        <v>HJA (Hati/Jantung/Ampela)</v>
      </c>
      <c r="E82" s="53" t="str">
        <f aca="false">INDEX(I_Items!$F$5:$F$133,MATCH($B82,I_Items!$A$5:$A$133,0))</f>
        <v>Fresh</v>
      </c>
      <c r="F82" s="53" t="str">
        <f aca="false">IF(INDEX(I_Items!$E$5:$E$133,MATCH($B82,I_Items!$A$5:$A$133,0))="","",INDEX(I_Items!$E$5:$E$133,MATCH($B82,I_Items!$A$5:$A$133,0)))</f>
        <v/>
      </c>
      <c r="G82" s="76" t="n">
        <v>46260</v>
      </c>
      <c r="H82" s="23" t="n">
        <f aca="false">MONTH(G82)</f>
        <v>8</v>
      </c>
      <c r="I82" s="74" t="s">
        <v>2075</v>
      </c>
      <c r="J82" s="74" t="s">
        <v>2094</v>
      </c>
      <c r="K82" s="10" t="n">
        <v>0</v>
      </c>
      <c r="L82" s="8" t="n">
        <v>0</v>
      </c>
      <c r="M82" s="10" t="n">
        <v>198.1</v>
      </c>
      <c r="N82" s="8" t="n">
        <v>696683.75</v>
      </c>
      <c r="O82" s="74" t="s">
        <v>2077</v>
      </c>
      <c r="P82" s="74"/>
      <c r="Q82" s="74"/>
      <c r="R82" s="14" t="n">
        <f aca="false">IF(I82="Unbilled",0,M82)</f>
        <v>198.1</v>
      </c>
      <c r="S82" s="9" t="n">
        <f aca="false">IF(R82=0,0,IF(O82="Booked",N82,R82*V81))</f>
        <v>696683.749777731</v>
      </c>
      <c r="T82" s="14" t="n">
        <f aca="false">IF(I82="Opening",K82,T81+K82-R82)</f>
        <v>6934</v>
      </c>
      <c r="U82" s="9" t="n">
        <f aca="false">IF(I82="Opening",L82,U81+L82-S82)</f>
        <v>24385689.656531</v>
      </c>
      <c r="V82" s="9" t="n">
        <f aca="false">IF(T82&gt;0,U82/T82,IF(I82="Opening",0,V81))</f>
        <v>3516.82862078612</v>
      </c>
      <c r="W82" s="14" t="n">
        <f aca="false">M82</f>
        <v>198.1</v>
      </c>
      <c r="X82" s="9" t="n">
        <f aca="false">IF(W82=0,0,IF(O82="Booked",N82,W82*AA81))</f>
        <v>696683.749777731</v>
      </c>
      <c r="Y82" s="14" t="n">
        <f aca="false">IF(I82="Opening",K82,Y81+K82-W82)</f>
        <v>6934</v>
      </c>
      <c r="Z82" s="9" t="n">
        <f aca="false">IF(I82="Opening",L82,Z81+L82-X82)</f>
        <v>24385689.656531</v>
      </c>
      <c r="AA82" s="9" t="n">
        <f aca="false">IF(Y82&gt;0,Z82/Y82,IF(I82="Opening",0,AA81))</f>
        <v>3516.82862078612</v>
      </c>
      <c r="AB82" s="9" t="n">
        <f aca="false">IF(AND(I82="DO",O82="MA"),S82-N82,0)</f>
        <v>-0.000222269212827086</v>
      </c>
      <c r="AC82" s="9" t="n">
        <f aca="false">IF(I82="DO",X82-S82,0)</f>
        <v>0</v>
      </c>
      <c r="AD82" s="23" t="n">
        <f aca="false">IF(B83&lt;&gt;B82,1,0)</f>
        <v>0</v>
      </c>
      <c r="AE82" s="14" t="n">
        <f aca="false">IF(I82="Opening",0,AE81+W82)</f>
        <v>3898.3</v>
      </c>
      <c r="AF82" s="14" t="n">
        <f aca="false">IF(I82="Opening",K82,AF81)</f>
        <v>4337.9</v>
      </c>
      <c r="AG82" s="14" t="n">
        <f aca="false">AG81</f>
        <v>1300</v>
      </c>
      <c r="AH82" s="14" t="n">
        <f aca="false">IF(W82=0,0,MAX(0,MIN(AE82,AF82)-MIN(AE82-W82,AF82)))</f>
        <v>198.1</v>
      </c>
      <c r="AI82" s="14" t="n">
        <f aca="false">IF(W82=0,0,MAX(0,MIN(AE82,AF82+AG82)-MAX(AE82-W82,AF82)))</f>
        <v>0</v>
      </c>
      <c r="AJ82" s="14" t="n">
        <f aca="false">W82-AH82-AI82</f>
        <v>0</v>
      </c>
      <c r="AK82" s="9" t="n">
        <f aca="false">IF(W82=0,0,X82*AH82/W82)</f>
        <v>696683.749777731</v>
      </c>
      <c r="AL82" s="9" t="n">
        <f aca="false">IF(W82=0,0,X82*AI82/W82)</f>
        <v>0</v>
      </c>
      <c r="AM82" s="9" t="n">
        <f aca="false">X82-AK82-AL82</f>
        <v>0</v>
      </c>
    </row>
    <row r="83" customFormat="false" ht="15" hidden="false" customHeight="false" outlineLevel="0" collapsed="false">
      <c r="A83" s="6" t="n">
        <v>78</v>
      </c>
      <c r="B83" s="74" t="s">
        <v>949</v>
      </c>
      <c r="C83" s="53" t="str">
        <f aca="false">INDEX(I_Items!$C$5:$C$133,MATCH($B83,I_Items!$A$5:$A$133,0))</f>
        <v>RPA</v>
      </c>
      <c r="D83" s="53" t="str">
        <f aca="false">INDEX(I_Items!$D$5:$D$133,MATCH($B83,I_Items!$A$5:$A$133,0))</f>
        <v>HJA (Hati/Jantung/Ampela)</v>
      </c>
      <c r="E83" s="53" t="str">
        <f aca="false">INDEX(I_Items!$F$5:$F$133,MATCH($B83,I_Items!$A$5:$A$133,0))</f>
        <v>Fresh</v>
      </c>
      <c r="F83" s="53" t="str">
        <f aca="false">IF(INDEX(I_Items!$E$5:$E$133,MATCH($B83,I_Items!$A$5:$A$133,0))="","",INDEX(I_Items!$E$5:$E$133,MATCH($B83,I_Items!$A$5:$A$133,0)))</f>
        <v/>
      </c>
      <c r="G83" s="76" t="n">
        <v>46260</v>
      </c>
      <c r="H83" s="23" t="n">
        <f aca="false">MONTH(G83)</f>
        <v>8</v>
      </c>
      <c r="I83" s="74" t="s">
        <v>2075</v>
      </c>
      <c r="J83" s="74" t="s">
        <v>2095</v>
      </c>
      <c r="K83" s="10" t="n">
        <v>0</v>
      </c>
      <c r="L83" s="8" t="n">
        <v>0</v>
      </c>
      <c r="M83" s="10" t="n">
        <v>191.7</v>
      </c>
      <c r="N83" s="8" t="n">
        <v>674176.04</v>
      </c>
      <c r="O83" s="74" t="s">
        <v>2077</v>
      </c>
      <c r="P83" s="74"/>
      <c r="Q83" s="74"/>
      <c r="R83" s="14" t="n">
        <f aca="false">IF(I83="Unbilled",0,M83)</f>
        <v>191.7</v>
      </c>
      <c r="S83" s="9" t="n">
        <f aca="false">IF(R83=0,0,IF(O83="Booked",N83,R83*V82))</f>
        <v>674176.0466047</v>
      </c>
      <c r="T83" s="14" t="n">
        <f aca="false">IF(I83="Opening",K83,T82+K83-R83)</f>
        <v>6742.3</v>
      </c>
      <c r="U83" s="9" t="n">
        <f aca="false">IF(I83="Opening",L83,U82+L83-S83)</f>
        <v>23711513.6099263</v>
      </c>
      <c r="V83" s="9" t="n">
        <f aca="false">IF(T83&gt;0,U83/T83,IF(I83="Opening",0,V82))</f>
        <v>3516.82862078612</v>
      </c>
      <c r="W83" s="14" t="n">
        <f aca="false">M83</f>
        <v>191.7</v>
      </c>
      <c r="X83" s="9" t="n">
        <f aca="false">IF(W83=0,0,IF(O83="Booked",N83,W83*AA82))</f>
        <v>674176.0466047</v>
      </c>
      <c r="Y83" s="14" t="n">
        <f aca="false">IF(I83="Opening",K83,Y82+K83-W83)</f>
        <v>6742.3</v>
      </c>
      <c r="Z83" s="9" t="n">
        <f aca="false">IF(I83="Opening",L83,Z82+L83-X83)</f>
        <v>23711513.6099263</v>
      </c>
      <c r="AA83" s="9" t="n">
        <f aca="false">IF(Y83&gt;0,Z83/Y83,IF(I83="Opening",0,AA82))</f>
        <v>3516.82862078612</v>
      </c>
      <c r="AB83" s="9" t="n">
        <f aca="false">IF(AND(I83="DO",O83="MA"),S83-N83,0)</f>
        <v>0.00660469953436405</v>
      </c>
      <c r="AC83" s="9" t="n">
        <f aca="false">IF(I83="DO",X83-S83,0)</f>
        <v>0</v>
      </c>
      <c r="AD83" s="23" t="n">
        <f aca="false">IF(B84&lt;&gt;B83,1,0)</f>
        <v>0</v>
      </c>
      <c r="AE83" s="14" t="n">
        <f aca="false">IF(I83="Opening",0,AE82+W83)</f>
        <v>4090</v>
      </c>
      <c r="AF83" s="14" t="n">
        <f aca="false">IF(I83="Opening",K83,AF82)</f>
        <v>4337.9</v>
      </c>
      <c r="AG83" s="14" t="n">
        <f aca="false">AG82</f>
        <v>1300</v>
      </c>
      <c r="AH83" s="14" t="n">
        <f aca="false">IF(W83=0,0,MAX(0,MIN(AE83,AF83)-MIN(AE83-W83,AF83)))</f>
        <v>191.7</v>
      </c>
      <c r="AI83" s="14" t="n">
        <f aca="false">IF(W83=0,0,MAX(0,MIN(AE83,AF83+AG83)-MAX(AE83-W83,AF83)))</f>
        <v>0</v>
      </c>
      <c r="AJ83" s="14" t="n">
        <f aca="false">W83-AH83-AI83</f>
        <v>0</v>
      </c>
      <c r="AK83" s="9" t="n">
        <f aca="false">IF(W83=0,0,X83*AH83/W83)</f>
        <v>674176.046604699</v>
      </c>
      <c r="AL83" s="9" t="n">
        <f aca="false">IF(W83=0,0,X83*AI83/W83)</f>
        <v>0</v>
      </c>
      <c r="AM83" s="9" t="n">
        <f aca="false">X83-AK83-AL83</f>
        <v>0</v>
      </c>
    </row>
    <row r="84" customFormat="false" ht="15" hidden="false" customHeight="false" outlineLevel="0" collapsed="false">
      <c r="A84" s="6" t="n">
        <v>79</v>
      </c>
      <c r="B84" s="74" t="s">
        <v>949</v>
      </c>
      <c r="C84" s="53" t="str">
        <f aca="false">INDEX(I_Items!$C$5:$C$133,MATCH($B84,I_Items!$A$5:$A$133,0))</f>
        <v>RPA</v>
      </c>
      <c r="D84" s="53" t="str">
        <f aca="false">INDEX(I_Items!$D$5:$D$133,MATCH($B84,I_Items!$A$5:$A$133,0))</f>
        <v>HJA (Hati/Jantung/Ampela)</v>
      </c>
      <c r="E84" s="53" t="str">
        <f aca="false">INDEX(I_Items!$F$5:$F$133,MATCH($B84,I_Items!$A$5:$A$133,0))</f>
        <v>Fresh</v>
      </c>
      <c r="F84" s="53" t="str">
        <f aca="false">IF(INDEX(I_Items!$E$5:$E$133,MATCH($B84,I_Items!$A$5:$A$133,0))="","",INDEX(I_Items!$E$5:$E$133,MATCH($B84,I_Items!$A$5:$A$133,0)))</f>
        <v/>
      </c>
      <c r="G84" s="76" t="n">
        <v>46260</v>
      </c>
      <c r="H84" s="23" t="n">
        <f aca="false">MONTH(G84)</f>
        <v>8</v>
      </c>
      <c r="I84" s="74" t="s">
        <v>2075</v>
      </c>
      <c r="J84" s="74" t="s">
        <v>2096</v>
      </c>
      <c r="K84" s="10" t="n">
        <v>0</v>
      </c>
      <c r="L84" s="8" t="n">
        <v>0</v>
      </c>
      <c r="M84" s="10" t="n">
        <v>187.2</v>
      </c>
      <c r="N84" s="8" t="n">
        <v>658350.31</v>
      </c>
      <c r="O84" s="74" t="s">
        <v>2077</v>
      </c>
      <c r="P84" s="74"/>
      <c r="Q84" s="74"/>
      <c r="R84" s="14" t="n">
        <f aca="false">IF(I84="Unbilled",0,M84)</f>
        <v>187.2</v>
      </c>
      <c r="S84" s="9" t="n">
        <f aca="false">IF(R84=0,0,IF(O84="Booked",N84,R84*V83))</f>
        <v>658350.317811162</v>
      </c>
      <c r="T84" s="14" t="n">
        <f aca="false">IF(I84="Opening",K84,T83+K84-R84)</f>
        <v>6555.1</v>
      </c>
      <c r="U84" s="9" t="n">
        <f aca="false">IF(I84="Opening",L84,U83+L84-S84)</f>
        <v>23053163.2921151</v>
      </c>
      <c r="V84" s="9" t="n">
        <f aca="false">IF(T84&gt;0,U84/T84,IF(I84="Opening",0,V83))</f>
        <v>3516.82862078612</v>
      </c>
      <c r="W84" s="14" t="n">
        <f aca="false">M84</f>
        <v>187.2</v>
      </c>
      <c r="X84" s="9" t="n">
        <f aca="false">IF(W84=0,0,IF(O84="Booked",N84,W84*AA83))</f>
        <v>658350.317811162</v>
      </c>
      <c r="Y84" s="14" t="n">
        <f aca="false">IF(I84="Opening",K84,Y83+K84-W84)</f>
        <v>6555.1</v>
      </c>
      <c r="Z84" s="9" t="n">
        <f aca="false">IF(I84="Opening",L84,Z83+L84-X84)</f>
        <v>23053163.2921151</v>
      </c>
      <c r="AA84" s="9" t="n">
        <f aca="false">IF(Y84&gt;0,Z84/Y84,IF(I84="Opening",0,AA83))</f>
        <v>3516.82862078612</v>
      </c>
      <c r="AB84" s="9" t="n">
        <f aca="false">IF(AND(I84="DO",O84="MA"),S84-N84,0)</f>
        <v>0.00781116192229092</v>
      </c>
      <c r="AC84" s="9" t="n">
        <f aca="false">IF(I84="DO",X84-S84,0)</f>
        <v>0</v>
      </c>
      <c r="AD84" s="23" t="n">
        <f aca="false">IF(B85&lt;&gt;B84,1,0)</f>
        <v>0</v>
      </c>
      <c r="AE84" s="14" t="n">
        <f aca="false">IF(I84="Opening",0,AE83+W84)</f>
        <v>4277.2</v>
      </c>
      <c r="AF84" s="14" t="n">
        <f aca="false">IF(I84="Opening",K84,AF83)</f>
        <v>4337.9</v>
      </c>
      <c r="AG84" s="14" t="n">
        <f aca="false">AG83</f>
        <v>1300</v>
      </c>
      <c r="AH84" s="14" t="n">
        <f aca="false">IF(W84=0,0,MAX(0,MIN(AE84,AF84)-MIN(AE84-W84,AF84)))</f>
        <v>187.2</v>
      </c>
      <c r="AI84" s="14" t="n">
        <f aca="false">IF(W84=0,0,MAX(0,MIN(AE84,AF84+AG84)-MAX(AE84-W84,AF84)))</f>
        <v>0</v>
      </c>
      <c r="AJ84" s="14" t="n">
        <f aca="false">W84-AH84-AI84</f>
        <v>0</v>
      </c>
      <c r="AK84" s="9" t="n">
        <f aca="false">IF(W84=0,0,X84*AH84/W84)</f>
        <v>658350.317811161</v>
      </c>
      <c r="AL84" s="9" t="n">
        <f aca="false">IF(W84=0,0,X84*AI84/W84)</f>
        <v>0</v>
      </c>
      <c r="AM84" s="9" t="n">
        <f aca="false">X84-AK84-AL84</f>
        <v>0</v>
      </c>
    </row>
    <row r="85" customFormat="false" ht="15" hidden="false" customHeight="false" outlineLevel="0" collapsed="false">
      <c r="A85" s="6" t="n">
        <v>80</v>
      </c>
      <c r="B85" s="74" t="s">
        <v>949</v>
      </c>
      <c r="C85" s="53" t="str">
        <f aca="false">INDEX(I_Items!$C$5:$C$133,MATCH($B85,I_Items!$A$5:$A$133,0))</f>
        <v>RPA</v>
      </c>
      <c r="D85" s="53" t="str">
        <f aca="false">INDEX(I_Items!$D$5:$D$133,MATCH($B85,I_Items!$A$5:$A$133,0))</f>
        <v>HJA (Hati/Jantung/Ampela)</v>
      </c>
      <c r="E85" s="53" t="str">
        <f aca="false">INDEX(I_Items!$F$5:$F$133,MATCH($B85,I_Items!$A$5:$A$133,0))</f>
        <v>Fresh</v>
      </c>
      <c r="F85" s="53" t="str">
        <f aca="false">IF(INDEX(I_Items!$E$5:$E$133,MATCH($B85,I_Items!$A$5:$A$133,0))="","",INDEX(I_Items!$E$5:$E$133,MATCH($B85,I_Items!$A$5:$A$133,0)))</f>
        <v/>
      </c>
      <c r="G85" s="76" t="n">
        <v>46261</v>
      </c>
      <c r="H85" s="23" t="n">
        <f aca="false">MONTH(G85)</f>
        <v>8</v>
      </c>
      <c r="I85" s="74" t="s">
        <v>2074</v>
      </c>
      <c r="J85" s="74" t="s">
        <v>1320</v>
      </c>
      <c r="K85" s="10" t="n">
        <v>606.2</v>
      </c>
      <c r="L85" s="8" t="n">
        <v>3415325.59</v>
      </c>
      <c r="M85" s="10" t="n">
        <v>0</v>
      </c>
      <c r="N85" s="8" t="n">
        <v>0</v>
      </c>
      <c r="O85" s="74"/>
      <c r="P85" s="74"/>
      <c r="Q85" s="74"/>
      <c r="R85" s="14" t="n">
        <f aca="false">IF(I85="Unbilled",0,M85)</f>
        <v>0</v>
      </c>
      <c r="S85" s="9" t="n">
        <f aca="false">IF(R85=0,0,IF(O85="Booked",N85,R85*V84))</f>
        <v>0</v>
      </c>
      <c r="T85" s="14" t="n">
        <f aca="false">IF(I85="Opening",K85,T84+K85-R85)</f>
        <v>7161.3</v>
      </c>
      <c r="U85" s="9" t="n">
        <f aca="false">IF(I85="Opening",L85,U84+L85-S85)</f>
        <v>26468488.8821151</v>
      </c>
      <c r="V85" s="9" t="n">
        <f aca="false">IF(T85&gt;0,U85/T85,IF(I85="Opening",0,V84))</f>
        <v>3696.04525464861</v>
      </c>
      <c r="W85" s="14" t="n">
        <f aca="false">M85</f>
        <v>0</v>
      </c>
      <c r="X85" s="9" t="n">
        <f aca="false">IF(W85=0,0,IF(O85="Booked",N85,W85*AA84))</f>
        <v>0</v>
      </c>
      <c r="Y85" s="14" t="n">
        <f aca="false">IF(I85="Opening",K85,Y84+K85-W85)</f>
        <v>7161.3</v>
      </c>
      <c r="Z85" s="9" t="n">
        <f aca="false">IF(I85="Opening",L85,Z84+L85-X85)</f>
        <v>26468488.8821151</v>
      </c>
      <c r="AA85" s="9" t="n">
        <f aca="false">IF(Y85&gt;0,Z85/Y85,IF(I85="Opening",0,AA84))</f>
        <v>3696.04525464861</v>
      </c>
      <c r="AB85" s="9" t="n">
        <f aca="false">IF(AND(I85="DO",O85="MA"),S85-N85,0)</f>
        <v>0</v>
      </c>
      <c r="AC85" s="9" t="n">
        <f aca="false">IF(I85="DO",X85-S85,0)</f>
        <v>0</v>
      </c>
      <c r="AD85" s="23" t="n">
        <f aca="false">IF(B86&lt;&gt;B85,1,0)</f>
        <v>0</v>
      </c>
      <c r="AE85" s="14" t="n">
        <f aca="false">IF(I85="Opening",0,AE84+W85)</f>
        <v>4277.2</v>
      </c>
      <c r="AF85" s="14" t="n">
        <f aca="false">IF(I85="Opening",K85,AF84)</f>
        <v>4337.9</v>
      </c>
      <c r="AG85" s="14" t="n">
        <f aca="false">AG84</f>
        <v>1300</v>
      </c>
      <c r="AH85" s="14" t="n">
        <f aca="false">IF(W85=0,0,MAX(0,MIN(AE85,AF85)-MIN(AE85-W85,AF85)))</f>
        <v>0</v>
      </c>
      <c r="AI85" s="14" t="n">
        <f aca="false">IF(W85=0,0,MAX(0,MIN(AE85,AF85+AG85)-MAX(AE85-W85,AF85)))</f>
        <v>0</v>
      </c>
      <c r="AJ85" s="14" t="n">
        <f aca="false">W85-AH85-AI85</f>
        <v>0</v>
      </c>
      <c r="AK85" s="9" t="n">
        <f aca="false">IF(W85=0,0,X85*AH85/W85)</f>
        <v>0</v>
      </c>
      <c r="AL85" s="9" t="n">
        <f aca="false">IF(W85=0,0,X85*AI85/W85)</f>
        <v>0</v>
      </c>
      <c r="AM85" s="9" t="n">
        <f aca="false">X85-AK85-AL85</f>
        <v>0</v>
      </c>
    </row>
    <row r="86" customFormat="false" ht="15" hidden="false" customHeight="false" outlineLevel="0" collapsed="false">
      <c r="A86" s="6" t="n">
        <v>81</v>
      </c>
      <c r="B86" s="74" t="s">
        <v>949</v>
      </c>
      <c r="C86" s="53" t="str">
        <f aca="false">INDEX(I_Items!$C$5:$C$133,MATCH($B86,I_Items!$A$5:$A$133,0))</f>
        <v>RPA</v>
      </c>
      <c r="D86" s="53" t="str">
        <f aca="false">INDEX(I_Items!$D$5:$D$133,MATCH($B86,I_Items!$A$5:$A$133,0))</f>
        <v>HJA (Hati/Jantung/Ampela)</v>
      </c>
      <c r="E86" s="53" t="str">
        <f aca="false">INDEX(I_Items!$F$5:$F$133,MATCH($B86,I_Items!$A$5:$A$133,0))</f>
        <v>Fresh</v>
      </c>
      <c r="F86" s="53" t="str">
        <f aca="false">IF(INDEX(I_Items!$E$5:$E$133,MATCH($B86,I_Items!$A$5:$A$133,0))="","",INDEX(I_Items!$E$5:$E$133,MATCH($B86,I_Items!$A$5:$A$133,0)))</f>
        <v/>
      </c>
      <c r="G86" s="76" t="n">
        <v>46262</v>
      </c>
      <c r="H86" s="23" t="n">
        <f aca="false">MONTH(G86)</f>
        <v>8</v>
      </c>
      <c r="I86" s="74" t="s">
        <v>2074</v>
      </c>
      <c r="J86" s="74" t="s">
        <v>1323</v>
      </c>
      <c r="K86" s="10" t="n">
        <v>804.9</v>
      </c>
      <c r="L86" s="8" t="n">
        <v>4572301.9</v>
      </c>
      <c r="M86" s="10" t="n">
        <v>0</v>
      </c>
      <c r="N86" s="8" t="n">
        <v>0</v>
      </c>
      <c r="O86" s="74"/>
      <c r="P86" s="74"/>
      <c r="Q86" s="74"/>
      <c r="R86" s="14" t="n">
        <f aca="false">IF(I86="Unbilled",0,M86)</f>
        <v>0</v>
      </c>
      <c r="S86" s="9" t="n">
        <f aca="false">IF(R86=0,0,IF(O86="Booked",N86,R86*V85))</f>
        <v>0</v>
      </c>
      <c r="T86" s="14" t="n">
        <f aca="false">IF(I86="Opening",K86,T85+K86-R86)</f>
        <v>7966.2</v>
      </c>
      <c r="U86" s="9" t="n">
        <f aca="false">IF(I86="Opening",L86,U85+L86-S86)</f>
        <v>31040790.7821151</v>
      </c>
      <c r="V86" s="9" t="n">
        <f aca="false">IF(T86&gt;0,U86/T86,IF(I86="Opening",0,V85))</f>
        <v>3896.56182146006</v>
      </c>
      <c r="W86" s="14" t="n">
        <f aca="false">M86</f>
        <v>0</v>
      </c>
      <c r="X86" s="9" t="n">
        <f aca="false">IF(W86=0,0,IF(O86="Booked",N86,W86*AA85))</f>
        <v>0</v>
      </c>
      <c r="Y86" s="14" t="n">
        <f aca="false">IF(I86="Opening",K86,Y85+K86-W86)</f>
        <v>7966.2</v>
      </c>
      <c r="Z86" s="9" t="n">
        <f aca="false">IF(I86="Opening",L86,Z85+L86-X86)</f>
        <v>31040790.7821151</v>
      </c>
      <c r="AA86" s="9" t="n">
        <f aca="false">IF(Y86&gt;0,Z86/Y86,IF(I86="Opening",0,AA85))</f>
        <v>3896.56182146006</v>
      </c>
      <c r="AB86" s="9" t="n">
        <f aca="false">IF(AND(I86="DO",O86="MA"),S86-N86,0)</f>
        <v>0</v>
      </c>
      <c r="AC86" s="9" t="n">
        <f aca="false">IF(I86="DO",X86-S86,0)</f>
        <v>0</v>
      </c>
      <c r="AD86" s="23" t="n">
        <f aca="false">IF(B87&lt;&gt;B86,1,0)</f>
        <v>0</v>
      </c>
      <c r="AE86" s="14" t="n">
        <f aca="false">IF(I86="Opening",0,AE85+W86)</f>
        <v>4277.2</v>
      </c>
      <c r="AF86" s="14" t="n">
        <f aca="false">IF(I86="Opening",K86,AF85)</f>
        <v>4337.9</v>
      </c>
      <c r="AG86" s="14" t="n">
        <f aca="false">AG85</f>
        <v>1300</v>
      </c>
      <c r="AH86" s="14" t="n">
        <f aca="false">IF(W86=0,0,MAX(0,MIN(AE86,AF86)-MIN(AE86-W86,AF86)))</f>
        <v>0</v>
      </c>
      <c r="AI86" s="14" t="n">
        <f aca="false">IF(W86=0,0,MAX(0,MIN(AE86,AF86+AG86)-MAX(AE86-W86,AF86)))</f>
        <v>0</v>
      </c>
      <c r="AJ86" s="14" t="n">
        <f aca="false">W86-AH86-AI86</f>
        <v>0</v>
      </c>
      <c r="AK86" s="9" t="n">
        <f aca="false">IF(W86=0,0,X86*AH86/W86)</f>
        <v>0</v>
      </c>
      <c r="AL86" s="9" t="n">
        <f aca="false">IF(W86=0,0,X86*AI86/W86)</f>
        <v>0</v>
      </c>
      <c r="AM86" s="9" t="n">
        <f aca="false">X86-AK86-AL86</f>
        <v>0</v>
      </c>
    </row>
    <row r="87" customFormat="false" ht="15" hidden="false" customHeight="false" outlineLevel="0" collapsed="false">
      <c r="A87" s="6" t="n">
        <v>82</v>
      </c>
      <c r="B87" s="74" t="s">
        <v>949</v>
      </c>
      <c r="C87" s="53" t="str">
        <f aca="false">INDEX(I_Items!$C$5:$C$133,MATCH($B87,I_Items!$A$5:$A$133,0))</f>
        <v>RPA</v>
      </c>
      <c r="D87" s="53" t="str">
        <f aca="false">INDEX(I_Items!$D$5:$D$133,MATCH($B87,I_Items!$A$5:$A$133,0))</f>
        <v>HJA (Hati/Jantung/Ampela)</v>
      </c>
      <c r="E87" s="53" t="str">
        <f aca="false">INDEX(I_Items!$F$5:$F$133,MATCH($B87,I_Items!$A$5:$A$133,0))</f>
        <v>Fresh</v>
      </c>
      <c r="F87" s="53" t="str">
        <f aca="false">IF(INDEX(I_Items!$E$5:$E$133,MATCH($B87,I_Items!$A$5:$A$133,0))="","",INDEX(I_Items!$E$5:$E$133,MATCH($B87,I_Items!$A$5:$A$133,0)))</f>
        <v/>
      </c>
      <c r="G87" s="76" t="n">
        <v>46263</v>
      </c>
      <c r="H87" s="23" t="n">
        <f aca="false">MONTH(G87)</f>
        <v>8</v>
      </c>
      <c r="I87" s="74" t="s">
        <v>2075</v>
      </c>
      <c r="J87" s="74" t="s">
        <v>2097</v>
      </c>
      <c r="K87" s="10" t="n">
        <v>0</v>
      </c>
      <c r="L87" s="8" t="n">
        <v>0</v>
      </c>
      <c r="M87" s="10" t="n">
        <v>255.4</v>
      </c>
      <c r="N87" s="8" t="n">
        <v>995181.88</v>
      </c>
      <c r="O87" s="74" t="s">
        <v>2077</v>
      </c>
      <c r="P87" s="74"/>
      <c r="Q87" s="74"/>
      <c r="R87" s="14" t="n">
        <f aca="false">IF(I87="Unbilled",0,M87)</f>
        <v>255.4</v>
      </c>
      <c r="S87" s="9" t="n">
        <f aca="false">IF(R87=0,0,IF(O87="Booked",N87,R87*V86))</f>
        <v>995181.889200899</v>
      </c>
      <c r="T87" s="14" t="n">
        <f aca="false">IF(I87="Opening",K87,T86+K87-R87)</f>
        <v>7710.8</v>
      </c>
      <c r="U87" s="9" t="n">
        <f aca="false">IF(I87="Opening",L87,U86+L87-S87)</f>
        <v>30045608.8929142</v>
      </c>
      <c r="V87" s="9" t="n">
        <f aca="false">IF(T87&gt;0,U87/T87,IF(I87="Opening",0,V86))</f>
        <v>3896.56182146006</v>
      </c>
      <c r="W87" s="14" t="n">
        <f aca="false">M87</f>
        <v>255.4</v>
      </c>
      <c r="X87" s="9" t="n">
        <f aca="false">IF(W87=0,0,IF(O87="Booked",N87,W87*AA86))</f>
        <v>995181.889200899</v>
      </c>
      <c r="Y87" s="14" t="n">
        <f aca="false">IF(I87="Opening",K87,Y86+K87-W87)</f>
        <v>7710.8</v>
      </c>
      <c r="Z87" s="9" t="n">
        <f aca="false">IF(I87="Opening",L87,Z86+L87-X87)</f>
        <v>30045608.8929142</v>
      </c>
      <c r="AA87" s="9" t="n">
        <f aca="false">IF(Y87&gt;0,Z87/Y87,IF(I87="Opening",0,AA86))</f>
        <v>3896.56182146006</v>
      </c>
      <c r="AB87" s="9" t="n">
        <f aca="false">IF(AND(I87="DO",O87="MA"),S87-N87,0)</f>
        <v>0.00920089869759977</v>
      </c>
      <c r="AC87" s="9" t="n">
        <f aca="false">IF(I87="DO",X87-S87,0)</f>
        <v>0</v>
      </c>
      <c r="AD87" s="23" t="n">
        <f aca="false">IF(B88&lt;&gt;B87,1,0)</f>
        <v>0</v>
      </c>
      <c r="AE87" s="14" t="n">
        <f aca="false">IF(I87="Opening",0,AE86+W87)</f>
        <v>4532.6</v>
      </c>
      <c r="AF87" s="14" t="n">
        <f aca="false">IF(I87="Opening",K87,AF86)</f>
        <v>4337.9</v>
      </c>
      <c r="AG87" s="14" t="n">
        <f aca="false">AG86</f>
        <v>1300</v>
      </c>
      <c r="AH87" s="14" t="n">
        <f aca="false">IF(W87=0,0,MAX(0,MIN(AE87,AF87)-MIN(AE87-W87,AF87)))</f>
        <v>60.6999999999998</v>
      </c>
      <c r="AI87" s="14" t="n">
        <f aca="false">IF(W87=0,0,MAX(0,MIN(AE87,AF87+AG87)-MAX(AE87-W87,AF87)))</f>
        <v>194.7</v>
      </c>
      <c r="AJ87" s="14" t="n">
        <f aca="false">W87-AH87-AI87</f>
        <v>0</v>
      </c>
      <c r="AK87" s="9" t="n">
        <f aca="false">IF(W87=0,0,X87*AH87/W87)</f>
        <v>236521.302562625</v>
      </c>
      <c r="AL87" s="9" t="n">
        <f aca="false">IF(W87=0,0,X87*AI87/W87)</f>
        <v>758660.586638273</v>
      </c>
      <c r="AM87" s="9" t="n">
        <f aca="false">X87-AK87-AL87</f>
        <v>0</v>
      </c>
    </row>
    <row r="88" customFormat="false" ht="15" hidden="false" customHeight="false" outlineLevel="0" collapsed="false">
      <c r="A88" s="6" t="n">
        <v>83</v>
      </c>
      <c r="B88" s="74" t="s">
        <v>949</v>
      </c>
      <c r="C88" s="53" t="str">
        <f aca="false">INDEX(I_Items!$C$5:$C$133,MATCH($B88,I_Items!$A$5:$A$133,0))</f>
        <v>RPA</v>
      </c>
      <c r="D88" s="53" t="str">
        <f aca="false">INDEX(I_Items!$D$5:$D$133,MATCH($B88,I_Items!$A$5:$A$133,0))</f>
        <v>HJA (Hati/Jantung/Ampela)</v>
      </c>
      <c r="E88" s="53" t="str">
        <f aca="false">INDEX(I_Items!$F$5:$F$133,MATCH($B88,I_Items!$A$5:$A$133,0))</f>
        <v>Fresh</v>
      </c>
      <c r="F88" s="53" t="str">
        <f aca="false">IF(INDEX(I_Items!$E$5:$E$133,MATCH($B88,I_Items!$A$5:$A$133,0))="","",INDEX(I_Items!$E$5:$E$133,MATCH($B88,I_Items!$A$5:$A$133,0)))</f>
        <v/>
      </c>
      <c r="G88" s="76" t="n">
        <v>46263</v>
      </c>
      <c r="H88" s="23" t="n">
        <f aca="false">MONTH(G88)</f>
        <v>8</v>
      </c>
      <c r="I88" s="74" t="s">
        <v>2075</v>
      </c>
      <c r="J88" s="74" t="s">
        <v>2098</v>
      </c>
      <c r="K88" s="10" t="n">
        <v>0</v>
      </c>
      <c r="L88" s="8" t="n">
        <v>0</v>
      </c>
      <c r="M88" s="10" t="n">
        <v>184.1</v>
      </c>
      <c r="N88" s="8" t="n">
        <v>717357.03</v>
      </c>
      <c r="O88" s="74" t="s">
        <v>2077</v>
      </c>
      <c r="P88" s="74"/>
      <c r="Q88" s="74"/>
      <c r="R88" s="14" t="n">
        <f aca="false">IF(I88="Unbilled",0,M88)</f>
        <v>184.1</v>
      </c>
      <c r="S88" s="9" t="n">
        <f aca="false">IF(R88=0,0,IF(O88="Booked",N88,R88*V87))</f>
        <v>717357.031330797</v>
      </c>
      <c r="T88" s="14" t="n">
        <f aca="false">IF(I88="Opening",K88,T87+K88-R88)</f>
        <v>7526.7</v>
      </c>
      <c r="U88" s="9" t="n">
        <f aca="false">IF(I88="Opening",L88,U87+L88-S88)</f>
        <v>29328251.8615834</v>
      </c>
      <c r="V88" s="9" t="n">
        <f aca="false">IF(T88&gt;0,U88/T88,IF(I88="Opening",0,V87))</f>
        <v>3896.56182146006</v>
      </c>
      <c r="W88" s="14" t="n">
        <f aca="false">M88</f>
        <v>184.1</v>
      </c>
      <c r="X88" s="9" t="n">
        <f aca="false">IF(W88=0,0,IF(O88="Booked",N88,W88*AA87))</f>
        <v>717357.031330797</v>
      </c>
      <c r="Y88" s="14" t="n">
        <f aca="false">IF(I88="Opening",K88,Y87+K88-W88)</f>
        <v>7526.7</v>
      </c>
      <c r="Z88" s="9" t="n">
        <f aca="false">IF(I88="Opening",L88,Z87+L88-X88)</f>
        <v>29328251.8615834</v>
      </c>
      <c r="AA88" s="9" t="n">
        <f aca="false">IF(Y88&gt;0,Z88/Y88,IF(I88="Opening",0,AA87))</f>
        <v>3896.56182146006</v>
      </c>
      <c r="AB88" s="9" t="n">
        <f aca="false">IF(AND(I88="DO",O88="MA"),S88-N88,0)</f>
        <v>0.00133079651277512</v>
      </c>
      <c r="AC88" s="9" t="n">
        <f aca="false">IF(I88="DO",X88-S88,0)</f>
        <v>0</v>
      </c>
      <c r="AD88" s="23" t="n">
        <f aca="false">IF(B89&lt;&gt;B88,1,0)</f>
        <v>0</v>
      </c>
      <c r="AE88" s="14" t="n">
        <f aca="false">IF(I88="Opening",0,AE87+W88)</f>
        <v>4716.7</v>
      </c>
      <c r="AF88" s="14" t="n">
        <f aca="false">IF(I88="Opening",K88,AF87)</f>
        <v>4337.9</v>
      </c>
      <c r="AG88" s="14" t="n">
        <f aca="false">AG87</f>
        <v>1300</v>
      </c>
      <c r="AH88" s="14" t="n">
        <f aca="false">IF(W88=0,0,MAX(0,MIN(AE88,AF88)-MIN(AE88-W88,AF88)))</f>
        <v>0</v>
      </c>
      <c r="AI88" s="14" t="n">
        <f aca="false">IF(W88=0,0,MAX(0,MIN(AE88,AF88+AG88)-MAX(AE88-W88,AF88)))</f>
        <v>184.1</v>
      </c>
      <c r="AJ88" s="14" t="n">
        <f aca="false">W88-AH88-AI88</f>
        <v>0</v>
      </c>
      <c r="AK88" s="9" t="n">
        <f aca="false">IF(W88=0,0,X88*AH88/W88)</f>
        <v>0</v>
      </c>
      <c r="AL88" s="9" t="n">
        <f aca="false">IF(W88=0,0,X88*AI88/W88)</f>
        <v>717357.031330798</v>
      </c>
      <c r="AM88" s="9" t="n">
        <f aca="false">X88-AK88-AL88</f>
        <v>0</v>
      </c>
    </row>
    <row r="89" customFormat="false" ht="15" hidden="false" customHeight="false" outlineLevel="0" collapsed="false">
      <c r="A89" s="6" t="n">
        <v>84</v>
      </c>
      <c r="B89" s="74" t="s">
        <v>949</v>
      </c>
      <c r="C89" s="53" t="str">
        <f aca="false">INDEX(I_Items!$C$5:$C$133,MATCH($B89,I_Items!$A$5:$A$133,0))</f>
        <v>RPA</v>
      </c>
      <c r="D89" s="53" t="str">
        <f aca="false">INDEX(I_Items!$D$5:$D$133,MATCH($B89,I_Items!$A$5:$A$133,0))</f>
        <v>HJA (Hati/Jantung/Ampela)</v>
      </c>
      <c r="E89" s="53" t="str">
        <f aca="false">INDEX(I_Items!$F$5:$F$133,MATCH($B89,I_Items!$A$5:$A$133,0))</f>
        <v>Fresh</v>
      </c>
      <c r="F89" s="53" t="str">
        <f aca="false">IF(INDEX(I_Items!$E$5:$E$133,MATCH($B89,I_Items!$A$5:$A$133,0))="","",INDEX(I_Items!$E$5:$E$133,MATCH($B89,I_Items!$A$5:$A$133,0)))</f>
        <v/>
      </c>
      <c r="G89" s="76" t="n">
        <v>46263</v>
      </c>
      <c r="H89" s="23" t="n">
        <f aca="false">MONTH(G89)</f>
        <v>8</v>
      </c>
      <c r="I89" s="74" t="s">
        <v>2075</v>
      </c>
      <c r="J89" s="74" t="s">
        <v>2099</v>
      </c>
      <c r="K89" s="10" t="n">
        <v>0</v>
      </c>
      <c r="L89" s="8" t="n">
        <v>0</v>
      </c>
      <c r="M89" s="10" t="n">
        <v>172.8</v>
      </c>
      <c r="N89" s="8" t="n">
        <v>673325.88</v>
      </c>
      <c r="O89" s="74" t="s">
        <v>2077</v>
      </c>
      <c r="P89" s="74"/>
      <c r="Q89" s="74"/>
      <c r="R89" s="14" t="n">
        <f aca="false">IF(I89="Unbilled",0,M89)</f>
        <v>172.8</v>
      </c>
      <c r="S89" s="9" t="n">
        <f aca="false">IF(R89=0,0,IF(O89="Booked",N89,R89*V88))</f>
        <v>673325.882748298</v>
      </c>
      <c r="T89" s="14" t="n">
        <f aca="false">IF(I89="Opening",K89,T88+K89-R89)</f>
        <v>7353.9</v>
      </c>
      <c r="U89" s="9" t="n">
        <f aca="false">IF(I89="Opening",L89,U88+L89-S89)</f>
        <v>28654925.9788351</v>
      </c>
      <c r="V89" s="9" t="n">
        <f aca="false">IF(T89&gt;0,U89/T89,IF(I89="Opening",0,V88))</f>
        <v>3896.56182146006</v>
      </c>
      <c r="W89" s="14" t="n">
        <f aca="false">M89</f>
        <v>172.8</v>
      </c>
      <c r="X89" s="9" t="n">
        <f aca="false">IF(W89=0,0,IF(O89="Booked",N89,W89*AA88))</f>
        <v>673325.882748298</v>
      </c>
      <c r="Y89" s="14" t="n">
        <f aca="false">IF(I89="Opening",K89,Y88+K89-W89)</f>
        <v>7353.9</v>
      </c>
      <c r="Z89" s="9" t="n">
        <f aca="false">IF(I89="Opening",L89,Z88+L89-X89)</f>
        <v>28654925.9788351</v>
      </c>
      <c r="AA89" s="9" t="n">
        <f aca="false">IF(Y89&gt;0,Z89/Y89,IF(I89="Opening",0,AA88))</f>
        <v>3896.56182146006</v>
      </c>
      <c r="AB89" s="9" t="n">
        <f aca="false">IF(AND(I89="DO",O89="MA"),S89-N89,0)</f>
        <v>0.00274829799309373</v>
      </c>
      <c r="AC89" s="9" t="n">
        <f aca="false">IF(I89="DO",X89-S89,0)</f>
        <v>0</v>
      </c>
      <c r="AD89" s="23" t="n">
        <f aca="false">IF(B90&lt;&gt;B89,1,0)</f>
        <v>0</v>
      </c>
      <c r="AE89" s="14" t="n">
        <f aca="false">IF(I89="Opening",0,AE88+W89)</f>
        <v>4889.5</v>
      </c>
      <c r="AF89" s="14" t="n">
        <f aca="false">IF(I89="Opening",K89,AF88)</f>
        <v>4337.9</v>
      </c>
      <c r="AG89" s="14" t="n">
        <f aca="false">AG88</f>
        <v>1300</v>
      </c>
      <c r="AH89" s="14" t="n">
        <f aca="false">IF(W89=0,0,MAX(0,MIN(AE89,AF89)-MIN(AE89-W89,AF89)))</f>
        <v>0</v>
      </c>
      <c r="AI89" s="14" t="n">
        <f aca="false">IF(W89=0,0,MAX(0,MIN(AE89,AF89+AG89)-MAX(AE89-W89,AF89)))</f>
        <v>172.8</v>
      </c>
      <c r="AJ89" s="14" t="n">
        <f aca="false">W89-AH89-AI89</f>
        <v>0</v>
      </c>
      <c r="AK89" s="9" t="n">
        <f aca="false">IF(W89=0,0,X89*AH89/W89)</f>
        <v>0</v>
      </c>
      <c r="AL89" s="9" t="n">
        <f aca="false">IF(W89=0,0,X89*AI89/W89)</f>
        <v>673325.882748299</v>
      </c>
      <c r="AM89" s="9" t="n">
        <f aca="false">X89-AK89-AL89</f>
        <v>0</v>
      </c>
    </row>
    <row r="90" customFormat="false" ht="15" hidden="false" customHeight="false" outlineLevel="0" collapsed="false">
      <c r="A90" s="6" t="n">
        <v>85</v>
      </c>
      <c r="B90" s="74" t="s">
        <v>949</v>
      </c>
      <c r="C90" s="53" t="str">
        <f aca="false">INDEX(I_Items!$C$5:$C$133,MATCH($B90,I_Items!$A$5:$A$133,0))</f>
        <v>RPA</v>
      </c>
      <c r="D90" s="53" t="str">
        <f aca="false">INDEX(I_Items!$D$5:$D$133,MATCH($B90,I_Items!$A$5:$A$133,0))</f>
        <v>HJA (Hati/Jantung/Ampela)</v>
      </c>
      <c r="E90" s="53" t="str">
        <f aca="false">INDEX(I_Items!$F$5:$F$133,MATCH($B90,I_Items!$A$5:$A$133,0))</f>
        <v>Fresh</v>
      </c>
      <c r="F90" s="53" t="str">
        <f aca="false">IF(INDEX(I_Items!$E$5:$E$133,MATCH($B90,I_Items!$A$5:$A$133,0))="","",INDEX(I_Items!$E$5:$E$133,MATCH($B90,I_Items!$A$5:$A$133,0)))</f>
        <v/>
      </c>
      <c r="G90" s="76" t="n">
        <v>46263</v>
      </c>
      <c r="H90" s="23" t="n">
        <f aca="false">MONTH(G90)</f>
        <v>8</v>
      </c>
      <c r="I90" s="74" t="s">
        <v>2075</v>
      </c>
      <c r="J90" s="74" t="s">
        <v>2100</v>
      </c>
      <c r="K90" s="10" t="n">
        <v>0</v>
      </c>
      <c r="L90" s="8" t="n">
        <v>0</v>
      </c>
      <c r="M90" s="10" t="n">
        <v>221.1</v>
      </c>
      <c r="N90" s="8" t="n">
        <v>861529.81</v>
      </c>
      <c r="O90" s="74" t="s">
        <v>2077</v>
      </c>
      <c r="P90" s="74"/>
      <c r="Q90" s="74"/>
      <c r="R90" s="14" t="n">
        <f aca="false">IF(I90="Unbilled",0,M90)</f>
        <v>221.1</v>
      </c>
      <c r="S90" s="9" t="n">
        <f aca="false">IF(R90=0,0,IF(O90="Booked",N90,R90*V89))</f>
        <v>861529.818724819</v>
      </c>
      <c r="T90" s="14" t="n">
        <f aca="false">IF(I90="Opening",K90,T89+K90-R90)</f>
        <v>7132.8</v>
      </c>
      <c r="U90" s="9" t="n">
        <f aca="false">IF(I90="Opening",L90,U89+L90-S90)</f>
        <v>27793396.1601103</v>
      </c>
      <c r="V90" s="9" t="n">
        <f aca="false">IF(T90&gt;0,U90/T90,IF(I90="Opening",0,V89))</f>
        <v>3896.56182146006</v>
      </c>
      <c r="W90" s="14" t="n">
        <f aca="false">M90</f>
        <v>221.1</v>
      </c>
      <c r="X90" s="9" t="n">
        <f aca="false">IF(W90=0,0,IF(O90="Booked",N90,W90*AA89))</f>
        <v>861529.818724819</v>
      </c>
      <c r="Y90" s="14" t="n">
        <f aca="false">IF(I90="Opening",K90,Y89+K90-W90)</f>
        <v>7132.8</v>
      </c>
      <c r="Z90" s="9" t="n">
        <f aca="false">IF(I90="Opening",L90,Z89+L90-X90)</f>
        <v>27793396.1601103</v>
      </c>
      <c r="AA90" s="9" t="n">
        <f aca="false">IF(Y90&gt;0,Z90/Y90,IF(I90="Opening",0,AA89))</f>
        <v>3896.56182146006</v>
      </c>
      <c r="AB90" s="9" t="n">
        <f aca="false">IF(AND(I90="DO",O90="MA"),S90-N90,0)</f>
        <v>0.00872481870464981</v>
      </c>
      <c r="AC90" s="9" t="n">
        <f aca="false">IF(I90="DO",X90-S90,0)</f>
        <v>0</v>
      </c>
      <c r="AD90" s="23" t="n">
        <f aca="false">IF(B91&lt;&gt;B90,1,0)</f>
        <v>0</v>
      </c>
      <c r="AE90" s="14" t="n">
        <f aca="false">IF(I90="Opening",0,AE89+W90)</f>
        <v>5110.6</v>
      </c>
      <c r="AF90" s="14" t="n">
        <f aca="false">IF(I90="Opening",K90,AF89)</f>
        <v>4337.9</v>
      </c>
      <c r="AG90" s="14" t="n">
        <f aca="false">AG89</f>
        <v>1300</v>
      </c>
      <c r="AH90" s="14" t="n">
        <f aca="false">IF(W90=0,0,MAX(0,MIN(AE90,AF90)-MIN(AE90-W90,AF90)))</f>
        <v>0</v>
      </c>
      <c r="AI90" s="14" t="n">
        <f aca="false">IF(W90=0,0,MAX(0,MIN(AE90,AF90+AG90)-MAX(AE90-W90,AF90)))</f>
        <v>221.1</v>
      </c>
      <c r="AJ90" s="14" t="n">
        <f aca="false">W90-AH90-AI90</f>
        <v>0</v>
      </c>
      <c r="AK90" s="9" t="n">
        <f aca="false">IF(W90=0,0,X90*AH90/W90)</f>
        <v>0</v>
      </c>
      <c r="AL90" s="9" t="n">
        <f aca="false">IF(W90=0,0,X90*AI90/W90)</f>
        <v>861529.81872482</v>
      </c>
      <c r="AM90" s="9" t="n">
        <f aca="false">X90-AK90-AL90</f>
        <v>0</v>
      </c>
    </row>
    <row r="91" customFormat="false" ht="15" hidden="false" customHeight="false" outlineLevel="0" collapsed="false">
      <c r="A91" s="6" t="n">
        <v>86</v>
      </c>
      <c r="B91" s="74" t="s">
        <v>949</v>
      </c>
      <c r="C91" s="53" t="str">
        <f aca="false">INDEX(I_Items!$C$5:$C$133,MATCH($B91,I_Items!$A$5:$A$133,0))</f>
        <v>RPA</v>
      </c>
      <c r="D91" s="53" t="str">
        <f aca="false">INDEX(I_Items!$D$5:$D$133,MATCH($B91,I_Items!$A$5:$A$133,0))</f>
        <v>HJA (Hati/Jantung/Ampela)</v>
      </c>
      <c r="E91" s="53" t="str">
        <f aca="false">INDEX(I_Items!$F$5:$F$133,MATCH($B91,I_Items!$A$5:$A$133,0))</f>
        <v>Fresh</v>
      </c>
      <c r="F91" s="53" t="str">
        <f aca="false">IF(INDEX(I_Items!$E$5:$E$133,MATCH($B91,I_Items!$A$5:$A$133,0))="","",INDEX(I_Items!$E$5:$E$133,MATCH($B91,I_Items!$A$5:$A$133,0)))</f>
        <v/>
      </c>
      <c r="G91" s="76" t="n">
        <v>46263</v>
      </c>
      <c r="H91" s="23" t="n">
        <f aca="false">MONTH(G91)</f>
        <v>8</v>
      </c>
      <c r="I91" s="74" t="s">
        <v>2075</v>
      </c>
      <c r="J91" s="74" t="s">
        <v>2101</v>
      </c>
      <c r="K91" s="10" t="n">
        <v>0</v>
      </c>
      <c r="L91" s="8" t="n">
        <v>0</v>
      </c>
      <c r="M91" s="10" t="n">
        <v>214.7</v>
      </c>
      <c r="N91" s="8" t="n">
        <v>836591.82</v>
      </c>
      <c r="O91" s="74" t="s">
        <v>2077</v>
      </c>
      <c r="P91" s="74"/>
      <c r="Q91" s="74"/>
      <c r="R91" s="14" t="n">
        <f aca="false">IF(I91="Unbilled",0,M91)</f>
        <v>214.7</v>
      </c>
      <c r="S91" s="9" t="n">
        <f aca="false">IF(R91=0,0,IF(O91="Booked",N91,R91*V90))</f>
        <v>836591.823067474</v>
      </c>
      <c r="T91" s="14" t="n">
        <f aca="false">IF(I91="Opening",K91,T90+K91-R91)</f>
        <v>6918.1</v>
      </c>
      <c r="U91" s="9" t="n">
        <f aca="false">IF(I91="Opening",L91,U90+L91-S91)</f>
        <v>26956804.3370428</v>
      </c>
      <c r="V91" s="9" t="n">
        <f aca="false">IF(T91&gt;0,U91/T91,IF(I91="Opening",0,V90))</f>
        <v>3896.56182146006</v>
      </c>
      <c r="W91" s="14" t="n">
        <f aca="false">M91</f>
        <v>214.7</v>
      </c>
      <c r="X91" s="9" t="n">
        <f aca="false">IF(W91=0,0,IF(O91="Booked",N91,W91*AA90))</f>
        <v>836591.823067474</v>
      </c>
      <c r="Y91" s="14" t="n">
        <f aca="false">IF(I91="Opening",K91,Y90+K91-W91)</f>
        <v>6918.1</v>
      </c>
      <c r="Z91" s="9" t="n">
        <f aca="false">IF(I91="Opening",L91,Z90+L91-X91)</f>
        <v>26956804.3370428</v>
      </c>
      <c r="AA91" s="9" t="n">
        <f aca="false">IF(Y91&gt;0,Z91/Y91,IF(I91="Opening",0,AA90))</f>
        <v>3896.56182146006</v>
      </c>
      <c r="AB91" s="9" t="n">
        <f aca="false">IF(AND(I91="DO",O91="MA"),S91-N91,0)</f>
        <v>0.00306747434660792</v>
      </c>
      <c r="AC91" s="9" t="n">
        <f aca="false">IF(I91="DO",X91-S91,0)</f>
        <v>0</v>
      </c>
      <c r="AD91" s="23" t="n">
        <f aca="false">IF(B92&lt;&gt;B91,1,0)</f>
        <v>0</v>
      </c>
      <c r="AE91" s="14" t="n">
        <f aca="false">IF(I91="Opening",0,AE90+W91)</f>
        <v>5325.3</v>
      </c>
      <c r="AF91" s="14" t="n">
        <f aca="false">IF(I91="Opening",K91,AF90)</f>
        <v>4337.9</v>
      </c>
      <c r="AG91" s="14" t="n">
        <f aca="false">AG90</f>
        <v>1300</v>
      </c>
      <c r="AH91" s="14" t="n">
        <f aca="false">IF(W91=0,0,MAX(0,MIN(AE91,AF91)-MIN(AE91-W91,AF91)))</f>
        <v>0</v>
      </c>
      <c r="AI91" s="14" t="n">
        <f aca="false">IF(W91=0,0,MAX(0,MIN(AE91,AF91+AG91)-MAX(AE91-W91,AF91)))</f>
        <v>214.7</v>
      </c>
      <c r="AJ91" s="14" t="n">
        <f aca="false">W91-AH91-AI91</f>
        <v>0</v>
      </c>
      <c r="AK91" s="9" t="n">
        <f aca="false">IF(W91=0,0,X91*AH91/W91)</f>
        <v>0</v>
      </c>
      <c r="AL91" s="9" t="n">
        <f aca="false">IF(W91=0,0,X91*AI91/W91)</f>
        <v>836591.823067474</v>
      </c>
      <c r="AM91" s="9" t="n">
        <f aca="false">X91-AK91-AL91</f>
        <v>0</v>
      </c>
    </row>
    <row r="92" customFormat="false" ht="15" hidden="false" customHeight="false" outlineLevel="0" collapsed="false">
      <c r="A92" s="6" t="n">
        <v>87</v>
      </c>
      <c r="B92" s="74" t="s">
        <v>949</v>
      </c>
      <c r="C92" s="53" t="str">
        <f aca="false">INDEX(I_Items!$C$5:$C$133,MATCH($B92,I_Items!$A$5:$A$133,0))</f>
        <v>RPA</v>
      </c>
      <c r="D92" s="53" t="str">
        <f aca="false">INDEX(I_Items!$D$5:$D$133,MATCH($B92,I_Items!$A$5:$A$133,0))</f>
        <v>HJA (Hati/Jantung/Ampela)</v>
      </c>
      <c r="E92" s="53" t="str">
        <f aca="false">INDEX(I_Items!$F$5:$F$133,MATCH($B92,I_Items!$A$5:$A$133,0))</f>
        <v>Fresh</v>
      </c>
      <c r="F92" s="53" t="str">
        <f aca="false">IF(INDEX(I_Items!$E$5:$E$133,MATCH($B92,I_Items!$A$5:$A$133,0))="","",INDEX(I_Items!$E$5:$E$133,MATCH($B92,I_Items!$A$5:$A$133,0)))</f>
        <v/>
      </c>
      <c r="G92" s="76" t="n">
        <v>46263</v>
      </c>
      <c r="H92" s="23" t="n">
        <f aca="false">MONTH(G92)</f>
        <v>8</v>
      </c>
      <c r="I92" s="74" t="s">
        <v>2075</v>
      </c>
      <c r="J92" s="74" t="s">
        <v>2102</v>
      </c>
      <c r="K92" s="10" t="n">
        <v>0</v>
      </c>
      <c r="L92" s="8" t="n">
        <v>0</v>
      </c>
      <c r="M92" s="10" t="n">
        <v>170.4</v>
      </c>
      <c r="N92" s="8" t="n">
        <v>663974.13</v>
      </c>
      <c r="O92" s="74" t="s">
        <v>2077</v>
      </c>
      <c r="P92" s="74"/>
      <c r="Q92" s="74"/>
      <c r="R92" s="14" t="n">
        <f aca="false">IF(I92="Unbilled",0,M92)</f>
        <v>170.4</v>
      </c>
      <c r="S92" s="9" t="n">
        <f aca="false">IF(R92=0,0,IF(O92="Booked",N92,R92*V91))</f>
        <v>663974.134376794</v>
      </c>
      <c r="T92" s="14" t="n">
        <f aca="false">IF(I92="Opening",K92,T91+K92-R92)</f>
        <v>6747.7</v>
      </c>
      <c r="U92" s="9" t="n">
        <f aca="false">IF(I92="Opening",L92,U91+L92-S92)</f>
        <v>26292830.202666</v>
      </c>
      <c r="V92" s="9" t="n">
        <f aca="false">IF(T92&gt;0,U92/T92,IF(I92="Opening",0,V91))</f>
        <v>3896.56182146006</v>
      </c>
      <c r="W92" s="14" t="n">
        <f aca="false">M92</f>
        <v>170.4</v>
      </c>
      <c r="X92" s="9" t="n">
        <f aca="false">IF(W92=0,0,IF(O92="Booked",N92,W92*AA91))</f>
        <v>663974.134376794</v>
      </c>
      <c r="Y92" s="14" t="n">
        <f aca="false">IF(I92="Opening",K92,Y91+K92-W92)</f>
        <v>6747.7</v>
      </c>
      <c r="Z92" s="9" t="n">
        <f aca="false">IF(I92="Opening",L92,Z91+L92-X92)</f>
        <v>26292830.202666</v>
      </c>
      <c r="AA92" s="9" t="n">
        <f aca="false">IF(Y92&gt;0,Z92/Y92,IF(I92="Opening",0,AA91))</f>
        <v>3896.56182146006</v>
      </c>
      <c r="AB92" s="9" t="n">
        <f aca="false">IF(AND(I92="DO",O92="MA"),S92-N92,0)</f>
        <v>0.00437679386232048</v>
      </c>
      <c r="AC92" s="9" t="n">
        <f aca="false">IF(I92="DO",X92-S92,0)</f>
        <v>0</v>
      </c>
      <c r="AD92" s="23" t="n">
        <f aca="false">IF(B93&lt;&gt;B92,1,0)</f>
        <v>0</v>
      </c>
      <c r="AE92" s="14" t="n">
        <f aca="false">IF(I92="Opening",0,AE91+W92)</f>
        <v>5495.7</v>
      </c>
      <c r="AF92" s="14" t="n">
        <f aca="false">IF(I92="Opening",K92,AF91)</f>
        <v>4337.9</v>
      </c>
      <c r="AG92" s="14" t="n">
        <f aca="false">AG91</f>
        <v>1300</v>
      </c>
      <c r="AH92" s="14" t="n">
        <f aca="false">IF(W92=0,0,MAX(0,MIN(AE92,AF92)-MIN(AE92-W92,AF92)))</f>
        <v>0</v>
      </c>
      <c r="AI92" s="14" t="n">
        <f aca="false">IF(W92=0,0,MAX(0,MIN(AE92,AF92+AG92)-MAX(AE92-W92,AF92)))</f>
        <v>170.4</v>
      </c>
      <c r="AJ92" s="14" t="n">
        <f aca="false">W92-AH92-AI92</f>
        <v>0</v>
      </c>
      <c r="AK92" s="9" t="n">
        <f aca="false">IF(W92=0,0,X92*AH92/W92)</f>
        <v>0</v>
      </c>
      <c r="AL92" s="9" t="n">
        <f aca="false">IF(W92=0,0,X92*AI92/W92)</f>
        <v>663974.134376793</v>
      </c>
      <c r="AM92" s="9" t="n">
        <f aca="false">X92-AK92-AL92</f>
        <v>0</v>
      </c>
    </row>
    <row r="93" customFormat="false" ht="15" hidden="false" customHeight="false" outlineLevel="0" collapsed="false">
      <c r="A93" s="6" t="n">
        <v>88</v>
      </c>
      <c r="B93" s="74" t="s">
        <v>949</v>
      </c>
      <c r="C93" s="53" t="str">
        <f aca="false">INDEX(I_Items!$C$5:$C$133,MATCH($B93,I_Items!$A$5:$A$133,0))</f>
        <v>RPA</v>
      </c>
      <c r="D93" s="53" t="str">
        <f aca="false">INDEX(I_Items!$D$5:$D$133,MATCH($B93,I_Items!$A$5:$A$133,0))</f>
        <v>HJA (Hati/Jantung/Ampela)</v>
      </c>
      <c r="E93" s="53" t="str">
        <f aca="false">INDEX(I_Items!$F$5:$F$133,MATCH($B93,I_Items!$A$5:$A$133,0))</f>
        <v>Fresh</v>
      </c>
      <c r="F93" s="53" t="str">
        <f aca="false">IF(INDEX(I_Items!$E$5:$E$133,MATCH($B93,I_Items!$A$5:$A$133,0))="","",INDEX(I_Items!$E$5:$E$133,MATCH($B93,I_Items!$A$5:$A$133,0)))</f>
        <v/>
      </c>
      <c r="G93" s="76" t="n">
        <v>46263</v>
      </c>
      <c r="H93" s="23" t="n">
        <f aca="false">MONTH(G93)</f>
        <v>8</v>
      </c>
      <c r="I93" s="74" t="s">
        <v>2075</v>
      </c>
      <c r="J93" s="74" t="s">
        <v>2103</v>
      </c>
      <c r="K93" s="10" t="n">
        <v>0</v>
      </c>
      <c r="L93" s="8" t="n">
        <v>0</v>
      </c>
      <c r="M93" s="10" t="n">
        <v>205.4</v>
      </c>
      <c r="N93" s="8" t="n">
        <v>800353.79</v>
      </c>
      <c r="O93" s="74" t="s">
        <v>2077</v>
      </c>
      <c r="P93" s="74"/>
      <c r="Q93" s="74"/>
      <c r="R93" s="14" t="n">
        <f aca="false">IF(I93="Unbilled",0,M93)</f>
        <v>205.4</v>
      </c>
      <c r="S93" s="9" t="n">
        <f aca="false">IF(R93=0,0,IF(O93="Booked",N93,R93*V92))</f>
        <v>800353.798127896</v>
      </c>
      <c r="T93" s="14" t="n">
        <f aca="false">IF(I93="Opening",K93,T92+K93-R93)</f>
        <v>6542.3</v>
      </c>
      <c r="U93" s="9" t="n">
        <f aca="false">IF(I93="Opening",L93,U92+L93-S93)</f>
        <v>25492476.4045381</v>
      </c>
      <c r="V93" s="9" t="n">
        <f aca="false">IF(T93&gt;0,U93/T93,IF(I93="Opening",0,V92))</f>
        <v>3896.56182146006</v>
      </c>
      <c r="W93" s="14" t="n">
        <f aca="false">M93</f>
        <v>205.4</v>
      </c>
      <c r="X93" s="9" t="n">
        <f aca="false">IF(W93=0,0,IF(O93="Booked",N93,W93*AA92))</f>
        <v>800353.798127896</v>
      </c>
      <c r="Y93" s="14" t="n">
        <f aca="false">IF(I93="Opening",K93,Y92+K93-W93)</f>
        <v>6542.3</v>
      </c>
      <c r="Z93" s="9" t="n">
        <f aca="false">IF(I93="Opening",L93,Z92+L93-X93)</f>
        <v>25492476.4045381</v>
      </c>
      <c r="AA93" s="9" t="n">
        <f aca="false">IF(Y93&gt;0,Z93/Y93,IF(I93="Opening",0,AA92))</f>
        <v>3896.56182146006</v>
      </c>
      <c r="AB93" s="9" t="n">
        <f aca="false">IF(AND(I93="DO",O93="MA"),S93-N93,0)</f>
        <v>0.00812789576593787</v>
      </c>
      <c r="AC93" s="9" t="n">
        <f aca="false">IF(I93="DO",X93-S93,0)</f>
        <v>0</v>
      </c>
      <c r="AD93" s="23" t="n">
        <f aca="false">IF(B94&lt;&gt;B93,1,0)</f>
        <v>0</v>
      </c>
      <c r="AE93" s="14" t="n">
        <f aca="false">IF(I93="Opening",0,AE92+W93)</f>
        <v>5701.1</v>
      </c>
      <c r="AF93" s="14" t="n">
        <f aca="false">IF(I93="Opening",K93,AF92)</f>
        <v>4337.9</v>
      </c>
      <c r="AG93" s="14" t="n">
        <f aca="false">AG92</f>
        <v>1300</v>
      </c>
      <c r="AH93" s="14" t="n">
        <f aca="false">IF(W93=0,0,MAX(0,MIN(AE93,AF93)-MIN(AE93-W93,AF93)))</f>
        <v>0</v>
      </c>
      <c r="AI93" s="14" t="n">
        <f aca="false">IF(W93=0,0,MAX(0,MIN(AE93,AF93+AG93)-MAX(AE93-W93,AF93)))</f>
        <v>142.2</v>
      </c>
      <c r="AJ93" s="14" t="n">
        <f aca="false">W93-AH93-AI93</f>
        <v>63.2000000000002</v>
      </c>
      <c r="AK93" s="9" t="n">
        <f aca="false">IF(W93=0,0,X93*AH93/W93)</f>
        <v>0</v>
      </c>
      <c r="AL93" s="9" t="n">
        <f aca="false">IF(W93=0,0,X93*AI93/W93)</f>
        <v>554091.091011619</v>
      </c>
      <c r="AM93" s="9" t="n">
        <f aca="false">X93-AK93-AL93</f>
        <v>246262.707116276</v>
      </c>
    </row>
    <row r="94" customFormat="false" ht="15" hidden="false" customHeight="false" outlineLevel="0" collapsed="false">
      <c r="A94" s="6" t="n">
        <v>89</v>
      </c>
      <c r="B94" s="74" t="s">
        <v>949</v>
      </c>
      <c r="C94" s="53" t="str">
        <f aca="false">INDEX(I_Items!$C$5:$C$133,MATCH($B94,I_Items!$A$5:$A$133,0))</f>
        <v>RPA</v>
      </c>
      <c r="D94" s="53" t="str">
        <f aca="false">INDEX(I_Items!$D$5:$D$133,MATCH($B94,I_Items!$A$5:$A$133,0))</f>
        <v>HJA (Hati/Jantung/Ampela)</v>
      </c>
      <c r="E94" s="53" t="str">
        <f aca="false">INDEX(I_Items!$F$5:$F$133,MATCH($B94,I_Items!$A$5:$A$133,0))</f>
        <v>Fresh</v>
      </c>
      <c r="F94" s="53" t="str">
        <f aca="false">IF(INDEX(I_Items!$E$5:$E$133,MATCH($B94,I_Items!$A$5:$A$133,0))="","",INDEX(I_Items!$E$5:$E$133,MATCH($B94,I_Items!$A$5:$A$133,0)))</f>
        <v/>
      </c>
      <c r="G94" s="76" t="n">
        <v>46263</v>
      </c>
      <c r="H94" s="23" t="n">
        <f aca="false">MONTH(G94)</f>
        <v>8</v>
      </c>
      <c r="I94" s="74" t="s">
        <v>2075</v>
      </c>
      <c r="J94" s="74" t="s">
        <v>2104</v>
      </c>
      <c r="K94" s="10" t="n">
        <v>0</v>
      </c>
      <c r="L94" s="8" t="n">
        <v>0</v>
      </c>
      <c r="M94" s="10" t="n">
        <v>184.9</v>
      </c>
      <c r="N94" s="8" t="n">
        <v>720474.28</v>
      </c>
      <c r="O94" s="74" t="s">
        <v>2077</v>
      </c>
      <c r="P94" s="74"/>
      <c r="Q94" s="74"/>
      <c r="R94" s="14" t="n">
        <f aca="false">IF(I94="Unbilled",0,M94)</f>
        <v>184.9</v>
      </c>
      <c r="S94" s="9" t="n">
        <f aca="false">IF(R94=0,0,IF(O94="Booked",N94,R94*V93))</f>
        <v>720474.280787965</v>
      </c>
      <c r="T94" s="14" t="n">
        <f aca="false">IF(I94="Opening",K94,T93+K94-R94)</f>
        <v>6357.4</v>
      </c>
      <c r="U94" s="9" t="n">
        <f aca="false">IF(I94="Opening",L94,U93+L94-S94)</f>
        <v>24772002.1237502</v>
      </c>
      <c r="V94" s="9" t="n">
        <f aca="false">IF(T94&gt;0,U94/T94,IF(I94="Opening",0,V93))</f>
        <v>3896.56182146006</v>
      </c>
      <c r="W94" s="14" t="n">
        <f aca="false">M94</f>
        <v>184.9</v>
      </c>
      <c r="X94" s="9" t="n">
        <f aca="false">IF(W94=0,0,IF(O94="Booked",N94,W94*AA93))</f>
        <v>720474.280787965</v>
      </c>
      <c r="Y94" s="14" t="n">
        <f aca="false">IF(I94="Opening",K94,Y93+K94-W94)</f>
        <v>6357.4</v>
      </c>
      <c r="Z94" s="9" t="n">
        <f aca="false">IF(I94="Opening",L94,Z93+L94-X94)</f>
        <v>24772002.1237502</v>
      </c>
      <c r="AA94" s="9" t="n">
        <f aca="false">IF(Y94&gt;0,Z94/Y94,IF(I94="Opening",0,AA93))</f>
        <v>3896.56182146006</v>
      </c>
      <c r="AB94" s="9" t="n">
        <f aca="false">IF(AND(I94="DO",O94="MA"),S94-N94,0)</f>
        <v>0.000787964556366205</v>
      </c>
      <c r="AC94" s="9" t="n">
        <f aca="false">IF(I94="DO",X94-S94,0)</f>
        <v>0</v>
      </c>
      <c r="AD94" s="23" t="n">
        <f aca="false">IF(B95&lt;&gt;B94,1,0)</f>
        <v>0</v>
      </c>
      <c r="AE94" s="14" t="n">
        <f aca="false">IF(I94="Opening",0,AE93+W94)</f>
        <v>5886</v>
      </c>
      <c r="AF94" s="14" t="n">
        <f aca="false">IF(I94="Opening",K94,AF93)</f>
        <v>4337.9</v>
      </c>
      <c r="AG94" s="14" t="n">
        <f aca="false">AG93</f>
        <v>1300</v>
      </c>
      <c r="AH94" s="14" t="n">
        <f aca="false">IF(W94=0,0,MAX(0,MIN(AE94,AF94)-MIN(AE94-W94,AF94)))</f>
        <v>0</v>
      </c>
      <c r="AI94" s="14" t="n">
        <f aca="false">IF(W94=0,0,MAX(0,MIN(AE94,AF94+AG94)-MAX(AE94-W94,AF94)))</f>
        <v>0</v>
      </c>
      <c r="AJ94" s="14" t="n">
        <f aca="false">W94-AH94-AI94</f>
        <v>184.9</v>
      </c>
      <c r="AK94" s="9" t="n">
        <f aca="false">IF(W94=0,0,X94*AH94/W94)</f>
        <v>0</v>
      </c>
      <c r="AL94" s="9" t="n">
        <f aca="false">IF(W94=0,0,X94*AI94/W94)</f>
        <v>0</v>
      </c>
      <c r="AM94" s="9" t="n">
        <f aca="false">X94-AK94-AL94</f>
        <v>720474.280787965</v>
      </c>
    </row>
    <row r="95" customFormat="false" ht="15" hidden="false" customHeight="false" outlineLevel="0" collapsed="false">
      <c r="A95" s="6" t="n">
        <v>90</v>
      </c>
      <c r="B95" s="74" t="s">
        <v>949</v>
      </c>
      <c r="C95" s="53" t="str">
        <f aca="false">INDEX(I_Items!$C$5:$C$133,MATCH($B95,I_Items!$A$5:$A$133,0))</f>
        <v>RPA</v>
      </c>
      <c r="D95" s="53" t="str">
        <f aca="false">INDEX(I_Items!$D$5:$D$133,MATCH($B95,I_Items!$A$5:$A$133,0))</f>
        <v>HJA (Hati/Jantung/Ampela)</v>
      </c>
      <c r="E95" s="53" t="str">
        <f aca="false">INDEX(I_Items!$F$5:$F$133,MATCH($B95,I_Items!$A$5:$A$133,0))</f>
        <v>Fresh</v>
      </c>
      <c r="F95" s="53" t="str">
        <f aca="false">IF(INDEX(I_Items!$E$5:$E$133,MATCH($B95,I_Items!$A$5:$A$133,0))="","",INDEX(I_Items!$E$5:$E$133,MATCH($B95,I_Items!$A$5:$A$133,0)))</f>
        <v/>
      </c>
      <c r="G95" s="76" t="n">
        <v>46263</v>
      </c>
      <c r="H95" s="23" t="n">
        <f aca="false">MONTH(G95)</f>
        <v>8</v>
      </c>
      <c r="I95" s="74" t="s">
        <v>2075</v>
      </c>
      <c r="J95" s="74" t="s">
        <v>2105</v>
      </c>
      <c r="K95" s="10" t="n">
        <v>0</v>
      </c>
      <c r="L95" s="8" t="n">
        <v>0</v>
      </c>
      <c r="M95" s="10" t="n">
        <v>195.6</v>
      </c>
      <c r="N95" s="8" t="n">
        <v>762167.49</v>
      </c>
      <c r="O95" s="74" t="s">
        <v>2077</v>
      </c>
      <c r="P95" s="74"/>
      <c r="Q95" s="74"/>
      <c r="R95" s="14" t="n">
        <f aca="false">IF(I95="Unbilled",0,M95)</f>
        <v>195.6</v>
      </c>
      <c r="S95" s="9" t="n">
        <f aca="false">IF(R95=0,0,IF(O95="Booked",N95,R95*V94))</f>
        <v>762167.492277587</v>
      </c>
      <c r="T95" s="14" t="n">
        <f aca="false">IF(I95="Opening",K95,T94+K95-R95)</f>
        <v>6161.8</v>
      </c>
      <c r="U95" s="9" t="n">
        <f aca="false">IF(I95="Opening",L95,U94+L95-S95)</f>
        <v>24009834.6314726</v>
      </c>
      <c r="V95" s="9" t="n">
        <f aca="false">IF(T95&gt;0,U95/T95,IF(I95="Opening",0,V94))</f>
        <v>3896.56182146006</v>
      </c>
      <c r="W95" s="14" t="n">
        <f aca="false">M95</f>
        <v>195.6</v>
      </c>
      <c r="X95" s="9" t="n">
        <f aca="false">IF(W95=0,0,IF(O95="Booked",N95,W95*AA94))</f>
        <v>762167.492277587</v>
      </c>
      <c r="Y95" s="14" t="n">
        <f aca="false">IF(I95="Opening",K95,Y94+K95-W95)</f>
        <v>6161.8</v>
      </c>
      <c r="Z95" s="9" t="n">
        <f aca="false">IF(I95="Opening",L95,Z94+L95-X95)</f>
        <v>24009834.6314726</v>
      </c>
      <c r="AA95" s="9" t="n">
        <f aca="false">IF(Y95&gt;0,Z95/Y95,IF(I95="Opening",0,AA94))</f>
        <v>3896.56182146006</v>
      </c>
      <c r="AB95" s="9" t="n">
        <f aca="false">IF(AND(I95="DO",O95="MA"),S95-N95,0)</f>
        <v>0.00227758707478642</v>
      </c>
      <c r="AC95" s="9" t="n">
        <f aca="false">IF(I95="DO",X95-S95,0)</f>
        <v>0</v>
      </c>
      <c r="AD95" s="23" t="n">
        <f aca="false">IF(B96&lt;&gt;B95,1,0)</f>
        <v>0</v>
      </c>
      <c r="AE95" s="14" t="n">
        <f aca="false">IF(I95="Opening",0,AE94+W95)</f>
        <v>6081.6</v>
      </c>
      <c r="AF95" s="14" t="n">
        <f aca="false">IF(I95="Opening",K95,AF94)</f>
        <v>4337.9</v>
      </c>
      <c r="AG95" s="14" t="n">
        <f aca="false">AG94</f>
        <v>1300</v>
      </c>
      <c r="AH95" s="14" t="n">
        <f aca="false">IF(W95=0,0,MAX(0,MIN(AE95,AF95)-MIN(AE95-W95,AF95)))</f>
        <v>0</v>
      </c>
      <c r="AI95" s="14" t="n">
        <f aca="false">IF(W95=0,0,MAX(0,MIN(AE95,AF95+AG95)-MAX(AE95-W95,AF95)))</f>
        <v>0</v>
      </c>
      <c r="AJ95" s="14" t="n">
        <f aca="false">W95-AH95-AI95</f>
        <v>195.6</v>
      </c>
      <c r="AK95" s="9" t="n">
        <f aca="false">IF(W95=0,0,X95*AH95/W95)</f>
        <v>0</v>
      </c>
      <c r="AL95" s="9" t="n">
        <f aca="false">IF(W95=0,0,X95*AI95/W95)</f>
        <v>0</v>
      </c>
      <c r="AM95" s="9" t="n">
        <f aca="false">X95-AK95-AL95</f>
        <v>762167.492277587</v>
      </c>
    </row>
    <row r="96" customFormat="false" ht="15" hidden="false" customHeight="false" outlineLevel="0" collapsed="false">
      <c r="A96" s="6" t="n">
        <v>91</v>
      </c>
      <c r="B96" s="74" t="s">
        <v>949</v>
      </c>
      <c r="C96" s="53" t="str">
        <f aca="false">INDEX(I_Items!$C$5:$C$133,MATCH($B96,I_Items!$A$5:$A$133,0))</f>
        <v>RPA</v>
      </c>
      <c r="D96" s="53" t="str">
        <f aca="false">INDEX(I_Items!$D$5:$D$133,MATCH($B96,I_Items!$A$5:$A$133,0))</f>
        <v>HJA (Hati/Jantung/Ampela)</v>
      </c>
      <c r="E96" s="53" t="str">
        <f aca="false">INDEX(I_Items!$F$5:$F$133,MATCH($B96,I_Items!$A$5:$A$133,0))</f>
        <v>Fresh</v>
      </c>
      <c r="F96" s="53" t="str">
        <f aca="false">IF(INDEX(I_Items!$E$5:$E$133,MATCH($B96,I_Items!$A$5:$A$133,0))="","",INDEX(I_Items!$E$5:$E$133,MATCH($B96,I_Items!$A$5:$A$133,0)))</f>
        <v/>
      </c>
      <c r="G96" s="76" t="n">
        <v>46263</v>
      </c>
      <c r="H96" s="23" t="n">
        <f aca="false">MONTH(G96)</f>
        <v>8</v>
      </c>
      <c r="I96" s="74" t="s">
        <v>2075</v>
      </c>
      <c r="J96" s="74" t="s">
        <v>2106</v>
      </c>
      <c r="K96" s="10" t="n">
        <v>0</v>
      </c>
      <c r="L96" s="8" t="n">
        <v>0</v>
      </c>
      <c r="M96" s="10" t="n">
        <v>215</v>
      </c>
      <c r="N96" s="8" t="n">
        <v>837760.79</v>
      </c>
      <c r="O96" s="74" t="s">
        <v>2077</v>
      </c>
      <c r="P96" s="74"/>
      <c r="Q96" s="74"/>
      <c r="R96" s="14" t="n">
        <f aca="false">IF(I96="Unbilled",0,M96)</f>
        <v>215</v>
      </c>
      <c r="S96" s="9" t="n">
        <f aca="false">IF(R96=0,0,IF(O96="Booked",N96,R96*V95))</f>
        <v>837760.791613912</v>
      </c>
      <c r="T96" s="14" t="n">
        <f aca="false">IF(I96="Opening",K96,T95+K96-R96)</f>
        <v>5946.8</v>
      </c>
      <c r="U96" s="9" t="n">
        <f aca="false">IF(I96="Opening",L96,U95+L96-S96)</f>
        <v>23172073.8398587</v>
      </c>
      <c r="V96" s="9" t="n">
        <f aca="false">IF(T96&gt;0,U96/T96,IF(I96="Opening",0,V95))</f>
        <v>3896.56182146006</v>
      </c>
      <c r="W96" s="14" t="n">
        <f aca="false">M96</f>
        <v>215</v>
      </c>
      <c r="X96" s="9" t="n">
        <f aca="false">IF(W96=0,0,IF(O96="Booked",N96,W96*AA95))</f>
        <v>837760.791613912</v>
      </c>
      <c r="Y96" s="14" t="n">
        <f aca="false">IF(I96="Opening",K96,Y95+K96-W96)</f>
        <v>5946.8</v>
      </c>
      <c r="Z96" s="9" t="n">
        <f aca="false">IF(I96="Opening",L96,Z95+L96-X96)</f>
        <v>23172073.8398587</v>
      </c>
      <c r="AA96" s="9" t="n">
        <f aca="false">IF(Y96&gt;0,Z96/Y96,IF(I96="Opening",0,AA95))</f>
        <v>3896.56182146006</v>
      </c>
      <c r="AB96" s="9" t="n">
        <f aca="false">IF(AND(I96="DO",O96="MA"),S96-N96,0)</f>
        <v>0.00161391217261553</v>
      </c>
      <c r="AC96" s="9" t="n">
        <f aca="false">IF(I96="DO",X96-S96,0)</f>
        <v>0</v>
      </c>
      <c r="AD96" s="23" t="n">
        <f aca="false">IF(B97&lt;&gt;B96,1,0)</f>
        <v>0</v>
      </c>
      <c r="AE96" s="14" t="n">
        <f aca="false">IF(I96="Opening",0,AE95+W96)</f>
        <v>6296.6</v>
      </c>
      <c r="AF96" s="14" t="n">
        <f aca="false">IF(I96="Opening",K96,AF95)</f>
        <v>4337.9</v>
      </c>
      <c r="AG96" s="14" t="n">
        <f aca="false">AG95</f>
        <v>1300</v>
      </c>
      <c r="AH96" s="14" t="n">
        <f aca="false">IF(W96=0,0,MAX(0,MIN(AE96,AF96)-MIN(AE96-W96,AF96)))</f>
        <v>0</v>
      </c>
      <c r="AI96" s="14" t="n">
        <f aca="false">IF(W96=0,0,MAX(0,MIN(AE96,AF96+AG96)-MAX(AE96-W96,AF96)))</f>
        <v>0</v>
      </c>
      <c r="AJ96" s="14" t="n">
        <f aca="false">W96-AH96-AI96</f>
        <v>215</v>
      </c>
      <c r="AK96" s="9" t="n">
        <f aca="false">IF(W96=0,0,X96*AH96/W96)</f>
        <v>0</v>
      </c>
      <c r="AL96" s="9" t="n">
        <f aca="false">IF(W96=0,0,X96*AI96/W96)</f>
        <v>0</v>
      </c>
      <c r="AM96" s="9" t="n">
        <f aca="false">X96-AK96-AL96</f>
        <v>837760.791613912</v>
      </c>
    </row>
    <row r="97" customFormat="false" ht="15" hidden="false" customHeight="false" outlineLevel="0" collapsed="false">
      <c r="A97" s="6" t="n">
        <v>92</v>
      </c>
      <c r="B97" s="74" t="s">
        <v>949</v>
      </c>
      <c r="C97" s="53" t="str">
        <f aca="false">INDEX(I_Items!$C$5:$C$133,MATCH($B97,I_Items!$A$5:$A$133,0))</f>
        <v>RPA</v>
      </c>
      <c r="D97" s="53" t="str">
        <f aca="false">INDEX(I_Items!$D$5:$D$133,MATCH($B97,I_Items!$A$5:$A$133,0))</f>
        <v>HJA (Hati/Jantung/Ampela)</v>
      </c>
      <c r="E97" s="53" t="str">
        <f aca="false">INDEX(I_Items!$F$5:$F$133,MATCH($B97,I_Items!$A$5:$A$133,0))</f>
        <v>Fresh</v>
      </c>
      <c r="F97" s="53" t="str">
        <f aca="false">IF(INDEX(I_Items!$E$5:$E$133,MATCH($B97,I_Items!$A$5:$A$133,0))="","",INDEX(I_Items!$E$5:$E$133,MATCH($B97,I_Items!$A$5:$A$133,0)))</f>
        <v/>
      </c>
      <c r="G97" s="76" t="n">
        <v>46265</v>
      </c>
      <c r="H97" s="23" t="n">
        <f aca="false">MONTH(G97)</f>
        <v>8</v>
      </c>
      <c r="I97" s="74" t="s">
        <v>2074</v>
      </c>
      <c r="J97" s="74" t="s">
        <v>1326</v>
      </c>
      <c r="K97" s="10" t="n">
        <v>785.3</v>
      </c>
      <c r="L97" s="8" t="n">
        <v>4384162.95</v>
      </c>
      <c r="M97" s="10" t="n">
        <v>0</v>
      </c>
      <c r="N97" s="8" t="n">
        <v>0</v>
      </c>
      <c r="O97" s="74"/>
      <c r="P97" s="74"/>
      <c r="Q97" s="74"/>
      <c r="R97" s="14" t="n">
        <f aca="false">IF(I97="Unbilled",0,M97)</f>
        <v>0</v>
      </c>
      <c r="S97" s="9" t="n">
        <f aca="false">IF(R97=0,0,IF(O97="Booked",N97,R97*V96))</f>
        <v>0</v>
      </c>
      <c r="T97" s="14" t="n">
        <f aca="false">IF(I97="Opening",K97,T96+K97-R97)</f>
        <v>6732.1</v>
      </c>
      <c r="U97" s="9" t="n">
        <f aca="false">IF(I97="Opening",L97,U96+L97-S97)</f>
        <v>27556236.7898587</v>
      </c>
      <c r="V97" s="9" t="n">
        <f aca="false">IF(T97&gt;0,U97/T97,IF(I97="Opening",0,V96))</f>
        <v>4093.26016991112</v>
      </c>
      <c r="W97" s="14" t="n">
        <f aca="false">M97</f>
        <v>0</v>
      </c>
      <c r="X97" s="9" t="n">
        <f aca="false">IF(W97=0,0,IF(O97="Booked",N97,W97*AA96))</f>
        <v>0</v>
      </c>
      <c r="Y97" s="14" t="n">
        <f aca="false">IF(I97="Opening",K97,Y96+K97-W97)</f>
        <v>6732.1</v>
      </c>
      <c r="Z97" s="9" t="n">
        <f aca="false">IF(I97="Opening",L97,Z96+L97-X97)</f>
        <v>27556236.7898587</v>
      </c>
      <c r="AA97" s="9" t="n">
        <f aca="false">IF(Y97&gt;0,Z97/Y97,IF(I97="Opening",0,AA96))</f>
        <v>4093.26016991112</v>
      </c>
      <c r="AB97" s="9" t="n">
        <f aca="false">IF(AND(I97="DO",O97="MA"),S97-N97,0)</f>
        <v>0</v>
      </c>
      <c r="AC97" s="9" t="n">
        <f aca="false">IF(I97="DO",X97-S97,0)</f>
        <v>0</v>
      </c>
      <c r="AD97" s="23" t="n">
        <f aca="false">IF(B98&lt;&gt;B97,1,0)</f>
        <v>0</v>
      </c>
      <c r="AE97" s="14" t="n">
        <f aca="false">IF(I97="Opening",0,AE96+W97)</f>
        <v>6296.6</v>
      </c>
      <c r="AF97" s="14" t="n">
        <f aca="false">IF(I97="Opening",K97,AF96)</f>
        <v>4337.9</v>
      </c>
      <c r="AG97" s="14" t="n">
        <f aca="false">AG96</f>
        <v>1300</v>
      </c>
      <c r="AH97" s="14" t="n">
        <f aca="false">IF(W97=0,0,MAX(0,MIN(AE97,AF97)-MIN(AE97-W97,AF97)))</f>
        <v>0</v>
      </c>
      <c r="AI97" s="14" t="n">
        <f aca="false">IF(W97=0,0,MAX(0,MIN(AE97,AF97+AG97)-MAX(AE97-W97,AF97)))</f>
        <v>0</v>
      </c>
      <c r="AJ97" s="14" t="n">
        <f aca="false">W97-AH97-AI97</f>
        <v>0</v>
      </c>
      <c r="AK97" s="9" t="n">
        <f aca="false">IF(W97=0,0,X97*AH97/W97)</f>
        <v>0</v>
      </c>
      <c r="AL97" s="9" t="n">
        <f aca="false">IF(W97=0,0,X97*AI97/W97)</f>
        <v>0</v>
      </c>
      <c r="AM97" s="9" t="n">
        <f aca="false">X97-AK97-AL97</f>
        <v>0</v>
      </c>
    </row>
    <row r="98" customFormat="false" ht="15" hidden="false" customHeight="false" outlineLevel="0" collapsed="false">
      <c r="A98" s="6" t="n">
        <v>93</v>
      </c>
      <c r="B98" s="74" t="s">
        <v>949</v>
      </c>
      <c r="C98" s="53" t="str">
        <f aca="false">INDEX(I_Items!$C$5:$C$133,MATCH($B98,I_Items!$A$5:$A$133,0))</f>
        <v>RPA</v>
      </c>
      <c r="D98" s="53" t="str">
        <f aca="false">INDEX(I_Items!$D$5:$D$133,MATCH($B98,I_Items!$A$5:$A$133,0))</f>
        <v>HJA (Hati/Jantung/Ampela)</v>
      </c>
      <c r="E98" s="53" t="str">
        <f aca="false">INDEX(I_Items!$F$5:$F$133,MATCH($B98,I_Items!$A$5:$A$133,0))</f>
        <v>Fresh</v>
      </c>
      <c r="F98" s="53" t="str">
        <f aca="false">IF(INDEX(I_Items!$E$5:$E$133,MATCH($B98,I_Items!$A$5:$A$133,0))="","",INDEX(I_Items!$E$5:$E$133,MATCH($B98,I_Items!$A$5:$A$133,0)))</f>
        <v/>
      </c>
      <c r="G98" s="76" t="n">
        <v>46265</v>
      </c>
      <c r="H98" s="23" t="n">
        <f aca="false">MONTH(G98)</f>
        <v>8</v>
      </c>
      <c r="I98" s="74" t="s">
        <v>2075</v>
      </c>
      <c r="J98" s="74" t="s">
        <v>2107</v>
      </c>
      <c r="K98" s="10" t="n">
        <v>0</v>
      </c>
      <c r="L98" s="8" t="n">
        <v>0</v>
      </c>
      <c r="M98" s="10" t="n">
        <v>203.2</v>
      </c>
      <c r="N98" s="8" t="n">
        <v>831750.47</v>
      </c>
      <c r="O98" s="74" t="s">
        <v>2077</v>
      </c>
      <c r="P98" s="74"/>
      <c r="Q98" s="74"/>
      <c r="R98" s="14" t="n">
        <f aca="false">IF(I98="Unbilled",0,M98)</f>
        <v>203.2</v>
      </c>
      <c r="S98" s="9" t="n">
        <f aca="false">IF(R98=0,0,IF(O98="Booked",N98,R98*V97))</f>
        <v>831750.46652594</v>
      </c>
      <c r="T98" s="14" t="n">
        <f aca="false">IF(I98="Opening",K98,T97+K98-R98)</f>
        <v>6528.9</v>
      </c>
      <c r="U98" s="9" t="n">
        <f aca="false">IF(I98="Opening",L98,U97+L98-S98)</f>
        <v>26724486.3233327</v>
      </c>
      <c r="V98" s="9" t="n">
        <f aca="false">IF(T98&gt;0,U98/T98,IF(I98="Opening",0,V97))</f>
        <v>4093.26016991112</v>
      </c>
      <c r="W98" s="14" t="n">
        <f aca="false">M98</f>
        <v>203.2</v>
      </c>
      <c r="X98" s="9" t="n">
        <f aca="false">IF(W98=0,0,IF(O98="Booked",N98,W98*AA97))</f>
        <v>831750.46652594</v>
      </c>
      <c r="Y98" s="14" t="n">
        <f aca="false">IF(I98="Opening",K98,Y97+K98-W98)</f>
        <v>6528.9</v>
      </c>
      <c r="Z98" s="9" t="n">
        <f aca="false">IF(I98="Opening",L98,Z97+L98-X98)</f>
        <v>26724486.3233327</v>
      </c>
      <c r="AA98" s="9" t="n">
        <f aca="false">IF(Y98&gt;0,Z98/Y98,IF(I98="Opening",0,AA97))</f>
        <v>4093.26016991112</v>
      </c>
      <c r="AB98" s="9" t="n">
        <f aca="false">IF(AND(I98="DO",O98="MA"),S98-N98,0)</f>
        <v>-0.00347405998036265</v>
      </c>
      <c r="AC98" s="9" t="n">
        <f aca="false">IF(I98="DO",X98-S98,0)</f>
        <v>0</v>
      </c>
      <c r="AD98" s="23" t="n">
        <f aca="false">IF(B99&lt;&gt;B98,1,0)</f>
        <v>0</v>
      </c>
      <c r="AE98" s="14" t="n">
        <f aca="false">IF(I98="Opening",0,AE97+W98)</f>
        <v>6499.8</v>
      </c>
      <c r="AF98" s="14" t="n">
        <f aca="false">IF(I98="Opening",K98,AF97)</f>
        <v>4337.9</v>
      </c>
      <c r="AG98" s="14" t="n">
        <f aca="false">AG97</f>
        <v>1300</v>
      </c>
      <c r="AH98" s="14" t="n">
        <f aca="false">IF(W98=0,0,MAX(0,MIN(AE98,AF98)-MIN(AE98-W98,AF98)))</f>
        <v>0</v>
      </c>
      <c r="AI98" s="14" t="n">
        <f aca="false">IF(W98=0,0,MAX(0,MIN(AE98,AF98+AG98)-MAX(AE98-W98,AF98)))</f>
        <v>0</v>
      </c>
      <c r="AJ98" s="14" t="n">
        <f aca="false">W98-AH98-AI98</f>
        <v>203.2</v>
      </c>
      <c r="AK98" s="9" t="n">
        <f aca="false">IF(W98=0,0,X98*AH98/W98)</f>
        <v>0</v>
      </c>
      <c r="AL98" s="9" t="n">
        <f aca="false">IF(W98=0,0,X98*AI98/W98)</f>
        <v>0</v>
      </c>
      <c r="AM98" s="9" t="n">
        <f aca="false">X98-AK98-AL98</f>
        <v>831750.46652594</v>
      </c>
    </row>
    <row r="99" customFormat="false" ht="15" hidden="false" customHeight="false" outlineLevel="0" collapsed="false">
      <c r="A99" s="6" t="n">
        <v>94</v>
      </c>
      <c r="B99" s="74" t="s">
        <v>949</v>
      </c>
      <c r="C99" s="53" t="str">
        <f aca="false">INDEX(I_Items!$C$5:$C$133,MATCH($B99,I_Items!$A$5:$A$133,0))</f>
        <v>RPA</v>
      </c>
      <c r="D99" s="53" t="str">
        <f aca="false">INDEX(I_Items!$D$5:$D$133,MATCH($B99,I_Items!$A$5:$A$133,0))</f>
        <v>HJA (Hati/Jantung/Ampela)</v>
      </c>
      <c r="E99" s="53" t="str">
        <f aca="false">INDEX(I_Items!$F$5:$F$133,MATCH($B99,I_Items!$A$5:$A$133,0))</f>
        <v>Fresh</v>
      </c>
      <c r="F99" s="53" t="str">
        <f aca="false">IF(INDEX(I_Items!$E$5:$E$133,MATCH($B99,I_Items!$A$5:$A$133,0))="","",INDEX(I_Items!$E$5:$E$133,MATCH($B99,I_Items!$A$5:$A$133,0)))</f>
        <v/>
      </c>
      <c r="G99" s="76" t="n">
        <v>46265</v>
      </c>
      <c r="H99" s="23" t="n">
        <f aca="false">MONTH(G99)</f>
        <v>8</v>
      </c>
      <c r="I99" s="74" t="s">
        <v>2075</v>
      </c>
      <c r="J99" s="74" t="s">
        <v>2108</v>
      </c>
      <c r="K99" s="10" t="n">
        <v>0</v>
      </c>
      <c r="L99" s="8" t="n">
        <v>0</v>
      </c>
      <c r="M99" s="10" t="n">
        <v>190.3</v>
      </c>
      <c r="N99" s="8" t="n">
        <v>778947.42</v>
      </c>
      <c r="O99" s="74" t="s">
        <v>2077</v>
      </c>
      <c r="P99" s="74"/>
      <c r="Q99" s="74"/>
      <c r="R99" s="14" t="n">
        <f aca="false">IF(I99="Unbilled",0,M99)</f>
        <v>190.3</v>
      </c>
      <c r="S99" s="9" t="n">
        <f aca="false">IF(R99=0,0,IF(O99="Booked",N99,R99*V98))</f>
        <v>778947.410334087</v>
      </c>
      <c r="T99" s="14" t="n">
        <f aca="false">IF(I99="Opening",K99,T98+K99-R99)</f>
        <v>6338.6</v>
      </c>
      <c r="U99" s="9" t="n">
        <f aca="false">IF(I99="Opening",L99,U98+L99-S99)</f>
        <v>25945538.9129986</v>
      </c>
      <c r="V99" s="9" t="n">
        <f aca="false">IF(T99&gt;0,U99/T99,IF(I99="Opening",0,V98))</f>
        <v>4093.26016991112</v>
      </c>
      <c r="W99" s="14" t="n">
        <f aca="false">M99</f>
        <v>190.3</v>
      </c>
      <c r="X99" s="9" t="n">
        <f aca="false">IF(W99=0,0,IF(O99="Booked",N99,W99*AA98))</f>
        <v>778947.410334087</v>
      </c>
      <c r="Y99" s="14" t="n">
        <f aca="false">IF(I99="Opening",K99,Y98+K99-W99)</f>
        <v>6338.6</v>
      </c>
      <c r="Z99" s="9" t="n">
        <f aca="false">IF(I99="Opening",L99,Z98+L99-X99)</f>
        <v>25945538.9129986</v>
      </c>
      <c r="AA99" s="9" t="n">
        <f aca="false">IF(Y99&gt;0,Z99/Y99,IF(I99="Opening",0,AA98))</f>
        <v>4093.26016991112</v>
      </c>
      <c r="AB99" s="9" t="n">
        <f aca="false">IF(AND(I99="DO",O99="MA"),S99-N99,0)</f>
        <v>-0.00966591329779476</v>
      </c>
      <c r="AC99" s="9" t="n">
        <f aca="false">IF(I99="DO",X99-S99,0)</f>
        <v>0</v>
      </c>
      <c r="AD99" s="23" t="n">
        <f aca="false">IF(B100&lt;&gt;B99,1,0)</f>
        <v>0</v>
      </c>
      <c r="AE99" s="14" t="n">
        <f aca="false">IF(I99="Opening",0,AE98+W99)</f>
        <v>6690.1</v>
      </c>
      <c r="AF99" s="14" t="n">
        <f aca="false">IF(I99="Opening",K99,AF98)</f>
        <v>4337.9</v>
      </c>
      <c r="AG99" s="14" t="n">
        <f aca="false">AG98</f>
        <v>1300</v>
      </c>
      <c r="AH99" s="14" t="n">
        <f aca="false">IF(W99=0,0,MAX(0,MIN(AE99,AF99)-MIN(AE99-W99,AF99)))</f>
        <v>0</v>
      </c>
      <c r="AI99" s="14" t="n">
        <f aca="false">IF(W99=0,0,MAX(0,MIN(AE99,AF99+AG99)-MAX(AE99-W99,AF99)))</f>
        <v>0</v>
      </c>
      <c r="AJ99" s="14" t="n">
        <f aca="false">W99-AH99-AI99</f>
        <v>190.3</v>
      </c>
      <c r="AK99" s="9" t="n">
        <f aca="false">IF(W99=0,0,X99*AH99/W99)</f>
        <v>0</v>
      </c>
      <c r="AL99" s="9" t="n">
        <f aca="false">IF(W99=0,0,X99*AI99/W99)</f>
        <v>0</v>
      </c>
      <c r="AM99" s="9" t="n">
        <f aca="false">X99-AK99-AL99</f>
        <v>778947.410334087</v>
      </c>
    </row>
    <row r="100" customFormat="false" ht="15" hidden="false" customHeight="false" outlineLevel="0" collapsed="false">
      <c r="A100" s="6" t="n">
        <v>95</v>
      </c>
      <c r="B100" s="74" t="s">
        <v>949</v>
      </c>
      <c r="C100" s="53" t="str">
        <f aca="false">INDEX(I_Items!$C$5:$C$133,MATCH($B100,I_Items!$A$5:$A$133,0))</f>
        <v>RPA</v>
      </c>
      <c r="D100" s="53" t="str">
        <f aca="false">INDEX(I_Items!$D$5:$D$133,MATCH($B100,I_Items!$A$5:$A$133,0))</f>
        <v>HJA (Hati/Jantung/Ampela)</v>
      </c>
      <c r="E100" s="53" t="str">
        <f aca="false">INDEX(I_Items!$F$5:$F$133,MATCH($B100,I_Items!$A$5:$A$133,0))</f>
        <v>Fresh</v>
      </c>
      <c r="F100" s="53" t="str">
        <f aca="false">IF(INDEX(I_Items!$E$5:$E$133,MATCH($B100,I_Items!$A$5:$A$133,0))="","",INDEX(I_Items!$E$5:$E$133,MATCH($B100,I_Items!$A$5:$A$133,0)))</f>
        <v/>
      </c>
      <c r="G100" s="76" t="n">
        <v>46265</v>
      </c>
      <c r="H100" s="23" t="n">
        <f aca="false">MONTH(G100)</f>
        <v>8</v>
      </c>
      <c r="I100" s="74" t="s">
        <v>2075</v>
      </c>
      <c r="J100" s="74" t="s">
        <v>2109</v>
      </c>
      <c r="K100" s="10" t="n">
        <v>0</v>
      </c>
      <c r="L100" s="8" t="n">
        <v>0</v>
      </c>
      <c r="M100" s="10" t="n">
        <v>186.5</v>
      </c>
      <c r="N100" s="8" t="n">
        <v>763393.03</v>
      </c>
      <c r="O100" s="74" t="s">
        <v>2077</v>
      </c>
      <c r="P100" s="74"/>
      <c r="Q100" s="74"/>
      <c r="R100" s="14" t="n">
        <f aca="false">IF(I100="Unbilled",0,M100)</f>
        <v>186.5</v>
      </c>
      <c r="S100" s="9" t="n">
        <f aca="false">IF(R100=0,0,IF(O100="Booked",N100,R100*V99))</f>
        <v>763393.021688424</v>
      </c>
      <c r="T100" s="14" t="n">
        <f aca="false">IF(I100="Opening",K100,T99+K100-R100)</f>
        <v>6152.1</v>
      </c>
      <c r="U100" s="9" t="n">
        <f aca="false">IF(I100="Opening",L100,U99+L100-S100)</f>
        <v>25182145.8913102</v>
      </c>
      <c r="V100" s="9" t="n">
        <f aca="false">IF(T100&gt;0,U100/T100,IF(I100="Opening",0,V99))</f>
        <v>4093.26016991112</v>
      </c>
      <c r="W100" s="14" t="n">
        <f aca="false">M100</f>
        <v>186.5</v>
      </c>
      <c r="X100" s="9" t="n">
        <f aca="false">IF(W100=0,0,IF(O100="Booked",N100,W100*AA99))</f>
        <v>763393.021688424</v>
      </c>
      <c r="Y100" s="14" t="n">
        <f aca="false">IF(I100="Opening",K100,Y99+K100-W100)</f>
        <v>6152.1</v>
      </c>
      <c r="Z100" s="9" t="n">
        <f aca="false">IF(I100="Opening",L100,Z99+L100-X100)</f>
        <v>25182145.8913102</v>
      </c>
      <c r="AA100" s="9" t="n">
        <f aca="false">IF(Y100&gt;0,Z100/Y100,IF(I100="Opening",0,AA99))</f>
        <v>4093.26016991112</v>
      </c>
      <c r="AB100" s="9" t="n">
        <f aca="false">IF(AND(I100="DO",O100="MA"),S100-N100,0)</f>
        <v>-0.00831157574430108</v>
      </c>
      <c r="AC100" s="9" t="n">
        <f aca="false">IF(I100="DO",X100-S100,0)</f>
        <v>0</v>
      </c>
      <c r="AD100" s="23" t="n">
        <f aca="false">IF(B101&lt;&gt;B100,1,0)</f>
        <v>0</v>
      </c>
      <c r="AE100" s="14" t="n">
        <f aca="false">IF(I100="Opening",0,AE99+W100)</f>
        <v>6876.6</v>
      </c>
      <c r="AF100" s="14" t="n">
        <f aca="false">IF(I100="Opening",K100,AF99)</f>
        <v>4337.9</v>
      </c>
      <c r="AG100" s="14" t="n">
        <f aca="false">AG99</f>
        <v>1300</v>
      </c>
      <c r="AH100" s="14" t="n">
        <f aca="false">IF(W100=0,0,MAX(0,MIN(AE100,AF100)-MIN(AE100-W100,AF100)))</f>
        <v>0</v>
      </c>
      <c r="AI100" s="14" t="n">
        <f aca="false">IF(W100=0,0,MAX(0,MIN(AE100,AF100+AG100)-MAX(AE100-W100,AF100)))</f>
        <v>0</v>
      </c>
      <c r="AJ100" s="14" t="n">
        <f aca="false">W100-AH100-AI100</f>
        <v>186.5</v>
      </c>
      <c r="AK100" s="9" t="n">
        <f aca="false">IF(W100=0,0,X100*AH100/W100)</f>
        <v>0</v>
      </c>
      <c r="AL100" s="9" t="n">
        <f aca="false">IF(W100=0,0,X100*AI100/W100)</f>
        <v>0</v>
      </c>
      <c r="AM100" s="9" t="n">
        <f aca="false">X100-AK100-AL100</f>
        <v>763393.021688424</v>
      </c>
    </row>
    <row r="101" customFormat="false" ht="15" hidden="false" customHeight="false" outlineLevel="0" collapsed="false">
      <c r="A101" s="6" t="n">
        <v>96</v>
      </c>
      <c r="B101" s="74" t="s">
        <v>949</v>
      </c>
      <c r="C101" s="53" t="str">
        <f aca="false">INDEX(I_Items!$C$5:$C$133,MATCH($B101,I_Items!$A$5:$A$133,0))</f>
        <v>RPA</v>
      </c>
      <c r="D101" s="53" t="str">
        <f aca="false">INDEX(I_Items!$D$5:$D$133,MATCH($B101,I_Items!$A$5:$A$133,0))</f>
        <v>HJA (Hati/Jantung/Ampela)</v>
      </c>
      <c r="E101" s="53" t="str">
        <f aca="false">INDEX(I_Items!$F$5:$F$133,MATCH($B101,I_Items!$A$5:$A$133,0))</f>
        <v>Fresh</v>
      </c>
      <c r="F101" s="53" t="str">
        <f aca="false">IF(INDEX(I_Items!$E$5:$E$133,MATCH($B101,I_Items!$A$5:$A$133,0))="","",INDEX(I_Items!$E$5:$E$133,MATCH($B101,I_Items!$A$5:$A$133,0)))</f>
        <v/>
      </c>
      <c r="G101" s="76" t="n">
        <v>46265</v>
      </c>
      <c r="H101" s="23" t="n">
        <f aca="false">MONTH(G101)</f>
        <v>8</v>
      </c>
      <c r="I101" s="74" t="s">
        <v>2075</v>
      </c>
      <c r="J101" s="74" t="s">
        <v>2110</v>
      </c>
      <c r="K101" s="10" t="n">
        <v>0</v>
      </c>
      <c r="L101" s="8" t="n">
        <v>0</v>
      </c>
      <c r="M101" s="10" t="n">
        <v>205.3</v>
      </c>
      <c r="N101" s="8" t="n">
        <v>840346.32</v>
      </c>
      <c r="O101" s="74" t="s">
        <v>2077</v>
      </c>
      <c r="P101" s="74"/>
      <c r="Q101" s="74"/>
      <c r="R101" s="14" t="n">
        <f aca="false">IF(I101="Unbilled",0,M101)</f>
        <v>205.3</v>
      </c>
      <c r="S101" s="9" t="n">
        <f aca="false">IF(R101=0,0,IF(O101="Booked",N101,R101*V100))</f>
        <v>840346.312882753</v>
      </c>
      <c r="T101" s="14" t="n">
        <f aca="false">IF(I101="Opening",K101,T100+K101-R101)</f>
        <v>5946.8</v>
      </c>
      <c r="U101" s="9" t="n">
        <f aca="false">IF(I101="Opening",L101,U100+L101-S101)</f>
        <v>24341799.5784275</v>
      </c>
      <c r="V101" s="9" t="n">
        <f aca="false">IF(T101&gt;0,U101/T101,IF(I101="Opening",0,V100))</f>
        <v>4093.26016991112</v>
      </c>
      <c r="W101" s="14" t="n">
        <f aca="false">M101</f>
        <v>205.3</v>
      </c>
      <c r="X101" s="9" t="n">
        <f aca="false">IF(W101=0,0,IF(O101="Booked",N101,W101*AA100))</f>
        <v>840346.312882753</v>
      </c>
      <c r="Y101" s="14" t="n">
        <f aca="false">IF(I101="Opening",K101,Y100+K101-W101)</f>
        <v>5946.8</v>
      </c>
      <c r="Z101" s="9" t="n">
        <f aca="false">IF(I101="Opening",L101,Z100+L101-X101)</f>
        <v>24341799.5784275</v>
      </c>
      <c r="AA101" s="9" t="n">
        <f aca="false">IF(Y101&gt;0,Z101/Y101,IF(I101="Opening",0,AA100))</f>
        <v>4093.26016991112</v>
      </c>
      <c r="AB101" s="9" t="n">
        <f aca="false">IF(AND(I101="DO",O101="MA"),S101-N101,0)</f>
        <v>-0.00711724651046097</v>
      </c>
      <c r="AC101" s="9" t="n">
        <f aca="false">IF(I101="DO",X101-S101,0)</f>
        <v>0</v>
      </c>
      <c r="AD101" s="23" t="n">
        <f aca="false">IF(B102&lt;&gt;B101,1,0)</f>
        <v>1</v>
      </c>
      <c r="AE101" s="14" t="n">
        <f aca="false">IF(I101="Opening",0,AE100+W101)</f>
        <v>7081.9</v>
      </c>
      <c r="AF101" s="14" t="n">
        <f aca="false">IF(I101="Opening",K101,AF100)</f>
        <v>4337.9</v>
      </c>
      <c r="AG101" s="14" t="n">
        <f aca="false">AG100</f>
        <v>1300</v>
      </c>
      <c r="AH101" s="14" t="n">
        <f aca="false">IF(W101=0,0,MAX(0,MIN(AE101,AF101)-MIN(AE101-W101,AF101)))</f>
        <v>0</v>
      </c>
      <c r="AI101" s="14" t="n">
        <f aca="false">IF(W101=0,0,MAX(0,MIN(AE101,AF101+AG101)-MAX(AE101-W101,AF101)))</f>
        <v>0</v>
      </c>
      <c r="AJ101" s="14" t="n">
        <f aca="false">W101-AH101-AI101</f>
        <v>205.3</v>
      </c>
      <c r="AK101" s="9" t="n">
        <f aca="false">IF(W101=0,0,X101*AH101/W101)</f>
        <v>0</v>
      </c>
      <c r="AL101" s="9" t="n">
        <f aca="false">IF(W101=0,0,X101*AI101/W101)</f>
        <v>0</v>
      </c>
      <c r="AM101" s="9" t="n">
        <f aca="false">X101-AK101-AL101</f>
        <v>840346.312882753</v>
      </c>
    </row>
    <row r="102" customFormat="false" ht="15" hidden="false" customHeight="false" outlineLevel="0" collapsed="false">
      <c r="A102" s="6" t="n">
        <v>97</v>
      </c>
      <c r="B102" s="74" t="s">
        <v>950</v>
      </c>
      <c r="C102" s="53" t="str">
        <f aca="false">INDEX(I_Items!$C$5:$C$133,MATCH($B102,I_Items!$A$5:$A$133,0))</f>
        <v>RPA</v>
      </c>
      <c r="D102" s="53" t="str">
        <f aca="false">INDEX(I_Items!$D$5:$D$133,MATCH($B102,I_Items!$A$5:$A$133,0))</f>
        <v>Kepala</v>
      </c>
      <c r="E102" s="53" t="str">
        <f aca="false">INDEX(I_Items!$F$5:$F$133,MATCH($B102,I_Items!$A$5:$A$133,0))</f>
        <v>Fresh</v>
      </c>
      <c r="F102" s="53" t="str">
        <f aca="false">IF(INDEX(I_Items!$E$5:$E$133,MATCH($B102,I_Items!$A$5:$A$133,0))="","",INDEX(I_Items!$E$5:$E$133,MATCH($B102,I_Items!$A$5:$A$133,0)))</f>
        <v/>
      </c>
      <c r="G102" s="76" t="n">
        <v>46204</v>
      </c>
      <c r="H102" s="23" t="n">
        <f aca="false">MONTH(G102)</f>
        <v>7</v>
      </c>
      <c r="I102" s="74" t="s">
        <v>2072</v>
      </c>
      <c r="J102" s="74" t="s">
        <v>2073</v>
      </c>
      <c r="K102" s="10" t="n">
        <v>768.5</v>
      </c>
      <c r="L102" s="8" t="n">
        <v>9341548.32</v>
      </c>
      <c r="M102" s="10" t="n">
        <v>0</v>
      </c>
      <c r="N102" s="8" t="n">
        <v>0</v>
      </c>
      <c r="O102" s="74"/>
      <c r="P102" s="74"/>
      <c r="Q102" s="74"/>
      <c r="R102" s="14" t="n">
        <f aca="false">IF(I102="Unbilled",0,M102)</f>
        <v>0</v>
      </c>
      <c r="S102" s="9" t="n">
        <f aca="false">IF(R102=0,0,IF(O102="Booked",N102,R102*V101))</f>
        <v>0</v>
      </c>
      <c r="T102" s="14" t="n">
        <f aca="false">IF(I102="Opening",K102,T101+K102-R102)</f>
        <v>768.5</v>
      </c>
      <c r="U102" s="9" t="n">
        <f aca="false">IF(I102="Opening",L102,U101+L102-S102)</f>
        <v>9341548.32</v>
      </c>
      <c r="V102" s="9" t="n">
        <f aca="false">IF(T102&gt;0,U102/T102,IF(I102="Opening",0,V101))</f>
        <v>12155.5605985686</v>
      </c>
      <c r="W102" s="14" t="n">
        <f aca="false">M102</f>
        <v>0</v>
      </c>
      <c r="X102" s="9" t="n">
        <f aca="false">IF(W102=0,0,IF(O102="Booked",N102,W102*AA101))</f>
        <v>0</v>
      </c>
      <c r="Y102" s="14" t="n">
        <f aca="false">IF(I102="Opening",K102,Y101+K102-W102)</f>
        <v>768.5</v>
      </c>
      <c r="Z102" s="9" t="n">
        <f aca="false">IF(I102="Opening",L102,Z101+L102-X102)</f>
        <v>9341548.32</v>
      </c>
      <c r="AA102" s="9" t="n">
        <f aca="false">IF(Y102&gt;0,Z102/Y102,IF(I102="Opening",0,AA101))</f>
        <v>12155.5605985686</v>
      </c>
      <c r="AB102" s="9" t="n">
        <f aca="false">IF(AND(I102="DO",O102="MA"),S102-N102,0)</f>
        <v>0</v>
      </c>
      <c r="AC102" s="9" t="n">
        <f aca="false">IF(I102="DO",X102-S102,0)</f>
        <v>0</v>
      </c>
      <c r="AD102" s="23" t="n">
        <f aca="false">IF(B103&lt;&gt;B102,1,0)</f>
        <v>0</v>
      </c>
      <c r="AE102" s="14" t="n">
        <f aca="false">IF(I102="Opening",0,AE101+W102)</f>
        <v>0</v>
      </c>
      <c r="AF102" s="14" t="n">
        <f aca="false">IF(I102="Opening",K102,AF101)</f>
        <v>768.5</v>
      </c>
      <c r="AG102" s="14" t="n">
        <f aca="false">SUMIFS($K$6:$K$1110,$B$6:$B$1110,B102,$H$6:$H$1110,7,$I$6:$I$1110,"&lt;&gt;Opening")</f>
        <v>0</v>
      </c>
      <c r="AH102" s="14" t="n">
        <f aca="false">IF(W102=0,0,MAX(0,MIN(AE102,AF102)-MIN(AE102-W102,AF102)))</f>
        <v>0</v>
      </c>
      <c r="AI102" s="14" t="n">
        <f aca="false">IF(W102=0,0,MAX(0,MIN(AE102,AF102+AG102)-MAX(AE102-W102,AF102)))</f>
        <v>0</v>
      </c>
      <c r="AJ102" s="14" t="n">
        <f aca="false">W102-AH102-AI102</f>
        <v>0</v>
      </c>
      <c r="AK102" s="9" t="n">
        <f aca="false">IF(W102=0,0,X102*AH102/W102)</f>
        <v>0</v>
      </c>
      <c r="AL102" s="9" t="n">
        <f aca="false">IF(W102=0,0,X102*AI102/W102)</f>
        <v>0</v>
      </c>
      <c r="AM102" s="9" t="n">
        <f aca="false">X102-AK102-AL102</f>
        <v>0</v>
      </c>
    </row>
    <row r="103" customFormat="false" ht="15" hidden="false" customHeight="false" outlineLevel="0" collapsed="false">
      <c r="A103" s="6" t="n">
        <v>98</v>
      </c>
      <c r="B103" s="74" t="s">
        <v>950</v>
      </c>
      <c r="C103" s="53" t="str">
        <f aca="false">INDEX(I_Items!$C$5:$C$133,MATCH($B103,I_Items!$A$5:$A$133,0))</f>
        <v>RPA</v>
      </c>
      <c r="D103" s="53" t="str">
        <f aca="false">INDEX(I_Items!$D$5:$D$133,MATCH($B103,I_Items!$A$5:$A$133,0))</f>
        <v>Kepala</v>
      </c>
      <c r="E103" s="53" t="str">
        <f aca="false">INDEX(I_Items!$F$5:$F$133,MATCH($B103,I_Items!$A$5:$A$133,0))</f>
        <v>Fresh</v>
      </c>
      <c r="F103" s="53" t="str">
        <f aca="false">IF(INDEX(I_Items!$E$5:$E$133,MATCH($B103,I_Items!$A$5:$A$133,0))="","",INDEX(I_Items!$E$5:$E$133,MATCH($B103,I_Items!$A$5:$A$133,0)))</f>
        <v/>
      </c>
      <c r="G103" s="76" t="n">
        <v>46241</v>
      </c>
      <c r="H103" s="23" t="n">
        <f aca="false">MONTH(G103)</f>
        <v>8</v>
      </c>
      <c r="I103" s="74" t="s">
        <v>2074</v>
      </c>
      <c r="J103" s="74" t="s">
        <v>1290</v>
      </c>
      <c r="K103" s="10" t="n">
        <v>325.6</v>
      </c>
      <c r="L103" s="8" t="n">
        <v>3309605.9</v>
      </c>
      <c r="M103" s="10" t="n">
        <v>0</v>
      </c>
      <c r="N103" s="8" t="n">
        <v>0</v>
      </c>
      <c r="O103" s="74"/>
      <c r="P103" s="74"/>
      <c r="Q103" s="74"/>
      <c r="R103" s="14" t="n">
        <f aca="false">IF(I103="Unbilled",0,M103)</f>
        <v>0</v>
      </c>
      <c r="S103" s="9" t="n">
        <f aca="false">IF(R103=0,0,IF(O103="Booked",N103,R103*V102))</f>
        <v>0</v>
      </c>
      <c r="T103" s="14" t="n">
        <f aca="false">IF(I103="Opening",K103,T102+K103-R103)</f>
        <v>1094.1</v>
      </c>
      <c r="U103" s="9" t="n">
        <f aca="false">IF(I103="Opening",L103,U102+L103-S103)</f>
        <v>12651154.22</v>
      </c>
      <c r="V103" s="9" t="n">
        <f aca="false">IF(T103&gt;0,U103/T103,IF(I103="Opening",0,V102))</f>
        <v>11563.0693903665</v>
      </c>
      <c r="W103" s="14" t="n">
        <f aca="false">M103</f>
        <v>0</v>
      </c>
      <c r="X103" s="9" t="n">
        <f aca="false">IF(W103=0,0,IF(O103="Booked",N103,W103*AA102))</f>
        <v>0</v>
      </c>
      <c r="Y103" s="14" t="n">
        <f aca="false">IF(I103="Opening",K103,Y102+K103-W103)</f>
        <v>1094.1</v>
      </c>
      <c r="Z103" s="9" t="n">
        <f aca="false">IF(I103="Opening",L103,Z102+L103-X103)</f>
        <v>12651154.22</v>
      </c>
      <c r="AA103" s="9" t="n">
        <f aca="false">IF(Y103&gt;0,Z103/Y103,IF(I103="Opening",0,AA102))</f>
        <v>11563.0693903665</v>
      </c>
      <c r="AB103" s="9" t="n">
        <f aca="false">IF(AND(I103="DO",O103="MA"),S103-N103,0)</f>
        <v>0</v>
      </c>
      <c r="AC103" s="9" t="n">
        <f aca="false">IF(I103="DO",X103-S103,0)</f>
        <v>0</v>
      </c>
      <c r="AD103" s="23" t="n">
        <f aca="false">IF(B104&lt;&gt;B103,1,0)</f>
        <v>0</v>
      </c>
      <c r="AE103" s="14" t="n">
        <f aca="false">IF(I103="Opening",0,AE102+W103)</f>
        <v>0</v>
      </c>
      <c r="AF103" s="14" t="n">
        <f aca="false">IF(I103="Opening",K103,AF102)</f>
        <v>768.5</v>
      </c>
      <c r="AG103" s="14" t="n">
        <f aca="false">AG102</f>
        <v>0</v>
      </c>
      <c r="AH103" s="14" t="n">
        <f aca="false">IF(W103=0,0,MAX(0,MIN(AE103,AF103)-MIN(AE103-W103,AF103)))</f>
        <v>0</v>
      </c>
      <c r="AI103" s="14" t="n">
        <f aca="false">IF(W103=0,0,MAX(0,MIN(AE103,AF103+AG103)-MAX(AE103-W103,AF103)))</f>
        <v>0</v>
      </c>
      <c r="AJ103" s="14" t="n">
        <f aca="false">W103-AH103-AI103</f>
        <v>0</v>
      </c>
      <c r="AK103" s="9" t="n">
        <f aca="false">IF(W103=0,0,X103*AH103/W103)</f>
        <v>0</v>
      </c>
      <c r="AL103" s="9" t="n">
        <f aca="false">IF(W103=0,0,X103*AI103/W103)</f>
        <v>0</v>
      </c>
      <c r="AM103" s="9" t="n">
        <f aca="false">X103-AK103-AL103</f>
        <v>0</v>
      </c>
    </row>
    <row r="104" customFormat="false" ht="15" hidden="false" customHeight="false" outlineLevel="0" collapsed="false">
      <c r="A104" s="6" t="n">
        <v>99</v>
      </c>
      <c r="B104" s="74" t="s">
        <v>950</v>
      </c>
      <c r="C104" s="53" t="str">
        <f aca="false">INDEX(I_Items!$C$5:$C$133,MATCH($B104,I_Items!$A$5:$A$133,0))</f>
        <v>RPA</v>
      </c>
      <c r="D104" s="53" t="str">
        <f aca="false">INDEX(I_Items!$D$5:$D$133,MATCH($B104,I_Items!$A$5:$A$133,0))</f>
        <v>Kepala</v>
      </c>
      <c r="E104" s="53" t="str">
        <f aca="false">INDEX(I_Items!$F$5:$F$133,MATCH($B104,I_Items!$A$5:$A$133,0))</f>
        <v>Fresh</v>
      </c>
      <c r="F104" s="53" t="str">
        <f aca="false">IF(INDEX(I_Items!$E$5:$E$133,MATCH($B104,I_Items!$A$5:$A$133,0))="","",INDEX(I_Items!$E$5:$E$133,MATCH($B104,I_Items!$A$5:$A$133,0)))</f>
        <v/>
      </c>
      <c r="G104" s="76" t="n">
        <v>46242</v>
      </c>
      <c r="H104" s="23" t="n">
        <f aca="false">MONTH(G104)</f>
        <v>8</v>
      </c>
      <c r="I104" s="74" t="s">
        <v>2075</v>
      </c>
      <c r="J104" s="74" t="s">
        <v>2078</v>
      </c>
      <c r="K104" s="10" t="n">
        <v>0</v>
      </c>
      <c r="L104" s="8" t="n">
        <v>0</v>
      </c>
      <c r="M104" s="10" t="n">
        <v>161.8</v>
      </c>
      <c r="N104" s="8" t="n">
        <v>1870904.61</v>
      </c>
      <c r="O104" s="74" t="s">
        <v>2077</v>
      </c>
      <c r="P104" s="74"/>
      <c r="Q104" s="74"/>
      <c r="R104" s="14" t="n">
        <f aca="false">IF(I104="Unbilled",0,M104)</f>
        <v>161.8</v>
      </c>
      <c r="S104" s="9" t="n">
        <f aca="false">IF(R104=0,0,IF(O104="Booked",N104,R104*V103))</f>
        <v>1870904.6273613</v>
      </c>
      <c r="T104" s="14" t="n">
        <f aca="false">IF(I104="Opening",K104,T103+K104-R104)</f>
        <v>932.3</v>
      </c>
      <c r="U104" s="9" t="n">
        <f aca="false">IF(I104="Opening",L104,U103+L104-S104)</f>
        <v>10780249.5926387</v>
      </c>
      <c r="V104" s="9" t="n">
        <f aca="false">IF(T104&gt;0,U104/T104,IF(I104="Opening",0,V103))</f>
        <v>11563.0693903665</v>
      </c>
      <c r="W104" s="14" t="n">
        <f aca="false">M104</f>
        <v>161.8</v>
      </c>
      <c r="X104" s="9" t="n">
        <f aca="false">IF(W104=0,0,IF(O104="Booked",N104,W104*AA103))</f>
        <v>1870904.6273613</v>
      </c>
      <c r="Y104" s="14" t="n">
        <f aca="false">IF(I104="Opening",K104,Y103+K104-W104)</f>
        <v>932.3</v>
      </c>
      <c r="Z104" s="9" t="n">
        <f aca="false">IF(I104="Opening",L104,Z103+L104-X104)</f>
        <v>10780249.5926387</v>
      </c>
      <c r="AA104" s="9" t="n">
        <f aca="false">IF(Y104&gt;0,Z104/Y104,IF(I104="Opening",0,AA103))</f>
        <v>11563.0693903665</v>
      </c>
      <c r="AB104" s="9" t="n">
        <f aca="false">IF(AND(I104="DO",O104="MA"),S104-N104,0)</f>
        <v>0.017361301695928</v>
      </c>
      <c r="AC104" s="9" t="n">
        <f aca="false">IF(I104="DO",X104-S104,0)</f>
        <v>0</v>
      </c>
      <c r="AD104" s="23" t="n">
        <f aca="false">IF(B105&lt;&gt;B104,1,0)</f>
        <v>0</v>
      </c>
      <c r="AE104" s="14" t="n">
        <f aca="false">IF(I104="Opening",0,AE103+W104)</f>
        <v>161.8</v>
      </c>
      <c r="AF104" s="14" t="n">
        <f aca="false">IF(I104="Opening",K104,AF103)</f>
        <v>768.5</v>
      </c>
      <c r="AG104" s="14" t="n">
        <f aca="false">AG103</f>
        <v>0</v>
      </c>
      <c r="AH104" s="14" t="n">
        <f aca="false">IF(W104=0,0,MAX(0,MIN(AE104,AF104)-MIN(AE104-W104,AF104)))</f>
        <v>161.8</v>
      </c>
      <c r="AI104" s="14" t="n">
        <f aca="false">IF(W104=0,0,MAX(0,MIN(AE104,AF104+AG104)-MAX(AE104-W104,AF104)))</f>
        <v>0</v>
      </c>
      <c r="AJ104" s="14" t="n">
        <f aca="false">W104-AH104-AI104</f>
        <v>0</v>
      </c>
      <c r="AK104" s="9" t="n">
        <f aca="false">IF(W104=0,0,X104*AH104/W104)</f>
        <v>1870904.6273613</v>
      </c>
      <c r="AL104" s="9" t="n">
        <f aca="false">IF(W104=0,0,X104*AI104/W104)</f>
        <v>0</v>
      </c>
      <c r="AM104" s="9" t="n">
        <f aca="false">X104-AK104-AL104</f>
        <v>0</v>
      </c>
    </row>
    <row r="105" customFormat="false" ht="15" hidden="false" customHeight="false" outlineLevel="0" collapsed="false">
      <c r="A105" s="6" t="n">
        <v>100</v>
      </c>
      <c r="B105" s="74" t="s">
        <v>950</v>
      </c>
      <c r="C105" s="53" t="str">
        <f aca="false">INDEX(I_Items!$C$5:$C$133,MATCH($B105,I_Items!$A$5:$A$133,0))</f>
        <v>RPA</v>
      </c>
      <c r="D105" s="53" t="str">
        <f aca="false">INDEX(I_Items!$D$5:$D$133,MATCH($B105,I_Items!$A$5:$A$133,0))</f>
        <v>Kepala</v>
      </c>
      <c r="E105" s="53" t="str">
        <f aca="false">INDEX(I_Items!$F$5:$F$133,MATCH($B105,I_Items!$A$5:$A$133,0))</f>
        <v>Fresh</v>
      </c>
      <c r="F105" s="53" t="str">
        <f aca="false">IF(INDEX(I_Items!$E$5:$E$133,MATCH($B105,I_Items!$A$5:$A$133,0))="","",INDEX(I_Items!$E$5:$E$133,MATCH($B105,I_Items!$A$5:$A$133,0)))</f>
        <v/>
      </c>
      <c r="G105" s="76" t="n">
        <v>46244</v>
      </c>
      <c r="H105" s="23" t="n">
        <f aca="false">MONTH(G105)</f>
        <v>8</v>
      </c>
      <c r="I105" s="74" t="s">
        <v>2074</v>
      </c>
      <c r="J105" s="74" t="s">
        <v>1294</v>
      </c>
      <c r="K105" s="10" t="n">
        <v>518.8</v>
      </c>
      <c r="L105" s="8" t="n">
        <v>5640491.96</v>
      </c>
      <c r="M105" s="10" t="n">
        <v>0</v>
      </c>
      <c r="N105" s="8" t="n">
        <v>0</v>
      </c>
      <c r="O105" s="74"/>
      <c r="P105" s="74"/>
      <c r="Q105" s="74"/>
      <c r="R105" s="14" t="n">
        <f aca="false">IF(I105="Unbilled",0,M105)</f>
        <v>0</v>
      </c>
      <c r="S105" s="9" t="n">
        <f aca="false">IF(R105=0,0,IF(O105="Booked",N105,R105*V104))</f>
        <v>0</v>
      </c>
      <c r="T105" s="14" t="n">
        <f aca="false">IF(I105="Opening",K105,T104+K105-R105)</f>
        <v>1451.1</v>
      </c>
      <c r="U105" s="9" t="n">
        <f aca="false">IF(I105="Opening",L105,U104+L105-S105)</f>
        <v>16420741.5526387</v>
      </c>
      <c r="V105" s="9" t="n">
        <f aca="false">IF(T105&gt;0,U105/T105,IF(I105="Opening",0,V104))</f>
        <v>11316.0647458057</v>
      </c>
      <c r="W105" s="14" t="n">
        <f aca="false">M105</f>
        <v>0</v>
      </c>
      <c r="X105" s="9" t="n">
        <f aca="false">IF(W105=0,0,IF(O105="Booked",N105,W105*AA104))</f>
        <v>0</v>
      </c>
      <c r="Y105" s="14" t="n">
        <f aca="false">IF(I105="Opening",K105,Y104+K105-W105)</f>
        <v>1451.1</v>
      </c>
      <c r="Z105" s="9" t="n">
        <f aca="false">IF(I105="Opening",L105,Z104+L105-X105)</f>
        <v>16420741.5526387</v>
      </c>
      <c r="AA105" s="9" t="n">
        <f aca="false">IF(Y105&gt;0,Z105/Y105,IF(I105="Opening",0,AA104))</f>
        <v>11316.0647458057</v>
      </c>
      <c r="AB105" s="9" t="n">
        <f aca="false">IF(AND(I105="DO",O105="MA"),S105-N105,0)</f>
        <v>0</v>
      </c>
      <c r="AC105" s="9" t="n">
        <f aca="false">IF(I105="DO",X105-S105,0)</f>
        <v>0</v>
      </c>
      <c r="AD105" s="23" t="n">
        <f aca="false">IF(B106&lt;&gt;B105,1,0)</f>
        <v>0</v>
      </c>
      <c r="AE105" s="14" t="n">
        <f aca="false">IF(I105="Opening",0,AE104+W105)</f>
        <v>161.8</v>
      </c>
      <c r="AF105" s="14" t="n">
        <f aca="false">IF(I105="Opening",K105,AF104)</f>
        <v>768.5</v>
      </c>
      <c r="AG105" s="14" t="n">
        <f aca="false">AG104</f>
        <v>0</v>
      </c>
      <c r="AH105" s="14" t="n">
        <f aca="false">IF(W105=0,0,MAX(0,MIN(AE105,AF105)-MIN(AE105-W105,AF105)))</f>
        <v>0</v>
      </c>
      <c r="AI105" s="14" t="n">
        <f aca="false">IF(W105=0,0,MAX(0,MIN(AE105,AF105+AG105)-MAX(AE105-W105,AF105)))</f>
        <v>0</v>
      </c>
      <c r="AJ105" s="14" t="n">
        <f aca="false">W105-AH105-AI105</f>
        <v>0</v>
      </c>
      <c r="AK105" s="9" t="n">
        <f aca="false">IF(W105=0,0,X105*AH105/W105)</f>
        <v>0</v>
      </c>
      <c r="AL105" s="9" t="n">
        <f aca="false">IF(W105=0,0,X105*AI105/W105)</f>
        <v>0</v>
      </c>
      <c r="AM105" s="9" t="n">
        <f aca="false">X105-AK105-AL105</f>
        <v>0</v>
      </c>
    </row>
    <row r="106" customFormat="false" ht="15" hidden="false" customHeight="false" outlineLevel="0" collapsed="false">
      <c r="A106" s="6" t="n">
        <v>101</v>
      </c>
      <c r="B106" s="74" t="s">
        <v>950</v>
      </c>
      <c r="C106" s="53" t="str">
        <f aca="false">INDEX(I_Items!$C$5:$C$133,MATCH($B106,I_Items!$A$5:$A$133,0))</f>
        <v>RPA</v>
      </c>
      <c r="D106" s="53" t="str">
        <f aca="false">INDEX(I_Items!$D$5:$D$133,MATCH($B106,I_Items!$A$5:$A$133,0))</f>
        <v>Kepala</v>
      </c>
      <c r="E106" s="53" t="str">
        <f aca="false">INDEX(I_Items!$F$5:$F$133,MATCH($B106,I_Items!$A$5:$A$133,0))</f>
        <v>Fresh</v>
      </c>
      <c r="F106" s="53" t="str">
        <f aca="false">IF(INDEX(I_Items!$E$5:$E$133,MATCH($B106,I_Items!$A$5:$A$133,0))="","",INDEX(I_Items!$E$5:$E$133,MATCH($B106,I_Items!$A$5:$A$133,0)))</f>
        <v/>
      </c>
      <c r="G106" s="76" t="n">
        <v>46244</v>
      </c>
      <c r="H106" s="23" t="n">
        <f aca="false">MONTH(G106)</f>
        <v>8</v>
      </c>
      <c r="I106" s="74" t="s">
        <v>2074</v>
      </c>
      <c r="J106" s="74" t="s">
        <v>1298</v>
      </c>
      <c r="K106" s="10" t="n">
        <v>323.2</v>
      </c>
      <c r="L106" s="8" t="n">
        <v>3715255.85</v>
      </c>
      <c r="M106" s="10" t="n">
        <v>0</v>
      </c>
      <c r="N106" s="8" t="n">
        <v>0</v>
      </c>
      <c r="O106" s="74"/>
      <c r="P106" s="74"/>
      <c r="Q106" s="74"/>
      <c r="R106" s="14" t="n">
        <f aca="false">IF(I106="Unbilled",0,M106)</f>
        <v>0</v>
      </c>
      <c r="S106" s="9" t="n">
        <f aca="false">IF(R106=0,0,IF(O106="Booked",N106,R106*V105))</f>
        <v>0</v>
      </c>
      <c r="T106" s="14" t="n">
        <f aca="false">IF(I106="Opening",K106,T105+K106-R106)</f>
        <v>1774.3</v>
      </c>
      <c r="U106" s="9" t="n">
        <f aca="false">IF(I106="Opening",L106,U105+L106-S106)</f>
        <v>20135997.4026387</v>
      </c>
      <c r="V106" s="9" t="n">
        <f aca="false">IF(T106&gt;0,U106/T106,IF(I106="Opening",0,V105))</f>
        <v>11348.6994322486</v>
      </c>
      <c r="W106" s="14" t="n">
        <f aca="false">M106</f>
        <v>0</v>
      </c>
      <c r="X106" s="9" t="n">
        <f aca="false">IF(W106=0,0,IF(O106="Booked",N106,W106*AA105))</f>
        <v>0</v>
      </c>
      <c r="Y106" s="14" t="n">
        <f aca="false">IF(I106="Opening",K106,Y105+K106-W106)</f>
        <v>1774.3</v>
      </c>
      <c r="Z106" s="9" t="n">
        <f aca="false">IF(I106="Opening",L106,Z105+L106-X106)</f>
        <v>20135997.4026387</v>
      </c>
      <c r="AA106" s="9" t="n">
        <f aca="false">IF(Y106&gt;0,Z106/Y106,IF(I106="Opening",0,AA105))</f>
        <v>11348.6994322486</v>
      </c>
      <c r="AB106" s="9" t="n">
        <f aca="false">IF(AND(I106="DO",O106="MA"),S106-N106,0)</f>
        <v>0</v>
      </c>
      <c r="AC106" s="9" t="n">
        <f aca="false">IF(I106="DO",X106-S106,0)</f>
        <v>0</v>
      </c>
      <c r="AD106" s="23" t="n">
        <f aca="false">IF(B107&lt;&gt;B106,1,0)</f>
        <v>0</v>
      </c>
      <c r="AE106" s="14" t="n">
        <f aca="false">IF(I106="Opening",0,AE105+W106)</f>
        <v>161.8</v>
      </c>
      <c r="AF106" s="14" t="n">
        <f aca="false">IF(I106="Opening",K106,AF105)</f>
        <v>768.5</v>
      </c>
      <c r="AG106" s="14" t="n">
        <f aca="false">AG105</f>
        <v>0</v>
      </c>
      <c r="AH106" s="14" t="n">
        <f aca="false">IF(W106=0,0,MAX(0,MIN(AE106,AF106)-MIN(AE106-W106,AF106)))</f>
        <v>0</v>
      </c>
      <c r="AI106" s="14" t="n">
        <f aca="false">IF(W106=0,0,MAX(0,MIN(AE106,AF106+AG106)-MAX(AE106-W106,AF106)))</f>
        <v>0</v>
      </c>
      <c r="AJ106" s="14" t="n">
        <f aca="false">W106-AH106-AI106</f>
        <v>0</v>
      </c>
      <c r="AK106" s="9" t="n">
        <f aca="false">IF(W106=0,0,X106*AH106/W106)</f>
        <v>0</v>
      </c>
      <c r="AL106" s="9" t="n">
        <f aca="false">IF(W106=0,0,X106*AI106/W106)</f>
        <v>0</v>
      </c>
      <c r="AM106" s="9" t="n">
        <f aca="false">X106-AK106-AL106</f>
        <v>0</v>
      </c>
    </row>
    <row r="107" customFormat="false" ht="15" hidden="false" customHeight="false" outlineLevel="0" collapsed="false">
      <c r="A107" s="6" t="n">
        <v>102</v>
      </c>
      <c r="B107" s="74" t="s">
        <v>950</v>
      </c>
      <c r="C107" s="53" t="str">
        <f aca="false">INDEX(I_Items!$C$5:$C$133,MATCH($B107,I_Items!$A$5:$A$133,0))</f>
        <v>RPA</v>
      </c>
      <c r="D107" s="53" t="str">
        <f aca="false">INDEX(I_Items!$D$5:$D$133,MATCH($B107,I_Items!$A$5:$A$133,0))</f>
        <v>Kepala</v>
      </c>
      <c r="E107" s="53" t="str">
        <f aca="false">INDEX(I_Items!$F$5:$F$133,MATCH($B107,I_Items!$A$5:$A$133,0))</f>
        <v>Fresh</v>
      </c>
      <c r="F107" s="53" t="str">
        <f aca="false">IF(INDEX(I_Items!$E$5:$E$133,MATCH($B107,I_Items!$A$5:$A$133,0))="","",INDEX(I_Items!$E$5:$E$133,MATCH($B107,I_Items!$A$5:$A$133,0)))</f>
        <v/>
      </c>
      <c r="G107" s="76" t="n">
        <v>46246</v>
      </c>
      <c r="H107" s="23" t="n">
        <f aca="false">MONTH(G107)</f>
        <v>8</v>
      </c>
      <c r="I107" s="74" t="s">
        <v>2075</v>
      </c>
      <c r="J107" s="74" t="s">
        <v>2079</v>
      </c>
      <c r="K107" s="10" t="n">
        <v>0</v>
      </c>
      <c r="L107" s="8" t="n">
        <v>0</v>
      </c>
      <c r="M107" s="10" t="n">
        <v>183.6</v>
      </c>
      <c r="N107" s="8" t="n">
        <v>2083621.21</v>
      </c>
      <c r="O107" s="74" t="s">
        <v>2077</v>
      </c>
      <c r="P107" s="74"/>
      <c r="Q107" s="74"/>
      <c r="R107" s="14" t="n">
        <f aca="false">IF(I107="Unbilled",0,M107)</f>
        <v>183.6</v>
      </c>
      <c r="S107" s="9" t="n">
        <f aca="false">IF(R107=0,0,IF(O107="Booked",N107,R107*V106))</f>
        <v>2083621.21576084</v>
      </c>
      <c r="T107" s="14" t="n">
        <f aca="false">IF(I107="Opening",K107,T106+K107-R107)</f>
        <v>1590.7</v>
      </c>
      <c r="U107" s="9" t="n">
        <f aca="false">IF(I107="Opening",L107,U106+L107-S107)</f>
        <v>18052376.1868779</v>
      </c>
      <c r="V107" s="9" t="n">
        <f aca="false">IF(T107&gt;0,U107/T107,IF(I107="Opening",0,V106))</f>
        <v>11348.6994322486</v>
      </c>
      <c r="W107" s="14" t="n">
        <f aca="false">M107</f>
        <v>183.6</v>
      </c>
      <c r="X107" s="9" t="n">
        <f aca="false">IF(W107=0,0,IF(O107="Booked",N107,W107*AA106))</f>
        <v>2083621.21576084</v>
      </c>
      <c r="Y107" s="14" t="n">
        <f aca="false">IF(I107="Opening",K107,Y106+K107-W107)</f>
        <v>1590.7</v>
      </c>
      <c r="Z107" s="9" t="n">
        <f aca="false">IF(I107="Opening",L107,Z106+L107-X107)</f>
        <v>18052376.1868779</v>
      </c>
      <c r="AA107" s="9" t="n">
        <f aca="false">IF(Y107&gt;0,Z107/Y107,IF(I107="Opening",0,AA106))</f>
        <v>11348.6994322486</v>
      </c>
      <c r="AB107" s="9" t="n">
        <f aca="false">IF(AND(I107="DO",O107="MA"),S107-N107,0)</f>
        <v>0.00576084409840405</v>
      </c>
      <c r="AC107" s="9" t="n">
        <f aca="false">IF(I107="DO",X107-S107,0)</f>
        <v>0</v>
      </c>
      <c r="AD107" s="23" t="n">
        <f aca="false">IF(B108&lt;&gt;B107,1,0)</f>
        <v>0</v>
      </c>
      <c r="AE107" s="14" t="n">
        <f aca="false">IF(I107="Opening",0,AE106+W107)</f>
        <v>345.4</v>
      </c>
      <c r="AF107" s="14" t="n">
        <f aca="false">IF(I107="Opening",K107,AF106)</f>
        <v>768.5</v>
      </c>
      <c r="AG107" s="14" t="n">
        <f aca="false">AG106</f>
        <v>0</v>
      </c>
      <c r="AH107" s="14" t="n">
        <f aca="false">IF(W107=0,0,MAX(0,MIN(AE107,AF107)-MIN(AE107-W107,AF107)))</f>
        <v>183.6</v>
      </c>
      <c r="AI107" s="14" t="n">
        <f aca="false">IF(W107=0,0,MAX(0,MIN(AE107,AF107+AG107)-MAX(AE107-W107,AF107)))</f>
        <v>0</v>
      </c>
      <c r="AJ107" s="14" t="n">
        <f aca="false">W107-AH107-AI107</f>
        <v>0</v>
      </c>
      <c r="AK107" s="9" t="n">
        <f aca="false">IF(W107=0,0,X107*AH107/W107)</f>
        <v>2083621.21576084</v>
      </c>
      <c r="AL107" s="9" t="n">
        <f aca="false">IF(W107=0,0,X107*AI107/W107)</f>
        <v>0</v>
      </c>
      <c r="AM107" s="9" t="n">
        <f aca="false">X107-AK107-AL107</f>
        <v>0</v>
      </c>
    </row>
    <row r="108" customFormat="false" ht="15" hidden="false" customHeight="false" outlineLevel="0" collapsed="false">
      <c r="A108" s="6" t="n">
        <v>103</v>
      </c>
      <c r="B108" s="74" t="s">
        <v>950</v>
      </c>
      <c r="C108" s="53" t="str">
        <f aca="false">INDEX(I_Items!$C$5:$C$133,MATCH($B108,I_Items!$A$5:$A$133,0))</f>
        <v>RPA</v>
      </c>
      <c r="D108" s="53" t="str">
        <f aca="false">INDEX(I_Items!$D$5:$D$133,MATCH($B108,I_Items!$A$5:$A$133,0))</f>
        <v>Kepala</v>
      </c>
      <c r="E108" s="53" t="str">
        <f aca="false">INDEX(I_Items!$F$5:$F$133,MATCH($B108,I_Items!$A$5:$A$133,0))</f>
        <v>Fresh</v>
      </c>
      <c r="F108" s="53" t="str">
        <f aca="false">IF(INDEX(I_Items!$E$5:$E$133,MATCH($B108,I_Items!$A$5:$A$133,0))="","",INDEX(I_Items!$E$5:$E$133,MATCH($B108,I_Items!$A$5:$A$133,0)))</f>
        <v/>
      </c>
      <c r="G108" s="76" t="n">
        <v>46246</v>
      </c>
      <c r="H108" s="23" t="n">
        <f aca="false">MONTH(G108)</f>
        <v>8</v>
      </c>
      <c r="I108" s="74" t="s">
        <v>2075</v>
      </c>
      <c r="J108" s="74" t="s">
        <v>2080</v>
      </c>
      <c r="K108" s="10" t="n">
        <v>0</v>
      </c>
      <c r="L108" s="8" t="n">
        <v>0</v>
      </c>
      <c r="M108" s="10" t="n">
        <v>155.5</v>
      </c>
      <c r="N108" s="8" t="n">
        <v>1764722.76</v>
      </c>
      <c r="O108" s="74" t="s">
        <v>2077</v>
      </c>
      <c r="P108" s="74"/>
      <c r="Q108" s="74"/>
      <c r="R108" s="14" t="n">
        <f aca="false">IF(I108="Unbilled",0,M108)</f>
        <v>155.5</v>
      </c>
      <c r="S108" s="9" t="n">
        <f aca="false">IF(R108=0,0,IF(O108="Booked",N108,R108*V107))</f>
        <v>1764722.76171466</v>
      </c>
      <c r="T108" s="14" t="n">
        <f aca="false">IF(I108="Opening",K108,T107+K108-R108)</f>
        <v>1435.2</v>
      </c>
      <c r="U108" s="9" t="n">
        <f aca="false">IF(I108="Opening",L108,U107+L108-S108)</f>
        <v>16287653.4251632</v>
      </c>
      <c r="V108" s="9" t="n">
        <f aca="false">IF(T108&gt;0,U108/T108,IF(I108="Opening",0,V107))</f>
        <v>11348.6994322486</v>
      </c>
      <c r="W108" s="14" t="n">
        <f aca="false">M108</f>
        <v>155.5</v>
      </c>
      <c r="X108" s="9" t="n">
        <f aca="false">IF(W108=0,0,IF(O108="Booked",N108,W108*AA107))</f>
        <v>1764722.76171466</v>
      </c>
      <c r="Y108" s="14" t="n">
        <f aca="false">IF(I108="Opening",K108,Y107+K108-W108)</f>
        <v>1435.2</v>
      </c>
      <c r="Z108" s="9" t="n">
        <f aca="false">IF(I108="Opening",L108,Z107+L108-X108)</f>
        <v>16287653.4251632</v>
      </c>
      <c r="AA108" s="9" t="n">
        <f aca="false">IF(Y108&gt;0,Z108/Y108,IF(I108="Opening",0,AA107))</f>
        <v>11348.6994322486</v>
      </c>
      <c r="AB108" s="9" t="n">
        <f aca="false">IF(AND(I108="DO",O108="MA"),S108-N108,0)</f>
        <v>0.00171465799212456</v>
      </c>
      <c r="AC108" s="9" t="n">
        <f aca="false">IF(I108="DO",X108-S108,0)</f>
        <v>0</v>
      </c>
      <c r="AD108" s="23" t="n">
        <f aca="false">IF(B109&lt;&gt;B108,1,0)</f>
        <v>0</v>
      </c>
      <c r="AE108" s="14" t="n">
        <f aca="false">IF(I108="Opening",0,AE107+W108)</f>
        <v>500.9</v>
      </c>
      <c r="AF108" s="14" t="n">
        <f aca="false">IF(I108="Opening",K108,AF107)</f>
        <v>768.5</v>
      </c>
      <c r="AG108" s="14" t="n">
        <f aca="false">AG107</f>
        <v>0</v>
      </c>
      <c r="AH108" s="14" t="n">
        <f aca="false">IF(W108=0,0,MAX(0,MIN(AE108,AF108)-MIN(AE108-W108,AF108)))</f>
        <v>155.5</v>
      </c>
      <c r="AI108" s="14" t="n">
        <f aca="false">IF(W108=0,0,MAX(0,MIN(AE108,AF108+AG108)-MAX(AE108-W108,AF108)))</f>
        <v>0</v>
      </c>
      <c r="AJ108" s="14" t="n">
        <f aca="false">W108-AH108-AI108</f>
        <v>0</v>
      </c>
      <c r="AK108" s="9" t="n">
        <f aca="false">IF(W108=0,0,X108*AH108/W108)</f>
        <v>1764722.76171466</v>
      </c>
      <c r="AL108" s="9" t="n">
        <f aca="false">IF(W108=0,0,X108*AI108/W108)</f>
        <v>0</v>
      </c>
      <c r="AM108" s="9" t="n">
        <f aca="false">X108-AK108-AL108</f>
        <v>0</v>
      </c>
    </row>
    <row r="109" customFormat="false" ht="15" hidden="false" customHeight="false" outlineLevel="0" collapsed="false">
      <c r="A109" s="6" t="n">
        <v>104</v>
      </c>
      <c r="B109" s="74" t="s">
        <v>950</v>
      </c>
      <c r="C109" s="53" t="str">
        <f aca="false">INDEX(I_Items!$C$5:$C$133,MATCH($B109,I_Items!$A$5:$A$133,0))</f>
        <v>RPA</v>
      </c>
      <c r="D109" s="53" t="str">
        <f aca="false">INDEX(I_Items!$D$5:$D$133,MATCH($B109,I_Items!$A$5:$A$133,0))</f>
        <v>Kepala</v>
      </c>
      <c r="E109" s="53" t="str">
        <f aca="false">INDEX(I_Items!$F$5:$F$133,MATCH($B109,I_Items!$A$5:$A$133,0))</f>
        <v>Fresh</v>
      </c>
      <c r="F109" s="53" t="str">
        <f aca="false">IF(INDEX(I_Items!$E$5:$E$133,MATCH($B109,I_Items!$A$5:$A$133,0))="","",INDEX(I_Items!$E$5:$E$133,MATCH($B109,I_Items!$A$5:$A$133,0)))</f>
        <v/>
      </c>
      <c r="G109" s="76" t="n">
        <v>46246</v>
      </c>
      <c r="H109" s="23" t="n">
        <f aca="false">MONTH(G109)</f>
        <v>8</v>
      </c>
      <c r="I109" s="74" t="s">
        <v>2075</v>
      </c>
      <c r="J109" s="74" t="s">
        <v>2081</v>
      </c>
      <c r="K109" s="10" t="n">
        <v>0</v>
      </c>
      <c r="L109" s="8" t="n">
        <v>0</v>
      </c>
      <c r="M109" s="10" t="n">
        <v>179.7</v>
      </c>
      <c r="N109" s="8" t="n">
        <v>2039361.28</v>
      </c>
      <c r="O109" s="74" t="s">
        <v>2077</v>
      </c>
      <c r="P109" s="74"/>
      <c r="Q109" s="74"/>
      <c r="R109" s="14" t="n">
        <f aca="false">IF(I109="Unbilled",0,M109)</f>
        <v>179.7</v>
      </c>
      <c r="S109" s="9" t="n">
        <f aca="false">IF(R109=0,0,IF(O109="Booked",N109,R109*V108))</f>
        <v>2039361.28797507</v>
      </c>
      <c r="T109" s="14" t="n">
        <f aca="false">IF(I109="Opening",K109,T108+K109-R109)</f>
        <v>1255.5</v>
      </c>
      <c r="U109" s="9" t="n">
        <f aca="false">IF(I109="Opening",L109,U108+L109-S109)</f>
        <v>14248292.1371881</v>
      </c>
      <c r="V109" s="9" t="n">
        <f aca="false">IF(T109&gt;0,U109/T109,IF(I109="Opening",0,V108))</f>
        <v>11348.6994322486</v>
      </c>
      <c r="W109" s="14" t="n">
        <f aca="false">M109</f>
        <v>179.7</v>
      </c>
      <c r="X109" s="9" t="n">
        <f aca="false">IF(W109=0,0,IF(O109="Booked",N109,W109*AA108))</f>
        <v>2039361.28797507</v>
      </c>
      <c r="Y109" s="14" t="n">
        <f aca="false">IF(I109="Opening",K109,Y108+K109-W109)</f>
        <v>1255.5</v>
      </c>
      <c r="Z109" s="9" t="n">
        <f aca="false">IF(I109="Opening",L109,Z108+L109-X109)</f>
        <v>14248292.1371881</v>
      </c>
      <c r="AA109" s="9" t="n">
        <f aca="false">IF(Y109&gt;0,Z109/Y109,IF(I109="Opening",0,AA108))</f>
        <v>11348.6994322486</v>
      </c>
      <c r="AB109" s="9" t="n">
        <f aca="false">IF(AND(I109="DO",O109="MA"),S109-N109,0)</f>
        <v>0.00797507399693131</v>
      </c>
      <c r="AC109" s="9" t="n">
        <f aca="false">IF(I109="DO",X109-S109,0)</f>
        <v>0</v>
      </c>
      <c r="AD109" s="23" t="n">
        <f aca="false">IF(B110&lt;&gt;B109,1,0)</f>
        <v>0</v>
      </c>
      <c r="AE109" s="14" t="n">
        <f aca="false">IF(I109="Opening",0,AE108+W109)</f>
        <v>680.6</v>
      </c>
      <c r="AF109" s="14" t="n">
        <f aca="false">IF(I109="Opening",K109,AF108)</f>
        <v>768.5</v>
      </c>
      <c r="AG109" s="14" t="n">
        <f aca="false">AG108</f>
        <v>0</v>
      </c>
      <c r="AH109" s="14" t="n">
        <f aca="false">IF(W109=0,0,MAX(0,MIN(AE109,AF109)-MIN(AE109-W109,AF109)))</f>
        <v>179.7</v>
      </c>
      <c r="AI109" s="14" t="n">
        <f aca="false">IF(W109=0,0,MAX(0,MIN(AE109,AF109+AG109)-MAX(AE109-W109,AF109)))</f>
        <v>0</v>
      </c>
      <c r="AJ109" s="14" t="n">
        <f aca="false">W109-AH109-AI109</f>
        <v>0</v>
      </c>
      <c r="AK109" s="9" t="n">
        <f aca="false">IF(W109=0,0,X109*AH109/W109)</f>
        <v>2039361.28797507</v>
      </c>
      <c r="AL109" s="9" t="n">
        <f aca="false">IF(W109=0,0,X109*AI109/W109)</f>
        <v>0</v>
      </c>
      <c r="AM109" s="9" t="n">
        <f aca="false">X109-AK109-AL109</f>
        <v>0</v>
      </c>
    </row>
    <row r="110" customFormat="false" ht="15" hidden="false" customHeight="false" outlineLevel="0" collapsed="false">
      <c r="A110" s="6" t="n">
        <v>105</v>
      </c>
      <c r="B110" s="74" t="s">
        <v>950</v>
      </c>
      <c r="C110" s="53" t="str">
        <f aca="false">INDEX(I_Items!$C$5:$C$133,MATCH($B110,I_Items!$A$5:$A$133,0))</f>
        <v>RPA</v>
      </c>
      <c r="D110" s="53" t="str">
        <f aca="false">INDEX(I_Items!$D$5:$D$133,MATCH($B110,I_Items!$A$5:$A$133,0))</f>
        <v>Kepala</v>
      </c>
      <c r="E110" s="53" t="str">
        <f aca="false">INDEX(I_Items!$F$5:$F$133,MATCH($B110,I_Items!$A$5:$A$133,0))</f>
        <v>Fresh</v>
      </c>
      <c r="F110" s="53" t="str">
        <f aca="false">IF(INDEX(I_Items!$E$5:$E$133,MATCH($B110,I_Items!$A$5:$A$133,0))="","",INDEX(I_Items!$E$5:$E$133,MATCH($B110,I_Items!$A$5:$A$133,0)))</f>
        <v/>
      </c>
      <c r="G110" s="76" t="n">
        <v>46246</v>
      </c>
      <c r="H110" s="23" t="n">
        <f aca="false">MONTH(G110)</f>
        <v>8</v>
      </c>
      <c r="I110" s="74" t="s">
        <v>2075</v>
      </c>
      <c r="J110" s="74" t="s">
        <v>2082</v>
      </c>
      <c r="K110" s="10" t="n">
        <v>0</v>
      </c>
      <c r="L110" s="8" t="n">
        <v>0</v>
      </c>
      <c r="M110" s="10" t="n">
        <v>161.6</v>
      </c>
      <c r="N110" s="8" t="n">
        <v>1833949.82</v>
      </c>
      <c r="O110" s="74" t="s">
        <v>2077</v>
      </c>
      <c r="P110" s="74"/>
      <c r="Q110" s="74"/>
      <c r="R110" s="14" t="n">
        <f aca="false">IF(I110="Unbilled",0,M110)</f>
        <v>161.6</v>
      </c>
      <c r="S110" s="9" t="n">
        <f aca="false">IF(R110=0,0,IF(O110="Booked",N110,R110*V109))</f>
        <v>1833949.82825137</v>
      </c>
      <c r="T110" s="14" t="n">
        <f aca="false">IF(I110="Opening",K110,T109+K110-R110)</f>
        <v>1093.9</v>
      </c>
      <c r="U110" s="9" t="n">
        <f aca="false">IF(I110="Opening",L110,U109+L110-S110)</f>
        <v>12414342.3089367</v>
      </c>
      <c r="V110" s="9" t="n">
        <f aca="false">IF(T110&gt;0,U110/T110,IF(I110="Opening",0,V109))</f>
        <v>11348.6994322486</v>
      </c>
      <c r="W110" s="14" t="n">
        <f aca="false">M110</f>
        <v>161.6</v>
      </c>
      <c r="X110" s="9" t="n">
        <f aca="false">IF(W110=0,0,IF(O110="Booked",N110,W110*AA109))</f>
        <v>1833949.82825137</v>
      </c>
      <c r="Y110" s="14" t="n">
        <f aca="false">IF(I110="Opening",K110,Y109+K110-W110)</f>
        <v>1093.9</v>
      </c>
      <c r="Z110" s="9" t="n">
        <f aca="false">IF(I110="Opening",L110,Z109+L110-X110)</f>
        <v>12414342.3089367</v>
      </c>
      <c r="AA110" s="9" t="n">
        <f aca="false">IF(Y110&gt;0,Z110/Y110,IF(I110="Opening",0,AA109))</f>
        <v>11348.6994322486</v>
      </c>
      <c r="AB110" s="9" t="n">
        <f aca="false">IF(AND(I110="DO",O110="MA"),S110-N110,0)</f>
        <v>0.00825137435458601</v>
      </c>
      <c r="AC110" s="9" t="n">
        <f aca="false">IF(I110="DO",X110-S110,0)</f>
        <v>0</v>
      </c>
      <c r="AD110" s="23" t="n">
        <f aca="false">IF(B111&lt;&gt;B110,1,0)</f>
        <v>0</v>
      </c>
      <c r="AE110" s="14" t="n">
        <f aca="false">IF(I110="Opening",0,AE109+W110)</f>
        <v>842.2</v>
      </c>
      <c r="AF110" s="14" t="n">
        <f aca="false">IF(I110="Opening",K110,AF109)</f>
        <v>768.5</v>
      </c>
      <c r="AG110" s="14" t="n">
        <f aca="false">AG109</f>
        <v>0</v>
      </c>
      <c r="AH110" s="14" t="n">
        <f aca="false">IF(W110=0,0,MAX(0,MIN(AE110,AF110)-MIN(AE110-W110,AF110)))</f>
        <v>87.9000000000001</v>
      </c>
      <c r="AI110" s="14" t="n">
        <f aca="false">IF(W110=0,0,MAX(0,MIN(AE110,AF110+AG110)-MAX(AE110-W110,AF110)))</f>
        <v>0</v>
      </c>
      <c r="AJ110" s="14" t="n">
        <f aca="false">W110-AH110-AI110</f>
        <v>73.6999999999999</v>
      </c>
      <c r="AK110" s="9" t="n">
        <f aca="false">IF(W110=0,0,X110*AH110/W110)</f>
        <v>997550.680094653</v>
      </c>
      <c r="AL110" s="9" t="n">
        <f aca="false">IF(W110=0,0,X110*AI110/W110)</f>
        <v>0</v>
      </c>
      <c r="AM110" s="9" t="n">
        <f aca="false">X110-AK110-AL110</f>
        <v>836399.148156721</v>
      </c>
    </row>
    <row r="111" customFormat="false" ht="15" hidden="false" customHeight="false" outlineLevel="0" collapsed="false">
      <c r="A111" s="6" t="n">
        <v>106</v>
      </c>
      <c r="B111" s="74" t="s">
        <v>950</v>
      </c>
      <c r="C111" s="53" t="str">
        <f aca="false">INDEX(I_Items!$C$5:$C$133,MATCH($B111,I_Items!$A$5:$A$133,0))</f>
        <v>RPA</v>
      </c>
      <c r="D111" s="53" t="str">
        <f aca="false">INDEX(I_Items!$D$5:$D$133,MATCH($B111,I_Items!$A$5:$A$133,0))</f>
        <v>Kepala</v>
      </c>
      <c r="E111" s="53" t="str">
        <f aca="false">INDEX(I_Items!$F$5:$F$133,MATCH($B111,I_Items!$A$5:$A$133,0))</f>
        <v>Fresh</v>
      </c>
      <c r="F111" s="53" t="str">
        <f aca="false">IF(INDEX(I_Items!$E$5:$E$133,MATCH($B111,I_Items!$A$5:$A$133,0))="","",INDEX(I_Items!$E$5:$E$133,MATCH($B111,I_Items!$A$5:$A$133,0)))</f>
        <v/>
      </c>
      <c r="G111" s="76" t="n">
        <v>46246</v>
      </c>
      <c r="H111" s="23" t="n">
        <f aca="false">MONTH(G111)</f>
        <v>8</v>
      </c>
      <c r="I111" s="74" t="s">
        <v>2075</v>
      </c>
      <c r="J111" s="74" t="s">
        <v>2083</v>
      </c>
      <c r="K111" s="10" t="n">
        <v>0</v>
      </c>
      <c r="L111" s="8" t="n">
        <v>0</v>
      </c>
      <c r="M111" s="10" t="n">
        <v>154.5</v>
      </c>
      <c r="N111" s="8" t="n">
        <v>1753374.06</v>
      </c>
      <c r="O111" s="74" t="s">
        <v>2077</v>
      </c>
      <c r="P111" s="74"/>
      <c r="Q111" s="74"/>
      <c r="R111" s="14" t="n">
        <f aca="false">IF(I111="Unbilled",0,M111)</f>
        <v>154.5</v>
      </c>
      <c r="S111" s="9" t="n">
        <f aca="false">IF(R111=0,0,IF(O111="Booked",N111,R111*V110))</f>
        <v>1753374.06228241</v>
      </c>
      <c r="T111" s="14" t="n">
        <f aca="false">IF(I111="Opening",K111,T110+K111-R111)</f>
        <v>939.4</v>
      </c>
      <c r="U111" s="9" t="n">
        <f aca="false">IF(I111="Opening",L111,U110+L111-S111)</f>
        <v>10660968.2466543</v>
      </c>
      <c r="V111" s="9" t="n">
        <f aca="false">IF(T111&gt;0,U111/T111,IF(I111="Opening",0,V110))</f>
        <v>11348.6994322486</v>
      </c>
      <c r="W111" s="14" t="n">
        <f aca="false">M111</f>
        <v>154.5</v>
      </c>
      <c r="X111" s="9" t="n">
        <f aca="false">IF(W111=0,0,IF(O111="Booked",N111,W111*AA110))</f>
        <v>1753374.06228241</v>
      </c>
      <c r="Y111" s="14" t="n">
        <f aca="false">IF(I111="Opening",K111,Y110+K111-W111)</f>
        <v>939.4</v>
      </c>
      <c r="Z111" s="9" t="n">
        <f aca="false">IF(I111="Opening",L111,Z110+L111-X111)</f>
        <v>10660968.2466543</v>
      </c>
      <c r="AA111" s="9" t="n">
        <f aca="false">IF(Y111&gt;0,Z111/Y111,IF(I111="Opening",0,AA110))</f>
        <v>11348.6994322486</v>
      </c>
      <c r="AB111" s="9" t="n">
        <f aca="false">IF(AND(I111="DO",O111="MA"),S111-N111,0)</f>
        <v>0.0022824089974165</v>
      </c>
      <c r="AC111" s="9" t="n">
        <f aca="false">IF(I111="DO",X111-S111,0)</f>
        <v>0</v>
      </c>
      <c r="AD111" s="23" t="n">
        <f aca="false">IF(B112&lt;&gt;B111,1,0)</f>
        <v>0</v>
      </c>
      <c r="AE111" s="14" t="n">
        <f aca="false">IF(I111="Opening",0,AE110+W111)</f>
        <v>996.7</v>
      </c>
      <c r="AF111" s="14" t="n">
        <f aca="false">IF(I111="Opening",K111,AF110)</f>
        <v>768.5</v>
      </c>
      <c r="AG111" s="14" t="n">
        <f aca="false">AG110</f>
        <v>0</v>
      </c>
      <c r="AH111" s="14" t="n">
        <f aca="false">IF(W111=0,0,MAX(0,MIN(AE111,AF111)-MIN(AE111-W111,AF111)))</f>
        <v>0</v>
      </c>
      <c r="AI111" s="14" t="n">
        <f aca="false">IF(W111=0,0,MAX(0,MIN(AE111,AF111+AG111)-MAX(AE111-W111,AF111)))</f>
        <v>0</v>
      </c>
      <c r="AJ111" s="14" t="n">
        <f aca="false">W111-AH111-AI111</f>
        <v>154.5</v>
      </c>
      <c r="AK111" s="9" t="n">
        <f aca="false">IF(W111=0,0,X111*AH111/W111)</f>
        <v>0</v>
      </c>
      <c r="AL111" s="9" t="n">
        <f aca="false">IF(W111=0,0,X111*AI111/W111)</f>
        <v>0</v>
      </c>
      <c r="AM111" s="9" t="n">
        <f aca="false">X111-AK111-AL111</f>
        <v>1753374.06228241</v>
      </c>
    </row>
    <row r="112" customFormat="false" ht="15" hidden="false" customHeight="false" outlineLevel="0" collapsed="false">
      <c r="A112" s="6" t="n">
        <v>107</v>
      </c>
      <c r="B112" s="74" t="s">
        <v>950</v>
      </c>
      <c r="C112" s="53" t="str">
        <f aca="false">INDEX(I_Items!$C$5:$C$133,MATCH($B112,I_Items!$A$5:$A$133,0))</f>
        <v>RPA</v>
      </c>
      <c r="D112" s="53" t="str">
        <f aca="false">INDEX(I_Items!$D$5:$D$133,MATCH($B112,I_Items!$A$5:$A$133,0))</f>
        <v>Kepala</v>
      </c>
      <c r="E112" s="53" t="str">
        <f aca="false">INDEX(I_Items!$F$5:$F$133,MATCH($B112,I_Items!$A$5:$A$133,0))</f>
        <v>Fresh</v>
      </c>
      <c r="F112" s="53" t="str">
        <f aca="false">IF(INDEX(I_Items!$E$5:$E$133,MATCH($B112,I_Items!$A$5:$A$133,0))="","",INDEX(I_Items!$E$5:$E$133,MATCH($B112,I_Items!$A$5:$A$133,0)))</f>
        <v/>
      </c>
      <c r="G112" s="76" t="n">
        <v>46248</v>
      </c>
      <c r="H112" s="23" t="n">
        <f aca="false">MONTH(G112)</f>
        <v>8</v>
      </c>
      <c r="I112" s="74" t="s">
        <v>2074</v>
      </c>
      <c r="J112" s="74" t="s">
        <v>1302</v>
      </c>
      <c r="K112" s="10" t="n">
        <v>705.9</v>
      </c>
      <c r="L112" s="8" t="n">
        <v>8189689.09</v>
      </c>
      <c r="M112" s="10" t="n">
        <v>0</v>
      </c>
      <c r="N112" s="8" t="n">
        <v>0</v>
      </c>
      <c r="O112" s="74"/>
      <c r="P112" s="74"/>
      <c r="Q112" s="74"/>
      <c r="R112" s="14" t="n">
        <f aca="false">IF(I112="Unbilled",0,M112)</f>
        <v>0</v>
      </c>
      <c r="S112" s="9" t="n">
        <f aca="false">IF(R112=0,0,IF(O112="Booked",N112,R112*V111))</f>
        <v>0</v>
      </c>
      <c r="T112" s="14" t="n">
        <f aca="false">IF(I112="Opening",K112,T111+K112-R112)</f>
        <v>1645.3</v>
      </c>
      <c r="U112" s="9" t="n">
        <f aca="false">IF(I112="Opening",L112,U111+L112-S112)</f>
        <v>18850657.3366543</v>
      </c>
      <c r="V112" s="9" t="n">
        <f aca="false">IF(T112&gt;0,U112/T112,IF(I112="Opening",0,V111))</f>
        <v>11457.2766891475</v>
      </c>
      <c r="W112" s="14" t="n">
        <f aca="false">M112</f>
        <v>0</v>
      </c>
      <c r="X112" s="9" t="n">
        <f aca="false">IF(W112=0,0,IF(O112="Booked",N112,W112*AA111))</f>
        <v>0</v>
      </c>
      <c r="Y112" s="14" t="n">
        <f aca="false">IF(I112="Opening",K112,Y111+K112-W112)</f>
        <v>1645.3</v>
      </c>
      <c r="Z112" s="9" t="n">
        <f aca="false">IF(I112="Opening",L112,Z111+L112-X112)</f>
        <v>18850657.3366543</v>
      </c>
      <c r="AA112" s="9" t="n">
        <f aca="false">IF(Y112&gt;0,Z112/Y112,IF(I112="Opening",0,AA111))</f>
        <v>11457.2766891475</v>
      </c>
      <c r="AB112" s="9" t="n">
        <f aca="false">IF(AND(I112="DO",O112="MA"),S112-N112,0)</f>
        <v>0</v>
      </c>
      <c r="AC112" s="9" t="n">
        <f aca="false">IF(I112="DO",X112-S112,0)</f>
        <v>0</v>
      </c>
      <c r="AD112" s="23" t="n">
        <f aca="false">IF(B113&lt;&gt;B112,1,0)</f>
        <v>0</v>
      </c>
      <c r="AE112" s="14" t="n">
        <f aca="false">IF(I112="Opening",0,AE111+W112)</f>
        <v>996.7</v>
      </c>
      <c r="AF112" s="14" t="n">
        <f aca="false">IF(I112="Opening",K112,AF111)</f>
        <v>768.5</v>
      </c>
      <c r="AG112" s="14" t="n">
        <f aca="false">AG111</f>
        <v>0</v>
      </c>
      <c r="AH112" s="14" t="n">
        <f aca="false">IF(W112=0,0,MAX(0,MIN(AE112,AF112)-MIN(AE112-W112,AF112)))</f>
        <v>0</v>
      </c>
      <c r="AI112" s="14" t="n">
        <f aca="false">IF(W112=0,0,MAX(0,MIN(AE112,AF112+AG112)-MAX(AE112-W112,AF112)))</f>
        <v>0</v>
      </c>
      <c r="AJ112" s="14" t="n">
        <f aca="false">W112-AH112-AI112</f>
        <v>0</v>
      </c>
      <c r="AK112" s="9" t="n">
        <f aca="false">IF(W112=0,0,X112*AH112/W112)</f>
        <v>0</v>
      </c>
      <c r="AL112" s="9" t="n">
        <f aca="false">IF(W112=0,0,X112*AI112/W112)</f>
        <v>0</v>
      </c>
      <c r="AM112" s="9" t="n">
        <f aca="false">X112-AK112-AL112</f>
        <v>0</v>
      </c>
    </row>
    <row r="113" customFormat="false" ht="15" hidden="false" customHeight="false" outlineLevel="0" collapsed="false">
      <c r="A113" s="6" t="n">
        <v>108</v>
      </c>
      <c r="B113" s="74" t="s">
        <v>950</v>
      </c>
      <c r="C113" s="53" t="str">
        <f aca="false">INDEX(I_Items!$C$5:$C$133,MATCH($B113,I_Items!$A$5:$A$133,0))</f>
        <v>RPA</v>
      </c>
      <c r="D113" s="53" t="str">
        <f aca="false">INDEX(I_Items!$D$5:$D$133,MATCH($B113,I_Items!$A$5:$A$133,0))</f>
        <v>Kepala</v>
      </c>
      <c r="E113" s="53" t="str">
        <f aca="false">INDEX(I_Items!$F$5:$F$133,MATCH($B113,I_Items!$A$5:$A$133,0))</f>
        <v>Fresh</v>
      </c>
      <c r="F113" s="53" t="str">
        <f aca="false">IF(INDEX(I_Items!$E$5:$E$133,MATCH($B113,I_Items!$A$5:$A$133,0))="","",INDEX(I_Items!$E$5:$E$133,MATCH($B113,I_Items!$A$5:$A$133,0)))</f>
        <v/>
      </c>
      <c r="G113" s="76" t="n">
        <v>46252</v>
      </c>
      <c r="H113" s="23" t="n">
        <f aca="false">MONTH(G113)</f>
        <v>8</v>
      </c>
      <c r="I113" s="74" t="s">
        <v>2075</v>
      </c>
      <c r="J113" s="74" t="s">
        <v>2084</v>
      </c>
      <c r="K113" s="10" t="n">
        <v>0</v>
      </c>
      <c r="L113" s="8" t="n">
        <v>0</v>
      </c>
      <c r="M113" s="10" t="n">
        <v>167.9</v>
      </c>
      <c r="N113" s="8" t="n">
        <v>1923676.76</v>
      </c>
      <c r="O113" s="74" t="s">
        <v>2077</v>
      </c>
      <c r="P113" s="74"/>
      <c r="Q113" s="74"/>
      <c r="R113" s="14" t="n">
        <f aca="false">IF(I113="Unbilled",0,M113)</f>
        <v>167.9</v>
      </c>
      <c r="S113" s="9" t="n">
        <f aca="false">IF(R113=0,0,IF(O113="Booked",N113,R113*V112))</f>
        <v>1923676.75610786</v>
      </c>
      <c r="T113" s="14" t="n">
        <f aca="false">IF(I113="Opening",K113,T112+K113-R113)</f>
        <v>1477.4</v>
      </c>
      <c r="U113" s="9" t="n">
        <f aca="false">IF(I113="Opening",L113,U112+L113-S113)</f>
        <v>16926980.5805465</v>
      </c>
      <c r="V113" s="9" t="n">
        <f aca="false">IF(T113&gt;0,U113/T113,IF(I113="Opening",0,V112))</f>
        <v>11457.2766891475</v>
      </c>
      <c r="W113" s="14" t="n">
        <f aca="false">M113</f>
        <v>167.9</v>
      </c>
      <c r="X113" s="9" t="n">
        <f aca="false">IF(W113=0,0,IF(O113="Booked",N113,W113*AA112))</f>
        <v>1923676.75610786</v>
      </c>
      <c r="Y113" s="14" t="n">
        <f aca="false">IF(I113="Opening",K113,Y112+K113-W113)</f>
        <v>1477.4</v>
      </c>
      <c r="Z113" s="9" t="n">
        <f aca="false">IF(I113="Opening",L113,Z112+L113-X113)</f>
        <v>16926980.5805465</v>
      </c>
      <c r="AA113" s="9" t="n">
        <f aca="false">IF(Y113&gt;0,Z113/Y113,IF(I113="Opening",0,AA112))</f>
        <v>11457.2766891475</v>
      </c>
      <c r="AB113" s="9" t="n">
        <f aca="false">IF(AND(I113="DO",O113="MA"),S113-N113,0)</f>
        <v>-0.003892139531672</v>
      </c>
      <c r="AC113" s="9" t="n">
        <f aca="false">IF(I113="DO",X113-S113,0)</f>
        <v>0</v>
      </c>
      <c r="AD113" s="23" t="n">
        <f aca="false">IF(B114&lt;&gt;B113,1,0)</f>
        <v>0</v>
      </c>
      <c r="AE113" s="14" t="n">
        <f aca="false">IF(I113="Opening",0,AE112+W113)</f>
        <v>1164.6</v>
      </c>
      <c r="AF113" s="14" t="n">
        <f aca="false">IF(I113="Opening",K113,AF112)</f>
        <v>768.5</v>
      </c>
      <c r="AG113" s="14" t="n">
        <f aca="false">AG112</f>
        <v>0</v>
      </c>
      <c r="AH113" s="14" t="n">
        <f aca="false">IF(W113=0,0,MAX(0,MIN(AE113,AF113)-MIN(AE113-W113,AF113)))</f>
        <v>0</v>
      </c>
      <c r="AI113" s="14" t="n">
        <f aca="false">IF(W113=0,0,MAX(0,MIN(AE113,AF113+AG113)-MAX(AE113-W113,AF113)))</f>
        <v>0</v>
      </c>
      <c r="AJ113" s="14" t="n">
        <f aca="false">W113-AH113-AI113</f>
        <v>167.9</v>
      </c>
      <c r="AK113" s="9" t="n">
        <f aca="false">IF(W113=0,0,X113*AH113/W113)</f>
        <v>0</v>
      </c>
      <c r="AL113" s="9" t="n">
        <f aca="false">IF(W113=0,0,X113*AI113/W113)</f>
        <v>0</v>
      </c>
      <c r="AM113" s="9" t="n">
        <f aca="false">X113-AK113-AL113</f>
        <v>1923676.75610786</v>
      </c>
    </row>
    <row r="114" customFormat="false" ht="15" hidden="false" customHeight="false" outlineLevel="0" collapsed="false">
      <c r="A114" s="6" t="n">
        <v>109</v>
      </c>
      <c r="B114" s="74" t="s">
        <v>950</v>
      </c>
      <c r="C114" s="53" t="str">
        <f aca="false">INDEX(I_Items!$C$5:$C$133,MATCH($B114,I_Items!$A$5:$A$133,0))</f>
        <v>RPA</v>
      </c>
      <c r="D114" s="53" t="str">
        <f aca="false">INDEX(I_Items!$D$5:$D$133,MATCH($B114,I_Items!$A$5:$A$133,0))</f>
        <v>Kepala</v>
      </c>
      <c r="E114" s="53" t="str">
        <f aca="false">INDEX(I_Items!$F$5:$F$133,MATCH($B114,I_Items!$A$5:$A$133,0))</f>
        <v>Fresh</v>
      </c>
      <c r="F114" s="53" t="str">
        <f aca="false">IF(INDEX(I_Items!$E$5:$E$133,MATCH($B114,I_Items!$A$5:$A$133,0))="","",INDEX(I_Items!$E$5:$E$133,MATCH($B114,I_Items!$A$5:$A$133,0)))</f>
        <v/>
      </c>
      <c r="G114" s="76" t="n">
        <v>46252</v>
      </c>
      <c r="H114" s="23" t="n">
        <f aca="false">MONTH(G114)</f>
        <v>8</v>
      </c>
      <c r="I114" s="74" t="s">
        <v>2075</v>
      </c>
      <c r="J114" s="74" t="s">
        <v>2085</v>
      </c>
      <c r="K114" s="10" t="n">
        <v>0</v>
      </c>
      <c r="L114" s="8" t="n">
        <v>0</v>
      </c>
      <c r="M114" s="10" t="n">
        <v>175</v>
      </c>
      <c r="N114" s="8" t="n">
        <v>2005023.42</v>
      </c>
      <c r="O114" s="74" t="s">
        <v>2077</v>
      </c>
      <c r="P114" s="74"/>
      <c r="Q114" s="74"/>
      <c r="R114" s="14" t="n">
        <f aca="false">IF(I114="Unbilled",0,M114)</f>
        <v>175</v>
      </c>
      <c r="S114" s="9" t="n">
        <f aca="false">IF(R114=0,0,IF(O114="Booked",N114,R114*V113))</f>
        <v>2005023.42060081</v>
      </c>
      <c r="T114" s="14" t="n">
        <f aca="false">IF(I114="Opening",K114,T113+K114-R114)</f>
        <v>1302.4</v>
      </c>
      <c r="U114" s="9" t="n">
        <f aca="false">IF(I114="Opening",L114,U113+L114-S114)</f>
        <v>14921957.1599457</v>
      </c>
      <c r="V114" s="9" t="n">
        <f aca="false">IF(T114&gt;0,U114/T114,IF(I114="Opening",0,V113))</f>
        <v>11457.2766891475</v>
      </c>
      <c r="W114" s="14" t="n">
        <f aca="false">M114</f>
        <v>175</v>
      </c>
      <c r="X114" s="9" t="n">
        <f aca="false">IF(W114=0,0,IF(O114="Booked",N114,W114*AA113))</f>
        <v>2005023.42060081</v>
      </c>
      <c r="Y114" s="14" t="n">
        <f aca="false">IF(I114="Opening",K114,Y113+K114-W114)</f>
        <v>1302.4</v>
      </c>
      <c r="Z114" s="9" t="n">
        <f aca="false">IF(I114="Opening",L114,Z113+L114-X114)</f>
        <v>14921957.1599457</v>
      </c>
      <c r="AA114" s="9" t="n">
        <f aca="false">IF(Y114&gt;0,Z114/Y114,IF(I114="Opening",0,AA113))</f>
        <v>11457.2766891475</v>
      </c>
      <c r="AB114" s="9" t="n">
        <f aca="false">IF(AND(I114="DO",O114="MA"),S114-N114,0)</f>
        <v>0.000600807601585984</v>
      </c>
      <c r="AC114" s="9" t="n">
        <f aca="false">IF(I114="DO",X114-S114,0)</f>
        <v>0</v>
      </c>
      <c r="AD114" s="23" t="n">
        <f aca="false">IF(B115&lt;&gt;B114,1,0)</f>
        <v>0</v>
      </c>
      <c r="AE114" s="14" t="n">
        <f aca="false">IF(I114="Opening",0,AE113+W114)</f>
        <v>1339.6</v>
      </c>
      <c r="AF114" s="14" t="n">
        <f aca="false">IF(I114="Opening",K114,AF113)</f>
        <v>768.5</v>
      </c>
      <c r="AG114" s="14" t="n">
        <f aca="false">AG113</f>
        <v>0</v>
      </c>
      <c r="AH114" s="14" t="n">
        <f aca="false">IF(W114=0,0,MAX(0,MIN(AE114,AF114)-MIN(AE114-W114,AF114)))</f>
        <v>0</v>
      </c>
      <c r="AI114" s="14" t="n">
        <f aca="false">IF(W114=0,0,MAX(0,MIN(AE114,AF114+AG114)-MAX(AE114-W114,AF114)))</f>
        <v>0</v>
      </c>
      <c r="AJ114" s="14" t="n">
        <f aca="false">W114-AH114-AI114</f>
        <v>175</v>
      </c>
      <c r="AK114" s="9" t="n">
        <f aca="false">IF(W114=0,0,X114*AH114/W114)</f>
        <v>0</v>
      </c>
      <c r="AL114" s="9" t="n">
        <f aca="false">IF(W114=0,0,X114*AI114/W114)</f>
        <v>0</v>
      </c>
      <c r="AM114" s="9" t="n">
        <f aca="false">X114-AK114-AL114</f>
        <v>2005023.42060081</v>
      </c>
    </row>
    <row r="115" customFormat="false" ht="15" hidden="false" customHeight="false" outlineLevel="0" collapsed="false">
      <c r="A115" s="6" t="n">
        <v>110</v>
      </c>
      <c r="B115" s="74" t="s">
        <v>950</v>
      </c>
      <c r="C115" s="53" t="str">
        <f aca="false">INDEX(I_Items!$C$5:$C$133,MATCH($B115,I_Items!$A$5:$A$133,0))</f>
        <v>RPA</v>
      </c>
      <c r="D115" s="53" t="str">
        <f aca="false">INDEX(I_Items!$D$5:$D$133,MATCH($B115,I_Items!$A$5:$A$133,0))</f>
        <v>Kepala</v>
      </c>
      <c r="E115" s="53" t="str">
        <f aca="false">INDEX(I_Items!$F$5:$F$133,MATCH($B115,I_Items!$A$5:$A$133,0))</f>
        <v>Fresh</v>
      </c>
      <c r="F115" s="53" t="str">
        <f aca="false">IF(INDEX(I_Items!$E$5:$E$133,MATCH($B115,I_Items!$A$5:$A$133,0))="","",INDEX(I_Items!$E$5:$E$133,MATCH($B115,I_Items!$A$5:$A$133,0)))</f>
        <v/>
      </c>
      <c r="G115" s="76" t="n">
        <v>46252</v>
      </c>
      <c r="H115" s="23" t="n">
        <f aca="false">MONTH(G115)</f>
        <v>8</v>
      </c>
      <c r="I115" s="74" t="s">
        <v>2075</v>
      </c>
      <c r="J115" s="74" t="s">
        <v>2086</v>
      </c>
      <c r="K115" s="10" t="n">
        <v>0</v>
      </c>
      <c r="L115" s="8" t="n">
        <v>0</v>
      </c>
      <c r="M115" s="10" t="n">
        <v>179.5</v>
      </c>
      <c r="N115" s="8" t="n">
        <v>2056581.17</v>
      </c>
      <c r="O115" s="74" t="s">
        <v>2077</v>
      </c>
      <c r="P115" s="74"/>
      <c r="Q115" s="74"/>
      <c r="R115" s="14" t="n">
        <f aca="false">IF(I115="Unbilled",0,M115)</f>
        <v>179.5</v>
      </c>
      <c r="S115" s="9" t="n">
        <f aca="false">IF(R115=0,0,IF(O115="Booked",N115,R115*V114))</f>
        <v>2056581.16570197</v>
      </c>
      <c r="T115" s="14" t="n">
        <f aca="false">IF(I115="Opening",K115,T114+K115-R115)</f>
        <v>1122.9</v>
      </c>
      <c r="U115" s="9" t="n">
        <f aca="false">IF(I115="Opening",L115,U114+L115-S115)</f>
        <v>12865375.9942437</v>
      </c>
      <c r="V115" s="9" t="n">
        <f aca="false">IF(T115&gt;0,U115/T115,IF(I115="Opening",0,V114))</f>
        <v>11457.2766891475</v>
      </c>
      <c r="W115" s="14" t="n">
        <f aca="false">M115</f>
        <v>179.5</v>
      </c>
      <c r="X115" s="9" t="n">
        <f aca="false">IF(W115=0,0,IF(O115="Booked",N115,W115*AA114))</f>
        <v>2056581.16570197</v>
      </c>
      <c r="Y115" s="14" t="n">
        <f aca="false">IF(I115="Opening",K115,Y114+K115-W115)</f>
        <v>1122.9</v>
      </c>
      <c r="Z115" s="9" t="n">
        <f aca="false">IF(I115="Opening",L115,Z114+L115-X115)</f>
        <v>12865375.9942437</v>
      </c>
      <c r="AA115" s="9" t="n">
        <f aca="false">IF(Y115&gt;0,Z115/Y115,IF(I115="Opening",0,AA114))</f>
        <v>11457.2766891475</v>
      </c>
      <c r="AB115" s="9" t="n">
        <f aca="false">IF(AND(I115="DO",O115="MA"),S115-N115,0)</f>
        <v>-0.00429802876897156</v>
      </c>
      <c r="AC115" s="9" t="n">
        <f aca="false">IF(I115="DO",X115-S115,0)</f>
        <v>0</v>
      </c>
      <c r="AD115" s="23" t="n">
        <f aca="false">IF(B116&lt;&gt;B115,1,0)</f>
        <v>0</v>
      </c>
      <c r="AE115" s="14" t="n">
        <f aca="false">IF(I115="Opening",0,AE114+W115)</f>
        <v>1519.1</v>
      </c>
      <c r="AF115" s="14" t="n">
        <f aca="false">IF(I115="Opening",K115,AF114)</f>
        <v>768.5</v>
      </c>
      <c r="AG115" s="14" t="n">
        <f aca="false">AG114</f>
        <v>0</v>
      </c>
      <c r="AH115" s="14" t="n">
        <f aca="false">IF(W115=0,0,MAX(0,MIN(AE115,AF115)-MIN(AE115-W115,AF115)))</f>
        <v>0</v>
      </c>
      <c r="AI115" s="14" t="n">
        <f aca="false">IF(W115=0,0,MAX(0,MIN(AE115,AF115+AG115)-MAX(AE115-W115,AF115)))</f>
        <v>0</v>
      </c>
      <c r="AJ115" s="14" t="n">
        <f aca="false">W115-AH115-AI115</f>
        <v>179.5</v>
      </c>
      <c r="AK115" s="9" t="n">
        <f aca="false">IF(W115=0,0,X115*AH115/W115)</f>
        <v>0</v>
      </c>
      <c r="AL115" s="9" t="n">
        <f aca="false">IF(W115=0,0,X115*AI115/W115)</f>
        <v>0</v>
      </c>
      <c r="AM115" s="9" t="n">
        <f aca="false">X115-AK115-AL115</f>
        <v>2056581.16570197</v>
      </c>
    </row>
    <row r="116" customFormat="false" ht="15" hidden="false" customHeight="false" outlineLevel="0" collapsed="false">
      <c r="A116" s="6" t="n">
        <v>111</v>
      </c>
      <c r="B116" s="74" t="s">
        <v>950</v>
      </c>
      <c r="C116" s="53" t="str">
        <f aca="false">INDEX(I_Items!$C$5:$C$133,MATCH($B116,I_Items!$A$5:$A$133,0))</f>
        <v>RPA</v>
      </c>
      <c r="D116" s="53" t="str">
        <f aca="false">INDEX(I_Items!$D$5:$D$133,MATCH($B116,I_Items!$A$5:$A$133,0))</f>
        <v>Kepala</v>
      </c>
      <c r="E116" s="53" t="str">
        <f aca="false">INDEX(I_Items!$F$5:$F$133,MATCH($B116,I_Items!$A$5:$A$133,0))</f>
        <v>Fresh</v>
      </c>
      <c r="F116" s="53" t="str">
        <f aca="false">IF(INDEX(I_Items!$E$5:$E$133,MATCH($B116,I_Items!$A$5:$A$133,0))="","",INDEX(I_Items!$E$5:$E$133,MATCH($B116,I_Items!$A$5:$A$133,0)))</f>
        <v/>
      </c>
      <c r="G116" s="76" t="n">
        <v>46252</v>
      </c>
      <c r="H116" s="23" t="n">
        <f aca="false">MONTH(G116)</f>
        <v>8</v>
      </c>
      <c r="I116" s="74" t="s">
        <v>2075</v>
      </c>
      <c r="J116" s="74" t="s">
        <v>2087</v>
      </c>
      <c r="K116" s="10" t="n">
        <v>0</v>
      </c>
      <c r="L116" s="8" t="n">
        <v>0</v>
      </c>
      <c r="M116" s="10" t="n">
        <v>183.5</v>
      </c>
      <c r="N116" s="8" t="n">
        <v>2102410.27</v>
      </c>
      <c r="O116" s="74" t="s">
        <v>2077</v>
      </c>
      <c r="P116" s="74"/>
      <c r="Q116" s="74"/>
      <c r="R116" s="14" t="n">
        <f aca="false">IF(I116="Unbilled",0,M116)</f>
        <v>183.5</v>
      </c>
      <c r="S116" s="9" t="n">
        <f aca="false">IF(R116=0,0,IF(O116="Booked",N116,R116*V115))</f>
        <v>2102410.27245856</v>
      </c>
      <c r="T116" s="14" t="n">
        <f aca="false">IF(I116="Opening",K116,T115+K116-R116)</f>
        <v>939.4</v>
      </c>
      <c r="U116" s="9" t="n">
        <f aca="false">IF(I116="Opening",L116,U115+L116-S116)</f>
        <v>10762965.7217851</v>
      </c>
      <c r="V116" s="9" t="n">
        <f aca="false">IF(T116&gt;0,U116/T116,IF(I116="Opening",0,V115))</f>
        <v>11457.2766891475</v>
      </c>
      <c r="W116" s="14" t="n">
        <f aca="false">M116</f>
        <v>183.5</v>
      </c>
      <c r="X116" s="9" t="n">
        <f aca="false">IF(W116=0,0,IF(O116="Booked",N116,W116*AA115))</f>
        <v>2102410.27245856</v>
      </c>
      <c r="Y116" s="14" t="n">
        <f aca="false">IF(I116="Opening",K116,Y115+K116-W116)</f>
        <v>939.4</v>
      </c>
      <c r="Z116" s="9" t="n">
        <f aca="false">IF(I116="Opening",L116,Z115+L116-X116)</f>
        <v>10762965.7217851</v>
      </c>
      <c r="AA116" s="9" t="n">
        <f aca="false">IF(Y116&gt;0,Z116/Y116,IF(I116="Opening",0,AA115))</f>
        <v>11457.2766891475</v>
      </c>
      <c r="AB116" s="9" t="n">
        <f aca="false">IF(AND(I116="DO",O116="MA"),S116-N116,0)</f>
        <v>0.00245856121182442</v>
      </c>
      <c r="AC116" s="9" t="n">
        <f aca="false">IF(I116="DO",X116-S116,0)</f>
        <v>0</v>
      </c>
      <c r="AD116" s="23" t="n">
        <f aca="false">IF(B117&lt;&gt;B116,1,0)</f>
        <v>0</v>
      </c>
      <c r="AE116" s="14" t="n">
        <f aca="false">IF(I116="Opening",0,AE115+W116)</f>
        <v>1702.6</v>
      </c>
      <c r="AF116" s="14" t="n">
        <f aca="false">IF(I116="Opening",K116,AF115)</f>
        <v>768.5</v>
      </c>
      <c r="AG116" s="14" t="n">
        <f aca="false">AG115</f>
        <v>0</v>
      </c>
      <c r="AH116" s="14" t="n">
        <f aca="false">IF(W116=0,0,MAX(0,MIN(AE116,AF116)-MIN(AE116-W116,AF116)))</f>
        <v>0</v>
      </c>
      <c r="AI116" s="14" t="n">
        <f aca="false">IF(W116=0,0,MAX(0,MIN(AE116,AF116+AG116)-MAX(AE116-W116,AF116)))</f>
        <v>0</v>
      </c>
      <c r="AJ116" s="14" t="n">
        <f aca="false">W116-AH116-AI116</f>
        <v>183.5</v>
      </c>
      <c r="AK116" s="9" t="n">
        <f aca="false">IF(W116=0,0,X116*AH116/W116)</f>
        <v>0</v>
      </c>
      <c r="AL116" s="9" t="n">
        <f aca="false">IF(W116=0,0,X116*AI116/W116)</f>
        <v>0</v>
      </c>
      <c r="AM116" s="9" t="n">
        <f aca="false">X116-AK116-AL116</f>
        <v>2102410.27245856</v>
      </c>
    </row>
    <row r="117" customFormat="false" ht="15" hidden="false" customHeight="false" outlineLevel="0" collapsed="false">
      <c r="A117" s="6" t="n">
        <v>112</v>
      </c>
      <c r="B117" s="74" t="s">
        <v>950</v>
      </c>
      <c r="C117" s="53" t="str">
        <f aca="false">INDEX(I_Items!$C$5:$C$133,MATCH($B117,I_Items!$A$5:$A$133,0))</f>
        <v>RPA</v>
      </c>
      <c r="D117" s="53" t="str">
        <f aca="false">INDEX(I_Items!$D$5:$D$133,MATCH($B117,I_Items!$A$5:$A$133,0))</f>
        <v>Kepala</v>
      </c>
      <c r="E117" s="53" t="str">
        <f aca="false">INDEX(I_Items!$F$5:$F$133,MATCH($B117,I_Items!$A$5:$A$133,0))</f>
        <v>Fresh</v>
      </c>
      <c r="F117" s="53" t="str">
        <f aca="false">IF(INDEX(I_Items!$E$5:$E$133,MATCH($B117,I_Items!$A$5:$A$133,0))="","",INDEX(I_Items!$E$5:$E$133,MATCH($B117,I_Items!$A$5:$A$133,0)))</f>
        <v/>
      </c>
      <c r="G117" s="76" t="n">
        <v>46253</v>
      </c>
      <c r="H117" s="23" t="n">
        <f aca="false">MONTH(G117)</f>
        <v>8</v>
      </c>
      <c r="I117" s="74" t="s">
        <v>2074</v>
      </c>
      <c r="J117" s="74" t="s">
        <v>1305</v>
      </c>
      <c r="K117" s="10" t="n">
        <v>739.8</v>
      </c>
      <c r="L117" s="8" t="n">
        <v>10165306.46</v>
      </c>
      <c r="M117" s="10" t="n">
        <v>0</v>
      </c>
      <c r="N117" s="8" t="n">
        <v>0</v>
      </c>
      <c r="O117" s="74"/>
      <c r="P117" s="74"/>
      <c r="Q117" s="74"/>
      <c r="R117" s="14" t="n">
        <f aca="false">IF(I117="Unbilled",0,M117)</f>
        <v>0</v>
      </c>
      <c r="S117" s="9" t="n">
        <f aca="false">IF(R117=0,0,IF(O117="Booked",N117,R117*V116))</f>
        <v>0</v>
      </c>
      <c r="T117" s="14" t="n">
        <f aca="false">IF(I117="Opening",K117,T116+K117-R117)</f>
        <v>1679.2</v>
      </c>
      <c r="U117" s="9" t="n">
        <f aca="false">IF(I117="Opening",L117,U116+L117-S117)</f>
        <v>20928272.1817851</v>
      </c>
      <c r="V117" s="9" t="n">
        <f aca="false">IF(T117&gt;0,U117/T117,IF(I117="Opening",0,V116))</f>
        <v>12463.2397461798</v>
      </c>
      <c r="W117" s="14" t="n">
        <f aca="false">M117</f>
        <v>0</v>
      </c>
      <c r="X117" s="9" t="n">
        <f aca="false">IF(W117=0,0,IF(O117="Booked",N117,W117*AA116))</f>
        <v>0</v>
      </c>
      <c r="Y117" s="14" t="n">
        <f aca="false">IF(I117="Opening",K117,Y116+K117-W117)</f>
        <v>1679.2</v>
      </c>
      <c r="Z117" s="9" t="n">
        <f aca="false">IF(I117="Opening",L117,Z116+L117-X117)</f>
        <v>20928272.1817851</v>
      </c>
      <c r="AA117" s="9" t="n">
        <f aca="false">IF(Y117&gt;0,Z117/Y117,IF(I117="Opening",0,AA116))</f>
        <v>12463.2397461798</v>
      </c>
      <c r="AB117" s="9" t="n">
        <f aca="false">IF(AND(I117="DO",O117="MA"),S117-N117,0)</f>
        <v>0</v>
      </c>
      <c r="AC117" s="9" t="n">
        <f aca="false">IF(I117="DO",X117-S117,0)</f>
        <v>0</v>
      </c>
      <c r="AD117" s="23" t="n">
        <f aca="false">IF(B118&lt;&gt;B117,1,0)</f>
        <v>0</v>
      </c>
      <c r="AE117" s="14" t="n">
        <f aca="false">IF(I117="Opening",0,AE116+W117)</f>
        <v>1702.6</v>
      </c>
      <c r="AF117" s="14" t="n">
        <f aca="false">IF(I117="Opening",K117,AF116)</f>
        <v>768.5</v>
      </c>
      <c r="AG117" s="14" t="n">
        <f aca="false">AG116</f>
        <v>0</v>
      </c>
      <c r="AH117" s="14" t="n">
        <f aca="false">IF(W117=0,0,MAX(0,MIN(AE117,AF117)-MIN(AE117-W117,AF117)))</f>
        <v>0</v>
      </c>
      <c r="AI117" s="14" t="n">
        <f aca="false">IF(W117=0,0,MAX(0,MIN(AE117,AF117+AG117)-MAX(AE117-W117,AF117)))</f>
        <v>0</v>
      </c>
      <c r="AJ117" s="14" t="n">
        <f aca="false">W117-AH117-AI117</f>
        <v>0</v>
      </c>
      <c r="AK117" s="9" t="n">
        <f aca="false">IF(W117=0,0,X117*AH117/W117)</f>
        <v>0</v>
      </c>
      <c r="AL117" s="9" t="n">
        <f aca="false">IF(W117=0,0,X117*AI117/W117)</f>
        <v>0</v>
      </c>
      <c r="AM117" s="9" t="n">
        <f aca="false">X117-AK117-AL117</f>
        <v>0</v>
      </c>
    </row>
    <row r="118" customFormat="false" ht="15" hidden="false" customHeight="false" outlineLevel="0" collapsed="false">
      <c r="A118" s="6" t="n">
        <v>113</v>
      </c>
      <c r="B118" s="74" t="s">
        <v>950</v>
      </c>
      <c r="C118" s="53" t="str">
        <f aca="false">INDEX(I_Items!$C$5:$C$133,MATCH($B118,I_Items!$A$5:$A$133,0))</f>
        <v>RPA</v>
      </c>
      <c r="D118" s="53" t="str">
        <f aca="false">INDEX(I_Items!$D$5:$D$133,MATCH($B118,I_Items!$A$5:$A$133,0))</f>
        <v>Kepala</v>
      </c>
      <c r="E118" s="53" t="str">
        <f aca="false">INDEX(I_Items!$F$5:$F$133,MATCH($B118,I_Items!$A$5:$A$133,0))</f>
        <v>Fresh</v>
      </c>
      <c r="F118" s="53" t="str">
        <f aca="false">IF(INDEX(I_Items!$E$5:$E$133,MATCH($B118,I_Items!$A$5:$A$133,0))="","",INDEX(I_Items!$E$5:$E$133,MATCH($B118,I_Items!$A$5:$A$133,0)))</f>
        <v/>
      </c>
      <c r="G118" s="76" t="n">
        <v>46254</v>
      </c>
      <c r="H118" s="23" t="n">
        <f aca="false">MONTH(G118)</f>
        <v>8</v>
      </c>
      <c r="I118" s="74" t="s">
        <v>2074</v>
      </c>
      <c r="J118" s="74" t="s">
        <v>1308</v>
      </c>
      <c r="K118" s="10" t="n">
        <v>368.4</v>
      </c>
      <c r="L118" s="8" t="n">
        <v>5073410.25</v>
      </c>
      <c r="M118" s="10" t="n">
        <v>0</v>
      </c>
      <c r="N118" s="8" t="n">
        <v>0</v>
      </c>
      <c r="O118" s="74"/>
      <c r="P118" s="74"/>
      <c r="Q118" s="74"/>
      <c r="R118" s="14" t="n">
        <f aca="false">IF(I118="Unbilled",0,M118)</f>
        <v>0</v>
      </c>
      <c r="S118" s="9" t="n">
        <f aca="false">IF(R118=0,0,IF(O118="Booked",N118,R118*V117))</f>
        <v>0</v>
      </c>
      <c r="T118" s="14" t="n">
        <f aca="false">IF(I118="Opening",K118,T117+K118-R118)</f>
        <v>2047.6</v>
      </c>
      <c r="U118" s="9" t="n">
        <f aca="false">IF(I118="Opening",L118,U117+L118-S118)</f>
        <v>26001682.4317851</v>
      </c>
      <c r="V118" s="9" t="n">
        <f aca="false">IF(T118&gt;0,U118/T118,IF(I118="Opening",0,V117))</f>
        <v>12698.6141979806</v>
      </c>
      <c r="W118" s="14" t="n">
        <f aca="false">M118</f>
        <v>0</v>
      </c>
      <c r="X118" s="9" t="n">
        <f aca="false">IF(W118=0,0,IF(O118="Booked",N118,W118*AA117))</f>
        <v>0</v>
      </c>
      <c r="Y118" s="14" t="n">
        <f aca="false">IF(I118="Opening",K118,Y117+K118-W118)</f>
        <v>2047.6</v>
      </c>
      <c r="Z118" s="9" t="n">
        <f aca="false">IF(I118="Opening",L118,Z117+L118-X118)</f>
        <v>26001682.4317851</v>
      </c>
      <c r="AA118" s="9" t="n">
        <f aca="false">IF(Y118&gt;0,Z118/Y118,IF(I118="Opening",0,AA117))</f>
        <v>12698.6141979806</v>
      </c>
      <c r="AB118" s="9" t="n">
        <f aca="false">IF(AND(I118="DO",O118="MA"),S118-N118,0)</f>
        <v>0</v>
      </c>
      <c r="AC118" s="9" t="n">
        <f aca="false">IF(I118="DO",X118-S118,0)</f>
        <v>0</v>
      </c>
      <c r="AD118" s="23" t="n">
        <f aca="false">IF(B119&lt;&gt;B118,1,0)</f>
        <v>0</v>
      </c>
      <c r="AE118" s="14" t="n">
        <f aca="false">IF(I118="Opening",0,AE117+W118)</f>
        <v>1702.6</v>
      </c>
      <c r="AF118" s="14" t="n">
        <f aca="false">IF(I118="Opening",K118,AF117)</f>
        <v>768.5</v>
      </c>
      <c r="AG118" s="14" t="n">
        <f aca="false">AG117</f>
        <v>0</v>
      </c>
      <c r="AH118" s="14" t="n">
        <f aca="false">IF(W118=0,0,MAX(0,MIN(AE118,AF118)-MIN(AE118-W118,AF118)))</f>
        <v>0</v>
      </c>
      <c r="AI118" s="14" t="n">
        <f aca="false">IF(W118=0,0,MAX(0,MIN(AE118,AF118+AG118)-MAX(AE118-W118,AF118)))</f>
        <v>0</v>
      </c>
      <c r="AJ118" s="14" t="n">
        <f aca="false">W118-AH118-AI118</f>
        <v>0</v>
      </c>
      <c r="AK118" s="9" t="n">
        <f aca="false">IF(W118=0,0,X118*AH118/W118)</f>
        <v>0</v>
      </c>
      <c r="AL118" s="9" t="n">
        <f aca="false">IF(W118=0,0,X118*AI118/W118)</f>
        <v>0</v>
      </c>
      <c r="AM118" s="9" t="n">
        <f aca="false">X118-AK118-AL118</f>
        <v>0</v>
      </c>
    </row>
    <row r="119" customFormat="false" ht="15" hidden="false" customHeight="false" outlineLevel="0" collapsed="false">
      <c r="A119" s="6" t="n">
        <v>114</v>
      </c>
      <c r="B119" s="74" t="s">
        <v>950</v>
      </c>
      <c r="C119" s="53" t="str">
        <f aca="false">INDEX(I_Items!$C$5:$C$133,MATCH($B119,I_Items!$A$5:$A$133,0))</f>
        <v>RPA</v>
      </c>
      <c r="D119" s="53" t="str">
        <f aca="false">INDEX(I_Items!$D$5:$D$133,MATCH($B119,I_Items!$A$5:$A$133,0))</f>
        <v>Kepala</v>
      </c>
      <c r="E119" s="53" t="str">
        <f aca="false">INDEX(I_Items!$F$5:$F$133,MATCH($B119,I_Items!$A$5:$A$133,0))</f>
        <v>Fresh</v>
      </c>
      <c r="F119" s="53" t="str">
        <f aca="false">IF(INDEX(I_Items!$E$5:$E$133,MATCH($B119,I_Items!$A$5:$A$133,0))="","",INDEX(I_Items!$E$5:$E$133,MATCH($B119,I_Items!$A$5:$A$133,0)))</f>
        <v/>
      </c>
      <c r="G119" s="76" t="n">
        <v>46255</v>
      </c>
      <c r="H119" s="23" t="n">
        <f aca="false">MONTH(G119)</f>
        <v>8</v>
      </c>
      <c r="I119" s="74" t="s">
        <v>2075</v>
      </c>
      <c r="J119" s="74" t="s">
        <v>2088</v>
      </c>
      <c r="K119" s="10" t="n">
        <v>0</v>
      </c>
      <c r="L119" s="8" t="n">
        <v>0</v>
      </c>
      <c r="M119" s="10" t="n">
        <v>184.2</v>
      </c>
      <c r="N119" s="8" t="n">
        <v>2339084.74</v>
      </c>
      <c r="O119" s="74" t="s">
        <v>2077</v>
      </c>
      <c r="P119" s="74"/>
      <c r="Q119" s="74"/>
      <c r="R119" s="14" t="n">
        <f aca="false">IF(I119="Unbilled",0,M119)</f>
        <v>184.2</v>
      </c>
      <c r="S119" s="9" t="n">
        <f aca="false">IF(R119=0,0,IF(O119="Booked",N119,R119*V118))</f>
        <v>2339084.73526803</v>
      </c>
      <c r="T119" s="14" t="n">
        <f aca="false">IF(I119="Opening",K119,T118+K119-R119)</f>
        <v>1863.4</v>
      </c>
      <c r="U119" s="9" t="n">
        <f aca="false">IF(I119="Opening",L119,U118+L119-S119)</f>
        <v>23662597.6965171</v>
      </c>
      <c r="V119" s="9" t="n">
        <f aca="false">IF(T119&gt;0,U119/T119,IF(I119="Opening",0,V118))</f>
        <v>12698.6141979806</v>
      </c>
      <c r="W119" s="14" t="n">
        <f aca="false">M119</f>
        <v>184.2</v>
      </c>
      <c r="X119" s="9" t="n">
        <f aca="false">IF(W119=0,0,IF(O119="Booked",N119,W119*AA118))</f>
        <v>2339084.73526803</v>
      </c>
      <c r="Y119" s="14" t="n">
        <f aca="false">IF(I119="Opening",K119,Y118+K119-W119)</f>
        <v>1863.4</v>
      </c>
      <c r="Z119" s="9" t="n">
        <f aca="false">IF(I119="Opening",L119,Z118+L119-X119)</f>
        <v>23662597.6965171</v>
      </c>
      <c r="AA119" s="9" t="n">
        <f aca="false">IF(Y119&gt;0,Z119/Y119,IF(I119="Opening",0,AA118))</f>
        <v>12698.6141979806</v>
      </c>
      <c r="AB119" s="9" t="n">
        <f aca="false">IF(AND(I119="DO",O119="MA"),S119-N119,0)</f>
        <v>-0.00473196804523468</v>
      </c>
      <c r="AC119" s="9" t="n">
        <f aca="false">IF(I119="DO",X119-S119,0)</f>
        <v>0</v>
      </c>
      <c r="AD119" s="23" t="n">
        <f aca="false">IF(B120&lt;&gt;B119,1,0)</f>
        <v>0</v>
      </c>
      <c r="AE119" s="14" t="n">
        <f aca="false">IF(I119="Opening",0,AE118+W119)</f>
        <v>1886.8</v>
      </c>
      <c r="AF119" s="14" t="n">
        <f aca="false">IF(I119="Opening",K119,AF118)</f>
        <v>768.5</v>
      </c>
      <c r="AG119" s="14" t="n">
        <f aca="false">AG118</f>
        <v>0</v>
      </c>
      <c r="AH119" s="14" t="n">
        <f aca="false">IF(W119=0,0,MAX(0,MIN(AE119,AF119)-MIN(AE119-W119,AF119)))</f>
        <v>0</v>
      </c>
      <c r="AI119" s="14" t="n">
        <f aca="false">IF(W119=0,0,MAX(0,MIN(AE119,AF119+AG119)-MAX(AE119-W119,AF119)))</f>
        <v>0</v>
      </c>
      <c r="AJ119" s="14" t="n">
        <f aca="false">W119-AH119-AI119</f>
        <v>184.2</v>
      </c>
      <c r="AK119" s="9" t="n">
        <f aca="false">IF(W119=0,0,X119*AH119/W119)</f>
        <v>0</v>
      </c>
      <c r="AL119" s="9" t="n">
        <f aca="false">IF(W119=0,0,X119*AI119/W119)</f>
        <v>0</v>
      </c>
      <c r="AM119" s="9" t="n">
        <f aca="false">X119-AK119-AL119</f>
        <v>2339084.73526803</v>
      </c>
    </row>
    <row r="120" customFormat="false" ht="15" hidden="false" customHeight="false" outlineLevel="0" collapsed="false">
      <c r="A120" s="6" t="n">
        <v>115</v>
      </c>
      <c r="B120" s="74" t="s">
        <v>950</v>
      </c>
      <c r="C120" s="53" t="str">
        <f aca="false">INDEX(I_Items!$C$5:$C$133,MATCH($B120,I_Items!$A$5:$A$133,0))</f>
        <v>RPA</v>
      </c>
      <c r="D120" s="53" t="str">
        <f aca="false">INDEX(I_Items!$D$5:$D$133,MATCH($B120,I_Items!$A$5:$A$133,0))</f>
        <v>Kepala</v>
      </c>
      <c r="E120" s="53" t="str">
        <f aca="false">INDEX(I_Items!$F$5:$F$133,MATCH($B120,I_Items!$A$5:$A$133,0))</f>
        <v>Fresh</v>
      </c>
      <c r="F120" s="53" t="str">
        <f aca="false">IF(INDEX(I_Items!$E$5:$E$133,MATCH($B120,I_Items!$A$5:$A$133,0))="","",INDEX(I_Items!$E$5:$E$133,MATCH($B120,I_Items!$A$5:$A$133,0)))</f>
        <v/>
      </c>
      <c r="G120" s="76" t="n">
        <v>46255</v>
      </c>
      <c r="H120" s="23" t="n">
        <f aca="false">MONTH(G120)</f>
        <v>8</v>
      </c>
      <c r="I120" s="74" t="s">
        <v>2075</v>
      </c>
      <c r="J120" s="74" t="s">
        <v>2089</v>
      </c>
      <c r="K120" s="10" t="n">
        <v>0</v>
      </c>
      <c r="L120" s="8" t="n">
        <v>0</v>
      </c>
      <c r="M120" s="10" t="n">
        <v>205</v>
      </c>
      <c r="N120" s="8" t="n">
        <v>2603215.91</v>
      </c>
      <c r="O120" s="74" t="s">
        <v>2077</v>
      </c>
      <c r="P120" s="74"/>
      <c r="Q120" s="74"/>
      <c r="R120" s="14" t="n">
        <f aca="false">IF(I120="Unbilled",0,M120)</f>
        <v>205</v>
      </c>
      <c r="S120" s="9" t="n">
        <f aca="false">IF(R120=0,0,IF(O120="Booked",N120,R120*V119))</f>
        <v>2603215.91058603</v>
      </c>
      <c r="T120" s="14" t="n">
        <f aca="false">IF(I120="Opening",K120,T119+K120-R120)</f>
        <v>1658.4</v>
      </c>
      <c r="U120" s="9" t="n">
        <f aca="false">IF(I120="Opening",L120,U119+L120-S120)</f>
        <v>21059381.7859311</v>
      </c>
      <c r="V120" s="9" t="n">
        <f aca="false">IF(T120&gt;0,U120/T120,IF(I120="Opening",0,V119))</f>
        <v>12698.6141979806</v>
      </c>
      <c r="W120" s="14" t="n">
        <f aca="false">M120</f>
        <v>205</v>
      </c>
      <c r="X120" s="9" t="n">
        <f aca="false">IF(W120=0,0,IF(O120="Booked",N120,W120*AA119))</f>
        <v>2603215.91058603</v>
      </c>
      <c r="Y120" s="14" t="n">
        <f aca="false">IF(I120="Opening",K120,Y119+K120-W120)</f>
        <v>1658.4</v>
      </c>
      <c r="Z120" s="9" t="n">
        <f aca="false">IF(I120="Opening",L120,Z119+L120-X120)</f>
        <v>21059381.7859311</v>
      </c>
      <c r="AA120" s="9" t="n">
        <f aca="false">IF(Y120&gt;0,Z120/Y120,IF(I120="Opening",0,AA119))</f>
        <v>12698.6141979806</v>
      </c>
      <c r="AB120" s="9" t="n">
        <f aca="false">IF(AND(I120="DO",O120="MA"),S120-N120,0)</f>
        <v>0.000586028676480055</v>
      </c>
      <c r="AC120" s="9" t="n">
        <f aca="false">IF(I120="DO",X120-S120,0)</f>
        <v>0</v>
      </c>
      <c r="AD120" s="23" t="n">
        <f aca="false">IF(B121&lt;&gt;B120,1,0)</f>
        <v>0</v>
      </c>
      <c r="AE120" s="14" t="n">
        <f aca="false">IF(I120="Opening",0,AE119+W120)</f>
        <v>2091.8</v>
      </c>
      <c r="AF120" s="14" t="n">
        <f aca="false">IF(I120="Opening",K120,AF119)</f>
        <v>768.5</v>
      </c>
      <c r="AG120" s="14" t="n">
        <f aca="false">AG119</f>
        <v>0</v>
      </c>
      <c r="AH120" s="14" t="n">
        <f aca="false">IF(W120=0,0,MAX(0,MIN(AE120,AF120)-MIN(AE120-W120,AF120)))</f>
        <v>0</v>
      </c>
      <c r="AI120" s="14" t="n">
        <f aca="false">IF(W120=0,0,MAX(0,MIN(AE120,AF120+AG120)-MAX(AE120-W120,AF120)))</f>
        <v>0</v>
      </c>
      <c r="AJ120" s="14" t="n">
        <f aca="false">W120-AH120-AI120</f>
        <v>205</v>
      </c>
      <c r="AK120" s="9" t="n">
        <f aca="false">IF(W120=0,0,X120*AH120/W120)</f>
        <v>0</v>
      </c>
      <c r="AL120" s="9" t="n">
        <f aca="false">IF(W120=0,0,X120*AI120/W120)</f>
        <v>0</v>
      </c>
      <c r="AM120" s="9" t="n">
        <f aca="false">X120-AK120-AL120</f>
        <v>2603215.91058603</v>
      </c>
    </row>
    <row r="121" customFormat="false" ht="15" hidden="false" customHeight="false" outlineLevel="0" collapsed="false">
      <c r="A121" s="6" t="n">
        <v>116</v>
      </c>
      <c r="B121" s="74" t="s">
        <v>950</v>
      </c>
      <c r="C121" s="53" t="str">
        <f aca="false">INDEX(I_Items!$C$5:$C$133,MATCH($B121,I_Items!$A$5:$A$133,0))</f>
        <v>RPA</v>
      </c>
      <c r="D121" s="53" t="str">
        <f aca="false">INDEX(I_Items!$D$5:$D$133,MATCH($B121,I_Items!$A$5:$A$133,0))</f>
        <v>Kepala</v>
      </c>
      <c r="E121" s="53" t="str">
        <f aca="false">INDEX(I_Items!$F$5:$F$133,MATCH($B121,I_Items!$A$5:$A$133,0))</f>
        <v>Fresh</v>
      </c>
      <c r="F121" s="53" t="str">
        <f aca="false">IF(INDEX(I_Items!$E$5:$E$133,MATCH($B121,I_Items!$A$5:$A$133,0))="","",INDEX(I_Items!$E$5:$E$133,MATCH($B121,I_Items!$A$5:$A$133,0)))</f>
        <v/>
      </c>
      <c r="G121" s="76" t="n">
        <v>46255</v>
      </c>
      <c r="H121" s="23" t="n">
        <f aca="false">MONTH(G121)</f>
        <v>8</v>
      </c>
      <c r="I121" s="74" t="s">
        <v>2075</v>
      </c>
      <c r="J121" s="74" t="s">
        <v>2090</v>
      </c>
      <c r="K121" s="10" t="n">
        <v>0</v>
      </c>
      <c r="L121" s="8" t="n">
        <v>0</v>
      </c>
      <c r="M121" s="10" t="n">
        <v>198.7</v>
      </c>
      <c r="N121" s="8" t="n">
        <v>2523214.64</v>
      </c>
      <c r="O121" s="74" t="s">
        <v>2077</v>
      </c>
      <c r="P121" s="74"/>
      <c r="Q121" s="74"/>
      <c r="R121" s="14" t="n">
        <f aca="false">IF(I121="Unbilled",0,M121)</f>
        <v>198.7</v>
      </c>
      <c r="S121" s="9" t="n">
        <f aca="false">IF(R121=0,0,IF(O121="Booked",N121,R121*V120))</f>
        <v>2523214.64113875</v>
      </c>
      <c r="T121" s="14" t="n">
        <f aca="false">IF(I121="Opening",K121,T120+K121-R121)</f>
        <v>1459.7</v>
      </c>
      <c r="U121" s="9" t="n">
        <f aca="false">IF(I121="Opening",L121,U120+L121-S121)</f>
        <v>18536167.1447923</v>
      </c>
      <c r="V121" s="9" t="n">
        <f aca="false">IF(T121&gt;0,U121/T121,IF(I121="Opening",0,V120))</f>
        <v>12698.6141979806</v>
      </c>
      <c r="W121" s="14" t="n">
        <f aca="false">M121</f>
        <v>198.7</v>
      </c>
      <c r="X121" s="9" t="n">
        <f aca="false">IF(W121=0,0,IF(O121="Booked",N121,W121*AA120))</f>
        <v>2523214.64113875</v>
      </c>
      <c r="Y121" s="14" t="n">
        <f aca="false">IF(I121="Opening",K121,Y120+K121-W121)</f>
        <v>1459.7</v>
      </c>
      <c r="Z121" s="9" t="n">
        <f aca="false">IF(I121="Opening",L121,Z120+L121-X121)</f>
        <v>18536167.1447923</v>
      </c>
      <c r="AA121" s="9" t="n">
        <f aca="false">IF(Y121&gt;0,Z121/Y121,IF(I121="Opening",0,AA120))</f>
        <v>12698.6141979806</v>
      </c>
      <c r="AB121" s="9" t="n">
        <f aca="false">IF(AND(I121="DO",O121="MA"),S121-N121,0)</f>
        <v>0.00113875046372414</v>
      </c>
      <c r="AC121" s="9" t="n">
        <f aca="false">IF(I121="DO",X121-S121,0)</f>
        <v>0</v>
      </c>
      <c r="AD121" s="23" t="n">
        <f aca="false">IF(B122&lt;&gt;B121,1,0)</f>
        <v>0</v>
      </c>
      <c r="AE121" s="14" t="n">
        <f aca="false">IF(I121="Opening",0,AE120+W121)</f>
        <v>2290.5</v>
      </c>
      <c r="AF121" s="14" t="n">
        <f aca="false">IF(I121="Opening",K121,AF120)</f>
        <v>768.5</v>
      </c>
      <c r="AG121" s="14" t="n">
        <f aca="false">AG120</f>
        <v>0</v>
      </c>
      <c r="AH121" s="14" t="n">
        <f aca="false">IF(W121=0,0,MAX(0,MIN(AE121,AF121)-MIN(AE121-W121,AF121)))</f>
        <v>0</v>
      </c>
      <c r="AI121" s="14" t="n">
        <f aca="false">IF(W121=0,0,MAX(0,MIN(AE121,AF121+AG121)-MAX(AE121-W121,AF121)))</f>
        <v>0</v>
      </c>
      <c r="AJ121" s="14" t="n">
        <f aca="false">W121-AH121-AI121</f>
        <v>198.7</v>
      </c>
      <c r="AK121" s="9" t="n">
        <f aca="false">IF(W121=0,0,X121*AH121/W121)</f>
        <v>0</v>
      </c>
      <c r="AL121" s="9" t="n">
        <f aca="false">IF(W121=0,0,X121*AI121/W121)</f>
        <v>0</v>
      </c>
      <c r="AM121" s="9" t="n">
        <f aca="false">X121-AK121-AL121</f>
        <v>2523214.64113875</v>
      </c>
    </row>
    <row r="122" customFormat="false" ht="15" hidden="false" customHeight="false" outlineLevel="0" collapsed="false">
      <c r="A122" s="6" t="n">
        <v>117</v>
      </c>
      <c r="B122" s="74" t="s">
        <v>950</v>
      </c>
      <c r="C122" s="53" t="str">
        <f aca="false">INDEX(I_Items!$C$5:$C$133,MATCH($B122,I_Items!$A$5:$A$133,0))</f>
        <v>RPA</v>
      </c>
      <c r="D122" s="53" t="str">
        <f aca="false">INDEX(I_Items!$D$5:$D$133,MATCH($B122,I_Items!$A$5:$A$133,0))</f>
        <v>Kepala</v>
      </c>
      <c r="E122" s="53" t="str">
        <f aca="false">INDEX(I_Items!$F$5:$F$133,MATCH($B122,I_Items!$A$5:$A$133,0))</f>
        <v>Fresh</v>
      </c>
      <c r="F122" s="53" t="str">
        <f aca="false">IF(INDEX(I_Items!$E$5:$E$133,MATCH($B122,I_Items!$A$5:$A$133,0))="","",INDEX(I_Items!$E$5:$E$133,MATCH($B122,I_Items!$A$5:$A$133,0)))</f>
        <v/>
      </c>
      <c r="G122" s="76" t="n">
        <v>46255</v>
      </c>
      <c r="H122" s="23" t="n">
        <f aca="false">MONTH(G122)</f>
        <v>8</v>
      </c>
      <c r="I122" s="74" t="s">
        <v>2075</v>
      </c>
      <c r="J122" s="74" t="s">
        <v>2091</v>
      </c>
      <c r="K122" s="10" t="n">
        <v>0</v>
      </c>
      <c r="L122" s="8" t="n">
        <v>0</v>
      </c>
      <c r="M122" s="10" t="n">
        <v>151.9</v>
      </c>
      <c r="N122" s="8" t="n">
        <v>1928919.5</v>
      </c>
      <c r="O122" s="74" t="s">
        <v>2077</v>
      </c>
      <c r="P122" s="74"/>
      <c r="Q122" s="74"/>
      <c r="R122" s="14" t="n">
        <f aca="false">IF(I122="Unbilled",0,M122)</f>
        <v>151.9</v>
      </c>
      <c r="S122" s="9" t="n">
        <f aca="false">IF(R122=0,0,IF(O122="Booked",N122,R122*V121))</f>
        <v>1928919.49667326</v>
      </c>
      <c r="T122" s="14" t="n">
        <f aca="false">IF(I122="Opening",K122,T121+K122-R122)</f>
        <v>1307.8</v>
      </c>
      <c r="U122" s="9" t="n">
        <f aca="false">IF(I122="Opening",L122,U121+L122-S122)</f>
        <v>16607247.6481191</v>
      </c>
      <c r="V122" s="9" t="n">
        <f aca="false">IF(T122&gt;0,U122/T122,IF(I122="Opening",0,V121))</f>
        <v>12698.6141979806</v>
      </c>
      <c r="W122" s="14" t="n">
        <f aca="false">M122</f>
        <v>151.9</v>
      </c>
      <c r="X122" s="9" t="n">
        <f aca="false">IF(W122=0,0,IF(O122="Booked",N122,W122*AA121))</f>
        <v>1928919.49667326</v>
      </c>
      <c r="Y122" s="14" t="n">
        <f aca="false">IF(I122="Opening",K122,Y121+K122-W122)</f>
        <v>1307.8</v>
      </c>
      <c r="Z122" s="9" t="n">
        <f aca="false">IF(I122="Opening",L122,Z121+L122-X122)</f>
        <v>16607247.6481191</v>
      </c>
      <c r="AA122" s="9" t="n">
        <f aca="false">IF(Y122&gt;0,Z122/Y122,IF(I122="Opening",0,AA121))</f>
        <v>12698.6141979806</v>
      </c>
      <c r="AB122" s="9" t="n">
        <f aca="false">IF(AND(I122="DO",O122="MA"),S122-N122,0)</f>
        <v>-0.0033267424441874</v>
      </c>
      <c r="AC122" s="9" t="n">
        <f aca="false">IF(I122="DO",X122-S122,0)</f>
        <v>0</v>
      </c>
      <c r="AD122" s="23" t="n">
        <f aca="false">IF(B123&lt;&gt;B122,1,0)</f>
        <v>0</v>
      </c>
      <c r="AE122" s="14" t="n">
        <f aca="false">IF(I122="Opening",0,AE121+W122)</f>
        <v>2442.4</v>
      </c>
      <c r="AF122" s="14" t="n">
        <f aca="false">IF(I122="Opening",K122,AF121)</f>
        <v>768.5</v>
      </c>
      <c r="AG122" s="14" t="n">
        <f aca="false">AG121</f>
        <v>0</v>
      </c>
      <c r="AH122" s="14" t="n">
        <f aca="false">IF(W122=0,0,MAX(0,MIN(AE122,AF122)-MIN(AE122-W122,AF122)))</f>
        <v>0</v>
      </c>
      <c r="AI122" s="14" t="n">
        <f aca="false">IF(W122=0,0,MAX(0,MIN(AE122,AF122+AG122)-MAX(AE122-W122,AF122)))</f>
        <v>0</v>
      </c>
      <c r="AJ122" s="14" t="n">
        <f aca="false">W122-AH122-AI122</f>
        <v>151.9</v>
      </c>
      <c r="AK122" s="9" t="n">
        <f aca="false">IF(W122=0,0,X122*AH122/W122)</f>
        <v>0</v>
      </c>
      <c r="AL122" s="9" t="n">
        <f aca="false">IF(W122=0,0,X122*AI122/W122)</f>
        <v>0</v>
      </c>
      <c r="AM122" s="9" t="n">
        <f aca="false">X122-AK122-AL122</f>
        <v>1928919.49667326</v>
      </c>
    </row>
    <row r="123" customFormat="false" ht="15" hidden="false" customHeight="false" outlineLevel="0" collapsed="false">
      <c r="A123" s="6" t="n">
        <v>118</v>
      </c>
      <c r="B123" s="74" t="s">
        <v>950</v>
      </c>
      <c r="C123" s="53" t="str">
        <f aca="false">INDEX(I_Items!$C$5:$C$133,MATCH($B123,I_Items!$A$5:$A$133,0))</f>
        <v>RPA</v>
      </c>
      <c r="D123" s="53" t="str">
        <f aca="false">INDEX(I_Items!$D$5:$D$133,MATCH($B123,I_Items!$A$5:$A$133,0))</f>
        <v>Kepala</v>
      </c>
      <c r="E123" s="53" t="str">
        <f aca="false">INDEX(I_Items!$F$5:$F$133,MATCH($B123,I_Items!$A$5:$A$133,0))</f>
        <v>Fresh</v>
      </c>
      <c r="F123" s="53" t="str">
        <f aca="false">IF(INDEX(I_Items!$E$5:$E$133,MATCH($B123,I_Items!$A$5:$A$133,0))="","",INDEX(I_Items!$E$5:$E$133,MATCH($B123,I_Items!$A$5:$A$133,0)))</f>
        <v/>
      </c>
      <c r="G123" s="76" t="n">
        <v>46255</v>
      </c>
      <c r="H123" s="23" t="n">
        <f aca="false">MONTH(G123)</f>
        <v>8</v>
      </c>
      <c r="I123" s="74" t="s">
        <v>2075</v>
      </c>
      <c r="J123" s="74" t="s">
        <v>2092</v>
      </c>
      <c r="K123" s="10" t="n">
        <v>0</v>
      </c>
      <c r="L123" s="8" t="n">
        <v>0</v>
      </c>
      <c r="M123" s="10" t="n">
        <v>193.3</v>
      </c>
      <c r="N123" s="8" t="n">
        <v>2454642.12</v>
      </c>
      <c r="O123" s="74" t="s">
        <v>2077</v>
      </c>
      <c r="P123" s="74"/>
      <c r="Q123" s="74"/>
      <c r="R123" s="14" t="n">
        <f aca="false">IF(I123="Unbilled",0,M123)</f>
        <v>193.3</v>
      </c>
      <c r="S123" s="9" t="n">
        <f aca="false">IF(R123=0,0,IF(O123="Booked",N123,R123*V122))</f>
        <v>2454642.12446966</v>
      </c>
      <c r="T123" s="14" t="n">
        <f aca="false">IF(I123="Opening",K123,T122+K123-R123)</f>
        <v>1114.5</v>
      </c>
      <c r="U123" s="9" t="n">
        <f aca="false">IF(I123="Opening",L123,U122+L123-S123)</f>
        <v>14152605.5236494</v>
      </c>
      <c r="V123" s="9" t="n">
        <f aca="false">IF(T123&gt;0,U123/T123,IF(I123="Opening",0,V122))</f>
        <v>12698.6141979806</v>
      </c>
      <c r="W123" s="14" t="n">
        <f aca="false">M123</f>
        <v>193.3</v>
      </c>
      <c r="X123" s="9" t="n">
        <f aca="false">IF(W123=0,0,IF(O123="Booked",N123,W123*AA122))</f>
        <v>2454642.12446966</v>
      </c>
      <c r="Y123" s="14" t="n">
        <f aca="false">IF(I123="Opening",K123,Y122+K123-W123)</f>
        <v>1114.5</v>
      </c>
      <c r="Z123" s="9" t="n">
        <f aca="false">IF(I123="Opening",L123,Z122+L123-X123)</f>
        <v>14152605.5236494</v>
      </c>
      <c r="AA123" s="9" t="n">
        <f aca="false">IF(Y123&gt;0,Z123/Y123,IF(I123="Opening",0,AA122))</f>
        <v>12698.6141979806</v>
      </c>
      <c r="AB123" s="9" t="n">
        <f aca="false">IF(AND(I123="DO",O123="MA"),S123-N123,0)</f>
        <v>0.00446965545415878</v>
      </c>
      <c r="AC123" s="9" t="n">
        <f aca="false">IF(I123="DO",X123-S123,0)</f>
        <v>0</v>
      </c>
      <c r="AD123" s="23" t="n">
        <f aca="false">IF(B124&lt;&gt;B123,1,0)</f>
        <v>0</v>
      </c>
      <c r="AE123" s="14" t="n">
        <f aca="false">IF(I123="Opening",0,AE122+W123)</f>
        <v>2635.7</v>
      </c>
      <c r="AF123" s="14" t="n">
        <f aca="false">IF(I123="Opening",K123,AF122)</f>
        <v>768.5</v>
      </c>
      <c r="AG123" s="14" t="n">
        <f aca="false">AG122</f>
        <v>0</v>
      </c>
      <c r="AH123" s="14" t="n">
        <f aca="false">IF(W123=0,0,MAX(0,MIN(AE123,AF123)-MIN(AE123-W123,AF123)))</f>
        <v>0</v>
      </c>
      <c r="AI123" s="14" t="n">
        <f aca="false">IF(W123=0,0,MAX(0,MIN(AE123,AF123+AG123)-MAX(AE123-W123,AF123)))</f>
        <v>0</v>
      </c>
      <c r="AJ123" s="14" t="n">
        <f aca="false">W123-AH123-AI123</f>
        <v>193.3</v>
      </c>
      <c r="AK123" s="9" t="n">
        <f aca="false">IF(W123=0,0,X123*AH123/W123)</f>
        <v>0</v>
      </c>
      <c r="AL123" s="9" t="n">
        <f aca="false">IF(W123=0,0,X123*AI123/W123)</f>
        <v>0</v>
      </c>
      <c r="AM123" s="9" t="n">
        <f aca="false">X123-AK123-AL123</f>
        <v>2454642.12446966</v>
      </c>
    </row>
    <row r="124" customFormat="false" ht="15" hidden="false" customHeight="false" outlineLevel="0" collapsed="false">
      <c r="A124" s="6" t="n">
        <v>119</v>
      </c>
      <c r="B124" s="74" t="s">
        <v>950</v>
      </c>
      <c r="C124" s="53" t="str">
        <f aca="false">INDEX(I_Items!$C$5:$C$133,MATCH($B124,I_Items!$A$5:$A$133,0))</f>
        <v>RPA</v>
      </c>
      <c r="D124" s="53" t="str">
        <f aca="false">INDEX(I_Items!$D$5:$D$133,MATCH($B124,I_Items!$A$5:$A$133,0))</f>
        <v>Kepala</v>
      </c>
      <c r="E124" s="53" t="str">
        <f aca="false">INDEX(I_Items!$F$5:$F$133,MATCH($B124,I_Items!$A$5:$A$133,0))</f>
        <v>Fresh</v>
      </c>
      <c r="F124" s="53" t="str">
        <f aca="false">IF(INDEX(I_Items!$E$5:$E$133,MATCH($B124,I_Items!$A$5:$A$133,0))="","",INDEX(I_Items!$E$5:$E$133,MATCH($B124,I_Items!$A$5:$A$133,0)))</f>
        <v/>
      </c>
      <c r="G124" s="76" t="n">
        <v>46255</v>
      </c>
      <c r="H124" s="23" t="n">
        <f aca="false">MONTH(G124)</f>
        <v>8</v>
      </c>
      <c r="I124" s="74" t="s">
        <v>2075</v>
      </c>
      <c r="J124" s="74" t="s">
        <v>2093</v>
      </c>
      <c r="K124" s="10" t="n">
        <v>0</v>
      </c>
      <c r="L124" s="8" t="n">
        <v>0</v>
      </c>
      <c r="M124" s="10" t="n">
        <v>175.1</v>
      </c>
      <c r="N124" s="8" t="n">
        <v>2223527.35</v>
      </c>
      <c r="O124" s="74" t="s">
        <v>2077</v>
      </c>
      <c r="P124" s="74"/>
      <c r="Q124" s="74"/>
      <c r="R124" s="14" t="n">
        <f aca="false">IF(I124="Unbilled",0,M124)</f>
        <v>175.1</v>
      </c>
      <c r="S124" s="9" t="n">
        <f aca="false">IF(R124=0,0,IF(O124="Booked",N124,R124*V123))</f>
        <v>2223527.34606641</v>
      </c>
      <c r="T124" s="14" t="n">
        <f aca="false">IF(I124="Opening",K124,T123+K124-R124)</f>
        <v>939.4</v>
      </c>
      <c r="U124" s="9" t="n">
        <f aca="false">IF(I124="Opening",L124,U123+L124-S124)</f>
        <v>11929078.177583</v>
      </c>
      <c r="V124" s="9" t="n">
        <f aca="false">IF(T124&gt;0,U124/T124,IF(I124="Opening",0,V123))</f>
        <v>12698.6141979806</v>
      </c>
      <c r="W124" s="14" t="n">
        <f aca="false">M124</f>
        <v>175.1</v>
      </c>
      <c r="X124" s="9" t="n">
        <f aca="false">IF(W124=0,0,IF(O124="Booked",N124,W124*AA123))</f>
        <v>2223527.34606641</v>
      </c>
      <c r="Y124" s="14" t="n">
        <f aca="false">IF(I124="Opening",K124,Y123+K124-W124)</f>
        <v>939.4</v>
      </c>
      <c r="Z124" s="9" t="n">
        <f aca="false">IF(I124="Opening",L124,Z123+L124-X124)</f>
        <v>11929078.177583</v>
      </c>
      <c r="AA124" s="9" t="n">
        <f aca="false">IF(Y124&gt;0,Z124/Y124,IF(I124="Opening",0,AA123))</f>
        <v>12698.6141979806</v>
      </c>
      <c r="AB124" s="9" t="n">
        <f aca="false">IF(AND(I124="DO",O124="MA"),S124-N124,0)</f>
        <v>-0.00393359176814556</v>
      </c>
      <c r="AC124" s="9" t="n">
        <f aca="false">IF(I124="DO",X124-S124,0)</f>
        <v>0</v>
      </c>
      <c r="AD124" s="23" t="n">
        <f aca="false">IF(B125&lt;&gt;B124,1,0)</f>
        <v>0</v>
      </c>
      <c r="AE124" s="14" t="n">
        <f aca="false">IF(I124="Opening",0,AE123+W124)</f>
        <v>2810.8</v>
      </c>
      <c r="AF124" s="14" t="n">
        <f aca="false">IF(I124="Opening",K124,AF123)</f>
        <v>768.5</v>
      </c>
      <c r="AG124" s="14" t="n">
        <f aca="false">AG123</f>
        <v>0</v>
      </c>
      <c r="AH124" s="14" t="n">
        <f aca="false">IF(W124=0,0,MAX(0,MIN(AE124,AF124)-MIN(AE124-W124,AF124)))</f>
        <v>0</v>
      </c>
      <c r="AI124" s="14" t="n">
        <f aca="false">IF(W124=0,0,MAX(0,MIN(AE124,AF124+AG124)-MAX(AE124-W124,AF124)))</f>
        <v>0</v>
      </c>
      <c r="AJ124" s="14" t="n">
        <f aca="false">W124-AH124-AI124</f>
        <v>175.1</v>
      </c>
      <c r="AK124" s="9" t="n">
        <f aca="false">IF(W124=0,0,X124*AH124/W124)</f>
        <v>0</v>
      </c>
      <c r="AL124" s="9" t="n">
        <f aca="false">IF(W124=0,0,X124*AI124/W124)</f>
        <v>0</v>
      </c>
      <c r="AM124" s="9" t="n">
        <f aca="false">X124-AK124-AL124</f>
        <v>2223527.34606641</v>
      </c>
    </row>
    <row r="125" customFormat="false" ht="15" hidden="false" customHeight="false" outlineLevel="0" collapsed="false">
      <c r="A125" s="6" t="n">
        <v>120</v>
      </c>
      <c r="B125" s="74" t="s">
        <v>950</v>
      </c>
      <c r="C125" s="53" t="str">
        <f aca="false">INDEX(I_Items!$C$5:$C$133,MATCH($B125,I_Items!$A$5:$A$133,0))</f>
        <v>RPA</v>
      </c>
      <c r="D125" s="53" t="str">
        <f aca="false">INDEX(I_Items!$D$5:$D$133,MATCH($B125,I_Items!$A$5:$A$133,0))</f>
        <v>Kepala</v>
      </c>
      <c r="E125" s="53" t="str">
        <f aca="false">INDEX(I_Items!$F$5:$F$133,MATCH($B125,I_Items!$A$5:$A$133,0))</f>
        <v>Fresh</v>
      </c>
      <c r="F125" s="53" t="str">
        <f aca="false">IF(INDEX(I_Items!$E$5:$E$133,MATCH($B125,I_Items!$A$5:$A$133,0))="","",INDEX(I_Items!$E$5:$E$133,MATCH($B125,I_Items!$A$5:$A$133,0)))</f>
        <v/>
      </c>
      <c r="G125" s="76" t="n">
        <v>46255</v>
      </c>
      <c r="H125" s="23" t="n">
        <f aca="false">MONTH(G125)</f>
        <v>8</v>
      </c>
      <c r="I125" s="74" t="s">
        <v>2074</v>
      </c>
      <c r="J125" s="74" t="s">
        <v>1311</v>
      </c>
      <c r="K125" s="10" t="n">
        <v>350.1</v>
      </c>
      <c r="L125" s="8" t="n">
        <v>4865195.88</v>
      </c>
      <c r="M125" s="10" t="n">
        <v>0</v>
      </c>
      <c r="N125" s="8" t="n">
        <v>0</v>
      </c>
      <c r="O125" s="74"/>
      <c r="P125" s="74"/>
      <c r="Q125" s="74"/>
      <c r="R125" s="14" t="n">
        <f aca="false">IF(I125="Unbilled",0,M125)</f>
        <v>0</v>
      </c>
      <c r="S125" s="9" t="n">
        <f aca="false">IF(R125=0,0,IF(O125="Booked",N125,R125*V124))</f>
        <v>0</v>
      </c>
      <c r="T125" s="14" t="n">
        <f aca="false">IF(I125="Opening",K125,T124+K125-R125)</f>
        <v>1289.5</v>
      </c>
      <c r="U125" s="9" t="n">
        <f aca="false">IF(I125="Opening",L125,U124+L125-S125)</f>
        <v>16794274.057583</v>
      </c>
      <c r="V125" s="9" t="n">
        <f aca="false">IF(T125&gt;0,U125/T125,IF(I125="Opening",0,V124))</f>
        <v>13023.8651086336</v>
      </c>
      <c r="W125" s="14" t="n">
        <f aca="false">M125</f>
        <v>0</v>
      </c>
      <c r="X125" s="9" t="n">
        <f aca="false">IF(W125=0,0,IF(O125="Booked",N125,W125*AA124))</f>
        <v>0</v>
      </c>
      <c r="Y125" s="14" t="n">
        <f aca="false">IF(I125="Opening",K125,Y124+K125-W125)</f>
        <v>1289.5</v>
      </c>
      <c r="Z125" s="9" t="n">
        <f aca="false">IF(I125="Opening",L125,Z124+L125-X125)</f>
        <v>16794274.057583</v>
      </c>
      <c r="AA125" s="9" t="n">
        <f aca="false">IF(Y125&gt;0,Z125/Y125,IF(I125="Opening",0,AA124))</f>
        <v>13023.8651086336</v>
      </c>
      <c r="AB125" s="9" t="n">
        <f aca="false">IF(AND(I125="DO",O125="MA"),S125-N125,0)</f>
        <v>0</v>
      </c>
      <c r="AC125" s="9" t="n">
        <f aca="false">IF(I125="DO",X125-S125,0)</f>
        <v>0</v>
      </c>
      <c r="AD125" s="23" t="n">
        <f aca="false">IF(B126&lt;&gt;B125,1,0)</f>
        <v>0</v>
      </c>
      <c r="AE125" s="14" t="n">
        <f aca="false">IF(I125="Opening",0,AE124+W125)</f>
        <v>2810.8</v>
      </c>
      <c r="AF125" s="14" t="n">
        <f aca="false">IF(I125="Opening",K125,AF124)</f>
        <v>768.5</v>
      </c>
      <c r="AG125" s="14" t="n">
        <f aca="false">AG124</f>
        <v>0</v>
      </c>
      <c r="AH125" s="14" t="n">
        <f aca="false">IF(W125=0,0,MAX(0,MIN(AE125,AF125)-MIN(AE125-W125,AF125)))</f>
        <v>0</v>
      </c>
      <c r="AI125" s="14" t="n">
        <f aca="false">IF(W125=0,0,MAX(0,MIN(AE125,AF125+AG125)-MAX(AE125-W125,AF125)))</f>
        <v>0</v>
      </c>
      <c r="AJ125" s="14" t="n">
        <f aca="false">W125-AH125-AI125</f>
        <v>0</v>
      </c>
      <c r="AK125" s="9" t="n">
        <f aca="false">IF(W125=0,0,X125*AH125/W125)</f>
        <v>0</v>
      </c>
      <c r="AL125" s="9" t="n">
        <f aca="false">IF(W125=0,0,X125*AI125/W125)</f>
        <v>0</v>
      </c>
      <c r="AM125" s="9" t="n">
        <f aca="false">X125-AK125-AL125</f>
        <v>0</v>
      </c>
    </row>
    <row r="126" customFormat="false" ht="15" hidden="false" customHeight="false" outlineLevel="0" collapsed="false">
      <c r="A126" s="6" t="n">
        <v>121</v>
      </c>
      <c r="B126" s="74" t="s">
        <v>950</v>
      </c>
      <c r="C126" s="53" t="str">
        <f aca="false">INDEX(I_Items!$C$5:$C$133,MATCH($B126,I_Items!$A$5:$A$133,0))</f>
        <v>RPA</v>
      </c>
      <c r="D126" s="53" t="str">
        <f aca="false">INDEX(I_Items!$D$5:$D$133,MATCH($B126,I_Items!$A$5:$A$133,0))</f>
        <v>Kepala</v>
      </c>
      <c r="E126" s="53" t="str">
        <f aca="false">INDEX(I_Items!$F$5:$F$133,MATCH($B126,I_Items!$A$5:$A$133,0))</f>
        <v>Fresh</v>
      </c>
      <c r="F126" s="53" t="str">
        <f aca="false">IF(INDEX(I_Items!$E$5:$E$133,MATCH($B126,I_Items!$A$5:$A$133,0))="","",INDEX(I_Items!$E$5:$E$133,MATCH($B126,I_Items!$A$5:$A$133,0)))</f>
        <v/>
      </c>
      <c r="G126" s="76" t="n">
        <v>46259</v>
      </c>
      <c r="H126" s="23" t="n">
        <f aca="false">MONTH(G126)</f>
        <v>8</v>
      </c>
      <c r="I126" s="74" t="s">
        <v>2074</v>
      </c>
      <c r="J126" s="74" t="s">
        <v>1314</v>
      </c>
      <c r="K126" s="10" t="n">
        <v>491.5</v>
      </c>
      <c r="L126" s="8" t="n">
        <v>6591389.13</v>
      </c>
      <c r="M126" s="10" t="n">
        <v>0</v>
      </c>
      <c r="N126" s="8" t="n">
        <v>0</v>
      </c>
      <c r="O126" s="74"/>
      <c r="P126" s="74"/>
      <c r="Q126" s="74"/>
      <c r="R126" s="14" t="n">
        <f aca="false">IF(I126="Unbilled",0,M126)</f>
        <v>0</v>
      </c>
      <c r="S126" s="9" t="n">
        <f aca="false">IF(R126=0,0,IF(O126="Booked",N126,R126*V125))</f>
        <v>0</v>
      </c>
      <c r="T126" s="14" t="n">
        <f aca="false">IF(I126="Opening",K126,T125+K126-R126)</f>
        <v>1781</v>
      </c>
      <c r="U126" s="9" t="n">
        <f aca="false">IF(I126="Opening",L126,U125+L126-S126)</f>
        <v>23385663.187583</v>
      </c>
      <c r="V126" s="9" t="n">
        <f aca="false">IF(T126&gt;0,U126/T126,IF(I126="Opening",0,V125))</f>
        <v>13130.6362647855</v>
      </c>
      <c r="W126" s="14" t="n">
        <f aca="false">M126</f>
        <v>0</v>
      </c>
      <c r="X126" s="9" t="n">
        <f aca="false">IF(W126=0,0,IF(O126="Booked",N126,W126*AA125))</f>
        <v>0</v>
      </c>
      <c r="Y126" s="14" t="n">
        <f aca="false">IF(I126="Opening",K126,Y125+K126-W126)</f>
        <v>1781</v>
      </c>
      <c r="Z126" s="9" t="n">
        <f aca="false">IF(I126="Opening",L126,Z125+L126-X126)</f>
        <v>23385663.187583</v>
      </c>
      <c r="AA126" s="9" t="n">
        <f aca="false">IF(Y126&gt;0,Z126/Y126,IF(I126="Opening",0,AA125))</f>
        <v>13130.6362647855</v>
      </c>
      <c r="AB126" s="9" t="n">
        <f aca="false">IF(AND(I126="DO",O126="MA"),S126-N126,0)</f>
        <v>0</v>
      </c>
      <c r="AC126" s="9" t="n">
        <f aca="false">IF(I126="DO",X126-S126,0)</f>
        <v>0</v>
      </c>
      <c r="AD126" s="23" t="n">
        <f aca="false">IF(B127&lt;&gt;B126,1,0)</f>
        <v>0</v>
      </c>
      <c r="AE126" s="14" t="n">
        <f aca="false">IF(I126="Opening",0,AE125+W126)</f>
        <v>2810.8</v>
      </c>
      <c r="AF126" s="14" t="n">
        <f aca="false">IF(I126="Opening",K126,AF125)</f>
        <v>768.5</v>
      </c>
      <c r="AG126" s="14" t="n">
        <f aca="false">AG125</f>
        <v>0</v>
      </c>
      <c r="AH126" s="14" t="n">
        <f aca="false">IF(W126=0,0,MAX(0,MIN(AE126,AF126)-MIN(AE126-W126,AF126)))</f>
        <v>0</v>
      </c>
      <c r="AI126" s="14" t="n">
        <f aca="false">IF(W126=0,0,MAX(0,MIN(AE126,AF126+AG126)-MAX(AE126-W126,AF126)))</f>
        <v>0</v>
      </c>
      <c r="AJ126" s="14" t="n">
        <f aca="false">W126-AH126-AI126</f>
        <v>0</v>
      </c>
      <c r="AK126" s="9" t="n">
        <f aca="false">IF(W126=0,0,X126*AH126/W126)</f>
        <v>0</v>
      </c>
      <c r="AL126" s="9" t="n">
        <f aca="false">IF(W126=0,0,X126*AI126/W126)</f>
        <v>0</v>
      </c>
      <c r="AM126" s="9" t="n">
        <f aca="false">X126-AK126-AL126</f>
        <v>0</v>
      </c>
    </row>
    <row r="127" customFormat="false" ht="15" hidden="false" customHeight="false" outlineLevel="0" collapsed="false">
      <c r="A127" s="6" t="n">
        <v>122</v>
      </c>
      <c r="B127" s="74" t="s">
        <v>950</v>
      </c>
      <c r="C127" s="53" t="str">
        <f aca="false">INDEX(I_Items!$C$5:$C$133,MATCH($B127,I_Items!$A$5:$A$133,0))</f>
        <v>RPA</v>
      </c>
      <c r="D127" s="53" t="str">
        <f aca="false">INDEX(I_Items!$D$5:$D$133,MATCH($B127,I_Items!$A$5:$A$133,0))</f>
        <v>Kepala</v>
      </c>
      <c r="E127" s="53" t="str">
        <f aca="false">INDEX(I_Items!$F$5:$F$133,MATCH($B127,I_Items!$A$5:$A$133,0))</f>
        <v>Fresh</v>
      </c>
      <c r="F127" s="53" t="str">
        <f aca="false">IF(INDEX(I_Items!$E$5:$E$133,MATCH($B127,I_Items!$A$5:$A$133,0))="","",INDEX(I_Items!$E$5:$E$133,MATCH($B127,I_Items!$A$5:$A$133,0)))</f>
        <v/>
      </c>
      <c r="G127" s="76" t="n">
        <v>46260</v>
      </c>
      <c r="H127" s="23" t="n">
        <f aca="false">MONTH(G127)</f>
        <v>8</v>
      </c>
      <c r="I127" s="74" t="s">
        <v>2074</v>
      </c>
      <c r="J127" s="74" t="s">
        <v>1317</v>
      </c>
      <c r="K127" s="10" t="n">
        <v>518.4</v>
      </c>
      <c r="L127" s="8" t="n">
        <v>7101023.35</v>
      </c>
      <c r="M127" s="10" t="n">
        <v>0</v>
      </c>
      <c r="N127" s="8" t="n">
        <v>0</v>
      </c>
      <c r="O127" s="74"/>
      <c r="P127" s="74"/>
      <c r="Q127" s="74"/>
      <c r="R127" s="14" t="n">
        <f aca="false">IF(I127="Unbilled",0,M127)</f>
        <v>0</v>
      </c>
      <c r="S127" s="9" t="n">
        <f aca="false">IF(R127=0,0,IF(O127="Booked",N127,R127*V126))</f>
        <v>0</v>
      </c>
      <c r="T127" s="14" t="n">
        <f aca="false">IF(I127="Opening",K127,T126+K127-R127)</f>
        <v>2299.4</v>
      </c>
      <c r="U127" s="9" t="n">
        <f aca="false">IF(I127="Opening",L127,U126+L127-S127)</f>
        <v>30486686.537583</v>
      </c>
      <c r="V127" s="9" t="n">
        <f aca="false">IF(T127&gt;0,U127/T127,IF(I127="Opening",0,V126))</f>
        <v>13258.5398528238</v>
      </c>
      <c r="W127" s="14" t="n">
        <f aca="false">M127</f>
        <v>0</v>
      </c>
      <c r="X127" s="9" t="n">
        <f aca="false">IF(W127=0,0,IF(O127="Booked",N127,W127*AA126))</f>
        <v>0</v>
      </c>
      <c r="Y127" s="14" t="n">
        <f aca="false">IF(I127="Opening",K127,Y126+K127-W127)</f>
        <v>2299.4</v>
      </c>
      <c r="Z127" s="9" t="n">
        <f aca="false">IF(I127="Opening",L127,Z126+L127-X127)</f>
        <v>30486686.537583</v>
      </c>
      <c r="AA127" s="9" t="n">
        <f aca="false">IF(Y127&gt;0,Z127/Y127,IF(I127="Opening",0,AA126))</f>
        <v>13258.5398528238</v>
      </c>
      <c r="AB127" s="9" t="n">
        <f aca="false">IF(AND(I127="DO",O127="MA"),S127-N127,0)</f>
        <v>0</v>
      </c>
      <c r="AC127" s="9" t="n">
        <f aca="false">IF(I127="DO",X127-S127,0)</f>
        <v>0</v>
      </c>
      <c r="AD127" s="23" t="n">
        <f aca="false">IF(B128&lt;&gt;B127,1,0)</f>
        <v>0</v>
      </c>
      <c r="AE127" s="14" t="n">
        <f aca="false">IF(I127="Opening",0,AE126+W127)</f>
        <v>2810.8</v>
      </c>
      <c r="AF127" s="14" t="n">
        <f aca="false">IF(I127="Opening",K127,AF126)</f>
        <v>768.5</v>
      </c>
      <c r="AG127" s="14" t="n">
        <f aca="false">AG126</f>
        <v>0</v>
      </c>
      <c r="AH127" s="14" t="n">
        <f aca="false">IF(W127=0,0,MAX(0,MIN(AE127,AF127)-MIN(AE127-W127,AF127)))</f>
        <v>0</v>
      </c>
      <c r="AI127" s="14" t="n">
        <f aca="false">IF(W127=0,0,MAX(0,MIN(AE127,AF127+AG127)-MAX(AE127-W127,AF127)))</f>
        <v>0</v>
      </c>
      <c r="AJ127" s="14" t="n">
        <f aca="false">W127-AH127-AI127</f>
        <v>0</v>
      </c>
      <c r="AK127" s="9" t="n">
        <f aca="false">IF(W127=0,0,X127*AH127/W127)</f>
        <v>0</v>
      </c>
      <c r="AL127" s="9" t="n">
        <f aca="false">IF(W127=0,0,X127*AI127/W127)</f>
        <v>0</v>
      </c>
      <c r="AM127" s="9" t="n">
        <f aca="false">X127-AK127-AL127</f>
        <v>0</v>
      </c>
    </row>
    <row r="128" customFormat="false" ht="15" hidden="false" customHeight="false" outlineLevel="0" collapsed="false">
      <c r="A128" s="6" t="n">
        <v>123</v>
      </c>
      <c r="B128" s="74" t="s">
        <v>950</v>
      </c>
      <c r="C128" s="53" t="str">
        <f aca="false">INDEX(I_Items!$C$5:$C$133,MATCH($B128,I_Items!$A$5:$A$133,0))</f>
        <v>RPA</v>
      </c>
      <c r="D128" s="53" t="str">
        <f aca="false">INDEX(I_Items!$D$5:$D$133,MATCH($B128,I_Items!$A$5:$A$133,0))</f>
        <v>Kepala</v>
      </c>
      <c r="E128" s="53" t="str">
        <f aca="false">INDEX(I_Items!$F$5:$F$133,MATCH($B128,I_Items!$A$5:$A$133,0))</f>
        <v>Fresh</v>
      </c>
      <c r="F128" s="53" t="str">
        <f aca="false">IF(INDEX(I_Items!$E$5:$E$133,MATCH($B128,I_Items!$A$5:$A$133,0))="","",INDEX(I_Items!$E$5:$E$133,MATCH($B128,I_Items!$A$5:$A$133,0)))</f>
        <v/>
      </c>
      <c r="G128" s="76" t="n">
        <v>46260</v>
      </c>
      <c r="H128" s="23" t="n">
        <f aca="false">MONTH(G128)</f>
        <v>8</v>
      </c>
      <c r="I128" s="74" t="s">
        <v>2075</v>
      </c>
      <c r="J128" s="74" t="s">
        <v>2094</v>
      </c>
      <c r="K128" s="10" t="n">
        <v>0</v>
      </c>
      <c r="L128" s="8" t="n">
        <v>0</v>
      </c>
      <c r="M128" s="10" t="n">
        <v>170.4</v>
      </c>
      <c r="N128" s="8" t="n">
        <v>2259255.18</v>
      </c>
      <c r="O128" s="74" t="s">
        <v>2077</v>
      </c>
      <c r="P128" s="74"/>
      <c r="Q128" s="74"/>
      <c r="R128" s="14" t="n">
        <f aca="false">IF(I128="Unbilled",0,M128)</f>
        <v>170.4</v>
      </c>
      <c r="S128" s="9" t="n">
        <f aca="false">IF(R128=0,0,IF(O128="Booked",N128,R128*V127))</f>
        <v>2259255.19092117</v>
      </c>
      <c r="T128" s="14" t="n">
        <f aca="false">IF(I128="Opening",K128,T127+K128-R128)</f>
        <v>2129</v>
      </c>
      <c r="U128" s="9" t="n">
        <f aca="false">IF(I128="Opening",L128,U127+L128-S128)</f>
        <v>28227431.3466618</v>
      </c>
      <c r="V128" s="9" t="n">
        <f aca="false">IF(T128&gt;0,U128/T128,IF(I128="Opening",0,V127))</f>
        <v>13258.5398528238</v>
      </c>
      <c r="W128" s="14" t="n">
        <f aca="false">M128</f>
        <v>170.4</v>
      </c>
      <c r="X128" s="9" t="n">
        <f aca="false">IF(W128=0,0,IF(O128="Booked",N128,W128*AA127))</f>
        <v>2259255.19092117</v>
      </c>
      <c r="Y128" s="14" t="n">
        <f aca="false">IF(I128="Opening",K128,Y127+K128-W128)</f>
        <v>2129</v>
      </c>
      <c r="Z128" s="9" t="n">
        <f aca="false">IF(I128="Opening",L128,Z127+L128-X128)</f>
        <v>28227431.3466618</v>
      </c>
      <c r="AA128" s="9" t="n">
        <f aca="false">IF(Y128&gt;0,Z128/Y128,IF(I128="Opening",0,AA127))</f>
        <v>13258.5398528238</v>
      </c>
      <c r="AB128" s="9" t="n">
        <f aca="false">IF(AND(I128="DO",O128="MA"),S128-N128,0)</f>
        <v>0.0109211723320186</v>
      </c>
      <c r="AC128" s="9" t="n">
        <f aca="false">IF(I128="DO",X128-S128,0)</f>
        <v>0</v>
      </c>
      <c r="AD128" s="23" t="n">
        <f aca="false">IF(B129&lt;&gt;B128,1,0)</f>
        <v>0</v>
      </c>
      <c r="AE128" s="14" t="n">
        <f aca="false">IF(I128="Opening",0,AE127+W128)</f>
        <v>2981.2</v>
      </c>
      <c r="AF128" s="14" t="n">
        <f aca="false">IF(I128="Opening",K128,AF127)</f>
        <v>768.5</v>
      </c>
      <c r="AG128" s="14" t="n">
        <f aca="false">AG127</f>
        <v>0</v>
      </c>
      <c r="AH128" s="14" t="n">
        <f aca="false">IF(W128=0,0,MAX(0,MIN(AE128,AF128)-MIN(AE128-W128,AF128)))</f>
        <v>0</v>
      </c>
      <c r="AI128" s="14" t="n">
        <f aca="false">IF(W128=0,0,MAX(0,MIN(AE128,AF128+AG128)-MAX(AE128-W128,AF128)))</f>
        <v>0</v>
      </c>
      <c r="AJ128" s="14" t="n">
        <f aca="false">W128-AH128-AI128</f>
        <v>170.4</v>
      </c>
      <c r="AK128" s="9" t="n">
        <f aca="false">IF(W128=0,0,X128*AH128/W128)</f>
        <v>0</v>
      </c>
      <c r="AL128" s="9" t="n">
        <f aca="false">IF(W128=0,0,X128*AI128/W128)</f>
        <v>0</v>
      </c>
      <c r="AM128" s="9" t="n">
        <f aca="false">X128-AK128-AL128</f>
        <v>2259255.19092117</v>
      </c>
    </row>
    <row r="129" customFormat="false" ht="15" hidden="false" customHeight="false" outlineLevel="0" collapsed="false">
      <c r="A129" s="6" t="n">
        <v>124</v>
      </c>
      <c r="B129" s="74" t="s">
        <v>950</v>
      </c>
      <c r="C129" s="53" t="str">
        <f aca="false">INDEX(I_Items!$C$5:$C$133,MATCH($B129,I_Items!$A$5:$A$133,0))</f>
        <v>RPA</v>
      </c>
      <c r="D129" s="53" t="str">
        <f aca="false">INDEX(I_Items!$D$5:$D$133,MATCH($B129,I_Items!$A$5:$A$133,0))</f>
        <v>Kepala</v>
      </c>
      <c r="E129" s="53" t="str">
        <f aca="false">INDEX(I_Items!$F$5:$F$133,MATCH($B129,I_Items!$A$5:$A$133,0))</f>
        <v>Fresh</v>
      </c>
      <c r="F129" s="53" t="str">
        <f aca="false">IF(INDEX(I_Items!$E$5:$E$133,MATCH($B129,I_Items!$A$5:$A$133,0))="","",INDEX(I_Items!$E$5:$E$133,MATCH($B129,I_Items!$A$5:$A$133,0)))</f>
        <v/>
      </c>
      <c r="G129" s="76" t="n">
        <v>46260</v>
      </c>
      <c r="H129" s="23" t="n">
        <f aca="false">MONTH(G129)</f>
        <v>8</v>
      </c>
      <c r="I129" s="74" t="s">
        <v>2075</v>
      </c>
      <c r="J129" s="74" t="s">
        <v>2095</v>
      </c>
      <c r="K129" s="10" t="n">
        <v>0</v>
      </c>
      <c r="L129" s="8" t="n">
        <v>0</v>
      </c>
      <c r="M129" s="10" t="n">
        <v>156</v>
      </c>
      <c r="N129" s="8" t="n">
        <v>2068332.21</v>
      </c>
      <c r="O129" s="74" t="s">
        <v>2077</v>
      </c>
      <c r="P129" s="74"/>
      <c r="Q129" s="74"/>
      <c r="R129" s="14" t="n">
        <f aca="false">IF(I129="Unbilled",0,M129)</f>
        <v>156</v>
      </c>
      <c r="S129" s="9" t="n">
        <f aca="false">IF(R129=0,0,IF(O129="Booked",N129,R129*V128))</f>
        <v>2068332.21704051</v>
      </c>
      <c r="T129" s="14" t="n">
        <f aca="false">IF(I129="Opening",K129,T128+K129-R129)</f>
        <v>1973</v>
      </c>
      <c r="U129" s="9" t="n">
        <f aca="false">IF(I129="Opening",L129,U128+L129-S129)</f>
        <v>26159099.1296213</v>
      </c>
      <c r="V129" s="9" t="n">
        <f aca="false">IF(T129&gt;0,U129/T129,IF(I129="Opening",0,V128))</f>
        <v>13258.5398528238</v>
      </c>
      <c r="W129" s="14" t="n">
        <f aca="false">M129</f>
        <v>156</v>
      </c>
      <c r="X129" s="9" t="n">
        <f aca="false">IF(W129=0,0,IF(O129="Booked",N129,W129*AA128))</f>
        <v>2068332.21704051</v>
      </c>
      <c r="Y129" s="14" t="n">
        <f aca="false">IF(I129="Opening",K129,Y128+K129-W129)</f>
        <v>1973</v>
      </c>
      <c r="Z129" s="9" t="n">
        <f aca="false">IF(I129="Opening",L129,Z128+L129-X129)</f>
        <v>26159099.1296213</v>
      </c>
      <c r="AA129" s="9" t="n">
        <f aca="false">IF(Y129&gt;0,Z129/Y129,IF(I129="Opening",0,AA128))</f>
        <v>13258.5398528238</v>
      </c>
      <c r="AB129" s="9" t="n">
        <f aca="false">IF(AND(I129="DO",O129="MA"),S129-N129,0)</f>
        <v>0.00704051041975617</v>
      </c>
      <c r="AC129" s="9" t="n">
        <f aca="false">IF(I129="DO",X129-S129,0)</f>
        <v>0</v>
      </c>
      <c r="AD129" s="23" t="n">
        <f aca="false">IF(B130&lt;&gt;B129,1,0)</f>
        <v>0</v>
      </c>
      <c r="AE129" s="14" t="n">
        <f aca="false">IF(I129="Opening",0,AE128+W129)</f>
        <v>3137.2</v>
      </c>
      <c r="AF129" s="14" t="n">
        <f aca="false">IF(I129="Opening",K129,AF128)</f>
        <v>768.5</v>
      </c>
      <c r="AG129" s="14" t="n">
        <f aca="false">AG128</f>
        <v>0</v>
      </c>
      <c r="AH129" s="14" t="n">
        <f aca="false">IF(W129=0,0,MAX(0,MIN(AE129,AF129)-MIN(AE129-W129,AF129)))</f>
        <v>0</v>
      </c>
      <c r="AI129" s="14" t="n">
        <f aca="false">IF(W129=0,0,MAX(0,MIN(AE129,AF129+AG129)-MAX(AE129-W129,AF129)))</f>
        <v>0</v>
      </c>
      <c r="AJ129" s="14" t="n">
        <f aca="false">W129-AH129-AI129</f>
        <v>156</v>
      </c>
      <c r="AK129" s="9" t="n">
        <f aca="false">IF(W129=0,0,X129*AH129/W129)</f>
        <v>0</v>
      </c>
      <c r="AL129" s="9" t="n">
        <f aca="false">IF(W129=0,0,X129*AI129/W129)</f>
        <v>0</v>
      </c>
      <c r="AM129" s="9" t="n">
        <f aca="false">X129-AK129-AL129</f>
        <v>2068332.21704051</v>
      </c>
    </row>
    <row r="130" customFormat="false" ht="15" hidden="false" customHeight="false" outlineLevel="0" collapsed="false">
      <c r="A130" s="6" t="n">
        <v>125</v>
      </c>
      <c r="B130" s="74" t="s">
        <v>950</v>
      </c>
      <c r="C130" s="53" t="str">
        <f aca="false">INDEX(I_Items!$C$5:$C$133,MATCH($B130,I_Items!$A$5:$A$133,0))</f>
        <v>RPA</v>
      </c>
      <c r="D130" s="53" t="str">
        <f aca="false">INDEX(I_Items!$D$5:$D$133,MATCH($B130,I_Items!$A$5:$A$133,0))</f>
        <v>Kepala</v>
      </c>
      <c r="E130" s="53" t="str">
        <f aca="false">INDEX(I_Items!$F$5:$F$133,MATCH($B130,I_Items!$A$5:$A$133,0))</f>
        <v>Fresh</v>
      </c>
      <c r="F130" s="53" t="str">
        <f aca="false">IF(INDEX(I_Items!$E$5:$E$133,MATCH($B130,I_Items!$A$5:$A$133,0))="","",INDEX(I_Items!$E$5:$E$133,MATCH($B130,I_Items!$A$5:$A$133,0)))</f>
        <v/>
      </c>
      <c r="G130" s="76" t="n">
        <v>46260</v>
      </c>
      <c r="H130" s="23" t="n">
        <f aca="false">MONTH(G130)</f>
        <v>8</v>
      </c>
      <c r="I130" s="74" t="s">
        <v>2075</v>
      </c>
      <c r="J130" s="74" t="s">
        <v>2096</v>
      </c>
      <c r="K130" s="10" t="n">
        <v>0</v>
      </c>
      <c r="L130" s="8" t="n">
        <v>0</v>
      </c>
      <c r="M130" s="10" t="n">
        <v>165.1</v>
      </c>
      <c r="N130" s="8" t="n">
        <v>2188984.92</v>
      </c>
      <c r="O130" s="74" t="s">
        <v>2077</v>
      </c>
      <c r="P130" s="74"/>
      <c r="Q130" s="74"/>
      <c r="R130" s="14" t="n">
        <f aca="false">IF(I130="Unbilled",0,M130)</f>
        <v>165.1</v>
      </c>
      <c r="S130" s="9" t="n">
        <f aca="false">IF(R130=0,0,IF(O130="Booked",N130,R130*V129))</f>
        <v>2188984.92970121</v>
      </c>
      <c r="T130" s="14" t="n">
        <f aca="false">IF(I130="Opening",K130,T129+K130-R130)</f>
        <v>1807.9</v>
      </c>
      <c r="U130" s="9" t="n">
        <f aca="false">IF(I130="Opening",L130,U129+L130-S130)</f>
        <v>23970114.1999201</v>
      </c>
      <c r="V130" s="9" t="n">
        <f aca="false">IF(T130&gt;0,U130/T130,IF(I130="Opening",0,V129))</f>
        <v>13258.5398528238</v>
      </c>
      <c r="W130" s="14" t="n">
        <f aca="false">M130</f>
        <v>165.1</v>
      </c>
      <c r="X130" s="9" t="n">
        <f aca="false">IF(W130=0,0,IF(O130="Booked",N130,W130*AA129))</f>
        <v>2188984.92970121</v>
      </c>
      <c r="Y130" s="14" t="n">
        <f aca="false">IF(I130="Opening",K130,Y129+K130-W130)</f>
        <v>1807.9</v>
      </c>
      <c r="Z130" s="9" t="n">
        <f aca="false">IF(I130="Opening",L130,Z129+L130-X130)</f>
        <v>23970114.1999201</v>
      </c>
      <c r="AA130" s="9" t="n">
        <f aca="false">IF(Y130&gt;0,Z130/Y130,IF(I130="Opening",0,AA129))</f>
        <v>13258.5398528238</v>
      </c>
      <c r="AB130" s="9" t="n">
        <f aca="false">IF(AND(I130="DO",O130="MA"),S130-N130,0)</f>
        <v>0.00970120681449771</v>
      </c>
      <c r="AC130" s="9" t="n">
        <f aca="false">IF(I130="DO",X130-S130,0)</f>
        <v>0</v>
      </c>
      <c r="AD130" s="23" t="n">
        <f aca="false">IF(B131&lt;&gt;B130,1,0)</f>
        <v>0</v>
      </c>
      <c r="AE130" s="14" t="n">
        <f aca="false">IF(I130="Opening",0,AE129+W130)</f>
        <v>3302.3</v>
      </c>
      <c r="AF130" s="14" t="n">
        <f aca="false">IF(I130="Opening",K130,AF129)</f>
        <v>768.5</v>
      </c>
      <c r="AG130" s="14" t="n">
        <f aca="false">AG129</f>
        <v>0</v>
      </c>
      <c r="AH130" s="14" t="n">
        <f aca="false">IF(W130=0,0,MAX(0,MIN(AE130,AF130)-MIN(AE130-W130,AF130)))</f>
        <v>0</v>
      </c>
      <c r="AI130" s="14" t="n">
        <f aca="false">IF(W130=0,0,MAX(0,MIN(AE130,AF130+AG130)-MAX(AE130-W130,AF130)))</f>
        <v>0</v>
      </c>
      <c r="AJ130" s="14" t="n">
        <f aca="false">W130-AH130-AI130</f>
        <v>165.1</v>
      </c>
      <c r="AK130" s="9" t="n">
        <f aca="false">IF(W130=0,0,X130*AH130/W130)</f>
        <v>0</v>
      </c>
      <c r="AL130" s="9" t="n">
        <f aca="false">IF(W130=0,0,X130*AI130/W130)</f>
        <v>0</v>
      </c>
      <c r="AM130" s="9" t="n">
        <f aca="false">X130-AK130-AL130</f>
        <v>2188984.92970121</v>
      </c>
    </row>
    <row r="131" customFormat="false" ht="15" hidden="false" customHeight="false" outlineLevel="0" collapsed="false">
      <c r="A131" s="6" t="n">
        <v>126</v>
      </c>
      <c r="B131" s="74" t="s">
        <v>950</v>
      </c>
      <c r="C131" s="53" t="str">
        <f aca="false">INDEX(I_Items!$C$5:$C$133,MATCH($B131,I_Items!$A$5:$A$133,0))</f>
        <v>RPA</v>
      </c>
      <c r="D131" s="53" t="str">
        <f aca="false">INDEX(I_Items!$D$5:$D$133,MATCH($B131,I_Items!$A$5:$A$133,0))</f>
        <v>Kepala</v>
      </c>
      <c r="E131" s="53" t="str">
        <f aca="false">INDEX(I_Items!$F$5:$F$133,MATCH($B131,I_Items!$A$5:$A$133,0))</f>
        <v>Fresh</v>
      </c>
      <c r="F131" s="53" t="str">
        <f aca="false">IF(INDEX(I_Items!$E$5:$E$133,MATCH($B131,I_Items!$A$5:$A$133,0))="","",INDEX(I_Items!$E$5:$E$133,MATCH($B131,I_Items!$A$5:$A$133,0)))</f>
        <v/>
      </c>
      <c r="G131" s="76" t="n">
        <v>46261</v>
      </c>
      <c r="H131" s="23" t="n">
        <f aca="false">MONTH(G131)</f>
        <v>8</v>
      </c>
      <c r="I131" s="74" t="s">
        <v>2074</v>
      </c>
      <c r="J131" s="74" t="s">
        <v>1320</v>
      </c>
      <c r="K131" s="10" t="n">
        <v>489.9</v>
      </c>
      <c r="L131" s="8" t="n">
        <v>6624221.75</v>
      </c>
      <c r="M131" s="10" t="n">
        <v>0</v>
      </c>
      <c r="N131" s="8" t="n">
        <v>0</v>
      </c>
      <c r="O131" s="74"/>
      <c r="P131" s="74"/>
      <c r="Q131" s="74"/>
      <c r="R131" s="14" t="n">
        <f aca="false">IF(I131="Unbilled",0,M131)</f>
        <v>0</v>
      </c>
      <c r="S131" s="9" t="n">
        <f aca="false">IF(R131=0,0,IF(O131="Booked",N131,R131*V130))</f>
        <v>0</v>
      </c>
      <c r="T131" s="14" t="n">
        <f aca="false">IF(I131="Opening",K131,T130+K131-R131)</f>
        <v>2297.8</v>
      </c>
      <c r="U131" s="9" t="n">
        <f aca="false">IF(I131="Opening",L131,U130+L131-S131)</f>
        <v>30594335.9499201</v>
      </c>
      <c r="V131" s="9" t="n">
        <f aca="false">IF(T131&gt;0,U131/T131,IF(I131="Opening",0,V130))</f>
        <v>13314.6209199757</v>
      </c>
      <c r="W131" s="14" t="n">
        <f aca="false">M131</f>
        <v>0</v>
      </c>
      <c r="X131" s="9" t="n">
        <f aca="false">IF(W131=0,0,IF(O131="Booked",N131,W131*AA130))</f>
        <v>0</v>
      </c>
      <c r="Y131" s="14" t="n">
        <f aca="false">IF(I131="Opening",K131,Y130+K131-W131)</f>
        <v>2297.8</v>
      </c>
      <c r="Z131" s="9" t="n">
        <f aca="false">IF(I131="Opening",L131,Z130+L131-X131)</f>
        <v>30594335.9499201</v>
      </c>
      <c r="AA131" s="9" t="n">
        <f aca="false">IF(Y131&gt;0,Z131/Y131,IF(I131="Opening",0,AA130))</f>
        <v>13314.6209199757</v>
      </c>
      <c r="AB131" s="9" t="n">
        <f aca="false">IF(AND(I131="DO",O131="MA"),S131-N131,0)</f>
        <v>0</v>
      </c>
      <c r="AC131" s="9" t="n">
        <f aca="false">IF(I131="DO",X131-S131,0)</f>
        <v>0</v>
      </c>
      <c r="AD131" s="23" t="n">
        <f aca="false">IF(B132&lt;&gt;B131,1,0)</f>
        <v>0</v>
      </c>
      <c r="AE131" s="14" t="n">
        <f aca="false">IF(I131="Opening",0,AE130+W131)</f>
        <v>3302.3</v>
      </c>
      <c r="AF131" s="14" t="n">
        <f aca="false">IF(I131="Opening",K131,AF130)</f>
        <v>768.5</v>
      </c>
      <c r="AG131" s="14" t="n">
        <f aca="false">AG130</f>
        <v>0</v>
      </c>
      <c r="AH131" s="14" t="n">
        <f aca="false">IF(W131=0,0,MAX(0,MIN(AE131,AF131)-MIN(AE131-W131,AF131)))</f>
        <v>0</v>
      </c>
      <c r="AI131" s="14" t="n">
        <f aca="false">IF(W131=0,0,MAX(0,MIN(AE131,AF131+AG131)-MAX(AE131-W131,AF131)))</f>
        <v>0</v>
      </c>
      <c r="AJ131" s="14" t="n">
        <f aca="false">W131-AH131-AI131</f>
        <v>0</v>
      </c>
      <c r="AK131" s="9" t="n">
        <f aca="false">IF(W131=0,0,X131*AH131/W131)</f>
        <v>0</v>
      </c>
      <c r="AL131" s="9" t="n">
        <f aca="false">IF(W131=0,0,X131*AI131/W131)</f>
        <v>0</v>
      </c>
      <c r="AM131" s="9" t="n">
        <f aca="false">X131-AK131-AL131</f>
        <v>0</v>
      </c>
    </row>
    <row r="132" customFormat="false" ht="15" hidden="false" customHeight="false" outlineLevel="0" collapsed="false">
      <c r="A132" s="6" t="n">
        <v>127</v>
      </c>
      <c r="B132" s="74" t="s">
        <v>950</v>
      </c>
      <c r="C132" s="53" t="str">
        <f aca="false">INDEX(I_Items!$C$5:$C$133,MATCH($B132,I_Items!$A$5:$A$133,0))</f>
        <v>RPA</v>
      </c>
      <c r="D132" s="53" t="str">
        <f aca="false">INDEX(I_Items!$D$5:$D$133,MATCH($B132,I_Items!$A$5:$A$133,0))</f>
        <v>Kepala</v>
      </c>
      <c r="E132" s="53" t="str">
        <f aca="false">INDEX(I_Items!$F$5:$F$133,MATCH($B132,I_Items!$A$5:$A$133,0))</f>
        <v>Fresh</v>
      </c>
      <c r="F132" s="53" t="str">
        <f aca="false">IF(INDEX(I_Items!$E$5:$E$133,MATCH($B132,I_Items!$A$5:$A$133,0))="","",INDEX(I_Items!$E$5:$E$133,MATCH($B132,I_Items!$A$5:$A$133,0)))</f>
        <v/>
      </c>
      <c r="G132" s="76" t="n">
        <v>46262</v>
      </c>
      <c r="H132" s="23" t="n">
        <f aca="false">MONTH(G132)</f>
        <v>8</v>
      </c>
      <c r="I132" s="74" t="s">
        <v>2074</v>
      </c>
      <c r="J132" s="74" t="s">
        <v>1323</v>
      </c>
      <c r="K132" s="10" t="n">
        <v>665.8</v>
      </c>
      <c r="L132" s="8" t="n">
        <v>9077118.45</v>
      </c>
      <c r="M132" s="10" t="n">
        <v>0</v>
      </c>
      <c r="N132" s="8" t="n">
        <v>0</v>
      </c>
      <c r="O132" s="74"/>
      <c r="P132" s="74"/>
      <c r="Q132" s="74"/>
      <c r="R132" s="14" t="n">
        <f aca="false">IF(I132="Unbilled",0,M132)</f>
        <v>0</v>
      </c>
      <c r="S132" s="9" t="n">
        <f aca="false">IF(R132=0,0,IF(O132="Booked",N132,R132*V131))</f>
        <v>0</v>
      </c>
      <c r="T132" s="14" t="n">
        <f aca="false">IF(I132="Opening",K132,T131+K132-R132)</f>
        <v>2963.6</v>
      </c>
      <c r="U132" s="9" t="n">
        <f aca="false">IF(I132="Opening",L132,U131+L132-S132)</f>
        <v>39671454.3999201</v>
      </c>
      <c r="V132" s="9" t="n">
        <f aca="false">IF(T132&gt;0,U132/T132,IF(I132="Opening",0,V131))</f>
        <v>13386.237818842</v>
      </c>
      <c r="W132" s="14" t="n">
        <f aca="false">M132</f>
        <v>0</v>
      </c>
      <c r="X132" s="9" t="n">
        <f aca="false">IF(W132=0,0,IF(O132="Booked",N132,W132*AA131))</f>
        <v>0</v>
      </c>
      <c r="Y132" s="14" t="n">
        <f aca="false">IF(I132="Opening",K132,Y131+K132-W132)</f>
        <v>2963.6</v>
      </c>
      <c r="Z132" s="9" t="n">
        <f aca="false">IF(I132="Opening",L132,Z131+L132-X132)</f>
        <v>39671454.3999201</v>
      </c>
      <c r="AA132" s="9" t="n">
        <f aca="false">IF(Y132&gt;0,Z132/Y132,IF(I132="Opening",0,AA131))</f>
        <v>13386.237818842</v>
      </c>
      <c r="AB132" s="9" t="n">
        <f aca="false">IF(AND(I132="DO",O132="MA"),S132-N132,0)</f>
        <v>0</v>
      </c>
      <c r="AC132" s="9" t="n">
        <f aca="false">IF(I132="DO",X132-S132,0)</f>
        <v>0</v>
      </c>
      <c r="AD132" s="23" t="n">
        <f aca="false">IF(B133&lt;&gt;B132,1,0)</f>
        <v>0</v>
      </c>
      <c r="AE132" s="14" t="n">
        <f aca="false">IF(I132="Opening",0,AE131+W132)</f>
        <v>3302.3</v>
      </c>
      <c r="AF132" s="14" t="n">
        <f aca="false">IF(I132="Opening",K132,AF131)</f>
        <v>768.5</v>
      </c>
      <c r="AG132" s="14" t="n">
        <f aca="false">AG131</f>
        <v>0</v>
      </c>
      <c r="AH132" s="14" t="n">
        <f aca="false">IF(W132=0,0,MAX(0,MIN(AE132,AF132)-MIN(AE132-W132,AF132)))</f>
        <v>0</v>
      </c>
      <c r="AI132" s="14" t="n">
        <f aca="false">IF(W132=0,0,MAX(0,MIN(AE132,AF132+AG132)-MAX(AE132-W132,AF132)))</f>
        <v>0</v>
      </c>
      <c r="AJ132" s="14" t="n">
        <f aca="false">W132-AH132-AI132</f>
        <v>0</v>
      </c>
      <c r="AK132" s="9" t="n">
        <f aca="false">IF(W132=0,0,X132*AH132/W132)</f>
        <v>0</v>
      </c>
      <c r="AL132" s="9" t="n">
        <f aca="false">IF(W132=0,0,X132*AI132/W132)</f>
        <v>0</v>
      </c>
      <c r="AM132" s="9" t="n">
        <f aca="false">X132-AK132-AL132</f>
        <v>0</v>
      </c>
    </row>
    <row r="133" customFormat="false" ht="15" hidden="false" customHeight="false" outlineLevel="0" collapsed="false">
      <c r="A133" s="6" t="n">
        <v>128</v>
      </c>
      <c r="B133" s="74" t="s">
        <v>950</v>
      </c>
      <c r="C133" s="53" t="str">
        <f aca="false">INDEX(I_Items!$C$5:$C$133,MATCH($B133,I_Items!$A$5:$A$133,0))</f>
        <v>RPA</v>
      </c>
      <c r="D133" s="53" t="str">
        <f aca="false">INDEX(I_Items!$D$5:$D$133,MATCH($B133,I_Items!$A$5:$A$133,0))</f>
        <v>Kepala</v>
      </c>
      <c r="E133" s="53" t="str">
        <f aca="false">INDEX(I_Items!$F$5:$F$133,MATCH($B133,I_Items!$A$5:$A$133,0))</f>
        <v>Fresh</v>
      </c>
      <c r="F133" s="53" t="str">
        <f aca="false">IF(INDEX(I_Items!$E$5:$E$133,MATCH($B133,I_Items!$A$5:$A$133,0))="","",INDEX(I_Items!$E$5:$E$133,MATCH($B133,I_Items!$A$5:$A$133,0)))</f>
        <v/>
      </c>
      <c r="G133" s="76" t="n">
        <v>46263</v>
      </c>
      <c r="H133" s="23" t="n">
        <f aca="false">MONTH(G133)</f>
        <v>8</v>
      </c>
      <c r="I133" s="74" t="s">
        <v>2075</v>
      </c>
      <c r="J133" s="74" t="s">
        <v>2097</v>
      </c>
      <c r="K133" s="10" t="n">
        <v>0</v>
      </c>
      <c r="L133" s="8" t="n">
        <v>0</v>
      </c>
      <c r="M133" s="10" t="n">
        <v>205.2</v>
      </c>
      <c r="N133" s="8" t="n">
        <v>2746856</v>
      </c>
      <c r="O133" s="74" t="s">
        <v>2077</v>
      </c>
      <c r="P133" s="74"/>
      <c r="Q133" s="74"/>
      <c r="R133" s="14" t="n">
        <f aca="false">IF(I133="Unbilled",0,M133)</f>
        <v>205.2</v>
      </c>
      <c r="S133" s="9" t="n">
        <f aca="false">IF(R133=0,0,IF(O133="Booked",N133,R133*V132))</f>
        <v>2746856.00042638</v>
      </c>
      <c r="T133" s="14" t="n">
        <f aca="false">IF(I133="Opening",K133,T132+K133-R133)</f>
        <v>2758.4</v>
      </c>
      <c r="U133" s="9" t="n">
        <f aca="false">IF(I133="Opening",L133,U132+L133-S133)</f>
        <v>36924598.3994937</v>
      </c>
      <c r="V133" s="9" t="n">
        <f aca="false">IF(T133&gt;0,U133/T133,IF(I133="Opening",0,V132))</f>
        <v>13386.237818842</v>
      </c>
      <c r="W133" s="14" t="n">
        <f aca="false">M133</f>
        <v>205.2</v>
      </c>
      <c r="X133" s="9" t="n">
        <f aca="false">IF(W133=0,0,IF(O133="Booked",N133,W133*AA132))</f>
        <v>2746856.00042638</v>
      </c>
      <c r="Y133" s="14" t="n">
        <f aca="false">IF(I133="Opening",K133,Y132+K133-W133)</f>
        <v>2758.4</v>
      </c>
      <c r="Z133" s="9" t="n">
        <f aca="false">IF(I133="Opening",L133,Z132+L133-X133)</f>
        <v>36924598.3994937</v>
      </c>
      <c r="AA133" s="9" t="n">
        <f aca="false">IF(Y133&gt;0,Z133/Y133,IF(I133="Opening",0,AA132))</f>
        <v>13386.237818842</v>
      </c>
      <c r="AB133" s="9" t="n">
        <f aca="false">IF(AND(I133="DO",O133="MA"),S133-N133,0)</f>
        <v>0.000426376238465309</v>
      </c>
      <c r="AC133" s="9" t="n">
        <f aca="false">IF(I133="DO",X133-S133,0)</f>
        <v>0</v>
      </c>
      <c r="AD133" s="23" t="n">
        <f aca="false">IF(B134&lt;&gt;B133,1,0)</f>
        <v>0</v>
      </c>
      <c r="AE133" s="14" t="n">
        <f aca="false">IF(I133="Opening",0,AE132+W133)</f>
        <v>3507.5</v>
      </c>
      <c r="AF133" s="14" t="n">
        <f aca="false">IF(I133="Opening",K133,AF132)</f>
        <v>768.5</v>
      </c>
      <c r="AG133" s="14" t="n">
        <f aca="false">AG132</f>
        <v>0</v>
      </c>
      <c r="AH133" s="14" t="n">
        <f aca="false">IF(W133=0,0,MAX(0,MIN(AE133,AF133)-MIN(AE133-W133,AF133)))</f>
        <v>0</v>
      </c>
      <c r="AI133" s="14" t="n">
        <f aca="false">IF(W133=0,0,MAX(0,MIN(AE133,AF133+AG133)-MAX(AE133-W133,AF133)))</f>
        <v>0</v>
      </c>
      <c r="AJ133" s="14" t="n">
        <f aca="false">W133-AH133-AI133</f>
        <v>205.2</v>
      </c>
      <c r="AK133" s="9" t="n">
        <f aca="false">IF(W133=0,0,X133*AH133/W133)</f>
        <v>0</v>
      </c>
      <c r="AL133" s="9" t="n">
        <f aca="false">IF(W133=0,0,X133*AI133/W133)</f>
        <v>0</v>
      </c>
      <c r="AM133" s="9" t="n">
        <f aca="false">X133-AK133-AL133</f>
        <v>2746856.00042638</v>
      </c>
    </row>
    <row r="134" customFormat="false" ht="15" hidden="false" customHeight="false" outlineLevel="0" collapsed="false">
      <c r="A134" s="6" t="n">
        <v>129</v>
      </c>
      <c r="B134" s="74" t="s">
        <v>950</v>
      </c>
      <c r="C134" s="53" t="str">
        <f aca="false">INDEX(I_Items!$C$5:$C$133,MATCH($B134,I_Items!$A$5:$A$133,0))</f>
        <v>RPA</v>
      </c>
      <c r="D134" s="53" t="str">
        <f aca="false">INDEX(I_Items!$D$5:$D$133,MATCH($B134,I_Items!$A$5:$A$133,0))</f>
        <v>Kepala</v>
      </c>
      <c r="E134" s="53" t="str">
        <f aca="false">INDEX(I_Items!$F$5:$F$133,MATCH($B134,I_Items!$A$5:$A$133,0))</f>
        <v>Fresh</v>
      </c>
      <c r="F134" s="53" t="str">
        <f aca="false">IF(INDEX(I_Items!$E$5:$E$133,MATCH($B134,I_Items!$A$5:$A$133,0))="","",INDEX(I_Items!$E$5:$E$133,MATCH($B134,I_Items!$A$5:$A$133,0)))</f>
        <v/>
      </c>
      <c r="G134" s="76" t="n">
        <v>46263</v>
      </c>
      <c r="H134" s="23" t="n">
        <f aca="false">MONTH(G134)</f>
        <v>8</v>
      </c>
      <c r="I134" s="74" t="s">
        <v>2075</v>
      </c>
      <c r="J134" s="74" t="s">
        <v>2098</v>
      </c>
      <c r="K134" s="10" t="n">
        <v>0</v>
      </c>
      <c r="L134" s="8" t="n">
        <v>0</v>
      </c>
      <c r="M134" s="10" t="n">
        <v>162</v>
      </c>
      <c r="N134" s="8" t="n">
        <v>2168570.52</v>
      </c>
      <c r="O134" s="74" t="s">
        <v>2077</v>
      </c>
      <c r="P134" s="74"/>
      <c r="Q134" s="74"/>
      <c r="R134" s="14" t="n">
        <f aca="false">IF(I134="Unbilled",0,M134)</f>
        <v>162</v>
      </c>
      <c r="S134" s="9" t="n">
        <f aca="false">IF(R134=0,0,IF(O134="Booked",N134,R134*V133))</f>
        <v>2168570.5266524</v>
      </c>
      <c r="T134" s="14" t="n">
        <f aca="false">IF(I134="Opening",K134,T133+K134-R134)</f>
        <v>2596.4</v>
      </c>
      <c r="U134" s="9" t="n">
        <f aca="false">IF(I134="Opening",L134,U133+L134-S134)</f>
        <v>34756027.8728413</v>
      </c>
      <c r="V134" s="9" t="n">
        <f aca="false">IF(T134&gt;0,U134/T134,IF(I134="Opening",0,V133))</f>
        <v>13386.237818842</v>
      </c>
      <c r="W134" s="14" t="n">
        <f aca="false">M134</f>
        <v>162</v>
      </c>
      <c r="X134" s="9" t="n">
        <f aca="false">IF(W134=0,0,IF(O134="Booked",N134,W134*AA133))</f>
        <v>2168570.5266524</v>
      </c>
      <c r="Y134" s="14" t="n">
        <f aca="false">IF(I134="Opening",K134,Y133+K134-W134)</f>
        <v>2596.4</v>
      </c>
      <c r="Z134" s="9" t="n">
        <f aca="false">IF(I134="Opening",L134,Z133+L134-X134)</f>
        <v>34756027.8728413</v>
      </c>
      <c r="AA134" s="9" t="n">
        <f aca="false">IF(Y134&gt;0,Z134/Y134,IF(I134="Opening",0,AA133))</f>
        <v>13386.237818842</v>
      </c>
      <c r="AB134" s="9" t="n">
        <f aca="false">IF(AND(I134="DO",O134="MA"),S134-N134,0)</f>
        <v>0.00665240222588182</v>
      </c>
      <c r="AC134" s="9" t="n">
        <f aca="false">IF(I134="DO",X134-S134,0)</f>
        <v>0</v>
      </c>
      <c r="AD134" s="23" t="n">
        <f aca="false">IF(B135&lt;&gt;B134,1,0)</f>
        <v>0</v>
      </c>
      <c r="AE134" s="14" t="n">
        <f aca="false">IF(I134="Opening",0,AE133+W134)</f>
        <v>3669.5</v>
      </c>
      <c r="AF134" s="14" t="n">
        <f aca="false">IF(I134="Opening",K134,AF133)</f>
        <v>768.5</v>
      </c>
      <c r="AG134" s="14" t="n">
        <f aca="false">AG133</f>
        <v>0</v>
      </c>
      <c r="AH134" s="14" t="n">
        <f aca="false">IF(W134=0,0,MAX(0,MIN(AE134,AF134)-MIN(AE134-W134,AF134)))</f>
        <v>0</v>
      </c>
      <c r="AI134" s="14" t="n">
        <f aca="false">IF(W134=0,0,MAX(0,MIN(AE134,AF134+AG134)-MAX(AE134-W134,AF134)))</f>
        <v>0</v>
      </c>
      <c r="AJ134" s="14" t="n">
        <f aca="false">W134-AH134-AI134</f>
        <v>162</v>
      </c>
      <c r="AK134" s="9" t="n">
        <f aca="false">IF(W134=0,0,X134*AH134/W134)</f>
        <v>0</v>
      </c>
      <c r="AL134" s="9" t="n">
        <f aca="false">IF(W134=0,0,X134*AI134/W134)</f>
        <v>0</v>
      </c>
      <c r="AM134" s="9" t="n">
        <f aca="false">X134-AK134-AL134</f>
        <v>2168570.5266524</v>
      </c>
    </row>
    <row r="135" customFormat="false" ht="15" hidden="false" customHeight="false" outlineLevel="0" collapsed="false">
      <c r="A135" s="6" t="n">
        <v>130</v>
      </c>
      <c r="B135" s="74" t="s">
        <v>950</v>
      </c>
      <c r="C135" s="53" t="str">
        <f aca="false">INDEX(I_Items!$C$5:$C$133,MATCH($B135,I_Items!$A$5:$A$133,0))</f>
        <v>RPA</v>
      </c>
      <c r="D135" s="53" t="str">
        <f aca="false">INDEX(I_Items!$D$5:$D$133,MATCH($B135,I_Items!$A$5:$A$133,0))</f>
        <v>Kepala</v>
      </c>
      <c r="E135" s="53" t="str">
        <f aca="false">INDEX(I_Items!$F$5:$F$133,MATCH($B135,I_Items!$A$5:$A$133,0))</f>
        <v>Fresh</v>
      </c>
      <c r="F135" s="53" t="str">
        <f aca="false">IF(INDEX(I_Items!$E$5:$E$133,MATCH($B135,I_Items!$A$5:$A$133,0))="","",INDEX(I_Items!$E$5:$E$133,MATCH($B135,I_Items!$A$5:$A$133,0)))</f>
        <v/>
      </c>
      <c r="G135" s="76" t="n">
        <v>46263</v>
      </c>
      <c r="H135" s="23" t="n">
        <f aca="false">MONTH(G135)</f>
        <v>8</v>
      </c>
      <c r="I135" s="74" t="s">
        <v>2075</v>
      </c>
      <c r="J135" s="74" t="s">
        <v>2099</v>
      </c>
      <c r="K135" s="10" t="n">
        <v>0</v>
      </c>
      <c r="L135" s="8" t="n">
        <v>0</v>
      </c>
      <c r="M135" s="10" t="n">
        <v>151.2</v>
      </c>
      <c r="N135" s="8" t="n">
        <v>2023999.16</v>
      </c>
      <c r="O135" s="74" t="s">
        <v>2077</v>
      </c>
      <c r="P135" s="74"/>
      <c r="Q135" s="74"/>
      <c r="R135" s="14" t="n">
        <f aca="false">IF(I135="Unbilled",0,M135)</f>
        <v>151.2</v>
      </c>
      <c r="S135" s="9" t="n">
        <f aca="false">IF(R135=0,0,IF(O135="Booked",N135,R135*V134))</f>
        <v>2023999.15820891</v>
      </c>
      <c r="T135" s="14" t="n">
        <f aca="false">IF(I135="Opening",K135,T134+K135-R135)</f>
        <v>2445.2</v>
      </c>
      <c r="U135" s="9" t="n">
        <f aca="false">IF(I135="Opening",L135,U134+L135-S135)</f>
        <v>32732028.7146324</v>
      </c>
      <c r="V135" s="9" t="n">
        <f aca="false">IF(T135&gt;0,U135/T135,IF(I135="Opening",0,V134))</f>
        <v>13386.237818842</v>
      </c>
      <c r="W135" s="14" t="n">
        <f aca="false">M135</f>
        <v>151.2</v>
      </c>
      <c r="X135" s="9" t="n">
        <f aca="false">IF(W135=0,0,IF(O135="Booked",N135,W135*AA134))</f>
        <v>2023999.15820891</v>
      </c>
      <c r="Y135" s="14" t="n">
        <f aca="false">IF(I135="Opening",K135,Y134+K135-W135)</f>
        <v>2445.2</v>
      </c>
      <c r="Z135" s="9" t="n">
        <f aca="false">IF(I135="Opening",L135,Z134+L135-X135)</f>
        <v>32732028.7146324</v>
      </c>
      <c r="AA135" s="9" t="n">
        <f aca="false">IF(Y135&gt;0,Z135/Y135,IF(I135="Opening",0,AA134))</f>
        <v>13386.237818842</v>
      </c>
      <c r="AB135" s="9" t="n">
        <f aca="false">IF(AND(I135="DO",O135="MA"),S135-N135,0)</f>
        <v>-0.00179109117016196</v>
      </c>
      <c r="AC135" s="9" t="n">
        <f aca="false">IF(I135="DO",X135-S135,0)</f>
        <v>0</v>
      </c>
      <c r="AD135" s="23" t="n">
        <f aca="false">IF(B136&lt;&gt;B135,1,0)</f>
        <v>0</v>
      </c>
      <c r="AE135" s="14" t="n">
        <f aca="false">IF(I135="Opening",0,AE134+W135)</f>
        <v>3820.7</v>
      </c>
      <c r="AF135" s="14" t="n">
        <f aca="false">IF(I135="Opening",K135,AF134)</f>
        <v>768.5</v>
      </c>
      <c r="AG135" s="14" t="n">
        <f aca="false">AG134</f>
        <v>0</v>
      </c>
      <c r="AH135" s="14" t="n">
        <f aca="false">IF(W135=0,0,MAX(0,MIN(AE135,AF135)-MIN(AE135-W135,AF135)))</f>
        <v>0</v>
      </c>
      <c r="AI135" s="14" t="n">
        <f aca="false">IF(W135=0,0,MAX(0,MIN(AE135,AF135+AG135)-MAX(AE135-W135,AF135)))</f>
        <v>0</v>
      </c>
      <c r="AJ135" s="14" t="n">
        <f aca="false">W135-AH135-AI135</f>
        <v>151.2</v>
      </c>
      <c r="AK135" s="9" t="n">
        <f aca="false">IF(W135=0,0,X135*AH135/W135)</f>
        <v>0</v>
      </c>
      <c r="AL135" s="9" t="n">
        <f aca="false">IF(W135=0,0,X135*AI135/W135)</f>
        <v>0</v>
      </c>
      <c r="AM135" s="9" t="n">
        <f aca="false">X135-AK135-AL135</f>
        <v>2023999.15820891</v>
      </c>
    </row>
    <row r="136" customFormat="false" ht="15" hidden="false" customHeight="false" outlineLevel="0" collapsed="false">
      <c r="A136" s="6" t="n">
        <v>131</v>
      </c>
      <c r="B136" s="74" t="s">
        <v>950</v>
      </c>
      <c r="C136" s="53" t="str">
        <f aca="false">INDEX(I_Items!$C$5:$C$133,MATCH($B136,I_Items!$A$5:$A$133,0))</f>
        <v>RPA</v>
      </c>
      <c r="D136" s="53" t="str">
        <f aca="false">INDEX(I_Items!$D$5:$D$133,MATCH($B136,I_Items!$A$5:$A$133,0))</f>
        <v>Kepala</v>
      </c>
      <c r="E136" s="53" t="str">
        <f aca="false">INDEX(I_Items!$F$5:$F$133,MATCH($B136,I_Items!$A$5:$A$133,0))</f>
        <v>Fresh</v>
      </c>
      <c r="F136" s="53" t="str">
        <f aca="false">IF(INDEX(I_Items!$E$5:$E$133,MATCH($B136,I_Items!$A$5:$A$133,0))="","",INDEX(I_Items!$E$5:$E$133,MATCH($B136,I_Items!$A$5:$A$133,0)))</f>
        <v/>
      </c>
      <c r="G136" s="76" t="n">
        <v>46263</v>
      </c>
      <c r="H136" s="23" t="n">
        <f aca="false">MONTH(G136)</f>
        <v>8</v>
      </c>
      <c r="I136" s="74" t="s">
        <v>2075</v>
      </c>
      <c r="J136" s="74" t="s">
        <v>2100</v>
      </c>
      <c r="K136" s="10" t="n">
        <v>0</v>
      </c>
      <c r="L136" s="8" t="n">
        <v>0</v>
      </c>
      <c r="M136" s="10" t="n">
        <v>168.3</v>
      </c>
      <c r="N136" s="8" t="n">
        <v>2252903.82</v>
      </c>
      <c r="O136" s="74" t="s">
        <v>2077</v>
      </c>
      <c r="P136" s="74"/>
      <c r="Q136" s="74"/>
      <c r="R136" s="14" t="n">
        <f aca="false">IF(I136="Unbilled",0,M136)</f>
        <v>168.3</v>
      </c>
      <c r="S136" s="9" t="n">
        <f aca="false">IF(R136=0,0,IF(O136="Booked",N136,R136*V135))</f>
        <v>2252903.82491111</v>
      </c>
      <c r="T136" s="14" t="n">
        <f aca="false">IF(I136="Opening",K136,T135+K136-R136)</f>
        <v>2276.9</v>
      </c>
      <c r="U136" s="9" t="n">
        <f aca="false">IF(I136="Opening",L136,U135+L136-S136)</f>
        <v>30479124.8897213</v>
      </c>
      <c r="V136" s="9" t="n">
        <f aca="false">IF(T136&gt;0,U136/T136,IF(I136="Opening",0,V135))</f>
        <v>13386.237818842</v>
      </c>
      <c r="W136" s="14" t="n">
        <f aca="false">M136</f>
        <v>168.3</v>
      </c>
      <c r="X136" s="9" t="n">
        <f aca="false">IF(W136=0,0,IF(O136="Booked",N136,W136*AA135))</f>
        <v>2252903.82491111</v>
      </c>
      <c r="Y136" s="14" t="n">
        <f aca="false">IF(I136="Opening",K136,Y135+K136-W136)</f>
        <v>2276.9</v>
      </c>
      <c r="Z136" s="9" t="n">
        <f aca="false">IF(I136="Opening",L136,Z135+L136-X136)</f>
        <v>30479124.8897213</v>
      </c>
      <c r="AA136" s="9" t="n">
        <f aca="false">IF(Y136&gt;0,Z136/Y136,IF(I136="Opening",0,AA135))</f>
        <v>13386.237818842</v>
      </c>
      <c r="AB136" s="9" t="n">
        <f aca="false">IF(AND(I136="DO",O136="MA"),S136-N136,0)</f>
        <v>0.00491110701113939</v>
      </c>
      <c r="AC136" s="9" t="n">
        <f aca="false">IF(I136="DO",X136-S136,0)</f>
        <v>0</v>
      </c>
      <c r="AD136" s="23" t="n">
        <f aca="false">IF(B137&lt;&gt;B136,1,0)</f>
        <v>0</v>
      </c>
      <c r="AE136" s="14" t="n">
        <f aca="false">IF(I136="Opening",0,AE135+W136)</f>
        <v>3989</v>
      </c>
      <c r="AF136" s="14" t="n">
        <f aca="false">IF(I136="Opening",K136,AF135)</f>
        <v>768.5</v>
      </c>
      <c r="AG136" s="14" t="n">
        <f aca="false">AG135</f>
        <v>0</v>
      </c>
      <c r="AH136" s="14" t="n">
        <f aca="false">IF(W136=0,0,MAX(0,MIN(AE136,AF136)-MIN(AE136-W136,AF136)))</f>
        <v>0</v>
      </c>
      <c r="AI136" s="14" t="n">
        <f aca="false">IF(W136=0,0,MAX(0,MIN(AE136,AF136+AG136)-MAX(AE136-W136,AF136)))</f>
        <v>0</v>
      </c>
      <c r="AJ136" s="14" t="n">
        <f aca="false">W136-AH136-AI136</f>
        <v>168.3</v>
      </c>
      <c r="AK136" s="9" t="n">
        <f aca="false">IF(W136=0,0,X136*AH136/W136)</f>
        <v>0</v>
      </c>
      <c r="AL136" s="9" t="n">
        <f aca="false">IF(W136=0,0,X136*AI136/W136)</f>
        <v>0</v>
      </c>
      <c r="AM136" s="9" t="n">
        <f aca="false">X136-AK136-AL136</f>
        <v>2252903.82491111</v>
      </c>
    </row>
    <row r="137" customFormat="false" ht="15" hidden="false" customHeight="false" outlineLevel="0" collapsed="false">
      <c r="A137" s="6" t="n">
        <v>132</v>
      </c>
      <c r="B137" s="74" t="s">
        <v>950</v>
      </c>
      <c r="C137" s="53" t="str">
        <f aca="false">INDEX(I_Items!$C$5:$C$133,MATCH($B137,I_Items!$A$5:$A$133,0))</f>
        <v>RPA</v>
      </c>
      <c r="D137" s="53" t="str">
        <f aca="false">INDEX(I_Items!$D$5:$D$133,MATCH($B137,I_Items!$A$5:$A$133,0))</f>
        <v>Kepala</v>
      </c>
      <c r="E137" s="53" t="str">
        <f aca="false">INDEX(I_Items!$F$5:$F$133,MATCH($B137,I_Items!$A$5:$A$133,0))</f>
        <v>Fresh</v>
      </c>
      <c r="F137" s="53" t="str">
        <f aca="false">IF(INDEX(I_Items!$E$5:$E$133,MATCH($B137,I_Items!$A$5:$A$133,0))="","",INDEX(I_Items!$E$5:$E$133,MATCH($B137,I_Items!$A$5:$A$133,0)))</f>
        <v/>
      </c>
      <c r="G137" s="76" t="n">
        <v>46263</v>
      </c>
      <c r="H137" s="23" t="n">
        <f aca="false">MONTH(G137)</f>
        <v>8</v>
      </c>
      <c r="I137" s="74" t="s">
        <v>2075</v>
      </c>
      <c r="J137" s="74" t="s">
        <v>2101</v>
      </c>
      <c r="K137" s="10" t="n">
        <v>0</v>
      </c>
      <c r="L137" s="8" t="n">
        <v>0</v>
      </c>
      <c r="M137" s="10" t="n">
        <v>173.3</v>
      </c>
      <c r="N137" s="8" t="n">
        <v>2319835.01</v>
      </c>
      <c r="O137" s="74" t="s">
        <v>2077</v>
      </c>
      <c r="P137" s="74"/>
      <c r="Q137" s="74"/>
      <c r="R137" s="14" t="n">
        <f aca="false">IF(I137="Unbilled",0,M137)</f>
        <v>173.3</v>
      </c>
      <c r="S137" s="9" t="n">
        <f aca="false">IF(R137=0,0,IF(O137="Booked",N137,R137*V136))</f>
        <v>2319835.01400532</v>
      </c>
      <c r="T137" s="14" t="n">
        <f aca="false">IF(I137="Opening",K137,T136+K137-R137)</f>
        <v>2103.6</v>
      </c>
      <c r="U137" s="9" t="n">
        <f aca="false">IF(I137="Opening",L137,U136+L137-S137)</f>
        <v>28159289.875716</v>
      </c>
      <c r="V137" s="9" t="n">
        <f aca="false">IF(T137&gt;0,U137/T137,IF(I137="Opening",0,V136))</f>
        <v>13386.237818842</v>
      </c>
      <c r="W137" s="14" t="n">
        <f aca="false">M137</f>
        <v>173.3</v>
      </c>
      <c r="X137" s="9" t="n">
        <f aca="false">IF(W137=0,0,IF(O137="Booked",N137,W137*AA136))</f>
        <v>2319835.01400532</v>
      </c>
      <c r="Y137" s="14" t="n">
        <f aca="false">IF(I137="Opening",K137,Y136+K137-W137)</f>
        <v>2103.6</v>
      </c>
      <c r="Z137" s="9" t="n">
        <f aca="false">IF(I137="Opening",L137,Z136+L137-X137)</f>
        <v>28159289.875716</v>
      </c>
      <c r="AA137" s="9" t="n">
        <f aca="false">IF(Y137&gt;0,Z137/Y137,IF(I137="Opening",0,AA136))</f>
        <v>13386.237818842</v>
      </c>
      <c r="AB137" s="9" t="n">
        <f aca="false">IF(AND(I137="DO",O137="MA"),S137-N137,0)</f>
        <v>0.00400531711056829</v>
      </c>
      <c r="AC137" s="9" t="n">
        <f aca="false">IF(I137="DO",X137-S137,0)</f>
        <v>0</v>
      </c>
      <c r="AD137" s="23" t="n">
        <f aca="false">IF(B138&lt;&gt;B137,1,0)</f>
        <v>0</v>
      </c>
      <c r="AE137" s="14" t="n">
        <f aca="false">IF(I137="Opening",0,AE136+W137)</f>
        <v>4162.3</v>
      </c>
      <c r="AF137" s="14" t="n">
        <f aca="false">IF(I137="Opening",K137,AF136)</f>
        <v>768.5</v>
      </c>
      <c r="AG137" s="14" t="n">
        <f aca="false">AG136</f>
        <v>0</v>
      </c>
      <c r="AH137" s="14" t="n">
        <f aca="false">IF(W137=0,0,MAX(0,MIN(AE137,AF137)-MIN(AE137-W137,AF137)))</f>
        <v>0</v>
      </c>
      <c r="AI137" s="14" t="n">
        <f aca="false">IF(W137=0,0,MAX(0,MIN(AE137,AF137+AG137)-MAX(AE137-W137,AF137)))</f>
        <v>0</v>
      </c>
      <c r="AJ137" s="14" t="n">
        <f aca="false">W137-AH137-AI137</f>
        <v>173.3</v>
      </c>
      <c r="AK137" s="9" t="n">
        <f aca="false">IF(W137=0,0,X137*AH137/W137)</f>
        <v>0</v>
      </c>
      <c r="AL137" s="9" t="n">
        <f aca="false">IF(W137=0,0,X137*AI137/W137)</f>
        <v>0</v>
      </c>
      <c r="AM137" s="9" t="n">
        <f aca="false">X137-AK137-AL137</f>
        <v>2319835.01400532</v>
      </c>
    </row>
    <row r="138" customFormat="false" ht="15" hidden="false" customHeight="false" outlineLevel="0" collapsed="false">
      <c r="A138" s="6" t="n">
        <v>133</v>
      </c>
      <c r="B138" s="74" t="s">
        <v>950</v>
      </c>
      <c r="C138" s="53" t="str">
        <f aca="false">INDEX(I_Items!$C$5:$C$133,MATCH($B138,I_Items!$A$5:$A$133,0))</f>
        <v>RPA</v>
      </c>
      <c r="D138" s="53" t="str">
        <f aca="false">INDEX(I_Items!$D$5:$D$133,MATCH($B138,I_Items!$A$5:$A$133,0))</f>
        <v>Kepala</v>
      </c>
      <c r="E138" s="53" t="str">
        <f aca="false">INDEX(I_Items!$F$5:$F$133,MATCH($B138,I_Items!$A$5:$A$133,0))</f>
        <v>Fresh</v>
      </c>
      <c r="F138" s="53" t="str">
        <f aca="false">IF(INDEX(I_Items!$E$5:$E$133,MATCH($B138,I_Items!$A$5:$A$133,0))="","",INDEX(I_Items!$E$5:$E$133,MATCH($B138,I_Items!$A$5:$A$133,0)))</f>
        <v/>
      </c>
      <c r="G138" s="76" t="n">
        <v>46263</v>
      </c>
      <c r="H138" s="23" t="n">
        <f aca="false">MONTH(G138)</f>
        <v>8</v>
      </c>
      <c r="I138" s="74" t="s">
        <v>2075</v>
      </c>
      <c r="J138" s="74" t="s">
        <v>2102</v>
      </c>
      <c r="K138" s="10" t="n">
        <v>0</v>
      </c>
      <c r="L138" s="8" t="n">
        <v>0</v>
      </c>
      <c r="M138" s="10" t="n">
        <v>148.3</v>
      </c>
      <c r="N138" s="8" t="n">
        <v>1985179.07</v>
      </c>
      <c r="O138" s="74" t="s">
        <v>2077</v>
      </c>
      <c r="P138" s="74"/>
      <c r="Q138" s="74"/>
      <c r="R138" s="14" t="n">
        <f aca="false">IF(I138="Unbilled",0,M138)</f>
        <v>148.3</v>
      </c>
      <c r="S138" s="9" t="n">
        <f aca="false">IF(R138=0,0,IF(O138="Booked",N138,R138*V137))</f>
        <v>1985179.06853427</v>
      </c>
      <c r="T138" s="14" t="n">
        <f aca="false">IF(I138="Opening",K138,T137+K138-R138)</f>
        <v>1955.3</v>
      </c>
      <c r="U138" s="9" t="n">
        <f aca="false">IF(I138="Opening",L138,U137+L138-S138)</f>
        <v>26174110.8071817</v>
      </c>
      <c r="V138" s="9" t="n">
        <f aca="false">IF(T138&gt;0,U138/T138,IF(I138="Opening",0,V137))</f>
        <v>13386.237818842</v>
      </c>
      <c r="W138" s="14" t="n">
        <f aca="false">M138</f>
        <v>148.3</v>
      </c>
      <c r="X138" s="9" t="n">
        <f aca="false">IF(W138=0,0,IF(O138="Booked",N138,W138*AA137))</f>
        <v>1985179.06853427</v>
      </c>
      <c r="Y138" s="14" t="n">
        <f aca="false">IF(I138="Opening",K138,Y137+K138-W138)</f>
        <v>1955.3</v>
      </c>
      <c r="Z138" s="9" t="n">
        <f aca="false">IF(I138="Opening",L138,Z137+L138-X138)</f>
        <v>26174110.8071817</v>
      </c>
      <c r="AA138" s="9" t="n">
        <f aca="false">IF(Y138&gt;0,Z138/Y138,IF(I138="Opening",0,AA137))</f>
        <v>13386.237818842</v>
      </c>
      <c r="AB138" s="9" t="n">
        <f aca="false">IF(AND(I138="DO",O138="MA"),S138-N138,0)</f>
        <v>-0.00146573293022811</v>
      </c>
      <c r="AC138" s="9" t="n">
        <f aca="false">IF(I138="DO",X138-S138,0)</f>
        <v>0</v>
      </c>
      <c r="AD138" s="23" t="n">
        <f aca="false">IF(B139&lt;&gt;B138,1,0)</f>
        <v>0</v>
      </c>
      <c r="AE138" s="14" t="n">
        <f aca="false">IF(I138="Opening",0,AE137+W138)</f>
        <v>4310.6</v>
      </c>
      <c r="AF138" s="14" t="n">
        <f aca="false">IF(I138="Opening",K138,AF137)</f>
        <v>768.5</v>
      </c>
      <c r="AG138" s="14" t="n">
        <f aca="false">AG137</f>
        <v>0</v>
      </c>
      <c r="AH138" s="14" t="n">
        <f aca="false">IF(W138=0,0,MAX(0,MIN(AE138,AF138)-MIN(AE138-W138,AF138)))</f>
        <v>0</v>
      </c>
      <c r="AI138" s="14" t="n">
        <f aca="false">IF(W138=0,0,MAX(0,MIN(AE138,AF138+AG138)-MAX(AE138-W138,AF138)))</f>
        <v>0</v>
      </c>
      <c r="AJ138" s="14" t="n">
        <f aca="false">W138-AH138-AI138</f>
        <v>148.3</v>
      </c>
      <c r="AK138" s="9" t="n">
        <f aca="false">IF(W138=0,0,X138*AH138/W138)</f>
        <v>0</v>
      </c>
      <c r="AL138" s="9" t="n">
        <f aca="false">IF(W138=0,0,X138*AI138/W138)</f>
        <v>0</v>
      </c>
      <c r="AM138" s="9" t="n">
        <f aca="false">X138-AK138-AL138</f>
        <v>1985179.06853427</v>
      </c>
    </row>
    <row r="139" customFormat="false" ht="15" hidden="false" customHeight="false" outlineLevel="0" collapsed="false">
      <c r="A139" s="6" t="n">
        <v>134</v>
      </c>
      <c r="B139" s="74" t="s">
        <v>950</v>
      </c>
      <c r="C139" s="53" t="str">
        <f aca="false">INDEX(I_Items!$C$5:$C$133,MATCH($B139,I_Items!$A$5:$A$133,0))</f>
        <v>RPA</v>
      </c>
      <c r="D139" s="53" t="str">
        <f aca="false">INDEX(I_Items!$D$5:$D$133,MATCH($B139,I_Items!$A$5:$A$133,0))</f>
        <v>Kepala</v>
      </c>
      <c r="E139" s="53" t="str">
        <f aca="false">INDEX(I_Items!$F$5:$F$133,MATCH($B139,I_Items!$A$5:$A$133,0))</f>
        <v>Fresh</v>
      </c>
      <c r="F139" s="53" t="str">
        <f aca="false">IF(INDEX(I_Items!$E$5:$E$133,MATCH($B139,I_Items!$A$5:$A$133,0))="","",INDEX(I_Items!$E$5:$E$133,MATCH($B139,I_Items!$A$5:$A$133,0)))</f>
        <v/>
      </c>
      <c r="G139" s="76" t="n">
        <v>46263</v>
      </c>
      <c r="H139" s="23" t="n">
        <f aca="false">MONTH(G139)</f>
        <v>8</v>
      </c>
      <c r="I139" s="74" t="s">
        <v>2075</v>
      </c>
      <c r="J139" s="74" t="s">
        <v>2103</v>
      </c>
      <c r="K139" s="10" t="n">
        <v>0</v>
      </c>
      <c r="L139" s="8" t="n">
        <v>0</v>
      </c>
      <c r="M139" s="10" t="n">
        <v>184.6</v>
      </c>
      <c r="N139" s="8" t="n">
        <v>2471099.5</v>
      </c>
      <c r="O139" s="74" t="s">
        <v>2077</v>
      </c>
      <c r="P139" s="74"/>
      <c r="Q139" s="74"/>
      <c r="R139" s="14" t="n">
        <f aca="false">IF(I139="Unbilled",0,M139)</f>
        <v>184.6</v>
      </c>
      <c r="S139" s="9" t="n">
        <f aca="false">IF(R139=0,0,IF(O139="Booked",N139,R139*V138))</f>
        <v>2471099.50135823</v>
      </c>
      <c r="T139" s="14" t="n">
        <f aca="false">IF(I139="Opening",K139,T138+K139-R139)</f>
        <v>1770.7</v>
      </c>
      <c r="U139" s="9" t="n">
        <f aca="false">IF(I139="Opening",L139,U138+L139-S139)</f>
        <v>23703011.3058235</v>
      </c>
      <c r="V139" s="9" t="n">
        <f aca="false">IF(T139&gt;0,U139/T139,IF(I139="Opening",0,V138))</f>
        <v>13386.237818842</v>
      </c>
      <c r="W139" s="14" t="n">
        <f aca="false">M139</f>
        <v>184.6</v>
      </c>
      <c r="X139" s="9" t="n">
        <f aca="false">IF(W139=0,0,IF(O139="Booked",N139,W139*AA138))</f>
        <v>2471099.50135823</v>
      </c>
      <c r="Y139" s="14" t="n">
        <f aca="false">IF(I139="Opening",K139,Y138+K139-W139)</f>
        <v>1770.7</v>
      </c>
      <c r="Z139" s="9" t="n">
        <f aca="false">IF(I139="Opening",L139,Z138+L139-X139)</f>
        <v>23703011.3058235</v>
      </c>
      <c r="AA139" s="9" t="n">
        <f aca="false">IF(Y139&gt;0,Z139/Y139,IF(I139="Opening",0,AA138))</f>
        <v>13386.237818842</v>
      </c>
      <c r="AB139" s="9" t="n">
        <f aca="false">IF(AND(I139="DO",O139="MA"),S139-N139,0)</f>
        <v>0.00135823106393218</v>
      </c>
      <c r="AC139" s="9" t="n">
        <f aca="false">IF(I139="DO",X139-S139,0)</f>
        <v>0</v>
      </c>
      <c r="AD139" s="23" t="n">
        <f aca="false">IF(B140&lt;&gt;B139,1,0)</f>
        <v>0</v>
      </c>
      <c r="AE139" s="14" t="n">
        <f aca="false">IF(I139="Opening",0,AE138+W139)</f>
        <v>4495.2</v>
      </c>
      <c r="AF139" s="14" t="n">
        <f aca="false">IF(I139="Opening",K139,AF138)</f>
        <v>768.5</v>
      </c>
      <c r="AG139" s="14" t="n">
        <f aca="false">AG138</f>
        <v>0</v>
      </c>
      <c r="AH139" s="14" t="n">
        <f aca="false">IF(W139=0,0,MAX(0,MIN(AE139,AF139)-MIN(AE139-W139,AF139)))</f>
        <v>0</v>
      </c>
      <c r="AI139" s="14" t="n">
        <f aca="false">IF(W139=0,0,MAX(0,MIN(AE139,AF139+AG139)-MAX(AE139-W139,AF139)))</f>
        <v>0</v>
      </c>
      <c r="AJ139" s="14" t="n">
        <f aca="false">W139-AH139-AI139</f>
        <v>184.6</v>
      </c>
      <c r="AK139" s="9" t="n">
        <f aca="false">IF(W139=0,0,X139*AH139/W139)</f>
        <v>0</v>
      </c>
      <c r="AL139" s="9" t="n">
        <f aca="false">IF(W139=0,0,X139*AI139/W139)</f>
        <v>0</v>
      </c>
      <c r="AM139" s="9" t="n">
        <f aca="false">X139-AK139-AL139</f>
        <v>2471099.50135823</v>
      </c>
    </row>
    <row r="140" customFormat="false" ht="15" hidden="false" customHeight="false" outlineLevel="0" collapsed="false">
      <c r="A140" s="6" t="n">
        <v>135</v>
      </c>
      <c r="B140" s="74" t="s">
        <v>950</v>
      </c>
      <c r="C140" s="53" t="str">
        <f aca="false">INDEX(I_Items!$C$5:$C$133,MATCH($B140,I_Items!$A$5:$A$133,0))</f>
        <v>RPA</v>
      </c>
      <c r="D140" s="53" t="str">
        <f aca="false">INDEX(I_Items!$D$5:$D$133,MATCH($B140,I_Items!$A$5:$A$133,0))</f>
        <v>Kepala</v>
      </c>
      <c r="E140" s="53" t="str">
        <f aca="false">INDEX(I_Items!$F$5:$F$133,MATCH($B140,I_Items!$A$5:$A$133,0))</f>
        <v>Fresh</v>
      </c>
      <c r="F140" s="53" t="str">
        <f aca="false">IF(INDEX(I_Items!$E$5:$E$133,MATCH($B140,I_Items!$A$5:$A$133,0))="","",INDEX(I_Items!$E$5:$E$133,MATCH($B140,I_Items!$A$5:$A$133,0)))</f>
        <v/>
      </c>
      <c r="G140" s="76" t="n">
        <v>46263</v>
      </c>
      <c r="H140" s="23" t="n">
        <f aca="false">MONTH(G140)</f>
        <v>8</v>
      </c>
      <c r="I140" s="74" t="s">
        <v>2075</v>
      </c>
      <c r="J140" s="74" t="s">
        <v>2104</v>
      </c>
      <c r="K140" s="10" t="n">
        <v>0</v>
      </c>
      <c r="L140" s="8" t="n">
        <v>0</v>
      </c>
      <c r="M140" s="10" t="n">
        <v>157</v>
      </c>
      <c r="N140" s="8" t="n">
        <v>2101639.33</v>
      </c>
      <c r="O140" s="74" t="s">
        <v>2077</v>
      </c>
      <c r="P140" s="74"/>
      <c r="Q140" s="74"/>
      <c r="R140" s="14" t="n">
        <f aca="false">IF(I140="Unbilled",0,M140)</f>
        <v>157</v>
      </c>
      <c r="S140" s="9" t="n">
        <f aca="false">IF(R140=0,0,IF(O140="Booked",N140,R140*V139))</f>
        <v>2101639.33755819</v>
      </c>
      <c r="T140" s="14" t="n">
        <f aca="false">IF(I140="Opening",K140,T139+K140-R140)</f>
        <v>1613.7</v>
      </c>
      <c r="U140" s="9" t="n">
        <f aca="false">IF(I140="Opening",L140,U139+L140-S140)</f>
        <v>21601371.9682653</v>
      </c>
      <c r="V140" s="9" t="n">
        <f aca="false">IF(T140&gt;0,U140/T140,IF(I140="Opening",0,V139))</f>
        <v>13386.237818842</v>
      </c>
      <c r="W140" s="14" t="n">
        <f aca="false">M140</f>
        <v>157</v>
      </c>
      <c r="X140" s="9" t="n">
        <f aca="false">IF(W140=0,0,IF(O140="Booked",N140,W140*AA139))</f>
        <v>2101639.33755819</v>
      </c>
      <c r="Y140" s="14" t="n">
        <f aca="false">IF(I140="Opening",K140,Y139+K140-W140)</f>
        <v>1613.7</v>
      </c>
      <c r="Z140" s="9" t="n">
        <f aca="false">IF(I140="Opening",L140,Z139+L140-X140)</f>
        <v>21601371.9682653</v>
      </c>
      <c r="AA140" s="9" t="n">
        <f aca="false">IF(Y140&gt;0,Z140/Y140,IF(I140="Opening",0,AA139))</f>
        <v>13386.237818842</v>
      </c>
      <c r="AB140" s="9" t="n">
        <f aca="false">IF(AND(I140="DO",O140="MA"),S140-N140,0)</f>
        <v>0.00755819212645292</v>
      </c>
      <c r="AC140" s="9" t="n">
        <f aca="false">IF(I140="DO",X140-S140,0)</f>
        <v>0</v>
      </c>
      <c r="AD140" s="23" t="n">
        <f aca="false">IF(B141&lt;&gt;B140,1,0)</f>
        <v>0</v>
      </c>
      <c r="AE140" s="14" t="n">
        <f aca="false">IF(I140="Opening",0,AE139+W140)</f>
        <v>4652.2</v>
      </c>
      <c r="AF140" s="14" t="n">
        <f aca="false">IF(I140="Opening",K140,AF139)</f>
        <v>768.5</v>
      </c>
      <c r="AG140" s="14" t="n">
        <f aca="false">AG139</f>
        <v>0</v>
      </c>
      <c r="AH140" s="14" t="n">
        <f aca="false">IF(W140=0,0,MAX(0,MIN(AE140,AF140)-MIN(AE140-W140,AF140)))</f>
        <v>0</v>
      </c>
      <c r="AI140" s="14" t="n">
        <f aca="false">IF(W140=0,0,MAX(0,MIN(AE140,AF140+AG140)-MAX(AE140-W140,AF140)))</f>
        <v>0</v>
      </c>
      <c r="AJ140" s="14" t="n">
        <f aca="false">W140-AH140-AI140</f>
        <v>157</v>
      </c>
      <c r="AK140" s="9" t="n">
        <f aca="false">IF(W140=0,0,X140*AH140/W140)</f>
        <v>0</v>
      </c>
      <c r="AL140" s="9" t="n">
        <f aca="false">IF(W140=0,0,X140*AI140/W140)</f>
        <v>0</v>
      </c>
      <c r="AM140" s="9" t="n">
        <f aca="false">X140-AK140-AL140</f>
        <v>2101639.33755819</v>
      </c>
    </row>
    <row r="141" customFormat="false" ht="15" hidden="false" customHeight="false" outlineLevel="0" collapsed="false">
      <c r="A141" s="6" t="n">
        <v>136</v>
      </c>
      <c r="B141" s="74" t="s">
        <v>950</v>
      </c>
      <c r="C141" s="53" t="str">
        <f aca="false">INDEX(I_Items!$C$5:$C$133,MATCH($B141,I_Items!$A$5:$A$133,0))</f>
        <v>RPA</v>
      </c>
      <c r="D141" s="53" t="str">
        <f aca="false">INDEX(I_Items!$D$5:$D$133,MATCH($B141,I_Items!$A$5:$A$133,0))</f>
        <v>Kepala</v>
      </c>
      <c r="E141" s="53" t="str">
        <f aca="false">INDEX(I_Items!$F$5:$F$133,MATCH($B141,I_Items!$A$5:$A$133,0))</f>
        <v>Fresh</v>
      </c>
      <c r="F141" s="53" t="str">
        <f aca="false">IF(INDEX(I_Items!$E$5:$E$133,MATCH($B141,I_Items!$A$5:$A$133,0))="","",INDEX(I_Items!$E$5:$E$133,MATCH($B141,I_Items!$A$5:$A$133,0)))</f>
        <v/>
      </c>
      <c r="G141" s="76" t="n">
        <v>46263</v>
      </c>
      <c r="H141" s="23" t="n">
        <f aca="false">MONTH(G141)</f>
        <v>8</v>
      </c>
      <c r="I141" s="74" t="s">
        <v>2075</v>
      </c>
      <c r="J141" s="74" t="s">
        <v>2105</v>
      </c>
      <c r="K141" s="10" t="n">
        <v>0</v>
      </c>
      <c r="L141" s="8" t="n">
        <v>0</v>
      </c>
      <c r="M141" s="10" t="n">
        <v>164.3</v>
      </c>
      <c r="N141" s="8" t="n">
        <v>2199358.87</v>
      </c>
      <c r="O141" s="74" t="s">
        <v>2077</v>
      </c>
      <c r="P141" s="74"/>
      <c r="Q141" s="74"/>
      <c r="R141" s="14" t="n">
        <f aca="false">IF(I141="Unbilled",0,M141)</f>
        <v>164.3</v>
      </c>
      <c r="S141" s="9" t="n">
        <f aca="false">IF(R141=0,0,IF(O141="Booked",N141,R141*V140))</f>
        <v>2199358.87363574</v>
      </c>
      <c r="T141" s="14" t="n">
        <f aca="false">IF(I141="Opening",K141,T140+K141-R141)</f>
        <v>1449.4</v>
      </c>
      <c r="U141" s="9" t="n">
        <f aca="false">IF(I141="Opening",L141,U140+L141-S141)</f>
        <v>19402013.0946296</v>
      </c>
      <c r="V141" s="9" t="n">
        <f aca="false">IF(T141&gt;0,U141/T141,IF(I141="Opening",0,V140))</f>
        <v>13386.237818842</v>
      </c>
      <c r="W141" s="14" t="n">
        <f aca="false">M141</f>
        <v>164.3</v>
      </c>
      <c r="X141" s="9" t="n">
        <f aca="false">IF(W141=0,0,IF(O141="Booked",N141,W141*AA140))</f>
        <v>2199358.87363574</v>
      </c>
      <c r="Y141" s="14" t="n">
        <f aca="false">IF(I141="Opening",K141,Y140+K141-W141)</f>
        <v>1449.4</v>
      </c>
      <c r="Z141" s="9" t="n">
        <f aca="false">IF(I141="Opening",L141,Z140+L141-X141)</f>
        <v>19402013.0946296</v>
      </c>
      <c r="AA141" s="9" t="n">
        <f aca="false">IF(Y141&gt;0,Z141/Y141,IF(I141="Opening",0,AA140))</f>
        <v>13386.237818842</v>
      </c>
      <c r="AB141" s="9" t="n">
        <f aca="false">IF(AND(I141="DO",O141="MA"),S141-N141,0)</f>
        <v>0.00363573897629976</v>
      </c>
      <c r="AC141" s="9" t="n">
        <f aca="false">IF(I141="DO",X141-S141,0)</f>
        <v>0</v>
      </c>
      <c r="AD141" s="23" t="n">
        <f aca="false">IF(B142&lt;&gt;B141,1,0)</f>
        <v>0</v>
      </c>
      <c r="AE141" s="14" t="n">
        <f aca="false">IF(I141="Opening",0,AE140+W141)</f>
        <v>4816.5</v>
      </c>
      <c r="AF141" s="14" t="n">
        <f aca="false">IF(I141="Opening",K141,AF140)</f>
        <v>768.5</v>
      </c>
      <c r="AG141" s="14" t="n">
        <f aca="false">AG140</f>
        <v>0</v>
      </c>
      <c r="AH141" s="14" t="n">
        <f aca="false">IF(W141=0,0,MAX(0,MIN(AE141,AF141)-MIN(AE141-W141,AF141)))</f>
        <v>0</v>
      </c>
      <c r="AI141" s="14" t="n">
        <f aca="false">IF(W141=0,0,MAX(0,MIN(AE141,AF141+AG141)-MAX(AE141-W141,AF141)))</f>
        <v>0</v>
      </c>
      <c r="AJ141" s="14" t="n">
        <f aca="false">W141-AH141-AI141</f>
        <v>164.3</v>
      </c>
      <c r="AK141" s="9" t="n">
        <f aca="false">IF(W141=0,0,X141*AH141/W141)</f>
        <v>0</v>
      </c>
      <c r="AL141" s="9" t="n">
        <f aca="false">IF(W141=0,0,X141*AI141/W141)</f>
        <v>0</v>
      </c>
      <c r="AM141" s="9" t="n">
        <f aca="false">X141-AK141-AL141</f>
        <v>2199358.87363574</v>
      </c>
    </row>
    <row r="142" customFormat="false" ht="15" hidden="false" customHeight="false" outlineLevel="0" collapsed="false">
      <c r="A142" s="6" t="n">
        <v>137</v>
      </c>
      <c r="B142" s="74" t="s">
        <v>950</v>
      </c>
      <c r="C142" s="53" t="str">
        <f aca="false">INDEX(I_Items!$C$5:$C$133,MATCH($B142,I_Items!$A$5:$A$133,0))</f>
        <v>RPA</v>
      </c>
      <c r="D142" s="53" t="str">
        <f aca="false">INDEX(I_Items!$D$5:$D$133,MATCH($B142,I_Items!$A$5:$A$133,0))</f>
        <v>Kepala</v>
      </c>
      <c r="E142" s="53" t="str">
        <f aca="false">INDEX(I_Items!$F$5:$F$133,MATCH($B142,I_Items!$A$5:$A$133,0))</f>
        <v>Fresh</v>
      </c>
      <c r="F142" s="53" t="str">
        <f aca="false">IF(INDEX(I_Items!$E$5:$E$133,MATCH($B142,I_Items!$A$5:$A$133,0))="","",INDEX(I_Items!$E$5:$E$133,MATCH($B142,I_Items!$A$5:$A$133,0)))</f>
        <v/>
      </c>
      <c r="G142" s="76" t="n">
        <v>46263</v>
      </c>
      <c r="H142" s="23" t="n">
        <f aca="false">MONTH(G142)</f>
        <v>8</v>
      </c>
      <c r="I142" s="74" t="s">
        <v>2075</v>
      </c>
      <c r="J142" s="74" t="s">
        <v>2106</v>
      </c>
      <c r="K142" s="10" t="n">
        <v>0</v>
      </c>
      <c r="L142" s="8" t="n">
        <v>0</v>
      </c>
      <c r="M142" s="10" t="n">
        <v>159.9</v>
      </c>
      <c r="N142" s="8" t="n">
        <v>2140459.42</v>
      </c>
      <c r="O142" s="74" t="s">
        <v>2077</v>
      </c>
      <c r="P142" s="74"/>
      <c r="Q142" s="74"/>
      <c r="R142" s="14" t="n">
        <f aca="false">IF(I142="Unbilled",0,M142)</f>
        <v>159.9</v>
      </c>
      <c r="S142" s="9" t="n">
        <f aca="false">IF(R142=0,0,IF(O142="Booked",N142,R142*V141))</f>
        <v>2140459.42723283</v>
      </c>
      <c r="T142" s="14" t="n">
        <f aca="false">IF(I142="Opening",K142,T141+K142-R142)</f>
        <v>1289.5</v>
      </c>
      <c r="U142" s="9" t="n">
        <f aca="false">IF(I142="Opening",L142,U141+L142-S142)</f>
        <v>17261553.6673967</v>
      </c>
      <c r="V142" s="9" t="n">
        <f aca="false">IF(T142&gt;0,U142/T142,IF(I142="Opening",0,V141))</f>
        <v>13386.237818842</v>
      </c>
      <c r="W142" s="14" t="n">
        <f aca="false">M142</f>
        <v>159.9</v>
      </c>
      <c r="X142" s="9" t="n">
        <f aca="false">IF(W142=0,0,IF(O142="Booked",N142,W142*AA141))</f>
        <v>2140459.42723283</v>
      </c>
      <c r="Y142" s="14" t="n">
        <f aca="false">IF(I142="Opening",K142,Y141+K142-W142)</f>
        <v>1289.5</v>
      </c>
      <c r="Z142" s="9" t="n">
        <f aca="false">IF(I142="Opening",L142,Z141+L142-X142)</f>
        <v>17261553.6673967</v>
      </c>
      <c r="AA142" s="9" t="n">
        <f aca="false">IF(Y142&gt;0,Z142/Y142,IF(I142="Opening",0,AA141))</f>
        <v>13386.237818842</v>
      </c>
      <c r="AB142" s="9" t="n">
        <f aca="false">IF(AND(I142="DO",O142="MA"),S142-N142,0)</f>
        <v>0.00723283411934972</v>
      </c>
      <c r="AC142" s="9" t="n">
        <f aca="false">IF(I142="DO",X142-S142,0)</f>
        <v>0</v>
      </c>
      <c r="AD142" s="23" t="n">
        <f aca="false">IF(B143&lt;&gt;B142,1,0)</f>
        <v>0</v>
      </c>
      <c r="AE142" s="14" t="n">
        <f aca="false">IF(I142="Opening",0,AE141+W142)</f>
        <v>4976.4</v>
      </c>
      <c r="AF142" s="14" t="n">
        <f aca="false">IF(I142="Opening",K142,AF141)</f>
        <v>768.5</v>
      </c>
      <c r="AG142" s="14" t="n">
        <f aca="false">AG141</f>
        <v>0</v>
      </c>
      <c r="AH142" s="14" t="n">
        <f aca="false">IF(W142=0,0,MAX(0,MIN(AE142,AF142)-MIN(AE142-W142,AF142)))</f>
        <v>0</v>
      </c>
      <c r="AI142" s="14" t="n">
        <f aca="false">IF(W142=0,0,MAX(0,MIN(AE142,AF142+AG142)-MAX(AE142-W142,AF142)))</f>
        <v>0</v>
      </c>
      <c r="AJ142" s="14" t="n">
        <f aca="false">W142-AH142-AI142</f>
        <v>159.9</v>
      </c>
      <c r="AK142" s="9" t="n">
        <f aca="false">IF(W142=0,0,X142*AH142/W142)</f>
        <v>0</v>
      </c>
      <c r="AL142" s="9" t="n">
        <f aca="false">IF(W142=0,0,X142*AI142/W142)</f>
        <v>0</v>
      </c>
      <c r="AM142" s="9" t="n">
        <f aca="false">X142-AK142-AL142</f>
        <v>2140459.42723283</v>
      </c>
    </row>
    <row r="143" customFormat="false" ht="15" hidden="false" customHeight="false" outlineLevel="0" collapsed="false">
      <c r="A143" s="6" t="n">
        <v>138</v>
      </c>
      <c r="B143" s="74" t="s">
        <v>950</v>
      </c>
      <c r="C143" s="53" t="str">
        <f aca="false">INDEX(I_Items!$C$5:$C$133,MATCH($B143,I_Items!$A$5:$A$133,0))</f>
        <v>RPA</v>
      </c>
      <c r="D143" s="53" t="str">
        <f aca="false">INDEX(I_Items!$D$5:$D$133,MATCH($B143,I_Items!$A$5:$A$133,0))</f>
        <v>Kepala</v>
      </c>
      <c r="E143" s="53" t="str">
        <f aca="false">INDEX(I_Items!$F$5:$F$133,MATCH($B143,I_Items!$A$5:$A$133,0))</f>
        <v>Fresh</v>
      </c>
      <c r="F143" s="53" t="str">
        <f aca="false">IF(INDEX(I_Items!$E$5:$E$133,MATCH($B143,I_Items!$A$5:$A$133,0))="","",INDEX(I_Items!$E$5:$E$133,MATCH($B143,I_Items!$A$5:$A$133,0)))</f>
        <v/>
      </c>
      <c r="G143" s="76" t="n">
        <v>46265</v>
      </c>
      <c r="H143" s="23" t="n">
        <f aca="false">MONTH(G143)</f>
        <v>8</v>
      </c>
      <c r="I143" s="74" t="s">
        <v>2074</v>
      </c>
      <c r="J143" s="74" t="s">
        <v>1326</v>
      </c>
      <c r="K143" s="10" t="n">
        <v>665.8</v>
      </c>
      <c r="L143" s="8" t="n">
        <v>8920847.6</v>
      </c>
      <c r="M143" s="10" t="n">
        <v>0</v>
      </c>
      <c r="N143" s="8" t="n">
        <v>0</v>
      </c>
      <c r="O143" s="74"/>
      <c r="P143" s="74"/>
      <c r="Q143" s="74"/>
      <c r="R143" s="14" t="n">
        <f aca="false">IF(I143="Unbilled",0,M143)</f>
        <v>0</v>
      </c>
      <c r="S143" s="9" t="n">
        <f aca="false">IF(R143=0,0,IF(O143="Booked",N143,R143*V142))</f>
        <v>0</v>
      </c>
      <c r="T143" s="14" t="n">
        <f aca="false">IF(I143="Opening",K143,T142+K143-R143)</f>
        <v>1955.3</v>
      </c>
      <c r="U143" s="9" t="n">
        <f aca="false">IF(I143="Opening",L143,U142+L143-S143)</f>
        <v>26182401.2673967</v>
      </c>
      <c r="V143" s="9" t="n">
        <f aca="false">IF(T143&gt;0,U143/T143,IF(I143="Opening",0,V142))</f>
        <v>13390.4778128148</v>
      </c>
      <c r="W143" s="14" t="n">
        <f aca="false">M143</f>
        <v>0</v>
      </c>
      <c r="X143" s="9" t="n">
        <f aca="false">IF(W143=0,0,IF(O143="Booked",N143,W143*AA142))</f>
        <v>0</v>
      </c>
      <c r="Y143" s="14" t="n">
        <f aca="false">IF(I143="Opening",K143,Y142+K143-W143)</f>
        <v>1955.3</v>
      </c>
      <c r="Z143" s="9" t="n">
        <f aca="false">IF(I143="Opening",L143,Z142+L143-X143)</f>
        <v>26182401.2673967</v>
      </c>
      <c r="AA143" s="9" t="n">
        <f aca="false">IF(Y143&gt;0,Z143/Y143,IF(I143="Opening",0,AA142))</f>
        <v>13390.4778128148</v>
      </c>
      <c r="AB143" s="9" t="n">
        <f aca="false">IF(AND(I143="DO",O143="MA"),S143-N143,0)</f>
        <v>0</v>
      </c>
      <c r="AC143" s="9" t="n">
        <f aca="false">IF(I143="DO",X143-S143,0)</f>
        <v>0</v>
      </c>
      <c r="AD143" s="23" t="n">
        <f aca="false">IF(B144&lt;&gt;B143,1,0)</f>
        <v>0</v>
      </c>
      <c r="AE143" s="14" t="n">
        <f aca="false">IF(I143="Opening",0,AE142+W143)</f>
        <v>4976.4</v>
      </c>
      <c r="AF143" s="14" t="n">
        <f aca="false">IF(I143="Opening",K143,AF142)</f>
        <v>768.5</v>
      </c>
      <c r="AG143" s="14" t="n">
        <f aca="false">AG142</f>
        <v>0</v>
      </c>
      <c r="AH143" s="14" t="n">
        <f aca="false">IF(W143=0,0,MAX(0,MIN(AE143,AF143)-MIN(AE143-W143,AF143)))</f>
        <v>0</v>
      </c>
      <c r="AI143" s="14" t="n">
        <f aca="false">IF(W143=0,0,MAX(0,MIN(AE143,AF143+AG143)-MAX(AE143-W143,AF143)))</f>
        <v>0</v>
      </c>
      <c r="AJ143" s="14" t="n">
        <f aca="false">W143-AH143-AI143</f>
        <v>0</v>
      </c>
      <c r="AK143" s="9" t="n">
        <f aca="false">IF(W143=0,0,X143*AH143/W143)</f>
        <v>0</v>
      </c>
      <c r="AL143" s="9" t="n">
        <f aca="false">IF(W143=0,0,X143*AI143/W143)</f>
        <v>0</v>
      </c>
      <c r="AM143" s="9" t="n">
        <f aca="false">X143-AK143-AL143</f>
        <v>0</v>
      </c>
    </row>
    <row r="144" customFormat="false" ht="15" hidden="false" customHeight="false" outlineLevel="0" collapsed="false">
      <c r="A144" s="6" t="n">
        <v>139</v>
      </c>
      <c r="B144" s="74" t="s">
        <v>950</v>
      </c>
      <c r="C144" s="53" t="str">
        <f aca="false">INDEX(I_Items!$C$5:$C$133,MATCH($B144,I_Items!$A$5:$A$133,0))</f>
        <v>RPA</v>
      </c>
      <c r="D144" s="53" t="str">
        <f aca="false">INDEX(I_Items!$D$5:$D$133,MATCH($B144,I_Items!$A$5:$A$133,0))</f>
        <v>Kepala</v>
      </c>
      <c r="E144" s="53" t="str">
        <f aca="false">INDEX(I_Items!$F$5:$F$133,MATCH($B144,I_Items!$A$5:$A$133,0))</f>
        <v>Fresh</v>
      </c>
      <c r="F144" s="53" t="str">
        <f aca="false">IF(INDEX(I_Items!$E$5:$E$133,MATCH($B144,I_Items!$A$5:$A$133,0))="","",INDEX(I_Items!$E$5:$E$133,MATCH($B144,I_Items!$A$5:$A$133,0)))</f>
        <v/>
      </c>
      <c r="G144" s="76" t="n">
        <v>46265</v>
      </c>
      <c r="H144" s="23" t="n">
        <f aca="false">MONTH(G144)</f>
        <v>8</v>
      </c>
      <c r="I144" s="74" t="s">
        <v>2075</v>
      </c>
      <c r="J144" s="74" t="s">
        <v>2107</v>
      </c>
      <c r="K144" s="10" t="n">
        <v>0</v>
      </c>
      <c r="L144" s="8" t="n">
        <v>0</v>
      </c>
      <c r="M144" s="10" t="n">
        <v>171.4</v>
      </c>
      <c r="N144" s="8" t="n">
        <v>2295127.89</v>
      </c>
      <c r="O144" s="74" t="s">
        <v>2077</v>
      </c>
      <c r="P144" s="74"/>
      <c r="Q144" s="74"/>
      <c r="R144" s="14" t="n">
        <f aca="false">IF(I144="Unbilled",0,M144)</f>
        <v>171.4</v>
      </c>
      <c r="S144" s="9" t="n">
        <f aca="false">IF(R144=0,0,IF(O144="Booked",N144,R144*V143))</f>
        <v>2295127.89711645</v>
      </c>
      <c r="T144" s="14" t="n">
        <f aca="false">IF(I144="Opening",K144,T143+K144-R144)</f>
        <v>1783.9</v>
      </c>
      <c r="U144" s="9" t="n">
        <f aca="false">IF(I144="Opening",L144,U143+L144-S144)</f>
        <v>23887273.3702803</v>
      </c>
      <c r="V144" s="9" t="n">
        <f aca="false">IF(T144&gt;0,U144/T144,IF(I144="Opening",0,V143))</f>
        <v>13390.4778128148</v>
      </c>
      <c r="W144" s="14" t="n">
        <f aca="false">M144</f>
        <v>171.4</v>
      </c>
      <c r="X144" s="9" t="n">
        <f aca="false">IF(W144=0,0,IF(O144="Booked",N144,W144*AA143))</f>
        <v>2295127.89711645</v>
      </c>
      <c r="Y144" s="14" t="n">
        <f aca="false">IF(I144="Opening",K144,Y143+K144-W144)</f>
        <v>1783.9</v>
      </c>
      <c r="Z144" s="9" t="n">
        <f aca="false">IF(I144="Opening",L144,Z143+L144-X144)</f>
        <v>23887273.3702803</v>
      </c>
      <c r="AA144" s="9" t="n">
        <f aca="false">IF(Y144&gt;0,Z144/Y144,IF(I144="Opening",0,AA143))</f>
        <v>13390.4778128148</v>
      </c>
      <c r="AB144" s="9" t="n">
        <f aca="false">IF(AND(I144="DO",O144="MA"),S144-N144,0)</f>
        <v>0.00711645418778062</v>
      </c>
      <c r="AC144" s="9" t="n">
        <f aca="false">IF(I144="DO",X144-S144,0)</f>
        <v>0</v>
      </c>
      <c r="AD144" s="23" t="n">
        <f aca="false">IF(B145&lt;&gt;B144,1,0)</f>
        <v>0</v>
      </c>
      <c r="AE144" s="14" t="n">
        <f aca="false">IF(I144="Opening",0,AE143+W144)</f>
        <v>5147.8</v>
      </c>
      <c r="AF144" s="14" t="n">
        <f aca="false">IF(I144="Opening",K144,AF143)</f>
        <v>768.5</v>
      </c>
      <c r="AG144" s="14" t="n">
        <f aca="false">AG143</f>
        <v>0</v>
      </c>
      <c r="AH144" s="14" t="n">
        <f aca="false">IF(W144=0,0,MAX(0,MIN(AE144,AF144)-MIN(AE144-W144,AF144)))</f>
        <v>0</v>
      </c>
      <c r="AI144" s="14" t="n">
        <f aca="false">IF(W144=0,0,MAX(0,MIN(AE144,AF144+AG144)-MAX(AE144-W144,AF144)))</f>
        <v>0</v>
      </c>
      <c r="AJ144" s="14" t="n">
        <f aca="false">W144-AH144-AI144</f>
        <v>171.4</v>
      </c>
      <c r="AK144" s="9" t="n">
        <f aca="false">IF(W144=0,0,X144*AH144/W144)</f>
        <v>0</v>
      </c>
      <c r="AL144" s="9" t="n">
        <f aca="false">IF(W144=0,0,X144*AI144/W144)</f>
        <v>0</v>
      </c>
      <c r="AM144" s="9" t="n">
        <f aca="false">X144-AK144-AL144</f>
        <v>2295127.89711645</v>
      </c>
    </row>
    <row r="145" customFormat="false" ht="15" hidden="false" customHeight="false" outlineLevel="0" collapsed="false">
      <c r="A145" s="6" t="n">
        <v>140</v>
      </c>
      <c r="B145" s="74" t="s">
        <v>950</v>
      </c>
      <c r="C145" s="53" t="str">
        <f aca="false">INDEX(I_Items!$C$5:$C$133,MATCH($B145,I_Items!$A$5:$A$133,0))</f>
        <v>RPA</v>
      </c>
      <c r="D145" s="53" t="str">
        <f aca="false">INDEX(I_Items!$D$5:$D$133,MATCH($B145,I_Items!$A$5:$A$133,0))</f>
        <v>Kepala</v>
      </c>
      <c r="E145" s="53" t="str">
        <f aca="false">INDEX(I_Items!$F$5:$F$133,MATCH($B145,I_Items!$A$5:$A$133,0))</f>
        <v>Fresh</v>
      </c>
      <c r="F145" s="53" t="str">
        <f aca="false">IF(INDEX(I_Items!$E$5:$E$133,MATCH($B145,I_Items!$A$5:$A$133,0))="","",INDEX(I_Items!$E$5:$E$133,MATCH($B145,I_Items!$A$5:$A$133,0)))</f>
        <v/>
      </c>
      <c r="G145" s="76" t="n">
        <v>46265</v>
      </c>
      <c r="H145" s="23" t="n">
        <f aca="false">MONTH(G145)</f>
        <v>8</v>
      </c>
      <c r="I145" s="74" t="s">
        <v>2075</v>
      </c>
      <c r="J145" s="74" t="s">
        <v>2108</v>
      </c>
      <c r="K145" s="10" t="n">
        <v>0</v>
      </c>
      <c r="L145" s="8" t="n">
        <v>0</v>
      </c>
      <c r="M145" s="10" t="n">
        <v>165.3</v>
      </c>
      <c r="N145" s="8" t="n">
        <v>2213445.98</v>
      </c>
      <c r="O145" s="74" t="s">
        <v>2077</v>
      </c>
      <c r="P145" s="74"/>
      <c r="Q145" s="74"/>
      <c r="R145" s="14" t="n">
        <f aca="false">IF(I145="Unbilled",0,M145)</f>
        <v>165.3</v>
      </c>
      <c r="S145" s="9" t="n">
        <f aca="false">IF(R145=0,0,IF(O145="Booked",N145,R145*V144))</f>
        <v>2213445.98245828</v>
      </c>
      <c r="T145" s="14" t="n">
        <f aca="false">IF(I145="Opening",K145,T144+K145-R145)</f>
        <v>1618.6</v>
      </c>
      <c r="U145" s="9" t="n">
        <f aca="false">IF(I145="Opening",L145,U144+L145-S145)</f>
        <v>21673827.387822</v>
      </c>
      <c r="V145" s="9" t="n">
        <f aca="false">IF(T145&gt;0,U145/T145,IF(I145="Opening",0,V144))</f>
        <v>13390.4778128148</v>
      </c>
      <c r="W145" s="14" t="n">
        <f aca="false">M145</f>
        <v>165.3</v>
      </c>
      <c r="X145" s="9" t="n">
        <f aca="false">IF(W145=0,0,IF(O145="Booked",N145,W145*AA144))</f>
        <v>2213445.98245828</v>
      </c>
      <c r="Y145" s="14" t="n">
        <f aca="false">IF(I145="Opening",K145,Y144+K145-W145)</f>
        <v>1618.6</v>
      </c>
      <c r="Z145" s="9" t="n">
        <f aca="false">IF(I145="Opening",L145,Z144+L145-X145)</f>
        <v>21673827.387822</v>
      </c>
      <c r="AA145" s="9" t="n">
        <f aca="false">IF(Y145&gt;0,Z145/Y145,IF(I145="Opening",0,AA144))</f>
        <v>13390.4778128148</v>
      </c>
      <c r="AB145" s="9" t="n">
        <f aca="false">IF(AND(I145="DO",O145="MA"),S145-N145,0)</f>
        <v>0.00245828414335847</v>
      </c>
      <c r="AC145" s="9" t="n">
        <f aca="false">IF(I145="DO",X145-S145,0)</f>
        <v>0</v>
      </c>
      <c r="AD145" s="23" t="n">
        <f aca="false">IF(B146&lt;&gt;B145,1,0)</f>
        <v>0</v>
      </c>
      <c r="AE145" s="14" t="n">
        <f aca="false">IF(I145="Opening",0,AE144+W145)</f>
        <v>5313.1</v>
      </c>
      <c r="AF145" s="14" t="n">
        <f aca="false">IF(I145="Opening",K145,AF144)</f>
        <v>768.5</v>
      </c>
      <c r="AG145" s="14" t="n">
        <f aca="false">AG144</f>
        <v>0</v>
      </c>
      <c r="AH145" s="14" t="n">
        <f aca="false">IF(W145=0,0,MAX(0,MIN(AE145,AF145)-MIN(AE145-W145,AF145)))</f>
        <v>0</v>
      </c>
      <c r="AI145" s="14" t="n">
        <f aca="false">IF(W145=0,0,MAX(0,MIN(AE145,AF145+AG145)-MAX(AE145-W145,AF145)))</f>
        <v>0</v>
      </c>
      <c r="AJ145" s="14" t="n">
        <f aca="false">W145-AH145-AI145</f>
        <v>165.3</v>
      </c>
      <c r="AK145" s="9" t="n">
        <f aca="false">IF(W145=0,0,X145*AH145/W145)</f>
        <v>0</v>
      </c>
      <c r="AL145" s="9" t="n">
        <f aca="false">IF(W145=0,0,X145*AI145/W145)</f>
        <v>0</v>
      </c>
      <c r="AM145" s="9" t="n">
        <f aca="false">X145-AK145-AL145</f>
        <v>2213445.98245828</v>
      </c>
    </row>
    <row r="146" customFormat="false" ht="15" hidden="false" customHeight="false" outlineLevel="0" collapsed="false">
      <c r="A146" s="6" t="n">
        <v>141</v>
      </c>
      <c r="B146" s="74" t="s">
        <v>950</v>
      </c>
      <c r="C146" s="53" t="str">
        <f aca="false">INDEX(I_Items!$C$5:$C$133,MATCH($B146,I_Items!$A$5:$A$133,0))</f>
        <v>RPA</v>
      </c>
      <c r="D146" s="53" t="str">
        <f aca="false">INDEX(I_Items!$D$5:$D$133,MATCH($B146,I_Items!$A$5:$A$133,0))</f>
        <v>Kepala</v>
      </c>
      <c r="E146" s="53" t="str">
        <f aca="false">INDEX(I_Items!$F$5:$F$133,MATCH($B146,I_Items!$A$5:$A$133,0))</f>
        <v>Fresh</v>
      </c>
      <c r="F146" s="53" t="str">
        <f aca="false">IF(INDEX(I_Items!$E$5:$E$133,MATCH($B146,I_Items!$A$5:$A$133,0))="","",INDEX(I_Items!$E$5:$E$133,MATCH($B146,I_Items!$A$5:$A$133,0)))</f>
        <v/>
      </c>
      <c r="G146" s="76" t="n">
        <v>46265</v>
      </c>
      <c r="H146" s="23" t="n">
        <f aca="false">MONTH(G146)</f>
        <v>8</v>
      </c>
      <c r="I146" s="74" t="s">
        <v>2075</v>
      </c>
      <c r="J146" s="74" t="s">
        <v>2109</v>
      </c>
      <c r="K146" s="10" t="n">
        <v>0</v>
      </c>
      <c r="L146" s="8" t="n">
        <v>0</v>
      </c>
      <c r="M146" s="10" t="n">
        <v>166.2</v>
      </c>
      <c r="N146" s="8" t="n">
        <v>2225497.41</v>
      </c>
      <c r="O146" s="74" t="s">
        <v>2077</v>
      </c>
      <c r="P146" s="74"/>
      <c r="Q146" s="74"/>
      <c r="R146" s="14" t="n">
        <f aca="false">IF(I146="Unbilled",0,M146)</f>
        <v>166.2</v>
      </c>
      <c r="S146" s="9" t="n">
        <f aca="false">IF(R146=0,0,IF(O146="Booked",N146,R146*V145))</f>
        <v>2225497.41248982</v>
      </c>
      <c r="T146" s="14" t="n">
        <f aca="false">IF(I146="Opening",K146,T145+K146-R146)</f>
        <v>1452.4</v>
      </c>
      <c r="U146" s="9" t="n">
        <f aca="false">IF(I146="Opening",L146,U145+L146-S146)</f>
        <v>19448329.9753322</v>
      </c>
      <c r="V146" s="9" t="n">
        <f aca="false">IF(T146&gt;0,U146/T146,IF(I146="Opening",0,V145))</f>
        <v>13390.4778128148</v>
      </c>
      <c r="W146" s="14" t="n">
        <f aca="false">M146</f>
        <v>166.2</v>
      </c>
      <c r="X146" s="9" t="n">
        <f aca="false">IF(W146=0,0,IF(O146="Booked",N146,W146*AA145))</f>
        <v>2225497.41248982</v>
      </c>
      <c r="Y146" s="14" t="n">
        <f aca="false">IF(I146="Opening",K146,Y145+K146-W146)</f>
        <v>1452.4</v>
      </c>
      <c r="Z146" s="9" t="n">
        <f aca="false">IF(I146="Opening",L146,Z145+L146-X146)</f>
        <v>19448329.9753322</v>
      </c>
      <c r="AA146" s="9" t="n">
        <f aca="false">IF(Y146&gt;0,Z146/Y146,IF(I146="Opening",0,AA145))</f>
        <v>13390.4778128148</v>
      </c>
      <c r="AB146" s="9" t="n">
        <f aca="false">IF(AND(I146="DO",O146="MA"),S146-N146,0)</f>
        <v>0.0024898168630898</v>
      </c>
      <c r="AC146" s="9" t="n">
        <f aca="false">IF(I146="DO",X146-S146,0)</f>
        <v>0</v>
      </c>
      <c r="AD146" s="23" t="n">
        <f aca="false">IF(B147&lt;&gt;B146,1,0)</f>
        <v>0</v>
      </c>
      <c r="AE146" s="14" t="n">
        <f aca="false">IF(I146="Opening",0,AE145+W146)</f>
        <v>5479.3</v>
      </c>
      <c r="AF146" s="14" t="n">
        <f aca="false">IF(I146="Opening",K146,AF145)</f>
        <v>768.5</v>
      </c>
      <c r="AG146" s="14" t="n">
        <f aca="false">AG145</f>
        <v>0</v>
      </c>
      <c r="AH146" s="14" t="n">
        <f aca="false">IF(W146=0,0,MAX(0,MIN(AE146,AF146)-MIN(AE146-W146,AF146)))</f>
        <v>0</v>
      </c>
      <c r="AI146" s="14" t="n">
        <f aca="false">IF(W146=0,0,MAX(0,MIN(AE146,AF146+AG146)-MAX(AE146-W146,AF146)))</f>
        <v>0</v>
      </c>
      <c r="AJ146" s="14" t="n">
        <f aca="false">W146-AH146-AI146</f>
        <v>166.2</v>
      </c>
      <c r="AK146" s="9" t="n">
        <f aca="false">IF(W146=0,0,X146*AH146/W146)</f>
        <v>0</v>
      </c>
      <c r="AL146" s="9" t="n">
        <f aca="false">IF(W146=0,0,X146*AI146/W146)</f>
        <v>0</v>
      </c>
      <c r="AM146" s="9" t="n">
        <f aca="false">X146-AK146-AL146</f>
        <v>2225497.41248982</v>
      </c>
    </row>
    <row r="147" customFormat="false" ht="15" hidden="false" customHeight="false" outlineLevel="0" collapsed="false">
      <c r="A147" s="6" t="n">
        <v>142</v>
      </c>
      <c r="B147" s="74" t="s">
        <v>950</v>
      </c>
      <c r="C147" s="53" t="str">
        <f aca="false">INDEX(I_Items!$C$5:$C$133,MATCH($B147,I_Items!$A$5:$A$133,0))</f>
        <v>RPA</v>
      </c>
      <c r="D147" s="53" t="str">
        <f aca="false">INDEX(I_Items!$D$5:$D$133,MATCH($B147,I_Items!$A$5:$A$133,0))</f>
        <v>Kepala</v>
      </c>
      <c r="E147" s="53" t="str">
        <f aca="false">INDEX(I_Items!$F$5:$F$133,MATCH($B147,I_Items!$A$5:$A$133,0))</f>
        <v>Fresh</v>
      </c>
      <c r="F147" s="53" t="str">
        <f aca="false">IF(INDEX(I_Items!$E$5:$E$133,MATCH($B147,I_Items!$A$5:$A$133,0))="","",INDEX(I_Items!$E$5:$E$133,MATCH($B147,I_Items!$A$5:$A$133,0)))</f>
        <v/>
      </c>
      <c r="G147" s="76" t="n">
        <v>46265</v>
      </c>
      <c r="H147" s="23" t="n">
        <f aca="false">MONTH(G147)</f>
        <v>8</v>
      </c>
      <c r="I147" s="74" t="s">
        <v>2075</v>
      </c>
      <c r="J147" s="74" t="s">
        <v>2110</v>
      </c>
      <c r="K147" s="10" t="n">
        <v>0</v>
      </c>
      <c r="L147" s="8" t="n">
        <v>0</v>
      </c>
      <c r="M147" s="10" t="n">
        <v>162.9</v>
      </c>
      <c r="N147" s="8" t="n">
        <v>2181308.83</v>
      </c>
      <c r="O147" s="74" t="s">
        <v>2077</v>
      </c>
      <c r="P147" s="74"/>
      <c r="Q147" s="74"/>
      <c r="R147" s="14" t="n">
        <f aca="false">IF(I147="Unbilled",0,M147)</f>
        <v>162.9</v>
      </c>
      <c r="S147" s="9" t="n">
        <f aca="false">IF(R147=0,0,IF(O147="Booked",N147,R147*V146))</f>
        <v>2181308.83570753</v>
      </c>
      <c r="T147" s="14" t="n">
        <f aca="false">IF(I147="Opening",K147,T146+K147-R147)</f>
        <v>1289.5</v>
      </c>
      <c r="U147" s="9" t="n">
        <f aca="false">IF(I147="Opening",L147,U146+L147-S147)</f>
        <v>17267021.1396247</v>
      </c>
      <c r="V147" s="9" t="n">
        <f aca="false">IF(T147&gt;0,U147/T147,IF(I147="Opening",0,V146))</f>
        <v>13390.4778128148</v>
      </c>
      <c r="W147" s="14" t="n">
        <f aca="false">M147</f>
        <v>162.9</v>
      </c>
      <c r="X147" s="9" t="n">
        <f aca="false">IF(W147=0,0,IF(O147="Booked",N147,W147*AA146))</f>
        <v>2181308.83570753</v>
      </c>
      <c r="Y147" s="14" t="n">
        <f aca="false">IF(I147="Opening",K147,Y146+K147-W147)</f>
        <v>1289.5</v>
      </c>
      <c r="Z147" s="9" t="n">
        <f aca="false">IF(I147="Opening",L147,Z146+L147-X147)</f>
        <v>17267021.1396247</v>
      </c>
      <c r="AA147" s="9" t="n">
        <f aca="false">IF(Y147&gt;0,Z147/Y147,IF(I147="Opening",0,AA146))</f>
        <v>13390.4778128148</v>
      </c>
      <c r="AB147" s="9" t="n">
        <f aca="false">IF(AND(I147="DO",O147="MA"),S147-N147,0)</f>
        <v>0.00570752844214439</v>
      </c>
      <c r="AC147" s="9" t="n">
        <f aca="false">IF(I147="DO",X147-S147,0)</f>
        <v>0</v>
      </c>
      <c r="AD147" s="23" t="n">
        <f aca="false">IF(B148&lt;&gt;B147,1,0)</f>
        <v>1</v>
      </c>
      <c r="AE147" s="14" t="n">
        <f aca="false">IF(I147="Opening",0,AE146+W147)</f>
        <v>5642.2</v>
      </c>
      <c r="AF147" s="14" t="n">
        <f aca="false">IF(I147="Opening",K147,AF146)</f>
        <v>768.5</v>
      </c>
      <c r="AG147" s="14" t="n">
        <f aca="false">AG146</f>
        <v>0</v>
      </c>
      <c r="AH147" s="14" t="n">
        <f aca="false">IF(W147=0,0,MAX(0,MIN(AE147,AF147)-MIN(AE147-W147,AF147)))</f>
        <v>0</v>
      </c>
      <c r="AI147" s="14" t="n">
        <f aca="false">IF(W147=0,0,MAX(0,MIN(AE147,AF147+AG147)-MAX(AE147-W147,AF147)))</f>
        <v>0</v>
      </c>
      <c r="AJ147" s="14" t="n">
        <f aca="false">W147-AH147-AI147</f>
        <v>162.9</v>
      </c>
      <c r="AK147" s="9" t="n">
        <f aca="false">IF(W147=0,0,X147*AH147/W147)</f>
        <v>0</v>
      </c>
      <c r="AL147" s="9" t="n">
        <f aca="false">IF(W147=0,0,X147*AI147/W147)</f>
        <v>0</v>
      </c>
      <c r="AM147" s="9" t="n">
        <f aca="false">X147-AK147-AL147</f>
        <v>2181308.83570753</v>
      </c>
    </row>
    <row r="148" customFormat="false" ht="15" hidden="false" customHeight="false" outlineLevel="0" collapsed="false">
      <c r="A148" s="6" t="n">
        <v>143</v>
      </c>
      <c r="B148" s="74" t="s">
        <v>951</v>
      </c>
      <c r="C148" s="53" t="str">
        <f aca="false">INDEX(I_Items!$C$5:$C$133,MATCH($B148,I_Items!$A$5:$A$133,0))</f>
        <v>RPA</v>
      </c>
      <c r="D148" s="53" t="str">
        <f aca="false">INDEX(I_Items!$D$5:$D$133,MATCH($B148,I_Items!$A$5:$A$133,0))</f>
        <v>Lemak</v>
      </c>
      <c r="E148" s="53" t="str">
        <f aca="false">INDEX(I_Items!$F$5:$F$133,MATCH($B148,I_Items!$A$5:$A$133,0))</f>
        <v>Fresh</v>
      </c>
      <c r="F148" s="53" t="str">
        <f aca="false">IF(INDEX(I_Items!$E$5:$E$133,MATCH($B148,I_Items!$A$5:$A$133,0))="","",INDEX(I_Items!$E$5:$E$133,MATCH($B148,I_Items!$A$5:$A$133,0)))</f>
        <v/>
      </c>
      <c r="G148" s="76" t="n">
        <v>46204</v>
      </c>
      <c r="H148" s="23" t="n">
        <f aca="false">MONTH(G148)</f>
        <v>7</v>
      </c>
      <c r="I148" s="74" t="s">
        <v>2072</v>
      </c>
      <c r="J148" s="74" t="s">
        <v>2073</v>
      </c>
      <c r="K148" s="10" t="n">
        <v>172.5</v>
      </c>
      <c r="L148" s="8" t="n">
        <v>1017669.74</v>
      </c>
      <c r="M148" s="10" t="n">
        <v>0</v>
      </c>
      <c r="N148" s="8" t="n">
        <v>0</v>
      </c>
      <c r="O148" s="74"/>
      <c r="P148" s="74"/>
      <c r="Q148" s="74"/>
      <c r="R148" s="14" t="n">
        <f aca="false">IF(I148="Unbilled",0,M148)</f>
        <v>0</v>
      </c>
      <c r="S148" s="9" t="n">
        <f aca="false">IF(R148=0,0,IF(O148="Booked",N148,R148*V147))</f>
        <v>0</v>
      </c>
      <c r="T148" s="14" t="n">
        <f aca="false">IF(I148="Opening",K148,T147+K148-R148)</f>
        <v>172.5</v>
      </c>
      <c r="U148" s="9" t="n">
        <f aca="false">IF(I148="Opening",L148,U147+L148-S148)</f>
        <v>1017669.74</v>
      </c>
      <c r="V148" s="9" t="n">
        <f aca="false">IF(T148&gt;0,U148/T148,IF(I148="Opening",0,V147))</f>
        <v>5899.53472463768</v>
      </c>
      <c r="W148" s="14" t="n">
        <f aca="false">M148</f>
        <v>0</v>
      </c>
      <c r="X148" s="9" t="n">
        <f aca="false">IF(W148=0,0,IF(O148="Booked",N148,W148*AA147))</f>
        <v>0</v>
      </c>
      <c r="Y148" s="14" t="n">
        <f aca="false">IF(I148="Opening",K148,Y147+K148-W148)</f>
        <v>172.5</v>
      </c>
      <c r="Z148" s="9" t="n">
        <f aca="false">IF(I148="Opening",L148,Z147+L148-X148)</f>
        <v>1017669.74</v>
      </c>
      <c r="AA148" s="9" t="n">
        <f aca="false">IF(Y148&gt;0,Z148/Y148,IF(I148="Opening",0,AA147))</f>
        <v>5899.53472463768</v>
      </c>
      <c r="AB148" s="9" t="n">
        <f aca="false">IF(AND(I148="DO",O148="MA"),S148-N148,0)</f>
        <v>0</v>
      </c>
      <c r="AC148" s="9" t="n">
        <f aca="false">IF(I148="DO",X148-S148,0)</f>
        <v>0</v>
      </c>
      <c r="AD148" s="23" t="n">
        <f aca="false">IF(B149&lt;&gt;B148,1,0)</f>
        <v>0</v>
      </c>
      <c r="AE148" s="14" t="n">
        <f aca="false">IF(I148="Opening",0,AE147+W148)</f>
        <v>0</v>
      </c>
      <c r="AF148" s="14" t="n">
        <f aca="false">IF(I148="Opening",K148,AF147)</f>
        <v>172.5</v>
      </c>
      <c r="AG148" s="14" t="n">
        <f aca="false">SUMIFS($K$6:$K$1110,$B$6:$B$1110,B148,$H$6:$H$1110,7,$I$6:$I$1110,"&lt;&gt;Opening")</f>
        <v>0</v>
      </c>
      <c r="AH148" s="14" t="n">
        <f aca="false">IF(W148=0,0,MAX(0,MIN(AE148,AF148)-MIN(AE148-W148,AF148)))</f>
        <v>0</v>
      </c>
      <c r="AI148" s="14" t="n">
        <f aca="false">IF(W148=0,0,MAX(0,MIN(AE148,AF148+AG148)-MAX(AE148-W148,AF148)))</f>
        <v>0</v>
      </c>
      <c r="AJ148" s="14" t="n">
        <f aca="false">W148-AH148-AI148</f>
        <v>0</v>
      </c>
      <c r="AK148" s="9" t="n">
        <f aca="false">IF(W148=0,0,X148*AH148/W148)</f>
        <v>0</v>
      </c>
      <c r="AL148" s="9" t="n">
        <f aca="false">IF(W148=0,0,X148*AI148/W148)</f>
        <v>0</v>
      </c>
      <c r="AM148" s="9" t="n">
        <f aca="false">X148-AK148-AL148</f>
        <v>0</v>
      </c>
    </row>
    <row r="149" customFormat="false" ht="15" hidden="false" customHeight="false" outlineLevel="0" collapsed="false">
      <c r="A149" s="6" t="n">
        <v>144</v>
      </c>
      <c r="B149" s="74" t="s">
        <v>951</v>
      </c>
      <c r="C149" s="53" t="str">
        <f aca="false">INDEX(I_Items!$C$5:$C$133,MATCH($B149,I_Items!$A$5:$A$133,0))</f>
        <v>RPA</v>
      </c>
      <c r="D149" s="53" t="str">
        <f aca="false">INDEX(I_Items!$D$5:$D$133,MATCH($B149,I_Items!$A$5:$A$133,0))</f>
        <v>Lemak</v>
      </c>
      <c r="E149" s="53" t="str">
        <f aca="false">INDEX(I_Items!$F$5:$F$133,MATCH($B149,I_Items!$A$5:$A$133,0))</f>
        <v>Fresh</v>
      </c>
      <c r="F149" s="53" t="str">
        <f aca="false">IF(INDEX(I_Items!$E$5:$E$133,MATCH($B149,I_Items!$A$5:$A$133,0))="","",INDEX(I_Items!$E$5:$E$133,MATCH($B149,I_Items!$A$5:$A$133,0)))</f>
        <v/>
      </c>
      <c r="G149" s="76" t="n">
        <v>46241</v>
      </c>
      <c r="H149" s="23" t="n">
        <f aca="false">MONTH(G149)</f>
        <v>8</v>
      </c>
      <c r="I149" s="74" t="s">
        <v>2074</v>
      </c>
      <c r="J149" s="74" t="s">
        <v>1290</v>
      </c>
      <c r="K149" s="10" t="n">
        <v>11</v>
      </c>
      <c r="L149" s="8" t="n">
        <v>251574.77</v>
      </c>
      <c r="M149" s="10" t="n">
        <v>0</v>
      </c>
      <c r="N149" s="8" t="n">
        <v>0</v>
      </c>
      <c r="O149" s="74"/>
      <c r="P149" s="74"/>
      <c r="Q149" s="74"/>
      <c r="R149" s="14" t="n">
        <f aca="false">IF(I149="Unbilled",0,M149)</f>
        <v>0</v>
      </c>
      <c r="S149" s="9" t="n">
        <f aca="false">IF(R149=0,0,IF(O149="Booked",N149,R149*V148))</f>
        <v>0</v>
      </c>
      <c r="T149" s="14" t="n">
        <f aca="false">IF(I149="Opening",K149,T148+K149-R149)</f>
        <v>183.5</v>
      </c>
      <c r="U149" s="9" t="n">
        <f aca="false">IF(I149="Opening",L149,U148+L149-S149)</f>
        <v>1269244.51</v>
      </c>
      <c r="V149" s="9" t="n">
        <f aca="false">IF(T149&gt;0,U149/T149,IF(I149="Opening",0,V148))</f>
        <v>6916.8638147139</v>
      </c>
      <c r="W149" s="14" t="n">
        <f aca="false">M149</f>
        <v>0</v>
      </c>
      <c r="X149" s="9" t="n">
        <f aca="false">IF(W149=0,0,IF(O149="Booked",N149,W149*AA148))</f>
        <v>0</v>
      </c>
      <c r="Y149" s="14" t="n">
        <f aca="false">IF(I149="Opening",K149,Y148+K149-W149)</f>
        <v>183.5</v>
      </c>
      <c r="Z149" s="9" t="n">
        <f aca="false">IF(I149="Opening",L149,Z148+L149-X149)</f>
        <v>1269244.51</v>
      </c>
      <c r="AA149" s="9" t="n">
        <f aca="false">IF(Y149&gt;0,Z149/Y149,IF(I149="Opening",0,AA148))</f>
        <v>6916.8638147139</v>
      </c>
      <c r="AB149" s="9" t="n">
        <f aca="false">IF(AND(I149="DO",O149="MA"),S149-N149,0)</f>
        <v>0</v>
      </c>
      <c r="AC149" s="9" t="n">
        <f aca="false">IF(I149="DO",X149-S149,0)</f>
        <v>0</v>
      </c>
      <c r="AD149" s="23" t="n">
        <f aca="false">IF(B150&lt;&gt;B149,1,0)</f>
        <v>0</v>
      </c>
      <c r="AE149" s="14" t="n">
        <f aca="false">IF(I149="Opening",0,AE148+W149)</f>
        <v>0</v>
      </c>
      <c r="AF149" s="14" t="n">
        <f aca="false">IF(I149="Opening",K149,AF148)</f>
        <v>172.5</v>
      </c>
      <c r="AG149" s="14" t="n">
        <f aca="false">AG148</f>
        <v>0</v>
      </c>
      <c r="AH149" s="14" t="n">
        <f aca="false">IF(W149=0,0,MAX(0,MIN(AE149,AF149)-MIN(AE149-W149,AF149)))</f>
        <v>0</v>
      </c>
      <c r="AI149" s="14" t="n">
        <f aca="false">IF(W149=0,0,MAX(0,MIN(AE149,AF149+AG149)-MAX(AE149-W149,AF149)))</f>
        <v>0</v>
      </c>
      <c r="AJ149" s="14" t="n">
        <f aca="false">W149-AH149-AI149</f>
        <v>0</v>
      </c>
      <c r="AK149" s="9" t="n">
        <f aca="false">IF(W149=0,0,X149*AH149/W149)</f>
        <v>0</v>
      </c>
      <c r="AL149" s="9" t="n">
        <f aca="false">IF(W149=0,0,X149*AI149/W149)</f>
        <v>0</v>
      </c>
      <c r="AM149" s="9" t="n">
        <f aca="false">X149-AK149-AL149</f>
        <v>0</v>
      </c>
    </row>
    <row r="150" customFormat="false" ht="15" hidden="false" customHeight="false" outlineLevel="0" collapsed="false">
      <c r="A150" s="6" t="n">
        <v>145</v>
      </c>
      <c r="B150" s="74" t="s">
        <v>951</v>
      </c>
      <c r="C150" s="53" t="str">
        <f aca="false">INDEX(I_Items!$C$5:$C$133,MATCH($B150,I_Items!$A$5:$A$133,0))</f>
        <v>RPA</v>
      </c>
      <c r="D150" s="53" t="str">
        <f aca="false">INDEX(I_Items!$D$5:$D$133,MATCH($B150,I_Items!$A$5:$A$133,0))</f>
        <v>Lemak</v>
      </c>
      <c r="E150" s="53" t="str">
        <f aca="false">INDEX(I_Items!$F$5:$F$133,MATCH($B150,I_Items!$A$5:$A$133,0))</f>
        <v>Fresh</v>
      </c>
      <c r="F150" s="53" t="str">
        <f aca="false">IF(INDEX(I_Items!$E$5:$E$133,MATCH($B150,I_Items!$A$5:$A$133,0))="","",INDEX(I_Items!$E$5:$E$133,MATCH($B150,I_Items!$A$5:$A$133,0)))</f>
        <v/>
      </c>
      <c r="G150" s="76" t="n">
        <v>46244</v>
      </c>
      <c r="H150" s="23" t="n">
        <f aca="false">MONTH(G150)</f>
        <v>8</v>
      </c>
      <c r="I150" s="74" t="s">
        <v>2074</v>
      </c>
      <c r="J150" s="74" t="s">
        <v>1294</v>
      </c>
      <c r="K150" s="10" t="n">
        <v>31.4</v>
      </c>
      <c r="L150" s="8" t="n">
        <v>682773.51</v>
      </c>
      <c r="M150" s="10" t="n">
        <v>0</v>
      </c>
      <c r="N150" s="8" t="n">
        <v>0</v>
      </c>
      <c r="O150" s="74"/>
      <c r="P150" s="74"/>
      <c r="Q150" s="74"/>
      <c r="R150" s="14" t="n">
        <f aca="false">IF(I150="Unbilled",0,M150)</f>
        <v>0</v>
      </c>
      <c r="S150" s="9" t="n">
        <f aca="false">IF(R150=0,0,IF(O150="Booked",N150,R150*V149))</f>
        <v>0</v>
      </c>
      <c r="T150" s="14" t="n">
        <f aca="false">IF(I150="Opening",K150,T149+K150-R150)</f>
        <v>214.9</v>
      </c>
      <c r="U150" s="9" t="n">
        <f aca="false">IF(I150="Opening",L150,U149+L150-S150)</f>
        <v>1952018.02</v>
      </c>
      <c r="V150" s="9" t="n">
        <f aca="false">IF(T150&gt;0,U150/T150,IF(I150="Opening",0,V149))</f>
        <v>9083.37840856212</v>
      </c>
      <c r="W150" s="14" t="n">
        <f aca="false">M150</f>
        <v>0</v>
      </c>
      <c r="X150" s="9" t="n">
        <f aca="false">IF(W150=0,0,IF(O150="Booked",N150,W150*AA149))</f>
        <v>0</v>
      </c>
      <c r="Y150" s="14" t="n">
        <f aca="false">IF(I150="Opening",K150,Y149+K150-W150)</f>
        <v>214.9</v>
      </c>
      <c r="Z150" s="9" t="n">
        <f aca="false">IF(I150="Opening",L150,Z149+L150-X150)</f>
        <v>1952018.02</v>
      </c>
      <c r="AA150" s="9" t="n">
        <f aca="false">IF(Y150&gt;0,Z150/Y150,IF(I150="Opening",0,AA149))</f>
        <v>9083.37840856212</v>
      </c>
      <c r="AB150" s="9" t="n">
        <f aca="false">IF(AND(I150="DO",O150="MA"),S150-N150,0)</f>
        <v>0</v>
      </c>
      <c r="AC150" s="9" t="n">
        <f aca="false">IF(I150="DO",X150-S150,0)</f>
        <v>0</v>
      </c>
      <c r="AD150" s="23" t="n">
        <f aca="false">IF(B151&lt;&gt;B150,1,0)</f>
        <v>0</v>
      </c>
      <c r="AE150" s="14" t="n">
        <f aca="false">IF(I150="Opening",0,AE149+W150)</f>
        <v>0</v>
      </c>
      <c r="AF150" s="14" t="n">
        <f aca="false">IF(I150="Opening",K150,AF149)</f>
        <v>172.5</v>
      </c>
      <c r="AG150" s="14" t="n">
        <f aca="false">AG149</f>
        <v>0</v>
      </c>
      <c r="AH150" s="14" t="n">
        <f aca="false">IF(W150=0,0,MAX(0,MIN(AE150,AF150)-MIN(AE150-W150,AF150)))</f>
        <v>0</v>
      </c>
      <c r="AI150" s="14" t="n">
        <f aca="false">IF(W150=0,0,MAX(0,MIN(AE150,AF150+AG150)-MAX(AE150-W150,AF150)))</f>
        <v>0</v>
      </c>
      <c r="AJ150" s="14" t="n">
        <f aca="false">W150-AH150-AI150</f>
        <v>0</v>
      </c>
      <c r="AK150" s="9" t="n">
        <f aca="false">IF(W150=0,0,X150*AH150/W150)</f>
        <v>0</v>
      </c>
      <c r="AL150" s="9" t="n">
        <f aca="false">IF(W150=0,0,X150*AI150/W150)</f>
        <v>0</v>
      </c>
      <c r="AM150" s="9" t="n">
        <f aca="false">X150-AK150-AL150</f>
        <v>0</v>
      </c>
    </row>
    <row r="151" customFormat="false" ht="15" hidden="false" customHeight="false" outlineLevel="0" collapsed="false">
      <c r="A151" s="6" t="n">
        <v>146</v>
      </c>
      <c r="B151" s="74" t="s">
        <v>951</v>
      </c>
      <c r="C151" s="53" t="str">
        <f aca="false">INDEX(I_Items!$C$5:$C$133,MATCH($B151,I_Items!$A$5:$A$133,0))</f>
        <v>RPA</v>
      </c>
      <c r="D151" s="53" t="str">
        <f aca="false">INDEX(I_Items!$D$5:$D$133,MATCH($B151,I_Items!$A$5:$A$133,0))</f>
        <v>Lemak</v>
      </c>
      <c r="E151" s="53" t="str">
        <f aca="false">INDEX(I_Items!$F$5:$F$133,MATCH($B151,I_Items!$A$5:$A$133,0))</f>
        <v>Fresh</v>
      </c>
      <c r="F151" s="53" t="str">
        <f aca="false">IF(INDEX(I_Items!$E$5:$E$133,MATCH($B151,I_Items!$A$5:$A$133,0))="","",INDEX(I_Items!$E$5:$E$133,MATCH($B151,I_Items!$A$5:$A$133,0)))</f>
        <v/>
      </c>
      <c r="G151" s="76" t="n">
        <v>46244</v>
      </c>
      <c r="H151" s="23" t="n">
        <f aca="false">MONTH(G151)</f>
        <v>8</v>
      </c>
      <c r="I151" s="74" t="s">
        <v>2074</v>
      </c>
      <c r="J151" s="74" t="s">
        <v>1298</v>
      </c>
      <c r="K151" s="10" t="n">
        <v>22</v>
      </c>
      <c r="L151" s="8" t="n">
        <v>505789.78</v>
      </c>
      <c r="M151" s="10" t="n">
        <v>0</v>
      </c>
      <c r="N151" s="8" t="n">
        <v>0</v>
      </c>
      <c r="O151" s="74"/>
      <c r="P151" s="74"/>
      <c r="Q151" s="74"/>
      <c r="R151" s="14" t="n">
        <f aca="false">IF(I151="Unbilled",0,M151)</f>
        <v>0</v>
      </c>
      <c r="S151" s="9" t="n">
        <f aca="false">IF(R151=0,0,IF(O151="Booked",N151,R151*V150))</f>
        <v>0</v>
      </c>
      <c r="T151" s="14" t="n">
        <f aca="false">IF(I151="Opening",K151,T150+K151-R151)</f>
        <v>236.9</v>
      </c>
      <c r="U151" s="9" t="n">
        <f aca="false">IF(I151="Opening",L151,U150+L151-S151)</f>
        <v>2457807.8</v>
      </c>
      <c r="V151" s="9" t="n">
        <f aca="false">IF(T151&gt;0,U151/T151,IF(I151="Opening",0,V150))</f>
        <v>10374.8746306458</v>
      </c>
      <c r="W151" s="14" t="n">
        <f aca="false">M151</f>
        <v>0</v>
      </c>
      <c r="X151" s="9" t="n">
        <f aca="false">IF(W151=0,0,IF(O151="Booked",N151,W151*AA150))</f>
        <v>0</v>
      </c>
      <c r="Y151" s="14" t="n">
        <f aca="false">IF(I151="Opening",K151,Y150+K151-W151)</f>
        <v>236.9</v>
      </c>
      <c r="Z151" s="9" t="n">
        <f aca="false">IF(I151="Opening",L151,Z150+L151-X151)</f>
        <v>2457807.8</v>
      </c>
      <c r="AA151" s="9" t="n">
        <f aca="false">IF(Y151&gt;0,Z151/Y151,IF(I151="Opening",0,AA150))</f>
        <v>10374.8746306458</v>
      </c>
      <c r="AB151" s="9" t="n">
        <f aca="false">IF(AND(I151="DO",O151="MA"),S151-N151,0)</f>
        <v>0</v>
      </c>
      <c r="AC151" s="9" t="n">
        <f aca="false">IF(I151="DO",X151-S151,0)</f>
        <v>0</v>
      </c>
      <c r="AD151" s="23" t="n">
        <f aca="false">IF(B152&lt;&gt;B151,1,0)</f>
        <v>0</v>
      </c>
      <c r="AE151" s="14" t="n">
        <f aca="false">IF(I151="Opening",0,AE150+W151)</f>
        <v>0</v>
      </c>
      <c r="AF151" s="14" t="n">
        <f aca="false">IF(I151="Opening",K151,AF150)</f>
        <v>172.5</v>
      </c>
      <c r="AG151" s="14" t="n">
        <f aca="false">AG150</f>
        <v>0</v>
      </c>
      <c r="AH151" s="14" t="n">
        <f aca="false">IF(W151=0,0,MAX(0,MIN(AE151,AF151)-MIN(AE151-W151,AF151)))</f>
        <v>0</v>
      </c>
      <c r="AI151" s="14" t="n">
        <f aca="false">IF(W151=0,0,MAX(0,MIN(AE151,AF151+AG151)-MAX(AE151-W151,AF151)))</f>
        <v>0</v>
      </c>
      <c r="AJ151" s="14" t="n">
        <f aca="false">W151-AH151-AI151</f>
        <v>0</v>
      </c>
      <c r="AK151" s="9" t="n">
        <f aca="false">IF(W151=0,0,X151*AH151/W151)</f>
        <v>0</v>
      </c>
      <c r="AL151" s="9" t="n">
        <f aca="false">IF(W151=0,0,X151*AI151/W151)</f>
        <v>0</v>
      </c>
      <c r="AM151" s="9" t="n">
        <f aca="false">X151-AK151-AL151</f>
        <v>0</v>
      </c>
    </row>
    <row r="152" customFormat="false" ht="15" hidden="false" customHeight="false" outlineLevel="0" collapsed="false">
      <c r="A152" s="6" t="n">
        <v>147</v>
      </c>
      <c r="B152" s="74" t="s">
        <v>951</v>
      </c>
      <c r="C152" s="53" t="str">
        <f aca="false">INDEX(I_Items!$C$5:$C$133,MATCH($B152,I_Items!$A$5:$A$133,0))</f>
        <v>RPA</v>
      </c>
      <c r="D152" s="53" t="str">
        <f aca="false">INDEX(I_Items!$D$5:$D$133,MATCH($B152,I_Items!$A$5:$A$133,0))</f>
        <v>Lemak</v>
      </c>
      <c r="E152" s="53" t="str">
        <f aca="false">INDEX(I_Items!$F$5:$F$133,MATCH($B152,I_Items!$A$5:$A$133,0))</f>
        <v>Fresh</v>
      </c>
      <c r="F152" s="53" t="str">
        <f aca="false">IF(INDEX(I_Items!$E$5:$E$133,MATCH($B152,I_Items!$A$5:$A$133,0))="","",INDEX(I_Items!$E$5:$E$133,MATCH($B152,I_Items!$A$5:$A$133,0)))</f>
        <v/>
      </c>
      <c r="G152" s="76" t="n">
        <v>46249</v>
      </c>
      <c r="H152" s="23" t="n">
        <f aca="false">MONTH(G152)</f>
        <v>8</v>
      </c>
      <c r="I152" s="74" t="s">
        <v>2075</v>
      </c>
      <c r="J152" s="74" t="s">
        <v>2114</v>
      </c>
      <c r="K152" s="10" t="n">
        <v>0</v>
      </c>
      <c r="L152" s="8" t="n">
        <v>0</v>
      </c>
      <c r="M152" s="10" t="n">
        <v>11</v>
      </c>
      <c r="N152" s="8" t="n">
        <v>114123.62</v>
      </c>
      <c r="O152" s="74" t="s">
        <v>2077</v>
      </c>
      <c r="P152" s="74" t="s">
        <v>1119</v>
      </c>
      <c r="Q152" s="74"/>
      <c r="R152" s="14" t="n">
        <f aca="false">IF(I152="Unbilled",0,M152)</f>
        <v>11</v>
      </c>
      <c r="S152" s="9" t="n">
        <f aca="false">IF(R152=0,0,IF(O152="Booked",N152,R152*V151))</f>
        <v>114123.620937104</v>
      </c>
      <c r="T152" s="14" t="n">
        <f aca="false">IF(I152="Opening",K152,T151+K152-R152)</f>
        <v>225.9</v>
      </c>
      <c r="U152" s="9" t="n">
        <f aca="false">IF(I152="Opening",L152,U151+L152-S152)</f>
        <v>2343684.1790629</v>
      </c>
      <c r="V152" s="9" t="n">
        <f aca="false">IF(T152&gt;0,U152/T152,IF(I152="Opening",0,V151))</f>
        <v>10374.8746306458</v>
      </c>
      <c r="W152" s="14" t="n">
        <f aca="false">M152</f>
        <v>11</v>
      </c>
      <c r="X152" s="9" t="n">
        <f aca="false">IF(W152=0,0,IF(O152="Booked",N152,W152*AA151))</f>
        <v>114123.620937104</v>
      </c>
      <c r="Y152" s="14" t="n">
        <f aca="false">IF(I152="Opening",K152,Y151+K152-W152)</f>
        <v>225.9</v>
      </c>
      <c r="Z152" s="9" t="n">
        <f aca="false">IF(I152="Opening",L152,Z151+L152-X152)</f>
        <v>2343684.1790629</v>
      </c>
      <c r="AA152" s="9" t="n">
        <f aca="false">IF(Y152&gt;0,Z152/Y152,IF(I152="Opening",0,AA151))</f>
        <v>10374.8746306458</v>
      </c>
      <c r="AB152" s="9" t="n">
        <f aca="false">IF(AND(I152="DO",O152="MA"),S152-N152,0)</f>
        <v>0.000937104254262522</v>
      </c>
      <c r="AC152" s="9" t="n">
        <f aca="false">IF(I152="DO",X152-S152,0)</f>
        <v>0</v>
      </c>
      <c r="AD152" s="23" t="n">
        <f aca="false">IF(B153&lt;&gt;B152,1,0)</f>
        <v>1</v>
      </c>
      <c r="AE152" s="14" t="n">
        <f aca="false">IF(I152="Opening",0,AE151+W152)</f>
        <v>11</v>
      </c>
      <c r="AF152" s="14" t="n">
        <f aca="false">IF(I152="Opening",K152,AF151)</f>
        <v>172.5</v>
      </c>
      <c r="AG152" s="14" t="n">
        <f aca="false">AG151</f>
        <v>0</v>
      </c>
      <c r="AH152" s="14" t="n">
        <f aca="false">IF(W152=0,0,MAX(0,MIN(AE152,AF152)-MIN(AE152-W152,AF152)))</f>
        <v>11</v>
      </c>
      <c r="AI152" s="14" t="n">
        <f aca="false">IF(W152=0,0,MAX(0,MIN(AE152,AF152+AG152)-MAX(AE152-W152,AF152)))</f>
        <v>0</v>
      </c>
      <c r="AJ152" s="14" t="n">
        <f aca="false">W152-AH152-AI152</f>
        <v>0</v>
      </c>
      <c r="AK152" s="9" t="n">
        <f aca="false">IF(W152=0,0,X152*AH152/W152)</f>
        <v>114123.620937104</v>
      </c>
      <c r="AL152" s="9" t="n">
        <f aca="false">IF(W152=0,0,X152*AI152/W152)</f>
        <v>0</v>
      </c>
      <c r="AM152" s="9" t="n">
        <f aca="false">X152-AK152-AL152</f>
        <v>0</v>
      </c>
    </row>
    <row r="153" customFormat="false" ht="15" hidden="false" customHeight="false" outlineLevel="0" collapsed="false">
      <c r="A153" s="6" t="n">
        <v>148</v>
      </c>
      <c r="B153" s="74" t="s">
        <v>952</v>
      </c>
      <c r="C153" s="53" t="str">
        <f aca="false">INDEX(I_Items!$C$5:$C$133,MATCH($B153,I_Items!$A$5:$A$133,0))</f>
        <v>RPA</v>
      </c>
      <c r="D153" s="53" t="str">
        <f aca="false">INDEX(I_Items!$D$5:$D$133,MATCH($B153,I_Items!$A$5:$A$133,0))</f>
        <v>Sayap</v>
      </c>
      <c r="E153" s="53" t="str">
        <f aca="false">INDEX(I_Items!$F$5:$F$133,MATCH($B153,I_Items!$A$5:$A$133,0))</f>
        <v>Fresh</v>
      </c>
      <c r="F153" s="53" t="str">
        <f aca="false">IF(INDEX(I_Items!$E$5:$E$133,MATCH($B153,I_Items!$A$5:$A$133,0))="","",INDEX(I_Items!$E$5:$E$133,MATCH($B153,I_Items!$A$5:$A$133,0)))</f>
        <v/>
      </c>
      <c r="G153" s="76" t="n">
        <v>46204</v>
      </c>
      <c r="H153" s="23" t="n">
        <f aca="false">MONTH(G153)</f>
        <v>7</v>
      </c>
      <c r="I153" s="74" t="s">
        <v>2072</v>
      </c>
      <c r="J153" s="74" t="s">
        <v>2073</v>
      </c>
      <c r="K153" s="10" t="n">
        <v>0</v>
      </c>
      <c r="L153" s="8" t="n">
        <v>-0.01</v>
      </c>
      <c r="M153" s="10" t="n">
        <v>0</v>
      </c>
      <c r="N153" s="8" t="n">
        <v>0</v>
      </c>
      <c r="O153" s="74"/>
      <c r="P153" s="74"/>
      <c r="Q153" s="74"/>
      <c r="R153" s="14" t="n">
        <f aca="false">IF(I153="Unbilled",0,M153)</f>
        <v>0</v>
      </c>
      <c r="S153" s="9" t="n">
        <f aca="false">IF(R153=0,0,IF(O153="Booked",N153,R153*V152))</f>
        <v>0</v>
      </c>
      <c r="T153" s="14" t="n">
        <f aca="false">IF(I153="Opening",K153,T152+K153-R153)</f>
        <v>0</v>
      </c>
      <c r="U153" s="9" t="n">
        <f aca="false">IF(I153="Opening",L153,U152+L153-S153)</f>
        <v>-0.01</v>
      </c>
      <c r="V153" s="9" t="n">
        <f aca="false">IF(T153&gt;0,U153/T153,IF(I153="Opening",0,V152))</f>
        <v>0</v>
      </c>
      <c r="W153" s="14" t="n">
        <f aca="false">M153</f>
        <v>0</v>
      </c>
      <c r="X153" s="9" t="n">
        <f aca="false">IF(W153=0,0,IF(O153="Booked",N153,W153*AA152))</f>
        <v>0</v>
      </c>
      <c r="Y153" s="14" t="n">
        <f aca="false">IF(I153="Opening",K153,Y152+K153-W153)</f>
        <v>0</v>
      </c>
      <c r="Z153" s="9" t="n">
        <f aca="false">IF(I153="Opening",L153,Z152+L153-X153)</f>
        <v>-0.01</v>
      </c>
      <c r="AA153" s="9" t="n">
        <f aca="false">IF(Y153&gt;0,Z153/Y153,IF(I153="Opening",0,AA152))</f>
        <v>0</v>
      </c>
      <c r="AB153" s="9" t="n">
        <f aca="false">IF(AND(I153="DO",O153="MA"),S153-N153,0)</f>
        <v>0</v>
      </c>
      <c r="AC153" s="9" t="n">
        <f aca="false">IF(I153="DO",X153-S153,0)</f>
        <v>0</v>
      </c>
      <c r="AD153" s="23" t="n">
        <f aca="false">IF(B154&lt;&gt;B153,1,0)</f>
        <v>0</v>
      </c>
      <c r="AE153" s="14" t="n">
        <f aca="false">IF(I153="Opening",0,AE152+W153)</f>
        <v>0</v>
      </c>
      <c r="AF153" s="14" t="n">
        <f aca="false">IF(I153="Opening",K153,AF152)</f>
        <v>0</v>
      </c>
      <c r="AG153" s="14" t="n">
        <f aca="false">SUMIFS($K$6:$K$1110,$B$6:$B$1110,B153,$H$6:$H$1110,7,$I$6:$I$1110,"&lt;&gt;Opening")</f>
        <v>240</v>
      </c>
      <c r="AH153" s="14" t="n">
        <f aca="false">IF(W153=0,0,MAX(0,MIN(AE153,AF153)-MIN(AE153-W153,AF153)))</f>
        <v>0</v>
      </c>
      <c r="AI153" s="14" t="n">
        <f aca="false">IF(W153=0,0,MAX(0,MIN(AE153,AF153+AG153)-MAX(AE153-W153,AF153)))</f>
        <v>0</v>
      </c>
      <c r="AJ153" s="14" t="n">
        <f aca="false">W153-AH153-AI153</f>
        <v>0</v>
      </c>
      <c r="AK153" s="9" t="n">
        <f aca="false">IF(W153=0,0,X153*AH153/W153)</f>
        <v>0</v>
      </c>
      <c r="AL153" s="9" t="n">
        <f aca="false">IF(W153=0,0,X153*AI153/W153)</f>
        <v>0</v>
      </c>
      <c r="AM153" s="9" t="n">
        <f aca="false">X153-AK153-AL153</f>
        <v>0</v>
      </c>
    </row>
    <row r="154" customFormat="false" ht="15" hidden="false" customHeight="false" outlineLevel="0" collapsed="false">
      <c r="A154" s="6" t="n">
        <v>149</v>
      </c>
      <c r="B154" s="74" t="s">
        <v>952</v>
      </c>
      <c r="C154" s="53" t="str">
        <f aca="false">INDEX(I_Items!$C$5:$C$133,MATCH($B154,I_Items!$A$5:$A$133,0))</f>
        <v>RPA</v>
      </c>
      <c r="D154" s="53" t="str">
        <f aca="false">INDEX(I_Items!$D$5:$D$133,MATCH($B154,I_Items!$A$5:$A$133,0))</f>
        <v>Sayap</v>
      </c>
      <c r="E154" s="53" t="str">
        <f aca="false">INDEX(I_Items!$F$5:$F$133,MATCH($B154,I_Items!$A$5:$A$133,0))</f>
        <v>Fresh</v>
      </c>
      <c r="F154" s="53" t="str">
        <f aca="false">IF(INDEX(I_Items!$E$5:$E$133,MATCH($B154,I_Items!$A$5:$A$133,0))="","",INDEX(I_Items!$E$5:$E$133,MATCH($B154,I_Items!$A$5:$A$133,0)))</f>
        <v/>
      </c>
      <c r="G154" s="76" t="n">
        <v>46205</v>
      </c>
      <c r="H154" s="23" t="n">
        <f aca="false">MONTH(G154)</f>
        <v>7</v>
      </c>
      <c r="I154" s="74" t="s">
        <v>2074</v>
      </c>
      <c r="J154" s="74" t="s">
        <v>2111</v>
      </c>
      <c r="K154" s="10" t="n">
        <v>240</v>
      </c>
      <c r="L154" s="8" t="n">
        <v>3841765.18</v>
      </c>
      <c r="M154" s="10" t="n">
        <v>0</v>
      </c>
      <c r="N154" s="8" t="n">
        <v>0</v>
      </c>
      <c r="O154" s="74"/>
      <c r="P154" s="74"/>
      <c r="Q154" s="74"/>
      <c r="R154" s="14" t="n">
        <f aca="false">IF(I154="Unbilled",0,M154)</f>
        <v>0</v>
      </c>
      <c r="S154" s="9" t="n">
        <f aca="false">IF(R154=0,0,IF(O154="Booked",N154,R154*V153))</f>
        <v>0</v>
      </c>
      <c r="T154" s="14" t="n">
        <f aca="false">IF(I154="Opening",K154,T153+K154-R154)</f>
        <v>240</v>
      </c>
      <c r="U154" s="9" t="n">
        <f aca="false">IF(I154="Opening",L154,U153+L154-S154)</f>
        <v>3841765.17</v>
      </c>
      <c r="V154" s="9" t="n">
        <f aca="false">IF(T154&gt;0,U154/T154,IF(I154="Opening",0,V153))</f>
        <v>16007.354875</v>
      </c>
      <c r="W154" s="14" t="n">
        <f aca="false">M154</f>
        <v>0</v>
      </c>
      <c r="X154" s="9" t="n">
        <f aca="false">IF(W154=0,0,IF(O154="Booked",N154,W154*AA153))</f>
        <v>0</v>
      </c>
      <c r="Y154" s="14" t="n">
        <f aca="false">IF(I154="Opening",K154,Y153+K154-W154)</f>
        <v>240</v>
      </c>
      <c r="Z154" s="9" t="n">
        <f aca="false">IF(I154="Opening",L154,Z153+L154-X154)</f>
        <v>3841765.17</v>
      </c>
      <c r="AA154" s="9" t="n">
        <f aca="false">IF(Y154&gt;0,Z154/Y154,IF(I154="Opening",0,AA153))</f>
        <v>16007.354875</v>
      </c>
      <c r="AB154" s="9" t="n">
        <f aca="false">IF(AND(I154="DO",O154="MA"),S154-N154,0)</f>
        <v>0</v>
      </c>
      <c r="AC154" s="9" t="n">
        <f aca="false">IF(I154="DO",X154-S154,0)</f>
        <v>0</v>
      </c>
      <c r="AD154" s="23" t="n">
        <f aca="false">IF(B155&lt;&gt;B154,1,0)</f>
        <v>1</v>
      </c>
      <c r="AE154" s="14" t="n">
        <f aca="false">IF(I154="Opening",0,AE153+W154)</f>
        <v>0</v>
      </c>
      <c r="AF154" s="14" t="n">
        <f aca="false">IF(I154="Opening",K154,AF153)</f>
        <v>0</v>
      </c>
      <c r="AG154" s="14" t="n">
        <f aca="false">AG153</f>
        <v>240</v>
      </c>
      <c r="AH154" s="14" t="n">
        <f aca="false">IF(W154=0,0,MAX(0,MIN(AE154,AF154)-MIN(AE154-W154,AF154)))</f>
        <v>0</v>
      </c>
      <c r="AI154" s="14" t="n">
        <f aca="false">IF(W154=0,0,MAX(0,MIN(AE154,AF154+AG154)-MAX(AE154-W154,AF154)))</f>
        <v>0</v>
      </c>
      <c r="AJ154" s="14" t="n">
        <f aca="false">W154-AH154-AI154</f>
        <v>0</v>
      </c>
      <c r="AK154" s="9" t="n">
        <f aca="false">IF(W154=0,0,X154*AH154/W154)</f>
        <v>0</v>
      </c>
      <c r="AL154" s="9" t="n">
        <f aca="false">IF(W154=0,0,X154*AI154/W154)</f>
        <v>0</v>
      </c>
      <c r="AM154" s="9" t="n">
        <f aca="false">X154-AK154-AL154</f>
        <v>0</v>
      </c>
    </row>
    <row r="155" customFormat="false" ht="15" hidden="false" customHeight="false" outlineLevel="0" collapsed="false">
      <c r="A155" s="6" t="n">
        <v>150</v>
      </c>
      <c r="B155" s="74" t="s">
        <v>953</v>
      </c>
      <c r="C155" s="53" t="str">
        <f aca="false">INDEX(I_Items!$C$5:$C$133,MATCH($B155,I_Items!$A$5:$A$133,0))</f>
        <v>RPA</v>
      </c>
      <c r="D155" s="53" t="str">
        <f aca="false">INDEX(I_Items!$D$5:$D$133,MATCH($B155,I_Items!$A$5:$A$133,0))</f>
        <v>Usus</v>
      </c>
      <c r="E155" s="53" t="str">
        <f aca="false">INDEX(I_Items!$F$5:$F$133,MATCH($B155,I_Items!$A$5:$A$133,0))</f>
        <v>Fresh</v>
      </c>
      <c r="F155" s="53" t="str">
        <f aca="false">IF(INDEX(I_Items!$E$5:$E$133,MATCH($B155,I_Items!$A$5:$A$133,0))="","",INDEX(I_Items!$E$5:$E$133,MATCH($B155,I_Items!$A$5:$A$133,0)))</f>
        <v/>
      </c>
      <c r="G155" s="76" t="n">
        <v>46204</v>
      </c>
      <c r="H155" s="23" t="n">
        <f aca="false">MONTH(G155)</f>
        <v>7</v>
      </c>
      <c r="I155" s="74" t="s">
        <v>2072</v>
      </c>
      <c r="J155" s="74" t="s">
        <v>2073</v>
      </c>
      <c r="K155" s="10" t="n">
        <v>4612.58</v>
      </c>
      <c r="L155" s="8" t="n">
        <v>0</v>
      </c>
      <c r="M155" s="10" t="n">
        <v>0</v>
      </c>
      <c r="N155" s="8" t="n">
        <v>0</v>
      </c>
      <c r="O155" s="74"/>
      <c r="P155" s="74"/>
      <c r="Q155" s="74"/>
      <c r="R155" s="14" t="n">
        <f aca="false">IF(I155="Unbilled",0,M155)</f>
        <v>0</v>
      </c>
      <c r="S155" s="9" t="n">
        <f aca="false">IF(R155=0,0,IF(O155="Booked",N155,R155*V154))</f>
        <v>0</v>
      </c>
      <c r="T155" s="14" t="n">
        <f aca="false">IF(I155="Opening",K155,T154+K155-R155)</f>
        <v>4612.58</v>
      </c>
      <c r="U155" s="9" t="n">
        <f aca="false">IF(I155="Opening",L155,U154+L155-S155)</f>
        <v>0</v>
      </c>
      <c r="V155" s="9" t="n">
        <f aca="false">IF(T155&gt;0,U155/T155,IF(I155="Opening",0,V154))</f>
        <v>0</v>
      </c>
      <c r="W155" s="14" t="n">
        <f aca="false">M155</f>
        <v>0</v>
      </c>
      <c r="X155" s="9" t="n">
        <f aca="false">IF(W155=0,0,IF(O155="Booked",N155,W155*AA154))</f>
        <v>0</v>
      </c>
      <c r="Y155" s="14" t="n">
        <f aca="false">IF(I155="Opening",K155,Y154+K155-W155)</f>
        <v>4612.58</v>
      </c>
      <c r="Z155" s="9" t="n">
        <f aca="false">IF(I155="Opening",L155,Z154+L155-X155)</f>
        <v>0</v>
      </c>
      <c r="AA155" s="9" t="n">
        <f aca="false">IF(Y155&gt;0,Z155/Y155,IF(I155="Opening",0,AA154))</f>
        <v>0</v>
      </c>
      <c r="AB155" s="9" t="n">
        <f aca="false">IF(AND(I155="DO",O155="MA"),S155-N155,0)</f>
        <v>0</v>
      </c>
      <c r="AC155" s="9" t="n">
        <f aca="false">IF(I155="DO",X155-S155,0)</f>
        <v>0</v>
      </c>
      <c r="AD155" s="23" t="n">
        <f aca="false">IF(B156&lt;&gt;B155,1,0)</f>
        <v>0</v>
      </c>
      <c r="AE155" s="14" t="n">
        <f aca="false">IF(I155="Opening",0,AE154+W155)</f>
        <v>0</v>
      </c>
      <c r="AF155" s="14" t="n">
        <f aca="false">IF(I155="Opening",K155,AF154)</f>
        <v>4612.58</v>
      </c>
      <c r="AG155" s="14" t="n">
        <f aca="false">SUMIFS($K$6:$K$1110,$B$6:$B$1110,B155,$H$6:$H$1110,7,$I$6:$I$1110,"&lt;&gt;Opening")</f>
        <v>0</v>
      </c>
      <c r="AH155" s="14" t="n">
        <f aca="false">IF(W155=0,0,MAX(0,MIN(AE155,AF155)-MIN(AE155-W155,AF155)))</f>
        <v>0</v>
      </c>
      <c r="AI155" s="14" t="n">
        <f aca="false">IF(W155=0,0,MAX(0,MIN(AE155,AF155+AG155)-MAX(AE155-W155,AF155)))</f>
        <v>0</v>
      </c>
      <c r="AJ155" s="14" t="n">
        <f aca="false">W155-AH155-AI155</f>
        <v>0</v>
      </c>
      <c r="AK155" s="9" t="n">
        <f aca="false">IF(W155=0,0,X155*AH155/W155)</f>
        <v>0</v>
      </c>
      <c r="AL155" s="9" t="n">
        <f aca="false">IF(W155=0,0,X155*AI155/W155)</f>
        <v>0</v>
      </c>
      <c r="AM155" s="9" t="n">
        <f aca="false">X155-AK155-AL155</f>
        <v>0</v>
      </c>
    </row>
    <row r="156" customFormat="false" ht="15" hidden="false" customHeight="false" outlineLevel="0" collapsed="false">
      <c r="A156" s="6" t="n">
        <v>151</v>
      </c>
      <c r="B156" s="74" t="s">
        <v>953</v>
      </c>
      <c r="C156" s="53" t="str">
        <f aca="false">INDEX(I_Items!$C$5:$C$133,MATCH($B156,I_Items!$A$5:$A$133,0))</f>
        <v>RPA</v>
      </c>
      <c r="D156" s="53" t="str">
        <f aca="false">INDEX(I_Items!$D$5:$D$133,MATCH($B156,I_Items!$A$5:$A$133,0))</f>
        <v>Usus</v>
      </c>
      <c r="E156" s="53" t="str">
        <f aca="false">INDEX(I_Items!$F$5:$F$133,MATCH($B156,I_Items!$A$5:$A$133,0))</f>
        <v>Fresh</v>
      </c>
      <c r="F156" s="53" t="str">
        <f aca="false">IF(INDEX(I_Items!$E$5:$E$133,MATCH($B156,I_Items!$A$5:$A$133,0))="","",INDEX(I_Items!$E$5:$E$133,MATCH($B156,I_Items!$A$5:$A$133,0)))</f>
        <v/>
      </c>
      <c r="G156" s="76" t="n">
        <v>46244</v>
      </c>
      <c r="H156" s="23" t="n">
        <f aca="false">MONTH(G156)</f>
        <v>8</v>
      </c>
      <c r="I156" s="74" t="s">
        <v>2074</v>
      </c>
      <c r="J156" s="74" t="s">
        <v>1294</v>
      </c>
      <c r="K156" s="10" t="n">
        <v>495</v>
      </c>
      <c r="L156" s="8" t="n">
        <v>2690866.93</v>
      </c>
      <c r="M156" s="10" t="n">
        <v>0</v>
      </c>
      <c r="N156" s="8" t="n">
        <v>0</v>
      </c>
      <c r="O156" s="74"/>
      <c r="P156" s="74"/>
      <c r="Q156" s="74"/>
      <c r="R156" s="14" t="n">
        <f aca="false">IF(I156="Unbilled",0,M156)</f>
        <v>0</v>
      </c>
      <c r="S156" s="9" t="n">
        <f aca="false">IF(R156=0,0,IF(O156="Booked",N156,R156*V155))</f>
        <v>0</v>
      </c>
      <c r="T156" s="14" t="n">
        <f aca="false">IF(I156="Opening",K156,T155+K156-R156)</f>
        <v>5107.58</v>
      </c>
      <c r="U156" s="9" t="n">
        <f aca="false">IF(I156="Opening",L156,U155+L156-S156)</f>
        <v>2690866.93</v>
      </c>
      <c r="V156" s="9" t="n">
        <f aca="false">IF(T156&gt;0,U156/T156,IF(I156="Opening",0,V155))</f>
        <v>526.837940864362</v>
      </c>
      <c r="W156" s="14" t="n">
        <f aca="false">M156</f>
        <v>0</v>
      </c>
      <c r="X156" s="9" t="n">
        <f aca="false">IF(W156=0,0,IF(O156="Booked",N156,W156*AA155))</f>
        <v>0</v>
      </c>
      <c r="Y156" s="14" t="n">
        <f aca="false">IF(I156="Opening",K156,Y155+K156-W156)</f>
        <v>5107.58</v>
      </c>
      <c r="Z156" s="9" t="n">
        <f aca="false">IF(I156="Opening",L156,Z155+L156-X156)</f>
        <v>2690866.93</v>
      </c>
      <c r="AA156" s="9" t="n">
        <f aca="false">IF(Y156&gt;0,Z156/Y156,IF(I156="Opening",0,AA155))</f>
        <v>526.837940864362</v>
      </c>
      <c r="AB156" s="9" t="n">
        <f aca="false">IF(AND(I156="DO",O156="MA"),S156-N156,0)</f>
        <v>0</v>
      </c>
      <c r="AC156" s="9" t="n">
        <f aca="false">IF(I156="DO",X156-S156,0)</f>
        <v>0</v>
      </c>
      <c r="AD156" s="23" t="n">
        <f aca="false">IF(B157&lt;&gt;B156,1,0)</f>
        <v>0</v>
      </c>
      <c r="AE156" s="14" t="n">
        <f aca="false">IF(I156="Opening",0,AE155+W156)</f>
        <v>0</v>
      </c>
      <c r="AF156" s="14" t="n">
        <f aca="false">IF(I156="Opening",K156,AF155)</f>
        <v>4612.58</v>
      </c>
      <c r="AG156" s="14" t="n">
        <f aca="false">AG155</f>
        <v>0</v>
      </c>
      <c r="AH156" s="14" t="n">
        <f aca="false">IF(W156=0,0,MAX(0,MIN(AE156,AF156)-MIN(AE156-W156,AF156)))</f>
        <v>0</v>
      </c>
      <c r="AI156" s="14" t="n">
        <f aca="false">IF(W156=0,0,MAX(0,MIN(AE156,AF156+AG156)-MAX(AE156-W156,AF156)))</f>
        <v>0</v>
      </c>
      <c r="AJ156" s="14" t="n">
        <f aca="false">W156-AH156-AI156</f>
        <v>0</v>
      </c>
      <c r="AK156" s="9" t="n">
        <f aca="false">IF(W156=0,0,X156*AH156/W156)</f>
        <v>0</v>
      </c>
      <c r="AL156" s="9" t="n">
        <f aca="false">IF(W156=0,0,X156*AI156/W156)</f>
        <v>0</v>
      </c>
      <c r="AM156" s="9" t="n">
        <f aca="false">X156-AK156-AL156</f>
        <v>0</v>
      </c>
    </row>
    <row r="157" customFormat="false" ht="15" hidden="false" customHeight="false" outlineLevel="0" collapsed="false">
      <c r="A157" s="6" t="n">
        <v>152</v>
      </c>
      <c r="B157" s="74" t="s">
        <v>953</v>
      </c>
      <c r="C157" s="53" t="str">
        <f aca="false">INDEX(I_Items!$C$5:$C$133,MATCH($B157,I_Items!$A$5:$A$133,0))</f>
        <v>RPA</v>
      </c>
      <c r="D157" s="53" t="str">
        <f aca="false">INDEX(I_Items!$D$5:$D$133,MATCH($B157,I_Items!$A$5:$A$133,0))</f>
        <v>Usus</v>
      </c>
      <c r="E157" s="53" t="str">
        <f aca="false">INDEX(I_Items!$F$5:$F$133,MATCH($B157,I_Items!$A$5:$A$133,0))</f>
        <v>Fresh</v>
      </c>
      <c r="F157" s="53" t="str">
        <f aca="false">IF(INDEX(I_Items!$E$5:$E$133,MATCH($B157,I_Items!$A$5:$A$133,0))="","",INDEX(I_Items!$E$5:$E$133,MATCH($B157,I_Items!$A$5:$A$133,0)))</f>
        <v/>
      </c>
      <c r="G157" s="76" t="n">
        <v>46244</v>
      </c>
      <c r="H157" s="23" t="n">
        <f aca="false">MONTH(G157)</f>
        <v>8</v>
      </c>
      <c r="I157" s="74" t="s">
        <v>2074</v>
      </c>
      <c r="J157" s="74" t="s">
        <v>1298</v>
      </c>
      <c r="K157" s="10" t="n">
        <v>314.8</v>
      </c>
      <c r="L157" s="8" t="n">
        <v>1809348.01</v>
      </c>
      <c r="M157" s="10" t="n">
        <v>0</v>
      </c>
      <c r="N157" s="8" t="n">
        <v>0</v>
      </c>
      <c r="O157" s="74"/>
      <c r="P157" s="74"/>
      <c r="Q157" s="74"/>
      <c r="R157" s="14" t="n">
        <f aca="false">IF(I157="Unbilled",0,M157)</f>
        <v>0</v>
      </c>
      <c r="S157" s="9" t="n">
        <f aca="false">IF(R157=0,0,IF(O157="Booked",N157,R157*V156))</f>
        <v>0</v>
      </c>
      <c r="T157" s="14" t="n">
        <f aca="false">IF(I157="Opening",K157,T156+K157-R157)</f>
        <v>5422.38</v>
      </c>
      <c r="U157" s="9" t="n">
        <f aca="false">IF(I157="Opening",L157,U156+L157-S157)</f>
        <v>4500214.94</v>
      </c>
      <c r="V157" s="9" t="n">
        <f aca="false">IF(T157&gt;0,U157/T157,IF(I157="Opening",0,V156))</f>
        <v>829.933523655664</v>
      </c>
      <c r="W157" s="14" t="n">
        <f aca="false">M157</f>
        <v>0</v>
      </c>
      <c r="X157" s="9" t="n">
        <f aca="false">IF(W157=0,0,IF(O157="Booked",N157,W157*AA156))</f>
        <v>0</v>
      </c>
      <c r="Y157" s="14" t="n">
        <f aca="false">IF(I157="Opening",K157,Y156+K157-W157)</f>
        <v>5422.38</v>
      </c>
      <c r="Z157" s="9" t="n">
        <f aca="false">IF(I157="Opening",L157,Z156+L157-X157)</f>
        <v>4500214.94</v>
      </c>
      <c r="AA157" s="9" t="n">
        <f aca="false">IF(Y157&gt;0,Z157/Y157,IF(I157="Opening",0,AA156))</f>
        <v>829.933523655664</v>
      </c>
      <c r="AB157" s="9" t="n">
        <f aca="false">IF(AND(I157="DO",O157="MA"),S157-N157,0)</f>
        <v>0</v>
      </c>
      <c r="AC157" s="9" t="n">
        <f aca="false">IF(I157="DO",X157-S157,0)</f>
        <v>0</v>
      </c>
      <c r="AD157" s="23" t="n">
        <f aca="false">IF(B158&lt;&gt;B157,1,0)</f>
        <v>0</v>
      </c>
      <c r="AE157" s="14" t="n">
        <f aca="false">IF(I157="Opening",0,AE156+W157)</f>
        <v>0</v>
      </c>
      <c r="AF157" s="14" t="n">
        <f aca="false">IF(I157="Opening",K157,AF156)</f>
        <v>4612.58</v>
      </c>
      <c r="AG157" s="14" t="n">
        <f aca="false">AG156</f>
        <v>0</v>
      </c>
      <c r="AH157" s="14" t="n">
        <f aca="false">IF(W157=0,0,MAX(0,MIN(AE157,AF157)-MIN(AE157-W157,AF157)))</f>
        <v>0</v>
      </c>
      <c r="AI157" s="14" t="n">
        <f aca="false">IF(W157=0,0,MAX(0,MIN(AE157,AF157+AG157)-MAX(AE157-W157,AF157)))</f>
        <v>0</v>
      </c>
      <c r="AJ157" s="14" t="n">
        <f aca="false">W157-AH157-AI157</f>
        <v>0</v>
      </c>
      <c r="AK157" s="9" t="n">
        <f aca="false">IF(W157=0,0,X157*AH157/W157)</f>
        <v>0</v>
      </c>
      <c r="AL157" s="9" t="n">
        <f aca="false">IF(W157=0,0,X157*AI157/W157)</f>
        <v>0</v>
      </c>
      <c r="AM157" s="9" t="n">
        <f aca="false">X157-AK157-AL157</f>
        <v>0</v>
      </c>
    </row>
    <row r="158" customFormat="false" ht="15" hidden="false" customHeight="false" outlineLevel="0" collapsed="false">
      <c r="A158" s="6" t="n">
        <v>153</v>
      </c>
      <c r="B158" s="74" t="s">
        <v>953</v>
      </c>
      <c r="C158" s="53" t="str">
        <f aca="false">INDEX(I_Items!$C$5:$C$133,MATCH($B158,I_Items!$A$5:$A$133,0))</f>
        <v>RPA</v>
      </c>
      <c r="D158" s="53" t="str">
        <f aca="false">INDEX(I_Items!$D$5:$D$133,MATCH($B158,I_Items!$A$5:$A$133,0))</f>
        <v>Usus</v>
      </c>
      <c r="E158" s="53" t="str">
        <f aca="false">INDEX(I_Items!$F$5:$F$133,MATCH($B158,I_Items!$A$5:$A$133,0))</f>
        <v>Fresh</v>
      </c>
      <c r="F158" s="53" t="str">
        <f aca="false">IF(INDEX(I_Items!$E$5:$E$133,MATCH($B158,I_Items!$A$5:$A$133,0))="","",INDEX(I_Items!$E$5:$E$133,MATCH($B158,I_Items!$A$5:$A$133,0)))</f>
        <v/>
      </c>
      <c r="G158" s="76" t="n">
        <v>46246</v>
      </c>
      <c r="H158" s="23" t="n">
        <f aca="false">MONTH(G158)</f>
        <v>8</v>
      </c>
      <c r="I158" s="74" t="s">
        <v>2075</v>
      </c>
      <c r="J158" s="74" t="s">
        <v>2079</v>
      </c>
      <c r="K158" s="10" t="n">
        <v>0</v>
      </c>
      <c r="L158" s="8" t="n">
        <v>0</v>
      </c>
      <c r="M158" s="10" t="n">
        <v>173.3</v>
      </c>
      <c r="N158" s="8" t="n">
        <v>143827.48</v>
      </c>
      <c r="O158" s="74" t="s">
        <v>2077</v>
      </c>
      <c r="P158" s="74"/>
      <c r="Q158" s="74"/>
      <c r="R158" s="14" t="n">
        <f aca="false">IF(I158="Unbilled",0,M158)</f>
        <v>173.3</v>
      </c>
      <c r="S158" s="9" t="n">
        <f aca="false">IF(R158=0,0,IF(O158="Booked",N158,R158*V157))</f>
        <v>143827.479649527</v>
      </c>
      <c r="T158" s="14" t="n">
        <f aca="false">IF(I158="Opening",K158,T157+K158-R158)</f>
        <v>5249.08</v>
      </c>
      <c r="U158" s="9" t="n">
        <f aca="false">IF(I158="Opening",L158,U157+L158-S158)</f>
        <v>4356387.46035047</v>
      </c>
      <c r="V158" s="9" t="n">
        <f aca="false">IF(T158&gt;0,U158/T158,IF(I158="Opening",0,V157))</f>
        <v>829.933523655664</v>
      </c>
      <c r="W158" s="14" t="n">
        <f aca="false">M158</f>
        <v>173.3</v>
      </c>
      <c r="X158" s="9" t="n">
        <f aca="false">IF(W158=0,0,IF(O158="Booked",N158,W158*AA157))</f>
        <v>143827.479649527</v>
      </c>
      <c r="Y158" s="14" t="n">
        <f aca="false">IF(I158="Opening",K158,Y157+K158-W158)</f>
        <v>5249.08</v>
      </c>
      <c r="Z158" s="9" t="n">
        <f aca="false">IF(I158="Opening",L158,Z157+L158-X158)</f>
        <v>4356387.46035047</v>
      </c>
      <c r="AA158" s="9" t="n">
        <f aca="false">IF(Y158&gt;0,Z158/Y158,IF(I158="Opening",0,AA157))</f>
        <v>829.933523655664</v>
      </c>
      <c r="AB158" s="9" t="n">
        <f aca="false">IF(AND(I158="DO",O158="MA"),S158-N158,0)</f>
        <v>-0.000350473390426487</v>
      </c>
      <c r="AC158" s="9" t="n">
        <f aca="false">IF(I158="DO",X158-S158,0)</f>
        <v>0</v>
      </c>
      <c r="AD158" s="23" t="n">
        <f aca="false">IF(B159&lt;&gt;B158,1,0)</f>
        <v>0</v>
      </c>
      <c r="AE158" s="14" t="n">
        <f aca="false">IF(I158="Opening",0,AE157+W158)</f>
        <v>173.3</v>
      </c>
      <c r="AF158" s="14" t="n">
        <f aca="false">IF(I158="Opening",K158,AF157)</f>
        <v>4612.58</v>
      </c>
      <c r="AG158" s="14" t="n">
        <f aca="false">AG157</f>
        <v>0</v>
      </c>
      <c r="AH158" s="14" t="n">
        <f aca="false">IF(W158=0,0,MAX(0,MIN(AE158,AF158)-MIN(AE158-W158,AF158)))</f>
        <v>173.3</v>
      </c>
      <c r="AI158" s="14" t="n">
        <f aca="false">IF(W158=0,0,MAX(0,MIN(AE158,AF158+AG158)-MAX(AE158-W158,AF158)))</f>
        <v>0</v>
      </c>
      <c r="AJ158" s="14" t="n">
        <f aca="false">W158-AH158-AI158</f>
        <v>0</v>
      </c>
      <c r="AK158" s="9" t="n">
        <f aca="false">IF(W158=0,0,X158*AH158/W158)</f>
        <v>143827.479649527</v>
      </c>
      <c r="AL158" s="9" t="n">
        <f aca="false">IF(W158=0,0,X158*AI158/W158)</f>
        <v>0</v>
      </c>
      <c r="AM158" s="9" t="n">
        <f aca="false">X158-AK158-AL158</f>
        <v>0</v>
      </c>
    </row>
    <row r="159" customFormat="false" ht="15" hidden="false" customHeight="false" outlineLevel="0" collapsed="false">
      <c r="A159" s="6" t="n">
        <v>154</v>
      </c>
      <c r="B159" s="74" t="s">
        <v>953</v>
      </c>
      <c r="C159" s="53" t="str">
        <f aca="false">INDEX(I_Items!$C$5:$C$133,MATCH($B159,I_Items!$A$5:$A$133,0))</f>
        <v>RPA</v>
      </c>
      <c r="D159" s="53" t="str">
        <f aca="false">INDEX(I_Items!$D$5:$D$133,MATCH($B159,I_Items!$A$5:$A$133,0))</f>
        <v>Usus</v>
      </c>
      <c r="E159" s="53" t="str">
        <f aca="false">INDEX(I_Items!$F$5:$F$133,MATCH($B159,I_Items!$A$5:$A$133,0))</f>
        <v>Fresh</v>
      </c>
      <c r="F159" s="53" t="str">
        <f aca="false">IF(INDEX(I_Items!$E$5:$E$133,MATCH($B159,I_Items!$A$5:$A$133,0))="","",INDEX(I_Items!$E$5:$E$133,MATCH($B159,I_Items!$A$5:$A$133,0)))</f>
        <v/>
      </c>
      <c r="G159" s="76" t="n">
        <v>46246</v>
      </c>
      <c r="H159" s="23" t="n">
        <f aca="false">MONTH(G159)</f>
        <v>8</v>
      </c>
      <c r="I159" s="74" t="s">
        <v>2075</v>
      </c>
      <c r="J159" s="74" t="s">
        <v>2080</v>
      </c>
      <c r="K159" s="10" t="n">
        <v>0</v>
      </c>
      <c r="L159" s="8" t="n">
        <v>0</v>
      </c>
      <c r="M159" s="10" t="n">
        <v>167.2</v>
      </c>
      <c r="N159" s="8" t="n">
        <v>138764.88</v>
      </c>
      <c r="O159" s="74" t="s">
        <v>2077</v>
      </c>
      <c r="P159" s="74"/>
      <c r="Q159" s="74"/>
      <c r="R159" s="14" t="n">
        <f aca="false">IF(I159="Unbilled",0,M159)</f>
        <v>167.2</v>
      </c>
      <c r="S159" s="9" t="n">
        <f aca="false">IF(R159=0,0,IF(O159="Booked",N159,R159*V158))</f>
        <v>138764.885155227</v>
      </c>
      <c r="T159" s="14" t="n">
        <f aca="false">IF(I159="Opening",K159,T158+K159-R159)</f>
        <v>5081.88</v>
      </c>
      <c r="U159" s="9" t="n">
        <f aca="false">IF(I159="Opening",L159,U158+L159-S159)</f>
        <v>4217622.57519525</v>
      </c>
      <c r="V159" s="9" t="n">
        <f aca="false">IF(T159&gt;0,U159/T159,IF(I159="Opening",0,V158))</f>
        <v>829.933523655664</v>
      </c>
      <c r="W159" s="14" t="n">
        <f aca="false">M159</f>
        <v>167.2</v>
      </c>
      <c r="X159" s="9" t="n">
        <f aca="false">IF(W159=0,0,IF(O159="Booked",N159,W159*AA158))</f>
        <v>138764.885155227</v>
      </c>
      <c r="Y159" s="14" t="n">
        <f aca="false">IF(I159="Opening",K159,Y158+K159-W159)</f>
        <v>5081.88</v>
      </c>
      <c r="Z159" s="9" t="n">
        <f aca="false">IF(I159="Opening",L159,Z158+L159-X159)</f>
        <v>4217622.57519525</v>
      </c>
      <c r="AA159" s="9" t="n">
        <f aca="false">IF(Y159&gt;0,Z159/Y159,IF(I159="Opening",0,AA158))</f>
        <v>829.933523655664</v>
      </c>
      <c r="AB159" s="9" t="n">
        <f aca="false">IF(AND(I159="DO",O159="MA"),S159-N159,0)</f>
        <v>0.00515522703062743</v>
      </c>
      <c r="AC159" s="9" t="n">
        <f aca="false">IF(I159="DO",X159-S159,0)</f>
        <v>0</v>
      </c>
      <c r="AD159" s="23" t="n">
        <f aca="false">IF(B160&lt;&gt;B159,1,0)</f>
        <v>0</v>
      </c>
      <c r="AE159" s="14" t="n">
        <f aca="false">IF(I159="Opening",0,AE158+W159)</f>
        <v>340.5</v>
      </c>
      <c r="AF159" s="14" t="n">
        <f aca="false">IF(I159="Opening",K159,AF158)</f>
        <v>4612.58</v>
      </c>
      <c r="AG159" s="14" t="n">
        <f aca="false">AG158</f>
        <v>0</v>
      </c>
      <c r="AH159" s="14" t="n">
        <f aca="false">IF(W159=0,0,MAX(0,MIN(AE159,AF159)-MIN(AE159-W159,AF159)))</f>
        <v>167.2</v>
      </c>
      <c r="AI159" s="14" t="n">
        <f aca="false">IF(W159=0,0,MAX(0,MIN(AE159,AF159+AG159)-MAX(AE159-W159,AF159)))</f>
        <v>0</v>
      </c>
      <c r="AJ159" s="14" t="n">
        <f aca="false">W159-AH159-AI159</f>
        <v>0</v>
      </c>
      <c r="AK159" s="9" t="n">
        <f aca="false">IF(W159=0,0,X159*AH159/W159)</f>
        <v>138764.885155227</v>
      </c>
      <c r="AL159" s="9" t="n">
        <f aca="false">IF(W159=0,0,X159*AI159/W159)</f>
        <v>0</v>
      </c>
      <c r="AM159" s="9" t="n">
        <f aca="false">X159-AK159-AL159</f>
        <v>0</v>
      </c>
    </row>
    <row r="160" customFormat="false" ht="15" hidden="false" customHeight="false" outlineLevel="0" collapsed="false">
      <c r="A160" s="6" t="n">
        <v>155</v>
      </c>
      <c r="B160" s="74" t="s">
        <v>953</v>
      </c>
      <c r="C160" s="53" t="str">
        <f aca="false">INDEX(I_Items!$C$5:$C$133,MATCH($B160,I_Items!$A$5:$A$133,0))</f>
        <v>RPA</v>
      </c>
      <c r="D160" s="53" t="str">
        <f aca="false">INDEX(I_Items!$D$5:$D$133,MATCH($B160,I_Items!$A$5:$A$133,0))</f>
        <v>Usus</v>
      </c>
      <c r="E160" s="53" t="str">
        <f aca="false">INDEX(I_Items!$F$5:$F$133,MATCH($B160,I_Items!$A$5:$A$133,0))</f>
        <v>Fresh</v>
      </c>
      <c r="F160" s="53" t="str">
        <f aca="false">IF(INDEX(I_Items!$E$5:$E$133,MATCH($B160,I_Items!$A$5:$A$133,0))="","",INDEX(I_Items!$E$5:$E$133,MATCH($B160,I_Items!$A$5:$A$133,0)))</f>
        <v/>
      </c>
      <c r="G160" s="76" t="n">
        <v>46246</v>
      </c>
      <c r="H160" s="23" t="n">
        <f aca="false">MONTH(G160)</f>
        <v>8</v>
      </c>
      <c r="I160" s="74" t="s">
        <v>2075</v>
      </c>
      <c r="J160" s="74" t="s">
        <v>2081</v>
      </c>
      <c r="K160" s="10" t="n">
        <v>0</v>
      </c>
      <c r="L160" s="8" t="n">
        <v>0</v>
      </c>
      <c r="M160" s="10" t="n">
        <v>154.5</v>
      </c>
      <c r="N160" s="8" t="n">
        <v>128224.73</v>
      </c>
      <c r="O160" s="74" t="s">
        <v>2077</v>
      </c>
      <c r="P160" s="74"/>
      <c r="Q160" s="74"/>
      <c r="R160" s="14" t="n">
        <f aca="false">IF(I160="Unbilled",0,M160)</f>
        <v>154.5</v>
      </c>
      <c r="S160" s="9" t="n">
        <f aca="false">IF(R160=0,0,IF(O160="Booked",N160,R160*V159))</f>
        <v>128224.7294048</v>
      </c>
      <c r="T160" s="14" t="n">
        <f aca="false">IF(I160="Opening",K160,T159+K160-R160)</f>
        <v>4927.38</v>
      </c>
      <c r="U160" s="9" t="n">
        <f aca="false">IF(I160="Opening",L160,U159+L160-S160)</f>
        <v>4089397.84579045</v>
      </c>
      <c r="V160" s="9" t="n">
        <f aca="false">IF(T160&gt;0,U160/T160,IF(I160="Opening",0,V159))</f>
        <v>829.933523655664</v>
      </c>
      <c r="W160" s="14" t="n">
        <f aca="false">M160</f>
        <v>154.5</v>
      </c>
      <c r="X160" s="9" t="n">
        <f aca="false">IF(W160=0,0,IF(O160="Booked",N160,W160*AA159))</f>
        <v>128224.7294048</v>
      </c>
      <c r="Y160" s="14" t="n">
        <f aca="false">IF(I160="Opening",K160,Y159+K160-W160)</f>
        <v>4927.38</v>
      </c>
      <c r="Z160" s="9" t="n">
        <f aca="false">IF(I160="Opening",L160,Z159+L160-X160)</f>
        <v>4089397.84579045</v>
      </c>
      <c r="AA160" s="9" t="n">
        <f aca="false">IF(Y160&gt;0,Z160/Y160,IF(I160="Opening",0,AA159))</f>
        <v>829.933523655664</v>
      </c>
      <c r="AB160" s="9" t="n">
        <f aca="false">IF(AND(I160="DO",O160="MA"),S160-N160,0)</f>
        <v>-0.000595199890085496</v>
      </c>
      <c r="AC160" s="9" t="n">
        <f aca="false">IF(I160="DO",X160-S160,0)</f>
        <v>0</v>
      </c>
      <c r="AD160" s="23" t="n">
        <f aca="false">IF(B161&lt;&gt;B160,1,0)</f>
        <v>0</v>
      </c>
      <c r="AE160" s="14" t="n">
        <f aca="false">IF(I160="Opening",0,AE159+W160)</f>
        <v>495</v>
      </c>
      <c r="AF160" s="14" t="n">
        <f aca="false">IF(I160="Opening",K160,AF159)</f>
        <v>4612.58</v>
      </c>
      <c r="AG160" s="14" t="n">
        <f aca="false">AG159</f>
        <v>0</v>
      </c>
      <c r="AH160" s="14" t="n">
        <f aca="false">IF(W160=0,0,MAX(0,MIN(AE160,AF160)-MIN(AE160-W160,AF160)))</f>
        <v>154.5</v>
      </c>
      <c r="AI160" s="14" t="n">
        <f aca="false">IF(W160=0,0,MAX(0,MIN(AE160,AF160+AG160)-MAX(AE160-W160,AF160)))</f>
        <v>0</v>
      </c>
      <c r="AJ160" s="14" t="n">
        <f aca="false">W160-AH160-AI160</f>
        <v>0</v>
      </c>
      <c r="AK160" s="9" t="n">
        <f aca="false">IF(W160=0,0,X160*AH160/W160)</f>
        <v>128224.7294048</v>
      </c>
      <c r="AL160" s="9" t="n">
        <f aca="false">IF(W160=0,0,X160*AI160/W160)</f>
        <v>0</v>
      </c>
      <c r="AM160" s="9" t="n">
        <f aca="false">X160-AK160-AL160</f>
        <v>0</v>
      </c>
    </row>
    <row r="161" customFormat="false" ht="15" hidden="false" customHeight="false" outlineLevel="0" collapsed="false">
      <c r="A161" s="6" t="n">
        <v>156</v>
      </c>
      <c r="B161" s="74" t="s">
        <v>953</v>
      </c>
      <c r="C161" s="53" t="str">
        <f aca="false">INDEX(I_Items!$C$5:$C$133,MATCH($B161,I_Items!$A$5:$A$133,0))</f>
        <v>RPA</v>
      </c>
      <c r="D161" s="53" t="str">
        <f aca="false">INDEX(I_Items!$D$5:$D$133,MATCH($B161,I_Items!$A$5:$A$133,0))</f>
        <v>Usus</v>
      </c>
      <c r="E161" s="53" t="str">
        <f aca="false">INDEX(I_Items!$F$5:$F$133,MATCH($B161,I_Items!$A$5:$A$133,0))</f>
        <v>Fresh</v>
      </c>
      <c r="F161" s="53" t="str">
        <f aca="false">IF(INDEX(I_Items!$E$5:$E$133,MATCH($B161,I_Items!$A$5:$A$133,0))="","",INDEX(I_Items!$E$5:$E$133,MATCH($B161,I_Items!$A$5:$A$133,0)))</f>
        <v/>
      </c>
      <c r="G161" s="76" t="n">
        <v>46246</v>
      </c>
      <c r="H161" s="23" t="n">
        <f aca="false">MONTH(G161)</f>
        <v>8</v>
      </c>
      <c r="I161" s="74" t="s">
        <v>2075</v>
      </c>
      <c r="J161" s="74" t="s">
        <v>2082</v>
      </c>
      <c r="K161" s="10" t="n">
        <v>0</v>
      </c>
      <c r="L161" s="8" t="n">
        <v>0</v>
      </c>
      <c r="M161" s="10" t="n">
        <v>157.4</v>
      </c>
      <c r="N161" s="8" t="n">
        <v>130631.53</v>
      </c>
      <c r="O161" s="74" t="s">
        <v>2077</v>
      </c>
      <c r="P161" s="74"/>
      <c r="Q161" s="74"/>
      <c r="R161" s="14" t="n">
        <f aca="false">IF(I161="Unbilled",0,M161)</f>
        <v>157.4</v>
      </c>
      <c r="S161" s="9" t="n">
        <f aca="false">IF(R161=0,0,IF(O161="Booked",N161,R161*V160))</f>
        <v>130631.536623402</v>
      </c>
      <c r="T161" s="14" t="n">
        <f aca="false">IF(I161="Opening",K161,T160+K161-R161)</f>
        <v>4769.98</v>
      </c>
      <c r="U161" s="9" t="n">
        <f aca="false">IF(I161="Opening",L161,U160+L161-S161)</f>
        <v>3958766.30916704</v>
      </c>
      <c r="V161" s="9" t="n">
        <f aca="false">IF(T161&gt;0,U161/T161,IF(I161="Opening",0,V160))</f>
        <v>829.933523655664</v>
      </c>
      <c r="W161" s="14" t="n">
        <f aca="false">M161</f>
        <v>157.4</v>
      </c>
      <c r="X161" s="9" t="n">
        <f aca="false">IF(W161=0,0,IF(O161="Booked",N161,W161*AA160))</f>
        <v>130631.536623402</v>
      </c>
      <c r="Y161" s="14" t="n">
        <f aca="false">IF(I161="Opening",K161,Y160+K161-W161)</f>
        <v>4769.98</v>
      </c>
      <c r="Z161" s="9" t="n">
        <f aca="false">IF(I161="Opening",L161,Z160+L161-X161)</f>
        <v>3958766.30916704</v>
      </c>
      <c r="AA161" s="9" t="n">
        <f aca="false">IF(Y161&gt;0,Z161/Y161,IF(I161="Opening",0,AA160))</f>
        <v>829.933523655664</v>
      </c>
      <c r="AB161" s="9" t="n">
        <f aca="false">IF(AND(I161="DO",O161="MA"),S161-N161,0)</f>
        <v>0.00662340153940022</v>
      </c>
      <c r="AC161" s="9" t="n">
        <f aca="false">IF(I161="DO",X161-S161,0)</f>
        <v>0</v>
      </c>
      <c r="AD161" s="23" t="n">
        <f aca="false">IF(B162&lt;&gt;B161,1,0)</f>
        <v>0</v>
      </c>
      <c r="AE161" s="14" t="n">
        <f aca="false">IF(I161="Opening",0,AE160+W161)</f>
        <v>652.4</v>
      </c>
      <c r="AF161" s="14" t="n">
        <f aca="false">IF(I161="Opening",K161,AF160)</f>
        <v>4612.58</v>
      </c>
      <c r="AG161" s="14" t="n">
        <f aca="false">AG160</f>
        <v>0</v>
      </c>
      <c r="AH161" s="14" t="n">
        <f aca="false">IF(W161=0,0,MAX(0,MIN(AE161,AF161)-MIN(AE161-W161,AF161)))</f>
        <v>157.4</v>
      </c>
      <c r="AI161" s="14" t="n">
        <f aca="false">IF(W161=0,0,MAX(0,MIN(AE161,AF161+AG161)-MAX(AE161-W161,AF161)))</f>
        <v>0</v>
      </c>
      <c r="AJ161" s="14" t="n">
        <f aca="false">W161-AH161-AI161</f>
        <v>0</v>
      </c>
      <c r="AK161" s="9" t="n">
        <f aca="false">IF(W161=0,0,X161*AH161/W161)</f>
        <v>130631.536623402</v>
      </c>
      <c r="AL161" s="9" t="n">
        <f aca="false">IF(W161=0,0,X161*AI161/W161)</f>
        <v>0</v>
      </c>
      <c r="AM161" s="9" t="n">
        <f aca="false">X161-AK161-AL161</f>
        <v>0</v>
      </c>
    </row>
    <row r="162" customFormat="false" ht="15" hidden="false" customHeight="false" outlineLevel="0" collapsed="false">
      <c r="A162" s="6" t="n">
        <v>157</v>
      </c>
      <c r="B162" s="74" t="s">
        <v>953</v>
      </c>
      <c r="C162" s="53" t="str">
        <f aca="false">INDEX(I_Items!$C$5:$C$133,MATCH($B162,I_Items!$A$5:$A$133,0))</f>
        <v>RPA</v>
      </c>
      <c r="D162" s="53" t="str">
        <f aca="false">INDEX(I_Items!$D$5:$D$133,MATCH($B162,I_Items!$A$5:$A$133,0))</f>
        <v>Usus</v>
      </c>
      <c r="E162" s="53" t="str">
        <f aca="false">INDEX(I_Items!$F$5:$F$133,MATCH($B162,I_Items!$A$5:$A$133,0))</f>
        <v>Fresh</v>
      </c>
      <c r="F162" s="53" t="str">
        <f aca="false">IF(INDEX(I_Items!$E$5:$E$133,MATCH($B162,I_Items!$A$5:$A$133,0))="","",INDEX(I_Items!$E$5:$E$133,MATCH($B162,I_Items!$A$5:$A$133,0)))</f>
        <v/>
      </c>
      <c r="G162" s="76" t="n">
        <v>46246</v>
      </c>
      <c r="H162" s="23" t="n">
        <f aca="false">MONTH(G162)</f>
        <v>8</v>
      </c>
      <c r="I162" s="74" t="s">
        <v>2075</v>
      </c>
      <c r="J162" s="74" t="s">
        <v>2083</v>
      </c>
      <c r="K162" s="10" t="n">
        <v>0</v>
      </c>
      <c r="L162" s="8" t="n">
        <v>0</v>
      </c>
      <c r="M162" s="10" t="n">
        <v>174.5</v>
      </c>
      <c r="N162" s="8" t="n">
        <v>144823.4</v>
      </c>
      <c r="O162" s="74" t="s">
        <v>2077</v>
      </c>
      <c r="P162" s="74"/>
      <c r="Q162" s="74"/>
      <c r="R162" s="14" t="n">
        <f aca="false">IF(I162="Unbilled",0,M162)</f>
        <v>174.5</v>
      </c>
      <c r="S162" s="9" t="n">
        <f aca="false">IF(R162=0,0,IF(O162="Booked",N162,R162*V161))</f>
        <v>144823.399877913</v>
      </c>
      <c r="T162" s="14" t="n">
        <f aca="false">IF(I162="Opening",K162,T161+K162-R162)</f>
        <v>4595.48</v>
      </c>
      <c r="U162" s="9" t="n">
        <f aca="false">IF(I162="Opening",L162,U161+L162-S162)</f>
        <v>3813942.90928913</v>
      </c>
      <c r="V162" s="9" t="n">
        <f aca="false">IF(T162&gt;0,U162/T162,IF(I162="Opening",0,V161))</f>
        <v>829.933523655664</v>
      </c>
      <c r="W162" s="14" t="n">
        <f aca="false">M162</f>
        <v>174.5</v>
      </c>
      <c r="X162" s="9" t="n">
        <f aca="false">IF(W162=0,0,IF(O162="Booked",N162,W162*AA161))</f>
        <v>144823.399877913</v>
      </c>
      <c r="Y162" s="14" t="n">
        <f aca="false">IF(I162="Opening",K162,Y161+K162-W162)</f>
        <v>4595.48</v>
      </c>
      <c r="Z162" s="9" t="n">
        <f aca="false">IF(I162="Opening",L162,Z161+L162-X162)</f>
        <v>3813942.90928913</v>
      </c>
      <c r="AA162" s="9" t="n">
        <f aca="false">IF(Y162&gt;0,Z162/Y162,IF(I162="Opening",0,AA161))</f>
        <v>829.933523655664</v>
      </c>
      <c r="AB162" s="9" t="n">
        <f aca="false">IF(AND(I162="DO",O162="MA"),S162-N162,0)</f>
        <v>-0.000122086639748886</v>
      </c>
      <c r="AC162" s="9" t="n">
        <f aca="false">IF(I162="DO",X162-S162,0)</f>
        <v>0</v>
      </c>
      <c r="AD162" s="23" t="n">
        <f aca="false">IF(B163&lt;&gt;B162,1,0)</f>
        <v>0</v>
      </c>
      <c r="AE162" s="14" t="n">
        <f aca="false">IF(I162="Opening",0,AE161+W162)</f>
        <v>826.9</v>
      </c>
      <c r="AF162" s="14" t="n">
        <f aca="false">IF(I162="Opening",K162,AF161)</f>
        <v>4612.58</v>
      </c>
      <c r="AG162" s="14" t="n">
        <f aca="false">AG161</f>
        <v>0</v>
      </c>
      <c r="AH162" s="14" t="n">
        <f aca="false">IF(W162=0,0,MAX(0,MIN(AE162,AF162)-MIN(AE162-W162,AF162)))</f>
        <v>174.5</v>
      </c>
      <c r="AI162" s="14" t="n">
        <f aca="false">IF(W162=0,0,MAX(0,MIN(AE162,AF162+AG162)-MAX(AE162-W162,AF162)))</f>
        <v>0</v>
      </c>
      <c r="AJ162" s="14" t="n">
        <f aca="false">W162-AH162-AI162</f>
        <v>0</v>
      </c>
      <c r="AK162" s="9" t="n">
        <f aca="false">IF(W162=0,0,X162*AH162/W162)</f>
        <v>144823.399877913</v>
      </c>
      <c r="AL162" s="9" t="n">
        <f aca="false">IF(W162=0,0,X162*AI162/W162)</f>
        <v>0</v>
      </c>
      <c r="AM162" s="9" t="n">
        <f aca="false">X162-AK162-AL162</f>
        <v>0</v>
      </c>
    </row>
    <row r="163" customFormat="false" ht="15" hidden="false" customHeight="false" outlineLevel="0" collapsed="false">
      <c r="A163" s="6" t="n">
        <v>158</v>
      </c>
      <c r="B163" s="74" t="s">
        <v>953</v>
      </c>
      <c r="C163" s="53" t="str">
        <f aca="false">INDEX(I_Items!$C$5:$C$133,MATCH($B163,I_Items!$A$5:$A$133,0))</f>
        <v>RPA</v>
      </c>
      <c r="D163" s="53" t="str">
        <f aca="false">INDEX(I_Items!$D$5:$D$133,MATCH($B163,I_Items!$A$5:$A$133,0))</f>
        <v>Usus</v>
      </c>
      <c r="E163" s="53" t="str">
        <f aca="false">INDEX(I_Items!$F$5:$F$133,MATCH($B163,I_Items!$A$5:$A$133,0))</f>
        <v>Fresh</v>
      </c>
      <c r="F163" s="53" t="str">
        <f aca="false">IF(INDEX(I_Items!$E$5:$E$133,MATCH($B163,I_Items!$A$5:$A$133,0))="","",INDEX(I_Items!$E$5:$E$133,MATCH($B163,I_Items!$A$5:$A$133,0)))</f>
        <v/>
      </c>
      <c r="G163" s="76" t="n">
        <v>46248</v>
      </c>
      <c r="H163" s="23" t="n">
        <f aca="false">MONTH(G163)</f>
        <v>8</v>
      </c>
      <c r="I163" s="74" t="s">
        <v>2074</v>
      </c>
      <c r="J163" s="74" t="s">
        <v>1302</v>
      </c>
      <c r="K163" s="10" t="n">
        <v>714.9</v>
      </c>
      <c r="L163" s="8" t="n">
        <v>4147052.69</v>
      </c>
      <c r="M163" s="10" t="n">
        <v>0</v>
      </c>
      <c r="N163" s="8" t="n">
        <v>0</v>
      </c>
      <c r="O163" s="74"/>
      <c r="P163" s="74"/>
      <c r="Q163" s="74"/>
      <c r="R163" s="14" t="n">
        <f aca="false">IF(I163="Unbilled",0,M163)</f>
        <v>0</v>
      </c>
      <c r="S163" s="9" t="n">
        <f aca="false">IF(R163=0,0,IF(O163="Booked",N163,R163*V162))</f>
        <v>0</v>
      </c>
      <c r="T163" s="14" t="n">
        <f aca="false">IF(I163="Opening",K163,T162+K163-R163)</f>
        <v>5310.38</v>
      </c>
      <c r="U163" s="9" t="n">
        <f aca="false">IF(I163="Opening",L163,U162+L163-S163)</f>
        <v>7960995.59928913</v>
      </c>
      <c r="V163" s="9" t="n">
        <f aca="false">IF(T163&gt;0,U163/T163,IF(I163="Opening",0,V162))</f>
        <v>1499.13859258455</v>
      </c>
      <c r="W163" s="14" t="n">
        <f aca="false">M163</f>
        <v>0</v>
      </c>
      <c r="X163" s="9" t="n">
        <f aca="false">IF(W163=0,0,IF(O163="Booked",N163,W163*AA162))</f>
        <v>0</v>
      </c>
      <c r="Y163" s="14" t="n">
        <f aca="false">IF(I163="Opening",K163,Y162+K163-W163)</f>
        <v>5310.38</v>
      </c>
      <c r="Z163" s="9" t="n">
        <f aca="false">IF(I163="Opening",L163,Z162+L163-X163)</f>
        <v>7960995.59928913</v>
      </c>
      <c r="AA163" s="9" t="n">
        <f aca="false">IF(Y163&gt;0,Z163/Y163,IF(I163="Opening",0,AA162))</f>
        <v>1499.13859258455</v>
      </c>
      <c r="AB163" s="9" t="n">
        <f aca="false">IF(AND(I163="DO",O163="MA"),S163-N163,0)</f>
        <v>0</v>
      </c>
      <c r="AC163" s="9" t="n">
        <f aca="false">IF(I163="DO",X163-S163,0)</f>
        <v>0</v>
      </c>
      <c r="AD163" s="23" t="n">
        <f aca="false">IF(B164&lt;&gt;B163,1,0)</f>
        <v>0</v>
      </c>
      <c r="AE163" s="14" t="n">
        <f aca="false">IF(I163="Opening",0,AE162+W163)</f>
        <v>826.9</v>
      </c>
      <c r="AF163" s="14" t="n">
        <f aca="false">IF(I163="Opening",K163,AF162)</f>
        <v>4612.58</v>
      </c>
      <c r="AG163" s="14" t="n">
        <f aca="false">AG162</f>
        <v>0</v>
      </c>
      <c r="AH163" s="14" t="n">
        <f aca="false">IF(W163=0,0,MAX(0,MIN(AE163,AF163)-MIN(AE163-W163,AF163)))</f>
        <v>0</v>
      </c>
      <c r="AI163" s="14" t="n">
        <f aca="false">IF(W163=0,0,MAX(0,MIN(AE163,AF163+AG163)-MAX(AE163-W163,AF163)))</f>
        <v>0</v>
      </c>
      <c r="AJ163" s="14" t="n">
        <f aca="false">W163-AH163-AI163</f>
        <v>0</v>
      </c>
      <c r="AK163" s="9" t="n">
        <f aca="false">IF(W163=0,0,X163*AH163/W163)</f>
        <v>0</v>
      </c>
      <c r="AL163" s="9" t="n">
        <f aca="false">IF(W163=0,0,X163*AI163/W163)</f>
        <v>0</v>
      </c>
      <c r="AM163" s="9" t="n">
        <f aca="false">X163-AK163-AL163</f>
        <v>0</v>
      </c>
    </row>
    <row r="164" customFormat="false" ht="15" hidden="false" customHeight="false" outlineLevel="0" collapsed="false">
      <c r="A164" s="6" t="n">
        <v>159</v>
      </c>
      <c r="B164" s="74" t="s">
        <v>953</v>
      </c>
      <c r="C164" s="53" t="str">
        <f aca="false">INDEX(I_Items!$C$5:$C$133,MATCH($B164,I_Items!$A$5:$A$133,0))</f>
        <v>RPA</v>
      </c>
      <c r="D164" s="53" t="str">
        <f aca="false">INDEX(I_Items!$D$5:$D$133,MATCH($B164,I_Items!$A$5:$A$133,0))</f>
        <v>Usus</v>
      </c>
      <c r="E164" s="53" t="str">
        <f aca="false">INDEX(I_Items!$F$5:$F$133,MATCH($B164,I_Items!$A$5:$A$133,0))</f>
        <v>Fresh</v>
      </c>
      <c r="F164" s="53" t="str">
        <f aca="false">IF(INDEX(I_Items!$E$5:$E$133,MATCH($B164,I_Items!$A$5:$A$133,0))="","",INDEX(I_Items!$E$5:$E$133,MATCH($B164,I_Items!$A$5:$A$133,0)))</f>
        <v/>
      </c>
      <c r="G164" s="76" t="n">
        <v>46252</v>
      </c>
      <c r="H164" s="23" t="n">
        <f aca="false">MONTH(G164)</f>
        <v>8</v>
      </c>
      <c r="I164" s="74" t="s">
        <v>2075</v>
      </c>
      <c r="J164" s="74" t="s">
        <v>2084</v>
      </c>
      <c r="K164" s="10" t="n">
        <v>0</v>
      </c>
      <c r="L164" s="8" t="n">
        <v>0</v>
      </c>
      <c r="M164" s="10" t="n">
        <v>159.2</v>
      </c>
      <c r="N164" s="8" t="n">
        <v>238662.87</v>
      </c>
      <c r="O164" s="74" t="s">
        <v>2077</v>
      </c>
      <c r="P164" s="74"/>
      <c r="Q164" s="74"/>
      <c r="R164" s="14" t="n">
        <f aca="false">IF(I164="Unbilled",0,M164)</f>
        <v>159.2</v>
      </c>
      <c r="S164" s="9" t="n">
        <f aca="false">IF(R164=0,0,IF(O164="Booked",N164,R164*V163))</f>
        <v>238662.86393946</v>
      </c>
      <c r="T164" s="14" t="n">
        <f aca="false">IF(I164="Opening",K164,T163+K164-R164)</f>
        <v>5151.18</v>
      </c>
      <c r="U164" s="9" t="n">
        <f aca="false">IF(I164="Opening",L164,U163+L164-S164)</f>
        <v>7722332.73534967</v>
      </c>
      <c r="V164" s="9" t="n">
        <f aca="false">IF(T164&gt;0,U164/T164,IF(I164="Opening",0,V163))</f>
        <v>1499.13859258455</v>
      </c>
      <c r="W164" s="14" t="n">
        <f aca="false">M164</f>
        <v>159.2</v>
      </c>
      <c r="X164" s="9" t="n">
        <f aca="false">IF(W164=0,0,IF(O164="Booked",N164,W164*AA163))</f>
        <v>238662.86393946</v>
      </c>
      <c r="Y164" s="14" t="n">
        <f aca="false">IF(I164="Opening",K164,Y163+K164-W164)</f>
        <v>5151.18</v>
      </c>
      <c r="Z164" s="9" t="n">
        <f aca="false">IF(I164="Opening",L164,Z163+L164-X164)</f>
        <v>7722332.73534967</v>
      </c>
      <c r="AA164" s="9" t="n">
        <f aca="false">IF(Y164&gt;0,Z164/Y164,IF(I164="Opening",0,AA163))</f>
        <v>1499.13859258455</v>
      </c>
      <c r="AB164" s="9" t="n">
        <f aca="false">IF(AND(I164="DO",O164="MA"),S164-N164,0)</f>
        <v>-0.00606053997762501</v>
      </c>
      <c r="AC164" s="9" t="n">
        <f aca="false">IF(I164="DO",X164-S164,0)</f>
        <v>0</v>
      </c>
      <c r="AD164" s="23" t="n">
        <f aca="false">IF(B165&lt;&gt;B164,1,0)</f>
        <v>0</v>
      </c>
      <c r="AE164" s="14" t="n">
        <f aca="false">IF(I164="Opening",0,AE163+W164)</f>
        <v>986.1</v>
      </c>
      <c r="AF164" s="14" t="n">
        <f aca="false">IF(I164="Opening",K164,AF163)</f>
        <v>4612.58</v>
      </c>
      <c r="AG164" s="14" t="n">
        <f aca="false">AG163</f>
        <v>0</v>
      </c>
      <c r="AH164" s="14" t="n">
        <f aca="false">IF(W164=0,0,MAX(0,MIN(AE164,AF164)-MIN(AE164-W164,AF164)))</f>
        <v>159.2</v>
      </c>
      <c r="AI164" s="14" t="n">
        <f aca="false">IF(W164=0,0,MAX(0,MIN(AE164,AF164+AG164)-MAX(AE164-W164,AF164)))</f>
        <v>0</v>
      </c>
      <c r="AJ164" s="14" t="n">
        <f aca="false">W164-AH164-AI164</f>
        <v>0</v>
      </c>
      <c r="AK164" s="9" t="n">
        <f aca="false">IF(W164=0,0,X164*AH164/W164)</f>
        <v>238662.86393946</v>
      </c>
      <c r="AL164" s="9" t="n">
        <f aca="false">IF(W164=0,0,X164*AI164/W164)</f>
        <v>0</v>
      </c>
      <c r="AM164" s="9" t="n">
        <f aca="false">X164-AK164-AL164</f>
        <v>0</v>
      </c>
    </row>
    <row r="165" customFormat="false" ht="15" hidden="false" customHeight="false" outlineLevel="0" collapsed="false">
      <c r="A165" s="6" t="n">
        <v>160</v>
      </c>
      <c r="B165" s="74" t="s">
        <v>953</v>
      </c>
      <c r="C165" s="53" t="str">
        <f aca="false">INDEX(I_Items!$C$5:$C$133,MATCH($B165,I_Items!$A$5:$A$133,0))</f>
        <v>RPA</v>
      </c>
      <c r="D165" s="53" t="str">
        <f aca="false">INDEX(I_Items!$D$5:$D$133,MATCH($B165,I_Items!$A$5:$A$133,0))</f>
        <v>Usus</v>
      </c>
      <c r="E165" s="53" t="str">
        <f aca="false">INDEX(I_Items!$F$5:$F$133,MATCH($B165,I_Items!$A$5:$A$133,0))</f>
        <v>Fresh</v>
      </c>
      <c r="F165" s="53" t="str">
        <f aca="false">IF(INDEX(I_Items!$E$5:$E$133,MATCH($B165,I_Items!$A$5:$A$133,0))="","",INDEX(I_Items!$E$5:$E$133,MATCH($B165,I_Items!$A$5:$A$133,0)))</f>
        <v/>
      </c>
      <c r="G165" s="76" t="n">
        <v>46252</v>
      </c>
      <c r="H165" s="23" t="n">
        <f aca="false">MONTH(G165)</f>
        <v>8</v>
      </c>
      <c r="I165" s="74" t="s">
        <v>2075</v>
      </c>
      <c r="J165" s="74" t="s">
        <v>2085</v>
      </c>
      <c r="K165" s="10" t="n">
        <v>0</v>
      </c>
      <c r="L165" s="8" t="n">
        <v>0</v>
      </c>
      <c r="M165" s="10" t="n">
        <v>202.5</v>
      </c>
      <c r="N165" s="8" t="n">
        <v>303575.57</v>
      </c>
      <c r="O165" s="74" t="s">
        <v>2077</v>
      </c>
      <c r="P165" s="74"/>
      <c r="Q165" s="74"/>
      <c r="R165" s="14" t="n">
        <f aca="false">IF(I165="Unbilled",0,M165)</f>
        <v>202.5</v>
      </c>
      <c r="S165" s="9" t="n">
        <f aca="false">IF(R165=0,0,IF(O165="Booked",N165,R165*V164))</f>
        <v>303575.564998371</v>
      </c>
      <c r="T165" s="14" t="n">
        <f aca="false">IF(I165="Opening",K165,T164+K165-R165)</f>
        <v>4948.68</v>
      </c>
      <c r="U165" s="9" t="n">
        <f aca="false">IF(I165="Opening",L165,U164+L165-S165)</f>
        <v>7418757.1703513</v>
      </c>
      <c r="V165" s="9" t="n">
        <f aca="false">IF(T165&gt;0,U165/T165,IF(I165="Opening",0,V164))</f>
        <v>1499.13859258455</v>
      </c>
      <c r="W165" s="14" t="n">
        <f aca="false">M165</f>
        <v>202.5</v>
      </c>
      <c r="X165" s="9" t="n">
        <f aca="false">IF(W165=0,0,IF(O165="Booked",N165,W165*AA164))</f>
        <v>303575.564998371</v>
      </c>
      <c r="Y165" s="14" t="n">
        <f aca="false">IF(I165="Opening",K165,Y164+K165-W165)</f>
        <v>4948.68</v>
      </c>
      <c r="Z165" s="9" t="n">
        <f aca="false">IF(I165="Opening",L165,Z164+L165-X165)</f>
        <v>7418757.1703513</v>
      </c>
      <c r="AA165" s="9" t="n">
        <f aca="false">IF(Y165&gt;0,Z165/Y165,IF(I165="Opening",0,AA164))</f>
        <v>1499.13859258455</v>
      </c>
      <c r="AB165" s="9" t="n">
        <f aca="false">IF(AND(I165="DO",O165="MA"),S165-N165,0)</f>
        <v>-0.00500162912067026</v>
      </c>
      <c r="AC165" s="9" t="n">
        <f aca="false">IF(I165="DO",X165-S165,0)</f>
        <v>0</v>
      </c>
      <c r="AD165" s="23" t="n">
        <f aca="false">IF(B166&lt;&gt;B165,1,0)</f>
        <v>0</v>
      </c>
      <c r="AE165" s="14" t="n">
        <f aca="false">IF(I165="Opening",0,AE164+W165)</f>
        <v>1188.6</v>
      </c>
      <c r="AF165" s="14" t="n">
        <f aca="false">IF(I165="Opening",K165,AF164)</f>
        <v>4612.58</v>
      </c>
      <c r="AG165" s="14" t="n">
        <f aca="false">AG164</f>
        <v>0</v>
      </c>
      <c r="AH165" s="14" t="n">
        <f aca="false">IF(W165=0,0,MAX(0,MIN(AE165,AF165)-MIN(AE165-W165,AF165)))</f>
        <v>202.5</v>
      </c>
      <c r="AI165" s="14" t="n">
        <f aca="false">IF(W165=0,0,MAX(0,MIN(AE165,AF165+AG165)-MAX(AE165-W165,AF165)))</f>
        <v>0</v>
      </c>
      <c r="AJ165" s="14" t="n">
        <f aca="false">W165-AH165-AI165</f>
        <v>0</v>
      </c>
      <c r="AK165" s="9" t="n">
        <f aca="false">IF(W165=0,0,X165*AH165/W165)</f>
        <v>303575.564998371</v>
      </c>
      <c r="AL165" s="9" t="n">
        <f aca="false">IF(W165=0,0,X165*AI165/W165)</f>
        <v>0</v>
      </c>
      <c r="AM165" s="9" t="n">
        <f aca="false">X165-AK165-AL165</f>
        <v>0</v>
      </c>
    </row>
    <row r="166" customFormat="false" ht="15" hidden="false" customHeight="false" outlineLevel="0" collapsed="false">
      <c r="A166" s="6" t="n">
        <v>161</v>
      </c>
      <c r="B166" s="74" t="s">
        <v>953</v>
      </c>
      <c r="C166" s="53" t="str">
        <f aca="false">INDEX(I_Items!$C$5:$C$133,MATCH($B166,I_Items!$A$5:$A$133,0))</f>
        <v>RPA</v>
      </c>
      <c r="D166" s="53" t="str">
        <f aca="false">INDEX(I_Items!$D$5:$D$133,MATCH($B166,I_Items!$A$5:$A$133,0))</f>
        <v>Usus</v>
      </c>
      <c r="E166" s="53" t="str">
        <f aca="false">INDEX(I_Items!$F$5:$F$133,MATCH($B166,I_Items!$A$5:$A$133,0))</f>
        <v>Fresh</v>
      </c>
      <c r="F166" s="53" t="str">
        <f aca="false">IF(INDEX(I_Items!$E$5:$E$133,MATCH($B166,I_Items!$A$5:$A$133,0))="","",INDEX(I_Items!$E$5:$E$133,MATCH($B166,I_Items!$A$5:$A$133,0)))</f>
        <v/>
      </c>
      <c r="G166" s="76" t="n">
        <v>46252</v>
      </c>
      <c r="H166" s="23" t="n">
        <f aca="false">MONTH(G166)</f>
        <v>8</v>
      </c>
      <c r="I166" s="74" t="s">
        <v>2075</v>
      </c>
      <c r="J166" s="74" t="s">
        <v>2086</v>
      </c>
      <c r="K166" s="10" t="n">
        <v>0</v>
      </c>
      <c r="L166" s="8" t="n">
        <v>0</v>
      </c>
      <c r="M166" s="10" t="n">
        <v>149.5</v>
      </c>
      <c r="N166" s="8" t="n">
        <v>224121.22</v>
      </c>
      <c r="O166" s="74" t="s">
        <v>2077</v>
      </c>
      <c r="P166" s="74"/>
      <c r="Q166" s="74"/>
      <c r="R166" s="14" t="n">
        <f aca="false">IF(I166="Unbilled",0,M166)</f>
        <v>149.5</v>
      </c>
      <c r="S166" s="9" t="n">
        <f aca="false">IF(R166=0,0,IF(O166="Booked",N166,R166*V165))</f>
        <v>224121.21959139</v>
      </c>
      <c r="T166" s="14" t="n">
        <f aca="false">IF(I166="Opening",K166,T165+K166-R166)</f>
        <v>4799.18</v>
      </c>
      <c r="U166" s="9" t="n">
        <f aca="false">IF(I166="Opening",L166,U165+L166-S166)</f>
        <v>7194635.95075991</v>
      </c>
      <c r="V166" s="9" t="n">
        <f aca="false">IF(T166&gt;0,U166/T166,IF(I166="Opening",0,V165))</f>
        <v>1499.13859258455</v>
      </c>
      <c r="W166" s="14" t="n">
        <f aca="false">M166</f>
        <v>149.5</v>
      </c>
      <c r="X166" s="9" t="n">
        <f aca="false">IF(W166=0,0,IF(O166="Booked",N166,W166*AA165))</f>
        <v>224121.21959139</v>
      </c>
      <c r="Y166" s="14" t="n">
        <f aca="false">IF(I166="Opening",K166,Y165+K166-W166)</f>
        <v>4799.18</v>
      </c>
      <c r="Z166" s="9" t="n">
        <f aca="false">IF(I166="Opening",L166,Z165+L166-X166)</f>
        <v>7194635.95075991</v>
      </c>
      <c r="AA166" s="9" t="n">
        <f aca="false">IF(Y166&gt;0,Z166/Y166,IF(I166="Opening",0,AA165))</f>
        <v>1499.13859258455</v>
      </c>
      <c r="AB166" s="9" t="n">
        <f aca="false">IF(AND(I166="DO",O166="MA"),S166-N166,0)</f>
        <v>-0.000408610125305131</v>
      </c>
      <c r="AC166" s="9" t="n">
        <f aca="false">IF(I166="DO",X166-S166,0)</f>
        <v>0</v>
      </c>
      <c r="AD166" s="23" t="n">
        <f aca="false">IF(B167&lt;&gt;B166,1,0)</f>
        <v>0</v>
      </c>
      <c r="AE166" s="14" t="n">
        <f aca="false">IF(I166="Opening",0,AE165+W166)</f>
        <v>1338.1</v>
      </c>
      <c r="AF166" s="14" t="n">
        <f aca="false">IF(I166="Opening",K166,AF165)</f>
        <v>4612.58</v>
      </c>
      <c r="AG166" s="14" t="n">
        <f aca="false">AG165</f>
        <v>0</v>
      </c>
      <c r="AH166" s="14" t="n">
        <f aca="false">IF(W166=0,0,MAX(0,MIN(AE166,AF166)-MIN(AE166-W166,AF166)))</f>
        <v>149.5</v>
      </c>
      <c r="AI166" s="14" t="n">
        <f aca="false">IF(W166=0,0,MAX(0,MIN(AE166,AF166+AG166)-MAX(AE166-W166,AF166)))</f>
        <v>0</v>
      </c>
      <c r="AJ166" s="14" t="n">
        <f aca="false">W166-AH166-AI166</f>
        <v>0</v>
      </c>
      <c r="AK166" s="9" t="n">
        <f aca="false">IF(W166=0,0,X166*AH166/W166)</f>
        <v>224121.21959139</v>
      </c>
      <c r="AL166" s="9" t="n">
        <f aca="false">IF(W166=0,0,X166*AI166/W166)</f>
        <v>0</v>
      </c>
      <c r="AM166" s="9" t="n">
        <f aca="false">X166-AK166-AL166</f>
        <v>0</v>
      </c>
    </row>
    <row r="167" customFormat="false" ht="15" hidden="false" customHeight="false" outlineLevel="0" collapsed="false">
      <c r="A167" s="6" t="n">
        <v>162</v>
      </c>
      <c r="B167" s="74" t="s">
        <v>953</v>
      </c>
      <c r="C167" s="53" t="str">
        <f aca="false">INDEX(I_Items!$C$5:$C$133,MATCH($B167,I_Items!$A$5:$A$133,0))</f>
        <v>RPA</v>
      </c>
      <c r="D167" s="53" t="str">
        <f aca="false">INDEX(I_Items!$D$5:$D$133,MATCH($B167,I_Items!$A$5:$A$133,0))</f>
        <v>Usus</v>
      </c>
      <c r="E167" s="53" t="str">
        <f aca="false">INDEX(I_Items!$F$5:$F$133,MATCH($B167,I_Items!$A$5:$A$133,0))</f>
        <v>Fresh</v>
      </c>
      <c r="F167" s="53" t="str">
        <f aca="false">IF(INDEX(I_Items!$E$5:$E$133,MATCH($B167,I_Items!$A$5:$A$133,0))="","",INDEX(I_Items!$E$5:$E$133,MATCH($B167,I_Items!$A$5:$A$133,0)))</f>
        <v/>
      </c>
      <c r="G167" s="76" t="n">
        <v>46252</v>
      </c>
      <c r="H167" s="23" t="n">
        <f aca="false">MONTH(G167)</f>
        <v>8</v>
      </c>
      <c r="I167" s="74" t="s">
        <v>2075</v>
      </c>
      <c r="J167" s="74" t="s">
        <v>2087</v>
      </c>
      <c r="K167" s="10" t="n">
        <v>0</v>
      </c>
      <c r="L167" s="8" t="n">
        <v>0</v>
      </c>
      <c r="M167" s="10" t="n">
        <v>203.7</v>
      </c>
      <c r="N167" s="8" t="n">
        <v>305374.53</v>
      </c>
      <c r="O167" s="74" t="s">
        <v>2077</v>
      </c>
      <c r="P167" s="74"/>
      <c r="Q167" s="74"/>
      <c r="R167" s="14" t="n">
        <f aca="false">IF(I167="Unbilled",0,M167)</f>
        <v>203.7</v>
      </c>
      <c r="S167" s="9" t="n">
        <f aca="false">IF(R167=0,0,IF(O167="Booked",N167,R167*V166))</f>
        <v>305374.531309472</v>
      </c>
      <c r="T167" s="14" t="n">
        <f aca="false">IF(I167="Opening",K167,T166+K167-R167)</f>
        <v>4595.48</v>
      </c>
      <c r="U167" s="9" t="n">
        <f aca="false">IF(I167="Opening",L167,U166+L167-S167)</f>
        <v>6889261.41945044</v>
      </c>
      <c r="V167" s="9" t="n">
        <f aca="false">IF(T167&gt;0,U167/T167,IF(I167="Opening",0,V166))</f>
        <v>1499.13859258455</v>
      </c>
      <c r="W167" s="14" t="n">
        <f aca="false">M167</f>
        <v>203.7</v>
      </c>
      <c r="X167" s="9" t="n">
        <f aca="false">IF(W167=0,0,IF(O167="Booked",N167,W167*AA166))</f>
        <v>305374.531309472</v>
      </c>
      <c r="Y167" s="14" t="n">
        <f aca="false">IF(I167="Opening",K167,Y166+K167-W167)</f>
        <v>4595.48</v>
      </c>
      <c r="Z167" s="9" t="n">
        <f aca="false">IF(I167="Opening",L167,Z166+L167-X167)</f>
        <v>6889261.41945044</v>
      </c>
      <c r="AA167" s="9" t="n">
        <f aca="false">IF(Y167&gt;0,Z167/Y167,IF(I167="Opening",0,AA166))</f>
        <v>1499.13859258455</v>
      </c>
      <c r="AB167" s="9" t="n">
        <f aca="false">IF(AND(I167="DO",O167="MA"),S167-N167,0)</f>
        <v>0.00130947231082246</v>
      </c>
      <c r="AC167" s="9" t="n">
        <f aca="false">IF(I167="DO",X167-S167,0)</f>
        <v>0</v>
      </c>
      <c r="AD167" s="23" t="n">
        <f aca="false">IF(B168&lt;&gt;B167,1,0)</f>
        <v>0</v>
      </c>
      <c r="AE167" s="14" t="n">
        <f aca="false">IF(I167="Opening",0,AE166+W167)</f>
        <v>1541.8</v>
      </c>
      <c r="AF167" s="14" t="n">
        <f aca="false">IF(I167="Opening",K167,AF166)</f>
        <v>4612.58</v>
      </c>
      <c r="AG167" s="14" t="n">
        <f aca="false">AG166</f>
        <v>0</v>
      </c>
      <c r="AH167" s="14" t="n">
        <f aca="false">IF(W167=0,0,MAX(0,MIN(AE167,AF167)-MIN(AE167-W167,AF167)))</f>
        <v>203.7</v>
      </c>
      <c r="AI167" s="14" t="n">
        <f aca="false">IF(W167=0,0,MAX(0,MIN(AE167,AF167+AG167)-MAX(AE167-W167,AF167)))</f>
        <v>0</v>
      </c>
      <c r="AJ167" s="14" t="n">
        <f aca="false">W167-AH167-AI167</f>
        <v>0</v>
      </c>
      <c r="AK167" s="9" t="n">
        <f aca="false">IF(W167=0,0,X167*AH167/W167)</f>
        <v>305374.531309472</v>
      </c>
      <c r="AL167" s="9" t="n">
        <f aca="false">IF(W167=0,0,X167*AI167/W167)</f>
        <v>0</v>
      </c>
      <c r="AM167" s="9" t="n">
        <f aca="false">X167-AK167-AL167</f>
        <v>0</v>
      </c>
    </row>
    <row r="168" customFormat="false" ht="15" hidden="false" customHeight="false" outlineLevel="0" collapsed="false">
      <c r="A168" s="6" t="n">
        <v>163</v>
      </c>
      <c r="B168" s="74" t="s">
        <v>953</v>
      </c>
      <c r="C168" s="53" t="str">
        <f aca="false">INDEX(I_Items!$C$5:$C$133,MATCH($B168,I_Items!$A$5:$A$133,0))</f>
        <v>RPA</v>
      </c>
      <c r="D168" s="53" t="str">
        <f aca="false">INDEX(I_Items!$D$5:$D$133,MATCH($B168,I_Items!$A$5:$A$133,0))</f>
        <v>Usus</v>
      </c>
      <c r="E168" s="53" t="str">
        <f aca="false">INDEX(I_Items!$F$5:$F$133,MATCH($B168,I_Items!$A$5:$A$133,0))</f>
        <v>Fresh</v>
      </c>
      <c r="F168" s="53" t="str">
        <f aca="false">IF(INDEX(I_Items!$E$5:$E$133,MATCH($B168,I_Items!$A$5:$A$133,0))="","",INDEX(I_Items!$E$5:$E$133,MATCH($B168,I_Items!$A$5:$A$133,0)))</f>
        <v/>
      </c>
      <c r="G168" s="76" t="n">
        <v>46253</v>
      </c>
      <c r="H168" s="23" t="n">
        <f aca="false">MONTH(G168)</f>
        <v>8</v>
      </c>
      <c r="I168" s="74" t="s">
        <v>2074</v>
      </c>
      <c r="J168" s="74" t="s">
        <v>1305</v>
      </c>
      <c r="K168" s="10" t="n">
        <v>658.5</v>
      </c>
      <c r="L168" s="8" t="n">
        <v>3770081.08</v>
      </c>
      <c r="M168" s="10" t="n">
        <v>0</v>
      </c>
      <c r="N168" s="8" t="n">
        <v>0</v>
      </c>
      <c r="O168" s="74"/>
      <c r="P168" s="74"/>
      <c r="Q168" s="74"/>
      <c r="R168" s="14" t="n">
        <f aca="false">IF(I168="Unbilled",0,M168)</f>
        <v>0</v>
      </c>
      <c r="S168" s="9" t="n">
        <f aca="false">IF(R168=0,0,IF(O168="Booked",N168,R168*V167))</f>
        <v>0</v>
      </c>
      <c r="T168" s="14" t="n">
        <f aca="false">IF(I168="Opening",K168,T167+K168-R168)</f>
        <v>5253.98</v>
      </c>
      <c r="U168" s="9" t="n">
        <f aca="false">IF(I168="Opening",L168,U167+L168-S168)</f>
        <v>10659342.4994504</v>
      </c>
      <c r="V168" s="9" t="n">
        <f aca="false">IF(T168&gt;0,U168/T168,IF(I168="Opening",0,V167))</f>
        <v>2028.8129188635</v>
      </c>
      <c r="W168" s="14" t="n">
        <f aca="false">M168</f>
        <v>0</v>
      </c>
      <c r="X168" s="9" t="n">
        <f aca="false">IF(W168=0,0,IF(O168="Booked",N168,W168*AA167))</f>
        <v>0</v>
      </c>
      <c r="Y168" s="14" t="n">
        <f aca="false">IF(I168="Opening",K168,Y167+K168-W168)</f>
        <v>5253.98</v>
      </c>
      <c r="Z168" s="9" t="n">
        <f aca="false">IF(I168="Opening",L168,Z167+L168-X168)</f>
        <v>10659342.4994504</v>
      </c>
      <c r="AA168" s="9" t="n">
        <f aca="false">IF(Y168&gt;0,Z168/Y168,IF(I168="Opening",0,AA167))</f>
        <v>2028.8129188635</v>
      </c>
      <c r="AB168" s="9" t="n">
        <f aca="false">IF(AND(I168="DO",O168="MA"),S168-N168,0)</f>
        <v>0</v>
      </c>
      <c r="AC168" s="9" t="n">
        <f aca="false">IF(I168="DO",X168-S168,0)</f>
        <v>0</v>
      </c>
      <c r="AD168" s="23" t="n">
        <f aca="false">IF(B169&lt;&gt;B168,1,0)</f>
        <v>0</v>
      </c>
      <c r="AE168" s="14" t="n">
        <f aca="false">IF(I168="Opening",0,AE167+W168)</f>
        <v>1541.8</v>
      </c>
      <c r="AF168" s="14" t="n">
        <f aca="false">IF(I168="Opening",K168,AF167)</f>
        <v>4612.58</v>
      </c>
      <c r="AG168" s="14" t="n">
        <f aca="false">AG167</f>
        <v>0</v>
      </c>
      <c r="AH168" s="14" t="n">
        <f aca="false">IF(W168=0,0,MAX(0,MIN(AE168,AF168)-MIN(AE168-W168,AF168)))</f>
        <v>0</v>
      </c>
      <c r="AI168" s="14" t="n">
        <f aca="false">IF(W168=0,0,MAX(0,MIN(AE168,AF168+AG168)-MAX(AE168-W168,AF168)))</f>
        <v>0</v>
      </c>
      <c r="AJ168" s="14" t="n">
        <f aca="false">W168-AH168-AI168</f>
        <v>0</v>
      </c>
      <c r="AK168" s="9" t="n">
        <f aca="false">IF(W168=0,0,X168*AH168/W168)</f>
        <v>0</v>
      </c>
      <c r="AL168" s="9" t="n">
        <f aca="false">IF(W168=0,0,X168*AI168/W168)</f>
        <v>0</v>
      </c>
      <c r="AM168" s="9" t="n">
        <f aca="false">X168-AK168-AL168</f>
        <v>0</v>
      </c>
    </row>
    <row r="169" customFormat="false" ht="15" hidden="false" customHeight="false" outlineLevel="0" collapsed="false">
      <c r="A169" s="6" t="n">
        <v>164</v>
      </c>
      <c r="B169" s="74" t="s">
        <v>953</v>
      </c>
      <c r="C169" s="53" t="str">
        <f aca="false">INDEX(I_Items!$C$5:$C$133,MATCH($B169,I_Items!$A$5:$A$133,0))</f>
        <v>RPA</v>
      </c>
      <c r="D169" s="53" t="str">
        <f aca="false">INDEX(I_Items!$D$5:$D$133,MATCH($B169,I_Items!$A$5:$A$133,0))</f>
        <v>Usus</v>
      </c>
      <c r="E169" s="53" t="str">
        <f aca="false">INDEX(I_Items!$F$5:$F$133,MATCH($B169,I_Items!$A$5:$A$133,0))</f>
        <v>Fresh</v>
      </c>
      <c r="F169" s="53" t="str">
        <f aca="false">IF(INDEX(I_Items!$E$5:$E$133,MATCH($B169,I_Items!$A$5:$A$133,0))="","",INDEX(I_Items!$E$5:$E$133,MATCH($B169,I_Items!$A$5:$A$133,0)))</f>
        <v/>
      </c>
      <c r="G169" s="76" t="n">
        <v>46254</v>
      </c>
      <c r="H169" s="23" t="n">
        <f aca="false">MONTH(G169)</f>
        <v>8</v>
      </c>
      <c r="I169" s="74" t="s">
        <v>2074</v>
      </c>
      <c r="J169" s="74" t="s">
        <v>1308</v>
      </c>
      <c r="K169" s="10" t="n">
        <v>388.1</v>
      </c>
      <c r="L169" s="8" t="n">
        <v>2226961.77</v>
      </c>
      <c r="M169" s="10" t="n">
        <v>0</v>
      </c>
      <c r="N169" s="8" t="n">
        <v>0</v>
      </c>
      <c r="O169" s="74"/>
      <c r="P169" s="74"/>
      <c r="Q169" s="74"/>
      <c r="R169" s="14" t="n">
        <f aca="false">IF(I169="Unbilled",0,M169)</f>
        <v>0</v>
      </c>
      <c r="S169" s="9" t="n">
        <f aca="false">IF(R169=0,0,IF(O169="Booked",N169,R169*V168))</f>
        <v>0</v>
      </c>
      <c r="T169" s="14" t="n">
        <f aca="false">IF(I169="Opening",K169,T168+K169-R169)</f>
        <v>5642.08</v>
      </c>
      <c r="U169" s="9" t="n">
        <f aca="false">IF(I169="Opening",L169,U168+L169-S169)</f>
        <v>12886304.2694504</v>
      </c>
      <c r="V169" s="9" t="n">
        <f aca="false">IF(T169&gt;0,U169/T169,IF(I169="Opening",0,V168))</f>
        <v>2283.96340878726</v>
      </c>
      <c r="W169" s="14" t="n">
        <f aca="false">M169</f>
        <v>0</v>
      </c>
      <c r="X169" s="9" t="n">
        <f aca="false">IF(W169=0,0,IF(O169="Booked",N169,W169*AA168))</f>
        <v>0</v>
      </c>
      <c r="Y169" s="14" t="n">
        <f aca="false">IF(I169="Opening",K169,Y168+K169-W169)</f>
        <v>5642.08</v>
      </c>
      <c r="Z169" s="9" t="n">
        <f aca="false">IF(I169="Opening",L169,Z168+L169-X169)</f>
        <v>12886304.2694504</v>
      </c>
      <c r="AA169" s="9" t="n">
        <f aca="false">IF(Y169&gt;0,Z169/Y169,IF(I169="Opening",0,AA168))</f>
        <v>2283.96340878726</v>
      </c>
      <c r="AB169" s="9" t="n">
        <f aca="false">IF(AND(I169="DO",O169="MA"),S169-N169,0)</f>
        <v>0</v>
      </c>
      <c r="AC169" s="9" t="n">
        <f aca="false">IF(I169="DO",X169-S169,0)</f>
        <v>0</v>
      </c>
      <c r="AD169" s="23" t="n">
        <f aca="false">IF(B170&lt;&gt;B169,1,0)</f>
        <v>0</v>
      </c>
      <c r="AE169" s="14" t="n">
        <f aca="false">IF(I169="Opening",0,AE168+W169)</f>
        <v>1541.8</v>
      </c>
      <c r="AF169" s="14" t="n">
        <f aca="false">IF(I169="Opening",K169,AF168)</f>
        <v>4612.58</v>
      </c>
      <c r="AG169" s="14" t="n">
        <f aca="false">AG168</f>
        <v>0</v>
      </c>
      <c r="AH169" s="14" t="n">
        <f aca="false">IF(W169=0,0,MAX(0,MIN(AE169,AF169)-MIN(AE169-W169,AF169)))</f>
        <v>0</v>
      </c>
      <c r="AI169" s="14" t="n">
        <f aca="false">IF(W169=0,0,MAX(0,MIN(AE169,AF169+AG169)-MAX(AE169-W169,AF169)))</f>
        <v>0</v>
      </c>
      <c r="AJ169" s="14" t="n">
        <f aca="false">W169-AH169-AI169</f>
        <v>0</v>
      </c>
      <c r="AK169" s="9" t="n">
        <f aca="false">IF(W169=0,0,X169*AH169/W169)</f>
        <v>0</v>
      </c>
      <c r="AL169" s="9" t="n">
        <f aca="false">IF(W169=0,0,X169*AI169/W169)</f>
        <v>0</v>
      </c>
      <c r="AM169" s="9" t="n">
        <f aca="false">X169-AK169-AL169</f>
        <v>0</v>
      </c>
    </row>
    <row r="170" customFormat="false" ht="15" hidden="false" customHeight="false" outlineLevel="0" collapsed="false">
      <c r="A170" s="6" t="n">
        <v>165</v>
      </c>
      <c r="B170" s="74" t="s">
        <v>953</v>
      </c>
      <c r="C170" s="53" t="str">
        <f aca="false">INDEX(I_Items!$C$5:$C$133,MATCH($B170,I_Items!$A$5:$A$133,0))</f>
        <v>RPA</v>
      </c>
      <c r="D170" s="53" t="str">
        <f aca="false">INDEX(I_Items!$D$5:$D$133,MATCH($B170,I_Items!$A$5:$A$133,0))</f>
        <v>Usus</v>
      </c>
      <c r="E170" s="53" t="str">
        <f aca="false">INDEX(I_Items!$F$5:$F$133,MATCH($B170,I_Items!$A$5:$A$133,0))</f>
        <v>Fresh</v>
      </c>
      <c r="F170" s="53" t="str">
        <f aca="false">IF(INDEX(I_Items!$E$5:$E$133,MATCH($B170,I_Items!$A$5:$A$133,0))="","",INDEX(I_Items!$E$5:$E$133,MATCH($B170,I_Items!$A$5:$A$133,0)))</f>
        <v/>
      </c>
      <c r="G170" s="76" t="n">
        <v>46255</v>
      </c>
      <c r="H170" s="23" t="n">
        <f aca="false">MONTH(G170)</f>
        <v>8</v>
      </c>
      <c r="I170" s="74" t="s">
        <v>2075</v>
      </c>
      <c r="J170" s="74" t="s">
        <v>2088</v>
      </c>
      <c r="K170" s="10" t="n">
        <v>0</v>
      </c>
      <c r="L170" s="8" t="n">
        <v>0</v>
      </c>
      <c r="M170" s="10" t="n">
        <v>165.9</v>
      </c>
      <c r="N170" s="8" t="n">
        <v>378909.53</v>
      </c>
      <c r="O170" s="74" t="s">
        <v>2077</v>
      </c>
      <c r="P170" s="74"/>
      <c r="Q170" s="74"/>
      <c r="R170" s="14" t="n">
        <f aca="false">IF(I170="Unbilled",0,M170)</f>
        <v>165.9</v>
      </c>
      <c r="S170" s="9" t="n">
        <f aca="false">IF(R170=0,0,IF(O170="Booked",N170,R170*V169))</f>
        <v>378909.529517807</v>
      </c>
      <c r="T170" s="14" t="n">
        <f aca="false">IF(I170="Opening",K170,T169+K170-R170)</f>
        <v>5476.18</v>
      </c>
      <c r="U170" s="9" t="n">
        <f aca="false">IF(I170="Opening",L170,U169+L170-S170)</f>
        <v>12507394.7399326</v>
      </c>
      <c r="V170" s="9" t="n">
        <f aca="false">IF(T170&gt;0,U170/T170,IF(I170="Opening",0,V169))</f>
        <v>2283.96340878726</v>
      </c>
      <c r="W170" s="14" t="n">
        <f aca="false">M170</f>
        <v>165.9</v>
      </c>
      <c r="X170" s="9" t="n">
        <f aca="false">IF(W170=0,0,IF(O170="Booked",N170,W170*AA169))</f>
        <v>378909.529517807</v>
      </c>
      <c r="Y170" s="14" t="n">
        <f aca="false">IF(I170="Opening",K170,Y169+K170-W170)</f>
        <v>5476.18</v>
      </c>
      <c r="Z170" s="9" t="n">
        <f aca="false">IF(I170="Opening",L170,Z169+L170-X170)</f>
        <v>12507394.7399326</v>
      </c>
      <c r="AA170" s="9" t="n">
        <f aca="false">IF(Y170&gt;0,Z170/Y170,IF(I170="Opening",0,AA169))</f>
        <v>2283.96340878726</v>
      </c>
      <c r="AB170" s="9" t="n">
        <f aca="false">IF(AND(I170="DO",O170="MA"),S170-N170,0)</f>
        <v>-0.0004821932525374</v>
      </c>
      <c r="AC170" s="9" t="n">
        <f aca="false">IF(I170="DO",X170-S170,0)</f>
        <v>0</v>
      </c>
      <c r="AD170" s="23" t="n">
        <f aca="false">IF(B171&lt;&gt;B170,1,0)</f>
        <v>0</v>
      </c>
      <c r="AE170" s="14" t="n">
        <f aca="false">IF(I170="Opening",0,AE169+W170)</f>
        <v>1707.7</v>
      </c>
      <c r="AF170" s="14" t="n">
        <f aca="false">IF(I170="Opening",K170,AF169)</f>
        <v>4612.58</v>
      </c>
      <c r="AG170" s="14" t="n">
        <f aca="false">AG169</f>
        <v>0</v>
      </c>
      <c r="AH170" s="14" t="n">
        <f aca="false">IF(W170=0,0,MAX(0,MIN(AE170,AF170)-MIN(AE170-W170,AF170)))</f>
        <v>165.9</v>
      </c>
      <c r="AI170" s="14" t="n">
        <f aca="false">IF(W170=0,0,MAX(0,MIN(AE170,AF170+AG170)-MAX(AE170-W170,AF170)))</f>
        <v>0</v>
      </c>
      <c r="AJ170" s="14" t="n">
        <f aca="false">W170-AH170-AI170</f>
        <v>0</v>
      </c>
      <c r="AK170" s="9" t="n">
        <f aca="false">IF(W170=0,0,X170*AH170/W170)</f>
        <v>378909.529517807</v>
      </c>
      <c r="AL170" s="9" t="n">
        <f aca="false">IF(W170=0,0,X170*AI170/W170)</f>
        <v>0</v>
      </c>
      <c r="AM170" s="9" t="n">
        <f aca="false">X170-AK170-AL170</f>
        <v>0</v>
      </c>
    </row>
    <row r="171" customFormat="false" ht="15" hidden="false" customHeight="false" outlineLevel="0" collapsed="false">
      <c r="A171" s="6" t="n">
        <v>166</v>
      </c>
      <c r="B171" s="74" t="s">
        <v>953</v>
      </c>
      <c r="C171" s="53" t="str">
        <f aca="false">INDEX(I_Items!$C$5:$C$133,MATCH($B171,I_Items!$A$5:$A$133,0))</f>
        <v>RPA</v>
      </c>
      <c r="D171" s="53" t="str">
        <f aca="false">INDEX(I_Items!$D$5:$D$133,MATCH($B171,I_Items!$A$5:$A$133,0))</f>
        <v>Usus</v>
      </c>
      <c r="E171" s="53" t="str">
        <f aca="false">INDEX(I_Items!$F$5:$F$133,MATCH($B171,I_Items!$A$5:$A$133,0))</f>
        <v>Fresh</v>
      </c>
      <c r="F171" s="53" t="str">
        <f aca="false">IF(INDEX(I_Items!$E$5:$E$133,MATCH($B171,I_Items!$A$5:$A$133,0))="","",INDEX(I_Items!$E$5:$E$133,MATCH($B171,I_Items!$A$5:$A$133,0)))</f>
        <v/>
      </c>
      <c r="G171" s="76" t="n">
        <v>46255</v>
      </c>
      <c r="H171" s="23" t="n">
        <f aca="false">MONTH(G171)</f>
        <v>8</v>
      </c>
      <c r="I171" s="74" t="s">
        <v>2075</v>
      </c>
      <c r="J171" s="74" t="s">
        <v>2089</v>
      </c>
      <c r="K171" s="10" t="n">
        <v>0</v>
      </c>
      <c r="L171" s="8" t="n">
        <v>0</v>
      </c>
      <c r="M171" s="10" t="n">
        <v>170.3</v>
      </c>
      <c r="N171" s="8" t="n">
        <v>388958.97</v>
      </c>
      <c r="O171" s="74" t="s">
        <v>2077</v>
      </c>
      <c r="P171" s="74"/>
      <c r="Q171" s="74"/>
      <c r="R171" s="14" t="n">
        <f aca="false">IF(I171="Unbilled",0,M171)</f>
        <v>170.3</v>
      </c>
      <c r="S171" s="9" t="n">
        <f aca="false">IF(R171=0,0,IF(O171="Booked",N171,R171*V170))</f>
        <v>388958.968516471</v>
      </c>
      <c r="T171" s="14" t="n">
        <f aca="false">IF(I171="Opening",K171,T170+K171-R171)</f>
        <v>5305.88</v>
      </c>
      <c r="U171" s="9" t="n">
        <f aca="false">IF(I171="Opening",L171,U170+L171-S171)</f>
        <v>12118435.7714162</v>
      </c>
      <c r="V171" s="9" t="n">
        <f aca="false">IF(T171&gt;0,U171/T171,IF(I171="Opening",0,V170))</f>
        <v>2283.96340878726</v>
      </c>
      <c r="W171" s="14" t="n">
        <f aca="false">M171</f>
        <v>170.3</v>
      </c>
      <c r="X171" s="9" t="n">
        <f aca="false">IF(W171=0,0,IF(O171="Booked",N171,W171*AA170))</f>
        <v>388958.968516471</v>
      </c>
      <c r="Y171" s="14" t="n">
        <f aca="false">IF(I171="Opening",K171,Y170+K171-W171)</f>
        <v>5305.88</v>
      </c>
      <c r="Z171" s="9" t="n">
        <f aca="false">IF(I171="Opening",L171,Z170+L171-X171)</f>
        <v>12118435.7714162</v>
      </c>
      <c r="AA171" s="9" t="n">
        <f aca="false">IF(Y171&gt;0,Z171/Y171,IF(I171="Opening",0,AA170))</f>
        <v>2283.96340878726</v>
      </c>
      <c r="AB171" s="9" t="n">
        <f aca="false">IF(AND(I171="DO",O171="MA"),S171-N171,0)</f>
        <v>-0.00148352922406048</v>
      </c>
      <c r="AC171" s="9" t="n">
        <f aca="false">IF(I171="DO",X171-S171,0)</f>
        <v>0</v>
      </c>
      <c r="AD171" s="23" t="n">
        <f aca="false">IF(B172&lt;&gt;B171,1,0)</f>
        <v>0</v>
      </c>
      <c r="AE171" s="14" t="n">
        <f aca="false">IF(I171="Opening",0,AE170+W171)</f>
        <v>1878</v>
      </c>
      <c r="AF171" s="14" t="n">
        <f aca="false">IF(I171="Opening",K171,AF170)</f>
        <v>4612.58</v>
      </c>
      <c r="AG171" s="14" t="n">
        <f aca="false">AG170</f>
        <v>0</v>
      </c>
      <c r="AH171" s="14" t="n">
        <f aca="false">IF(W171=0,0,MAX(0,MIN(AE171,AF171)-MIN(AE171-W171,AF171)))</f>
        <v>170.3</v>
      </c>
      <c r="AI171" s="14" t="n">
        <f aca="false">IF(W171=0,0,MAX(0,MIN(AE171,AF171+AG171)-MAX(AE171-W171,AF171)))</f>
        <v>0</v>
      </c>
      <c r="AJ171" s="14" t="n">
        <f aca="false">W171-AH171-AI171</f>
        <v>0</v>
      </c>
      <c r="AK171" s="9" t="n">
        <f aca="false">IF(W171=0,0,X171*AH171/W171)</f>
        <v>388958.968516471</v>
      </c>
      <c r="AL171" s="9" t="n">
        <f aca="false">IF(W171=0,0,X171*AI171/W171)</f>
        <v>0</v>
      </c>
      <c r="AM171" s="9" t="n">
        <f aca="false">X171-AK171-AL171</f>
        <v>0</v>
      </c>
    </row>
    <row r="172" customFormat="false" ht="15" hidden="false" customHeight="false" outlineLevel="0" collapsed="false">
      <c r="A172" s="6" t="n">
        <v>167</v>
      </c>
      <c r="B172" s="74" t="s">
        <v>953</v>
      </c>
      <c r="C172" s="53" t="str">
        <f aca="false">INDEX(I_Items!$C$5:$C$133,MATCH($B172,I_Items!$A$5:$A$133,0))</f>
        <v>RPA</v>
      </c>
      <c r="D172" s="53" t="str">
        <f aca="false">INDEX(I_Items!$D$5:$D$133,MATCH($B172,I_Items!$A$5:$A$133,0))</f>
        <v>Usus</v>
      </c>
      <c r="E172" s="53" t="str">
        <f aca="false">INDEX(I_Items!$F$5:$F$133,MATCH($B172,I_Items!$A$5:$A$133,0))</f>
        <v>Fresh</v>
      </c>
      <c r="F172" s="53" t="str">
        <f aca="false">IF(INDEX(I_Items!$E$5:$E$133,MATCH($B172,I_Items!$A$5:$A$133,0))="","",INDEX(I_Items!$E$5:$E$133,MATCH($B172,I_Items!$A$5:$A$133,0)))</f>
        <v/>
      </c>
      <c r="G172" s="76" t="n">
        <v>46255</v>
      </c>
      <c r="H172" s="23" t="n">
        <f aca="false">MONTH(G172)</f>
        <v>8</v>
      </c>
      <c r="I172" s="74" t="s">
        <v>2075</v>
      </c>
      <c r="J172" s="74" t="s">
        <v>2090</v>
      </c>
      <c r="K172" s="10" t="n">
        <v>0</v>
      </c>
      <c r="L172" s="8" t="n">
        <v>0</v>
      </c>
      <c r="M172" s="10" t="n">
        <v>179.3</v>
      </c>
      <c r="N172" s="8" t="n">
        <v>409514.64</v>
      </c>
      <c r="O172" s="74" t="s">
        <v>2077</v>
      </c>
      <c r="P172" s="74"/>
      <c r="Q172" s="74"/>
      <c r="R172" s="14" t="n">
        <f aca="false">IF(I172="Unbilled",0,M172)</f>
        <v>179.3</v>
      </c>
      <c r="S172" s="9" t="n">
        <f aca="false">IF(R172=0,0,IF(O172="Booked",N172,R172*V171))</f>
        <v>409514.639195556</v>
      </c>
      <c r="T172" s="14" t="n">
        <f aca="false">IF(I172="Opening",K172,T171+K172-R172)</f>
        <v>5126.58</v>
      </c>
      <c r="U172" s="9" t="n">
        <f aca="false">IF(I172="Opening",L172,U171+L172-S172)</f>
        <v>11708921.1322206</v>
      </c>
      <c r="V172" s="9" t="n">
        <f aca="false">IF(T172&gt;0,U172/T172,IF(I172="Opening",0,V171))</f>
        <v>2283.96340878726</v>
      </c>
      <c r="W172" s="14" t="n">
        <f aca="false">M172</f>
        <v>179.3</v>
      </c>
      <c r="X172" s="9" t="n">
        <f aca="false">IF(W172=0,0,IF(O172="Booked",N172,W172*AA171))</f>
        <v>409514.639195556</v>
      </c>
      <c r="Y172" s="14" t="n">
        <f aca="false">IF(I172="Opening",K172,Y171+K172-W172)</f>
        <v>5126.58</v>
      </c>
      <c r="Z172" s="9" t="n">
        <f aca="false">IF(I172="Opening",L172,Z171+L172-X172)</f>
        <v>11708921.1322206</v>
      </c>
      <c r="AA172" s="9" t="n">
        <f aca="false">IF(Y172&gt;0,Z172/Y172,IF(I172="Opening",0,AA171))</f>
        <v>2283.96340878726</v>
      </c>
      <c r="AB172" s="9" t="n">
        <f aca="false">IF(AND(I172="DO",O172="MA"),S172-N172,0)</f>
        <v>-0.000804443960078061</v>
      </c>
      <c r="AC172" s="9" t="n">
        <f aca="false">IF(I172="DO",X172-S172,0)</f>
        <v>0</v>
      </c>
      <c r="AD172" s="23" t="n">
        <f aca="false">IF(B173&lt;&gt;B172,1,0)</f>
        <v>0</v>
      </c>
      <c r="AE172" s="14" t="n">
        <f aca="false">IF(I172="Opening",0,AE171+W172)</f>
        <v>2057.3</v>
      </c>
      <c r="AF172" s="14" t="n">
        <f aca="false">IF(I172="Opening",K172,AF171)</f>
        <v>4612.58</v>
      </c>
      <c r="AG172" s="14" t="n">
        <f aca="false">AG171</f>
        <v>0</v>
      </c>
      <c r="AH172" s="14" t="n">
        <f aca="false">IF(W172=0,0,MAX(0,MIN(AE172,AF172)-MIN(AE172-W172,AF172)))</f>
        <v>179.3</v>
      </c>
      <c r="AI172" s="14" t="n">
        <f aca="false">IF(W172=0,0,MAX(0,MIN(AE172,AF172+AG172)-MAX(AE172-W172,AF172)))</f>
        <v>0</v>
      </c>
      <c r="AJ172" s="14" t="n">
        <f aca="false">W172-AH172-AI172</f>
        <v>0</v>
      </c>
      <c r="AK172" s="9" t="n">
        <f aca="false">IF(W172=0,0,X172*AH172/W172)</f>
        <v>409514.639195556</v>
      </c>
      <c r="AL172" s="9" t="n">
        <f aca="false">IF(W172=0,0,X172*AI172/W172)</f>
        <v>0</v>
      </c>
      <c r="AM172" s="9" t="n">
        <f aca="false">X172-AK172-AL172</f>
        <v>0</v>
      </c>
    </row>
    <row r="173" customFormat="false" ht="15" hidden="false" customHeight="false" outlineLevel="0" collapsed="false">
      <c r="A173" s="6" t="n">
        <v>168</v>
      </c>
      <c r="B173" s="74" t="s">
        <v>953</v>
      </c>
      <c r="C173" s="53" t="str">
        <f aca="false">INDEX(I_Items!$C$5:$C$133,MATCH($B173,I_Items!$A$5:$A$133,0))</f>
        <v>RPA</v>
      </c>
      <c r="D173" s="53" t="str">
        <f aca="false">INDEX(I_Items!$D$5:$D$133,MATCH($B173,I_Items!$A$5:$A$133,0))</f>
        <v>Usus</v>
      </c>
      <c r="E173" s="53" t="str">
        <f aca="false">INDEX(I_Items!$F$5:$F$133,MATCH($B173,I_Items!$A$5:$A$133,0))</f>
        <v>Fresh</v>
      </c>
      <c r="F173" s="53" t="str">
        <f aca="false">IF(INDEX(I_Items!$E$5:$E$133,MATCH($B173,I_Items!$A$5:$A$133,0))="","",INDEX(I_Items!$E$5:$E$133,MATCH($B173,I_Items!$A$5:$A$133,0)))</f>
        <v/>
      </c>
      <c r="G173" s="76" t="n">
        <v>46255</v>
      </c>
      <c r="H173" s="23" t="n">
        <f aca="false">MONTH(G173)</f>
        <v>8</v>
      </c>
      <c r="I173" s="74" t="s">
        <v>2075</v>
      </c>
      <c r="J173" s="74" t="s">
        <v>2091</v>
      </c>
      <c r="K173" s="10" t="n">
        <v>0</v>
      </c>
      <c r="L173" s="8" t="n">
        <v>0</v>
      </c>
      <c r="M173" s="10" t="n">
        <v>143</v>
      </c>
      <c r="N173" s="8" t="n">
        <v>326606.77</v>
      </c>
      <c r="O173" s="74" t="s">
        <v>2077</v>
      </c>
      <c r="P173" s="74"/>
      <c r="Q173" s="74"/>
      <c r="R173" s="14" t="n">
        <f aca="false">IF(I173="Unbilled",0,M173)</f>
        <v>143</v>
      </c>
      <c r="S173" s="9" t="n">
        <f aca="false">IF(R173=0,0,IF(O173="Booked",N173,R173*V172))</f>
        <v>326606.767456578</v>
      </c>
      <c r="T173" s="14" t="n">
        <f aca="false">IF(I173="Opening",K173,T172+K173-R173)</f>
        <v>4983.58</v>
      </c>
      <c r="U173" s="9" t="n">
        <f aca="false">IF(I173="Opening",L173,U172+L173-S173)</f>
        <v>11382314.364764</v>
      </c>
      <c r="V173" s="9" t="n">
        <f aca="false">IF(T173&gt;0,U173/T173,IF(I173="Opening",0,V172))</f>
        <v>2283.96340878726</v>
      </c>
      <c r="W173" s="14" t="n">
        <f aca="false">M173</f>
        <v>143</v>
      </c>
      <c r="X173" s="9" t="n">
        <f aca="false">IF(W173=0,0,IF(O173="Booked",N173,W173*AA172))</f>
        <v>326606.767456578</v>
      </c>
      <c r="Y173" s="14" t="n">
        <f aca="false">IF(I173="Opening",K173,Y172+K173-W173)</f>
        <v>4983.58</v>
      </c>
      <c r="Z173" s="9" t="n">
        <f aca="false">IF(I173="Opening",L173,Z172+L173-X173)</f>
        <v>11382314.364764</v>
      </c>
      <c r="AA173" s="9" t="n">
        <f aca="false">IF(Y173&gt;0,Z173/Y173,IF(I173="Opening",0,AA172))</f>
        <v>2283.96340878726</v>
      </c>
      <c r="AB173" s="9" t="n">
        <f aca="false">IF(AND(I173="DO",O173="MA"),S173-N173,0)</f>
        <v>-0.00254342157859355</v>
      </c>
      <c r="AC173" s="9" t="n">
        <f aca="false">IF(I173="DO",X173-S173,0)</f>
        <v>0</v>
      </c>
      <c r="AD173" s="23" t="n">
        <f aca="false">IF(B174&lt;&gt;B173,1,0)</f>
        <v>0</v>
      </c>
      <c r="AE173" s="14" t="n">
        <f aca="false">IF(I173="Opening",0,AE172+W173)</f>
        <v>2200.3</v>
      </c>
      <c r="AF173" s="14" t="n">
        <f aca="false">IF(I173="Opening",K173,AF172)</f>
        <v>4612.58</v>
      </c>
      <c r="AG173" s="14" t="n">
        <f aca="false">AG172</f>
        <v>0</v>
      </c>
      <c r="AH173" s="14" t="n">
        <f aca="false">IF(W173=0,0,MAX(0,MIN(AE173,AF173)-MIN(AE173-W173,AF173)))</f>
        <v>143</v>
      </c>
      <c r="AI173" s="14" t="n">
        <f aca="false">IF(W173=0,0,MAX(0,MIN(AE173,AF173+AG173)-MAX(AE173-W173,AF173)))</f>
        <v>0</v>
      </c>
      <c r="AJ173" s="14" t="n">
        <f aca="false">W173-AH173-AI173</f>
        <v>0</v>
      </c>
      <c r="AK173" s="9" t="n">
        <f aca="false">IF(W173=0,0,X173*AH173/W173)</f>
        <v>326606.767456578</v>
      </c>
      <c r="AL173" s="9" t="n">
        <f aca="false">IF(W173=0,0,X173*AI173/W173)</f>
        <v>0</v>
      </c>
      <c r="AM173" s="9" t="n">
        <f aca="false">X173-AK173-AL173</f>
        <v>0</v>
      </c>
    </row>
    <row r="174" customFormat="false" ht="15" hidden="false" customHeight="false" outlineLevel="0" collapsed="false">
      <c r="A174" s="6" t="n">
        <v>169</v>
      </c>
      <c r="B174" s="74" t="s">
        <v>953</v>
      </c>
      <c r="C174" s="53" t="str">
        <f aca="false">INDEX(I_Items!$C$5:$C$133,MATCH($B174,I_Items!$A$5:$A$133,0))</f>
        <v>RPA</v>
      </c>
      <c r="D174" s="53" t="str">
        <f aca="false">INDEX(I_Items!$D$5:$D$133,MATCH($B174,I_Items!$A$5:$A$133,0))</f>
        <v>Usus</v>
      </c>
      <c r="E174" s="53" t="str">
        <f aca="false">INDEX(I_Items!$F$5:$F$133,MATCH($B174,I_Items!$A$5:$A$133,0))</f>
        <v>Fresh</v>
      </c>
      <c r="F174" s="53" t="str">
        <f aca="false">IF(INDEX(I_Items!$E$5:$E$133,MATCH($B174,I_Items!$A$5:$A$133,0))="","",INDEX(I_Items!$E$5:$E$133,MATCH($B174,I_Items!$A$5:$A$133,0)))</f>
        <v/>
      </c>
      <c r="G174" s="76" t="n">
        <v>46255</v>
      </c>
      <c r="H174" s="23" t="n">
        <f aca="false">MONTH(G174)</f>
        <v>8</v>
      </c>
      <c r="I174" s="74" t="s">
        <v>2075</v>
      </c>
      <c r="J174" s="74" t="s">
        <v>2092</v>
      </c>
      <c r="K174" s="10" t="n">
        <v>0</v>
      </c>
      <c r="L174" s="8" t="n">
        <v>0</v>
      </c>
      <c r="M174" s="10" t="n">
        <v>186.5</v>
      </c>
      <c r="N174" s="8" t="n">
        <v>425959.17</v>
      </c>
      <c r="O174" s="74" t="s">
        <v>2077</v>
      </c>
      <c r="P174" s="74"/>
      <c r="Q174" s="74"/>
      <c r="R174" s="14" t="n">
        <f aca="false">IF(I174="Unbilled",0,M174)</f>
        <v>186.5</v>
      </c>
      <c r="S174" s="9" t="n">
        <f aca="false">IF(R174=0,0,IF(O174="Booked",N174,R174*V173))</f>
        <v>425959.175738824</v>
      </c>
      <c r="T174" s="14" t="n">
        <f aca="false">IF(I174="Opening",K174,T173+K174-R174)</f>
        <v>4797.08</v>
      </c>
      <c r="U174" s="9" t="n">
        <f aca="false">IF(I174="Opening",L174,U173+L174-S174)</f>
        <v>10956355.1890252</v>
      </c>
      <c r="V174" s="9" t="n">
        <f aca="false">IF(T174&gt;0,U174/T174,IF(I174="Opening",0,V173))</f>
        <v>2283.96340878726</v>
      </c>
      <c r="W174" s="14" t="n">
        <f aca="false">M174</f>
        <v>186.5</v>
      </c>
      <c r="X174" s="9" t="n">
        <f aca="false">IF(W174=0,0,IF(O174="Booked",N174,W174*AA173))</f>
        <v>425959.175738824</v>
      </c>
      <c r="Y174" s="14" t="n">
        <f aca="false">IF(I174="Opening",K174,Y173+K174-W174)</f>
        <v>4797.08</v>
      </c>
      <c r="Z174" s="9" t="n">
        <f aca="false">IF(I174="Opening",L174,Z173+L174-X174)</f>
        <v>10956355.1890252</v>
      </c>
      <c r="AA174" s="9" t="n">
        <f aca="false">IF(Y174&gt;0,Z174/Y174,IF(I174="Opening",0,AA173))</f>
        <v>2283.96340878726</v>
      </c>
      <c r="AB174" s="9" t="n">
        <f aca="false">IF(AND(I174="DO",O174="MA"),S174-N174,0)</f>
        <v>0.00573882437311113</v>
      </c>
      <c r="AC174" s="9" t="n">
        <f aca="false">IF(I174="DO",X174-S174,0)</f>
        <v>0</v>
      </c>
      <c r="AD174" s="23" t="n">
        <f aca="false">IF(B175&lt;&gt;B174,1,0)</f>
        <v>0</v>
      </c>
      <c r="AE174" s="14" t="n">
        <f aca="false">IF(I174="Opening",0,AE173+W174)</f>
        <v>2386.8</v>
      </c>
      <c r="AF174" s="14" t="n">
        <f aca="false">IF(I174="Opening",K174,AF173)</f>
        <v>4612.58</v>
      </c>
      <c r="AG174" s="14" t="n">
        <f aca="false">AG173</f>
        <v>0</v>
      </c>
      <c r="AH174" s="14" t="n">
        <f aca="false">IF(W174=0,0,MAX(0,MIN(AE174,AF174)-MIN(AE174-W174,AF174)))</f>
        <v>186.5</v>
      </c>
      <c r="AI174" s="14" t="n">
        <f aca="false">IF(W174=0,0,MAX(0,MIN(AE174,AF174+AG174)-MAX(AE174-W174,AF174)))</f>
        <v>0</v>
      </c>
      <c r="AJ174" s="14" t="n">
        <f aca="false">W174-AH174-AI174</f>
        <v>0</v>
      </c>
      <c r="AK174" s="9" t="n">
        <f aca="false">IF(W174=0,0,X174*AH174/W174)</f>
        <v>425959.175738824</v>
      </c>
      <c r="AL174" s="9" t="n">
        <f aca="false">IF(W174=0,0,X174*AI174/W174)</f>
        <v>0</v>
      </c>
      <c r="AM174" s="9" t="n">
        <f aca="false">X174-AK174-AL174</f>
        <v>0</v>
      </c>
    </row>
    <row r="175" customFormat="false" ht="15" hidden="false" customHeight="false" outlineLevel="0" collapsed="false">
      <c r="A175" s="6" t="n">
        <v>170</v>
      </c>
      <c r="B175" s="74" t="s">
        <v>953</v>
      </c>
      <c r="C175" s="53" t="str">
        <f aca="false">INDEX(I_Items!$C$5:$C$133,MATCH($B175,I_Items!$A$5:$A$133,0))</f>
        <v>RPA</v>
      </c>
      <c r="D175" s="53" t="str">
        <f aca="false">INDEX(I_Items!$D$5:$D$133,MATCH($B175,I_Items!$A$5:$A$133,0))</f>
        <v>Usus</v>
      </c>
      <c r="E175" s="53" t="str">
        <f aca="false">INDEX(I_Items!$F$5:$F$133,MATCH($B175,I_Items!$A$5:$A$133,0))</f>
        <v>Fresh</v>
      </c>
      <c r="F175" s="53" t="str">
        <f aca="false">IF(INDEX(I_Items!$E$5:$E$133,MATCH($B175,I_Items!$A$5:$A$133,0))="","",INDEX(I_Items!$E$5:$E$133,MATCH($B175,I_Items!$A$5:$A$133,0)))</f>
        <v/>
      </c>
      <c r="G175" s="76" t="n">
        <v>46255</v>
      </c>
      <c r="H175" s="23" t="n">
        <f aca="false">MONTH(G175)</f>
        <v>8</v>
      </c>
      <c r="I175" s="74" t="s">
        <v>2075</v>
      </c>
      <c r="J175" s="74" t="s">
        <v>2093</v>
      </c>
      <c r="K175" s="10" t="n">
        <v>0</v>
      </c>
      <c r="L175" s="8" t="n">
        <v>0</v>
      </c>
      <c r="M175" s="10" t="n">
        <v>201.6</v>
      </c>
      <c r="N175" s="8" t="n">
        <v>460447.02</v>
      </c>
      <c r="O175" s="74" t="s">
        <v>2077</v>
      </c>
      <c r="P175" s="74"/>
      <c r="Q175" s="74"/>
      <c r="R175" s="14" t="n">
        <f aca="false">IF(I175="Unbilled",0,M175)</f>
        <v>201.6</v>
      </c>
      <c r="S175" s="9" t="n">
        <f aca="false">IF(R175=0,0,IF(O175="Booked",N175,R175*V174))</f>
        <v>460447.023211512</v>
      </c>
      <c r="T175" s="14" t="n">
        <f aca="false">IF(I175="Opening",K175,T174+K175-R175)</f>
        <v>4595.48</v>
      </c>
      <c r="U175" s="9" t="n">
        <f aca="false">IF(I175="Opening",L175,U174+L175-S175)</f>
        <v>10495908.1658137</v>
      </c>
      <c r="V175" s="9" t="n">
        <f aca="false">IF(T175&gt;0,U175/T175,IF(I175="Opening",0,V174))</f>
        <v>2283.96340878726</v>
      </c>
      <c r="W175" s="14" t="n">
        <f aca="false">M175</f>
        <v>201.6</v>
      </c>
      <c r="X175" s="9" t="n">
        <f aca="false">IF(W175=0,0,IF(O175="Booked",N175,W175*AA174))</f>
        <v>460447.023211512</v>
      </c>
      <c r="Y175" s="14" t="n">
        <f aca="false">IF(I175="Opening",K175,Y174+K175-W175)</f>
        <v>4595.48</v>
      </c>
      <c r="Z175" s="9" t="n">
        <f aca="false">IF(I175="Opening",L175,Z174+L175-X175)</f>
        <v>10495908.1658137</v>
      </c>
      <c r="AA175" s="9" t="n">
        <f aca="false">IF(Y175&gt;0,Z175/Y175,IF(I175="Opening",0,AA174))</f>
        <v>2283.96340878726</v>
      </c>
      <c r="AB175" s="9" t="n">
        <f aca="false">IF(AND(I175="DO",O175="MA"),S175-N175,0)</f>
        <v>0.00321151193929836</v>
      </c>
      <c r="AC175" s="9" t="n">
        <f aca="false">IF(I175="DO",X175-S175,0)</f>
        <v>0</v>
      </c>
      <c r="AD175" s="23" t="n">
        <f aca="false">IF(B176&lt;&gt;B175,1,0)</f>
        <v>0</v>
      </c>
      <c r="AE175" s="14" t="n">
        <f aca="false">IF(I175="Opening",0,AE174+W175)</f>
        <v>2588.4</v>
      </c>
      <c r="AF175" s="14" t="n">
        <f aca="false">IF(I175="Opening",K175,AF174)</f>
        <v>4612.58</v>
      </c>
      <c r="AG175" s="14" t="n">
        <f aca="false">AG174</f>
        <v>0</v>
      </c>
      <c r="AH175" s="14" t="n">
        <f aca="false">IF(W175=0,0,MAX(0,MIN(AE175,AF175)-MIN(AE175-W175,AF175)))</f>
        <v>201.6</v>
      </c>
      <c r="AI175" s="14" t="n">
        <f aca="false">IF(W175=0,0,MAX(0,MIN(AE175,AF175+AG175)-MAX(AE175-W175,AF175)))</f>
        <v>0</v>
      </c>
      <c r="AJ175" s="14" t="n">
        <f aca="false">W175-AH175-AI175</f>
        <v>0</v>
      </c>
      <c r="AK175" s="9" t="n">
        <f aca="false">IF(W175=0,0,X175*AH175/W175)</f>
        <v>460447.023211512</v>
      </c>
      <c r="AL175" s="9" t="n">
        <f aca="false">IF(W175=0,0,X175*AI175/W175)</f>
        <v>0</v>
      </c>
      <c r="AM175" s="9" t="n">
        <f aca="false">X175-AK175-AL175</f>
        <v>0</v>
      </c>
    </row>
    <row r="176" customFormat="false" ht="15" hidden="false" customHeight="false" outlineLevel="0" collapsed="false">
      <c r="A176" s="6" t="n">
        <v>171</v>
      </c>
      <c r="B176" s="74" t="s">
        <v>953</v>
      </c>
      <c r="C176" s="53" t="str">
        <f aca="false">INDEX(I_Items!$C$5:$C$133,MATCH($B176,I_Items!$A$5:$A$133,0))</f>
        <v>RPA</v>
      </c>
      <c r="D176" s="53" t="str">
        <f aca="false">INDEX(I_Items!$D$5:$D$133,MATCH($B176,I_Items!$A$5:$A$133,0))</f>
        <v>Usus</v>
      </c>
      <c r="E176" s="53" t="str">
        <f aca="false">INDEX(I_Items!$F$5:$F$133,MATCH($B176,I_Items!$A$5:$A$133,0))</f>
        <v>Fresh</v>
      </c>
      <c r="F176" s="53" t="str">
        <f aca="false">IF(INDEX(I_Items!$E$5:$E$133,MATCH($B176,I_Items!$A$5:$A$133,0))="","",INDEX(I_Items!$E$5:$E$133,MATCH($B176,I_Items!$A$5:$A$133,0)))</f>
        <v/>
      </c>
      <c r="G176" s="76" t="n">
        <v>46255</v>
      </c>
      <c r="H176" s="23" t="n">
        <f aca="false">MONTH(G176)</f>
        <v>8</v>
      </c>
      <c r="I176" s="74" t="s">
        <v>2074</v>
      </c>
      <c r="J176" s="74" t="s">
        <v>1311</v>
      </c>
      <c r="K176" s="10" t="n">
        <v>319.7</v>
      </c>
      <c r="L176" s="8" t="n">
        <v>1851141.49</v>
      </c>
      <c r="M176" s="10" t="n">
        <v>0</v>
      </c>
      <c r="N176" s="8" t="n">
        <v>0</v>
      </c>
      <c r="O176" s="74"/>
      <c r="P176" s="74"/>
      <c r="Q176" s="74"/>
      <c r="R176" s="14" t="n">
        <f aca="false">IF(I176="Unbilled",0,M176)</f>
        <v>0</v>
      </c>
      <c r="S176" s="9" t="n">
        <f aca="false">IF(R176=0,0,IF(O176="Booked",N176,R176*V175))</f>
        <v>0</v>
      </c>
      <c r="T176" s="14" t="n">
        <f aca="false">IF(I176="Opening",K176,T175+K176-R176)</f>
        <v>4915.18</v>
      </c>
      <c r="U176" s="9" t="n">
        <f aca="false">IF(I176="Opening",L176,U175+L176-S176)</f>
        <v>12347049.6558137</v>
      </c>
      <c r="V176" s="9" t="n">
        <f aca="false">IF(T176&gt;0,U176/T176,IF(I176="Opening",0,V175))</f>
        <v>2512.02390468176</v>
      </c>
      <c r="W176" s="14" t="n">
        <f aca="false">M176</f>
        <v>0</v>
      </c>
      <c r="X176" s="9" t="n">
        <f aca="false">IF(W176=0,0,IF(O176="Booked",N176,W176*AA175))</f>
        <v>0</v>
      </c>
      <c r="Y176" s="14" t="n">
        <f aca="false">IF(I176="Opening",K176,Y175+K176-W176)</f>
        <v>4915.18</v>
      </c>
      <c r="Z176" s="9" t="n">
        <f aca="false">IF(I176="Opening",L176,Z175+L176-X176)</f>
        <v>12347049.6558137</v>
      </c>
      <c r="AA176" s="9" t="n">
        <f aca="false">IF(Y176&gt;0,Z176/Y176,IF(I176="Opening",0,AA175))</f>
        <v>2512.02390468176</v>
      </c>
      <c r="AB176" s="9" t="n">
        <f aca="false">IF(AND(I176="DO",O176="MA"),S176-N176,0)</f>
        <v>0</v>
      </c>
      <c r="AC176" s="9" t="n">
        <f aca="false">IF(I176="DO",X176-S176,0)</f>
        <v>0</v>
      </c>
      <c r="AD176" s="23" t="n">
        <f aca="false">IF(B177&lt;&gt;B176,1,0)</f>
        <v>0</v>
      </c>
      <c r="AE176" s="14" t="n">
        <f aca="false">IF(I176="Opening",0,AE175+W176)</f>
        <v>2588.4</v>
      </c>
      <c r="AF176" s="14" t="n">
        <f aca="false">IF(I176="Opening",K176,AF175)</f>
        <v>4612.58</v>
      </c>
      <c r="AG176" s="14" t="n">
        <f aca="false">AG175</f>
        <v>0</v>
      </c>
      <c r="AH176" s="14" t="n">
        <f aca="false">IF(W176=0,0,MAX(0,MIN(AE176,AF176)-MIN(AE176-W176,AF176)))</f>
        <v>0</v>
      </c>
      <c r="AI176" s="14" t="n">
        <f aca="false">IF(W176=0,0,MAX(0,MIN(AE176,AF176+AG176)-MAX(AE176-W176,AF176)))</f>
        <v>0</v>
      </c>
      <c r="AJ176" s="14" t="n">
        <f aca="false">W176-AH176-AI176</f>
        <v>0</v>
      </c>
      <c r="AK176" s="9" t="n">
        <f aca="false">IF(W176=0,0,X176*AH176/W176)</f>
        <v>0</v>
      </c>
      <c r="AL176" s="9" t="n">
        <f aca="false">IF(W176=0,0,X176*AI176/W176)</f>
        <v>0</v>
      </c>
      <c r="AM176" s="9" t="n">
        <f aca="false">X176-AK176-AL176</f>
        <v>0</v>
      </c>
    </row>
    <row r="177" customFormat="false" ht="15" hidden="false" customHeight="false" outlineLevel="0" collapsed="false">
      <c r="A177" s="6" t="n">
        <v>172</v>
      </c>
      <c r="B177" s="74" t="s">
        <v>953</v>
      </c>
      <c r="C177" s="53" t="str">
        <f aca="false">INDEX(I_Items!$C$5:$C$133,MATCH($B177,I_Items!$A$5:$A$133,0))</f>
        <v>RPA</v>
      </c>
      <c r="D177" s="53" t="str">
        <f aca="false">INDEX(I_Items!$D$5:$D$133,MATCH($B177,I_Items!$A$5:$A$133,0))</f>
        <v>Usus</v>
      </c>
      <c r="E177" s="53" t="str">
        <f aca="false">INDEX(I_Items!$F$5:$F$133,MATCH($B177,I_Items!$A$5:$A$133,0))</f>
        <v>Fresh</v>
      </c>
      <c r="F177" s="53" t="str">
        <f aca="false">IF(INDEX(I_Items!$E$5:$E$133,MATCH($B177,I_Items!$A$5:$A$133,0))="","",INDEX(I_Items!$E$5:$E$133,MATCH($B177,I_Items!$A$5:$A$133,0)))</f>
        <v/>
      </c>
      <c r="G177" s="76" t="n">
        <v>46259</v>
      </c>
      <c r="H177" s="23" t="n">
        <f aca="false">MONTH(G177)</f>
        <v>8</v>
      </c>
      <c r="I177" s="74" t="s">
        <v>2074</v>
      </c>
      <c r="J177" s="74" t="s">
        <v>1314</v>
      </c>
      <c r="K177" s="10" t="n">
        <v>501.1</v>
      </c>
      <c r="L177" s="8" t="n">
        <v>2800055.2</v>
      </c>
      <c r="M177" s="10" t="n">
        <v>0</v>
      </c>
      <c r="N177" s="8" t="n">
        <v>0</v>
      </c>
      <c r="O177" s="74"/>
      <c r="P177" s="74"/>
      <c r="Q177" s="74"/>
      <c r="R177" s="14" t="n">
        <f aca="false">IF(I177="Unbilled",0,M177)</f>
        <v>0</v>
      </c>
      <c r="S177" s="9" t="n">
        <f aca="false">IF(R177=0,0,IF(O177="Booked",N177,R177*V176))</f>
        <v>0</v>
      </c>
      <c r="T177" s="14" t="n">
        <f aca="false">IF(I177="Opening",K177,T176+K177-R177)</f>
        <v>5416.28</v>
      </c>
      <c r="U177" s="9" t="n">
        <f aca="false">IF(I177="Opening",L177,U176+L177-S177)</f>
        <v>15147104.8558137</v>
      </c>
      <c r="V177" s="9" t="n">
        <f aca="false">IF(T177&gt;0,U177/T177,IF(I177="Opening",0,V176))</f>
        <v>2796.58822214023</v>
      </c>
      <c r="W177" s="14" t="n">
        <f aca="false">M177</f>
        <v>0</v>
      </c>
      <c r="X177" s="9" t="n">
        <f aca="false">IF(W177=0,0,IF(O177="Booked",N177,W177*AA176))</f>
        <v>0</v>
      </c>
      <c r="Y177" s="14" t="n">
        <f aca="false">IF(I177="Opening",K177,Y176+K177-W177)</f>
        <v>5416.28</v>
      </c>
      <c r="Z177" s="9" t="n">
        <f aca="false">IF(I177="Opening",L177,Z176+L177-X177)</f>
        <v>15147104.8558137</v>
      </c>
      <c r="AA177" s="9" t="n">
        <f aca="false">IF(Y177&gt;0,Z177/Y177,IF(I177="Opening",0,AA176))</f>
        <v>2796.58822214023</v>
      </c>
      <c r="AB177" s="9" t="n">
        <f aca="false">IF(AND(I177="DO",O177="MA"),S177-N177,0)</f>
        <v>0</v>
      </c>
      <c r="AC177" s="9" t="n">
        <f aca="false">IF(I177="DO",X177-S177,0)</f>
        <v>0</v>
      </c>
      <c r="AD177" s="23" t="n">
        <f aca="false">IF(B178&lt;&gt;B177,1,0)</f>
        <v>0</v>
      </c>
      <c r="AE177" s="14" t="n">
        <f aca="false">IF(I177="Opening",0,AE176+W177)</f>
        <v>2588.4</v>
      </c>
      <c r="AF177" s="14" t="n">
        <f aca="false">IF(I177="Opening",K177,AF176)</f>
        <v>4612.58</v>
      </c>
      <c r="AG177" s="14" t="n">
        <f aca="false">AG176</f>
        <v>0</v>
      </c>
      <c r="AH177" s="14" t="n">
        <f aca="false">IF(W177=0,0,MAX(0,MIN(AE177,AF177)-MIN(AE177-W177,AF177)))</f>
        <v>0</v>
      </c>
      <c r="AI177" s="14" t="n">
        <f aca="false">IF(W177=0,0,MAX(0,MIN(AE177,AF177+AG177)-MAX(AE177-W177,AF177)))</f>
        <v>0</v>
      </c>
      <c r="AJ177" s="14" t="n">
        <f aca="false">W177-AH177-AI177</f>
        <v>0</v>
      </c>
      <c r="AK177" s="9" t="n">
        <f aca="false">IF(W177=0,0,X177*AH177/W177)</f>
        <v>0</v>
      </c>
      <c r="AL177" s="9" t="n">
        <f aca="false">IF(W177=0,0,X177*AI177/W177)</f>
        <v>0</v>
      </c>
      <c r="AM177" s="9" t="n">
        <f aca="false">X177-AK177-AL177</f>
        <v>0</v>
      </c>
    </row>
    <row r="178" customFormat="false" ht="15" hidden="false" customHeight="false" outlineLevel="0" collapsed="false">
      <c r="A178" s="6" t="n">
        <v>173</v>
      </c>
      <c r="B178" s="74" t="s">
        <v>953</v>
      </c>
      <c r="C178" s="53" t="str">
        <f aca="false">INDEX(I_Items!$C$5:$C$133,MATCH($B178,I_Items!$A$5:$A$133,0))</f>
        <v>RPA</v>
      </c>
      <c r="D178" s="53" t="str">
        <f aca="false">INDEX(I_Items!$D$5:$D$133,MATCH($B178,I_Items!$A$5:$A$133,0))</f>
        <v>Usus</v>
      </c>
      <c r="E178" s="53" t="str">
        <f aca="false">INDEX(I_Items!$F$5:$F$133,MATCH($B178,I_Items!$A$5:$A$133,0))</f>
        <v>Fresh</v>
      </c>
      <c r="F178" s="53" t="str">
        <f aca="false">IF(INDEX(I_Items!$E$5:$E$133,MATCH($B178,I_Items!$A$5:$A$133,0))="","",INDEX(I_Items!$E$5:$E$133,MATCH($B178,I_Items!$A$5:$A$133,0)))</f>
        <v/>
      </c>
      <c r="G178" s="76" t="n">
        <v>46260</v>
      </c>
      <c r="H178" s="23" t="n">
        <f aca="false">MONTH(G178)</f>
        <v>8</v>
      </c>
      <c r="I178" s="74" t="s">
        <v>2074</v>
      </c>
      <c r="J178" s="74" t="s">
        <v>1317</v>
      </c>
      <c r="K178" s="10" t="n">
        <v>514.9</v>
      </c>
      <c r="L178" s="8" t="n">
        <v>2938783.56</v>
      </c>
      <c r="M178" s="10" t="n">
        <v>0</v>
      </c>
      <c r="N178" s="8" t="n">
        <v>0</v>
      </c>
      <c r="O178" s="74"/>
      <c r="P178" s="74"/>
      <c r="Q178" s="74"/>
      <c r="R178" s="14" t="n">
        <f aca="false">IF(I178="Unbilled",0,M178)</f>
        <v>0</v>
      </c>
      <c r="S178" s="9" t="n">
        <f aca="false">IF(R178=0,0,IF(O178="Booked",N178,R178*V177))</f>
        <v>0</v>
      </c>
      <c r="T178" s="14" t="n">
        <f aca="false">IF(I178="Opening",K178,T177+K178-R178)</f>
        <v>5931.18</v>
      </c>
      <c r="U178" s="9" t="n">
        <f aca="false">IF(I178="Opening",L178,U177+L178-S178)</f>
        <v>18085888.4158137</v>
      </c>
      <c r="V178" s="9" t="n">
        <f aca="false">IF(T178&gt;0,U178/T178,IF(I178="Opening",0,V177))</f>
        <v>3049.29009333955</v>
      </c>
      <c r="W178" s="14" t="n">
        <f aca="false">M178</f>
        <v>0</v>
      </c>
      <c r="X178" s="9" t="n">
        <f aca="false">IF(W178=0,0,IF(O178="Booked",N178,W178*AA177))</f>
        <v>0</v>
      </c>
      <c r="Y178" s="14" t="n">
        <f aca="false">IF(I178="Opening",K178,Y177+K178-W178)</f>
        <v>5931.18</v>
      </c>
      <c r="Z178" s="9" t="n">
        <f aca="false">IF(I178="Opening",L178,Z177+L178-X178)</f>
        <v>18085888.4158137</v>
      </c>
      <c r="AA178" s="9" t="n">
        <f aca="false">IF(Y178&gt;0,Z178/Y178,IF(I178="Opening",0,AA177))</f>
        <v>3049.29009333955</v>
      </c>
      <c r="AB178" s="9" t="n">
        <f aca="false">IF(AND(I178="DO",O178="MA"),S178-N178,0)</f>
        <v>0</v>
      </c>
      <c r="AC178" s="9" t="n">
        <f aca="false">IF(I178="DO",X178-S178,0)</f>
        <v>0</v>
      </c>
      <c r="AD178" s="23" t="n">
        <f aca="false">IF(B179&lt;&gt;B178,1,0)</f>
        <v>0</v>
      </c>
      <c r="AE178" s="14" t="n">
        <f aca="false">IF(I178="Opening",0,AE177+W178)</f>
        <v>2588.4</v>
      </c>
      <c r="AF178" s="14" t="n">
        <f aca="false">IF(I178="Opening",K178,AF177)</f>
        <v>4612.58</v>
      </c>
      <c r="AG178" s="14" t="n">
        <f aca="false">AG177</f>
        <v>0</v>
      </c>
      <c r="AH178" s="14" t="n">
        <f aca="false">IF(W178=0,0,MAX(0,MIN(AE178,AF178)-MIN(AE178-W178,AF178)))</f>
        <v>0</v>
      </c>
      <c r="AI178" s="14" t="n">
        <f aca="false">IF(W178=0,0,MAX(0,MIN(AE178,AF178+AG178)-MAX(AE178-W178,AF178)))</f>
        <v>0</v>
      </c>
      <c r="AJ178" s="14" t="n">
        <f aca="false">W178-AH178-AI178</f>
        <v>0</v>
      </c>
      <c r="AK178" s="9" t="n">
        <f aca="false">IF(W178=0,0,X178*AH178/W178)</f>
        <v>0</v>
      </c>
      <c r="AL178" s="9" t="n">
        <f aca="false">IF(W178=0,0,X178*AI178/W178)</f>
        <v>0</v>
      </c>
      <c r="AM178" s="9" t="n">
        <f aca="false">X178-AK178-AL178</f>
        <v>0</v>
      </c>
    </row>
    <row r="179" customFormat="false" ht="15" hidden="false" customHeight="false" outlineLevel="0" collapsed="false">
      <c r="A179" s="6" t="n">
        <v>174</v>
      </c>
      <c r="B179" s="74" t="s">
        <v>953</v>
      </c>
      <c r="C179" s="53" t="str">
        <f aca="false">INDEX(I_Items!$C$5:$C$133,MATCH($B179,I_Items!$A$5:$A$133,0))</f>
        <v>RPA</v>
      </c>
      <c r="D179" s="53" t="str">
        <f aca="false">INDEX(I_Items!$D$5:$D$133,MATCH($B179,I_Items!$A$5:$A$133,0))</f>
        <v>Usus</v>
      </c>
      <c r="E179" s="53" t="str">
        <f aca="false">INDEX(I_Items!$F$5:$F$133,MATCH($B179,I_Items!$A$5:$A$133,0))</f>
        <v>Fresh</v>
      </c>
      <c r="F179" s="53" t="str">
        <f aca="false">IF(INDEX(I_Items!$E$5:$E$133,MATCH($B179,I_Items!$A$5:$A$133,0))="","",INDEX(I_Items!$E$5:$E$133,MATCH($B179,I_Items!$A$5:$A$133,0)))</f>
        <v/>
      </c>
      <c r="G179" s="76" t="n">
        <v>46260</v>
      </c>
      <c r="H179" s="23" t="n">
        <f aca="false">MONTH(G179)</f>
        <v>8</v>
      </c>
      <c r="I179" s="74" t="s">
        <v>2075</v>
      </c>
      <c r="J179" s="74" t="s">
        <v>2094</v>
      </c>
      <c r="K179" s="10" t="n">
        <v>0</v>
      </c>
      <c r="L179" s="8" t="n">
        <v>0</v>
      </c>
      <c r="M179" s="10" t="n">
        <v>188</v>
      </c>
      <c r="N179" s="8" t="n">
        <v>573266.54</v>
      </c>
      <c r="O179" s="74" t="s">
        <v>2077</v>
      </c>
      <c r="P179" s="74"/>
      <c r="Q179" s="74"/>
      <c r="R179" s="14" t="n">
        <f aca="false">IF(I179="Unbilled",0,M179)</f>
        <v>188</v>
      </c>
      <c r="S179" s="9" t="n">
        <f aca="false">IF(R179=0,0,IF(O179="Booked",N179,R179*V178))</f>
        <v>573266.537547836</v>
      </c>
      <c r="T179" s="14" t="n">
        <f aca="false">IF(I179="Opening",K179,T178+K179-R179)</f>
        <v>5743.18</v>
      </c>
      <c r="U179" s="9" t="n">
        <f aca="false">IF(I179="Opening",L179,U178+L179-S179)</f>
        <v>17512621.8782659</v>
      </c>
      <c r="V179" s="9" t="n">
        <f aca="false">IF(T179&gt;0,U179/T179,IF(I179="Opening",0,V178))</f>
        <v>3049.29009333955</v>
      </c>
      <c r="W179" s="14" t="n">
        <f aca="false">M179</f>
        <v>188</v>
      </c>
      <c r="X179" s="9" t="n">
        <f aca="false">IF(W179=0,0,IF(O179="Booked",N179,W179*AA178))</f>
        <v>573266.537547836</v>
      </c>
      <c r="Y179" s="14" t="n">
        <f aca="false">IF(I179="Opening",K179,Y178+K179-W179)</f>
        <v>5743.18</v>
      </c>
      <c r="Z179" s="9" t="n">
        <f aca="false">IF(I179="Opening",L179,Z178+L179-X179)</f>
        <v>17512621.8782659</v>
      </c>
      <c r="AA179" s="9" t="n">
        <f aca="false">IF(Y179&gt;0,Z179/Y179,IF(I179="Opening",0,AA178))</f>
        <v>3049.29009333955</v>
      </c>
      <c r="AB179" s="9" t="n">
        <f aca="false">IF(AND(I179="DO",O179="MA"),S179-N179,0)</f>
        <v>-0.00245216418989003</v>
      </c>
      <c r="AC179" s="9" t="n">
        <f aca="false">IF(I179="DO",X179-S179,0)</f>
        <v>0</v>
      </c>
      <c r="AD179" s="23" t="n">
        <f aca="false">IF(B180&lt;&gt;B179,1,0)</f>
        <v>0</v>
      </c>
      <c r="AE179" s="14" t="n">
        <f aca="false">IF(I179="Opening",0,AE178+W179)</f>
        <v>2776.4</v>
      </c>
      <c r="AF179" s="14" t="n">
        <f aca="false">IF(I179="Opening",K179,AF178)</f>
        <v>4612.58</v>
      </c>
      <c r="AG179" s="14" t="n">
        <f aca="false">AG178</f>
        <v>0</v>
      </c>
      <c r="AH179" s="14" t="n">
        <f aca="false">IF(W179=0,0,MAX(0,MIN(AE179,AF179)-MIN(AE179-W179,AF179)))</f>
        <v>188</v>
      </c>
      <c r="AI179" s="14" t="n">
        <f aca="false">IF(W179=0,0,MAX(0,MIN(AE179,AF179+AG179)-MAX(AE179-W179,AF179)))</f>
        <v>0</v>
      </c>
      <c r="AJ179" s="14" t="n">
        <f aca="false">W179-AH179-AI179</f>
        <v>0</v>
      </c>
      <c r="AK179" s="9" t="n">
        <f aca="false">IF(W179=0,0,X179*AH179/W179)</f>
        <v>573266.537547836</v>
      </c>
      <c r="AL179" s="9" t="n">
        <f aca="false">IF(W179=0,0,X179*AI179/W179)</f>
        <v>0</v>
      </c>
      <c r="AM179" s="9" t="n">
        <f aca="false">X179-AK179-AL179</f>
        <v>0</v>
      </c>
    </row>
    <row r="180" customFormat="false" ht="15" hidden="false" customHeight="false" outlineLevel="0" collapsed="false">
      <c r="A180" s="6" t="n">
        <v>175</v>
      </c>
      <c r="B180" s="74" t="s">
        <v>953</v>
      </c>
      <c r="C180" s="53" t="str">
        <f aca="false">INDEX(I_Items!$C$5:$C$133,MATCH($B180,I_Items!$A$5:$A$133,0))</f>
        <v>RPA</v>
      </c>
      <c r="D180" s="53" t="str">
        <f aca="false">INDEX(I_Items!$D$5:$D$133,MATCH($B180,I_Items!$A$5:$A$133,0))</f>
        <v>Usus</v>
      </c>
      <c r="E180" s="53" t="str">
        <f aca="false">INDEX(I_Items!$F$5:$F$133,MATCH($B180,I_Items!$A$5:$A$133,0))</f>
        <v>Fresh</v>
      </c>
      <c r="F180" s="53" t="str">
        <f aca="false">IF(INDEX(I_Items!$E$5:$E$133,MATCH($B180,I_Items!$A$5:$A$133,0))="","",INDEX(I_Items!$E$5:$E$133,MATCH($B180,I_Items!$A$5:$A$133,0)))</f>
        <v/>
      </c>
      <c r="G180" s="76" t="n">
        <v>46260</v>
      </c>
      <c r="H180" s="23" t="n">
        <f aca="false">MONTH(G180)</f>
        <v>8</v>
      </c>
      <c r="I180" s="74" t="s">
        <v>2075</v>
      </c>
      <c r="J180" s="74" t="s">
        <v>2095</v>
      </c>
      <c r="K180" s="10" t="n">
        <v>0</v>
      </c>
      <c r="L180" s="8" t="n">
        <v>0</v>
      </c>
      <c r="M180" s="10" t="n">
        <v>150.3</v>
      </c>
      <c r="N180" s="8" t="n">
        <v>458308.3</v>
      </c>
      <c r="O180" s="74" t="s">
        <v>2077</v>
      </c>
      <c r="P180" s="74"/>
      <c r="Q180" s="74"/>
      <c r="R180" s="14" t="n">
        <f aca="false">IF(I180="Unbilled",0,M180)</f>
        <v>150.3</v>
      </c>
      <c r="S180" s="9" t="n">
        <f aca="false">IF(R180=0,0,IF(O180="Booked",N180,R180*V179))</f>
        <v>458308.301028935</v>
      </c>
      <c r="T180" s="14" t="n">
        <f aca="false">IF(I180="Opening",K180,T179+K180-R180)</f>
        <v>5592.88</v>
      </c>
      <c r="U180" s="9" t="n">
        <f aca="false">IF(I180="Opening",L180,U179+L180-S180)</f>
        <v>17054313.5772369</v>
      </c>
      <c r="V180" s="9" t="n">
        <f aca="false">IF(T180&gt;0,U180/T180,IF(I180="Opening",0,V179))</f>
        <v>3049.29009333955</v>
      </c>
      <c r="W180" s="14" t="n">
        <f aca="false">M180</f>
        <v>150.3</v>
      </c>
      <c r="X180" s="9" t="n">
        <f aca="false">IF(W180=0,0,IF(O180="Booked",N180,W180*AA179))</f>
        <v>458308.301028935</v>
      </c>
      <c r="Y180" s="14" t="n">
        <f aca="false">IF(I180="Opening",K180,Y179+K180-W180)</f>
        <v>5592.88</v>
      </c>
      <c r="Z180" s="9" t="n">
        <f aca="false">IF(I180="Opening",L180,Z179+L180-X180)</f>
        <v>17054313.5772369</v>
      </c>
      <c r="AA180" s="9" t="n">
        <f aca="false">IF(Y180&gt;0,Z180/Y180,IF(I180="Opening",0,AA179))</f>
        <v>3049.29009333955</v>
      </c>
      <c r="AB180" s="9" t="n">
        <f aca="false">IF(AND(I180="DO",O180="MA"),S180-N180,0)</f>
        <v>0.00102893478469923</v>
      </c>
      <c r="AC180" s="9" t="n">
        <f aca="false">IF(I180="DO",X180-S180,0)</f>
        <v>0</v>
      </c>
      <c r="AD180" s="23" t="n">
        <f aca="false">IF(B181&lt;&gt;B180,1,0)</f>
        <v>0</v>
      </c>
      <c r="AE180" s="14" t="n">
        <f aca="false">IF(I180="Opening",0,AE179+W180)</f>
        <v>2926.7</v>
      </c>
      <c r="AF180" s="14" t="n">
        <f aca="false">IF(I180="Opening",K180,AF179)</f>
        <v>4612.58</v>
      </c>
      <c r="AG180" s="14" t="n">
        <f aca="false">AG179</f>
        <v>0</v>
      </c>
      <c r="AH180" s="14" t="n">
        <f aca="false">IF(W180=0,0,MAX(0,MIN(AE180,AF180)-MIN(AE180-W180,AF180)))</f>
        <v>150.3</v>
      </c>
      <c r="AI180" s="14" t="n">
        <f aca="false">IF(W180=0,0,MAX(0,MIN(AE180,AF180+AG180)-MAX(AE180-W180,AF180)))</f>
        <v>0</v>
      </c>
      <c r="AJ180" s="14" t="n">
        <f aca="false">W180-AH180-AI180</f>
        <v>0</v>
      </c>
      <c r="AK180" s="9" t="n">
        <f aca="false">IF(W180=0,0,X180*AH180/W180)</f>
        <v>458308.301028935</v>
      </c>
      <c r="AL180" s="9" t="n">
        <f aca="false">IF(W180=0,0,X180*AI180/W180)</f>
        <v>0</v>
      </c>
      <c r="AM180" s="9" t="n">
        <f aca="false">X180-AK180-AL180</f>
        <v>0</v>
      </c>
    </row>
    <row r="181" customFormat="false" ht="15" hidden="false" customHeight="false" outlineLevel="0" collapsed="false">
      <c r="A181" s="6" t="n">
        <v>176</v>
      </c>
      <c r="B181" s="74" t="s">
        <v>953</v>
      </c>
      <c r="C181" s="53" t="str">
        <f aca="false">INDEX(I_Items!$C$5:$C$133,MATCH($B181,I_Items!$A$5:$A$133,0))</f>
        <v>RPA</v>
      </c>
      <c r="D181" s="53" t="str">
        <f aca="false">INDEX(I_Items!$D$5:$D$133,MATCH($B181,I_Items!$A$5:$A$133,0))</f>
        <v>Usus</v>
      </c>
      <c r="E181" s="53" t="str">
        <f aca="false">INDEX(I_Items!$F$5:$F$133,MATCH($B181,I_Items!$A$5:$A$133,0))</f>
        <v>Fresh</v>
      </c>
      <c r="F181" s="53" t="str">
        <f aca="false">IF(INDEX(I_Items!$E$5:$E$133,MATCH($B181,I_Items!$A$5:$A$133,0))="","",INDEX(I_Items!$E$5:$E$133,MATCH($B181,I_Items!$A$5:$A$133,0)))</f>
        <v/>
      </c>
      <c r="G181" s="76" t="n">
        <v>46260</v>
      </c>
      <c r="H181" s="23" t="n">
        <f aca="false">MONTH(G181)</f>
        <v>8</v>
      </c>
      <c r="I181" s="74" t="s">
        <v>2075</v>
      </c>
      <c r="J181" s="74" t="s">
        <v>2096</v>
      </c>
      <c r="K181" s="10" t="n">
        <v>0</v>
      </c>
      <c r="L181" s="8" t="n">
        <v>0</v>
      </c>
      <c r="M181" s="10" t="n">
        <v>162.8</v>
      </c>
      <c r="N181" s="8" t="n">
        <v>496424.43</v>
      </c>
      <c r="O181" s="74" t="s">
        <v>2077</v>
      </c>
      <c r="P181" s="74"/>
      <c r="Q181" s="74"/>
      <c r="R181" s="14" t="n">
        <f aca="false">IF(I181="Unbilled",0,M181)</f>
        <v>162.8</v>
      </c>
      <c r="S181" s="9" t="n">
        <f aca="false">IF(R181=0,0,IF(O181="Booked",N181,R181*V180))</f>
        <v>496424.427195679</v>
      </c>
      <c r="T181" s="14" t="n">
        <f aca="false">IF(I181="Opening",K181,T180+K181-R181)</f>
        <v>5430.08</v>
      </c>
      <c r="U181" s="9" t="n">
        <f aca="false">IF(I181="Opening",L181,U180+L181-S181)</f>
        <v>16557889.1500412</v>
      </c>
      <c r="V181" s="9" t="n">
        <f aca="false">IF(T181&gt;0,U181/T181,IF(I181="Opening",0,V180))</f>
        <v>3049.29009333955</v>
      </c>
      <c r="W181" s="14" t="n">
        <f aca="false">M181</f>
        <v>162.8</v>
      </c>
      <c r="X181" s="9" t="n">
        <f aca="false">IF(W181=0,0,IF(O181="Booked",N181,W181*AA180))</f>
        <v>496424.427195679</v>
      </c>
      <c r="Y181" s="14" t="n">
        <f aca="false">IF(I181="Opening",K181,Y180+K181-W181)</f>
        <v>5430.08</v>
      </c>
      <c r="Z181" s="9" t="n">
        <f aca="false">IF(I181="Opening",L181,Z180+L181-X181)</f>
        <v>16557889.1500412</v>
      </c>
      <c r="AA181" s="9" t="n">
        <f aca="false">IF(Y181&gt;0,Z181/Y181,IF(I181="Opening",0,AA180))</f>
        <v>3049.29009333955</v>
      </c>
      <c r="AB181" s="9" t="n">
        <f aca="false">IF(AND(I181="DO",O181="MA"),S181-N181,0)</f>
        <v>-0.00280432071303949</v>
      </c>
      <c r="AC181" s="9" t="n">
        <f aca="false">IF(I181="DO",X181-S181,0)</f>
        <v>0</v>
      </c>
      <c r="AD181" s="23" t="n">
        <f aca="false">IF(B182&lt;&gt;B181,1,0)</f>
        <v>0</v>
      </c>
      <c r="AE181" s="14" t="n">
        <f aca="false">IF(I181="Opening",0,AE180+W181)</f>
        <v>3089.5</v>
      </c>
      <c r="AF181" s="14" t="n">
        <f aca="false">IF(I181="Opening",K181,AF180)</f>
        <v>4612.58</v>
      </c>
      <c r="AG181" s="14" t="n">
        <f aca="false">AG180</f>
        <v>0</v>
      </c>
      <c r="AH181" s="14" t="n">
        <f aca="false">IF(W181=0,0,MAX(0,MIN(AE181,AF181)-MIN(AE181-W181,AF181)))</f>
        <v>162.8</v>
      </c>
      <c r="AI181" s="14" t="n">
        <f aca="false">IF(W181=0,0,MAX(0,MIN(AE181,AF181+AG181)-MAX(AE181-W181,AF181)))</f>
        <v>0</v>
      </c>
      <c r="AJ181" s="14" t="n">
        <f aca="false">W181-AH181-AI181</f>
        <v>0</v>
      </c>
      <c r="AK181" s="9" t="n">
        <f aca="false">IF(W181=0,0,X181*AH181/W181)</f>
        <v>496424.42719568</v>
      </c>
      <c r="AL181" s="9" t="n">
        <f aca="false">IF(W181=0,0,X181*AI181/W181)</f>
        <v>0</v>
      </c>
      <c r="AM181" s="9" t="n">
        <f aca="false">X181-AK181-AL181</f>
        <v>0</v>
      </c>
    </row>
    <row r="182" customFormat="false" ht="15" hidden="false" customHeight="false" outlineLevel="0" collapsed="false">
      <c r="A182" s="6" t="n">
        <v>177</v>
      </c>
      <c r="B182" s="74" t="s">
        <v>953</v>
      </c>
      <c r="C182" s="53" t="str">
        <f aca="false">INDEX(I_Items!$C$5:$C$133,MATCH($B182,I_Items!$A$5:$A$133,0))</f>
        <v>RPA</v>
      </c>
      <c r="D182" s="53" t="str">
        <f aca="false">INDEX(I_Items!$D$5:$D$133,MATCH($B182,I_Items!$A$5:$A$133,0))</f>
        <v>Usus</v>
      </c>
      <c r="E182" s="53" t="str">
        <f aca="false">INDEX(I_Items!$F$5:$F$133,MATCH($B182,I_Items!$A$5:$A$133,0))</f>
        <v>Fresh</v>
      </c>
      <c r="F182" s="53" t="str">
        <f aca="false">IF(INDEX(I_Items!$E$5:$E$133,MATCH($B182,I_Items!$A$5:$A$133,0))="","",INDEX(I_Items!$E$5:$E$133,MATCH($B182,I_Items!$A$5:$A$133,0)))</f>
        <v/>
      </c>
      <c r="G182" s="76" t="n">
        <v>46261</v>
      </c>
      <c r="H182" s="23" t="n">
        <f aca="false">MONTH(G182)</f>
        <v>8</v>
      </c>
      <c r="I182" s="74" t="s">
        <v>2074</v>
      </c>
      <c r="J182" s="74" t="s">
        <v>1320</v>
      </c>
      <c r="K182" s="10" t="n">
        <v>517.4</v>
      </c>
      <c r="L182" s="8" t="n">
        <v>2915027.15</v>
      </c>
      <c r="M182" s="10" t="n">
        <v>0</v>
      </c>
      <c r="N182" s="8" t="n">
        <v>0</v>
      </c>
      <c r="O182" s="74"/>
      <c r="P182" s="74"/>
      <c r="Q182" s="74"/>
      <c r="R182" s="14" t="n">
        <f aca="false">IF(I182="Unbilled",0,M182)</f>
        <v>0</v>
      </c>
      <c r="S182" s="9" t="n">
        <f aca="false">IF(R182=0,0,IF(O182="Booked",N182,R182*V181))</f>
        <v>0</v>
      </c>
      <c r="T182" s="14" t="n">
        <f aca="false">IF(I182="Opening",K182,T181+K182-R182)</f>
        <v>5947.48</v>
      </c>
      <c r="U182" s="9" t="n">
        <f aca="false">IF(I182="Opening",L182,U181+L182-S182)</f>
        <v>19472916.3000412</v>
      </c>
      <c r="V182" s="9" t="n">
        <f aca="false">IF(T182&gt;0,U182/T182,IF(I182="Opening",0,V181))</f>
        <v>3274.14573904263</v>
      </c>
      <c r="W182" s="14" t="n">
        <f aca="false">M182</f>
        <v>0</v>
      </c>
      <c r="X182" s="9" t="n">
        <f aca="false">IF(W182=0,0,IF(O182="Booked",N182,W182*AA181))</f>
        <v>0</v>
      </c>
      <c r="Y182" s="14" t="n">
        <f aca="false">IF(I182="Opening",K182,Y181+K182-W182)</f>
        <v>5947.48</v>
      </c>
      <c r="Z182" s="9" t="n">
        <f aca="false">IF(I182="Opening",L182,Z181+L182-X182)</f>
        <v>19472916.3000412</v>
      </c>
      <c r="AA182" s="9" t="n">
        <f aca="false">IF(Y182&gt;0,Z182/Y182,IF(I182="Opening",0,AA181))</f>
        <v>3274.14573904263</v>
      </c>
      <c r="AB182" s="9" t="n">
        <f aca="false">IF(AND(I182="DO",O182="MA"),S182-N182,0)</f>
        <v>0</v>
      </c>
      <c r="AC182" s="9" t="n">
        <f aca="false">IF(I182="DO",X182-S182,0)</f>
        <v>0</v>
      </c>
      <c r="AD182" s="23" t="n">
        <f aca="false">IF(B183&lt;&gt;B182,1,0)</f>
        <v>0</v>
      </c>
      <c r="AE182" s="14" t="n">
        <f aca="false">IF(I182="Opening",0,AE181+W182)</f>
        <v>3089.5</v>
      </c>
      <c r="AF182" s="14" t="n">
        <f aca="false">IF(I182="Opening",K182,AF181)</f>
        <v>4612.58</v>
      </c>
      <c r="AG182" s="14" t="n">
        <f aca="false">AG181</f>
        <v>0</v>
      </c>
      <c r="AH182" s="14" t="n">
        <f aca="false">IF(W182=0,0,MAX(0,MIN(AE182,AF182)-MIN(AE182-W182,AF182)))</f>
        <v>0</v>
      </c>
      <c r="AI182" s="14" t="n">
        <f aca="false">IF(W182=0,0,MAX(0,MIN(AE182,AF182+AG182)-MAX(AE182-W182,AF182)))</f>
        <v>0</v>
      </c>
      <c r="AJ182" s="14" t="n">
        <f aca="false">W182-AH182-AI182</f>
        <v>0</v>
      </c>
      <c r="AK182" s="9" t="n">
        <f aca="false">IF(W182=0,0,X182*AH182/W182)</f>
        <v>0</v>
      </c>
      <c r="AL182" s="9" t="n">
        <f aca="false">IF(W182=0,0,X182*AI182/W182)</f>
        <v>0</v>
      </c>
      <c r="AM182" s="9" t="n">
        <f aca="false">X182-AK182-AL182</f>
        <v>0</v>
      </c>
    </row>
    <row r="183" customFormat="false" ht="15" hidden="false" customHeight="false" outlineLevel="0" collapsed="false">
      <c r="A183" s="6" t="n">
        <v>178</v>
      </c>
      <c r="B183" s="74" t="s">
        <v>953</v>
      </c>
      <c r="C183" s="53" t="str">
        <f aca="false">INDEX(I_Items!$C$5:$C$133,MATCH($B183,I_Items!$A$5:$A$133,0))</f>
        <v>RPA</v>
      </c>
      <c r="D183" s="53" t="str">
        <f aca="false">INDEX(I_Items!$D$5:$D$133,MATCH($B183,I_Items!$A$5:$A$133,0))</f>
        <v>Usus</v>
      </c>
      <c r="E183" s="53" t="str">
        <f aca="false">INDEX(I_Items!$F$5:$F$133,MATCH($B183,I_Items!$A$5:$A$133,0))</f>
        <v>Fresh</v>
      </c>
      <c r="F183" s="53" t="str">
        <f aca="false">IF(INDEX(I_Items!$E$5:$E$133,MATCH($B183,I_Items!$A$5:$A$133,0))="","",INDEX(I_Items!$E$5:$E$133,MATCH($B183,I_Items!$A$5:$A$133,0)))</f>
        <v/>
      </c>
      <c r="G183" s="76" t="n">
        <v>46262</v>
      </c>
      <c r="H183" s="23" t="n">
        <f aca="false">MONTH(G183)</f>
        <v>8</v>
      </c>
      <c r="I183" s="74" t="s">
        <v>2074</v>
      </c>
      <c r="J183" s="74" t="s">
        <v>1323</v>
      </c>
      <c r="K183" s="10" t="n">
        <v>640.6</v>
      </c>
      <c r="L183" s="8" t="n">
        <v>3638981.98</v>
      </c>
      <c r="M183" s="10" t="n">
        <v>0</v>
      </c>
      <c r="N183" s="8" t="n">
        <v>0</v>
      </c>
      <c r="O183" s="74"/>
      <c r="P183" s="74"/>
      <c r="Q183" s="74"/>
      <c r="R183" s="14" t="n">
        <f aca="false">IF(I183="Unbilled",0,M183)</f>
        <v>0</v>
      </c>
      <c r="S183" s="9" t="n">
        <f aca="false">IF(R183=0,0,IF(O183="Booked",N183,R183*V182))</f>
        <v>0</v>
      </c>
      <c r="T183" s="14" t="n">
        <f aca="false">IF(I183="Opening",K183,T182+K183-R183)</f>
        <v>6588.08</v>
      </c>
      <c r="U183" s="9" t="n">
        <f aca="false">IF(I183="Opening",L183,U182+L183-S183)</f>
        <v>23111898.2800412</v>
      </c>
      <c r="V183" s="9" t="n">
        <f aca="false">IF(T183&gt;0,U183/T183,IF(I183="Opening",0,V182))</f>
        <v>3508.13868077516</v>
      </c>
      <c r="W183" s="14" t="n">
        <f aca="false">M183</f>
        <v>0</v>
      </c>
      <c r="X183" s="9" t="n">
        <f aca="false">IF(W183=0,0,IF(O183="Booked",N183,W183*AA182))</f>
        <v>0</v>
      </c>
      <c r="Y183" s="14" t="n">
        <f aca="false">IF(I183="Opening",K183,Y182+K183-W183)</f>
        <v>6588.08</v>
      </c>
      <c r="Z183" s="9" t="n">
        <f aca="false">IF(I183="Opening",L183,Z182+L183-X183)</f>
        <v>23111898.2800412</v>
      </c>
      <c r="AA183" s="9" t="n">
        <f aca="false">IF(Y183&gt;0,Z183/Y183,IF(I183="Opening",0,AA182))</f>
        <v>3508.13868077516</v>
      </c>
      <c r="AB183" s="9" t="n">
        <f aca="false">IF(AND(I183="DO",O183="MA"),S183-N183,0)</f>
        <v>0</v>
      </c>
      <c r="AC183" s="9" t="n">
        <f aca="false">IF(I183="DO",X183-S183,0)</f>
        <v>0</v>
      </c>
      <c r="AD183" s="23" t="n">
        <f aca="false">IF(B184&lt;&gt;B183,1,0)</f>
        <v>0</v>
      </c>
      <c r="AE183" s="14" t="n">
        <f aca="false">IF(I183="Opening",0,AE182+W183)</f>
        <v>3089.5</v>
      </c>
      <c r="AF183" s="14" t="n">
        <f aca="false">IF(I183="Opening",K183,AF182)</f>
        <v>4612.58</v>
      </c>
      <c r="AG183" s="14" t="n">
        <f aca="false">AG182</f>
        <v>0</v>
      </c>
      <c r="AH183" s="14" t="n">
        <f aca="false">IF(W183=0,0,MAX(0,MIN(AE183,AF183)-MIN(AE183-W183,AF183)))</f>
        <v>0</v>
      </c>
      <c r="AI183" s="14" t="n">
        <f aca="false">IF(W183=0,0,MAX(0,MIN(AE183,AF183+AG183)-MAX(AE183-W183,AF183)))</f>
        <v>0</v>
      </c>
      <c r="AJ183" s="14" t="n">
        <f aca="false">W183-AH183-AI183</f>
        <v>0</v>
      </c>
      <c r="AK183" s="9" t="n">
        <f aca="false">IF(W183=0,0,X183*AH183/W183)</f>
        <v>0</v>
      </c>
      <c r="AL183" s="9" t="n">
        <f aca="false">IF(W183=0,0,X183*AI183/W183)</f>
        <v>0</v>
      </c>
      <c r="AM183" s="9" t="n">
        <f aca="false">X183-AK183-AL183</f>
        <v>0</v>
      </c>
    </row>
    <row r="184" customFormat="false" ht="15" hidden="false" customHeight="false" outlineLevel="0" collapsed="false">
      <c r="A184" s="6" t="n">
        <v>179</v>
      </c>
      <c r="B184" s="74" t="s">
        <v>953</v>
      </c>
      <c r="C184" s="53" t="str">
        <f aca="false">INDEX(I_Items!$C$5:$C$133,MATCH($B184,I_Items!$A$5:$A$133,0))</f>
        <v>RPA</v>
      </c>
      <c r="D184" s="53" t="str">
        <f aca="false">INDEX(I_Items!$D$5:$D$133,MATCH($B184,I_Items!$A$5:$A$133,0))</f>
        <v>Usus</v>
      </c>
      <c r="E184" s="53" t="str">
        <f aca="false">INDEX(I_Items!$F$5:$F$133,MATCH($B184,I_Items!$A$5:$A$133,0))</f>
        <v>Fresh</v>
      </c>
      <c r="F184" s="53" t="str">
        <f aca="false">IF(INDEX(I_Items!$E$5:$E$133,MATCH($B184,I_Items!$A$5:$A$133,0))="","",INDEX(I_Items!$E$5:$E$133,MATCH($B184,I_Items!$A$5:$A$133,0)))</f>
        <v/>
      </c>
      <c r="G184" s="76" t="n">
        <v>46263</v>
      </c>
      <c r="H184" s="23" t="n">
        <f aca="false">MONTH(G184)</f>
        <v>8</v>
      </c>
      <c r="I184" s="74" t="s">
        <v>2075</v>
      </c>
      <c r="J184" s="74" t="s">
        <v>2097</v>
      </c>
      <c r="K184" s="10" t="n">
        <v>0</v>
      </c>
      <c r="L184" s="8" t="n">
        <v>0</v>
      </c>
      <c r="M184" s="10" t="n">
        <v>201</v>
      </c>
      <c r="N184" s="8" t="n">
        <v>705135.88</v>
      </c>
      <c r="O184" s="74" t="s">
        <v>2077</v>
      </c>
      <c r="P184" s="74"/>
      <c r="Q184" s="74"/>
      <c r="R184" s="14" t="n">
        <f aca="false">IF(I184="Unbilled",0,M184)</f>
        <v>201</v>
      </c>
      <c r="S184" s="9" t="n">
        <f aca="false">IF(R184=0,0,IF(O184="Booked",N184,R184*V183))</f>
        <v>705135.874835808</v>
      </c>
      <c r="T184" s="14" t="n">
        <f aca="false">IF(I184="Opening",K184,T183+K184-R184)</f>
        <v>6387.08</v>
      </c>
      <c r="U184" s="9" t="n">
        <f aca="false">IF(I184="Opening",L184,U183+L184-S184)</f>
        <v>22406762.4052054</v>
      </c>
      <c r="V184" s="9" t="n">
        <f aca="false">IF(T184&gt;0,U184/T184,IF(I184="Opening",0,V183))</f>
        <v>3508.13868077516</v>
      </c>
      <c r="W184" s="14" t="n">
        <f aca="false">M184</f>
        <v>201</v>
      </c>
      <c r="X184" s="9" t="n">
        <f aca="false">IF(W184=0,0,IF(O184="Booked",N184,W184*AA183))</f>
        <v>705135.874835808</v>
      </c>
      <c r="Y184" s="14" t="n">
        <f aca="false">IF(I184="Opening",K184,Y183+K184-W184)</f>
        <v>6387.08</v>
      </c>
      <c r="Z184" s="9" t="n">
        <f aca="false">IF(I184="Opening",L184,Z183+L184-X184)</f>
        <v>22406762.4052054</v>
      </c>
      <c r="AA184" s="9" t="n">
        <f aca="false">IF(Y184&gt;0,Z184/Y184,IF(I184="Opening",0,AA183))</f>
        <v>3508.13868077516</v>
      </c>
      <c r="AB184" s="9" t="n">
        <f aca="false">IF(AND(I184="DO",O184="MA"),S184-N184,0)</f>
        <v>-0.005164192058146</v>
      </c>
      <c r="AC184" s="9" t="n">
        <f aca="false">IF(I184="DO",X184-S184,0)</f>
        <v>0</v>
      </c>
      <c r="AD184" s="23" t="n">
        <f aca="false">IF(B185&lt;&gt;B184,1,0)</f>
        <v>0</v>
      </c>
      <c r="AE184" s="14" t="n">
        <f aca="false">IF(I184="Opening",0,AE183+W184)</f>
        <v>3290.5</v>
      </c>
      <c r="AF184" s="14" t="n">
        <f aca="false">IF(I184="Opening",K184,AF183)</f>
        <v>4612.58</v>
      </c>
      <c r="AG184" s="14" t="n">
        <f aca="false">AG183</f>
        <v>0</v>
      </c>
      <c r="AH184" s="14" t="n">
        <f aca="false">IF(W184=0,0,MAX(0,MIN(AE184,AF184)-MIN(AE184-W184,AF184)))</f>
        <v>201</v>
      </c>
      <c r="AI184" s="14" t="n">
        <f aca="false">IF(W184=0,0,MAX(0,MIN(AE184,AF184+AG184)-MAX(AE184-W184,AF184)))</f>
        <v>0</v>
      </c>
      <c r="AJ184" s="14" t="n">
        <f aca="false">W184-AH184-AI184</f>
        <v>0</v>
      </c>
      <c r="AK184" s="9" t="n">
        <f aca="false">IF(W184=0,0,X184*AH184/W184)</f>
        <v>705135.874835808</v>
      </c>
      <c r="AL184" s="9" t="n">
        <f aca="false">IF(W184=0,0,X184*AI184/W184)</f>
        <v>0</v>
      </c>
      <c r="AM184" s="9" t="n">
        <f aca="false">X184-AK184-AL184</f>
        <v>0</v>
      </c>
    </row>
    <row r="185" customFormat="false" ht="15" hidden="false" customHeight="false" outlineLevel="0" collapsed="false">
      <c r="A185" s="6" t="n">
        <v>180</v>
      </c>
      <c r="B185" s="74" t="s">
        <v>953</v>
      </c>
      <c r="C185" s="53" t="str">
        <f aca="false">INDEX(I_Items!$C$5:$C$133,MATCH($B185,I_Items!$A$5:$A$133,0))</f>
        <v>RPA</v>
      </c>
      <c r="D185" s="53" t="str">
        <f aca="false">INDEX(I_Items!$D$5:$D$133,MATCH($B185,I_Items!$A$5:$A$133,0))</f>
        <v>Usus</v>
      </c>
      <c r="E185" s="53" t="str">
        <f aca="false">INDEX(I_Items!$F$5:$F$133,MATCH($B185,I_Items!$A$5:$A$133,0))</f>
        <v>Fresh</v>
      </c>
      <c r="F185" s="53" t="str">
        <f aca="false">IF(INDEX(I_Items!$E$5:$E$133,MATCH($B185,I_Items!$A$5:$A$133,0))="","",INDEX(I_Items!$E$5:$E$133,MATCH($B185,I_Items!$A$5:$A$133,0)))</f>
        <v/>
      </c>
      <c r="G185" s="76" t="n">
        <v>46263</v>
      </c>
      <c r="H185" s="23" t="n">
        <f aca="false">MONTH(G185)</f>
        <v>8</v>
      </c>
      <c r="I185" s="74" t="s">
        <v>2075</v>
      </c>
      <c r="J185" s="74" t="s">
        <v>2098</v>
      </c>
      <c r="K185" s="10" t="n">
        <v>0</v>
      </c>
      <c r="L185" s="8" t="n">
        <v>0</v>
      </c>
      <c r="M185" s="10" t="n">
        <v>169.3</v>
      </c>
      <c r="N185" s="8" t="n">
        <v>593927.88</v>
      </c>
      <c r="O185" s="74" t="s">
        <v>2077</v>
      </c>
      <c r="P185" s="74"/>
      <c r="Q185" s="74"/>
      <c r="R185" s="14" t="n">
        <f aca="false">IF(I185="Unbilled",0,M185)</f>
        <v>169.3</v>
      </c>
      <c r="S185" s="9" t="n">
        <f aca="false">IF(R185=0,0,IF(O185="Booked",N185,R185*V184))</f>
        <v>593927.878655235</v>
      </c>
      <c r="T185" s="14" t="n">
        <f aca="false">IF(I185="Opening",K185,T184+K185-R185)</f>
        <v>6217.78</v>
      </c>
      <c r="U185" s="9" t="n">
        <f aca="false">IF(I185="Opening",L185,U184+L185-S185)</f>
        <v>21812834.5265502</v>
      </c>
      <c r="V185" s="9" t="n">
        <f aca="false">IF(T185&gt;0,U185/T185,IF(I185="Opening",0,V184))</f>
        <v>3508.13868077516</v>
      </c>
      <c r="W185" s="14" t="n">
        <f aca="false">M185</f>
        <v>169.3</v>
      </c>
      <c r="X185" s="9" t="n">
        <f aca="false">IF(W185=0,0,IF(O185="Booked",N185,W185*AA184))</f>
        <v>593927.878655235</v>
      </c>
      <c r="Y185" s="14" t="n">
        <f aca="false">IF(I185="Opening",K185,Y184+K185-W185)</f>
        <v>6217.78</v>
      </c>
      <c r="Z185" s="9" t="n">
        <f aca="false">IF(I185="Opening",L185,Z184+L185-X185)</f>
        <v>21812834.5265502</v>
      </c>
      <c r="AA185" s="9" t="n">
        <f aca="false">IF(Y185&gt;0,Z185/Y185,IF(I185="Opening",0,AA184))</f>
        <v>3508.13868077516</v>
      </c>
      <c r="AB185" s="9" t="n">
        <f aca="false">IF(AND(I185="DO",O185="MA"),S185-N185,0)</f>
        <v>-0.00134476472157985</v>
      </c>
      <c r="AC185" s="9" t="n">
        <f aca="false">IF(I185="DO",X185-S185,0)</f>
        <v>0</v>
      </c>
      <c r="AD185" s="23" t="n">
        <f aca="false">IF(B186&lt;&gt;B185,1,0)</f>
        <v>0</v>
      </c>
      <c r="AE185" s="14" t="n">
        <f aca="false">IF(I185="Opening",0,AE184+W185)</f>
        <v>3459.8</v>
      </c>
      <c r="AF185" s="14" t="n">
        <f aca="false">IF(I185="Opening",K185,AF184)</f>
        <v>4612.58</v>
      </c>
      <c r="AG185" s="14" t="n">
        <f aca="false">AG184</f>
        <v>0</v>
      </c>
      <c r="AH185" s="14" t="n">
        <f aca="false">IF(W185=0,0,MAX(0,MIN(AE185,AF185)-MIN(AE185-W185,AF185)))</f>
        <v>169.3</v>
      </c>
      <c r="AI185" s="14" t="n">
        <f aca="false">IF(W185=0,0,MAX(0,MIN(AE185,AF185+AG185)-MAX(AE185-W185,AF185)))</f>
        <v>0</v>
      </c>
      <c r="AJ185" s="14" t="n">
        <f aca="false">W185-AH185-AI185</f>
        <v>0</v>
      </c>
      <c r="AK185" s="9" t="n">
        <f aca="false">IF(W185=0,0,X185*AH185/W185)</f>
        <v>593927.878655236</v>
      </c>
      <c r="AL185" s="9" t="n">
        <f aca="false">IF(W185=0,0,X185*AI185/W185)</f>
        <v>0</v>
      </c>
      <c r="AM185" s="9" t="n">
        <f aca="false">X185-AK185-AL185</f>
        <v>0</v>
      </c>
    </row>
    <row r="186" customFormat="false" ht="15" hidden="false" customHeight="false" outlineLevel="0" collapsed="false">
      <c r="A186" s="6" t="n">
        <v>181</v>
      </c>
      <c r="B186" s="74" t="s">
        <v>953</v>
      </c>
      <c r="C186" s="53" t="str">
        <f aca="false">INDEX(I_Items!$C$5:$C$133,MATCH($B186,I_Items!$A$5:$A$133,0))</f>
        <v>RPA</v>
      </c>
      <c r="D186" s="53" t="str">
        <f aca="false">INDEX(I_Items!$D$5:$D$133,MATCH($B186,I_Items!$A$5:$A$133,0))</f>
        <v>Usus</v>
      </c>
      <c r="E186" s="53" t="str">
        <f aca="false">INDEX(I_Items!$F$5:$F$133,MATCH($B186,I_Items!$A$5:$A$133,0))</f>
        <v>Fresh</v>
      </c>
      <c r="F186" s="53" t="str">
        <f aca="false">IF(INDEX(I_Items!$E$5:$E$133,MATCH($B186,I_Items!$A$5:$A$133,0))="","",INDEX(I_Items!$E$5:$E$133,MATCH($B186,I_Items!$A$5:$A$133,0)))</f>
        <v/>
      </c>
      <c r="G186" s="76" t="n">
        <v>46263</v>
      </c>
      <c r="H186" s="23" t="n">
        <f aca="false">MONTH(G186)</f>
        <v>8</v>
      </c>
      <c r="I186" s="74" t="s">
        <v>2075</v>
      </c>
      <c r="J186" s="74" t="s">
        <v>2099</v>
      </c>
      <c r="K186" s="10" t="n">
        <v>0</v>
      </c>
      <c r="L186" s="8" t="n">
        <v>0</v>
      </c>
      <c r="M186" s="10" t="n">
        <v>144.6</v>
      </c>
      <c r="N186" s="8" t="n">
        <v>507276.86</v>
      </c>
      <c r="O186" s="74" t="s">
        <v>2077</v>
      </c>
      <c r="P186" s="74"/>
      <c r="Q186" s="74"/>
      <c r="R186" s="14" t="n">
        <f aca="false">IF(I186="Unbilled",0,M186)</f>
        <v>144.6</v>
      </c>
      <c r="S186" s="9" t="n">
        <f aca="false">IF(R186=0,0,IF(O186="Booked",N186,R186*V185))</f>
        <v>507276.853240089</v>
      </c>
      <c r="T186" s="14" t="n">
        <f aca="false">IF(I186="Opening",K186,T185+K186-R186)</f>
        <v>6073.18</v>
      </c>
      <c r="U186" s="9" t="n">
        <f aca="false">IF(I186="Opening",L186,U185+L186-S186)</f>
        <v>21305557.6733101</v>
      </c>
      <c r="V186" s="9" t="n">
        <f aca="false">IF(T186&gt;0,U186/T186,IF(I186="Opening",0,V185))</f>
        <v>3508.13868077516</v>
      </c>
      <c r="W186" s="14" t="n">
        <f aca="false">M186</f>
        <v>144.6</v>
      </c>
      <c r="X186" s="9" t="n">
        <f aca="false">IF(W186=0,0,IF(O186="Booked",N186,W186*AA185))</f>
        <v>507276.853240089</v>
      </c>
      <c r="Y186" s="14" t="n">
        <f aca="false">IF(I186="Opening",K186,Y185+K186-W186)</f>
        <v>6073.18</v>
      </c>
      <c r="Z186" s="9" t="n">
        <f aca="false">IF(I186="Opening",L186,Z185+L186-X186)</f>
        <v>21305557.6733101</v>
      </c>
      <c r="AA186" s="9" t="n">
        <f aca="false">IF(Y186&gt;0,Z186/Y186,IF(I186="Opening",0,AA185))</f>
        <v>3508.13868077516</v>
      </c>
      <c r="AB186" s="9" t="n">
        <f aca="false">IF(AND(I186="DO",O186="MA"),S186-N186,0)</f>
        <v>-0.0067599113099277</v>
      </c>
      <c r="AC186" s="9" t="n">
        <f aca="false">IF(I186="DO",X186-S186,0)</f>
        <v>0</v>
      </c>
      <c r="AD186" s="23" t="n">
        <f aca="false">IF(B187&lt;&gt;B186,1,0)</f>
        <v>0</v>
      </c>
      <c r="AE186" s="14" t="n">
        <f aca="false">IF(I186="Opening",0,AE185+W186)</f>
        <v>3604.4</v>
      </c>
      <c r="AF186" s="14" t="n">
        <f aca="false">IF(I186="Opening",K186,AF185)</f>
        <v>4612.58</v>
      </c>
      <c r="AG186" s="14" t="n">
        <f aca="false">AG185</f>
        <v>0</v>
      </c>
      <c r="AH186" s="14" t="n">
        <f aca="false">IF(W186=0,0,MAX(0,MIN(AE186,AF186)-MIN(AE186-W186,AF186)))</f>
        <v>144.6</v>
      </c>
      <c r="AI186" s="14" t="n">
        <f aca="false">IF(W186=0,0,MAX(0,MIN(AE186,AF186+AG186)-MAX(AE186-W186,AF186)))</f>
        <v>0</v>
      </c>
      <c r="AJ186" s="14" t="n">
        <f aca="false">W186-AH186-AI186</f>
        <v>0</v>
      </c>
      <c r="AK186" s="9" t="n">
        <f aca="false">IF(W186=0,0,X186*AH186/W186)</f>
        <v>507276.853240088</v>
      </c>
      <c r="AL186" s="9" t="n">
        <f aca="false">IF(W186=0,0,X186*AI186/W186)</f>
        <v>0</v>
      </c>
      <c r="AM186" s="9" t="n">
        <f aca="false">X186-AK186-AL186</f>
        <v>0</v>
      </c>
    </row>
    <row r="187" customFormat="false" ht="15" hidden="false" customHeight="false" outlineLevel="0" collapsed="false">
      <c r="A187" s="6" t="n">
        <v>182</v>
      </c>
      <c r="B187" s="74" t="s">
        <v>953</v>
      </c>
      <c r="C187" s="53" t="str">
        <f aca="false">INDEX(I_Items!$C$5:$C$133,MATCH($B187,I_Items!$A$5:$A$133,0))</f>
        <v>RPA</v>
      </c>
      <c r="D187" s="53" t="str">
        <f aca="false">INDEX(I_Items!$D$5:$D$133,MATCH($B187,I_Items!$A$5:$A$133,0))</f>
        <v>Usus</v>
      </c>
      <c r="E187" s="53" t="str">
        <f aca="false">INDEX(I_Items!$F$5:$F$133,MATCH($B187,I_Items!$A$5:$A$133,0))</f>
        <v>Fresh</v>
      </c>
      <c r="F187" s="53" t="str">
        <f aca="false">IF(INDEX(I_Items!$E$5:$E$133,MATCH($B187,I_Items!$A$5:$A$133,0))="","",INDEX(I_Items!$E$5:$E$133,MATCH($B187,I_Items!$A$5:$A$133,0)))</f>
        <v/>
      </c>
      <c r="G187" s="76" t="n">
        <v>46263</v>
      </c>
      <c r="H187" s="23" t="n">
        <f aca="false">MONTH(G187)</f>
        <v>8</v>
      </c>
      <c r="I187" s="74" t="s">
        <v>2075</v>
      </c>
      <c r="J187" s="74" t="s">
        <v>2100</v>
      </c>
      <c r="K187" s="10" t="n">
        <v>0</v>
      </c>
      <c r="L187" s="8" t="n">
        <v>0</v>
      </c>
      <c r="M187" s="10" t="n">
        <v>179.5</v>
      </c>
      <c r="N187" s="8" t="n">
        <v>629710.9</v>
      </c>
      <c r="O187" s="74" t="s">
        <v>2077</v>
      </c>
      <c r="P187" s="74"/>
      <c r="Q187" s="74"/>
      <c r="R187" s="14" t="n">
        <f aca="false">IF(I187="Unbilled",0,M187)</f>
        <v>179.5</v>
      </c>
      <c r="S187" s="9" t="n">
        <f aca="false">IF(R187=0,0,IF(O187="Booked",N187,R187*V186))</f>
        <v>629710.893199142</v>
      </c>
      <c r="T187" s="14" t="n">
        <f aca="false">IF(I187="Opening",K187,T186+K187-R187)</f>
        <v>5893.68</v>
      </c>
      <c r="U187" s="9" t="n">
        <f aca="false">IF(I187="Opening",L187,U186+L187-S187)</f>
        <v>20675846.780111</v>
      </c>
      <c r="V187" s="9" t="n">
        <f aca="false">IF(T187&gt;0,U187/T187,IF(I187="Opening",0,V186))</f>
        <v>3508.13868077516</v>
      </c>
      <c r="W187" s="14" t="n">
        <f aca="false">M187</f>
        <v>179.5</v>
      </c>
      <c r="X187" s="9" t="n">
        <f aca="false">IF(W187=0,0,IF(O187="Booked",N187,W187*AA186))</f>
        <v>629710.893199142</v>
      </c>
      <c r="Y187" s="14" t="n">
        <f aca="false">IF(I187="Opening",K187,Y186+K187-W187)</f>
        <v>5893.68</v>
      </c>
      <c r="Z187" s="9" t="n">
        <f aca="false">IF(I187="Opening",L187,Z186+L187-X187)</f>
        <v>20675846.780111</v>
      </c>
      <c r="AA187" s="9" t="n">
        <f aca="false">IF(Y187&gt;0,Z187/Y187,IF(I187="Opening",0,AA186))</f>
        <v>3508.13868077516</v>
      </c>
      <c r="AB187" s="9" t="n">
        <f aca="false">IF(AND(I187="DO",O187="MA"),S187-N187,0)</f>
        <v>-0.00680085807107389</v>
      </c>
      <c r="AC187" s="9" t="n">
        <f aca="false">IF(I187="DO",X187-S187,0)</f>
        <v>0</v>
      </c>
      <c r="AD187" s="23" t="n">
        <f aca="false">IF(B188&lt;&gt;B187,1,0)</f>
        <v>0</v>
      </c>
      <c r="AE187" s="14" t="n">
        <f aca="false">IF(I187="Opening",0,AE186+W187)</f>
        <v>3783.9</v>
      </c>
      <c r="AF187" s="14" t="n">
        <f aca="false">IF(I187="Opening",K187,AF186)</f>
        <v>4612.58</v>
      </c>
      <c r="AG187" s="14" t="n">
        <f aca="false">AG186</f>
        <v>0</v>
      </c>
      <c r="AH187" s="14" t="n">
        <f aca="false">IF(W187=0,0,MAX(0,MIN(AE187,AF187)-MIN(AE187-W187,AF187)))</f>
        <v>179.5</v>
      </c>
      <c r="AI187" s="14" t="n">
        <f aca="false">IF(W187=0,0,MAX(0,MIN(AE187,AF187+AG187)-MAX(AE187-W187,AF187)))</f>
        <v>0</v>
      </c>
      <c r="AJ187" s="14" t="n">
        <f aca="false">W187-AH187-AI187</f>
        <v>0</v>
      </c>
      <c r="AK187" s="9" t="n">
        <f aca="false">IF(W187=0,0,X187*AH187/W187)</f>
        <v>629710.893199142</v>
      </c>
      <c r="AL187" s="9" t="n">
        <f aca="false">IF(W187=0,0,X187*AI187/W187)</f>
        <v>0</v>
      </c>
      <c r="AM187" s="9" t="n">
        <f aca="false">X187-AK187-AL187</f>
        <v>0</v>
      </c>
    </row>
    <row r="188" customFormat="false" ht="15" hidden="false" customHeight="false" outlineLevel="0" collapsed="false">
      <c r="A188" s="6" t="n">
        <v>183</v>
      </c>
      <c r="B188" s="74" t="s">
        <v>953</v>
      </c>
      <c r="C188" s="53" t="str">
        <f aca="false">INDEX(I_Items!$C$5:$C$133,MATCH($B188,I_Items!$A$5:$A$133,0))</f>
        <v>RPA</v>
      </c>
      <c r="D188" s="53" t="str">
        <f aca="false">INDEX(I_Items!$D$5:$D$133,MATCH($B188,I_Items!$A$5:$A$133,0))</f>
        <v>Usus</v>
      </c>
      <c r="E188" s="53" t="str">
        <f aca="false">INDEX(I_Items!$F$5:$F$133,MATCH($B188,I_Items!$A$5:$A$133,0))</f>
        <v>Fresh</v>
      </c>
      <c r="F188" s="53" t="str">
        <f aca="false">IF(INDEX(I_Items!$E$5:$E$133,MATCH($B188,I_Items!$A$5:$A$133,0))="","",INDEX(I_Items!$E$5:$E$133,MATCH($B188,I_Items!$A$5:$A$133,0)))</f>
        <v/>
      </c>
      <c r="G188" s="76" t="n">
        <v>46263</v>
      </c>
      <c r="H188" s="23" t="n">
        <f aca="false">MONTH(G188)</f>
        <v>8</v>
      </c>
      <c r="I188" s="74" t="s">
        <v>2075</v>
      </c>
      <c r="J188" s="74" t="s">
        <v>2101</v>
      </c>
      <c r="K188" s="10" t="n">
        <v>0</v>
      </c>
      <c r="L188" s="8" t="n">
        <v>0</v>
      </c>
      <c r="M188" s="10" t="n">
        <v>192.1</v>
      </c>
      <c r="N188" s="8" t="n">
        <v>673913.44</v>
      </c>
      <c r="O188" s="74" t="s">
        <v>2077</v>
      </c>
      <c r="P188" s="74"/>
      <c r="Q188" s="74"/>
      <c r="R188" s="14" t="n">
        <f aca="false">IF(I188="Unbilled",0,M188)</f>
        <v>192.1</v>
      </c>
      <c r="S188" s="9" t="n">
        <f aca="false">IF(R188=0,0,IF(O188="Booked",N188,R188*V187))</f>
        <v>673913.440576909</v>
      </c>
      <c r="T188" s="14" t="n">
        <f aca="false">IF(I188="Opening",K188,T187+K188-R188)</f>
        <v>5701.58</v>
      </c>
      <c r="U188" s="9" t="n">
        <f aca="false">IF(I188="Opening",L188,U187+L188-S188)</f>
        <v>20001933.3395341</v>
      </c>
      <c r="V188" s="9" t="n">
        <f aca="false">IF(T188&gt;0,U188/T188,IF(I188="Opening",0,V187))</f>
        <v>3508.13868077516</v>
      </c>
      <c r="W188" s="14" t="n">
        <f aca="false">M188</f>
        <v>192.1</v>
      </c>
      <c r="X188" s="9" t="n">
        <f aca="false">IF(W188=0,0,IF(O188="Booked",N188,W188*AA187))</f>
        <v>673913.440576909</v>
      </c>
      <c r="Y188" s="14" t="n">
        <f aca="false">IF(I188="Opening",K188,Y187+K188-W188)</f>
        <v>5701.58</v>
      </c>
      <c r="Z188" s="9" t="n">
        <f aca="false">IF(I188="Opening",L188,Z187+L188-X188)</f>
        <v>20001933.3395341</v>
      </c>
      <c r="AA188" s="9" t="n">
        <f aca="false">IF(Y188&gt;0,Z188/Y188,IF(I188="Opening",0,AA187))</f>
        <v>3508.13868077516</v>
      </c>
      <c r="AB188" s="9" t="n">
        <f aca="false">IF(AND(I188="DO",O188="MA"),S188-N188,0)</f>
        <v>0.000576909049414098</v>
      </c>
      <c r="AC188" s="9" t="n">
        <f aca="false">IF(I188="DO",X188-S188,0)</f>
        <v>0</v>
      </c>
      <c r="AD188" s="23" t="n">
        <f aca="false">IF(B189&lt;&gt;B188,1,0)</f>
        <v>0</v>
      </c>
      <c r="AE188" s="14" t="n">
        <f aca="false">IF(I188="Opening",0,AE187+W188)</f>
        <v>3976</v>
      </c>
      <c r="AF188" s="14" t="n">
        <f aca="false">IF(I188="Opening",K188,AF187)</f>
        <v>4612.58</v>
      </c>
      <c r="AG188" s="14" t="n">
        <f aca="false">AG187</f>
        <v>0</v>
      </c>
      <c r="AH188" s="14" t="n">
        <f aca="false">IF(W188=0,0,MAX(0,MIN(AE188,AF188)-MIN(AE188-W188,AF188)))</f>
        <v>192.1</v>
      </c>
      <c r="AI188" s="14" t="n">
        <f aca="false">IF(W188=0,0,MAX(0,MIN(AE188,AF188+AG188)-MAX(AE188-W188,AF188)))</f>
        <v>0</v>
      </c>
      <c r="AJ188" s="14" t="n">
        <f aca="false">W188-AH188-AI188</f>
        <v>0</v>
      </c>
      <c r="AK188" s="9" t="n">
        <f aca="false">IF(W188=0,0,X188*AH188/W188)</f>
        <v>673913.440576909</v>
      </c>
      <c r="AL188" s="9" t="n">
        <f aca="false">IF(W188=0,0,X188*AI188/W188)</f>
        <v>0</v>
      </c>
      <c r="AM188" s="9" t="n">
        <f aca="false">X188-AK188-AL188</f>
        <v>0</v>
      </c>
    </row>
    <row r="189" customFormat="false" ht="15" hidden="false" customHeight="false" outlineLevel="0" collapsed="false">
      <c r="A189" s="6" t="n">
        <v>184</v>
      </c>
      <c r="B189" s="74" t="s">
        <v>953</v>
      </c>
      <c r="C189" s="53" t="str">
        <f aca="false">INDEX(I_Items!$C$5:$C$133,MATCH($B189,I_Items!$A$5:$A$133,0))</f>
        <v>RPA</v>
      </c>
      <c r="D189" s="53" t="str">
        <f aca="false">INDEX(I_Items!$D$5:$D$133,MATCH($B189,I_Items!$A$5:$A$133,0))</f>
        <v>Usus</v>
      </c>
      <c r="E189" s="53" t="str">
        <f aca="false">INDEX(I_Items!$F$5:$F$133,MATCH($B189,I_Items!$A$5:$A$133,0))</f>
        <v>Fresh</v>
      </c>
      <c r="F189" s="53" t="str">
        <f aca="false">IF(INDEX(I_Items!$E$5:$E$133,MATCH($B189,I_Items!$A$5:$A$133,0))="","",INDEX(I_Items!$E$5:$E$133,MATCH($B189,I_Items!$A$5:$A$133,0)))</f>
        <v/>
      </c>
      <c r="G189" s="76" t="n">
        <v>46263</v>
      </c>
      <c r="H189" s="23" t="n">
        <f aca="false">MONTH(G189)</f>
        <v>8</v>
      </c>
      <c r="I189" s="74" t="s">
        <v>2075</v>
      </c>
      <c r="J189" s="74" t="s">
        <v>2102</v>
      </c>
      <c r="K189" s="10" t="n">
        <v>0</v>
      </c>
      <c r="L189" s="8" t="n">
        <v>0</v>
      </c>
      <c r="M189" s="10" t="n">
        <v>145.8</v>
      </c>
      <c r="N189" s="8" t="n">
        <v>511486.62</v>
      </c>
      <c r="O189" s="74" t="s">
        <v>2077</v>
      </c>
      <c r="P189" s="74"/>
      <c r="Q189" s="74"/>
      <c r="R189" s="14" t="n">
        <f aca="false">IF(I189="Unbilled",0,M189)</f>
        <v>145.8</v>
      </c>
      <c r="S189" s="9" t="n">
        <f aca="false">IF(R189=0,0,IF(O189="Booked",N189,R189*V188))</f>
        <v>511486.619657019</v>
      </c>
      <c r="T189" s="14" t="n">
        <f aca="false">IF(I189="Opening",K189,T188+K189-R189)</f>
        <v>5555.78</v>
      </c>
      <c r="U189" s="9" t="n">
        <f aca="false">IF(I189="Opening",L189,U188+L189-S189)</f>
        <v>19490446.719877</v>
      </c>
      <c r="V189" s="9" t="n">
        <f aca="false">IF(T189&gt;0,U189/T189,IF(I189="Opening",0,V188))</f>
        <v>3508.13868077517</v>
      </c>
      <c r="W189" s="14" t="n">
        <f aca="false">M189</f>
        <v>145.8</v>
      </c>
      <c r="X189" s="9" t="n">
        <f aca="false">IF(W189=0,0,IF(O189="Booked",N189,W189*AA188))</f>
        <v>511486.619657019</v>
      </c>
      <c r="Y189" s="14" t="n">
        <f aca="false">IF(I189="Opening",K189,Y188+K189-W189)</f>
        <v>5555.78</v>
      </c>
      <c r="Z189" s="9" t="n">
        <f aca="false">IF(I189="Opening",L189,Z188+L189-X189)</f>
        <v>19490446.719877</v>
      </c>
      <c r="AA189" s="9" t="n">
        <f aca="false">IF(Y189&gt;0,Z189/Y189,IF(I189="Opening",0,AA188))</f>
        <v>3508.13868077517</v>
      </c>
      <c r="AB189" s="9" t="n">
        <f aca="false">IF(AND(I189="DO",O189="MA"),S189-N189,0)</f>
        <v>-0.000342980958521366</v>
      </c>
      <c r="AC189" s="9" t="n">
        <f aca="false">IF(I189="DO",X189-S189,0)</f>
        <v>0</v>
      </c>
      <c r="AD189" s="23" t="n">
        <f aca="false">IF(B190&lt;&gt;B189,1,0)</f>
        <v>0</v>
      </c>
      <c r="AE189" s="14" t="n">
        <f aca="false">IF(I189="Opening",0,AE188+W189)</f>
        <v>4121.8</v>
      </c>
      <c r="AF189" s="14" t="n">
        <f aca="false">IF(I189="Opening",K189,AF188)</f>
        <v>4612.58</v>
      </c>
      <c r="AG189" s="14" t="n">
        <f aca="false">AG188</f>
        <v>0</v>
      </c>
      <c r="AH189" s="14" t="n">
        <f aca="false">IF(W189=0,0,MAX(0,MIN(AE189,AF189)-MIN(AE189-W189,AF189)))</f>
        <v>145.8</v>
      </c>
      <c r="AI189" s="14" t="n">
        <f aca="false">IF(W189=0,0,MAX(0,MIN(AE189,AF189+AG189)-MAX(AE189-W189,AF189)))</f>
        <v>0</v>
      </c>
      <c r="AJ189" s="14" t="n">
        <f aca="false">W189-AH189-AI189</f>
        <v>0</v>
      </c>
      <c r="AK189" s="9" t="n">
        <f aca="false">IF(W189=0,0,X189*AH189/W189)</f>
        <v>511486.61965702</v>
      </c>
      <c r="AL189" s="9" t="n">
        <f aca="false">IF(W189=0,0,X189*AI189/W189)</f>
        <v>0</v>
      </c>
      <c r="AM189" s="9" t="n">
        <f aca="false">X189-AK189-AL189</f>
        <v>0</v>
      </c>
    </row>
    <row r="190" customFormat="false" ht="15" hidden="false" customHeight="false" outlineLevel="0" collapsed="false">
      <c r="A190" s="6" t="n">
        <v>185</v>
      </c>
      <c r="B190" s="74" t="s">
        <v>953</v>
      </c>
      <c r="C190" s="53" t="str">
        <f aca="false">INDEX(I_Items!$C$5:$C$133,MATCH($B190,I_Items!$A$5:$A$133,0))</f>
        <v>RPA</v>
      </c>
      <c r="D190" s="53" t="str">
        <f aca="false">INDEX(I_Items!$D$5:$D$133,MATCH($B190,I_Items!$A$5:$A$133,0))</f>
        <v>Usus</v>
      </c>
      <c r="E190" s="53" t="str">
        <f aca="false">INDEX(I_Items!$F$5:$F$133,MATCH($B190,I_Items!$A$5:$A$133,0))</f>
        <v>Fresh</v>
      </c>
      <c r="F190" s="53" t="str">
        <f aca="false">IF(INDEX(I_Items!$E$5:$E$133,MATCH($B190,I_Items!$A$5:$A$133,0))="","",INDEX(I_Items!$E$5:$E$133,MATCH($B190,I_Items!$A$5:$A$133,0)))</f>
        <v/>
      </c>
      <c r="G190" s="76" t="n">
        <v>46263</v>
      </c>
      <c r="H190" s="23" t="n">
        <f aca="false">MONTH(G190)</f>
        <v>8</v>
      </c>
      <c r="I190" s="74" t="s">
        <v>2075</v>
      </c>
      <c r="J190" s="74" t="s">
        <v>2103</v>
      </c>
      <c r="K190" s="10" t="n">
        <v>0</v>
      </c>
      <c r="L190" s="8" t="n">
        <v>0</v>
      </c>
      <c r="M190" s="10" t="n">
        <v>184.5</v>
      </c>
      <c r="N190" s="8" t="n">
        <v>647251.59</v>
      </c>
      <c r="O190" s="74" t="s">
        <v>2077</v>
      </c>
      <c r="P190" s="74"/>
      <c r="Q190" s="74"/>
      <c r="R190" s="14" t="n">
        <f aca="false">IF(I190="Unbilled",0,M190)</f>
        <v>184.5</v>
      </c>
      <c r="S190" s="9" t="n">
        <f aca="false">IF(R190=0,0,IF(O190="Booked",N190,R190*V189))</f>
        <v>647251.586603018</v>
      </c>
      <c r="T190" s="14" t="n">
        <f aca="false">IF(I190="Opening",K190,T189+K190-R190)</f>
        <v>5371.28</v>
      </c>
      <c r="U190" s="9" t="n">
        <f aca="false">IF(I190="Opening",L190,U189+L190-S190)</f>
        <v>18843195.133274</v>
      </c>
      <c r="V190" s="9" t="n">
        <f aca="false">IF(T190&gt;0,U190/T190,IF(I190="Opening",0,V189))</f>
        <v>3508.13868077516</v>
      </c>
      <c r="W190" s="14" t="n">
        <f aca="false">M190</f>
        <v>184.5</v>
      </c>
      <c r="X190" s="9" t="n">
        <f aca="false">IF(W190=0,0,IF(O190="Booked",N190,W190*AA189))</f>
        <v>647251.586603018</v>
      </c>
      <c r="Y190" s="14" t="n">
        <f aca="false">IF(I190="Opening",K190,Y189+K190-W190)</f>
        <v>5371.28</v>
      </c>
      <c r="Z190" s="9" t="n">
        <f aca="false">IF(I190="Opening",L190,Z189+L190-X190)</f>
        <v>18843195.133274</v>
      </c>
      <c r="AA190" s="9" t="n">
        <f aca="false">IF(Y190&gt;0,Z190/Y190,IF(I190="Opening",0,AA189))</f>
        <v>3508.13868077516</v>
      </c>
      <c r="AB190" s="9" t="n">
        <f aca="false">IF(AND(I190="DO",O190="MA"),S190-N190,0)</f>
        <v>-0.00339698197785765</v>
      </c>
      <c r="AC190" s="9" t="n">
        <f aca="false">IF(I190="DO",X190-S190,0)</f>
        <v>0</v>
      </c>
      <c r="AD190" s="23" t="n">
        <f aca="false">IF(B191&lt;&gt;B190,1,0)</f>
        <v>0</v>
      </c>
      <c r="AE190" s="14" t="n">
        <f aca="false">IF(I190="Opening",0,AE189+W190)</f>
        <v>4306.3</v>
      </c>
      <c r="AF190" s="14" t="n">
        <f aca="false">IF(I190="Opening",K190,AF189)</f>
        <v>4612.58</v>
      </c>
      <c r="AG190" s="14" t="n">
        <f aca="false">AG189</f>
        <v>0</v>
      </c>
      <c r="AH190" s="14" t="n">
        <f aca="false">IF(W190=0,0,MAX(0,MIN(AE190,AF190)-MIN(AE190-W190,AF190)))</f>
        <v>184.5</v>
      </c>
      <c r="AI190" s="14" t="n">
        <f aca="false">IF(W190=0,0,MAX(0,MIN(AE190,AF190+AG190)-MAX(AE190-W190,AF190)))</f>
        <v>0</v>
      </c>
      <c r="AJ190" s="14" t="n">
        <f aca="false">W190-AH190-AI190</f>
        <v>0</v>
      </c>
      <c r="AK190" s="9" t="n">
        <f aca="false">IF(W190=0,0,X190*AH190/W190)</f>
        <v>647251.586603018</v>
      </c>
      <c r="AL190" s="9" t="n">
        <f aca="false">IF(W190=0,0,X190*AI190/W190)</f>
        <v>0</v>
      </c>
      <c r="AM190" s="9" t="n">
        <f aca="false">X190-AK190-AL190</f>
        <v>0</v>
      </c>
    </row>
    <row r="191" customFormat="false" ht="15" hidden="false" customHeight="false" outlineLevel="0" collapsed="false">
      <c r="A191" s="6" t="n">
        <v>186</v>
      </c>
      <c r="B191" s="74" t="s">
        <v>953</v>
      </c>
      <c r="C191" s="53" t="str">
        <f aca="false">INDEX(I_Items!$C$5:$C$133,MATCH($B191,I_Items!$A$5:$A$133,0))</f>
        <v>RPA</v>
      </c>
      <c r="D191" s="53" t="str">
        <f aca="false">INDEX(I_Items!$D$5:$D$133,MATCH($B191,I_Items!$A$5:$A$133,0))</f>
        <v>Usus</v>
      </c>
      <c r="E191" s="53" t="str">
        <f aca="false">INDEX(I_Items!$F$5:$F$133,MATCH($B191,I_Items!$A$5:$A$133,0))</f>
        <v>Fresh</v>
      </c>
      <c r="F191" s="53" t="str">
        <f aca="false">IF(INDEX(I_Items!$E$5:$E$133,MATCH($B191,I_Items!$A$5:$A$133,0))="","",INDEX(I_Items!$E$5:$E$133,MATCH($B191,I_Items!$A$5:$A$133,0)))</f>
        <v/>
      </c>
      <c r="G191" s="76" t="n">
        <v>46263</v>
      </c>
      <c r="H191" s="23" t="n">
        <f aca="false">MONTH(G191)</f>
        <v>8</v>
      </c>
      <c r="I191" s="74" t="s">
        <v>2075</v>
      </c>
      <c r="J191" s="74" t="s">
        <v>2104</v>
      </c>
      <c r="K191" s="10" t="n">
        <v>0</v>
      </c>
      <c r="L191" s="8" t="n">
        <v>0</v>
      </c>
      <c r="M191" s="10" t="n">
        <v>131.3</v>
      </c>
      <c r="N191" s="8" t="n">
        <v>460618.61</v>
      </c>
      <c r="O191" s="74" t="s">
        <v>2077</v>
      </c>
      <c r="P191" s="74"/>
      <c r="Q191" s="74"/>
      <c r="R191" s="14" t="n">
        <f aca="false">IF(I191="Unbilled",0,M191)</f>
        <v>131.3</v>
      </c>
      <c r="S191" s="9" t="n">
        <f aca="false">IF(R191=0,0,IF(O191="Booked",N191,R191*V190))</f>
        <v>460618.608785779</v>
      </c>
      <c r="T191" s="14" t="n">
        <f aca="false">IF(I191="Opening",K191,T190+K191-R191)</f>
        <v>5239.98</v>
      </c>
      <c r="U191" s="9" t="n">
        <f aca="false">IF(I191="Opening",L191,U190+L191-S191)</f>
        <v>18382576.5244882</v>
      </c>
      <c r="V191" s="9" t="n">
        <f aca="false">IF(T191&gt;0,U191/T191,IF(I191="Opening",0,V190))</f>
        <v>3508.13868077517</v>
      </c>
      <c r="W191" s="14" t="n">
        <f aca="false">M191</f>
        <v>131.3</v>
      </c>
      <c r="X191" s="9" t="n">
        <f aca="false">IF(W191=0,0,IF(O191="Booked",N191,W191*AA190))</f>
        <v>460618.608785779</v>
      </c>
      <c r="Y191" s="14" t="n">
        <f aca="false">IF(I191="Opening",K191,Y190+K191-W191)</f>
        <v>5239.98</v>
      </c>
      <c r="Z191" s="9" t="n">
        <f aca="false">IF(I191="Opening",L191,Z190+L191-X191)</f>
        <v>18382576.5244882</v>
      </c>
      <c r="AA191" s="9" t="n">
        <f aca="false">IF(Y191&gt;0,Z191/Y191,IF(I191="Opening",0,AA190))</f>
        <v>3508.13868077517</v>
      </c>
      <c r="AB191" s="9" t="n">
        <f aca="false">IF(AND(I191="DO",O191="MA"),S191-N191,0)</f>
        <v>-0.00121422082884237</v>
      </c>
      <c r="AC191" s="9" t="n">
        <f aca="false">IF(I191="DO",X191-S191,0)</f>
        <v>0</v>
      </c>
      <c r="AD191" s="23" t="n">
        <f aca="false">IF(B192&lt;&gt;B191,1,0)</f>
        <v>0</v>
      </c>
      <c r="AE191" s="14" t="n">
        <f aca="false">IF(I191="Opening",0,AE190+W191)</f>
        <v>4437.6</v>
      </c>
      <c r="AF191" s="14" t="n">
        <f aca="false">IF(I191="Opening",K191,AF190)</f>
        <v>4612.58</v>
      </c>
      <c r="AG191" s="14" t="n">
        <f aca="false">AG190</f>
        <v>0</v>
      </c>
      <c r="AH191" s="14" t="n">
        <f aca="false">IF(W191=0,0,MAX(0,MIN(AE191,AF191)-MIN(AE191-W191,AF191)))</f>
        <v>131.3</v>
      </c>
      <c r="AI191" s="14" t="n">
        <f aca="false">IF(W191=0,0,MAX(0,MIN(AE191,AF191+AG191)-MAX(AE191-W191,AF191)))</f>
        <v>0</v>
      </c>
      <c r="AJ191" s="14" t="n">
        <f aca="false">W191-AH191-AI191</f>
        <v>0</v>
      </c>
      <c r="AK191" s="9" t="n">
        <f aca="false">IF(W191=0,0,X191*AH191/W191)</f>
        <v>460618.60878578</v>
      </c>
      <c r="AL191" s="9" t="n">
        <f aca="false">IF(W191=0,0,X191*AI191/W191)</f>
        <v>0</v>
      </c>
      <c r="AM191" s="9" t="n">
        <f aca="false">X191-AK191-AL191</f>
        <v>0</v>
      </c>
    </row>
    <row r="192" customFormat="false" ht="15" hidden="false" customHeight="false" outlineLevel="0" collapsed="false">
      <c r="A192" s="6" t="n">
        <v>187</v>
      </c>
      <c r="B192" s="74" t="s">
        <v>953</v>
      </c>
      <c r="C192" s="53" t="str">
        <f aca="false">INDEX(I_Items!$C$5:$C$133,MATCH($B192,I_Items!$A$5:$A$133,0))</f>
        <v>RPA</v>
      </c>
      <c r="D192" s="53" t="str">
        <f aca="false">INDEX(I_Items!$D$5:$D$133,MATCH($B192,I_Items!$A$5:$A$133,0))</f>
        <v>Usus</v>
      </c>
      <c r="E192" s="53" t="str">
        <f aca="false">INDEX(I_Items!$F$5:$F$133,MATCH($B192,I_Items!$A$5:$A$133,0))</f>
        <v>Fresh</v>
      </c>
      <c r="F192" s="53" t="str">
        <f aca="false">IF(INDEX(I_Items!$E$5:$E$133,MATCH($B192,I_Items!$A$5:$A$133,0))="","",INDEX(I_Items!$E$5:$E$133,MATCH($B192,I_Items!$A$5:$A$133,0)))</f>
        <v/>
      </c>
      <c r="G192" s="76" t="n">
        <v>46263</v>
      </c>
      <c r="H192" s="23" t="n">
        <f aca="false">MONTH(G192)</f>
        <v>8</v>
      </c>
      <c r="I192" s="74" t="s">
        <v>2075</v>
      </c>
      <c r="J192" s="74" t="s">
        <v>2105</v>
      </c>
      <c r="K192" s="10" t="n">
        <v>0</v>
      </c>
      <c r="L192" s="8" t="n">
        <v>0</v>
      </c>
      <c r="M192" s="10" t="n">
        <v>150.2</v>
      </c>
      <c r="N192" s="8" t="n">
        <v>526922.43</v>
      </c>
      <c r="O192" s="74" t="s">
        <v>2077</v>
      </c>
      <c r="P192" s="74"/>
      <c r="Q192" s="74"/>
      <c r="R192" s="14" t="n">
        <f aca="false">IF(I192="Unbilled",0,M192)</f>
        <v>150.2</v>
      </c>
      <c r="S192" s="9" t="n">
        <f aca="false">IF(R192=0,0,IF(O192="Booked",N192,R192*V191))</f>
        <v>526922.42985243</v>
      </c>
      <c r="T192" s="14" t="n">
        <f aca="false">IF(I192="Opening",K192,T191+K192-R192)</f>
        <v>5089.78</v>
      </c>
      <c r="U192" s="9" t="n">
        <f aca="false">IF(I192="Opening",L192,U191+L192-S192)</f>
        <v>17855654.0946358</v>
      </c>
      <c r="V192" s="9" t="n">
        <f aca="false">IF(T192&gt;0,U192/T192,IF(I192="Opening",0,V191))</f>
        <v>3508.13868077516</v>
      </c>
      <c r="W192" s="14" t="n">
        <f aca="false">M192</f>
        <v>150.2</v>
      </c>
      <c r="X192" s="9" t="n">
        <f aca="false">IF(W192=0,0,IF(O192="Booked",N192,W192*AA191))</f>
        <v>526922.42985243</v>
      </c>
      <c r="Y192" s="14" t="n">
        <f aca="false">IF(I192="Opening",K192,Y191+K192-W192)</f>
        <v>5089.78</v>
      </c>
      <c r="Z192" s="9" t="n">
        <f aca="false">IF(I192="Opening",L192,Z191+L192-X192)</f>
        <v>17855654.0946358</v>
      </c>
      <c r="AA192" s="9" t="n">
        <f aca="false">IF(Y192&gt;0,Z192/Y192,IF(I192="Opening",0,AA191))</f>
        <v>3508.13868077516</v>
      </c>
      <c r="AB192" s="9" t="n">
        <f aca="false">IF(AND(I192="DO",O192="MA"),S192-N192,0)</f>
        <v>-0.000147570273838937</v>
      </c>
      <c r="AC192" s="9" t="n">
        <f aca="false">IF(I192="DO",X192-S192,0)</f>
        <v>0</v>
      </c>
      <c r="AD192" s="23" t="n">
        <f aca="false">IF(B193&lt;&gt;B192,1,0)</f>
        <v>0</v>
      </c>
      <c r="AE192" s="14" t="n">
        <f aca="false">IF(I192="Opening",0,AE191+W192)</f>
        <v>4587.8</v>
      </c>
      <c r="AF192" s="14" t="n">
        <f aca="false">IF(I192="Opening",K192,AF191)</f>
        <v>4612.58</v>
      </c>
      <c r="AG192" s="14" t="n">
        <f aca="false">AG191</f>
        <v>0</v>
      </c>
      <c r="AH192" s="14" t="n">
        <f aca="false">IF(W192=0,0,MAX(0,MIN(AE192,AF192)-MIN(AE192-W192,AF192)))</f>
        <v>150.2</v>
      </c>
      <c r="AI192" s="14" t="n">
        <f aca="false">IF(W192=0,0,MAX(0,MIN(AE192,AF192+AG192)-MAX(AE192-W192,AF192)))</f>
        <v>0</v>
      </c>
      <c r="AJ192" s="14" t="n">
        <f aca="false">W192-AH192-AI192</f>
        <v>0</v>
      </c>
      <c r="AK192" s="9" t="n">
        <f aca="false">IF(W192=0,0,X192*AH192/W192)</f>
        <v>526922.429852429</v>
      </c>
      <c r="AL192" s="9" t="n">
        <f aca="false">IF(W192=0,0,X192*AI192/W192)</f>
        <v>0</v>
      </c>
      <c r="AM192" s="9" t="n">
        <f aca="false">X192-AK192-AL192</f>
        <v>0</v>
      </c>
    </row>
    <row r="193" customFormat="false" ht="15" hidden="false" customHeight="false" outlineLevel="0" collapsed="false">
      <c r="A193" s="6" t="n">
        <v>188</v>
      </c>
      <c r="B193" s="74" t="s">
        <v>953</v>
      </c>
      <c r="C193" s="53" t="str">
        <f aca="false">INDEX(I_Items!$C$5:$C$133,MATCH($B193,I_Items!$A$5:$A$133,0))</f>
        <v>RPA</v>
      </c>
      <c r="D193" s="53" t="str">
        <f aca="false">INDEX(I_Items!$D$5:$D$133,MATCH($B193,I_Items!$A$5:$A$133,0))</f>
        <v>Usus</v>
      </c>
      <c r="E193" s="53" t="str">
        <f aca="false">INDEX(I_Items!$F$5:$F$133,MATCH($B193,I_Items!$A$5:$A$133,0))</f>
        <v>Fresh</v>
      </c>
      <c r="F193" s="53" t="str">
        <f aca="false">IF(INDEX(I_Items!$E$5:$E$133,MATCH($B193,I_Items!$A$5:$A$133,0))="","",INDEX(I_Items!$E$5:$E$133,MATCH($B193,I_Items!$A$5:$A$133,0)))</f>
        <v/>
      </c>
      <c r="G193" s="76" t="n">
        <v>46263</v>
      </c>
      <c r="H193" s="23" t="n">
        <f aca="false">MONTH(G193)</f>
        <v>8</v>
      </c>
      <c r="I193" s="74" t="s">
        <v>2075</v>
      </c>
      <c r="J193" s="74" t="s">
        <v>2106</v>
      </c>
      <c r="K193" s="10" t="n">
        <v>0</v>
      </c>
      <c r="L193" s="8" t="n">
        <v>0</v>
      </c>
      <c r="M193" s="10" t="n">
        <v>174.6</v>
      </c>
      <c r="N193" s="8" t="n">
        <v>612521.02</v>
      </c>
      <c r="O193" s="74" t="s">
        <v>2077</v>
      </c>
      <c r="P193" s="74"/>
      <c r="Q193" s="74"/>
      <c r="R193" s="14" t="n">
        <f aca="false">IF(I193="Unbilled",0,M193)</f>
        <v>174.6</v>
      </c>
      <c r="S193" s="9" t="n">
        <f aca="false">IF(R193=0,0,IF(O193="Booked",N193,R193*V192))</f>
        <v>612521.013663344</v>
      </c>
      <c r="T193" s="14" t="n">
        <f aca="false">IF(I193="Opening",K193,T192+K193-R193)</f>
        <v>4915.18</v>
      </c>
      <c r="U193" s="9" t="n">
        <f aca="false">IF(I193="Opening",L193,U192+L193-S193)</f>
        <v>17243133.0809725</v>
      </c>
      <c r="V193" s="9" t="n">
        <f aca="false">IF(T193&gt;0,U193/T193,IF(I193="Opening",0,V192))</f>
        <v>3508.13868077517</v>
      </c>
      <c r="W193" s="14" t="n">
        <f aca="false">M193</f>
        <v>174.6</v>
      </c>
      <c r="X193" s="9" t="n">
        <f aca="false">IF(W193=0,0,IF(O193="Booked",N193,W193*AA192))</f>
        <v>612521.013663344</v>
      </c>
      <c r="Y193" s="14" t="n">
        <f aca="false">IF(I193="Opening",K193,Y192+K193-W193)</f>
        <v>4915.18</v>
      </c>
      <c r="Z193" s="9" t="n">
        <f aca="false">IF(I193="Opening",L193,Z192+L193-X193)</f>
        <v>17243133.0809725</v>
      </c>
      <c r="AA193" s="9" t="n">
        <f aca="false">IF(Y193&gt;0,Z193/Y193,IF(I193="Opening",0,AA192))</f>
        <v>3508.13868077517</v>
      </c>
      <c r="AB193" s="9" t="n">
        <f aca="false">IF(AND(I193="DO",O193="MA"),S193-N193,0)</f>
        <v>-0.0063366562826559</v>
      </c>
      <c r="AC193" s="9" t="n">
        <f aca="false">IF(I193="DO",X193-S193,0)</f>
        <v>0</v>
      </c>
      <c r="AD193" s="23" t="n">
        <f aca="false">IF(B194&lt;&gt;B193,1,0)</f>
        <v>0</v>
      </c>
      <c r="AE193" s="14" t="n">
        <f aca="false">IF(I193="Opening",0,AE192+W193)</f>
        <v>4762.4</v>
      </c>
      <c r="AF193" s="14" t="n">
        <f aca="false">IF(I193="Opening",K193,AF192)</f>
        <v>4612.58</v>
      </c>
      <c r="AG193" s="14" t="n">
        <f aca="false">AG192</f>
        <v>0</v>
      </c>
      <c r="AH193" s="14" t="n">
        <f aca="false">IF(W193=0,0,MAX(0,MIN(AE193,AF193)-MIN(AE193-W193,AF193)))</f>
        <v>24.7799999999997</v>
      </c>
      <c r="AI193" s="14" t="n">
        <f aca="false">IF(W193=0,0,MAX(0,MIN(AE193,AF193+AG193)-MAX(AE193-W193,AF193)))</f>
        <v>0</v>
      </c>
      <c r="AJ193" s="14" t="n">
        <f aca="false">W193-AH193-AI193</f>
        <v>149.82</v>
      </c>
      <c r="AK193" s="9" t="n">
        <f aca="false">IF(W193=0,0,X193*AH193/W193)</f>
        <v>86931.6765096077</v>
      </c>
      <c r="AL193" s="9" t="n">
        <f aca="false">IF(W193=0,0,X193*AI193/W193)</f>
        <v>0</v>
      </c>
      <c r="AM193" s="9" t="n">
        <f aca="false">X193-AK193-AL193</f>
        <v>525589.337153736</v>
      </c>
    </row>
    <row r="194" customFormat="false" ht="15" hidden="false" customHeight="false" outlineLevel="0" collapsed="false">
      <c r="A194" s="6" t="n">
        <v>189</v>
      </c>
      <c r="B194" s="74" t="s">
        <v>953</v>
      </c>
      <c r="C194" s="53" t="str">
        <f aca="false">INDEX(I_Items!$C$5:$C$133,MATCH($B194,I_Items!$A$5:$A$133,0))</f>
        <v>RPA</v>
      </c>
      <c r="D194" s="53" t="str">
        <f aca="false">INDEX(I_Items!$D$5:$D$133,MATCH($B194,I_Items!$A$5:$A$133,0))</f>
        <v>Usus</v>
      </c>
      <c r="E194" s="53" t="str">
        <f aca="false">INDEX(I_Items!$F$5:$F$133,MATCH($B194,I_Items!$A$5:$A$133,0))</f>
        <v>Fresh</v>
      </c>
      <c r="F194" s="53" t="str">
        <f aca="false">IF(INDEX(I_Items!$E$5:$E$133,MATCH($B194,I_Items!$A$5:$A$133,0))="","",INDEX(I_Items!$E$5:$E$133,MATCH($B194,I_Items!$A$5:$A$133,0)))</f>
        <v/>
      </c>
      <c r="G194" s="76" t="n">
        <v>46265</v>
      </c>
      <c r="H194" s="23" t="n">
        <f aca="false">MONTH(G194)</f>
        <v>8</v>
      </c>
      <c r="I194" s="74" t="s">
        <v>2074</v>
      </c>
      <c r="J194" s="74" t="s">
        <v>1326</v>
      </c>
      <c r="K194" s="10" t="n">
        <v>681.7</v>
      </c>
      <c r="L194" s="8" t="n">
        <v>3805786.17</v>
      </c>
      <c r="M194" s="10" t="n">
        <v>0</v>
      </c>
      <c r="N194" s="8" t="n">
        <v>0</v>
      </c>
      <c r="O194" s="74"/>
      <c r="P194" s="74"/>
      <c r="Q194" s="74"/>
      <c r="R194" s="14" t="n">
        <f aca="false">IF(I194="Unbilled",0,M194)</f>
        <v>0</v>
      </c>
      <c r="S194" s="9" t="n">
        <f aca="false">IF(R194=0,0,IF(O194="Booked",N194,R194*V193))</f>
        <v>0</v>
      </c>
      <c r="T194" s="14" t="n">
        <f aca="false">IF(I194="Opening",K194,T193+K194-R194)</f>
        <v>5596.88</v>
      </c>
      <c r="U194" s="9" t="n">
        <f aca="false">IF(I194="Opening",L194,U193+L194-S194)</f>
        <v>21048919.2509725</v>
      </c>
      <c r="V194" s="9" t="n">
        <f aca="false">IF(T194&gt;0,U194/T194,IF(I194="Opening",0,V193))</f>
        <v>3760.83090060399</v>
      </c>
      <c r="W194" s="14" t="n">
        <f aca="false">M194</f>
        <v>0</v>
      </c>
      <c r="X194" s="9" t="n">
        <f aca="false">IF(W194=0,0,IF(O194="Booked",N194,W194*AA193))</f>
        <v>0</v>
      </c>
      <c r="Y194" s="14" t="n">
        <f aca="false">IF(I194="Opening",K194,Y193+K194-W194)</f>
        <v>5596.88</v>
      </c>
      <c r="Z194" s="9" t="n">
        <f aca="false">IF(I194="Opening",L194,Z193+L194-X194)</f>
        <v>21048919.2509725</v>
      </c>
      <c r="AA194" s="9" t="n">
        <f aca="false">IF(Y194&gt;0,Z194/Y194,IF(I194="Opening",0,AA193))</f>
        <v>3760.83090060399</v>
      </c>
      <c r="AB194" s="9" t="n">
        <f aca="false">IF(AND(I194="DO",O194="MA"),S194-N194,0)</f>
        <v>0</v>
      </c>
      <c r="AC194" s="9" t="n">
        <f aca="false">IF(I194="DO",X194-S194,0)</f>
        <v>0</v>
      </c>
      <c r="AD194" s="23" t="n">
        <f aca="false">IF(B195&lt;&gt;B194,1,0)</f>
        <v>0</v>
      </c>
      <c r="AE194" s="14" t="n">
        <f aca="false">IF(I194="Opening",0,AE193+W194)</f>
        <v>4762.4</v>
      </c>
      <c r="AF194" s="14" t="n">
        <f aca="false">IF(I194="Opening",K194,AF193)</f>
        <v>4612.58</v>
      </c>
      <c r="AG194" s="14" t="n">
        <f aca="false">AG193</f>
        <v>0</v>
      </c>
      <c r="AH194" s="14" t="n">
        <f aca="false">IF(W194=0,0,MAX(0,MIN(AE194,AF194)-MIN(AE194-W194,AF194)))</f>
        <v>0</v>
      </c>
      <c r="AI194" s="14" t="n">
        <f aca="false">IF(W194=0,0,MAX(0,MIN(AE194,AF194+AG194)-MAX(AE194-W194,AF194)))</f>
        <v>0</v>
      </c>
      <c r="AJ194" s="14" t="n">
        <f aca="false">W194-AH194-AI194</f>
        <v>0</v>
      </c>
      <c r="AK194" s="9" t="n">
        <f aca="false">IF(W194=0,0,X194*AH194/W194)</f>
        <v>0</v>
      </c>
      <c r="AL194" s="9" t="n">
        <f aca="false">IF(W194=0,0,X194*AI194/W194)</f>
        <v>0</v>
      </c>
      <c r="AM194" s="9" t="n">
        <f aca="false">X194-AK194-AL194</f>
        <v>0</v>
      </c>
    </row>
    <row r="195" customFormat="false" ht="15" hidden="false" customHeight="false" outlineLevel="0" collapsed="false">
      <c r="A195" s="6" t="n">
        <v>190</v>
      </c>
      <c r="B195" s="74" t="s">
        <v>953</v>
      </c>
      <c r="C195" s="53" t="str">
        <f aca="false">INDEX(I_Items!$C$5:$C$133,MATCH($B195,I_Items!$A$5:$A$133,0))</f>
        <v>RPA</v>
      </c>
      <c r="D195" s="53" t="str">
        <f aca="false">INDEX(I_Items!$D$5:$D$133,MATCH($B195,I_Items!$A$5:$A$133,0))</f>
        <v>Usus</v>
      </c>
      <c r="E195" s="53" t="str">
        <f aca="false">INDEX(I_Items!$F$5:$F$133,MATCH($B195,I_Items!$A$5:$A$133,0))</f>
        <v>Fresh</v>
      </c>
      <c r="F195" s="53" t="str">
        <f aca="false">IF(INDEX(I_Items!$E$5:$E$133,MATCH($B195,I_Items!$A$5:$A$133,0))="","",INDEX(I_Items!$E$5:$E$133,MATCH($B195,I_Items!$A$5:$A$133,0)))</f>
        <v/>
      </c>
      <c r="G195" s="76" t="n">
        <v>46265</v>
      </c>
      <c r="H195" s="23" t="n">
        <f aca="false">MONTH(G195)</f>
        <v>8</v>
      </c>
      <c r="I195" s="74" t="s">
        <v>2075</v>
      </c>
      <c r="J195" s="74" t="s">
        <v>2107</v>
      </c>
      <c r="K195" s="10" t="n">
        <v>0</v>
      </c>
      <c r="L195" s="8" t="n">
        <v>0</v>
      </c>
      <c r="M195" s="10" t="n">
        <v>176.4</v>
      </c>
      <c r="N195" s="8" t="n">
        <v>663410.57</v>
      </c>
      <c r="O195" s="74" t="s">
        <v>2077</v>
      </c>
      <c r="P195" s="74"/>
      <c r="Q195" s="74"/>
      <c r="R195" s="14" t="n">
        <f aca="false">IF(I195="Unbilled",0,M195)</f>
        <v>176.4</v>
      </c>
      <c r="S195" s="9" t="n">
        <f aca="false">IF(R195=0,0,IF(O195="Booked",N195,R195*V194))</f>
        <v>663410.570866545</v>
      </c>
      <c r="T195" s="14" t="n">
        <f aca="false">IF(I195="Opening",K195,T194+K195-R195)</f>
        <v>5420.48</v>
      </c>
      <c r="U195" s="9" t="n">
        <f aca="false">IF(I195="Opening",L195,U194+L195-S195)</f>
        <v>20385508.6801059</v>
      </c>
      <c r="V195" s="9" t="n">
        <f aca="false">IF(T195&gt;0,U195/T195,IF(I195="Opening",0,V194))</f>
        <v>3760.83090060399</v>
      </c>
      <c r="W195" s="14" t="n">
        <f aca="false">M195</f>
        <v>176.4</v>
      </c>
      <c r="X195" s="9" t="n">
        <f aca="false">IF(W195=0,0,IF(O195="Booked",N195,W195*AA194))</f>
        <v>663410.570866545</v>
      </c>
      <c r="Y195" s="14" t="n">
        <f aca="false">IF(I195="Opening",K195,Y194+K195-W195)</f>
        <v>5420.48</v>
      </c>
      <c r="Z195" s="9" t="n">
        <f aca="false">IF(I195="Opening",L195,Z194+L195-X195)</f>
        <v>20385508.6801059</v>
      </c>
      <c r="AA195" s="9" t="n">
        <f aca="false">IF(Y195&gt;0,Z195/Y195,IF(I195="Opening",0,AA194))</f>
        <v>3760.83090060399</v>
      </c>
      <c r="AB195" s="9" t="n">
        <f aca="false">IF(AND(I195="DO",O195="MA"),S195-N195,0)</f>
        <v>0.000866544549353421</v>
      </c>
      <c r="AC195" s="9" t="n">
        <f aca="false">IF(I195="DO",X195-S195,0)</f>
        <v>0</v>
      </c>
      <c r="AD195" s="23" t="n">
        <f aca="false">IF(B196&lt;&gt;B195,1,0)</f>
        <v>0</v>
      </c>
      <c r="AE195" s="14" t="n">
        <f aca="false">IF(I195="Opening",0,AE194+W195)</f>
        <v>4938.8</v>
      </c>
      <c r="AF195" s="14" t="n">
        <f aca="false">IF(I195="Opening",K195,AF194)</f>
        <v>4612.58</v>
      </c>
      <c r="AG195" s="14" t="n">
        <f aca="false">AG194</f>
        <v>0</v>
      </c>
      <c r="AH195" s="14" t="n">
        <f aca="false">IF(W195=0,0,MAX(0,MIN(AE195,AF195)-MIN(AE195-W195,AF195)))</f>
        <v>0</v>
      </c>
      <c r="AI195" s="14" t="n">
        <f aca="false">IF(W195=0,0,MAX(0,MIN(AE195,AF195+AG195)-MAX(AE195-W195,AF195)))</f>
        <v>0</v>
      </c>
      <c r="AJ195" s="14" t="n">
        <f aca="false">W195-AH195-AI195</f>
        <v>176.4</v>
      </c>
      <c r="AK195" s="9" t="n">
        <f aca="false">IF(W195=0,0,X195*AH195/W195)</f>
        <v>0</v>
      </c>
      <c r="AL195" s="9" t="n">
        <f aca="false">IF(W195=0,0,X195*AI195/W195)</f>
        <v>0</v>
      </c>
      <c r="AM195" s="9" t="n">
        <f aca="false">X195-AK195-AL195</f>
        <v>663410.570866545</v>
      </c>
    </row>
    <row r="196" customFormat="false" ht="15" hidden="false" customHeight="false" outlineLevel="0" collapsed="false">
      <c r="A196" s="6" t="n">
        <v>191</v>
      </c>
      <c r="B196" s="74" t="s">
        <v>953</v>
      </c>
      <c r="C196" s="53" t="str">
        <f aca="false">INDEX(I_Items!$C$5:$C$133,MATCH($B196,I_Items!$A$5:$A$133,0))</f>
        <v>RPA</v>
      </c>
      <c r="D196" s="53" t="str">
        <f aca="false">INDEX(I_Items!$D$5:$D$133,MATCH($B196,I_Items!$A$5:$A$133,0))</f>
        <v>Usus</v>
      </c>
      <c r="E196" s="53" t="str">
        <f aca="false">INDEX(I_Items!$F$5:$F$133,MATCH($B196,I_Items!$A$5:$A$133,0))</f>
        <v>Fresh</v>
      </c>
      <c r="F196" s="53" t="str">
        <f aca="false">IF(INDEX(I_Items!$E$5:$E$133,MATCH($B196,I_Items!$A$5:$A$133,0))="","",INDEX(I_Items!$E$5:$E$133,MATCH($B196,I_Items!$A$5:$A$133,0)))</f>
        <v/>
      </c>
      <c r="G196" s="76" t="n">
        <v>46265</v>
      </c>
      <c r="H196" s="23" t="n">
        <f aca="false">MONTH(G196)</f>
        <v>8</v>
      </c>
      <c r="I196" s="74" t="s">
        <v>2075</v>
      </c>
      <c r="J196" s="74" t="s">
        <v>2108</v>
      </c>
      <c r="K196" s="10" t="n">
        <v>0</v>
      </c>
      <c r="L196" s="8" t="n">
        <v>0</v>
      </c>
      <c r="M196" s="10" t="n">
        <v>176.8</v>
      </c>
      <c r="N196" s="8" t="n">
        <v>664914.9</v>
      </c>
      <c r="O196" s="74" t="s">
        <v>2077</v>
      </c>
      <c r="P196" s="74"/>
      <c r="Q196" s="74"/>
      <c r="R196" s="14" t="n">
        <f aca="false">IF(I196="Unbilled",0,M196)</f>
        <v>176.8</v>
      </c>
      <c r="S196" s="9" t="n">
        <f aca="false">IF(R196=0,0,IF(O196="Booked",N196,R196*V195))</f>
        <v>664914.903226786</v>
      </c>
      <c r="T196" s="14" t="n">
        <f aca="false">IF(I196="Opening",K196,T195+K196-R196)</f>
        <v>5243.68</v>
      </c>
      <c r="U196" s="9" t="n">
        <f aca="false">IF(I196="Opening",L196,U195+L196-S196)</f>
        <v>19720593.7768791</v>
      </c>
      <c r="V196" s="9" t="n">
        <f aca="false">IF(T196&gt;0,U196/T196,IF(I196="Opening",0,V195))</f>
        <v>3760.83090060399</v>
      </c>
      <c r="W196" s="14" t="n">
        <f aca="false">M196</f>
        <v>176.8</v>
      </c>
      <c r="X196" s="9" t="n">
        <f aca="false">IF(W196=0,0,IF(O196="Booked",N196,W196*AA195))</f>
        <v>664914.903226786</v>
      </c>
      <c r="Y196" s="14" t="n">
        <f aca="false">IF(I196="Opening",K196,Y195+K196-W196)</f>
        <v>5243.68</v>
      </c>
      <c r="Z196" s="9" t="n">
        <f aca="false">IF(I196="Opening",L196,Z195+L196-X196)</f>
        <v>19720593.7768791</v>
      </c>
      <c r="AA196" s="9" t="n">
        <f aca="false">IF(Y196&gt;0,Z196/Y196,IF(I196="Opening",0,AA195))</f>
        <v>3760.83090060399</v>
      </c>
      <c r="AB196" s="9" t="n">
        <f aca="false">IF(AND(I196="DO",O196="MA"),S196-N196,0)</f>
        <v>0.00322678603697568</v>
      </c>
      <c r="AC196" s="9" t="n">
        <f aca="false">IF(I196="DO",X196-S196,0)</f>
        <v>0</v>
      </c>
      <c r="AD196" s="23" t="n">
        <f aca="false">IF(B197&lt;&gt;B196,1,0)</f>
        <v>0</v>
      </c>
      <c r="AE196" s="14" t="n">
        <f aca="false">IF(I196="Opening",0,AE195+W196)</f>
        <v>5115.6</v>
      </c>
      <c r="AF196" s="14" t="n">
        <f aca="false">IF(I196="Opening",K196,AF195)</f>
        <v>4612.58</v>
      </c>
      <c r="AG196" s="14" t="n">
        <f aca="false">AG195</f>
        <v>0</v>
      </c>
      <c r="AH196" s="14" t="n">
        <f aca="false">IF(W196=0,0,MAX(0,MIN(AE196,AF196)-MIN(AE196-W196,AF196)))</f>
        <v>0</v>
      </c>
      <c r="AI196" s="14" t="n">
        <f aca="false">IF(W196=0,0,MAX(0,MIN(AE196,AF196+AG196)-MAX(AE196-W196,AF196)))</f>
        <v>0</v>
      </c>
      <c r="AJ196" s="14" t="n">
        <f aca="false">W196-AH196-AI196</f>
        <v>176.8</v>
      </c>
      <c r="AK196" s="9" t="n">
        <f aca="false">IF(W196=0,0,X196*AH196/W196)</f>
        <v>0</v>
      </c>
      <c r="AL196" s="9" t="n">
        <f aca="false">IF(W196=0,0,X196*AI196/W196)</f>
        <v>0</v>
      </c>
      <c r="AM196" s="9" t="n">
        <f aca="false">X196-AK196-AL196</f>
        <v>664914.903226786</v>
      </c>
    </row>
    <row r="197" customFormat="false" ht="15" hidden="false" customHeight="false" outlineLevel="0" collapsed="false">
      <c r="A197" s="6" t="n">
        <v>192</v>
      </c>
      <c r="B197" s="74" t="s">
        <v>953</v>
      </c>
      <c r="C197" s="53" t="str">
        <f aca="false">INDEX(I_Items!$C$5:$C$133,MATCH($B197,I_Items!$A$5:$A$133,0))</f>
        <v>RPA</v>
      </c>
      <c r="D197" s="53" t="str">
        <f aca="false">INDEX(I_Items!$D$5:$D$133,MATCH($B197,I_Items!$A$5:$A$133,0))</f>
        <v>Usus</v>
      </c>
      <c r="E197" s="53" t="str">
        <f aca="false">INDEX(I_Items!$F$5:$F$133,MATCH($B197,I_Items!$A$5:$A$133,0))</f>
        <v>Fresh</v>
      </c>
      <c r="F197" s="53" t="str">
        <f aca="false">IF(INDEX(I_Items!$E$5:$E$133,MATCH($B197,I_Items!$A$5:$A$133,0))="","",INDEX(I_Items!$E$5:$E$133,MATCH($B197,I_Items!$A$5:$A$133,0)))</f>
        <v/>
      </c>
      <c r="G197" s="76" t="n">
        <v>46265</v>
      </c>
      <c r="H197" s="23" t="n">
        <f aca="false">MONTH(G197)</f>
        <v>8</v>
      </c>
      <c r="I197" s="74" t="s">
        <v>2075</v>
      </c>
      <c r="J197" s="74" t="s">
        <v>2109</v>
      </c>
      <c r="K197" s="10" t="n">
        <v>0</v>
      </c>
      <c r="L197" s="8" t="n">
        <v>0</v>
      </c>
      <c r="M197" s="10" t="n">
        <v>172.9</v>
      </c>
      <c r="N197" s="8" t="n">
        <v>650247.66</v>
      </c>
      <c r="O197" s="74" t="s">
        <v>2077</v>
      </c>
      <c r="P197" s="74"/>
      <c r="Q197" s="74"/>
      <c r="R197" s="14" t="n">
        <f aca="false">IF(I197="Unbilled",0,M197)</f>
        <v>172.9</v>
      </c>
      <c r="S197" s="9" t="n">
        <f aca="false">IF(R197=0,0,IF(O197="Booked",N197,R197*V196))</f>
        <v>650247.662714431</v>
      </c>
      <c r="T197" s="14" t="n">
        <f aca="false">IF(I197="Opening",K197,T196+K197-R197)</f>
        <v>5070.78</v>
      </c>
      <c r="U197" s="9" t="n">
        <f aca="false">IF(I197="Opening",L197,U196+L197-S197)</f>
        <v>19070346.1141647</v>
      </c>
      <c r="V197" s="9" t="n">
        <f aca="false">IF(T197&gt;0,U197/T197,IF(I197="Opening",0,V196))</f>
        <v>3760.83090060399</v>
      </c>
      <c r="W197" s="14" t="n">
        <f aca="false">M197</f>
        <v>172.9</v>
      </c>
      <c r="X197" s="9" t="n">
        <f aca="false">IF(W197=0,0,IF(O197="Booked",N197,W197*AA196))</f>
        <v>650247.662714431</v>
      </c>
      <c r="Y197" s="14" t="n">
        <f aca="false">IF(I197="Opening",K197,Y196+K197-W197)</f>
        <v>5070.78</v>
      </c>
      <c r="Z197" s="9" t="n">
        <f aca="false">IF(I197="Opening",L197,Z196+L197-X197)</f>
        <v>19070346.1141647</v>
      </c>
      <c r="AA197" s="9" t="n">
        <f aca="false">IF(Y197&gt;0,Z197/Y197,IF(I197="Opening",0,AA196))</f>
        <v>3760.83090060399</v>
      </c>
      <c r="AB197" s="9" t="n">
        <f aca="false">IF(AND(I197="DO",O197="MA"),S197-N197,0)</f>
        <v>0.00271443044766784</v>
      </c>
      <c r="AC197" s="9" t="n">
        <f aca="false">IF(I197="DO",X197-S197,0)</f>
        <v>0</v>
      </c>
      <c r="AD197" s="23" t="n">
        <f aca="false">IF(B198&lt;&gt;B197,1,0)</f>
        <v>0</v>
      </c>
      <c r="AE197" s="14" t="n">
        <f aca="false">IF(I197="Opening",0,AE196+W197)</f>
        <v>5288.5</v>
      </c>
      <c r="AF197" s="14" t="n">
        <f aca="false">IF(I197="Opening",K197,AF196)</f>
        <v>4612.58</v>
      </c>
      <c r="AG197" s="14" t="n">
        <f aca="false">AG196</f>
        <v>0</v>
      </c>
      <c r="AH197" s="14" t="n">
        <f aca="false">IF(W197=0,0,MAX(0,MIN(AE197,AF197)-MIN(AE197-W197,AF197)))</f>
        <v>0</v>
      </c>
      <c r="AI197" s="14" t="n">
        <f aca="false">IF(W197=0,0,MAX(0,MIN(AE197,AF197+AG197)-MAX(AE197-W197,AF197)))</f>
        <v>0</v>
      </c>
      <c r="AJ197" s="14" t="n">
        <f aca="false">W197-AH197-AI197</f>
        <v>172.9</v>
      </c>
      <c r="AK197" s="9" t="n">
        <f aca="false">IF(W197=0,0,X197*AH197/W197)</f>
        <v>0</v>
      </c>
      <c r="AL197" s="9" t="n">
        <f aca="false">IF(W197=0,0,X197*AI197/W197)</f>
        <v>0</v>
      </c>
      <c r="AM197" s="9" t="n">
        <f aca="false">X197-AK197-AL197</f>
        <v>650247.662714431</v>
      </c>
    </row>
    <row r="198" customFormat="false" ht="15" hidden="false" customHeight="false" outlineLevel="0" collapsed="false">
      <c r="A198" s="6" t="n">
        <v>193</v>
      </c>
      <c r="B198" s="74" t="s">
        <v>953</v>
      </c>
      <c r="C198" s="53" t="str">
        <f aca="false">INDEX(I_Items!$C$5:$C$133,MATCH($B198,I_Items!$A$5:$A$133,0))</f>
        <v>RPA</v>
      </c>
      <c r="D198" s="53" t="str">
        <f aca="false">INDEX(I_Items!$D$5:$D$133,MATCH($B198,I_Items!$A$5:$A$133,0))</f>
        <v>Usus</v>
      </c>
      <c r="E198" s="53" t="str">
        <f aca="false">INDEX(I_Items!$F$5:$F$133,MATCH($B198,I_Items!$A$5:$A$133,0))</f>
        <v>Fresh</v>
      </c>
      <c r="F198" s="53" t="str">
        <f aca="false">IF(INDEX(I_Items!$E$5:$E$133,MATCH($B198,I_Items!$A$5:$A$133,0))="","",INDEX(I_Items!$E$5:$E$133,MATCH($B198,I_Items!$A$5:$A$133,0)))</f>
        <v/>
      </c>
      <c r="G198" s="76" t="n">
        <v>46265</v>
      </c>
      <c r="H198" s="23" t="n">
        <f aca="false">MONTH(G198)</f>
        <v>8</v>
      </c>
      <c r="I198" s="74" t="s">
        <v>2075</v>
      </c>
      <c r="J198" s="74" t="s">
        <v>2110</v>
      </c>
      <c r="K198" s="10" t="n">
        <v>0</v>
      </c>
      <c r="L198" s="8" t="n">
        <v>0</v>
      </c>
      <c r="M198" s="10" t="n">
        <v>155.6</v>
      </c>
      <c r="N198" s="8" t="n">
        <v>585185.29</v>
      </c>
      <c r="O198" s="74" t="s">
        <v>2077</v>
      </c>
      <c r="P198" s="74"/>
      <c r="Q198" s="74"/>
      <c r="R198" s="14" t="n">
        <f aca="false">IF(I198="Unbilled",0,M198)</f>
        <v>155.6</v>
      </c>
      <c r="S198" s="9" t="n">
        <f aca="false">IF(R198=0,0,IF(O198="Booked",N198,R198*V197))</f>
        <v>585185.288133981</v>
      </c>
      <c r="T198" s="14" t="n">
        <f aca="false">IF(I198="Opening",K198,T197+K198-R198)</f>
        <v>4915.18</v>
      </c>
      <c r="U198" s="9" t="n">
        <f aca="false">IF(I198="Opening",L198,U197+L198-S198)</f>
        <v>18485160.8260307</v>
      </c>
      <c r="V198" s="9" t="n">
        <f aca="false">IF(T198&gt;0,U198/T198,IF(I198="Opening",0,V197))</f>
        <v>3760.83090060399</v>
      </c>
      <c r="W198" s="14" t="n">
        <f aca="false">M198</f>
        <v>155.6</v>
      </c>
      <c r="X198" s="9" t="n">
        <f aca="false">IF(W198=0,0,IF(O198="Booked",N198,W198*AA197))</f>
        <v>585185.288133981</v>
      </c>
      <c r="Y198" s="14" t="n">
        <f aca="false">IF(I198="Opening",K198,Y197+K198-W198)</f>
        <v>4915.18</v>
      </c>
      <c r="Z198" s="9" t="n">
        <f aca="false">IF(I198="Opening",L198,Z197+L198-X198)</f>
        <v>18485160.8260307</v>
      </c>
      <c r="AA198" s="9" t="n">
        <f aca="false">IF(Y198&gt;0,Z198/Y198,IF(I198="Opening",0,AA197))</f>
        <v>3760.83090060399</v>
      </c>
      <c r="AB198" s="9" t="n">
        <f aca="false">IF(AND(I198="DO",O198="MA"),S198-N198,0)</f>
        <v>-0.00186601863242686</v>
      </c>
      <c r="AC198" s="9" t="n">
        <f aca="false">IF(I198="DO",X198-S198,0)</f>
        <v>0</v>
      </c>
      <c r="AD198" s="23" t="n">
        <f aca="false">IF(B199&lt;&gt;B198,1,0)</f>
        <v>1</v>
      </c>
      <c r="AE198" s="14" t="n">
        <f aca="false">IF(I198="Opening",0,AE197+W198)</f>
        <v>5444.1</v>
      </c>
      <c r="AF198" s="14" t="n">
        <f aca="false">IF(I198="Opening",K198,AF197)</f>
        <v>4612.58</v>
      </c>
      <c r="AG198" s="14" t="n">
        <f aca="false">AG197</f>
        <v>0</v>
      </c>
      <c r="AH198" s="14" t="n">
        <f aca="false">IF(W198=0,0,MAX(0,MIN(AE198,AF198)-MIN(AE198-W198,AF198)))</f>
        <v>0</v>
      </c>
      <c r="AI198" s="14" t="n">
        <f aca="false">IF(W198=0,0,MAX(0,MIN(AE198,AF198+AG198)-MAX(AE198-W198,AF198)))</f>
        <v>0</v>
      </c>
      <c r="AJ198" s="14" t="n">
        <f aca="false">W198-AH198-AI198</f>
        <v>155.6</v>
      </c>
      <c r="AK198" s="9" t="n">
        <f aca="false">IF(W198=0,0,X198*AH198/W198)</f>
        <v>0</v>
      </c>
      <c r="AL198" s="9" t="n">
        <f aca="false">IF(W198=0,0,X198*AI198/W198)</f>
        <v>0</v>
      </c>
      <c r="AM198" s="9" t="n">
        <f aca="false">X198-AK198-AL198</f>
        <v>585185.288133981</v>
      </c>
    </row>
    <row r="199" customFormat="false" ht="15" hidden="false" customHeight="false" outlineLevel="0" collapsed="false">
      <c r="A199" s="6" t="n">
        <v>194</v>
      </c>
      <c r="B199" s="74" t="s">
        <v>954</v>
      </c>
      <c r="C199" s="53" t="str">
        <f aca="false">INDEX(I_Items!$C$5:$C$133,MATCH($B199,I_Items!$A$5:$A$133,0))</f>
        <v>RPA</v>
      </c>
      <c r="D199" s="53" t="str">
        <f aca="false">INDEX(I_Items!$D$5:$D$133,MATCH($B199,I_Items!$A$5:$A$133,0))</f>
        <v>Ceker</v>
      </c>
      <c r="E199" s="53" t="str">
        <f aca="false">INDEX(I_Items!$F$5:$F$133,MATCH($B199,I_Items!$A$5:$A$133,0))</f>
        <v>Frozen</v>
      </c>
      <c r="F199" s="53" t="str">
        <f aca="false">IF(INDEX(I_Items!$E$5:$E$133,MATCH($B199,I_Items!$A$5:$A$133,0))="","",INDEX(I_Items!$E$5:$E$133,MATCH($B199,I_Items!$A$5:$A$133,0)))</f>
        <v/>
      </c>
      <c r="G199" s="76" t="n">
        <v>46204</v>
      </c>
      <c r="H199" s="23" t="n">
        <f aca="false">MONTH(G199)</f>
        <v>7</v>
      </c>
      <c r="I199" s="74" t="s">
        <v>2072</v>
      </c>
      <c r="J199" s="74" t="s">
        <v>2073</v>
      </c>
      <c r="K199" s="10" t="n">
        <v>1622.58</v>
      </c>
      <c r="L199" s="8" t="n">
        <v>13623836.3</v>
      </c>
      <c r="M199" s="10" t="n">
        <v>0</v>
      </c>
      <c r="N199" s="8" t="n">
        <v>0</v>
      </c>
      <c r="O199" s="74"/>
      <c r="P199" s="74"/>
      <c r="Q199" s="74"/>
      <c r="R199" s="14" t="n">
        <f aca="false">IF(I199="Unbilled",0,M199)</f>
        <v>0</v>
      </c>
      <c r="S199" s="9" t="n">
        <f aca="false">IF(R199=0,0,IF(O199="Booked",N199,R199*V198))</f>
        <v>0</v>
      </c>
      <c r="T199" s="14" t="n">
        <f aca="false">IF(I199="Opening",K199,T198+K199-R199)</f>
        <v>1622.58</v>
      </c>
      <c r="U199" s="9" t="n">
        <f aca="false">IF(I199="Opening",L199,U198+L199-S199)</f>
        <v>13623836.3</v>
      </c>
      <c r="V199" s="9" t="n">
        <f aca="false">IF(T199&gt;0,U199/T199,IF(I199="Opening",0,V198))</f>
        <v>8396.40344389799</v>
      </c>
      <c r="W199" s="14" t="n">
        <f aca="false">M199</f>
        <v>0</v>
      </c>
      <c r="X199" s="9" t="n">
        <f aca="false">IF(W199=0,0,IF(O199="Booked",N199,W199*AA198))</f>
        <v>0</v>
      </c>
      <c r="Y199" s="14" t="n">
        <f aca="false">IF(I199="Opening",K199,Y198+K199-W199)</f>
        <v>1622.58</v>
      </c>
      <c r="Z199" s="9" t="n">
        <f aca="false">IF(I199="Opening",L199,Z198+L199-X199)</f>
        <v>13623836.3</v>
      </c>
      <c r="AA199" s="9" t="n">
        <f aca="false">IF(Y199&gt;0,Z199/Y199,IF(I199="Opening",0,AA198))</f>
        <v>8396.40344389799</v>
      </c>
      <c r="AB199" s="9" t="n">
        <f aca="false">IF(AND(I199="DO",O199="MA"),S199-N199,0)</f>
        <v>0</v>
      </c>
      <c r="AC199" s="9" t="n">
        <f aca="false">IF(I199="DO",X199-S199,0)</f>
        <v>0</v>
      </c>
      <c r="AD199" s="23" t="n">
        <f aca="false">IF(B200&lt;&gt;B199,1,0)</f>
        <v>0</v>
      </c>
      <c r="AE199" s="14" t="n">
        <f aca="false">IF(I199="Opening",0,AE198+W199)</f>
        <v>0</v>
      </c>
      <c r="AF199" s="14" t="n">
        <f aca="false">IF(I199="Opening",K199,AF198)</f>
        <v>1622.58</v>
      </c>
      <c r="AG199" s="14" t="n">
        <f aca="false">SUMIFS($K$6:$K$1110,$B$6:$B$1110,B199,$H$6:$H$1110,7,$I$6:$I$1110,"&lt;&gt;Opening")</f>
        <v>118</v>
      </c>
      <c r="AH199" s="14" t="n">
        <f aca="false">IF(W199=0,0,MAX(0,MIN(AE199,AF199)-MIN(AE199-W199,AF199)))</f>
        <v>0</v>
      </c>
      <c r="AI199" s="14" t="n">
        <f aca="false">IF(W199=0,0,MAX(0,MIN(AE199,AF199+AG199)-MAX(AE199-W199,AF199)))</f>
        <v>0</v>
      </c>
      <c r="AJ199" s="14" t="n">
        <f aca="false">W199-AH199-AI199</f>
        <v>0</v>
      </c>
      <c r="AK199" s="9" t="n">
        <f aca="false">IF(W199=0,0,X199*AH199/W199)</f>
        <v>0</v>
      </c>
      <c r="AL199" s="9" t="n">
        <f aca="false">IF(W199=0,0,X199*AI199/W199)</f>
        <v>0</v>
      </c>
      <c r="AM199" s="9" t="n">
        <f aca="false">X199-AK199-AL199</f>
        <v>0</v>
      </c>
    </row>
    <row r="200" customFormat="false" ht="15" hidden="false" customHeight="false" outlineLevel="0" collapsed="false">
      <c r="A200" s="6" t="n">
        <v>195</v>
      </c>
      <c r="B200" s="74" t="s">
        <v>954</v>
      </c>
      <c r="C200" s="53" t="str">
        <f aca="false">INDEX(I_Items!$C$5:$C$133,MATCH($B200,I_Items!$A$5:$A$133,0))</f>
        <v>RPA</v>
      </c>
      <c r="D200" s="53" t="str">
        <f aca="false">INDEX(I_Items!$D$5:$D$133,MATCH($B200,I_Items!$A$5:$A$133,0))</f>
        <v>Ceker</v>
      </c>
      <c r="E200" s="53" t="str">
        <f aca="false">INDEX(I_Items!$F$5:$F$133,MATCH($B200,I_Items!$A$5:$A$133,0))</f>
        <v>Frozen</v>
      </c>
      <c r="F200" s="53" t="str">
        <f aca="false">IF(INDEX(I_Items!$E$5:$E$133,MATCH($B200,I_Items!$A$5:$A$133,0))="","",INDEX(I_Items!$E$5:$E$133,MATCH($B200,I_Items!$A$5:$A$133,0)))</f>
        <v/>
      </c>
      <c r="G200" s="76" t="n">
        <v>46205</v>
      </c>
      <c r="H200" s="23" t="n">
        <f aca="false">MONTH(G200)</f>
        <v>7</v>
      </c>
      <c r="I200" s="74" t="s">
        <v>2074</v>
      </c>
      <c r="J200" s="74" t="s">
        <v>2111</v>
      </c>
      <c r="K200" s="10" t="n">
        <v>118</v>
      </c>
      <c r="L200" s="8" t="n">
        <v>944433.94</v>
      </c>
      <c r="M200" s="10" t="n">
        <v>0</v>
      </c>
      <c r="N200" s="8" t="n">
        <v>0</v>
      </c>
      <c r="O200" s="74"/>
      <c r="P200" s="74"/>
      <c r="Q200" s="74"/>
      <c r="R200" s="14" t="n">
        <f aca="false">IF(I200="Unbilled",0,M200)</f>
        <v>0</v>
      </c>
      <c r="S200" s="9" t="n">
        <f aca="false">IF(R200=0,0,IF(O200="Booked",N200,R200*V199))</f>
        <v>0</v>
      </c>
      <c r="T200" s="14" t="n">
        <f aca="false">IF(I200="Opening",K200,T199+K200-R200)</f>
        <v>1740.58</v>
      </c>
      <c r="U200" s="9" t="n">
        <f aca="false">IF(I200="Opening",L200,U199+L200-S200)</f>
        <v>14568270.24</v>
      </c>
      <c r="V200" s="9" t="n">
        <f aca="false">IF(T200&gt;0,U200/T200,IF(I200="Opening",0,V199))</f>
        <v>8369.77917705593</v>
      </c>
      <c r="W200" s="14" t="n">
        <f aca="false">M200</f>
        <v>0</v>
      </c>
      <c r="X200" s="9" t="n">
        <f aca="false">IF(W200=0,0,IF(O200="Booked",N200,W200*AA199))</f>
        <v>0</v>
      </c>
      <c r="Y200" s="14" t="n">
        <f aca="false">IF(I200="Opening",K200,Y199+K200-W200)</f>
        <v>1740.58</v>
      </c>
      <c r="Z200" s="9" t="n">
        <f aca="false">IF(I200="Opening",L200,Z199+L200-X200)</f>
        <v>14568270.24</v>
      </c>
      <c r="AA200" s="9" t="n">
        <f aca="false">IF(Y200&gt;0,Z200/Y200,IF(I200="Opening",0,AA199))</f>
        <v>8369.77917705593</v>
      </c>
      <c r="AB200" s="9" t="n">
        <f aca="false">IF(AND(I200="DO",O200="MA"),S200-N200,0)</f>
        <v>0</v>
      </c>
      <c r="AC200" s="9" t="n">
        <f aca="false">IF(I200="DO",X200-S200,0)</f>
        <v>0</v>
      </c>
      <c r="AD200" s="23" t="n">
        <f aca="false">IF(B201&lt;&gt;B200,1,0)</f>
        <v>0</v>
      </c>
      <c r="AE200" s="14" t="n">
        <f aca="false">IF(I200="Opening",0,AE199+W200)</f>
        <v>0</v>
      </c>
      <c r="AF200" s="14" t="n">
        <f aca="false">IF(I200="Opening",K200,AF199)</f>
        <v>1622.58</v>
      </c>
      <c r="AG200" s="14" t="n">
        <f aca="false">AG199</f>
        <v>118</v>
      </c>
      <c r="AH200" s="14" t="n">
        <f aca="false">IF(W200=0,0,MAX(0,MIN(AE200,AF200)-MIN(AE200-W200,AF200)))</f>
        <v>0</v>
      </c>
      <c r="AI200" s="14" t="n">
        <f aca="false">IF(W200=0,0,MAX(0,MIN(AE200,AF200+AG200)-MAX(AE200-W200,AF200)))</f>
        <v>0</v>
      </c>
      <c r="AJ200" s="14" t="n">
        <f aca="false">W200-AH200-AI200</f>
        <v>0</v>
      </c>
      <c r="AK200" s="9" t="n">
        <f aca="false">IF(W200=0,0,X200*AH200/W200)</f>
        <v>0</v>
      </c>
      <c r="AL200" s="9" t="n">
        <f aca="false">IF(W200=0,0,X200*AI200/W200)</f>
        <v>0</v>
      </c>
      <c r="AM200" s="9" t="n">
        <f aca="false">X200-AK200-AL200</f>
        <v>0</v>
      </c>
    </row>
    <row r="201" customFormat="false" ht="15" hidden="false" customHeight="false" outlineLevel="0" collapsed="false">
      <c r="A201" s="6" t="n">
        <v>196</v>
      </c>
      <c r="B201" s="74" t="s">
        <v>954</v>
      </c>
      <c r="C201" s="53" t="str">
        <f aca="false">INDEX(I_Items!$C$5:$C$133,MATCH($B201,I_Items!$A$5:$A$133,0))</f>
        <v>RPA</v>
      </c>
      <c r="D201" s="53" t="str">
        <f aca="false">INDEX(I_Items!$D$5:$D$133,MATCH($B201,I_Items!$A$5:$A$133,0))</f>
        <v>Ceker</v>
      </c>
      <c r="E201" s="53" t="str">
        <f aca="false">INDEX(I_Items!$F$5:$F$133,MATCH($B201,I_Items!$A$5:$A$133,0))</f>
        <v>Frozen</v>
      </c>
      <c r="F201" s="53" t="str">
        <f aca="false">IF(INDEX(I_Items!$E$5:$E$133,MATCH($B201,I_Items!$A$5:$A$133,0))="","",INDEX(I_Items!$E$5:$E$133,MATCH($B201,I_Items!$A$5:$A$133,0)))</f>
        <v/>
      </c>
      <c r="G201" s="76" t="n">
        <v>46220</v>
      </c>
      <c r="H201" s="23" t="n">
        <f aca="false">MONTH(G201)</f>
        <v>7</v>
      </c>
      <c r="I201" s="74" t="s">
        <v>2075</v>
      </c>
      <c r="J201" s="74" t="s">
        <v>2112</v>
      </c>
      <c r="K201" s="10" t="n">
        <v>0</v>
      </c>
      <c r="L201" s="8" t="n">
        <v>0</v>
      </c>
      <c r="M201" s="10" t="n">
        <v>143.8</v>
      </c>
      <c r="N201" s="8" t="n">
        <v>1203574.25</v>
      </c>
      <c r="O201" s="74" t="s">
        <v>2077</v>
      </c>
      <c r="P201" s="74"/>
      <c r="Q201" s="74"/>
      <c r="R201" s="14" t="n">
        <f aca="false">IF(I201="Unbilled",0,M201)</f>
        <v>143.8</v>
      </c>
      <c r="S201" s="9" t="n">
        <f aca="false">IF(R201=0,0,IF(O201="Booked",N201,R201*V200))</f>
        <v>1203574.24566064</v>
      </c>
      <c r="T201" s="14" t="n">
        <f aca="false">IF(I201="Opening",K201,T200+K201-R201)</f>
        <v>1596.78</v>
      </c>
      <c r="U201" s="9" t="n">
        <f aca="false">IF(I201="Opening",L201,U200+L201-S201)</f>
        <v>13364695.9943394</v>
      </c>
      <c r="V201" s="9" t="n">
        <f aca="false">IF(T201&gt;0,U201/T201,IF(I201="Opening",0,V200))</f>
        <v>8369.77917705592</v>
      </c>
      <c r="W201" s="14" t="n">
        <f aca="false">M201</f>
        <v>143.8</v>
      </c>
      <c r="X201" s="9" t="n">
        <f aca="false">IF(W201=0,0,IF(O201="Booked",N201,W201*AA200))</f>
        <v>1203574.24566064</v>
      </c>
      <c r="Y201" s="14" t="n">
        <f aca="false">IF(I201="Opening",K201,Y200+K201-W201)</f>
        <v>1596.78</v>
      </c>
      <c r="Z201" s="9" t="n">
        <f aca="false">IF(I201="Opening",L201,Z200+L201-X201)</f>
        <v>13364695.9943394</v>
      </c>
      <c r="AA201" s="9" t="n">
        <f aca="false">IF(Y201&gt;0,Z201/Y201,IF(I201="Opening",0,AA200))</f>
        <v>8369.77917705592</v>
      </c>
      <c r="AB201" s="9" t="n">
        <f aca="false">IF(AND(I201="DO",O201="MA"),S201-N201,0)</f>
        <v>-0.00433935783803463</v>
      </c>
      <c r="AC201" s="9" t="n">
        <f aca="false">IF(I201="DO",X201-S201,0)</f>
        <v>0</v>
      </c>
      <c r="AD201" s="23" t="n">
        <f aca="false">IF(B202&lt;&gt;B201,1,0)</f>
        <v>0</v>
      </c>
      <c r="AE201" s="14" t="n">
        <f aca="false">IF(I201="Opening",0,AE200+W201)</f>
        <v>143.8</v>
      </c>
      <c r="AF201" s="14" t="n">
        <f aca="false">IF(I201="Opening",K201,AF200)</f>
        <v>1622.58</v>
      </c>
      <c r="AG201" s="14" t="n">
        <f aca="false">AG200</f>
        <v>118</v>
      </c>
      <c r="AH201" s="14" t="n">
        <f aca="false">IF(W201=0,0,MAX(0,MIN(AE201,AF201)-MIN(AE201-W201,AF201)))</f>
        <v>143.8</v>
      </c>
      <c r="AI201" s="14" t="n">
        <f aca="false">IF(W201=0,0,MAX(0,MIN(AE201,AF201+AG201)-MAX(AE201-W201,AF201)))</f>
        <v>0</v>
      </c>
      <c r="AJ201" s="14" t="n">
        <f aca="false">W201-AH201-AI201</f>
        <v>0</v>
      </c>
      <c r="AK201" s="9" t="n">
        <f aca="false">IF(W201=0,0,X201*AH201/W201)</f>
        <v>1203574.24566064</v>
      </c>
      <c r="AL201" s="9" t="n">
        <f aca="false">IF(W201=0,0,X201*AI201/W201)</f>
        <v>0</v>
      </c>
      <c r="AM201" s="9" t="n">
        <f aca="false">X201-AK201-AL201</f>
        <v>0</v>
      </c>
    </row>
    <row r="202" customFormat="false" ht="15" hidden="false" customHeight="false" outlineLevel="0" collapsed="false">
      <c r="A202" s="6" t="n">
        <v>197</v>
      </c>
      <c r="B202" s="74" t="s">
        <v>954</v>
      </c>
      <c r="C202" s="53" t="str">
        <f aca="false">INDEX(I_Items!$C$5:$C$133,MATCH($B202,I_Items!$A$5:$A$133,0))</f>
        <v>RPA</v>
      </c>
      <c r="D202" s="53" t="str">
        <f aca="false">INDEX(I_Items!$D$5:$D$133,MATCH($B202,I_Items!$A$5:$A$133,0))</f>
        <v>Ceker</v>
      </c>
      <c r="E202" s="53" t="str">
        <f aca="false">INDEX(I_Items!$F$5:$F$133,MATCH($B202,I_Items!$A$5:$A$133,0))</f>
        <v>Frozen</v>
      </c>
      <c r="F202" s="53" t="str">
        <f aca="false">IF(INDEX(I_Items!$E$5:$E$133,MATCH($B202,I_Items!$A$5:$A$133,0))="","",INDEX(I_Items!$E$5:$E$133,MATCH($B202,I_Items!$A$5:$A$133,0)))</f>
        <v/>
      </c>
      <c r="G202" s="76" t="n">
        <v>46220</v>
      </c>
      <c r="H202" s="23" t="n">
        <f aca="false">MONTH(G202)</f>
        <v>7</v>
      </c>
      <c r="I202" s="74" t="s">
        <v>2075</v>
      </c>
      <c r="J202" s="74" t="s">
        <v>2113</v>
      </c>
      <c r="K202" s="10" t="n">
        <v>0</v>
      </c>
      <c r="L202" s="8" t="n">
        <v>0</v>
      </c>
      <c r="M202" s="10" t="n">
        <v>318.4</v>
      </c>
      <c r="N202" s="8" t="n">
        <v>2664937.7</v>
      </c>
      <c r="O202" s="74" t="s">
        <v>2077</v>
      </c>
      <c r="P202" s="74"/>
      <c r="Q202" s="74"/>
      <c r="R202" s="14" t="n">
        <f aca="false">IF(I202="Unbilled",0,M202)</f>
        <v>318.4</v>
      </c>
      <c r="S202" s="9" t="n">
        <f aca="false">IF(R202=0,0,IF(O202="Booked",N202,R202*V201))</f>
        <v>2664937.68997461</v>
      </c>
      <c r="T202" s="14" t="n">
        <f aca="false">IF(I202="Opening",K202,T201+K202-R202)</f>
        <v>1278.38</v>
      </c>
      <c r="U202" s="9" t="n">
        <f aca="false">IF(I202="Opening",L202,U201+L202-S202)</f>
        <v>10699758.3043648</v>
      </c>
      <c r="V202" s="9" t="n">
        <f aca="false">IF(T202&gt;0,U202/T202,IF(I202="Opening",0,V201))</f>
        <v>8369.77917705592</v>
      </c>
      <c r="W202" s="14" t="n">
        <f aca="false">M202</f>
        <v>318.4</v>
      </c>
      <c r="X202" s="9" t="n">
        <f aca="false">IF(W202=0,0,IF(O202="Booked",N202,W202*AA201))</f>
        <v>2664937.68997461</v>
      </c>
      <c r="Y202" s="14" t="n">
        <f aca="false">IF(I202="Opening",K202,Y201+K202-W202)</f>
        <v>1278.38</v>
      </c>
      <c r="Z202" s="9" t="n">
        <f aca="false">IF(I202="Opening",L202,Z201+L202-X202)</f>
        <v>10699758.3043648</v>
      </c>
      <c r="AA202" s="9" t="n">
        <f aca="false">IF(Y202&gt;0,Z202/Y202,IF(I202="Opening",0,AA201))</f>
        <v>8369.77917705592</v>
      </c>
      <c r="AB202" s="9" t="n">
        <f aca="false">IF(AND(I202="DO",O202="MA"),S202-N202,0)</f>
        <v>-0.0100253941491246</v>
      </c>
      <c r="AC202" s="9" t="n">
        <f aca="false">IF(I202="DO",X202-S202,0)</f>
        <v>0</v>
      </c>
      <c r="AD202" s="23" t="n">
        <f aca="false">IF(B203&lt;&gt;B202,1,0)</f>
        <v>1</v>
      </c>
      <c r="AE202" s="14" t="n">
        <f aca="false">IF(I202="Opening",0,AE201+W202)</f>
        <v>462.2</v>
      </c>
      <c r="AF202" s="14" t="n">
        <f aca="false">IF(I202="Opening",K202,AF201)</f>
        <v>1622.58</v>
      </c>
      <c r="AG202" s="14" t="n">
        <f aca="false">AG201</f>
        <v>118</v>
      </c>
      <c r="AH202" s="14" t="n">
        <f aca="false">IF(W202=0,0,MAX(0,MIN(AE202,AF202)-MIN(AE202-W202,AF202)))</f>
        <v>318.4</v>
      </c>
      <c r="AI202" s="14" t="n">
        <f aca="false">IF(W202=0,0,MAX(0,MIN(AE202,AF202+AG202)-MAX(AE202-W202,AF202)))</f>
        <v>0</v>
      </c>
      <c r="AJ202" s="14" t="n">
        <f aca="false">W202-AH202-AI202</f>
        <v>0</v>
      </c>
      <c r="AK202" s="9" t="n">
        <f aca="false">IF(W202=0,0,X202*AH202/W202)</f>
        <v>2664937.68997461</v>
      </c>
      <c r="AL202" s="9" t="n">
        <f aca="false">IF(W202=0,0,X202*AI202/W202)</f>
        <v>0</v>
      </c>
      <c r="AM202" s="9" t="n">
        <f aca="false">X202-AK202-AL202</f>
        <v>0</v>
      </c>
    </row>
    <row r="203" customFormat="false" ht="15" hidden="false" customHeight="false" outlineLevel="0" collapsed="false">
      <c r="A203" s="6" t="n">
        <v>198</v>
      </c>
      <c r="B203" s="74" t="s">
        <v>955</v>
      </c>
      <c r="C203" s="53" t="str">
        <f aca="false">INDEX(I_Items!$C$5:$C$133,MATCH($B203,I_Items!$A$5:$A$133,0))</f>
        <v>RPA</v>
      </c>
      <c r="D203" s="53" t="str">
        <f aca="false">INDEX(I_Items!$D$5:$D$133,MATCH($B203,I_Items!$A$5:$A$133,0))</f>
        <v>HJA (Hati/Jantung/Ampela)</v>
      </c>
      <c r="E203" s="53" t="str">
        <f aca="false">INDEX(I_Items!$F$5:$F$133,MATCH($B203,I_Items!$A$5:$A$133,0))</f>
        <v>Frozen</v>
      </c>
      <c r="F203" s="53" t="str">
        <f aca="false">IF(INDEX(I_Items!$E$5:$E$133,MATCH($B203,I_Items!$A$5:$A$133,0))="","",INDEX(I_Items!$E$5:$E$133,MATCH($B203,I_Items!$A$5:$A$133,0)))</f>
        <v/>
      </c>
      <c r="G203" s="76" t="n">
        <v>46204</v>
      </c>
      <c r="H203" s="23" t="n">
        <f aca="false">MONTH(G203)</f>
        <v>7</v>
      </c>
      <c r="I203" s="74" t="s">
        <v>2072</v>
      </c>
      <c r="J203" s="74" t="s">
        <v>2073</v>
      </c>
      <c r="K203" s="10" t="n">
        <v>1651.9</v>
      </c>
      <c r="L203" s="8" t="n">
        <v>916244.02</v>
      </c>
      <c r="M203" s="10" t="n">
        <v>0</v>
      </c>
      <c r="N203" s="8" t="n">
        <v>0</v>
      </c>
      <c r="O203" s="74"/>
      <c r="P203" s="74"/>
      <c r="Q203" s="74"/>
      <c r="R203" s="14" t="n">
        <f aca="false">IF(I203="Unbilled",0,M203)</f>
        <v>0</v>
      </c>
      <c r="S203" s="9" t="n">
        <f aca="false">IF(R203=0,0,IF(O203="Booked",N203,R203*V202))</f>
        <v>0</v>
      </c>
      <c r="T203" s="14" t="n">
        <f aca="false">IF(I203="Opening",K203,T202+K203-R203)</f>
        <v>1651.9</v>
      </c>
      <c r="U203" s="9" t="n">
        <f aca="false">IF(I203="Opening",L203,U202+L203-S203)</f>
        <v>916244.02</v>
      </c>
      <c r="V203" s="9" t="n">
        <f aca="false">IF(T203&gt;0,U203/T203,IF(I203="Opening",0,V202))</f>
        <v>554.660705853865</v>
      </c>
      <c r="W203" s="14" t="n">
        <f aca="false">M203</f>
        <v>0</v>
      </c>
      <c r="X203" s="9" t="n">
        <f aca="false">IF(W203=0,0,IF(O203="Booked",N203,W203*AA202))</f>
        <v>0</v>
      </c>
      <c r="Y203" s="14" t="n">
        <f aca="false">IF(I203="Opening",K203,Y202+K203-W203)</f>
        <v>1651.9</v>
      </c>
      <c r="Z203" s="9" t="n">
        <f aca="false">IF(I203="Opening",L203,Z202+L203-X203)</f>
        <v>916244.02</v>
      </c>
      <c r="AA203" s="9" t="n">
        <f aca="false">IF(Y203&gt;0,Z203/Y203,IF(I203="Opening",0,AA202))</f>
        <v>554.660705853865</v>
      </c>
      <c r="AB203" s="9" t="n">
        <f aca="false">IF(AND(I203="DO",O203="MA"),S203-N203,0)</f>
        <v>0</v>
      </c>
      <c r="AC203" s="9" t="n">
        <f aca="false">IF(I203="DO",X203-S203,0)</f>
        <v>0</v>
      </c>
      <c r="AD203" s="23" t="n">
        <f aca="false">IF(B204&lt;&gt;B203,1,0)</f>
        <v>0</v>
      </c>
      <c r="AE203" s="14" t="n">
        <f aca="false">IF(I203="Opening",0,AE202+W203)</f>
        <v>0</v>
      </c>
      <c r="AF203" s="14" t="n">
        <f aca="false">IF(I203="Opening",K203,AF202)</f>
        <v>1651.9</v>
      </c>
      <c r="AG203" s="14" t="n">
        <f aca="false">SUMIFS($K$6:$K$1110,$B$6:$B$1110,B203,$H$6:$H$1110,7,$I$6:$I$1110,"&lt;&gt;Opening")</f>
        <v>0</v>
      </c>
      <c r="AH203" s="14" t="n">
        <f aca="false">IF(W203=0,0,MAX(0,MIN(AE203,AF203)-MIN(AE203-W203,AF203)))</f>
        <v>0</v>
      </c>
      <c r="AI203" s="14" t="n">
        <f aca="false">IF(W203=0,0,MAX(0,MIN(AE203,AF203+AG203)-MAX(AE203-W203,AF203)))</f>
        <v>0</v>
      </c>
      <c r="AJ203" s="14" t="n">
        <f aca="false">W203-AH203-AI203</f>
        <v>0</v>
      </c>
      <c r="AK203" s="9" t="n">
        <f aca="false">IF(W203=0,0,X203*AH203/W203)</f>
        <v>0</v>
      </c>
      <c r="AL203" s="9" t="n">
        <f aca="false">IF(W203=0,0,X203*AI203/W203)</f>
        <v>0</v>
      </c>
      <c r="AM203" s="9" t="n">
        <f aca="false">X203-AK203-AL203</f>
        <v>0</v>
      </c>
    </row>
    <row r="204" customFormat="false" ht="15" hidden="false" customHeight="false" outlineLevel="0" collapsed="false">
      <c r="A204" s="6" t="n">
        <v>199</v>
      </c>
      <c r="B204" s="74" t="s">
        <v>955</v>
      </c>
      <c r="C204" s="53" t="str">
        <f aca="false">INDEX(I_Items!$C$5:$C$133,MATCH($B204,I_Items!$A$5:$A$133,0))</f>
        <v>RPA</v>
      </c>
      <c r="D204" s="53" t="str">
        <f aca="false">INDEX(I_Items!$D$5:$D$133,MATCH($B204,I_Items!$A$5:$A$133,0))</f>
        <v>HJA (Hati/Jantung/Ampela)</v>
      </c>
      <c r="E204" s="53" t="str">
        <f aca="false">INDEX(I_Items!$F$5:$F$133,MATCH($B204,I_Items!$A$5:$A$133,0))</f>
        <v>Frozen</v>
      </c>
      <c r="F204" s="53" t="str">
        <f aca="false">IF(INDEX(I_Items!$E$5:$E$133,MATCH($B204,I_Items!$A$5:$A$133,0))="","",INDEX(I_Items!$E$5:$E$133,MATCH($B204,I_Items!$A$5:$A$133,0)))</f>
        <v/>
      </c>
      <c r="G204" s="76" t="n">
        <v>46206</v>
      </c>
      <c r="H204" s="23" t="n">
        <f aca="false">MONTH(G204)</f>
        <v>7</v>
      </c>
      <c r="I204" s="74" t="s">
        <v>2075</v>
      </c>
      <c r="J204" s="74" t="s">
        <v>2115</v>
      </c>
      <c r="K204" s="10" t="n">
        <v>0</v>
      </c>
      <c r="L204" s="8" t="n">
        <v>0</v>
      </c>
      <c r="M204" s="10" t="n">
        <v>1300</v>
      </c>
      <c r="N204" s="8" t="n">
        <v>721058.91</v>
      </c>
      <c r="O204" s="74" t="s">
        <v>2077</v>
      </c>
      <c r="P204" s="74"/>
      <c r="Q204" s="74"/>
      <c r="R204" s="14" t="n">
        <f aca="false">IF(I204="Unbilled",0,M204)</f>
        <v>1300</v>
      </c>
      <c r="S204" s="9" t="n">
        <f aca="false">IF(R204=0,0,IF(O204="Booked",N204,R204*V203))</f>
        <v>721058.917610025</v>
      </c>
      <c r="T204" s="14" t="n">
        <f aca="false">IF(I204="Opening",K204,T203+K204-R204)</f>
        <v>351.9</v>
      </c>
      <c r="U204" s="9" t="n">
        <f aca="false">IF(I204="Opening",L204,U203+L204-S204)</f>
        <v>195185.102389975</v>
      </c>
      <c r="V204" s="9" t="n">
        <f aca="false">IF(T204&gt;0,U204/T204,IF(I204="Opening",0,V203))</f>
        <v>554.660705853865</v>
      </c>
      <c r="W204" s="14" t="n">
        <f aca="false">M204</f>
        <v>1300</v>
      </c>
      <c r="X204" s="9" t="n">
        <f aca="false">IF(W204=0,0,IF(O204="Booked",N204,W204*AA203))</f>
        <v>721058.917610025</v>
      </c>
      <c r="Y204" s="14" t="n">
        <f aca="false">IF(I204="Opening",K204,Y203+K204-W204)</f>
        <v>351.9</v>
      </c>
      <c r="Z204" s="9" t="n">
        <f aca="false">IF(I204="Opening",L204,Z203+L204-X204)</f>
        <v>195185.102389975</v>
      </c>
      <c r="AA204" s="9" t="n">
        <f aca="false">IF(Y204&gt;0,Z204/Y204,IF(I204="Opening",0,AA203))</f>
        <v>554.660705853865</v>
      </c>
      <c r="AB204" s="9" t="n">
        <f aca="false">IF(AND(I204="DO",O204="MA"),S204-N204,0)</f>
        <v>0.00761002476792783</v>
      </c>
      <c r="AC204" s="9" t="n">
        <f aca="false">IF(I204="DO",X204-S204,0)</f>
        <v>0</v>
      </c>
      <c r="AD204" s="23" t="n">
        <f aca="false">IF(B205&lt;&gt;B204,1,0)</f>
        <v>0</v>
      </c>
      <c r="AE204" s="14" t="n">
        <f aca="false">IF(I204="Opening",0,AE203+W204)</f>
        <v>1300</v>
      </c>
      <c r="AF204" s="14" t="n">
        <f aca="false">IF(I204="Opening",K204,AF203)</f>
        <v>1651.9</v>
      </c>
      <c r="AG204" s="14" t="n">
        <f aca="false">AG203</f>
        <v>0</v>
      </c>
      <c r="AH204" s="14" t="n">
        <f aca="false">IF(W204=0,0,MAX(0,MIN(AE204,AF204)-MIN(AE204-W204,AF204)))</f>
        <v>1300</v>
      </c>
      <c r="AI204" s="14" t="n">
        <f aca="false">IF(W204=0,0,MAX(0,MIN(AE204,AF204+AG204)-MAX(AE204-W204,AF204)))</f>
        <v>0</v>
      </c>
      <c r="AJ204" s="14" t="n">
        <f aca="false">W204-AH204-AI204</f>
        <v>0</v>
      </c>
      <c r="AK204" s="9" t="n">
        <f aca="false">IF(W204=0,0,X204*AH204/W204)</f>
        <v>721058.917610025</v>
      </c>
      <c r="AL204" s="9" t="n">
        <f aca="false">IF(W204=0,0,X204*AI204/W204)</f>
        <v>0</v>
      </c>
      <c r="AM204" s="9" t="n">
        <f aca="false">X204-AK204-AL204</f>
        <v>0</v>
      </c>
    </row>
    <row r="205" customFormat="false" ht="15" hidden="false" customHeight="false" outlineLevel="0" collapsed="false">
      <c r="A205" s="6" t="n">
        <v>200</v>
      </c>
      <c r="B205" s="74" t="s">
        <v>955</v>
      </c>
      <c r="C205" s="53" t="str">
        <f aca="false">INDEX(I_Items!$C$5:$C$133,MATCH($B205,I_Items!$A$5:$A$133,0))</f>
        <v>RPA</v>
      </c>
      <c r="D205" s="53" t="str">
        <f aca="false">INDEX(I_Items!$D$5:$D$133,MATCH($B205,I_Items!$A$5:$A$133,0))</f>
        <v>HJA (Hati/Jantung/Ampela)</v>
      </c>
      <c r="E205" s="53" t="str">
        <f aca="false">INDEX(I_Items!$F$5:$F$133,MATCH($B205,I_Items!$A$5:$A$133,0))</f>
        <v>Frozen</v>
      </c>
      <c r="F205" s="53" t="str">
        <f aca="false">IF(INDEX(I_Items!$E$5:$E$133,MATCH($B205,I_Items!$A$5:$A$133,0))="","",INDEX(I_Items!$E$5:$E$133,MATCH($B205,I_Items!$A$5:$A$133,0)))</f>
        <v/>
      </c>
      <c r="G205" s="76" t="n">
        <v>46242</v>
      </c>
      <c r="H205" s="23" t="n">
        <f aca="false">MONTH(G205)</f>
        <v>8</v>
      </c>
      <c r="I205" s="74" t="s">
        <v>2075</v>
      </c>
      <c r="J205" s="74" t="s">
        <v>2076</v>
      </c>
      <c r="K205" s="10" t="n">
        <v>0</v>
      </c>
      <c r="L205" s="8" t="n">
        <v>0</v>
      </c>
      <c r="M205" s="10" t="n">
        <v>221.5</v>
      </c>
      <c r="N205" s="8" t="n">
        <v>122857.35</v>
      </c>
      <c r="O205" s="74" t="s">
        <v>2077</v>
      </c>
      <c r="P205" s="74"/>
      <c r="Q205" s="74"/>
      <c r="R205" s="14" t="n">
        <f aca="false">IF(I205="Unbilled",0,M205)</f>
        <v>221.5</v>
      </c>
      <c r="S205" s="9" t="n">
        <f aca="false">IF(R205=0,0,IF(O205="Booked",N205,R205*V204))</f>
        <v>122857.346346631</v>
      </c>
      <c r="T205" s="14" t="n">
        <f aca="false">IF(I205="Opening",K205,T204+K205-R205)</f>
        <v>130.4</v>
      </c>
      <c r="U205" s="9" t="n">
        <f aca="false">IF(I205="Opening",L205,U204+L205-S205)</f>
        <v>72327.7560433441</v>
      </c>
      <c r="V205" s="9" t="n">
        <f aca="false">IF(T205&gt;0,U205/T205,IF(I205="Opening",0,V204))</f>
        <v>554.660705853865</v>
      </c>
      <c r="W205" s="14" t="n">
        <f aca="false">M205</f>
        <v>221.5</v>
      </c>
      <c r="X205" s="9" t="n">
        <f aca="false">IF(W205=0,0,IF(O205="Booked",N205,W205*AA204))</f>
        <v>122857.346346631</v>
      </c>
      <c r="Y205" s="14" t="n">
        <f aca="false">IF(I205="Opening",K205,Y204+K205-W205)</f>
        <v>130.4</v>
      </c>
      <c r="Z205" s="9" t="n">
        <f aca="false">IF(I205="Opening",L205,Z204+L205-X205)</f>
        <v>72327.7560433441</v>
      </c>
      <c r="AA205" s="9" t="n">
        <f aca="false">IF(Y205&gt;0,Z205/Y205,IF(I205="Opening",0,AA204))</f>
        <v>554.660705853865</v>
      </c>
      <c r="AB205" s="9" t="n">
        <f aca="false">IF(AND(I205="DO",O205="MA"),S205-N205,0)</f>
        <v>-0.00365336885442957</v>
      </c>
      <c r="AC205" s="9" t="n">
        <f aca="false">IF(I205="DO",X205-S205,0)</f>
        <v>0</v>
      </c>
      <c r="AD205" s="23" t="n">
        <f aca="false">IF(B206&lt;&gt;B205,1,0)</f>
        <v>1</v>
      </c>
      <c r="AE205" s="14" t="n">
        <f aca="false">IF(I205="Opening",0,AE204+W205)</f>
        <v>1521.5</v>
      </c>
      <c r="AF205" s="14" t="n">
        <f aca="false">IF(I205="Opening",K205,AF204)</f>
        <v>1651.9</v>
      </c>
      <c r="AG205" s="14" t="n">
        <f aca="false">AG204</f>
        <v>0</v>
      </c>
      <c r="AH205" s="14" t="n">
        <f aca="false">IF(W205=0,0,MAX(0,MIN(AE205,AF205)-MIN(AE205-W205,AF205)))</f>
        <v>221.5</v>
      </c>
      <c r="AI205" s="14" t="n">
        <f aca="false">IF(W205=0,0,MAX(0,MIN(AE205,AF205+AG205)-MAX(AE205-W205,AF205)))</f>
        <v>0</v>
      </c>
      <c r="AJ205" s="14" t="n">
        <f aca="false">W205-AH205-AI205</f>
        <v>0</v>
      </c>
      <c r="AK205" s="9" t="n">
        <f aca="false">IF(W205=0,0,X205*AH205/W205)</f>
        <v>122857.346346631</v>
      </c>
      <c r="AL205" s="9" t="n">
        <f aca="false">IF(W205=0,0,X205*AI205/W205)</f>
        <v>0</v>
      </c>
      <c r="AM205" s="9" t="n">
        <f aca="false">X205-AK205-AL205</f>
        <v>0</v>
      </c>
    </row>
    <row r="206" customFormat="false" ht="15" hidden="false" customHeight="false" outlineLevel="0" collapsed="false">
      <c r="A206" s="6" t="n">
        <v>201</v>
      </c>
      <c r="B206" s="74" t="s">
        <v>956</v>
      </c>
      <c r="C206" s="53" t="str">
        <f aca="false">INDEX(I_Items!$C$5:$C$133,MATCH($B206,I_Items!$A$5:$A$133,0))</f>
        <v>RPA</v>
      </c>
      <c r="D206" s="53" t="str">
        <f aca="false">INDEX(I_Items!$D$5:$D$133,MATCH($B206,I_Items!$A$5:$A$133,0))</f>
        <v>Kepala</v>
      </c>
      <c r="E206" s="53" t="str">
        <f aca="false">INDEX(I_Items!$F$5:$F$133,MATCH($B206,I_Items!$A$5:$A$133,0))</f>
        <v>Frozen</v>
      </c>
      <c r="F206" s="53" t="str">
        <f aca="false">IF(INDEX(I_Items!$E$5:$E$133,MATCH($B206,I_Items!$A$5:$A$133,0))="","",INDEX(I_Items!$E$5:$E$133,MATCH($B206,I_Items!$A$5:$A$133,0)))</f>
        <v/>
      </c>
      <c r="G206" s="76" t="n">
        <v>46204</v>
      </c>
      <c r="H206" s="23" t="n">
        <f aca="false">MONTH(G206)</f>
        <v>7</v>
      </c>
      <c r="I206" s="74" t="s">
        <v>2072</v>
      </c>
      <c r="J206" s="74" t="s">
        <v>2073</v>
      </c>
      <c r="K206" s="10" t="n">
        <v>1996.1</v>
      </c>
      <c r="L206" s="8" t="n">
        <v>15972415.15</v>
      </c>
      <c r="M206" s="10" t="n">
        <v>0</v>
      </c>
      <c r="N206" s="8" t="n">
        <v>0</v>
      </c>
      <c r="O206" s="74"/>
      <c r="P206" s="74"/>
      <c r="Q206" s="74"/>
      <c r="R206" s="14" t="n">
        <f aca="false">IF(I206="Unbilled",0,M206)</f>
        <v>0</v>
      </c>
      <c r="S206" s="9" t="n">
        <f aca="false">IF(R206=0,0,IF(O206="Booked",N206,R206*V205))</f>
        <v>0</v>
      </c>
      <c r="T206" s="14" t="n">
        <f aca="false">IF(I206="Opening",K206,T205+K206-R206)</f>
        <v>1996.1</v>
      </c>
      <c r="U206" s="9" t="n">
        <f aca="false">IF(I206="Opening",L206,U205+L206-S206)</f>
        <v>15972415.15</v>
      </c>
      <c r="V206" s="9" t="n">
        <f aca="false">IF(T206&gt;0,U206/T206,IF(I206="Opening",0,V205))</f>
        <v>8001.81110665798</v>
      </c>
      <c r="W206" s="14" t="n">
        <f aca="false">M206</f>
        <v>0</v>
      </c>
      <c r="X206" s="9" t="n">
        <f aca="false">IF(W206=0,0,IF(O206="Booked",N206,W206*AA205))</f>
        <v>0</v>
      </c>
      <c r="Y206" s="14" t="n">
        <f aca="false">IF(I206="Opening",K206,Y205+K206-W206)</f>
        <v>1996.1</v>
      </c>
      <c r="Z206" s="9" t="n">
        <f aca="false">IF(I206="Opening",L206,Z205+L206-X206)</f>
        <v>15972415.15</v>
      </c>
      <c r="AA206" s="9" t="n">
        <f aca="false">IF(Y206&gt;0,Z206/Y206,IF(I206="Opening",0,AA205))</f>
        <v>8001.81110665798</v>
      </c>
      <c r="AB206" s="9" t="n">
        <f aca="false">IF(AND(I206="DO",O206="MA"),S206-N206,0)</f>
        <v>0</v>
      </c>
      <c r="AC206" s="9" t="n">
        <f aca="false">IF(I206="DO",X206-S206,0)</f>
        <v>0</v>
      </c>
      <c r="AD206" s="23" t="n">
        <f aca="false">IF(B207&lt;&gt;B206,1,0)</f>
        <v>0</v>
      </c>
      <c r="AE206" s="14" t="n">
        <f aca="false">IF(I206="Opening",0,AE205+W206)</f>
        <v>0</v>
      </c>
      <c r="AF206" s="14" t="n">
        <f aca="false">IF(I206="Opening",K206,AF205)</f>
        <v>1996.1</v>
      </c>
      <c r="AG206" s="14" t="n">
        <f aca="false">SUMIFS($K$6:$K$1110,$B$6:$B$1110,B206,$H$6:$H$1110,7,$I$6:$I$1110,"&lt;&gt;Opening")</f>
        <v>186</v>
      </c>
      <c r="AH206" s="14" t="n">
        <f aca="false">IF(W206=0,0,MAX(0,MIN(AE206,AF206)-MIN(AE206-W206,AF206)))</f>
        <v>0</v>
      </c>
      <c r="AI206" s="14" t="n">
        <f aca="false">IF(W206=0,0,MAX(0,MIN(AE206,AF206+AG206)-MAX(AE206-W206,AF206)))</f>
        <v>0</v>
      </c>
      <c r="AJ206" s="14" t="n">
        <f aca="false">W206-AH206-AI206</f>
        <v>0</v>
      </c>
      <c r="AK206" s="9" t="n">
        <f aca="false">IF(W206=0,0,X206*AH206/W206)</f>
        <v>0</v>
      </c>
      <c r="AL206" s="9" t="n">
        <f aca="false">IF(W206=0,0,X206*AI206/W206)</f>
        <v>0</v>
      </c>
      <c r="AM206" s="9" t="n">
        <f aca="false">X206-AK206-AL206</f>
        <v>0</v>
      </c>
    </row>
    <row r="207" customFormat="false" ht="15" hidden="false" customHeight="false" outlineLevel="0" collapsed="false">
      <c r="A207" s="6" t="n">
        <v>202</v>
      </c>
      <c r="B207" s="74" t="s">
        <v>956</v>
      </c>
      <c r="C207" s="53" t="str">
        <f aca="false">INDEX(I_Items!$C$5:$C$133,MATCH($B207,I_Items!$A$5:$A$133,0))</f>
        <v>RPA</v>
      </c>
      <c r="D207" s="53" t="str">
        <f aca="false">INDEX(I_Items!$D$5:$D$133,MATCH($B207,I_Items!$A$5:$A$133,0))</f>
        <v>Kepala</v>
      </c>
      <c r="E207" s="53" t="str">
        <f aca="false">INDEX(I_Items!$F$5:$F$133,MATCH($B207,I_Items!$A$5:$A$133,0))</f>
        <v>Frozen</v>
      </c>
      <c r="F207" s="53" t="str">
        <f aca="false">IF(INDEX(I_Items!$E$5:$E$133,MATCH($B207,I_Items!$A$5:$A$133,0))="","",INDEX(I_Items!$E$5:$E$133,MATCH($B207,I_Items!$A$5:$A$133,0)))</f>
        <v/>
      </c>
      <c r="G207" s="76" t="n">
        <v>46205</v>
      </c>
      <c r="H207" s="23" t="n">
        <f aca="false">MONTH(G207)</f>
        <v>7</v>
      </c>
      <c r="I207" s="74" t="s">
        <v>2074</v>
      </c>
      <c r="J207" s="74" t="s">
        <v>2111</v>
      </c>
      <c r="K207" s="10" t="n">
        <v>186</v>
      </c>
      <c r="L207" s="8" t="n">
        <v>1042078.8</v>
      </c>
      <c r="M207" s="10" t="n">
        <v>0</v>
      </c>
      <c r="N207" s="8" t="n">
        <v>0</v>
      </c>
      <c r="O207" s="74"/>
      <c r="P207" s="74"/>
      <c r="Q207" s="74"/>
      <c r="R207" s="14" t="n">
        <f aca="false">IF(I207="Unbilled",0,M207)</f>
        <v>0</v>
      </c>
      <c r="S207" s="9" t="n">
        <f aca="false">IF(R207=0,0,IF(O207="Booked",N207,R207*V206))</f>
        <v>0</v>
      </c>
      <c r="T207" s="14" t="n">
        <f aca="false">IF(I207="Opening",K207,T206+K207-R207)</f>
        <v>2182.1</v>
      </c>
      <c r="U207" s="9" t="n">
        <f aca="false">IF(I207="Opening",L207,U206+L207-S207)</f>
        <v>17014493.95</v>
      </c>
      <c r="V207" s="9" t="n">
        <f aca="false">IF(T207&gt;0,U207/T207,IF(I207="Opening",0,V206))</f>
        <v>7797.30257550067</v>
      </c>
      <c r="W207" s="14" t="n">
        <f aca="false">M207</f>
        <v>0</v>
      </c>
      <c r="X207" s="9" t="n">
        <f aca="false">IF(W207=0,0,IF(O207="Booked",N207,W207*AA206))</f>
        <v>0</v>
      </c>
      <c r="Y207" s="14" t="n">
        <f aca="false">IF(I207="Opening",K207,Y206+K207-W207)</f>
        <v>2182.1</v>
      </c>
      <c r="Z207" s="9" t="n">
        <f aca="false">IF(I207="Opening",L207,Z206+L207-X207)</f>
        <v>17014493.95</v>
      </c>
      <c r="AA207" s="9" t="n">
        <f aca="false">IF(Y207&gt;0,Z207/Y207,IF(I207="Opening",0,AA206))</f>
        <v>7797.30257550067</v>
      </c>
      <c r="AB207" s="9" t="n">
        <f aca="false">IF(AND(I207="DO",O207="MA"),S207-N207,0)</f>
        <v>0</v>
      </c>
      <c r="AC207" s="9" t="n">
        <f aca="false">IF(I207="DO",X207-S207,0)</f>
        <v>0</v>
      </c>
      <c r="AD207" s="23" t="n">
        <f aca="false">IF(B208&lt;&gt;B207,1,0)</f>
        <v>0</v>
      </c>
      <c r="AE207" s="14" t="n">
        <f aca="false">IF(I207="Opening",0,AE206+W207)</f>
        <v>0</v>
      </c>
      <c r="AF207" s="14" t="n">
        <f aca="false">IF(I207="Opening",K207,AF206)</f>
        <v>1996.1</v>
      </c>
      <c r="AG207" s="14" t="n">
        <f aca="false">AG206</f>
        <v>186</v>
      </c>
      <c r="AH207" s="14" t="n">
        <f aca="false">IF(W207=0,0,MAX(0,MIN(AE207,AF207)-MIN(AE207-W207,AF207)))</f>
        <v>0</v>
      </c>
      <c r="AI207" s="14" t="n">
        <f aca="false">IF(W207=0,0,MAX(0,MIN(AE207,AF207+AG207)-MAX(AE207-W207,AF207)))</f>
        <v>0</v>
      </c>
      <c r="AJ207" s="14" t="n">
        <f aca="false">W207-AH207-AI207</f>
        <v>0</v>
      </c>
      <c r="AK207" s="9" t="n">
        <f aca="false">IF(W207=0,0,X207*AH207/W207)</f>
        <v>0</v>
      </c>
      <c r="AL207" s="9" t="n">
        <f aca="false">IF(W207=0,0,X207*AI207/W207)</f>
        <v>0</v>
      </c>
      <c r="AM207" s="9" t="n">
        <f aca="false">X207-AK207-AL207</f>
        <v>0</v>
      </c>
    </row>
    <row r="208" customFormat="false" ht="15" hidden="false" customHeight="false" outlineLevel="0" collapsed="false">
      <c r="A208" s="6" t="n">
        <v>203</v>
      </c>
      <c r="B208" s="74" t="s">
        <v>956</v>
      </c>
      <c r="C208" s="53" t="str">
        <f aca="false">INDEX(I_Items!$C$5:$C$133,MATCH($B208,I_Items!$A$5:$A$133,0))</f>
        <v>RPA</v>
      </c>
      <c r="D208" s="53" t="str">
        <f aca="false">INDEX(I_Items!$D$5:$D$133,MATCH($B208,I_Items!$A$5:$A$133,0))</f>
        <v>Kepala</v>
      </c>
      <c r="E208" s="53" t="str">
        <f aca="false">INDEX(I_Items!$F$5:$F$133,MATCH($B208,I_Items!$A$5:$A$133,0))</f>
        <v>Frozen</v>
      </c>
      <c r="F208" s="53" t="str">
        <f aca="false">IF(INDEX(I_Items!$E$5:$E$133,MATCH($B208,I_Items!$A$5:$A$133,0))="","",INDEX(I_Items!$E$5:$E$133,MATCH($B208,I_Items!$A$5:$A$133,0)))</f>
        <v/>
      </c>
      <c r="G208" s="76" t="n">
        <v>46220</v>
      </c>
      <c r="H208" s="23" t="n">
        <f aca="false">MONTH(G208)</f>
        <v>7</v>
      </c>
      <c r="I208" s="74" t="s">
        <v>2075</v>
      </c>
      <c r="J208" s="74" t="s">
        <v>2112</v>
      </c>
      <c r="K208" s="10" t="n">
        <v>0</v>
      </c>
      <c r="L208" s="8" t="n">
        <v>0</v>
      </c>
      <c r="M208" s="10" t="n">
        <v>207.1</v>
      </c>
      <c r="N208" s="8" t="n">
        <v>1614821.35</v>
      </c>
      <c r="O208" s="74" t="s">
        <v>2077</v>
      </c>
      <c r="P208" s="74"/>
      <c r="Q208" s="74"/>
      <c r="R208" s="14" t="n">
        <f aca="false">IF(I208="Unbilled",0,M208)</f>
        <v>207.1</v>
      </c>
      <c r="S208" s="9" t="n">
        <f aca="false">IF(R208=0,0,IF(O208="Booked",N208,R208*V207))</f>
        <v>1614821.36338619</v>
      </c>
      <c r="T208" s="14" t="n">
        <f aca="false">IF(I208="Opening",K208,T207+K208-R208)</f>
        <v>1975</v>
      </c>
      <c r="U208" s="9" t="n">
        <f aca="false">IF(I208="Opening",L208,U207+L208-S208)</f>
        <v>15399672.5866138</v>
      </c>
      <c r="V208" s="9" t="n">
        <f aca="false">IF(T208&gt;0,U208/T208,IF(I208="Opening",0,V207))</f>
        <v>7797.30257550066</v>
      </c>
      <c r="W208" s="14" t="n">
        <f aca="false">M208</f>
        <v>207.1</v>
      </c>
      <c r="X208" s="9" t="n">
        <f aca="false">IF(W208=0,0,IF(O208="Booked",N208,W208*AA207))</f>
        <v>1614821.36338619</v>
      </c>
      <c r="Y208" s="14" t="n">
        <f aca="false">IF(I208="Opening",K208,Y207+K208-W208)</f>
        <v>1975</v>
      </c>
      <c r="Z208" s="9" t="n">
        <f aca="false">IF(I208="Opening",L208,Z207+L208-X208)</f>
        <v>15399672.5866138</v>
      </c>
      <c r="AA208" s="9" t="n">
        <f aca="false">IF(Y208&gt;0,Z208/Y208,IF(I208="Opening",0,AA207))</f>
        <v>7797.30257550066</v>
      </c>
      <c r="AB208" s="9" t="n">
        <f aca="false">IF(AND(I208="DO",O208="MA"),S208-N208,0)</f>
        <v>0.0133861876092851</v>
      </c>
      <c r="AC208" s="9" t="n">
        <f aca="false">IF(I208="DO",X208-S208,0)</f>
        <v>0</v>
      </c>
      <c r="AD208" s="23" t="n">
        <f aca="false">IF(B209&lt;&gt;B208,1,0)</f>
        <v>0</v>
      </c>
      <c r="AE208" s="14" t="n">
        <f aca="false">IF(I208="Opening",0,AE207+W208)</f>
        <v>207.1</v>
      </c>
      <c r="AF208" s="14" t="n">
        <f aca="false">IF(I208="Opening",K208,AF207)</f>
        <v>1996.1</v>
      </c>
      <c r="AG208" s="14" t="n">
        <f aca="false">AG207</f>
        <v>186</v>
      </c>
      <c r="AH208" s="14" t="n">
        <f aca="false">IF(W208=0,0,MAX(0,MIN(AE208,AF208)-MIN(AE208-W208,AF208)))</f>
        <v>207.1</v>
      </c>
      <c r="AI208" s="14" t="n">
        <f aca="false">IF(W208=0,0,MAX(0,MIN(AE208,AF208+AG208)-MAX(AE208-W208,AF208)))</f>
        <v>0</v>
      </c>
      <c r="AJ208" s="14" t="n">
        <f aca="false">W208-AH208-AI208</f>
        <v>0</v>
      </c>
      <c r="AK208" s="9" t="n">
        <f aca="false">IF(W208=0,0,X208*AH208/W208)</f>
        <v>1614821.36338619</v>
      </c>
      <c r="AL208" s="9" t="n">
        <f aca="false">IF(W208=0,0,X208*AI208/W208)</f>
        <v>0</v>
      </c>
      <c r="AM208" s="9" t="n">
        <f aca="false">X208-AK208-AL208</f>
        <v>0</v>
      </c>
    </row>
    <row r="209" customFormat="false" ht="15" hidden="false" customHeight="false" outlineLevel="0" collapsed="false">
      <c r="A209" s="6" t="n">
        <v>204</v>
      </c>
      <c r="B209" s="74" t="s">
        <v>956</v>
      </c>
      <c r="C209" s="53" t="str">
        <f aca="false">INDEX(I_Items!$C$5:$C$133,MATCH($B209,I_Items!$A$5:$A$133,0))</f>
        <v>RPA</v>
      </c>
      <c r="D209" s="53" t="str">
        <f aca="false">INDEX(I_Items!$D$5:$D$133,MATCH($B209,I_Items!$A$5:$A$133,0))</f>
        <v>Kepala</v>
      </c>
      <c r="E209" s="53" t="str">
        <f aca="false">INDEX(I_Items!$F$5:$F$133,MATCH($B209,I_Items!$A$5:$A$133,0))</f>
        <v>Frozen</v>
      </c>
      <c r="F209" s="53" t="str">
        <f aca="false">IF(INDEX(I_Items!$E$5:$E$133,MATCH($B209,I_Items!$A$5:$A$133,0))="","",INDEX(I_Items!$E$5:$E$133,MATCH($B209,I_Items!$A$5:$A$133,0)))</f>
        <v/>
      </c>
      <c r="G209" s="76" t="n">
        <v>46242</v>
      </c>
      <c r="H209" s="23" t="n">
        <f aca="false">MONTH(G209)</f>
        <v>8</v>
      </c>
      <c r="I209" s="74" t="s">
        <v>2075</v>
      </c>
      <c r="J209" s="74" t="s">
        <v>2076</v>
      </c>
      <c r="K209" s="10" t="n">
        <v>0</v>
      </c>
      <c r="L209" s="8" t="n">
        <v>0</v>
      </c>
      <c r="M209" s="10" t="n">
        <v>163.8</v>
      </c>
      <c r="N209" s="8" t="n">
        <v>1277198.15</v>
      </c>
      <c r="O209" s="74" t="s">
        <v>2077</v>
      </c>
      <c r="P209" s="74"/>
      <c r="Q209" s="74"/>
      <c r="R209" s="14" t="n">
        <f aca="false">IF(I209="Unbilled",0,M209)</f>
        <v>163.8</v>
      </c>
      <c r="S209" s="9" t="n">
        <f aca="false">IF(R209=0,0,IF(O209="Booked",N209,R209*V208))</f>
        <v>1277198.16186701</v>
      </c>
      <c r="T209" s="14" t="n">
        <f aca="false">IF(I209="Opening",K209,T208+K209-R209)</f>
        <v>1811.2</v>
      </c>
      <c r="U209" s="9" t="n">
        <f aca="false">IF(I209="Opening",L209,U208+L209-S209)</f>
        <v>14122474.4247468</v>
      </c>
      <c r="V209" s="9" t="n">
        <f aca="false">IF(T209&gt;0,U209/T209,IF(I209="Opening",0,V208))</f>
        <v>7797.30257550066</v>
      </c>
      <c r="W209" s="14" t="n">
        <f aca="false">M209</f>
        <v>163.8</v>
      </c>
      <c r="X209" s="9" t="n">
        <f aca="false">IF(W209=0,0,IF(O209="Booked",N209,W209*AA208))</f>
        <v>1277198.16186701</v>
      </c>
      <c r="Y209" s="14" t="n">
        <f aca="false">IF(I209="Opening",K209,Y208+K209-W209)</f>
        <v>1811.2</v>
      </c>
      <c r="Z209" s="9" t="n">
        <f aca="false">IF(I209="Opening",L209,Z208+L209-X209)</f>
        <v>14122474.4247468</v>
      </c>
      <c r="AA209" s="9" t="n">
        <f aca="false">IF(Y209&gt;0,Z209/Y209,IF(I209="Opening",0,AA208))</f>
        <v>7797.30257550066</v>
      </c>
      <c r="AB209" s="9" t="n">
        <f aca="false">IF(AND(I209="DO",O209="MA"),S209-N209,0)</f>
        <v>0.0118670088704675</v>
      </c>
      <c r="AC209" s="9" t="n">
        <f aca="false">IF(I209="DO",X209-S209,0)</f>
        <v>0</v>
      </c>
      <c r="AD209" s="23" t="n">
        <f aca="false">IF(B210&lt;&gt;B209,1,0)</f>
        <v>1</v>
      </c>
      <c r="AE209" s="14" t="n">
        <f aca="false">IF(I209="Opening",0,AE208+W209)</f>
        <v>370.9</v>
      </c>
      <c r="AF209" s="14" t="n">
        <f aca="false">IF(I209="Opening",K209,AF208)</f>
        <v>1996.1</v>
      </c>
      <c r="AG209" s="14" t="n">
        <f aca="false">AG208</f>
        <v>186</v>
      </c>
      <c r="AH209" s="14" t="n">
        <f aca="false">IF(W209=0,0,MAX(0,MIN(AE209,AF209)-MIN(AE209-W209,AF209)))</f>
        <v>163.8</v>
      </c>
      <c r="AI209" s="14" t="n">
        <f aca="false">IF(W209=0,0,MAX(0,MIN(AE209,AF209+AG209)-MAX(AE209-W209,AF209)))</f>
        <v>0</v>
      </c>
      <c r="AJ209" s="14" t="n">
        <f aca="false">W209-AH209-AI209</f>
        <v>0</v>
      </c>
      <c r="AK209" s="9" t="n">
        <f aca="false">IF(W209=0,0,X209*AH209/W209)</f>
        <v>1277198.16186701</v>
      </c>
      <c r="AL209" s="9" t="n">
        <f aca="false">IF(W209=0,0,X209*AI209/W209)</f>
        <v>0</v>
      </c>
      <c r="AM209" s="9" t="n">
        <f aca="false">X209-AK209-AL209</f>
        <v>0</v>
      </c>
    </row>
    <row r="210" customFormat="false" ht="15" hidden="false" customHeight="false" outlineLevel="0" collapsed="false">
      <c r="A210" s="6" t="n">
        <v>205</v>
      </c>
      <c r="B210" s="74" t="s">
        <v>957</v>
      </c>
      <c r="C210" s="53" t="str">
        <f aca="false">INDEX(I_Items!$C$5:$C$133,MATCH($B210,I_Items!$A$5:$A$133,0))</f>
        <v>RPA</v>
      </c>
      <c r="D210" s="53" t="str">
        <f aca="false">INDEX(I_Items!$D$5:$D$133,MATCH($B210,I_Items!$A$5:$A$133,0))</f>
        <v>KRK (Kerangka)</v>
      </c>
      <c r="E210" s="53" t="str">
        <f aca="false">INDEX(I_Items!$F$5:$F$133,MATCH($B210,I_Items!$A$5:$A$133,0))</f>
        <v>Frozen</v>
      </c>
      <c r="F210" s="53" t="str">
        <f aca="false">IF(INDEX(I_Items!$E$5:$E$133,MATCH($B210,I_Items!$A$5:$A$133,0))="","",INDEX(I_Items!$E$5:$E$133,MATCH($B210,I_Items!$A$5:$A$133,0)))</f>
        <v/>
      </c>
      <c r="G210" s="76" t="n">
        <v>46204</v>
      </c>
      <c r="H210" s="23" t="n">
        <f aca="false">MONTH(G210)</f>
        <v>7</v>
      </c>
      <c r="I210" s="74" t="s">
        <v>2072</v>
      </c>
      <c r="J210" s="74" t="s">
        <v>2073</v>
      </c>
      <c r="K210" s="10" t="n">
        <v>2082.92</v>
      </c>
      <c r="L210" s="8" t="n">
        <v>22698127.34</v>
      </c>
      <c r="M210" s="10" t="n">
        <v>0</v>
      </c>
      <c r="N210" s="8" t="n">
        <v>0</v>
      </c>
      <c r="O210" s="74"/>
      <c r="P210" s="74"/>
      <c r="Q210" s="74"/>
      <c r="R210" s="14" t="n">
        <f aca="false">IF(I210="Unbilled",0,M210)</f>
        <v>0</v>
      </c>
      <c r="S210" s="9" t="n">
        <f aca="false">IF(R210=0,0,IF(O210="Booked",N210,R210*V209))</f>
        <v>0</v>
      </c>
      <c r="T210" s="14" t="n">
        <f aca="false">IF(I210="Opening",K210,T209+K210-R210)</f>
        <v>2082.92</v>
      </c>
      <c r="U210" s="9" t="n">
        <f aca="false">IF(I210="Opening",L210,U209+L210-S210)</f>
        <v>22698127.34</v>
      </c>
      <c r="V210" s="9" t="n">
        <f aca="false">IF(T210&gt;0,U210/T210,IF(I210="Opening",0,V209))</f>
        <v>10897.263140207</v>
      </c>
      <c r="W210" s="14" t="n">
        <f aca="false">M210</f>
        <v>0</v>
      </c>
      <c r="X210" s="9" t="n">
        <f aca="false">IF(W210=0,0,IF(O210="Booked",N210,W210*AA209))</f>
        <v>0</v>
      </c>
      <c r="Y210" s="14" t="n">
        <f aca="false">IF(I210="Opening",K210,Y209+K210-W210)</f>
        <v>2082.92</v>
      </c>
      <c r="Z210" s="9" t="n">
        <f aca="false">IF(I210="Opening",L210,Z209+L210-X210)</f>
        <v>22698127.34</v>
      </c>
      <c r="AA210" s="9" t="n">
        <f aca="false">IF(Y210&gt;0,Z210/Y210,IF(I210="Opening",0,AA209))</f>
        <v>10897.263140207</v>
      </c>
      <c r="AB210" s="9" t="n">
        <f aca="false">IF(AND(I210="DO",O210="MA"),S210-N210,0)</f>
        <v>0</v>
      </c>
      <c r="AC210" s="9" t="n">
        <f aca="false">IF(I210="DO",X210-S210,0)</f>
        <v>0</v>
      </c>
      <c r="AD210" s="23" t="n">
        <f aca="false">IF(B211&lt;&gt;B210,1,0)</f>
        <v>0</v>
      </c>
      <c r="AE210" s="14" t="n">
        <f aca="false">IF(I210="Opening",0,AE209+W210)</f>
        <v>0</v>
      </c>
      <c r="AF210" s="14" t="n">
        <f aca="false">IF(I210="Opening",K210,AF209)</f>
        <v>2082.92</v>
      </c>
      <c r="AG210" s="14" t="n">
        <f aca="false">SUMIFS($K$6:$K$1110,$B$6:$B$1110,B210,$H$6:$H$1110,7,$I$6:$I$1110,"&lt;&gt;Opening")</f>
        <v>563</v>
      </c>
      <c r="AH210" s="14" t="n">
        <f aca="false">IF(W210=0,0,MAX(0,MIN(AE210,AF210)-MIN(AE210-W210,AF210)))</f>
        <v>0</v>
      </c>
      <c r="AI210" s="14" t="n">
        <f aca="false">IF(W210=0,0,MAX(0,MIN(AE210,AF210+AG210)-MAX(AE210-W210,AF210)))</f>
        <v>0</v>
      </c>
      <c r="AJ210" s="14" t="n">
        <f aca="false">W210-AH210-AI210</f>
        <v>0</v>
      </c>
      <c r="AK210" s="9" t="n">
        <f aca="false">IF(W210=0,0,X210*AH210/W210)</f>
        <v>0</v>
      </c>
      <c r="AL210" s="9" t="n">
        <f aca="false">IF(W210=0,0,X210*AI210/W210)</f>
        <v>0</v>
      </c>
      <c r="AM210" s="9" t="n">
        <f aca="false">X210-AK210-AL210</f>
        <v>0</v>
      </c>
    </row>
    <row r="211" customFormat="false" ht="15" hidden="false" customHeight="false" outlineLevel="0" collapsed="false">
      <c r="A211" s="6" t="n">
        <v>206</v>
      </c>
      <c r="B211" s="74" t="s">
        <v>957</v>
      </c>
      <c r="C211" s="53" t="str">
        <f aca="false">INDEX(I_Items!$C$5:$C$133,MATCH($B211,I_Items!$A$5:$A$133,0))</f>
        <v>RPA</v>
      </c>
      <c r="D211" s="53" t="str">
        <f aca="false">INDEX(I_Items!$D$5:$D$133,MATCH($B211,I_Items!$A$5:$A$133,0))</f>
        <v>KRK (Kerangka)</v>
      </c>
      <c r="E211" s="53" t="str">
        <f aca="false">INDEX(I_Items!$F$5:$F$133,MATCH($B211,I_Items!$A$5:$A$133,0))</f>
        <v>Frozen</v>
      </c>
      <c r="F211" s="53" t="str">
        <f aca="false">IF(INDEX(I_Items!$E$5:$E$133,MATCH($B211,I_Items!$A$5:$A$133,0))="","",INDEX(I_Items!$E$5:$E$133,MATCH($B211,I_Items!$A$5:$A$133,0)))</f>
        <v/>
      </c>
      <c r="G211" s="76" t="n">
        <v>46205</v>
      </c>
      <c r="H211" s="23" t="n">
        <f aca="false">MONTH(G211)</f>
        <v>7</v>
      </c>
      <c r="I211" s="74" t="s">
        <v>2074</v>
      </c>
      <c r="J211" s="74" t="s">
        <v>2111</v>
      </c>
      <c r="K211" s="10" t="n">
        <v>563</v>
      </c>
      <c r="L211" s="8" t="n">
        <v>2027731.71</v>
      </c>
      <c r="M211" s="10" t="n">
        <v>0</v>
      </c>
      <c r="N211" s="8" t="n">
        <v>0</v>
      </c>
      <c r="O211" s="74"/>
      <c r="P211" s="74"/>
      <c r="Q211" s="74"/>
      <c r="R211" s="14" t="n">
        <f aca="false">IF(I211="Unbilled",0,M211)</f>
        <v>0</v>
      </c>
      <c r="S211" s="9" t="n">
        <f aca="false">IF(R211=0,0,IF(O211="Booked",N211,R211*V210))</f>
        <v>0</v>
      </c>
      <c r="T211" s="14" t="n">
        <f aca="false">IF(I211="Opening",K211,T210+K211-R211)</f>
        <v>2645.92</v>
      </c>
      <c r="U211" s="9" t="n">
        <f aca="false">IF(I211="Opening",L211,U210+L211-S211)</f>
        <v>24725859.05</v>
      </c>
      <c r="V211" s="9" t="n">
        <f aca="false">IF(T211&gt;0,U211/T211,IF(I211="Opening",0,V210))</f>
        <v>9344.90046940195</v>
      </c>
      <c r="W211" s="14" t="n">
        <f aca="false">M211</f>
        <v>0</v>
      </c>
      <c r="X211" s="9" t="n">
        <f aca="false">IF(W211=0,0,IF(O211="Booked",N211,W211*AA210))</f>
        <v>0</v>
      </c>
      <c r="Y211" s="14" t="n">
        <f aca="false">IF(I211="Opening",K211,Y210+K211-W211)</f>
        <v>2645.92</v>
      </c>
      <c r="Z211" s="9" t="n">
        <f aca="false">IF(I211="Opening",L211,Z210+L211-X211)</f>
        <v>24725859.05</v>
      </c>
      <c r="AA211" s="9" t="n">
        <f aca="false">IF(Y211&gt;0,Z211/Y211,IF(I211="Opening",0,AA210))</f>
        <v>9344.90046940195</v>
      </c>
      <c r="AB211" s="9" t="n">
        <f aca="false">IF(AND(I211="DO",O211="MA"),S211-N211,0)</f>
        <v>0</v>
      </c>
      <c r="AC211" s="9" t="n">
        <f aca="false">IF(I211="DO",X211-S211,0)</f>
        <v>0</v>
      </c>
      <c r="AD211" s="23" t="n">
        <f aca="false">IF(B212&lt;&gt;B211,1,0)</f>
        <v>0</v>
      </c>
      <c r="AE211" s="14" t="n">
        <f aca="false">IF(I211="Opening",0,AE210+W211)</f>
        <v>0</v>
      </c>
      <c r="AF211" s="14" t="n">
        <f aca="false">IF(I211="Opening",K211,AF210)</f>
        <v>2082.92</v>
      </c>
      <c r="AG211" s="14" t="n">
        <f aca="false">AG210</f>
        <v>563</v>
      </c>
      <c r="AH211" s="14" t="n">
        <f aca="false">IF(W211=0,0,MAX(0,MIN(AE211,AF211)-MIN(AE211-W211,AF211)))</f>
        <v>0</v>
      </c>
      <c r="AI211" s="14" t="n">
        <f aca="false">IF(W211=0,0,MAX(0,MIN(AE211,AF211+AG211)-MAX(AE211-W211,AF211)))</f>
        <v>0</v>
      </c>
      <c r="AJ211" s="14" t="n">
        <f aca="false">W211-AH211-AI211</f>
        <v>0</v>
      </c>
      <c r="AK211" s="9" t="n">
        <f aca="false">IF(W211=0,0,X211*AH211/W211)</f>
        <v>0</v>
      </c>
      <c r="AL211" s="9" t="n">
        <f aca="false">IF(W211=0,0,X211*AI211/W211)</f>
        <v>0</v>
      </c>
      <c r="AM211" s="9" t="n">
        <f aca="false">X211-AK211-AL211</f>
        <v>0</v>
      </c>
    </row>
    <row r="212" customFormat="false" ht="15" hidden="false" customHeight="false" outlineLevel="0" collapsed="false">
      <c r="A212" s="6" t="n">
        <v>207</v>
      </c>
      <c r="B212" s="74" t="s">
        <v>957</v>
      </c>
      <c r="C212" s="53" t="str">
        <f aca="false">INDEX(I_Items!$C$5:$C$133,MATCH($B212,I_Items!$A$5:$A$133,0))</f>
        <v>RPA</v>
      </c>
      <c r="D212" s="53" t="str">
        <f aca="false">INDEX(I_Items!$D$5:$D$133,MATCH($B212,I_Items!$A$5:$A$133,0))</f>
        <v>KRK (Kerangka)</v>
      </c>
      <c r="E212" s="53" t="str">
        <f aca="false">INDEX(I_Items!$F$5:$F$133,MATCH($B212,I_Items!$A$5:$A$133,0))</f>
        <v>Frozen</v>
      </c>
      <c r="F212" s="53" t="str">
        <f aca="false">IF(INDEX(I_Items!$E$5:$E$133,MATCH($B212,I_Items!$A$5:$A$133,0))="","",INDEX(I_Items!$E$5:$E$133,MATCH($B212,I_Items!$A$5:$A$133,0)))</f>
        <v/>
      </c>
      <c r="G212" s="76" t="n">
        <v>46228</v>
      </c>
      <c r="H212" s="23" t="n">
        <f aca="false">MONTH(G212)</f>
        <v>7</v>
      </c>
      <c r="I212" s="74" t="s">
        <v>2075</v>
      </c>
      <c r="J212" s="74" t="s">
        <v>2116</v>
      </c>
      <c r="K212" s="10" t="n">
        <v>0</v>
      </c>
      <c r="L212" s="8" t="n">
        <v>0</v>
      </c>
      <c r="M212" s="10" t="n">
        <v>2645.92</v>
      </c>
      <c r="N212" s="8" t="n">
        <v>24725858.87</v>
      </c>
      <c r="O212" s="74" t="s">
        <v>2077</v>
      </c>
      <c r="P212" s="74"/>
      <c r="Q212" s="74"/>
      <c r="R212" s="14" t="n">
        <f aca="false">IF(I212="Unbilled",0,M212)</f>
        <v>2645.92</v>
      </c>
      <c r="S212" s="9" t="n">
        <f aca="false">IF(R212=0,0,IF(O212="Booked",N212,R212*V211))</f>
        <v>24725859.05</v>
      </c>
      <c r="T212" s="14" t="n">
        <f aca="false">IF(I212="Opening",K212,T211+K212-R212)</f>
        <v>0</v>
      </c>
      <c r="U212" s="9" t="n">
        <f aca="false">IF(I212="Opening",L212,U211+L212-S212)</f>
        <v>0</v>
      </c>
      <c r="V212" s="9" t="n">
        <f aca="false">IF(T212&gt;0,U212/T212,IF(I212="Opening",0,V211))</f>
        <v>9344.90046940195</v>
      </c>
      <c r="W212" s="14" t="n">
        <f aca="false">M212</f>
        <v>2645.92</v>
      </c>
      <c r="X212" s="9" t="n">
        <f aca="false">IF(W212=0,0,IF(O212="Booked",N212,W212*AA211))</f>
        <v>24725859.05</v>
      </c>
      <c r="Y212" s="14" t="n">
        <f aca="false">IF(I212="Opening",K212,Y211+K212-W212)</f>
        <v>0</v>
      </c>
      <c r="Z212" s="9" t="n">
        <f aca="false">IF(I212="Opening",L212,Z211+L212-X212)</f>
        <v>0</v>
      </c>
      <c r="AA212" s="9" t="n">
        <f aca="false">IF(Y212&gt;0,Z212/Y212,IF(I212="Opening",0,AA211))</f>
        <v>9344.90046940195</v>
      </c>
      <c r="AB212" s="9" t="n">
        <f aca="false">IF(AND(I212="DO",O212="MA"),S212-N212,0)</f>
        <v>0.179999999701977</v>
      </c>
      <c r="AC212" s="9" t="n">
        <f aca="false">IF(I212="DO",X212-S212,0)</f>
        <v>0</v>
      </c>
      <c r="AD212" s="23" t="n">
        <f aca="false">IF(B213&lt;&gt;B212,1,0)</f>
        <v>1</v>
      </c>
      <c r="AE212" s="14" t="n">
        <f aca="false">IF(I212="Opening",0,AE211+W212)</f>
        <v>2645.92</v>
      </c>
      <c r="AF212" s="14" t="n">
        <f aca="false">IF(I212="Opening",K212,AF211)</f>
        <v>2082.92</v>
      </c>
      <c r="AG212" s="14" t="n">
        <f aca="false">AG211</f>
        <v>563</v>
      </c>
      <c r="AH212" s="14" t="n">
        <f aca="false">IF(W212=0,0,MAX(0,MIN(AE212,AF212)-MIN(AE212-W212,AF212)))</f>
        <v>2082.92</v>
      </c>
      <c r="AI212" s="14" t="n">
        <f aca="false">IF(W212=0,0,MAX(0,MIN(AE212,AF212+AG212)-MAX(AE212-W212,AF212)))</f>
        <v>563</v>
      </c>
      <c r="AJ212" s="14" t="n">
        <f aca="false">W212-AH212-AI212</f>
        <v>0</v>
      </c>
      <c r="AK212" s="9" t="n">
        <f aca="false">IF(W212=0,0,X212*AH212/W212)</f>
        <v>19464680.0857267</v>
      </c>
      <c r="AL212" s="9" t="n">
        <f aca="false">IF(W212=0,0,X212*AI212/W212)</f>
        <v>5261178.9642733</v>
      </c>
      <c r="AM212" s="9" t="n">
        <f aca="false">X212-AK212-AL212</f>
        <v>0</v>
      </c>
    </row>
    <row r="213" customFormat="false" ht="15" hidden="false" customHeight="false" outlineLevel="0" collapsed="false">
      <c r="A213" s="6" t="n">
        <v>208</v>
      </c>
      <c r="B213" s="74" t="s">
        <v>958</v>
      </c>
      <c r="C213" s="53" t="str">
        <f aca="false">INDEX(I_Items!$C$5:$C$133,MATCH($B213,I_Items!$A$5:$A$133,0))</f>
        <v>RPA</v>
      </c>
      <c r="D213" s="53" t="str">
        <f aca="false">INDEX(I_Items!$D$5:$D$133,MATCH($B213,I_Items!$A$5:$A$133,0))</f>
        <v>KRK (Kerangka)</v>
      </c>
      <c r="E213" s="53" t="str">
        <f aca="false">INDEX(I_Items!$F$5:$F$133,MATCH($B213,I_Items!$A$5:$A$133,0))</f>
        <v>Frozen</v>
      </c>
      <c r="F213" s="53" t="str">
        <f aca="false">IF(INDEX(I_Items!$E$5:$E$133,MATCH($B213,I_Items!$A$5:$A$133,0))="","",INDEX(I_Items!$E$5:$E$133,MATCH($B213,I_Items!$A$5:$A$133,0)))</f>
        <v/>
      </c>
      <c r="G213" s="76" t="n">
        <v>46204</v>
      </c>
      <c r="H213" s="23" t="n">
        <f aca="false">MONTH(G213)</f>
        <v>7</v>
      </c>
      <c r="I213" s="74" t="s">
        <v>2072</v>
      </c>
      <c r="J213" s="74" t="s">
        <v>2073</v>
      </c>
      <c r="K213" s="10" t="n">
        <v>0</v>
      </c>
      <c r="L213" s="8" t="n">
        <v>0</v>
      </c>
      <c r="M213" s="10" t="n">
        <v>0</v>
      </c>
      <c r="N213" s="8" t="n">
        <v>0</v>
      </c>
      <c r="O213" s="74"/>
      <c r="P213" s="74"/>
      <c r="Q213" s="74"/>
      <c r="R213" s="14" t="n">
        <f aca="false">IF(I213="Unbilled",0,M213)</f>
        <v>0</v>
      </c>
      <c r="S213" s="9" t="n">
        <f aca="false">IF(R213=0,0,IF(O213="Booked",N213,R213*V212))</f>
        <v>0</v>
      </c>
      <c r="T213" s="14" t="n">
        <f aca="false">IF(I213="Opening",K213,T212+K213-R213)</f>
        <v>0</v>
      </c>
      <c r="U213" s="9" t="n">
        <f aca="false">IF(I213="Opening",L213,U212+L213-S213)</f>
        <v>0</v>
      </c>
      <c r="V213" s="9" t="n">
        <f aca="false">IF(T213&gt;0,U213/T213,IF(I213="Opening",0,V212))</f>
        <v>0</v>
      </c>
      <c r="W213" s="14" t="n">
        <f aca="false">M213</f>
        <v>0</v>
      </c>
      <c r="X213" s="9" t="n">
        <f aca="false">IF(W213=0,0,IF(O213="Booked",N213,W213*AA212))</f>
        <v>0</v>
      </c>
      <c r="Y213" s="14" t="n">
        <f aca="false">IF(I213="Opening",K213,Y212+K213-W213)</f>
        <v>0</v>
      </c>
      <c r="Z213" s="9" t="n">
        <f aca="false">IF(I213="Opening",L213,Z212+L213-X213)</f>
        <v>0</v>
      </c>
      <c r="AA213" s="9" t="n">
        <f aca="false">IF(Y213&gt;0,Z213/Y213,IF(I213="Opening",0,AA212))</f>
        <v>0</v>
      </c>
      <c r="AB213" s="9" t="n">
        <f aca="false">IF(AND(I213="DO",O213="MA"),S213-N213,0)</f>
        <v>0</v>
      </c>
      <c r="AC213" s="9" t="n">
        <f aca="false">IF(I213="DO",X213-S213,0)</f>
        <v>0</v>
      </c>
      <c r="AD213" s="23" t="n">
        <f aca="false">IF(B214&lt;&gt;B213,1,0)</f>
        <v>0</v>
      </c>
      <c r="AE213" s="14" t="n">
        <f aca="false">IF(I213="Opening",0,AE212+W213)</f>
        <v>0</v>
      </c>
      <c r="AF213" s="14" t="n">
        <f aca="false">IF(I213="Opening",K213,AF212)</f>
        <v>0</v>
      </c>
      <c r="AG213" s="14" t="n">
        <f aca="false">SUMIFS($K$6:$K$1110,$B$6:$B$1110,B213,$H$6:$H$1110,7,$I$6:$I$1110,"&lt;&gt;Opening")</f>
        <v>17.9</v>
      </c>
      <c r="AH213" s="14" t="n">
        <f aca="false">IF(W213=0,0,MAX(0,MIN(AE213,AF213)-MIN(AE213-W213,AF213)))</f>
        <v>0</v>
      </c>
      <c r="AI213" s="14" t="n">
        <f aca="false">IF(W213=0,0,MAX(0,MIN(AE213,AF213+AG213)-MAX(AE213-W213,AF213)))</f>
        <v>0</v>
      </c>
      <c r="AJ213" s="14" t="n">
        <f aca="false">W213-AH213-AI213</f>
        <v>0</v>
      </c>
      <c r="AK213" s="9" t="n">
        <f aca="false">IF(W213=0,0,X213*AH213/W213)</f>
        <v>0</v>
      </c>
      <c r="AL213" s="9" t="n">
        <f aca="false">IF(W213=0,0,X213*AI213/W213)</f>
        <v>0</v>
      </c>
      <c r="AM213" s="9" t="n">
        <f aca="false">X213-AK213-AL213</f>
        <v>0</v>
      </c>
    </row>
    <row r="214" customFormat="false" ht="15" hidden="false" customHeight="false" outlineLevel="0" collapsed="false">
      <c r="A214" s="6" t="n">
        <v>209</v>
      </c>
      <c r="B214" s="74" t="s">
        <v>958</v>
      </c>
      <c r="C214" s="53" t="str">
        <f aca="false">INDEX(I_Items!$C$5:$C$133,MATCH($B214,I_Items!$A$5:$A$133,0))</f>
        <v>RPA</v>
      </c>
      <c r="D214" s="53" t="str">
        <f aca="false">INDEX(I_Items!$D$5:$D$133,MATCH($B214,I_Items!$A$5:$A$133,0))</f>
        <v>KRK (Kerangka)</v>
      </c>
      <c r="E214" s="53" t="str">
        <f aca="false">INDEX(I_Items!$F$5:$F$133,MATCH($B214,I_Items!$A$5:$A$133,0))</f>
        <v>Frozen</v>
      </c>
      <c r="F214" s="53" t="str">
        <f aca="false">IF(INDEX(I_Items!$E$5:$E$133,MATCH($B214,I_Items!$A$5:$A$133,0))="","",INDEX(I_Items!$E$5:$E$133,MATCH($B214,I_Items!$A$5:$A$133,0)))</f>
        <v/>
      </c>
      <c r="G214" s="76" t="n">
        <v>46205</v>
      </c>
      <c r="H214" s="23" t="n">
        <f aca="false">MONTH(G214)</f>
        <v>7</v>
      </c>
      <c r="I214" s="74" t="s">
        <v>2074</v>
      </c>
      <c r="J214" s="74" t="s">
        <v>2111</v>
      </c>
      <c r="K214" s="10" t="n">
        <v>17.9</v>
      </c>
      <c r="L214" s="8" t="n">
        <v>0</v>
      </c>
      <c r="M214" s="10" t="n">
        <v>0</v>
      </c>
      <c r="N214" s="8" t="n">
        <v>0</v>
      </c>
      <c r="O214" s="74"/>
      <c r="P214" s="74"/>
      <c r="Q214" s="74"/>
      <c r="R214" s="14" t="n">
        <f aca="false">IF(I214="Unbilled",0,M214)</f>
        <v>0</v>
      </c>
      <c r="S214" s="9" t="n">
        <f aca="false">IF(R214=0,0,IF(O214="Booked",N214,R214*V213))</f>
        <v>0</v>
      </c>
      <c r="T214" s="14" t="n">
        <f aca="false">IF(I214="Opening",K214,T213+K214-R214)</f>
        <v>17.9</v>
      </c>
      <c r="U214" s="9" t="n">
        <f aca="false">IF(I214="Opening",L214,U213+L214-S214)</f>
        <v>0</v>
      </c>
      <c r="V214" s="9" t="n">
        <f aca="false">IF(T214&gt;0,U214/T214,IF(I214="Opening",0,V213))</f>
        <v>0</v>
      </c>
      <c r="W214" s="14" t="n">
        <f aca="false">M214</f>
        <v>0</v>
      </c>
      <c r="X214" s="9" t="n">
        <f aca="false">IF(W214=0,0,IF(O214="Booked",N214,W214*AA213))</f>
        <v>0</v>
      </c>
      <c r="Y214" s="14" t="n">
        <f aca="false">IF(I214="Opening",K214,Y213+K214-W214)</f>
        <v>17.9</v>
      </c>
      <c r="Z214" s="9" t="n">
        <f aca="false">IF(I214="Opening",L214,Z213+L214-X214)</f>
        <v>0</v>
      </c>
      <c r="AA214" s="9" t="n">
        <f aca="false">IF(Y214&gt;0,Z214/Y214,IF(I214="Opening",0,AA213))</f>
        <v>0</v>
      </c>
      <c r="AB214" s="9" t="n">
        <f aca="false">IF(AND(I214="DO",O214="MA"),S214-N214,0)</f>
        <v>0</v>
      </c>
      <c r="AC214" s="9" t="n">
        <f aca="false">IF(I214="DO",X214-S214,0)</f>
        <v>0</v>
      </c>
      <c r="AD214" s="23" t="n">
        <f aca="false">IF(B215&lt;&gt;B214,1,0)</f>
        <v>0</v>
      </c>
      <c r="AE214" s="14" t="n">
        <f aca="false">IF(I214="Opening",0,AE213+W214)</f>
        <v>0</v>
      </c>
      <c r="AF214" s="14" t="n">
        <f aca="false">IF(I214="Opening",K214,AF213)</f>
        <v>0</v>
      </c>
      <c r="AG214" s="14" t="n">
        <f aca="false">AG213</f>
        <v>17.9</v>
      </c>
      <c r="AH214" s="14" t="n">
        <f aca="false">IF(W214=0,0,MAX(0,MIN(AE214,AF214)-MIN(AE214-W214,AF214)))</f>
        <v>0</v>
      </c>
      <c r="AI214" s="14" t="n">
        <f aca="false">IF(W214=0,0,MAX(0,MIN(AE214,AF214+AG214)-MAX(AE214-W214,AF214)))</f>
        <v>0</v>
      </c>
      <c r="AJ214" s="14" t="n">
        <f aca="false">W214-AH214-AI214</f>
        <v>0</v>
      </c>
      <c r="AK214" s="9" t="n">
        <f aca="false">IF(W214=0,0,X214*AH214/W214)</f>
        <v>0</v>
      </c>
      <c r="AL214" s="9" t="n">
        <f aca="false">IF(W214=0,0,X214*AI214/W214)</f>
        <v>0</v>
      </c>
      <c r="AM214" s="9" t="n">
        <f aca="false">X214-AK214-AL214</f>
        <v>0</v>
      </c>
    </row>
    <row r="215" customFormat="false" ht="15" hidden="false" customHeight="false" outlineLevel="0" collapsed="false">
      <c r="A215" s="6" t="n">
        <v>210</v>
      </c>
      <c r="B215" s="74" t="s">
        <v>958</v>
      </c>
      <c r="C215" s="53" t="str">
        <f aca="false">INDEX(I_Items!$C$5:$C$133,MATCH($B215,I_Items!$A$5:$A$133,0))</f>
        <v>RPA</v>
      </c>
      <c r="D215" s="53" t="str">
        <f aca="false">INDEX(I_Items!$D$5:$D$133,MATCH($B215,I_Items!$A$5:$A$133,0))</f>
        <v>KRK (Kerangka)</v>
      </c>
      <c r="E215" s="53" t="str">
        <f aca="false">INDEX(I_Items!$F$5:$F$133,MATCH($B215,I_Items!$A$5:$A$133,0))</f>
        <v>Frozen</v>
      </c>
      <c r="F215" s="53" t="str">
        <f aca="false">IF(INDEX(I_Items!$E$5:$E$133,MATCH($B215,I_Items!$A$5:$A$133,0))="","",INDEX(I_Items!$E$5:$E$133,MATCH($B215,I_Items!$A$5:$A$133,0)))</f>
        <v/>
      </c>
      <c r="G215" s="76" t="n">
        <v>46234</v>
      </c>
      <c r="H215" s="23" t="n">
        <f aca="false">MONTH(G215)</f>
        <v>7</v>
      </c>
      <c r="I215" s="74" t="s">
        <v>2117</v>
      </c>
      <c r="J215" s="74" t="s">
        <v>2118</v>
      </c>
      <c r="K215" s="10" t="n">
        <v>0</v>
      </c>
      <c r="L215" s="8" t="n">
        <v>0</v>
      </c>
      <c r="M215" s="10" t="n">
        <v>17.9</v>
      </c>
      <c r="N215" s="8" t="n">
        <v>0</v>
      </c>
      <c r="O215" s="74" t="s">
        <v>2119</v>
      </c>
      <c r="P215" s="74"/>
      <c r="Q215" s="74"/>
      <c r="R215" s="14" t="n">
        <f aca="false">IF(I215="Unbilled",0,M215)</f>
        <v>17.9</v>
      </c>
      <c r="S215" s="9" t="n">
        <f aca="false">IF(R215=0,0,IF(O215="Booked",N215,R215*V214))</f>
        <v>0</v>
      </c>
      <c r="T215" s="14" t="n">
        <f aca="false">IF(I215="Opening",K215,T214+K215-R215)</f>
        <v>0</v>
      </c>
      <c r="U215" s="9" t="n">
        <f aca="false">IF(I215="Opening",L215,U214+L215-S215)</f>
        <v>0</v>
      </c>
      <c r="V215" s="9" t="n">
        <f aca="false">IF(T215&gt;0,U215/T215,IF(I215="Opening",0,V214))</f>
        <v>0</v>
      </c>
      <c r="W215" s="14" t="n">
        <f aca="false">M215</f>
        <v>17.9</v>
      </c>
      <c r="X215" s="9" t="n">
        <f aca="false">IF(W215=0,0,IF(O215="Booked",N215,W215*AA214))</f>
        <v>0</v>
      </c>
      <c r="Y215" s="14" t="n">
        <f aca="false">IF(I215="Opening",K215,Y214+K215-W215)</f>
        <v>0</v>
      </c>
      <c r="Z215" s="9" t="n">
        <f aca="false">IF(I215="Opening",L215,Z214+L215-X215)</f>
        <v>0</v>
      </c>
      <c r="AA215" s="9" t="n">
        <f aca="false">IF(Y215&gt;0,Z215/Y215,IF(I215="Opening",0,AA214))</f>
        <v>0</v>
      </c>
      <c r="AB215" s="9" t="n">
        <f aca="false">IF(AND(I215="DO",O215="MA"),S215-N215,0)</f>
        <v>0</v>
      </c>
      <c r="AC215" s="9" t="n">
        <f aca="false">IF(I215="DO",X215-S215,0)</f>
        <v>0</v>
      </c>
      <c r="AD215" s="23" t="n">
        <f aca="false">IF(B216&lt;&gt;B215,1,0)</f>
        <v>1</v>
      </c>
      <c r="AE215" s="14" t="n">
        <f aca="false">IF(I215="Opening",0,AE214+W215)</f>
        <v>17.9</v>
      </c>
      <c r="AF215" s="14" t="n">
        <f aca="false">IF(I215="Opening",K215,AF214)</f>
        <v>0</v>
      </c>
      <c r="AG215" s="14" t="n">
        <f aca="false">AG214</f>
        <v>17.9</v>
      </c>
      <c r="AH215" s="14" t="n">
        <f aca="false">IF(W215=0,0,MAX(0,MIN(AE215,AF215)-MIN(AE215-W215,AF215)))</f>
        <v>0</v>
      </c>
      <c r="AI215" s="14" t="n">
        <f aca="false">IF(W215=0,0,MAX(0,MIN(AE215,AF215+AG215)-MAX(AE215-W215,AF215)))</f>
        <v>17.9</v>
      </c>
      <c r="AJ215" s="14" t="n">
        <f aca="false">W215-AH215-AI215</f>
        <v>0</v>
      </c>
      <c r="AK215" s="9" t="n">
        <f aca="false">IF(W215=0,0,X215*AH215/W215)</f>
        <v>0</v>
      </c>
      <c r="AL215" s="9" t="n">
        <f aca="false">IF(W215=0,0,X215*AI215/W215)</f>
        <v>0</v>
      </c>
      <c r="AM215" s="9" t="n">
        <f aca="false">X215-AK215-AL215</f>
        <v>0</v>
      </c>
    </row>
    <row r="216" customFormat="false" ht="15" hidden="false" customHeight="false" outlineLevel="0" collapsed="false">
      <c r="A216" s="6" t="n">
        <v>211</v>
      </c>
      <c r="B216" s="74" t="s">
        <v>959</v>
      </c>
      <c r="C216" s="53" t="str">
        <f aca="false">INDEX(I_Items!$C$5:$C$133,MATCH($B216,I_Items!$A$5:$A$133,0))</f>
        <v>RPA</v>
      </c>
      <c r="D216" s="53" t="str">
        <f aca="false">INDEX(I_Items!$D$5:$D$133,MATCH($B216,I_Items!$A$5:$A$133,0))</f>
        <v>KRK (Kerangka)</v>
      </c>
      <c r="E216" s="53" t="str">
        <f aca="false">INDEX(I_Items!$F$5:$F$133,MATCH($B216,I_Items!$A$5:$A$133,0))</f>
        <v>Frozen</v>
      </c>
      <c r="F216" s="53" t="str">
        <f aca="false">IF(INDEX(I_Items!$E$5:$E$133,MATCH($B216,I_Items!$A$5:$A$133,0))="","",INDEX(I_Items!$E$5:$E$133,MATCH($B216,I_Items!$A$5:$A$133,0)))</f>
        <v/>
      </c>
      <c r="G216" s="76" t="n">
        <v>46204</v>
      </c>
      <c r="H216" s="23" t="n">
        <f aca="false">MONTH(G216)</f>
        <v>7</v>
      </c>
      <c r="I216" s="74" t="s">
        <v>2072</v>
      </c>
      <c r="J216" s="74" t="s">
        <v>2073</v>
      </c>
      <c r="K216" s="10" t="n">
        <v>108.29</v>
      </c>
      <c r="L216" s="8" t="n">
        <v>2511703.39</v>
      </c>
      <c r="M216" s="10" t="n">
        <v>0</v>
      </c>
      <c r="N216" s="8" t="n">
        <v>0</v>
      </c>
      <c r="O216" s="74"/>
      <c r="P216" s="74"/>
      <c r="Q216" s="74"/>
      <c r="R216" s="14" t="n">
        <f aca="false">IF(I216="Unbilled",0,M216)</f>
        <v>0</v>
      </c>
      <c r="S216" s="9" t="n">
        <f aca="false">IF(R216=0,0,IF(O216="Booked",N216,R216*V215))</f>
        <v>0</v>
      </c>
      <c r="T216" s="14" t="n">
        <f aca="false">IF(I216="Opening",K216,T215+K216-R216)</f>
        <v>108.29</v>
      </c>
      <c r="U216" s="9" t="n">
        <f aca="false">IF(I216="Opening",L216,U215+L216-S216)</f>
        <v>2511703.39</v>
      </c>
      <c r="V216" s="9" t="n">
        <f aca="false">IF(T216&gt;0,U216/T216,IF(I216="Opening",0,V215))</f>
        <v>23194.2320620556</v>
      </c>
      <c r="W216" s="14" t="n">
        <f aca="false">M216</f>
        <v>0</v>
      </c>
      <c r="X216" s="9" t="n">
        <f aca="false">IF(W216=0,0,IF(O216="Booked",N216,W216*AA215))</f>
        <v>0</v>
      </c>
      <c r="Y216" s="14" t="n">
        <f aca="false">IF(I216="Opening",K216,Y215+K216-W216)</f>
        <v>108.29</v>
      </c>
      <c r="Z216" s="9" t="n">
        <f aca="false">IF(I216="Opening",L216,Z215+L216-X216)</f>
        <v>2511703.39</v>
      </c>
      <c r="AA216" s="9" t="n">
        <f aca="false">IF(Y216&gt;0,Z216/Y216,IF(I216="Opening",0,AA215))</f>
        <v>23194.2320620556</v>
      </c>
      <c r="AB216" s="9" t="n">
        <f aca="false">IF(AND(I216="DO",O216="MA"),S216-N216,0)</f>
        <v>0</v>
      </c>
      <c r="AC216" s="9" t="n">
        <f aca="false">IF(I216="DO",X216-S216,0)</f>
        <v>0</v>
      </c>
      <c r="AD216" s="23" t="n">
        <f aca="false">IF(B217&lt;&gt;B216,1,0)</f>
        <v>0</v>
      </c>
      <c r="AE216" s="14" t="n">
        <f aca="false">IF(I216="Opening",0,AE215+W216)</f>
        <v>0</v>
      </c>
      <c r="AF216" s="14" t="n">
        <f aca="false">IF(I216="Opening",K216,AF215)</f>
        <v>108.29</v>
      </c>
      <c r="AG216" s="14" t="n">
        <f aca="false">SUMIFS($K$6:$K$1110,$B$6:$B$1110,B216,$H$6:$H$1110,7,$I$6:$I$1110,"&lt;&gt;Opening")</f>
        <v>11.2</v>
      </c>
      <c r="AH216" s="14" t="n">
        <f aca="false">IF(W216=0,0,MAX(0,MIN(AE216,AF216)-MIN(AE216-W216,AF216)))</f>
        <v>0</v>
      </c>
      <c r="AI216" s="14" t="n">
        <f aca="false">IF(W216=0,0,MAX(0,MIN(AE216,AF216+AG216)-MAX(AE216-W216,AF216)))</f>
        <v>0</v>
      </c>
      <c r="AJ216" s="14" t="n">
        <f aca="false">W216-AH216-AI216</f>
        <v>0</v>
      </c>
      <c r="AK216" s="9" t="n">
        <f aca="false">IF(W216=0,0,X216*AH216/W216)</f>
        <v>0</v>
      </c>
      <c r="AL216" s="9" t="n">
        <f aca="false">IF(W216=0,0,X216*AI216/W216)</f>
        <v>0</v>
      </c>
      <c r="AM216" s="9" t="n">
        <f aca="false">X216-AK216-AL216</f>
        <v>0</v>
      </c>
    </row>
    <row r="217" customFormat="false" ht="15" hidden="false" customHeight="false" outlineLevel="0" collapsed="false">
      <c r="A217" s="6" t="n">
        <v>212</v>
      </c>
      <c r="B217" s="74" t="s">
        <v>959</v>
      </c>
      <c r="C217" s="53" t="str">
        <f aca="false">INDEX(I_Items!$C$5:$C$133,MATCH($B217,I_Items!$A$5:$A$133,0))</f>
        <v>RPA</v>
      </c>
      <c r="D217" s="53" t="str">
        <f aca="false">INDEX(I_Items!$D$5:$D$133,MATCH($B217,I_Items!$A$5:$A$133,0))</f>
        <v>KRK (Kerangka)</v>
      </c>
      <c r="E217" s="53" t="str">
        <f aca="false">INDEX(I_Items!$F$5:$F$133,MATCH($B217,I_Items!$A$5:$A$133,0))</f>
        <v>Frozen</v>
      </c>
      <c r="F217" s="53" t="str">
        <f aca="false">IF(INDEX(I_Items!$E$5:$E$133,MATCH($B217,I_Items!$A$5:$A$133,0))="","",INDEX(I_Items!$E$5:$E$133,MATCH($B217,I_Items!$A$5:$A$133,0)))</f>
        <v/>
      </c>
      <c r="G217" s="76" t="n">
        <v>46205</v>
      </c>
      <c r="H217" s="23" t="n">
        <f aca="false">MONTH(G217)</f>
        <v>7</v>
      </c>
      <c r="I217" s="74" t="s">
        <v>2074</v>
      </c>
      <c r="J217" s="74" t="s">
        <v>2111</v>
      </c>
      <c r="K217" s="10" t="n">
        <v>11.2</v>
      </c>
      <c r="L217" s="8" t="n">
        <v>17928.24</v>
      </c>
      <c r="M217" s="10" t="n">
        <v>0</v>
      </c>
      <c r="N217" s="8" t="n">
        <v>0</v>
      </c>
      <c r="O217" s="74"/>
      <c r="P217" s="74"/>
      <c r="Q217" s="74"/>
      <c r="R217" s="14" t="n">
        <f aca="false">IF(I217="Unbilled",0,M217)</f>
        <v>0</v>
      </c>
      <c r="S217" s="9" t="n">
        <f aca="false">IF(R217=0,0,IF(O217="Booked",N217,R217*V216))</f>
        <v>0</v>
      </c>
      <c r="T217" s="14" t="n">
        <f aca="false">IF(I217="Opening",K217,T216+K217-R217)</f>
        <v>119.49</v>
      </c>
      <c r="U217" s="9" t="n">
        <f aca="false">IF(I217="Opening",L217,U216+L217-S217)</f>
        <v>2529631.63</v>
      </c>
      <c r="V217" s="9" t="n">
        <f aca="false">IF(T217&gt;0,U217/T217,IF(I217="Opening",0,V216))</f>
        <v>21170.23709097</v>
      </c>
      <c r="W217" s="14" t="n">
        <f aca="false">M217</f>
        <v>0</v>
      </c>
      <c r="X217" s="9" t="n">
        <f aca="false">IF(W217=0,0,IF(O217="Booked",N217,W217*AA216))</f>
        <v>0</v>
      </c>
      <c r="Y217" s="14" t="n">
        <f aca="false">IF(I217="Opening",K217,Y216+K217-W217)</f>
        <v>119.49</v>
      </c>
      <c r="Z217" s="9" t="n">
        <f aca="false">IF(I217="Opening",L217,Z216+L217-X217)</f>
        <v>2529631.63</v>
      </c>
      <c r="AA217" s="9" t="n">
        <f aca="false">IF(Y217&gt;0,Z217/Y217,IF(I217="Opening",0,AA216))</f>
        <v>21170.23709097</v>
      </c>
      <c r="AB217" s="9" t="n">
        <f aca="false">IF(AND(I217="DO",O217="MA"),S217-N217,0)</f>
        <v>0</v>
      </c>
      <c r="AC217" s="9" t="n">
        <f aca="false">IF(I217="DO",X217-S217,0)</f>
        <v>0</v>
      </c>
      <c r="AD217" s="23" t="n">
        <f aca="false">IF(B218&lt;&gt;B217,1,0)</f>
        <v>1</v>
      </c>
      <c r="AE217" s="14" t="n">
        <f aca="false">IF(I217="Opening",0,AE216+W217)</f>
        <v>0</v>
      </c>
      <c r="AF217" s="14" t="n">
        <f aca="false">IF(I217="Opening",K217,AF216)</f>
        <v>108.29</v>
      </c>
      <c r="AG217" s="14" t="n">
        <f aca="false">AG216</f>
        <v>11.2</v>
      </c>
      <c r="AH217" s="14" t="n">
        <f aca="false">IF(W217=0,0,MAX(0,MIN(AE217,AF217)-MIN(AE217-W217,AF217)))</f>
        <v>0</v>
      </c>
      <c r="AI217" s="14" t="n">
        <f aca="false">IF(W217=0,0,MAX(0,MIN(AE217,AF217+AG217)-MAX(AE217-W217,AF217)))</f>
        <v>0</v>
      </c>
      <c r="AJ217" s="14" t="n">
        <f aca="false">W217-AH217-AI217</f>
        <v>0</v>
      </c>
      <c r="AK217" s="9" t="n">
        <f aca="false">IF(W217=0,0,X217*AH217/W217)</f>
        <v>0</v>
      </c>
      <c r="AL217" s="9" t="n">
        <f aca="false">IF(W217=0,0,X217*AI217/W217)</f>
        <v>0</v>
      </c>
      <c r="AM217" s="9" t="n">
        <f aca="false">X217-AK217-AL217</f>
        <v>0</v>
      </c>
    </row>
    <row r="218" customFormat="false" ht="15" hidden="false" customHeight="false" outlineLevel="0" collapsed="false">
      <c r="A218" s="6" t="n">
        <v>213</v>
      </c>
      <c r="B218" s="74" t="s">
        <v>960</v>
      </c>
      <c r="C218" s="53" t="str">
        <f aca="false">INDEX(I_Items!$C$5:$C$133,MATCH($B218,I_Items!$A$5:$A$133,0))</f>
        <v>RPA</v>
      </c>
      <c r="D218" s="53" t="str">
        <f aca="false">INDEX(I_Items!$D$5:$D$133,MATCH($B218,I_Items!$A$5:$A$133,0))</f>
        <v>Kulit</v>
      </c>
      <c r="E218" s="53" t="str">
        <f aca="false">INDEX(I_Items!$F$5:$F$133,MATCH($B218,I_Items!$A$5:$A$133,0))</f>
        <v>Frozen</v>
      </c>
      <c r="F218" s="53" t="str">
        <f aca="false">IF(INDEX(I_Items!$E$5:$E$133,MATCH($B218,I_Items!$A$5:$A$133,0))="","",INDEX(I_Items!$E$5:$E$133,MATCH($B218,I_Items!$A$5:$A$133,0)))</f>
        <v/>
      </c>
      <c r="G218" s="76" t="n">
        <v>46204</v>
      </c>
      <c r="H218" s="23" t="n">
        <f aca="false">MONTH(G218)</f>
        <v>7</v>
      </c>
      <c r="I218" s="74" t="s">
        <v>2072</v>
      </c>
      <c r="J218" s="74" t="s">
        <v>2073</v>
      </c>
      <c r="K218" s="10" t="n">
        <v>873.78</v>
      </c>
      <c r="L218" s="8" t="n">
        <v>22513523.23</v>
      </c>
      <c r="M218" s="10" t="n">
        <v>0</v>
      </c>
      <c r="N218" s="8" t="n">
        <v>0</v>
      </c>
      <c r="O218" s="74"/>
      <c r="P218" s="74"/>
      <c r="Q218" s="74"/>
      <c r="R218" s="14" t="n">
        <f aca="false">IF(I218="Unbilled",0,M218)</f>
        <v>0</v>
      </c>
      <c r="S218" s="9" t="n">
        <f aca="false">IF(R218=0,0,IF(O218="Booked",N218,R218*V217))</f>
        <v>0</v>
      </c>
      <c r="T218" s="14" t="n">
        <f aca="false">IF(I218="Opening",K218,T217+K218-R218)</f>
        <v>873.78</v>
      </c>
      <c r="U218" s="9" t="n">
        <f aca="false">IF(I218="Opening",L218,U217+L218-S218)</f>
        <v>22513523.23</v>
      </c>
      <c r="V218" s="9" t="n">
        <f aca="false">IF(T218&gt;0,U218/T218,IF(I218="Opening",0,V217))</f>
        <v>25765.6655336584</v>
      </c>
      <c r="W218" s="14" t="n">
        <f aca="false">M218</f>
        <v>0</v>
      </c>
      <c r="X218" s="9" t="n">
        <f aca="false">IF(W218=0,0,IF(O218="Booked",N218,W218*AA217))</f>
        <v>0</v>
      </c>
      <c r="Y218" s="14" t="n">
        <f aca="false">IF(I218="Opening",K218,Y217+K218-W218)</f>
        <v>873.78</v>
      </c>
      <c r="Z218" s="9" t="n">
        <f aca="false">IF(I218="Opening",L218,Z217+L218-X218)</f>
        <v>22513523.23</v>
      </c>
      <c r="AA218" s="9" t="n">
        <f aca="false">IF(Y218&gt;0,Z218/Y218,IF(I218="Opening",0,AA217))</f>
        <v>25765.6655336584</v>
      </c>
      <c r="AB218" s="9" t="n">
        <f aca="false">IF(AND(I218="DO",O218="MA"),S218-N218,0)</f>
        <v>0</v>
      </c>
      <c r="AC218" s="9" t="n">
        <f aca="false">IF(I218="DO",X218-S218,0)</f>
        <v>0</v>
      </c>
      <c r="AD218" s="23" t="n">
        <f aca="false">IF(B219&lt;&gt;B218,1,0)</f>
        <v>0</v>
      </c>
      <c r="AE218" s="14" t="n">
        <f aca="false">IF(I218="Opening",0,AE217+W218)</f>
        <v>0</v>
      </c>
      <c r="AF218" s="14" t="n">
        <f aca="false">IF(I218="Opening",K218,AF217)</f>
        <v>873.78</v>
      </c>
      <c r="AG218" s="14" t="n">
        <f aca="false">SUMIFS($K$6:$K$1110,$B$6:$B$1110,B218,$H$6:$H$1110,7,$I$6:$I$1110,"&lt;&gt;Opening")</f>
        <v>160</v>
      </c>
      <c r="AH218" s="14" t="n">
        <f aca="false">IF(W218=0,0,MAX(0,MIN(AE218,AF218)-MIN(AE218-W218,AF218)))</f>
        <v>0</v>
      </c>
      <c r="AI218" s="14" t="n">
        <f aca="false">IF(W218=0,0,MAX(0,MIN(AE218,AF218+AG218)-MAX(AE218-W218,AF218)))</f>
        <v>0</v>
      </c>
      <c r="AJ218" s="14" t="n">
        <f aca="false">W218-AH218-AI218</f>
        <v>0</v>
      </c>
      <c r="AK218" s="9" t="n">
        <f aca="false">IF(W218=0,0,X218*AH218/W218)</f>
        <v>0</v>
      </c>
      <c r="AL218" s="9" t="n">
        <f aca="false">IF(W218=0,0,X218*AI218/W218)</f>
        <v>0</v>
      </c>
      <c r="AM218" s="9" t="n">
        <f aca="false">X218-AK218-AL218</f>
        <v>0</v>
      </c>
    </row>
    <row r="219" customFormat="false" ht="15" hidden="false" customHeight="false" outlineLevel="0" collapsed="false">
      <c r="A219" s="6" t="n">
        <v>214</v>
      </c>
      <c r="B219" s="74" t="s">
        <v>960</v>
      </c>
      <c r="C219" s="53" t="str">
        <f aca="false">INDEX(I_Items!$C$5:$C$133,MATCH($B219,I_Items!$A$5:$A$133,0))</f>
        <v>RPA</v>
      </c>
      <c r="D219" s="53" t="str">
        <f aca="false">INDEX(I_Items!$D$5:$D$133,MATCH($B219,I_Items!$A$5:$A$133,0))</f>
        <v>Kulit</v>
      </c>
      <c r="E219" s="53" t="str">
        <f aca="false">INDEX(I_Items!$F$5:$F$133,MATCH($B219,I_Items!$A$5:$A$133,0))</f>
        <v>Frozen</v>
      </c>
      <c r="F219" s="53" t="str">
        <f aca="false">IF(INDEX(I_Items!$E$5:$E$133,MATCH($B219,I_Items!$A$5:$A$133,0))="","",INDEX(I_Items!$E$5:$E$133,MATCH($B219,I_Items!$A$5:$A$133,0)))</f>
        <v/>
      </c>
      <c r="G219" s="76" t="n">
        <v>46205</v>
      </c>
      <c r="H219" s="23" t="n">
        <f aca="false">MONTH(G219)</f>
        <v>7</v>
      </c>
      <c r="I219" s="74" t="s">
        <v>2074</v>
      </c>
      <c r="J219" s="74" t="s">
        <v>2111</v>
      </c>
      <c r="K219" s="10" t="n">
        <v>160</v>
      </c>
      <c r="L219" s="8" t="n">
        <v>2561176.78</v>
      </c>
      <c r="M219" s="10" t="n">
        <v>0</v>
      </c>
      <c r="N219" s="8" t="n">
        <v>0</v>
      </c>
      <c r="O219" s="74"/>
      <c r="P219" s="74"/>
      <c r="Q219" s="74"/>
      <c r="R219" s="14" t="n">
        <f aca="false">IF(I219="Unbilled",0,M219)</f>
        <v>0</v>
      </c>
      <c r="S219" s="9" t="n">
        <f aca="false">IF(R219=0,0,IF(O219="Booked",N219,R219*V218))</f>
        <v>0</v>
      </c>
      <c r="T219" s="14" t="n">
        <f aca="false">IF(I219="Opening",K219,T218+K219-R219)</f>
        <v>1033.78</v>
      </c>
      <c r="U219" s="9" t="n">
        <f aca="false">IF(I219="Opening",L219,U218+L219-S219)</f>
        <v>25074700.01</v>
      </c>
      <c r="V219" s="9" t="n">
        <f aca="false">IF(T219&gt;0,U219/T219,IF(I219="Opening",0,V218))</f>
        <v>24255.3541469171</v>
      </c>
      <c r="W219" s="14" t="n">
        <f aca="false">M219</f>
        <v>0</v>
      </c>
      <c r="X219" s="9" t="n">
        <f aca="false">IF(W219=0,0,IF(O219="Booked",N219,W219*AA218))</f>
        <v>0</v>
      </c>
      <c r="Y219" s="14" t="n">
        <f aca="false">IF(I219="Opening",K219,Y218+K219-W219)</f>
        <v>1033.78</v>
      </c>
      <c r="Z219" s="9" t="n">
        <f aca="false">IF(I219="Opening",L219,Z218+L219-X219)</f>
        <v>25074700.01</v>
      </c>
      <c r="AA219" s="9" t="n">
        <f aca="false">IF(Y219&gt;0,Z219/Y219,IF(I219="Opening",0,AA218))</f>
        <v>24255.3541469171</v>
      </c>
      <c r="AB219" s="9" t="n">
        <f aca="false">IF(AND(I219="DO",O219="MA"),S219-N219,0)</f>
        <v>0</v>
      </c>
      <c r="AC219" s="9" t="n">
        <f aca="false">IF(I219="DO",X219-S219,0)</f>
        <v>0</v>
      </c>
      <c r="AD219" s="23" t="n">
        <f aca="false">IF(B220&lt;&gt;B219,1,0)</f>
        <v>1</v>
      </c>
      <c r="AE219" s="14" t="n">
        <f aca="false">IF(I219="Opening",0,AE218+W219)</f>
        <v>0</v>
      </c>
      <c r="AF219" s="14" t="n">
        <f aca="false">IF(I219="Opening",K219,AF218)</f>
        <v>873.78</v>
      </c>
      <c r="AG219" s="14" t="n">
        <f aca="false">AG218</f>
        <v>160</v>
      </c>
      <c r="AH219" s="14" t="n">
        <f aca="false">IF(W219=0,0,MAX(0,MIN(AE219,AF219)-MIN(AE219-W219,AF219)))</f>
        <v>0</v>
      </c>
      <c r="AI219" s="14" t="n">
        <f aca="false">IF(W219=0,0,MAX(0,MIN(AE219,AF219+AG219)-MAX(AE219-W219,AF219)))</f>
        <v>0</v>
      </c>
      <c r="AJ219" s="14" t="n">
        <f aca="false">W219-AH219-AI219</f>
        <v>0</v>
      </c>
      <c r="AK219" s="9" t="n">
        <f aca="false">IF(W219=0,0,X219*AH219/W219)</f>
        <v>0</v>
      </c>
      <c r="AL219" s="9" t="n">
        <f aca="false">IF(W219=0,0,X219*AI219/W219)</f>
        <v>0</v>
      </c>
      <c r="AM219" s="9" t="n">
        <f aca="false">X219-AK219-AL219</f>
        <v>0</v>
      </c>
    </row>
    <row r="220" customFormat="false" ht="15" hidden="false" customHeight="false" outlineLevel="0" collapsed="false">
      <c r="A220" s="6" t="n">
        <v>215</v>
      </c>
      <c r="B220" s="74" t="s">
        <v>961</v>
      </c>
      <c r="C220" s="53" t="str">
        <f aca="false">INDEX(I_Items!$C$5:$C$133,MATCH($B220,I_Items!$A$5:$A$133,0))</f>
        <v>RPA</v>
      </c>
      <c r="D220" s="53" t="str">
        <f aca="false">INDEX(I_Items!$D$5:$D$133,MATCH($B220,I_Items!$A$5:$A$133,0))</f>
        <v>Lemak</v>
      </c>
      <c r="E220" s="53" t="str">
        <f aca="false">INDEX(I_Items!$F$5:$F$133,MATCH($B220,I_Items!$A$5:$A$133,0))</f>
        <v>Frozen</v>
      </c>
      <c r="F220" s="53" t="str">
        <f aca="false">IF(INDEX(I_Items!$E$5:$E$133,MATCH($B220,I_Items!$A$5:$A$133,0))="","",INDEX(I_Items!$E$5:$E$133,MATCH($B220,I_Items!$A$5:$A$133,0)))</f>
        <v/>
      </c>
      <c r="G220" s="76" t="n">
        <v>46204</v>
      </c>
      <c r="H220" s="23" t="n">
        <f aca="false">MONTH(G220)</f>
        <v>7</v>
      </c>
      <c r="I220" s="74" t="s">
        <v>2072</v>
      </c>
      <c r="J220" s="74" t="s">
        <v>2073</v>
      </c>
      <c r="K220" s="10" t="n">
        <v>83.28</v>
      </c>
      <c r="L220" s="8" t="n">
        <v>1771504.88</v>
      </c>
      <c r="M220" s="10" t="n">
        <v>0</v>
      </c>
      <c r="N220" s="8" t="n">
        <v>0</v>
      </c>
      <c r="O220" s="74"/>
      <c r="P220" s="74"/>
      <c r="Q220" s="74"/>
      <c r="R220" s="14" t="n">
        <f aca="false">IF(I220="Unbilled",0,M220)</f>
        <v>0</v>
      </c>
      <c r="S220" s="9" t="n">
        <f aca="false">IF(R220=0,0,IF(O220="Booked",N220,R220*V219))</f>
        <v>0</v>
      </c>
      <c r="T220" s="14" t="n">
        <f aca="false">IF(I220="Opening",K220,T219+K220-R220)</f>
        <v>83.28</v>
      </c>
      <c r="U220" s="9" t="n">
        <f aca="false">IF(I220="Opening",L220,U219+L220-S220)</f>
        <v>1771504.88</v>
      </c>
      <c r="V220" s="9" t="n">
        <f aca="false">IF(T220&gt;0,U220/T220,IF(I220="Opening",0,V219))</f>
        <v>21271.6724303554</v>
      </c>
      <c r="W220" s="14" t="n">
        <f aca="false">M220</f>
        <v>0</v>
      </c>
      <c r="X220" s="9" t="n">
        <f aca="false">IF(W220=0,0,IF(O220="Booked",N220,W220*AA219))</f>
        <v>0</v>
      </c>
      <c r="Y220" s="14" t="n">
        <f aca="false">IF(I220="Opening",K220,Y219+K220-W220)</f>
        <v>83.28</v>
      </c>
      <c r="Z220" s="9" t="n">
        <f aca="false">IF(I220="Opening",L220,Z219+L220-X220)</f>
        <v>1771504.88</v>
      </c>
      <c r="AA220" s="9" t="n">
        <f aca="false">IF(Y220&gt;0,Z220/Y220,IF(I220="Opening",0,AA219))</f>
        <v>21271.6724303554</v>
      </c>
      <c r="AB220" s="9" t="n">
        <f aca="false">IF(AND(I220="DO",O220="MA"),S220-N220,0)</f>
        <v>0</v>
      </c>
      <c r="AC220" s="9" t="n">
        <f aca="false">IF(I220="DO",X220-S220,0)</f>
        <v>0</v>
      </c>
      <c r="AD220" s="23" t="n">
        <f aca="false">IF(B221&lt;&gt;B220,1,0)</f>
        <v>0</v>
      </c>
      <c r="AE220" s="14" t="n">
        <f aca="false">IF(I220="Opening",0,AE219+W220)</f>
        <v>0</v>
      </c>
      <c r="AF220" s="14" t="n">
        <f aca="false">IF(I220="Opening",K220,AF219)</f>
        <v>83.28</v>
      </c>
      <c r="AG220" s="14" t="n">
        <f aca="false">SUMIFS($K$6:$K$1110,$B$6:$B$1110,B220,$H$6:$H$1110,7,$I$6:$I$1110,"&lt;&gt;Opening")</f>
        <v>0</v>
      </c>
      <c r="AH220" s="14" t="n">
        <f aca="false">IF(W220=0,0,MAX(0,MIN(AE220,AF220)-MIN(AE220-W220,AF220)))</f>
        <v>0</v>
      </c>
      <c r="AI220" s="14" t="n">
        <f aca="false">IF(W220=0,0,MAX(0,MIN(AE220,AF220+AG220)-MAX(AE220-W220,AF220)))</f>
        <v>0</v>
      </c>
      <c r="AJ220" s="14" t="n">
        <f aca="false">W220-AH220-AI220</f>
        <v>0</v>
      </c>
      <c r="AK220" s="9" t="n">
        <f aca="false">IF(W220=0,0,X220*AH220/W220)</f>
        <v>0</v>
      </c>
      <c r="AL220" s="9" t="n">
        <f aca="false">IF(W220=0,0,X220*AI220/W220)</f>
        <v>0</v>
      </c>
      <c r="AM220" s="9" t="n">
        <f aca="false">X220-AK220-AL220</f>
        <v>0</v>
      </c>
    </row>
    <row r="221" customFormat="false" ht="15" hidden="false" customHeight="false" outlineLevel="0" collapsed="false">
      <c r="A221" s="6" t="n">
        <v>216</v>
      </c>
      <c r="B221" s="74" t="s">
        <v>961</v>
      </c>
      <c r="C221" s="53" t="str">
        <f aca="false">INDEX(I_Items!$C$5:$C$133,MATCH($B221,I_Items!$A$5:$A$133,0))</f>
        <v>RPA</v>
      </c>
      <c r="D221" s="53" t="str">
        <f aca="false">INDEX(I_Items!$D$5:$D$133,MATCH($B221,I_Items!$A$5:$A$133,0))</f>
        <v>Lemak</v>
      </c>
      <c r="E221" s="53" t="str">
        <f aca="false">INDEX(I_Items!$F$5:$F$133,MATCH($B221,I_Items!$A$5:$A$133,0))</f>
        <v>Frozen</v>
      </c>
      <c r="F221" s="53" t="str">
        <f aca="false">IF(INDEX(I_Items!$E$5:$E$133,MATCH($B221,I_Items!$A$5:$A$133,0))="","",INDEX(I_Items!$E$5:$E$133,MATCH($B221,I_Items!$A$5:$A$133,0)))</f>
        <v/>
      </c>
      <c r="G221" s="76" t="n">
        <v>46248</v>
      </c>
      <c r="H221" s="23" t="n">
        <f aca="false">MONTH(G221)</f>
        <v>8</v>
      </c>
      <c r="I221" s="74" t="s">
        <v>2074</v>
      </c>
      <c r="J221" s="74" t="s">
        <v>1302</v>
      </c>
      <c r="K221" s="10" t="n">
        <v>60.1</v>
      </c>
      <c r="L221" s="8" t="n">
        <v>1394532.69</v>
      </c>
      <c r="M221" s="10" t="n">
        <v>0</v>
      </c>
      <c r="N221" s="8" t="n">
        <v>0</v>
      </c>
      <c r="O221" s="74"/>
      <c r="P221" s="74"/>
      <c r="Q221" s="74"/>
      <c r="R221" s="14" t="n">
        <f aca="false">IF(I221="Unbilled",0,M221)</f>
        <v>0</v>
      </c>
      <c r="S221" s="9" t="n">
        <f aca="false">IF(R221=0,0,IF(O221="Booked",N221,R221*V220))</f>
        <v>0</v>
      </c>
      <c r="T221" s="14" t="n">
        <f aca="false">IF(I221="Opening",K221,T220+K221-R221)</f>
        <v>143.38</v>
      </c>
      <c r="U221" s="9" t="n">
        <f aca="false">IF(I221="Opening",L221,U220+L221-S221)</f>
        <v>3166037.57</v>
      </c>
      <c r="V221" s="9" t="n">
        <f aca="false">IF(T221&gt;0,U221/T221,IF(I221="Opening",0,V220))</f>
        <v>22081.4449016599</v>
      </c>
      <c r="W221" s="14" t="n">
        <f aca="false">M221</f>
        <v>0</v>
      </c>
      <c r="X221" s="9" t="n">
        <f aca="false">IF(W221=0,0,IF(O221="Booked",N221,W221*AA220))</f>
        <v>0</v>
      </c>
      <c r="Y221" s="14" t="n">
        <f aca="false">IF(I221="Opening",K221,Y220+K221-W221)</f>
        <v>143.38</v>
      </c>
      <c r="Z221" s="9" t="n">
        <f aca="false">IF(I221="Opening",L221,Z220+L221-X221)</f>
        <v>3166037.57</v>
      </c>
      <c r="AA221" s="9" t="n">
        <f aca="false">IF(Y221&gt;0,Z221/Y221,IF(I221="Opening",0,AA220))</f>
        <v>22081.4449016599</v>
      </c>
      <c r="AB221" s="9" t="n">
        <f aca="false">IF(AND(I221="DO",O221="MA"),S221-N221,0)</f>
        <v>0</v>
      </c>
      <c r="AC221" s="9" t="n">
        <f aca="false">IF(I221="DO",X221-S221,0)</f>
        <v>0</v>
      </c>
      <c r="AD221" s="23" t="n">
        <f aca="false">IF(B222&lt;&gt;B221,1,0)</f>
        <v>0</v>
      </c>
      <c r="AE221" s="14" t="n">
        <f aca="false">IF(I221="Opening",0,AE220+W221)</f>
        <v>0</v>
      </c>
      <c r="AF221" s="14" t="n">
        <f aca="false">IF(I221="Opening",K221,AF220)</f>
        <v>83.28</v>
      </c>
      <c r="AG221" s="14" t="n">
        <f aca="false">AG220</f>
        <v>0</v>
      </c>
      <c r="AH221" s="14" t="n">
        <f aca="false">IF(W221=0,0,MAX(0,MIN(AE221,AF221)-MIN(AE221-W221,AF221)))</f>
        <v>0</v>
      </c>
      <c r="AI221" s="14" t="n">
        <f aca="false">IF(W221=0,0,MAX(0,MIN(AE221,AF221+AG221)-MAX(AE221-W221,AF221)))</f>
        <v>0</v>
      </c>
      <c r="AJ221" s="14" t="n">
        <f aca="false">W221-AH221-AI221</f>
        <v>0</v>
      </c>
      <c r="AK221" s="9" t="n">
        <f aca="false">IF(W221=0,0,X221*AH221/W221)</f>
        <v>0</v>
      </c>
      <c r="AL221" s="9" t="n">
        <f aca="false">IF(W221=0,0,X221*AI221/W221)</f>
        <v>0</v>
      </c>
      <c r="AM221" s="9" t="n">
        <f aca="false">X221-AK221-AL221</f>
        <v>0</v>
      </c>
    </row>
    <row r="222" customFormat="false" ht="15" hidden="false" customHeight="false" outlineLevel="0" collapsed="false">
      <c r="A222" s="6" t="n">
        <v>217</v>
      </c>
      <c r="B222" s="74" t="s">
        <v>961</v>
      </c>
      <c r="C222" s="53" t="str">
        <f aca="false">INDEX(I_Items!$C$5:$C$133,MATCH($B222,I_Items!$A$5:$A$133,0))</f>
        <v>RPA</v>
      </c>
      <c r="D222" s="53" t="str">
        <f aca="false">INDEX(I_Items!$D$5:$D$133,MATCH($B222,I_Items!$A$5:$A$133,0))</f>
        <v>Lemak</v>
      </c>
      <c r="E222" s="53" t="str">
        <f aca="false">INDEX(I_Items!$F$5:$F$133,MATCH($B222,I_Items!$A$5:$A$133,0))</f>
        <v>Frozen</v>
      </c>
      <c r="F222" s="53" t="str">
        <f aca="false">IF(INDEX(I_Items!$E$5:$E$133,MATCH($B222,I_Items!$A$5:$A$133,0))="","",INDEX(I_Items!$E$5:$E$133,MATCH($B222,I_Items!$A$5:$A$133,0)))</f>
        <v/>
      </c>
      <c r="G222" s="76" t="n">
        <v>46253</v>
      </c>
      <c r="H222" s="23" t="n">
        <f aca="false">MONTH(G222)</f>
        <v>8</v>
      </c>
      <c r="I222" s="74" t="s">
        <v>2074</v>
      </c>
      <c r="J222" s="74" t="s">
        <v>1305</v>
      </c>
      <c r="K222" s="10" t="n">
        <v>48.7</v>
      </c>
      <c r="L222" s="8" t="n">
        <v>1338335.84</v>
      </c>
      <c r="M222" s="10" t="n">
        <v>0</v>
      </c>
      <c r="N222" s="8" t="n">
        <v>0</v>
      </c>
      <c r="O222" s="74"/>
      <c r="P222" s="74"/>
      <c r="Q222" s="74"/>
      <c r="R222" s="14" t="n">
        <f aca="false">IF(I222="Unbilled",0,M222)</f>
        <v>0</v>
      </c>
      <c r="S222" s="9" t="n">
        <f aca="false">IF(R222=0,0,IF(O222="Booked",N222,R222*V221))</f>
        <v>0</v>
      </c>
      <c r="T222" s="14" t="n">
        <f aca="false">IF(I222="Opening",K222,T221+K222-R222)</f>
        <v>192.08</v>
      </c>
      <c r="U222" s="9" t="n">
        <f aca="false">IF(I222="Opening",L222,U221+L222-S222)</f>
        <v>4504373.41</v>
      </c>
      <c r="V222" s="9" t="n">
        <f aca="false">IF(T222&gt;0,U222/T222,IF(I222="Opening",0,V221))</f>
        <v>23450.5071324448</v>
      </c>
      <c r="W222" s="14" t="n">
        <f aca="false">M222</f>
        <v>0</v>
      </c>
      <c r="X222" s="9" t="n">
        <f aca="false">IF(W222=0,0,IF(O222="Booked",N222,W222*AA221))</f>
        <v>0</v>
      </c>
      <c r="Y222" s="14" t="n">
        <f aca="false">IF(I222="Opening",K222,Y221+K222-W222)</f>
        <v>192.08</v>
      </c>
      <c r="Z222" s="9" t="n">
        <f aca="false">IF(I222="Opening",L222,Z221+L222-X222)</f>
        <v>4504373.41</v>
      </c>
      <c r="AA222" s="9" t="n">
        <f aca="false">IF(Y222&gt;0,Z222/Y222,IF(I222="Opening",0,AA221))</f>
        <v>23450.5071324448</v>
      </c>
      <c r="AB222" s="9" t="n">
        <f aca="false">IF(AND(I222="DO",O222="MA"),S222-N222,0)</f>
        <v>0</v>
      </c>
      <c r="AC222" s="9" t="n">
        <f aca="false">IF(I222="DO",X222-S222,0)</f>
        <v>0</v>
      </c>
      <c r="AD222" s="23" t="n">
        <f aca="false">IF(B223&lt;&gt;B222,1,0)</f>
        <v>0</v>
      </c>
      <c r="AE222" s="14" t="n">
        <f aca="false">IF(I222="Opening",0,AE221+W222)</f>
        <v>0</v>
      </c>
      <c r="AF222" s="14" t="n">
        <f aca="false">IF(I222="Opening",K222,AF221)</f>
        <v>83.28</v>
      </c>
      <c r="AG222" s="14" t="n">
        <f aca="false">AG221</f>
        <v>0</v>
      </c>
      <c r="AH222" s="14" t="n">
        <f aca="false">IF(W222=0,0,MAX(0,MIN(AE222,AF222)-MIN(AE222-W222,AF222)))</f>
        <v>0</v>
      </c>
      <c r="AI222" s="14" t="n">
        <f aca="false">IF(W222=0,0,MAX(0,MIN(AE222,AF222+AG222)-MAX(AE222-W222,AF222)))</f>
        <v>0</v>
      </c>
      <c r="AJ222" s="14" t="n">
        <f aca="false">W222-AH222-AI222</f>
        <v>0</v>
      </c>
      <c r="AK222" s="9" t="n">
        <f aca="false">IF(W222=0,0,X222*AH222/W222)</f>
        <v>0</v>
      </c>
      <c r="AL222" s="9" t="n">
        <f aca="false">IF(W222=0,0,X222*AI222/W222)</f>
        <v>0</v>
      </c>
      <c r="AM222" s="9" t="n">
        <f aca="false">X222-AK222-AL222</f>
        <v>0</v>
      </c>
    </row>
    <row r="223" customFormat="false" ht="15" hidden="false" customHeight="false" outlineLevel="0" collapsed="false">
      <c r="A223" s="6" t="n">
        <v>218</v>
      </c>
      <c r="B223" s="74" t="s">
        <v>961</v>
      </c>
      <c r="C223" s="53" t="str">
        <f aca="false">INDEX(I_Items!$C$5:$C$133,MATCH($B223,I_Items!$A$5:$A$133,0))</f>
        <v>RPA</v>
      </c>
      <c r="D223" s="53" t="str">
        <f aca="false">INDEX(I_Items!$D$5:$D$133,MATCH($B223,I_Items!$A$5:$A$133,0))</f>
        <v>Lemak</v>
      </c>
      <c r="E223" s="53" t="str">
        <f aca="false">INDEX(I_Items!$F$5:$F$133,MATCH($B223,I_Items!$A$5:$A$133,0))</f>
        <v>Frozen</v>
      </c>
      <c r="F223" s="53" t="str">
        <f aca="false">IF(INDEX(I_Items!$E$5:$E$133,MATCH($B223,I_Items!$A$5:$A$133,0))="","",INDEX(I_Items!$E$5:$E$133,MATCH($B223,I_Items!$A$5:$A$133,0)))</f>
        <v/>
      </c>
      <c r="G223" s="76" t="n">
        <v>46254</v>
      </c>
      <c r="H223" s="23" t="n">
        <f aca="false">MONTH(G223)</f>
        <v>8</v>
      </c>
      <c r="I223" s="74" t="s">
        <v>2074</v>
      </c>
      <c r="J223" s="74" t="s">
        <v>1308</v>
      </c>
      <c r="K223" s="10" t="n">
        <v>32</v>
      </c>
      <c r="L223" s="8" t="n">
        <v>881374.2</v>
      </c>
      <c r="M223" s="10" t="n">
        <v>0</v>
      </c>
      <c r="N223" s="8" t="n">
        <v>0</v>
      </c>
      <c r="O223" s="74"/>
      <c r="P223" s="74"/>
      <c r="Q223" s="74"/>
      <c r="R223" s="14" t="n">
        <f aca="false">IF(I223="Unbilled",0,M223)</f>
        <v>0</v>
      </c>
      <c r="S223" s="9" t="n">
        <f aca="false">IF(R223=0,0,IF(O223="Booked",N223,R223*V222))</f>
        <v>0</v>
      </c>
      <c r="T223" s="14" t="n">
        <f aca="false">IF(I223="Opening",K223,T222+K223-R223)</f>
        <v>224.08</v>
      </c>
      <c r="U223" s="9" t="n">
        <f aca="false">IF(I223="Opening",L223,U222+L223-S223)</f>
        <v>5385747.61</v>
      </c>
      <c r="V223" s="9" t="n">
        <f aca="false">IF(T223&gt;0,U223/T223,IF(I223="Opening",0,V222))</f>
        <v>24034.9322117101</v>
      </c>
      <c r="W223" s="14" t="n">
        <f aca="false">M223</f>
        <v>0</v>
      </c>
      <c r="X223" s="9" t="n">
        <f aca="false">IF(W223=0,0,IF(O223="Booked",N223,W223*AA222))</f>
        <v>0</v>
      </c>
      <c r="Y223" s="14" t="n">
        <f aca="false">IF(I223="Opening",K223,Y222+K223-W223)</f>
        <v>224.08</v>
      </c>
      <c r="Z223" s="9" t="n">
        <f aca="false">IF(I223="Opening",L223,Z222+L223-X223)</f>
        <v>5385747.61</v>
      </c>
      <c r="AA223" s="9" t="n">
        <f aca="false">IF(Y223&gt;0,Z223/Y223,IF(I223="Opening",0,AA222))</f>
        <v>24034.9322117101</v>
      </c>
      <c r="AB223" s="9" t="n">
        <f aca="false">IF(AND(I223="DO",O223="MA"),S223-N223,0)</f>
        <v>0</v>
      </c>
      <c r="AC223" s="9" t="n">
        <f aca="false">IF(I223="DO",X223-S223,0)</f>
        <v>0</v>
      </c>
      <c r="AD223" s="23" t="n">
        <f aca="false">IF(B224&lt;&gt;B223,1,0)</f>
        <v>0</v>
      </c>
      <c r="AE223" s="14" t="n">
        <f aca="false">IF(I223="Opening",0,AE222+W223)</f>
        <v>0</v>
      </c>
      <c r="AF223" s="14" t="n">
        <f aca="false">IF(I223="Opening",K223,AF222)</f>
        <v>83.28</v>
      </c>
      <c r="AG223" s="14" t="n">
        <f aca="false">AG222</f>
        <v>0</v>
      </c>
      <c r="AH223" s="14" t="n">
        <f aca="false">IF(W223=0,0,MAX(0,MIN(AE223,AF223)-MIN(AE223-W223,AF223)))</f>
        <v>0</v>
      </c>
      <c r="AI223" s="14" t="n">
        <f aca="false">IF(W223=0,0,MAX(0,MIN(AE223,AF223+AG223)-MAX(AE223-W223,AF223)))</f>
        <v>0</v>
      </c>
      <c r="AJ223" s="14" t="n">
        <f aca="false">W223-AH223-AI223</f>
        <v>0</v>
      </c>
      <c r="AK223" s="9" t="n">
        <f aca="false">IF(W223=0,0,X223*AH223/W223)</f>
        <v>0</v>
      </c>
      <c r="AL223" s="9" t="n">
        <f aca="false">IF(W223=0,0,X223*AI223/W223)</f>
        <v>0</v>
      </c>
      <c r="AM223" s="9" t="n">
        <f aca="false">X223-AK223-AL223</f>
        <v>0</v>
      </c>
    </row>
    <row r="224" customFormat="false" ht="15" hidden="false" customHeight="false" outlineLevel="0" collapsed="false">
      <c r="A224" s="6" t="n">
        <v>219</v>
      </c>
      <c r="B224" s="74" t="s">
        <v>961</v>
      </c>
      <c r="C224" s="53" t="str">
        <f aca="false">INDEX(I_Items!$C$5:$C$133,MATCH($B224,I_Items!$A$5:$A$133,0))</f>
        <v>RPA</v>
      </c>
      <c r="D224" s="53" t="str">
        <f aca="false">INDEX(I_Items!$D$5:$D$133,MATCH($B224,I_Items!$A$5:$A$133,0))</f>
        <v>Lemak</v>
      </c>
      <c r="E224" s="53" t="str">
        <f aca="false">INDEX(I_Items!$F$5:$F$133,MATCH($B224,I_Items!$A$5:$A$133,0))</f>
        <v>Frozen</v>
      </c>
      <c r="F224" s="53" t="str">
        <f aca="false">IF(INDEX(I_Items!$E$5:$E$133,MATCH($B224,I_Items!$A$5:$A$133,0))="","",INDEX(I_Items!$E$5:$E$133,MATCH($B224,I_Items!$A$5:$A$133,0)))</f>
        <v/>
      </c>
      <c r="G224" s="76" t="n">
        <v>46255</v>
      </c>
      <c r="H224" s="23" t="n">
        <f aca="false">MONTH(G224)</f>
        <v>8</v>
      </c>
      <c r="I224" s="74" t="s">
        <v>2074</v>
      </c>
      <c r="J224" s="74" t="s">
        <v>1311</v>
      </c>
      <c r="K224" s="10" t="n">
        <v>27.1</v>
      </c>
      <c r="L224" s="8" t="n">
        <v>753195.13</v>
      </c>
      <c r="M224" s="10" t="n">
        <v>0</v>
      </c>
      <c r="N224" s="8" t="n">
        <v>0</v>
      </c>
      <c r="O224" s="74"/>
      <c r="P224" s="74"/>
      <c r="Q224" s="74"/>
      <c r="R224" s="14" t="n">
        <f aca="false">IF(I224="Unbilled",0,M224)</f>
        <v>0</v>
      </c>
      <c r="S224" s="9" t="n">
        <f aca="false">IF(R224=0,0,IF(O224="Booked",N224,R224*V223))</f>
        <v>0</v>
      </c>
      <c r="T224" s="14" t="n">
        <f aca="false">IF(I224="Opening",K224,T223+K224-R224)</f>
        <v>251.18</v>
      </c>
      <c r="U224" s="9" t="n">
        <f aca="false">IF(I224="Opening",L224,U223+L224-S224)</f>
        <v>6138942.74</v>
      </c>
      <c r="V224" s="9" t="n">
        <f aca="false">IF(T224&gt;0,U224/T224,IF(I224="Opening",0,V223))</f>
        <v>24440.4122143483</v>
      </c>
      <c r="W224" s="14" t="n">
        <f aca="false">M224</f>
        <v>0</v>
      </c>
      <c r="X224" s="9" t="n">
        <f aca="false">IF(W224=0,0,IF(O224="Booked",N224,W224*AA223))</f>
        <v>0</v>
      </c>
      <c r="Y224" s="14" t="n">
        <f aca="false">IF(I224="Opening",K224,Y223+K224-W224)</f>
        <v>251.18</v>
      </c>
      <c r="Z224" s="9" t="n">
        <f aca="false">IF(I224="Opening",L224,Z223+L224-X224)</f>
        <v>6138942.74</v>
      </c>
      <c r="AA224" s="9" t="n">
        <f aca="false">IF(Y224&gt;0,Z224/Y224,IF(I224="Opening",0,AA223))</f>
        <v>24440.4122143483</v>
      </c>
      <c r="AB224" s="9" t="n">
        <f aca="false">IF(AND(I224="DO",O224="MA"),S224-N224,0)</f>
        <v>0</v>
      </c>
      <c r="AC224" s="9" t="n">
        <f aca="false">IF(I224="DO",X224-S224,0)</f>
        <v>0</v>
      </c>
      <c r="AD224" s="23" t="n">
        <f aca="false">IF(B225&lt;&gt;B224,1,0)</f>
        <v>0</v>
      </c>
      <c r="AE224" s="14" t="n">
        <f aca="false">IF(I224="Opening",0,AE223+W224)</f>
        <v>0</v>
      </c>
      <c r="AF224" s="14" t="n">
        <f aca="false">IF(I224="Opening",K224,AF223)</f>
        <v>83.28</v>
      </c>
      <c r="AG224" s="14" t="n">
        <f aca="false">AG223</f>
        <v>0</v>
      </c>
      <c r="AH224" s="14" t="n">
        <f aca="false">IF(W224=0,0,MAX(0,MIN(AE224,AF224)-MIN(AE224-W224,AF224)))</f>
        <v>0</v>
      </c>
      <c r="AI224" s="14" t="n">
        <f aca="false">IF(W224=0,0,MAX(0,MIN(AE224,AF224+AG224)-MAX(AE224-W224,AF224)))</f>
        <v>0</v>
      </c>
      <c r="AJ224" s="14" t="n">
        <f aca="false">W224-AH224-AI224</f>
        <v>0</v>
      </c>
      <c r="AK224" s="9" t="n">
        <f aca="false">IF(W224=0,0,X224*AH224/W224)</f>
        <v>0</v>
      </c>
      <c r="AL224" s="9" t="n">
        <f aca="false">IF(W224=0,0,X224*AI224/W224)</f>
        <v>0</v>
      </c>
      <c r="AM224" s="9" t="n">
        <f aca="false">X224-AK224-AL224</f>
        <v>0</v>
      </c>
    </row>
    <row r="225" customFormat="false" ht="15" hidden="false" customHeight="false" outlineLevel="0" collapsed="false">
      <c r="A225" s="6" t="n">
        <v>220</v>
      </c>
      <c r="B225" s="74" t="s">
        <v>961</v>
      </c>
      <c r="C225" s="53" t="str">
        <f aca="false">INDEX(I_Items!$C$5:$C$133,MATCH($B225,I_Items!$A$5:$A$133,0))</f>
        <v>RPA</v>
      </c>
      <c r="D225" s="53" t="str">
        <f aca="false">INDEX(I_Items!$D$5:$D$133,MATCH($B225,I_Items!$A$5:$A$133,0))</f>
        <v>Lemak</v>
      </c>
      <c r="E225" s="53" t="str">
        <f aca="false">INDEX(I_Items!$F$5:$F$133,MATCH($B225,I_Items!$A$5:$A$133,0))</f>
        <v>Frozen</v>
      </c>
      <c r="F225" s="53" t="str">
        <f aca="false">IF(INDEX(I_Items!$E$5:$E$133,MATCH($B225,I_Items!$A$5:$A$133,0))="","",INDEX(I_Items!$E$5:$E$133,MATCH($B225,I_Items!$A$5:$A$133,0)))</f>
        <v/>
      </c>
      <c r="G225" s="76" t="n">
        <v>46259</v>
      </c>
      <c r="H225" s="23" t="n">
        <f aca="false">MONTH(G225)</f>
        <v>8</v>
      </c>
      <c r="I225" s="74" t="s">
        <v>2074</v>
      </c>
      <c r="J225" s="74" t="s">
        <v>1314</v>
      </c>
      <c r="K225" s="10" t="n">
        <v>43.3</v>
      </c>
      <c r="L225" s="8" t="n">
        <v>1161371.92</v>
      </c>
      <c r="M225" s="10" t="n">
        <v>0</v>
      </c>
      <c r="N225" s="8" t="n">
        <v>0</v>
      </c>
      <c r="O225" s="74"/>
      <c r="P225" s="74"/>
      <c r="Q225" s="74"/>
      <c r="R225" s="14" t="n">
        <f aca="false">IF(I225="Unbilled",0,M225)</f>
        <v>0</v>
      </c>
      <c r="S225" s="9" t="n">
        <f aca="false">IF(R225=0,0,IF(O225="Booked",N225,R225*V224))</f>
        <v>0</v>
      </c>
      <c r="T225" s="14" t="n">
        <f aca="false">IF(I225="Opening",K225,T224+K225-R225)</f>
        <v>294.48</v>
      </c>
      <c r="U225" s="9" t="n">
        <f aca="false">IF(I225="Opening",L225,U224+L225-S225)</f>
        <v>7300314.66</v>
      </c>
      <c r="V225" s="9" t="n">
        <f aca="false">IF(T225&gt;0,U225/T225,IF(I225="Opening",0,V224))</f>
        <v>24790.5279136104</v>
      </c>
      <c r="W225" s="14" t="n">
        <f aca="false">M225</f>
        <v>0</v>
      </c>
      <c r="X225" s="9" t="n">
        <f aca="false">IF(W225=0,0,IF(O225="Booked",N225,W225*AA224))</f>
        <v>0</v>
      </c>
      <c r="Y225" s="14" t="n">
        <f aca="false">IF(I225="Opening",K225,Y224+K225-W225)</f>
        <v>294.48</v>
      </c>
      <c r="Z225" s="9" t="n">
        <f aca="false">IF(I225="Opening",L225,Z224+L225-X225)</f>
        <v>7300314.66</v>
      </c>
      <c r="AA225" s="9" t="n">
        <f aca="false">IF(Y225&gt;0,Z225/Y225,IF(I225="Opening",0,AA224))</f>
        <v>24790.5279136104</v>
      </c>
      <c r="AB225" s="9" t="n">
        <f aca="false">IF(AND(I225="DO",O225="MA"),S225-N225,0)</f>
        <v>0</v>
      </c>
      <c r="AC225" s="9" t="n">
        <f aca="false">IF(I225="DO",X225-S225,0)</f>
        <v>0</v>
      </c>
      <c r="AD225" s="23" t="n">
        <f aca="false">IF(B226&lt;&gt;B225,1,0)</f>
        <v>0</v>
      </c>
      <c r="AE225" s="14" t="n">
        <f aca="false">IF(I225="Opening",0,AE224+W225)</f>
        <v>0</v>
      </c>
      <c r="AF225" s="14" t="n">
        <f aca="false">IF(I225="Opening",K225,AF224)</f>
        <v>83.28</v>
      </c>
      <c r="AG225" s="14" t="n">
        <f aca="false">AG224</f>
        <v>0</v>
      </c>
      <c r="AH225" s="14" t="n">
        <f aca="false">IF(W225=0,0,MAX(0,MIN(AE225,AF225)-MIN(AE225-W225,AF225)))</f>
        <v>0</v>
      </c>
      <c r="AI225" s="14" t="n">
        <f aca="false">IF(W225=0,0,MAX(0,MIN(AE225,AF225+AG225)-MAX(AE225-W225,AF225)))</f>
        <v>0</v>
      </c>
      <c r="AJ225" s="14" t="n">
        <f aca="false">W225-AH225-AI225</f>
        <v>0</v>
      </c>
      <c r="AK225" s="9" t="n">
        <f aca="false">IF(W225=0,0,X225*AH225/W225)</f>
        <v>0</v>
      </c>
      <c r="AL225" s="9" t="n">
        <f aca="false">IF(W225=0,0,X225*AI225/W225)</f>
        <v>0</v>
      </c>
      <c r="AM225" s="9" t="n">
        <f aca="false">X225-AK225-AL225</f>
        <v>0</v>
      </c>
    </row>
    <row r="226" customFormat="false" ht="15" hidden="false" customHeight="false" outlineLevel="0" collapsed="false">
      <c r="A226" s="6" t="n">
        <v>221</v>
      </c>
      <c r="B226" s="74" t="s">
        <v>961</v>
      </c>
      <c r="C226" s="53" t="str">
        <f aca="false">INDEX(I_Items!$C$5:$C$133,MATCH($B226,I_Items!$A$5:$A$133,0))</f>
        <v>RPA</v>
      </c>
      <c r="D226" s="53" t="str">
        <f aca="false">INDEX(I_Items!$D$5:$D$133,MATCH($B226,I_Items!$A$5:$A$133,0))</f>
        <v>Lemak</v>
      </c>
      <c r="E226" s="53" t="str">
        <f aca="false">INDEX(I_Items!$F$5:$F$133,MATCH($B226,I_Items!$A$5:$A$133,0))</f>
        <v>Frozen</v>
      </c>
      <c r="F226" s="53" t="str">
        <f aca="false">IF(INDEX(I_Items!$E$5:$E$133,MATCH($B226,I_Items!$A$5:$A$133,0))="","",INDEX(I_Items!$E$5:$E$133,MATCH($B226,I_Items!$A$5:$A$133,0)))</f>
        <v/>
      </c>
      <c r="G226" s="76" t="n">
        <v>46260</v>
      </c>
      <c r="H226" s="23" t="n">
        <f aca="false">MONTH(G226)</f>
        <v>8</v>
      </c>
      <c r="I226" s="74" t="s">
        <v>2074</v>
      </c>
      <c r="J226" s="74" t="s">
        <v>1317</v>
      </c>
      <c r="K226" s="10" t="n">
        <v>28.8</v>
      </c>
      <c r="L226" s="8" t="n">
        <v>789002.59</v>
      </c>
      <c r="M226" s="10" t="n">
        <v>0</v>
      </c>
      <c r="N226" s="8" t="n">
        <v>0</v>
      </c>
      <c r="O226" s="74"/>
      <c r="P226" s="74"/>
      <c r="Q226" s="74"/>
      <c r="R226" s="14" t="n">
        <f aca="false">IF(I226="Unbilled",0,M226)</f>
        <v>0</v>
      </c>
      <c r="S226" s="9" t="n">
        <f aca="false">IF(R226=0,0,IF(O226="Booked",N226,R226*V225))</f>
        <v>0</v>
      </c>
      <c r="T226" s="14" t="n">
        <f aca="false">IF(I226="Opening",K226,T225+K226-R226)</f>
        <v>323.28</v>
      </c>
      <c r="U226" s="9" t="n">
        <f aca="false">IF(I226="Opening",L226,U225+L226-S226)</f>
        <v>8089317.25</v>
      </c>
      <c r="V226" s="9" t="n">
        <f aca="false">IF(T226&gt;0,U226/T226,IF(I226="Opening",0,V225))</f>
        <v>25022.634403613</v>
      </c>
      <c r="W226" s="14" t="n">
        <f aca="false">M226</f>
        <v>0</v>
      </c>
      <c r="X226" s="9" t="n">
        <f aca="false">IF(W226=0,0,IF(O226="Booked",N226,W226*AA225))</f>
        <v>0</v>
      </c>
      <c r="Y226" s="14" t="n">
        <f aca="false">IF(I226="Opening",K226,Y225+K226-W226)</f>
        <v>323.28</v>
      </c>
      <c r="Z226" s="9" t="n">
        <f aca="false">IF(I226="Opening",L226,Z225+L226-X226)</f>
        <v>8089317.25</v>
      </c>
      <c r="AA226" s="9" t="n">
        <f aca="false">IF(Y226&gt;0,Z226/Y226,IF(I226="Opening",0,AA225))</f>
        <v>25022.634403613</v>
      </c>
      <c r="AB226" s="9" t="n">
        <f aca="false">IF(AND(I226="DO",O226="MA"),S226-N226,0)</f>
        <v>0</v>
      </c>
      <c r="AC226" s="9" t="n">
        <f aca="false">IF(I226="DO",X226-S226,0)</f>
        <v>0</v>
      </c>
      <c r="AD226" s="23" t="n">
        <f aca="false">IF(B227&lt;&gt;B226,1,0)</f>
        <v>0</v>
      </c>
      <c r="AE226" s="14" t="n">
        <f aca="false">IF(I226="Opening",0,AE225+W226)</f>
        <v>0</v>
      </c>
      <c r="AF226" s="14" t="n">
        <f aca="false">IF(I226="Opening",K226,AF225)</f>
        <v>83.28</v>
      </c>
      <c r="AG226" s="14" t="n">
        <f aca="false">AG225</f>
        <v>0</v>
      </c>
      <c r="AH226" s="14" t="n">
        <f aca="false">IF(W226=0,0,MAX(0,MIN(AE226,AF226)-MIN(AE226-W226,AF226)))</f>
        <v>0</v>
      </c>
      <c r="AI226" s="14" t="n">
        <f aca="false">IF(W226=0,0,MAX(0,MIN(AE226,AF226+AG226)-MAX(AE226-W226,AF226)))</f>
        <v>0</v>
      </c>
      <c r="AJ226" s="14" t="n">
        <f aca="false">W226-AH226-AI226</f>
        <v>0</v>
      </c>
      <c r="AK226" s="9" t="n">
        <f aca="false">IF(W226=0,0,X226*AH226/W226)</f>
        <v>0</v>
      </c>
      <c r="AL226" s="9" t="n">
        <f aca="false">IF(W226=0,0,X226*AI226/W226)</f>
        <v>0</v>
      </c>
      <c r="AM226" s="9" t="n">
        <f aca="false">X226-AK226-AL226</f>
        <v>0</v>
      </c>
    </row>
    <row r="227" customFormat="false" ht="15" hidden="false" customHeight="false" outlineLevel="0" collapsed="false">
      <c r="A227" s="6" t="n">
        <v>222</v>
      </c>
      <c r="B227" s="74" t="s">
        <v>961</v>
      </c>
      <c r="C227" s="53" t="str">
        <f aca="false">INDEX(I_Items!$C$5:$C$133,MATCH($B227,I_Items!$A$5:$A$133,0))</f>
        <v>RPA</v>
      </c>
      <c r="D227" s="53" t="str">
        <f aca="false">INDEX(I_Items!$D$5:$D$133,MATCH($B227,I_Items!$A$5:$A$133,0))</f>
        <v>Lemak</v>
      </c>
      <c r="E227" s="53" t="str">
        <f aca="false">INDEX(I_Items!$F$5:$F$133,MATCH($B227,I_Items!$A$5:$A$133,0))</f>
        <v>Frozen</v>
      </c>
      <c r="F227" s="53" t="str">
        <f aca="false">IF(INDEX(I_Items!$E$5:$E$133,MATCH($B227,I_Items!$A$5:$A$133,0))="","",INDEX(I_Items!$E$5:$E$133,MATCH($B227,I_Items!$A$5:$A$133,0)))</f>
        <v/>
      </c>
      <c r="G227" s="76" t="n">
        <v>46261</v>
      </c>
      <c r="H227" s="23" t="n">
        <f aca="false">MONTH(G227)</f>
        <v>8</v>
      </c>
      <c r="I227" s="74" t="s">
        <v>2074</v>
      </c>
      <c r="J227" s="74" t="s">
        <v>1320</v>
      </c>
      <c r="K227" s="10" t="n">
        <v>17.9</v>
      </c>
      <c r="L227" s="8" t="n">
        <v>484072.54</v>
      </c>
      <c r="M227" s="10" t="n">
        <v>0</v>
      </c>
      <c r="N227" s="8" t="n">
        <v>0</v>
      </c>
      <c r="O227" s="74"/>
      <c r="P227" s="74"/>
      <c r="Q227" s="74"/>
      <c r="R227" s="14" t="n">
        <f aca="false">IF(I227="Unbilled",0,M227)</f>
        <v>0</v>
      </c>
      <c r="S227" s="9" t="n">
        <f aca="false">IF(R227=0,0,IF(O227="Booked",N227,R227*V226))</f>
        <v>0</v>
      </c>
      <c r="T227" s="14" t="n">
        <f aca="false">IF(I227="Opening",K227,T226+K227-R227)</f>
        <v>341.18</v>
      </c>
      <c r="U227" s="9" t="n">
        <f aca="false">IF(I227="Opening",L227,U226+L227-S227)</f>
        <v>8573389.79</v>
      </c>
      <c r="V227" s="9" t="n">
        <f aca="false">IF(T227&gt;0,U227/T227,IF(I227="Opening",0,V226))</f>
        <v>25128.6411571604</v>
      </c>
      <c r="W227" s="14" t="n">
        <f aca="false">M227</f>
        <v>0</v>
      </c>
      <c r="X227" s="9" t="n">
        <f aca="false">IF(W227=0,0,IF(O227="Booked",N227,W227*AA226))</f>
        <v>0</v>
      </c>
      <c r="Y227" s="14" t="n">
        <f aca="false">IF(I227="Opening",K227,Y226+K227-W227)</f>
        <v>341.18</v>
      </c>
      <c r="Z227" s="9" t="n">
        <f aca="false">IF(I227="Opening",L227,Z226+L227-X227)</f>
        <v>8573389.79</v>
      </c>
      <c r="AA227" s="9" t="n">
        <f aca="false">IF(Y227&gt;0,Z227/Y227,IF(I227="Opening",0,AA226))</f>
        <v>25128.6411571604</v>
      </c>
      <c r="AB227" s="9" t="n">
        <f aca="false">IF(AND(I227="DO",O227="MA"),S227-N227,0)</f>
        <v>0</v>
      </c>
      <c r="AC227" s="9" t="n">
        <f aca="false">IF(I227="DO",X227-S227,0)</f>
        <v>0</v>
      </c>
      <c r="AD227" s="23" t="n">
        <f aca="false">IF(B228&lt;&gt;B227,1,0)</f>
        <v>0</v>
      </c>
      <c r="AE227" s="14" t="n">
        <f aca="false">IF(I227="Opening",0,AE226+W227)</f>
        <v>0</v>
      </c>
      <c r="AF227" s="14" t="n">
        <f aca="false">IF(I227="Opening",K227,AF226)</f>
        <v>83.28</v>
      </c>
      <c r="AG227" s="14" t="n">
        <f aca="false">AG226</f>
        <v>0</v>
      </c>
      <c r="AH227" s="14" t="n">
        <f aca="false">IF(W227=0,0,MAX(0,MIN(AE227,AF227)-MIN(AE227-W227,AF227)))</f>
        <v>0</v>
      </c>
      <c r="AI227" s="14" t="n">
        <f aca="false">IF(W227=0,0,MAX(0,MIN(AE227,AF227+AG227)-MAX(AE227-W227,AF227)))</f>
        <v>0</v>
      </c>
      <c r="AJ227" s="14" t="n">
        <f aca="false">W227-AH227-AI227</f>
        <v>0</v>
      </c>
      <c r="AK227" s="9" t="n">
        <f aca="false">IF(W227=0,0,X227*AH227/W227)</f>
        <v>0</v>
      </c>
      <c r="AL227" s="9" t="n">
        <f aca="false">IF(W227=0,0,X227*AI227/W227)</f>
        <v>0</v>
      </c>
      <c r="AM227" s="9" t="n">
        <f aca="false">X227-AK227-AL227</f>
        <v>0</v>
      </c>
    </row>
    <row r="228" customFormat="false" ht="15" hidden="false" customHeight="false" outlineLevel="0" collapsed="false">
      <c r="A228" s="6" t="n">
        <v>223</v>
      </c>
      <c r="B228" s="74" t="s">
        <v>961</v>
      </c>
      <c r="C228" s="53" t="str">
        <f aca="false">INDEX(I_Items!$C$5:$C$133,MATCH($B228,I_Items!$A$5:$A$133,0))</f>
        <v>RPA</v>
      </c>
      <c r="D228" s="53" t="str">
        <f aca="false">INDEX(I_Items!$D$5:$D$133,MATCH($B228,I_Items!$A$5:$A$133,0))</f>
        <v>Lemak</v>
      </c>
      <c r="E228" s="53" t="str">
        <f aca="false">INDEX(I_Items!$F$5:$F$133,MATCH($B228,I_Items!$A$5:$A$133,0))</f>
        <v>Frozen</v>
      </c>
      <c r="F228" s="53" t="str">
        <f aca="false">IF(INDEX(I_Items!$E$5:$E$133,MATCH($B228,I_Items!$A$5:$A$133,0))="","",INDEX(I_Items!$E$5:$E$133,MATCH($B228,I_Items!$A$5:$A$133,0)))</f>
        <v/>
      </c>
      <c r="G228" s="76" t="n">
        <v>46262</v>
      </c>
      <c r="H228" s="23" t="n">
        <f aca="false">MONTH(G228)</f>
        <v>8</v>
      </c>
      <c r="I228" s="74" t="s">
        <v>2074</v>
      </c>
      <c r="J228" s="74" t="s">
        <v>1323</v>
      </c>
      <c r="K228" s="10" t="n">
        <v>66.6</v>
      </c>
      <c r="L228" s="8" t="n">
        <v>1815969.03</v>
      </c>
      <c r="M228" s="10" t="n">
        <v>0</v>
      </c>
      <c r="N228" s="8" t="n">
        <v>0</v>
      </c>
      <c r="O228" s="74"/>
      <c r="P228" s="74"/>
      <c r="Q228" s="74"/>
      <c r="R228" s="14" t="n">
        <f aca="false">IF(I228="Unbilled",0,M228)</f>
        <v>0</v>
      </c>
      <c r="S228" s="9" t="n">
        <f aca="false">IF(R228=0,0,IF(O228="Booked",N228,R228*V227))</f>
        <v>0</v>
      </c>
      <c r="T228" s="14" t="n">
        <f aca="false">IF(I228="Opening",K228,T227+K228-R228)</f>
        <v>407.78</v>
      </c>
      <c r="U228" s="9" t="n">
        <f aca="false">IF(I228="Opening",L228,U227+L228-S228)</f>
        <v>10389358.82</v>
      </c>
      <c r="V228" s="9" t="n">
        <f aca="false">IF(T228&gt;0,U228/T228,IF(I228="Opening",0,V227))</f>
        <v>25477.8528127912</v>
      </c>
      <c r="W228" s="14" t="n">
        <f aca="false">M228</f>
        <v>0</v>
      </c>
      <c r="X228" s="9" t="n">
        <f aca="false">IF(W228=0,0,IF(O228="Booked",N228,W228*AA227))</f>
        <v>0</v>
      </c>
      <c r="Y228" s="14" t="n">
        <f aca="false">IF(I228="Opening",K228,Y227+K228-W228)</f>
        <v>407.78</v>
      </c>
      <c r="Z228" s="9" t="n">
        <f aca="false">IF(I228="Opening",L228,Z227+L228-X228)</f>
        <v>10389358.82</v>
      </c>
      <c r="AA228" s="9" t="n">
        <f aca="false">IF(Y228&gt;0,Z228/Y228,IF(I228="Opening",0,AA227))</f>
        <v>25477.8528127912</v>
      </c>
      <c r="AB228" s="9" t="n">
        <f aca="false">IF(AND(I228="DO",O228="MA"),S228-N228,0)</f>
        <v>0</v>
      </c>
      <c r="AC228" s="9" t="n">
        <f aca="false">IF(I228="DO",X228-S228,0)</f>
        <v>0</v>
      </c>
      <c r="AD228" s="23" t="n">
        <f aca="false">IF(B229&lt;&gt;B228,1,0)</f>
        <v>0</v>
      </c>
      <c r="AE228" s="14" t="n">
        <f aca="false">IF(I228="Opening",0,AE227+W228)</f>
        <v>0</v>
      </c>
      <c r="AF228" s="14" t="n">
        <f aca="false">IF(I228="Opening",K228,AF227)</f>
        <v>83.28</v>
      </c>
      <c r="AG228" s="14" t="n">
        <f aca="false">AG227</f>
        <v>0</v>
      </c>
      <c r="AH228" s="14" t="n">
        <f aca="false">IF(W228=0,0,MAX(0,MIN(AE228,AF228)-MIN(AE228-W228,AF228)))</f>
        <v>0</v>
      </c>
      <c r="AI228" s="14" t="n">
        <f aca="false">IF(W228=0,0,MAX(0,MIN(AE228,AF228+AG228)-MAX(AE228-W228,AF228)))</f>
        <v>0</v>
      </c>
      <c r="AJ228" s="14" t="n">
        <f aca="false">W228-AH228-AI228</f>
        <v>0</v>
      </c>
      <c r="AK228" s="9" t="n">
        <f aca="false">IF(W228=0,0,X228*AH228/W228)</f>
        <v>0</v>
      </c>
      <c r="AL228" s="9" t="n">
        <f aca="false">IF(W228=0,0,X228*AI228/W228)</f>
        <v>0</v>
      </c>
      <c r="AM228" s="9" t="n">
        <f aca="false">X228-AK228-AL228</f>
        <v>0</v>
      </c>
    </row>
    <row r="229" customFormat="false" ht="15" hidden="false" customHeight="false" outlineLevel="0" collapsed="false">
      <c r="A229" s="6" t="n">
        <v>224</v>
      </c>
      <c r="B229" s="74" t="s">
        <v>961</v>
      </c>
      <c r="C229" s="53" t="str">
        <f aca="false">INDEX(I_Items!$C$5:$C$133,MATCH($B229,I_Items!$A$5:$A$133,0))</f>
        <v>RPA</v>
      </c>
      <c r="D229" s="53" t="str">
        <f aca="false">INDEX(I_Items!$D$5:$D$133,MATCH($B229,I_Items!$A$5:$A$133,0))</f>
        <v>Lemak</v>
      </c>
      <c r="E229" s="53" t="str">
        <f aca="false">INDEX(I_Items!$F$5:$F$133,MATCH($B229,I_Items!$A$5:$A$133,0))</f>
        <v>Frozen</v>
      </c>
      <c r="F229" s="53" t="str">
        <f aca="false">IF(INDEX(I_Items!$E$5:$E$133,MATCH($B229,I_Items!$A$5:$A$133,0))="","",INDEX(I_Items!$E$5:$E$133,MATCH($B229,I_Items!$A$5:$A$133,0)))</f>
        <v/>
      </c>
      <c r="G229" s="76" t="n">
        <v>46265</v>
      </c>
      <c r="H229" s="23" t="n">
        <f aca="false">MONTH(G229)</f>
        <v>8</v>
      </c>
      <c r="I229" s="74" t="s">
        <v>2074</v>
      </c>
      <c r="J229" s="74" t="s">
        <v>1326</v>
      </c>
      <c r="K229" s="10" t="n">
        <v>55</v>
      </c>
      <c r="L229" s="8" t="n">
        <v>1473855.87</v>
      </c>
      <c r="M229" s="10" t="n">
        <v>0</v>
      </c>
      <c r="N229" s="8" t="n">
        <v>0</v>
      </c>
      <c r="O229" s="74"/>
      <c r="P229" s="74"/>
      <c r="Q229" s="74"/>
      <c r="R229" s="14" t="n">
        <f aca="false">IF(I229="Unbilled",0,M229)</f>
        <v>0</v>
      </c>
      <c r="S229" s="9" t="n">
        <f aca="false">IF(R229=0,0,IF(O229="Booked",N229,R229*V228))</f>
        <v>0</v>
      </c>
      <c r="T229" s="14" t="n">
        <f aca="false">IF(I229="Opening",K229,T228+K229-R229)</f>
        <v>462.78</v>
      </c>
      <c r="U229" s="9" t="n">
        <f aca="false">IF(I229="Opening",L229,U228+L229-S229)</f>
        <v>11863214.69</v>
      </c>
      <c r="V229" s="9" t="n">
        <f aca="false">IF(T229&gt;0,U229/T229,IF(I229="Opening",0,V228))</f>
        <v>25634.6745537837</v>
      </c>
      <c r="W229" s="14" t="n">
        <f aca="false">M229</f>
        <v>0</v>
      </c>
      <c r="X229" s="9" t="n">
        <f aca="false">IF(W229=0,0,IF(O229="Booked",N229,W229*AA228))</f>
        <v>0</v>
      </c>
      <c r="Y229" s="14" t="n">
        <f aca="false">IF(I229="Opening",K229,Y228+K229-W229)</f>
        <v>462.78</v>
      </c>
      <c r="Z229" s="9" t="n">
        <f aca="false">IF(I229="Opening",L229,Z228+L229-X229)</f>
        <v>11863214.69</v>
      </c>
      <c r="AA229" s="9" t="n">
        <f aca="false">IF(Y229&gt;0,Z229/Y229,IF(I229="Opening",0,AA228))</f>
        <v>25634.6745537837</v>
      </c>
      <c r="AB229" s="9" t="n">
        <f aca="false">IF(AND(I229="DO",O229="MA"),S229-N229,0)</f>
        <v>0</v>
      </c>
      <c r="AC229" s="9" t="n">
        <f aca="false">IF(I229="DO",X229-S229,0)</f>
        <v>0</v>
      </c>
      <c r="AD229" s="23" t="n">
        <f aca="false">IF(B230&lt;&gt;B229,1,0)</f>
        <v>1</v>
      </c>
      <c r="AE229" s="14" t="n">
        <f aca="false">IF(I229="Opening",0,AE228+W229)</f>
        <v>0</v>
      </c>
      <c r="AF229" s="14" t="n">
        <f aca="false">IF(I229="Opening",K229,AF228)</f>
        <v>83.28</v>
      </c>
      <c r="AG229" s="14" t="n">
        <f aca="false">AG228</f>
        <v>0</v>
      </c>
      <c r="AH229" s="14" t="n">
        <f aca="false">IF(W229=0,0,MAX(0,MIN(AE229,AF229)-MIN(AE229-W229,AF229)))</f>
        <v>0</v>
      </c>
      <c r="AI229" s="14" t="n">
        <f aca="false">IF(W229=0,0,MAX(0,MIN(AE229,AF229+AG229)-MAX(AE229-W229,AF229)))</f>
        <v>0</v>
      </c>
      <c r="AJ229" s="14" t="n">
        <f aca="false">W229-AH229-AI229</f>
        <v>0</v>
      </c>
      <c r="AK229" s="9" t="n">
        <f aca="false">IF(W229=0,0,X229*AH229/W229)</f>
        <v>0</v>
      </c>
      <c r="AL229" s="9" t="n">
        <f aca="false">IF(W229=0,0,X229*AI229/W229)</f>
        <v>0</v>
      </c>
      <c r="AM229" s="9" t="n">
        <f aca="false">X229-AK229-AL229</f>
        <v>0</v>
      </c>
    </row>
    <row r="230" customFormat="false" ht="15" hidden="false" customHeight="false" outlineLevel="0" collapsed="false">
      <c r="A230" s="6" t="n">
        <v>225</v>
      </c>
      <c r="B230" s="74" t="s">
        <v>962</v>
      </c>
      <c r="C230" s="53" t="str">
        <f aca="false">INDEX(I_Items!$C$5:$C$133,MATCH($B230,I_Items!$A$5:$A$133,0))</f>
        <v>RPA</v>
      </c>
      <c r="D230" s="53" t="str">
        <f aca="false">INDEX(I_Items!$D$5:$D$133,MATCH($B230,I_Items!$A$5:$A$133,0))</f>
        <v>Sayap</v>
      </c>
      <c r="E230" s="53" t="str">
        <f aca="false">INDEX(I_Items!$F$5:$F$133,MATCH($B230,I_Items!$A$5:$A$133,0))</f>
        <v>Frozen</v>
      </c>
      <c r="F230" s="53" t="str">
        <f aca="false">IF(INDEX(I_Items!$E$5:$E$133,MATCH($B230,I_Items!$A$5:$A$133,0))="","",INDEX(I_Items!$E$5:$E$133,MATCH($B230,I_Items!$A$5:$A$133,0)))</f>
        <v/>
      </c>
      <c r="G230" s="76" t="n">
        <v>46204</v>
      </c>
      <c r="H230" s="23" t="n">
        <f aca="false">MONTH(G230)</f>
        <v>7</v>
      </c>
      <c r="I230" s="74" t="s">
        <v>2072</v>
      </c>
      <c r="J230" s="74" t="s">
        <v>2073</v>
      </c>
      <c r="K230" s="10" t="n">
        <v>271.15</v>
      </c>
      <c r="L230" s="8" t="n">
        <v>6888132.67</v>
      </c>
      <c r="M230" s="10" t="n">
        <v>0</v>
      </c>
      <c r="N230" s="8" t="n">
        <v>0</v>
      </c>
      <c r="O230" s="74"/>
      <c r="P230" s="74"/>
      <c r="Q230" s="74"/>
      <c r="R230" s="14" t="n">
        <f aca="false">IF(I230="Unbilled",0,M230)</f>
        <v>0</v>
      </c>
      <c r="S230" s="9" t="n">
        <f aca="false">IF(R230=0,0,IF(O230="Booked",N230,R230*V229))</f>
        <v>0</v>
      </c>
      <c r="T230" s="14" t="n">
        <f aca="false">IF(I230="Opening",K230,T229+K230-R230)</f>
        <v>271.15</v>
      </c>
      <c r="U230" s="9" t="n">
        <f aca="false">IF(I230="Opening",L230,U229+L230-S230)</f>
        <v>6888132.67</v>
      </c>
      <c r="V230" s="9" t="n">
        <f aca="false">IF(T230&gt;0,U230/T230,IF(I230="Opening",0,V229))</f>
        <v>25403.4028028766</v>
      </c>
      <c r="W230" s="14" t="n">
        <f aca="false">M230</f>
        <v>0</v>
      </c>
      <c r="X230" s="9" t="n">
        <f aca="false">IF(W230=0,0,IF(O230="Booked",N230,W230*AA229))</f>
        <v>0</v>
      </c>
      <c r="Y230" s="14" t="n">
        <f aca="false">IF(I230="Opening",K230,Y229+K230-W230)</f>
        <v>271.15</v>
      </c>
      <c r="Z230" s="9" t="n">
        <f aca="false">IF(I230="Opening",L230,Z229+L230-X230)</f>
        <v>6888132.67</v>
      </c>
      <c r="AA230" s="9" t="n">
        <f aca="false">IF(Y230&gt;0,Z230/Y230,IF(I230="Opening",0,AA229))</f>
        <v>25403.4028028766</v>
      </c>
      <c r="AB230" s="9" t="n">
        <f aca="false">IF(AND(I230="DO",O230="MA"),S230-N230,0)</f>
        <v>0</v>
      </c>
      <c r="AC230" s="9" t="n">
        <f aca="false">IF(I230="DO",X230-S230,0)</f>
        <v>0</v>
      </c>
      <c r="AD230" s="23" t="n">
        <f aca="false">IF(B231&lt;&gt;B230,1,0)</f>
        <v>0</v>
      </c>
      <c r="AE230" s="14" t="n">
        <f aca="false">IF(I230="Opening",0,AE229+W230)</f>
        <v>0</v>
      </c>
      <c r="AF230" s="14" t="n">
        <f aca="false">IF(I230="Opening",K230,AF229)</f>
        <v>271.15</v>
      </c>
      <c r="AG230" s="14" t="n">
        <f aca="false">SUMIFS($K$6:$K$1110,$B$6:$B$1110,B230,$H$6:$H$1110,7,$I$6:$I$1110,"&lt;&gt;Opening")</f>
        <v>40</v>
      </c>
      <c r="AH230" s="14" t="n">
        <f aca="false">IF(W230=0,0,MAX(0,MIN(AE230,AF230)-MIN(AE230-W230,AF230)))</f>
        <v>0</v>
      </c>
      <c r="AI230" s="14" t="n">
        <f aca="false">IF(W230=0,0,MAX(0,MIN(AE230,AF230+AG230)-MAX(AE230-W230,AF230)))</f>
        <v>0</v>
      </c>
      <c r="AJ230" s="14" t="n">
        <f aca="false">W230-AH230-AI230</f>
        <v>0</v>
      </c>
      <c r="AK230" s="9" t="n">
        <f aca="false">IF(W230=0,0,X230*AH230/W230)</f>
        <v>0</v>
      </c>
      <c r="AL230" s="9" t="n">
        <f aca="false">IF(W230=0,0,X230*AI230/W230)</f>
        <v>0</v>
      </c>
      <c r="AM230" s="9" t="n">
        <f aca="false">X230-AK230-AL230</f>
        <v>0</v>
      </c>
    </row>
    <row r="231" customFormat="false" ht="15" hidden="false" customHeight="false" outlineLevel="0" collapsed="false">
      <c r="A231" s="6" t="n">
        <v>226</v>
      </c>
      <c r="B231" s="74" t="s">
        <v>962</v>
      </c>
      <c r="C231" s="53" t="str">
        <f aca="false">INDEX(I_Items!$C$5:$C$133,MATCH($B231,I_Items!$A$5:$A$133,0))</f>
        <v>RPA</v>
      </c>
      <c r="D231" s="53" t="str">
        <f aca="false">INDEX(I_Items!$D$5:$D$133,MATCH($B231,I_Items!$A$5:$A$133,0))</f>
        <v>Sayap</v>
      </c>
      <c r="E231" s="53" t="str">
        <f aca="false">INDEX(I_Items!$F$5:$F$133,MATCH($B231,I_Items!$A$5:$A$133,0))</f>
        <v>Frozen</v>
      </c>
      <c r="F231" s="53" t="str">
        <f aca="false">IF(INDEX(I_Items!$E$5:$E$133,MATCH($B231,I_Items!$A$5:$A$133,0))="","",INDEX(I_Items!$E$5:$E$133,MATCH($B231,I_Items!$A$5:$A$133,0)))</f>
        <v/>
      </c>
      <c r="G231" s="76" t="n">
        <v>46205</v>
      </c>
      <c r="H231" s="23" t="n">
        <f aca="false">MONTH(G231)</f>
        <v>7</v>
      </c>
      <c r="I231" s="74" t="s">
        <v>2074</v>
      </c>
      <c r="J231" s="74" t="s">
        <v>2111</v>
      </c>
      <c r="K231" s="10" t="n">
        <v>40</v>
      </c>
      <c r="L231" s="8" t="n">
        <v>576264.78</v>
      </c>
      <c r="M231" s="10" t="n">
        <v>0</v>
      </c>
      <c r="N231" s="8" t="n">
        <v>0</v>
      </c>
      <c r="O231" s="74"/>
      <c r="P231" s="74"/>
      <c r="Q231" s="74"/>
      <c r="R231" s="14" t="n">
        <f aca="false">IF(I231="Unbilled",0,M231)</f>
        <v>0</v>
      </c>
      <c r="S231" s="9" t="n">
        <f aca="false">IF(R231=0,0,IF(O231="Booked",N231,R231*V230))</f>
        <v>0</v>
      </c>
      <c r="T231" s="14" t="n">
        <f aca="false">IF(I231="Opening",K231,T230+K231-R231)</f>
        <v>311.15</v>
      </c>
      <c r="U231" s="9" t="n">
        <f aca="false">IF(I231="Opening",L231,U230+L231-S231)</f>
        <v>7464397.45</v>
      </c>
      <c r="V231" s="9" t="n">
        <f aca="false">IF(T231&gt;0,U231/T231,IF(I231="Opening",0,V230))</f>
        <v>23989.7073758637</v>
      </c>
      <c r="W231" s="14" t="n">
        <f aca="false">M231</f>
        <v>0</v>
      </c>
      <c r="X231" s="9" t="n">
        <f aca="false">IF(W231=0,0,IF(O231="Booked",N231,W231*AA230))</f>
        <v>0</v>
      </c>
      <c r="Y231" s="14" t="n">
        <f aca="false">IF(I231="Opening",K231,Y230+K231-W231)</f>
        <v>311.15</v>
      </c>
      <c r="Z231" s="9" t="n">
        <f aca="false">IF(I231="Opening",L231,Z230+L231-X231)</f>
        <v>7464397.45</v>
      </c>
      <c r="AA231" s="9" t="n">
        <f aca="false">IF(Y231&gt;0,Z231/Y231,IF(I231="Opening",0,AA230))</f>
        <v>23989.7073758637</v>
      </c>
      <c r="AB231" s="9" t="n">
        <f aca="false">IF(AND(I231="DO",O231="MA"),S231-N231,0)</f>
        <v>0</v>
      </c>
      <c r="AC231" s="9" t="n">
        <f aca="false">IF(I231="DO",X231-S231,0)</f>
        <v>0</v>
      </c>
      <c r="AD231" s="23" t="n">
        <f aca="false">IF(B232&lt;&gt;B231,1,0)</f>
        <v>1</v>
      </c>
      <c r="AE231" s="14" t="n">
        <f aca="false">IF(I231="Opening",0,AE230+W231)</f>
        <v>0</v>
      </c>
      <c r="AF231" s="14" t="n">
        <f aca="false">IF(I231="Opening",K231,AF230)</f>
        <v>271.15</v>
      </c>
      <c r="AG231" s="14" t="n">
        <f aca="false">AG230</f>
        <v>40</v>
      </c>
      <c r="AH231" s="14" t="n">
        <f aca="false">IF(W231=0,0,MAX(0,MIN(AE231,AF231)-MIN(AE231-W231,AF231)))</f>
        <v>0</v>
      </c>
      <c r="AI231" s="14" t="n">
        <f aca="false">IF(W231=0,0,MAX(0,MIN(AE231,AF231+AG231)-MAX(AE231-W231,AF231)))</f>
        <v>0</v>
      </c>
      <c r="AJ231" s="14" t="n">
        <f aca="false">W231-AH231-AI231</f>
        <v>0</v>
      </c>
      <c r="AK231" s="9" t="n">
        <f aca="false">IF(W231=0,0,X231*AH231/W231)</f>
        <v>0</v>
      </c>
      <c r="AL231" s="9" t="n">
        <f aca="false">IF(W231=0,0,X231*AI231/W231)</f>
        <v>0</v>
      </c>
      <c r="AM231" s="9" t="n">
        <f aca="false">X231-AK231-AL231</f>
        <v>0</v>
      </c>
    </row>
    <row r="232" customFormat="false" ht="15" hidden="false" customHeight="false" outlineLevel="0" collapsed="false">
      <c r="A232" s="6" t="n">
        <v>227</v>
      </c>
      <c r="B232" s="74" t="s">
        <v>963</v>
      </c>
      <c r="C232" s="53" t="str">
        <f aca="false">INDEX(I_Items!$C$5:$C$133,MATCH($B232,I_Items!$A$5:$A$133,0))</f>
        <v>RPA</v>
      </c>
      <c r="D232" s="53" t="str">
        <f aca="false">INDEX(I_Items!$D$5:$D$133,MATCH($B232,I_Items!$A$5:$A$133,0))</f>
        <v>Sayap</v>
      </c>
      <c r="E232" s="53" t="str">
        <f aca="false">INDEX(I_Items!$F$5:$F$133,MATCH($B232,I_Items!$A$5:$A$133,0))</f>
        <v>Frozen</v>
      </c>
      <c r="F232" s="53" t="str">
        <f aca="false">IF(INDEX(I_Items!$E$5:$E$133,MATCH($B232,I_Items!$A$5:$A$133,0))="","",INDEX(I_Items!$E$5:$E$133,MATCH($B232,I_Items!$A$5:$A$133,0)))</f>
        <v/>
      </c>
      <c r="G232" s="76" t="n">
        <v>46204</v>
      </c>
      <c r="H232" s="23" t="n">
        <f aca="false">MONTH(G232)</f>
        <v>7</v>
      </c>
      <c r="I232" s="74" t="s">
        <v>2072</v>
      </c>
      <c r="J232" s="74" t="s">
        <v>2073</v>
      </c>
      <c r="K232" s="10" t="n">
        <v>1236.19</v>
      </c>
      <c r="L232" s="8" t="n">
        <v>35796339.78</v>
      </c>
      <c r="M232" s="10" t="n">
        <v>0</v>
      </c>
      <c r="N232" s="8" t="n">
        <v>0</v>
      </c>
      <c r="O232" s="74"/>
      <c r="P232" s="74"/>
      <c r="Q232" s="74"/>
      <c r="R232" s="14" t="n">
        <f aca="false">IF(I232="Unbilled",0,M232)</f>
        <v>0</v>
      </c>
      <c r="S232" s="9" t="n">
        <f aca="false">IF(R232=0,0,IF(O232="Booked",N232,R232*V231))</f>
        <v>0</v>
      </c>
      <c r="T232" s="14" t="n">
        <f aca="false">IF(I232="Opening",K232,T231+K232-R232)</f>
        <v>1236.19</v>
      </c>
      <c r="U232" s="9" t="n">
        <f aca="false">IF(I232="Opening",L232,U231+L232-S232)</f>
        <v>35796339.78</v>
      </c>
      <c r="V232" s="9" t="n">
        <f aca="false">IF(T232&gt;0,U232/T232,IF(I232="Opening",0,V231))</f>
        <v>28956.9886344332</v>
      </c>
      <c r="W232" s="14" t="n">
        <f aca="false">M232</f>
        <v>0</v>
      </c>
      <c r="X232" s="9" t="n">
        <f aca="false">IF(W232=0,0,IF(O232="Booked",N232,W232*AA231))</f>
        <v>0</v>
      </c>
      <c r="Y232" s="14" t="n">
        <f aca="false">IF(I232="Opening",K232,Y231+K232-W232)</f>
        <v>1236.19</v>
      </c>
      <c r="Z232" s="9" t="n">
        <f aca="false">IF(I232="Opening",L232,Z231+L232-X232)</f>
        <v>35796339.78</v>
      </c>
      <c r="AA232" s="9" t="n">
        <f aca="false">IF(Y232&gt;0,Z232/Y232,IF(I232="Opening",0,AA231))</f>
        <v>28956.9886344332</v>
      </c>
      <c r="AB232" s="9" t="n">
        <f aca="false">IF(AND(I232="DO",O232="MA"),S232-N232,0)</f>
        <v>0</v>
      </c>
      <c r="AC232" s="9" t="n">
        <f aca="false">IF(I232="DO",X232-S232,0)</f>
        <v>0</v>
      </c>
      <c r="AD232" s="23" t="n">
        <f aca="false">IF(B233&lt;&gt;B232,1,0)</f>
        <v>0</v>
      </c>
      <c r="AE232" s="14" t="n">
        <f aca="false">IF(I232="Opening",0,AE231+W232)</f>
        <v>0</v>
      </c>
      <c r="AF232" s="14" t="n">
        <f aca="false">IF(I232="Opening",K232,AF231)</f>
        <v>1236.19</v>
      </c>
      <c r="AG232" s="14" t="n">
        <f aca="false">SUMIFS($K$6:$K$1110,$B$6:$B$1110,B232,$H$6:$H$1110,7,$I$6:$I$1110,"&lt;&gt;Opening")</f>
        <v>0</v>
      </c>
      <c r="AH232" s="14" t="n">
        <f aca="false">IF(W232=0,0,MAX(0,MIN(AE232,AF232)-MIN(AE232-W232,AF232)))</f>
        <v>0</v>
      </c>
      <c r="AI232" s="14" t="n">
        <f aca="false">IF(W232=0,0,MAX(0,MIN(AE232,AF232+AG232)-MAX(AE232-W232,AF232)))</f>
        <v>0</v>
      </c>
      <c r="AJ232" s="14" t="n">
        <f aca="false">W232-AH232-AI232</f>
        <v>0</v>
      </c>
      <c r="AK232" s="9" t="n">
        <f aca="false">IF(W232=0,0,X232*AH232/W232)</f>
        <v>0</v>
      </c>
      <c r="AL232" s="9" t="n">
        <f aca="false">IF(W232=0,0,X232*AI232/W232)</f>
        <v>0</v>
      </c>
      <c r="AM232" s="9" t="n">
        <f aca="false">X232-AK232-AL232</f>
        <v>0</v>
      </c>
    </row>
    <row r="233" customFormat="false" ht="15" hidden="false" customHeight="false" outlineLevel="0" collapsed="false">
      <c r="A233" s="6" t="n">
        <v>228</v>
      </c>
      <c r="B233" s="74" t="s">
        <v>963</v>
      </c>
      <c r="C233" s="53" t="str">
        <f aca="false">INDEX(I_Items!$C$5:$C$133,MATCH($B233,I_Items!$A$5:$A$133,0))</f>
        <v>RPA</v>
      </c>
      <c r="D233" s="53" t="str">
        <f aca="false">INDEX(I_Items!$D$5:$D$133,MATCH($B233,I_Items!$A$5:$A$133,0))</f>
        <v>Sayap</v>
      </c>
      <c r="E233" s="53" t="str">
        <f aca="false">INDEX(I_Items!$F$5:$F$133,MATCH($B233,I_Items!$A$5:$A$133,0))</f>
        <v>Frozen</v>
      </c>
      <c r="F233" s="53" t="str">
        <f aca="false">IF(INDEX(I_Items!$E$5:$E$133,MATCH($B233,I_Items!$A$5:$A$133,0))="","",INDEX(I_Items!$E$5:$E$133,MATCH($B233,I_Items!$A$5:$A$133,0)))</f>
        <v/>
      </c>
      <c r="G233" s="76" t="n">
        <v>46206</v>
      </c>
      <c r="H233" s="23" t="n">
        <f aca="false">MONTH(G233)</f>
        <v>7</v>
      </c>
      <c r="I233" s="74" t="s">
        <v>2075</v>
      </c>
      <c r="J233" s="74" t="s">
        <v>2115</v>
      </c>
      <c r="K233" s="10" t="n">
        <v>0</v>
      </c>
      <c r="L233" s="8" t="n">
        <v>0</v>
      </c>
      <c r="M233" s="10" t="n">
        <v>240</v>
      </c>
      <c r="N233" s="8" t="n">
        <v>6949677.26</v>
      </c>
      <c r="O233" s="74" t="s">
        <v>2077</v>
      </c>
      <c r="P233" s="74"/>
      <c r="Q233" s="74"/>
      <c r="R233" s="14" t="n">
        <f aca="false">IF(I233="Unbilled",0,M233)</f>
        <v>240</v>
      </c>
      <c r="S233" s="9" t="n">
        <f aca="false">IF(R233=0,0,IF(O233="Booked",N233,R233*V232))</f>
        <v>6949677.27226397</v>
      </c>
      <c r="T233" s="14" t="n">
        <f aca="false">IF(I233="Opening",K233,T232+K233-R233)</f>
        <v>996.19</v>
      </c>
      <c r="U233" s="9" t="n">
        <f aca="false">IF(I233="Opening",L233,U232+L233-S233)</f>
        <v>28846662.507736</v>
      </c>
      <c r="V233" s="9" t="n">
        <f aca="false">IF(T233&gt;0,U233/T233,IF(I233="Opening",0,V232))</f>
        <v>28956.9886344332</v>
      </c>
      <c r="W233" s="14" t="n">
        <f aca="false">M233</f>
        <v>240</v>
      </c>
      <c r="X233" s="9" t="n">
        <f aca="false">IF(W233=0,0,IF(O233="Booked",N233,W233*AA232))</f>
        <v>6949677.27226397</v>
      </c>
      <c r="Y233" s="14" t="n">
        <f aca="false">IF(I233="Opening",K233,Y232+K233-W233)</f>
        <v>996.19</v>
      </c>
      <c r="Z233" s="9" t="n">
        <f aca="false">IF(I233="Opening",L233,Z232+L233-X233)</f>
        <v>28846662.507736</v>
      </c>
      <c r="AA233" s="9" t="n">
        <f aca="false">IF(Y233&gt;0,Z233/Y233,IF(I233="Opening",0,AA232))</f>
        <v>28956.9886344332</v>
      </c>
      <c r="AB233" s="9" t="n">
        <f aca="false">IF(AND(I233="DO",O233="MA"),S233-N233,0)</f>
        <v>0.012263972312212</v>
      </c>
      <c r="AC233" s="9" t="n">
        <f aca="false">IF(I233="DO",X233-S233,0)</f>
        <v>0</v>
      </c>
      <c r="AD233" s="23" t="n">
        <f aca="false">IF(B234&lt;&gt;B233,1,0)</f>
        <v>0</v>
      </c>
      <c r="AE233" s="14" t="n">
        <f aca="false">IF(I233="Opening",0,AE232+W233)</f>
        <v>240</v>
      </c>
      <c r="AF233" s="14" t="n">
        <f aca="false">IF(I233="Opening",K233,AF232)</f>
        <v>1236.19</v>
      </c>
      <c r="AG233" s="14" t="n">
        <f aca="false">AG232</f>
        <v>0</v>
      </c>
      <c r="AH233" s="14" t="n">
        <f aca="false">IF(W233=0,0,MAX(0,MIN(AE233,AF233)-MIN(AE233-W233,AF233)))</f>
        <v>240</v>
      </c>
      <c r="AI233" s="14" t="n">
        <f aca="false">IF(W233=0,0,MAX(0,MIN(AE233,AF233+AG233)-MAX(AE233-W233,AF233)))</f>
        <v>0</v>
      </c>
      <c r="AJ233" s="14" t="n">
        <f aca="false">W233-AH233-AI233</f>
        <v>0</v>
      </c>
      <c r="AK233" s="9" t="n">
        <f aca="false">IF(W233=0,0,X233*AH233/W233)</f>
        <v>6949677.27226397</v>
      </c>
      <c r="AL233" s="9" t="n">
        <f aca="false">IF(W233=0,0,X233*AI233/W233)</f>
        <v>0</v>
      </c>
      <c r="AM233" s="9" t="n">
        <f aca="false">X233-AK233-AL233</f>
        <v>0</v>
      </c>
    </row>
    <row r="234" customFormat="false" ht="15" hidden="false" customHeight="false" outlineLevel="0" collapsed="false">
      <c r="A234" s="6" t="n">
        <v>229</v>
      </c>
      <c r="B234" s="74" t="s">
        <v>963</v>
      </c>
      <c r="C234" s="53" t="str">
        <f aca="false">INDEX(I_Items!$C$5:$C$133,MATCH($B234,I_Items!$A$5:$A$133,0))</f>
        <v>RPA</v>
      </c>
      <c r="D234" s="53" t="str">
        <f aca="false">INDEX(I_Items!$D$5:$D$133,MATCH($B234,I_Items!$A$5:$A$133,0))</f>
        <v>Sayap</v>
      </c>
      <c r="E234" s="53" t="str">
        <f aca="false">INDEX(I_Items!$F$5:$F$133,MATCH($B234,I_Items!$A$5:$A$133,0))</f>
        <v>Frozen</v>
      </c>
      <c r="F234" s="53" t="str">
        <f aca="false">IF(INDEX(I_Items!$E$5:$E$133,MATCH($B234,I_Items!$A$5:$A$133,0))="","",INDEX(I_Items!$E$5:$E$133,MATCH($B234,I_Items!$A$5:$A$133,0)))</f>
        <v/>
      </c>
      <c r="G234" s="76" t="n">
        <v>46231</v>
      </c>
      <c r="H234" s="23" t="n">
        <f aca="false">MONTH(G234)</f>
        <v>7</v>
      </c>
      <c r="I234" s="74" t="s">
        <v>2075</v>
      </c>
      <c r="J234" s="74" t="s">
        <v>2120</v>
      </c>
      <c r="K234" s="10" t="n">
        <v>0</v>
      </c>
      <c r="L234" s="8" t="n">
        <v>0</v>
      </c>
      <c r="M234" s="10" t="n">
        <v>709.11</v>
      </c>
      <c r="N234" s="8" t="n">
        <v>20533690.19</v>
      </c>
      <c r="O234" s="74" t="s">
        <v>2077</v>
      </c>
      <c r="P234" s="74"/>
      <c r="Q234" s="74"/>
      <c r="R234" s="14" t="n">
        <f aca="false">IF(I234="Unbilled",0,M234)</f>
        <v>709.11</v>
      </c>
      <c r="S234" s="9" t="n">
        <f aca="false">IF(R234=0,0,IF(O234="Booked",N234,R234*V233))</f>
        <v>20533690.2105629</v>
      </c>
      <c r="T234" s="14" t="n">
        <f aca="false">IF(I234="Opening",K234,T233+K234-R234)</f>
        <v>287.08</v>
      </c>
      <c r="U234" s="9" t="n">
        <f aca="false">IF(I234="Opening",L234,U233+L234-S234)</f>
        <v>8312972.29717309</v>
      </c>
      <c r="V234" s="9" t="n">
        <f aca="false">IF(T234&gt;0,U234/T234,IF(I234="Opening",0,V233))</f>
        <v>28956.9886344332</v>
      </c>
      <c r="W234" s="14" t="n">
        <f aca="false">M234</f>
        <v>709.11</v>
      </c>
      <c r="X234" s="9" t="n">
        <f aca="false">IF(W234=0,0,IF(O234="Booked",N234,W234*AA233))</f>
        <v>20533690.2105629</v>
      </c>
      <c r="Y234" s="14" t="n">
        <f aca="false">IF(I234="Opening",K234,Y233+K234-W234)</f>
        <v>287.08</v>
      </c>
      <c r="Z234" s="9" t="n">
        <f aca="false">IF(I234="Opening",L234,Z233+L234-X234)</f>
        <v>8312972.29717309</v>
      </c>
      <c r="AA234" s="9" t="n">
        <f aca="false">IF(Y234&gt;0,Z234/Y234,IF(I234="Opening",0,AA233))</f>
        <v>28956.9886344332</v>
      </c>
      <c r="AB234" s="9" t="n">
        <f aca="false">IF(AND(I234="DO",O234="MA"),S234-N234,0)</f>
        <v>0.0205629356205463</v>
      </c>
      <c r="AC234" s="9" t="n">
        <f aca="false">IF(I234="DO",X234-S234,0)</f>
        <v>0</v>
      </c>
      <c r="AD234" s="23" t="n">
        <f aca="false">IF(B235&lt;&gt;B234,1,0)</f>
        <v>1</v>
      </c>
      <c r="AE234" s="14" t="n">
        <f aca="false">IF(I234="Opening",0,AE233+W234)</f>
        <v>949.11</v>
      </c>
      <c r="AF234" s="14" t="n">
        <f aca="false">IF(I234="Opening",K234,AF233)</f>
        <v>1236.19</v>
      </c>
      <c r="AG234" s="14" t="n">
        <f aca="false">AG233</f>
        <v>0</v>
      </c>
      <c r="AH234" s="14" t="n">
        <f aca="false">IF(W234=0,0,MAX(0,MIN(AE234,AF234)-MIN(AE234-W234,AF234)))</f>
        <v>709.11</v>
      </c>
      <c r="AI234" s="14" t="n">
        <f aca="false">IF(W234=0,0,MAX(0,MIN(AE234,AF234+AG234)-MAX(AE234-W234,AF234)))</f>
        <v>0</v>
      </c>
      <c r="AJ234" s="14" t="n">
        <f aca="false">W234-AH234-AI234</f>
        <v>0</v>
      </c>
      <c r="AK234" s="9" t="n">
        <f aca="false">IF(W234=0,0,X234*AH234/W234)</f>
        <v>20533690.2105629</v>
      </c>
      <c r="AL234" s="9" t="n">
        <f aca="false">IF(W234=0,0,X234*AI234/W234)</f>
        <v>0</v>
      </c>
      <c r="AM234" s="9" t="n">
        <f aca="false">X234-AK234-AL234</f>
        <v>0</v>
      </c>
    </row>
    <row r="235" customFormat="false" ht="15" hidden="false" customHeight="false" outlineLevel="0" collapsed="false">
      <c r="A235" s="6" t="n">
        <v>230</v>
      </c>
      <c r="B235" s="74" t="s">
        <v>964</v>
      </c>
      <c r="C235" s="53" t="str">
        <f aca="false">INDEX(I_Items!$C$5:$C$133,MATCH($B235,I_Items!$A$5:$A$133,0))</f>
        <v>RPA</v>
      </c>
      <c r="D235" s="53" t="str">
        <f aca="false">INDEX(I_Items!$D$5:$D$133,MATCH($B235,I_Items!$A$5:$A$133,0))</f>
        <v>TLP</v>
      </c>
      <c r="E235" s="53" t="str">
        <f aca="false">INDEX(I_Items!$F$5:$F$133,MATCH($B235,I_Items!$A$5:$A$133,0))</f>
        <v>Frozen</v>
      </c>
      <c r="F235" s="53" t="str">
        <f aca="false">IF(INDEX(I_Items!$E$5:$E$133,MATCH($B235,I_Items!$A$5:$A$133,0))="","",INDEX(I_Items!$E$5:$E$133,MATCH($B235,I_Items!$A$5:$A$133,0)))</f>
        <v/>
      </c>
      <c r="G235" s="76" t="n">
        <v>46204</v>
      </c>
      <c r="H235" s="23" t="n">
        <f aca="false">MONTH(G235)</f>
        <v>7</v>
      </c>
      <c r="I235" s="74" t="s">
        <v>2072</v>
      </c>
      <c r="J235" s="74" t="s">
        <v>2073</v>
      </c>
      <c r="K235" s="10" t="n">
        <v>256.9</v>
      </c>
      <c r="L235" s="8" t="n">
        <v>840656.44</v>
      </c>
      <c r="M235" s="10" t="n">
        <v>0</v>
      </c>
      <c r="N235" s="8" t="n">
        <v>0</v>
      </c>
      <c r="O235" s="74"/>
      <c r="P235" s="74"/>
      <c r="Q235" s="74"/>
      <c r="R235" s="14" t="n">
        <f aca="false">IF(I235="Unbilled",0,M235)</f>
        <v>0</v>
      </c>
      <c r="S235" s="9" t="n">
        <f aca="false">IF(R235=0,0,IF(O235="Booked",N235,R235*V234))</f>
        <v>0</v>
      </c>
      <c r="T235" s="14" t="n">
        <f aca="false">IF(I235="Opening",K235,T234+K235-R235)</f>
        <v>256.9</v>
      </c>
      <c r="U235" s="9" t="n">
        <f aca="false">IF(I235="Opening",L235,U234+L235-S235)</f>
        <v>840656.44</v>
      </c>
      <c r="V235" s="9" t="n">
        <f aca="false">IF(T235&gt;0,U235/T235,IF(I235="Opening",0,V234))</f>
        <v>3272.31000389257</v>
      </c>
      <c r="W235" s="14" t="n">
        <f aca="false">M235</f>
        <v>0</v>
      </c>
      <c r="X235" s="9" t="n">
        <f aca="false">IF(W235=0,0,IF(O235="Booked",N235,W235*AA234))</f>
        <v>0</v>
      </c>
      <c r="Y235" s="14" t="n">
        <f aca="false">IF(I235="Opening",K235,Y234+K235-W235)</f>
        <v>256.9</v>
      </c>
      <c r="Z235" s="9" t="n">
        <f aca="false">IF(I235="Opening",L235,Z234+L235-X235)</f>
        <v>840656.44</v>
      </c>
      <c r="AA235" s="9" t="n">
        <f aca="false">IF(Y235&gt;0,Z235/Y235,IF(I235="Opening",0,AA234))</f>
        <v>3272.31000389257</v>
      </c>
      <c r="AB235" s="9" t="n">
        <f aca="false">IF(AND(I235="DO",O235="MA"),S235-N235,0)</f>
        <v>0</v>
      </c>
      <c r="AC235" s="9" t="n">
        <f aca="false">IF(I235="DO",X235-S235,0)</f>
        <v>0</v>
      </c>
      <c r="AD235" s="23" t="n">
        <f aca="false">IF(B236&lt;&gt;B235,1,0)</f>
        <v>0</v>
      </c>
      <c r="AE235" s="14" t="n">
        <f aca="false">IF(I235="Opening",0,AE234+W235)</f>
        <v>0</v>
      </c>
      <c r="AF235" s="14" t="n">
        <f aca="false">IF(I235="Opening",K235,AF234)</f>
        <v>256.9</v>
      </c>
      <c r="AG235" s="14" t="n">
        <f aca="false">SUMIFS($K$6:$K$1110,$B$6:$B$1110,B235,$H$6:$H$1110,7,$I$6:$I$1110,"&lt;&gt;Opening")</f>
        <v>179.19</v>
      </c>
      <c r="AH235" s="14" t="n">
        <f aca="false">IF(W235=0,0,MAX(0,MIN(AE235,AF235)-MIN(AE235-W235,AF235)))</f>
        <v>0</v>
      </c>
      <c r="AI235" s="14" t="n">
        <f aca="false">IF(W235=0,0,MAX(0,MIN(AE235,AF235+AG235)-MAX(AE235-W235,AF235)))</f>
        <v>0</v>
      </c>
      <c r="AJ235" s="14" t="n">
        <f aca="false">W235-AH235-AI235</f>
        <v>0</v>
      </c>
      <c r="AK235" s="9" t="n">
        <f aca="false">IF(W235=0,0,X235*AH235/W235)</f>
        <v>0</v>
      </c>
      <c r="AL235" s="9" t="n">
        <f aca="false">IF(W235=0,0,X235*AI235/W235)</f>
        <v>0</v>
      </c>
      <c r="AM235" s="9" t="n">
        <f aca="false">X235-AK235-AL235</f>
        <v>0</v>
      </c>
    </row>
    <row r="236" customFormat="false" ht="15" hidden="false" customHeight="false" outlineLevel="0" collapsed="false">
      <c r="A236" s="6" t="n">
        <v>231</v>
      </c>
      <c r="B236" s="74" t="s">
        <v>964</v>
      </c>
      <c r="C236" s="53" t="str">
        <f aca="false">INDEX(I_Items!$C$5:$C$133,MATCH($B236,I_Items!$A$5:$A$133,0))</f>
        <v>RPA</v>
      </c>
      <c r="D236" s="53" t="str">
        <f aca="false">INDEX(I_Items!$D$5:$D$133,MATCH($B236,I_Items!$A$5:$A$133,0))</f>
        <v>TLP</v>
      </c>
      <c r="E236" s="53" t="str">
        <f aca="false">INDEX(I_Items!$F$5:$F$133,MATCH($B236,I_Items!$A$5:$A$133,0))</f>
        <v>Frozen</v>
      </c>
      <c r="F236" s="53" t="str">
        <f aca="false">IF(INDEX(I_Items!$E$5:$E$133,MATCH($B236,I_Items!$A$5:$A$133,0))="","",INDEX(I_Items!$E$5:$E$133,MATCH($B236,I_Items!$A$5:$A$133,0)))</f>
        <v/>
      </c>
      <c r="G236" s="76" t="n">
        <v>46234</v>
      </c>
      <c r="H236" s="23" t="n">
        <f aca="false">MONTH(G236)</f>
        <v>7</v>
      </c>
      <c r="I236" s="74" t="s">
        <v>2117</v>
      </c>
      <c r="J236" s="74" t="s">
        <v>2118</v>
      </c>
      <c r="K236" s="10" t="n">
        <v>179.19</v>
      </c>
      <c r="L236" s="8" t="n">
        <v>0</v>
      </c>
      <c r="M236" s="10" t="n">
        <v>0</v>
      </c>
      <c r="N236" s="8" t="n">
        <v>0</v>
      </c>
      <c r="O236" s="74" t="s">
        <v>2119</v>
      </c>
      <c r="P236" s="74"/>
      <c r="Q236" s="74"/>
      <c r="R236" s="14" t="n">
        <f aca="false">IF(I236="Unbilled",0,M236)</f>
        <v>0</v>
      </c>
      <c r="S236" s="9" t="n">
        <f aca="false">IF(R236=0,0,IF(O236="Booked",N236,R236*V235))</f>
        <v>0</v>
      </c>
      <c r="T236" s="14" t="n">
        <f aca="false">IF(I236="Opening",K236,T235+K236-R236)</f>
        <v>436.09</v>
      </c>
      <c r="U236" s="9" t="n">
        <f aca="false">IF(I236="Opening",L236,U235+L236-S236)</f>
        <v>840656.44</v>
      </c>
      <c r="V236" s="9" t="n">
        <f aca="false">IF(T236&gt;0,U236/T236,IF(I236="Opening",0,V235))</f>
        <v>1927.71317847233</v>
      </c>
      <c r="W236" s="14" t="n">
        <f aca="false">M236</f>
        <v>0</v>
      </c>
      <c r="X236" s="9" t="n">
        <f aca="false">IF(W236=0,0,IF(O236="Booked",N236,W236*AA235))</f>
        <v>0</v>
      </c>
      <c r="Y236" s="14" t="n">
        <f aca="false">IF(I236="Opening",K236,Y235+K236-W236)</f>
        <v>436.09</v>
      </c>
      <c r="Z236" s="9" t="n">
        <f aca="false">IF(I236="Opening",L236,Z235+L236-X236)</f>
        <v>840656.44</v>
      </c>
      <c r="AA236" s="9" t="n">
        <f aca="false">IF(Y236&gt;0,Z236/Y236,IF(I236="Opening",0,AA235))</f>
        <v>1927.71317847233</v>
      </c>
      <c r="AB236" s="9" t="n">
        <f aca="false">IF(AND(I236="DO",O236="MA"),S236-N236,0)</f>
        <v>0</v>
      </c>
      <c r="AC236" s="9" t="n">
        <f aca="false">IF(I236="DO",X236-S236,0)</f>
        <v>0</v>
      </c>
      <c r="AD236" s="23" t="n">
        <f aca="false">IF(B237&lt;&gt;B236,1,0)</f>
        <v>1</v>
      </c>
      <c r="AE236" s="14" t="n">
        <f aca="false">IF(I236="Opening",0,AE235+W236)</f>
        <v>0</v>
      </c>
      <c r="AF236" s="14" t="n">
        <f aca="false">IF(I236="Opening",K236,AF235)</f>
        <v>256.9</v>
      </c>
      <c r="AG236" s="14" t="n">
        <f aca="false">AG235</f>
        <v>179.19</v>
      </c>
      <c r="AH236" s="14" t="n">
        <f aca="false">IF(W236=0,0,MAX(0,MIN(AE236,AF236)-MIN(AE236-W236,AF236)))</f>
        <v>0</v>
      </c>
      <c r="AI236" s="14" t="n">
        <f aca="false">IF(W236=0,0,MAX(0,MIN(AE236,AF236+AG236)-MAX(AE236-W236,AF236)))</f>
        <v>0</v>
      </c>
      <c r="AJ236" s="14" t="n">
        <f aca="false">W236-AH236-AI236</f>
        <v>0</v>
      </c>
      <c r="AK236" s="9" t="n">
        <f aca="false">IF(W236=0,0,X236*AH236/W236)</f>
        <v>0</v>
      </c>
      <c r="AL236" s="9" t="n">
        <f aca="false">IF(W236=0,0,X236*AI236/W236)</f>
        <v>0</v>
      </c>
      <c r="AM236" s="9" t="n">
        <f aca="false">X236-AK236-AL236</f>
        <v>0</v>
      </c>
    </row>
    <row r="237" customFormat="false" ht="15" hidden="false" customHeight="false" outlineLevel="0" collapsed="false">
      <c r="A237" s="6" t="n">
        <v>232</v>
      </c>
      <c r="B237" s="74" t="s">
        <v>965</v>
      </c>
      <c r="C237" s="53" t="str">
        <f aca="false">INDEX(I_Items!$C$5:$C$133,MATCH($B237,I_Items!$A$5:$A$133,0))</f>
        <v>RPA</v>
      </c>
      <c r="D237" s="53" t="str">
        <f aca="false">INDEX(I_Items!$D$5:$D$133,MATCH($B237,I_Items!$A$5:$A$133,0))</f>
        <v>Usus</v>
      </c>
      <c r="E237" s="53" t="str">
        <f aca="false">INDEX(I_Items!$F$5:$F$133,MATCH($B237,I_Items!$A$5:$A$133,0))</f>
        <v>Frozen</v>
      </c>
      <c r="F237" s="53" t="str">
        <f aca="false">IF(INDEX(I_Items!$E$5:$E$133,MATCH($B237,I_Items!$A$5:$A$133,0))="","",INDEX(I_Items!$E$5:$E$133,MATCH($B237,I_Items!$A$5:$A$133,0)))</f>
        <v/>
      </c>
      <c r="G237" s="76" t="n">
        <v>46204</v>
      </c>
      <c r="H237" s="23" t="n">
        <f aca="false">MONTH(G237)</f>
        <v>7</v>
      </c>
      <c r="I237" s="74" t="s">
        <v>2072</v>
      </c>
      <c r="J237" s="74" t="s">
        <v>2073</v>
      </c>
      <c r="K237" s="10" t="n">
        <v>0</v>
      </c>
      <c r="L237" s="8" t="n">
        <v>0</v>
      </c>
      <c r="M237" s="10" t="n">
        <v>0</v>
      </c>
      <c r="N237" s="8" t="n">
        <v>0</v>
      </c>
      <c r="O237" s="74"/>
      <c r="P237" s="74"/>
      <c r="Q237" s="74"/>
      <c r="R237" s="14" t="n">
        <f aca="false">IF(I237="Unbilled",0,M237)</f>
        <v>0</v>
      </c>
      <c r="S237" s="9" t="n">
        <f aca="false">IF(R237=0,0,IF(O237="Booked",N237,R237*V236))</f>
        <v>0</v>
      </c>
      <c r="T237" s="14" t="n">
        <f aca="false">IF(I237="Opening",K237,T236+K237-R237)</f>
        <v>0</v>
      </c>
      <c r="U237" s="9" t="n">
        <f aca="false">IF(I237="Opening",L237,U236+L237-S237)</f>
        <v>0</v>
      </c>
      <c r="V237" s="9" t="n">
        <f aca="false">IF(T237&gt;0,U237/T237,IF(I237="Opening",0,V236))</f>
        <v>0</v>
      </c>
      <c r="W237" s="14" t="n">
        <f aca="false">M237</f>
        <v>0</v>
      </c>
      <c r="X237" s="9" t="n">
        <f aca="false">IF(W237=0,0,IF(O237="Booked",N237,W237*AA236))</f>
        <v>0</v>
      </c>
      <c r="Y237" s="14" t="n">
        <f aca="false">IF(I237="Opening",K237,Y236+K237-W237)</f>
        <v>0</v>
      </c>
      <c r="Z237" s="9" t="n">
        <f aca="false">IF(I237="Opening",L237,Z236+L237-X237)</f>
        <v>0</v>
      </c>
      <c r="AA237" s="9" t="n">
        <f aca="false">IF(Y237&gt;0,Z237/Y237,IF(I237="Opening",0,AA236))</f>
        <v>0</v>
      </c>
      <c r="AB237" s="9" t="n">
        <f aca="false">IF(AND(I237="DO",O237="MA"),S237-N237,0)</f>
        <v>0</v>
      </c>
      <c r="AC237" s="9" t="n">
        <f aca="false">IF(I237="DO",X237-S237,0)</f>
        <v>0</v>
      </c>
      <c r="AD237" s="23" t="n">
        <f aca="false">IF(B238&lt;&gt;B237,1,0)</f>
        <v>0</v>
      </c>
      <c r="AE237" s="14" t="n">
        <f aca="false">IF(I237="Opening",0,AE236+W237)</f>
        <v>0</v>
      </c>
      <c r="AF237" s="14" t="n">
        <f aca="false">IF(I237="Opening",K237,AF236)</f>
        <v>0</v>
      </c>
      <c r="AG237" s="14" t="n">
        <f aca="false">SUMIFS($K$6:$K$1110,$B$6:$B$1110,B237,$H$6:$H$1110,7,$I$6:$I$1110,"&lt;&gt;Opening")</f>
        <v>63</v>
      </c>
      <c r="AH237" s="14" t="n">
        <f aca="false">IF(W237=0,0,MAX(0,MIN(AE237,AF237)-MIN(AE237-W237,AF237)))</f>
        <v>0</v>
      </c>
      <c r="AI237" s="14" t="n">
        <f aca="false">IF(W237=0,0,MAX(0,MIN(AE237,AF237+AG237)-MAX(AE237-W237,AF237)))</f>
        <v>0</v>
      </c>
      <c r="AJ237" s="14" t="n">
        <f aca="false">W237-AH237-AI237</f>
        <v>0</v>
      </c>
      <c r="AK237" s="9" t="n">
        <f aca="false">IF(W237=0,0,X237*AH237/W237)</f>
        <v>0</v>
      </c>
      <c r="AL237" s="9" t="n">
        <f aca="false">IF(W237=0,0,X237*AI237/W237)</f>
        <v>0</v>
      </c>
      <c r="AM237" s="9" t="n">
        <f aca="false">X237-AK237-AL237</f>
        <v>0</v>
      </c>
    </row>
    <row r="238" customFormat="false" ht="15" hidden="false" customHeight="false" outlineLevel="0" collapsed="false">
      <c r="A238" s="6" t="n">
        <v>233</v>
      </c>
      <c r="B238" s="74" t="s">
        <v>965</v>
      </c>
      <c r="C238" s="53" t="str">
        <f aca="false">INDEX(I_Items!$C$5:$C$133,MATCH($B238,I_Items!$A$5:$A$133,0))</f>
        <v>RPA</v>
      </c>
      <c r="D238" s="53" t="str">
        <f aca="false">INDEX(I_Items!$D$5:$D$133,MATCH($B238,I_Items!$A$5:$A$133,0))</f>
        <v>Usus</v>
      </c>
      <c r="E238" s="53" t="str">
        <f aca="false">INDEX(I_Items!$F$5:$F$133,MATCH($B238,I_Items!$A$5:$A$133,0))</f>
        <v>Frozen</v>
      </c>
      <c r="F238" s="53" t="str">
        <f aca="false">IF(INDEX(I_Items!$E$5:$E$133,MATCH($B238,I_Items!$A$5:$A$133,0))="","",INDEX(I_Items!$E$5:$E$133,MATCH($B238,I_Items!$A$5:$A$133,0)))</f>
        <v/>
      </c>
      <c r="G238" s="76" t="n">
        <v>46205</v>
      </c>
      <c r="H238" s="23" t="n">
        <f aca="false">MONTH(G238)</f>
        <v>7</v>
      </c>
      <c r="I238" s="74" t="s">
        <v>2074</v>
      </c>
      <c r="J238" s="74" t="s">
        <v>2111</v>
      </c>
      <c r="K238" s="10" t="n">
        <v>63</v>
      </c>
      <c r="L238" s="8" t="n">
        <v>0</v>
      </c>
      <c r="M238" s="10" t="n">
        <v>0</v>
      </c>
      <c r="N238" s="8" t="n">
        <v>0</v>
      </c>
      <c r="O238" s="74"/>
      <c r="P238" s="74"/>
      <c r="Q238" s="74"/>
      <c r="R238" s="14" t="n">
        <f aca="false">IF(I238="Unbilled",0,M238)</f>
        <v>0</v>
      </c>
      <c r="S238" s="9" t="n">
        <f aca="false">IF(R238=0,0,IF(O238="Booked",N238,R238*V237))</f>
        <v>0</v>
      </c>
      <c r="T238" s="14" t="n">
        <f aca="false">IF(I238="Opening",K238,T237+K238-R238)</f>
        <v>63</v>
      </c>
      <c r="U238" s="9" t="n">
        <f aca="false">IF(I238="Opening",L238,U237+L238-S238)</f>
        <v>0</v>
      </c>
      <c r="V238" s="9" t="n">
        <f aca="false">IF(T238&gt;0,U238/T238,IF(I238="Opening",0,V237))</f>
        <v>0</v>
      </c>
      <c r="W238" s="14" t="n">
        <f aca="false">M238</f>
        <v>0</v>
      </c>
      <c r="X238" s="9" t="n">
        <f aca="false">IF(W238=0,0,IF(O238="Booked",N238,W238*AA237))</f>
        <v>0</v>
      </c>
      <c r="Y238" s="14" t="n">
        <f aca="false">IF(I238="Opening",K238,Y237+K238-W238)</f>
        <v>63</v>
      </c>
      <c r="Z238" s="9" t="n">
        <f aca="false">IF(I238="Opening",L238,Z237+L238-X238)</f>
        <v>0</v>
      </c>
      <c r="AA238" s="9" t="n">
        <f aca="false">IF(Y238&gt;0,Z238/Y238,IF(I238="Opening",0,AA237))</f>
        <v>0</v>
      </c>
      <c r="AB238" s="9" t="n">
        <f aca="false">IF(AND(I238="DO",O238="MA"),S238-N238,0)</f>
        <v>0</v>
      </c>
      <c r="AC238" s="9" t="n">
        <f aca="false">IF(I238="DO",X238-S238,0)</f>
        <v>0</v>
      </c>
      <c r="AD238" s="23" t="n">
        <f aca="false">IF(B239&lt;&gt;B238,1,0)</f>
        <v>1</v>
      </c>
      <c r="AE238" s="14" t="n">
        <f aca="false">IF(I238="Opening",0,AE237+W238)</f>
        <v>0</v>
      </c>
      <c r="AF238" s="14" t="n">
        <f aca="false">IF(I238="Opening",K238,AF237)</f>
        <v>0</v>
      </c>
      <c r="AG238" s="14" t="n">
        <f aca="false">AG237</f>
        <v>63</v>
      </c>
      <c r="AH238" s="14" t="n">
        <f aca="false">IF(W238=0,0,MAX(0,MIN(AE238,AF238)-MIN(AE238-W238,AF238)))</f>
        <v>0</v>
      </c>
      <c r="AI238" s="14" t="n">
        <f aca="false">IF(W238=0,0,MAX(0,MIN(AE238,AF238+AG238)-MAX(AE238-W238,AF238)))</f>
        <v>0</v>
      </c>
      <c r="AJ238" s="14" t="n">
        <f aca="false">W238-AH238-AI238</f>
        <v>0</v>
      </c>
      <c r="AK238" s="9" t="n">
        <f aca="false">IF(W238=0,0,X238*AH238/W238)</f>
        <v>0</v>
      </c>
      <c r="AL238" s="9" t="n">
        <f aca="false">IF(W238=0,0,X238*AI238/W238)</f>
        <v>0</v>
      </c>
      <c r="AM238" s="9" t="n">
        <f aca="false">X238-AK238-AL238</f>
        <v>0</v>
      </c>
    </row>
    <row r="239" customFormat="false" ht="15" hidden="false" customHeight="false" outlineLevel="0" collapsed="false">
      <c r="A239" s="6" t="n">
        <v>234</v>
      </c>
      <c r="B239" s="74" t="s">
        <v>966</v>
      </c>
      <c r="C239" s="53" t="str">
        <f aca="false">INDEX(I_Items!$C$5:$C$133,MATCH($B239,I_Items!$A$5:$A$133,0))</f>
        <v>RPA</v>
      </c>
      <c r="D239" s="53" t="str">
        <f aca="false">INDEX(I_Items!$D$5:$D$133,MATCH($B239,I_Items!$A$5:$A$133,0))</f>
        <v>BLD</v>
      </c>
      <c r="E239" s="53" t="str">
        <f aca="false">INDEX(I_Items!$F$5:$F$133,MATCH($B239,I_Items!$A$5:$A$133,0))</f>
        <v>Fresh</v>
      </c>
      <c r="F239" s="53" t="str">
        <f aca="false">IF(INDEX(I_Items!$E$5:$E$133,MATCH($B239,I_Items!$A$5:$A$133,0))="","",INDEX(I_Items!$E$5:$E$133,MATCH($B239,I_Items!$A$5:$A$133,0)))</f>
        <v/>
      </c>
      <c r="G239" s="76" t="n">
        <v>46204</v>
      </c>
      <c r="H239" s="23" t="n">
        <f aca="false">MONTH(G239)</f>
        <v>7</v>
      </c>
      <c r="I239" s="74" t="s">
        <v>2072</v>
      </c>
      <c r="J239" s="74" t="s">
        <v>2073</v>
      </c>
      <c r="K239" s="10" t="n">
        <v>226.37</v>
      </c>
      <c r="L239" s="8" t="n">
        <v>8467200.41</v>
      </c>
      <c r="M239" s="10" t="n">
        <v>0</v>
      </c>
      <c r="N239" s="8" t="n">
        <v>0</v>
      </c>
      <c r="O239" s="74"/>
      <c r="P239" s="74"/>
      <c r="Q239" s="74"/>
      <c r="R239" s="14" t="n">
        <f aca="false">IF(I239="Unbilled",0,M239)</f>
        <v>0</v>
      </c>
      <c r="S239" s="9" t="n">
        <f aca="false">IF(R239=0,0,IF(O239="Booked",N239,R239*V238))</f>
        <v>0</v>
      </c>
      <c r="T239" s="14" t="n">
        <f aca="false">IF(I239="Opening",K239,T238+K239-R239)</f>
        <v>226.37</v>
      </c>
      <c r="U239" s="9" t="n">
        <f aca="false">IF(I239="Opening",L239,U238+L239-S239)</f>
        <v>8467200.41</v>
      </c>
      <c r="V239" s="9" t="n">
        <f aca="false">IF(T239&gt;0,U239/T239,IF(I239="Opening",0,V238))</f>
        <v>37404.2514909219</v>
      </c>
      <c r="W239" s="14" t="n">
        <f aca="false">M239</f>
        <v>0</v>
      </c>
      <c r="X239" s="9" t="n">
        <f aca="false">IF(W239=0,0,IF(O239="Booked",N239,W239*AA238))</f>
        <v>0</v>
      </c>
      <c r="Y239" s="14" t="n">
        <f aca="false">IF(I239="Opening",K239,Y238+K239-W239)</f>
        <v>226.37</v>
      </c>
      <c r="Z239" s="9" t="n">
        <f aca="false">IF(I239="Opening",L239,Z238+L239-X239)</f>
        <v>8467200.41</v>
      </c>
      <c r="AA239" s="9" t="n">
        <f aca="false">IF(Y239&gt;0,Z239/Y239,IF(I239="Opening",0,AA238))</f>
        <v>37404.2514909219</v>
      </c>
      <c r="AB239" s="9" t="n">
        <f aca="false">IF(AND(I239="DO",O239="MA"),S239-N239,0)</f>
        <v>0</v>
      </c>
      <c r="AC239" s="9" t="n">
        <f aca="false">IF(I239="DO",X239-S239,0)</f>
        <v>0</v>
      </c>
      <c r="AD239" s="23" t="n">
        <f aca="false">IF(B240&lt;&gt;B239,1,0)</f>
        <v>0</v>
      </c>
      <c r="AE239" s="14" t="n">
        <f aca="false">IF(I239="Opening",0,AE238+W239)</f>
        <v>0</v>
      </c>
      <c r="AF239" s="14" t="n">
        <f aca="false">IF(I239="Opening",K239,AF238)</f>
        <v>226.37</v>
      </c>
      <c r="AG239" s="14" t="n">
        <f aca="false">SUMIFS($K$6:$K$1110,$B$6:$B$1110,B239,$H$6:$H$1110,7,$I$6:$I$1110,"&lt;&gt;Opening")</f>
        <v>0</v>
      </c>
      <c r="AH239" s="14" t="n">
        <f aca="false">IF(W239=0,0,MAX(0,MIN(AE239,AF239)-MIN(AE239-W239,AF239)))</f>
        <v>0</v>
      </c>
      <c r="AI239" s="14" t="n">
        <f aca="false">IF(W239=0,0,MAX(0,MIN(AE239,AF239+AG239)-MAX(AE239-W239,AF239)))</f>
        <v>0</v>
      </c>
      <c r="AJ239" s="14" t="n">
        <f aca="false">W239-AH239-AI239</f>
        <v>0</v>
      </c>
      <c r="AK239" s="9" t="n">
        <f aca="false">IF(W239=0,0,X239*AH239/W239)</f>
        <v>0</v>
      </c>
      <c r="AL239" s="9" t="n">
        <f aca="false">IF(W239=0,0,X239*AI239/W239)</f>
        <v>0</v>
      </c>
      <c r="AM239" s="9" t="n">
        <f aca="false">X239-AK239-AL239</f>
        <v>0</v>
      </c>
    </row>
    <row r="240" customFormat="false" ht="15" hidden="false" customHeight="false" outlineLevel="0" collapsed="false">
      <c r="A240" s="6" t="n">
        <v>235</v>
      </c>
      <c r="B240" s="74" t="s">
        <v>966</v>
      </c>
      <c r="C240" s="53" t="str">
        <f aca="false">INDEX(I_Items!$C$5:$C$133,MATCH($B240,I_Items!$A$5:$A$133,0))</f>
        <v>RPA</v>
      </c>
      <c r="D240" s="53" t="str">
        <f aca="false">INDEX(I_Items!$D$5:$D$133,MATCH($B240,I_Items!$A$5:$A$133,0))</f>
        <v>BLD</v>
      </c>
      <c r="E240" s="53" t="str">
        <f aca="false">INDEX(I_Items!$F$5:$F$133,MATCH($B240,I_Items!$A$5:$A$133,0))</f>
        <v>Fresh</v>
      </c>
      <c r="F240" s="53" t="str">
        <f aca="false">IF(INDEX(I_Items!$E$5:$E$133,MATCH($B240,I_Items!$A$5:$A$133,0))="","",INDEX(I_Items!$E$5:$E$133,MATCH($B240,I_Items!$A$5:$A$133,0)))</f>
        <v/>
      </c>
      <c r="G240" s="76" t="n">
        <v>46235</v>
      </c>
      <c r="H240" s="23" t="n">
        <f aca="false">MONTH(G240)</f>
        <v>8</v>
      </c>
      <c r="I240" s="74" t="s">
        <v>2075</v>
      </c>
      <c r="J240" s="74" t="s">
        <v>2121</v>
      </c>
      <c r="K240" s="10" t="n">
        <v>0</v>
      </c>
      <c r="L240" s="8" t="n">
        <v>0</v>
      </c>
      <c r="M240" s="10" t="n">
        <v>226.37</v>
      </c>
      <c r="N240" s="8" t="n">
        <v>8467200.43</v>
      </c>
      <c r="O240" s="74" t="s">
        <v>2077</v>
      </c>
      <c r="P240" s="74"/>
      <c r="Q240" s="74"/>
      <c r="R240" s="14" t="n">
        <f aca="false">IF(I240="Unbilled",0,M240)</f>
        <v>226.37</v>
      </c>
      <c r="S240" s="9" t="n">
        <f aca="false">IF(R240=0,0,IF(O240="Booked",N240,R240*V239))</f>
        <v>8467200.41</v>
      </c>
      <c r="T240" s="14" t="n">
        <f aca="false">IF(I240="Opening",K240,T239+K240-R240)</f>
        <v>0</v>
      </c>
      <c r="U240" s="9" t="n">
        <f aca="false">IF(I240="Opening",L240,U239+L240-S240)</f>
        <v>0</v>
      </c>
      <c r="V240" s="9" t="n">
        <f aca="false">IF(T240&gt;0,U240/T240,IF(I240="Opening",0,V239))</f>
        <v>37404.2514909219</v>
      </c>
      <c r="W240" s="14" t="n">
        <f aca="false">M240</f>
        <v>226.37</v>
      </c>
      <c r="X240" s="9" t="n">
        <f aca="false">IF(W240=0,0,IF(O240="Booked",N240,W240*AA239))</f>
        <v>8467200.41</v>
      </c>
      <c r="Y240" s="14" t="n">
        <f aca="false">IF(I240="Opening",K240,Y239+K240-W240)</f>
        <v>0</v>
      </c>
      <c r="Z240" s="9" t="n">
        <f aca="false">IF(I240="Opening",L240,Z239+L240-X240)</f>
        <v>0</v>
      </c>
      <c r="AA240" s="9" t="n">
        <f aca="false">IF(Y240&gt;0,Z240/Y240,IF(I240="Opening",0,AA239))</f>
        <v>37404.2514909219</v>
      </c>
      <c r="AB240" s="9" t="n">
        <f aca="false">IF(AND(I240="DO",O240="MA"),S240-N240,0)</f>
        <v>-0.0199999995529652</v>
      </c>
      <c r="AC240" s="9" t="n">
        <f aca="false">IF(I240="DO",X240-S240,0)</f>
        <v>0</v>
      </c>
      <c r="AD240" s="23" t="n">
        <f aca="false">IF(B241&lt;&gt;B240,1,0)</f>
        <v>1</v>
      </c>
      <c r="AE240" s="14" t="n">
        <f aca="false">IF(I240="Opening",0,AE239+W240)</f>
        <v>226.37</v>
      </c>
      <c r="AF240" s="14" t="n">
        <f aca="false">IF(I240="Opening",K240,AF239)</f>
        <v>226.37</v>
      </c>
      <c r="AG240" s="14" t="n">
        <f aca="false">AG239</f>
        <v>0</v>
      </c>
      <c r="AH240" s="14" t="n">
        <f aca="false">IF(W240=0,0,MAX(0,MIN(AE240,AF240)-MIN(AE240-W240,AF240)))</f>
        <v>226.37</v>
      </c>
      <c r="AI240" s="14" t="n">
        <f aca="false">IF(W240=0,0,MAX(0,MIN(AE240,AF240+AG240)-MAX(AE240-W240,AF240)))</f>
        <v>0</v>
      </c>
      <c r="AJ240" s="14" t="n">
        <f aca="false">W240-AH240-AI240</f>
        <v>0</v>
      </c>
      <c r="AK240" s="9" t="n">
        <f aca="false">IF(W240=0,0,X240*AH240/W240)</f>
        <v>8467200.41</v>
      </c>
      <c r="AL240" s="9" t="n">
        <f aca="false">IF(W240=0,0,X240*AI240/W240)</f>
        <v>0</v>
      </c>
      <c r="AM240" s="9" t="n">
        <f aca="false">X240-AK240-AL240</f>
        <v>0</v>
      </c>
    </row>
    <row r="241" customFormat="false" ht="15" hidden="false" customHeight="false" outlineLevel="0" collapsed="false">
      <c r="A241" s="6" t="n">
        <v>236</v>
      </c>
      <c r="B241" s="74" t="s">
        <v>967</v>
      </c>
      <c r="C241" s="53" t="str">
        <f aca="false">INDEX(I_Items!$C$5:$C$133,MATCH($B241,I_Items!$A$5:$A$133,0))</f>
        <v>RPA</v>
      </c>
      <c r="D241" s="53" t="str">
        <f aca="false">INDEX(I_Items!$D$5:$D$133,MATCH($B241,I_Items!$A$5:$A$133,0))</f>
        <v>BLD</v>
      </c>
      <c r="E241" s="53" t="str">
        <f aca="false">INDEX(I_Items!$F$5:$F$133,MATCH($B241,I_Items!$A$5:$A$133,0))</f>
        <v>Frozen</v>
      </c>
      <c r="F241" s="53" t="str">
        <f aca="false">IF(INDEX(I_Items!$E$5:$E$133,MATCH($B241,I_Items!$A$5:$A$133,0))="","",INDEX(I_Items!$E$5:$E$133,MATCH($B241,I_Items!$A$5:$A$133,0)))</f>
        <v/>
      </c>
      <c r="G241" s="76" t="n">
        <v>46204</v>
      </c>
      <c r="H241" s="23" t="n">
        <f aca="false">MONTH(G241)</f>
        <v>7</v>
      </c>
      <c r="I241" s="74" t="s">
        <v>2072</v>
      </c>
      <c r="J241" s="74" t="s">
        <v>2073</v>
      </c>
      <c r="K241" s="10" t="n">
        <v>1569.4</v>
      </c>
      <c r="L241" s="8" t="n">
        <v>69623044.07</v>
      </c>
      <c r="M241" s="10" t="n">
        <v>0</v>
      </c>
      <c r="N241" s="8" t="n">
        <v>0</v>
      </c>
      <c r="O241" s="74"/>
      <c r="P241" s="74"/>
      <c r="Q241" s="74"/>
      <c r="R241" s="14" t="n">
        <f aca="false">IF(I241="Unbilled",0,M241)</f>
        <v>0</v>
      </c>
      <c r="S241" s="9" t="n">
        <f aca="false">IF(R241=0,0,IF(O241="Booked",N241,R241*V240))</f>
        <v>0</v>
      </c>
      <c r="T241" s="14" t="n">
        <f aca="false">IF(I241="Opening",K241,T240+K241-R241)</f>
        <v>1569.4</v>
      </c>
      <c r="U241" s="9" t="n">
        <f aca="false">IF(I241="Opening",L241,U240+L241-S241)</f>
        <v>69623044.07</v>
      </c>
      <c r="V241" s="9" t="n">
        <f aca="false">IF(T241&gt;0,U241/T241,IF(I241="Opening",0,V240))</f>
        <v>44362.8418949917</v>
      </c>
      <c r="W241" s="14" t="n">
        <f aca="false">M241</f>
        <v>0</v>
      </c>
      <c r="X241" s="9" t="n">
        <f aca="false">IF(W241=0,0,IF(O241="Booked",N241,W241*AA240))</f>
        <v>0</v>
      </c>
      <c r="Y241" s="14" t="n">
        <f aca="false">IF(I241="Opening",K241,Y240+K241-W241)</f>
        <v>1569.4</v>
      </c>
      <c r="Z241" s="9" t="n">
        <f aca="false">IF(I241="Opening",L241,Z240+L241-X241)</f>
        <v>69623044.07</v>
      </c>
      <c r="AA241" s="9" t="n">
        <f aca="false">IF(Y241&gt;0,Z241/Y241,IF(I241="Opening",0,AA240))</f>
        <v>44362.8418949917</v>
      </c>
      <c r="AB241" s="9" t="n">
        <f aca="false">IF(AND(I241="DO",O241="MA"),S241-N241,0)</f>
        <v>0</v>
      </c>
      <c r="AC241" s="9" t="n">
        <f aca="false">IF(I241="DO",X241-S241,0)</f>
        <v>0</v>
      </c>
      <c r="AD241" s="23" t="n">
        <f aca="false">IF(B242&lt;&gt;B241,1,0)</f>
        <v>0</v>
      </c>
      <c r="AE241" s="14" t="n">
        <f aca="false">IF(I241="Opening",0,AE240+W241)</f>
        <v>0</v>
      </c>
      <c r="AF241" s="14" t="n">
        <f aca="false">IF(I241="Opening",K241,AF240)</f>
        <v>1569.4</v>
      </c>
      <c r="AG241" s="14" t="n">
        <f aca="false">SUMIFS($K$6:$K$1110,$B$6:$B$1110,B241,$H$6:$H$1110,7,$I$6:$I$1110,"&lt;&gt;Opening")</f>
        <v>1122</v>
      </c>
      <c r="AH241" s="14" t="n">
        <f aca="false">IF(W241=0,0,MAX(0,MIN(AE241,AF241)-MIN(AE241-W241,AF241)))</f>
        <v>0</v>
      </c>
      <c r="AI241" s="14" t="n">
        <f aca="false">IF(W241=0,0,MAX(0,MIN(AE241,AF241+AG241)-MAX(AE241-W241,AF241)))</f>
        <v>0</v>
      </c>
      <c r="AJ241" s="14" t="n">
        <f aca="false">W241-AH241-AI241</f>
        <v>0</v>
      </c>
      <c r="AK241" s="9" t="n">
        <f aca="false">IF(W241=0,0,X241*AH241/W241)</f>
        <v>0</v>
      </c>
      <c r="AL241" s="9" t="n">
        <f aca="false">IF(W241=0,0,X241*AI241/W241)</f>
        <v>0</v>
      </c>
      <c r="AM241" s="9" t="n">
        <f aca="false">X241-AK241-AL241</f>
        <v>0</v>
      </c>
    </row>
    <row r="242" customFormat="false" ht="15" hidden="false" customHeight="false" outlineLevel="0" collapsed="false">
      <c r="A242" s="6" t="n">
        <v>237</v>
      </c>
      <c r="B242" s="74" t="s">
        <v>967</v>
      </c>
      <c r="C242" s="53" t="str">
        <f aca="false">INDEX(I_Items!$C$5:$C$133,MATCH($B242,I_Items!$A$5:$A$133,0))</f>
        <v>RPA</v>
      </c>
      <c r="D242" s="53" t="str">
        <f aca="false">INDEX(I_Items!$D$5:$D$133,MATCH($B242,I_Items!$A$5:$A$133,0))</f>
        <v>BLD</v>
      </c>
      <c r="E242" s="53" t="str">
        <f aca="false">INDEX(I_Items!$F$5:$F$133,MATCH($B242,I_Items!$A$5:$A$133,0))</f>
        <v>Frozen</v>
      </c>
      <c r="F242" s="53" t="str">
        <f aca="false">IF(INDEX(I_Items!$E$5:$E$133,MATCH($B242,I_Items!$A$5:$A$133,0))="","",INDEX(I_Items!$E$5:$E$133,MATCH($B242,I_Items!$A$5:$A$133,0)))</f>
        <v/>
      </c>
      <c r="G242" s="76" t="n">
        <v>46205</v>
      </c>
      <c r="H242" s="23" t="n">
        <f aca="false">MONTH(G242)</f>
        <v>7</v>
      </c>
      <c r="I242" s="74" t="s">
        <v>2074</v>
      </c>
      <c r="J242" s="74" t="s">
        <v>2111</v>
      </c>
      <c r="K242" s="10" t="n">
        <v>1122</v>
      </c>
      <c r="L242" s="8" t="n">
        <v>25144353.12</v>
      </c>
      <c r="M242" s="10" t="n">
        <v>0</v>
      </c>
      <c r="N242" s="8" t="n">
        <v>0</v>
      </c>
      <c r="O242" s="74"/>
      <c r="P242" s="74"/>
      <c r="Q242" s="74"/>
      <c r="R242" s="14" t="n">
        <f aca="false">IF(I242="Unbilled",0,M242)</f>
        <v>0</v>
      </c>
      <c r="S242" s="9" t="n">
        <f aca="false">IF(R242=0,0,IF(O242="Booked",N242,R242*V241))</f>
        <v>0</v>
      </c>
      <c r="T242" s="14" t="n">
        <f aca="false">IF(I242="Opening",K242,T241+K242-R242)</f>
        <v>2691.4</v>
      </c>
      <c r="U242" s="9" t="n">
        <f aca="false">IF(I242="Opening",L242,U241+L242-S242)</f>
        <v>94767397.19</v>
      </c>
      <c r="V242" s="9" t="n">
        <f aca="false">IF(T242&gt;0,U242/T242,IF(I242="Opening",0,V241))</f>
        <v>35211.1901575388</v>
      </c>
      <c r="W242" s="14" t="n">
        <f aca="false">M242</f>
        <v>0</v>
      </c>
      <c r="X242" s="9" t="n">
        <f aca="false">IF(W242=0,0,IF(O242="Booked",N242,W242*AA241))</f>
        <v>0</v>
      </c>
      <c r="Y242" s="14" t="n">
        <f aca="false">IF(I242="Opening",K242,Y241+K242-W242)</f>
        <v>2691.4</v>
      </c>
      <c r="Z242" s="9" t="n">
        <f aca="false">IF(I242="Opening",L242,Z241+L242-X242)</f>
        <v>94767397.19</v>
      </c>
      <c r="AA242" s="9" t="n">
        <f aca="false">IF(Y242&gt;0,Z242/Y242,IF(I242="Opening",0,AA241))</f>
        <v>35211.1901575388</v>
      </c>
      <c r="AB242" s="9" t="n">
        <f aca="false">IF(AND(I242="DO",O242="MA"),S242-N242,0)</f>
        <v>0</v>
      </c>
      <c r="AC242" s="9" t="n">
        <f aca="false">IF(I242="DO",X242-S242,0)</f>
        <v>0</v>
      </c>
      <c r="AD242" s="23" t="n">
        <f aca="false">IF(B243&lt;&gt;B242,1,0)</f>
        <v>0</v>
      </c>
      <c r="AE242" s="14" t="n">
        <f aca="false">IF(I242="Opening",0,AE241+W242)</f>
        <v>0</v>
      </c>
      <c r="AF242" s="14" t="n">
        <f aca="false">IF(I242="Opening",K242,AF241)</f>
        <v>1569.4</v>
      </c>
      <c r="AG242" s="14" t="n">
        <f aca="false">AG241</f>
        <v>1122</v>
      </c>
      <c r="AH242" s="14" t="n">
        <f aca="false">IF(W242=0,0,MAX(0,MIN(AE242,AF242)-MIN(AE242-W242,AF242)))</f>
        <v>0</v>
      </c>
      <c r="AI242" s="14" t="n">
        <f aca="false">IF(W242=0,0,MAX(0,MIN(AE242,AF242+AG242)-MAX(AE242-W242,AF242)))</f>
        <v>0</v>
      </c>
      <c r="AJ242" s="14" t="n">
        <f aca="false">W242-AH242-AI242</f>
        <v>0</v>
      </c>
      <c r="AK242" s="9" t="n">
        <f aca="false">IF(W242=0,0,X242*AH242/W242)</f>
        <v>0</v>
      </c>
      <c r="AL242" s="9" t="n">
        <f aca="false">IF(W242=0,0,X242*AI242/W242)</f>
        <v>0</v>
      </c>
      <c r="AM242" s="9" t="n">
        <f aca="false">X242-AK242-AL242</f>
        <v>0</v>
      </c>
    </row>
    <row r="243" customFormat="false" ht="15" hidden="false" customHeight="false" outlineLevel="0" collapsed="false">
      <c r="A243" s="6" t="n">
        <v>238</v>
      </c>
      <c r="B243" s="74" t="s">
        <v>967</v>
      </c>
      <c r="C243" s="53" t="str">
        <f aca="false">INDEX(I_Items!$C$5:$C$133,MATCH($B243,I_Items!$A$5:$A$133,0))</f>
        <v>RPA</v>
      </c>
      <c r="D243" s="53" t="str">
        <f aca="false">INDEX(I_Items!$D$5:$D$133,MATCH($B243,I_Items!$A$5:$A$133,0))</f>
        <v>BLD</v>
      </c>
      <c r="E243" s="53" t="str">
        <f aca="false">INDEX(I_Items!$F$5:$F$133,MATCH($B243,I_Items!$A$5:$A$133,0))</f>
        <v>Frozen</v>
      </c>
      <c r="F243" s="53" t="str">
        <f aca="false">IF(INDEX(I_Items!$E$5:$E$133,MATCH($B243,I_Items!$A$5:$A$133,0))="","",INDEX(I_Items!$E$5:$E$133,MATCH($B243,I_Items!$A$5:$A$133,0)))</f>
        <v/>
      </c>
      <c r="G243" s="76" t="n">
        <v>46233</v>
      </c>
      <c r="H243" s="23" t="n">
        <f aca="false">MONTH(G243)</f>
        <v>7</v>
      </c>
      <c r="I243" s="74" t="s">
        <v>2075</v>
      </c>
      <c r="J243" s="74" t="s">
        <v>2122</v>
      </c>
      <c r="K243" s="10" t="n">
        <v>0</v>
      </c>
      <c r="L243" s="8" t="n">
        <v>0</v>
      </c>
      <c r="M243" s="10" t="n">
        <v>1122</v>
      </c>
      <c r="N243" s="8" t="n">
        <v>39506955.52</v>
      </c>
      <c r="O243" s="74" t="s">
        <v>2077</v>
      </c>
      <c r="P243" s="74"/>
      <c r="Q243" s="74"/>
      <c r="R243" s="14" t="n">
        <f aca="false">IF(I243="Unbilled",0,M243)</f>
        <v>1122</v>
      </c>
      <c r="S243" s="9" t="n">
        <f aca="false">IF(R243=0,0,IF(O243="Booked",N243,R243*V242))</f>
        <v>39506955.3567586</v>
      </c>
      <c r="T243" s="14" t="n">
        <f aca="false">IF(I243="Opening",K243,T242+K243-R243)</f>
        <v>1569.4</v>
      </c>
      <c r="U243" s="9" t="n">
        <f aca="false">IF(I243="Opening",L243,U242+L243-S243)</f>
        <v>55260441.8332414</v>
      </c>
      <c r="V243" s="9" t="n">
        <f aca="false">IF(T243&gt;0,U243/T243,IF(I243="Opening",0,V242))</f>
        <v>35211.1901575388</v>
      </c>
      <c r="W243" s="14" t="n">
        <f aca="false">M243</f>
        <v>1122</v>
      </c>
      <c r="X243" s="9" t="n">
        <f aca="false">IF(W243=0,0,IF(O243="Booked",N243,W243*AA242))</f>
        <v>39506955.3567586</v>
      </c>
      <c r="Y243" s="14" t="n">
        <f aca="false">IF(I243="Opening",K243,Y242+K243-W243)</f>
        <v>1569.4</v>
      </c>
      <c r="Z243" s="9" t="n">
        <f aca="false">IF(I243="Opening",L243,Z242+L243-X243)</f>
        <v>55260441.8332414</v>
      </c>
      <c r="AA243" s="9" t="n">
        <f aca="false">IF(Y243&gt;0,Z243/Y243,IF(I243="Opening",0,AA242))</f>
        <v>35211.1901575388</v>
      </c>
      <c r="AB243" s="9" t="n">
        <f aca="false">IF(AND(I243="DO",O243="MA"),S243-N243,0)</f>
        <v>-0.163241438567638</v>
      </c>
      <c r="AC243" s="9" t="n">
        <f aca="false">IF(I243="DO",X243-S243,0)</f>
        <v>0</v>
      </c>
      <c r="AD243" s="23" t="n">
        <f aca="false">IF(B244&lt;&gt;B243,1,0)</f>
        <v>0</v>
      </c>
      <c r="AE243" s="14" t="n">
        <f aca="false">IF(I243="Opening",0,AE242+W243)</f>
        <v>1122</v>
      </c>
      <c r="AF243" s="14" t="n">
        <f aca="false">IF(I243="Opening",K243,AF242)</f>
        <v>1569.4</v>
      </c>
      <c r="AG243" s="14" t="n">
        <f aca="false">AG242</f>
        <v>1122</v>
      </c>
      <c r="AH243" s="14" t="n">
        <f aca="false">IF(W243=0,0,MAX(0,MIN(AE243,AF243)-MIN(AE243-W243,AF243)))</f>
        <v>1122</v>
      </c>
      <c r="AI243" s="14" t="n">
        <f aca="false">IF(W243=0,0,MAX(0,MIN(AE243,AF243+AG243)-MAX(AE243-W243,AF243)))</f>
        <v>0</v>
      </c>
      <c r="AJ243" s="14" t="n">
        <f aca="false">W243-AH243-AI243</f>
        <v>0</v>
      </c>
      <c r="AK243" s="9" t="n">
        <f aca="false">IF(W243=0,0,X243*AH243/W243)</f>
        <v>39506955.3567586</v>
      </c>
      <c r="AL243" s="9" t="n">
        <f aca="false">IF(W243=0,0,X243*AI243/W243)</f>
        <v>0</v>
      </c>
      <c r="AM243" s="9" t="n">
        <f aca="false">X243-AK243-AL243</f>
        <v>0</v>
      </c>
    </row>
    <row r="244" customFormat="false" ht="15" hidden="false" customHeight="false" outlineLevel="0" collapsed="false">
      <c r="A244" s="6" t="n">
        <v>239</v>
      </c>
      <c r="B244" s="74" t="s">
        <v>967</v>
      </c>
      <c r="C244" s="53" t="str">
        <f aca="false">INDEX(I_Items!$C$5:$C$133,MATCH($B244,I_Items!$A$5:$A$133,0))</f>
        <v>RPA</v>
      </c>
      <c r="D244" s="53" t="str">
        <f aca="false">INDEX(I_Items!$D$5:$D$133,MATCH($B244,I_Items!$A$5:$A$133,0))</f>
        <v>BLD</v>
      </c>
      <c r="E244" s="53" t="str">
        <f aca="false">INDEX(I_Items!$F$5:$F$133,MATCH($B244,I_Items!$A$5:$A$133,0))</f>
        <v>Frozen</v>
      </c>
      <c r="F244" s="53" t="str">
        <f aca="false">IF(INDEX(I_Items!$E$5:$E$133,MATCH($B244,I_Items!$A$5:$A$133,0))="","",INDEX(I_Items!$E$5:$E$133,MATCH($B244,I_Items!$A$5:$A$133,0)))</f>
        <v/>
      </c>
      <c r="G244" s="76" t="n">
        <v>46235</v>
      </c>
      <c r="H244" s="23" t="n">
        <f aca="false">MONTH(G244)</f>
        <v>8</v>
      </c>
      <c r="I244" s="74" t="s">
        <v>2075</v>
      </c>
      <c r="J244" s="74" t="s">
        <v>2121</v>
      </c>
      <c r="K244" s="10" t="n">
        <v>0</v>
      </c>
      <c r="L244" s="8" t="n">
        <v>0</v>
      </c>
      <c r="M244" s="10" t="n">
        <v>1569.4</v>
      </c>
      <c r="N244" s="8" t="n">
        <v>55260442.06</v>
      </c>
      <c r="O244" s="74" t="s">
        <v>2077</v>
      </c>
      <c r="P244" s="74"/>
      <c r="Q244" s="74"/>
      <c r="R244" s="14" t="n">
        <f aca="false">IF(I244="Unbilled",0,M244)</f>
        <v>1569.4</v>
      </c>
      <c r="S244" s="9" t="n">
        <f aca="false">IF(R244=0,0,IF(O244="Booked",N244,R244*V243))</f>
        <v>55260441.8332414</v>
      </c>
      <c r="T244" s="14" t="n">
        <f aca="false">IF(I244="Opening",K244,T243+K244-R244)</f>
        <v>0</v>
      </c>
      <c r="U244" s="9" t="n">
        <f aca="false">IF(I244="Opening",L244,U243+L244-S244)</f>
        <v>0</v>
      </c>
      <c r="V244" s="9" t="n">
        <f aca="false">IF(T244&gt;0,U244/T244,IF(I244="Opening",0,V243))</f>
        <v>35211.1901575388</v>
      </c>
      <c r="W244" s="14" t="n">
        <f aca="false">M244</f>
        <v>1569.4</v>
      </c>
      <c r="X244" s="9" t="n">
        <f aca="false">IF(W244=0,0,IF(O244="Booked",N244,W244*AA243))</f>
        <v>55260441.8332414</v>
      </c>
      <c r="Y244" s="14" t="n">
        <f aca="false">IF(I244="Opening",K244,Y243+K244-W244)</f>
        <v>0</v>
      </c>
      <c r="Z244" s="9" t="n">
        <f aca="false">IF(I244="Opening",L244,Z243+L244-X244)</f>
        <v>0</v>
      </c>
      <c r="AA244" s="9" t="n">
        <f aca="false">IF(Y244&gt;0,Z244/Y244,IF(I244="Opening",0,AA243))</f>
        <v>35211.1901575388</v>
      </c>
      <c r="AB244" s="9" t="n">
        <f aca="false">IF(AND(I244="DO",O244="MA"),S244-N244,0)</f>
        <v>-0.226758569478989</v>
      </c>
      <c r="AC244" s="9" t="n">
        <f aca="false">IF(I244="DO",X244-S244,0)</f>
        <v>0</v>
      </c>
      <c r="AD244" s="23" t="n">
        <f aca="false">IF(B245&lt;&gt;B244,1,0)</f>
        <v>1</v>
      </c>
      <c r="AE244" s="14" t="n">
        <f aca="false">IF(I244="Opening",0,AE243+W244)</f>
        <v>2691.4</v>
      </c>
      <c r="AF244" s="14" t="n">
        <f aca="false">IF(I244="Opening",K244,AF243)</f>
        <v>1569.4</v>
      </c>
      <c r="AG244" s="14" t="n">
        <f aca="false">AG243</f>
        <v>1122</v>
      </c>
      <c r="AH244" s="14" t="n">
        <f aca="false">IF(W244=0,0,MAX(0,MIN(AE244,AF244)-MIN(AE244-W244,AF244)))</f>
        <v>447.4</v>
      </c>
      <c r="AI244" s="14" t="n">
        <f aca="false">IF(W244=0,0,MAX(0,MIN(AE244,AF244+AG244)-MAX(AE244-W244,AF244)))</f>
        <v>1122</v>
      </c>
      <c r="AJ244" s="14" t="n">
        <f aca="false">W244-AH244-AI244</f>
        <v>0</v>
      </c>
      <c r="AK244" s="9" t="n">
        <f aca="false">IF(W244=0,0,X244*AH244/W244)</f>
        <v>15753486.4764829</v>
      </c>
      <c r="AL244" s="9" t="n">
        <f aca="false">IF(W244=0,0,X244*AI244/W244)</f>
        <v>39506955.3567586</v>
      </c>
      <c r="AM244" s="9" t="n">
        <f aca="false">X244-AK244-AL244</f>
        <v>0</v>
      </c>
    </row>
    <row r="245" customFormat="false" ht="15" hidden="false" customHeight="false" outlineLevel="0" collapsed="false">
      <c r="A245" s="6" t="n">
        <v>240</v>
      </c>
      <c r="B245" s="74" t="s">
        <v>968</v>
      </c>
      <c r="C245" s="53" t="str">
        <f aca="false">INDEX(I_Items!$C$5:$C$133,MATCH($B245,I_Items!$A$5:$A$133,0))</f>
        <v>RPA</v>
      </c>
      <c r="D245" s="53" t="str">
        <f aca="false">INDEX(I_Items!$D$5:$D$133,MATCH($B245,I_Items!$A$5:$A$133,0))</f>
        <v>BLP</v>
      </c>
      <c r="E245" s="53" t="str">
        <f aca="false">INDEX(I_Items!$F$5:$F$133,MATCH($B245,I_Items!$A$5:$A$133,0))</f>
        <v>Fresh</v>
      </c>
      <c r="F245" s="53" t="str">
        <f aca="false">IF(INDEX(I_Items!$E$5:$E$133,MATCH($B245,I_Items!$A$5:$A$133,0))="","",INDEX(I_Items!$E$5:$E$133,MATCH($B245,I_Items!$A$5:$A$133,0)))</f>
        <v/>
      </c>
      <c r="G245" s="76" t="n">
        <v>46204</v>
      </c>
      <c r="H245" s="23" t="n">
        <f aca="false">MONTH(G245)</f>
        <v>7</v>
      </c>
      <c r="I245" s="74" t="s">
        <v>2072</v>
      </c>
      <c r="J245" s="74" t="s">
        <v>2073</v>
      </c>
      <c r="K245" s="10" t="n">
        <v>274.57</v>
      </c>
      <c r="L245" s="8" t="n">
        <v>11773253.58</v>
      </c>
      <c r="M245" s="10" t="n">
        <v>0</v>
      </c>
      <c r="N245" s="8" t="n">
        <v>0</v>
      </c>
      <c r="O245" s="74"/>
      <c r="P245" s="74"/>
      <c r="Q245" s="74"/>
      <c r="R245" s="14" t="n">
        <f aca="false">IF(I245="Unbilled",0,M245)</f>
        <v>0</v>
      </c>
      <c r="S245" s="9" t="n">
        <f aca="false">IF(R245=0,0,IF(O245="Booked",N245,R245*V244))</f>
        <v>0</v>
      </c>
      <c r="T245" s="14" t="n">
        <f aca="false">IF(I245="Opening",K245,T244+K245-R245)</f>
        <v>274.57</v>
      </c>
      <c r="U245" s="9" t="n">
        <f aca="false">IF(I245="Opening",L245,U244+L245-S245)</f>
        <v>11773253.58</v>
      </c>
      <c r="V245" s="9" t="n">
        <f aca="false">IF(T245&gt;0,U245/T245,IF(I245="Opening",0,V244))</f>
        <v>42878.8781731435</v>
      </c>
      <c r="W245" s="14" t="n">
        <f aca="false">M245</f>
        <v>0</v>
      </c>
      <c r="X245" s="9" t="n">
        <f aca="false">IF(W245=0,0,IF(O245="Booked",N245,W245*AA244))</f>
        <v>0</v>
      </c>
      <c r="Y245" s="14" t="n">
        <f aca="false">IF(I245="Opening",K245,Y244+K245-W245)</f>
        <v>274.57</v>
      </c>
      <c r="Z245" s="9" t="n">
        <f aca="false">IF(I245="Opening",L245,Z244+L245-X245)</f>
        <v>11773253.58</v>
      </c>
      <c r="AA245" s="9" t="n">
        <f aca="false">IF(Y245&gt;0,Z245/Y245,IF(I245="Opening",0,AA244))</f>
        <v>42878.8781731435</v>
      </c>
      <c r="AB245" s="9" t="n">
        <f aca="false">IF(AND(I245="DO",O245="MA"),S245-N245,0)</f>
        <v>0</v>
      </c>
      <c r="AC245" s="9" t="n">
        <f aca="false">IF(I245="DO",X245-S245,0)</f>
        <v>0</v>
      </c>
      <c r="AD245" s="23" t="n">
        <f aca="false">IF(B246&lt;&gt;B245,1,0)</f>
        <v>0</v>
      </c>
      <c r="AE245" s="14" t="n">
        <f aca="false">IF(I245="Opening",0,AE244+W245)</f>
        <v>0</v>
      </c>
      <c r="AF245" s="14" t="n">
        <f aca="false">IF(I245="Opening",K245,AF244)</f>
        <v>274.57</v>
      </c>
      <c r="AG245" s="14" t="n">
        <f aca="false">SUMIFS($K$6:$K$1110,$B$6:$B$1110,B245,$H$6:$H$1110,7,$I$6:$I$1110,"&lt;&gt;Opening")</f>
        <v>0</v>
      </c>
      <c r="AH245" s="14" t="n">
        <f aca="false">IF(W245=0,0,MAX(0,MIN(AE245,AF245)-MIN(AE245-W245,AF245)))</f>
        <v>0</v>
      </c>
      <c r="AI245" s="14" t="n">
        <f aca="false">IF(W245=0,0,MAX(0,MIN(AE245,AF245+AG245)-MAX(AE245-W245,AF245)))</f>
        <v>0</v>
      </c>
      <c r="AJ245" s="14" t="n">
        <f aca="false">W245-AH245-AI245</f>
        <v>0</v>
      </c>
      <c r="AK245" s="9" t="n">
        <f aca="false">IF(W245=0,0,X245*AH245/W245)</f>
        <v>0</v>
      </c>
      <c r="AL245" s="9" t="n">
        <f aca="false">IF(W245=0,0,X245*AI245/W245)</f>
        <v>0</v>
      </c>
      <c r="AM245" s="9" t="n">
        <f aca="false">X245-AK245-AL245</f>
        <v>0</v>
      </c>
    </row>
    <row r="246" customFormat="false" ht="15" hidden="false" customHeight="false" outlineLevel="0" collapsed="false">
      <c r="A246" s="6" t="n">
        <v>241</v>
      </c>
      <c r="B246" s="74" t="s">
        <v>968</v>
      </c>
      <c r="C246" s="53" t="str">
        <f aca="false">INDEX(I_Items!$C$5:$C$133,MATCH($B246,I_Items!$A$5:$A$133,0))</f>
        <v>RPA</v>
      </c>
      <c r="D246" s="53" t="str">
        <f aca="false">INDEX(I_Items!$D$5:$D$133,MATCH($B246,I_Items!$A$5:$A$133,0))</f>
        <v>BLP</v>
      </c>
      <c r="E246" s="53" t="str">
        <f aca="false">INDEX(I_Items!$F$5:$F$133,MATCH($B246,I_Items!$A$5:$A$133,0))</f>
        <v>Fresh</v>
      </c>
      <c r="F246" s="53" t="str">
        <f aca="false">IF(INDEX(I_Items!$E$5:$E$133,MATCH($B246,I_Items!$A$5:$A$133,0))="","",INDEX(I_Items!$E$5:$E$133,MATCH($B246,I_Items!$A$5:$A$133,0)))</f>
        <v/>
      </c>
      <c r="G246" s="76" t="n">
        <v>46235</v>
      </c>
      <c r="H246" s="23" t="n">
        <f aca="false">MONTH(G246)</f>
        <v>8</v>
      </c>
      <c r="I246" s="74" t="s">
        <v>2075</v>
      </c>
      <c r="J246" s="74" t="s">
        <v>2121</v>
      </c>
      <c r="K246" s="10" t="n">
        <v>0</v>
      </c>
      <c r="L246" s="8" t="n">
        <v>0</v>
      </c>
      <c r="M246" s="10" t="n">
        <v>274.57</v>
      </c>
      <c r="N246" s="8" t="n">
        <v>11773253.59</v>
      </c>
      <c r="O246" s="74" t="s">
        <v>2077</v>
      </c>
      <c r="P246" s="74"/>
      <c r="Q246" s="74"/>
      <c r="R246" s="14" t="n">
        <f aca="false">IF(I246="Unbilled",0,M246)</f>
        <v>274.57</v>
      </c>
      <c r="S246" s="9" t="n">
        <f aca="false">IF(R246=0,0,IF(O246="Booked",N246,R246*V245))</f>
        <v>11773253.58</v>
      </c>
      <c r="T246" s="14" t="n">
        <f aca="false">IF(I246="Opening",K246,T245+K246-R246)</f>
        <v>0</v>
      </c>
      <c r="U246" s="9" t="n">
        <f aca="false">IF(I246="Opening",L246,U245+L246-S246)</f>
        <v>0</v>
      </c>
      <c r="V246" s="9" t="n">
        <f aca="false">IF(T246&gt;0,U246/T246,IF(I246="Opening",0,V245))</f>
        <v>42878.8781731435</v>
      </c>
      <c r="W246" s="14" t="n">
        <f aca="false">M246</f>
        <v>274.57</v>
      </c>
      <c r="X246" s="9" t="n">
        <f aca="false">IF(W246=0,0,IF(O246="Booked",N246,W246*AA245))</f>
        <v>11773253.58</v>
      </c>
      <c r="Y246" s="14" t="n">
        <f aca="false">IF(I246="Opening",K246,Y245+K246-W246)</f>
        <v>0</v>
      </c>
      <c r="Z246" s="9" t="n">
        <f aca="false">IF(I246="Opening",L246,Z245+L246-X246)</f>
        <v>0</v>
      </c>
      <c r="AA246" s="9" t="n">
        <f aca="false">IF(Y246&gt;0,Z246/Y246,IF(I246="Opening",0,AA245))</f>
        <v>42878.8781731435</v>
      </c>
      <c r="AB246" s="9" t="n">
        <f aca="false">IF(AND(I246="DO",O246="MA"),S246-N246,0)</f>
        <v>-0.00999999977648258</v>
      </c>
      <c r="AC246" s="9" t="n">
        <f aca="false">IF(I246="DO",X246-S246,0)</f>
        <v>0</v>
      </c>
      <c r="AD246" s="23" t="n">
        <f aca="false">IF(B247&lt;&gt;B246,1,0)</f>
        <v>1</v>
      </c>
      <c r="AE246" s="14" t="n">
        <f aca="false">IF(I246="Opening",0,AE245+W246)</f>
        <v>274.57</v>
      </c>
      <c r="AF246" s="14" t="n">
        <f aca="false">IF(I246="Opening",K246,AF245)</f>
        <v>274.57</v>
      </c>
      <c r="AG246" s="14" t="n">
        <f aca="false">AG245</f>
        <v>0</v>
      </c>
      <c r="AH246" s="14" t="n">
        <f aca="false">IF(W246=0,0,MAX(0,MIN(AE246,AF246)-MIN(AE246-W246,AF246)))</f>
        <v>274.57</v>
      </c>
      <c r="AI246" s="14" t="n">
        <f aca="false">IF(W246=0,0,MAX(0,MIN(AE246,AF246+AG246)-MAX(AE246-W246,AF246)))</f>
        <v>0</v>
      </c>
      <c r="AJ246" s="14" t="n">
        <f aca="false">W246-AH246-AI246</f>
        <v>0</v>
      </c>
      <c r="AK246" s="9" t="n">
        <f aca="false">IF(W246=0,0,X246*AH246/W246)</f>
        <v>11773253.58</v>
      </c>
      <c r="AL246" s="9" t="n">
        <f aca="false">IF(W246=0,0,X246*AI246/W246)</f>
        <v>0</v>
      </c>
      <c r="AM246" s="9" t="n">
        <f aca="false">X246-AK246-AL246</f>
        <v>0</v>
      </c>
    </row>
    <row r="247" customFormat="false" ht="15" hidden="false" customHeight="false" outlineLevel="0" collapsed="false">
      <c r="A247" s="6" t="n">
        <v>242</v>
      </c>
      <c r="B247" s="74" t="s">
        <v>969</v>
      </c>
      <c r="C247" s="53" t="str">
        <f aca="false">INDEX(I_Items!$C$5:$C$133,MATCH($B247,I_Items!$A$5:$A$133,0))</f>
        <v>RPA</v>
      </c>
      <c r="D247" s="53" t="str">
        <f aca="false">INDEX(I_Items!$D$5:$D$133,MATCH($B247,I_Items!$A$5:$A$133,0))</f>
        <v>BLP</v>
      </c>
      <c r="E247" s="53" t="str">
        <f aca="false">INDEX(I_Items!$F$5:$F$133,MATCH($B247,I_Items!$A$5:$A$133,0))</f>
        <v>Frozen</v>
      </c>
      <c r="F247" s="53" t="str">
        <f aca="false">IF(INDEX(I_Items!$E$5:$E$133,MATCH($B247,I_Items!$A$5:$A$133,0))="","",INDEX(I_Items!$E$5:$E$133,MATCH($B247,I_Items!$A$5:$A$133,0)))</f>
        <v/>
      </c>
      <c r="G247" s="76" t="n">
        <v>46204</v>
      </c>
      <c r="H247" s="23" t="n">
        <f aca="false">MONTH(G247)</f>
        <v>7</v>
      </c>
      <c r="I247" s="74" t="s">
        <v>2072</v>
      </c>
      <c r="J247" s="74" t="s">
        <v>2073</v>
      </c>
      <c r="K247" s="10" t="n">
        <v>1740.51</v>
      </c>
      <c r="L247" s="8" t="n">
        <v>69338371.11</v>
      </c>
      <c r="M247" s="10" t="n">
        <v>0</v>
      </c>
      <c r="N247" s="8" t="n">
        <v>0</v>
      </c>
      <c r="O247" s="74"/>
      <c r="P247" s="74"/>
      <c r="Q247" s="74"/>
      <c r="R247" s="14" t="n">
        <f aca="false">IF(I247="Unbilled",0,M247)</f>
        <v>0</v>
      </c>
      <c r="S247" s="9" t="n">
        <f aca="false">IF(R247=0,0,IF(O247="Booked",N247,R247*V246))</f>
        <v>0</v>
      </c>
      <c r="T247" s="14" t="n">
        <f aca="false">IF(I247="Opening",K247,T246+K247-R247)</f>
        <v>1740.51</v>
      </c>
      <c r="U247" s="9" t="n">
        <f aca="false">IF(I247="Opening",L247,U246+L247-S247)</f>
        <v>69338371.11</v>
      </c>
      <c r="V247" s="9" t="n">
        <f aca="false">IF(T247&gt;0,U247/T247,IF(I247="Opening",0,V246))</f>
        <v>39837.961924953</v>
      </c>
      <c r="W247" s="14" t="n">
        <f aca="false">M247</f>
        <v>0</v>
      </c>
      <c r="X247" s="9" t="n">
        <f aca="false">IF(W247=0,0,IF(O247="Booked",N247,W247*AA246))</f>
        <v>0</v>
      </c>
      <c r="Y247" s="14" t="n">
        <f aca="false">IF(I247="Opening",K247,Y246+K247-W247)</f>
        <v>1740.51</v>
      </c>
      <c r="Z247" s="9" t="n">
        <f aca="false">IF(I247="Opening",L247,Z246+L247-X247)</f>
        <v>69338371.11</v>
      </c>
      <c r="AA247" s="9" t="n">
        <f aca="false">IF(Y247&gt;0,Z247/Y247,IF(I247="Opening",0,AA246))</f>
        <v>39837.961924953</v>
      </c>
      <c r="AB247" s="9" t="n">
        <f aca="false">IF(AND(I247="DO",O247="MA"),S247-N247,0)</f>
        <v>0</v>
      </c>
      <c r="AC247" s="9" t="n">
        <f aca="false">IF(I247="DO",X247-S247,0)</f>
        <v>0</v>
      </c>
      <c r="AD247" s="23" t="n">
        <f aca="false">IF(B248&lt;&gt;B247,1,0)</f>
        <v>0</v>
      </c>
      <c r="AE247" s="14" t="n">
        <f aca="false">IF(I247="Opening",0,AE246+W247)</f>
        <v>0</v>
      </c>
      <c r="AF247" s="14" t="n">
        <f aca="false">IF(I247="Opening",K247,AF246)</f>
        <v>1740.51</v>
      </c>
      <c r="AG247" s="14" t="n">
        <f aca="false">SUMIFS($K$6:$K$1110,$B$6:$B$1110,B247,$H$6:$H$1110,7,$I$6:$I$1110,"&lt;&gt;Opening")</f>
        <v>671</v>
      </c>
      <c r="AH247" s="14" t="n">
        <f aca="false">IF(W247=0,0,MAX(0,MIN(AE247,AF247)-MIN(AE247-W247,AF247)))</f>
        <v>0</v>
      </c>
      <c r="AI247" s="14" t="n">
        <f aca="false">IF(W247=0,0,MAX(0,MIN(AE247,AF247+AG247)-MAX(AE247-W247,AF247)))</f>
        <v>0</v>
      </c>
      <c r="AJ247" s="14" t="n">
        <f aca="false">W247-AH247-AI247</f>
        <v>0</v>
      </c>
      <c r="AK247" s="9" t="n">
        <f aca="false">IF(W247=0,0,X247*AH247/W247)</f>
        <v>0</v>
      </c>
      <c r="AL247" s="9" t="n">
        <f aca="false">IF(W247=0,0,X247*AI247/W247)</f>
        <v>0</v>
      </c>
      <c r="AM247" s="9" t="n">
        <f aca="false">X247-AK247-AL247</f>
        <v>0</v>
      </c>
    </row>
    <row r="248" customFormat="false" ht="15" hidden="false" customHeight="false" outlineLevel="0" collapsed="false">
      <c r="A248" s="6" t="n">
        <v>243</v>
      </c>
      <c r="B248" s="74" t="s">
        <v>969</v>
      </c>
      <c r="C248" s="53" t="str">
        <f aca="false">INDEX(I_Items!$C$5:$C$133,MATCH($B248,I_Items!$A$5:$A$133,0))</f>
        <v>RPA</v>
      </c>
      <c r="D248" s="53" t="str">
        <f aca="false">INDEX(I_Items!$D$5:$D$133,MATCH($B248,I_Items!$A$5:$A$133,0))</f>
        <v>BLP</v>
      </c>
      <c r="E248" s="53" t="str">
        <f aca="false">INDEX(I_Items!$F$5:$F$133,MATCH($B248,I_Items!$A$5:$A$133,0))</f>
        <v>Frozen</v>
      </c>
      <c r="F248" s="53" t="str">
        <f aca="false">IF(INDEX(I_Items!$E$5:$E$133,MATCH($B248,I_Items!$A$5:$A$133,0))="","",INDEX(I_Items!$E$5:$E$133,MATCH($B248,I_Items!$A$5:$A$133,0)))</f>
        <v/>
      </c>
      <c r="G248" s="76" t="n">
        <v>46205</v>
      </c>
      <c r="H248" s="23" t="n">
        <f aca="false">MONTH(G248)</f>
        <v>7</v>
      </c>
      <c r="I248" s="74" t="s">
        <v>2074</v>
      </c>
      <c r="J248" s="74" t="s">
        <v>2111</v>
      </c>
      <c r="K248" s="10" t="n">
        <v>671</v>
      </c>
      <c r="L248" s="8" t="n">
        <v>14500262.49</v>
      </c>
      <c r="M248" s="10" t="n">
        <v>0</v>
      </c>
      <c r="N248" s="8" t="n">
        <v>0</v>
      </c>
      <c r="O248" s="74"/>
      <c r="P248" s="74"/>
      <c r="Q248" s="74"/>
      <c r="R248" s="14" t="n">
        <f aca="false">IF(I248="Unbilled",0,M248)</f>
        <v>0</v>
      </c>
      <c r="S248" s="9" t="n">
        <f aca="false">IF(R248=0,0,IF(O248="Booked",N248,R248*V247))</f>
        <v>0</v>
      </c>
      <c r="T248" s="14" t="n">
        <f aca="false">IF(I248="Opening",K248,T247+K248-R248)</f>
        <v>2411.51</v>
      </c>
      <c r="U248" s="9" t="n">
        <f aca="false">IF(I248="Opening",L248,U247+L248-S248)</f>
        <v>83838633.6</v>
      </c>
      <c r="V248" s="9" t="n">
        <f aca="false">IF(T248&gt;0,U248/T248,IF(I248="Opening",0,V247))</f>
        <v>34766.0319053207</v>
      </c>
      <c r="W248" s="14" t="n">
        <f aca="false">M248</f>
        <v>0</v>
      </c>
      <c r="X248" s="9" t="n">
        <f aca="false">IF(W248=0,0,IF(O248="Booked",N248,W248*AA247))</f>
        <v>0</v>
      </c>
      <c r="Y248" s="14" t="n">
        <f aca="false">IF(I248="Opening",K248,Y247+K248-W248)</f>
        <v>2411.51</v>
      </c>
      <c r="Z248" s="9" t="n">
        <f aca="false">IF(I248="Opening",L248,Z247+L248-X248)</f>
        <v>83838633.6</v>
      </c>
      <c r="AA248" s="9" t="n">
        <f aca="false">IF(Y248&gt;0,Z248/Y248,IF(I248="Opening",0,AA247))</f>
        <v>34766.0319053207</v>
      </c>
      <c r="AB248" s="9" t="n">
        <f aca="false">IF(AND(I248="DO",O248="MA"),S248-N248,0)</f>
        <v>0</v>
      </c>
      <c r="AC248" s="9" t="n">
        <f aca="false">IF(I248="DO",X248-S248,0)</f>
        <v>0</v>
      </c>
      <c r="AD248" s="23" t="n">
        <f aca="false">IF(B249&lt;&gt;B248,1,0)</f>
        <v>0</v>
      </c>
      <c r="AE248" s="14" t="n">
        <f aca="false">IF(I248="Opening",0,AE247+W248)</f>
        <v>0</v>
      </c>
      <c r="AF248" s="14" t="n">
        <f aca="false">IF(I248="Opening",K248,AF247)</f>
        <v>1740.51</v>
      </c>
      <c r="AG248" s="14" t="n">
        <f aca="false">AG247</f>
        <v>671</v>
      </c>
      <c r="AH248" s="14" t="n">
        <f aca="false">IF(W248=0,0,MAX(0,MIN(AE248,AF248)-MIN(AE248-W248,AF248)))</f>
        <v>0</v>
      </c>
      <c r="AI248" s="14" t="n">
        <f aca="false">IF(W248=0,0,MAX(0,MIN(AE248,AF248+AG248)-MAX(AE248-W248,AF248)))</f>
        <v>0</v>
      </c>
      <c r="AJ248" s="14" t="n">
        <f aca="false">W248-AH248-AI248</f>
        <v>0</v>
      </c>
      <c r="AK248" s="9" t="n">
        <f aca="false">IF(W248=0,0,X248*AH248/W248)</f>
        <v>0</v>
      </c>
      <c r="AL248" s="9" t="n">
        <f aca="false">IF(W248=0,0,X248*AI248/W248)</f>
        <v>0</v>
      </c>
      <c r="AM248" s="9" t="n">
        <f aca="false">X248-AK248-AL248</f>
        <v>0</v>
      </c>
    </row>
    <row r="249" customFormat="false" ht="15" hidden="false" customHeight="false" outlineLevel="0" collapsed="false">
      <c r="A249" s="6" t="n">
        <v>244</v>
      </c>
      <c r="B249" s="74" t="s">
        <v>969</v>
      </c>
      <c r="C249" s="53" t="str">
        <f aca="false">INDEX(I_Items!$C$5:$C$133,MATCH($B249,I_Items!$A$5:$A$133,0))</f>
        <v>RPA</v>
      </c>
      <c r="D249" s="53" t="str">
        <f aca="false">INDEX(I_Items!$D$5:$D$133,MATCH($B249,I_Items!$A$5:$A$133,0))</f>
        <v>BLP</v>
      </c>
      <c r="E249" s="53" t="str">
        <f aca="false">INDEX(I_Items!$F$5:$F$133,MATCH($B249,I_Items!$A$5:$A$133,0))</f>
        <v>Frozen</v>
      </c>
      <c r="F249" s="53" t="str">
        <f aca="false">IF(INDEX(I_Items!$E$5:$E$133,MATCH($B249,I_Items!$A$5:$A$133,0))="","",INDEX(I_Items!$E$5:$E$133,MATCH($B249,I_Items!$A$5:$A$133,0)))</f>
        <v/>
      </c>
      <c r="G249" s="76" t="n">
        <v>46235</v>
      </c>
      <c r="H249" s="23" t="n">
        <f aca="false">MONTH(G249)</f>
        <v>8</v>
      </c>
      <c r="I249" s="74" t="s">
        <v>2075</v>
      </c>
      <c r="J249" s="74" t="s">
        <v>2121</v>
      </c>
      <c r="K249" s="10" t="n">
        <v>0</v>
      </c>
      <c r="L249" s="8" t="n">
        <v>0</v>
      </c>
      <c r="M249" s="10" t="n">
        <v>2411.51</v>
      </c>
      <c r="N249" s="8" t="n">
        <v>83838633.35</v>
      </c>
      <c r="O249" s="74" t="s">
        <v>2077</v>
      </c>
      <c r="P249" s="74"/>
      <c r="Q249" s="74"/>
      <c r="R249" s="14" t="n">
        <f aca="false">IF(I249="Unbilled",0,M249)</f>
        <v>2411.51</v>
      </c>
      <c r="S249" s="9" t="n">
        <f aca="false">IF(R249=0,0,IF(O249="Booked",N249,R249*V248))</f>
        <v>83838633.6</v>
      </c>
      <c r="T249" s="14" t="n">
        <f aca="false">IF(I249="Opening",K249,T248+K249-R249)</f>
        <v>0</v>
      </c>
      <c r="U249" s="9" t="n">
        <f aca="false">IF(I249="Opening",L249,U248+L249-S249)</f>
        <v>0</v>
      </c>
      <c r="V249" s="9" t="n">
        <f aca="false">IF(T249&gt;0,U249/T249,IF(I249="Opening",0,V248))</f>
        <v>34766.0319053207</v>
      </c>
      <c r="W249" s="14" t="n">
        <f aca="false">M249</f>
        <v>2411.51</v>
      </c>
      <c r="X249" s="9" t="n">
        <f aca="false">IF(W249=0,0,IF(O249="Booked",N249,W249*AA248))</f>
        <v>83838633.6</v>
      </c>
      <c r="Y249" s="14" t="n">
        <f aca="false">IF(I249="Opening",K249,Y248+K249-W249)</f>
        <v>0</v>
      </c>
      <c r="Z249" s="9" t="n">
        <f aca="false">IF(I249="Opening",L249,Z248+L249-X249)</f>
        <v>0</v>
      </c>
      <c r="AA249" s="9" t="n">
        <f aca="false">IF(Y249&gt;0,Z249/Y249,IF(I249="Opening",0,AA248))</f>
        <v>34766.0319053207</v>
      </c>
      <c r="AB249" s="9" t="n">
        <f aca="false">IF(AND(I249="DO",O249="MA"),S249-N249,0)</f>
        <v>0.25</v>
      </c>
      <c r="AC249" s="9" t="n">
        <f aca="false">IF(I249="DO",X249-S249,0)</f>
        <v>0</v>
      </c>
      <c r="AD249" s="23" t="n">
        <f aca="false">IF(B250&lt;&gt;B249,1,0)</f>
        <v>1</v>
      </c>
      <c r="AE249" s="14" t="n">
        <f aca="false">IF(I249="Opening",0,AE248+W249)</f>
        <v>2411.51</v>
      </c>
      <c r="AF249" s="14" t="n">
        <f aca="false">IF(I249="Opening",K249,AF248)</f>
        <v>1740.51</v>
      </c>
      <c r="AG249" s="14" t="n">
        <f aca="false">AG248</f>
        <v>671</v>
      </c>
      <c r="AH249" s="14" t="n">
        <f aca="false">IF(W249=0,0,MAX(0,MIN(AE249,AF249)-MIN(AE249-W249,AF249)))</f>
        <v>1740.51</v>
      </c>
      <c r="AI249" s="14" t="n">
        <f aca="false">IF(W249=0,0,MAX(0,MIN(AE249,AF249+AG249)-MAX(AE249-W249,AF249)))</f>
        <v>671</v>
      </c>
      <c r="AJ249" s="14" t="n">
        <f aca="false">W249-AH249-AI249</f>
        <v>0</v>
      </c>
      <c r="AK249" s="9" t="n">
        <f aca="false">IF(W249=0,0,X249*AH249/W249)</f>
        <v>60510626.1915298</v>
      </c>
      <c r="AL249" s="9" t="n">
        <f aca="false">IF(W249=0,0,X249*AI249/W249)</f>
        <v>23328007.4084702</v>
      </c>
      <c r="AM249" s="9" t="n">
        <f aca="false">X249-AK249-AL249</f>
        <v>0</v>
      </c>
    </row>
    <row r="250" customFormat="false" ht="15" hidden="false" customHeight="false" outlineLevel="0" collapsed="false">
      <c r="A250" s="6" t="n">
        <v>245</v>
      </c>
      <c r="B250" s="74" t="s">
        <v>970</v>
      </c>
      <c r="C250" s="53" t="str">
        <f aca="false">INDEX(I_Items!$C$5:$C$133,MATCH($B250,I_Items!$A$5:$A$133,0))</f>
        <v>RPA</v>
      </c>
      <c r="D250" s="53" t="str">
        <f aca="false">INDEX(I_Items!$D$5:$D$133,MATCH($B250,I_Items!$A$5:$A$133,0))</f>
        <v>Karkas</v>
      </c>
      <c r="E250" s="53" t="str">
        <f aca="false">INDEX(I_Items!$F$5:$F$133,MATCH($B250,I_Items!$A$5:$A$133,0))</f>
        <v>Frozen</v>
      </c>
      <c r="F250" s="53" t="str">
        <f aca="false">IF(INDEX(I_Items!$E$5:$E$133,MATCH($B250,I_Items!$A$5:$A$133,0))="","",INDEX(I_Items!$E$5:$E$133,MATCH($B250,I_Items!$A$5:$A$133,0)))</f>
        <v>Uk 0.4</v>
      </c>
      <c r="G250" s="76" t="n">
        <v>46204</v>
      </c>
      <c r="H250" s="23" t="n">
        <f aca="false">MONTH(G250)</f>
        <v>7</v>
      </c>
      <c r="I250" s="74" t="s">
        <v>2072</v>
      </c>
      <c r="J250" s="74" t="s">
        <v>2073</v>
      </c>
      <c r="K250" s="10" t="n">
        <v>24</v>
      </c>
      <c r="L250" s="8" t="n">
        <v>569442.41</v>
      </c>
      <c r="M250" s="10" t="n">
        <v>0</v>
      </c>
      <c r="N250" s="8" t="n">
        <v>0</v>
      </c>
      <c r="O250" s="74"/>
      <c r="P250" s="74"/>
      <c r="Q250" s="74"/>
      <c r="R250" s="14" t="n">
        <f aca="false">IF(I250="Unbilled",0,M250)</f>
        <v>0</v>
      </c>
      <c r="S250" s="9" t="n">
        <f aca="false">IF(R250=0,0,IF(O250="Booked",N250,R250*V249))</f>
        <v>0</v>
      </c>
      <c r="T250" s="14" t="n">
        <f aca="false">IF(I250="Opening",K250,T249+K250-R250)</f>
        <v>24</v>
      </c>
      <c r="U250" s="9" t="n">
        <f aca="false">IF(I250="Opening",L250,U249+L250-S250)</f>
        <v>569442.41</v>
      </c>
      <c r="V250" s="9" t="n">
        <f aca="false">IF(T250&gt;0,U250/T250,IF(I250="Opening",0,V249))</f>
        <v>23726.7670833333</v>
      </c>
      <c r="W250" s="14" t="n">
        <f aca="false">M250</f>
        <v>0</v>
      </c>
      <c r="X250" s="9" t="n">
        <f aca="false">IF(W250=0,0,IF(O250="Booked",N250,W250*AA249))</f>
        <v>0</v>
      </c>
      <c r="Y250" s="14" t="n">
        <f aca="false">IF(I250="Opening",K250,Y249+K250-W250)</f>
        <v>24</v>
      </c>
      <c r="Z250" s="9" t="n">
        <f aca="false">IF(I250="Opening",L250,Z249+L250-X250)</f>
        <v>569442.41</v>
      </c>
      <c r="AA250" s="9" t="n">
        <f aca="false">IF(Y250&gt;0,Z250/Y250,IF(I250="Opening",0,AA249))</f>
        <v>23726.7670833333</v>
      </c>
      <c r="AB250" s="9" t="n">
        <f aca="false">IF(AND(I250="DO",O250="MA"),S250-N250,0)</f>
        <v>0</v>
      </c>
      <c r="AC250" s="9" t="n">
        <f aca="false">IF(I250="DO",X250-S250,0)</f>
        <v>0</v>
      </c>
      <c r="AD250" s="23" t="n">
        <f aca="false">IF(B251&lt;&gt;B250,1,0)</f>
        <v>0</v>
      </c>
      <c r="AE250" s="14" t="n">
        <f aca="false">IF(I250="Opening",0,AE249+W250)</f>
        <v>0</v>
      </c>
      <c r="AF250" s="14" t="n">
        <f aca="false">IF(I250="Opening",K250,AF249)</f>
        <v>24</v>
      </c>
      <c r="AG250" s="14" t="n">
        <f aca="false">SUMIFS($K$6:$K$1110,$B$6:$B$1110,B250,$H$6:$H$1110,7,$I$6:$I$1110,"&lt;&gt;Opening")</f>
        <v>0</v>
      </c>
      <c r="AH250" s="14" t="n">
        <f aca="false">IF(W250=0,0,MAX(0,MIN(AE250,AF250)-MIN(AE250-W250,AF250)))</f>
        <v>0</v>
      </c>
      <c r="AI250" s="14" t="n">
        <f aca="false">IF(W250=0,0,MAX(0,MIN(AE250,AF250+AG250)-MAX(AE250-W250,AF250)))</f>
        <v>0</v>
      </c>
      <c r="AJ250" s="14" t="n">
        <f aca="false">W250-AH250-AI250</f>
        <v>0</v>
      </c>
      <c r="AK250" s="9" t="n">
        <f aca="false">IF(W250=0,0,X250*AH250/W250)</f>
        <v>0</v>
      </c>
      <c r="AL250" s="9" t="n">
        <f aca="false">IF(W250=0,0,X250*AI250/W250)</f>
        <v>0</v>
      </c>
      <c r="AM250" s="9" t="n">
        <f aca="false">X250-AK250-AL250</f>
        <v>0</v>
      </c>
    </row>
    <row r="251" customFormat="false" ht="15" hidden="false" customHeight="false" outlineLevel="0" collapsed="false">
      <c r="A251" s="6" t="n">
        <v>246</v>
      </c>
      <c r="B251" s="74" t="s">
        <v>970</v>
      </c>
      <c r="C251" s="53" t="str">
        <f aca="false">INDEX(I_Items!$C$5:$C$133,MATCH($B251,I_Items!$A$5:$A$133,0))</f>
        <v>RPA</v>
      </c>
      <c r="D251" s="53" t="str">
        <f aca="false">INDEX(I_Items!$D$5:$D$133,MATCH($B251,I_Items!$A$5:$A$133,0))</f>
        <v>Karkas</v>
      </c>
      <c r="E251" s="53" t="str">
        <f aca="false">INDEX(I_Items!$F$5:$F$133,MATCH($B251,I_Items!$A$5:$A$133,0))</f>
        <v>Frozen</v>
      </c>
      <c r="F251" s="53" t="str">
        <f aca="false">IF(INDEX(I_Items!$E$5:$E$133,MATCH($B251,I_Items!$A$5:$A$133,0))="","",INDEX(I_Items!$E$5:$E$133,MATCH($B251,I_Items!$A$5:$A$133,0)))</f>
        <v>Uk 0.4</v>
      </c>
      <c r="G251" s="76" t="n">
        <v>46265</v>
      </c>
      <c r="H251" s="23" t="n">
        <f aca="false">MONTH(G251)</f>
        <v>8</v>
      </c>
      <c r="I251" s="74" t="s">
        <v>2075</v>
      </c>
      <c r="J251" s="74" t="s">
        <v>2123</v>
      </c>
      <c r="K251" s="10" t="n">
        <v>0</v>
      </c>
      <c r="L251" s="8" t="n">
        <v>0</v>
      </c>
      <c r="M251" s="10" t="n">
        <v>14.4</v>
      </c>
      <c r="N251" s="8" t="n">
        <v>341665.45</v>
      </c>
      <c r="O251" s="74" t="s">
        <v>2077</v>
      </c>
      <c r="P251" s="74"/>
      <c r="Q251" s="74"/>
      <c r="R251" s="14" t="n">
        <f aca="false">IF(I251="Unbilled",0,M251)</f>
        <v>14.4</v>
      </c>
      <c r="S251" s="9" t="n">
        <f aca="false">IF(R251=0,0,IF(O251="Booked",N251,R251*V250))</f>
        <v>341665.446</v>
      </c>
      <c r="T251" s="14" t="n">
        <f aca="false">IF(I251="Opening",K251,T250+K251-R251)</f>
        <v>9.6</v>
      </c>
      <c r="U251" s="9" t="n">
        <f aca="false">IF(I251="Opening",L251,U250+L251-S251)</f>
        <v>227776.964</v>
      </c>
      <c r="V251" s="9" t="n">
        <f aca="false">IF(T251&gt;0,U251/T251,IF(I251="Opening",0,V250))</f>
        <v>23726.7670833333</v>
      </c>
      <c r="W251" s="14" t="n">
        <f aca="false">M251</f>
        <v>14.4</v>
      </c>
      <c r="X251" s="9" t="n">
        <f aca="false">IF(W251=0,0,IF(O251="Booked",N251,W251*AA250))</f>
        <v>341665.446</v>
      </c>
      <c r="Y251" s="14" t="n">
        <f aca="false">IF(I251="Opening",K251,Y250+K251-W251)</f>
        <v>9.6</v>
      </c>
      <c r="Z251" s="9" t="n">
        <f aca="false">IF(I251="Opening",L251,Z250+L251-X251)</f>
        <v>227776.964</v>
      </c>
      <c r="AA251" s="9" t="n">
        <f aca="false">IF(Y251&gt;0,Z251/Y251,IF(I251="Opening",0,AA250))</f>
        <v>23726.7670833333</v>
      </c>
      <c r="AB251" s="9" t="n">
        <f aca="false">IF(AND(I251="DO",O251="MA"),S251-N251,0)</f>
        <v>-0.00399999995715916</v>
      </c>
      <c r="AC251" s="9" t="n">
        <f aca="false">IF(I251="DO",X251-S251,0)</f>
        <v>0</v>
      </c>
      <c r="AD251" s="23" t="n">
        <f aca="false">IF(B252&lt;&gt;B251,1,0)</f>
        <v>1</v>
      </c>
      <c r="AE251" s="14" t="n">
        <f aca="false">IF(I251="Opening",0,AE250+W251)</f>
        <v>14.4</v>
      </c>
      <c r="AF251" s="14" t="n">
        <f aca="false">IF(I251="Opening",K251,AF250)</f>
        <v>24</v>
      </c>
      <c r="AG251" s="14" t="n">
        <f aca="false">AG250</f>
        <v>0</v>
      </c>
      <c r="AH251" s="14" t="n">
        <f aca="false">IF(W251=0,0,MAX(0,MIN(AE251,AF251)-MIN(AE251-W251,AF251)))</f>
        <v>14.4</v>
      </c>
      <c r="AI251" s="14" t="n">
        <f aca="false">IF(W251=0,0,MAX(0,MIN(AE251,AF251+AG251)-MAX(AE251-W251,AF251)))</f>
        <v>0</v>
      </c>
      <c r="AJ251" s="14" t="n">
        <f aca="false">W251-AH251-AI251</f>
        <v>0</v>
      </c>
      <c r="AK251" s="9" t="n">
        <f aca="false">IF(W251=0,0,X251*AH251/W251)</f>
        <v>341665.446</v>
      </c>
      <c r="AL251" s="9" t="n">
        <f aca="false">IF(W251=0,0,X251*AI251/W251)</f>
        <v>0</v>
      </c>
      <c r="AM251" s="9" t="n">
        <f aca="false">X251-AK251-AL251</f>
        <v>0</v>
      </c>
    </row>
    <row r="252" customFormat="false" ht="15" hidden="false" customHeight="false" outlineLevel="0" collapsed="false">
      <c r="A252" s="6" t="n">
        <v>247</v>
      </c>
      <c r="B252" s="74" t="s">
        <v>971</v>
      </c>
      <c r="C252" s="53" t="str">
        <f aca="false">INDEX(I_Items!$C$5:$C$133,MATCH($B252,I_Items!$A$5:$A$133,0))</f>
        <v>RPA</v>
      </c>
      <c r="D252" s="53" t="str">
        <f aca="false">INDEX(I_Items!$D$5:$D$133,MATCH($B252,I_Items!$A$5:$A$133,0))</f>
        <v>Karkas</v>
      </c>
      <c r="E252" s="53" t="str">
        <f aca="false">INDEX(I_Items!$F$5:$F$133,MATCH($B252,I_Items!$A$5:$A$133,0))</f>
        <v>Frozen</v>
      </c>
      <c r="F252" s="53" t="str">
        <f aca="false">IF(INDEX(I_Items!$E$5:$E$133,MATCH($B252,I_Items!$A$5:$A$133,0))="","",INDEX(I_Items!$E$5:$E$133,MATCH($B252,I_Items!$A$5:$A$133,0)))</f>
        <v>Uk 0.5</v>
      </c>
      <c r="G252" s="76" t="n">
        <v>46204</v>
      </c>
      <c r="H252" s="23" t="n">
        <f aca="false">MONTH(G252)</f>
        <v>7</v>
      </c>
      <c r="I252" s="74" t="s">
        <v>2072</v>
      </c>
      <c r="J252" s="74" t="s">
        <v>2073</v>
      </c>
      <c r="K252" s="10" t="n">
        <v>78.9</v>
      </c>
      <c r="L252" s="8" t="n">
        <v>1864644.95</v>
      </c>
      <c r="M252" s="10" t="n">
        <v>0</v>
      </c>
      <c r="N252" s="8" t="n">
        <v>0</v>
      </c>
      <c r="O252" s="74"/>
      <c r="P252" s="74"/>
      <c r="Q252" s="74"/>
      <c r="R252" s="14" t="n">
        <f aca="false">IF(I252="Unbilled",0,M252)</f>
        <v>0</v>
      </c>
      <c r="S252" s="9" t="n">
        <f aca="false">IF(R252=0,0,IF(O252="Booked",N252,R252*V251))</f>
        <v>0</v>
      </c>
      <c r="T252" s="14" t="n">
        <f aca="false">IF(I252="Opening",K252,T251+K252-R252)</f>
        <v>78.9</v>
      </c>
      <c r="U252" s="9" t="n">
        <f aca="false">IF(I252="Opening",L252,U251+L252-S252)</f>
        <v>1864644.95</v>
      </c>
      <c r="V252" s="9" t="n">
        <f aca="false">IF(T252&gt;0,U252/T252,IF(I252="Opening",0,V251))</f>
        <v>23633.015842839</v>
      </c>
      <c r="W252" s="14" t="n">
        <f aca="false">M252</f>
        <v>0</v>
      </c>
      <c r="X252" s="9" t="n">
        <f aca="false">IF(W252=0,0,IF(O252="Booked",N252,W252*AA251))</f>
        <v>0</v>
      </c>
      <c r="Y252" s="14" t="n">
        <f aca="false">IF(I252="Opening",K252,Y251+K252-W252)</f>
        <v>78.9</v>
      </c>
      <c r="Z252" s="9" t="n">
        <f aca="false">IF(I252="Opening",L252,Z251+L252-X252)</f>
        <v>1864644.95</v>
      </c>
      <c r="AA252" s="9" t="n">
        <f aca="false">IF(Y252&gt;0,Z252/Y252,IF(I252="Opening",0,AA251))</f>
        <v>23633.015842839</v>
      </c>
      <c r="AB252" s="9" t="n">
        <f aca="false">IF(AND(I252="DO",O252="MA"),S252-N252,0)</f>
        <v>0</v>
      </c>
      <c r="AC252" s="9" t="n">
        <f aca="false">IF(I252="DO",X252-S252,0)</f>
        <v>0</v>
      </c>
      <c r="AD252" s="23" t="n">
        <f aca="false">IF(B253&lt;&gt;B252,1,0)</f>
        <v>0</v>
      </c>
      <c r="AE252" s="14" t="n">
        <f aca="false">IF(I252="Opening",0,AE251+W252)</f>
        <v>0</v>
      </c>
      <c r="AF252" s="14" t="n">
        <f aca="false">IF(I252="Opening",K252,AF251)</f>
        <v>78.9</v>
      </c>
      <c r="AG252" s="14" t="n">
        <f aca="false">SUMIFS($K$6:$K$1110,$B$6:$B$1110,B252,$H$6:$H$1110,7,$I$6:$I$1110,"&lt;&gt;Opening")</f>
        <v>0</v>
      </c>
      <c r="AH252" s="14" t="n">
        <f aca="false">IF(W252=0,0,MAX(0,MIN(AE252,AF252)-MIN(AE252-W252,AF252)))</f>
        <v>0</v>
      </c>
      <c r="AI252" s="14" t="n">
        <f aca="false">IF(W252=0,0,MAX(0,MIN(AE252,AF252+AG252)-MAX(AE252-W252,AF252)))</f>
        <v>0</v>
      </c>
      <c r="AJ252" s="14" t="n">
        <f aca="false">W252-AH252-AI252</f>
        <v>0</v>
      </c>
      <c r="AK252" s="9" t="n">
        <f aca="false">IF(W252=0,0,X252*AH252/W252)</f>
        <v>0</v>
      </c>
      <c r="AL252" s="9" t="n">
        <f aca="false">IF(W252=0,0,X252*AI252/W252)</f>
        <v>0</v>
      </c>
      <c r="AM252" s="9" t="n">
        <f aca="false">X252-AK252-AL252</f>
        <v>0</v>
      </c>
    </row>
    <row r="253" customFormat="false" ht="15" hidden="false" customHeight="false" outlineLevel="0" collapsed="false">
      <c r="A253" s="6" t="n">
        <v>248</v>
      </c>
      <c r="B253" s="74" t="s">
        <v>971</v>
      </c>
      <c r="C253" s="53" t="str">
        <f aca="false">INDEX(I_Items!$C$5:$C$133,MATCH($B253,I_Items!$A$5:$A$133,0))</f>
        <v>RPA</v>
      </c>
      <c r="D253" s="53" t="str">
        <f aca="false">INDEX(I_Items!$D$5:$D$133,MATCH($B253,I_Items!$A$5:$A$133,0))</f>
        <v>Karkas</v>
      </c>
      <c r="E253" s="53" t="str">
        <f aca="false">INDEX(I_Items!$F$5:$F$133,MATCH($B253,I_Items!$A$5:$A$133,0))</f>
        <v>Frozen</v>
      </c>
      <c r="F253" s="53" t="str">
        <f aca="false">IF(INDEX(I_Items!$E$5:$E$133,MATCH($B253,I_Items!$A$5:$A$133,0))="","",INDEX(I_Items!$E$5:$E$133,MATCH($B253,I_Items!$A$5:$A$133,0)))</f>
        <v>Uk 0.5</v>
      </c>
      <c r="G253" s="76" t="n">
        <v>46255</v>
      </c>
      <c r="H253" s="23" t="n">
        <f aca="false">MONTH(G253)</f>
        <v>8</v>
      </c>
      <c r="I253" s="74" t="s">
        <v>2074</v>
      </c>
      <c r="J253" s="74" t="s">
        <v>1311</v>
      </c>
      <c r="K253" s="10" t="n">
        <v>12.9</v>
      </c>
      <c r="L253" s="8" t="n">
        <v>448165</v>
      </c>
      <c r="M253" s="10" t="n">
        <v>0</v>
      </c>
      <c r="N253" s="8" t="n">
        <v>0</v>
      </c>
      <c r="O253" s="74"/>
      <c r="P253" s="74"/>
      <c r="Q253" s="74"/>
      <c r="R253" s="14" t="n">
        <f aca="false">IF(I253="Unbilled",0,M253)</f>
        <v>0</v>
      </c>
      <c r="S253" s="9" t="n">
        <f aca="false">IF(R253=0,0,IF(O253="Booked",N253,R253*V252))</f>
        <v>0</v>
      </c>
      <c r="T253" s="14" t="n">
        <f aca="false">IF(I253="Opening",K253,T252+K253-R253)</f>
        <v>91.8</v>
      </c>
      <c r="U253" s="9" t="n">
        <f aca="false">IF(I253="Opening",L253,U252+L253-S253)</f>
        <v>2312809.95</v>
      </c>
      <c r="V253" s="9" t="n">
        <f aca="false">IF(T253&gt;0,U253/T253,IF(I253="Opening",0,V252))</f>
        <v>25194.0081699346</v>
      </c>
      <c r="W253" s="14" t="n">
        <f aca="false">M253</f>
        <v>0</v>
      </c>
      <c r="X253" s="9" t="n">
        <f aca="false">IF(W253=0,0,IF(O253="Booked",N253,W253*AA252))</f>
        <v>0</v>
      </c>
      <c r="Y253" s="14" t="n">
        <f aca="false">IF(I253="Opening",K253,Y252+K253-W253)</f>
        <v>91.8</v>
      </c>
      <c r="Z253" s="9" t="n">
        <f aca="false">IF(I253="Opening",L253,Z252+L253-X253)</f>
        <v>2312809.95</v>
      </c>
      <c r="AA253" s="9" t="n">
        <f aca="false">IF(Y253&gt;0,Z253/Y253,IF(I253="Opening",0,AA252))</f>
        <v>25194.0081699346</v>
      </c>
      <c r="AB253" s="9" t="n">
        <f aca="false">IF(AND(I253="DO",O253="MA"),S253-N253,0)</f>
        <v>0</v>
      </c>
      <c r="AC253" s="9" t="n">
        <f aca="false">IF(I253="DO",X253-S253,0)</f>
        <v>0</v>
      </c>
      <c r="AD253" s="23" t="n">
        <f aca="false">IF(B254&lt;&gt;B253,1,0)</f>
        <v>1</v>
      </c>
      <c r="AE253" s="14" t="n">
        <f aca="false">IF(I253="Opening",0,AE252+W253)</f>
        <v>0</v>
      </c>
      <c r="AF253" s="14" t="n">
        <f aca="false">IF(I253="Opening",K253,AF252)</f>
        <v>78.9</v>
      </c>
      <c r="AG253" s="14" t="n">
        <f aca="false">AG252</f>
        <v>0</v>
      </c>
      <c r="AH253" s="14" t="n">
        <f aca="false">IF(W253=0,0,MAX(0,MIN(AE253,AF253)-MIN(AE253-W253,AF253)))</f>
        <v>0</v>
      </c>
      <c r="AI253" s="14" t="n">
        <f aca="false">IF(W253=0,0,MAX(0,MIN(AE253,AF253+AG253)-MAX(AE253-W253,AF253)))</f>
        <v>0</v>
      </c>
      <c r="AJ253" s="14" t="n">
        <f aca="false">W253-AH253-AI253</f>
        <v>0</v>
      </c>
      <c r="AK253" s="9" t="n">
        <f aca="false">IF(W253=0,0,X253*AH253/W253)</f>
        <v>0</v>
      </c>
      <c r="AL253" s="9" t="n">
        <f aca="false">IF(W253=0,0,X253*AI253/W253)</f>
        <v>0</v>
      </c>
      <c r="AM253" s="9" t="n">
        <f aca="false">X253-AK253-AL253</f>
        <v>0</v>
      </c>
    </row>
    <row r="254" customFormat="false" ht="15" hidden="false" customHeight="false" outlineLevel="0" collapsed="false">
      <c r="A254" s="6" t="n">
        <v>249</v>
      </c>
      <c r="B254" s="74" t="s">
        <v>972</v>
      </c>
      <c r="C254" s="53" t="str">
        <f aca="false">INDEX(I_Items!$C$5:$C$133,MATCH($B254,I_Items!$A$5:$A$133,0))</f>
        <v>RPA</v>
      </c>
      <c r="D254" s="53" t="str">
        <f aca="false">INDEX(I_Items!$D$5:$D$133,MATCH($B254,I_Items!$A$5:$A$133,0))</f>
        <v>Karkas</v>
      </c>
      <c r="E254" s="53" t="str">
        <f aca="false">INDEX(I_Items!$F$5:$F$133,MATCH($B254,I_Items!$A$5:$A$133,0))</f>
        <v>Frozen</v>
      </c>
      <c r="F254" s="53" t="str">
        <f aca="false">IF(INDEX(I_Items!$E$5:$E$133,MATCH($B254,I_Items!$A$5:$A$133,0))="","",INDEX(I_Items!$E$5:$E$133,MATCH($B254,I_Items!$A$5:$A$133,0)))</f>
        <v>Uk 0.6</v>
      </c>
      <c r="G254" s="76" t="n">
        <v>46204</v>
      </c>
      <c r="H254" s="23" t="n">
        <f aca="false">MONTH(G254)</f>
        <v>7</v>
      </c>
      <c r="I254" s="74" t="s">
        <v>2072</v>
      </c>
      <c r="J254" s="74" t="s">
        <v>2073</v>
      </c>
      <c r="K254" s="10" t="n">
        <v>162.2</v>
      </c>
      <c r="L254" s="8" t="n">
        <v>3841499.01</v>
      </c>
      <c r="M254" s="10" t="n">
        <v>0</v>
      </c>
      <c r="N254" s="8" t="n">
        <v>0</v>
      </c>
      <c r="O254" s="74"/>
      <c r="P254" s="74"/>
      <c r="Q254" s="74"/>
      <c r="R254" s="14" t="n">
        <f aca="false">IF(I254="Unbilled",0,M254)</f>
        <v>0</v>
      </c>
      <c r="S254" s="9" t="n">
        <f aca="false">IF(R254=0,0,IF(O254="Booked",N254,R254*V253))</f>
        <v>0</v>
      </c>
      <c r="T254" s="14" t="n">
        <f aca="false">IF(I254="Opening",K254,T253+K254-R254)</f>
        <v>162.2</v>
      </c>
      <c r="U254" s="9" t="n">
        <f aca="false">IF(I254="Opening",L254,U253+L254-S254)</f>
        <v>3841499.01</v>
      </c>
      <c r="V254" s="9" t="n">
        <f aca="false">IF(T254&gt;0,U254/T254,IF(I254="Opening",0,V253))</f>
        <v>23683.7176942047</v>
      </c>
      <c r="W254" s="14" t="n">
        <f aca="false">M254</f>
        <v>0</v>
      </c>
      <c r="X254" s="9" t="n">
        <f aca="false">IF(W254=0,0,IF(O254="Booked",N254,W254*AA253))</f>
        <v>0</v>
      </c>
      <c r="Y254" s="14" t="n">
        <f aca="false">IF(I254="Opening",K254,Y253+K254-W254)</f>
        <v>162.2</v>
      </c>
      <c r="Z254" s="9" t="n">
        <f aca="false">IF(I254="Opening",L254,Z253+L254-X254)</f>
        <v>3841499.01</v>
      </c>
      <c r="AA254" s="9" t="n">
        <f aca="false">IF(Y254&gt;0,Z254/Y254,IF(I254="Opening",0,AA253))</f>
        <v>23683.7176942047</v>
      </c>
      <c r="AB254" s="9" t="n">
        <f aca="false">IF(AND(I254="DO",O254="MA"),S254-N254,0)</f>
        <v>0</v>
      </c>
      <c r="AC254" s="9" t="n">
        <f aca="false">IF(I254="DO",X254-S254,0)</f>
        <v>0</v>
      </c>
      <c r="AD254" s="23" t="n">
        <f aca="false">IF(B255&lt;&gt;B254,1,0)</f>
        <v>0</v>
      </c>
      <c r="AE254" s="14" t="n">
        <f aca="false">IF(I254="Opening",0,AE253+W254)</f>
        <v>0</v>
      </c>
      <c r="AF254" s="14" t="n">
        <f aca="false">IF(I254="Opening",K254,AF253)</f>
        <v>162.2</v>
      </c>
      <c r="AG254" s="14" t="n">
        <f aca="false">SUMIFS($K$6:$K$1110,$B$6:$B$1110,B254,$H$6:$H$1110,7,$I$6:$I$1110,"&lt;&gt;Opening")</f>
        <v>0</v>
      </c>
      <c r="AH254" s="14" t="n">
        <f aca="false">IF(W254=0,0,MAX(0,MIN(AE254,AF254)-MIN(AE254-W254,AF254)))</f>
        <v>0</v>
      </c>
      <c r="AI254" s="14" t="n">
        <f aca="false">IF(W254=0,0,MAX(0,MIN(AE254,AF254+AG254)-MAX(AE254-W254,AF254)))</f>
        <v>0</v>
      </c>
      <c r="AJ254" s="14" t="n">
        <f aca="false">W254-AH254-AI254</f>
        <v>0</v>
      </c>
      <c r="AK254" s="9" t="n">
        <f aca="false">IF(W254=0,0,X254*AH254/W254)</f>
        <v>0</v>
      </c>
      <c r="AL254" s="9" t="n">
        <f aca="false">IF(W254=0,0,X254*AI254/W254)</f>
        <v>0</v>
      </c>
      <c r="AM254" s="9" t="n">
        <f aca="false">X254-AK254-AL254</f>
        <v>0</v>
      </c>
    </row>
    <row r="255" customFormat="false" ht="15" hidden="false" customHeight="false" outlineLevel="0" collapsed="false">
      <c r="A255" s="6" t="n">
        <v>250</v>
      </c>
      <c r="B255" s="74" t="s">
        <v>972</v>
      </c>
      <c r="C255" s="53" t="str">
        <f aca="false">INDEX(I_Items!$C$5:$C$133,MATCH($B255,I_Items!$A$5:$A$133,0))</f>
        <v>RPA</v>
      </c>
      <c r="D255" s="53" t="str">
        <f aca="false">INDEX(I_Items!$D$5:$D$133,MATCH($B255,I_Items!$A$5:$A$133,0))</f>
        <v>Karkas</v>
      </c>
      <c r="E255" s="53" t="str">
        <f aca="false">INDEX(I_Items!$F$5:$F$133,MATCH($B255,I_Items!$A$5:$A$133,0))</f>
        <v>Frozen</v>
      </c>
      <c r="F255" s="53" t="str">
        <f aca="false">IF(INDEX(I_Items!$E$5:$E$133,MATCH($B255,I_Items!$A$5:$A$133,0))="","",INDEX(I_Items!$E$5:$E$133,MATCH($B255,I_Items!$A$5:$A$133,0)))</f>
        <v>Uk 0.6</v>
      </c>
      <c r="G255" s="76" t="n">
        <v>46244</v>
      </c>
      <c r="H255" s="23" t="n">
        <f aca="false">MONTH(G255)</f>
        <v>8</v>
      </c>
      <c r="I255" s="74" t="s">
        <v>2074</v>
      </c>
      <c r="J255" s="74" t="s">
        <v>1294</v>
      </c>
      <c r="K255" s="10" t="n">
        <v>8.5</v>
      </c>
      <c r="L255" s="8" t="n">
        <v>277240.83</v>
      </c>
      <c r="M255" s="10" t="n">
        <v>0</v>
      </c>
      <c r="N255" s="8" t="n">
        <v>0</v>
      </c>
      <c r="O255" s="74"/>
      <c r="P255" s="74"/>
      <c r="Q255" s="74"/>
      <c r="R255" s="14" t="n">
        <f aca="false">IF(I255="Unbilled",0,M255)</f>
        <v>0</v>
      </c>
      <c r="S255" s="9" t="n">
        <f aca="false">IF(R255=0,0,IF(O255="Booked",N255,R255*V254))</f>
        <v>0</v>
      </c>
      <c r="T255" s="14" t="n">
        <f aca="false">IF(I255="Opening",K255,T254+K255-R255)</f>
        <v>170.7</v>
      </c>
      <c r="U255" s="9" t="n">
        <f aca="false">IF(I255="Opening",L255,U254+L255-S255)</f>
        <v>4118739.84</v>
      </c>
      <c r="V255" s="9" t="n">
        <f aca="false">IF(T255&gt;0,U255/T255,IF(I255="Opening",0,V254))</f>
        <v>24128.5286467487</v>
      </c>
      <c r="W255" s="14" t="n">
        <f aca="false">M255</f>
        <v>0</v>
      </c>
      <c r="X255" s="9" t="n">
        <f aca="false">IF(W255=0,0,IF(O255="Booked",N255,W255*AA254))</f>
        <v>0</v>
      </c>
      <c r="Y255" s="14" t="n">
        <f aca="false">IF(I255="Opening",K255,Y254+K255-W255)</f>
        <v>170.7</v>
      </c>
      <c r="Z255" s="9" t="n">
        <f aca="false">IF(I255="Opening",L255,Z254+L255-X255)</f>
        <v>4118739.84</v>
      </c>
      <c r="AA255" s="9" t="n">
        <f aca="false">IF(Y255&gt;0,Z255/Y255,IF(I255="Opening",0,AA254))</f>
        <v>24128.5286467487</v>
      </c>
      <c r="AB255" s="9" t="n">
        <f aca="false">IF(AND(I255="DO",O255="MA"),S255-N255,0)</f>
        <v>0</v>
      </c>
      <c r="AC255" s="9" t="n">
        <f aca="false">IF(I255="DO",X255-S255,0)</f>
        <v>0</v>
      </c>
      <c r="AD255" s="23" t="n">
        <f aca="false">IF(B256&lt;&gt;B255,1,0)</f>
        <v>0</v>
      </c>
      <c r="AE255" s="14" t="n">
        <f aca="false">IF(I255="Opening",0,AE254+W255)</f>
        <v>0</v>
      </c>
      <c r="AF255" s="14" t="n">
        <f aca="false">IF(I255="Opening",K255,AF254)</f>
        <v>162.2</v>
      </c>
      <c r="AG255" s="14" t="n">
        <f aca="false">AG254</f>
        <v>0</v>
      </c>
      <c r="AH255" s="14" t="n">
        <f aca="false">IF(W255=0,0,MAX(0,MIN(AE255,AF255)-MIN(AE255-W255,AF255)))</f>
        <v>0</v>
      </c>
      <c r="AI255" s="14" t="n">
        <f aca="false">IF(W255=0,0,MAX(0,MIN(AE255,AF255+AG255)-MAX(AE255-W255,AF255)))</f>
        <v>0</v>
      </c>
      <c r="AJ255" s="14" t="n">
        <f aca="false">W255-AH255-AI255</f>
        <v>0</v>
      </c>
      <c r="AK255" s="9" t="n">
        <f aca="false">IF(W255=0,0,X255*AH255/W255)</f>
        <v>0</v>
      </c>
      <c r="AL255" s="9" t="n">
        <f aca="false">IF(W255=0,0,X255*AI255/W255)</f>
        <v>0</v>
      </c>
      <c r="AM255" s="9" t="n">
        <f aca="false">X255-AK255-AL255</f>
        <v>0</v>
      </c>
    </row>
    <row r="256" customFormat="false" ht="15" hidden="false" customHeight="false" outlineLevel="0" collapsed="false">
      <c r="A256" s="6" t="n">
        <v>251</v>
      </c>
      <c r="B256" s="74" t="s">
        <v>972</v>
      </c>
      <c r="C256" s="53" t="str">
        <f aca="false">INDEX(I_Items!$C$5:$C$133,MATCH($B256,I_Items!$A$5:$A$133,0))</f>
        <v>RPA</v>
      </c>
      <c r="D256" s="53" t="str">
        <f aca="false">INDEX(I_Items!$D$5:$D$133,MATCH($B256,I_Items!$A$5:$A$133,0))</f>
        <v>Karkas</v>
      </c>
      <c r="E256" s="53" t="str">
        <f aca="false">INDEX(I_Items!$F$5:$F$133,MATCH($B256,I_Items!$A$5:$A$133,0))</f>
        <v>Frozen</v>
      </c>
      <c r="F256" s="53" t="str">
        <f aca="false">IF(INDEX(I_Items!$E$5:$E$133,MATCH($B256,I_Items!$A$5:$A$133,0))="","",INDEX(I_Items!$E$5:$E$133,MATCH($B256,I_Items!$A$5:$A$133,0)))</f>
        <v>Uk 0.6</v>
      </c>
      <c r="G256" s="76" t="n">
        <v>46253</v>
      </c>
      <c r="H256" s="23" t="n">
        <f aca="false">MONTH(G256)</f>
        <v>8</v>
      </c>
      <c r="I256" s="74" t="s">
        <v>2074</v>
      </c>
      <c r="J256" s="74" t="s">
        <v>1305</v>
      </c>
      <c r="K256" s="10" t="n">
        <v>2.6</v>
      </c>
      <c r="L256" s="8" t="n">
        <v>89313.99</v>
      </c>
      <c r="M256" s="10" t="n">
        <v>0</v>
      </c>
      <c r="N256" s="8" t="n">
        <v>0</v>
      </c>
      <c r="O256" s="74"/>
      <c r="P256" s="74"/>
      <c r="Q256" s="74"/>
      <c r="R256" s="14" t="n">
        <f aca="false">IF(I256="Unbilled",0,M256)</f>
        <v>0</v>
      </c>
      <c r="S256" s="9" t="n">
        <f aca="false">IF(R256=0,0,IF(O256="Booked",N256,R256*V255))</f>
        <v>0</v>
      </c>
      <c r="T256" s="14" t="n">
        <f aca="false">IF(I256="Opening",K256,T255+K256-R256)</f>
        <v>173.3</v>
      </c>
      <c r="U256" s="9" t="n">
        <f aca="false">IF(I256="Opening",L256,U255+L256-S256)</f>
        <v>4208053.83</v>
      </c>
      <c r="V256" s="9" t="n">
        <f aca="false">IF(T256&gt;0,U256/T256,IF(I256="Opening",0,V255))</f>
        <v>24281.9032313907</v>
      </c>
      <c r="W256" s="14" t="n">
        <f aca="false">M256</f>
        <v>0</v>
      </c>
      <c r="X256" s="9" t="n">
        <f aca="false">IF(W256=0,0,IF(O256="Booked",N256,W256*AA255))</f>
        <v>0</v>
      </c>
      <c r="Y256" s="14" t="n">
        <f aca="false">IF(I256="Opening",K256,Y255+K256-W256)</f>
        <v>173.3</v>
      </c>
      <c r="Z256" s="9" t="n">
        <f aca="false">IF(I256="Opening",L256,Z255+L256-X256)</f>
        <v>4208053.83</v>
      </c>
      <c r="AA256" s="9" t="n">
        <f aca="false">IF(Y256&gt;0,Z256/Y256,IF(I256="Opening",0,AA255))</f>
        <v>24281.9032313907</v>
      </c>
      <c r="AB256" s="9" t="n">
        <f aca="false">IF(AND(I256="DO",O256="MA"),S256-N256,0)</f>
        <v>0</v>
      </c>
      <c r="AC256" s="9" t="n">
        <f aca="false">IF(I256="DO",X256-S256,0)</f>
        <v>0</v>
      </c>
      <c r="AD256" s="23" t="n">
        <f aca="false">IF(B257&lt;&gt;B256,1,0)</f>
        <v>0</v>
      </c>
      <c r="AE256" s="14" t="n">
        <f aca="false">IF(I256="Opening",0,AE255+W256)</f>
        <v>0</v>
      </c>
      <c r="AF256" s="14" t="n">
        <f aca="false">IF(I256="Opening",K256,AF255)</f>
        <v>162.2</v>
      </c>
      <c r="AG256" s="14" t="n">
        <f aca="false">AG255</f>
        <v>0</v>
      </c>
      <c r="AH256" s="14" t="n">
        <f aca="false">IF(W256=0,0,MAX(0,MIN(AE256,AF256)-MIN(AE256-W256,AF256)))</f>
        <v>0</v>
      </c>
      <c r="AI256" s="14" t="n">
        <f aca="false">IF(W256=0,0,MAX(0,MIN(AE256,AF256+AG256)-MAX(AE256-W256,AF256)))</f>
        <v>0</v>
      </c>
      <c r="AJ256" s="14" t="n">
        <f aca="false">W256-AH256-AI256</f>
        <v>0</v>
      </c>
      <c r="AK256" s="9" t="n">
        <f aca="false">IF(W256=0,0,X256*AH256/W256)</f>
        <v>0</v>
      </c>
      <c r="AL256" s="9" t="n">
        <f aca="false">IF(W256=0,0,X256*AI256/W256)</f>
        <v>0</v>
      </c>
      <c r="AM256" s="9" t="n">
        <f aca="false">X256-AK256-AL256</f>
        <v>0</v>
      </c>
    </row>
    <row r="257" customFormat="false" ht="15" hidden="false" customHeight="false" outlineLevel="0" collapsed="false">
      <c r="A257" s="6" t="n">
        <v>252</v>
      </c>
      <c r="B257" s="74" t="s">
        <v>972</v>
      </c>
      <c r="C257" s="53" t="str">
        <f aca="false">INDEX(I_Items!$C$5:$C$133,MATCH($B257,I_Items!$A$5:$A$133,0))</f>
        <v>RPA</v>
      </c>
      <c r="D257" s="53" t="str">
        <f aca="false">INDEX(I_Items!$D$5:$D$133,MATCH($B257,I_Items!$A$5:$A$133,0))</f>
        <v>Karkas</v>
      </c>
      <c r="E257" s="53" t="str">
        <f aca="false">INDEX(I_Items!$F$5:$F$133,MATCH($B257,I_Items!$A$5:$A$133,0))</f>
        <v>Frozen</v>
      </c>
      <c r="F257" s="53" t="str">
        <f aca="false">IF(INDEX(I_Items!$E$5:$E$133,MATCH($B257,I_Items!$A$5:$A$133,0))="","",INDEX(I_Items!$E$5:$E$133,MATCH($B257,I_Items!$A$5:$A$133,0)))</f>
        <v>Uk 0.6</v>
      </c>
      <c r="G257" s="76" t="n">
        <v>46254</v>
      </c>
      <c r="H257" s="23" t="n">
        <f aca="false">MONTH(G257)</f>
        <v>8</v>
      </c>
      <c r="I257" s="74" t="s">
        <v>2074</v>
      </c>
      <c r="J257" s="74" t="s">
        <v>1308</v>
      </c>
      <c r="K257" s="10" t="n">
        <v>4.8</v>
      </c>
      <c r="L257" s="8" t="n">
        <v>165257.66</v>
      </c>
      <c r="M257" s="10" t="n">
        <v>0</v>
      </c>
      <c r="N257" s="8" t="n">
        <v>0</v>
      </c>
      <c r="O257" s="74"/>
      <c r="P257" s="74"/>
      <c r="Q257" s="74"/>
      <c r="R257" s="14" t="n">
        <f aca="false">IF(I257="Unbilled",0,M257)</f>
        <v>0</v>
      </c>
      <c r="S257" s="9" t="n">
        <f aca="false">IF(R257=0,0,IF(O257="Booked",N257,R257*V256))</f>
        <v>0</v>
      </c>
      <c r="T257" s="14" t="n">
        <f aca="false">IF(I257="Opening",K257,T256+K257-R257)</f>
        <v>178.1</v>
      </c>
      <c r="U257" s="9" t="n">
        <f aca="false">IF(I257="Opening",L257,U256+L257-S257)</f>
        <v>4373311.49</v>
      </c>
      <c r="V257" s="9" t="n">
        <f aca="false">IF(T257&gt;0,U257/T257,IF(I257="Opening",0,V256))</f>
        <v>24555.3705221786</v>
      </c>
      <c r="W257" s="14" t="n">
        <f aca="false">M257</f>
        <v>0</v>
      </c>
      <c r="X257" s="9" t="n">
        <f aca="false">IF(W257=0,0,IF(O257="Booked",N257,W257*AA256))</f>
        <v>0</v>
      </c>
      <c r="Y257" s="14" t="n">
        <f aca="false">IF(I257="Opening",K257,Y256+K257-W257)</f>
        <v>178.1</v>
      </c>
      <c r="Z257" s="9" t="n">
        <f aca="false">IF(I257="Opening",L257,Z256+L257-X257)</f>
        <v>4373311.49</v>
      </c>
      <c r="AA257" s="9" t="n">
        <f aca="false">IF(Y257&gt;0,Z257/Y257,IF(I257="Opening",0,AA256))</f>
        <v>24555.3705221786</v>
      </c>
      <c r="AB257" s="9" t="n">
        <f aca="false">IF(AND(I257="DO",O257="MA"),S257-N257,0)</f>
        <v>0</v>
      </c>
      <c r="AC257" s="9" t="n">
        <f aca="false">IF(I257="DO",X257-S257,0)</f>
        <v>0</v>
      </c>
      <c r="AD257" s="23" t="n">
        <f aca="false">IF(B258&lt;&gt;B257,1,0)</f>
        <v>0</v>
      </c>
      <c r="AE257" s="14" t="n">
        <f aca="false">IF(I257="Opening",0,AE256+W257)</f>
        <v>0</v>
      </c>
      <c r="AF257" s="14" t="n">
        <f aca="false">IF(I257="Opening",K257,AF256)</f>
        <v>162.2</v>
      </c>
      <c r="AG257" s="14" t="n">
        <f aca="false">AG256</f>
        <v>0</v>
      </c>
      <c r="AH257" s="14" t="n">
        <f aca="false">IF(W257=0,0,MAX(0,MIN(AE257,AF257)-MIN(AE257-W257,AF257)))</f>
        <v>0</v>
      </c>
      <c r="AI257" s="14" t="n">
        <f aca="false">IF(W257=0,0,MAX(0,MIN(AE257,AF257+AG257)-MAX(AE257-W257,AF257)))</f>
        <v>0</v>
      </c>
      <c r="AJ257" s="14" t="n">
        <f aca="false">W257-AH257-AI257</f>
        <v>0</v>
      </c>
      <c r="AK257" s="9" t="n">
        <f aca="false">IF(W257=0,0,X257*AH257/W257)</f>
        <v>0</v>
      </c>
      <c r="AL257" s="9" t="n">
        <f aca="false">IF(W257=0,0,X257*AI257/W257)</f>
        <v>0</v>
      </c>
      <c r="AM257" s="9" t="n">
        <f aca="false">X257-AK257-AL257</f>
        <v>0</v>
      </c>
    </row>
    <row r="258" customFormat="false" ht="15" hidden="false" customHeight="false" outlineLevel="0" collapsed="false">
      <c r="A258" s="6" t="n">
        <v>253</v>
      </c>
      <c r="B258" s="74" t="s">
        <v>972</v>
      </c>
      <c r="C258" s="53" t="str">
        <f aca="false">INDEX(I_Items!$C$5:$C$133,MATCH($B258,I_Items!$A$5:$A$133,0))</f>
        <v>RPA</v>
      </c>
      <c r="D258" s="53" t="str">
        <f aca="false">INDEX(I_Items!$D$5:$D$133,MATCH($B258,I_Items!$A$5:$A$133,0))</f>
        <v>Karkas</v>
      </c>
      <c r="E258" s="53" t="str">
        <f aca="false">INDEX(I_Items!$F$5:$F$133,MATCH($B258,I_Items!$A$5:$A$133,0))</f>
        <v>Frozen</v>
      </c>
      <c r="F258" s="53" t="str">
        <f aca="false">IF(INDEX(I_Items!$E$5:$E$133,MATCH($B258,I_Items!$A$5:$A$133,0))="","",INDEX(I_Items!$E$5:$E$133,MATCH($B258,I_Items!$A$5:$A$133,0)))</f>
        <v>Uk 0.6</v>
      </c>
      <c r="G258" s="76" t="n">
        <v>46259</v>
      </c>
      <c r="H258" s="23" t="n">
        <f aca="false">MONTH(G258)</f>
        <v>8</v>
      </c>
      <c r="I258" s="74" t="s">
        <v>2074</v>
      </c>
      <c r="J258" s="74" t="s">
        <v>1314</v>
      </c>
      <c r="K258" s="10" t="n">
        <v>1.3</v>
      </c>
      <c r="L258" s="8" t="n">
        <v>43584.97</v>
      </c>
      <c r="M258" s="10" t="n">
        <v>0</v>
      </c>
      <c r="N258" s="8" t="n">
        <v>0</v>
      </c>
      <c r="O258" s="74"/>
      <c r="P258" s="74"/>
      <c r="Q258" s="74"/>
      <c r="R258" s="14" t="n">
        <f aca="false">IF(I258="Unbilled",0,M258)</f>
        <v>0</v>
      </c>
      <c r="S258" s="9" t="n">
        <f aca="false">IF(R258=0,0,IF(O258="Booked",N258,R258*V257))</f>
        <v>0</v>
      </c>
      <c r="T258" s="14" t="n">
        <f aca="false">IF(I258="Opening",K258,T257+K258-R258)</f>
        <v>179.4</v>
      </c>
      <c r="U258" s="9" t="n">
        <f aca="false">IF(I258="Opening",L258,U257+L258-S258)</f>
        <v>4416896.46</v>
      </c>
      <c r="V258" s="9" t="n">
        <f aca="false">IF(T258&gt;0,U258/T258,IF(I258="Opening",0,V257))</f>
        <v>24620.3816053512</v>
      </c>
      <c r="W258" s="14" t="n">
        <f aca="false">M258</f>
        <v>0</v>
      </c>
      <c r="X258" s="9" t="n">
        <f aca="false">IF(W258=0,0,IF(O258="Booked",N258,W258*AA257))</f>
        <v>0</v>
      </c>
      <c r="Y258" s="14" t="n">
        <f aca="false">IF(I258="Opening",K258,Y257+K258-W258)</f>
        <v>179.4</v>
      </c>
      <c r="Z258" s="9" t="n">
        <f aca="false">IF(I258="Opening",L258,Z257+L258-X258)</f>
        <v>4416896.46</v>
      </c>
      <c r="AA258" s="9" t="n">
        <f aca="false">IF(Y258&gt;0,Z258/Y258,IF(I258="Opening",0,AA257))</f>
        <v>24620.3816053512</v>
      </c>
      <c r="AB258" s="9" t="n">
        <f aca="false">IF(AND(I258="DO",O258="MA"),S258-N258,0)</f>
        <v>0</v>
      </c>
      <c r="AC258" s="9" t="n">
        <f aca="false">IF(I258="DO",X258-S258,0)</f>
        <v>0</v>
      </c>
      <c r="AD258" s="23" t="n">
        <f aca="false">IF(B259&lt;&gt;B258,1,0)</f>
        <v>0</v>
      </c>
      <c r="AE258" s="14" t="n">
        <f aca="false">IF(I258="Opening",0,AE257+W258)</f>
        <v>0</v>
      </c>
      <c r="AF258" s="14" t="n">
        <f aca="false">IF(I258="Opening",K258,AF257)</f>
        <v>162.2</v>
      </c>
      <c r="AG258" s="14" t="n">
        <f aca="false">AG257</f>
        <v>0</v>
      </c>
      <c r="AH258" s="14" t="n">
        <f aca="false">IF(W258=0,0,MAX(0,MIN(AE258,AF258)-MIN(AE258-W258,AF258)))</f>
        <v>0</v>
      </c>
      <c r="AI258" s="14" t="n">
        <f aca="false">IF(W258=0,0,MAX(0,MIN(AE258,AF258+AG258)-MAX(AE258-W258,AF258)))</f>
        <v>0</v>
      </c>
      <c r="AJ258" s="14" t="n">
        <f aca="false">W258-AH258-AI258</f>
        <v>0</v>
      </c>
      <c r="AK258" s="9" t="n">
        <f aca="false">IF(W258=0,0,X258*AH258/W258)</f>
        <v>0</v>
      </c>
      <c r="AL258" s="9" t="n">
        <f aca="false">IF(W258=0,0,X258*AI258/W258)</f>
        <v>0</v>
      </c>
      <c r="AM258" s="9" t="n">
        <f aca="false">X258-AK258-AL258</f>
        <v>0</v>
      </c>
    </row>
    <row r="259" customFormat="false" ht="15" hidden="false" customHeight="false" outlineLevel="0" collapsed="false">
      <c r="A259" s="6" t="n">
        <v>254</v>
      </c>
      <c r="B259" s="74" t="s">
        <v>972</v>
      </c>
      <c r="C259" s="53" t="str">
        <f aca="false">INDEX(I_Items!$C$5:$C$133,MATCH($B259,I_Items!$A$5:$A$133,0))</f>
        <v>RPA</v>
      </c>
      <c r="D259" s="53" t="str">
        <f aca="false">INDEX(I_Items!$D$5:$D$133,MATCH($B259,I_Items!$A$5:$A$133,0))</f>
        <v>Karkas</v>
      </c>
      <c r="E259" s="53" t="str">
        <f aca="false">INDEX(I_Items!$F$5:$F$133,MATCH($B259,I_Items!$A$5:$A$133,0))</f>
        <v>Frozen</v>
      </c>
      <c r="F259" s="53" t="str">
        <f aca="false">IF(INDEX(I_Items!$E$5:$E$133,MATCH($B259,I_Items!$A$5:$A$133,0))="","",INDEX(I_Items!$E$5:$E$133,MATCH($B259,I_Items!$A$5:$A$133,0)))</f>
        <v>Uk 0.6</v>
      </c>
      <c r="G259" s="76" t="n">
        <v>46262</v>
      </c>
      <c r="H259" s="23" t="n">
        <f aca="false">MONTH(G259)</f>
        <v>8</v>
      </c>
      <c r="I259" s="74" t="s">
        <v>2074</v>
      </c>
      <c r="J259" s="74" t="s">
        <v>1323</v>
      </c>
      <c r="K259" s="10" t="n">
        <v>2.7</v>
      </c>
      <c r="L259" s="8" t="n">
        <v>92025.46</v>
      </c>
      <c r="M259" s="10" t="n">
        <v>0</v>
      </c>
      <c r="N259" s="8" t="n">
        <v>0</v>
      </c>
      <c r="O259" s="74"/>
      <c r="P259" s="74"/>
      <c r="Q259" s="74"/>
      <c r="R259" s="14" t="n">
        <f aca="false">IF(I259="Unbilled",0,M259)</f>
        <v>0</v>
      </c>
      <c r="S259" s="9" t="n">
        <f aca="false">IF(R259=0,0,IF(O259="Booked",N259,R259*V258))</f>
        <v>0</v>
      </c>
      <c r="T259" s="14" t="n">
        <f aca="false">IF(I259="Opening",K259,T258+K259-R259)</f>
        <v>182.1</v>
      </c>
      <c r="U259" s="9" t="n">
        <f aca="false">IF(I259="Opening",L259,U258+L259-S259)</f>
        <v>4508921.92</v>
      </c>
      <c r="V259" s="9" t="n">
        <f aca="false">IF(T259&gt;0,U259/T259,IF(I259="Opening",0,V258))</f>
        <v>24760.6914881933</v>
      </c>
      <c r="W259" s="14" t="n">
        <f aca="false">M259</f>
        <v>0</v>
      </c>
      <c r="X259" s="9" t="n">
        <f aca="false">IF(W259=0,0,IF(O259="Booked",N259,W259*AA258))</f>
        <v>0</v>
      </c>
      <c r="Y259" s="14" t="n">
        <f aca="false">IF(I259="Opening",K259,Y258+K259-W259)</f>
        <v>182.1</v>
      </c>
      <c r="Z259" s="9" t="n">
        <f aca="false">IF(I259="Opening",L259,Z258+L259-X259)</f>
        <v>4508921.92</v>
      </c>
      <c r="AA259" s="9" t="n">
        <f aca="false">IF(Y259&gt;0,Z259/Y259,IF(I259="Opening",0,AA258))</f>
        <v>24760.6914881933</v>
      </c>
      <c r="AB259" s="9" t="n">
        <f aca="false">IF(AND(I259="DO",O259="MA"),S259-N259,0)</f>
        <v>0</v>
      </c>
      <c r="AC259" s="9" t="n">
        <f aca="false">IF(I259="DO",X259-S259,0)</f>
        <v>0</v>
      </c>
      <c r="AD259" s="23" t="n">
        <f aca="false">IF(B260&lt;&gt;B259,1,0)</f>
        <v>1</v>
      </c>
      <c r="AE259" s="14" t="n">
        <f aca="false">IF(I259="Opening",0,AE258+W259)</f>
        <v>0</v>
      </c>
      <c r="AF259" s="14" t="n">
        <f aca="false">IF(I259="Opening",K259,AF258)</f>
        <v>162.2</v>
      </c>
      <c r="AG259" s="14" t="n">
        <f aca="false">AG258</f>
        <v>0</v>
      </c>
      <c r="AH259" s="14" t="n">
        <f aca="false">IF(W259=0,0,MAX(0,MIN(AE259,AF259)-MIN(AE259-W259,AF259)))</f>
        <v>0</v>
      </c>
      <c r="AI259" s="14" t="n">
        <f aca="false">IF(W259=0,0,MAX(0,MIN(AE259,AF259+AG259)-MAX(AE259-W259,AF259)))</f>
        <v>0</v>
      </c>
      <c r="AJ259" s="14" t="n">
        <f aca="false">W259-AH259-AI259</f>
        <v>0</v>
      </c>
      <c r="AK259" s="9" t="n">
        <f aca="false">IF(W259=0,0,X259*AH259/W259)</f>
        <v>0</v>
      </c>
      <c r="AL259" s="9" t="n">
        <f aca="false">IF(W259=0,0,X259*AI259/W259)</f>
        <v>0</v>
      </c>
      <c r="AM259" s="9" t="n">
        <f aca="false">X259-AK259-AL259</f>
        <v>0</v>
      </c>
    </row>
    <row r="260" customFormat="false" ht="15" hidden="false" customHeight="false" outlineLevel="0" collapsed="false">
      <c r="A260" s="6" t="n">
        <v>255</v>
      </c>
      <c r="B260" s="74" t="s">
        <v>973</v>
      </c>
      <c r="C260" s="53" t="str">
        <f aca="false">INDEX(I_Items!$C$5:$C$133,MATCH($B260,I_Items!$A$5:$A$133,0))</f>
        <v>RPA</v>
      </c>
      <c r="D260" s="53" t="str">
        <f aca="false">INDEX(I_Items!$D$5:$D$133,MATCH($B260,I_Items!$A$5:$A$133,0))</f>
        <v>Karkas</v>
      </c>
      <c r="E260" s="53" t="str">
        <f aca="false">INDEX(I_Items!$F$5:$F$133,MATCH($B260,I_Items!$A$5:$A$133,0))</f>
        <v>Frozen</v>
      </c>
      <c r="F260" s="53" t="str">
        <f aca="false">IF(INDEX(I_Items!$E$5:$E$133,MATCH($B260,I_Items!$A$5:$A$133,0))="","",INDEX(I_Items!$E$5:$E$133,MATCH($B260,I_Items!$A$5:$A$133,0)))</f>
        <v>Uk 0.7</v>
      </c>
      <c r="G260" s="76" t="n">
        <v>46204</v>
      </c>
      <c r="H260" s="23" t="n">
        <f aca="false">MONTH(G260)</f>
        <v>7</v>
      </c>
      <c r="I260" s="74" t="s">
        <v>2072</v>
      </c>
      <c r="J260" s="74" t="s">
        <v>2073</v>
      </c>
      <c r="K260" s="10" t="n">
        <v>319.9</v>
      </c>
      <c r="L260" s="8" t="n">
        <v>7592055.1</v>
      </c>
      <c r="M260" s="10" t="n">
        <v>0</v>
      </c>
      <c r="N260" s="8" t="n">
        <v>0</v>
      </c>
      <c r="O260" s="74"/>
      <c r="P260" s="74"/>
      <c r="Q260" s="74"/>
      <c r="R260" s="14" t="n">
        <f aca="false">IF(I260="Unbilled",0,M260)</f>
        <v>0</v>
      </c>
      <c r="S260" s="9" t="n">
        <f aca="false">IF(R260=0,0,IF(O260="Booked",N260,R260*V259))</f>
        <v>0</v>
      </c>
      <c r="T260" s="14" t="n">
        <f aca="false">IF(I260="Opening",K260,T259+K260-R260)</f>
        <v>319.9</v>
      </c>
      <c r="U260" s="9" t="n">
        <f aca="false">IF(I260="Opening",L260,U259+L260-S260)</f>
        <v>7592055.1</v>
      </c>
      <c r="V260" s="9" t="n">
        <f aca="false">IF(T260&gt;0,U260/T260,IF(I260="Opening",0,V259))</f>
        <v>23732.5886214442</v>
      </c>
      <c r="W260" s="14" t="n">
        <f aca="false">M260</f>
        <v>0</v>
      </c>
      <c r="X260" s="9" t="n">
        <f aca="false">IF(W260=0,0,IF(O260="Booked",N260,W260*AA259))</f>
        <v>0</v>
      </c>
      <c r="Y260" s="14" t="n">
        <f aca="false">IF(I260="Opening",K260,Y259+K260-W260)</f>
        <v>319.9</v>
      </c>
      <c r="Z260" s="9" t="n">
        <f aca="false">IF(I260="Opening",L260,Z259+L260-X260)</f>
        <v>7592055.1</v>
      </c>
      <c r="AA260" s="9" t="n">
        <f aca="false">IF(Y260&gt;0,Z260/Y260,IF(I260="Opening",0,AA259))</f>
        <v>23732.5886214442</v>
      </c>
      <c r="AB260" s="9" t="n">
        <f aca="false">IF(AND(I260="DO",O260="MA"),S260-N260,0)</f>
        <v>0</v>
      </c>
      <c r="AC260" s="9" t="n">
        <f aca="false">IF(I260="DO",X260-S260,0)</f>
        <v>0</v>
      </c>
      <c r="AD260" s="23" t="n">
        <f aca="false">IF(B261&lt;&gt;B260,1,0)</f>
        <v>0</v>
      </c>
      <c r="AE260" s="14" t="n">
        <f aca="false">IF(I260="Opening",0,AE259+W260)</f>
        <v>0</v>
      </c>
      <c r="AF260" s="14" t="n">
        <f aca="false">IF(I260="Opening",K260,AF259)</f>
        <v>319.9</v>
      </c>
      <c r="AG260" s="14" t="n">
        <f aca="false">SUMIFS($K$6:$K$1110,$B$6:$B$1110,B260,$H$6:$H$1110,7,$I$6:$I$1110,"&lt;&gt;Opening")</f>
        <v>0</v>
      </c>
      <c r="AH260" s="14" t="n">
        <f aca="false">IF(W260=0,0,MAX(0,MIN(AE260,AF260)-MIN(AE260-W260,AF260)))</f>
        <v>0</v>
      </c>
      <c r="AI260" s="14" t="n">
        <f aca="false">IF(W260=0,0,MAX(0,MIN(AE260,AF260+AG260)-MAX(AE260-W260,AF260)))</f>
        <v>0</v>
      </c>
      <c r="AJ260" s="14" t="n">
        <f aca="false">W260-AH260-AI260</f>
        <v>0</v>
      </c>
      <c r="AK260" s="9" t="n">
        <f aca="false">IF(W260=0,0,X260*AH260/W260)</f>
        <v>0</v>
      </c>
      <c r="AL260" s="9" t="n">
        <f aca="false">IF(W260=0,0,X260*AI260/W260)</f>
        <v>0</v>
      </c>
      <c r="AM260" s="9" t="n">
        <f aca="false">X260-AK260-AL260</f>
        <v>0</v>
      </c>
    </row>
    <row r="261" customFormat="false" ht="15" hidden="false" customHeight="false" outlineLevel="0" collapsed="false">
      <c r="A261" s="6" t="n">
        <v>256</v>
      </c>
      <c r="B261" s="74" t="s">
        <v>973</v>
      </c>
      <c r="C261" s="53" t="str">
        <f aca="false">INDEX(I_Items!$C$5:$C$133,MATCH($B261,I_Items!$A$5:$A$133,0))</f>
        <v>RPA</v>
      </c>
      <c r="D261" s="53" t="str">
        <f aca="false">INDEX(I_Items!$D$5:$D$133,MATCH($B261,I_Items!$A$5:$A$133,0))</f>
        <v>Karkas</v>
      </c>
      <c r="E261" s="53" t="str">
        <f aca="false">INDEX(I_Items!$F$5:$F$133,MATCH($B261,I_Items!$A$5:$A$133,0))</f>
        <v>Frozen</v>
      </c>
      <c r="F261" s="53" t="str">
        <f aca="false">IF(INDEX(I_Items!$E$5:$E$133,MATCH($B261,I_Items!$A$5:$A$133,0))="","",INDEX(I_Items!$E$5:$E$133,MATCH($B261,I_Items!$A$5:$A$133,0)))</f>
        <v>Uk 0.7</v>
      </c>
      <c r="G261" s="76" t="n">
        <v>46212</v>
      </c>
      <c r="H261" s="23" t="n">
        <f aca="false">MONTH(G261)</f>
        <v>7</v>
      </c>
      <c r="I261" s="74" t="s">
        <v>2075</v>
      </c>
      <c r="J261" s="74" t="s">
        <v>2124</v>
      </c>
      <c r="K261" s="10" t="n">
        <v>0</v>
      </c>
      <c r="L261" s="8" t="n">
        <v>0</v>
      </c>
      <c r="M261" s="10" t="n">
        <v>13.5</v>
      </c>
      <c r="N261" s="8" t="n">
        <v>320389.95</v>
      </c>
      <c r="O261" s="74" t="s">
        <v>2077</v>
      </c>
      <c r="P261" s="74"/>
      <c r="Q261" s="74"/>
      <c r="R261" s="14" t="n">
        <f aca="false">IF(I261="Unbilled",0,M261)</f>
        <v>13.5</v>
      </c>
      <c r="S261" s="9" t="n">
        <f aca="false">IF(R261=0,0,IF(O261="Booked",N261,R261*V260))</f>
        <v>320389.946389497</v>
      </c>
      <c r="T261" s="14" t="n">
        <f aca="false">IF(I261="Opening",K261,T260+K261-R261)</f>
        <v>306.4</v>
      </c>
      <c r="U261" s="9" t="n">
        <f aca="false">IF(I261="Opening",L261,U260+L261-S261)</f>
        <v>7271665.1536105</v>
      </c>
      <c r="V261" s="9" t="n">
        <f aca="false">IF(T261&gt;0,U261/T261,IF(I261="Opening",0,V260))</f>
        <v>23732.5886214442</v>
      </c>
      <c r="W261" s="14" t="n">
        <f aca="false">M261</f>
        <v>13.5</v>
      </c>
      <c r="X261" s="9" t="n">
        <f aca="false">IF(W261=0,0,IF(O261="Booked",N261,W261*AA260))</f>
        <v>320389.946389497</v>
      </c>
      <c r="Y261" s="14" t="n">
        <f aca="false">IF(I261="Opening",K261,Y260+K261-W261)</f>
        <v>306.4</v>
      </c>
      <c r="Z261" s="9" t="n">
        <f aca="false">IF(I261="Opening",L261,Z260+L261-X261)</f>
        <v>7271665.1536105</v>
      </c>
      <c r="AA261" s="9" t="n">
        <f aca="false">IF(Y261&gt;0,Z261/Y261,IF(I261="Opening",0,AA260))</f>
        <v>23732.5886214442</v>
      </c>
      <c r="AB261" s="9" t="n">
        <f aca="false">IF(AND(I261="DO",O261="MA"),S261-N261,0)</f>
        <v>-0.00361050327774137</v>
      </c>
      <c r="AC261" s="9" t="n">
        <f aca="false">IF(I261="DO",X261-S261,0)</f>
        <v>0</v>
      </c>
      <c r="AD261" s="23" t="n">
        <f aca="false">IF(B262&lt;&gt;B261,1,0)</f>
        <v>0</v>
      </c>
      <c r="AE261" s="14" t="n">
        <f aca="false">IF(I261="Opening",0,AE260+W261)</f>
        <v>13.5</v>
      </c>
      <c r="AF261" s="14" t="n">
        <f aca="false">IF(I261="Opening",K261,AF260)</f>
        <v>319.9</v>
      </c>
      <c r="AG261" s="14" t="n">
        <f aca="false">AG260</f>
        <v>0</v>
      </c>
      <c r="AH261" s="14" t="n">
        <f aca="false">IF(W261=0,0,MAX(0,MIN(AE261,AF261)-MIN(AE261-W261,AF261)))</f>
        <v>13.5</v>
      </c>
      <c r="AI261" s="14" t="n">
        <f aca="false">IF(W261=0,0,MAX(0,MIN(AE261,AF261+AG261)-MAX(AE261-W261,AF261)))</f>
        <v>0</v>
      </c>
      <c r="AJ261" s="14" t="n">
        <f aca="false">W261-AH261-AI261</f>
        <v>0</v>
      </c>
      <c r="AK261" s="9" t="n">
        <f aca="false">IF(W261=0,0,X261*AH261/W261)</f>
        <v>320389.946389497</v>
      </c>
      <c r="AL261" s="9" t="n">
        <f aca="false">IF(W261=0,0,X261*AI261/W261)</f>
        <v>0</v>
      </c>
      <c r="AM261" s="9" t="n">
        <f aca="false">X261-AK261-AL261</f>
        <v>0</v>
      </c>
    </row>
    <row r="262" customFormat="false" ht="15" hidden="false" customHeight="false" outlineLevel="0" collapsed="false">
      <c r="A262" s="6" t="n">
        <v>257</v>
      </c>
      <c r="B262" s="74" t="s">
        <v>973</v>
      </c>
      <c r="C262" s="53" t="str">
        <f aca="false">INDEX(I_Items!$C$5:$C$133,MATCH($B262,I_Items!$A$5:$A$133,0))</f>
        <v>RPA</v>
      </c>
      <c r="D262" s="53" t="str">
        <f aca="false">INDEX(I_Items!$D$5:$D$133,MATCH($B262,I_Items!$A$5:$A$133,0))</f>
        <v>Karkas</v>
      </c>
      <c r="E262" s="53" t="str">
        <f aca="false">INDEX(I_Items!$F$5:$F$133,MATCH($B262,I_Items!$A$5:$A$133,0))</f>
        <v>Frozen</v>
      </c>
      <c r="F262" s="53" t="str">
        <f aca="false">IF(INDEX(I_Items!$E$5:$E$133,MATCH($B262,I_Items!$A$5:$A$133,0))="","",INDEX(I_Items!$E$5:$E$133,MATCH($B262,I_Items!$A$5:$A$133,0)))</f>
        <v>Uk 0.7</v>
      </c>
      <c r="G262" s="76" t="n">
        <v>46241</v>
      </c>
      <c r="H262" s="23" t="n">
        <f aca="false">MONTH(G262)</f>
        <v>8</v>
      </c>
      <c r="I262" s="74" t="s">
        <v>2074</v>
      </c>
      <c r="J262" s="74" t="s">
        <v>1290</v>
      </c>
      <c r="K262" s="10" t="n">
        <v>6.9</v>
      </c>
      <c r="L262" s="8" t="n">
        <v>210407.99</v>
      </c>
      <c r="M262" s="10" t="n">
        <v>0</v>
      </c>
      <c r="N262" s="8" t="n">
        <v>0</v>
      </c>
      <c r="O262" s="74"/>
      <c r="P262" s="74"/>
      <c r="Q262" s="74"/>
      <c r="R262" s="14" t="n">
        <f aca="false">IF(I262="Unbilled",0,M262)</f>
        <v>0</v>
      </c>
      <c r="S262" s="9" t="n">
        <f aca="false">IF(R262=0,0,IF(O262="Booked",N262,R262*V261))</f>
        <v>0</v>
      </c>
      <c r="T262" s="14" t="n">
        <f aca="false">IF(I262="Opening",K262,T261+K262-R262)</f>
        <v>313.3</v>
      </c>
      <c r="U262" s="9" t="n">
        <f aca="false">IF(I262="Opening",L262,U261+L262-S262)</f>
        <v>7482073.1436105</v>
      </c>
      <c r="V262" s="9" t="n">
        <f aca="false">IF(T262&gt;0,U262/T262,IF(I262="Opening",0,V261))</f>
        <v>23881.4974261427</v>
      </c>
      <c r="W262" s="14" t="n">
        <f aca="false">M262</f>
        <v>0</v>
      </c>
      <c r="X262" s="9" t="n">
        <f aca="false">IF(W262=0,0,IF(O262="Booked",N262,W262*AA261))</f>
        <v>0</v>
      </c>
      <c r="Y262" s="14" t="n">
        <f aca="false">IF(I262="Opening",K262,Y261+K262-W262)</f>
        <v>313.3</v>
      </c>
      <c r="Z262" s="9" t="n">
        <f aca="false">IF(I262="Opening",L262,Z261+L262-X262)</f>
        <v>7482073.1436105</v>
      </c>
      <c r="AA262" s="9" t="n">
        <f aca="false">IF(Y262&gt;0,Z262/Y262,IF(I262="Opening",0,AA261))</f>
        <v>23881.4974261427</v>
      </c>
      <c r="AB262" s="9" t="n">
        <f aca="false">IF(AND(I262="DO",O262="MA"),S262-N262,0)</f>
        <v>0</v>
      </c>
      <c r="AC262" s="9" t="n">
        <f aca="false">IF(I262="DO",X262-S262,0)</f>
        <v>0</v>
      </c>
      <c r="AD262" s="23" t="n">
        <f aca="false">IF(B263&lt;&gt;B262,1,0)</f>
        <v>0</v>
      </c>
      <c r="AE262" s="14" t="n">
        <f aca="false">IF(I262="Opening",0,AE261+W262)</f>
        <v>13.5</v>
      </c>
      <c r="AF262" s="14" t="n">
        <f aca="false">IF(I262="Opening",K262,AF261)</f>
        <v>319.9</v>
      </c>
      <c r="AG262" s="14" t="n">
        <f aca="false">AG261</f>
        <v>0</v>
      </c>
      <c r="AH262" s="14" t="n">
        <f aca="false">IF(W262=0,0,MAX(0,MIN(AE262,AF262)-MIN(AE262-W262,AF262)))</f>
        <v>0</v>
      </c>
      <c r="AI262" s="14" t="n">
        <f aca="false">IF(W262=0,0,MAX(0,MIN(AE262,AF262+AG262)-MAX(AE262-W262,AF262)))</f>
        <v>0</v>
      </c>
      <c r="AJ262" s="14" t="n">
        <f aca="false">W262-AH262-AI262</f>
        <v>0</v>
      </c>
      <c r="AK262" s="9" t="n">
        <f aca="false">IF(W262=0,0,X262*AH262/W262)</f>
        <v>0</v>
      </c>
      <c r="AL262" s="9" t="n">
        <f aca="false">IF(W262=0,0,X262*AI262/W262)</f>
        <v>0</v>
      </c>
      <c r="AM262" s="9" t="n">
        <f aca="false">X262-AK262-AL262</f>
        <v>0</v>
      </c>
    </row>
    <row r="263" customFormat="false" ht="15" hidden="false" customHeight="false" outlineLevel="0" collapsed="false">
      <c r="A263" s="6" t="n">
        <v>258</v>
      </c>
      <c r="B263" s="74" t="s">
        <v>973</v>
      </c>
      <c r="C263" s="53" t="str">
        <f aca="false">INDEX(I_Items!$C$5:$C$133,MATCH($B263,I_Items!$A$5:$A$133,0))</f>
        <v>RPA</v>
      </c>
      <c r="D263" s="53" t="str">
        <f aca="false">INDEX(I_Items!$D$5:$D$133,MATCH($B263,I_Items!$A$5:$A$133,0))</f>
        <v>Karkas</v>
      </c>
      <c r="E263" s="53" t="str">
        <f aca="false">INDEX(I_Items!$F$5:$F$133,MATCH($B263,I_Items!$A$5:$A$133,0))</f>
        <v>Frozen</v>
      </c>
      <c r="F263" s="53" t="str">
        <f aca="false">IF(INDEX(I_Items!$E$5:$E$133,MATCH($B263,I_Items!$A$5:$A$133,0))="","",INDEX(I_Items!$E$5:$E$133,MATCH($B263,I_Items!$A$5:$A$133,0)))</f>
        <v>Uk 0.7</v>
      </c>
      <c r="G263" s="76" t="n">
        <v>46244</v>
      </c>
      <c r="H263" s="23" t="n">
        <f aca="false">MONTH(G263)</f>
        <v>8</v>
      </c>
      <c r="I263" s="74" t="s">
        <v>2074</v>
      </c>
      <c r="J263" s="74" t="s">
        <v>1294</v>
      </c>
      <c r="K263" s="10" t="n">
        <v>37.6</v>
      </c>
      <c r="L263" s="8" t="n">
        <v>1226382.99</v>
      </c>
      <c r="M263" s="10" t="n">
        <v>0</v>
      </c>
      <c r="N263" s="8" t="n">
        <v>0</v>
      </c>
      <c r="O263" s="74"/>
      <c r="P263" s="74"/>
      <c r="Q263" s="74"/>
      <c r="R263" s="14" t="n">
        <f aca="false">IF(I263="Unbilled",0,M263)</f>
        <v>0</v>
      </c>
      <c r="S263" s="9" t="n">
        <f aca="false">IF(R263=0,0,IF(O263="Booked",N263,R263*V262))</f>
        <v>0</v>
      </c>
      <c r="T263" s="14" t="n">
        <f aca="false">IF(I263="Opening",K263,T262+K263-R263)</f>
        <v>350.9</v>
      </c>
      <c r="U263" s="9" t="n">
        <f aca="false">IF(I263="Opening",L263,U262+L263-S263)</f>
        <v>8708456.1336105</v>
      </c>
      <c r="V263" s="9" t="n">
        <f aca="false">IF(T263&gt;0,U263/T263,IF(I263="Opening",0,V262))</f>
        <v>24817.4868441451</v>
      </c>
      <c r="W263" s="14" t="n">
        <f aca="false">M263</f>
        <v>0</v>
      </c>
      <c r="X263" s="9" t="n">
        <f aca="false">IF(W263=0,0,IF(O263="Booked",N263,W263*AA262))</f>
        <v>0</v>
      </c>
      <c r="Y263" s="14" t="n">
        <f aca="false">IF(I263="Opening",K263,Y262+K263-W263)</f>
        <v>350.9</v>
      </c>
      <c r="Z263" s="9" t="n">
        <f aca="false">IF(I263="Opening",L263,Z262+L263-X263)</f>
        <v>8708456.1336105</v>
      </c>
      <c r="AA263" s="9" t="n">
        <f aca="false">IF(Y263&gt;0,Z263/Y263,IF(I263="Opening",0,AA262))</f>
        <v>24817.4868441451</v>
      </c>
      <c r="AB263" s="9" t="n">
        <f aca="false">IF(AND(I263="DO",O263="MA"),S263-N263,0)</f>
        <v>0</v>
      </c>
      <c r="AC263" s="9" t="n">
        <f aca="false">IF(I263="DO",X263-S263,0)</f>
        <v>0</v>
      </c>
      <c r="AD263" s="23" t="n">
        <f aca="false">IF(B264&lt;&gt;B263,1,0)</f>
        <v>0</v>
      </c>
      <c r="AE263" s="14" t="n">
        <f aca="false">IF(I263="Opening",0,AE262+W263)</f>
        <v>13.5</v>
      </c>
      <c r="AF263" s="14" t="n">
        <f aca="false">IF(I263="Opening",K263,AF262)</f>
        <v>319.9</v>
      </c>
      <c r="AG263" s="14" t="n">
        <f aca="false">AG262</f>
        <v>0</v>
      </c>
      <c r="AH263" s="14" t="n">
        <f aca="false">IF(W263=0,0,MAX(0,MIN(AE263,AF263)-MIN(AE263-W263,AF263)))</f>
        <v>0</v>
      </c>
      <c r="AI263" s="14" t="n">
        <f aca="false">IF(W263=0,0,MAX(0,MIN(AE263,AF263+AG263)-MAX(AE263-W263,AF263)))</f>
        <v>0</v>
      </c>
      <c r="AJ263" s="14" t="n">
        <f aca="false">W263-AH263-AI263</f>
        <v>0</v>
      </c>
      <c r="AK263" s="9" t="n">
        <f aca="false">IF(W263=0,0,X263*AH263/W263)</f>
        <v>0</v>
      </c>
      <c r="AL263" s="9" t="n">
        <f aca="false">IF(W263=0,0,X263*AI263/W263)</f>
        <v>0</v>
      </c>
      <c r="AM263" s="9" t="n">
        <f aca="false">X263-AK263-AL263</f>
        <v>0</v>
      </c>
    </row>
    <row r="264" customFormat="false" ht="15" hidden="false" customHeight="false" outlineLevel="0" collapsed="false">
      <c r="A264" s="6" t="n">
        <v>259</v>
      </c>
      <c r="B264" s="74" t="s">
        <v>973</v>
      </c>
      <c r="C264" s="53" t="str">
        <f aca="false">INDEX(I_Items!$C$5:$C$133,MATCH($B264,I_Items!$A$5:$A$133,0))</f>
        <v>RPA</v>
      </c>
      <c r="D264" s="53" t="str">
        <f aca="false">INDEX(I_Items!$D$5:$D$133,MATCH($B264,I_Items!$A$5:$A$133,0))</f>
        <v>Karkas</v>
      </c>
      <c r="E264" s="53" t="str">
        <f aca="false">INDEX(I_Items!$F$5:$F$133,MATCH($B264,I_Items!$A$5:$A$133,0))</f>
        <v>Frozen</v>
      </c>
      <c r="F264" s="53" t="str">
        <f aca="false">IF(INDEX(I_Items!$E$5:$E$133,MATCH($B264,I_Items!$A$5:$A$133,0))="","",INDEX(I_Items!$E$5:$E$133,MATCH($B264,I_Items!$A$5:$A$133,0)))</f>
        <v>Uk 0.7</v>
      </c>
      <c r="G264" s="76" t="n">
        <v>46246</v>
      </c>
      <c r="H264" s="23" t="n">
        <f aca="false">MONTH(G264)</f>
        <v>8</v>
      </c>
      <c r="I264" s="74" t="s">
        <v>2075</v>
      </c>
      <c r="J264" s="74" t="s">
        <v>2125</v>
      </c>
      <c r="K264" s="10" t="n">
        <v>0</v>
      </c>
      <c r="L264" s="8" t="n">
        <v>0</v>
      </c>
      <c r="M264" s="10" t="n">
        <v>8.4</v>
      </c>
      <c r="N264" s="8" t="n">
        <v>208466.89</v>
      </c>
      <c r="O264" s="74" t="s">
        <v>2077</v>
      </c>
      <c r="P264" s="74"/>
      <c r="Q264" s="74"/>
      <c r="R264" s="14" t="n">
        <f aca="false">IF(I264="Unbilled",0,M264)</f>
        <v>8.4</v>
      </c>
      <c r="S264" s="9" t="n">
        <f aca="false">IF(R264=0,0,IF(O264="Booked",N264,R264*V263))</f>
        <v>208466.889490819</v>
      </c>
      <c r="T264" s="14" t="n">
        <f aca="false">IF(I264="Opening",K264,T263+K264-R264)</f>
        <v>342.5</v>
      </c>
      <c r="U264" s="9" t="n">
        <f aca="false">IF(I264="Opening",L264,U263+L264-S264)</f>
        <v>8499989.24411969</v>
      </c>
      <c r="V264" s="9" t="n">
        <f aca="false">IF(T264&gt;0,U264/T264,IF(I264="Opening",0,V263))</f>
        <v>24817.4868441451</v>
      </c>
      <c r="W264" s="14" t="n">
        <f aca="false">M264</f>
        <v>8.4</v>
      </c>
      <c r="X264" s="9" t="n">
        <f aca="false">IF(W264=0,0,IF(O264="Booked",N264,W264*AA263))</f>
        <v>208466.889490819</v>
      </c>
      <c r="Y264" s="14" t="n">
        <f aca="false">IF(I264="Opening",K264,Y263+K264-W264)</f>
        <v>342.5</v>
      </c>
      <c r="Z264" s="9" t="n">
        <f aca="false">IF(I264="Opening",L264,Z263+L264-X264)</f>
        <v>8499989.24411969</v>
      </c>
      <c r="AA264" s="9" t="n">
        <f aca="false">IF(Y264&gt;0,Z264/Y264,IF(I264="Opening",0,AA263))</f>
        <v>24817.4868441451</v>
      </c>
      <c r="AB264" s="9" t="n">
        <f aca="false">IF(AND(I264="DO",O264="MA"),S264-N264,0)</f>
        <v>-0.000509181438246742</v>
      </c>
      <c r="AC264" s="9" t="n">
        <f aca="false">IF(I264="DO",X264-S264,0)</f>
        <v>0</v>
      </c>
      <c r="AD264" s="23" t="n">
        <f aca="false">IF(B265&lt;&gt;B264,1,0)</f>
        <v>0</v>
      </c>
      <c r="AE264" s="14" t="n">
        <f aca="false">IF(I264="Opening",0,AE263+W264)</f>
        <v>21.9</v>
      </c>
      <c r="AF264" s="14" t="n">
        <f aca="false">IF(I264="Opening",K264,AF263)</f>
        <v>319.9</v>
      </c>
      <c r="AG264" s="14" t="n">
        <f aca="false">AG263</f>
        <v>0</v>
      </c>
      <c r="AH264" s="14" t="n">
        <f aca="false">IF(W264=0,0,MAX(0,MIN(AE264,AF264)-MIN(AE264-W264,AF264)))</f>
        <v>8.4</v>
      </c>
      <c r="AI264" s="14" t="n">
        <f aca="false">IF(W264=0,0,MAX(0,MIN(AE264,AF264+AG264)-MAX(AE264-W264,AF264)))</f>
        <v>0</v>
      </c>
      <c r="AJ264" s="14" t="n">
        <f aca="false">W264-AH264-AI264</f>
        <v>0</v>
      </c>
      <c r="AK264" s="9" t="n">
        <f aca="false">IF(W264=0,0,X264*AH264/W264)</f>
        <v>208466.889490819</v>
      </c>
      <c r="AL264" s="9" t="n">
        <f aca="false">IF(W264=0,0,X264*AI264/W264)</f>
        <v>0</v>
      </c>
      <c r="AM264" s="9" t="n">
        <f aca="false">X264-AK264-AL264</f>
        <v>0</v>
      </c>
    </row>
    <row r="265" customFormat="false" ht="15" hidden="false" customHeight="false" outlineLevel="0" collapsed="false">
      <c r="A265" s="6" t="n">
        <v>260</v>
      </c>
      <c r="B265" s="74" t="s">
        <v>973</v>
      </c>
      <c r="C265" s="53" t="str">
        <f aca="false">INDEX(I_Items!$C$5:$C$133,MATCH($B265,I_Items!$A$5:$A$133,0))</f>
        <v>RPA</v>
      </c>
      <c r="D265" s="53" t="str">
        <f aca="false">INDEX(I_Items!$D$5:$D$133,MATCH($B265,I_Items!$A$5:$A$133,0))</f>
        <v>Karkas</v>
      </c>
      <c r="E265" s="53" t="str">
        <f aca="false">INDEX(I_Items!$F$5:$F$133,MATCH($B265,I_Items!$A$5:$A$133,0))</f>
        <v>Frozen</v>
      </c>
      <c r="F265" s="53" t="str">
        <f aca="false">IF(INDEX(I_Items!$E$5:$E$133,MATCH($B265,I_Items!$A$5:$A$133,0))="","",INDEX(I_Items!$E$5:$E$133,MATCH($B265,I_Items!$A$5:$A$133,0)))</f>
        <v>Uk 0.7</v>
      </c>
      <c r="G265" s="76" t="n">
        <v>46248</v>
      </c>
      <c r="H265" s="23" t="n">
        <f aca="false">MONTH(G265)</f>
        <v>8</v>
      </c>
      <c r="I265" s="74" t="s">
        <v>2074</v>
      </c>
      <c r="J265" s="74" t="s">
        <v>1302</v>
      </c>
      <c r="K265" s="10" t="n">
        <v>7.1</v>
      </c>
      <c r="L265" s="8" t="n">
        <v>247117.69</v>
      </c>
      <c r="M265" s="10" t="n">
        <v>0</v>
      </c>
      <c r="N265" s="8" t="n">
        <v>0</v>
      </c>
      <c r="O265" s="74"/>
      <c r="P265" s="74"/>
      <c r="Q265" s="74"/>
      <c r="R265" s="14" t="n">
        <f aca="false">IF(I265="Unbilled",0,M265)</f>
        <v>0</v>
      </c>
      <c r="S265" s="9" t="n">
        <f aca="false">IF(R265=0,0,IF(O265="Booked",N265,R265*V264))</f>
        <v>0</v>
      </c>
      <c r="T265" s="14" t="n">
        <f aca="false">IF(I265="Opening",K265,T264+K265-R265)</f>
        <v>349.6</v>
      </c>
      <c r="U265" s="9" t="n">
        <f aca="false">IF(I265="Opening",L265,U264+L265-S265)</f>
        <v>8747106.93411969</v>
      </c>
      <c r="V265" s="9" t="n">
        <f aca="false">IF(T265&gt;0,U265/T265,IF(I265="Opening",0,V264))</f>
        <v>25020.3287589236</v>
      </c>
      <c r="W265" s="14" t="n">
        <f aca="false">M265</f>
        <v>0</v>
      </c>
      <c r="X265" s="9" t="n">
        <f aca="false">IF(W265=0,0,IF(O265="Booked",N265,W265*AA264))</f>
        <v>0</v>
      </c>
      <c r="Y265" s="14" t="n">
        <f aca="false">IF(I265="Opening",K265,Y264+K265-W265)</f>
        <v>349.6</v>
      </c>
      <c r="Z265" s="9" t="n">
        <f aca="false">IF(I265="Opening",L265,Z264+L265-X265)</f>
        <v>8747106.93411969</v>
      </c>
      <c r="AA265" s="9" t="n">
        <f aca="false">IF(Y265&gt;0,Z265/Y265,IF(I265="Opening",0,AA264))</f>
        <v>25020.3287589236</v>
      </c>
      <c r="AB265" s="9" t="n">
        <f aca="false">IF(AND(I265="DO",O265="MA"),S265-N265,0)</f>
        <v>0</v>
      </c>
      <c r="AC265" s="9" t="n">
        <f aca="false">IF(I265="DO",X265-S265,0)</f>
        <v>0</v>
      </c>
      <c r="AD265" s="23" t="n">
        <f aca="false">IF(B266&lt;&gt;B265,1,0)</f>
        <v>0</v>
      </c>
      <c r="AE265" s="14" t="n">
        <f aca="false">IF(I265="Opening",0,AE264+W265)</f>
        <v>21.9</v>
      </c>
      <c r="AF265" s="14" t="n">
        <f aca="false">IF(I265="Opening",K265,AF264)</f>
        <v>319.9</v>
      </c>
      <c r="AG265" s="14" t="n">
        <f aca="false">AG264</f>
        <v>0</v>
      </c>
      <c r="AH265" s="14" t="n">
        <f aca="false">IF(W265=0,0,MAX(0,MIN(AE265,AF265)-MIN(AE265-W265,AF265)))</f>
        <v>0</v>
      </c>
      <c r="AI265" s="14" t="n">
        <f aca="false">IF(W265=0,0,MAX(0,MIN(AE265,AF265+AG265)-MAX(AE265-W265,AF265)))</f>
        <v>0</v>
      </c>
      <c r="AJ265" s="14" t="n">
        <f aca="false">W265-AH265-AI265</f>
        <v>0</v>
      </c>
      <c r="AK265" s="9" t="n">
        <f aca="false">IF(W265=0,0,X265*AH265/W265)</f>
        <v>0</v>
      </c>
      <c r="AL265" s="9" t="n">
        <f aca="false">IF(W265=0,0,X265*AI265/W265)</f>
        <v>0</v>
      </c>
      <c r="AM265" s="9" t="n">
        <f aca="false">X265-AK265-AL265</f>
        <v>0</v>
      </c>
    </row>
    <row r="266" customFormat="false" ht="15" hidden="false" customHeight="false" outlineLevel="0" collapsed="false">
      <c r="A266" s="6" t="n">
        <v>261</v>
      </c>
      <c r="B266" s="74" t="s">
        <v>973</v>
      </c>
      <c r="C266" s="53" t="str">
        <f aca="false">INDEX(I_Items!$C$5:$C$133,MATCH($B266,I_Items!$A$5:$A$133,0))</f>
        <v>RPA</v>
      </c>
      <c r="D266" s="53" t="str">
        <f aca="false">INDEX(I_Items!$D$5:$D$133,MATCH($B266,I_Items!$A$5:$A$133,0))</f>
        <v>Karkas</v>
      </c>
      <c r="E266" s="53" t="str">
        <f aca="false">INDEX(I_Items!$F$5:$F$133,MATCH($B266,I_Items!$A$5:$A$133,0))</f>
        <v>Frozen</v>
      </c>
      <c r="F266" s="53" t="str">
        <f aca="false">IF(INDEX(I_Items!$E$5:$E$133,MATCH($B266,I_Items!$A$5:$A$133,0))="","",INDEX(I_Items!$E$5:$E$133,MATCH($B266,I_Items!$A$5:$A$133,0)))</f>
        <v>Uk 0.7</v>
      </c>
      <c r="G266" s="76" t="n">
        <v>46252</v>
      </c>
      <c r="H266" s="23" t="n">
        <f aca="false">MONTH(G266)</f>
        <v>8</v>
      </c>
      <c r="I266" s="74" t="s">
        <v>2075</v>
      </c>
      <c r="J266" s="74" t="s">
        <v>2126</v>
      </c>
      <c r="K266" s="10" t="n">
        <v>0</v>
      </c>
      <c r="L266" s="8" t="n">
        <v>0</v>
      </c>
      <c r="M266" s="10" t="n">
        <v>5.6</v>
      </c>
      <c r="N266" s="8" t="n">
        <v>140113.84</v>
      </c>
      <c r="O266" s="74" t="s">
        <v>2077</v>
      </c>
      <c r="P266" s="74"/>
      <c r="Q266" s="74"/>
      <c r="R266" s="14" t="n">
        <f aca="false">IF(I266="Unbilled",0,M266)</f>
        <v>5.6</v>
      </c>
      <c r="S266" s="9" t="n">
        <f aca="false">IF(R266=0,0,IF(O266="Booked",N266,R266*V265))</f>
        <v>140113.841049972</v>
      </c>
      <c r="T266" s="14" t="n">
        <f aca="false">IF(I266="Opening",K266,T265+K266-R266)</f>
        <v>344</v>
      </c>
      <c r="U266" s="9" t="n">
        <f aca="false">IF(I266="Opening",L266,U265+L266-S266)</f>
        <v>8606993.09306971</v>
      </c>
      <c r="V266" s="9" t="n">
        <f aca="false">IF(T266&gt;0,U266/T266,IF(I266="Opening",0,V265))</f>
        <v>25020.3287589236</v>
      </c>
      <c r="W266" s="14" t="n">
        <f aca="false">M266</f>
        <v>5.6</v>
      </c>
      <c r="X266" s="9" t="n">
        <f aca="false">IF(W266=0,0,IF(O266="Booked",N266,W266*AA265))</f>
        <v>140113.841049972</v>
      </c>
      <c r="Y266" s="14" t="n">
        <f aca="false">IF(I266="Opening",K266,Y265+K266-W266)</f>
        <v>344</v>
      </c>
      <c r="Z266" s="9" t="n">
        <f aca="false">IF(I266="Opening",L266,Z265+L266-X266)</f>
        <v>8606993.09306971</v>
      </c>
      <c r="AA266" s="9" t="n">
        <f aca="false">IF(Y266&gt;0,Z266/Y266,IF(I266="Opening",0,AA265))</f>
        <v>25020.3287589236</v>
      </c>
      <c r="AB266" s="9" t="n">
        <f aca="false">IF(AND(I266="DO",O266="MA"),S266-N266,0)</f>
        <v>0.00104997205198742</v>
      </c>
      <c r="AC266" s="9" t="n">
        <f aca="false">IF(I266="DO",X266-S266,0)</f>
        <v>0</v>
      </c>
      <c r="AD266" s="23" t="n">
        <f aca="false">IF(B267&lt;&gt;B266,1,0)</f>
        <v>0</v>
      </c>
      <c r="AE266" s="14" t="n">
        <f aca="false">IF(I266="Opening",0,AE265+W266)</f>
        <v>27.5</v>
      </c>
      <c r="AF266" s="14" t="n">
        <f aca="false">IF(I266="Opening",K266,AF265)</f>
        <v>319.9</v>
      </c>
      <c r="AG266" s="14" t="n">
        <f aca="false">AG265</f>
        <v>0</v>
      </c>
      <c r="AH266" s="14" t="n">
        <f aca="false">IF(W266=0,0,MAX(0,MIN(AE266,AF266)-MIN(AE266-W266,AF266)))</f>
        <v>5.6</v>
      </c>
      <c r="AI266" s="14" t="n">
        <f aca="false">IF(W266=0,0,MAX(0,MIN(AE266,AF266+AG266)-MAX(AE266-W266,AF266)))</f>
        <v>0</v>
      </c>
      <c r="AJ266" s="14" t="n">
        <f aca="false">W266-AH266-AI266</f>
        <v>0</v>
      </c>
      <c r="AK266" s="9" t="n">
        <f aca="false">IF(W266=0,0,X266*AH266/W266)</f>
        <v>140113.841049972</v>
      </c>
      <c r="AL266" s="9" t="n">
        <f aca="false">IF(W266=0,0,X266*AI266/W266)</f>
        <v>0</v>
      </c>
      <c r="AM266" s="9" t="n">
        <f aca="false">X266-AK266-AL266</f>
        <v>0</v>
      </c>
    </row>
    <row r="267" customFormat="false" ht="15" hidden="false" customHeight="false" outlineLevel="0" collapsed="false">
      <c r="A267" s="6" t="n">
        <v>262</v>
      </c>
      <c r="B267" s="74" t="s">
        <v>973</v>
      </c>
      <c r="C267" s="53" t="str">
        <f aca="false">INDEX(I_Items!$C$5:$C$133,MATCH($B267,I_Items!$A$5:$A$133,0))</f>
        <v>RPA</v>
      </c>
      <c r="D267" s="53" t="str">
        <f aca="false">INDEX(I_Items!$D$5:$D$133,MATCH($B267,I_Items!$A$5:$A$133,0))</f>
        <v>Karkas</v>
      </c>
      <c r="E267" s="53" t="str">
        <f aca="false">INDEX(I_Items!$F$5:$F$133,MATCH($B267,I_Items!$A$5:$A$133,0))</f>
        <v>Frozen</v>
      </c>
      <c r="F267" s="53" t="str">
        <f aca="false">IF(INDEX(I_Items!$E$5:$E$133,MATCH($B267,I_Items!$A$5:$A$133,0))="","",INDEX(I_Items!$E$5:$E$133,MATCH($B267,I_Items!$A$5:$A$133,0)))</f>
        <v>Uk 0.7</v>
      </c>
      <c r="G267" s="76" t="n">
        <v>46253</v>
      </c>
      <c r="H267" s="23" t="n">
        <f aca="false">MONTH(G267)</f>
        <v>8</v>
      </c>
      <c r="I267" s="74" t="s">
        <v>2074</v>
      </c>
      <c r="J267" s="74" t="s">
        <v>1305</v>
      </c>
      <c r="K267" s="10" t="n">
        <v>6</v>
      </c>
      <c r="L267" s="8" t="n">
        <v>206109.21</v>
      </c>
      <c r="M267" s="10" t="n">
        <v>0</v>
      </c>
      <c r="N267" s="8" t="n">
        <v>0</v>
      </c>
      <c r="O267" s="74"/>
      <c r="P267" s="74"/>
      <c r="Q267" s="74"/>
      <c r="R267" s="14" t="n">
        <f aca="false">IF(I267="Unbilled",0,M267)</f>
        <v>0</v>
      </c>
      <c r="S267" s="9" t="n">
        <f aca="false">IF(R267=0,0,IF(O267="Booked",N267,R267*V266))</f>
        <v>0</v>
      </c>
      <c r="T267" s="14" t="n">
        <f aca="false">IF(I267="Opening",K267,T266+K267-R267)</f>
        <v>350</v>
      </c>
      <c r="U267" s="9" t="n">
        <f aca="false">IF(I267="Opening",L267,U266+L267-S267)</f>
        <v>8813102.30306971</v>
      </c>
      <c r="V267" s="9" t="n">
        <f aca="false">IF(T267&gt;0,U267/T267,IF(I267="Opening",0,V266))</f>
        <v>25180.2922944849</v>
      </c>
      <c r="W267" s="14" t="n">
        <f aca="false">M267</f>
        <v>0</v>
      </c>
      <c r="X267" s="9" t="n">
        <f aca="false">IF(W267=0,0,IF(O267="Booked",N267,W267*AA266))</f>
        <v>0</v>
      </c>
      <c r="Y267" s="14" t="n">
        <f aca="false">IF(I267="Opening",K267,Y266+K267-W267)</f>
        <v>350</v>
      </c>
      <c r="Z267" s="9" t="n">
        <f aca="false">IF(I267="Opening",L267,Z266+L267-X267)</f>
        <v>8813102.30306971</v>
      </c>
      <c r="AA267" s="9" t="n">
        <f aca="false">IF(Y267&gt;0,Z267/Y267,IF(I267="Opening",0,AA266))</f>
        <v>25180.2922944849</v>
      </c>
      <c r="AB267" s="9" t="n">
        <f aca="false">IF(AND(I267="DO",O267="MA"),S267-N267,0)</f>
        <v>0</v>
      </c>
      <c r="AC267" s="9" t="n">
        <f aca="false">IF(I267="DO",X267-S267,0)</f>
        <v>0</v>
      </c>
      <c r="AD267" s="23" t="n">
        <f aca="false">IF(B268&lt;&gt;B267,1,0)</f>
        <v>0</v>
      </c>
      <c r="AE267" s="14" t="n">
        <f aca="false">IF(I267="Opening",0,AE266+W267)</f>
        <v>27.5</v>
      </c>
      <c r="AF267" s="14" t="n">
        <f aca="false">IF(I267="Opening",K267,AF266)</f>
        <v>319.9</v>
      </c>
      <c r="AG267" s="14" t="n">
        <f aca="false">AG266</f>
        <v>0</v>
      </c>
      <c r="AH267" s="14" t="n">
        <f aca="false">IF(W267=0,0,MAX(0,MIN(AE267,AF267)-MIN(AE267-W267,AF267)))</f>
        <v>0</v>
      </c>
      <c r="AI267" s="14" t="n">
        <f aca="false">IF(W267=0,0,MAX(0,MIN(AE267,AF267+AG267)-MAX(AE267-W267,AF267)))</f>
        <v>0</v>
      </c>
      <c r="AJ267" s="14" t="n">
        <f aca="false">W267-AH267-AI267</f>
        <v>0</v>
      </c>
      <c r="AK267" s="9" t="n">
        <f aca="false">IF(W267=0,0,X267*AH267/W267)</f>
        <v>0</v>
      </c>
      <c r="AL267" s="9" t="n">
        <f aca="false">IF(W267=0,0,X267*AI267/W267)</f>
        <v>0</v>
      </c>
      <c r="AM267" s="9" t="n">
        <f aca="false">X267-AK267-AL267</f>
        <v>0</v>
      </c>
    </row>
    <row r="268" customFormat="false" ht="15" hidden="false" customHeight="false" outlineLevel="0" collapsed="false">
      <c r="A268" s="6" t="n">
        <v>263</v>
      </c>
      <c r="B268" s="74" t="s">
        <v>973</v>
      </c>
      <c r="C268" s="53" t="str">
        <f aca="false">INDEX(I_Items!$C$5:$C$133,MATCH($B268,I_Items!$A$5:$A$133,0))</f>
        <v>RPA</v>
      </c>
      <c r="D268" s="53" t="str">
        <f aca="false">INDEX(I_Items!$D$5:$D$133,MATCH($B268,I_Items!$A$5:$A$133,0))</f>
        <v>Karkas</v>
      </c>
      <c r="E268" s="53" t="str">
        <f aca="false">INDEX(I_Items!$F$5:$F$133,MATCH($B268,I_Items!$A$5:$A$133,0))</f>
        <v>Frozen</v>
      </c>
      <c r="F268" s="53" t="str">
        <f aca="false">IF(INDEX(I_Items!$E$5:$E$133,MATCH($B268,I_Items!$A$5:$A$133,0))="","",INDEX(I_Items!$E$5:$E$133,MATCH($B268,I_Items!$A$5:$A$133,0)))</f>
        <v>Uk 0.7</v>
      </c>
      <c r="G268" s="76" t="n">
        <v>46254</v>
      </c>
      <c r="H268" s="23" t="n">
        <f aca="false">MONTH(G268)</f>
        <v>8</v>
      </c>
      <c r="I268" s="74" t="s">
        <v>2074</v>
      </c>
      <c r="J268" s="74" t="s">
        <v>1308</v>
      </c>
      <c r="K268" s="10" t="n">
        <v>17.3</v>
      </c>
      <c r="L268" s="8" t="n">
        <v>595616.16</v>
      </c>
      <c r="M268" s="10" t="n">
        <v>0</v>
      </c>
      <c r="N268" s="8" t="n">
        <v>0</v>
      </c>
      <c r="O268" s="74"/>
      <c r="P268" s="74"/>
      <c r="Q268" s="74"/>
      <c r="R268" s="14" t="n">
        <f aca="false">IF(I268="Unbilled",0,M268)</f>
        <v>0</v>
      </c>
      <c r="S268" s="9" t="n">
        <f aca="false">IF(R268=0,0,IF(O268="Booked",N268,R268*V267))</f>
        <v>0</v>
      </c>
      <c r="T268" s="14" t="n">
        <f aca="false">IF(I268="Opening",K268,T267+K268-R268)</f>
        <v>367.3</v>
      </c>
      <c r="U268" s="9" t="n">
        <f aca="false">IF(I268="Opening",L268,U267+L268-S268)</f>
        <v>9408718.46306971</v>
      </c>
      <c r="V268" s="9" t="n">
        <f aca="false">IF(T268&gt;0,U268/T268,IF(I268="Opening",0,V267))</f>
        <v>25615.8956250196</v>
      </c>
      <c r="W268" s="14" t="n">
        <f aca="false">M268</f>
        <v>0</v>
      </c>
      <c r="X268" s="9" t="n">
        <f aca="false">IF(W268=0,0,IF(O268="Booked",N268,W268*AA267))</f>
        <v>0</v>
      </c>
      <c r="Y268" s="14" t="n">
        <f aca="false">IF(I268="Opening",K268,Y267+K268-W268)</f>
        <v>367.3</v>
      </c>
      <c r="Z268" s="9" t="n">
        <f aca="false">IF(I268="Opening",L268,Z267+L268-X268)</f>
        <v>9408718.46306971</v>
      </c>
      <c r="AA268" s="9" t="n">
        <f aca="false">IF(Y268&gt;0,Z268/Y268,IF(I268="Opening",0,AA267))</f>
        <v>25615.8956250196</v>
      </c>
      <c r="AB268" s="9" t="n">
        <f aca="false">IF(AND(I268="DO",O268="MA"),S268-N268,0)</f>
        <v>0</v>
      </c>
      <c r="AC268" s="9" t="n">
        <f aca="false">IF(I268="DO",X268-S268,0)</f>
        <v>0</v>
      </c>
      <c r="AD268" s="23" t="n">
        <f aca="false">IF(B269&lt;&gt;B268,1,0)</f>
        <v>0</v>
      </c>
      <c r="AE268" s="14" t="n">
        <f aca="false">IF(I268="Opening",0,AE267+W268)</f>
        <v>27.5</v>
      </c>
      <c r="AF268" s="14" t="n">
        <f aca="false">IF(I268="Opening",K268,AF267)</f>
        <v>319.9</v>
      </c>
      <c r="AG268" s="14" t="n">
        <f aca="false">AG267</f>
        <v>0</v>
      </c>
      <c r="AH268" s="14" t="n">
        <f aca="false">IF(W268=0,0,MAX(0,MIN(AE268,AF268)-MIN(AE268-W268,AF268)))</f>
        <v>0</v>
      </c>
      <c r="AI268" s="14" t="n">
        <f aca="false">IF(W268=0,0,MAX(0,MIN(AE268,AF268+AG268)-MAX(AE268-W268,AF268)))</f>
        <v>0</v>
      </c>
      <c r="AJ268" s="14" t="n">
        <f aca="false">W268-AH268-AI268</f>
        <v>0</v>
      </c>
      <c r="AK268" s="9" t="n">
        <f aca="false">IF(W268=0,0,X268*AH268/W268)</f>
        <v>0</v>
      </c>
      <c r="AL268" s="9" t="n">
        <f aca="false">IF(W268=0,0,X268*AI268/W268)</f>
        <v>0</v>
      </c>
      <c r="AM268" s="9" t="n">
        <f aca="false">X268-AK268-AL268</f>
        <v>0</v>
      </c>
    </row>
    <row r="269" customFormat="false" ht="15" hidden="false" customHeight="false" outlineLevel="0" collapsed="false">
      <c r="A269" s="6" t="n">
        <v>264</v>
      </c>
      <c r="B269" s="74" t="s">
        <v>973</v>
      </c>
      <c r="C269" s="53" t="str">
        <f aca="false">INDEX(I_Items!$C$5:$C$133,MATCH($B269,I_Items!$A$5:$A$133,0))</f>
        <v>RPA</v>
      </c>
      <c r="D269" s="53" t="str">
        <f aca="false">INDEX(I_Items!$D$5:$D$133,MATCH($B269,I_Items!$A$5:$A$133,0))</f>
        <v>Karkas</v>
      </c>
      <c r="E269" s="53" t="str">
        <f aca="false">INDEX(I_Items!$F$5:$F$133,MATCH($B269,I_Items!$A$5:$A$133,0))</f>
        <v>Frozen</v>
      </c>
      <c r="F269" s="53" t="str">
        <f aca="false">IF(INDEX(I_Items!$E$5:$E$133,MATCH($B269,I_Items!$A$5:$A$133,0))="","",INDEX(I_Items!$E$5:$E$133,MATCH($B269,I_Items!$A$5:$A$133,0)))</f>
        <v>Uk 0.7</v>
      </c>
      <c r="G269" s="76" t="n">
        <v>46255</v>
      </c>
      <c r="H269" s="23" t="n">
        <f aca="false">MONTH(G269)</f>
        <v>8</v>
      </c>
      <c r="I269" s="74" t="s">
        <v>2074</v>
      </c>
      <c r="J269" s="74" t="s">
        <v>1311</v>
      </c>
      <c r="K269" s="10" t="n">
        <v>35.3</v>
      </c>
      <c r="L269" s="8" t="n">
        <v>1226373.99</v>
      </c>
      <c r="M269" s="10" t="n">
        <v>0</v>
      </c>
      <c r="N269" s="8" t="n">
        <v>0</v>
      </c>
      <c r="O269" s="74"/>
      <c r="P269" s="74"/>
      <c r="Q269" s="74"/>
      <c r="R269" s="14" t="n">
        <f aca="false">IF(I269="Unbilled",0,M269)</f>
        <v>0</v>
      </c>
      <c r="S269" s="9" t="n">
        <f aca="false">IF(R269=0,0,IF(O269="Booked",N269,R269*V268))</f>
        <v>0</v>
      </c>
      <c r="T269" s="14" t="n">
        <f aca="false">IF(I269="Opening",K269,T268+K269-R269)</f>
        <v>402.6</v>
      </c>
      <c r="U269" s="9" t="n">
        <f aca="false">IF(I269="Opening",L269,U268+L269-S269)</f>
        <v>10635092.4530697</v>
      </c>
      <c r="V269" s="9" t="n">
        <f aca="false">IF(T269&gt;0,U269/T269,IF(I269="Opening",0,V268))</f>
        <v>26416.0269574509</v>
      </c>
      <c r="W269" s="14" t="n">
        <f aca="false">M269</f>
        <v>0</v>
      </c>
      <c r="X269" s="9" t="n">
        <f aca="false">IF(W269=0,0,IF(O269="Booked",N269,W269*AA268))</f>
        <v>0</v>
      </c>
      <c r="Y269" s="14" t="n">
        <f aca="false">IF(I269="Opening",K269,Y268+K269-W269)</f>
        <v>402.6</v>
      </c>
      <c r="Z269" s="9" t="n">
        <f aca="false">IF(I269="Opening",L269,Z268+L269-X269)</f>
        <v>10635092.4530697</v>
      </c>
      <c r="AA269" s="9" t="n">
        <f aca="false">IF(Y269&gt;0,Z269/Y269,IF(I269="Opening",0,AA268))</f>
        <v>26416.0269574509</v>
      </c>
      <c r="AB269" s="9" t="n">
        <f aca="false">IF(AND(I269="DO",O269="MA"),S269-N269,0)</f>
        <v>0</v>
      </c>
      <c r="AC269" s="9" t="n">
        <f aca="false">IF(I269="DO",X269-S269,0)</f>
        <v>0</v>
      </c>
      <c r="AD269" s="23" t="n">
        <f aca="false">IF(B270&lt;&gt;B269,1,0)</f>
        <v>0</v>
      </c>
      <c r="AE269" s="14" t="n">
        <f aca="false">IF(I269="Opening",0,AE268+W269)</f>
        <v>27.5</v>
      </c>
      <c r="AF269" s="14" t="n">
        <f aca="false">IF(I269="Opening",K269,AF268)</f>
        <v>319.9</v>
      </c>
      <c r="AG269" s="14" t="n">
        <f aca="false">AG268</f>
        <v>0</v>
      </c>
      <c r="AH269" s="14" t="n">
        <f aca="false">IF(W269=0,0,MAX(0,MIN(AE269,AF269)-MIN(AE269-W269,AF269)))</f>
        <v>0</v>
      </c>
      <c r="AI269" s="14" t="n">
        <f aca="false">IF(W269=0,0,MAX(0,MIN(AE269,AF269+AG269)-MAX(AE269-W269,AF269)))</f>
        <v>0</v>
      </c>
      <c r="AJ269" s="14" t="n">
        <f aca="false">W269-AH269-AI269</f>
        <v>0</v>
      </c>
      <c r="AK269" s="9" t="n">
        <f aca="false">IF(W269=0,0,X269*AH269/W269)</f>
        <v>0</v>
      </c>
      <c r="AL269" s="9" t="n">
        <f aca="false">IF(W269=0,0,X269*AI269/W269)</f>
        <v>0</v>
      </c>
      <c r="AM269" s="9" t="n">
        <f aca="false">X269-AK269-AL269</f>
        <v>0</v>
      </c>
    </row>
    <row r="270" customFormat="false" ht="15" hidden="false" customHeight="false" outlineLevel="0" collapsed="false">
      <c r="A270" s="6" t="n">
        <v>265</v>
      </c>
      <c r="B270" s="74" t="s">
        <v>973</v>
      </c>
      <c r="C270" s="53" t="str">
        <f aca="false">INDEX(I_Items!$C$5:$C$133,MATCH($B270,I_Items!$A$5:$A$133,0))</f>
        <v>RPA</v>
      </c>
      <c r="D270" s="53" t="str">
        <f aca="false">INDEX(I_Items!$D$5:$D$133,MATCH($B270,I_Items!$A$5:$A$133,0))</f>
        <v>Karkas</v>
      </c>
      <c r="E270" s="53" t="str">
        <f aca="false">INDEX(I_Items!$F$5:$F$133,MATCH($B270,I_Items!$A$5:$A$133,0))</f>
        <v>Frozen</v>
      </c>
      <c r="F270" s="53" t="str">
        <f aca="false">IF(INDEX(I_Items!$E$5:$E$133,MATCH($B270,I_Items!$A$5:$A$133,0))="","",INDEX(I_Items!$E$5:$E$133,MATCH($B270,I_Items!$A$5:$A$133,0)))</f>
        <v>Uk 0.7</v>
      </c>
      <c r="G270" s="76" t="n">
        <v>46255</v>
      </c>
      <c r="H270" s="23" t="n">
        <f aca="false">MONTH(G270)</f>
        <v>8</v>
      </c>
      <c r="I270" s="74" t="s">
        <v>2075</v>
      </c>
      <c r="J270" s="74" t="s">
        <v>2127</v>
      </c>
      <c r="K270" s="10" t="n">
        <v>0</v>
      </c>
      <c r="L270" s="8" t="n">
        <v>0</v>
      </c>
      <c r="M270" s="10" t="n">
        <v>2.1</v>
      </c>
      <c r="N270" s="8" t="n">
        <v>55473.66</v>
      </c>
      <c r="O270" s="74" t="s">
        <v>2077</v>
      </c>
      <c r="P270" s="74"/>
      <c r="Q270" s="74"/>
      <c r="R270" s="14" t="n">
        <f aca="false">IF(I270="Unbilled",0,M270)</f>
        <v>2.1</v>
      </c>
      <c r="S270" s="9" t="n">
        <f aca="false">IF(R270=0,0,IF(O270="Booked",N270,R270*V269))</f>
        <v>55473.6566106468</v>
      </c>
      <c r="T270" s="14" t="n">
        <f aca="false">IF(I270="Opening",K270,T269+K270-R270)</f>
        <v>400.5</v>
      </c>
      <c r="U270" s="9" t="n">
        <f aca="false">IF(I270="Opening",L270,U269+L270-S270)</f>
        <v>10579618.7964591</v>
      </c>
      <c r="V270" s="9" t="n">
        <f aca="false">IF(T270&gt;0,U270/T270,IF(I270="Opening",0,V269))</f>
        <v>26416.0269574509</v>
      </c>
      <c r="W270" s="14" t="n">
        <f aca="false">M270</f>
        <v>2.1</v>
      </c>
      <c r="X270" s="9" t="n">
        <f aca="false">IF(W270=0,0,IF(O270="Booked",N270,W270*AA269))</f>
        <v>55473.6566106468</v>
      </c>
      <c r="Y270" s="14" t="n">
        <f aca="false">IF(I270="Opening",K270,Y269+K270-W270)</f>
        <v>400.5</v>
      </c>
      <c r="Z270" s="9" t="n">
        <f aca="false">IF(I270="Opening",L270,Z269+L270-X270)</f>
        <v>10579618.7964591</v>
      </c>
      <c r="AA270" s="9" t="n">
        <f aca="false">IF(Y270&gt;0,Z270/Y270,IF(I270="Opening",0,AA269))</f>
        <v>26416.0269574509</v>
      </c>
      <c r="AB270" s="9" t="n">
        <f aca="false">IF(AND(I270="DO",O270="MA"),S270-N270,0)</f>
        <v>-0.00338935321633471</v>
      </c>
      <c r="AC270" s="9" t="n">
        <f aca="false">IF(I270="DO",X270-S270,0)</f>
        <v>0</v>
      </c>
      <c r="AD270" s="23" t="n">
        <f aca="false">IF(B271&lt;&gt;B270,1,0)</f>
        <v>0</v>
      </c>
      <c r="AE270" s="14" t="n">
        <f aca="false">IF(I270="Opening",0,AE269+W270)</f>
        <v>29.6</v>
      </c>
      <c r="AF270" s="14" t="n">
        <f aca="false">IF(I270="Opening",K270,AF269)</f>
        <v>319.9</v>
      </c>
      <c r="AG270" s="14" t="n">
        <f aca="false">AG269</f>
        <v>0</v>
      </c>
      <c r="AH270" s="14" t="n">
        <f aca="false">IF(W270=0,0,MAX(0,MIN(AE270,AF270)-MIN(AE270-W270,AF270)))</f>
        <v>2.1</v>
      </c>
      <c r="AI270" s="14" t="n">
        <f aca="false">IF(W270=0,0,MAX(0,MIN(AE270,AF270+AG270)-MAX(AE270-W270,AF270)))</f>
        <v>0</v>
      </c>
      <c r="AJ270" s="14" t="n">
        <f aca="false">W270-AH270-AI270</f>
        <v>0</v>
      </c>
      <c r="AK270" s="9" t="n">
        <f aca="false">IF(W270=0,0,X270*AH270/W270)</f>
        <v>55473.6566106468</v>
      </c>
      <c r="AL270" s="9" t="n">
        <f aca="false">IF(W270=0,0,X270*AI270/W270)</f>
        <v>0</v>
      </c>
      <c r="AM270" s="9" t="n">
        <f aca="false">X270-AK270-AL270</f>
        <v>0</v>
      </c>
    </row>
    <row r="271" customFormat="false" ht="15" hidden="false" customHeight="false" outlineLevel="0" collapsed="false">
      <c r="A271" s="6" t="n">
        <v>266</v>
      </c>
      <c r="B271" s="74" t="s">
        <v>973</v>
      </c>
      <c r="C271" s="53" t="str">
        <f aca="false">INDEX(I_Items!$C$5:$C$133,MATCH($B271,I_Items!$A$5:$A$133,0))</f>
        <v>RPA</v>
      </c>
      <c r="D271" s="53" t="str">
        <f aca="false">INDEX(I_Items!$D$5:$D$133,MATCH($B271,I_Items!$A$5:$A$133,0))</f>
        <v>Karkas</v>
      </c>
      <c r="E271" s="53" t="str">
        <f aca="false">INDEX(I_Items!$F$5:$F$133,MATCH($B271,I_Items!$A$5:$A$133,0))</f>
        <v>Frozen</v>
      </c>
      <c r="F271" s="53" t="str">
        <f aca="false">IF(INDEX(I_Items!$E$5:$E$133,MATCH($B271,I_Items!$A$5:$A$133,0))="","",INDEX(I_Items!$E$5:$E$133,MATCH($B271,I_Items!$A$5:$A$133,0)))</f>
        <v>Uk 0.7</v>
      </c>
      <c r="G271" s="76" t="n">
        <v>46259</v>
      </c>
      <c r="H271" s="23" t="n">
        <f aca="false">MONTH(G271)</f>
        <v>8</v>
      </c>
      <c r="I271" s="74" t="s">
        <v>2074</v>
      </c>
      <c r="J271" s="74" t="s">
        <v>1314</v>
      </c>
      <c r="K271" s="10" t="n">
        <v>6.3</v>
      </c>
      <c r="L271" s="8" t="n">
        <v>211219.49</v>
      </c>
      <c r="M271" s="10" t="n">
        <v>0</v>
      </c>
      <c r="N271" s="8" t="n">
        <v>0</v>
      </c>
      <c r="O271" s="74"/>
      <c r="P271" s="74"/>
      <c r="Q271" s="74"/>
      <c r="R271" s="14" t="n">
        <f aca="false">IF(I271="Unbilled",0,M271)</f>
        <v>0</v>
      </c>
      <c r="S271" s="9" t="n">
        <f aca="false">IF(R271=0,0,IF(O271="Booked",N271,R271*V270))</f>
        <v>0</v>
      </c>
      <c r="T271" s="14" t="n">
        <f aca="false">IF(I271="Opening",K271,T270+K271-R271)</f>
        <v>406.8</v>
      </c>
      <c r="U271" s="9" t="n">
        <f aca="false">IF(I271="Opening",L271,U270+L271-S271)</f>
        <v>10790838.2864591</v>
      </c>
      <c r="V271" s="9" t="n">
        <f aca="false">IF(T271&gt;0,U271/T271,IF(I271="Opening",0,V270))</f>
        <v>26526.1511466545</v>
      </c>
      <c r="W271" s="14" t="n">
        <f aca="false">M271</f>
        <v>0</v>
      </c>
      <c r="X271" s="9" t="n">
        <f aca="false">IF(W271=0,0,IF(O271="Booked",N271,W271*AA270))</f>
        <v>0</v>
      </c>
      <c r="Y271" s="14" t="n">
        <f aca="false">IF(I271="Opening",K271,Y270+K271-W271)</f>
        <v>406.8</v>
      </c>
      <c r="Z271" s="9" t="n">
        <f aca="false">IF(I271="Opening",L271,Z270+L271-X271)</f>
        <v>10790838.2864591</v>
      </c>
      <c r="AA271" s="9" t="n">
        <f aca="false">IF(Y271&gt;0,Z271/Y271,IF(I271="Opening",0,AA270))</f>
        <v>26526.1511466545</v>
      </c>
      <c r="AB271" s="9" t="n">
        <f aca="false">IF(AND(I271="DO",O271="MA"),S271-N271,0)</f>
        <v>0</v>
      </c>
      <c r="AC271" s="9" t="n">
        <f aca="false">IF(I271="DO",X271-S271,0)</f>
        <v>0</v>
      </c>
      <c r="AD271" s="23" t="n">
        <f aca="false">IF(B272&lt;&gt;B271,1,0)</f>
        <v>0</v>
      </c>
      <c r="AE271" s="14" t="n">
        <f aca="false">IF(I271="Opening",0,AE270+W271)</f>
        <v>29.6</v>
      </c>
      <c r="AF271" s="14" t="n">
        <f aca="false">IF(I271="Opening",K271,AF270)</f>
        <v>319.9</v>
      </c>
      <c r="AG271" s="14" t="n">
        <f aca="false">AG270</f>
        <v>0</v>
      </c>
      <c r="AH271" s="14" t="n">
        <f aca="false">IF(W271=0,0,MAX(0,MIN(AE271,AF271)-MIN(AE271-W271,AF271)))</f>
        <v>0</v>
      </c>
      <c r="AI271" s="14" t="n">
        <f aca="false">IF(W271=0,0,MAX(0,MIN(AE271,AF271+AG271)-MAX(AE271-W271,AF271)))</f>
        <v>0</v>
      </c>
      <c r="AJ271" s="14" t="n">
        <f aca="false">W271-AH271-AI271</f>
        <v>0</v>
      </c>
      <c r="AK271" s="9" t="n">
        <f aca="false">IF(W271=0,0,X271*AH271/W271)</f>
        <v>0</v>
      </c>
      <c r="AL271" s="9" t="n">
        <f aca="false">IF(W271=0,0,X271*AI271/W271)</f>
        <v>0</v>
      </c>
      <c r="AM271" s="9" t="n">
        <f aca="false">X271-AK271-AL271</f>
        <v>0</v>
      </c>
    </row>
    <row r="272" customFormat="false" ht="15" hidden="false" customHeight="false" outlineLevel="0" collapsed="false">
      <c r="A272" s="6" t="n">
        <v>267</v>
      </c>
      <c r="B272" s="74" t="s">
        <v>973</v>
      </c>
      <c r="C272" s="53" t="str">
        <f aca="false">INDEX(I_Items!$C$5:$C$133,MATCH($B272,I_Items!$A$5:$A$133,0))</f>
        <v>RPA</v>
      </c>
      <c r="D272" s="53" t="str">
        <f aca="false">INDEX(I_Items!$D$5:$D$133,MATCH($B272,I_Items!$A$5:$A$133,0))</f>
        <v>Karkas</v>
      </c>
      <c r="E272" s="53" t="str">
        <f aca="false">INDEX(I_Items!$F$5:$F$133,MATCH($B272,I_Items!$A$5:$A$133,0))</f>
        <v>Frozen</v>
      </c>
      <c r="F272" s="53" t="str">
        <f aca="false">IF(INDEX(I_Items!$E$5:$E$133,MATCH($B272,I_Items!$A$5:$A$133,0))="","",INDEX(I_Items!$E$5:$E$133,MATCH($B272,I_Items!$A$5:$A$133,0)))</f>
        <v>Uk 0.7</v>
      </c>
      <c r="G272" s="76" t="n">
        <v>46260</v>
      </c>
      <c r="H272" s="23" t="n">
        <f aca="false">MONTH(G272)</f>
        <v>8</v>
      </c>
      <c r="I272" s="74" t="s">
        <v>2074</v>
      </c>
      <c r="J272" s="74" t="s">
        <v>1317</v>
      </c>
      <c r="K272" s="10" t="n">
        <v>9.1</v>
      </c>
      <c r="L272" s="8" t="n">
        <v>311628.63</v>
      </c>
      <c r="M272" s="10" t="n">
        <v>0</v>
      </c>
      <c r="N272" s="8" t="n">
        <v>0</v>
      </c>
      <c r="O272" s="74"/>
      <c r="P272" s="74"/>
      <c r="Q272" s="74"/>
      <c r="R272" s="14" t="n">
        <f aca="false">IF(I272="Unbilled",0,M272)</f>
        <v>0</v>
      </c>
      <c r="S272" s="9" t="n">
        <f aca="false">IF(R272=0,0,IF(O272="Booked",N272,R272*V271))</f>
        <v>0</v>
      </c>
      <c r="T272" s="14" t="n">
        <f aca="false">IF(I272="Opening",K272,T271+K272-R272)</f>
        <v>415.9</v>
      </c>
      <c r="U272" s="9" t="n">
        <f aca="false">IF(I272="Opening",L272,U271+L272-S272)</f>
        <v>11102466.9164591</v>
      </c>
      <c r="V272" s="9" t="n">
        <f aca="false">IF(T272&gt;0,U272/T272,IF(I272="Opening",0,V271))</f>
        <v>26695.0394721305</v>
      </c>
      <c r="W272" s="14" t="n">
        <f aca="false">M272</f>
        <v>0</v>
      </c>
      <c r="X272" s="9" t="n">
        <f aca="false">IF(W272=0,0,IF(O272="Booked",N272,W272*AA271))</f>
        <v>0</v>
      </c>
      <c r="Y272" s="14" t="n">
        <f aca="false">IF(I272="Opening",K272,Y271+K272-W272)</f>
        <v>415.9</v>
      </c>
      <c r="Z272" s="9" t="n">
        <f aca="false">IF(I272="Opening",L272,Z271+L272-X272)</f>
        <v>11102466.9164591</v>
      </c>
      <c r="AA272" s="9" t="n">
        <f aca="false">IF(Y272&gt;0,Z272/Y272,IF(I272="Opening",0,AA271))</f>
        <v>26695.0394721305</v>
      </c>
      <c r="AB272" s="9" t="n">
        <f aca="false">IF(AND(I272="DO",O272="MA"),S272-N272,0)</f>
        <v>0</v>
      </c>
      <c r="AC272" s="9" t="n">
        <f aca="false">IF(I272="DO",X272-S272,0)</f>
        <v>0</v>
      </c>
      <c r="AD272" s="23" t="n">
        <f aca="false">IF(B273&lt;&gt;B272,1,0)</f>
        <v>0</v>
      </c>
      <c r="AE272" s="14" t="n">
        <f aca="false">IF(I272="Opening",0,AE271+W272)</f>
        <v>29.6</v>
      </c>
      <c r="AF272" s="14" t="n">
        <f aca="false">IF(I272="Opening",K272,AF271)</f>
        <v>319.9</v>
      </c>
      <c r="AG272" s="14" t="n">
        <f aca="false">AG271</f>
        <v>0</v>
      </c>
      <c r="AH272" s="14" t="n">
        <f aca="false">IF(W272=0,0,MAX(0,MIN(AE272,AF272)-MIN(AE272-W272,AF272)))</f>
        <v>0</v>
      </c>
      <c r="AI272" s="14" t="n">
        <f aca="false">IF(W272=0,0,MAX(0,MIN(AE272,AF272+AG272)-MAX(AE272-W272,AF272)))</f>
        <v>0</v>
      </c>
      <c r="AJ272" s="14" t="n">
        <f aca="false">W272-AH272-AI272</f>
        <v>0</v>
      </c>
      <c r="AK272" s="9" t="n">
        <f aca="false">IF(W272=0,0,X272*AH272/W272)</f>
        <v>0</v>
      </c>
      <c r="AL272" s="9" t="n">
        <f aca="false">IF(W272=0,0,X272*AI272/W272)</f>
        <v>0</v>
      </c>
      <c r="AM272" s="9" t="n">
        <f aca="false">X272-AK272-AL272</f>
        <v>0</v>
      </c>
    </row>
    <row r="273" customFormat="false" ht="15" hidden="false" customHeight="false" outlineLevel="0" collapsed="false">
      <c r="A273" s="6" t="n">
        <v>268</v>
      </c>
      <c r="B273" s="74" t="s">
        <v>973</v>
      </c>
      <c r="C273" s="53" t="str">
        <f aca="false">INDEX(I_Items!$C$5:$C$133,MATCH($B273,I_Items!$A$5:$A$133,0))</f>
        <v>RPA</v>
      </c>
      <c r="D273" s="53" t="str">
        <f aca="false">INDEX(I_Items!$D$5:$D$133,MATCH($B273,I_Items!$A$5:$A$133,0))</f>
        <v>Karkas</v>
      </c>
      <c r="E273" s="53" t="str">
        <f aca="false">INDEX(I_Items!$F$5:$F$133,MATCH($B273,I_Items!$A$5:$A$133,0))</f>
        <v>Frozen</v>
      </c>
      <c r="F273" s="53" t="str">
        <f aca="false">IF(INDEX(I_Items!$E$5:$E$133,MATCH($B273,I_Items!$A$5:$A$133,0))="","",INDEX(I_Items!$E$5:$E$133,MATCH($B273,I_Items!$A$5:$A$133,0)))</f>
        <v>Uk 0.7</v>
      </c>
      <c r="G273" s="76" t="n">
        <v>46260</v>
      </c>
      <c r="H273" s="23" t="n">
        <f aca="false">MONTH(G273)</f>
        <v>8</v>
      </c>
      <c r="I273" s="74" t="s">
        <v>2075</v>
      </c>
      <c r="J273" s="74" t="s">
        <v>2128</v>
      </c>
      <c r="K273" s="10" t="n">
        <v>0</v>
      </c>
      <c r="L273" s="8" t="n">
        <v>0</v>
      </c>
      <c r="M273" s="10" t="n">
        <v>6.3</v>
      </c>
      <c r="N273" s="8" t="n">
        <v>168178.75</v>
      </c>
      <c r="O273" s="74" t="s">
        <v>2077</v>
      </c>
      <c r="P273" s="74"/>
      <c r="Q273" s="74"/>
      <c r="R273" s="14" t="n">
        <f aca="false">IF(I273="Unbilled",0,M273)</f>
        <v>6.3</v>
      </c>
      <c r="S273" s="9" t="n">
        <f aca="false">IF(R273=0,0,IF(O273="Booked",N273,R273*V272))</f>
        <v>168178.748674422</v>
      </c>
      <c r="T273" s="14" t="n">
        <f aca="false">IF(I273="Opening",K273,T272+K273-R273)</f>
        <v>409.6</v>
      </c>
      <c r="U273" s="9" t="n">
        <f aca="false">IF(I273="Opening",L273,U272+L273-S273)</f>
        <v>10934288.1677846</v>
      </c>
      <c r="V273" s="9" t="n">
        <f aca="false">IF(T273&gt;0,U273/T273,IF(I273="Opening",0,V272))</f>
        <v>26695.0394721305</v>
      </c>
      <c r="W273" s="14" t="n">
        <f aca="false">M273</f>
        <v>6.3</v>
      </c>
      <c r="X273" s="9" t="n">
        <f aca="false">IF(W273=0,0,IF(O273="Booked",N273,W273*AA272))</f>
        <v>168178.748674422</v>
      </c>
      <c r="Y273" s="14" t="n">
        <f aca="false">IF(I273="Opening",K273,Y272+K273-W273)</f>
        <v>409.6</v>
      </c>
      <c r="Z273" s="9" t="n">
        <f aca="false">IF(I273="Opening",L273,Z272+L273-X273)</f>
        <v>10934288.1677846</v>
      </c>
      <c r="AA273" s="9" t="n">
        <f aca="false">IF(Y273&gt;0,Z273/Y273,IF(I273="Opening",0,AA272))</f>
        <v>26695.0394721305</v>
      </c>
      <c r="AB273" s="9" t="n">
        <f aca="false">IF(AND(I273="DO",O273="MA"),S273-N273,0)</f>
        <v>-0.00132557799224742</v>
      </c>
      <c r="AC273" s="9" t="n">
        <f aca="false">IF(I273="DO",X273-S273,0)</f>
        <v>0</v>
      </c>
      <c r="AD273" s="23" t="n">
        <f aca="false">IF(B274&lt;&gt;B273,1,0)</f>
        <v>0</v>
      </c>
      <c r="AE273" s="14" t="n">
        <f aca="false">IF(I273="Opening",0,AE272+W273)</f>
        <v>35.9</v>
      </c>
      <c r="AF273" s="14" t="n">
        <f aca="false">IF(I273="Opening",K273,AF272)</f>
        <v>319.9</v>
      </c>
      <c r="AG273" s="14" t="n">
        <f aca="false">AG272</f>
        <v>0</v>
      </c>
      <c r="AH273" s="14" t="n">
        <f aca="false">IF(W273=0,0,MAX(0,MIN(AE273,AF273)-MIN(AE273-W273,AF273)))</f>
        <v>6.3</v>
      </c>
      <c r="AI273" s="14" t="n">
        <f aca="false">IF(W273=0,0,MAX(0,MIN(AE273,AF273+AG273)-MAX(AE273-W273,AF273)))</f>
        <v>0</v>
      </c>
      <c r="AJ273" s="14" t="n">
        <f aca="false">W273-AH273-AI273</f>
        <v>0</v>
      </c>
      <c r="AK273" s="9" t="n">
        <f aca="false">IF(W273=0,0,X273*AH273/W273)</f>
        <v>168178.748674422</v>
      </c>
      <c r="AL273" s="9" t="n">
        <f aca="false">IF(W273=0,0,X273*AI273/W273)</f>
        <v>0</v>
      </c>
      <c r="AM273" s="9" t="n">
        <f aca="false">X273-AK273-AL273</f>
        <v>0</v>
      </c>
    </row>
    <row r="274" customFormat="false" ht="15" hidden="false" customHeight="false" outlineLevel="0" collapsed="false">
      <c r="A274" s="6" t="n">
        <v>269</v>
      </c>
      <c r="B274" s="74" t="s">
        <v>973</v>
      </c>
      <c r="C274" s="53" t="str">
        <f aca="false">INDEX(I_Items!$C$5:$C$133,MATCH($B274,I_Items!$A$5:$A$133,0))</f>
        <v>RPA</v>
      </c>
      <c r="D274" s="53" t="str">
        <f aca="false">INDEX(I_Items!$D$5:$D$133,MATCH($B274,I_Items!$A$5:$A$133,0))</f>
        <v>Karkas</v>
      </c>
      <c r="E274" s="53" t="str">
        <f aca="false">INDEX(I_Items!$F$5:$F$133,MATCH($B274,I_Items!$A$5:$A$133,0))</f>
        <v>Frozen</v>
      </c>
      <c r="F274" s="53" t="str">
        <f aca="false">IF(INDEX(I_Items!$E$5:$E$133,MATCH($B274,I_Items!$A$5:$A$133,0))="","",INDEX(I_Items!$E$5:$E$133,MATCH($B274,I_Items!$A$5:$A$133,0)))</f>
        <v>Uk 0.7</v>
      </c>
      <c r="G274" s="76" t="n">
        <v>46261</v>
      </c>
      <c r="H274" s="23" t="n">
        <f aca="false">MONTH(G274)</f>
        <v>8</v>
      </c>
      <c r="I274" s="74" t="s">
        <v>2074</v>
      </c>
      <c r="J274" s="74" t="s">
        <v>1320</v>
      </c>
      <c r="K274" s="10" t="n">
        <v>2.3</v>
      </c>
      <c r="L274" s="8" t="n">
        <v>77749.08</v>
      </c>
      <c r="M274" s="10" t="n">
        <v>0</v>
      </c>
      <c r="N274" s="8" t="n">
        <v>0</v>
      </c>
      <c r="O274" s="74"/>
      <c r="P274" s="74"/>
      <c r="Q274" s="74"/>
      <c r="R274" s="14" t="n">
        <f aca="false">IF(I274="Unbilled",0,M274)</f>
        <v>0</v>
      </c>
      <c r="S274" s="9" t="n">
        <f aca="false">IF(R274=0,0,IF(O274="Booked",N274,R274*V273))</f>
        <v>0</v>
      </c>
      <c r="T274" s="14" t="n">
        <f aca="false">IF(I274="Opening",K274,T273+K274-R274)</f>
        <v>411.9</v>
      </c>
      <c r="U274" s="9" t="n">
        <f aca="false">IF(I274="Opening",L274,U273+L274-S274)</f>
        <v>11012037.2477846</v>
      </c>
      <c r="V274" s="9" t="n">
        <f aca="false">IF(T274&gt;0,U274/T274,IF(I274="Opening",0,V273))</f>
        <v>26734.7347603415</v>
      </c>
      <c r="W274" s="14" t="n">
        <f aca="false">M274</f>
        <v>0</v>
      </c>
      <c r="X274" s="9" t="n">
        <f aca="false">IF(W274=0,0,IF(O274="Booked",N274,W274*AA273))</f>
        <v>0</v>
      </c>
      <c r="Y274" s="14" t="n">
        <f aca="false">IF(I274="Opening",K274,Y273+K274-W274)</f>
        <v>411.9</v>
      </c>
      <c r="Z274" s="9" t="n">
        <f aca="false">IF(I274="Opening",L274,Z273+L274-X274)</f>
        <v>11012037.2477846</v>
      </c>
      <c r="AA274" s="9" t="n">
        <f aca="false">IF(Y274&gt;0,Z274/Y274,IF(I274="Opening",0,AA273))</f>
        <v>26734.7347603415</v>
      </c>
      <c r="AB274" s="9" t="n">
        <f aca="false">IF(AND(I274="DO",O274="MA"),S274-N274,0)</f>
        <v>0</v>
      </c>
      <c r="AC274" s="9" t="n">
        <f aca="false">IF(I274="DO",X274-S274,0)</f>
        <v>0</v>
      </c>
      <c r="AD274" s="23" t="n">
        <f aca="false">IF(B275&lt;&gt;B274,1,0)</f>
        <v>0</v>
      </c>
      <c r="AE274" s="14" t="n">
        <f aca="false">IF(I274="Opening",0,AE273+W274)</f>
        <v>35.9</v>
      </c>
      <c r="AF274" s="14" t="n">
        <f aca="false">IF(I274="Opening",K274,AF273)</f>
        <v>319.9</v>
      </c>
      <c r="AG274" s="14" t="n">
        <f aca="false">AG273</f>
        <v>0</v>
      </c>
      <c r="AH274" s="14" t="n">
        <f aca="false">IF(W274=0,0,MAX(0,MIN(AE274,AF274)-MIN(AE274-W274,AF274)))</f>
        <v>0</v>
      </c>
      <c r="AI274" s="14" t="n">
        <f aca="false">IF(W274=0,0,MAX(0,MIN(AE274,AF274+AG274)-MAX(AE274-W274,AF274)))</f>
        <v>0</v>
      </c>
      <c r="AJ274" s="14" t="n">
        <f aca="false">W274-AH274-AI274</f>
        <v>0</v>
      </c>
      <c r="AK274" s="9" t="n">
        <f aca="false">IF(W274=0,0,X274*AH274/W274)</f>
        <v>0</v>
      </c>
      <c r="AL274" s="9" t="n">
        <f aca="false">IF(W274=0,0,X274*AI274/W274)</f>
        <v>0</v>
      </c>
      <c r="AM274" s="9" t="n">
        <f aca="false">X274-AK274-AL274</f>
        <v>0</v>
      </c>
    </row>
    <row r="275" customFormat="false" ht="15" hidden="false" customHeight="false" outlineLevel="0" collapsed="false">
      <c r="A275" s="6" t="n">
        <v>270</v>
      </c>
      <c r="B275" s="74" t="s">
        <v>973</v>
      </c>
      <c r="C275" s="53" t="str">
        <f aca="false">INDEX(I_Items!$C$5:$C$133,MATCH($B275,I_Items!$A$5:$A$133,0))</f>
        <v>RPA</v>
      </c>
      <c r="D275" s="53" t="str">
        <f aca="false">INDEX(I_Items!$D$5:$D$133,MATCH($B275,I_Items!$A$5:$A$133,0))</f>
        <v>Karkas</v>
      </c>
      <c r="E275" s="53" t="str">
        <f aca="false">INDEX(I_Items!$F$5:$F$133,MATCH($B275,I_Items!$A$5:$A$133,0))</f>
        <v>Frozen</v>
      </c>
      <c r="F275" s="53" t="str">
        <f aca="false">IF(INDEX(I_Items!$E$5:$E$133,MATCH($B275,I_Items!$A$5:$A$133,0))="","",INDEX(I_Items!$E$5:$E$133,MATCH($B275,I_Items!$A$5:$A$133,0)))</f>
        <v>Uk 0.7</v>
      </c>
      <c r="G275" s="76" t="n">
        <v>46262</v>
      </c>
      <c r="H275" s="23" t="n">
        <f aca="false">MONTH(G275)</f>
        <v>8</v>
      </c>
      <c r="I275" s="74" t="s">
        <v>2074</v>
      </c>
      <c r="J275" s="74" t="s">
        <v>1323</v>
      </c>
      <c r="K275" s="10" t="n">
        <v>23.4</v>
      </c>
      <c r="L275" s="8" t="n">
        <v>797553.97</v>
      </c>
      <c r="M275" s="10" t="n">
        <v>0</v>
      </c>
      <c r="N275" s="8" t="n">
        <v>0</v>
      </c>
      <c r="O275" s="74"/>
      <c r="P275" s="74"/>
      <c r="Q275" s="74"/>
      <c r="R275" s="14" t="n">
        <f aca="false">IF(I275="Unbilled",0,M275)</f>
        <v>0</v>
      </c>
      <c r="S275" s="9" t="n">
        <f aca="false">IF(R275=0,0,IF(O275="Booked",N275,R275*V274))</f>
        <v>0</v>
      </c>
      <c r="T275" s="14" t="n">
        <f aca="false">IF(I275="Opening",K275,T274+K275-R275)</f>
        <v>435.3</v>
      </c>
      <c r="U275" s="9" t="n">
        <f aca="false">IF(I275="Opening",L275,U274+L275-S275)</f>
        <v>11809591.2177846</v>
      </c>
      <c r="V275" s="9" t="n">
        <f aca="false">IF(T275&gt;0,U275/T275,IF(I275="Opening",0,V274))</f>
        <v>27129.7753682165</v>
      </c>
      <c r="W275" s="14" t="n">
        <f aca="false">M275</f>
        <v>0</v>
      </c>
      <c r="X275" s="9" t="n">
        <f aca="false">IF(W275=0,0,IF(O275="Booked",N275,W275*AA274))</f>
        <v>0</v>
      </c>
      <c r="Y275" s="14" t="n">
        <f aca="false">IF(I275="Opening",K275,Y274+K275-W275)</f>
        <v>435.3</v>
      </c>
      <c r="Z275" s="9" t="n">
        <f aca="false">IF(I275="Opening",L275,Z274+L275-X275)</f>
        <v>11809591.2177846</v>
      </c>
      <c r="AA275" s="9" t="n">
        <f aca="false">IF(Y275&gt;0,Z275/Y275,IF(I275="Opening",0,AA274))</f>
        <v>27129.7753682165</v>
      </c>
      <c r="AB275" s="9" t="n">
        <f aca="false">IF(AND(I275="DO",O275="MA"),S275-N275,0)</f>
        <v>0</v>
      </c>
      <c r="AC275" s="9" t="n">
        <f aca="false">IF(I275="DO",X275-S275,0)</f>
        <v>0</v>
      </c>
      <c r="AD275" s="23" t="n">
        <f aca="false">IF(B276&lt;&gt;B275,1,0)</f>
        <v>0</v>
      </c>
      <c r="AE275" s="14" t="n">
        <f aca="false">IF(I275="Opening",0,AE274+W275)</f>
        <v>35.9</v>
      </c>
      <c r="AF275" s="14" t="n">
        <f aca="false">IF(I275="Opening",K275,AF274)</f>
        <v>319.9</v>
      </c>
      <c r="AG275" s="14" t="n">
        <f aca="false">AG274</f>
        <v>0</v>
      </c>
      <c r="AH275" s="14" t="n">
        <f aca="false">IF(W275=0,0,MAX(0,MIN(AE275,AF275)-MIN(AE275-W275,AF275)))</f>
        <v>0</v>
      </c>
      <c r="AI275" s="14" t="n">
        <f aca="false">IF(W275=0,0,MAX(0,MIN(AE275,AF275+AG275)-MAX(AE275-W275,AF275)))</f>
        <v>0</v>
      </c>
      <c r="AJ275" s="14" t="n">
        <f aca="false">W275-AH275-AI275</f>
        <v>0</v>
      </c>
      <c r="AK275" s="9" t="n">
        <f aca="false">IF(W275=0,0,X275*AH275/W275)</f>
        <v>0</v>
      </c>
      <c r="AL275" s="9" t="n">
        <f aca="false">IF(W275=0,0,X275*AI275/W275)</f>
        <v>0</v>
      </c>
      <c r="AM275" s="9" t="n">
        <f aca="false">X275-AK275-AL275</f>
        <v>0</v>
      </c>
    </row>
    <row r="276" customFormat="false" ht="15" hidden="false" customHeight="false" outlineLevel="0" collapsed="false">
      <c r="A276" s="6" t="n">
        <v>271</v>
      </c>
      <c r="B276" s="74" t="s">
        <v>973</v>
      </c>
      <c r="C276" s="53" t="str">
        <f aca="false">INDEX(I_Items!$C$5:$C$133,MATCH($B276,I_Items!$A$5:$A$133,0))</f>
        <v>RPA</v>
      </c>
      <c r="D276" s="53" t="str">
        <f aca="false">INDEX(I_Items!$D$5:$D$133,MATCH($B276,I_Items!$A$5:$A$133,0))</f>
        <v>Karkas</v>
      </c>
      <c r="E276" s="53" t="str">
        <f aca="false">INDEX(I_Items!$F$5:$F$133,MATCH($B276,I_Items!$A$5:$A$133,0))</f>
        <v>Frozen</v>
      </c>
      <c r="F276" s="53" t="str">
        <f aca="false">IF(INDEX(I_Items!$E$5:$E$133,MATCH($B276,I_Items!$A$5:$A$133,0))="","",INDEX(I_Items!$E$5:$E$133,MATCH($B276,I_Items!$A$5:$A$133,0)))</f>
        <v>Uk 0.7</v>
      </c>
      <c r="G276" s="76" t="n">
        <v>46263</v>
      </c>
      <c r="H276" s="23" t="n">
        <f aca="false">MONTH(G276)</f>
        <v>8</v>
      </c>
      <c r="I276" s="74" t="s">
        <v>2075</v>
      </c>
      <c r="J276" s="74" t="s">
        <v>2129</v>
      </c>
      <c r="K276" s="10" t="n">
        <v>0</v>
      </c>
      <c r="L276" s="8" t="n">
        <v>0</v>
      </c>
      <c r="M276" s="10" t="n">
        <v>14</v>
      </c>
      <c r="N276" s="8" t="n">
        <v>379816.86</v>
      </c>
      <c r="O276" s="74" t="s">
        <v>2077</v>
      </c>
      <c r="P276" s="74"/>
      <c r="Q276" s="74"/>
      <c r="R276" s="14" t="n">
        <f aca="false">IF(I276="Unbilled",0,M276)</f>
        <v>14</v>
      </c>
      <c r="S276" s="9" t="n">
        <f aca="false">IF(R276=0,0,IF(O276="Booked",N276,R276*V275))</f>
        <v>379816.855155031</v>
      </c>
      <c r="T276" s="14" t="n">
        <f aca="false">IF(I276="Opening",K276,T275+K276-R276)</f>
        <v>421.3</v>
      </c>
      <c r="U276" s="9" t="n">
        <f aca="false">IF(I276="Opening",L276,U275+L276-S276)</f>
        <v>11429774.3626296</v>
      </c>
      <c r="V276" s="9" t="n">
        <f aca="false">IF(T276&gt;0,U276/T276,IF(I276="Opening",0,V275))</f>
        <v>27129.7753682165</v>
      </c>
      <c r="W276" s="14" t="n">
        <f aca="false">M276</f>
        <v>14</v>
      </c>
      <c r="X276" s="9" t="n">
        <f aca="false">IF(W276=0,0,IF(O276="Booked",N276,W276*AA275))</f>
        <v>379816.855155031</v>
      </c>
      <c r="Y276" s="14" t="n">
        <f aca="false">IF(I276="Opening",K276,Y275+K276-W276)</f>
        <v>421.3</v>
      </c>
      <c r="Z276" s="9" t="n">
        <f aca="false">IF(I276="Opening",L276,Z275+L276-X276)</f>
        <v>11429774.3626296</v>
      </c>
      <c r="AA276" s="9" t="n">
        <f aca="false">IF(Y276&gt;0,Z276/Y276,IF(I276="Opening",0,AA275))</f>
        <v>27129.7753682165</v>
      </c>
      <c r="AB276" s="9" t="n">
        <f aca="false">IF(AND(I276="DO",O276="MA"),S276-N276,0)</f>
        <v>-0.00484496890567243</v>
      </c>
      <c r="AC276" s="9" t="n">
        <f aca="false">IF(I276="DO",X276-S276,0)</f>
        <v>0</v>
      </c>
      <c r="AD276" s="23" t="n">
        <f aca="false">IF(B277&lt;&gt;B276,1,0)</f>
        <v>0</v>
      </c>
      <c r="AE276" s="14" t="n">
        <f aca="false">IF(I276="Opening",0,AE275+W276)</f>
        <v>49.9</v>
      </c>
      <c r="AF276" s="14" t="n">
        <f aca="false">IF(I276="Opening",K276,AF275)</f>
        <v>319.9</v>
      </c>
      <c r="AG276" s="14" t="n">
        <f aca="false">AG275</f>
        <v>0</v>
      </c>
      <c r="AH276" s="14" t="n">
        <f aca="false">IF(W276=0,0,MAX(0,MIN(AE276,AF276)-MIN(AE276-W276,AF276)))</f>
        <v>14</v>
      </c>
      <c r="AI276" s="14" t="n">
        <f aca="false">IF(W276=0,0,MAX(0,MIN(AE276,AF276+AG276)-MAX(AE276-W276,AF276)))</f>
        <v>0</v>
      </c>
      <c r="AJ276" s="14" t="n">
        <f aca="false">W276-AH276-AI276</f>
        <v>0</v>
      </c>
      <c r="AK276" s="9" t="n">
        <f aca="false">IF(W276=0,0,X276*AH276/W276)</f>
        <v>379816.855155031</v>
      </c>
      <c r="AL276" s="9" t="n">
        <f aca="false">IF(W276=0,0,X276*AI276/W276)</f>
        <v>0</v>
      </c>
      <c r="AM276" s="9" t="n">
        <f aca="false">X276-AK276-AL276</f>
        <v>0</v>
      </c>
    </row>
    <row r="277" customFormat="false" ht="15" hidden="false" customHeight="false" outlineLevel="0" collapsed="false">
      <c r="A277" s="6" t="n">
        <v>272</v>
      </c>
      <c r="B277" s="74" t="s">
        <v>973</v>
      </c>
      <c r="C277" s="53" t="str">
        <f aca="false">INDEX(I_Items!$C$5:$C$133,MATCH($B277,I_Items!$A$5:$A$133,0))</f>
        <v>RPA</v>
      </c>
      <c r="D277" s="53" t="str">
        <f aca="false">INDEX(I_Items!$D$5:$D$133,MATCH($B277,I_Items!$A$5:$A$133,0))</f>
        <v>Karkas</v>
      </c>
      <c r="E277" s="53" t="str">
        <f aca="false">INDEX(I_Items!$F$5:$F$133,MATCH($B277,I_Items!$A$5:$A$133,0))</f>
        <v>Frozen</v>
      </c>
      <c r="F277" s="53" t="str">
        <f aca="false">IF(INDEX(I_Items!$E$5:$E$133,MATCH($B277,I_Items!$A$5:$A$133,0))="","",INDEX(I_Items!$E$5:$E$133,MATCH($B277,I_Items!$A$5:$A$133,0)))</f>
        <v>Uk 0.7</v>
      </c>
      <c r="G277" s="76" t="n">
        <v>46265</v>
      </c>
      <c r="H277" s="23" t="n">
        <f aca="false">MONTH(G277)</f>
        <v>8</v>
      </c>
      <c r="I277" s="74" t="s">
        <v>2074</v>
      </c>
      <c r="J277" s="74" t="s">
        <v>1326</v>
      </c>
      <c r="K277" s="10" t="n">
        <v>11</v>
      </c>
      <c r="L277" s="8" t="n">
        <v>368463.97</v>
      </c>
      <c r="M277" s="10" t="n">
        <v>0</v>
      </c>
      <c r="N277" s="8" t="n">
        <v>0</v>
      </c>
      <c r="O277" s="74"/>
      <c r="P277" s="74"/>
      <c r="Q277" s="74"/>
      <c r="R277" s="14" t="n">
        <f aca="false">IF(I277="Unbilled",0,M277)</f>
        <v>0</v>
      </c>
      <c r="S277" s="9" t="n">
        <f aca="false">IF(R277=0,0,IF(O277="Booked",N277,R277*V276))</f>
        <v>0</v>
      </c>
      <c r="T277" s="14" t="n">
        <f aca="false">IF(I277="Opening",K277,T276+K277-R277)</f>
        <v>432.3</v>
      </c>
      <c r="U277" s="9" t="n">
        <f aca="false">IF(I277="Opening",L277,U276+L277-S277)</f>
        <v>11798238.3326296</v>
      </c>
      <c r="V277" s="9" t="n">
        <f aca="false">IF(T277&gt;0,U277/T277,IF(I277="Opening",0,V276))</f>
        <v>27291.7842531335</v>
      </c>
      <c r="W277" s="14" t="n">
        <f aca="false">M277</f>
        <v>0</v>
      </c>
      <c r="X277" s="9" t="n">
        <f aca="false">IF(W277=0,0,IF(O277="Booked",N277,W277*AA276))</f>
        <v>0</v>
      </c>
      <c r="Y277" s="14" t="n">
        <f aca="false">IF(I277="Opening",K277,Y276+K277-W277)</f>
        <v>432.3</v>
      </c>
      <c r="Z277" s="9" t="n">
        <f aca="false">IF(I277="Opening",L277,Z276+L277-X277)</f>
        <v>11798238.3326296</v>
      </c>
      <c r="AA277" s="9" t="n">
        <f aca="false">IF(Y277&gt;0,Z277/Y277,IF(I277="Opening",0,AA276))</f>
        <v>27291.7842531335</v>
      </c>
      <c r="AB277" s="9" t="n">
        <f aca="false">IF(AND(I277="DO",O277="MA"),S277-N277,0)</f>
        <v>0</v>
      </c>
      <c r="AC277" s="9" t="n">
        <f aca="false">IF(I277="DO",X277-S277,0)</f>
        <v>0</v>
      </c>
      <c r="AD277" s="23" t="n">
        <f aca="false">IF(B278&lt;&gt;B277,1,0)</f>
        <v>1</v>
      </c>
      <c r="AE277" s="14" t="n">
        <f aca="false">IF(I277="Opening",0,AE276+W277)</f>
        <v>49.9</v>
      </c>
      <c r="AF277" s="14" t="n">
        <f aca="false">IF(I277="Opening",K277,AF276)</f>
        <v>319.9</v>
      </c>
      <c r="AG277" s="14" t="n">
        <f aca="false">AG276</f>
        <v>0</v>
      </c>
      <c r="AH277" s="14" t="n">
        <f aca="false">IF(W277=0,0,MAX(0,MIN(AE277,AF277)-MIN(AE277-W277,AF277)))</f>
        <v>0</v>
      </c>
      <c r="AI277" s="14" t="n">
        <f aca="false">IF(W277=0,0,MAX(0,MIN(AE277,AF277+AG277)-MAX(AE277-W277,AF277)))</f>
        <v>0</v>
      </c>
      <c r="AJ277" s="14" t="n">
        <f aca="false">W277-AH277-AI277</f>
        <v>0</v>
      </c>
      <c r="AK277" s="9" t="n">
        <f aca="false">IF(W277=0,0,X277*AH277/W277)</f>
        <v>0</v>
      </c>
      <c r="AL277" s="9" t="n">
        <f aca="false">IF(W277=0,0,X277*AI277/W277)</f>
        <v>0</v>
      </c>
      <c r="AM277" s="9" t="n">
        <f aca="false">X277-AK277-AL277</f>
        <v>0</v>
      </c>
    </row>
    <row r="278" customFormat="false" ht="15" hidden="false" customHeight="false" outlineLevel="0" collapsed="false">
      <c r="A278" s="6" t="n">
        <v>273</v>
      </c>
      <c r="B278" s="74" t="s">
        <v>974</v>
      </c>
      <c r="C278" s="53" t="str">
        <f aca="false">INDEX(I_Items!$C$5:$C$133,MATCH($B278,I_Items!$A$5:$A$133,0))</f>
        <v>RPA</v>
      </c>
      <c r="D278" s="53" t="str">
        <f aca="false">INDEX(I_Items!$D$5:$D$133,MATCH($B278,I_Items!$A$5:$A$133,0))</f>
        <v>Karkas</v>
      </c>
      <c r="E278" s="53" t="str">
        <f aca="false">INDEX(I_Items!$F$5:$F$133,MATCH($B278,I_Items!$A$5:$A$133,0))</f>
        <v>Frozen</v>
      </c>
      <c r="F278" s="53" t="str">
        <f aca="false">IF(INDEX(I_Items!$E$5:$E$133,MATCH($B278,I_Items!$A$5:$A$133,0))="","",INDEX(I_Items!$E$5:$E$133,MATCH($B278,I_Items!$A$5:$A$133,0)))</f>
        <v>Uk 0.8</v>
      </c>
      <c r="G278" s="76" t="n">
        <v>46204</v>
      </c>
      <c r="H278" s="23" t="n">
        <f aca="false">MONTH(G278)</f>
        <v>7</v>
      </c>
      <c r="I278" s="74" t="s">
        <v>2072</v>
      </c>
      <c r="J278" s="74" t="s">
        <v>2073</v>
      </c>
      <c r="K278" s="10" t="n">
        <v>347.3</v>
      </c>
      <c r="L278" s="8" t="n">
        <v>8334775.04</v>
      </c>
      <c r="M278" s="10" t="n">
        <v>0</v>
      </c>
      <c r="N278" s="8" t="n">
        <v>0</v>
      </c>
      <c r="O278" s="74"/>
      <c r="P278" s="74"/>
      <c r="Q278" s="74"/>
      <c r="R278" s="14" t="n">
        <f aca="false">IF(I278="Unbilled",0,M278)</f>
        <v>0</v>
      </c>
      <c r="S278" s="9" t="n">
        <f aca="false">IF(R278=0,0,IF(O278="Booked",N278,R278*V277))</f>
        <v>0</v>
      </c>
      <c r="T278" s="14" t="n">
        <f aca="false">IF(I278="Opening",K278,T277+K278-R278)</f>
        <v>347.3</v>
      </c>
      <c r="U278" s="9" t="n">
        <f aca="false">IF(I278="Opening",L278,U277+L278-S278)</f>
        <v>8334775.04</v>
      </c>
      <c r="V278" s="9" t="n">
        <f aca="false">IF(T278&gt;0,U278/T278,IF(I278="Opening",0,V277))</f>
        <v>23998.7763892888</v>
      </c>
      <c r="W278" s="14" t="n">
        <f aca="false">M278</f>
        <v>0</v>
      </c>
      <c r="X278" s="9" t="n">
        <f aca="false">IF(W278=0,0,IF(O278="Booked",N278,W278*AA277))</f>
        <v>0</v>
      </c>
      <c r="Y278" s="14" t="n">
        <f aca="false">IF(I278="Opening",K278,Y277+K278-W278)</f>
        <v>347.3</v>
      </c>
      <c r="Z278" s="9" t="n">
        <f aca="false">IF(I278="Opening",L278,Z277+L278-X278)</f>
        <v>8334775.04</v>
      </c>
      <c r="AA278" s="9" t="n">
        <f aca="false">IF(Y278&gt;0,Z278/Y278,IF(I278="Opening",0,AA277))</f>
        <v>23998.7763892888</v>
      </c>
      <c r="AB278" s="9" t="n">
        <f aca="false">IF(AND(I278="DO",O278="MA"),S278-N278,0)</f>
        <v>0</v>
      </c>
      <c r="AC278" s="9" t="n">
        <f aca="false">IF(I278="DO",X278-S278,0)</f>
        <v>0</v>
      </c>
      <c r="AD278" s="23" t="n">
        <f aca="false">IF(B279&lt;&gt;B278,1,0)</f>
        <v>0</v>
      </c>
      <c r="AE278" s="14" t="n">
        <f aca="false">IF(I278="Opening",0,AE277+W278)</f>
        <v>0</v>
      </c>
      <c r="AF278" s="14" t="n">
        <f aca="false">IF(I278="Opening",K278,AF277)</f>
        <v>347.3</v>
      </c>
      <c r="AG278" s="14" t="n">
        <f aca="false">SUMIFS($K$6:$K$1110,$B$6:$B$1110,B278,$H$6:$H$1110,7,$I$6:$I$1110,"&lt;&gt;Opening")</f>
        <v>0</v>
      </c>
      <c r="AH278" s="14" t="n">
        <f aca="false">IF(W278=0,0,MAX(0,MIN(AE278,AF278)-MIN(AE278-W278,AF278)))</f>
        <v>0</v>
      </c>
      <c r="AI278" s="14" t="n">
        <f aca="false">IF(W278=0,0,MAX(0,MIN(AE278,AF278+AG278)-MAX(AE278-W278,AF278)))</f>
        <v>0</v>
      </c>
      <c r="AJ278" s="14" t="n">
        <f aca="false">W278-AH278-AI278</f>
        <v>0</v>
      </c>
      <c r="AK278" s="9" t="n">
        <f aca="false">IF(W278=0,0,X278*AH278/W278)</f>
        <v>0</v>
      </c>
      <c r="AL278" s="9" t="n">
        <f aca="false">IF(W278=0,0,X278*AI278/W278)</f>
        <v>0</v>
      </c>
      <c r="AM278" s="9" t="n">
        <f aca="false">X278-AK278-AL278</f>
        <v>0</v>
      </c>
    </row>
    <row r="279" customFormat="false" ht="15" hidden="false" customHeight="false" outlineLevel="0" collapsed="false">
      <c r="A279" s="6" t="n">
        <v>274</v>
      </c>
      <c r="B279" s="74" t="s">
        <v>974</v>
      </c>
      <c r="C279" s="53" t="str">
        <f aca="false">INDEX(I_Items!$C$5:$C$133,MATCH($B279,I_Items!$A$5:$A$133,0))</f>
        <v>RPA</v>
      </c>
      <c r="D279" s="53" t="str">
        <f aca="false">INDEX(I_Items!$D$5:$D$133,MATCH($B279,I_Items!$A$5:$A$133,0))</f>
        <v>Karkas</v>
      </c>
      <c r="E279" s="53" t="str">
        <f aca="false">INDEX(I_Items!$F$5:$F$133,MATCH($B279,I_Items!$A$5:$A$133,0))</f>
        <v>Frozen</v>
      </c>
      <c r="F279" s="53" t="str">
        <f aca="false">IF(INDEX(I_Items!$E$5:$E$133,MATCH($B279,I_Items!$A$5:$A$133,0))="","",INDEX(I_Items!$E$5:$E$133,MATCH($B279,I_Items!$A$5:$A$133,0)))</f>
        <v>Uk 0.8</v>
      </c>
      <c r="G279" s="76" t="n">
        <v>46204</v>
      </c>
      <c r="H279" s="23" t="n">
        <f aca="false">MONTH(G279)</f>
        <v>7</v>
      </c>
      <c r="I279" s="74" t="s">
        <v>2117</v>
      </c>
      <c r="J279" s="74" t="s">
        <v>2130</v>
      </c>
      <c r="K279" s="10" t="n">
        <v>0</v>
      </c>
      <c r="L279" s="8" t="n">
        <v>0</v>
      </c>
      <c r="M279" s="10" t="n">
        <v>11.7</v>
      </c>
      <c r="N279" s="8" t="n">
        <v>301617.69</v>
      </c>
      <c r="O279" s="74" t="s">
        <v>2119</v>
      </c>
      <c r="P279" s="74"/>
      <c r="Q279" s="74"/>
      <c r="R279" s="14" t="n">
        <f aca="false">IF(I279="Unbilled",0,M279)</f>
        <v>11.7</v>
      </c>
      <c r="S279" s="9" t="n">
        <f aca="false">IF(R279=0,0,IF(O279="Booked",N279,R279*V278))</f>
        <v>301617.69</v>
      </c>
      <c r="T279" s="14" t="n">
        <f aca="false">IF(I279="Opening",K279,T278+K279-R279)</f>
        <v>335.6</v>
      </c>
      <c r="U279" s="9" t="n">
        <f aca="false">IF(I279="Opening",L279,U278+L279-S279)</f>
        <v>8033157.35</v>
      </c>
      <c r="V279" s="9" t="n">
        <f aca="false">IF(T279&gt;0,U279/T279,IF(I279="Opening",0,V278))</f>
        <v>23936.7024731824</v>
      </c>
      <c r="W279" s="14" t="n">
        <f aca="false">M279</f>
        <v>11.7</v>
      </c>
      <c r="X279" s="9" t="n">
        <f aca="false">IF(W279=0,0,IF(O279="Booked",N279,W279*AA278))</f>
        <v>301617.69</v>
      </c>
      <c r="Y279" s="14" t="n">
        <f aca="false">IF(I279="Opening",K279,Y278+K279-W279)</f>
        <v>335.6</v>
      </c>
      <c r="Z279" s="9" t="n">
        <f aca="false">IF(I279="Opening",L279,Z278+L279-X279)</f>
        <v>8033157.35</v>
      </c>
      <c r="AA279" s="9" t="n">
        <f aca="false">IF(Y279&gt;0,Z279/Y279,IF(I279="Opening",0,AA278))</f>
        <v>23936.7024731824</v>
      </c>
      <c r="AB279" s="9" t="n">
        <f aca="false">IF(AND(I279="DO",O279="MA"),S279-N279,0)</f>
        <v>0</v>
      </c>
      <c r="AC279" s="9" t="n">
        <f aca="false">IF(I279="DO",X279-S279,0)</f>
        <v>0</v>
      </c>
      <c r="AD279" s="23" t="n">
        <f aca="false">IF(B280&lt;&gt;B279,1,0)</f>
        <v>0</v>
      </c>
      <c r="AE279" s="14" t="n">
        <f aca="false">IF(I279="Opening",0,AE278+W279)</f>
        <v>11.7</v>
      </c>
      <c r="AF279" s="14" t="n">
        <f aca="false">IF(I279="Opening",K279,AF278)</f>
        <v>347.3</v>
      </c>
      <c r="AG279" s="14" t="n">
        <f aca="false">AG278</f>
        <v>0</v>
      </c>
      <c r="AH279" s="14" t="n">
        <f aca="false">IF(W279=0,0,MAX(0,MIN(AE279,AF279)-MIN(AE279-W279,AF279)))</f>
        <v>11.7</v>
      </c>
      <c r="AI279" s="14" t="n">
        <f aca="false">IF(W279=0,0,MAX(0,MIN(AE279,AF279+AG279)-MAX(AE279-W279,AF279)))</f>
        <v>0</v>
      </c>
      <c r="AJ279" s="14" t="n">
        <f aca="false">W279-AH279-AI279</f>
        <v>0</v>
      </c>
      <c r="AK279" s="9" t="n">
        <f aca="false">IF(W279=0,0,X279*AH279/W279)</f>
        <v>301617.69</v>
      </c>
      <c r="AL279" s="9" t="n">
        <f aca="false">IF(W279=0,0,X279*AI279/W279)</f>
        <v>0</v>
      </c>
      <c r="AM279" s="9" t="n">
        <f aca="false">X279-AK279-AL279</f>
        <v>0</v>
      </c>
    </row>
    <row r="280" customFormat="false" ht="15" hidden="false" customHeight="false" outlineLevel="0" collapsed="false">
      <c r="A280" s="6" t="n">
        <v>275</v>
      </c>
      <c r="B280" s="74" t="s">
        <v>974</v>
      </c>
      <c r="C280" s="53" t="str">
        <f aca="false">INDEX(I_Items!$C$5:$C$133,MATCH($B280,I_Items!$A$5:$A$133,0))</f>
        <v>RPA</v>
      </c>
      <c r="D280" s="53" t="str">
        <f aca="false">INDEX(I_Items!$D$5:$D$133,MATCH($B280,I_Items!$A$5:$A$133,0))</f>
        <v>Karkas</v>
      </c>
      <c r="E280" s="53" t="str">
        <f aca="false">INDEX(I_Items!$F$5:$F$133,MATCH($B280,I_Items!$A$5:$A$133,0))</f>
        <v>Frozen</v>
      </c>
      <c r="F280" s="53" t="str">
        <f aca="false">IF(INDEX(I_Items!$E$5:$E$133,MATCH($B280,I_Items!$A$5:$A$133,0))="","",INDEX(I_Items!$E$5:$E$133,MATCH($B280,I_Items!$A$5:$A$133,0)))</f>
        <v>Uk 0.8</v>
      </c>
      <c r="G280" s="76" t="n">
        <v>46241</v>
      </c>
      <c r="H280" s="23" t="n">
        <f aca="false">MONTH(G280)</f>
        <v>8</v>
      </c>
      <c r="I280" s="74" t="s">
        <v>2074</v>
      </c>
      <c r="J280" s="74" t="s">
        <v>1290</v>
      </c>
      <c r="K280" s="10" t="n">
        <v>27.9</v>
      </c>
      <c r="L280" s="8" t="n">
        <v>850780.14</v>
      </c>
      <c r="M280" s="10" t="n">
        <v>0</v>
      </c>
      <c r="N280" s="8" t="n">
        <v>0</v>
      </c>
      <c r="O280" s="74"/>
      <c r="P280" s="74"/>
      <c r="Q280" s="74"/>
      <c r="R280" s="14" t="n">
        <f aca="false">IF(I280="Unbilled",0,M280)</f>
        <v>0</v>
      </c>
      <c r="S280" s="9" t="n">
        <f aca="false">IF(R280=0,0,IF(O280="Booked",N280,R280*V279))</f>
        <v>0</v>
      </c>
      <c r="T280" s="14" t="n">
        <f aca="false">IF(I280="Opening",K280,T279+K280-R280)</f>
        <v>363.5</v>
      </c>
      <c r="U280" s="9" t="n">
        <f aca="false">IF(I280="Opening",L280,U279+L280-S280)</f>
        <v>8883937.49</v>
      </c>
      <c r="V280" s="9" t="n">
        <f aca="false">IF(T280&gt;0,U280/T280,IF(I280="Opening",0,V279))</f>
        <v>24439.9930949106</v>
      </c>
      <c r="W280" s="14" t="n">
        <f aca="false">M280</f>
        <v>0</v>
      </c>
      <c r="X280" s="9" t="n">
        <f aca="false">IF(W280=0,0,IF(O280="Booked",N280,W280*AA279))</f>
        <v>0</v>
      </c>
      <c r="Y280" s="14" t="n">
        <f aca="false">IF(I280="Opening",K280,Y279+K280-W280)</f>
        <v>363.5</v>
      </c>
      <c r="Z280" s="9" t="n">
        <f aca="false">IF(I280="Opening",L280,Z279+L280-X280)</f>
        <v>8883937.49</v>
      </c>
      <c r="AA280" s="9" t="n">
        <f aca="false">IF(Y280&gt;0,Z280/Y280,IF(I280="Opening",0,AA279))</f>
        <v>24439.9930949106</v>
      </c>
      <c r="AB280" s="9" t="n">
        <f aca="false">IF(AND(I280="DO",O280="MA"),S280-N280,0)</f>
        <v>0</v>
      </c>
      <c r="AC280" s="9" t="n">
        <f aca="false">IF(I280="DO",X280-S280,0)</f>
        <v>0</v>
      </c>
      <c r="AD280" s="23" t="n">
        <f aca="false">IF(B281&lt;&gt;B280,1,0)</f>
        <v>0</v>
      </c>
      <c r="AE280" s="14" t="n">
        <f aca="false">IF(I280="Opening",0,AE279+W280)</f>
        <v>11.7</v>
      </c>
      <c r="AF280" s="14" t="n">
        <f aca="false">IF(I280="Opening",K280,AF279)</f>
        <v>347.3</v>
      </c>
      <c r="AG280" s="14" t="n">
        <f aca="false">AG279</f>
        <v>0</v>
      </c>
      <c r="AH280" s="14" t="n">
        <f aca="false">IF(W280=0,0,MAX(0,MIN(AE280,AF280)-MIN(AE280-W280,AF280)))</f>
        <v>0</v>
      </c>
      <c r="AI280" s="14" t="n">
        <f aca="false">IF(W280=0,0,MAX(0,MIN(AE280,AF280+AG280)-MAX(AE280-W280,AF280)))</f>
        <v>0</v>
      </c>
      <c r="AJ280" s="14" t="n">
        <f aca="false">W280-AH280-AI280</f>
        <v>0</v>
      </c>
      <c r="AK280" s="9" t="n">
        <f aca="false">IF(W280=0,0,X280*AH280/W280)</f>
        <v>0</v>
      </c>
      <c r="AL280" s="9" t="n">
        <f aca="false">IF(W280=0,0,X280*AI280/W280)</f>
        <v>0</v>
      </c>
      <c r="AM280" s="9" t="n">
        <f aca="false">X280-AK280-AL280</f>
        <v>0</v>
      </c>
    </row>
    <row r="281" customFormat="false" ht="15" hidden="false" customHeight="false" outlineLevel="0" collapsed="false">
      <c r="A281" s="6" t="n">
        <v>276</v>
      </c>
      <c r="B281" s="74" t="s">
        <v>974</v>
      </c>
      <c r="C281" s="53" t="str">
        <f aca="false">INDEX(I_Items!$C$5:$C$133,MATCH($B281,I_Items!$A$5:$A$133,0))</f>
        <v>RPA</v>
      </c>
      <c r="D281" s="53" t="str">
        <f aca="false">INDEX(I_Items!$D$5:$D$133,MATCH($B281,I_Items!$A$5:$A$133,0))</f>
        <v>Karkas</v>
      </c>
      <c r="E281" s="53" t="str">
        <f aca="false">INDEX(I_Items!$F$5:$F$133,MATCH($B281,I_Items!$A$5:$A$133,0))</f>
        <v>Frozen</v>
      </c>
      <c r="F281" s="53" t="str">
        <f aca="false">IF(INDEX(I_Items!$E$5:$E$133,MATCH($B281,I_Items!$A$5:$A$133,0))="","",INDEX(I_Items!$E$5:$E$133,MATCH($B281,I_Items!$A$5:$A$133,0)))</f>
        <v>Uk 0.8</v>
      </c>
      <c r="G281" s="76" t="n">
        <v>46244</v>
      </c>
      <c r="H281" s="23" t="n">
        <f aca="false">MONTH(G281)</f>
        <v>8</v>
      </c>
      <c r="I281" s="74" t="s">
        <v>2074</v>
      </c>
      <c r="J281" s="74" t="s">
        <v>1294</v>
      </c>
      <c r="K281" s="10" t="n">
        <v>63</v>
      </c>
      <c r="L281" s="8" t="n">
        <v>2054843.83</v>
      </c>
      <c r="M281" s="10" t="n">
        <v>0</v>
      </c>
      <c r="N281" s="8" t="n">
        <v>0</v>
      </c>
      <c r="O281" s="74"/>
      <c r="P281" s="74"/>
      <c r="Q281" s="74"/>
      <c r="R281" s="14" t="n">
        <f aca="false">IF(I281="Unbilled",0,M281)</f>
        <v>0</v>
      </c>
      <c r="S281" s="9" t="n">
        <f aca="false">IF(R281=0,0,IF(O281="Booked",N281,R281*V280))</f>
        <v>0</v>
      </c>
      <c r="T281" s="14" t="n">
        <f aca="false">IF(I281="Opening",K281,T280+K281-R281)</f>
        <v>426.5</v>
      </c>
      <c r="U281" s="9" t="n">
        <f aca="false">IF(I281="Opening",L281,U280+L281-S281)</f>
        <v>10938781.32</v>
      </c>
      <c r="V281" s="9" t="n">
        <f aca="false">IF(T281&gt;0,U281/T281,IF(I281="Opening",0,V280))</f>
        <v>25647.7873856975</v>
      </c>
      <c r="W281" s="14" t="n">
        <f aca="false">M281</f>
        <v>0</v>
      </c>
      <c r="X281" s="9" t="n">
        <f aca="false">IF(W281=0,0,IF(O281="Booked",N281,W281*AA280))</f>
        <v>0</v>
      </c>
      <c r="Y281" s="14" t="n">
        <f aca="false">IF(I281="Opening",K281,Y280+K281-W281)</f>
        <v>426.5</v>
      </c>
      <c r="Z281" s="9" t="n">
        <f aca="false">IF(I281="Opening",L281,Z280+L281-X281)</f>
        <v>10938781.32</v>
      </c>
      <c r="AA281" s="9" t="n">
        <f aca="false">IF(Y281&gt;0,Z281/Y281,IF(I281="Opening",0,AA280))</f>
        <v>25647.7873856975</v>
      </c>
      <c r="AB281" s="9" t="n">
        <f aca="false">IF(AND(I281="DO",O281="MA"),S281-N281,0)</f>
        <v>0</v>
      </c>
      <c r="AC281" s="9" t="n">
        <f aca="false">IF(I281="DO",X281-S281,0)</f>
        <v>0</v>
      </c>
      <c r="AD281" s="23" t="n">
        <f aca="false">IF(B282&lt;&gt;B281,1,0)</f>
        <v>0</v>
      </c>
      <c r="AE281" s="14" t="n">
        <f aca="false">IF(I281="Opening",0,AE280+W281)</f>
        <v>11.7</v>
      </c>
      <c r="AF281" s="14" t="n">
        <f aca="false">IF(I281="Opening",K281,AF280)</f>
        <v>347.3</v>
      </c>
      <c r="AG281" s="14" t="n">
        <f aca="false">AG280</f>
        <v>0</v>
      </c>
      <c r="AH281" s="14" t="n">
        <f aca="false">IF(W281=0,0,MAX(0,MIN(AE281,AF281)-MIN(AE281-W281,AF281)))</f>
        <v>0</v>
      </c>
      <c r="AI281" s="14" t="n">
        <f aca="false">IF(W281=0,0,MAX(0,MIN(AE281,AF281+AG281)-MAX(AE281-W281,AF281)))</f>
        <v>0</v>
      </c>
      <c r="AJ281" s="14" t="n">
        <f aca="false">W281-AH281-AI281</f>
        <v>0</v>
      </c>
      <c r="AK281" s="9" t="n">
        <f aca="false">IF(W281=0,0,X281*AH281/W281)</f>
        <v>0</v>
      </c>
      <c r="AL281" s="9" t="n">
        <f aca="false">IF(W281=0,0,X281*AI281/W281)</f>
        <v>0</v>
      </c>
      <c r="AM281" s="9" t="n">
        <f aca="false">X281-AK281-AL281</f>
        <v>0</v>
      </c>
    </row>
    <row r="282" customFormat="false" ht="15" hidden="false" customHeight="false" outlineLevel="0" collapsed="false">
      <c r="A282" s="6" t="n">
        <v>277</v>
      </c>
      <c r="B282" s="74" t="s">
        <v>974</v>
      </c>
      <c r="C282" s="53" t="str">
        <f aca="false">INDEX(I_Items!$C$5:$C$133,MATCH($B282,I_Items!$A$5:$A$133,0))</f>
        <v>RPA</v>
      </c>
      <c r="D282" s="53" t="str">
        <f aca="false">INDEX(I_Items!$D$5:$D$133,MATCH($B282,I_Items!$A$5:$A$133,0))</f>
        <v>Karkas</v>
      </c>
      <c r="E282" s="53" t="str">
        <f aca="false">INDEX(I_Items!$F$5:$F$133,MATCH($B282,I_Items!$A$5:$A$133,0))</f>
        <v>Frozen</v>
      </c>
      <c r="F282" s="53" t="str">
        <f aca="false">IF(INDEX(I_Items!$E$5:$E$133,MATCH($B282,I_Items!$A$5:$A$133,0))="","",INDEX(I_Items!$E$5:$E$133,MATCH($B282,I_Items!$A$5:$A$133,0)))</f>
        <v>Uk 0.8</v>
      </c>
      <c r="G282" s="76" t="n">
        <v>46244</v>
      </c>
      <c r="H282" s="23" t="n">
        <f aca="false">MONTH(G282)</f>
        <v>8</v>
      </c>
      <c r="I282" s="74" t="s">
        <v>2074</v>
      </c>
      <c r="J282" s="74" t="s">
        <v>1298</v>
      </c>
      <c r="K282" s="10" t="n">
        <v>1.7</v>
      </c>
      <c r="L282" s="8" t="n">
        <v>58625.63</v>
      </c>
      <c r="M282" s="10" t="n">
        <v>0</v>
      </c>
      <c r="N282" s="8" t="n">
        <v>0</v>
      </c>
      <c r="O282" s="74"/>
      <c r="P282" s="74"/>
      <c r="Q282" s="74"/>
      <c r="R282" s="14" t="n">
        <f aca="false">IF(I282="Unbilled",0,M282)</f>
        <v>0</v>
      </c>
      <c r="S282" s="9" t="n">
        <f aca="false">IF(R282=0,0,IF(O282="Booked",N282,R282*V281))</f>
        <v>0</v>
      </c>
      <c r="T282" s="14" t="n">
        <f aca="false">IF(I282="Opening",K282,T281+K282-R282)</f>
        <v>428.2</v>
      </c>
      <c r="U282" s="9" t="n">
        <f aca="false">IF(I282="Opening",L282,U281+L282-S282)</f>
        <v>10997406.95</v>
      </c>
      <c r="V282" s="9" t="n">
        <f aca="false">IF(T282&gt;0,U282/T282,IF(I282="Opening",0,V281))</f>
        <v>25682.8747080803</v>
      </c>
      <c r="W282" s="14" t="n">
        <f aca="false">M282</f>
        <v>0</v>
      </c>
      <c r="X282" s="9" t="n">
        <f aca="false">IF(W282=0,0,IF(O282="Booked",N282,W282*AA281))</f>
        <v>0</v>
      </c>
      <c r="Y282" s="14" t="n">
        <f aca="false">IF(I282="Opening",K282,Y281+K282-W282)</f>
        <v>428.2</v>
      </c>
      <c r="Z282" s="9" t="n">
        <f aca="false">IF(I282="Opening",L282,Z281+L282-X282)</f>
        <v>10997406.95</v>
      </c>
      <c r="AA282" s="9" t="n">
        <f aca="false">IF(Y282&gt;0,Z282/Y282,IF(I282="Opening",0,AA281))</f>
        <v>25682.8747080803</v>
      </c>
      <c r="AB282" s="9" t="n">
        <f aca="false">IF(AND(I282="DO",O282="MA"),S282-N282,0)</f>
        <v>0</v>
      </c>
      <c r="AC282" s="9" t="n">
        <f aca="false">IF(I282="DO",X282-S282,0)</f>
        <v>0</v>
      </c>
      <c r="AD282" s="23" t="n">
        <f aca="false">IF(B283&lt;&gt;B282,1,0)</f>
        <v>0</v>
      </c>
      <c r="AE282" s="14" t="n">
        <f aca="false">IF(I282="Opening",0,AE281+W282)</f>
        <v>11.7</v>
      </c>
      <c r="AF282" s="14" t="n">
        <f aca="false">IF(I282="Opening",K282,AF281)</f>
        <v>347.3</v>
      </c>
      <c r="AG282" s="14" t="n">
        <f aca="false">AG281</f>
        <v>0</v>
      </c>
      <c r="AH282" s="14" t="n">
        <f aca="false">IF(W282=0,0,MAX(0,MIN(AE282,AF282)-MIN(AE282-W282,AF282)))</f>
        <v>0</v>
      </c>
      <c r="AI282" s="14" t="n">
        <f aca="false">IF(W282=0,0,MAX(0,MIN(AE282,AF282+AG282)-MAX(AE282-W282,AF282)))</f>
        <v>0</v>
      </c>
      <c r="AJ282" s="14" t="n">
        <f aca="false">W282-AH282-AI282</f>
        <v>0</v>
      </c>
      <c r="AK282" s="9" t="n">
        <f aca="false">IF(W282=0,0,X282*AH282/W282)</f>
        <v>0</v>
      </c>
      <c r="AL282" s="9" t="n">
        <f aca="false">IF(W282=0,0,X282*AI282/W282)</f>
        <v>0</v>
      </c>
      <c r="AM282" s="9" t="n">
        <f aca="false">X282-AK282-AL282</f>
        <v>0</v>
      </c>
    </row>
    <row r="283" customFormat="false" ht="15" hidden="false" customHeight="false" outlineLevel="0" collapsed="false">
      <c r="A283" s="6" t="n">
        <v>278</v>
      </c>
      <c r="B283" s="74" t="s">
        <v>974</v>
      </c>
      <c r="C283" s="53" t="str">
        <f aca="false">INDEX(I_Items!$C$5:$C$133,MATCH($B283,I_Items!$A$5:$A$133,0))</f>
        <v>RPA</v>
      </c>
      <c r="D283" s="53" t="str">
        <f aca="false">INDEX(I_Items!$D$5:$D$133,MATCH($B283,I_Items!$A$5:$A$133,0))</f>
        <v>Karkas</v>
      </c>
      <c r="E283" s="53" t="str">
        <f aca="false">INDEX(I_Items!$F$5:$F$133,MATCH($B283,I_Items!$A$5:$A$133,0))</f>
        <v>Frozen</v>
      </c>
      <c r="F283" s="53" t="str">
        <f aca="false">IF(INDEX(I_Items!$E$5:$E$133,MATCH($B283,I_Items!$A$5:$A$133,0))="","",INDEX(I_Items!$E$5:$E$133,MATCH($B283,I_Items!$A$5:$A$133,0)))</f>
        <v>Uk 0.8</v>
      </c>
      <c r="G283" s="76" t="n">
        <v>46248</v>
      </c>
      <c r="H283" s="23" t="n">
        <f aca="false">MONTH(G283)</f>
        <v>8</v>
      </c>
      <c r="I283" s="74" t="s">
        <v>2074</v>
      </c>
      <c r="J283" s="74" t="s">
        <v>1302</v>
      </c>
      <c r="K283" s="10" t="n">
        <v>3.5</v>
      </c>
      <c r="L283" s="8" t="n">
        <v>121818.58</v>
      </c>
      <c r="M283" s="10" t="n">
        <v>0</v>
      </c>
      <c r="N283" s="8" t="n">
        <v>0</v>
      </c>
      <c r="O283" s="74"/>
      <c r="P283" s="74"/>
      <c r="Q283" s="74"/>
      <c r="R283" s="14" t="n">
        <f aca="false">IF(I283="Unbilled",0,M283)</f>
        <v>0</v>
      </c>
      <c r="S283" s="9" t="n">
        <f aca="false">IF(R283=0,0,IF(O283="Booked",N283,R283*V282))</f>
        <v>0</v>
      </c>
      <c r="T283" s="14" t="n">
        <f aca="false">IF(I283="Opening",K283,T282+K283-R283)</f>
        <v>431.7</v>
      </c>
      <c r="U283" s="9" t="n">
        <f aca="false">IF(I283="Opening",L283,U282+L283-S283)</f>
        <v>11119225.53</v>
      </c>
      <c r="V283" s="9" t="n">
        <f aca="false">IF(T283&gt;0,U283/T283,IF(I283="Opening",0,V282))</f>
        <v>25756.8346768589</v>
      </c>
      <c r="W283" s="14" t="n">
        <f aca="false">M283</f>
        <v>0</v>
      </c>
      <c r="X283" s="9" t="n">
        <f aca="false">IF(W283=0,0,IF(O283="Booked",N283,W283*AA282))</f>
        <v>0</v>
      </c>
      <c r="Y283" s="14" t="n">
        <f aca="false">IF(I283="Opening",K283,Y282+K283-W283)</f>
        <v>431.7</v>
      </c>
      <c r="Z283" s="9" t="n">
        <f aca="false">IF(I283="Opening",L283,Z282+L283-X283)</f>
        <v>11119225.53</v>
      </c>
      <c r="AA283" s="9" t="n">
        <f aca="false">IF(Y283&gt;0,Z283/Y283,IF(I283="Opening",0,AA282))</f>
        <v>25756.8346768589</v>
      </c>
      <c r="AB283" s="9" t="n">
        <f aca="false">IF(AND(I283="DO",O283="MA"),S283-N283,0)</f>
        <v>0</v>
      </c>
      <c r="AC283" s="9" t="n">
        <f aca="false">IF(I283="DO",X283-S283,0)</f>
        <v>0</v>
      </c>
      <c r="AD283" s="23" t="n">
        <f aca="false">IF(B284&lt;&gt;B283,1,0)</f>
        <v>0</v>
      </c>
      <c r="AE283" s="14" t="n">
        <f aca="false">IF(I283="Opening",0,AE282+W283)</f>
        <v>11.7</v>
      </c>
      <c r="AF283" s="14" t="n">
        <f aca="false">IF(I283="Opening",K283,AF282)</f>
        <v>347.3</v>
      </c>
      <c r="AG283" s="14" t="n">
        <f aca="false">AG282</f>
        <v>0</v>
      </c>
      <c r="AH283" s="14" t="n">
        <f aca="false">IF(W283=0,0,MAX(0,MIN(AE283,AF283)-MIN(AE283-W283,AF283)))</f>
        <v>0</v>
      </c>
      <c r="AI283" s="14" t="n">
        <f aca="false">IF(W283=0,0,MAX(0,MIN(AE283,AF283+AG283)-MAX(AE283-W283,AF283)))</f>
        <v>0</v>
      </c>
      <c r="AJ283" s="14" t="n">
        <f aca="false">W283-AH283-AI283</f>
        <v>0</v>
      </c>
      <c r="AK283" s="9" t="n">
        <f aca="false">IF(W283=0,0,X283*AH283/W283)</f>
        <v>0</v>
      </c>
      <c r="AL283" s="9" t="n">
        <f aca="false">IF(W283=0,0,X283*AI283/W283)</f>
        <v>0</v>
      </c>
      <c r="AM283" s="9" t="n">
        <f aca="false">X283-AK283-AL283</f>
        <v>0</v>
      </c>
    </row>
    <row r="284" customFormat="false" ht="15" hidden="false" customHeight="false" outlineLevel="0" collapsed="false">
      <c r="A284" s="6" t="n">
        <v>279</v>
      </c>
      <c r="B284" s="74" t="s">
        <v>974</v>
      </c>
      <c r="C284" s="53" t="str">
        <f aca="false">INDEX(I_Items!$C$5:$C$133,MATCH($B284,I_Items!$A$5:$A$133,0))</f>
        <v>RPA</v>
      </c>
      <c r="D284" s="53" t="str">
        <f aca="false">INDEX(I_Items!$D$5:$D$133,MATCH($B284,I_Items!$A$5:$A$133,0))</f>
        <v>Karkas</v>
      </c>
      <c r="E284" s="53" t="str">
        <f aca="false">INDEX(I_Items!$F$5:$F$133,MATCH($B284,I_Items!$A$5:$A$133,0))</f>
        <v>Frozen</v>
      </c>
      <c r="F284" s="53" t="str">
        <f aca="false">IF(INDEX(I_Items!$E$5:$E$133,MATCH($B284,I_Items!$A$5:$A$133,0))="","",INDEX(I_Items!$E$5:$E$133,MATCH($B284,I_Items!$A$5:$A$133,0)))</f>
        <v>Uk 0.8</v>
      </c>
      <c r="G284" s="76" t="n">
        <v>46253</v>
      </c>
      <c r="H284" s="23" t="n">
        <f aca="false">MONTH(G284)</f>
        <v>8</v>
      </c>
      <c r="I284" s="74" t="s">
        <v>2074</v>
      </c>
      <c r="J284" s="74" t="s">
        <v>1305</v>
      </c>
      <c r="K284" s="10" t="n">
        <v>20.5</v>
      </c>
      <c r="L284" s="8" t="n">
        <v>704206.48</v>
      </c>
      <c r="M284" s="10" t="n">
        <v>0</v>
      </c>
      <c r="N284" s="8" t="n">
        <v>0</v>
      </c>
      <c r="O284" s="74"/>
      <c r="P284" s="74"/>
      <c r="Q284" s="74"/>
      <c r="R284" s="14" t="n">
        <f aca="false">IF(I284="Unbilled",0,M284)</f>
        <v>0</v>
      </c>
      <c r="S284" s="9" t="n">
        <f aca="false">IF(R284=0,0,IF(O284="Booked",N284,R284*V283))</f>
        <v>0</v>
      </c>
      <c r="T284" s="14" t="n">
        <f aca="false">IF(I284="Opening",K284,T283+K284-R284)</f>
        <v>452.2</v>
      </c>
      <c r="U284" s="9" t="n">
        <f aca="false">IF(I284="Opening",L284,U283+L284-S284)</f>
        <v>11823432.01</v>
      </c>
      <c r="V284" s="9" t="n">
        <f aca="false">IF(T284&gt;0,U284/T284,IF(I284="Opening",0,V283))</f>
        <v>26146.4661875276</v>
      </c>
      <c r="W284" s="14" t="n">
        <f aca="false">M284</f>
        <v>0</v>
      </c>
      <c r="X284" s="9" t="n">
        <f aca="false">IF(W284=0,0,IF(O284="Booked",N284,W284*AA283))</f>
        <v>0</v>
      </c>
      <c r="Y284" s="14" t="n">
        <f aca="false">IF(I284="Opening",K284,Y283+K284-W284)</f>
        <v>452.2</v>
      </c>
      <c r="Z284" s="9" t="n">
        <f aca="false">IF(I284="Opening",L284,Z283+L284-X284)</f>
        <v>11823432.01</v>
      </c>
      <c r="AA284" s="9" t="n">
        <f aca="false">IF(Y284&gt;0,Z284/Y284,IF(I284="Opening",0,AA283))</f>
        <v>26146.4661875276</v>
      </c>
      <c r="AB284" s="9" t="n">
        <f aca="false">IF(AND(I284="DO",O284="MA"),S284-N284,0)</f>
        <v>0</v>
      </c>
      <c r="AC284" s="9" t="n">
        <f aca="false">IF(I284="DO",X284-S284,0)</f>
        <v>0</v>
      </c>
      <c r="AD284" s="23" t="n">
        <f aca="false">IF(B285&lt;&gt;B284,1,0)</f>
        <v>0</v>
      </c>
      <c r="AE284" s="14" t="n">
        <f aca="false">IF(I284="Opening",0,AE283+W284)</f>
        <v>11.7</v>
      </c>
      <c r="AF284" s="14" t="n">
        <f aca="false">IF(I284="Opening",K284,AF283)</f>
        <v>347.3</v>
      </c>
      <c r="AG284" s="14" t="n">
        <f aca="false">AG283</f>
        <v>0</v>
      </c>
      <c r="AH284" s="14" t="n">
        <f aca="false">IF(W284=0,0,MAX(0,MIN(AE284,AF284)-MIN(AE284-W284,AF284)))</f>
        <v>0</v>
      </c>
      <c r="AI284" s="14" t="n">
        <f aca="false">IF(W284=0,0,MAX(0,MIN(AE284,AF284+AG284)-MAX(AE284-W284,AF284)))</f>
        <v>0</v>
      </c>
      <c r="AJ284" s="14" t="n">
        <f aca="false">W284-AH284-AI284</f>
        <v>0</v>
      </c>
      <c r="AK284" s="9" t="n">
        <f aca="false">IF(W284=0,0,X284*AH284/W284)</f>
        <v>0</v>
      </c>
      <c r="AL284" s="9" t="n">
        <f aca="false">IF(W284=0,0,X284*AI284/W284)</f>
        <v>0</v>
      </c>
      <c r="AM284" s="9" t="n">
        <f aca="false">X284-AK284-AL284</f>
        <v>0</v>
      </c>
    </row>
    <row r="285" customFormat="false" ht="15" hidden="false" customHeight="false" outlineLevel="0" collapsed="false">
      <c r="A285" s="6" t="n">
        <v>280</v>
      </c>
      <c r="B285" s="74" t="s">
        <v>974</v>
      </c>
      <c r="C285" s="53" t="str">
        <f aca="false">INDEX(I_Items!$C$5:$C$133,MATCH($B285,I_Items!$A$5:$A$133,0))</f>
        <v>RPA</v>
      </c>
      <c r="D285" s="53" t="str">
        <f aca="false">INDEX(I_Items!$D$5:$D$133,MATCH($B285,I_Items!$A$5:$A$133,0))</f>
        <v>Karkas</v>
      </c>
      <c r="E285" s="53" t="str">
        <f aca="false">INDEX(I_Items!$F$5:$F$133,MATCH($B285,I_Items!$A$5:$A$133,0))</f>
        <v>Frozen</v>
      </c>
      <c r="F285" s="53" t="str">
        <f aca="false">IF(INDEX(I_Items!$E$5:$E$133,MATCH($B285,I_Items!$A$5:$A$133,0))="","",INDEX(I_Items!$E$5:$E$133,MATCH($B285,I_Items!$A$5:$A$133,0)))</f>
        <v>Uk 0.8</v>
      </c>
      <c r="G285" s="76" t="n">
        <v>46254</v>
      </c>
      <c r="H285" s="23" t="n">
        <f aca="false">MONTH(G285)</f>
        <v>8</v>
      </c>
      <c r="I285" s="74" t="s">
        <v>2074</v>
      </c>
      <c r="J285" s="74" t="s">
        <v>1308</v>
      </c>
      <c r="K285" s="10" t="n">
        <v>63.7</v>
      </c>
      <c r="L285" s="8" t="n">
        <v>2193106.9</v>
      </c>
      <c r="M285" s="10" t="n">
        <v>0</v>
      </c>
      <c r="N285" s="8" t="n">
        <v>0</v>
      </c>
      <c r="O285" s="74"/>
      <c r="P285" s="74"/>
      <c r="Q285" s="74"/>
      <c r="R285" s="14" t="n">
        <f aca="false">IF(I285="Unbilled",0,M285)</f>
        <v>0</v>
      </c>
      <c r="S285" s="9" t="n">
        <f aca="false">IF(R285=0,0,IF(O285="Booked",N285,R285*V284))</f>
        <v>0</v>
      </c>
      <c r="T285" s="14" t="n">
        <f aca="false">IF(I285="Opening",K285,T284+K285-R285)</f>
        <v>515.9</v>
      </c>
      <c r="U285" s="9" t="n">
        <f aca="false">IF(I285="Opening",L285,U284+L285-S285)</f>
        <v>14016538.91</v>
      </c>
      <c r="V285" s="9" t="n">
        <f aca="false">IF(T285&gt;0,U285/T285,IF(I285="Opening",0,V284))</f>
        <v>27169.1004264392</v>
      </c>
      <c r="W285" s="14" t="n">
        <f aca="false">M285</f>
        <v>0</v>
      </c>
      <c r="X285" s="9" t="n">
        <f aca="false">IF(W285=0,0,IF(O285="Booked",N285,W285*AA284))</f>
        <v>0</v>
      </c>
      <c r="Y285" s="14" t="n">
        <f aca="false">IF(I285="Opening",K285,Y284+K285-W285)</f>
        <v>515.9</v>
      </c>
      <c r="Z285" s="9" t="n">
        <f aca="false">IF(I285="Opening",L285,Z284+L285-X285)</f>
        <v>14016538.91</v>
      </c>
      <c r="AA285" s="9" t="n">
        <f aca="false">IF(Y285&gt;0,Z285/Y285,IF(I285="Opening",0,AA284))</f>
        <v>27169.1004264392</v>
      </c>
      <c r="AB285" s="9" t="n">
        <f aca="false">IF(AND(I285="DO",O285="MA"),S285-N285,0)</f>
        <v>0</v>
      </c>
      <c r="AC285" s="9" t="n">
        <f aca="false">IF(I285="DO",X285-S285,0)</f>
        <v>0</v>
      </c>
      <c r="AD285" s="23" t="n">
        <f aca="false">IF(B286&lt;&gt;B285,1,0)</f>
        <v>0</v>
      </c>
      <c r="AE285" s="14" t="n">
        <f aca="false">IF(I285="Opening",0,AE284+W285)</f>
        <v>11.7</v>
      </c>
      <c r="AF285" s="14" t="n">
        <f aca="false">IF(I285="Opening",K285,AF284)</f>
        <v>347.3</v>
      </c>
      <c r="AG285" s="14" t="n">
        <f aca="false">AG284</f>
        <v>0</v>
      </c>
      <c r="AH285" s="14" t="n">
        <f aca="false">IF(W285=0,0,MAX(0,MIN(AE285,AF285)-MIN(AE285-W285,AF285)))</f>
        <v>0</v>
      </c>
      <c r="AI285" s="14" t="n">
        <f aca="false">IF(W285=0,0,MAX(0,MIN(AE285,AF285+AG285)-MAX(AE285-W285,AF285)))</f>
        <v>0</v>
      </c>
      <c r="AJ285" s="14" t="n">
        <f aca="false">W285-AH285-AI285</f>
        <v>0</v>
      </c>
      <c r="AK285" s="9" t="n">
        <f aca="false">IF(W285=0,0,X285*AH285/W285)</f>
        <v>0</v>
      </c>
      <c r="AL285" s="9" t="n">
        <f aca="false">IF(W285=0,0,X285*AI285/W285)</f>
        <v>0</v>
      </c>
      <c r="AM285" s="9" t="n">
        <f aca="false">X285-AK285-AL285</f>
        <v>0</v>
      </c>
    </row>
    <row r="286" customFormat="false" ht="15" hidden="false" customHeight="false" outlineLevel="0" collapsed="false">
      <c r="A286" s="6" t="n">
        <v>281</v>
      </c>
      <c r="B286" s="74" t="s">
        <v>974</v>
      </c>
      <c r="C286" s="53" t="str">
        <f aca="false">INDEX(I_Items!$C$5:$C$133,MATCH($B286,I_Items!$A$5:$A$133,0))</f>
        <v>RPA</v>
      </c>
      <c r="D286" s="53" t="str">
        <f aca="false">INDEX(I_Items!$D$5:$D$133,MATCH($B286,I_Items!$A$5:$A$133,0))</f>
        <v>Karkas</v>
      </c>
      <c r="E286" s="53" t="str">
        <f aca="false">INDEX(I_Items!$F$5:$F$133,MATCH($B286,I_Items!$A$5:$A$133,0))</f>
        <v>Frozen</v>
      </c>
      <c r="F286" s="53" t="str">
        <f aca="false">IF(INDEX(I_Items!$E$5:$E$133,MATCH($B286,I_Items!$A$5:$A$133,0))="","",INDEX(I_Items!$E$5:$E$133,MATCH($B286,I_Items!$A$5:$A$133,0)))</f>
        <v>Uk 0.8</v>
      </c>
      <c r="G286" s="76" t="n">
        <v>46255</v>
      </c>
      <c r="H286" s="23" t="n">
        <f aca="false">MONTH(G286)</f>
        <v>8</v>
      </c>
      <c r="I286" s="74" t="s">
        <v>2074</v>
      </c>
      <c r="J286" s="74" t="s">
        <v>1311</v>
      </c>
      <c r="K286" s="10" t="n">
        <v>46.2</v>
      </c>
      <c r="L286" s="8" t="n">
        <v>1605056.05</v>
      </c>
      <c r="M286" s="10" t="n">
        <v>0</v>
      </c>
      <c r="N286" s="8" t="n">
        <v>0</v>
      </c>
      <c r="O286" s="74"/>
      <c r="P286" s="74"/>
      <c r="Q286" s="74"/>
      <c r="R286" s="14" t="n">
        <f aca="false">IF(I286="Unbilled",0,M286)</f>
        <v>0</v>
      </c>
      <c r="S286" s="9" t="n">
        <f aca="false">IF(R286=0,0,IF(O286="Booked",N286,R286*V285))</f>
        <v>0</v>
      </c>
      <c r="T286" s="14" t="n">
        <f aca="false">IF(I286="Opening",K286,T285+K286-R286)</f>
        <v>562.1</v>
      </c>
      <c r="U286" s="9" t="n">
        <f aca="false">IF(I286="Opening",L286,U285+L286-S286)</f>
        <v>15621594.96</v>
      </c>
      <c r="V286" s="9" t="n">
        <f aca="false">IF(T286&gt;0,U286/T286,IF(I286="Opening",0,V285))</f>
        <v>27791.4872086817</v>
      </c>
      <c r="W286" s="14" t="n">
        <f aca="false">M286</f>
        <v>0</v>
      </c>
      <c r="X286" s="9" t="n">
        <f aca="false">IF(W286=0,0,IF(O286="Booked",N286,W286*AA285))</f>
        <v>0</v>
      </c>
      <c r="Y286" s="14" t="n">
        <f aca="false">IF(I286="Opening",K286,Y285+K286-W286)</f>
        <v>562.1</v>
      </c>
      <c r="Z286" s="9" t="n">
        <f aca="false">IF(I286="Opening",L286,Z285+L286-X286)</f>
        <v>15621594.96</v>
      </c>
      <c r="AA286" s="9" t="n">
        <f aca="false">IF(Y286&gt;0,Z286/Y286,IF(I286="Opening",0,AA285))</f>
        <v>27791.4872086817</v>
      </c>
      <c r="AB286" s="9" t="n">
        <f aca="false">IF(AND(I286="DO",O286="MA"),S286-N286,0)</f>
        <v>0</v>
      </c>
      <c r="AC286" s="9" t="n">
        <f aca="false">IF(I286="DO",X286-S286,0)</f>
        <v>0</v>
      </c>
      <c r="AD286" s="23" t="n">
        <f aca="false">IF(B287&lt;&gt;B286,1,0)</f>
        <v>0</v>
      </c>
      <c r="AE286" s="14" t="n">
        <f aca="false">IF(I286="Opening",0,AE285+W286)</f>
        <v>11.7</v>
      </c>
      <c r="AF286" s="14" t="n">
        <f aca="false">IF(I286="Opening",K286,AF285)</f>
        <v>347.3</v>
      </c>
      <c r="AG286" s="14" t="n">
        <f aca="false">AG285</f>
        <v>0</v>
      </c>
      <c r="AH286" s="14" t="n">
        <f aca="false">IF(W286=0,0,MAX(0,MIN(AE286,AF286)-MIN(AE286-W286,AF286)))</f>
        <v>0</v>
      </c>
      <c r="AI286" s="14" t="n">
        <f aca="false">IF(W286=0,0,MAX(0,MIN(AE286,AF286+AG286)-MAX(AE286-W286,AF286)))</f>
        <v>0</v>
      </c>
      <c r="AJ286" s="14" t="n">
        <f aca="false">W286-AH286-AI286</f>
        <v>0</v>
      </c>
      <c r="AK286" s="9" t="n">
        <f aca="false">IF(W286=0,0,X286*AH286/W286)</f>
        <v>0</v>
      </c>
      <c r="AL286" s="9" t="n">
        <f aca="false">IF(W286=0,0,X286*AI286/W286)</f>
        <v>0</v>
      </c>
      <c r="AM286" s="9" t="n">
        <f aca="false">X286-AK286-AL286</f>
        <v>0</v>
      </c>
    </row>
    <row r="287" customFormat="false" ht="15" hidden="false" customHeight="false" outlineLevel="0" collapsed="false">
      <c r="A287" s="6" t="n">
        <v>282</v>
      </c>
      <c r="B287" s="74" t="s">
        <v>974</v>
      </c>
      <c r="C287" s="53" t="str">
        <f aca="false">INDEX(I_Items!$C$5:$C$133,MATCH($B287,I_Items!$A$5:$A$133,0))</f>
        <v>RPA</v>
      </c>
      <c r="D287" s="53" t="str">
        <f aca="false">INDEX(I_Items!$D$5:$D$133,MATCH($B287,I_Items!$A$5:$A$133,0))</f>
        <v>Karkas</v>
      </c>
      <c r="E287" s="53" t="str">
        <f aca="false">INDEX(I_Items!$F$5:$F$133,MATCH($B287,I_Items!$A$5:$A$133,0))</f>
        <v>Frozen</v>
      </c>
      <c r="F287" s="53" t="str">
        <f aca="false">IF(INDEX(I_Items!$E$5:$E$133,MATCH($B287,I_Items!$A$5:$A$133,0))="","",INDEX(I_Items!$E$5:$E$133,MATCH($B287,I_Items!$A$5:$A$133,0)))</f>
        <v>Uk 0.8</v>
      </c>
      <c r="G287" s="76" t="n">
        <v>46260</v>
      </c>
      <c r="H287" s="23" t="n">
        <f aca="false">MONTH(G287)</f>
        <v>8</v>
      </c>
      <c r="I287" s="74" t="s">
        <v>2074</v>
      </c>
      <c r="J287" s="74" t="s">
        <v>1317</v>
      </c>
      <c r="K287" s="10" t="n">
        <v>15.6</v>
      </c>
      <c r="L287" s="8" t="n">
        <v>534220.51</v>
      </c>
      <c r="M287" s="10" t="n">
        <v>0</v>
      </c>
      <c r="N287" s="8" t="n">
        <v>0</v>
      </c>
      <c r="O287" s="74"/>
      <c r="P287" s="74"/>
      <c r="Q287" s="74"/>
      <c r="R287" s="14" t="n">
        <f aca="false">IF(I287="Unbilled",0,M287)</f>
        <v>0</v>
      </c>
      <c r="S287" s="9" t="n">
        <f aca="false">IF(R287=0,0,IF(O287="Booked",N287,R287*V286))</f>
        <v>0</v>
      </c>
      <c r="T287" s="14" t="n">
        <f aca="false">IF(I287="Opening",K287,T286+K287-R287)</f>
        <v>577.7</v>
      </c>
      <c r="U287" s="9" t="n">
        <f aca="false">IF(I287="Opening",L287,U286+L287-S287)</f>
        <v>16155815.47</v>
      </c>
      <c r="V287" s="9" t="n">
        <f aca="false">IF(T287&gt;0,U287/T287,IF(I287="Opening",0,V286))</f>
        <v>27965.7529340488</v>
      </c>
      <c r="W287" s="14" t="n">
        <f aca="false">M287</f>
        <v>0</v>
      </c>
      <c r="X287" s="9" t="n">
        <f aca="false">IF(W287=0,0,IF(O287="Booked",N287,W287*AA286))</f>
        <v>0</v>
      </c>
      <c r="Y287" s="14" t="n">
        <f aca="false">IF(I287="Opening",K287,Y286+K287-W287)</f>
        <v>577.7</v>
      </c>
      <c r="Z287" s="9" t="n">
        <f aca="false">IF(I287="Opening",L287,Z286+L287-X287)</f>
        <v>16155815.47</v>
      </c>
      <c r="AA287" s="9" t="n">
        <f aca="false">IF(Y287&gt;0,Z287/Y287,IF(I287="Opening",0,AA286))</f>
        <v>27965.7529340488</v>
      </c>
      <c r="AB287" s="9" t="n">
        <f aca="false">IF(AND(I287="DO",O287="MA"),S287-N287,0)</f>
        <v>0</v>
      </c>
      <c r="AC287" s="9" t="n">
        <f aca="false">IF(I287="DO",X287-S287,0)</f>
        <v>0</v>
      </c>
      <c r="AD287" s="23" t="n">
        <f aca="false">IF(B288&lt;&gt;B287,1,0)</f>
        <v>0</v>
      </c>
      <c r="AE287" s="14" t="n">
        <f aca="false">IF(I287="Opening",0,AE286+W287)</f>
        <v>11.7</v>
      </c>
      <c r="AF287" s="14" t="n">
        <f aca="false">IF(I287="Opening",K287,AF286)</f>
        <v>347.3</v>
      </c>
      <c r="AG287" s="14" t="n">
        <f aca="false">AG286</f>
        <v>0</v>
      </c>
      <c r="AH287" s="14" t="n">
        <f aca="false">IF(W287=0,0,MAX(0,MIN(AE287,AF287)-MIN(AE287-W287,AF287)))</f>
        <v>0</v>
      </c>
      <c r="AI287" s="14" t="n">
        <f aca="false">IF(W287=0,0,MAX(0,MIN(AE287,AF287+AG287)-MAX(AE287-W287,AF287)))</f>
        <v>0</v>
      </c>
      <c r="AJ287" s="14" t="n">
        <f aca="false">W287-AH287-AI287</f>
        <v>0</v>
      </c>
      <c r="AK287" s="9" t="n">
        <f aca="false">IF(W287=0,0,X287*AH287/W287)</f>
        <v>0</v>
      </c>
      <c r="AL287" s="9" t="n">
        <f aca="false">IF(W287=0,0,X287*AI287/W287)</f>
        <v>0</v>
      </c>
      <c r="AM287" s="9" t="n">
        <f aca="false">X287-AK287-AL287</f>
        <v>0</v>
      </c>
    </row>
    <row r="288" customFormat="false" ht="15" hidden="false" customHeight="false" outlineLevel="0" collapsed="false">
      <c r="A288" s="6" t="n">
        <v>283</v>
      </c>
      <c r="B288" s="74" t="s">
        <v>974</v>
      </c>
      <c r="C288" s="53" t="str">
        <f aca="false">INDEX(I_Items!$C$5:$C$133,MATCH($B288,I_Items!$A$5:$A$133,0))</f>
        <v>RPA</v>
      </c>
      <c r="D288" s="53" t="str">
        <f aca="false">INDEX(I_Items!$D$5:$D$133,MATCH($B288,I_Items!$A$5:$A$133,0))</f>
        <v>Karkas</v>
      </c>
      <c r="E288" s="53" t="str">
        <f aca="false">INDEX(I_Items!$F$5:$F$133,MATCH($B288,I_Items!$A$5:$A$133,0))</f>
        <v>Frozen</v>
      </c>
      <c r="F288" s="53" t="str">
        <f aca="false">IF(INDEX(I_Items!$E$5:$E$133,MATCH($B288,I_Items!$A$5:$A$133,0))="","",INDEX(I_Items!$E$5:$E$133,MATCH($B288,I_Items!$A$5:$A$133,0)))</f>
        <v>Uk 0.8</v>
      </c>
      <c r="G288" s="76" t="n">
        <v>46261</v>
      </c>
      <c r="H288" s="23" t="n">
        <f aca="false">MONTH(G288)</f>
        <v>8</v>
      </c>
      <c r="I288" s="74" t="s">
        <v>2074</v>
      </c>
      <c r="J288" s="74" t="s">
        <v>1320</v>
      </c>
      <c r="K288" s="10" t="n">
        <v>13.9</v>
      </c>
      <c r="L288" s="8" t="n">
        <v>469874.89</v>
      </c>
      <c r="M288" s="10" t="n">
        <v>0</v>
      </c>
      <c r="N288" s="8" t="n">
        <v>0</v>
      </c>
      <c r="O288" s="74"/>
      <c r="P288" s="74"/>
      <c r="Q288" s="74"/>
      <c r="R288" s="14" t="n">
        <f aca="false">IF(I288="Unbilled",0,M288)</f>
        <v>0</v>
      </c>
      <c r="S288" s="9" t="n">
        <f aca="false">IF(R288=0,0,IF(O288="Booked",N288,R288*V287))</f>
        <v>0</v>
      </c>
      <c r="T288" s="14" t="n">
        <f aca="false">IF(I288="Opening",K288,T287+K288-R288)</f>
        <v>591.6</v>
      </c>
      <c r="U288" s="9" t="n">
        <f aca="false">IF(I288="Opening",L288,U287+L288-S288)</f>
        <v>16625690.36</v>
      </c>
      <c r="V288" s="9" t="n">
        <f aca="false">IF(T288&gt;0,U288/T288,IF(I288="Opening",0,V287))</f>
        <v>28102.9248816768</v>
      </c>
      <c r="W288" s="14" t="n">
        <f aca="false">M288</f>
        <v>0</v>
      </c>
      <c r="X288" s="9" t="n">
        <f aca="false">IF(W288=0,0,IF(O288="Booked",N288,W288*AA287))</f>
        <v>0</v>
      </c>
      <c r="Y288" s="14" t="n">
        <f aca="false">IF(I288="Opening",K288,Y287+K288-W288)</f>
        <v>591.6</v>
      </c>
      <c r="Z288" s="9" t="n">
        <f aca="false">IF(I288="Opening",L288,Z287+L288-X288)</f>
        <v>16625690.36</v>
      </c>
      <c r="AA288" s="9" t="n">
        <f aca="false">IF(Y288&gt;0,Z288/Y288,IF(I288="Opening",0,AA287))</f>
        <v>28102.9248816768</v>
      </c>
      <c r="AB288" s="9" t="n">
        <f aca="false">IF(AND(I288="DO",O288="MA"),S288-N288,0)</f>
        <v>0</v>
      </c>
      <c r="AC288" s="9" t="n">
        <f aca="false">IF(I288="DO",X288-S288,0)</f>
        <v>0</v>
      </c>
      <c r="AD288" s="23" t="n">
        <f aca="false">IF(B289&lt;&gt;B288,1,0)</f>
        <v>0</v>
      </c>
      <c r="AE288" s="14" t="n">
        <f aca="false">IF(I288="Opening",0,AE287+W288)</f>
        <v>11.7</v>
      </c>
      <c r="AF288" s="14" t="n">
        <f aca="false">IF(I288="Opening",K288,AF287)</f>
        <v>347.3</v>
      </c>
      <c r="AG288" s="14" t="n">
        <f aca="false">AG287</f>
        <v>0</v>
      </c>
      <c r="AH288" s="14" t="n">
        <f aca="false">IF(W288=0,0,MAX(0,MIN(AE288,AF288)-MIN(AE288-W288,AF288)))</f>
        <v>0</v>
      </c>
      <c r="AI288" s="14" t="n">
        <f aca="false">IF(W288=0,0,MAX(0,MIN(AE288,AF288+AG288)-MAX(AE288-W288,AF288)))</f>
        <v>0</v>
      </c>
      <c r="AJ288" s="14" t="n">
        <f aca="false">W288-AH288-AI288</f>
        <v>0</v>
      </c>
      <c r="AK288" s="9" t="n">
        <f aca="false">IF(W288=0,0,X288*AH288/W288)</f>
        <v>0</v>
      </c>
      <c r="AL288" s="9" t="n">
        <f aca="false">IF(W288=0,0,X288*AI288/W288)</f>
        <v>0</v>
      </c>
      <c r="AM288" s="9" t="n">
        <f aca="false">X288-AK288-AL288</f>
        <v>0</v>
      </c>
    </row>
    <row r="289" customFormat="false" ht="15" hidden="false" customHeight="false" outlineLevel="0" collapsed="false">
      <c r="A289" s="6" t="n">
        <v>284</v>
      </c>
      <c r="B289" s="74" t="s">
        <v>974</v>
      </c>
      <c r="C289" s="53" t="str">
        <f aca="false">INDEX(I_Items!$C$5:$C$133,MATCH($B289,I_Items!$A$5:$A$133,0))</f>
        <v>RPA</v>
      </c>
      <c r="D289" s="53" t="str">
        <f aca="false">INDEX(I_Items!$D$5:$D$133,MATCH($B289,I_Items!$A$5:$A$133,0))</f>
        <v>Karkas</v>
      </c>
      <c r="E289" s="53" t="str">
        <f aca="false">INDEX(I_Items!$F$5:$F$133,MATCH($B289,I_Items!$A$5:$A$133,0))</f>
        <v>Frozen</v>
      </c>
      <c r="F289" s="53" t="str">
        <f aca="false">IF(INDEX(I_Items!$E$5:$E$133,MATCH($B289,I_Items!$A$5:$A$133,0))="","",INDEX(I_Items!$E$5:$E$133,MATCH($B289,I_Items!$A$5:$A$133,0)))</f>
        <v>Uk 0.8</v>
      </c>
      <c r="G289" s="76" t="n">
        <v>46262</v>
      </c>
      <c r="H289" s="23" t="n">
        <f aca="false">MONTH(G289)</f>
        <v>8</v>
      </c>
      <c r="I289" s="74" t="s">
        <v>2074</v>
      </c>
      <c r="J289" s="74" t="s">
        <v>1323</v>
      </c>
      <c r="K289" s="10" t="n">
        <v>26.5</v>
      </c>
      <c r="L289" s="8" t="n">
        <v>903212.82</v>
      </c>
      <c r="M289" s="10" t="n">
        <v>0</v>
      </c>
      <c r="N289" s="8" t="n">
        <v>0</v>
      </c>
      <c r="O289" s="74"/>
      <c r="P289" s="74"/>
      <c r="Q289" s="74"/>
      <c r="R289" s="14" t="n">
        <f aca="false">IF(I289="Unbilled",0,M289)</f>
        <v>0</v>
      </c>
      <c r="S289" s="9" t="n">
        <f aca="false">IF(R289=0,0,IF(O289="Booked",N289,R289*V288))</f>
        <v>0</v>
      </c>
      <c r="T289" s="14" t="n">
        <f aca="false">IF(I289="Opening",K289,T288+K289-R289)</f>
        <v>618.1</v>
      </c>
      <c r="U289" s="9" t="n">
        <f aca="false">IF(I289="Opening",L289,U288+L289-S289)</f>
        <v>17528903.18</v>
      </c>
      <c r="V289" s="9" t="n">
        <f aca="false">IF(T289&gt;0,U289/T289,IF(I289="Opening",0,V288))</f>
        <v>28359.3321145446</v>
      </c>
      <c r="W289" s="14" t="n">
        <f aca="false">M289</f>
        <v>0</v>
      </c>
      <c r="X289" s="9" t="n">
        <f aca="false">IF(W289=0,0,IF(O289="Booked",N289,W289*AA288))</f>
        <v>0</v>
      </c>
      <c r="Y289" s="14" t="n">
        <f aca="false">IF(I289="Opening",K289,Y288+K289-W289)</f>
        <v>618.1</v>
      </c>
      <c r="Z289" s="9" t="n">
        <f aca="false">IF(I289="Opening",L289,Z288+L289-X289)</f>
        <v>17528903.18</v>
      </c>
      <c r="AA289" s="9" t="n">
        <f aca="false">IF(Y289&gt;0,Z289/Y289,IF(I289="Opening",0,AA288))</f>
        <v>28359.3321145446</v>
      </c>
      <c r="AB289" s="9" t="n">
        <f aca="false">IF(AND(I289="DO",O289="MA"),S289-N289,0)</f>
        <v>0</v>
      </c>
      <c r="AC289" s="9" t="n">
        <f aca="false">IF(I289="DO",X289-S289,0)</f>
        <v>0</v>
      </c>
      <c r="AD289" s="23" t="n">
        <f aca="false">IF(B290&lt;&gt;B289,1,0)</f>
        <v>0</v>
      </c>
      <c r="AE289" s="14" t="n">
        <f aca="false">IF(I289="Opening",0,AE288+W289)</f>
        <v>11.7</v>
      </c>
      <c r="AF289" s="14" t="n">
        <f aca="false">IF(I289="Opening",K289,AF288)</f>
        <v>347.3</v>
      </c>
      <c r="AG289" s="14" t="n">
        <f aca="false">AG288</f>
        <v>0</v>
      </c>
      <c r="AH289" s="14" t="n">
        <f aca="false">IF(W289=0,0,MAX(0,MIN(AE289,AF289)-MIN(AE289-W289,AF289)))</f>
        <v>0</v>
      </c>
      <c r="AI289" s="14" t="n">
        <f aca="false">IF(W289=0,0,MAX(0,MIN(AE289,AF289+AG289)-MAX(AE289-W289,AF289)))</f>
        <v>0</v>
      </c>
      <c r="AJ289" s="14" t="n">
        <f aca="false">W289-AH289-AI289</f>
        <v>0</v>
      </c>
      <c r="AK289" s="9" t="n">
        <f aca="false">IF(W289=0,0,X289*AH289/W289)</f>
        <v>0</v>
      </c>
      <c r="AL289" s="9" t="n">
        <f aca="false">IF(W289=0,0,X289*AI289/W289)</f>
        <v>0</v>
      </c>
      <c r="AM289" s="9" t="n">
        <f aca="false">X289-AK289-AL289</f>
        <v>0</v>
      </c>
    </row>
    <row r="290" customFormat="false" ht="15" hidden="false" customHeight="false" outlineLevel="0" collapsed="false">
      <c r="A290" s="6" t="n">
        <v>285</v>
      </c>
      <c r="B290" s="74" t="s">
        <v>974</v>
      </c>
      <c r="C290" s="53" t="str">
        <f aca="false">INDEX(I_Items!$C$5:$C$133,MATCH($B290,I_Items!$A$5:$A$133,0))</f>
        <v>RPA</v>
      </c>
      <c r="D290" s="53" t="str">
        <f aca="false">INDEX(I_Items!$D$5:$D$133,MATCH($B290,I_Items!$A$5:$A$133,0))</f>
        <v>Karkas</v>
      </c>
      <c r="E290" s="53" t="str">
        <f aca="false">INDEX(I_Items!$F$5:$F$133,MATCH($B290,I_Items!$A$5:$A$133,0))</f>
        <v>Frozen</v>
      </c>
      <c r="F290" s="53" t="str">
        <f aca="false">IF(INDEX(I_Items!$E$5:$E$133,MATCH($B290,I_Items!$A$5:$A$133,0))="","",INDEX(I_Items!$E$5:$E$133,MATCH($B290,I_Items!$A$5:$A$133,0)))</f>
        <v>Uk 0.8</v>
      </c>
      <c r="G290" s="76" t="n">
        <v>46265</v>
      </c>
      <c r="H290" s="23" t="n">
        <f aca="false">MONTH(G290)</f>
        <v>8</v>
      </c>
      <c r="I290" s="74" t="s">
        <v>2074</v>
      </c>
      <c r="J290" s="74" t="s">
        <v>1326</v>
      </c>
      <c r="K290" s="10" t="n">
        <v>23.2</v>
      </c>
      <c r="L290" s="8" t="n">
        <v>777124.01</v>
      </c>
      <c r="M290" s="10" t="n">
        <v>0</v>
      </c>
      <c r="N290" s="8" t="n">
        <v>0</v>
      </c>
      <c r="O290" s="74"/>
      <c r="P290" s="74"/>
      <c r="Q290" s="74"/>
      <c r="R290" s="14" t="n">
        <f aca="false">IF(I290="Unbilled",0,M290)</f>
        <v>0</v>
      </c>
      <c r="S290" s="9" t="n">
        <f aca="false">IF(R290=0,0,IF(O290="Booked",N290,R290*V289))</f>
        <v>0</v>
      </c>
      <c r="T290" s="14" t="n">
        <f aca="false">IF(I290="Opening",K290,T289+K290-R290)</f>
        <v>641.3</v>
      </c>
      <c r="U290" s="9" t="n">
        <f aca="false">IF(I290="Opening",L290,U289+L290-S290)</f>
        <v>18306027.19</v>
      </c>
      <c r="V290" s="9" t="n">
        <f aca="false">IF(T290&gt;0,U290/T290,IF(I290="Opening",0,V289))</f>
        <v>28545.185077187</v>
      </c>
      <c r="W290" s="14" t="n">
        <f aca="false">M290</f>
        <v>0</v>
      </c>
      <c r="X290" s="9" t="n">
        <f aca="false">IF(W290=0,0,IF(O290="Booked",N290,W290*AA289))</f>
        <v>0</v>
      </c>
      <c r="Y290" s="14" t="n">
        <f aca="false">IF(I290="Opening",K290,Y289+K290-W290)</f>
        <v>641.3</v>
      </c>
      <c r="Z290" s="9" t="n">
        <f aca="false">IF(I290="Opening",L290,Z289+L290-X290)</f>
        <v>18306027.19</v>
      </c>
      <c r="AA290" s="9" t="n">
        <f aca="false">IF(Y290&gt;0,Z290/Y290,IF(I290="Opening",0,AA289))</f>
        <v>28545.185077187</v>
      </c>
      <c r="AB290" s="9" t="n">
        <f aca="false">IF(AND(I290="DO",O290="MA"),S290-N290,0)</f>
        <v>0</v>
      </c>
      <c r="AC290" s="9" t="n">
        <f aca="false">IF(I290="DO",X290-S290,0)</f>
        <v>0</v>
      </c>
      <c r="AD290" s="23" t="n">
        <f aca="false">IF(B291&lt;&gt;B290,1,0)</f>
        <v>0</v>
      </c>
      <c r="AE290" s="14" t="n">
        <f aca="false">IF(I290="Opening",0,AE289+W290)</f>
        <v>11.7</v>
      </c>
      <c r="AF290" s="14" t="n">
        <f aca="false">IF(I290="Opening",K290,AF289)</f>
        <v>347.3</v>
      </c>
      <c r="AG290" s="14" t="n">
        <f aca="false">AG289</f>
        <v>0</v>
      </c>
      <c r="AH290" s="14" t="n">
        <f aca="false">IF(W290=0,0,MAX(0,MIN(AE290,AF290)-MIN(AE290-W290,AF290)))</f>
        <v>0</v>
      </c>
      <c r="AI290" s="14" t="n">
        <f aca="false">IF(W290=0,0,MAX(0,MIN(AE290,AF290+AG290)-MAX(AE290-W290,AF290)))</f>
        <v>0</v>
      </c>
      <c r="AJ290" s="14" t="n">
        <f aca="false">W290-AH290-AI290</f>
        <v>0</v>
      </c>
      <c r="AK290" s="9" t="n">
        <f aca="false">IF(W290=0,0,X290*AH290/W290)</f>
        <v>0</v>
      </c>
      <c r="AL290" s="9" t="n">
        <f aca="false">IF(W290=0,0,X290*AI290/W290)</f>
        <v>0</v>
      </c>
      <c r="AM290" s="9" t="n">
        <f aca="false">X290-AK290-AL290</f>
        <v>0</v>
      </c>
    </row>
    <row r="291" customFormat="false" ht="15" hidden="false" customHeight="false" outlineLevel="0" collapsed="false">
      <c r="A291" s="6" t="n">
        <v>286</v>
      </c>
      <c r="B291" s="74" t="s">
        <v>974</v>
      </c>
      <c r="C291" s="53" t="str">
        <f aca="false">INDEX(I_Items!$C$5:$C$133,MATCH($B291,I_Items!$A$5:$A$133,0))</f>
        <v>RPA</v>
      </c>
      <c r="D291" s="53" t="str">
        <f aca="false">INDEX(I_Items!$D$5:$D$133,MATCH($B291,I_Items!$A$5:$A$133,0))</f>
        <v>Karkas</v>
      </c>
      <c r="E291" s="53" t="str">
        <f aca="false">INDEX(I_Items!$F$5:$F$133,MATCH($B291,I_Items!$A$5:$A$133,0))</f>
        <v>Frozen</v>
      </c>
      <c r="F291" s="53" t="str">
        <f aca="false">IF(INDEX(I_Items!$E$5:$E$133,MATCH($B291,I_Items!$A$5:$A$133,0))="","",INDEX(I_Items!$E$5:$E$133,MATCH($B291,I_Items!$A$5:$A$133,0)))</f>
        <v>Uk 0.8</v>
      </c>
      <c r="G291" s="76" t="n">
        <v>46265</v>
      </c>
      <c r="H291" s="23" t="n">
        <f aca="false">MONTH(G291)</f>
        <v>8</v>
      </c>
      <c r="I291" s="74" t="s">
        <v>2075</v>
      </c>
      <c r="J291" s="74" t="s">
        <v>2123</v>
      </c>
      <c r="K291" s="10" t="n">
        <v>0</v>
      </c>
      <c r="L291" s="8" t="n">
        <v>0</v>
      </c>
      <c r="M291" s="10" t="n">
        <v>1.6</v>
      </c>
      <c r="N291" s="8" t="n">
        <v>45672.3</v>
      </c>
      <c r="O291" s="74" t="s">
        <v>2077</v>
      </c>
      <c r="P291" s="74"/>
      <c r="Q291" s="74"/>
      <c r="R291" s="14" t="n">
        <f aca="false">IF(I291="Unbilled",0,M291)</f>
        <v>1.6</v>
      </c>
      <c r="S291" s="9" t="n">
        <f aca="false">IF(R291=0,0,IF(O291="Booked",N291,R291*V290))</f>
        <v>45672.2961234992</v>
      </c>
      <c r="T291" s="14" t="n">
        <f aca="false">IF(I291="Opening",K291,T290+K291-R291)</f>
        <v>639.7</v>
      </c>
      <c r="U291" s="9" t="n">
        <f aca="false">IF(I291="Opening",L291,U290+L291-S291)</f>
        <v>18260354.8938765</v>
      </c>
      <c r="V291" s="9" t="n">
        <f aca="false">IF(T291&gt;0,U291/T291,IF(I291="Opening",0,V290))</f>
        <v>28545.185077187</v>
      </c>
      <c r="W291" s="14" t="n">
        <f aca="false">M291</f>
        <v>1.6</v>
      </c>
      <c r="X291" s="9" t="n">
        <f aca="false">IF(W291=0,0,IF(O291="Booked",N291,W291*AA290))</f>
        <v>45672.2961234992</v>
      </c>
      <c r="Y291" s="14" t="n">
        <f aca="false">IF(I291="Opening",K291,Y290+K291-W291)</f>
        <v>639.7</v>
      </c>
      <c r="Z291" s="9" t="n">
        <f aca="false">IF(I291="Opening",L291,Z290+L291-X291)</f>
        <v>18260354.8938765</v>
      </c>
      <c r="AA291" s="9" t="n">
        <f aca="false">IF(Y291&gt;0,Z291/Y291,IF(I291="Opening",0,AA290))</f>
        <v>28545.185077187</v>
      </c>
      <c r="AB291" s="9" t="n">
        <f aca="false">IF(AND(I291="DO",O291="MA"),S291-N291,0)</f>
        <v>-0.00387650085031055</v>
      </c>
      <c r="AC291" s="9" t="n">
        <f aca="false">IF(I291="DO",X291-S291,0)</f>
        <v>0</v>
      </c>
      <c r="AD291" s="23" t="n">
        <f aca="false">IF(B292&lt;&gt;B291,1,0)</f>
        <v>1</v>
      </c>
      <c r="AE291" s="14" t="n">
        <f aca="false">IF(I291="Opening",0,AE290+W291)</f>
        <v>13.3</v>
      </c>
      <c r="AF291" s="14" t="n">
        <f aca="false">IF(I291="Opening",K291,AF290)</f>
        <v>347.3</v>
      </c>
      <c r="AG291" s="14" t="n">
        <f aca="false">AG290</f>
        <v>0</v>
      </c>
      <c r="AH291" s="14" t="n">
        <f aca="false">IF(W291=0,0,MAX(0,MIN(AE291,AF291)-MIN(AE291-W291,AF291)))</f>
        <v>1.6</v>
      </c>
      <c r="AI291" s="14" t="n">
        <f aca="false">IF(W291=0,0,MAX(0,MIN(AE291,AF291+AG291)-MAX(AE291-W291,AF291)))</f>
        <v>0</v>
      </c>
      <c r="AJ291" s="14" t="n">
        <f aca="false">W291-AH291-AI291</f>
        <v>0</v>
      </c>
      <c r="AK291" s="9" t="n">
        <f aca="false">IF(W291=0,0,X291*AH291/W291)</f>
        <v>45672.2961234991</v>
      </c>
      <c r="AL291" s="9" t="n">
        <f aca="false">IF(W291=0,0,X291*AI291/W291)</f>
        <v>0</v>
      </c>
      <c r="AM291" s="9" t="n">
        <f aca="false">X291-AK291-AL291</f>
        <v>0</v>
      </c>
    </row>
    <row r="292" customFormat="false" ht="15" hidden="false" customHeight="false" outlineLevel="0" collapsed="false">
      <c r="A292" s="6" t="n">
        <v>287</v>
      </c>
      <c r="B292" s="74" t="s">
        <v>975</v>
      </c>
      <c r="C292" s="53" t="str">
        <f aca="false">INDEX(I_Items!$C$5:$C$133,MATCH($B292,I_Items!$A$5:$A$133,0))</f>
        <v>RPA</v>
      </c>
      <c r="D292" s="53" t="str">
        <f aca="false">INDEX(I_Items!$D$5:$D$133,MATCH($B292,I_Items!$A$5:$A$133,0))</f>
        <v>Karkas</v>
      </c>
      <c r="E292" s="53" t="str">
        <f aca="false">INDEX(I_Items!$F$5:$F$133,MATCH($B292,I_Items!$A$5:$A$133,0))</f>
        <v>Fresh</v>
      </c>
      <c r="F292" s="53" t="str">
        <f aca="false">IF(INDEX(I_Items!$E$5:$E$133,MATCH($B292,I_Items!$A$5:$A$133,0))="","",INDEX(I_Items!$E$5:$E$133,MATCH($B292,I_Items!$A$5:$A$133,0)))</f>
        <v>Uk 0.9</v>
      </c>
      <c r="G292" s="76" t="n">
        <v>46204</v>
      </c>
      <c r="H292" s="23" t="n">
        <f aca="false">MONTH(G292)</f>
        <v>7</v>
      </c>
      <c r="I292" s="74" t="s">
        <v>2072</v>
      </c>
      <c r="J292" s="74" t="s">
        <v>2073</v>
      </c>
      <c r="K292" s="10" t="n">
        <v>0</v>
      </c>
      <c r="L292" s="8" t="n">
        <v>0</v>
      </c>
      <c r="M292" s="10" t="n">
        <v>0</v>
      </c>
      <c r="N292" s="8" t="n">
        <v>0</v>
      </c>
      <c r="O292" s="74"/>
      <c r="P292" s="74"/>
      <c r="Q292" s="74"/>
      <c r="R292" s="14" t="n">
        <f aca="false">IF(I292="Unbilled",0,M292)</f>
        <v>0</v>
      </c>
      <c r="S292" s="9" t="n">
        <f aca="false">IF(R292=0,0,IF(O292="Booked",N292,R292*V291))</f>
        <v>0</v>
      </c>
      <c r="T292" s="14" t="n">
        <f aca="false">IF(I292="Opening",K292,T291+K292-R292)</f>
        <v>0</v>
      </c>
      <c r="U292" s="9" t="n">
        <f aca="false">IF(I292="Opening",L292,U291+L292-S292)</f>
        <v>0</v>
      </c>
      <c r="V292" s="9" t="n">
        <f aca="false">IF(T292&gt;0,U292/T292,IF(I292="Opening",0,V291))</f>
        <v>0</v>
      </c>
      <c r="W292" s="14" t="n">
        <f aca="false">M292</f>
        <v>0</v>
      </c>
      <c r="X292" s="9" t="n">
        <f aca="false">IF(W292=0,0,IF(O292="Booked",N292,W292*AA291))</f>
        <v>0</v>
      </c>
      <c r="Y292" s="14" t="n">
        <f aca="false">IF(I292="Opening",K292,Y291+K292-W292)</f>
        <v>0</v>
      </c>
      <c r="Z292" s="9" t="n">
        <f aca="false">IF(I292="Opening",L292,Z291+L292-X292)</f>
        <v>0</v>
      </c>
      <c r="AA292" s="9" t="n">
        <f aca="false">IF(Y292&gt;0,Z292/Y292,IF(I292="Opening",0,AA291))</f>
        <v>0</v>
      </c>
      <c r="AB292" s="9" t="n">
        <f aca="false">IF(AND(I292="DO",O292="MA"),S292-N292,0)</f>
        <v>0</v>
      </c>
      <c r="AC292" s="9" t="n">
        <f aca="false">IF(I292="DO",X292-S292,0)</f>
        <v>0</v>
      </c>
      <c r="AD292" s="23" t="n">
        <f aca="false">IF(B293&lt;&gt;B292,1,0)</f>
        <v>0</v>
      </c>
      <c r="AE292" s="14" t="n">
        <f aca="false">IF(I292="Opening",0,AE291+W292)</f>
        <v>0</v>
      </c>
      <c r="AF292" s="14" t="n">
        <f aca="false">IF(I292="Opening",K292,AF291)</f>
        <v>0</v>
      </c>
      <c r="AG292" s="14" t="n">
        <f aca="false">SUMIFS($K$6:$K$1110,$B$6:$B$1110,B292,$H$6:$H$1110,7,$I$6:$I$1110,"&lt;&gt;Opening")</f>
        <v>0</v>
      </c>
      <c r="AH292" s="14" t="n">
        <f aca="false">IF(W292=0,0,MAX(0,MIN(AE292,AF292)-MIN(AE292-W292,AF292)))</f>
        <v>0</v>
      </c>
      <c r="AI292" s="14" t="n">
        <f aca="false">IF(W292=0,0,MAX(0,MIN(AE292,AF292+AG292)-MAX(AE292-W292,AF292)))</f>
        <v>0</v>
      </c>
      <c r="AJ292" s="14" t="n">
        <f aca="false">W292-AH292-AI292</f>
        <v>0</v>
      </c>
      <c r="AK292" s="9" t="n">
        <f aca="false">IF(W292=0,0,X292*AH292/W292)</f>
        <v>0</v>
      </c>
      <c r="AL292" s="9" t="n">
        <f aca="false">IF(W292=0,0,X292*AI292/W292)</f>
        <v>0</v>
      </c>
      <c r="AM292" s="9" t="n">
        <f aca="false">X292-AK292-AL292</f>
        <v>0</v>
      </c>
    </row>
    <row r="293" customFormat="false" ht="15" hidden="false" customHeight="false" outlineLevel="0" collapsed="false">
      <c r="A293" s="6" t="n">
        <v>288</v>
      </c>
      <c r="B293" s="74" t="s">
        <v>975</v>
      </c>
      <c r="C293" s="53" t="str">
        <f aca="false">INDEX(I_Items!$C$5:$C$133,MATCH($B293,I_Items!$A$5:$A$133,0))</f>
        <v>RPA</v>
      </c>
      <c r="D293" s="53" t="str">
        <f aca="false">INDEX(I_Items!$D$5:$D$133,MATCH($B293,I_Items!$A$5:$A$133,0))</f>
        <v>Karkas</v>
      </c>
      <c r="E293" s="53" t="str">
        <f aca="false">INDEX(I_Items!$F$5:$F$133,MATCH($B293,I_Items!$A$5:$A$133,0))</f>
        <v>Fresh</v>
      </c>
      <c r="F293" s="53" t="str">
        <f aca="false">IF(INDEX(I_Items!$E$5:$E$133,MATCH($B293,I_Items!$A$5:$A$133,0))="","",INDEX(I_Items!$E$5:$E$133,MATCH($B293,I_Items!$A$5:$A$133,0)))</f>
        <v>Uk 0.9</v>
      </c>
      <c r="G293" s="76" t="n">
        <v>46241</v>
      </c>
      <c r="H293" s="23" t="n">
        <f aca="false">MONTH(G293)</f>
        <v>8</v>
      </c>
      <c r="I293" s="74" t="s">
        <v>2074</v>
      </c>
      <c r="J293" s="74" t="s">
        <v>1290</v>
      </c>
      <c r="K293" s="10" t="n">
        <v>508.3</v>
      </c>
      <c r="L293" s="8" t="n">
        <v>19375069.18</v>
      </c>
      <c r="M293" s="10" t="n">
        <v>0</v>
      </c>
      <c r="N293" s="8" t="n">
        <v>0</v>
      </c>
      <c r="O293" s="74"/>
      <c r="P293" s="74"/>
      <c r="Q293" s="74"/>
      <c r="R293" s="14" t="n">
        <f aca="false">IF(I293="Unbilled",0,M293)</f>
        <v>0</v>
      </c>
      <c r="S293" s="9" t="n">
        <f aca="false">IF(R293=0,0,IF(O293="Booked",N293,R293*V292))</f>
        <v>0</v>
      </c>
      <c r="T293" s="14" t="n">
        <f aca="false">IF(I293="Opening",K293,T292+K293-R293)</f>
        <v>508.3</v>
      </c>
      <c r="U293" s="9" t="n">
        <f aca="false">IF(I293="Opening",L293,U292+L293-S293)</f>
        <v>19375069.18</v>
      </c>
      <c r="V293" s="9" t="n">
        <f aca="false">IF(T293&gt;0,U293/T293,IF(I293="Opening",0,V292))</f>
        <v>38117.3896911273</v>
      </c>
      <c r="W293" s="14" t="n">
        <f aca="false">M293</f>
        <v>0</v>
      </c>
      <c r="X293" s="9" t="n">
        <f aca="false">IF(W293=0,0,IF(O293="Booked",N293,W293*AA292))</f>
        <v>0</v>
      </c>
      <c r="Y293" s="14" t="n">
        <f aca="false">IF(I293="Opening",K293,Y292+K293-W293)</f>
        <v>508.3</v>
      </c>
      <c r="Z293" s="9" t="n">
        <f aca="false">IF(I293="Opening",L293,Z292+L293-X293)</f>
        <v>19375069.18</v>
      </c>
      <c r="AA293" s="9" t="n">
        <f aca="false">IF(Y293&gt;0,Z293/Y293,IF(I293="Opening",0,AA292))</f>
        <v>38117.3896911273</v>
      </c>
      <c r="AB293" s="9" t="n">
        <f aca="false">IF(AND(I293="DO",O293="MA"),S293-N293,0)</f>
        <v>0</v>
      </c>
      <c r="AC293" s="9" t="n">
        <f aca="false">IF(I293="DO",X293-S293,0)</f>
        <v>0</v>
      </c>
      <c r="AD293" s="23" t="n">
        <f aca="false">IF(B294&lt;&gt;B293,1,0)</f>
        <v>0</v>
      </c>
      <c r="AE293" s="14" t="n">
        <f aca="false">IF(I293="Opening",0,AE292+W293)</f>
        <v>0</v>
      </c>
      <c r="AF293" s="14" t="n">
        <f aca="false">IF(I293="Opening",K293,AF292)</f>
        <v>0</v>
      </c>
      <c r="AG293" s="14" t="n">
        <f aca="false">AG292</f>
        <v>0</v>
      </c>
      <c r="AH293" s="14" t="n">
        <f aca="false">IF(W293=0,0,MAX(0,MIN(AE293,AF293)-MIN(AE293-W293,AF293)))</f>
        <v>0</v>
      </c>
      <c r="AI293" s="14" t="n">
        <f aca="false">IF(W293=0,0,MAX(0,MIN(AE293,AF293+AG293)-MAX(AE293-W293,AF293)))</f>
        <v>0</v>
      </c>
      <c r="AJ293" s="14" t="n">
        <f aca="false">W293-AH293-AI293</f>
        <v>0</v>
      </c>
      <c r="AK293" s="9" t="n">
        <f aca="false">IF(W293=0,0,X293*AH293/W293)</f>
        <v>0</v>
      </c>
      <c r="AL293" s="9" t="n">
        <f aca="false">IF(W293=0,0,X293*AI293/W293)</f>
        <v>0</v>
      </c>
      <c r="AM293" s="9" t="n">
        <f aca="false">X293-AK293-AL293</f>
        <v>0</v>
      </c>
    </row>
    <row r="294" customFormat="false" ht="15" hidden="false" customHeight="false" outlineLevel="0" collapsed="false">
      <c r="A294" s="6" t="n">
        <v>289</v>
      </c>
      <c r="B294" s="74" t="s">
        <v>975</v>
      </c>
      <c r="C294" s="53" t="str">
        <f aca="false">INDEX(I_Items!$C$5:$C$133,MATCH($B294,I_Items!$A$5:$A$133,0))</f>
        <v>RPA</v>
      </c>
      <c r="D294" s="53" t="str">
        <f aca="false">INDEX(I_Items!$D$5:$D$133,MATCH($B294,I_Items!$A$5:$A$133,0))</f>
        <v>Karkas</v>
      </c>
      <c r="E294" s="53" t="str">
        <f aca="false">INDEX(I_Items!$F$5:$F$133,MATCH($B294,I_Items!$A$5:$A$133,0))</f>
        <v>Fresh</v>
      </c>
      <c r="F294" s="53" t="str">
        <f aca="false">IF(INDEX(I_Items!$E$5:$E$133,MATCH($B294,I_Items!$A$5:$A$133,0))="","",INDEX(I_Items!$E$5:$E$133,MATCH($B294,I_Items!$A$5:$A$133,0)))</f>
        <v>Uk 0.9</v>
      </c>
      <c r="G294" s="76" t="n">
        <v>46244</v>
      </c>
      <c r="H294" s="23" t="n">
        <f aca="false">MONTH(G294)</f>
        <v>8</v>
      </c>
      <c r="I294" s="74" t="s">
        <v>2074</v>
      </c>
      <c r="J294" s="74" t="s">
        <v>1294</v>
      </c>
      <c r="K294" s="10" t="n">
        <v>773.2</v>
      </c>
      <c r="L294" s="8" t="n">
        <v>27741044.11</v>
      </c>
      <c r="M294" s="10" t="n">
        <v>0</v>
      </c>
      <c r="N294" s="8" t="n">
        <v>0</v>
      </c>
      <c r="O294" s="74"/>
      <c r="P294" s="74"/>
      <c r="Q294" s="74"/>
      <c r="R294" s="14" t="n">
        <f aca="false">IF(I294="Unbilled",0,M294)</f>
        <v>0</v>
      </c>
      <c r="S294" s="9" t="n">
        <f aca="false">IF(R294=0,0,IF(O294="Booked",N294,R294*V293))</f>
        <v>0</v>
      </c>
      <c r="T294" s="14" t="n">
        <f aca="false">IF(I294="Opening",K294,T293+K294-R294)</f>
        <v>1281.5</v>
      </c>
      <c r="U294" s="9" t="n">
        <f aca="false">IF(I294="Opening",L294,U293+L294-S294)</f>
        <v>47116113.29</v>
      </c>
      <c r="V294" s="9" t="n">
        <f aca="false">IF(T294&gt;0,U294/T294,IF(I294="Opening",0,V293))</f>
        <v>36766.3779087007</v>
      </c>
      <c r="W294" s="14" t="n">
        <f aca="false">M294</f>
        <v>0</v>
      </c>
      <c r="X294" s="9" t="n">
        <f aca="false">IF(W294=0,0,IF(O294="Booked",N294,W294*AA293))</f>
        <v>0</v>
      </c>
      <c r="Y294" s="14" t="n">
        <f aca="false">IF(I294="Opening",K294,Y293+K294-W294)</f>
        <v>1281.5</v>
      </c>
      <c r="Z294" s="9" t="n">
        <f aca="false">IF(I294="Opening",L294,Z293+L294-X294)</f>
        <v>47116113.29</v>
      </c>
      <c r="AA294" s="9" t="n">
        <f aca="false">IF(Y294&gt;0,Z294/Y294,IF(I294="Opening",0,AA293))</f>
        <v>36766.3779087007</v>
      </c>
      <c r="AB294" s="9" t="n">
        <f aca="false">IF(AND(I294="DO",O294="MA"),S294-N294,0)</f>
        <v>0</v>
      </c>
      <c r="AC294" s="9" t="n">
        <f aca="false">IF(I294="DO",X294-S294,0)</f>
        <v>0</v>
      </c>
      <c r="AD294" s="23" t="n">
        <f aca="false">IF(B295&lt;&gt;B294,1,0)</f>
        <v>0</v>
      </c>
      <c r="AE294" s="14" t="n">
        <f aca="false">IF(I294="Opening",0,AE293+W294)</f>
        <v>0</v>
      </c>
      <c r="AF294" s="14" t="n">
        <f aca="false">IF(I294="Opening",K294,AF293)</f>
        <v>0</v>
      </c>
      <c r="AG294" s="14" t="n">
        <f aca="false">AG293</f>
        <v>0</v>
      </c>
      <c r="AH294" s="14" t="n">
        <f aca="false">IF(W294=0,0,MAX(0,MIN(AE294,AF294)-MIN(AE294-W294,AF294)))</f>
        <v>0</v>
      </c>
      <c r="AI294" s="14" t="n">
        <f aca="false">IF(W294=0,0,MAX(0,MIN(AE294,AF294+AG294)-MAX(AE294-W294,AF294)))</f>
        <v>0</v>
      </c>
      <c r="AJ294" s="14" t="n">
        <f aca="false">W294-AH294-AI294</f>
        <v>0</v>
      </c>
      <c r="AK294" s="9" t="n">
        <f aca="false">IF(W294=0,0,X294*AH294/W294)</f>
        <v>0</v>
      </c>
      <c r="AL294" s="9" t="n">
        <f aca="false">IF(W294=0,0,X294*AI294/W294)</f>
        <v>0</v>
      </c>
      <c r="AM294" s="9" t="n">
        <f aca="false">X294-AK294-AL294</f>
        <v>0</v>
      </c>
    </row>
    <row r="295" customFormat="false" ht="15" hidden="false" customHeight="false" outlineLevel="0" collapsed="false">
      <c r="A295" s="6" t="n">
        <v>290</v>
      </c>
      <c r="B295" s="74" t="s">
        <v>975</v>
      </c>
      <c r="C295" s="53" t="str">
        <f aca="false">INDEX(I_Items!$C$5:$C$133,MATCH($B295,I_Items!$A$5:$A$133,0))</f>
        <v>RPA</v>
      </c>
      <c r="D295" s="53" t="str">
        <f aca="false">INDEX(I_Items!$D$5:$D$133,MATCH($B295,I_Items!$A$5:$A$133,0))</f>
        <v>Karkas</v>
      </c>
      <c r="E295" s="53" t="str">
        <f aca="false">INDEX(I_Items!$F$5:$F$133,MATCH($B295,I_Items!$A$5:$A$133,0))</f>
        <v>Fresh</v>
      </c>
      <c r="F295" s="53" t="str">
        <f aca="false">IF(INDEX(I_Items!$E$5:$E$133,MATCH($B295,I_Items!$A$5:$A$133,0))="","",INDEX(I_Items!$E$5:$E$133,MATCH($B295,I_Items!$A$5:$A$133,0)))</f>
        <v>Uk 0.9</v>
      </c>
      <c r="G295" s="76" t="n">
        <v>46246</v>
      </c>
      <c r="H295" s="23" t="n">
        <f aca="false">MONTH(G295)</f>
        <v>8</v>
      </c>
      <c r="I295" s="74" t="s">
        <v>2075</v>
      </c>
      <c r="J295" s="74" t="s">
        <v>2131</v>
      </c>
      <c r="K295" s="10" t="n">
        <v>0</v>
      </c>
      <c r="L295" s="8" t="n">
        <v>0</v>
      </c>
      <c r="M295" s="10" t="n">
        <v>385.65</v>
      </c>
      <c r="N295" s="8" t="n">
        <v>14178953.64</v>
      </c>
      <c r="O295" s="74" t="s">
        <v>2077</v>
      </c>
      <c r="P295" s="74"/>
      <c r="Q295" s="74"/>
      <c r="R295" s="14" t="n">
        <f aca="false">IF(I295="Unbilled",0,M295)</f>
        <v>385.65</v>
      </c>
      <c r="S295" s="9" t="n">
        <f aca="false">IF(R295=0,0,IF(O295="Booked",N295,R295*V294))</f>
        <v>14178953.6404904</v>
      </c>
      <c r="T295" s="14" t="n">
        <f aca="false">IF(I295="Opening",K295,T294+K295-R295)</f>
        <v>895.85</v>
      </c>
      <c r="U295" s="9" t="n">
        <f aca="false">IF(I295="Opening",L295,U294+L295-S295)</f>
        <v>32937159.6495096</v>
      </c>
      <c r="V295" s="9" t="n">
        <f aca="false">IF(T295&gt;0,U295/T295,IF(I295="Opening",0,V294))</f>
        <v>36766.3779087007</v>
      </c>
      <c r="W295" s="14" t="n">
        <f aca="false">M295</f>
        <v>385.65</v>
      </c>
      <c r="X295" s="9" t="n">
        <f aca="false">IF(W295=0,0,IF(O295="Booked",N295,W295*AA294))</f>
        <v>14178953.6404904</v>
      </c>
      <c r="Y295" s="14" t="n">
        <f aca="false">IF(I295="Opening",K295,Y294+K295-W295)</f>
        <v>895.85</v>
      </c>
      <c r="Z295" s="9" t="n">
        <f aca="false">IF(I295="Opening",L295,Z294+L295-X295)</f>
        <v>32937159.6495096</v>
      </c>
      <c r="AA295" s="9" t="n">
        <f aca="false">IF(Y295&gt;0,Z295/Y295,IF(I295="Opening",0,AA294))</f>
        <v>36766.3779087007</v>
      </c>
      <c r="AB295" s="9" t="n">
        <f aca="false">IF(AND(I295="DO",O295="MA"),S295-N295,0)</f>
        <v>0.000490440055727959</v>
      </c>
      <c r="AC295" s="9" t="n">
        <f aca="false">IF(I295="DO",X295-S295,0)</f>
        <v>0</v>
      </c>
      <c r="AD295" s="23" t="n">
        <f aca="false">IF(B296&lt;&gt;B295,1,0)</f>
        <v>0</v>
      </c>
      <c r="AE295" s="14" t="n">
        <f aca="false">IF(I295="Opening",0,AE294+W295)</f>
        <v>385.65</v>
      </c>
      <c r="AF295" s="14" t="n">
        <f aca="false">IF(I295="Opening",K295,AF294)</f>
        <v>0</v>
      </c>
      <c r="AG295" s="14" t="n">
        <f aca="false">AG294</f>
        <v>0</v>
      </c>
      <c r="AH295" s="14" t="n">
        <f aca="false">IF(W295=0,0,MAX(0,MIN(AE295,AF295)-MIN(AE295-W295,AF295)))</f>
        <v>0</v>
      </c>
      <c r="AI295" s="14" t="n">
        <f aca="false">IF(W295=0,0,MAX(0,MIN(AE295,AF295+AG295)-MAX(AE295-W295,AF295)))</f>
        <v>0</v>
      </c>
      <c r="AJ295" s="14" t="n">
        <f aca="false">W295-AH295-AI295</f>
        <v>385.65</v>
      </c>
      <c r="AK295" s="9" t="n">
        <f aca="false">IF(W295=0,0,X295*AH295/W295)</f>
        <v>0</v>
      </c>
      <c r="AL295" s="9" t="n">
        <f aca="false">IF(W295=0,0,X295*AI295/W295)</f>
        <v>0</v>
      </c>
      <c r="AM295" s="9" t="n">
        <f aca="false">X295-AK295-AL295</f>
        <v>14178953.6404904</v>
      </c>
    </row>
    <row r="296" customFormat="false" ht="15" hidden="false" customHeight="false" outlineLevel="0" collapsed="false">
      <c r="A296" s="6" t="n">
        <v>291</v>
      </c>
      <c r="B296" s="74" t="s">
        <v>975</v>
      </c>
      <c r="C296" s="53" t="str">
        <f aca="false">INDEX(I_Items!$C$5:$C$133,MATCH($B296,I_Items!$A$5:$A$133,0))</f>
        <v>RPA</v>
      </c>
      <c r="D296" s="53" t="str">
        <f aca="false">INDEX(I_Items!$D$5:$D$133,MATCH($B296,I_Items!$A$5:$A$133,0))</f>
        <v>Karkas</v>
      </c>
      <c r="E296" s="53" t="str">
        <f aca="false">INDEX(I_Items!$F$5:$F$133,MATCH($B296,I_Items!$A$5:$A$133,0))</f>
        <v>Fresh</v>
      </c>
      <c r="F296" s="53" t="str">
        <f aca="false">IF(INDEX(I_Items!$E$5:$E$133,MATCH($B296,I_Items!$A$5:$A$133,0))="","",INDEX(I_Items!$E$5:$E$133,MATCH($B296,I_Items!$A$5:$A$133,0)))</f>
        <v>Uk 0.9</v>
      </c>
      <c r="G296" s="76" t="n">
        <v>46249</v>
      </c>
      <c r="H296" s="23" t="n">
        <f aca="false">MONTH(G296)</f>
        <v>8</v>
      </c>
      <c r="I296" s="74" t="s">
        <v>2075</v>
      </c>
      <c r="J296" s="74" t="s">
        <v>2114</v>
      </c>
      <c r="K296" s="10" t="n">
        <v>0</v>
      </c>
      <c r="L296" s="8" t="n">
        <v>0</v>
      </c>
      <c r="M296" s="10" t="n">
        <v>286.9</v>
      </c>
      <c r="N296" s="8" t="n">
        <v>10548273.82</v>
      </c>
      <c r="O296" s="74" t="s">
        <v>2077</v>
      </c>
      <c r="P296" s="74" t="s">
        <v>1119</v>
      </c>
      <c r="Q296" s="74"/>
      <c r="R296" s="14" t="n">
        <f aca="false">IF(I296="Unbilled",0,M296)</f>
        <v>286.9</v>
      </c>
      <c r="S296" s="9" t="n">
        <f aca="false">IF(R296=0,0,IF(O296="Booked",N296,R296*V295))</f>
        <v>10548273.8220062</v>
      </c>
      <c r="T296" s="14" t="n">
        <f aca="false">IF(I296="Opening",K296,T295+K296-R296)</f>
        <v>608.95</v>
      </c>
      <c r="U296" s="9" t="n">
        <f aca="false">IF(I296="Opening",L296,U295+L296-S296)</f>
        <v>22388885.8275033</v>
      </c>
      <c r="V296" s="9" t="n">
        <f aca="false">IF(T296&gt;0,U296/T296,IF(I296="Opening",0,V295))</f>
        <v>36766.3779087007</v>
      </c>
      <c r="W296" s="14" t="n">
        <f aca="false">M296</f>
        <v>286.9</v>
      </c>
      <c r="X296" s="9" t="n">
        <f aca="false">IF(W296=0,0,IF(O296="Booked",N296,W296*AA295))</f>
        <v>10548273.8220062</v>
      </c>
      <c r="Y296" s="14" t="n">
        <f aca="false">IF(I296="Opening",K296,Y295+K296-W296)</f>
        <v>608.95</v>
      </c>
      <c r="Z296" s="9" t="n">
        <f aca="false">IF(I296="Opening",L296,Z295+L296-X296)</f>
        <v>22388885.8275033</v>
      </c>
      <c r="AA296" s="9" t="n">
        <f aca="false">IF(Y296&gt;0,Z296/Y296,IF(I296="Opening",0,AA295))</f>
        <v>36766.3779087007</v>
      </c>
      <c r="AB296" s="9" t="n">
        <f aca="false">IF(AND(I296="DO",O296="MA"),S296-N296,0)</f>
        <v>0.00200624018907547</v>
      </c>
      <c r="AC296" s="9" t="n">
        <f aca="false">IF(I296="DO",X296-S296,0)</f>
        <v>0</v>
      </c>
      <c r="AD296" s="23" t="n">
        <f aca="false">IF(B297&lt;&gt;B296,1,0)</f>
        <v>0</v>
      </c>
      <c r="AE296" s="14" t="n">
        <f aca="false">IF(I296="Opening",0,AE295+W296)</f>
        <v>672.55</v>
      </c>
      <c r="AF296" s="14" t="n">
        <f aca="false">IF(I296="Opening",K296,AF295)</f>
        <v>0</v>
      </c>
      <c r="AG296" s="14" t="n">
        <f aca="false">AG295</f>
        <v>0</v>
      </c>
      <c r="AH296" s="14" t="n">
        <f aca="false">IF(W296=0,0,MAX(0,MIN(AE296,AF296)-MIN(AE296-W296,AF296)))</f>
        <v>0</v>
      </c>
      <c r="AI296" s="14" t="n">
        <f aca="false">IF(W296=0,0,MAX(0,MIN(AE296,AF296+AG296)-MAX(AE296-W296,AF296)))</f>
        <v>0</v>
      </c>
      <c r="AJ296" s="14" t="n">
        <f aca="false">W296-AH296-AI296</f>
        <v>286.9</v>
      </c>
      <c r="AK296" s="9" t="n">
        <f aca="false">IF(W296=0,0,X296*AH296/W296)</f>
        <v>0</v>
      </c>
      <c r="AL296" s="9" t="n">
        <f aca="false">IF(W296=0,0,X296*AI296/W296)</f>
        <v>0</v>
      </c>
      <c r="AM296" s="9" t="n">
        <f aca="false">X296-AK296-AL296</f>
        <v>10548273.8220062</v>
      </c>
    </row>
    <row r="297" customFormat="false" ht="15" hidden="false" customHeight="false" outlineLevel="0" collapsed="false">
      <c r="A297" s="6" t="n">
        <v>292</v>
      </c>
      <c r="B297" s="74" t="s">
        <v>975</v>
      </c>
      <c r="C297" s="53" t="str">
        <f aca="false">INDEX(I_Items!$C$5:$C$133,MATCH($B297,I_Items!$A$5:$A$133,0))</f>
        <v>RPA</v>
      </c>
      <c r="D297" s="53" t="str">
        <f aca="false">INDEX(I_Items!$D$5:$D$133,MATCH($B297,I_Items!$A$5:$A$133,0))</f>
        <v>Karkas</v>
      </c>
      <c r="E297" s="53" t="str">
        <f aca="false">INDEX(I_Items!$F$5:$F$133,MATCH($B297,I_Items!$A$5:$A$133,0))</f>
        <v>Fresh</v>
      </c>
      <c r="F297" s="53" t="str">
        <f aca="false">IF(INDEX(I_Items!$E$5:$E$133,MATCH($B297,I_Items!$A$5:$A$133,0))="","",INDEX(I_Items!$E$5:$E$133,MATCH($B297,I_Items!$A$5:$A$133,0)))</f>
        <v>Uk 0.9</v>
      </c>
      <c r="G297" s="76" t="n">
        <v>46263</v>
      </c>
      <c r="H297" s="23" t="n">
        <f aca="false">MONTH(G297)</f>
        <v>8</v>
      </c>
      <c r="I297" s="74" t="s">
        <v>2075</v>
      </c>
      <c r="J297" s="74" t="s">
        <v>2132</v>
      </c>
      <c r="K297" s="10" t="n">
        <v>0</v>
      </c>
      <c r="L297" s="8" t="n">
        <v>0</v>
      </c>
      <c r="M297" s="10" t="n">
        <v>58.1</v>
      </c>
      <c r="N297" s="8" t="n">
        <v>2136126.56</v>
      </c>
      <c r="O297" s="74" t="s">
        <v>2077</v>
      </c>
      <c r="P297" s="74"/>
      <c r="Q297" s="74"/>
      <c r="R297" s="14" t="n">
        <f aca="false">IF(I297="Unbilled",0,M297)</f>
        <v>58.1</v>
      </c>
      <c r="S297" s="9" t="n">
        <f aca="false">IF(R297=0,0,IF(O297="Booked",N297,R297*V296))</f>
        <v>2136126.55649551</v>
      </c>
      <c r="T297" s="14" t="n">
        <f aca="false">IF(I297="Opening",K297,T296+K297-R297)</f>
        <v>550.85</v>
      </c>
      <c r="U297" s="9" t="n">
        <f aca="false">IF(I297="Opening",L297,U296+L297-S297)</f>
        <v>20252759.2710078</v>
      </c>
      <c r="V297" s="9" t="n">
        <f aca="false">IF(T297&gt;0,U297/T297,IF(I297="Opening",0,V296))</f>
        <v>36766.3779087007</v>
      </c>
      <c r="W297" s="14" t="n">
        <f aca="false">M297</f>
        <v>58.1</v>
      </c>
      <c r="X297" s="9" t="n">
        <f aca="false">IF(W297=0,0,IF(O297="Booked",N297,W297*AA296))</f>
        <v>2136126.55649551</v>
      </c>
      <c r="Y297" s="14" t="n">
        <f aca="false">IF(I297="Opening",K297,Y296+K297-W297)</f>
        <v>550.85</v>
      </c>
      <c r="Z297" s="9" t="n">
        <f aca="false">IF(I297="Opening",L297,Z296+L297-X297)</f>
        <v>20252759.2710078</v>
      </c>
      <c r="AA297" s="9" t="n">
        <f aca="false">IF(Y297&gt;0,Z297/Y297,IF(I297="Opening",0,AA296))</f>
        <v>36766.3779087007</v>
      </c>
      <c r="AB297" s="9" t="n">
        <f aca="false">IF(AND(I297="DO",O297="MA"),S297-N297,0)</f>
        <v>-0.00350448722019792</v>
      </c>
      <c r="AC297" s="9" t="n">
        <f aca="false">IF(I297="DO",X297-S297,0)</f>
        <v>0</v>
      </c>
      <c r="AD297" s="23" t="n">
        <f aca="false">IF(B298&lt;&gt;B297,1,0)</f>
        <v>1</v>
      </c>
      <c r="AE297" s="14" t="n">
        <f aca="false">IF(I297="Opening",0,AE296+W297)</f>
        <v>730.65</v>
      </c>
      <c r="AF297" s="14" t="n">
        <f aca="false">IF(I297="Opening",K297,AF296)</f>
        <v>0</v>
      </c>
      <c r="AG297" s="14" t="n">
        <f aca="false">AG296</f>
        <v>0</v>
      </c>
      <c r="AH297" s="14" t="n">
        <f aca="false">IF(W297=0,0,MAX(0,MIN(AE297,AF297)-MIN(AE297-W297,AF297)))</f>
        <v>0</v>
      </c>
      <c r="AI297" s="14" t="n">
        <f aca="false">IF(W297=0,0,MAX(0,MIN(AE297,AF297+AG297)-MAX(AE297-W297,AF297)))</f>
        <v>0</v>
      </c>
      <c r="AJ297" s="14" t="n">
        <f aca="false">W297-AH297-AI297</f>
        <v>58.1</v>
      </c>
      <c r="AK297" s="9" t="n">
        <f aca="false">IF(W297=0,0,X297*AH297/W297)</f>
        <v>0</v>
      </c>
      <c r="AL297" s="9" t="n">
        <f aca="false">IF(W297=0,0,X297*AI297/W297)</f>
        <v>0</v>
      </c>
      <c r="AM297" s="9" t="n">
        <f aca="false">X297-AK297-AL297</f>
        <v>2136126.55649551</v>
      </c>
    </row>
    <row r="298" customFormat="false" ht="15" hidden="false" customHeight="false" outlineLevel="0" collapsed="false">
      <c r="A298" s="6" t="n">
        <v>293</v>
      </c>
      <c r="B298" s="74" t="s">
        <v>976</v>
      </c>
      <c r="C298" s="53" t="str">
        <f aca="false">INDEX(I_Items!$C$5:$C$133,MATCH($B298,I_Items!$A$5:$A$133,0))</f>
        <v>RPA</v>
      </c>
      <c r="D298" s="53" t="str">
        <f aca="false">INDEX(I_Items!$D$5:$D$133,MATCH($B298,I_Items!$A$5:$A$133,0))</f>
        <v>Karkas</v>
      </c>
      <c r="E298" s="53" t="str">
        <f aca="false">INDEX(I_Items!$F$5:$F$133,MATCH($B298,I_Items!$A$5:$A$133,0))</f>
        <v>Frozen</v>
      </c>
      <c r="F298" s="53" t="str">
        <f aca="false">IF(INDEX(I_Items!$E$5:$E$133,MATCH($B298,I_Items!$A$5:$A$133,0))="","",INDEX(I_Items!$E$5:$E$133,MATCH($B298,I_Items!$A$5:$A$133,0)))</f>
        <v>Uk 0.9</v>
      </c>
      <c r="G298" s="76" t="n">
        <v>46204</v>
      </c>
      <c r="H298" s="23" t="n">
        <f aca="false">MONTH(G298)</f>
        <v>7</v>
      </c>
      <c r="I298" s="74" t="s">
        <v>2072</v>
      </c>
      <c r="J298" s="74" t="s">
        <v>2073</v>
      </c>
      <c r="K298" s="10" t="n">
        <v>330.54</v>
      </c>
      <c r="L298" s="8" t="n">
        <v>8115485.32</v>
      </c>
      <c r="M298" s="10" t="n">
        <v>0</v>
      </c>
      <c r="N298" s="8" t="n">
        <v>0</v>
      </c>
      <c r="O298" s="74"/>
      <c r="P298" s="74"/>
      <c r="Q298" s="74"/>
      <c r="R298" s="14" t="n">
        <f aca="false">IF(I298="Unbilled",0,M298)</f>
        <v>0</v>
      </c>
      <c r="S298" s="9" t="n">
        <f aca="false">IF(R298=0,0,IF(O298="Booked",N298,R298*V297))</f>
        <v>0</v>
      </c>
      <c r="T298" s="14" t="n">
        <f aca="false">IF(I298="Opening",K298,T297+K298-R298)</f>
        <v>330.54</v>
      </c>
      <c r="U298" s="9" t="n">
        <f aca="false">IF(I298="Opening",L298,U297+L298-S298)</f>
        <v>8115485.32</v>
      </c>
      <c r="V298" s="9" t="n">
        <f aca="false">IF(T298&gt;0,U298/T298,IF(I298="Opening",0,V297))</f>
        <v>24552.203424699</v>
      </c>
      <c r="W298" s="14" t="n">
        <f aca="false">M298</f>
        <v>0</v>
      </c>
      <c r="X298" s="9" t="n">
        <f aca="false">IF(W298=0,0,IF(O298="Booked",N298,W298*AA297))</f>
        <v>0</v>
      </c>
      <c r="Y298" s="14" t="n">
        <f aca="false">IF(I298="Opening",K298,Y297+K298-W298)</f>
        <v>330.54</v>
      </c>
      <c r="Z298" s="9" t="n">
        <f aca="false">IF(I298="Opening",L298,Z297+L298-X298)</f>
        <v>8115485.32</v>
      </c>
      <c r="AA298" s="9" t="n">
        <f aca="false">IF(Y298&gt;0,Z298/Y298,IF(I298="Opening",0,AA297))</f>
        <v>24552.203424699</v>
      </c>
      <c r="AB298" s="9" t="n">
        <f aca="false">IF(AND(I298="DO",O298="MA"),S298-N298,0)</f>
        <v>0</v>
      </c>
      <c r="AC298" s="9" t="n">
        <f aca="false">IF(I298="DO",X298-S298,0)</f>
        <v>0</v>
      </c>
      <c r="AD298" s="23" t="n">
        <f aca="false">IF(B299&lt;&gt;B298,1,0)</f>
        <v>0</v>
      </c>
      <c r="AE298" s="14" t="n">
        <f aca="false">IF(I298="Opening",0,AE297+W298)</f>
        <v>0</v>
      </c>
      <c r="AF298" s="14" t="n">
        <f aca="false">IF(I298="Opening",K298,AF297)</f>
        <v>330.54</v>
      </c>
      <c r="AG298" s="14" t="n">
        <f aca="false">SUMIFS($K$6:$K$1110,$B$6:$B$1110,B298,$H$6:$H$1110,7,$I$6:$I$1110,"&lt;&gt;Opening")</f>
        <v>30.6</v>
      </c>
      <c r="AH298" s="14" t="n">
        <f aca="false">IF(W298=0,0,MAX(0,MIN(AE298,AF298)-MIN(AE298-W298,AF298)))</f>
        <v>0</v>
      </c>
      <c r="AI298" s="14" t="n">
        <f aca="false">IF(W298=0,0,MAX(0,MIN(AE298,AF298+AG298)-MAX(AE298-W298,AF298)))</f>
        <v>0</v>
      </c>
      <c r="AJ298" s="14" t="n">
        <f aca="false">W298-AH298-AI298</f>
        <v>0</v>
      </c>
      <c r="AK298" s="9" t="n">
        <f aca="false">IF(W298=0,0,X298*AH298/W298)</f>
        <v>0</v>
      </c>
      <c r="AL298" s="9" t="n">
        <f aca="false">IF(W298=0,0,X298*AI298/W298)</f>
        <v>0</v>
      </c>
      <c r="AM298" s="9" t="n">
        <f aca="false">X298-AK298-AL298</f>
        <v>0</v>
      </c>
    </row>
    <row r="299" customFormat="false" ht="15" hidden="false" customHeight="false" outlineLevel="0" collapsed="false">
      <c r="A299" s="6" t="n">
        <v>294</v>
      </c>
      <c r="B299" s="74" t="s">
        <v>976</v>
      </c>
      <c r="C299" s="53" t="str">
        <f aca="false">INDEX(I_Items!$C$5:$C$133,MATCH($B299,I_Items!$A$5:$A$133,0))</f>
        <v>RPA</v>
      </c>
      <c r="D299" s="53" t="str">
        <f aca="false">INDEX(I_Items!$D$5:$D$133,MATCH($B299,I_Items!$A$5:$A$133,0))</f>
        <v>Karkas</v>
      </c>
      <c r="E299" s="53" t="str">
        <f aca="false">INDEX(I_Items!$F$5:$F$133,MATCH($B299,I_Items!$A$5:$A$133,0))</f>
        <v>Frozen</v>
      </c>
      <c r="F299" s="53" t="str">
        <f aca="false">IF(INDEX(I_Items!$E$5:$E$133,MATCH($B299,I_Items!$A$5:$A$133,0))="","",INDEX(I_Items!$E$5:$E$133,MATCH($B299,I_Items!$A$5:$A$133,0)))</f>
        <v>Uk 0.9</v>
      </c>
      <c r="G299" s="76" t="n">
        <v>46204</v>
      </c>
      <c r="H299" s="23" t="n">
        <f aca="false">MONTH(G299)</f>
        <v>7</v>
      </c>
      <c r="I299" s="74" t="s">
        <v>2117</v>
      </c>
      <c r="J299" s="74" t="s">
        <v>2133</v>
      </c>
      <c r="K299" s="10" t="n">
        <v>0</v>
      </c>
      <c r="L299" s="8" t="n">
        <v>0</v>
      </c>
      <c r="M299" s="10" t="n">
        <v>51.54</v>
      </c>
      <c r="N299" s="8" t="n">
        <v>1447045.08</v>
      </c>
      <c r="O299" s="74" t="s">
        <v>2119</v>
      </c>
      <c r="P299" s="74"/>
      <c r="Q299" s="74"/>
      <c r="R299" s="14" t="n">
        <f aca="false">IF(I299="Unbilled",0,M299)</f>
        <v>51.54</v>
      </c>
      <c r="S299" s="9" t="n">
        <f aca="false">IF(R299=0,0,IF(O299="Booked",N299,R299*V298))</f>
        <v>1447045.08</v>
      </c>
      <c r="T299" s="14" t="n">
        <f aca="false">IF(I299="Opening",K299,T298+K299-R299)</f>
        <v>279</v>
      </c>
      <c r="U299" s="9" t="n">
        <f aca="false">IF(I299="Opening",L299,U298+L299-S299)</f>
        <v>6668440.24</v>
      </c>
      <c r="V299" s="9" t="n">
        <f aca="false">IF(T299&gt;0,U299/T299,IF(I299="Opening",0,V298))</f>
        <v>23901.2194982079</v>
      </c>
      <c r="W299" s="14" t="n">
        <f aca="false">M299</f>
        <v>51.54</v>
      </c>
      <c r="X299" s="9" t="n">
        <f aca="false">IF(W299=0,0,IF(O299="Booked",N299,W299*AA298))</f>
        <v>1447045.08</v>
      </c>
      <c r="Y299" s="14" t="n">
        <f aca="false">IF(I299="Opening",K299,Y298+K299-W299)</f>
        <v>279</v>
      </c>
      <c r="Z299" s="9" t="n">
        <f aca="false">IF(I299="Opening",L299,Z298+L299-X299)</f>
        <v>6668440.24</v>
      </c>
      <c r="AA299" s="9" t="n">
        <f aca="false">IF(Y299&gt;0,Z299/Y299,IF(I299="Opening",0,AA298))</f>
        <v>23901.2194982079</v>
      </c>
      <c r="AB299" s="9" t="n">
        <f aca="false">IF(AND(I299="DO",O299="MA"),S299-N299,0)</f>
        <v>0</v>
      </c>
      <c r="AC299" s="9" t="n">
        <f aca="false">IF(I299="DO",X299-S299,0)</f>
        <v>0</v>
      </c>
      <c r="AD299" s="23" t="n">
        <f aca="false">IF(B300&lt;&gt;B299,1,0)</f>
        <v>0</v>
      </c>
      <c r="AE299" s="14" t="n">
        <f aca="false">IF(I299="Opening",0,AE298+W299)</f>
        <v>51.54</v>
      </c>
      <c r="AF299" s="14" t="n">
        <f aca="false">IF(I299="Opening",K299,AF298)</f>
        <v>330.54</v>
      </c>
      <c r="AG299" s="14" t="n">
        <f aca="false">AG298</f>
        <v>30.6</v>
      </c>
      <c r="AH299" s="14" t="n">
        <f aca="false">IF(W299=0,0,MAX(0,MIN(AE299,AF299)-MIN(AE299-W299,AF299)))</f>
        <v>51.54</v>
      </c>
      <c r="AI299" s="14" t="n">
        <f aca="false">IF(W299=0,0,MAX(0,MIN(AE299,AF299+AG299)-MAX(AE299-W299,AF299)))</f>
        <v>0</v>
      </c>
      <c r="AJ299" s="14" t="n">
        <f aca="false">W299-AH299-AI299</f>
        <v>0</v>
      </c>
      <c r="AK299" s="9" t="n">
        <f aca="false">IF(W299=0,0,X299*AH299/W299)</f>
        <v>1447045.08</v>
      </c>
      <c r="AL299" s="9" t="n">
        <f aca="false">IF(W299=0,0,X299*AI299/W299)</f>
        <v>0</v>
      </c>
      <c r="AM299" s="9" t="n">
        <f aca="false">X299-AK299-AL299</f>
        <v>0</v>
      </c>
    </row>
    <row r="300" customFormat="false" ht="15" hidden="false" customHeight="false" outlineLevel="0" collapsed="false">
      <c r="A300" s="6" t="n">
        <v>295</v>
      </c>
      <c r="B300" s="74" t="s">
        <v>976</v>
      </c>
      <c r="C300" s="53" t="str">
        <f aca="false">INDEX(I_Items!$C$5:$C$133,MATCH($B300,I_Items!$A$5:$A$133,0))</f>
        <v>RPA</v>
      </c>
      <c r="D300" s="53" t="str">
        <f aca="false">INDEX(I_Items!$D$5:$D$133,MATCH($B300,I_Items!$A$5:$A$133,0))</f>
        <v>Karkas</v>
      </c>
      <c r="E300" s="53" t="str">
        <f aca="false">INDEX(I_Items!$F$5:$F$133,MATCH($B300,I_Items!$A$5:$A$133,0))</f>
        <v>Frozen</v>
      </c>
      <c r="F300" s="53" t="str">
        <f aca="false">IF(INDEX(I_Items!$E$5:$E$133,MATCH($B300,I_Items!$A$5:$A$133,0))="","",INDEX(I_Items!$E$5:$E$133,MATCH($B300,I_Items!$A$5:$A$133,0)))</f>
        <v>Uk 0.9</v>
      </c>
      <c r="G300" s="76" t="n">
        <v>46204</v>
      </c>
      <c r="H300" s="23" t="n">
        <f aca="false">MONTH(G300)</f>
        <v>7</v>
      </c>
      <c r="I300" s="74" t="s">
        <v>2117</v>
      </c>
      <c r="J300" s="74" t="s">
        <v>2134</v>
      </c>
      <c r="K300" s="10" t="n">
        <v>30.6</v>
      </c>
      <c r="L300" s="8" t="n">
        <v>818147.21</v>
      </c>
      <c r="M300" s="10" t="n">
        <v>0</v>
      </c>
      <c r="N300" s="8" t="n">
        <v>0</v>
      </c>
      <c r="O300" s="74" t="s">
        <v>2119</v>
      </c>
      <c r="P300" s="74"/>
      <c r="Q300" s="74"/>
      <c r="R300" s="14" t="n">
        <f aca="false">IF(I300="Unbilled",0,M300)</f>
        <v>0</v>
      </c>
      <c r="S300" s="9" t="n">
        <f aca="false">IF(R300=0,0,IF(O300="Booked",N300,R300*V299))</f>
        <v>0</v>
      </c>
      <c r="T300" s="14" t="n">
        <f aca="false">IF(I300="Opening",K300,T299+K300-R300)</f>
        <v>309.6</v>
      </c>
      <c r="U300" s="9" t="n">
        <f aca="false">IF(I300="Opening",L300,U299+L300-S300)</f>
        <v>7486587.45</v>
      </c>
      <c r="V300" s="9" t="n">
        <f aca="false">IF(T300&gt;0,U300/T300,IF(I300="Opening",0,V299))</f>
        <v>24181.4840116279</v>
      </c>
      <c r="W300" s="14" t="n">
        <f aca="false">M300</f>
        <v>0</v>
      </c>
      <c r="X300" s="9" t="n">
        <f aca="false">IF(W300=0,0,IF(O300="Booked",N300,W300*AA299))</f>
        <v>0</v>
      </c>
      <c r="Y300" s="14" t="n">
        <f aca="false">IF(I300="Opening",K300,Y299+K300-W300)</f>
        <v>309.6</v>
      </c>
      <c r="Z300" s="9" t="n">
        <f aca="false">IF(I300="Opening",L300,Z299+L300-X300)</f>
        <v>7486587.45</v>
      </c>
      <c r="AA300" s="9" t="n">
        <f aca="false">IF(Y300&gt;0,Z300/Y300,IF(I300="Opening",0,AA299))</f>
        <v>24181.4840116279</v>
      </c>
      <c r="AB300" s="9" t="n">
        <f aca="false">IF(AND(I300="DO",O300="MA"),S300-N300,0)</f>
        <v>0</v>
      </c>
      <c r="AC300" s="9" t="n">
        <f aca="false">IF(I300="DO",X300-S300,0)</f>
        <v>0</v>
      </c>
      <c r="AD300" s="23" t="n">
        <f aca="false">IF(B301&lt;&gt;B300,1,0)</f>
        <v>0</v>
      </c>
      <c r="AE300" s="14" t="n">
        <f aca="false">IF(I300="Opening",0,AE299+W300)</f>
        <v>51.54</v>
      </c>
      <c r="AF300" s="14" t="n">
        <f aca="false">IF(I300="Opening",K300,AF299)</f>
        <v>330.54</v>
      </c>
      <c r="AG300" s="14" t="n">
        <f aca="false">AG299</f>
        <v>30.6</v>
      </c>
      <c r="AH300" s="14" t="n">
        <f aca="false">IF(W300=0,0,MAX(0,MIN(AE300,AF300)-MIN(AE300-W300,AF300)))</f>
        <v>0</v>
      </c>
      <c r="AI300" s="14" t="n">
        <f aca="false">IF(W300=0,0,MAX(0,MIN(AE300,AF300+AG300)-MAX(AE300-W300,AF300)))</f>
        <v>0</v>
      </c>
      <c r="AJ300" s="14" t="n">
        <f aca="false">W300-AH300-AI300</f>
        <v>0</v>
      </c>
      <c r="AK300" s="9" t="n">
        <f aca="false">IF(W300=0,0,X300*AH300/W300)</f>
        <v>0</v>
      </c>
      <c r="AL300" s="9" t="n">
        <f aca="false">IF(W300=0,0,X300*AI300/W300)</f>
        <v>0</v>
      </c>
      <c r="AM300" s="9" t="n">
        <f aca="false">X300-AK300-AL300</f>
        <v>0</v>
      </c>
    </row>
    <row r="301" customFormat="false" ht="15" hidden="false" customHeight="false" outlineLevel="0" collapsed="false">
      <c r="A301" s="6" t="n">
        <v>296</v>
      </c>
      <c r="B301" s="74" t="s">
        <v>976</v>
      </c>
      <c r="C301" s="53" t="str">
        <f aca="false">INDEX(I_Items!$C$5:$C$133,MATCH($B301,I_Items!$A$5:$A$133,0))</f>
        <v>RPA</v>
      </c>
      <c r="D301" s="53" t="str">
        <f aca="false">INDEX(I_Items!$D$5:$D$133,MATCH($B301,I_Items!$A$5:$A$133,0))</f>
        <v>Karkas</v>
      </c>
      <c r="E301" s="53" t="str">
        <f aca="false">INDEX(I_Items!$F$5:$F$133,MATCH($B301,I_Items!$A$5:$A$133,0))</f>
        <v>Frozen</v>
      </c>
      <c r="F301" s="53" t="str">
        <f aca="false">IF(INDEX(I_Items!$E$5:$E$133,MATCH($B301,I_Items!$A$5:$A$133,0))="","",INDEX(I_Items!$E$5:$E$133,MATCH($B301,I_Items!$A$5:$A$133,0)))</f>
        <v>Uk 0.9</v>
      </c>
      <c r="G301" s="76" t="n">
        <v>46241</v>
      </c>
      <c r="H301" s="23" t="n">
        <f aca="false">MONTH(G301)</f>
        <v>8</v>
      </c>
      <c r="I301" s="74" t="s">
        <v>2074</v>
      </c>
      <c r="J301" s="74" t="s">
        <v>1290</v>
      </c>
      <c r="K301" s="10" t="n">
        <v>57.7</v>
      </c>
      <c r="L301" s="8" t="n">
        <v>1759498.71</v>
      </c>
      <c r="M301" s="10" t="n">
        <v>0</v>
      </c>
      <c r="N301" s="8" t="n">
        <v>0</v>
      </c>
      <c r="O301" s="74"/>
      <c r="P301" s="74"/>
      <c r="Q301" s="74"/>
      <c r="R301" s="14" t="n">
        <f aca="false">IF(I301="Unbilled",0,M301)</f>
        <v>0</v>
      </c>
      <c r="S301" s="9" t="n">
        <f aca="false">IF(R301=0,0,IF(O301="Booked",N301,R301*V300))</f>
        <v>0</v>
      </c>
      <c r="T301" s="14" t="n">
        <f aca="false">IF(I301="Opening",K301,T300+K301-R301)</f>
        <v>367.3</v>
      </c>
      <c r="U301" s="9" t="n">
        <f aca="false">IF(I301="Opening",L301,U300+L301-S301)</f>
        <v>9246086.16</v>
      </c>
      <c r="V301" s="9" t="n">
        <f aca="false">IF(T301&gt;0,U301/T301,IF(I301="Opening",0,V300))</f>
        <v>25173.1177783828</v>
      </c>
      <c r="W301" s="14" t="n">
        <f aca="false">M301</f>
        <v>0</v>
      </c>
      <c r="X301" s="9" t="n">
        <f aca="false">IF(W301=0,0,IF(O301="Booked",N301,W301*AA300))</f>
        <v>0</v>
      </c>
      <c r="Y301" s="14" t="n">
        <f aca="false">IF(I301="Opening",K301,Y300+K301-W301)</f>
        <v>367.3</v>
      </c>
      <c r="Z301" s="9" t="n">
        <f aca="false">IF(I301="Opening",L301,Z300+L301-X301)</f>
        <v>9246086.16</v>
      </c>
      <c r="AA301" s="9" t="n">
        <f aca="false">IF(Y301&gt;0,Z301/Y301,IF(I301="Opening",0,AA300))</f>
        <v>25173.1177783828</v>
      </c>
      <c r="AB301" s="9" t="n">
        <f aca="false">IF(AND(I301="DO",O301="MA"),S301-N301,0)</f>
        <v>0</v>
      </c>
      <c r="AC301" s="9" t="n">
        <f aca="false">IF(I301="DO",X301-S301,0)</f>
        <v>0</v>
      </c>
      <c r="AD301" s="23" t="n">
        <f aca="false">IF(B302&lt;&gt;B301,1,0)</f>
        <v>0</v>
      </c>
      <c r="AE301" s="14" t="n">
        <f aca="false">IF(I301="Opening",0,AE300+W301)</f>
        <v>51.54</v>
      </c>
      <c r="AF301" s="14" t="n">
        <f aca="false">IF(I301="Opening",K301,AF300)</f>
        <v>330.54</v>
      </c>
      <c r="AG301" s="14" t="n">
        <f aca="false">AG300</f>
        <v>30.6</v>
      </c>
      <c r="AH301" s="14" t="n">
        <f aca="false">IF(W301=0,0,MAX(0,MIN(AE301,AF301)-MIN(AE301-W301,AF301)))</f>
        <v>0</v>
      </c>
      <c r="AI301" s="14" t="n">
        <f aca="false">IF(W301=0,0,MAX(0,MIN(AE301,AF301+AG301)-MAX(AE301-W301,AF301)))</f>
        <v>0</v>
      </c>
      <c r="AJ301" s="14" t="n">
        <f aca="false">W301-AH301-AI301</f>
        <v>0</v>
      </c>
      <c r="AK301" s="9" t="n">
        <f aca="false">IF(W301=0,0,X301*AH301/W301)</f>
        <v>0</v>
      </c>
      <c r="AL301" s="9" t="n">
        <f aca="false">IF(W301=0,0,X301*AI301/W301)</f>
        <v>0</v>
      </c>
      <c r="AM301" s="9" t="n">
        <f aca="false">X301-AK301-AL301</f>
        <v>0</v>
      </c>
    </row>
    <row r="302" customFormat="false" ht="15" hidden="false" customHeight="false" outlineLevel="0" collapsed="false">
      <c r="A302" s="6" t="n">
        <v>297</v>
      </c>
      <c r="B302" s="74" t="s">
        <v>976</v>
      </c>
      <c r="C302" s="53" t="str">
        <f aca="false">INDEX(I_Items!$C$5:$C$133,MATCH($B302,I_Items!$A$5:$A$133,0))</f>
        <v>RPA</v>
      </c>
      <c r="D302" s="53" t="str">
        <f aca="false">INDEX(I_Items!$D$5:$D$133,MATCH($B302,I_Items!$A$5:$A$133,0))</f>
        <v>Karkas</v>
      </c>
      <c r="E302" s="53" t="str">
        <f aca="false">INDEX(I_Items!$F$5:$F$133,MATCH($B302,I_Items!$A$5:$A$133,0))</f>
        <v>Frozen</v>
      </c>
      <c r="F302" s="53" t="str">
        <f aca="false">IF(INDEX(I_Items!$E$5:$E$133,MATCH($B302,I_Items!$A$5:$A$133,0))="","",INDEX(I_Items!$E$5:$E$133,MATCH($B302,I_Items!$A$5:$A$133,0)))</f>
        <v>Uk 0.9</v>
      </c>
      <c r="G302" s="76" t="n">
        <v>46244</v>
      </c>
      <c r="H302" s="23" t="n">
        <f aca="false">MONTH(G302)</f>
        <v>8</v>
      </c>
      <c r="I302" s="74" t="s">
        <v>2074</v>
      </c>
      <c r="J302" s="74" t="s">
        <v>1294</v>
      </c>
      <c r="K302" s="10" t="n">
        <v>147.9</v>
      </c>
      <c r="L302" s="8" t="n">
        <v>4823990.53</v>
      </c>
      <c r="M302" s="10" t="n">
        <v>0</v>
      </c>
      <c r="N302" s="8" t="n">
        <v>0</v>
      </c>
      <c r="O302" s="74"/>
      <c r="P302" s="74"/>
      <c r="Q302" s="74"/>
      <c r="R302" s="14" t="n">
        <f aca="false">IF(I302="Unbilled",0,M302)</f>
        <v>0</v>
      </c>
      <c r="S302" s="9" t="n">
        <f aca="false">IF(R302=0,0,IF(O302="Booked",N302,R302*V301))</f>
        <v>0</v>
      </c>
      <c r="T302" s="14" t="n">
        <f aca="false">IF(I302="Opening",K302,T301+K302-R302)</f>
        <v>515.2</v>
      </c>
      <c r="U302" s="9" t="n">
        <f aca="false">IF(I302="Opening",L302,U301+L302-S302)</f>
        <v>14070076.69</v>
      </c>
      <c r="V302" s="9" t="n">
        <f aca="false">IF(T302&gt;0,U302/T302,IF(I302="Opening",0,V301))</f>
        <v>27309.9314635093</v>
      </c>
      <c r="W302" s="14" t="n">
        <f aca="false">M302</f>
        <v>0</v>
      </c>
      <c r="X302" s="9" t="n">
        <f aca="false">IF(W302=0,0,IF(O302="Booked",N302,W302*AA301))</f>
        <v>0</v>
      </c>
      <c r="Y302" s="14" t="n">
        <f aca="false">IF(I302="Opening",K302,Y301+K302-W302)</f>
        <v>515.2</v>
      </c>
      <c r="Z302" s="9" t="n">
        <f aca="false">IF(I302="Opening",L302,Z301+L302-X302)</f>
        <v>14070076.69</v>
      </c>
      <c r="AA302" s="9" t="n">
        <f aca="false">IF(Y302&gt;0,Z302/Y302,IF(I302="Opening",0,AA301))</f>
        <v>27309.9314635093</v>
      </c>
      <c r="AB302" s="9" t="n">
        <f aca="false">IF(AND(I302="DO",O302="MA"),S302-N302,0)</f>
        <v>0</v>
      </c>
      <c r="AC302" s="9" t="n">
        <f aca="false">IF(I302="DO",X302-S302,0)</f>
        <v>0</v>
      </c>
      <c r="AD302" s="23" t="n">
        <f aca="false">IF(B303&lt;&gt;B302,1,0)</f>
        <v>0</v>
      </c>
      <c r="AE302" s="14" t="n">
        <f aca="false">IF(I302="Opening",0,AE301+W302)</f>
        <v>51.54</v>
      </c>
      <c r="AF302" s="14" t="n">
        <f aca="false">IF(I302="Opening",K302,AF301)</f>
        <v>330.54</v>
      </c>
      <c r="AG302" s="14" t="n">
        <f aca="false">AG301</f>
        <v>30.6</v>
      </c>
      <c r="AH302" s="14" t="n">
        <f aca="false">IF(W302=0,0,MAX(0,MIN(AE302,AF302)-MIN(AE302-W302,AF302)))</f>
        <v>0</v>
      </c>
      <c r="AI302" s="14" t="n">
        <f aca="false">IF(W302=0,0,MAX(0,MIN(AE302,AF302+AG302)-MAX(AE302-W302,AF302)))</f>
        <v>0</v>
      </c>
      <c r="AJ302" s="14" t="n">
        <f aca="false">W302-AH302-AI302</f>
        <v>0</v>
      </c>
      <c r="AK302" s="9" t="n">
        <f aca="false">IF(W302=0,0,X302*AH302/W302)</f>
        <v>0</v>
      </c>
      <c r="AL302" s="9" t="n">
        <f aca="false">IF(W302=0,0,X302*AI302/W302)</f>
        <v>0</v>
      </c>
      <c r="AM302" s="9" t="n">
        <f aca="false">X302-AK302-AL302</f>
        <v>0</v>
      </c>
    </row>
    <row r="303" customFormat="false" ht="15" hidden="false" customHeight="false" outlineLevel="0" collapsed="false">
      <c r="A303" s="6" t="n">
        <v>298</v>
      </c>
      <c r="B303" s="74" t="s">
        <v>976</v>
      </c>
      <c r="C303" s="53" t="str">
        <f aca="false">INDEX(I_Items!$C$5:$C$133,MATCH($B303,I_Items!$A$5:$A$133,0))</f>
        <v>RPA</v>
      </c>
      <c r="D303" s="53" t="str">
        <f aca="false">INDEX(I_Items!$D$5:$D$133,MATCH($B303,I_Items!$A$5:$A$133,0))</f>
        <v>Karkas</v>
      </c>
      <c r="E303" s="53" t="str">
        <f aca="false">INDEX(I_Items!$F$5:$F$133,MATCH($B303,I_Items!$A$5:$A$133,0))</f>
        <v>Frozen</v>
      </c>
      <c r="F303" s="53" t="str">
        <f aca="false">IF(INDEX(I_Items!$E$5:$E$133,MATCH($B303,I_Items!$A$5:$A$133,0))="","",INDEX(I_Items!$E$5:$E$133,MATCH($B303,I_Items!$A$5:$A$133,0)))</f>
        <v>Uk 0.9</v>
      </c>
      <c r="G303" s="76" t="n">
        <v>46248</v>
      </c>
      <c r="H303" s="23" t="n">
        <f aca="false">MONTH(G303)</f>
        <v>8</v>
      </c>
      <c r="I303" s="74" t="s">
        <v>2074</v>
      </c>
      <c r="J303" s="74" t="s">
        <v>1302</v>
      </c>
      <c r="K303" s="10" t="n">
        <v>14.7</v>
      </c>
      <c r="L303" s="8" t="n">
        <v>511638.03</v>
      </c>
      <c r="M303" s="10" t="n">
        <v>0</v>
      </c>
      <c r="N303" s="8" t="n">
        <v>0</v>
      </c>
      <c r="O303" s="74"/>
      <c r="P303" s="74"/>
      <c r="Q303" s="74"/>
      <c r="R303" s="14" t="n">
        <f aca="false">IF(I303="Unbilled",0,M303)</f>
        <v>0</v>
      </c>
      <c r="S303" s="9" t="n">
        <f aca="false">IF(R303=0,0,IF(O303="Booked",N303,R303*V302))</f>
        <v>0</v>
      </c>
      <c r="T303" s="14" t="n">
        <f aca="false">IF(I303="Opening",K303,T302+K303-R303)</f>
        <v>529.9</v>
      </c>
      <c r="U303" s="9" t="n">
        <f aca="false">IF(I303="Opening",L303,U302+L303-S303)</f>
        <v>14581714.72</v>
      </c>
      <c r="V303" s="9" t="n">
        <f aca="false">IF(T303&gt;0,U303/T303,IF(I303="Opening",0,V302))</f>
        <v>27517.8613323269</v>
      </c>
      <c r="W303" s="14" t="n">
        <f aca="false">M303</f>
        <v>0</v>
      </c>
      <c r="X303" s="9" t="n">
        <f aca="false">IF(W303=0,0,IF(O303="Booked",N303,W303*AA302))</f>
        <v>0</v>
      </c>
      <c r="Y303" s="14" t="n">
        <f aca="false">IF(I303="Opening",K303,Y302+K303-W303)</f>
        <v>529.9</v>
      </c>
      <c r="Z303" s="9" t="n">
        <f aca="false">IF(I303="Opening",L303,Z302+L303-X303)</f>
        <v>14581714.72</v>
      </c>
      <c r="AA303" s="9" t="n">
        <f aca="false">IF(Y303&gt;0,Z303/Y303,IF(I303="Opening",0,AA302))</f>
        <v>27517.8613323269</v>
      </c>
      <c r="AB303" s="9" t="n">
        <f aca="false">IF(AND(I303="DO",O303="MA"),S303-N303,0)</f>
        <v>0</v>
      </c>
      <c r="AC303" s="9" t="n">
        <f aca="false">IF(I303="DO",X303-S303,0)</f>
        <v>0</v>
      </c>
      <c r="AD303" s="23" t="n">
        <f aca="false">IF(B304&lt;&gt;B303,1,0)</f>
        <v>0</v>
      </c>
      <c r="AE303" s="14" t="n">
        <f aca="false">IF(I303="Opening",0,AE302+W303)</f>
        <v>51.54</v>
      </c>
      <c r="AF303" s="14" t="n">
        <f aca="false">IF(I303="Opening",K303,AF302)</f>
        <v>330.54</v>
      </c>
      <c r="AG303" s="14" t="n">
        <f aca="false">AG302</f>
        <v>30.6</v>
      </c>
      <c r="AH303" s="14" t="n">
        <f aca="false">IF(W303=0,0,MAX(0,MIN(AE303,AF303)-MIN(AE303-W303,AF303)))</f>
        <v>0</v>
      </c>
      <c r="AI303" s="14" t="n">
        <f aca="false">IF(W303=0,0,MAX(0,MIN(AE303,AF303+AG303)-MAX(AE303-W303,AF303)))</f>
        <v>0</v>
      </c>
      <c r="AJ303" s="14" t="n">
        <f aca="false">W303-AH303-AI303</f>
        <v>0</v>
      </c>
      <c r="AK303" s="9" t="n">
        <f aca="false">IF(W303=0,0,X303*AH303/W303)</f>
        <v>0</v>
      </c>
      <c r="AL303" s="9" t="n">
        <f aca="false">IF(W303=0,0,X303*AI303/W303)</f>
        <v>0</v>
      </c>
      <c r="AM303" s="9" t="n">
        <f aca="false">X303-AK303-AL303</f>
        <v>0</v>
      </c>
    </row>
    <row r="304" customFormat="false" ht="15" hidden="false" customHeight="false" outlineLevel="0" collapsed="false">
      <c r="A304" s="6" t="n">
        <v>299</v>
      </c>
      <c r="B304" s="74" t="s">
        <v>976</v>
      </c>
      <c r="C304" s="53" t="str">
        <f aca="false">INDEX(I_Items!$C$5:$C$133,MATCH($B304,I_Items!$A$5:$A$133,0))</f>
        <v>RPA</v>
      </c>
      <c r="D304" s="53" t="str">
        <f aca="false">INDEX(I_Items!$D$5:$D$133,MATCH($B304,I_Items!$A$5:$A$133,0))</f>
        <v>Karkas</v>
      </c>
      <c r="E304" s="53" t="str">
        <f aca="false">INDEX(I_Items!$F$5:$F$133,MATCH($B304,I_Items!$A$5:$A$133,0))</f>
        <v>Frozen</v>
      </c>
      <c r="F304" s="53" t="str">
        <f aca="false">IF(INDEX(I_Items!$E$5:$E$133,MATCH($B304,I_Items!$A$5:$A$133,0))="","",INDEX(I_Items!$E$5:$E$133,MATCH($B304,I_Items!$A$5:$A$133,0)))</f>
        <v>Uk 0.9</v>
      </c>
      <c r="G304" s="76" t="n">
        <v>46253</v>
      </c>
      <c r="H304" s="23" t="n">
        <f aca="false">MONTH(G304)</f>
        <v>8</v>
      </c>
      <c r="I304" s="74" t="s">
        <v>2074</v>
      </c>
      <c r="J304" s="74" t="s">
        <v>1305</v>
      </c>
      <c r="K304" s="10" t="n">
        <v>28.2</v>
      </c>
      <c r="L304" s="8" t="n">
        <v>968713.31</v>
      </c>
      <c r="M304" s="10" t="n">
        <v>0</v>
      </c>
      <c r="N304" s="8" t="n">
        <v>0</v>
      </c>
      <c r="O304" s="74"/>
      <c r="P304" s="74"/>
      <c r="Q304" s="74"/>
      <c r="R304" s="14" t="n">
        <f aca="false">IF(I304="Unbilled",0,M304)</f>
        <v>0</v>
      </c>
      <c r="S304" s="9" t="n">
        <f aca="false">IF(R304=0,0,IF(O304="Booked",N304,R304*V303))</f>
        <v>0</v>
      </c>
      <c r="T304" s="14" t="n">
        <f aca="false">IF(I304="Opening",K304,T303+K304-R304)</f>
        <v>558.1</v>
      </c>
      <c r="U304" s="9" t="n">
        <f aca="false">IF(I304="Opening",L304,U303+L304-S304)</f>
        <v>15550428.03</v>
      </c>
      <c r="V304" s="9" t="n">
        <f aca="false">IF(T304&gt;0,U304/T304,IF(I304="Opening",0,V303))</f>
        <v>27863.1571940512</v>
      </c>
      <c r="W304" s="14" t="n">
        <f aca="false">M304</f>
        <v>0</v>
      </c>
      <c r="X304" s="9" t="n">
        <f aca="false">IF(W304=0,0,IF(O304="Booked",N304,W304*AA303))</f>
        <v>0</v>
      </c>
      <c r="Y304" s="14" t="n">
        <f aca="false">IF(I304="Opening",K304,Y303+K304-W304)</f>
        <v>558.1</v>
      </c>
      <c r="Z304" s="9" t="n">
        <f aca="false">IF(I304="Opening",L304,Z303+L304-X304)</f>
        <v>15550428.03</v>
      </c>
      <c r="AA304" s="9" t="n">
        <f aca="false">IF(Y304&gt;0,Z304/Y304,IF(I304="Opening",0,AA303))</f>
        <v>27863.1571940512</v>
      </c>
      <c r="AB304" s="9" t="n">
        <f aca="false">IF(AND(I304="DO",O304="MA"),S304-N304,0)</f>
        <v>0</v>
      </c>
      <c r="AC304" s="9" t="n">
        <f aca="false">IF(I304="DO",X304-S304,0)</f>
        <v>0</v>
      </c>
      <c r="AD304" s="23" t="n">
        <f aca="false">IF(B305&lt;&gt;B304,1,0)</f>
        <v>0</v>
      </c>
      <c r="AE304" s="14" t="n">
        <f aca="false">IF(I304="Opening",0,AE303+W304)</f>
        <v>51.54</v>
      </c>
      <c r="AF304" s="14" t="n">
        <f aca="false">IF(I304="Opening",K304,AF303)</f>
        <v>330.54</v>
      </c>
      <c r="AG304" s="14" t="n">
        <f aca="false">AG303</f>
        <v>30.6</v>
      </c>
      <c r="AH304" s="14" t="n">
        <f aca="false">IF(W304=0,0,MAX(0,MIN(AE304,AF304)-MIN(AE304-W304,AF304)))</f>
        <v>0</v>
      </c>
      <c r="AI304" s="14" t="n">
        <f aca="false">IF(W304=0,0,MAX(0,MIN(AE304,AF304+AG304)-MAX(AE304-W304,AF304)))</f>
        <v>0</v>
      </c>
      <c r="AJ304" s="14" t="n">
        <f aca="false">W304-AH304-AI304</f>
        <v>0</v>
      </c>
      <c r="AK304" s="9" t="n">
        <f aca="false">IF(W304=0,0,X304*AH304/W304)</f>
        <v>0</v>
      </c>
      <c r="AL304" s="9" t="n">
        <f aca="false">IF(W304=0,0,X304*AI304/W304)</f>
        <v>0</v>
      </c>
      <c r="AM304" s="9" t="n">
        <f aca="false">X304-AK304-AL304</f>
        <v>0</v>
      </c>
    </row>
    <row r="305" customFormat="false" ht="15" hidden="false" customHeight="false" outlineLevel="0" collapsed="false">
      <c r="A305" s="6" t="n">
        <v>300</v>
      </c>
      <c r="B305" s="74" t="s">
        <v>976</v>
      </c>
      <c r="C305" s="53" t="str">
        <f aca="false">INDEX(I_Items!$C$5:$C$133,MATCH($B305,I_Items!$A$5:$A$133,0))</f>
        <v>RPA</v>
      </c>
      <c r="D305" s="53" t="str">
        <f aca="false">INDEX(I_Items!$D$5:$D$133,MATCH($B305,I_Items!$A$5:$A$133,0))</f>
        <v>Karkas</v>
      </c>
      <c r="E305" s="53" t="str">
        <f aca="false">INDEX(I_Items!$F$5:$F$133,MATCH($B305,I_Items!$A$5:$A$133,0))</f>
        <v>Frozen</v>
      </c>
      <c r="F305" s="53" t="str">
        <f aca="false">IF(INDEX(I_Items!$E$5:$E$133,MATCH($B305,I_Items!$A$5:$A$133,0))="","",INDEX(I_Items!$E$5:$E$133,MATCH($B305,I_Items!$A$5:$A$133,0)))</f>
        <v>Uk 0.9</v>
      </c>
      <c r="G305" s="76" t="n">
        <v>46254</v>
      </c>
      <c r="H305" s="23" t="n">
        <f aca="false">MONTH(G305)</f>
        <v>8</v>
      </c>
      <c r="I305" s="74" t="s">
        <v>2074</v>
      </c>
      <c r="J305" s="74" t="s">
        <v>1308</v>
      </c>
      <c r="K305" s="10" t="n">
        <v>118</v>
      </c>
      <c r="L305" s="8" t="n">
        <v>4062584.2</v>
      </c>
      <c r="M305" s="10" t="n">
        <v>0</v>
      </c>
      <c r="N305" s="8" t="n">
        <v>0</v>
      </c>
      <c r="O305" s="74"/>
      <c r="P305" s="74"/>
      <c r="Q305" s="74"/>
      <c r="R305" s="14" t="n">
        <f aca="false">IF(I305="Unbilled",0,M305)</f>
        <v>0</v>
      </c>
      <c r="S305" s="9" t="n">
        <f aca="false">IF(R305=0,0,IF(O305="Booked",N305,R305*V304))</f>
        <v>0</v>
      </c>
      <c r="T305" s="14" t="n">
        <f aca="false">IF(I305="Opening",K305,T304+K305-R305)</f>
        <v>676.1</v>
      </c>
      <c r="U305" s="9" t="n">
        <f aca="false">IF(I305="Opening",L305,U304+L305-S305)</f>
        <v>19613012.23</v>
      </c>
      <c r="V305" s="9" t="n">
        <f aca="false">IF(T305&gt;0,U305/T305,IF(I305="Opening",0,V304))</f>
        <v>29009.0404230143</v>
      </c>
      <c r="W305" s="14" t="n">
        <f aca="false">M305</f>
        <v>0</v>
      </c>
      <c r="X305" s="9" t="n">
        <f aca="false">IF(W305=0,0,IF(O305="Booked",N305,W305*AA304))</f>
        <v>0</v>
      </c>
      <c r="Y305" s="14" t="n">
        <f aca="false">IF(I305="Opening",K305,Y304+K305-W305)</f>
        <v>676.1</v>
      </c>
      <c r="Z305" s="9" t="n">
        <f aca="false">IF(I305="Opening",L305,Z304+L305-X305)</f>
        <v>19613012.23</v>
      </c>
      <c r="AA305" s="9" t="n">
        <f aca="false">IF(Y305&gt;0,Z305/Y305,IF(I305="Opening",0,AA304))</f>
        <v>29009.0404230143</v>
      </c>
      <c r="AB305" s="9" t="n">
        <f aca="false">IF(AND(I305="DO",O305="MA"),S305-N305,0)</f>
        <v>0</v>
      </c>
      <c r="AC305" s="9" t="n">
        <f aca="false">IF(I305="DO",X305-S305,0)</f>
        <v>0</v>
      </c>
      <c r="AD305" s="23" t="n">
        <f aca="false">IF(B306&lt;&gt;B305,1,0)</f>
        <v>0</v>
      </c>
      <c r="AE305" s="14" t="n">
        <f aca="false">IF(I305="Opening",0,AE304+W305)</f>
        <v>51.54</v>
      </c>
      <c r="AF305" s="14" t="n">
        <f aca="false">IF(I305="Opening",K305,AF304)</f>
        <v>330.54</v>
      </c>
      <c r="AG305" s="14" t="n">
        <f aca="false">AG304</f>
        <v>30.6</v>
      </c>
      <c r="AH305" s="14" t="n">
        <f aca="false">IF(W305=0,0,MAX(0,MIN(AE305,AF305)-MIN(AE305-W305,AF305)))</f>
        <v>0</v>
      </c>
      <c r="AI305" s="14" t="n">
        <f aca="false">IF(W305=0,0,MAX(0,MIN(AE305,AF305+AG305)-MAX(AE305-W305,AF305)))</f>
        <v>0</v>
      </c>
      <c r="AJ305" s="14" t="n">
        <f aca="false">W305-AH305-AI305</f>
        <v>0</v>
      </c>
      <c r="AK305" s="9" t="n">
        <f aca="false">IF(W305=0,0,X305*AH305/W305)</f>
        <v>0</v>
      </c>
      <c r="AL305" s="9" t="n">
        <f aca="false">IF(W305=0,0,X305*AI305/W305)</f>
        <v>0</v>
      </c>
      <c r="AM305" s="9" t="n">
        <f aca="false">X305-AK305-AL305</f>
        <v>0</v>
      </c>
    </row>
    <row r="306" customFormat="false" ht="15" hidden="false" customHeight="false" outlineLevel="0" collapsed="false">
      <c r="A306" s="6" t="n">
        <v>301</v>
      </c>
      <c r="B306" s="74" t="s">
        <v>976</v>
      </c>
      <c r="C306" s="53" t="str">
        <f aca="false">INDEX(I_Items!$C$5:$C$133,MATCH($B306,I_Items!$A$5:$A$133,0))</f>
        <v>RPA</v>
      </c>
      <c r="D306" s="53" t="str">
        <f aca="false">INDEX(I_Items!$D$5:$D$133,MATCH($B306,I_Items!$A$5:$A$133,0))</f>
        <v>Karkas</v>
      </c>
      <c r="E306" s="53" t="str">
        <f aca="false">INDEX(I_Items!$F$5:$F$133,MATCH($B306,I_Items!$A$5:$A$133,0))</f>
        <v>Frozen</v>
      </c>
      <c r="F306" s="53" t="str">
        <f aca="false">IF(INDEX(I_Items!$E$5:$E$133,MATCH($B306,I_Items!$A$5:$A$133,0))="","",INDEX(I_Items!$E$5:$E$133,MATCH($B306,I_Items!$A$5:$A$133,0)))</f>
        <v>Uk 0.9</v>
      </c>
      <c r="G306" s="76" t="n">
        <v>46255</v>
      </c>
      <c r="H306" s="23" t="n">
        <f aca="false">MONTH(G306)</f>
        <v>8</v>
      </c>
      <c r="I306" s="74" t="s">
        <v>2074</v>
      </c>
      <c r="J306" s="74" t="s">
        <v>1311</v>
      </c>
      <c r="K306" s="10" t="n">
        <v>74.3</v>
      </c>
      <c r="L306" s="8" t="n">
        <v>2581291.44</v>
      </c>
      <c r="M306" s="10" t="n">
        <v>0</v>
      </c>
      <c r="N306" s="8" t="n">
        <v>0</v>
      </c>
      <c r="O306" s="74"/>
      <c r="P306" s="74"/>
      <c r="Q306" s="74"/>
      <c r="R306" s="14" t="n">
        <f aca="false">IF(I306="Unbilled",0,M306)</f>
        <v>0</v>
      </c>
      <c r="S306" s="9" t="n">
        <f aca="false">IF(R306=0,0,IF(O306="Booked",N306,R306*V305))</f>
        <v>0</v>
      </c>
      <c r="T306" s="14" t="n">
        <f aca="false">IF(I306="Opening",K306,T305+K306-R306)</f>
        <v>750.4</v>
      </c>
      <c r="U306" s="9" t="n">
        <f aca="false">IF(I306="Opening",L306,U305+L306-S306)</f>
        <v>22194303.67</v>
      </c>
      <c r="V306" s="9" t="n">
        <f aca="false">IF(T306&gt;0,U306/T306,IF(I306="Opening",0,V305))</f>
        <v>29576.6306902985</v>
      </c>
      <c r="W306" s="14" t="n">
        <f aca="false">M306</f>
        <v>0</v>
      </c>
      <c r="X306" s="9" t="n">
        <f aca="false">IF(W306=0,0,IF(O306="Booked",N306,W306*AA305))</f>
        <v>0</v>
      </c>
      <c r="Y306" s="14" t="n">
        <f aca="false">IF(I306="Opening",K306,Y305+K306-W306)</f>
        <v>750.4</v>
      </c>
      <c r="Z306" s="9" t="n">
        <f aca="false">IF(I306="Opening",L306,Z305+L306-X306)</f>
        <v>22194303.67</v>
      </c>
      <c r="AA306" s="9" t="n">
        <f aca="false">IF(Y306&gt;0,Z306/Y306,IF(I306="Opening",0,AA305))</f>
        <v>29576.6306902985</v>
      </c>
      <c r="AB306" s="9" t="n">
        <f aca="false">IF(AND(I306="DO",O306="MA"),S306-N306,0)</f>
        <v>0</v>
      </c>
      <c r="AC306" s="9" t="n">
        <f aca="false">IF(I306="DO",X306-S306,0)</f>
        <v>0</v>
      </c>
      <c r="AD306" s="23" t="n">
        <f aca="false">IF(B307&lt;&gt;B306,1,0)</f>
        <v>0</v>
      </c>
      <c r="AE306" s="14" t="n">
        <f aca="false">IF(I306="Opening",0,AE305+W306)</f>
        <v>51.54</v>
      </c>
      <c r="AF306" s="14" t="n">
        <f aca="false">IF(I306="Opening",K306,AF305)</f>
        <v>330.54</v>
      </c>
      <c r="AG306" s="14" t="n">
        <f aca="false">AG305</f>
        <v>30.6</v>
      </c>
      <c r="AH306" s="14" t="n">
        <f aca="false">IF(W306=0,0,MAX(0,MIN(AE306,AF306)-MIN(AE306-W306,AF306)))</f>
        <v>0</v>
      </c>
      <c r="AI306" s="14" t="n">
        <f aca="false">IF(W306=0,0,MAX(0,MIN(AE306,AF306+AG306)-MAX(AE306-W306,AF306)))</f>
        <v>0</v>
      </c>
      <c r="AJ306" s="14" t="n">
        <f aca="false">W306-AH306-AI306</f>
        <v>0</v>
      </c>
      <c r="AK306" s="9" t="n">
        <f aca="false">IF(W306=0,0,X306*AH306/W306)</f>
        <v>0</v>
      </c>
      <c r="AL306" s="9" t="n">
        <f aca="false">IF(W306=0,0,X306*AI306/W306)</f>
        <v>0</v>
      </c>
      <c r="AM306" s="9" t="n">
        <f aca="false">X306-AK306-AL306</f>
        <v>0</v>
      </c>
    </row>
    <row r="307" customFormat="false" ht="15" hidden="false" customHeight="false" outlineLevel="0" collapsed="false">
      <c r="A307" s="6" t="n">
        <v>302</v>
      </c>
      <c r="B307" s="74" t="s">
        <v>976</v>
      </c>
      <c r="C307" s="53" t="str">
        <f aca="false">INDEX(I_Items!$C$5:$C$133,MATCH($B307,I_Items!$A$5:$A$133,0))</f>
        <v>RPA</v>
      </c>
      <c r="D307" s="53" t="str">
        <f aca="false">INDEX(I_Items!$D$5:$D$133,MATCH($B307,I_Items!$A$5:$A$133,0))</f>
        <v>Karkas</v>
      </c>
      <c r="E307" s="53" t="str">
        <f aca="false">INDEX(I_Items!$F$5:$F$133,MATCH($B307,I_Items!$A$5:$A$133,0))</f>
        <v>Frozen</v>
      </c>
      <c r="F307" s="53" t="str">
        <f aca="false">IF(INDEX(I_Items!$E$5:$E$133,MATCH($B307,I_Items!$A$5:$A$133,0))="","",INDEX(I_Items!$E$5:$E$133,MATCH($B307,I_Items!$A$5:$A$133,0)))</f>
        <v>Uk 0.9</v>
      </c>
      <c r="G307" s="76" t="n">
        <v>46255</v>
      </c>
      <c r="H307" s="23" t="n">
        <f aca="false">MONTH(G307)</f>
        <v>8</v>
      </c>
      <c r="I307" s="74" t="s">
        <v>2075</v>
      </c>
      <c r="J307" s="74" t="s">
        <v>2127</v>
      </c>
      <c r="K307" s="10" t="n">
        <v>0</v>
      </c>
      <c r="L307" s="8" t="n">
        <v>0</v>
      </c>
      <c r="M307" s="10" t="n">
        <v>4.5</v>
      </c>
      <c r="N307" s="8" t="n">
        <v>133094.84</v>
      </c>
      <c r="O307" s="74" t="s">
        <v>2077</v>
      </c>
      <c r="P307" s="74"/>
      <c r="Q307" s="74"/>
      <c r="R307" s="14" t="n">
        <f aca="false">IF(I307="Unbilled",0,M307)</f>
        <v>4.5</v>
      </c>
      <c r="S307" s="9" t="n">
        <f aca="false">IF(R307=0,0,IF(O307="Booked",N307,R307*V306))</f>
        <v>133094.838106343</v>
      </c>
      <c r="T307" s="14" t="n">
        <f aca="false">IF(I307="Opening",K307,T306+K307-R307)</f>
        <v>745.9</v>
      </c>
      <c r="U307" s="9" t="n">
        <f aca="false">IF(I307="Opening",L307,U306+L307-S307)</f>
        <v>22061208.8318937</v>
      </c>
      <c r="V307" s="9" t="n">
        <f aca="false">IF(T307&gt;0,U307/T307,IF(I307="Opening",0,V306))</f>
        <v>29576.6306902985</v>
      </c>
      <c r="W307" s="14" t="n">
        <f aca="false">M307</f>
        <v>4.5</v>
      </c>
      <c r="X307" s="9" t="n">
        <f aca="false">IF(W307=0,0,IF(O307="Booked",N307,W307*AA306))</f>
        <v>133094.838106343</v>
      </c>
      <c r="Y307" s="14" t="n">
        <f aca="false">IF(I307="Opening",K307,Y306+K307-W307)</f>
        <v>745.9</v>
      </c>
      <c r="Z307" s="9" t="n">
        <f aca="false">IF(I307="Opening",L307,Z306+L307-X307)</f>
        <v>22061208.8318937</v>
      </c>
      <c r="AA307" s="9" t="n">
        <f aca="false">IF(Y307&gt;0,Z307/Y307,IF(I307="Opening",0,AA306))</f>
        <v>29576.6306902985</v>
      </c>
      <c r="AB307" s="9" t="n">
        <f aca="false">IF(AND(I307="DO",O307="MA"),S307-N307,0)</f>
        <v>-0.00189365673577413</v>
      </c>
      <c r="AC307" s="9" t="n">
        <f aca="false">IF(I307="DO",X307-S307,0)</f>
        <v>0</v>
      </c>
      <c r="AD307" s="23" t="n">
        <f aca="false">IF(B308&lt;&gt;B307,1,0)</f>
        <v>0</v>
      </c>
      <c r="AE307" s="14" t="n">
        <f aca="false">IF(I307="Opening",0,AE306+W307)</f>
        <v>56.04</v>
      </c>
      <c r="AF307" s="14" t="n">
        <f aca="false">IF(I307="Opening",K307,AF306)</f>
        <v>330.54</v>
      </c>
      <c r="AG307" s="14" t="n">
        <f aca="false">AG306</f>
        <v>30.6</v>
      </c>
      <c r="AH307" s="14" t="n">
        <f aca="false">IF(W307=0,0,MAX(0,MIN(AE307,AF307)-MIN(AE307-W307,AF307)))</f>
        <v>4.5</v>
      </c>
      <c r="AI307" s="14" t="n">
        <f aca="false">IF(W307=0,0,MAX(0,MIN(AE307,AF307+AG307)-MAX(AE307-W307,AF307)))</f>
        <v>0</v>
      </c>
      <c r="AJ307" s="14" t="n">
        <f aca="false">W307-AH307-AI307</f>
        <v>0</v>
      </c>
      <c r="AK307" s="9" t="n">
        <f aca="false">IF(W307=0,0,X307*AH307/W307)</f>
        <v>133094.838106343</v>
      </c>
      <c r="AL307" s="9" t="n">
        <f aca="false">IF(W307=0,0,X307*AI307/W307)</f>
        <v>0</v>
      </c>
      <c r="AM307" s="9" t="n">
        <f aca="false">X307-AK307-AL307</f>
        <v>0</v>
      </c>
    </row>
    <row r="308" customFormat="false" ht="15" hidden="false" customHeight="false" outlineLevel="0" collapsed="false">
      <c r="A308" s="6" t="n">
        <v>303</v>
      </c>
      <c r="B308" s="74" t="s">
        <v>976</v>
      </c>
      <c r="C308" s="53" t="str">
        <f aca="false">INDEX(I_Items!$C$5:$C$133,MATCH($B308,I_Items!$A$5:$A$133,0))</f>
        <v>RPA</v>
      </c>
      <c r="D308" s="53" t="str">
        <f aca="false">INDEX(I_Items!$D$5:$D$133,MATCH($B308,I_Items!$A$5:$A$133,0))</f>
        <v>Karkas</v>
      </c>
      <c r="E308" s="53" t="str">
        <f aca="false">INDEX(I_Items!$F$5:$F$133,MATCH($B308,I_Items!$A$5:$A$133,0))</f>
        <v>Frozen</v>
      </c>
      <c r="F308" s="53" t="str">
        <f aca="false">IF(INDEX(I_Items!$E$5:$E$133,MATCH($B308,I_Items!$A$5:$A$133,0))="","",INDEX(I_Items!$E$5:$E$133,MATCH($B308,I_Items!$A$5:$A$133,0)))</f>
        <v>Uk 0.9</v>
      </c>
      <c r="G308" s="76" t="n">
        <v>46259</v>
      </c>
      <c r="H308" s="23" t="n">
        <f aca="false">MONTH(G308)</f>
        <v>8</v>
      </c>
      <c r="I308" s="74" t="s">
        <v>2074</v>
      </c>
      <c r="J308" s="74" t="s">
        <v>1314</v>
      </c>
      <c r="K308" s="10" t="n">
        <v>6.8</v>
      </c>
      <c r="L308" s="8" t="n">
        <v>227982.94</v>
      </c>
      <c r="M308" s="10" t="n">
        <v>0</v>
      </c>
      <c r="N308" s="8" t="n">
        <v>0</v>
      </c>
      <c r="O308" s="74"/>
      <c r="P308" s="74"/>
      <c r="Q308" s="74"/>
      <c r="R308" s="14" t="n">
        <f aca="false">IF(I308="Unbilled",0,M308)</f>
        <v>0</v>
      </c>
      <c r="S308" s="9" t="n">
        <f aca="false">IF(R308=0,0,IF(O308="Booked",N308,R308*V307))</f>
        <v>0</v>
      </c>
      <c r="T308" s="14" t="n">
        <f aca="false">IF(I308="Opening",K308,T307+K308-R308)</f>
        <v>752.7</v>
      </c>
      <c r="U308" s="9" t="n">
        <f aca="false">IF(I308="Opening",L308,U307+L308-S308)</f>
        <v>22289191.7718937</v>
      </c>
      <c r="V308" s="9" t="n">
        <f aca="false">IF(T308&gt;0,U308/T308,IF(I308="Opening",0,V307))</f>
        <v>29612.3180176613</v>
      </c>
      <c r="W308" s="14" t="n">
        <f aca="false">M308</f>
        <v>0</v>
      </c>
      <c r="X308" s="9" t="n">
        <f aca="false">IF(W308=0,0,IF(O308="Booked",N308,W308*AA307))</f>
        <v>0</v>
      </c>
      <c r="Y308" s="14" t="n">
        <f aca="false">IF(I308="Opening",K308,Y307+K308-W308)</f>
        <v>752.7</v>
      </c>
      <c r="Z308" s="9" t="n">
        <f aca="false">IF(I308="Opening",L308,Z307+L308-X308)</f>
        <v>22289191.7718937</v>
      </c>
      <c r="AA308" s="9" t="n">
        <f aca="false">IF(Y308&gt;0,Z308/Y308,IF(I308="Opening",0,AA307))</f>
        <v>29612.3180176613</v>
      </c>
      <c r="AB308" s="9" t="n">
        <f aca="false">IF(AND(I308="DO",O308="MA"),S308-N308,0)</f>
        <v>0</v>
      </c>
      <c r="AC308" s="9" t="n">
        <f aca="false">IF(I308="DO",X308-S308,0)</f>
        <v>0</v>
      </c>
      <c r="AD308" s="23" t="n">
        <f aca="false">IF(B309&lt;&gt;B308,1,0)</f>
        <v>0</v>
      </c>
      <c r="AE308" s="14" t="n">
        <f aca="false">IF(I308="Opening",0,AE307+W308)</f>
        <v>56.04</v>
      </c>
      <c r="AF308" s="14" t="n">
        <f aca="false">IF(I308="Opening",K308,AF307)</f>
        <v>330.54</v>
      </c>
      <c r="AG308" s="14" t="n">
        <f aca="false">AG307</f>
        <v>30.6</v>
      </c>
      <c r="AH308" s="14" t="n">
        <f aca="false">IF(W308=0,0,MAX(0,MIN(AE308,AF308)-MIN(AE308-W308,AF308)))</f>
        <v>0</v>
      </c>
      <c r="AI308" s="14" t="n">
        <f aca="false">IF(W308=0,0,MAX(0,MIN(AE308,AF308+AG308)-MAX(AE308-W308,AF308)))</f>
        <v>0</v>
      </c>
      <c r="AJ308" s="14" t="n">
        <f aca="false">W308-AH308-AI308</f>
        <v>0</v>
      </c>
      <c r="AK308" s="9" t="n">
        <f aca="false">IF(W308=0,0,X308*AH308/W308)</f>
        <v>0</v>
      </c>
      <c r="AL308" s="9" t="n">
        <f aca="false">IF(W308=0,0,X308*AI308/W308)</f>
        <v>0</v>
      </c>
      <c r="AM308" s="9" t="n">
        <f aca="false">X308-AK308-AL308</f>
        <v>0</v>
      </c>
    </row>
    <row r="309" customFormat="false" ht="15" hidden="false" customHeight="false" outlineLevel="0" collapsed="false">
      <c r="A309" s="6" t="n">
        <v>304</v>
      </c>
      <c r="B309" s="74" t="s">
        <v>976</v>
      </c>
      <c r="C309" s="53" t="str">
        <f aca="false">INDEX(I_Items!$C$5:$C$133,MATCH($B309,I_Items!$A$5:$A$133,0))</f>
        <v>RPA</v>
      </c>
      <c r="D309" s="53" t="str">
        <f aca="false">INDEX(I_Items!$D$5:$D$133,MATCH($B309,I_Items!$A$5:$A$133,0))</f>
        <v>Karkas</v>
      </c>
      <c r="E309" s="53" t="str">
        <f aca="false">INDEX(I_Items!$F$5:$F$133,MATCH($B309,I_Items!$A$5:$A$133,0))</f>
        <v>Frozen</v>
      </c>
      <c r="F309" s="53" t="str">
        <f aca="false">IF(INDEX(I_Items!$E$5:$E$133,MATCH($B309,I_Items!$A$5:$A$133,0))="","",INDEX(I_Items!$E$5:$E$133,MATCH($B309,I_Items!$A$5:$A$133,0)))</f>
        <v>Uk 0.9</v>
      </c>
      <c r="G309" s="76" t="n">
        <v>46260</v>
      </c>
      <c r="H309" s="23" t="n">
        <f aca="false">MONTH(G309)</f>
        <v>8</v>
      </c>
      <c r="I309" s="74" t="s">
        <v>2074</v>
      </c>
      <c r="J309" s="74" t="s">
        <v>1317</v>
      </c>
      <c r="K309" s="10" t="n">
        <v>42.7</v>
      </c>
      <c r="L309" s="8" t="n">
        <v>1462257.41</v>
      </c>
      <c r="M309" s="10" t="n">
        <v>0</v>
      </c>
      <c r="N309" s="8" t="n">
        <v>0</v>
      </c>
      <c r="O309" s="74"/>
      <c r="P309" s="74"/>
      <c r="Q309" s="74"/>
      <c r="R309" s="14" t="n">
        <f aca="false">IF(I309="Unbilled",0,M309)</f>
        <v>0</v>
      </c>
      <c r="S309" s="9" t="n">
        <f aca="false">IF(R309=0,0,IF(O309="Booked",N309,R309*V308))</f>
        <v>0</v>
      </c>
      <c r="T309" s="14" t="n">
        <f aca="false">IF(I309="Opening",K309,T308+K309-R309)</f>
        <v>795.4</v>
      </c>
      <c r="U309" s="9" t="n">
        <f aca="false">IF(I309="Opening",L309,U308+L309-S309)</f>
        <v>23751449.1818937</v>
      </c>
      <c r="V309" s="9" t="n">
        <f aca="false">IF(T309&gt;0,U309/T309,IF(I309="Opening",0,V308))</f>
        <v>29861.012298081</v>
      </c>
      <c r="W309" s="14" t="n">
        <f aca="false">M309</f>
        <v>0</v>
      </c>
      <c r="X309" s="9" t="n">
        <f aca="false">IF(W309=0,0,IF(O309="Booked",N309,W309*AA308))</f>
        <v>0</v>
      </c>
      <c r="Y309" s="14" t="n">
        <f aca="false">IF(I309="Opening",K309,Y308+K309-W309)</f>
        <v>795.4</v>
      </c>
      <c r="Z309" s="9" t="n">
        <f aca="false">IF(I309="Opening",L309,Z308+L309-X309)</f>
        <v>23751449.1818937</v>
      </c>
      <c r="AA309" s="9" t="n">
        <f aca="false">IF(Y309&gt;0,Z309/Y309,IF(I309="Opening",0,AA308))</f>
        <v>29861.012298081</v>
      </c>
      <c r="AB309" s="9" t="n">
        <f aca="false">IF(AND(I309="DO",O309="MA"),S309-N309,0)</f>
        <v>0</v>
      </c>
      <c r="AC309" s="9" t="n">
        <f aca="false">IF(I309="DO",X309-S309,0)</f>
        <v>0</v>
      </c>
      <c r="AD309" s="23" t="n">
        <f aca="false">IF(B310&lt;&gt;B309,1,0)</f>
        <v>0</v>
      </c>
      <c r="AE309" s="14" t="n">
        <f aca="false">IF(I309="Opening",0,AE308+W309)</f>
        <v>56.04</v>
      </c>
      <c r="AF309" s="14" t="n">
        <f aca="false">IF(I309="Opening",K309,AF308)</f>
        <v>330.54</v>
      </c>
      <c r="AG309" s="14" t="n">
        <f aca="false">AG308</f>
        <v>30.6</v>
      </c>
      <c r="AH309" s="14" t="n">
        <f aca="false">IF(W309=0,0,MAX(0,MIN(AE309,AF309)-MIN(AE309-W309,AF309)))</f>
        <v>0</v>
      </c>
      <c r="AI309" s="14" t="n">
        <f aca="false">IF(W309=0,0,MAX(0,MIN(AE309,AF309+AG309)-MAX(AE309-W309,AF309)))</f>
        <v>0</v>
      </c>
      <c r="AJ309" s="14" t="n">
        <f aca="false">W309-AH309-AI309</f>
        <v>0</v>
      </c>
      <c r="AK309" s="9" t="n">
        <f aca="false">IF(W309=0,0,X309*AH309/W309)</f>
        <v>0</v>
      </c>
      <c r="AL309" s="9" t="n">
        <f aca="false">IF(W309=0,0,X309*AI309/W309)</f>
        <v>0</v>
      </c>
      <c r="AM309" s="9" t="n">
        <f aca="false">X309-AK309-AL309</f>
        <v>0</v>
      </c>
    </row>
    <row r="310" customFormat="false" ht="15" hidden="false" customHeight="false" outlineLevel="0" collapsed="false">
      <c r="A310" s="6" t="n">
        <v>305</v>
      </c>
      <c r="B310" s="74" t="s">
        <v>976</v>
      </c>
      <c r="C310" s="53" t="str">
        <f aca="false">INDEX(I_Items!$C$5:$C$133,MATCH($B310,I_Items!$A$5:$A$133,0))</f>
        <v>RPA</v>
      </c>
      <c r="D310" s="53" t="str">
        <f aca="false">INDEX(I_Items!$D$5:$D$133,MATCH($B310,I_Items!$A$5:$A$133,0))</f>
        <v>Karkas</v>
      </c>
      <c r="E310" s="53" t="str">
        <f aca="false">INDEX(I_Items!$F$5:$F$133,MATCH($B310,I_Items!$A$5:$A$133,0))</f>
        <v>Frozen</v>
      </c>
      <c r="F310" s="53" t="str">
        <f aca="false">IF(INDEX(I_Items!$E$5:$E$133,MATCH($B310,I_Items!$A$5:$A$133,0))="","",INDEX(I_Items!$E$5:$E$133,MATCH($B310,I_Items!$A$5:$A$133,0)))</f>
        <v>Uk 0.9</v>
      </c>
      <c r="G310" s="76" t="n">
        <v>46261</v>
      </c>
      <c r="H310" s="23" t="n">
        <f aca="false">MONTH(G310)</f>
        <v>8</v>
      </c>
      <c r="I310" s="74" t="s">
        <v>2074</v>
      </c>
      <c r="J310" s="74" t="s">
        <v>1320</v>
      </c>
      <c r="K310" s="10" t="n">
        <v>25.6</v>
      </c>
      <c r="L310" s="8" t="n">
        <v>865381.08</v>
      </c>
      <c r="M310" s="10" t="n">
        <v>0</v>
      </c>
      <c r="N310" s="8" t="n">
        <v>0</v>
      </c>
      <c r="O310" s="74"/>
      <c r="P310" s="74"/>
      <c r="Q310" s="74"/>
      <c r="R310" s="14" t="n">
        <f aca="false">IF(I310="Unbilled",0,M310)</f>
        <v>0</v>
      </c>
      <c r="S310" s="9" t="n">
        <f aca="false">IF(R310=0,0,IF(O310="Booked",N310,R310*V309))</f>
        <v>0</v>
      </c>
      <c r="T310" s="14" t="n">
        <f aca="false">IF(I310="Opening",K310,T309+K310-R310)</f>
        <v>821</v>
      </c>
      <c r="U310" s="9" t="n">
        <f aca="false">IF(I310="Opening",L310,U309+L310-S310)</f>
        <v>24616830.2618937</v>
      </c>
      <c r="V310" s="9" t="n">
        <f aca="false">IF(T310&gt;0,U310/T310,IF(I310="Opening",0,V309))</f>
        <v>29983.9589060824</v>
      </c>
      <c r="W310" s="14" t="n">
        <f aca="false">M310</f>
        <v>0</v>
      </c>
      <c r="X310" s="9" t="n">
        <f aca="false">IF(W310=0,0,IF(O310="Booked",N310,W310*AA309))</f>
        <v>0</v>
      </c>
      <c r="Y310" s="14" t="n">
        <f aca="false">IF(I310="Opening",K310,Y309+K310-W310)</f>
        <v>821</v>
      </c>
      <c r="Z310" s="9" t="n">
        <f aca="false">IF(I310="Opening",L310,Z309+L310-X310)</f>
        <v>24616830.2618937</v>
      </c>
      <c r="AA310" s="9" t="n">
        <f aca="false">IF(Y310&gt;0,Z310/Y310,IF(I310="Opening",0,AA309))</f>
        <v>29983.9589060824</v>
      </c>
      <c r="AB310" s="9" t="n">
        <f aca="false">IF(AND(I310="DO",O310="MA"),S310-N310,0)</f>
        <v>0</v>
      </c>
      <c r="AC310" s="9" t="n">
        <f aca="false">IF(I310="DO",X310-S310,0)</f>
        <v>0</v>
      </c>
      <c r="AD310" s="23" t="n">
        <f aca="false">IF(B311&lt;&gt;B310,1,0)</f>
        <v>0</v>
      </c>
      <c r="AE310" s="14" t="n">
        <f aca="false">IF(I310="Opening",0,AE309+W310)</f>
        <v>56.04</v>
      </c>
      <c r="AF310" s="14" t="n">
        <f aca="false">IF(I310="Opening",K310,AF309)</f>
        <v>330.54</v>
      </c>
      <c r="AG310" s="14" t="n">
        <f aca="false">AG309</f>
        <v>30.6</v>
      </c>
      <c r="AH310" s="14" t="n">
        <f aca="false">IF(W310=0,0,MAX(0,MIN(AE310,AF310)-MIN(AE310-W310,AF310)))</f>
        <v>0</v>
      </c>
      <c r="AI310" s="14" t="n">
        <f aca="false">IF(W310=0,0,MAX(0,MIN(AE310,AF310+AG310)-MAX(AE310-W310,AF310)))</f>
        <v>0</v>
      </c>
      <c r="AJ310" s="14" t="n">
        <f aca="false">W310-AH310-AI310</f>
        <v>0</v>
      </c>
      <c r="AK310" s="9" t="n">
        <f aca="false">IF(W310=0,0,X310*AH310/W310)</f>
        <v>0</v>
      </c>
      <c r="AL310" s="9" t="n">
        <f aca="false">IF(W310=0,0,X310*AI310/W310)</f>
        <v>0</v>
      </c>
      <c r="AM310" s="9" t="n">
        <f aca="false">X310-AK310-AL310</f>
        <v>0</v>
      </c>
    </row>
    <row r="311" customFormat="false" ht="15" hidden="false" customHeight="false" outlineLevel="0" collapsed="false">
      <c r="A311" s="6" t="n">
        <v>306</v>
      </c>
      <c r="B311" s="74" t="s">
        <v>976</v>
      </c>
      <c r="C311" s="53" t="str">
        <f aca="false">INDEX(I_Items!$C$5:$C$133,MATCH($B311,I_Items!$A$5:$A$133,0))</f>
        <v>RPA</v>
      </c>
      <c r="D311" s="53" t="str">
        <f aca="false">INDEX(I_Items!$D$5:$D$133,MATCH($B311,I_Items!$A$5:$A$133,0))</f>
        <v>Karkas</v>
      </c>
      <c r="E311" s="53" t="str">
        <f aca="false">INDEX(I_Items!$F$5:$F$133,MATCH($B311,I_Items!$A$5:$A$133,0))</f>
        <v>Frozen</v>
      </c>
      <c r="F311" s="53" t="str">
        <f aca="false">IF(INDEX(I_Items!$E$5:$E$133,MATCH($B311,I_Items!$A$5:$A$133,0))="","",INDEX(I_Items!$E$5:$E$133,MATCH($B311,I_Items!$A$5:$A$133,0)))</f>
        <v>Uk 0.9</v>
      </c>
      <c r="G311" s="76" t="n">
        <v>46262</v>
      </c>
      <c r="H311" s="23" t="n">
        <f aca="false">MONTH(G311)</f>
        <v>8</v>
      </c>
      <c r="I311" s="74" t="s">
        <v>2074</v>
      </c>
      <c r="J311" s="74" t="s">
        <v>1323</v>
      </c>
      <c r="K311" s="10" t="n">
        <v>73.7</v>
      </c>
      <c r="L311" s="8" t="n">
        <v>2511954.16</v>
      </c>
      <c r="M311" s="10" t="n">
        <v>0</v>
      </c>
      <c r="N311" s="8" t="n">
        <v>0</v>
      </c>
      <c r="O311" s="74"/>
      <c r="P311" s="74"/>
      <c r="Q311" s="74"/>
      <c r="R311" s="14" t="n">
        <f aca="false">IF(I311="Unbilled",0,M311)</f>
        <v>0</v>
      </c>
      <c r="S311" s="9" t="n">
        <f aca="false">IF(R311=0,0,IF(O311="Booked",N311,R311*V310))</f>
        <v>0</v>
      </c>
      <c r="T311" s="14" t="n">
        <f aca="false">IF(I311="Opening",K311,T310+K311-R311)</f>
        <v>894.7</v>
      </c>
      <c r="U311" s="9" t="n">
        <f aca="false">IF(I311="Opening",L311,U310+L311-S311)</f>
        <v>27128784.4218937</v>
      </c>
      <c r="V311" s="9" t="n">
        <f aca="false">IF(T311&gt;0,U311/T311,IF(I311="Opening",0,V310))</f>
        <v>30321.6546573082</v>
      </c>
      <c r="W311" s="14" t="n">
        <f aca="false">M311</f>
        <v>0</v>
      </c>
      <c r="X311" s="9" t="n">
        <f aca="false">IF(W311=0,0,IF(O311="Booked",N311,W311*AA310))</f>
        <v>0</v>
      </c>
      <c r="Y311" s="14" t="n">
        <f aca="false">IF(I311="Opening",K311,Y310+K311-W311)</f>
        <v>894.7</v>
      </c>
      <c r="Z311" s="9" t="n">
        <f aca="false">IF(I311="Opening",L311,Z310+L311-X311)</f>
        <v>27128784.4218937</v>
      </c>
      <c r="AA311" s="9" t="n">
        <f aca="false">IF(Y311&gt;0,Z311/Y311,IF(I311="Opening",0,AA310))</f>
        <v>30321.6546573082</v>
      </c>
      <c r="AB311" s="9" t="n">
        <f aca="false">IF(AND(I311="DO",O311="MA"),S311-N311,0)</f>
        <v>0</v>
      </c>
      <c r="AC311" s="9" t="n">
        <f aca="false">IF(I311="DO",X311-S311,0)</f>
        <v>0</v>
      </c>
      <c r="AD311" s="23" t="n">
        <f aca="false">IF(B312&lt;&gt;B311,1,0)</f>
        <v>0</v>
      </c>
      <c r="AE311" s="14" t="n">
        <f aca="false">IF(I311="Opening",0,AE310+W311)</f>
        <v>56.04</v>
      </c>
      <c r="AF311" s="14" t="n">
        <f aca="false">IF(I311="Opening",K311,AF310)</f>
        <v>330.54</v>
      </c>
      <c r="AG311" s="14" t="n">
        <f aca="false">AG310</f>
        <v>30.6</v>
      </c>
      <c r="AH311" s="14" t="n">
        <f aca="false">IF(W311=0,0,MAX(0,MIN(AE311,AF311)-MIN(AE311-W311,AF311)))</f>
        <v>0</v>
      </c>
      <c r="AI311" s="14" t="n">
        <f aca="false">IF(W311=0,0,MAX(0,MIN(AE311,AF311+AG311)-MAX(AE311-W311,AF311)))</f>
        <v>0</v>
      </c>
      <c r="AJ311" s="14" t="n">
        <f aca="false">W311-AH311-AI311</f>
        <v>0</v>
      </c>
      <c r="AK311" s="9" t="n">
        <f aca="false">IF(W311=0,0,X311*AH311/W311)</f>
        <v>0</v>
      </c>
      <c r="AL311" s="9" t="n">
        <f aca="false">IF(W311=0,0,X311*AI311/W311)</f>
        <v>0</v>
      </c>
      <c r="AM311" s="9" t="n">
        <f aca="false">X311-AK311-AL311</f>
        <v>0</v>
      </c>
    </row>
    <row r="312" customFormat="false" ht="15" hidden="false" customHeight="false" outlineLevel="0" collapsed="false">
      <c r="A312" s="6" t="n">
        <v>307</v>
      </c>
      <c r="B312" s="74" t="s">
        <v>976</v>
      </c>
      <c r="C312" s="53" t="str">
        <f aca="false">INDEX(I_Items!$C$5:$C$133,MATCH($B312,I_Items!$A$5:$A$133,0))</f>
        <v>RPA</v>
      </c>
      <c r="D312" s="53" t="str">
        <f aca="false">INDEX(I_Items!$D$5:$D$133,MATCH($B312,I_Items!$A$5:$A$133,0))</f>
        <v>Karkas</v>
      </c>
      <c r="E312" s="53" t="str">
        <f aca="false">INDEX(I_Items!$F$5:$F$133,MATCH($B312,I_Items!$A$5:$A$133,0))</f>
        <v>Frozen</v>
      </c>
      <c r="F312" s="53" t="str">
        <f aca="false">IF(INDEX(I_Items!$E$5:$E$133,MATCH($B312,I_Items!$A$5:$A$133,0))="","",INDEX(I_Items!$E$5:$E$133,MATCH($B312,I_Items!$A$5:$A$133,0)))</f>
        <v>Uk 0.9</v>
      </c>
      <c r="G312" s="76" t="n">
        <v>46265</v>
      </c>
      <c r="H312" s="23" t="n">
        <f aca="false">MONTH(G312)</f>
        <v>8</v>
      </c>
      <c r="I312" s="74" t="s">
        <v>2074</v>
      </c>
      <c r="J312" s="74" t="s">
        <v>1326</v>
      </c>
      <c r="K312" s="10" t="n">
        <v>42.7</v>
      </c>
      <c r="L312" s="8" t="n">
        <v>1430310.13</v>
      </c>
      <c r="M312" s="10" t="n">
        <v>0</v>
      </c>
      <c r="N312" s="8" t="n">
        <v>0</v>
      </c>
      <c r="O312" s="74"/>
      <c r="P312" s="74"/>
      <c r="Q312" s="74"/>
      <c r="R312" s="14" t="n">
        <f aca="false">IF(I312="Unbilled",0,M312)</f>
        <v>0</v>
      </c>
      <c r="S312" s="9" t="n">
        <f aca="false">IF(R312=0,0,IF(O312="Booked",N312,R312*V311))</f>
        <v>0</v>
      </c>
      <c r="T312" s="14" t="n">
        <f aca="false">IF(I312="Opening",K312,T311+K312-R312)</f>
        <v>937.4</v>
      </c>
      <c r="U312" s="9" t="n">
        <f aca="false">IF(I312="Opening",L312,U311+L312-S312)</f>
        <v>28559094.5518937</v>
      </c>
      <c r="V312" s="9" t="n">
        <f aca="false">IF(T312&gt;0,U312/T312,IF(I312="Opening",0,V311))</f>
        <v>30466.2839256386</v>
      </c>
      <c r="W312" s="14" t="n">
        <f aca="false">M312</f>
        <v>0</v>
      </c>
      <c r="X312" s="9" t="n">
        <f aca="false">IF(W312=0,0,IF(O312="Booked",N312,W312*AA311))</f>
        <v>0</v>
      </c>
      <c r="Y312" s="14" t="n">
        <f aca="false">IF(I312="Opening",K312,Y311+K312-W312)</f>
        <v>937.4</v>
      </c>
      <c r="Z312" s="9" t="n">
        <f aca="false">IF(I312="Opening",L312,Z311+L312-X312)</f>
        <v>28559094.5518937</v>
      </c>
      <c r="AA312" s="9" t="n">
        <f aca="false">IF(Y312&gt;0,Z312/Y312,IF(I312="Opening",0,AA311))</f>
        <v>30466.2839256386</v>
      </c>
      <c r="AB312" s="9" t="n">
        <f aca="false">IF(AND(I312="DO",O312="MA"),S312-N312,0)</f>
        <v>0</v>
      </c>
      <c r="AC312" s="9" t="n">
        <f aca="false">IF(I312="DO",X312-S312,0)</f>
        <v>0</v>
      </c>
      <c r="AD312" s="23" t="n">
        <f aca="false">IF(B313&lt;&gt;B312,1,0)</f>
        <v>0</v>
      </c>
      <c r="AE312" s="14" t="n">
        <f aca="false">IF(I312="Opening",0,AE311+W312)</f>
        <v>56.04</v>
      </c>
      <c r="AF312" s="14" t="n">
        <f aca="false">IF(I312="Opening",K312,AF311)</f>
        <v>330.54</v>
      </c>
      <c r="AG312" s="14" t="n">
        <f aca="false">AG311</f>
        <v>30.6</v>
      </c>
      <c r="AH312" s="14" t="n">
        <f aca="false">IF(W312=0,0,MAX(0,MIN(AE312,AF312)-MIN(AE312-W312,AF312)))</f>
        <v>0</v>
      </c>
      <c r="AI312" s="14" t="n">
        <f aca="false">IF(W312=0,0,MAX(0,MIN(AE312,AF312+AG312)-MAX(AE312-W312,AF312)))</f>
        <v>0</v>
      </c>
      <c r="AJ312" s="14" t="n">
        <f aca="false">W312-AH312-AI312</f>
        <v>0</v>
      </c>
      <c r="AK312" s="9" t="n">
        <f aca="false">IF(W312=0,0,X312*AH312/W312)</f>
        <v>0</v>
      </c>
      <c r="AL312" s="9" t="n">
        <f aca="false">IF(W312=0,0,X312*AI312/W312)</f>
        <v>0</v>
      </c>
      <c r="AM312" s="9" t="n">
        <f aca="false">X312-AK312-AL312</f>
        <v>0</v>
      </c>
    </row>
    <row r="313" customFormat="false" ht="15" hidden="false" customHeight="false" outlineLevel="0" collapsed="false">
      <c r="A313" s="6" t="n">
        <v>308</v>
      </c>
      <c r="B313" s="74" t="s">
        <v>976</v>
      </c>
      <c r="C313" s="53" t="str">
        <f aca="false">INDEX(I_Items!$C$5:$C$133,MATCH($B313,I_Items!$A$5:$A$133,0))</f>
        <v>RPA</v>
      </c>
      <c r="D313" s="53" t="str">
        <f aca="false">INDEX(I_Items!$D$5:$D$133,MATCH($B313,I_Items!$A$5:$A$133,0))</f>
        <v>Karkas</v>
      </c>
      <c r="E313" s="53" t="str">
        <f aca="false">INDEX(I_Items!$F$5:$F$133,MATCH($B313,I_Items!$A$5:$A$133,0))</f>
        <v>Frozen</v>
      </c>
      <c r="F313" s="53" t="str">
        <f aca="false">IF(INDEX(I_Items!$E$5:$E$133,MATCH($B313,I_Items!$A$5:$A$133,0))="","",INDEX(I_Items!$E$5:$E$133,MATCH($B313,I_Items!$A$5:$A$133,0)))</f>
        <v>Uk 0.9</v>
      </c>
      <c r="G313" s="76" t="n">
        <v>46265</v>
      </c>
      <c r="H313" s="23" t="n">
        <f aca="false">MONTH(G313)</f>
        <v>8</v>
      </c>
      <c r="I313" s="74" t="s">
        <v>2075</v>
      </c>
      <c r="J313" s="74" t="s">
        <v>2123</v>
      </c>
      <c r="K313" s="10" t="n">
        <v>0</v>
      </c>
      <c r="L313" s="8" t="n">
        <v>0</v>
      </c>
      <c r="M313" s="10" t="n">
        <v>8.6</v>
      </c>
      <c r="N313" s="8" t="n">
        <v>262010.04</v>
      </c>
      <c r="O313" s="74" t="s">
        <v>2077</v>
      </c>
      <c r="P313" s="74"/>
      <c r="Q313" s="74"/>
      <c r="R313" s="14" t="n">
        <f aca="false">IF(I313="Unbilled",0,M313)</f>
        <v>8.6</v>
      </c>
      <c r="S313" s="9" t="n">
        <f aca="false">IF(R313=0,0,IF(O313="Booked",N313,R313*V312))</f>
        <v>262010.041760492</v>
      </c>
      <c r="T313" s="14" t="n">
        <f aca="false">IF(I313="Opening",K313,T312+K313-R313)</f>
        <v>928.8</v>
      </c>
      <c r="U313" s="9" t="n">
        <f aca="false">IF(I313="Opening",L313,U312+L313-S313)</f>
        <v>28297084.5101332</v>
      </c>
      <c r="V313" s="9" t="n">
        <f aca="false">IF(T313&gt;0,U313/T313,IF(I313="Opening",0,V312))</f>
        <v>30466.2839256386</v>
      </c>
      <c r="W313" s="14" t="n">
        <f aca="false">M313</f>
        <v>8.6</v>
      </c>
      <c r="X313" s="9" t="n">
        <f aca="false">IF(W313=0,0,IF(O313="Booked",N313,W313*AA312))</f>
        <v>262010.041760492</v>
      </c>
      <c r="Y313" s="14" t="n">
        <f aca="false">IF(I313="Opening",K313,Y312+K313-W313)</f>
        <v>928.8</v>
      </c>
      <c r="Z313" s="9" t="n">
        <f aca="false">IF(I313="Opening",L313,Z312+L313-X313)</f>
        <v>28297084.5101332</v>
      </c>
      <c r="AA313" s="9" t="n">
        <f aca="false">IF(Y313&gt;0,Z313/Y313,IF(I313="Opening",0,AA312))</f>
        <v>30466.2839256386</v>
      </c>
      <c r="AB313" s="9" t="n">
        <f aca="false">IF(AND(I313="DO",O313="MA"),S313-N313,0)</f>
        <v>0.00176049221772701</v>
      </c>
      <c r="AC313" s="9" t="n">
        <f aca="false">IF(I313="DO",X313-S313,0)</f>
        <v>0</v>
      </c>
      <c r="AD313" s="23" t="n">
        <f aca="false">IF(B314&lt;&gt;B313,1,0)</f>
        <v>1</v>
      </c>
      <c r="AE313" s="14" t="n">
        <f aca="false">IF(I313="Opening",0,AE312+W313)</f>
        <v>64.64</v>
      </c>
      <c r="AF313" s="14" t="n">
        <f aca="false">IF(I313="Opening",K313,AF312)</f>
        <v>330.54</v>
      </c>
      <c r="AG313" s="14" t="n">
        <f aca="false">AG312</f>
        <v>30.6</v>
      </c>
      <c r="AH313" s="14" t="n">
        <f aca="false">IF(W313=0,0,MAX(0,MIN(AE313,AF313)-MIN(AE313-W313,AF313)))</f>
        <v>8.6</v>
      </c>
      <c r="AI313" s="14" t="n">
        <f aca="false">IF(W313=0,0,MAX(0,MIN(AE313,AF313+AG313)-MAX(AE313-W313,AF313)))</f>
        <v>0</v>
      </c>
      <c r="AJ313" s="14" t="n">
        <f aca="false">W313-AH313-AI313</f>
        <v>0</v>
      </c>
      <c r="AK313" s="9" t="n">
        <f aca="false">IF(W313=0,0,X313*AH313/W313)</f>
        <v>262010.041760492</v>
      </c>
      <c r="AL313" s="9" t="n">
        <f aca="false">IF(W313=0,0,X313*AI313/W313)</f>
        <v>0</v>
      </c>
      <c r="AM313" s="9" t="n">
        <f aca="false">X313-AK313-AL313</f>
        <v>0</v>
      </c>
    </row>
    <row r="314" customFormat="false" ht="15" hidden="false" customHeight="false" outlineLevel="0" collapsed="false">
      <c r="A314" s="6" t="n">
        <v>309</v>
      </c>
      <c r="B314" s="74" t="s">
        <v>977</v>
      </c>
      <c r="C314" s="53" t="str">
        <f aca="false">INDEX(I_Items!$C$5:$C$133,MATCH($B314,I_Items!$A$5:$A$133,0))</f>
        <v>RPA</v>
      </c>
      <c r="D314" s="53" t="str">
        <f aca="false">INDEX(I_Items!$D$5:$D$133,MATCH($B314,I_Items!$A$5:$A$133,0))</f>
        <v>Karkas</v>
      </c>
      <c r="E314" s="53" t="str">
        <f aca="false">INDEX(I_Items!$F$5:$F$133,MATCH($B314,I_Items!$A$5:$A$133,0))</f>
        <v>Frozen</v>
      </c>
      <c r="F314" s="53" t="str">
        <f aca="false">IF(INDEX(I_Items!$E$5:$E$133,MATCH($B314,I_Items!$A$5:$A$133,0))="","",INDEX(I_Items!$E$5:$E$133,MATCH($B314,I_Items!$A$5:$A$133,0)))</f>
        <v>Uk 0.9</v>
      </c>
      <c r="G314" s="76" t="n">
        <v>46204</v>
      </c>
      <c r="H314" s="23" t="n">
        <f aca="false">MONTH(G314)</f>
        <v>7</v>
      </c>
      <c r="I314" s="74" t="s">
        <v>2072</v>
      </c>
      <c r="J314" s="74" t="s">
        <v>2073</v>
      </c>
      <c r="K314" s="10" t="n">
        <v>30.6</v>
      </c>
      <c r="L314" s="8" t="n">
        <v>818147.21</v>
      </c>
      <c r="M314" s="10" t="n">
        <v>0</v>
      </c>
      <c r="N314" s="8" t="n">
        <v>0</v>
      </c>
      <c r="O314" s="74"/>
      <c r="P314" s="74"/>
      <c r="Q314" s="74"/>
      <c r="R314" s="14" t="n">
        <f aca="false">IF(I314="Unbilled",0,M314)</f>
        <v>0</v>
      </c>
      <c r="S314" s="9" t="n">
        <f aca="false">IF(R314=0,0,IF(O314="Booked",N314,R314*V313))</f>
        <v>0</v>
      </c>
      <c r="T314" s="14" t="n">
        <f aca="false">IF(I314="Opening",K314,T313+K314-R314)</f>
        <v>30.6</v>
      </c>
      <c r="U314" s="9" t="n">
        <f aca="false">IF(I314="Opening",L314,U313+L314-S314)</f>
        <v>818147.21</v>
      </c>
      <c r="V314" s="9" t="n">
        <f aca="false">IF(T314&gt;0,U314/T314,IF(I314="Opening",0,V313))</f>
        <v>26736.8369281046</v>
      </c>
      <c r="W314" s="14" t="n">
        <f aca="false">M314</f>
        <v>0</v>
      </c>
      <c r="X314" s="9" t="n">
        <f aca="false">IF(W314=0,0,IF(O314="Booked",N314,W314*AA313))</f>
        <v>0</v>
      </c>
      <c r="Y314" s="14" t="n">
        <f aca="false">IF(I314="Opening",K314,Y313+K314-W314)</f>
        <v>30.6</v>
      </c>
      <c r="Z314" s="9" t="n">
        <f aca="false">IF(I314="Opening",L314,Z313+L314-X314)</f>
        <v>818147.21</v>
      </c>
      <c r="AA314" s="9" t="n">
        <f aca="false">IF(Y314&gt;0,Z314/Y314,IF(I314="Opening",0,AA313))</f>
        <v>26736.8369281046</v>
      </c>
      <c r="AB314" s="9" t="n">
        <f aca="false">IF(AND(I314="DO",O314="MA"),S314-N314,0)</f>
        <v>0</v>
      </c>
      <c r="AC314" s="9" t="n">
        <f aca="false">IF(I314="DO",X314-S314,0)</f>
        <v>0</v>
      </c>
      <c r="AD314" s="23" t="n">
        <f aca="false">IF(B315&lt;&gt;B314,1,0)</f>
        <v>0</v>
      </c>
      <c r="AE314" s="14" t="n">
        <f aca="false">IF(I314="Opening",0,AE313+W314)</f>
        <v>0</v>
      </c>
      <c r="AF314" s="14" t="n">
        <f aca="false">IF(I314="Opening",K314,AF313)</f>
        <v>30.6</v>
      </c>
      <c r="AG314" s="14" t="n">
        <f aca="false">SUMIFS($K$6:$K$1110,$B$6:$B$1110,B314,$H$6:$H$1110,7,$I$6:$I$1110,"&lt;&gt;Opening")</f>
        <v>0</v>
      </c>
      <c r="AH314" s="14" t="n">
        <f aca="false">IF(W314=0,0,MAX(0,MIN(AE314,AF314)-MIN(AE314-W314,AF314)))</f>
        <v>0</v>
      </c>
      <c r="AI314" s="14" t="n">
        <f aca="false">IF(W314=0,0,MAX(0,MIN(AE314,AF314+AG314)-MAX(AE314-W314,AF314)))</f>
        <v>0</v>
      </c>
      <c r="AJ314" s="14" t="n">
        <f aca="false">W314-AH314-AI314</f>
        <v>0</v>
      </c>
      <c r="AK314" s="9" t="n">
        <f aca="false">IF(W314=0,0,X314*AH314/W314)</f>
        <v>0</v>
      </c>
      <c r="AL314" s="9" t="n">
        <f aca="false">IF(W314=0,0,X314*AI314/W314)</f>
        <v>0</v>
      </c>
      <c r="AM314" s="9" t="n">
        <f aca="false">X314-AK314-AL314</f>
        <v>0</v>
      </c>
    </row>
    <row r="315" customFormat="false" ht="15" hidden="false" customHeight="false" outlineLevel="0" collapsed="false">
      <c r="A315" s="6" t="n">
        <v>310</v>
      </c>
      <c r="B315" s="74" t="s">
        <v>977</v>
      </c>
      <c r="C315" s="53" t="str">
        <f aca="false">INDEX(I_Items!$C$5:$C$133,MATCH($B315,I_Items!$A$5:$A$133,0))</f>
        <v>RPA</v>
      </c>
      <c r="D315" s="53" t="str">
        <f aca="false">INDEX(I_Items!$D$5:$D$133,MATCH($B315,I_Items!$A$5:$A$133,0))</f>
        <v>Karkas</v>
      </c>
      <c r="E315" s="53" t="str">
        <f aca="false">INDEX(I_Items!$F$5:$F$133,MATCH($B315,I_Items!$A$5:$A$133,0))</f>
        <v>Frozen</v>
      </c>
      <c r="F315" s="53" t="str">
        <f aca="false">IF(INDEX(I_Items!$E$5:$E$133,MATCH($B315,I_Items!$A$5:$A$133,0))="","",INDEX(I_Items!$E$5:$E$133,MATCH($B315,I_Items!$A$5:$A$133,0)))</f>
        <v>Uk 0.9</v>
      </c>
      <c r="G315" s="76" t="n">
        <v>46204</v>
      </c>
      <c r="H315" s="23" t="n">
        <f aca="false">MONTH(G315)</f>
        <v>7</v>
      </c>
      <c r="I315" s="74" t="s">
        <v>2117</v>
      </c>
      <c r="J315" s="74" t="s">
        <v>2134</v>
      </c>
      <c r="K315" s="10" t="n">
        <v>0</v>
      </c>
      <c r="L315" s="8" t="n">
        <v>0</v>
      </c>
      <c r="M315" s="10" t="n">
        <v>30.6</v>
      </c>
      <c r="N315" s="8" t="n">
        <v>818147.21</v>
      </c>
      <c r="O315" s="74" t="s">
        <v>2119</v>
      </c>
      <c r="P315" s="74"/>
      <c r="Q315" s="74"/>
      <c r="R315" s="14" t="n">
        <f aca="false">IF(I315="Unbilled",0,M315)</f>
        <v>30.6</v>
      </c>
      <c r="S315" s="9" t="n">
        <f aca="false">IF(R315=0,0,IF(O315="Booked",N315,R315*V314))</f>
        <v>818147.21</v>
      </c>
      <c r="T315" s="14" t="n">
        <f aca="false">IF(I315="Opening",K315,T314+K315-R315)</f>
        <v>0</v>
      </c>
      <c r="U315" s="9" t="n">
        <f aca="false">IF(I315="Opening",L315,U314+L315-S315)</f>
        <v>0</v>
      </c>
      <c r="V315" s="9" t="n">
        <f aca="false">IF(T315&gt;0,U315/T315,IF(I315="Opening",0,V314))</f>
        <v>26736.8369281046</v>
      </c>
      <c r="W315" s="14" t="n">
        <f aca="false">M315</f>
        <v>30.6</v>
      </c>
      <c r="X315" s="9" t="n">
        <f aca="false">IF(W315=0,0,IF(O315="Booked",N315,W315*AA314))</f>
        <v>818147.21</v>
      </c>
      <c r="Y315" s="14" t="n">
        <f aca="false">IF(I315="Opening",K315,Y314+K315-W315)</f>
        <v>0</v>
      </c>
      <c r="Z315" s="9" t="n">
        <f aca="false">IF(I315="Opening",L315,Z314+L315-X315)</f>
        <v>0</v>
      </c>
      <c r="AA315" s="9" t="n">
        <f aca="false">IF(Y315&gt;0,Z315/Y315,IF(I315="Opening",0,AA314))</f>
        <v>26736.8369281046</v>
      </c>
      <c r="AB315" s="9" t="n">
        <f aca="false">IF(AND(I315="DO",O315="MA"),S315-N315,0)</f>
        <v>0</v>
      </c>
      <c r="AC315" s="9" t="n">
        <f aca="false">IF(I315="DO",X315-S315,0)</f>
        <v>0</v>
      </c>
      <c r="AD315" s="23" t="n">
        <f aca="false">IF(B316&lt;&gt;B315,1,0)</f>
        <v>1</v>
      </c>
      <c r="AE315" s="14" t="n">
        <f aca="false">IF(I315="Opening",0,AE314+W315)</f>
        <v>30.6</v>
      </c>
      <c r="AF315" s="14" t="n">
        <f aca="false">IF(I315="Opening",K315,AF314)</f>
        <v>30.6</v>
      </c>
      <c r="AG315" s="14" t="n">
        <f aca="false">AG314</f>
        <v>0</v>
      </c>
      <c r="AH315" s="14" t="n">
        <f aca="false">IF(W315=0,0,MAX(0,MIN(AE315,AF315)-MIN(AE315-W315,AF315)))</f>
        <v>30.6</v>
      </c>
      <c r="AI315" s="14" t="n">
        <f aca="false">IF(W315=0,0,MAX(0,MIN(AE315,AF315+AG315)-MAX(AE315-W315,AF315)))</f>
        <v>0</v>
      </c>
      <c r="AJ315" s="14" t="n">
        <f aca="false">W315-AH315-AI315</f>
        <v>0</v>
      </c>
      <c r="AK315" s="9" t="n">
        <f aca="false">IF(W315=0,0,X315*AH315/W315)</f>
        <v>818147.21</v>
      </c>
      <c r="AL315" s="9" t="n">
        <f aca="false">IF(W315=0,0,X315*AI315/W315)</f>
        <v>0</v>
      </c>
      <c r="AM315" s="9" t="n">
        <f aca="false">X315-AK315-AL315</f>
        <v>0</v>
      </c>
    </row>
    <row r="316" customFormat="false" ht="15" hidden="false" customHeight="false" outlineLevel="0" collapsed="false">
      <c r="A316" s="6" t="n">
        <v>311</v>
      </c>
      <c r="B316" s="74" t="s">
        <v>978</v>
      </c>
      <c r="C316" s="53" t="str">
        <f aca="false">INDEX(I_Items!$C$5:$C$133,MATCH($B316,I_Items!$A$5:$A$133,0))</f>
        <v>RPA</v>
      </c>
      <c r="D316" s="53" t="str">
        <f aca="false">INDEX(I_Items!$D$5:$D$133,MATCH($B316,I_Items!$A$5:$A$133,0))</f>
        <v>Karkas</v>
      </c>
      <c r="E316" s="53" t="str">
        <f aca="false">INDEX(I_Items!$F$5:$F$133,MATCH($B316,I_Items!$A$5:$A$133,0))</f>
        <v>Fresh</v>
      </c>
      <c r="F316" s="53" t="str">
        <f aca="false">IF(INDEX(I_Items!$E$5:$E$133,MATCH($B316,I_Items!$A$5:$A$133,0))="","",INDEX(I_Items!$E$5:$E$133,MATCH($B316,I_Items!$A$5:$A$133,0)))</f>
        <v>Uk 1.0</v>
      </c>
      <c r="G316" s="76" t="n">
        <v>46204</v>
      </c>
      <c r="H316" s="23" t="n">
        <f aca="false">MONTH(G316)</f>
        <v>7</v>
      </c>
      <c r="I316" s="74" t="s">
        <v>2072</v>
      </c>
      <c r="J316" s="74" t="s">
        <v>2073</v>
      </c>
      <c r="K316" s="10" t="n">
        <v>0</v>
      </c>
      <c r="L316" s="8" t="n">
        <v>0</v>
      </c>
      <c r="M316" s="10" t="n">
        <v>0</v>
      </c>
      <c r="N316" s="8" t="n">
        <v>0</v>
      </c>
      <c r="O316" s="74"/>
      <c r="P316" s="74"/>
      <c r="Q316" s="74"/>
      <c r="R316" s="14" t="n">
        <f aca="false">IF(I316="Unbilled",0,M316)</f>
        <v>0</v>
      </c>
      <c r="S316" s="9" t="n">
        <f aca="false">IF(R316=0,0,IF(O316="Booked",N316,R316*V315))</f>
        <v>0</v>
      </c>
      <c r="T316" s="14" t="n">
        <f aca="false">IF(I316="Opening",K316,T315+K316-R316)</f>
        <v>0</v>
      </c>
      <c r="U316" s="9" t="n">
        <f aca="false">IF(I316="Opening",L316,U315+L316-S316)</f>
        <v>0</v>
      </c>
      <c r="V316" s="9" t="n">
        <f aca="false">IF(T316&gt;0,U316/T316,IF(I316="Opening",0,V315))</f>
        <v>0</v>
      </c>
      <c r="W316" s="14" t="n">
        <f aca="false">M316</f>
        <v>0</v>
      </c>
      <c r="X316" s="9" t="n">
        <f aca="false">IF(W316=0,0,IF(O316="Booked",N316,W316*AA315))</f>
        <v>0</v>
      </c>
      <c r="Y316" s="14" t="n">
        <f aca="false">IF(I316="Opening",K316,Y315+K316-W316)</f>
        <v>0</v>
      </c>
      <c r="Z316" s="9" t="n">
        <f aca="false">IF(I316="Opening",L316,Z315+L316-X316)</f>
        <v>0</v>
      </c>
      <c r="AA316" s="9" t="n">
        <f aca="false">IF(Y316&gt;0,Z316/Y316,IF(I316="Opening",0,AA315))</f>
        <v>0</v>
      </c>
      <c r="AB316" s="9" t="n">
        <f aca="false">IF(AND(I316="DO",O316="MA"),S316-N316,0)</f>
        <v>0</v>
      </c>
      <c r="AC316" s="9" t="n">
        <f aca="false">IF(I316="DO",X316-S316,0)</f>
        <v>0</v>
      </c>
      <c r="AD316" s="23" t="n">
        <f aca="false">IF(B317&lt;&gt;B316,1,0)</f>
        <v>0</v>
      </c>
      <c r="AE316" s="14" t="n">
        <f aca="false">IF(I316="Opening",0,AE315+W316)</f>
        <v>0</v>
      </c>
      <c r="AF316" s="14" t="n">
        <f aca="false">IF(I316="Opening",K316,AF315)</f>
        <v>0</v>
      </c>
      <c r="AG316" s="14" t="n">
        <f aca="false">SUMIFS($K$6:$K$1110,$B$6:$B$1110,B316,$H$6:$H$1110,7,$I$6:$I$1110,"&lt;&gt;Opening")</f>
        <v>0</v>
      </c>
      <c r="AH316" s="14" t="n">
        <f aca="false">IF(W316=0,0,MAX(0,MIN(AE316,AF316)-MIN(AE316-W316,AF316)))</f>
        <v>0</v>
      </c>
      <c r="AI316" s="14" t="n">
        <f aca="false">IF(W316=0,0,MAX(0,MIN(AE316,AF316+AG316)-MAX(AE316-W316,AF316)))</f>
        <v>0</v>
      </c>
      <c r="AJ316" s="14" t="n">
        <f aca="false">W316-AH316-AI316</f>
        <v>0</v>
      </c>
      <c r="AK316" s="9" t="n">
        <f aca="false">IF(W316=0,0,X316*AH316/W316)</f>
        <v>0</v>
      </c>
      <c r="AL316" s="9" t="n">
        <f aca="false">IF(W316=0,0,X316*AI316/W316)</f>
        <v>0</v>
      </c>
      <c r="AM316" s="9" t="n">
        <f aca="false">X316-AK316-AL316</f>
        <v>0</v>
      </c>
    </row>
    <row r="317" customFormat="false" ht="15" hidden="false" customHeight="false" outlineLevel="0" collapsed="false">
      <c r="A317" s="6" t="n">
        <v>312</v>
      </c>
      <c r="B317" s="74" t="s">
        <v>978</v>
      </c>
      <c r="C317" s="53" t="str">
        <f aca="false">INDEX(I_Items!$C$5:$C$133,MATCH($B317,I_Items!$A$5:$A$133,0))</f>
        <v>RPA</v>
      </c>
      <c r="D317" s="53" t="str">
        <f aca="false">INDEX(I_Items!$D$5:$D$133,MATCH($B317,I_Items!$A$5:$A$133,0))</f>
        <v>Karkas</v>
      </c>
      <c r="E317" s="53" t="str">
        <f aca="false">INDEX(I_Items!$F$5:$F$133,MATCH($B317,I_Items!$A$5:$A$133,0))</f>
        <v>Fresh</v>
      </c>
      <c r="F317" s="53" t="str">
        <f aca="false">IF(INDEX(I_Items!$E$5:$E$133,MATCH($B317,I_Items!$A$5:$A$133,0))="","",INDEX(I_Items!$E$5:$E$133,MATCH($B317,I_Items!$A$5:$A$133,0)))</f>
        <v>Uk 1.0</v>
      </c>
      <c r="G317" s="76" t="n">
        <v>46241</v>
      </c>
      <c r="H317" s="23" t="n">
        <f aca="false">MONTH(G317)</f>
        <v>8</v>
      </c>
      <c r="I317" s="74" t="s">
        <v>2074</v>
      </c>
      <c r="J317" s="74" t="s">
        <v>1290</v>
      </c>
      <c r="K317" s="10" t="n">
        <v>1006.6</v>
      </c>
      <c r="L317" s="8" t="n">
        <v>38368964.47</v>
      </c>
      <c r="M317" s="10" t="n">
        <v>0</v>
      </c>
      <c r="N317" s="8" t="n">
        <v>0</v>
      </c>
      <c r="O317" s="74"/>
      <c r="P317" s="74"/>
      <c r="Q317" s="74"/>
      <c r="R317" s="14" t="n">
        <f aca="false">IF(I317="Unbilled",0,M317)</f>
        <v>0</v>
      </c>
      <c r="S317" s="9" t="n">
        <f aca="false">IF(R317=0,0,IF(O317="Booked",N317,R317*V316))</f>
        <v>0</v>
      </c>
      <c r="T317" s="14" t="n">
        <f aca="false">IF(I317="Opening",K317,T316+K317-R317)</f>
        <v>1006.6</v>
      </c>
      <c r="U317" s="9" t="n">
        <f aca="false">IF(I317="Opening",L317,U316+L317-S317)</f>
        <v>38368964.47</v>
      </c>
      <c r="V317" s="9" t="n">
        <f aca="false">IF(T317&gt;0,U317/T317,IF(I317="Opening",0,V316))</f>
        <v>38117.3896979932</v>
      </c>
      <c r="W317" s="14" t="n">
        <f aca="false">M317</f>
        <v>0</v>
      </c>
      <c r="X317" s="9" t="n">
        <f aca="false">IF(W317=0,0,IF(O317="Booked",N317,W317*AA316))</f>
        <v>0</v>
      </c>
      <c r="Y317" s="14" t="n">
        <f aca="false">IF(I317="Opening",K317,Y316+K317-W317)</f>
        <v>1006.6</v>
      </c>
      <c r="Z317" s="9" t="n">
        <f aca="false">IF(I317="Opening",L317,Z316+L317-X317)</f>
        <v>38368964.47</v>
      </c>
      <c r="AA317" s="9" t="n">
        <f aca="false">IF(Y317&gt;0,Z317/Y317,IF(I317="Opening",0,AA316))</f>
        <v>38117.3896979932</v>
      </c>
      <c r="AB317" s="9" t="n">
        <f aca="false">IF(AND(I317="DO",O317="MA"),S317-N317,0)</f>
        <v>0</v>
      </c>
      <c r="AC317" s="9" t="n">
        <f aca="false">IF(I317="DO",X317-S317,0)</f>
        <v>0</v>
      </c>
      <c r="AD317" s="23" t="n">
        <f aca="false">IF(B318&lt;&gt;B317,1,0)</f>
        <v>0</v>
      </c>
      <c r="AE317" s="14" t="n">
        <f aca="false">IF(I317="Opening",0,AE316+W317)</f>
        <v>0</v>
      </c>
      <c r="AF317" s="14" t="n">
        <f aca="false">IF(I317="Opening",K317,AF316)</f>
        <v>0</v>
      </c>
      <c r="AG317" s="14" t="n">
        <f aca="false">AG316</f>
        <v>0</v>
      </c>
      <c r="AH317" s="14" t="n">
        <f aca="false">IF(W317=0,0,MAX(0,MIN(AE317,AF317)-MIN(AE317-W317,AF317)))</f>
        <v>0</v>
      </c>
      <c r="AI317" s="14" t="n">
        <f aca="false">IF(W317=0,0,MAX(0,MIN(AE317,AF317+AG317)-MAX(AE317-W317,AF317)))</f>
        <v>0</v>
      </c>
      <c r="AJ317" s="14" t="n">
        <f aca="false">W317-AH317-AI317</f>
        <v>0</v>
      </c>
      <c r="AK317" s="9" t="n">
        <f aca="false">IF(W317=0,0,X317*AH317/W317)</f>
        <v>0</v>
      </c>
      <c r="AL317" s="9" t="n">
        <f aca="false">IF(W317=0,0,X317*AI317/W317)</f>
        <v>0</v>
      </c>
      <c r="AM317" s="9" t="n">
        <f aca="false">X317-AK317-AL317</f>
        <v>0</v>
      </c>
    </row>
    <row r="318" customFormat="false" ht="15" hidden="false" customHeight="false" outlineLevel="0" collapsed="false">
      <c r="A318" s="6" t="n">
        <v>313</v>
      </c>
      <c r="B318" s="74" t="s">
        <v>978</v>
      </c>
      <c r="C318" s="53" t="str">
        <f aca="false">INDEX(I_Items!$C$5:$C$133,MATCH($B318,I_Items!$A$5:$A$133,0))</f>
        <v>RPA</v>
      </c>
      <c r="D318" s="53" t="str">
        <f aca="false">INDEX(I_Items!$D$5:$D$133,MATCH($B318,I_Items!$A$5:$A$133,0))</f>
        <v>Karkas</v>
      </c>
      <c r="E318" s="53" t="str">
        <f aca="false">INDEX(I_Items!$F$5:$F$133,MATCH($B318,I_Items!$A$5:$A$133,0))</f>
        <v>Fresh</v>
      </c>
      <c r="F318" s="53" t="str">
        <f aca="false">IF(INDEX(I_Items!$E$5:$E$133,MATCH($B318,I_Items!$A$5:$A$133,0))="","",INDEX(I_Items!$E$5:$E$133,MATCH($B318,I_Items!$A$5:$A$133,0)))</f>
        <v>Uk 1.0</v>
      </c>
      <c r="G318" s="76" t="n">
        <v>46241</v>
      </c>
      <c r="H318" s="23" t="n">
        <f aca="false">MONTH(G318)</f>
        <v>8</v>
      </c>
      <c r="I318" s="74" t="s">
        <v>2074</v>
      </c>
      <c r="J318" s="74" t="s">
        <v>1290</v>
      </c>
      <c r="K318" s="10" t="n">
        <v>128.8</v>
      </c>
      <c r="L318" s="8" t="n">
        <v>3927615.84</v>
      </c>
      <c r="M318" s="10" t="n">
        <v>0</v>
      </c>
      <c r="N318" s="8" t="n">
        <v>0</v>
      </c>
      <c r="O318" s="74"/>
      <c r="P318" s="74"/>
      <c r="Q318" s="74"/>
      <c r="R318" s="14" t="n">
        <f aca="false">IF(I318="Unbilled",0,M318)</f>
        <v>0</v>
      </c>
      <c r="S318" s="9" t="n">
        <f aca="false">IF(R318=0,0,IF(O318="Booked",N318,R318*V317))</f>
        <v>0</v>
      </c>
      <c r="T318" s="14" t="n">
        <f aca="false">IF(I318="Opening",K318,T317+K318-R318)</f>
        <v>1135.4</v>
      </c>
      <c r="U318" s="9" t="n">
        <f aca="false">IF(I318="Opening",L318,U317+L318-S318)</f>
        <v>42296580.31</v>
      </c>
      <c r="V318" s="9" t="n">
        <f aca="false">IF(T318&gt;0,U318/T318,IF(I318="Opening",0,V317))</f>
        <v>37252.5808613704</v>
      </c>
      <c r="W318" s="14" t="n">
        <f aca="false">M318</f>
        <v>0</v>
      </c>
      <c r="X318" s="9" t="n">
        <f aca="false">IF(W318=0,0,IF(O318="Booked",N318,W318*AA317))</f>
        <v>0</v>
      </c>
      <c r="Y318" s="14" t="n">
        <f aca="false">IF(I318="Opening",K318,Y317+K318-W318)</f>
        <v>1135.4</v>
      </c>
      <c r="Z318" s="9" t="n">
        <f aca="false">IF(I318="Opening",L318,Z317+L318-X318)</f>
        <v>42296580.31</v>
      </c>
      <c r="AA318" s="9" t="n">
        <f aca="false">IF(Y318&gt;0,Z318/Y318,IF(I318="Opening",0,AA317))</f>
        <v>37252.5808613704</v>
      </c>
      <c r="AB318" s="9" t="n">
        <f aca="false">IF(AND(I318="DO",O318="MA"),S318-N318,0)</f>
        <v>0</v>
      </c>
      <c r="AC318" s="9" t="n">
        <f aca="false">IF(I318="DO",X318-S318,0)</f>
        <v>0</v>
      </c>
      <c r="AD318" s="23" t="n">
        <f aca="false">IF(B319&lt;&gt;B318,1,0)</f>
        <v>0</v>
      </c>
      <c r="AE318" s="14" t="n">
        <f aca="false">IF(I318="Opening",0,AE317+W318)</f>
        <v>0</v>
      </c>
      <c r="AF318" s="14" t="n">
        <f aca="false">IF(I318="Opening",K318,AF317)</f>
        <v>0</v>
      </c>
      <c r="AG318" s="14" t="n">
        <f aca="false">AG317</f>
        <v>0</v>
      </c>
      <c r="AH318" s="14" t="n">
        <f aca="false">IF(W318=0,0,MAX(0,MIN(AE318,AF318)-MIN(AE318-W318,AF318)))</f>
        <v>0</v>
      </c>
      <c r="AI318" s="14" t="n">
        <f aca="false">IF(W318=0,0,MAX(0,MIN(AE318,AF318+AG318)-MAX(AE318-W318,AF318)))</f>
        <v>0</v>
      </c>
      <c r="AJ318" s="14" t="n">
        <f aca="false">W318-AH318-AI318</f>
        <v>0</v>
      </c>
      <c r="AK318" s="9" t="n">
        <f aca="false">IF(W318=0,0,X318*AH318/W318)</f>
        <v>0</v>
      </c>
      <c r="AL318" s="9" t="n">
        <f aca="false">IF(W318=0,0,X318*AI318/W318)</f>
        <v>0</v>
      </c>
      <c r="AM318" s="9" t="n">
        <f aca="false">X318-AK318-AL318</f>
        <v>0</v>
      </c>
    </row>
    <row r="319" customFormat="false" ht="15" hidden="false" customHeight="false" outlineLevel="0" collapsed="false">
      <c r="A319" s="6" t="n">
        <v>314</v>
      </c>
      <c r="B319" s="74" t="s">
        <v>978</v>
      </c>
      <c r="C319" s="53" t="str">
        <f aca="false">INDEX(I_Items!$C$5:$C$133,MATCH($B319,I_Items!$A$5:$A$133,0))</f>
        <v>RPA</v>
      </c>
      <c r="D319" s="53" t="str">
        <f aca="false">INDEX(I_Items!$D$5:$D$133,MATCH($B319,I_Items!$A$5:$A$133,0))</f>
        <v>Karkas</v>
      </c>
      <c r="E319" s="53" t="str">
        <f aca="false">INDEX(I_Items!$F$5:$F$133,MATCH($B319,I_Items!$A$5:$A$133,0))</f>
        <v>Fresh</v>
      </c>
      <c r="F319" s="53" t="str">
        <f aca="false">IF(INDEX(I_Items!$E$5:$E$133,MATCH($B319,I_Items!$A$5:$A$133,0))="","",INDEX(I_Items!$E$5:$E$133,MATCH($B319,I_Items!$A$5:$A$133,0)))</f>
        <v>Uk 1.0</v>
      </c>
      <c r="G319" s="76" t="n">
        <v>46242</v>
      </c>
      <c r="H319" s="23" t="n">
        <f aca="false">MONTH(G319)</f>
        <v>8</v>
      </c>
      <c r="I319" s="74" t="s">
        <v>2075</v>
      </c>
      <c r="J319" s="74" t="s">
        <v>2135</v>
      </c>
      <c r="K319" s="10" t="n">
        <v>0</v>
      </c>
      <c r="L319" s="8" t="n">
        <v>0</v>
      </c>
      <c r="M319" s="10" t="n">
        <v>968.3</v>
      </c>
      <c r="N319" s="8" t="n">
        <v>36071674.09</v>
      </c>
      <c r="O319" s="74" t="s">
        <v>2077</v>
      </c>
      <c r="P319" s="74"/>
      <c r="Q319" s="74"/>
      <c r="R319" s="14" t="n">
        <f aca="false">IF(I319="Unbilled",0,M319)</f>
        <v>968.3</v>
      </c>
      <c r="S319" s="9" t="n">
        <f aca="false">IF(R319=0,0,IF(O319="Booked",N319,R319*V318))</f>
        <v>36071674.048065</v>
      </c>
      <c r="T319" s="14" t="n">
        <f aca="false">IF(I319="Opening",K319,T318+K319-R319)</f>
        <v>167.1</v>
      </c>
      <c r="U319" s="9" t="n">
        <f aca="false">IF(I319="Opening",L319,U318+L319-S319)</f>
        <v>6224906.261935</v>
      </c>
      <c r="V319" s="9" t="n">
        <f aca="false">IF(T319&gt;0,U319/T319,IF(I319="Opening",0,V318))</f>
        <v>37252.5808613704</v>
      </c>
      <c r="W319" s="14" t="n">
        <f aca="false">M319</f>
        <v>968.3</v>
      </c>
      <c r="X319" s="9" t="n">
        <f aca="false">IF(W319=0,0,IF(O319="Booked",N319,W319*AA318))</f>
        <v>36071674.048065</v>
      </c>
      <c r="Y319" s="14" t="n">
        <f aca="false">IF(I319="Opening",K319,Y318+K319-W319)</f>
        <v>167.1</v>
      </c>
      <c r="Z319" s="9" t="n">
        <f aca="false">IF(I319="Opening",L319,Z318+L319-X319)</f>
        <v>6224906.261935</v>
      </c>
      <c r="AA319" s="9" t="n">
        <f aca="false">IF(Y319&gt;0,Z319/Y319,IF(I319="Opening",0,AA318))</f>
        <v>37252.5808613704</v>
      </c>
      <c r="AB319" s="9" t="n">
        <f aca="false">IF(AND(I319="DO",O319="MA"),S319-N319,0)</f>
        <v>-0.0419350042939186</v>
      </c>
      <c r="AC319" s="9" t="n">
        <f aca="false">IF(I319="DO",X319-S319,0)</f>
        <v>0</v>
      </c>
      <c r="AD319" s="23" t="n">
        <f aca="false">IF(B320&lt;&gt;B319,1,0)</f>
        <v>0</v>
      </c>
      <c r="AE319" s="14" t="n">
        <f aca="false">IF(I319="Opening",0,AE318+W319)</f>
        <v>968.3</v>
      </c>
      <c r="AF319" s="14" t="n">
        <f aca="false">IF(I319="Opening",K319,AF318)</f>
        <v>0</v>
      </c>
      <c r="AG319" s="14" t="n">
        <f aca="false">AG318</f>
        <v>0</v>
      </c>
      <c r="AH319" s="14" t="n">
        <f aca="false">IF(W319=0,0,MAX(0,MIN(AE319,AF319)-MIN(AE319-W319,AF319)))</f>
        <v>0</v>
      </c>
      <c r="AI319" s="14" t="n">
        <f aca="false">IF(W319=0,0,MAX(0,MIN(AE319,AF319+AG319)-MAX(AE319-W319,AF319)))</f>
        <v>0</v>
      </c>
      <c r="AJ319" s="14" t="n">
        <f aca="false">W319-AH319-AI319</f>
        <v>968.3</v>
      </c>
      <c r="AK319" s="9" t="n">
        <f aca="false">IF(W319=0,0,X319*AH319/W319)</f>
        <v>0</v>
      </c>
      <c r="AL319" s="9" t="n">
        <f aca="false">IF(W319=0,0,X319*AI319/W319)</f>
        <v>0</v>
      </c>
      <c r="AM319" s="9" t="n">
        <f aca="false">X319-AK319-AL319</f>
        <v>36071674.048065</v>
      </c>
    </row>
    <row r="320" customFormat="false" ht="15" hidden="false" customHeight="false" outlineLevel="0" collapsed="false">
      <c r="A320" s="6" t="n">
        <v>315</v>
      </c>
      <c r="B320" s="74" t="s">
        <v>978</v>
      </c>
      <c r="C320" s="53" t="str">
        <f aca="false">INDEX(I_Items!$C$5:$C$133,MATCH($B320,I_Items!$A$5:$A$133,0))</f>
        <v>RPA</v>
      </c>
      <c r="D320" s="53" t="str">
        <f aca="false">INDEX(I_Items!$D$5:$D$133,MATCH($B320,I_Items!$A$5:$A$133,0))</f>
        <v>Karkas</v>
      </c>
      <c r="E320" s="53" t="str">
        <f aca="false">INDEX(I_Items!$F$5:$F$133,MATCH($B320,I_Items!$A$5:$A$133,0))</f>
        <v>Fresh</v>
      </c>
      <c r="F320" s="53" t="str">
        <f aca="false">IF(INDEX(I_Items!$E$5:$E$133,MATCH($B320,I_Items!$A$5:$A$133,0))="","",INDEX(I_Items!$E$5:$E$133,MATCH($B320,I_Items!$A$5:$A$133,0)))</f>
        <v>Uk 1.0</v>
      </c>
      <c r="G320" s="76" t="n">
        <v>46244</v>
      </c>
      <c r="H320" s="23" t="n">
        <f aca="false">MONTH(G320)</f>
        <v>8</v>
      </c>
      <c r="I320" s="74" t="s">
        <v>2074</v>
      </c>
      <c r="J320" s="74" t="s">
        <v>1294</v>
      </c>
      <c r="K320" s="10" t="n">
        <v>1692.7</v>
      </c>
      <c r="L320" s="8" t="n">
        <v>60731072.64</v>
      </c>
      <c r="M320" s="10" t="n">
        <v>0</v>
      </c>
      <c r="N320" s="8" t="n">
        <v>0</v>
      </c>
      <c r="O320" s="74"/>
      <c r="P320" s="74"/>
      <c r="Q320" s="74"/>
      <c r="R320" s="14" t="n">
        <f aca="false">IF(I320="Unbilled",0,M320)</f>
        <v>0</v>
      </c>
      <c r="S320" s="9" t="n">
        <f aca="false">IF(R320=0,0,IF(O320="Booked",N320,R320*V319))</f>
        <v>0</v>
      </c>
      <c r="T320" s="14" t="n">
        <f aca="false">IF(I320="Opening",K320,T319+K320-R320)</f>
        <v>1859.8</v>
      </c>
      <c r="U320" s="9" t="n">
        <f aca="false">IF(I320="Opening",L320,U319+L320-S320)</f>
        <v>66955978.901935</v>
      </c>
      <c r="V320" s="9" t="n">
        <f aca="false">IF(T320&gt;0,U320/T320,IF(I320="Opening",0,V319))</f>
        <v>36001.7092708544</v>
      </c>
      <c r="W320" s="14" t="n">
        <f aca="false">M320</f>
        <v>0</v>
      </c>
      <c r="X320" s="9" t="n">
        <f aca="false">IF(W320=0,0,IF(O320="Booked",N320,W320*AA319))</f>
        <v>0</v>
      </c>
      <c r="Y320" s="14" t="n">
        <f aca="false">IF(I320="Opening",K320,Y319+K320-W320)</f>
        <v>1859.8</v>
      </c>
      <c r="Z320" s="9" t="n">
        <f aca="false">IF(I320="Opening",L320,Z319+L320-X320)</f>
        <v>66955978.901935</v>
      </c>
      <c r="AA320" s="9" t="n">
        <f aca="false">IF(Y320&gt;0,Z320/Y320,IF(I320="Opening",0,AA319))</f>
        <v>36001.7092708544</v>
      </c>
      <c r="AB320" s="9" t="n">
        <f aca="false">IF(AND(I320="DO",O320="MA"),S320-N320,0)</f>
        <v>0</v>
      </c>
      <c r="AC320" s="9" t="n">
        <f aca="false">IF(I320="DO",X320-S320,0)</f>
        <v>0</v>
      </c>
      <c r="AD320" s="23" t="n">
        <f aca="false">IF(B321&lt;&gt;B320,1,0)</f>
        <v>0</v>
      </c>
      <c r="AE320" s="14" t="n">
        <f aca="false">IF(I320="Opening",0,AE319+W320)</f>
        <v>968.3</v>
      </c>
      <c r="AF320" s="14" t="n">
        <f aca="false">IF(I320="Opening",K320,AF319)</f>
        <v>0</v>
      </c>
      <c r="AG320" s="14" t="n">
        <f aca="false">AG319</f>
        <v>0</v>
      </c>
      <c r="AH320" s="14" t="n">
        <f aca="false">IF(W320=0,0,MAX(0,MIN(AE320,AF320)-MIN(AE320-W320,AF320)))</f>
        <v>0</v>
      </c>
      <c r="AI320" s="14" t="n">
        <f aca="false">IF(W320=0,0,MAX(0,MIN(AE320,AF320+AG320)-MAX(AE320-W320,AF320)))</f>
        <v>0</v>
      </c>
      <c r="AJ320" s="14" t="n">
        <f aca="false">W320-AH320-AI320</f>
        <v>0</v>
      </c>
      <c r="AK320" s="9" t="n">
        <f aca="false">IF(W320=0,0,X320*AH320/W320)</f>
        <v>0</v>
      </c>
      <c r="AL320" s="9" t="n">
        <f aca="false">IF(W320=0,0,X320*AI320/W320)</f>
        <v>0</v>
      </c>
      <c r="AM320" s="9" t="n">
        <f aca="false">X320-AK320-AL320</f>
        <v>0</v>
      </c>
    </row>
    <row r="321" customFormat="false" ht="15" hidden="false" customHeight="false" outlineLevel="0" collapsed="false">
      <c r="A321" s="6" t="n">
        <v>316</v>
      </c>
      <c r="B321" s="74" t="s">
        <v>978</v>
      </c>
      <c r="C321" s="53" t="str">
        <f aca="false">INDEX(I_Items!$C$5:$C$133,MATCH($B321,I_Items!$A$5:$A$133,0))</f>
        <v>RPA</v>
      </c>
      <c r="D321" s="53" t="str">
        <f aca="false">INDEX(I_Items!$D$5:$D$133,MATCH($B321,I_Items!$A$5:$A$133,0))</f>
        <v>Karkas</v>
      </c>
      <c r="E321" s="53" t="str">
        <f aca="false">INDEX(I_Items!$F$5:$F$133,MATCH($B321,I_Items!$A$5:$A$133,0))</f>
        <v>Fresh</v>
      </c>
      <c r="F321" s="53" t="str">
        <f aca="false">IF(INDEX(I_Items!$E$5:$E$133,MATCH($B321,I_Items!$A$5:$A$133,0))="","",INDEX(I_Items!$E$5:$E$133,MATCH($B321,I_Items!$A$5:$A$133,0)))</f>
        <v>Uk 1.0</v>
      </c>
      <c r="G321" s="76" t="n">
        <v>46249</v>
      </c>
      <c r="H321" s="23" t="n">
        <f aca="false">MONTH(G321)</f>
        <v>8</v>
      </c>
      <c r="I321" s="74" t="s">
        <v>2075</v>
      </c>
      <c r="J321" s="74" t="s">
        <v>2114</v>
      </c>
      <c r="K321" s="10" t="n">
        <v>0</v>
      </c>
      <c r="L321" s="8" t="n">
        <v>0</v>
      </c>
      <c r="M321" s="10" t="n">
        <v>163.92</v>
      </c>
      <c r="N321" s="8" t="n">
        <v>5901400.19</v>
      </c>
      <c r="O321" s="74" t="s">
        <v>2077</v>
      </c>
      <c r="P321" s="74" t="s">
        <v>1119</v>
      </c>
      <c r="Q321" s="74"/>
      <c r="R321" s="14" t="n">
        <f aca="false">IF(I321="Unbilled",0,M321)</f>
        <v>163.92</v>
      </c>
      <c r="S321" s="9" t="n">
        <f aca="false">IF(R321=0,0,IF(O321="Booked",N321,R321*V320))</f>
        <v>5901400.18367845</v>
      </c>
      <c r="T321" s="14" t="n">
        <f aca="false">IF(I321="Opening",K321,T320+K321-R321)</f>
        <v>1695.88</v>
      </c>
      <c r="U321" s="9" t="n">
        <f aca="false">IF(I321="Opening",L321,U320+L321-S321)</f>
        <v>61054578.7182566</v>
      </c>
      <c r="V321" s="9" t="n">
        <f aca="false">IF(T321&gt;0,U321/T321,IF(I321="Opening",0,V320))</f>
        <v>36001.7092708544</v>
      </c>
      <c r="W321" s="14" t="n">
        <f aca="false">M321</f>
        <v>163.92</v>
      </c>
      <c r="X321" s="9" t="n">
        <f aca="false">IF(W321=0,0,IF(O321="Booked",N321,W321*AA320))</f>
        <v>5901400.18367845</v>
      </c>
      <c r="Y321" s="14" t="n">
        <f aca="false">IF(I321="Opening",K321,Y320+K321-W321)</f>
        <v>1695.88</v>
      </c>
      <c r="Z321" s="9" t="n">
        <f aca="false">IF(I321="Opening",L321,Z320+L321-X321)</f>
        <v>61054578.7182566</v>
      </c>
      <c r="AA321" s="9" t="n">
        <f aca="false">IF(Y321&gt;0,Z321/Y321,IF(I321="Opening",0,AA320))</f>
        <v>36001.7092708544</v>
      </c>
      <c r="AB321" s="9" t="n">
        <f aca="false">IF(AND(I321="DO",O321="MA"),S321-N321,0)</f>
        <v>-0.0063215484842658</v>
      </c>
      <c r="AC321" s="9" t="n">
        <f aca="false">IF(I321="DO",X321-S321,0)</f>
        <v>0</v>
      </c>
      <c r="AD321" s="23" t="n">
        <f aca="false">IF(B322&lt;&gt;B321,1,0)</f>
        <v>0</v>
      </c>
      <c r="AE321" s="14" t="n">
        <f aca="false">IF(I321="Opening",0,AE320+W321)</f>
        <v>1132.22</v>
      </c>
      <c r="AF321" s="14" t="n">
        <f aca="false">IF(I321="Opening",K321,AF320)</f>
        <v>0</v>
      </c>
      <c r="AG321" s="14" t="n">
        <f aca="false">AG320</f>
        <v>0</v>
      </c>
      <c r="AH321" s="14" t="n">
        <f aca="false">IF(W321=0,0,MAX(0,MIN(AE321,AF321)-MIN(AE321-W321,AF321)))</f>
        <v>0</v>
      </c>
      <c r="AI321" s="14" t="n">
        <f aca="false">IF(W321=0,0,MAX(0,MIN(AE321,AF321+AG321)-MAX(AE321-W321,AF321)))</f>
        <v>0</v>
      </c>
      <c r="AJ321" s="14" t="n">
        <f aca="false">W321-AH321-AI321</f>
        <v>163.92</v>
      </c>
      <c r="AK321" s="9" t="n">
        <f aca="false">IF(W321=0,0,X321*AH321/W321)</f>
        <v>0</v>
      </c>
      <c r="AL321" s="9" t="n">
        <f aca="false">IF(W321=0,0,X321*AI321/W321)</f>
        <v>0</v>
      </c>
      <c r="AM321" s="9" t="n">
        <f aca="false">X321-AK321-AL321</f>
        <v>5901400.18367845</v>
      </c>
    </row>
    <row r="322" customFormat="false" ht="15" hidden="false" customHeight="false" outlineLevel="0" collapsed="false">
      <c r="A322" s="6" t="n">
        <v>317</v>
      </c>
      <c r="B322" s="74" t="s">
        <v>978</v>
      </c>
      <c r="C322" s="53" t="str">
        <f aca="false">INDEX(I_Items!$C$5:$C$133,MATCH($B322,I_Items!$A$5:$A$133,0))</f>
        <v>RPA</v>
      </c>
      <c r="D322" s="53" t="str">
        <f aca="false">INDEX(I_Items!$D$5:$D$133,MATCH($B322,I_Items!$A$5:$A$133,0))</f>
        <v>Karkas</v>
      </c>
      <c r="E322" s="53" t="str">
        <f aca="false">INDEX(I_Items!$F$5:$F$133,MATCH($B322,I_Items!$A$5:$A$133,0))</f>
        <v>Fresh</v>
      </c>
      <c r="F322" s="53" t="str">
        <f aca="false">IF(INDEX(I_Items!$E$5:$E$133,MATCH($B322,I_Items!$A$5:$A$133,0))="","",INDEX(I_Items!$E$5:$E$133,MATCH($B322,I_Items!$A$5:$A$133,0)))</f>
        <v>Uk 1.0</v>
      </c>
      <c r="G322" s="76" t="n">
        <v>46252</v>
      </c>
      <c r="H322" s="23" t="n">
        <f aca="false">MONTH(G322)</f>
        <v>8</v>
      </c>
      <c r="I322" s="74" t="s">
        <v>2075</v>
      </c>
      <c r="J322" s="74" t="s">
        <v>2126</v>
      </c>
      <c r="K322" s="10" t="n">
        <v>0</v>
      </c>
      <c r="L322" s="8" t="n">
        <v>0</v>
      </c>
      <c r="M322" s="10" t="n">
        <v>8</v>
      </c>
      <c r="N322" s="8" t="n">
        <v>288013.67</v>
      </c>
      <c r="O322" s="74" t="s">
        <v>2077</v>
      </c>
      <c r="P322" s="74"/>
      <c r="Q322" s="74"/>
      <c r="R322" s="14" t="n">
        <f aca="false">IF(I322="Unbilled",0,M322)</f>
        <v>8</v>
      </c>
      <c r="S322" s="9" t="n">
        <f aca="false">IF(R322=0,0,IF(O322="Booked",N322,R322*V321))</f>
        <v>288013.674166835</v>
      </c>
      <c r="T322" s="14" t="n">
        <f aca="false">IF(I322="Opening",K322,T321+K322-R322)</f>
        <v>1687.88</v>
      </c>
      <c r="U322" s="9" t="n">
        <f aca="false">IF(I322="Opening",L322,U321+L322-S322)</f>
        <v>60766565.0440897</v>
      </c>
      <c r="V322" s="9" t="n">
        <f aca="false">IF(T322&gt;0,U322/T322,IF(I322="Opening",0,V321))</f>
        <v>36001.7092708544</v>
      </c>
      <c r="W322" s="14" t="n">
        <f aca="false">M322</f>
        <v>8</v>
      </c>
      <c r="X322" s="9" t="n">
        <f aca="false">IF(W322=0,0,IF(O322="Booked",N322,W322*AA321))</f>
        <v>288013.674166835</v>
      </c>
      <c r="Y322" s="14" t="n">
        <f aca="false">IF(I322="Opening",K322,Y321+K322-W322)</f>
        <v>1687.88</v>
      </c>
      <c r="Z322" s="9" t="n">
        <f aca="false">IF(I322="Opening",L322,Z321+L322-X322)</f>
        <v>60766565.0440897</v>
      </c>
      <c r="AA322" s="9" t="n">
        <f aca="false">IF(Y322&gt;0,Z322/Y322,IF(I322="Opening",0,AA321))</f>
        <v>36001.7092708544</v>
      </c>
      <c r="AB322" s="9" t="n">
        <f aca="false">IF(AND(I322="DO",O322="MA"),S322-N322,0)</f>
        <v>0.00416683516232297</v>
      </c>
      <c r="AC322" s="9" t="n">
        <f aca="false">IF(I322="DO",X322-S322,0)</f>
        <v>0</v>
      </c>
      <c r="AD322" s="23" t="n">
        <f aca="false">IF(B323&lt;&gt;B322,1,0)</f>
        <v>0</v>
      </c>
      <c r="AE322" s="14" t="n">
        <f aca="false">IF(I322="Opening",0,AE321+W322)</f>
        <v>1140.22</v>
      </c>
      <c r="AF322" s="14" t="n">
        <f aca="false">IF(I322="Opening",K322,AF321)</f>
        <v>0</v>
      </c>
      <c r="AG322" s="14" t="n">
        <f aca="false">AG321</f>
        <v>0</v>
      </c>
      <c r="AH322" s="14" t="n">
        <f aca="false">IF(W322=0,0,MAX(0,MIN(AE322,AF322)-MIN(AE322-W322,AF322)))</f>
        <v>0</v>
      </c>
      <c r="AI322" s="14" t="n">
        <f aca="false">IF(W322=0,0,MAX(0,MIN(AE322,AF322+AG322)-MAX(AE322-W322,AF322)))</f>
        <v>0</v>
      </c>
      <c r="AJ322" s="14" t="n">
        <f aca="false">W322-AH322-AI322</f>
        <v>8</v>
      </c>
      <c r="AK322" s="9" t="n">
        <f aca="false">IF(W322=0,0,X322*AH322/W322)</f>
        <v>0</v>
      </c>
      <c r="AL322" s="9" t="n">
        <f aca="false">IF(W322=0,0,X322*AI322/W322)</f>
        <v>0</v>
      </c>
      <c r="AM322" s="9" t="n">
        <f aca="false">X322-AK322-AL322</f>
        <v>288013.674166835</v>
      </c>
    </row>
    <row r="323" customFormat="false" ht="15" hidden="false" customHeight="false" outlineLevel="0" collapsed="false">
      <c r="A323" s="6" t="n">
        <v>318</v>
      </c>
      <c r="B323" s="74" t="s">
        <v>978</v>
      </c>
      <c r="C323" s="53" t="str">
        <f aca="false">INDEX(I_Items!$C$5:$C$133,MATCH($B323,I_Items!$A$5:$A$133,0))</f>
        <v>RPA</v>
      </c>
      <c r="D323" s="53" t="str">
        <f aca="false">INDEX(I_Items!$D$5:$D$133,MATCH($B323,I_Items!$A$5:$A$133,0))</f>
        <v>Karkas</v>
      </c>
      <c r="E323" s="53" t="str">
        <f aca="false">INDEX(I_Items!$F$5:$F$133,MATCH($B323,I_Items!$A$5:$A$133,0))</f>
        <v>Fresh</v>
      </c>
      <c r="F323" s="53" t="str">
        <f aca="false">IF(INDEX(I_Items!$E$5:$E$133,MATCH($B323,I_Items!$A$5:$A$133,0))="","",INDEX(I_Items!$E$5:$E$133,MATCH($B323,I_Items!$A$5:$A$133,0)))</f>
        <v>Uk 1.0</v>
      </c>
      <c r="G323" s="76" t="n">
        <v>46253</v>
      </c>
      <c r="H323" s="23" t="n">
        <f aca="false">MONTH(G323)</f>
        <v>8</v>
      </c>
      <c r="I323" s="74" t="s">
        <v>2074</v>
      </c>
      <c r="J323" s="74" t="s">
        <v>1305</v>
      </c>
      <c r="K323" s="10" t="n">
        <v>1011.6</v>
      </c>
      <c r="L323" s="8" t="n">
        <v>38225015</v>
      </c>
      <c r="M323" s="10" t="n">
        <v>0</v>
      </c>
      <c r="N323" s="8" t="n">
        <v>0</v>
      </c>
      <c r="O323" s="74"/>
      <c r="P323" s="74"/>
      <c r="Q323" s="74"/>
      <c r="R323" s="14" t="n">
        <f aca="false">IF(I323="Unbilled",0,M323)</f>
        <v>0</v>
      </c>
      <c r="S323" s="9" t="n">
        <f aca="false">IF(R323=0,0,IF(O323="Booked",N323,R323*V322))</f>
        <v>0</v>
      </c>
      <c r="T323" s="14" t="n">
        <f aca="false">IF(I323="Opening",K323,T322+K323-R323)</f>
        <v>2699.48</v>
      </c>
      <c r="U323" s="9" t="n">
        <f aca="false">IF(I323="Opening",L323,U322+L323-S323)</f>
        <v>98991580.0440897</v>
      </c>
      <c r="V323" s="9" t="n">
        <f aca="false">IF(T323&gt;0,U323/T323,IF(I323="Opening",0,V322))</f>
        <v>36670.6106524552</v>
      </c>
      <c r="W323" s="14" t="n">
        <f aca="false">M323</f>
        <v>0</v>
      </c>
      <c r="X323" s="9" t="n">
        <f aca="false">IF(W323=0,0,IF(O323="Booked",N323,W323*AA322))</f>
        <v>0</v>
      </c>
      <c r="Y323" s="14" t="n">
        <f aca="false">IF(I323="Opening",K323,Y322+K323-W323)</f>
        <v>2699.48</v>
      </c>
      <c r="Z323" s="9" t="n">
        <f aca="false">IF(I323="Opening",L323,Z322+L323-X323)</f>
        <v>98991580.0440897</v>
      </c>
      <c r="AA323" s="9" t="n">
        <f aca="false">IF(Y323&gt;0,Z323/Y323,IF(I323="Opening",0,AA322))</f>
        <v>36670.6106524552</v>
      </c>
      <c r="AB323" s="9" t="n">
        <f aca="false">IF(AND(I323="DO",O323="MA"),S323-N323,0)</f>
        <v>0</v>
      </c>
      <c r="AC323" s="9" t="n">
        <f aca="false">IF(I323="DO",X323-S323,0)</f>
        <v>0</v>
      </c>
      <c r="AD323" s="23" t="n">
        <f aca="false">IF(B324&lt;&gt;B323,1,0)</f>
        <v>0</v>
      </c>
      <c r="AE323" s="14" t="n">
        <f aca="false">IF(I323="Opening",0,AE322+W323)</f>
        <v>1140.22</v>
      </c>
      <c r="AF323" s="14" t="n">
        <f aca="false">IF(I323="Opening",K323,AF322)</f>
        <v>0</v>
      </c>
      <c r="AG323" s="14" t="n">
        <f aca="false">AG322</f>
        <v>0</v>
      </c>
      <c r="AH323" s="14" t="n">
        <f aca="false">IF(W323=0,0,MAX(0,MIN(AE323,AF323)-MIN(AE323-W323,AF323)))</f>
        <v>0</v>
      </c>
      <c r="AI323" s="14" t="n">
        <f aca="false">IF(W323=0,0,MAX(0,MIN(AE323,AF323+AG323)-MAX(AE323-W323,AF323)))</f>
        <v>0</v>
      </c>
      <c r="AJ323" s="14" t="n">
        <f aca="false">W323-AH323-AI323</f>
        <v>0</v>
      </c>
      <c r="AK323" s="9" t="n">
        <f aca="false">IF(W323=0,0,X323*AH323/W323)</f>
        <v>0</v>
      </c>
      <c r="AL323" s="9" t="n">
        <f aca="false">IF(W323=0,0,X323*AI323/W323)</f>
        <v>0</v>
      </c>
      <c r="AM323" s="9" t="n">
        <f aca="false">X323-AK323-AL323</f>
        <v>0</v>
      </c>
    </row>
    <row r="324" customFormat="false" ht="15" hidden="false" customHeight="false" outlineLevel="0" collapsed="false">
      <c r="A324" s="6" t="n">
        <v>319</v>
      </c>
      <c r="B324" s="74" t="s">
        <v>978</v>
      </c>
      <c r="C324" s="53" t="str">
        <f aca="false">INDEX(I_Items!$C$5:$C$133,MATCH($B324,I_Items!$A$5:$A$133,0))</f>
        <v>RPA</v>
      </c>
      <c r="D324" s="53" t="str">
        <f aca="false">INDEX(I_Items!$D$5:$D$133,MATCH($B324,I_Items!$A$5:$A$133,0))</f>
        <v>Karkas</v>
      </c>
      <c r="E324" s="53" t="str">
        <f aca="false">INDEX(I_Items!$F$5:$F$133,MATCH($B324,I_Items!$A$5:$A$133,0))</f>
        <v>Fresh</v>
      </c>
      <c r="F324" s="53" t="str">
        <f aca="false">IF(INDEX(I_Items!$E$5:$E$133,MATCH($B324,I_Items!$A$5:$A$133,0))="","",INDEX(I_Items!$E$5:$E$133,MATCH($B324,I_Items!$A$5:$A$133,0)))</f>
        <v>Uk 1.0</v>
      </c>
      <c r="G324" s="76" t="n">
        <v>46254</v>
      </c>
      <c r="H324" s="23" t="n">
        <f aca="false">MONTH(G324)</f>
        <v>8</v>
      </c>
      <c r="I324" s="74" t="s">
        <v>2075</v>
      </c>
      <c r="J324" s="74" t="s">
        <v>2136</v>
      </c>
      <c r="K324" s="10" t="n">
        <v>0</v>
      </c>
      <c r="L324" s="8" t="n">
        <v>0</v>
      </c>
      <c r="M324" s="10" t="n">
        <v>990.6</v>
      </c>
      <c r="N324" s="8" t="n">
        <v>36325906.96</v>
      </c>
      <c r="O324" s="74" t="s">
        <v>2077</v>
      </c>
      <c r="P324" s="74"/>
      <c r="Q324" s="74"/>
      <c r="R324" s="14" t="n">
        <f aca="false">IF(I324="Unbilled",0,M324)</f>
        <v>990.6</v>
      </c>
      <c r="S324" s="9" t="n">
        <f aca="false">IF(R324=0,0,IF(O324="Booked",N324,R324*V323))</f>
        <v>36325906.9123221</v>
      </c>
      <c r="T324" s="14" t="n">
        <f aca="false">IF(I324="Opening",K324,T323+K324-R324)</f>
        <v>1708.88</v>
      </c>
      <c r="U324" s="9" t="n">
        <f aca="false">IF(I324="Opening",L324,U323+L324-S324)</f>
        <v>62665673.1317676</v>
      </c>
      <c r="V324" s="9" t="n">
        <f aca="false">IF(T324&gt;0,U324/T324,IF(I324="Opening",0,V323))</f>
        <v>36670.6106524552</v>
      </c>
      <c r="W324" s="14" t="n">
        <f aca="false">M324</f>
        <v>990.6</v>
      </c>
      <c r="X324" s="9" t="n">
        <f aca="false">IF(W324=0,0,IF(O324="Booked",N324,W324*AA323))</f>
        <v>36325906.9123221</v>
      </c>
      <c r="Y324" s="14" t="n">
        <f aca="false">IF(I324="Opening",K324,Y323+K324-W324)</f>
        <v>1708.88</v>
      </c>
      <c r="Z324" s="9" t="n">
        <f aca="false">IF(I324="Opening",L324,Z323+L324-X324)</f>
        <v>62665673.1317676</v>
      </c>
      <c r="AA324" s="9" t="n">
        <f aca="false">IF(Y324&gt;0,Z324/Y324,IF(I324="Opening",0,AA323))</f>
        <v>36670.6106524552</v>
      </c>
      <c r="AB324" s="9" t="n">
        <f aca="false">IF(AND(I324="DO",O324="MA"),S324-N324,0)</f>
        <v>-0.0476778969168663</v>
      </c>
      <c r="AC324" s="9" t="n">
        <f aca="false">IF(I324="DO",X324-S324,0)</f>
        <v>0</v>
      </c>
      <c r="AD324" s="23" t="n">
        <f aca="false">IF(B325&lt;&gt;B324,1,0)</f>
        <v>0</v>
      </c>
      <c r="AE324" s="14" t="n">
        <f aca="false">IF(I324="Opening",0,AE323+W324)</f>
        <v>2130.82</v>
      </c>
      <c r="AF324" s="14" t="n">
        <f aca="false">IF(I324="Opening",K324,AF323)</f>
        <v>0</v>
      </c>
      <c r="AG324" s="14" t="n">
        <f aca="false">AG323</f>
        <v>0</v>
      </c>
      <c r="AH324" s="14" t="n">
        <f aca="false">IF(W324=0,0,MAX(0,MIN(AE324,AF324)-MIN(AE324-W324,AF324)))</f>
        <v>0</v>
      </c>
      <c r="AI324" s="14" t="n">
        <f aca="false">IF(W324=0,0,MAX(0,MIN(AE324,AF324+AG324)-MAX(AE324-W324,AF324)))</f>
        <v>0</v>
      </c>
      <c r="AJ324" s="14" t="n">
        <f aca="false">W324-AH324-AI324</f>
        <v>990.6</v>
      </c>
      <c r="AK324" s="9" t="n">
        <f aca="false">IF(W324=0,0,X324*AH324/W324)</f>
        <v>0</v>
      </c>
      <c r="AL324" s="9" t="n">
        <f aca="false">IF(W324=0,0,X324*AI324/W324)</f>
        <v>0</v>
      </c>
      <c r="AM324" s="9" t="n">
        <f aca="false">X324-AK324-AL324</f>
        <v>36325906.9123221</v>
      </c>
    </row>
    <row r="325" customFormat="false" ht="15" hidden="false" customHeight="false" outlineLevel="0" collapsed="false">
      <c r="A325" s="6" t="n">
        <v>320</v>
      </c>
      <c r="B325" s="74" t="s">
        <v>978</v>
      </c>
      <c r="C325" s="53" t="str">
        <f aca="false">INDEX(I_Items!$C$5:$C$133,MATCH($B325,I_Items!$A$5:$A$133,0))</f>
        <v>RPA</v>
      </c>
      <c r="D325" s="53" t="str">
        <f aca="false">INDEX(I_Items!$D$5:$D$133,MATCH($B325,I_Items!$A$5:$A$133,0))</f>
        <v>Karkas</v>
      </c>
      <c r="E325" s="53" t="str">
        <f aca="false">INDEX(I_Items!$F$5:$F$133,MATCH($B325,I_Items!$A$5:$A$133,0))</f>
        <v>Fresh</v>
      </c>
      <c r="F325" s="53" t="str">
        <f aca="false">IF(INDEX(I_Items!$E$5:$E$133,MATCH($B325,I_Items!$A$5:$A$133,0))="","",INDEX(I_Items!$E$5:$E$133,MATCH($B325,I_Items!$A$5:$A$133,0)))</f>
        <v>Uk 1.0</v>
      </c>
      <c r="G325" s="76" t="n">
        <v>46254</v>
      </c>
      <c r="H325" s="23" t="n">
        <f aca="false">MONTH(G325)</f>
        <v>8</v>
      </c>
      <c r="I325" s="74" t="s">
        <v>2074</v>
      </c>
      <c r="J325" s="74" t="s">
        <v>1308</v>
      </c>
      <c r="K325" s="10" t="n">
        <v>1577.7</v>
      </c>
      <c r="L325" s="8" t="n">
        <v>59749940.81</v>
      </c>
      <c r="M325" s="10" t="n">
        <v>0</v>
      </c>
      <c r="N325" s="8" t="n">
        <v>0</v>
      </c>
      <c r="O325" s="74"/>
      <c r="P325" s="74"/>
      <c r="Q325" s="74"/>
      <c r="R325" s="14" t="n">
        <f aca="false">IF(I325="Unbilled",0,M325)</f>
        <v>0</v>
      </c>
      <c r="S325" s="9" t="n">
        <f aca="false">IF(R325=0,0,IF(O325="Booked",N325,R325*V324))</f>
        <v>0</v>
      </c>
      <c r="T325" s="14" t="n">
        <f aca="false">IF(I325="Opening",K325,T324+K325-R325)</f>
        <v>3286.58</v>
      </c>
      <c r="U325" s="9" t="n">
        <f aca="false">IF(I325="Opening",L325,U324+L325-S325)</f>
        <v>122415613.941768</v>
      </c>
      <c r="V325" s="9" t="n">
        <f aca="false">IF(T325&gt;0,U325/T325,IF(I325="Opening",0,V324))</f>
        <v>37247.112177938</v>
      </c>
      <c r="W325" s="14" t="n">
        <f aca="false">M325</f>
        <v>0</v>
      </c>
      <c r="X325" s="9" t="n">
        <f aca="false">IF(W325=0,0,IF(O325="Booked",N325,W325*AA324))</f>
        <v>0</v>
      </c>
      <c r="Y325" s="14" t="n">
        <f aca="false">IF(I325="Opening",K325,Y324+K325-W325)</f>
        <v>3286.58</v>
      </c>
      <c r="Z325" s="9" t="n">
        <f aca="false">IF(I325="Opening",L325,Z324+L325-X325)</f>
        <v>122415613.941768</v>
      </c>
      <c r="AA325" s="9" t="n">
        <f aca="false">IF(Y325&gt;0,Z325/Y325,IF(I325="Opening",0,AA324))</f>
        <v>37247.112177938</v>
      </c>
      <c r="AB325" s="9" t="n">
        <f aca="false">IF(AND(I325="DO",O325="MA"),S325-N325,0)</f>
        <v>0</v>
      </c>
      <c r="AC325" s="9" t="n">
        <f aca="false">IF(I325="DO",X325-S325,0)</f>
        <v>0</v>
      </c>
      <c r="AD325" s="23" t="n">
        <f aca="false">IF(B326&lt;&gt;B325,1,0)</f>
        <v>0</v>
      </c>
      <c r="AE325" s="14" t="n">
        <f aca="false">IF(I325="Opening",0,AE324+W325)</f>
        <v>2130.82</v>
      </c>
      <c r="AF325" s="14" t="n">
        <f aca="false">IF(I325="Opening",K325,AF324)</f>
        <v>0</v>
      </c>
      <c r="AG325" s="14" t="n">
        <f aca="false">AG324</f>
        <v>0</v>
      </c>
      <c r="AH325" s="14" t="n">
        <f aca="false">IF(W325=0,0,MAX(0,MIN(AE325,AF325)-MIN(AE325-W325,AF325)))</f>
        <v>0</v>
      </c>
      <c r="AI325" s="14" t="n">
        <f aca="false">IF(W325=0,0,MAX(0,MIN(AE325,AF325+AG325)-MAX(AE325-W325,AF325)))</f>
        <v>0</v>
      </c>
      <c r="AJ325" s="14" t="n">
        <f aca="false">W325-AH325-AI325</f>
        <v>0</v>
      </c>
      <c r="AK325" s="9" t="n">
        <f aca="false">IF(W325=0,0,X325*AH325/W325)</f>
        <v>0</v>
      </c>
      <c r="AL325" s="9" t="n">
        <f aca="false">IF(W325=0,0,X325*AI325/W325)</f>
        <v>0</v>
      </c>
      <c r="AM325" s="9" t="n">
        <f aca="false">X325-AK325-AL325</f>
        <v>0</v>
      </c>
    </row>
    <row r="326" customFormat="false" ht="15" hidden="false" customHeight="false" outlineLevel="0" collapsed="false">
      <c r="A326" s="6" t="n">
        <v>321</v>
      </c>
      <c r="B326" s="74" t="s">
        <v>978</v>
      </c>
      <c r="C326" s="53" t="str">
        <f aca="false">INDEX(I_Items!$C$5:$C$133,MATCH($B326,I_Items!$A$5:$A$133,0))</f>
        <v>RPA</v>
      </c>
      <c r="D326" s="53" t="str">
        <f aca="false">INDEX(I_Items!$D$5:$D$133,MATCH($B326,I_Items!$A$5:$A$133,0))</f>
        <v>Karkas</v>
      </c>
      <c r="E326" s="53" t="str">
        <f aca="false">INDEX(I_Items!$F$5:$F$133,MATCH($B326,I_Items!$A$5:$A$133,0))</f>
        <v>Fresh</v>
      </c>
      <c r="F326" s="53" t="str">
        <f aca="false">IF(INDEX(I_Items!$E$5:$E$133,MATCH($B326,I_Items!$A$5:$A$133,0))="","",INDEX(I_Items!$E$5:$E$133,MATCH($B326,I_Items!$A$5:$A$133,0)))</f>
        <v>Uk 1.0</v>
      </c>
      <c r="G326" s="76" t="n">
        <v>46255</v>
      </c>
      <c r="H326" s="23" t="n">
        <f aca="false">MONTH(G326)</f>
        <v>8</v>
      </c>
      <c r="I326" s="74" t="s">
        <v>2074</v>
      </c>
      <c r="J326" s="74" t="s">
        <v>1311</v>
      </c>
      <c r="K326" s="10" t="n">
        <v>1262.5</v>
      </c>
      <c r="L326" s="8" t="n">
        <v>48247220.5</v>
      </c>
      <c r="M326" s="10" t="n">
        <v>0</v>
      </c>
      <c r="N326" s="8" t="n">
        <v>0</v>
      </c>
      <c r="O326" s="74"/>
      <c r="P326" s="74"/>
      <c r="Q326" s="74"/>
      <c r="R326" s="14" t="n">
        <f aca="false">IF(I326="Unbilled",0,M326)</f>
        <v>0</v>
      </c>
      <c r="S326" s="9" t="n">
        <f aca="false">IF(R326=0,0,IF(O326="Booked",N326,R326*V325))</f>
        <v>0</v>
      </c>
      <c r="T326" s="14" t="n">
        <f aca="false">IF(I326="Opening",K326,T325+K326-R326)</f>
        <v>4549.08</v>
      </c>
      <c r="U326" s="9" t="n">
        <f aca="false">IF(I326="Opening",L326,U325+L326-S326)</f>
        <v>170662834.441768</v>
      </c>
      <c r="V326" s="9" t="n">
        <f aca="false">IF(T326&gt;0,U326/T326,IF(I326="Opening",0,V325))</f>
        <v>37515.9008946353</v>
      </c>
      <c r="W326" s="14" t="n">
        <f aca="false">M326</f>
        <v>0</v>
      </c>
      <c r="X326" s="9" t="n">
        <f aca="false">IF(W326=0,0,IF(O326="Booked",N326,W326*AA325))</f>
        <v>0</v>
      </c>
      <c r="Y326" s="14" t="n">
        <f aca="false">IF(I326="Opening",K326,Y325+K326-W326)</f>
        <v>4549.08</v>
      </c>
      <c r="Z326" s="9" t="n">
        <f aca="false">IF(I326="Opening",L326,Z325+L326-X326)</f>
        <v>170662834.441768</v>
      </c>
      <c r="AA326" s="9" t="n">
        <f aca="false">IF(Y326&gt;0,Z326/Y326,IF(I326="Opening",0,AA325))</f>
        <v>37515.9008946353</v>
      </c>
      <c r="AB326" s="9" t="n">
        <f aca="false">IF(AND(I326="DO",O326="MA"),S326-N326,0)</f>
        <v>0</v>
      </c>
      <c r="AC326" s="9" t="n">
        <f aca="false">IF(I326="DO",X326-S326,0)</f>
        <v>0</v>
      </c>
      <c r="AD326" s="23" t="n">
        <f aca="false">IF(B327&lt;&gt;B326,1,0)</f>
        <v>0</v>
      </c>
      <c r="AE326" s="14" t="n">
        <f aca="false">IF(I326="Opening",0,AE325+W326)</f>
        <v>2130.82</v>
      </c>
      <c r="AF326" s="14" t="n">
        <f aca="false">IF(I326="Opening",K326,AF325)</f>
        <v>0</v>
      </c>
      <c r="AG326" s="14" t="n">
        <f aca="false">AG325</f>
        <v>0</v>
      </c>
      <c r="AH326" s="14" t="n">
        <f aca="false">IF(W326=0,0,MAX(0,MIN(AE326,AF326)-MIN(AE326-W326,AF326)))</f>
        <v>0</v>
      </c>
      <c r="AI326" s="14" t="n">
        <f aca="false">IF(W326=0,0,MAX(0,MIN(AE326,AF326+AG326)-MAX(AE326-W326,AF326)))</f>
        <v>0</v>
      </c>
      <c r="AJ326" s="14" t="n">
        <f aca="false">W326-AH326-AI326</f>
        <v>0</v>
      </c>
      <c r="AK326" s="9" t="n">
        <f aca="false">IF(W326=0,0,X326*AH326/W326)</f>
        <v>0</v>
      </c>
      <c r="AL326" s="9" t="n">
        <f aca="false">IF(W326=0,0,X326*AI326/W326)</f>
        <v>0</v>
      </c>
      <c r="AM326" s="9" t="n">
        <f aca="false">X326-AK326-AL326</f>
        <v>0</v>
      </c>
    </row>
    <row r="327" customFormat="false" ht="15" hidden="false" customHeight="false" outlineLevel="0" collapsed="false">
      <c r="A327" s="6" t="n">
        <v>322</v>
      </c>
      <c r="B327" s="74" t="s">
        <v>978</v>
      </c>
      <c r="C327" s="53" t="str">
        <f aca="false">INDEX(I_Items!$C$5:$C$133,MATCH($B327,I_Items!$A$5:$A$133,0))</f>
        <v>RPA</v>
      </c>
      <c r="D327" s="53" t="str">
        <f aca="false">INDEX(I_Items!$D$5:$D$133,MATCH($B327,I_Items!$A$5:$A$133,0))</f>
        <v>Karkas</v>
      </c>
      <c r="E327" s="53" t="str">
        <f aca="false">INDEX(I_Items!$F$5:$F$133,MATCH($B327,I_Items!$A$5:$A$133,0))</f>
        <v>Fresh</v>
      </c>
      <c r="F327" s="53" t="str">
        <f aca="false">IF(INDEX(I_Items!$E$5:$E$133,MATCH($B327,I_Items!$A$5:$A$133,0))="","",INDEX(I_Items!$E$5:$E$133,MATCH($B327,I_Items!$A$5:$A$133,0)))</f>
        <v>Uk 1.0</v>
      </c>
      <c r="G327" s="76" t="n">
        <v>46255</v>
      </c>
      <c r="H327" s="23" t="n">
        <f aca="false">MONTH(G327)</f>
        <v>8</v>
      </c>
      <c r="I327" s="74" t="s">
        <v>2075</v>
      </c>
      <c r="J327" s="74" t="s">
        <v>2137</v>
      </c>
      <c r="K327" s="10" t="n">
        <v>0</v>
      </c>
      <c r="L327" s="8" t="n">
        <v>0</v>
      </c>
      <c r="M327" s="10" t="n">
        <v>1542.9</v>
      </c>
      <c r="N327" s="8" t="n">
        <v>57883283.5</v>
      </c>
      <c r="O327" s="74" t="s">
        <v>2077</v>
      </c>
      <c r="P327" s="74"/>
      <c r="Q327" s="74"/>
      <c r="R327" s="14" t="n">
        <f aca="false">IF(I327="Unbilled",0,M327)</f>
        <v>1542.9</v>
      </c>
      <c r="S327" s="9" t="n">
        <f aca="false">IF(R327=0,0,IF(O327="Booked",N327,R327*V326))</f>
        <v>57883283.4903328</v>
      </c>
      <c r="T327" s="14" t="n">
        <f aca="false">IF(I327="Opening",K327,T326+K327-R327)</f>
        <v>3006.18</v>
      </c>
      <c r="U327" s="9" t="n">
        <f aca="false">IF(I327="Opening",L327,U326+L327-S327)</f>
        <v>112779550.951435</v>
      </c>
      <c r="V327" s="9" t="n">
        <f aca="false">IF(T327&gt;0,U327/T327,IF(I327="Opening",0,V326))</f>
        <v>37515.9008946353</v>
      </c>
      <c r="W327" s="14" t="n">
        <f aca="false">M327</f>
        <v>1542.9</v>
      </c>
      <c r="X327" s="9" t="n">
        <f aca="false">IF(W327=0,0,IF(O327="Booked",N327,W327*AA326))</f>
        <v>57883283.4903328</v>
      </c>
      <c r="Y327" s="14" t="n">
        <f aca="false">IF(I327="Opening",K327,Y326+K327-W327)</f>
        <v>3006.18</v>
      </c>
      <c r="Z327" s="9" t="n">
        <f aca="false">IF(I327="Opening",L327,Z326+L327-X327)</f>
        <v>112779550.951435</v>
      </c>
      <c r="AA327" s="9" t="n">
        <f aca="false">IF(Y327&gt;0,Z327/Y327,IF(I327="Opening",0,AA326))</f>
        <v>37515.9008946353</v>
      </c>
      <c r="AB327" s="9" t="n">
        <f aca="false">IF(AND(I327="DO",O327="MA"),S327-N327,0)</f>
        <v>-0.00966717302799225</v>
      </c>
      <c r="AC327" s="9" t="n">
        <f aca="false">IF(I327="DO",X327-S327,0)</f>
        <v>0</v>
      </c>
      <c r="AD327" s="23" t="n">
        <f aca="false">IF(B328&lt;&gt;B327,1,0)</f>
        <v>0</v>
      </c>
      <c r="AE327" s="14" t="n">
        <f aca="false">IF(I327="Opening",0,AE326+W327)</f>
        <v>3673.72</v>
      </c>
      <c r="AF327" s="14" t="n">
        <f aca="false">IF(I327="Opening",K327,AF326)</f>
        <v>0</v>
      </c>
      <c r="AG327" s="14" t="n">
        <f aca="false">AG326</f>
        <v>0</v>
      </c>
      <c r="AH327" s="14" t="n">
        <f aca="false">IF(W327=0,0,MAX(0,MIN(AE327,AF327)-MIN(AE327-W327,AF327)))</f>
        <v>0</v>
      </c>
      <c r="AI327" s="14" t="n">
        <f aca="false">IF(W327=0,0,MAX(0,MIN(AE327,AF327+AG327)-MAX(AE327-W327,AF327)))</f>
        <v>0</v>
      </c>
      <c r="AJ327" s="14" t="n">
        <f aca="false">W327-AH327-AI327</f>
        <v>1542.9</v>
      </c>
      <c r="AK327" s="9" t="n">
        <f aca="false">IF(W327=0,0,X327*AH327/W327)</f>
        <v>0</v>
      </c>
      <c r="AL327" s="9" t="n">
        <f aca="false">IF(W327=0,0,X327*AI327/W327)</f>
        <v>0</v>
      </c>
      <c r="AM327" s="9" t="n">
        <f aca="false">X327-AK327-AL327</f>
        <v>57883283.4903328</v>
      </c>
    </row>
    <row r="328" customFormat="false" ht="15" hidden="false" customHeight="false" outlineLevel="0" collapsed="false">
      <c r="A328" s="6" t="n">
        <v>323</v>
      </c>
      <c r="B328" s="74" t="s">
        <v>978</v>
      </c>
      <c r="C328" s="53" t="str">
        <f aca="false">INDEX(I_Items!$C$5:$C$133,MATCH($B328,I_Items!$A$5:$A$133,0))</f>
        <v>RPA</v>
      </c>
      <c r="D328" s="53" t="str">
        <f aca="false">INDEX(I_Items!$D$5:$D$133,MATCH($B328,I_Items!$A$5:$A$133,0))</f>
        <v>Karkas</v>
      </c>
      <c r="E328" s="53" t="str">
        <f aca="false">INDEX(I_Items!$F$5:$F$133,MATCH($B328,I_Items!$A$5:$A$133,0))</f>
        <v>Fresh</v>
      </c>
      <c r="F328" s="53" t="str">
        <f aca="false">IF(INDEX(I_Items!$E$5:$E$133,MATCH($B328,I_Items!$A$5:$A$133,0))="","",INDEX(I_Items!$E$5:$E$133,MATCH($B328,I_Items!$A$5:$A$133,0)))</f>
        <v>Uk 1.0</v>
      </c>
      <c r="G328" s="76" t="n">
        <v>46256</v>
      </c>
      <c r="H328" s="23" t="n">
        <f aca="false">MONTH(G328)</f>
        <v>8</v>
      </c>
      <c r="I328" s="74" t="s">
        <v>2075</v>
      </c>
      <c r="J328" s="74" t="s">
        <v>2138</v>
      </c>
      <c r="K328" s="10" t="n">
        <v>0</v>
      </c>
      <c r="L328" s="8" t="n">
        <v>0</v>
      </c>
      <c r="M328" s="10" t="n">
        <v>1232.9</v>
      </c>
      <c r="N328" s="8" t="n">
        <v>46253354.22</v>
      </c>
      <c r="O328" s="74" t="s">
        <v>2077</v>
      </c>
      <c r="P328" s="74"/>
      <c r="Q328" s="74"/>
      <c r="R328" s="14" t="n">
        <f aca="false">IF(I328="Unbilled",0,M328)</f>
        <v>1232.9</v>
      </c>
      <c r="S328" s="9" t="n">
        <f aca="false">IF(R328=0,0,IF(O328="Booked",N328,R328*V327))</f>
        <v>46253354.2129959</v>
      </c>
      <c r="T328" s="14" t="n">
        <f aca="false">IF(I328="Opening",K328,T327+K328-R328)</f>
        <v>1773.28</v>
      </c>
      <c r="U328" s="9" t="n">
        <f aca="false">IF(I328="Opening",L328,U327+L328-S328)</f>
        <v>66526196.7384389</v>
      </c>
      <c r="V328" s="9" t="n">
        <f aca="false">IF(T328&gt;0,U328/T328,IF(I328="Opening",0,V327))</f>
        <v>37515.9008946353</v>
      </c>
      <c r="W328" s="14" t="n">
        <f aca="false">M328</f>
        <v>1232.9</v>
      </c>
      <c r="X328" s="9" t="n">
        <f aca="false">IF(W328=0,0,IF(O328="Booked",N328,W328*AA327))</f>
        <v>46253354.2129959</v>
      </c>
      <c r="Y328" s="14" t="n">
        <f aca="false">IF(I328="Opening",K328,Y327+K328-W328)</f>
        <v>1773.28</v>
      </c>
      <c r="Z328" s="9" t="n">
        <f aca="false">IF(I328="Opening",L328,Z327+L328-X328)</f>
        <v>66526196.7384389</v>
      </c>
      <c r="AA328" s="9" t="n">
        <f aca="false">IF(Y328&gt;0,Z328/Y328,IF(I328="Opening",0,AA327))</f>
        <v>37515.9008946353</v>
      </c>
      <c r="AB328" s="9" t="n">
        <f aca="false">IF(AND(I328="DO",O328="MA"),S328-N328,0)</f>
        <v>-0.00700411945581436</v>
      </c>
      <c r="AC328" s="9" t="n">
        <f aca="false">IF(I328="DO",X328-S328,0)</f>
        <v>0</v>
      </c>
      <c r="AD328" s="23" t="n">
        <f aca="false">IF(B329&lt;&gt;B328,1,0)</f>
        <v>0</v>
      </c>
      <c r="AE328" s="14" t="n">
        <f aca="false">IF(I328="Opening",0,AE327+W328)</f>
        <v>4906.62</v>
      </c>
      <c r="AF328" s="14" t="n">
        <f aca="false">IF(I328="Opening",K328,AF327)</f>
        <v>0</v>
      </c>
      <c r="AG328" s="14" t="n">
        <f aca="false">AG327</f>
        <v>0</v>
      </c>
      <c r="AH328" s="14" t="n">
        <f aca="false">IF(W328=0,0,MAX(0,MIN(AE328,AF328)-MIN(AE328-W328,AF328)))</f>
        <v>0</v>
      </c>
      <c r="AI328" s="14" t="n">
        <f aca="false">IF(W328=0,0,MAX(0,MIN(AE328,AF328+AG328)-MAX(AE328-W328,AF328)))</f>
        <v>0</v>
      </c>
      <c r="AJ328" s="14" t="n">
        <f aca="false">W328-AH328-AI328</f>
        <v>1232.9</v>
      </c>
      <c r="AK328" s="9" t="n">
        <f aca="false">IF(W328=0,0,X328*AH328/W328)</f>
        <v>0</v>
      </c>
      <c r="AL328" s="9" t="n">
        <f aca="false">IF(W328=0,0,X328*AI328/W328)</f>
        <v>0</v>
      </c>
      <c r="AM328" s="9" t="n">
        <f aca="false">X328-AK328-AL328</f>
        <v>46253354.2129959</v>
      </c>
    </row>
    <row r="329" customFormat="false" ht="15" hidden="false" customHeight="false" outlineLevel="0" collapsed="false">
      <c r="A329" s="6" t="n">
        <v>324</v>
      </c>
      <c r="B329" s="74" t="s">
        <v>978</v>
      </c>
      <c r="C329" s="53" t="str">
        <f aca="false">INDEX(I_Items!$C$5:$C$133,MATCH($B329,I_Items!$A$5:$A$133,0))</f>
        <v>RPA</v>
      </c>
      <c r="D329" s="53" t="str">
        <f aca="false">INDEX(I_Items!$D$5:$D$133,MATCH($B329,I_Items!$A$5:$A$133,0))</f>
        <v>Karkas</v>
      </c>
      <c r="E329" s="53" t="str">
        <f aca="false">INDEX(I_Items!$F$5:$F$133,MATCH($B329,I_Items!$A$5:$A$133,0))</f>
        <v>Fresh</v>
      </c>
      <c r="F329" s="53" t="str">
        <f aca="false">IF(INDEX(I_Items!$E$5:$E$133,MATCH($B329,I_Items!$A$5:$A$133,0))="","",INDEX(I_Items!$E$5:$E$133,MATCH($B329,I_Items!$A$5:$A$133,0)))</f>
        <v>Uk 1.0</v>
      </c>
      <c r="G329" s="76" t="n">
        <v>46261</v>
      </c>
      <c r="H329" s="23" t="n">
        <f aca="false">MONTH(G329)</f>
        <v>8</v>
      </c>
      <c r="I329" s="74" t="s">
        <v>2074</v>
      </c>
      <c r="J329" s="74" t="s">
        <v>1320</v>
      </c>
      <c r="K329" s="10" t="n">
        <v>708.2</v>
      </c>
      <c r="L329" s="8" t="n">
        <v>26333952</v>
      </c>
      <c r="M329" s="10" t="n">
        <v>0</v>
      </c>
      <c r="N329" s="8" t="n">
        <v>0</v>
      </c>
      <c r="O329" s="74"/>
      <c r="P329" s="74"/>
      <c r="Q329" s="74"/>
      <c r="R329" s="14" t="n">
        <f aca="false">IF(I329="Unbilled",0,M329)</f>
        <v>0</v>
      </c>
      <c r="S329" s="9" t="n">
        <f aca="false">IF(R329=0,0,IF(O329="Booked",N329,R329*V328))</f>
        <v>0</v>
      </c>
      <c r="T329" s="14" t="n">
        <f aca="false">IF(I329="Opening",K329,T328+K329-R329)</f>
        <v>2481.48</v>
      </c>
      <c r="U329" s="9" t="n">
        <f aca="false">IF(I329="Opening",L329,U328+L329-S329)</f>
        <v>92860148.7384389</v>
      </c>
      <c r="V329" s="9" t="n">
        <f aca="false">IF(T329&gt;0,U329/T329,IF(I329="Opening",0,V328))</f>
        <v>37421.2763102821</v>
      </c>
      <c r="W329" s="14" t="n">
        <f aca="false">M329</f>
        <v>0</v>
      </c>
      <c r="X329" s="9" t="n">
        <f aca="false">IF(W329=0,0,IF(O329="Booked",N329,W329*AA328))</f>
        <v>0</v>
      </c>
      <c r="Y329" s="14" t="n">
        <f aca="false">IF(I329="Opening",K329,Y328+K329-W329)</f>
        <v>2481.48</v>
      </c>
      <c r="Z329" s="9" t="n">
        <f aca="false">IF(I329="Opening",L329,Z328+L329-X329)</f>
        <v>92860148.7384389</v>
      </c>
      <c r="AA329" s="9" t="n">
        <f aca="false">IF(Y329&gt;0,Z329/Y329,IF(I329="Opening",0,AA328))</f>
        <v>37421.2763102821</v>
      </c>
      <c r="AB329" s="9" t="n">
        <f aca="false">IF(AND(I329="DO",O329="MA"),S329-N329,0)</f>
        <v>0</v>
      </c>
      <c r="AC329" s="9" t="n">
        <f aca="false">IF(I329="DO",X329-S329,0)</f>
        <v>0</v>
      </c>
      <c r="AD329" s="23" t="n">
        <f aca="false">IF(B330&lt;&gt;B329,1,0)</f>
        <v>0</v>
      </c>
      <c r="AE329" s="14" t="n">
        <f aca="false">IF(I329="Opening",0,AE328+W329)</f>
        <v>4906.62</v>
      </c>
      <c r="AF329" s="14" t="n">
        <f aca="false">IF(I329="Opening",K329,AF328)</f>
        <v>0</v>
      </c>
      <c r="AG329" s="14" t="n">
        <f aca="false">AG328</f>
        <v>0</v>
      </c>
      <c r="AH329" s="14" t="n">
        <f aca="false">IF(W329=0,0,MAX(0,MIN(AE329,AF329)-MIN(AE329-W329,AF329)))</f>
        <v>0</v>
      </c>
      <c r="AI329" s="14" t="n">
        <f aca="false">IF(W329=0,0,MAX(0,MIN(AE329,AF329+AG329)-MAX(AE329-W329,AF329)))</f>
        <v>0</v>
      </c>
      <c r="AJ329" s="14" t="n">
        <f aca="false">W329-AH329-AI329</f>
        <v>0</v>
      </c>
      <c r="AK329" s="9" t="n">
        <f aca="false">IF(W329=0,0,X329*AH329/W329)</f>
        <v>0</v>
      </c>
      <c r="AL329" s="9" t="n">
        <f aca="false">IF(W329=0,0,X329*AI329/W329)</f>
        <v>0</v>
      </c>
      <c r="AM329" s="9" t="n">
        <f aca="false">X329-AK329-AL329</f>
        <v>0</v>
      </c>
    </row>
    <row r="330" customFormat="false" ht="15" hidden="false" customHeight="false" outlineLevel="0" collapsed="false">
      <c r="A330" s="6" t="n">
        <v>325</v>
      </c>
      <c r="B330" s="74" t="s">
        <v>978</v>
      </c>
      <c r="C330" s="53" t="str">
        <f aca="false">INDEX(I_Items!$C$5:$C$133,MATCH($B330,I_Items!$A$5:$A$133,0))</f>
        <v>RPA</v>
      </c>
      <c r="D330" s="53" t="str">
        <f aca="false">INDEX(I_Items!$D$5:$D$133,MATCH($B330,I_Items!$A$5:$A$133,0))</f>
        <v>Karkas</v>
      </c>
      <c r="E330" s="53" t="str">
        <f aca="false">INDEX(I_Items!$F$5:$F$133,MATCH($B330,I_Items!$A$5:$A$133,0))</f>
        <v>Fresh</v>
      </c>
      <c r="F330" s="53" t="str">
        <f aca="false">IF(INDEX(I_Items!$E$5:$E$133,MATCH($B330,I_Items!$A$5:$A$133,0))="","",INDEX(I_Items!$E$5:$E$133,MATCH($B330,I_Items!$A$5:$A$133,0)))</f>
        <v>Uk 1.0</v>
      </c>
      <c r="G330" s="76" t="n">
        <v>46262</v>
      </c>
      <c r="H330" s="23" t="n">
        <f aca="false">MONTH(G330)</f>
        <v>8</v>
      </c>
      <c r="I330" s="74" t="s">
        <v>2074</v>
      </c>
      <c r="J330" s="74" t="s">
        <v>1323</v>
      </c>
      <c r="K330" s="10" t="n">
        <v>1161.5</v>
      </c>
      <c r="L330" s="8" t="n">
        <v>43546787.38</v>
      </c>
      <c r="M330" s="10" t="n">
        <v>0</v>
      </c>
      <c r="N330" s="8" t="n">
        <v>0</v>
      </c>
      <c r="O330" s="74"/>
      <c r="P330" s="74"/>
      <c r="Q330" s="74"/>
      <c r="R330" s="14" t="n">
        <f aca="false">IF(I330="Unbilled",0,M330)</f>
        <v>0</v>
      </c>
      <c r="S330" s="9" t="n">
        <f aca="false">IF(R330=0,0,IF(O330="Booked",N330,R330*V329))</f>
        <v>0</v>
      </c>
      <c r="T330" s="14" t="n">
        <f aca="false">IF(I330="Opening",K330,T329+K330-R330)</f>
        <v>3642.98</v>
      </c>
      <c r="U330" s="9" t="n">
        <f aca="false">IF(I330="Opening",L330,U329+L330-S330)</f>
        <v>136406936.118439</v>
      </c>
      <c r="V330" s="9" t="n">
        <f aca="false">IF(T330&gt;0,U330/T330,IF(I330="Opening",0,V329))</f>
        <v>37443.7784776307</v>
      </c>
      <c r="W330" s="14" t="n">
        <f aca="false">M330</f>
        <v>0</v>
      </c>
      <c r="X330" s="9" t="n">
        <f aca="false">IF(W330=0,0,IF(O330="Booked",N330,W330*AA329))</f>
        <v>0</v>
      </c>
      <c r="Y330" s="14" t="n">
        <f aca="false">IF(I330="Opening",K330,Y329+K330-W330)</f>
        <v>3642.98</v>
      </c>
      <c r="Z330" s="9" t="n">
        <f aca="false">IF(I330="Opening",L330,Z329+L330-X330)</f>
        <v>136406936.118439</v>
      </c>
      <c r="AA330" s="9" t="n">
        <f aca="false">IF(Y330&gt;0,Z330/Y330,IF(I330="Opening",0,AA329))</f>
        <v>37443.7784776307</v>
      </c>
      <c r="AB330" s="9" t="n">
        <f aca="false">IF(AND(I330="DO",O330="MA"),S330-N330,0)</f>
        <v>0</v>
      </c>
      <c r="AC330" s="9" t="n">
        <f aca="false">IF(I330="DO",X330-S330,0)</f>
        <v>0</v>
      </c>
      <c r="AD330" s="23" t="n">
        <f aca="false">IF(B331&lt;&gt;B330,1,0)</f>
        <v>0</v>
      </c>
      <c r="AE330" s="14" t="n">
        <f aca="false">IF(I330="Opening",0,AE329+W330)</f>
        <v>4906.62</v>
      </c>
      <c r="AF330" s="14" t="n">
        <f aca="false">IF(I330="Opening",K330,AF329)</f>
        <v>0</v>
      </c>
      <c r="AG330" s="14" t="n">
        <f aca="false">AG329</f>
        <v>0</v>
      </c>
      <c r="AH330" s="14" t="n">
        <f aca="false">IF(W330=0,0,MAX(0,MIN(AE330,AF330)-MIN(AE330-W330,AF330)))</f>
        <v>0</v>
      </c>
      <c r="AI330" s="14" t="n">
        <f aca="false">IF(W330=0,0,MAX(0,MIN(AE330,AF330+AG330)-MAX(AE330-W330,AF330)))</f>
        <v>0</v>
      </c>
      <c r="AJ330" s="14" t="n">
        <f aca="false">W330-AH330-AI330</f>
        <v>0</v>
      </c>
      <c r="AK330" s="9" t="n">
        <f aca="false">IF(W330=0,0,X330*AH330/W330)</f>
        <v>0</v>
      </c>
      <c r="AL330" s="9" t="n">
        <f aca="false">IF(W330=0,0,X330*AI330/W330)</f>
        <v>0</v>
      </c>
      <c r="AM330" s="9" t="n">
        <f aca="false">X330-AK330-AL330</f>
        <v>0</v>
      </c>
    </row>
    <row r="331" customFormat="false" ht="15" hidden="false" customHeight="false" outlineLevel="0" collapsed="false">
      <c r="A331" s="6" t="n">
        <v>326</v>
      </c>
      <c r="B331" s="74" t="s">
        <v>978</v>
      </c>
      <c r="C331" s="53" t="str">
        <f aca="false">INDEX(I_Items!$C$5:$C$133,MATCH($B331,I_Items!$A$5:$A$133,0))</f>
        <v>RPA</v>
      </c>
      <c r="D331" s="53" t="str">
        <f aca="false">INDEX(I_Items!$D$5:$D$133,MATCH($B331,I_Items!$A$5:$A$133,0))</f>
        <v>Karkas</v>
      </c>
      <c r="E331" s="53" t="str">
        <f aca="false">INDEX(I_Items!$F$5:$F$133,MATCH($B331,I_Items!$A$5:$A$133,0))</f>
        <v>Fresh</v>
      </c>
      <c r="F331" s="53" t="str">
        <f aca="false">IF(INDEX(I_Items!$E$5:$E$133,MATCH($B331,I_Items!$A$5:$A$133,0))="","",INDEX(I_Items!$E$5:$E$133,MATCH($B331,I_Items!$A$5:$A$133,0)))</f>
        <v>Uk 1.0</v>
      </c>
      <c r="G331" s="76" t="n">
        <v>46262</v>
      </c>
      <c r="H331" s="23" t="n">
        <f aca="false">MONTH(G331)</f>
        <v>8</v>
      </c>
      <c r="I331" s="74" t="s">
        <v>2075</v>
      </c>
      <c r="J331" s="74" t="s">
        <v>2139</v>
      </c>
      <c r="K331" s="10" t="n">
        <v>0</v>
      </c>
      <c r="L331" s="8" t="n">
        <v>0</v>
      </c>
      <c r="M331" s="10" t="n">
        <v>677.89</v>
      </c>
      <c r="N331" s="8" t="n">
        <v>25382763.01</v>
      </c>
      <c r="O331" s="74" t="s">
        <v>2077</v>
      </c>
      <c r="P331" s="74"/>
      <c r="Q331" s="74"/>
      <c r="R331" s="14" t="n">
        <f aca="false">IF(I331="Unbilled",0,M331)</f>
        <v>677.89</v>
      </c>
      <c r="S331" s="9" t="n">
        <f aca="false">IF(R331=0,0,IF(O331="Booked",N331,R331*V330))</f>
        <v>25382762.992201</v>
      </c>
      <c r="T331" s="14" t="n">
        <f aca="false">IF(I331="Opening",K331,T330+K331-R331)</f>
        <v>2965.09</v>
      </c>
      <c r="U331" s="9" t="n">
        <f aca="false">IF(I331="Opening",L331,U330+L331-S331)</f>
        <v>111024173.126238</v>
      </c>
      <c r="V331" s="9" t="n">
        <f aca="false">IF(T331&gt;0,U331/T331,IF(I331="Opening",0,V330))</f>
        <v>37443.7784776307</v>
      </c>
      <c r="W331" s="14" t="n">
        <f aca="false">M331</f>
        <v>677.89</v>
      </c>
      <c r="X331" s="9" t="n">
        <f aca="false">IF(W331=0,0,IF(O331="Booked",N331,W331*AA330))</f>
        <v>25382762.992201</v>
      </c>
      <c r="Y331" s="14" t="n">
        <f aca="false">IF(I331="Opening",K331,Y330+K331-W331)</f>
        <v>2965.09</v>
      </c>
      <c r="Z331" s="9" t="n">
        <f aca="false">IF(I331="Opening",L331,Z330+L331-X331)</f>
        <v>111024173.126238</v>
      </c>
      <c r="AA331" s="9" t="n">
        <f aca="false">IF(Y331&gt;0,Z331/Y331,IF(I331="Opening",0,AA330))</f>
        <v>37443.7784776307</v>
      </c>
      <c r="AB331" s="9" t="n">
        <f aca="false">IF(AND(I331="DO",O331="MA"),S331-N331,0)</f>
        <v>-0.0177989602088928</v>
      </c>
      <c r="AC331" s="9" t="n">
        <f aca="false">IF(I331="DO",X331-S331,0)</f>
        <v>0</v>
      </c>
      <c r="AD331" s="23" t="n">
        <f aca="false">IF(B332&lt;&gt;B331,1,0)</f>
        <v>0</v>
      </c>
      <c r="AE331" s="14" t="n">
        <f aca="false">IF(I331="Opening",0,AE330+W331)</f>
        <v>5584.51</v>
      </c>
      <c r="AF331" s="14" t="n">
        <f aca="false">IF(I331="Opening",K331,AF330)</f>
        <v>0</v>
      </c>
      <c r="AG331" s="14" t="n">
        <f aca="false">AG330</f>
        <v>0</v>
      </c>
      <c r="AH331" s="14" t="n">
        <f aca="false">IF(W331=0,0,MAX(0,MIN(AE331,AF331)-MIN(AE331-W331,AF331)))</f>
        <v>0</v>
      </c>
      <c r="AI331" s="14" t="n">
        <f aca="false">IF(W331=0,0,MAX(0,MIN(AE331,AF331+AG331)-MAX(AE331-W331,AF331)))</f>
        <v>0</v>
      </c>
      <c r="AJ331" s="14" t="n">
        <f aca="false">W331-AH331-AI331</f>
        <v>677.89</v>
      </c>
      <c r="AK331" s="9" t="n">
        <f aca="false">IF(W331=0,0,X331*AH331/W331)</f>
        <v>0</v>
      </c>
      <c r="AL331" s="9" t="n">
        <f aca="false">IF(W331=0,0,X331*AI331/W331)</f>
        <v>0</v>
      </c>
      <c r="AM331" s="9" t="n">
        <f aca="false">X331-AK331-AL331</f>
        <v>25382762.992201</v>
      </c>
    </row>
    <row r="332" customFormat="false" ht="15" hidden="false" customHeight="false" outlineLevel="0" collapsed="false">
      <c r="A332" s="6" t="n">
        <v>327</v>
      </c>
      <c r="B332" s="74" t="s">
        <v>978</v>
      </c>
      <c r="C332" s="53" t="str">
        <f aca="false">INDEX(I_Items!$C$5:$C$133,MATCH($B332,I_Items!$A$5:$A$133,0))</f>
        <v>RPA</v>
      </c>
      <c r="D332" s="53" t="str">
        <f aca="false">INDEX(I_Items!$D$5:$D$133,MATCH($B332,I_Items!$A$5:$A$133,0))</f>
        <v>Karkas</v>
      </c>
      <c r="E332" s="53" t="str">
        <f aca="false">INDEX(I_Items!$F$5:$F$133,MATCH($B332,I_Items!$A$5:$A$133,0))</f>
        <v>Fresh</v>
      </c>
      <c r="F332" s="53" t="str">
        <f aca="false">IF(INDEX(I_Items!$E$5:$E$133,MATCH($B332,I_Items!$A$5:$A$133,0))="","",INDEX(I_Items!$E$5:$E$133,MATCH($B332,I_Items!$A$5:$A$133,0)))</f>
        <v>Uk 1.0</v>
      </c>
      <c r="G332" s="76" t="n">
        <v>46263</v>
      </c>
      <c r="H332" s="23" t="n">
        <f aca="false">MONTH(G332)</f>
        <v>8</v>
      </c>
      <c r="I332" s="74" t="s">
        <v>2075</v>
      </c>
      <c r="J332" s="74" t="s">
        <v>2140</v>
      </c>
      <c r="K332" s="10" t="n">
        <v>0</v>
      </c>
      <c r="L332" s="8" t="n">
        <v>0</v>
      </c>
      <c r="M332" s="10" t="n">
        <v>1084.81</v>
      </c>
      <c r="N332" s="8" t="n">
        <v>40619385.35</v>
      </c>
      <c r="O332" s="74" t="s">
        <v>2077</v>
      </c>
      <c r="P332" s="74"/>
      <c r="Q332" s="74"/>
      <c r="R332" s="14" t="n">
        <f aca="false">IF(I332="Unbilled",0,M332)</f>
        <v>1084.81</v>
      </c>
      <c r="S332" s="9" t="n">
        <f aca="false">IF(R332=0,0,IF(O332="Booked",N332,R332*V331))</f>
        <v>40619385.3303185</v>
      </c>
      <c r="T332" s="14" t="n">
        <f aca="false">IF(I332="Opening",K332,T331+K332-R332)</f>
        <v>1880.28</v>
      </c>
      <c r="U332" s="9" t="n">
        <f aca="false">IF(I332="Opening",L332,U331+L332-S332)</f>
        <v>70404787.7959194</v>
      </c>
      <c r="V332" s="9" t="n">
        <f aca="false">IF(T332&gt;0,U332/T332,IF(I332="Opening",0,V331))</f>
        <v>37443.7784776307</v>
      </c>
      <c r="W332" s="14" t="n">
        <f aca="false">M332</f>
        <v>1084.81</v>
      </c>
      <c r="X332" s="9" t="n">
        <f aca="false">IF(W332=0,0,IF(O332="Booked",N332,W332*AA331))</f>
        <v>40619385.3303185</v>
      </c>
      <c r="Y332" s="14" t="n">
        <f aca="false">IF(I332="Opening",K332,Y331+K332-W332)</f>
        <v>1880.28</v>
      </c>
      <c r="Z332" s="9" t="n">
        <f aca="false">IF(I332="Opening",L332,Z331+L332-X332)</f>
        <v>70404787.7959194</v>
      </c>
      <c r="AA332" s="9" t="n">
        <f aca="false">IF(Y332&gt;0,Z332/Y332,IF(I332="Opening",0,AA331))</f>
        <v>37443.7784776307</v>
      </c>
      <c r="AB332" s="9" t="n">
        <f aca="false">IF(AND(I332="DO",O332="MA"),S332-N332,0)</f>
        <v>-0.0196814984083176</v>
      </c>
      <c r="AC332" s="9" t="n">
        <f aca="false">IF(I332="DO",X332-S332,0)</f>
        <v>0</v>
      </c>
      <c r="AD332" s="23" t="n">
        <f aca="false">IF(B333&lt;&gt;B332,1,0)</f>
        <v>0</v>
      </c>
      <c r="AE332" s="14" t="n">
        <f aca="false">IF(I332="Opening",0,AE331+W332)</f>
        <v>6669.32</v>
      </c>
      <c r="AF332" s="14" t="n">
        <f aca="false">IF(I332="Opening",K332,AF331)</f>
        <v>0</v>
      </c>
      <c r="AG332" s="14" t="n">
        <f aca="false">AG331</f>
        <v>0</v>
      </c>
      <c r="AH332" s="14" t="n">
        <f aca="false">IF(W332=0,0,MAX(0,MIN(AE332,AF332)-MIN(AE332-W332,AF332)))</f>
        <v>0</v>
      </c>
      <c r="AI332" s="14" t="n">
        <f aca="false">IF(W332=0,0,MAX(0,MIN(AE332,AF332+AG332)-MAX(AE332-W332,AF332)))</f>
        <v>0</v>
      </c>
      <c r="AJ332" s="14" t="n">
        <f aca="false">W332-AH332-AI332</f>
        <v>1084.81</v>
      </c>
      <c r="AK332" s="9" t="n">
        <f aca="false">IF(W332=0,0,X332*AH332/W332)</f>
        <v>0</v>
      </c>
      <c r="AL332" s="9" t="n">
        <f aca="false">IF(W332=0,0,X332*AI332/W332)</f>
        <v>0</v>
      </c>
      <c r="AM332" s="9" t="n">
        <f aca="false">X332-AK332-AL332</f>
        <v>40619385.3303185</v>
      </c>
    </row>
    <row r="333" customFormat="false" ht="15" hidden="false" customHeight="false" outlineLevel="0" collapsed="false">
      <c r="A333" s="6" t="n">
        <v>328</v>
      </c>
      <c r="B333" s="74" t="s">
        <v>978</v>
      </c>
      <c r="C333" s="53" t="str">
        <f aca="false">INDEX(I_Items!$C$5:$C$133,MATCH($B333,I_Items!$A$5:$A$133,0))</f>
        <v>RPA</v>
      </c>
      <c r="D333" s="53" t="str">
        <f aca="false">INDEX(I_Items!$D$5:$D$133,MATCH($B333,I_Items!$A$5:$A$133,0))</f>
        <v>Karkas</v>
      </c>
      <c r="E333" s="53" t="str">
        <f aca="false">INDEX(I_Items!$F$5:$F$133,MATCH($B333,I_Items!$A$5:$A$133,0))</f>
        <v>Fresh</v>
      </c>
      <c r="F333" s="53" t="str">
        <f aca="false">IF(INDEX(I_Items!$E$5:$E$133,MATCH($B333,I_Items!$A$5:$A$133,0))="","",INDEX(I_Items!$E$5:$E$133,MATCH($B333,I_Items!$A$5:$A$133,0)))</f>
        <v>Uk 1.0</v>
      </c>
      <c r="G333" s="76" t="n">
        <v>46265</v>
      </c>
      <c r="H333" s="23" t="n">
        <f aca="false">MONTH(G333)</f>
        <v>8</v>
      </c>
      <c r="I333" s="74" t="s">
        <v>2074</v>
      </c>
      <c r="J333" s="74" t="s">
        <v>1326</v>
      </c>
      <c r="K333" s="10" t="n">
        <v>443.2</v>
      </c>
      <c r="L333" s="8" t="n">
        <v>16330323.06</v>
      </c>
      <c r="M333" s="10" t="n">
        <v>0</v>
      </c>
      <c r="N333" s="8" t="n">
        <v>0</v>
      </c>
      <c r="O333" s="74"/>
      <c r="P333" s="74"/>
      <c r="Q333" s="74"/>
      <c r="R333" s="14" t="n">
        <f aca="false">IF(I333="Unbilled",0,M333)</f>
        <v>0</v>
      </c>
      <c r="S333" s="9" t="n">
        <f aca="false">IF(R333=0,0,IF(O333="Booked",N333,R333*V332))</f>
        <v>0</v>
      </c>
      <c r="T333" s="14" t="n">
        <f aca="false">IF(I333="Opening",K333,T332+K333-R333)</f>
        <v>2323.48</v>
      </c>
      <c r="U333" s="9" t="n">
        <f aca="false">IF(I333="Opening",L333,U332+L333-S333)</f>
        <v>86735110.8559194</v>
      </c>
      <c r="V333" s="9" t="n">
        <f aca="false">IF(T333&gt;0,U333/T333,IF(I333="Opening",0,V332))</f>
        <v>37329.8289014407</v>
      </c>
      <c r="W333" s="14" t="n">
        <f aca="false">M333</f>
        <v>0</v>
      </c>
      <c r="X333" s="9" t="n">
        <f aca="false">IF(W333=0,0,IF(O333="Booked",N333,W333*AA332))</f>
        <v>0</v>
      </c>
      <c r="Y333" s="14" t="n">
        <f aca="false">IF(I333="Opening",K333,Y332+K333-W333)</f>
        <v>2323.48</v>
      </c>
      <c r="Z333" s="9" t="n">
        <f aca="false">IF(I333="Opening",L333,Z332+L333-X333)</f>
        <v>86735110.8559194</v>
      </c>
      <c r="AA333" s="9" t="n">
        <f aca="false">IF(Y333&gt;0,Z333/Y333,IF(I333="Opening",0,AA332))</f>
        <v>37329.8289014407</v>
      </c>
      <c r="AB333" s="9" t="n">
        <f aca="false">IF(AND(I333="DO",O333="MA"),S333-N333,0)</f>
        <v>0</v>
      </c>
      <c r="AC333" s="9" t="n">
        <f aca="false">IF(I333="DO",X333-S333,0)</f>
        <v>0</v>
      </c>
      <c r="AD333" s="23" t="n">
        <f aca="false">IF(B334&lt;&gt;B333,1,0)</f>
        <v>1</v>
      </c>
      <c r="AE333" s="14" t="n">
        <f aca="false">IF(I333="Opening",0,AE332+W333)</f>
        <v>6669.32</v>
      </c>
      <c r="AF333" s="14" t="n">
        <f aca="false">IF(I333="Opening",K333,AF332)</f>
        <v>0</v>
      </c>
      <c r="AG333" s="14" t="n">
        <f aca="false">AG332</f>
        <v>0</v>
      </c>
      <c r="AH333" s="14" t="n">
        <f aca="false">IF(W333=0,0,MAX(0,MIN(AE333,AF333)-MIN(AE333-W333,AF333)))</f>
        <v>0</v>
      </c>
      <c r="AI333" s="14" t="n">
        <f aca="false">IF(W333=0,0,MAX(0,MIN(AE333,AF333+AG333)-MAX(AE333-W333,AF333)))</f>
        <v>0</v>
      </c>
      <c r="AJ333" s="14" t="n">
        <f aca="false">W333-AH333-AI333</f>
        <v>0</v>
      </c>
      <c r="AK333" s="9" t="n">
        <f aca="false">IF(W333=0,0,X333*AH333/W333)</f>
        <v>0</v>
      </c>
      <c r="AL333" s="9" t="n">
        <f aca="false">IF(W333=0,0,X333*AI333/W333)</f>
        <v>0</v>
      </c>
      <c r="AM333" s="9" t="n">
        <f aca="false">X333-AK333-AL333</f>
        <v>0</v>
      </c>
    </row>
    <row r="334" customFormat="false" ht="15" hidden="false" customHeight="false" outlineLevel="0" collapsed="false">
      <c r="A334" s="6" t="n">
        <v>329</v>
      </c>
      <c r="B334" s="74" t="s">
        <v>979</v>
      </c>
      <c r="C334" s="53" t="str">
        <f aca="false">INDEX(I_Items!$C$5:$C$133,MATCH($B334,I_Items!$A$5:$A$133,0))</f>
        <v>RPA</v>
      </c>
      <c r="D334" s="53" t="str">
        <f aca="false">INDEX(I_Items!$D$5:$D$133,MATCH($B334,I_Items!$A$5:$A$133,0))</f>
        <v>Karkas</v>
      </c>
      <c r="E334" s="53" t="str">
        <f aca="false">INDEX(I_Items!$F$5:$F$133,MATCH($B334,I_Items!$A$5:$A$133,0))</f>
        <v>Frozen</v>
      </c>
      <c r="F334" s="53" t="str">
        <f aca="false">IF(INDEX(I_Items!$E$5:$E$133,MATCH($B334,I_Items!$A$5:$A$133,0))="","",INDEX(I_Items!$E$5:$E$133,MATCH($B334,I_Items!$A$5:$A$133,0)))</f>
        <v>Uk 1.0</v>
      </c>
      <c r="G334" s="76" t="n">
        <v>46204</v>
      </c>
      <c r="H334" s="23" t="n">
        <f aca="false">MONTH(G334)</f>
        <v>7</v>
      </c>
      <c r="I334" s="74" t="s">
        <v>2072</v>
      </c>
      <c r="J334" s="74" t="s">
        <v>2073</v>
      </c>
      <c r="K334" s="10" t="n">
        <v>1787.3</v>
      </c>
      <c r="L334" s="8" t="n">
        <v>44065980.43</v>
      </c>
      <c r="M334" s="10" t="n">
        <v>0</v>
      </c>
      <c r="N334" s="8" t="n">
        <v>0</v>
      </c>
      <c r="O334" s="74"/>
      <c r="P334" s="74"/>
      <c r="Q334" s="74"/>
      <c r="R334" s="14" t="n">
        <f aca="false">IF(I334="Unbilled",0,M334)</f>
        <v>0</v>
      </c>
      <c r="S334" s="9" t="n">
        <f aca="false">IF(R334=0,0,IF(O334="Booked",N334,R334*V333))</f>
        <v>0</v>
      </c>
      <c r="T334" s="14" t="n">
        <f aca="false">IF(I334="Opening",K334,T333+K334-R334)</f>
        <v>1787.3</v>
      </c>
      <c r="U334" s="9" t="n">
        <f aca="false">IF(I334="Opening",L334,U333+L334-S334)</f>
        <v>44065980.43</v>
      </c>
      <c r="V334" s="9" t="n">
        <f aca="false">IF(T334&gt;0,U334/T334,IF(I334="Opening",0,V333))</f>
        <v>24655.0553516477</v>
      </c>
      <c r="W334" s="14" t="n">
        <f aca="false">M334</f>
        <v>0</v>
      </c>
      <c r="X334" s="9" t="n">
        <f aca="false">IF(W334=0,0,IF(O334="Booked",N334,W334*AA333))</f>
        <v>0</v>
      </c>
      <c r="Y334" s="14" t="n">
        <f aca="false">IF(I334="Opening",K334,Y333+K334-W334)</f>
        <v>1787.3</v>
      </c>
      <c r="Z334" s="9" t="n">
        <f aca="false">IF(I334="Opening",L334,Z333+L334-X334)</f>
        <v>44065980.43</v>
      </c>
      <c r="AA334" s="9" t="n">
        <f aca="false">IF(Y334&gt;0,Z334/Y334,IF(I334="Opening",0,AA333))</f>
        <v>24655.0553516477</v>
      </c>
      <c r="AB334" s="9" t="n">
        <f aca="false">IF(AND(I334="DO",O334="MA"),S334-N334,0)</f>
        <v>0</v>
      </c>
      <c r="AC334" s="9" t="n">
        <f aca="false">IF(I334="DO",X334-S334,0)</f>
        <v>0</v>
      </c>
      <c r="AD334" s="23" t="n">
        <f aca="false">IF(B335&lt;&gt;B334,1,0)</f>
        <v>0</v>
      </c>
      <c r="AE334" s="14" t="n">
        <f aca="false">IF(I334="Opening",0,AE333+W334)</f>
        <v>0</v>
      </c>
      <c r="AF334" s="14" t="n">
        <f aca="false">IF(I334="Opening",K334,AF333)</f>
        <v>1787.3</v>
      </c>
      <c r="AG334" s="14" t="n">
        <f aca="false">SUMIFS($K$6:$K$1110,$B$6:$B$1110,B334,$H$6:$H$1110,7,$I$6:$I$1110,"&lt;&gt;Opening")</f>
        <v>3.3</v>
      </c>
      <c r="AH334" s="14" t="n">
        <f aca="false">IF(W334=0,0,MAX(0,MIN(AE334,AF334)-MIN(AE334-W334,AF334)))</f>
        <v>0</v>
      </c>
      <c r="AI334" s="14" t="n">
        <f aca="false">IF(W334=0,0,MAX(0,MIN(AE334,AF334+AG334)-MAX(AE334-W334,AF334)))</f>
        <v>0</v>
      </c>
      <c r="AJ334" s="14" t="n">
        <f aca="false">W334-AH334-AI334</f>
        <v>0</v>
      </c>
      <c r="AK334" s="9" t="n">
        <f aca="false">IF(W334=0,0,X334*AH334/W334)</f>
        <v>0</v>
      </c>
      <c r="AL334" s="9" t="n">
        <f aca="false">IF(W334=0,0,X334*AI334/W334)</f>
        <v>0</v>
      </c>
      <c r="AM334" s="9" t="n">
        <f aca="false">X334-AK334-AL334</f>
        <v>0</v>
      </c>
    </row>
    <row r="335" customFormat="false" ht="15" hidden="false" customHeight="false" outlineLevel="0" collapsed="false">
      <c r="A335" s="6" t="n">
        <v>330</v>
      </c>
      <c r="B335" s="74" t="s">
        <v>979</v>
      </c>
      <c r="C335" s="53" t="str">
        <f aca="false">INDEX(I_Items!$C$5:$C$133,MATCH($B335,I_Items!$A$5:$A$133,0))</f>
        <v>RPA</v>
      </c>
      <c r="D335" s="53" t="str">
        <f aca="false">INDEX(I_Items!$D$5:$D$133,MATCH($B335,I_Items!$A$5:$A$133,0))</f>
        <v>Karkas</v>
      </c>
      <c r="E335" s="53" t="str">
        <f aca="false">INDEX(I_Items!$F$5:$F$133,MATCH($B335,I_Items!$A$5:$A$133,0))</f>
        <v>Frozen</v>
      </c>
      <c r="F335" s="53" t="str">
        <f aca="false">IF(INDEX(I_Items!$E$5:$E$133,MATCH($B335,I_Items!$A$5:$A$133,0))="","",INDEX(I_Items!$E$5:$E$133,MATCH($B335,I_Items!$A$5:$A$133,0)))</f>
        <v>Uk 1.0</v>
      </c>
      <c r="G335" s="76" t="n">
        <v>46204</v>
      </c>
      <c r="H335" s="23" t="n">
        <f aca="false">MONTH(G335)</f>
        <v>7</v>
      </c>
      <c r="I335" s="74" t="s">
        <v>2117</v>
      </c>
      <c r="J335" s="74" t="s">
        <v>2141</v>
      </c>
      <c r="K335" s="10" t="n">
        <v>3.3</v>
      </c>
      <c r="L335" s="8" t="n">
        <v>85456.24</v>
      </c>
      <c r="M335" s="10" t="n">
        <v>0</v>
      </c>
      <c r="N335" s="8" t="n">
        <v>0</v>
      </c>
      <c r="O335" s="74" t="s">
        <v>2119</v>
      </c>
      <c r="P335" s="74"/>
      <c r="Q335" s="74"/>
      <c r="R335" s="14" t="n">
        <f aca="false">IF(I335="Unbilled",0,M335)</f>
        <v>0</v>
      </c>
      <c r="S335" s="9" t="n">
        <f aca="false">IF(R335=0,0,IF(O335="Booked",N335,R335*V334))</f>
        <v>0</v>
      </c>
      <c r="T335" s="14" t="n">
        <f aca="false">IF(I335="Opening",K335,T334+K335-R335)</f>
        <v>1790.6</v>
      </c>
      <c r="U335" s="9" t="n">
        <f aca="false">IF(I335="Opening",L335,U334+L335-S335)</f>
        <v>44151436.67</v>
      </c>
      <c r="V335" s="9" t="n">
        <f aca="false">IF(T335&gt;0,U335/T335,IF(I335="Opening",0,V334))</f>
        <v>24657.3420473584</v>
      </c>
      <c r="W335" s="14" t="n">
        <f aca="false">M335</f>
        <v>0</v>
      </c>
      <c r="X335" s="9" t="n">
        <f aca="false">IF(W335=0,0,IF(O335="Booked",N335,W335*AA334))</f>
        <v>0</v>
      </c>
      <c r="Y335" s="14" t="n">
        <f aca="false">IF(I335="Opening",K335,Y334+K335-W335)</f>
        <v>1790.6</v>
      </c>
      <c r="Z335" s="9" t="n">
        <f aca="false">IF(I335="Opening",L335,Z334+L335-X335)</f>
        <v>44151436.67</v>
      </c>
      <c r="AA335" s="9" t="n">
        <f aca="false">IF(Y335&gt;0,Z335/Y335,IF(I335="Opening",0,AA334))</f>
        <v>24657.3420473584</v>
      </c>
      <c r="AB335" s="9" t="n">
        <f aca="false">IF(AND(I335="DO",O335="MA"),S335-N335,0)</f>
        <v>0</v>
      </c>
      <c r="AC335" s="9" t="n">
        <f aca="false">IF(I335="DO",X335-S335,0)</f>
        <v>0</v>
      </c>
      <c r="AD335" s="23" t="n">
        <f aca="false">IF(B336&lt;&gt;B335,1,0)</f>
        <v>0</v>
      </c>
      <c r="AE335" s="14" t="n">
        <f aca="false">IF(I335="Opening",0,AE334+W335)</f>
        <v>0</v>
      </c>
      <c r="AF335" s="14" t="n">
        <f aca="false">IF(I335="Opening",K335,AF334)</f>
        <v>1787.3</v>
      </c>
      <c r="AG335" s="14" t="n">
        <f aca="false">AG334</f>
        <v>3.3</v>
      </c>
      <c r="AH335" s="14" t="n">
        <f aca="false">IF(W335=0,0,MAX(0,MIN(AE335,AF335)-MIN(AE335-W335,AF335)))</f>
        <v>0</v>
      </c>
      <c r="AI335" s="14" t="n">
        <f aca="false">IF(W335=0,0,MAX(0,MIN(AE335,AF335+AG335)-MAX(AE335-W335,AF335)))</f>
        <v>0</v>
      </c>
      <c r="AJ335" s="14" t="n">
        <f aca="false">W335-AH335-AI335</f>
        <v>0</v>
      </c>
      <c r="AK335" s="9" t="n">
        <f aca="false">IF(W335=0,0,X335*AH335/W335)</f>
        <v>0</v>
      </c>
      <c r="AL335" s="9" t="n">
        <f aca="false">IF(W335=0,0,X335*AI335/W335)</f>
        <v>0</v>
      </c>
      <c r="AM335" s="9" t="n">
        <f aca="false">X335-AK335-AL335</f>
        <v>0</v>
      </c>
    </row>
    <row r="336" customFormat="false" ht="15" hidden="false" customHeight="false" outlineLevel="0" collapsed="false">
      <c r="A336" s="6" t="n">
        <v>331</v>
      </c>
      <c r="B336" s="74" t="s">
        <v>979</v>
      </c>
      <c r="C336" s="53" t="str">
        <f aca="false">INDEX(I_Items!$C$5:$C$133,MATCH($B336,I_Items!$A$5:$A$133,0))</f>
        <v>RPA</v>
      </c>
      <c r="D336" s="53" t="str">
        <f aca="false">INDEX(I_Items!$D$5:$D$133,MATCH($B336,I_Items!$A$5:$A$133,0))</f>
        <v>Karkas</v>
      </c>
      <c r="E336" s="53" t="str">
        <f aca="false">INDEX(I_Items!$F$5:$F$133,MATCH($B336,I_Items!$A$5:$A$133,0))</f>
        <v>Frozen</v>
      </c>
      <c r="F336" s="53" t="str">
        <f aca="false">IF(INDEX(I_Items!$E$5:$E$133,MATCH($B336,I_Items!$A$5:$A$133,0))="","",INDEX(I_Items!$E$5:$E$133,MATCH($B336,I_Items!$A$5:$A$133,0)))</f>
        <v>Uk 1.0</v>
      </c>
      <c r="G336" s="76" t="n">
        <v>46212</v>
      </c>
      <c r="H336" s="23" t="n">
        <f aca="false">MONTH(G336)</f>
        <v>7</v>
      </c>
      <c r="I336" s="74" t="s">
        <v>2075</v>
      </c>
      <c r="J336" s="74" t="s">
        <v>2124</v>
      </c>
      <c r="K336" s="10" t="n">
        <v>0</v>
      </c>
      <c r="L336" s="8" t="n">
        <v>0</v>
      </c>
      <c r="M336" s="10" t="n">
        <v>11.4</v>
      </c>
      <c r="N336" s="8" t="n">
        <v>281093.7</v>
      </c>
      <c r="O336" s="74" t="s">
        <v>2077</v>
      </c>
      <c r="P336" s="74"/>
      <c r="Q336" s="74"/>
      <c r="R336" s="14" t="n">
        <f aca="false">IF(I336="Unbilled",0,M336)</f>
        <v>11.4</v>
      </c>
      <c r="S336" s="9" t="n">
        <f aca="false">IF(R336=0,0,IF(O336="Booked",N336,R336*V335))</f>
        <v>281093.699339886</v>
      </c>
      <c r="T336" s="14" t="n">
        <f aca="false">IF(I336="Opening",K336,T335+K336-R336)</f>
        <v>1779.2</v>
      </c>
      <c r="U336" s="9" t="n">
        <f aca="false">IF(I336="Opening",L336,U335+L336-S336)</f>
        <v>43870342.9706601</v>
      </c>
      <c r="V336" s="9" t="n">
        <f aca="false">IF(T336&gt;0,U336/T336,IF(I336="Opening",0,V335))</f>
        <v>24657.3420473584</v>
      </c>
      <c r="W336" s="14" t="n">
        <f aca="false">M336</f>
        <v>11.4</v>
      </c>
      <c r="X336" s="9" t="n">
        <f aca="false">IF(W336=0,0,IF(O336="Booked",N336,W336*AA335))</f>
        <v>281093.699339886</v>
      </c>
      <c r="Y336" s="14" t="n">
        <f aca="false">IF(I336="Opening",K336,Y335+K336-W336)</f>
        <v>1779.2</v>
      </c>
      <c r="Z336" s="9" t="n">
        <f aca="false">IF(I336="Opening",L336,Z335+L336-X336)</f>
        <v>43870342.9706601</v>
      </c>
      <c r="AA336" s="9" t="n">
        <f aca="false">IF(Y336&gt;0,Z336/Y336,IF(I336="Opening",0,AA335))</f>
        <v>24657.3420473584</v>
      </c>
      <c r="AB336" s="9" t="n">
        <f aca="false">IF(AND(I336="DO",O336="MA"),S336-N336,0)</f>
        <v>-0.000660113873891532</v>
      </c>
      <c r="AC336" s="9" t="n">
        <f aca="false">IF(I336="DO",X336-S336,0)</f>
        <v>0</v>
      </c>
      <c r="AD336" s="23" t="n">
        <f aca="false">IF(B337&lt;&gt;B336,1,0)</f>
        <v>0</v>
      </c>
      <c r="AE336" s="14" t="n">
        <f aca="false">IF(I336="Opening",0,AE335+W336)</f>
        <v>11.4</v>
      </c>
      <c r="AF336" s="14" t="n">
        <f aca="false">IF(I336="Opening",K336,AF335)</f>
        <v>1787.3</v>
      </c>
      <c r="AG336" s="14" t="n">
        <f aca="false">AG335</f>
        <v>3.3</v>
      </c>
      <c r="AH336" s="14" t="n">
        <f aca="false">IF(W336=0,0,MAX(0,MIN(AE336,AF336)-MIN(AE336-W336,AF336)))</f>
        <v>11.4</v>
      </c>
      <c r="AI336" s="14" t="n">
        <f aca="false">IF(W336=0,0,MAX(0,MIN(AE336,AF336+AG336)-MAX(AE336-W336,AF336)))</f>
        <v>0</v>
      </c>
      <c r="AJ336" s="14" t="n">
        <f aca="false">W336-AH336-AI336</f>
        <v>0</v>
      </c>
      <c r="AK336" s="9" t="n">
        <f aca="false">IF(W336=0,0,X336*AH336/W336)</f>
        <v>281093.699339886</v>
      </c>
      <c r="AL336" s="9" t="n">
        <f aca="false">IF(W336=0,0,X336*AI336/W336)</f>
        <v>0</v>
      </c>
      <c r="AM336" s="9" t="n">
        <f aca="false">X336-AK336-AL336</f>
        <v>0</v>
      </c>
    </row>
    <row r="337" customFormat="false" ht="15" hidden="false" customHeight="false" outlineLevel="0" collapsed="false">
      <c r="A337" s="6" t="n">
        <v>332</v>
      </c>
      <c r="B337" s="74" t="s">
        <v>979</v>
      </c>
      <c r="C337" s="53" t="str">
        <f aca="false">INDEX(I_Items!$C$5:$C$133,MATCH($B337,I_Items!$A$5:$A$133,0))</f>
        <v>RPA</v>
      </c>
      <c r="D337" s="53" t="str">
        <f aca="false">INDEX(I_Items!$D$5:$D$133,MATCH($B337,I_Items!$A$5:$A$133,0))</f>
        <v>Karkas</v>
      </c>
      <c r="E337" s="53" t="str">
        <f aca="false">INDEX(I_Items!$F$5:$F$133,MATCH($B337,I_Items!$A$5:$A$133,0))</f>
        <v>Frozen</v>
      </c>
      <c r="F337" s="53" t="str">
        <f aca="false">IF(INDEX(I_Items!$E$5:$E$133,MATCH($B337,I_Items!$A$5:$A$133,0))="","",INDEX(I_Items!$E$5:$E$133,MATCH($B337,I_Items!$A$5:$A$133,0)))</f>
        <v>Uk 1.0</v>
      </c>
      <c r="G337" s="76" t="n">
        <v>46231</v>
      </c>
      <c r="H337" s="23" t="n">
        <f aca="false">MONTH(G337)</f>
        <v>7</v>
      </c>
      <c r="I337" s="74" t="s">
        <v>2075</v>
      </c>
      <c r="J337" s="74" t="s">
        <v>2142</v>
      </c>
      <c r="K337" s="10" t="n">
        <v>0</v>
      </c>
      <c r="L337" s="8" t="n">
        <v>0</v>
      </c>
      <c r="M337" s="10" t="n">
        <v>1693.7</v>
      </c>
      <c r="N337" s="8" t="n">
        <v>41762140.15</v>
      </c>
      <c r="O337" s="74" t="s">
        <v>2077</v>
      </c>
      <c r="P337" s="74"/>
      <c r="Q337" s="74"/>
      <c r="R337" s="14" t="n">
        <f aca="false">IF(I337="Unbilled",0,M337)</f>
        <v>1693.7</v>
      </c>
      <c r="S337" s="9" t="n">
        <f aca="false">IF(R337=0,0,IF(O337="Booked",N337,R337*V336))</f>
        <v>41762140.225611</v>
      </c>
      <c r="T337" s="14" t="n">
        <f aca="false">IF(I337="Opening",K337,T336+K337-R337)</f>
        <v>85.4999999999998</v>
      </c>
      <c r="U337" s="9" t="n">
        <f aca="false">IF(I337="Opening",L337,U336+L337-S337)</f>
        <v>2108202.74504914</v>
      </c>
      <c r="V337" s="9" t="n">
        <f aca="false">IF(T337&gt;0,U337/T337,IF(I337="Opening",0,V336))</f>
        <v>24657.3420473584</v>
      </c>
      <c r="W337" s="14" t="n">
        <f aca="false">M337</f>
        <v>1693.7</v>
      </c>
      <c r="X337" s="9" t="n">
        <f aca="false">IF(W337=0,0,IF(O337="Booked",N337,W337*AA336))</f>
        <v>41762140.225611</v>
      </c>
      <c r="Y337" s="14" t="n">
        <f aca="false">IF(I337="Opening",K337,Y336+K337-W337)</f>
        <v>85.4999999999998</v>
      </c>
      <c r="Z337" s="9" t="n">
        <f aca="false">IF(I337="Opening",L337,Z336+L337-X337)</f>
        <v>2108202.74504914</v>
      </c>
      <c r="AA337" s="9" t="n">
        <f aca="false">IF(Y337&gt;0,Z337/Y337,IF(I337="Opening",0,AA336))</f>
        <v>24657.3420473584</v>
      </c>
      <c r="AB337" s="9" t="n">
        <f aca="false">IF(AND(I337="DO",O337="MA"),S337-N337,0)</f>
        <v>0.0756109729409218</v>
      </c>
      <c r="AC337" s="9" t="n">
        <f aca="false">IF(I337="DO",X337-S337,0)</f>
        <v>0</v>
      </c>
      <c r="AD337" s="23" t="n">
        <f aca="false">IF(B338&lt;&gt;B337,1,0)</f>
        <v>0</v>
      </c>
      <c r="AE337" s="14" t="n">
        <f aca="false">IF(I337="Opening",0,AE336+W337)</f>
        <v>1705.1</v>
      </c>
      <c r="AF337" s="14" t="n">
        <f aca="false">IF(I337="Opening",K337,AF336)</f>
        <v>1787.3</v>
      </c>
      <c r="AG337" s="14" t="n">
        <f aca="false">AG336</f>
        <v>3.3</v>
      </c>
      <c r="AH337" s="14" t="n">
        <f aca="false">IF(W337=0,0,MAX(0,MIN(AE337,AF337)-MIN(AE337-W337,AF337)))</f>
        <v>1693.7</v>
      </c>
      <c r="AI337" s="14" t="n">
        <f aca="false">IF(W337=0,0,MAX(0,MIN(AE337,AF337+AG337)-MAX(AE337-W337,AF337)))</f>
        <v>0</v>
      </c>
      <c r="AJ337" s="14" t="n">
        <f aca="false">W337-AH337-AI337</f>
        <v>0</v>
      </c>
      <c r="AK337" s="9" t="n">
        <f aca="false">IF(W337=0,0,X337*AH337/W337)</f>
        <v>41762140.225611</v>
      </c>
      <c r="AL337" s="9" t="n">
        <f aca="false">IF(W337=0,0,X337*AI337/W337)</f>
        <v>0</v>
      </c>
      <c r="AM337" s="9" t="n">
        <f aca="false">X337-AK337-AL337</f>
        <v>0</v>
      </c>
    </row>
    <row r="338" customFormat="false" ht="15" hidden="false" customHeight="false" outlineLevel="0" collapsed="false">
      <c r="A338" s="6" t="n">
        <v>333</v>
      </c>
      <c r="B338" s="74" t="s">
        <v>979</v>
      </c>
      <c r="C338" s="53" t="str">
        <f aca="false">INDEX(I_Items!$C$5:$C$133,MATCH($B338,I_Items!$A$5:$A$133,0))</f>
        <v>RPA</v>
      </c>
      <c r="D338" s="53" t="str">
        <f aca="false">INDEX(I_Items!$D$5:$D$133,MATCH($B338,I_Items!$A$5:$A$133,0))</f>
        <v>Karkas</v>
      </c>
      <c r="E338" s="53" t="str">
        <f aca="false">INDEX(I_Items!$F$5:$F$133,MATCH($B338,I_Items!$A$5:$A$133,0))</f>
        <v>Frozen</v>
      </c>
      <c r="F338" s="53" t="str">
        <f aca="false">IF(INDEX(I_Items!$E$5:$E$133,MATCH($B338,I_Items!$A$5:$A$133,0))="","",INDEX(I_Items!$E$5:$E$133,MATCH($B338,I_Items!$A$5:$A$133,0)))</f>
        <v>Uk 1.0</v>
      </c>
      <c r="G338" s="76" t="n">
        <v>46233</v>
      </c>
      <c r="H338" s="23" t="n">
        <f aca="false">MONTH(G338)</f>
        <v>7</v>
      </c>
      <c r="I338" s="74" t="s">
        <v>2075</v>
      </c>
      <c r="J338" s="74" t="s">
        <v>2143</v>
      </c>
      <c r="K338" s="10" t="n">
        <v>0</v>
      </c>
      <c r="L338" s="8" t="n">
        <v>0</v>
      </c>
      <c r="M338" s="10" t="n">
        <v>85.5</v>
      </c>
      <c r="N338" s="8" t="n">
        <v>2108202.74</v>
      </c>
      <c r="O338" s="74" t="s">
        <v>2077</v>
      </c>
      <c r="P338" s="74"/>
      <c r="Q338" s="74"/>
      <c r="R338" s="14" t="n">
        <f aca="false">IF(I338="Unbilled",0,M338)</f>
        <v>85.5</v>
      </c>
      <c r="S338" s="9" t="n">
        <f aca="false">IF(R338=0,0,IF(O338="Booked",N338,R338*V337))</f>
        <v>2108202.74504915</v>
      </c>
      <c r="T338" s="14" t="n">
        <f aca="false">IF(I338="Opening",K338,T337+K338-R338)</f>
        <v>0</v>
      </c>
      <c r="U338" s="9" t="n">
        <f aca="false">IF(I338="Opening",L338,U337+L338-S338)</f>
        <v>0</v>
      </c>
      <c r="V338" s="9" t="n">
        <f aca="false">IF(T338&gt;0,U338/T338,IF(I338="Opening",0,V337))</f>
        <v>24657.3420473584</v>
      </c>
      <c r="W338" s="14" t="n">
        <f aca="false">M338</f>
        <v>85.5</v>
      </c>
      <c r="X338" s="9" t="n">
        <f aca="false">IF(W338=0,0,IF(O338="Booked",N338,W338*AA337))</f>
        <v>2108202.74504915</v>
      </c>
      <c r="Y338" s="14" t="n">
        <f aca="false">IF(I338="Opening",K338,Y337+K338-W338)</f>
        <v>0</v>
      </c>
      <c r="Z338" s="9" t="n">
        <f aca="false">IF(I338="Opening",L338,Z337+L338-X338)</f>
        <v>0</v>
      </c>
      <c r="AA338" s="9" t="n">
        <f aca="false">IF(Y338&gt;0,Z338/Y338,IF(I338="Opening",0,AA337))</f>
        <v>24657.3420473584</v>
      </c>
      <c r="AB338" s="9" t="n">
        <f aca="false">IF(AND(I338="DO",O338="MA"),S338-N338,0)</f>
        <v>0.00504914671182632</v>
      </c>
      <c r="AC338" s="9" t="n">
        <f aca="false">IF(I338="DO",X338-S338,0)</f>
        <v>0</v>
      </c>
      <c r="AD338" s="23" t="n">
        <f aca="false">IF(B339&lt;&gt;B338,1,0)</f>
        <v>0</v>
      </c>
      <c r="AE338" s="14" t="n">
        <f aca="false">IF(I338="Opening",0,AE337+W338)</f>
        <v>1790.6</v>
      </c>
      <c r="AF338" s="14" t="n">
        <f aca="false">IF(I338="Opening",K338,AF337)</f>
        <v>1787.3</v>
      </c>
      <c r="AG338" s="14" t="n">
        <f aca="false">AG337</f>
        <v>3.3</v>
      </c>
      <c r="AH338" s="14" t="n">
        <f aca="false">IF(W338=0,0,MAX(0,MIN(AE338,AF338)-MIN(AE338-W338,AF338)))</f>
        <v>82.1999999999998</v>
      </c>
      <c r="AI338" s="14" t="n">
        <f aca="false">IF(W338=0,0,MAX(0,MIN(AE338,AF338+AG338)-MAX(AE338-W338,AF338)))</f>
        <v>3.29999999999995</v>
      </c>
      <c r="AJ338" s="14" t="n">
        <f aca="false">W338-AH338-AI338</f>
        <v>2.27373675443232E-013</v>
      </c>
      <c r="AK338" s="9" t="n">
        <f aca="false">IF(W338=0,0,X338*AH338/W338)</f>
        <v>2026833.51629286</v>
      </c>
      <c r="AL338" s="9" t="n">
        <f aca="false">IF(W338=0,0,X338*AI338/W338)</f>
        <v>81369.2287562817</v>
      </c>
      <c r="AM338" s="9" t="n">
        <f aca="false">X338-AK338-AL338</f>
        <v>5.63159119337797E-009</v>
      </c>
    </row>
    <row r="339" customFormat="false" ht="15" hidden="false" customHeight="false" outlineLevel="0" collapsed="false">
      <c r="A339" s="6" t="n">
        <v>334</v>
      </c>
      <c r="B339" s="74" t="s">
        <v>979</v>
      </c>
      <c r="C339" s="53" t="str">
        <f aca="false">INDEX(I_Items!$C$5:$C$133,MATCH($B339,I_Items!$A$5:$A$133,0))</f>
        <v>RPA</v>
      </c>
      <c r="D339" s="53" t="str">
        <f aca="false">INDEX(I_Items!$D$5:$D$133,MATCH($B339,I_Items!$A$5:$A$133,0))</f>
        <v>Karkas</v>
      </c>
      <c r="E339" s="53" t="str">
        <f aca="false">INDEX(I_Items!$F$5:$F$133,MATCH($B339,I_Items!$A$5:$A$133,0))</f>
        <v>Frozen</v>
      </c>
      <c r="F339" s="53" t="str">
        <f aca="false">IF(INDEX(I_Items!$E$5:$E$133,MATCH($B339,I_Items!$A$5:$A$133,0))="","",INDEX(I_Items!$E$5:$E$133,MATCH($B339,I_Items!$A$5:$A$133,0)))</f>
        <v>Uk 1.0</v>
      </c>
      <c r="G339" s="76" t="n">
        <v>46244</v>
      </c>
      <c r="H339" s="23" t="n">
        <f aca="false">MONTH(G339)</f>
        <v>8</v>
      </c>
      <c r="I339" s="74" t="s">
        <v>2074</v>
      </c>
      <c r="J339" s="74" t="s">
        <v>1294</v>
      </c>
      <c r="K339" s="10" t="n">
        <v>207.3</v>
      </c>
      <c r="L339" s="8" t="n">
        <v>6761414.71</v>
      </c>
      <c r="M339" s="10" t="n">
        <v>0</v>
      </c>
      <c r="N339" s="8" t="n">
        <v>0</v>
      </c>
      <c r="O339" s="74"/>
      <c r="P339" s="74"/>
      <c r="Q339" s="74"/>
      <c r="R339" s="14" t="n">
        <f aca="false">IF(I339="Unbilled",0,M339)</f>
        <v>0</v>
      </c>
      <c r="S339" s="9" t="n">
        <f aca="false">IF(R339=0,0,IF(O339="Booked",N339,R339*V338))</f>
        <v>0</v>
      </c>
      <c r="T339" s="14" t="n">
        <f aca="false">IF(I339="Opening",K339,T338+K339-R339)</f>
        <v>207.3</v>
      </c>
      <c r="U339" s="9" t="n">
        <f aca="false">IF(I339="Opening",L339,U338+L339-S339)</f>
        <v>6761414.71</v>
      </c>
      <c r="V339" s="9" t="n">
        <f aca="false">IF(T339&gt;0,U339/T339,IF(I339="Opening",0,V338))</f>
        <v>32616.5687891944</v>
      </c>
      <c r="W339" s="14" t="n">
        <f aca="false">M339</f>
        <v>0</v>
      </c>
      <c r="X339" s="9" t="n">
        <f aca="false">IF(W339=0,0,IF(O339="Booked",N339,W339*AA338))</f>
        <v>0</v>
      </c>
      <c r="Y339" s="14" t="n">
        <f aca="false">IF(I339="Opening",K339,Y338+K339-W339)</f>
        <v>207.3</v>
      </c>
      <c r="Z339" s="9" t="n">
        <f aca="false">IF(I339="Opening",L339,Z338+L339-X339)</f>
        <v>6761414.71</v>
      </c>
      <c r="AA339" s="9" t="n">
        <f aca="false">IF(Y339&gt;0,Z339/Y339,IF(I339="Opening",0,AA338))</f>
        <v>32616.5687891944</v>
      </c>
      <c r="AB339" s="9" t="n">
        <f aca="false">IF(AND(I339="DO",O339="MA"),S339-N339,0)</f>
        <v>0</v>
      </c>
      <c r="AC339" s="9" t="n">
        <f aca="false">IF(I339="DO",X339-S339,0)</f>
        <v>0</v>
      </c>
      <c r="AD339" s="23" t="n">
        <f aca="false">IF(B340&lt;&gt;B339,1,0)</f>
        <v>0</v>
      </c>
      <c r="AE339" s="14" t="n">
        <f aca="false">IF(I339="Opening",0,AE338+W339)</f>
        <v>1790.6</v>
      </c>
      <c r="AF339" s="14" t="n">
        <f aca="false">IF(I339="Opening",K339,AF338)</f>
        <v>1787.3</v>
      </c>
      <c r="AG339" s="14" t="n">
        <f aca="false">AG338</f>
        <v>3.3</v>
      </c>
      <c r="AH339" s="14" t="n">
        <f aca="false">IF(W339=0,0,MAX(0,MIN(AE339,AF339)-MIN(AE339-W339,AF339)))</f>
        <v>0</v>
      </c>
      <c r="AI339" s="14" t="n">
        <f aca="false">IF(W339=0,0,MAX(0,MIN(AE339,AF339+AG339)-MAX(AE339-W339,AF339)))</f>
        <v>0</v>
      </c>
      <c r="AJ339" s="14" t="n">
        <f aca="false">W339-AH339-AI339</f>
        <v>0</v>
      </c>
      <c r="AK339" s="9" t="n">
        <f aca="false">IF(W339=0,0,X339*AH339/W339)</f>
        <v>0</v>
      </c>
      <c r="AL339" s="9" t="n">
        <f aca="false">IF(W339=0,0,X339*AI339/W339)</f>
        <v>0</v>
      </c>
      <c r="AM339" s="9" t="n">
        <f aca="false">X339-AK339-AL339</f>
        <v>0</v>
      </c>
    </row>
    <row r="340" customFormat="false" ht="15" hidden="false" customHeight="false" outlineLevel="0" collapsed="false">
      <c r="A340" s="6" t="n">
        <v>335</v>
      </c>
      <c r="B340" s="74" t="s">
        <v>979</v>
      </c>
      <c r="C340" s="53" t="str">
        <f aca="false">INDEX(I_Items!$C$5:$C$133,MATCH($B340,I_Items!$A$5:$A$133,0))</f>
        <v>RPA</v>
      </c>
      <c r="D340" s="53" t="str">
        <f aca="false">INDEX(I_Items!$D$5:$D$133,MATCH($B340,I_Items!$A$5:$A$133,0))</f>
        <v>Karkas</v>
      </c>
      <c r="E340" s="53" t="str">
        <f aca="false">INDEX(I_Items!$F$5:$F$133,MATCH($B340,I_Items!$A$5:$A$133,0))</f>
        <v>Frozen</v>
      </c>
      <c r="F340" s="53" t="str">
        <f aca="false">IF(INDEX(I_Items!$E$5:$E$133,MATCH($B340,I_Items!$A$5:$A$133,0))="","",INDEX(I_Items!$E$5:$E$133,MATCH($B340,I_Items!$A$5:$A$133,0)))</f>
        <v>Uk 1.0</v>
      </c>
      <c r="G340" s="76" t="n">
        <v>46246</v>
      </c>
      <c r="H340" s="23" t="n">
        <f aca="false">MONTH(G340)</f>
        <v>8</v>
      </c>
      <c r="I340" s="74" t="s">
        <v>2075</v>
      </c>
      <c r="J340" s="74" t="s">
        <v>2125</v>
      </c>
      <c r="K340" s="10" t="n">
        <v>0</v>
      </c>
      <c r="L340" s="8" t="n">
        <v>0</v>
      </c>
      <c r="M340" s="10" t="n">
        <v>30</v>
      </c>
      <c r="N340" s="8" t="n">
        <v>978497.06</v>
      </c>
      <c r="O340" s="74" t="s">
        <v>2077</v>
      </c>
      <c r="P340" s="74"/>
      <c r="Q340" s="74"/>
      <c r="R340" s="14" t="n">
        <f aca="false">IF(I340="Unbilled",0,M340)</f>
        <v>30</v>
      </c>
      <c r="S340" s="9" t="n">
        <f aca="false">IF(R340=0,0,IF(O340="Booked",N340,R340*V339))</f>
        <v>978497.063675832</v>
      </c>
      <c r="T340" s="14" t="n">
        <f aca="false">IF(I340="Opening",K340,T339+K340-R340)</f>
        <v>177.3</v>
      </c>
      <c r="U340" s="9" t="n">
        <f aca="false">IF(I340="Opening",L340,U339+L340-S340)</f>
        <v>5782917.64632417</v>
      </c>
      <c r="V340" s="9" t="n">
        <f aca="false">IF(T340&gt;0,U340/T340,IF(I340="Opening",0,V339))</f>
        <v>32616.5687891944</v>
      </c>
      <c r="W340" s="14" t="n">
        <f aca="false">M340</f>
        <v>30</v>
      </c>
      <c r="X340" s="9" t="n">
        <f aca="false">IF(W340=0,0,IF(O340="Booked",N340,W340*AA339))</f>
        <v>978497.063675832</v>
      </c>
      <c r="Y340" s="14" t="n">
        <f aca="false">IF(I340="Opening",K340,Y339+K340-W340)</f>
        <v>177.3</v>
      </c>
      <c r="Z340" s="9" t="n">
        <f aca="false">IF(I340="Opening",L340,Z339+L340-X340)</f>
        <v>5782917.64632417</v>
      </c>
      <c r="AA340" s="9" t="n">
        <f aca="false">IF(Y340&gt;0,Z340/Y340,IF(I340="Opening",0,AA339))</f>
        <v>32616.5687891944</v>
      </c>
      <c r="AB340" s="9" t="n">
        <f aca="false">IF(AND(I340="DO",O340="MA"),S340-N340,0)</f>
        <v>0.00367583206389099</v>
      </c>
      <c r="AC340" s="9" t="n">
        <f aca="false">IF(I340="DO",X340-S340,0)</f>
        <v>0</v>
      </c>
      <c r="AD340" s="23" t="n">
        <f aca="false">IF(B341&lt;&gt;B340,1,0)</f>
        <v>0</v>
      </c>
      <c r="AE340" s="14" t="n">
        <f aca="false">IF(I340="Opening",0,AE339+W340)</f>
        <v>1820.6</v>
      </c>
      <c r="AF340" s="14" t="n">
        <f aca="false">IF(I340="Opening",K340,AF339)</f>
        <v>1787.3</v>
      </c>
      <c r="AG340" s="14" t="n">
        <f aca="false">AG339</f>
        <v>3.3</v>
      </c>
      <c r="AH340" s="14" t="n">
        <f aca="false">IF(W340=0,0,MAX(0,MIN(AE340,AF340)-MIN(AE340-W340,AF340)))</f>
        <v>0</v>
      </c>
      <c r="AI340" s="14" t="n">
        <f aca="false">IF(W340=0,0,MAX(0,MIN(AE340,AF340+AG340)-MAX(AE340-W340,AF340)))</f>
        <v>0</v>
      </c>
      <c r="AJ340" s="14" t="n">
        <f aca="false">W340-AH340-AI340</f>
        <v>30</v>
      </c>
      <c r="AK340" s="9" t="n">
        <f aca="false">IF(W340=0,0,X340*AH340/W340)</f>
        <v>0</v>
      </c>
      <c r="AL340" s="9" t="n">
        <f aca="false">IF(W340=0,0,X340*AI340/W340)</f>
        <v>0</v>
      </c>
      <c r="AM340" s="9" t="n">
        <f aca="false">X340-AK340-AL340</f>
        <v>978497.063675832</v>
      </c>
    </row>
    <row r="341" customFormat="false" ht="15" hidden="false" customHeight="false" outlineLevel="0" collapsed="false">
      <c r="A341" s="6" t="n">
        <v>336</v>
      </c>
      <c r="B341" s="74" t="s">
        <v>979</v>
      </c>
      <c r="C341" s="53" t="str">
        <f aca="false">INDEX(I_Items!$C$5:$C$133,MATCH($B341,I_Items!$A$5:$A$133,0))</f>
        <v>RPA</v>
      </c>
      <c r="D341" s="53" t="str">
        <f aca="false">INDEX(I_Items!$D$5:$D$133,MATCH($B341,I_Items!$A$5:$A$133,0))</f>
        <v>Karkas</v>
      </c>
      <c r="E341" s="53" t="str">
        <f aca="false">INDEX(I_Items!$F$5:$F$133,MATCH($B341,I_Items!$A$5:$A$133,0))</f>
        <v>Frozen</v>
      </c>
      <c r="F341" s="53" t="str">
        <f aca="false">IF(INDEX(I_Items!$E$5:$E$133,MATCH($B341,I_Items!$A$5:$A$133,0))="","",INDEX(I_Items!$E$5:$E$133,MATCH($B341,I_Items!$A$5:$A$133,0)))</f>
        <v>Uk 1.0</v>
      </c>
      <c r="G341" s="76" t="n">
        <v>46248</v>
      </c>
      <c r="H341" s="23" t="n">
        <f aca="false">MONTH(G341)</f>
        <v>8</v>
      </c>
      <c r="I341" s="74" t="s">
        <v>2074</v>
      </c>
      <c r="J341" s="74" t="s">
        <v>1302</v>
      </c>
      <c r="K341" s="10" t="n">
        <v>29.7</v>
      </c>
      <c r="L341" s="8" t="n">
        <v>1033717.66</v>
      </c>
      <c r="M341" s="10" t="n">
        <v>0</v>
      </c>
      <c r="N341" s="8" t="n">
        <v>0</v>
      </c>
      <c r="O341" s="74"/>
      <c r="P341" s="74"/>
      <c r="Q341" s="74"/>
      <c r="R341" s="14" t="n">
        <f aca="false">IF(I341="Unbilled",0,M341)</f>
        <v>0</v>
      </c>
      <c r="S341" s="9" t="n">
        <f aca="false">IF(R341=0,0,IF(O341="Booked",N341,R341*V340))</f>
        <v>0</v>
      </c>
      <c r="T341" s="14" t="n">
        <f aca="false">IF(I341="Opening",K341,T340+K341-R341)</f>
        <v>207</v>
      </c>
      <c r="U341" s="9" t="n">
        <f aca="false">IF(I341="Opening",L341,U340+L341-S341)</f>
        <v>6816635.30632417</v>
      </c>
      <c r="V341" s="9" t="n">
        <f aca="false">IF(T341&gt;0,U341/T341,IF(I341="Opening",0,V340))</f>
        <v>32930.6053445612</v>
      </c>
      <c r="W341" s="14" t="n">
        <f aca="false">M341</f>
        <v>0</v>
      </c>
      <c r="X341" s="9" t="n">
        <f aca="false">IF(W341=0,0,IF(O341="Booked",N341,W341*AA340))</f>
        <v>0</v>
      </c>
      <c r="Y341" s="14" t="n">
        <f aca="false">IF(I341="Opening",K341,Y340+K341-W341)</f>
        <v>207</v>
      </c>
      <c r="Z341" s="9" t="n">
        <f aca="false">IF(I341="Opening",L341,Z340+L341-X341)</f>
        <v>6816635.30632417</v>
      </c>
      <c r="AA341" s="9" t="n">
        <f aca="false">IF(Y341&gt;0,Z341/Y341,IF(I341="Opening",0,AA340))</f>
        <v>32930.6053445612</v>
      </c>
      <c r="AB341" s="9" t="n">
        <f aca="false">IF(AND(I341="DO",O341="MA"),S341-N341,0)</f>
        <v>0</v>
      </c>
      <c r="AC341" s="9" t="n">
        <f aca="false">IF(I341="DO",X341-S341,0)</f>
        <v>0</v>
      </c>
      <c r="AD341" s="23" t="n">
        <f aca="false">IF(B342&lt;&gt;B341,1,0)</f>
        <v>0</v>
      </c>
      <c r="AE341" s="14" t="n">
        <f aca="false">IF(I341="Opening",0,AE340+W341)</f>
        <v>1820.6</v>
      </c>
      <c r="AF341" s="14" t="n">
        <f aca="false">IF(I341="Opening",K341,AF340)</f>
        <v>1787.3</v>
      </c>
      <c r="AG341" s="14" t="n">
        <f aca="false">AG340</f>
        <v>3.3</v>
      </c>
      <c r="AH341" s="14" t="n">
        <f aca="false">IF(W341=0,0,MAX(0,MIN(AE341,AF341)-MIN(AE341-W341,AF341)))</f>
        <v>0</v>
      </c>
      <c r="AI341" s="14" t="n">
        <f aca="false">IF(W341=0,0,MAX(0,MIN(AE341,AF341+AG341)-MAX(AE341-W341,AF341)))</f>
        <v>0</v>
      </c>
      <c r="AJ341" s="14" t="n">
        <f aca="false">W341-AH341-AI341</f>
        <v>0</v>
      </c>
      <c r="AK341" s="9" t="n">
        <f aca="false">IF(W341=0,0,X341*AH341/W341)</f>
        <v>0</v>
      </c>
      <c r="AL341" s="9" t="n">
        <f aca="false">IF(W341=0,0,X341*AI341/W341)</f>
        <v>0</v>
      </c>
      <c r="AM341" s="9" t="n">
        <f aca="false">X341-AK341-AL341</f>
        <v>0</v>
      </c>
    </row>
    <row r="342" customFormat="false" ht="15" hidden="false" customHeight="false" outlineLevel="0" collapsed="false">
      <c r="A342" s="6" t="n">
        <v>337</v>
      </c>
      <c r="B342" s="74" t="s">
        <v>979</v>
      </c>
      <c r="C342" s="53" t="str">
        <f aca="false">INDEX(I_Items!$C$5:$C$133,MATCH($B342,I_Items!$A$5:$A$133,0))</f>
        <v>RPA</v>
      </c>
      <c r="D342" s="53" t="str">
        <f aca="false">INDEX(I_Items!$D$5:$D$133,MATCH($B342,I_Items!$A$5:$A$133,0))</f>
        <v>Karkas</v>
      </c>
      <c r="E342" s="53" t="str">
        <f aca="false">INDEX(I_Items!$F$5:$F$133,MATCH($B342,I_Items!$A$5:$A$133,0))</f>
        <v>Frozen</v>
      </c>
      <c r="F342" s="53" t="str">
        <f aca="false">IF(INDEX(I_Items!$E$5:$E$133,MATCH($B342,I_Items!$A$5:$A$133,0))="","",INDEX(I_Items!$E$5:$E$133,MATCH($B342,I_Items!$A$5:$A$133,0)))</f>
        <v>Uk 1.0</v>
      </c>
      <c r="G342" s="76" t="n">
        <v>46253</v>
      </c>
      <c r="H342" s="23" t="n">
        <f aca="false">MONTH(G342)</f>
        <v>8</v>
      </c>
      <c r="I342" s="74" t="s">
        <v>2074</v>
      </c>
      <c r="J342" s="74" t="s">
        <v>1305</v>
      </c>
      <c r="K342" s="10" t="n">
        <v>97</v>
      </c>
      <c r="L342" s="8" t="n">
        <v>3332098.97</v>
      </c>
      <c r="M342" s="10" t="n">
        <v>0</v>
      </c>
      <c r="N342" s="8" t="n">
        <v>0</v>
      </c>
      <c r="O342" s="74"/>
      <c r="P342" s="74"/>
      <c r="Q342" s="74"/>
      <c r="R342" s="14" t="n">
        <f aca="false">IF(I342="Unbilled",0,M342)</f>
        <v>0</v>
      </c>
      <c r="S342" s="9" t="n">
        <f aca="false">IF(R342=0,0,IF(O342="Booked",N342,R342*V341))</f>
        <v>0</v>
      </c>
      <c r="T342" s="14" t="n">
        <f aca="false">IF(I342="Opening",K342,T341+K342-R342)</f>
        <v>304</v>
      </c>
      <c r="U342" s="9" t="n">
        <f aca="false">IF(I342="Opening",L342,U341+L342-S342)</f>
        <v>10148734.2763242</v>
      </c>
      <c r="V342" s="9" t="n">
        <f aca="false">IF(T342&gt;0,U342/T342,IF(I342="Opening",0,V341))</f>
        <v>33383.9943300137</v>
      </c>
      <c r="W342" s="14" t="n">
        <f aca="false">M342</f>
        <v>0</v>
      </c>
      <c r="X342" s="9" t="n">
        <f aca="false">IF(W342=0,0,IF(O342="Booked",N342,W342*AA341))</f>
        <v>0</v>
      </c>
      <c r="Y342" s="14" t="n">
        <f aca="false">IF(I342="Opening",K342,Y341+K342-W342)</f>
        <v>304</v>
      </c>
      <c r="Z342" s="9" t="n">
        <f aca="false">IF(I342="Opening",L342,Z341+L342-X342)</f>
        <v>10148734.2763242</v>
      </c>
      <c r="AA342" s="9" t="n">
        <f aca="false">IF(Y342&gt;0,Z342/Y342,IF(I342="Opening",0,AA341))</f>
        <v>33383.9943300137</v>
      </c>
      <c r="AB342" s="9" t="n">
        <f aca="false">IF(AND(I342="DO",O342="MA"),S342-N342,0)</f>
        <v>0</v>
      </c>
      <c r="AC342" s="9" t="n">
        <f aca="false">IF(I342="DO",X342-S342,0)</f>
        <v>0</v>
      </c>
      <c r="AD342" s="23" t="n">
        <f aca="false">IF(B343&lt;&gt;B342,1,0)</f>
        <v>0</v>
      </c>
      <c r="AE342" s="14" t="n">
        <f aca="false">IF(I342="Opening",0,AE341+W342)</f>
        <v>1820.6</v>
      </c>
      <c r="AF342" s="14" t="n">
        <f aca="false">IF(I342="Opening",K342,AF341)</f>
        <v>1787.3</v>
      </c>
      <c r="AG342" s="14" t="n">
        <f aca="false">AG341</f>
        <v>3.3</v>
      </c>
      <c r="AH342" s="14" t="n">
        <f aca="false">IF(W342=0,0,MAX(0,MIN(AE342,AF342)-MIN(AE342-W342,AF342)))</f>
        <v>0</v>
      </c>
      <c r="AI342" s="14" t="n">
        <f aca="false">IF(W342=0,0,MAX(0,MIN(AE342,AF342+AG342)-MAX(AE342-W342,AF342)))</f>
        <v>0</v>
      </c>
      <c r="AJ342" s="14" t="n">
        <f aca="false">W342-AH342-AI342</f>
        <v>0</v>
      </c>
      <c r="AK342" s="9" t="n">
        <f aca="false">IF(W342=0,0,X342*AH342/W342)</f>
        <v>0</v>
      </c>
      <c r="AL342" s="9" t="n">
        <f aca="false">IF(W342=0,0,X342*AI342/W342)</f>
        <v>0</v>
      </c>
      <c r="AM342" s="9" t="n">
        <f aca="false">X342-AK342-AL342</f>
        <v>0</v>
      </c>
    </row>
    <row r="343" customFormat="false" ht="15" hidden="false" customHeight="false" outlineLevel="0" collapsed="false">
      <c r="A343" s="6" t="n">
        <v>338</v>
      </c>
      <c r="B343" s="74" t="s">
        <v>979</v>
      </c>
      <c r="C343" s="53" t="str">
        <f aca="false">INDEX(I_Items!$C$5:$C$133,MATCH($B343,I_Items!$A$5:$A$133,0))</f>
        <v>RPA</v>
      </c>
      <c r="D343" s="53" t="str">
        <f aca="false">INDEX(I_Items!$D$5:$D$133,MATCH($B343,I_Items!$A$5:$A$133,0))</f>
        <v>Karkas</v>
      </c>
      <c r="E343" s="53" t="str">
        <f aca="false">INDEX(I_Items!$F$5:$F$133,MATCH($B343,I_Items!$A$5:$A$133,0))</f>
        <v>Frozen</v>
      </c>
      <c r="F343" s="53" t="str">
        <f aca="false">IF(INDEX(I_Items!$E$5:$E$133,MATCH($B343,I_Items!$A$5:$A$133,0))="","",INDEX(I_Items!$E$5:$E$133,MATCH($B343,I_Items!$A$5:$A$133,0)))</f>
        <v>Uk 1.0</v>
      </c>
      <c r="G343" s="76" t="n">
        <v>46254</v>
      </c>
      <c r="H343" s="23" t="n">
        <f aca="false">MONTH(G343)</f>
        <v>8</v>
      </c>
      <c r="I343" s="74" t="s">
        <v>2074</v>
      </c>
      <c r="J343" s="74" t="s">
        <v>1308</v>
      </c>
      <c r="K343" s="10" t="n">
        <v>188.3</v>
      </c>
      <c r="L343" s="8" t="n">
        <v>6482920.39</v>
      </c>
      <c r="M343" s="10" t="n">
        <v>0</v>
      </c>
      <c r="N343" s="8" t="n">
        <v>0</v>
      </c>
      <c r="O343" s="74"/>
      <c r="P343" s="74"/>
      <c r="Q343" s="74"/>
      <c r="R343" s="14" t="n">
        <f aca="false">IF(I343="Unbilled",0,M343)</f>
        <v>0</v>
      </c>
      <c r="S343" s="9" t="n">
        <f aca="false">IF(R343=0,0,IF(O343="Booked",N343,R343*V342))</f>
        <v>0</v>
      </c>
      <c r="T343" s="14" t="n">
        <f aca="false">IF(I343="Opening",K343,T342+K343-R343)</f>
        <v>492.3</v>
      </c>
      <c r="U343" s="9" t="n">
        <f aca="false">IF(I343="Opening",L343,U342+L343-S343)</f>
        <v>16631654.6663242</v>
      </c>
      <c r="V343" s="9" t="n">
        <f aca="false">IF(T343&gt;0,U343/T343,IF(I343="Opening",0,V342))</f>
        <v>33783.5764093524</v>
      </c>
      <c r="W343" s="14" t="n">
        <f aca="false">M343</f>
        <v>0</v>
      </c>
      <c r="X343" s="9" t="n">
        <f aca="false">IF(W343=0,0,IF(O343="Booked",N343,W343*AA342))</f>
        <v>0</v>
      </c>
      <c r="Y343" s="14" t="n">
        <f aca="false">IF(I343="Opening",K343,Y342+K343-W343)</f>
        <v>492.3</v>
      </c>
      <c r="Z343" s="9" t="n">
        <f aca="false">IF(I343="Opening",L343,Z342+L343-X343)</f>
        <v>16631654.6663242</v>
      </c>
      <c r="AA343" s="9" t="n">
        <f aca="false">IF(Y343&gt;0,Z343/Y343,IF(I343="Opening",0,AA342))</f>
        <v>33783.5764093524</v>
      </c>
      <c r="AB343" s="9" t="n">
        <f aca="false">IF(AND(I343="DO",O343="MA"),S343-N343,0)</f>
        <v>0</v>
      </c>
      <c r="AC343" s="9" t="n">
        <f aca="false">IF(I343="DO",X343-S343,0)</f>
        <v>0</v>
      </c>
      <c r="AD343" s="23" t="n">
        <f aca="false">IF(B344&lt;&gt;B343,1,0)</f>
        <v>0</v>
      </c>
      <c r="AE343" s="14" t="n">
        <f aca="false">IF(I343="Opening",0,AE342+W343)</f>
        <v>1820.6</v>
      </c>
      <c r="AF343" s="14" t="n">
        <f aca="false">IF(I343="Opening",K343,AF342)</f>
        <v>1787.3</v>
      </c>
      <c r="AG343" s="14" t="n">
        <f aca="false">AG342</f>
        <v>3.3</v>
      </c>
      <c r="AH343" s="14" t="n">
        <f aca="false">IF(W343=0,0,MAX(0,MIN(AE343,AF343)-MIN(AE343-W343,AF343)))</f>
        <v>0</v>
      </c>
      <c r="AI343" s="14" t="n">
        <f aca="false">IF(W343=0,0,MAX(0,MIN(AE343,AF343+AG343)-MAX(AE343-W343,AF343)))</f>
        <v>0</v>
      </c>
      <c r="AJ343" s="14" t="n">
        <f aca="false">W343-AH343-AI343</f>
        <v>0</v>
      </c>
      <c r="AK343" s="9" t="n">
        <f aca="false">IF(W343=0,0,X343*AH343/W343)</f>
        <v>0</v>
      </c>
      <c r="AL343" s="9" t="n">
        <f aca="false">IF(W343=0,0,X343*AI343/W343)</f>
        <v>0</v>
      </c>
      <c r="AM343" s="9" t="n">
        <f aca="false">X343-AK343-AL343</f>
        <v>0</v>
      </c>
    </row>
    <row r="344" customFormat="false" ht="15" hidden="false" customHeight="false" outlineLevel="0" collapsed="false">
      <c r="A344" s="6" t="n">
        <v>339</v>
      </c>
      <c r="B344" s="74" t="s">
        <v>979</v>
      </c>
      <c r="C344" s="53" t="str">
        <f aca="false">INDEX(I_Items!$C$5:$C$133,MATCH($B344,I_Items!$A$5:$A$133,0))</f>
        <v>RPA</v>
      </c>
      <c r="D344" s="53" t="str">
        <f aca="false">INDEX(I_Items!$D$5:$D$133,MATCH($B344,I_Items!$A$5:$A$133,0))</f>
        <v>Karkas</v>
      </c>
      <c r="E344" s="53" t="str">
        <f aca="false">INDEX(I_Items!$F$5:$F$133,MATCH($B344,I_Items!$A$5:$A$133,0))</f>
        <v>Frozen</v>
      </c>
      <c r="F344" s="53" t="str">
        <f aca="false">IF(INDEX(I_Items!$E$5:$E$133,MATCH($B344,I_Items!$A$5:$A$133,0))="","",INDEX(I_Items!$E$5:$E$133,MATCH($B344,I_Items!$A$5:$A$133,0)))</f>
        <v>Uk 1.0</v>
      </c>
      <c r="G344" s="76" t="n">
        <v>46255</v>
      </c>
      <c r="H344" s="23" t="n">
        <f aca="false">MONTH(G344)</f>
        <v>8</v>
      </c>
      <c r="I344" s="74" t="s">
        <v>2074</v>
      </c>
      <c r="J344" s="74" t="s">
        <v>1311</v>
      </c>
      <c r="K344" s="10" t="n">
        <v>108</v>
      </c>
      <c r="L344" s="8" t="n">
        <v>3752079.07</v>
      </c>
      <c r="M344" s="10" t="n">
        <v>0</v>
      </c>
      <c r="N344" s="8" t="n">
        <v>0</v>
      </c>
      <c r="O344" s="74"/>
      <c r="P344" s="74"/>
      <c r="Q344" s="74"/>
      <c r="R344" s="14" t="n">
        <f aca="false">IF(I344="Unbilled",0,M344)</f>
        <v>0</v>
      </c>
      <c r="S344" s="9" t="n">
        <f aca="false">IF(R344=0,0,IF(O344="Booked",N344,R344*V343))</f>
        <v>0</v>
      </c>
      <c r="T344" s="14" t="n">
        <f aca="false">IF(I344="Opening",K344,T343+K344-R344)</f>
        <v>600.3</v>
      </c>
      <c r="U344" s="9" t="n">
        <f aca="false">IF(I344="Opening",L344,U343+L344-S344)</f>
        <v>20383733.7363242</v>
      </c>
      <c r="V344" s="9" t="n">
        <f aca="false">IF(T344&gt;0,U344/T344,IF(I344="Opening",0,V343))</f>
        <v>33955.9116047379</v>
      </c>
      <c r="W344" s="14" t="n">
        <f aca="false">M344</f>
        <v>0</v>
      </c>
      <c r="X344" s="9" t="n">
        <f aca="false">IF(W344=0,0,IF(O344="Booked",N344,W344*AA343))</f>
        <v>0</v>
      </c>
      <c r="Y344" s="14" t="n">
        <f aca="false">IF(I344="Opening",K344,Y343+K344-W344)</f>
        <v>600.3</v>
      </c>
      <c r="Z344" s="9" t="n">
        <f aca="false">IF(I344="Opening",L344,Z343+L344-X344)</f>
        <v>20383733.7363242</v>
      </c>
      <c r="AA344" s="9" t="n">
        <f aca="false">IF(Y344&gt;0,Z344/Y344,IF(I344="Opening",0,AA343))</f>
        <v>33955.9116047379</v>
      </c>
      <c r="AB344" s="9" t="n">
        <f aca="false">IF(AND(I344="DO",O344="MA"),S344-N344,0)</f>
        <v>0</v>
      </c>
      <c r="AC344" s="9" t="n">
        <f aca="false">IF(I344="DO",X344-S344,0)</f>
        <v>0</v>
      </c>
      <c r="AD344" s="23" t="n">
        <f aca="false">IF(B345&lt;&gt;B344,1,0)</f>
        <v>0</v>
      </c>
      <c r="AE344" s="14" t="n">
        <f aca="false">IF(I344="Opening",0,AE343+W344)</f>
        <v>1820.6</v>
      </c>
      <c r="AF344" s="14" t="n">
        <f aca="false">IF(I344="Opening",K344,AF343)</f>
        <v>1787.3</v>
      </c>
      <c r="AG344" s="14" t="n">
        <f aca="false">AG343</f>
        <v>3.3</v>
      </c>
      <c r="AH344" s="14" t="n">
        <f aca="false">IF(W344=0,0,MAX(0,MIN(AE344,AF344)-MIN(AE344-W344,AF344)))</f>
        <v>0</v>
      </c>
      <c r="AI344" s="14" t="n">
        <f aca="false">IF(W344=0,0,MAX(0,MIN(AE344,AF344+AG344)-MAX(AE344-W344,AF344)))</f>
        <v>0</v>
      </c>
      <c r="AJ344" s="14" t="n">
        <f aca="false">W344-AH344-AI344</f>
        <v>0</v>
      </c>
      <c r="AK344" s="9" t="n">
        <f aca="false">IF(W344=0,0,X344*AH344/W344)</f>
        <v>0</v>
      </c>
      <c r="AL344" s="9" t="n">
        <f aca="false">IF(W344=0,0,X344*AI344/W344)</f>
        <v>0</v>
      </c>
      <c r="AM344" s="9" t="n">
        <f aca="false">X344-AK344-AL344</f>
        <v>0</v>
      </c>
    </row>
    <row r="345" customFormat="false" ht="15" hidden="false" customHeight="false" outlineLevel="0" collapsed="false">
      <c r="A345" s="6" t="n">
        <v>340</v>
      </c>
      <c r="B345" s="74" t="s">
        <v>979</v>
      </c>
      <c r="C345" s="53" t="str">
        <f aca="false">INDEX(I_Items!$C$5:$C$133,MATCH($B345,I_Items!$A$5:$A$133,0))</f>
        <v>RPA</v>
      </c>
      <c r="D345" s="53" t="str">
        <f aca="false">INDEX(I_Items!$D$5:$D$133,MATCH($B345,I_Items!$A$5:$A$133,0))</f>
        <v>Karkas</v>
      </c>
      <c r="E345" s="53" t="str">
        <f aca="false">INDEX(I_Items!$F$5:$F$133,MATCH($B345,I_Items!$A$5:$A$133,0))</f>
        <v>Frozen</v>
      </c>
      <c r="F345" s="53" t="str">
        <f aca="false">IF(INDEX(I_Items!$E$5:$E$133,MATCH($B345,I_Items!$A$5:$A$133,0))="","",INDEX(I_Items!$E$5:$E$133,MATCH($B345,I_Items!$A$5:$A$133,0)))</f>
        <v>Uk 1.0</v>
      </c>
      <c r="G345" s="76" t="n">
        <v>46259</v>
      </c>
      <c r="H345" s="23" t="n">
        <f aca="false">MONTH(G345)</f>
        <v>8</v>
      </c>
      <c r="I345" s="74" t="s">
        <v>2074</v>
      </c>
      <c r="J345" s="74" t="s">
        <v>1314</v>
      </c>
      <c r="K345" s="10" t="n">
        <v>44.3</v>
      </c>
      <c r="L345" s="8" t="n">
        <v>1485241.8</v>
      </c>
      <c r="M345" s="10" t="n">
        <v>0</v>
      </c>
      <c r="N345" s="8" t="n">
        <v>0</v>
      </c>
      <c r="O345" s="74"/>
      <c r="P345" s="74"/>
      <c r="Q345" s="74"/>
      <c r="R345" s="14" t="n">
        <f aca="false">IF(I345="Unbilled",0,M345)</f>
        <v>0</v>
      </c>
      <c r="S345" s="9" t="n">
        <f aca="false">IF(R345=0,0,IF(O345="Booked",N345,R345*V344))</f>
        <v>0</v>
      </c>
      <c r="T345" s="14" t="n">
        <f aca="false">IF(I345="Opening",K345,T344+K345-R345)</f>
        <v>644.6</v>
      </c>
      <c r="U345" s="9" t="n">
        <f aca="false">IF(I345="Opening",L345,U344+L345-S345)</f>
        <v>21868975.5363242</v>
      </c>
      <c r="V345" s="9" t="n">
        <f aca="false">IF(T345&gt;0,U345/T345,IF(I345="Opening",0,V344))</f>
        <v>33926.4280737266</v>
      </c>
      <c r="W345" s="14" t="n">
        <f aca="false">M345</f>
        <v>0</v>
      </c>
      <c r="X345" s="9" t="n">
        <f aca="false">IF(W345=0,0,IF(O345="Booked",N345,W345*AA344))</f>
        <v>0</v>
      </c>
      <c r="Y345" s="14" t="n">
        <f aca="false">IF(I345="Opening",K345,Y344+K345-W345)</f>
        <v>644.6</v>
      </c>
      <c r="Z345" s="9" t="n">
        <f aca="false">IF(I345="Opening",L345,Z344+L345-X345)</f>
        <v>21868975.5363242</v>
      </c>
      <c r="AA345" s="9" t="n">
        <f aca="false">IF(Y345&gt;0,Z345/Y345,IF(I345="Opening",0,AA344))</f>
        <v>33926.4280737266</v>
      </c>
      <c r="AB345" s="9" t="n">
        <f aca="false">IF(AND(I345="DO",O345="MA"),S345-N345,0)</f>
        <v>0</v>
      </c>
      <c r="AC345" s="9" t="n">
        <f aca="false">IF(I345="DO",X345-S345,0)</f>
        <v>0</v>
      </c>
      <c r="AD345" s="23" t="n">
        <f aca="false">IF(B346&lt;&gt;B345,1,0)</f>
        <v>0</v>
      </c>
      <c r="AE345" s="14" t="n">
        <f aca="false">IF(I345="Opening",0,AE344+W345)</f>
        <v>1820.6</v>
      </c>
      <c r="AF345" s="14" t="n">
        <f aca="false">IF(I345="Opening",K345,AF344)</f>
        <v>1787.3</v>
      </c>
      <c r="AG345" s="14" t="n">
        <f aca="false">AG344</f>
        <v>3.3</v>
      </c>
      <c r="AH345" s="14" t="n">
        <f aca="false">IF(W345=0,0,MAX(0,MIN(AE345,AF345)-MIN(AE345-W345,AF345)))</f>
        <v>0</v>
      </c>
      <c r="AI345" s="14" t="n">
        <f aca="false">IF(W345=0,0,MAX(0,MIN(AE345,AF345+AG345)-MAX(AE345-W345,AF345)))</f>
        <v>0</v>
      </c>
      <c r="AJ345" s="14" t="n">
        <f aca="false">W345-AH345-AI345</f>
        <v>0</v>
      </c>
      <c r="AK345" s="9" t="n">
        <f aca="false">IF(W345=0,0,X345*AH345/W345)</f>
        <v>0</v>
      </c>
      <c r="AL345" s="9" t="n">
        <f aca="false">IF(W345=0,0,X345*AI345/W345)</f>
        <v>0</v>
      </c>
      <c r="AM345" s="9" t="n">
        <f aca="false">X345-AK345-AL345</f>
        <v>0</v>
      </c>
    </row>
    <row r="346" customFormat="false" ht="15" hidden="false" customHeight="false" outlineLevel="0" collapsed="false">
      <c r="A346" s="6" t="n">
        <v>341</v>
      </c>
      <c r="B346" s="74" t="s">
        <v>979</v>
      </c>
      <c r="C346" s="53" t="str">
        <f aca="false">INDEX(I_Items!$C$5:$C$133,MATCH($B346,I_Items!$A$5:$A$133,0))</f>
        <v>RPA</v>
      </c>
      <c r="D346" s="53" t="str">
        <f aca="false">INDEX(I_Items!$D$5:$D$133,MATCH($B346,I_Items!$A$5:$A$133,0))</f>
        <v>Karkas</v>
      </c>
      <c r="E346" s="53" t="str">
        <f aca="false">INDEX(I_Items!$F$5:$F$133,MATCH($B346,I_Items!$A$5:$A$133,0))</f>
        <v>Frozen</v>
      </c>
      <c r="F346" s="53" t="str">
        <f aca="false">IF(INDEX(I_Items!$E$5:$E$133,MATCH($B346,I_Items!$A$5:$A$133,0))="","",INDEX(I_Items!$E$5:$E$133,MATCH($B346,I_Items!$A$5:$A$133,0)))</f>
        <v>Uk 1.0</v>
      </c>
      <c r="G346" s="76" t="n">
        <v>46260</v>
      </c>
      <c r="H346" s="23" t="n">
        <f aca="false">MONTH(G346)</f>
        <v>8</v>
      </c>
      <c r="I346" s="74" t="s">
        <v>2074</v>
      </c>
      <c r="J346" s="74" t="s">
        <v>1317</v>
      </c>
      <c r="K346" s="10" t="n">
        <v>77.3</v>
      </c>
      <c r="L346" s="8" t="n">
        <v>2647131.1</v>
      </c>
      <c r="M346" s="10" t="n">
        <v>0</v>
      </c>
      <c r="N346" s="8" t="n">
        <v>0</v>
      </c>
      <c r="O346" s="74"/>
      <c r="P346" s="74"/>
      <c r="Q346" s="74"/>
      <c r="R346" s="14" t="n">
        <f aca="false">IF(I346="Unbilled",0,M346)</f>
        <v>0</v>
      </c>
      <c r="S346" s="9" t="n">
        <f aca="false">IF(R346=0,0,IF(O346="Booked",N346,R346*V345))</f>
        <v>0</v>
      </c>
      <c r="T346" s="14" t="n">
        <f aca="false">IF(I346="Opening",K346,T345+K346-R346)</f>
        <v>721.9</v>
      </c>
      <c r="U346" s="9" t="n">
        <f aca="false">IF(I346="Opening",L346,U345+L346-S346)</f>
        <v>24516106.6363242</v>
      </c>
      <c r="V346" s="9" t="n">
        <f aca="false">IF(T346&gt;0,U346/T346,IF(I346="Opening",0,V345))</f>
        <v>33960.5300406208</v>
      </c>
      <c r="W346" s="14" t="n">
        <f aca="false">M346</f>
        <v>0</v>
      </c>
      <c r="X346" s="9" t="n">
        <f aca="false">IF(W346=0,0,IF(O346="Booked",N346,W346*AA345))</f>
        <v>0</v>
      </c>
      <c r="Y346" s="14" t="n">
        <f aca="false">IF(I346="Opening",K346,Y345+K346-W346)</f>
        <v>721.9</v>
      </c>
      <c r="Z346" s="9" t="n">
        <f aca="false">IF(I346="Opening",L346,Z345+L346-X346)</f>
        <v>24516106.6363242</v>
      </c>
      <c r="AA346" s="9" t="n">
        <f aca="false">IF(Y346&gt;0,Z346/Y346,IF(I346="Opening",0,AA345))</f>
        <v>33960.5300406208</v>
      </c>
      <c r="AB346" s="9" t="n">
        <f aca="false">IF(AND(I346="DO",O346="MA"),S346-N346,0)</f>
        <v>0</v>
      </c>
      <c r="AC346" s="9" t="n">
        <f aca="false">IF(I346="DO",X346-S346,0)</f>
        <v>0</v>
      </c>
      <c r="AD346" s="23" t="n">
        <f aca="false">IF(B347&lt;&gt;B346,1,0)</f>
        <v>0</v>
      </c>
      <c r="AE346" s="14" t="n">
        <f aca="false">IF(I346="Opening",0,AE345+W346)</f>
        <v>1820.6</v>
      </c>
      <c r="AF346" s="14" t="n">
        <f aca="false">IF(I346="Opening",K346,AF345)</f>
        <v>1787.3</v>
      </c>
      <c r="AG346" s="14" t="n">
        <f aca="false">AG345</f>
        <v>3.3</v>
      </c>
      <c r="AH346" s="14" t="n">
        <f aca="false">IF(W346=0,0,MAX(0,MIN(AE346,AF346)-MIN(AE346-W346,AF346)))</f>
        <v>0</v>
      </c>
      <c r="AI346" s="14" t="n">
        <f aca="false">IF(W346=0,0,MAX(0,MIN(AE346,AF346+AG346)-MAX(AE346-W346,AF346)))</f>
        <v>0</v>
      </c>
      <c r="AJ346" s="14" t="n">
        <f aca="false">W346-AH346-AI346</f>
        <v>0</v>
      </c>
      <c r="AK346" s="9" t="n">
        <f aca="false">IF(W346=0,0,X346*AH346/W346)</f>
        <v>0</v>
      </c>
      <c r="AL346" s="9" t="n">
        <f aca="false">IF(W346=0,0,X346*AI346/W346)</f>
        <v>0</v>
      </c>
      <c r="AM346" s="9" t="n">
        <f aca="false">X346-AK346-AL346</f>
        <v>0</v>
      </c>
    </row>
    <row r="347" customFormat="false" ht="15" hidden="false" customHeight="false" outlineLevel="0" collapsed="false">
      <c r="A347" s="6" t="n">
        <v>342</v>
      </c>
      <c r="B347" s="74" t="s">
        <v>979</v>
      </c>
      <c r="C347" s="53" t="str">
        <f aca="false">INDEX(I_Items!$C$5:$C$133,MATCH($B347,I_Items!$A$5:$A$133,0))</f>
        <v>RPA</v>
      </c>
      <c r="D347" s="53" t="str">
        <f aca="false">INDEX(I_Items!$D$5:$D$133,MATCH($B347,I_Items!$A$5:$A$133,0))</f>
        <v>Karkas</v>
      </c>
      <c r="E347" s="53" t="str">
        <f aca="false">INDEX(I_Items!$F$5:$F$133,MATCH($B347,I_Items!$A$5:$A$133,0))</f>
        <v>Frozen</v>
      </c>
      <c r="F347" s="53" t="str">
        <f aca="false">IF(INDEX(I_Items!$E$5:$E$133,MATCH($B347,I_Items!$A$5:$A$133,0))="","",INDEX(I_Items!$E$5:$E$133,MATCH($B347,I_Items!$A$5:$A$133,0)))</f>
        <v>Uk 1.0</v>
      </c>
      <c r="G347" s="76" t="n">
        <v>46260</v>
      </c>
      <c r="H347" s="23" t="n">
        <f aca="false">MONTH(G347)</f>
        <v>8</v>
      </c>
      <c r="I347" s="74" t="s">
        <v>2075</v>
      </c>
      <c r="J347" s="74" t="s">
        <v>2128</v>
      </c>
      <c r="K347" s="10" t="n">
        <v>0</v>
      </c>
      <c r="L347" s="8" t="n">
        <v>0</v>
      </c>
      <c r="M347" s="10" t="n">
        <v>3</v>
      </c>
      <c r="N347" s="8" t="n">
        <v>101881.59</v>
      </c>
      <c r="O347" s="74" t="s">
        <v>2077</v>
      </c>
      <c r="P347" s="74"/>
      <c r="Q347" s="74"/>
      <c r="R347" s="14" t="n">
        <f aca="false">IF(I347="Unbilled",0,M347)</f>
        <v>3</v>
      </c>
      <c r="S347" s="9" t="n">
        <f aca="false">IF(R347=0,0,IF(O347="Booked",N347,R347*V346))</f>
        <v>101881.590121862</v>
      </c>
      <c r="T347" s="14" t="n">
        <f aca="false">IF(I347="Opening",K347,T346+K347-R347)</f>
        <v>718.9</v>
      </c>
      <c r="U347" s="9" t="n">
        <f aca="false">IF(I347="Opening",L347,U346+L347-S347)</f>
        <v>24414225.0462023</v>
      </c>
      <c r="V347" s="9" t="n">
        <f aca="false">IF(T347&gt;0,U347/T347,IF(I347="Opening",0,V346))</f>
        <v>33960.5300406208</v>
      </c>
      <c r="W347" s="14" t="n">
        <f aca="false">M347</f>
        <v>3</v>
      </c>
      <c r="X347" s="9" t="n">
        <f aca="false">IF(W347=0,0,IF(O347="Booked",N347,W347*AA346))</f>
        <v>101881.590121862</v>
      </c>
      <c r="Y347" s="14" t="n">
        <f aca="false">IF(I347="Opening",K347,Y346+K347-W347)</f>
        <v>718.9</v>
      </c>
      <c r="Z347" s="9" t="n">
        <f aca="false">IF(I347="Opening",L347,Z346+L347-X347)</f>
        <v>24414225.0462023</v>
      </c>
      <c r="AA347" s="9" t="n">
        <f aca="false">IF(Y347&gt;0,Z347/Y347,IF(I347="Opening",0,AA346))</f>
        <v>33960.5300406208</v>
      </c>
      <c r="AB347" s="9" t="n">
        <f aca="false">IF(AND(I347="DO",O347="MA"),S347-N347,0)</f>
        <v>0.000121862482046708</v>
      </c>
      <c r="AC347" s="9" t="n">
        <f aca="false">IF(I347="DO",X347-S347,0)</f>
        <v>0</v>
      </c>
      <c r="AD347" s="23" t="n">
        <f aca="false">IF(B348&lt;&gt;B347,1,0)</f>
        <v>0</v>
      </c>
      <c r="AE347" s="14" t="n">
        <f aca="false">IF(I347="Opening",0,AE346+W347)</f>
        <v>1823.6</v>
      </c>
      <c r="AF347" s="14" t="n">
        <f aca="false">IF(I347="Opening",K347,AF346)</f>
        <v>1787.3</v>
      </c>
      <c r="AG347" s="14" t="n">
        <f aca="false">AG346</f>
        <v>3.3</v>
      </c>
      <c r="AH347" s="14" t="n">
        <f aca="false">IF(W347=0,0,MAX(0,MIN(AE347,AF347)-MIN(AE347-W347,AF347)))</f>
        <v>0</v>
      </c>
      <c r="AI347" s="14" t="n">
        <f aca="false">IF(W347=0,0,MAX(0,MIN(AE347,AF347+AG347)-MAX(AE347-W347,AF347)))</f>
        <v>0</v>
      </c>
      <c r="AJ347" s="14" t="n">
        <f aca="false">W347-AH347-AI347</f>
        <v>3</v>
      </c>
      <c r="AK347" s="9" t="n">
        <f aca="false">IF(W347=0,0,X347*AH347/W347)</f>
        <v>0</v>
      </c>
      <c r="AL347" s="9" t="n">
        <f aca="false">IF(W347=0,0,X347*AI347/W347)</f>
        <v>0</v>
      </c>
      <c r="AM347" s="9" t="n">
        <f aca="false">X347-AK347-AL347</f>
        <v>101881.590121862</v>
      </c>
    </row>
    <row r="348" customFormat="false" ht="15" hidden="false" customHeight="false" outlineLevel="0" collapsed="false">
      <c r="A348" s="6" t="n">
        <v>343</v>
      </c>
      <c r="B348" s="74" t="s">
        <v>979</v>
      </c>
      <c r="C348" s="53" t="str">
        <f aca="false">INDEX(I_Items!$C$5:$C$133,MATCH($B348,I_Items!$A$5:$A$133,0))</f>
        <v>RPA</v>
      </c>
      <c r="D348" s="53" t="str">
        <f aca="false">INDEX(I_Items!$D$5:$D$133,MATCH($B348,I_Items!$A$5:$A$133,0))</f>
        <v>Karkas</v>
      </c>
      <c r="E348" s="53" t="str">
        <f aca="false">INDEX(I_Items!$F$5:$F$133,MATCH($B348,I_Items!$A$5:$A$133,0))</f>
        <v>Frozen</v>
      </c>
      <c r="F348" s="53" t="str">
        <f aca="false">IF(INDEX(I_Items!$E$5:$E$133,MATCH($B348,I_Items!$A$5:$A$133,0))="","",INDEX(I_Items!$E$5:$E$133,MATCH($B348,I_Items!$A$5:$A$133,0)))</f>
        <v>Uk 1.0</v>
      </c>
      <c r="G348" s="76" t="n">
        <v>46261</v>
      </c>
      <c r="H348" s="23" t="n">
        <f aca="false">MONTH(G348)</f>
        <v>8</v>
      </c>
      <c r="I348" s="74" t="s">
        <v>2074</v>
      </c>
      <c r="J348" s="74" t="s">
        <v>1320</v>
      </c>
      <c r="K348" s="10" t="n">
        <v>46.2</v>
      </c>
      <c r="L348" s="8" t="n">
        <v>1561742.43</v>
      </c>
      <c r="M348" s="10" t="n">
        <v>0</v>
      </c>
      <c r="N348" s="8" t="n">
        <v>0</v>
      </c>
      <c r="O348" s="74"/>
      <c r="P348" s="74"/>
      <c r="Q348" s="74"/>
      <c r="R348" s="14" t="n">
        <f aca="false">IF(I348="Unbilled",0,M348)</f>
        <v>0</v>
      </c>
      <c r="S348" s="9" t="n">
        <f aca="false">IF(R348=0,0,IF(O348="Booked",N348,R348*V347))</f>
        <v>0</v>
      </c>
      <c r="T348" s="14" t="n">
        <f aca="false">IF(I348="Opening",K348,T347+K348-R348)</f>
        <v>765.1</v>
      </c>
      <c r="U348" s="9" t="n">
        <f aca="false">IF(I348="Opening",L348,U347+L348-S348)</f>
        <v>25975967.4762023</v>
      </c>
      <c r="V348" s="9" t="n">
        <f aca="false">IF(T348&gt;0,U348/T348,IF(I348="Opening",0,V347))</f>
        <v>33951.0749917688</v>
      </c>
      <c r="W348" s="14" t="n">
        <f aca="false">M348</f>
        <v>0</v>
      </c>
      <c r="X348" s="9" t="n">
        <f aca="false">IF(W348=0,0,IF(O348="Booked",N348,W348*AA347))</f>
        <v>0</v>
      </c>
      <c r="Y348" s="14" t="n">
        <f aca="false">IF(I348="Opening",K348,Y347+K348-W348)</f>
        <v>765.1</v>
      </c>
      <c r="Z348" s="9" t="n">
        <f aca="false">IF(I348="Opening",L348,Z347+L348-X348)</f>
        <v>25975967.4762023</v>
      </c>
      <c r="AA348" s="9" t="n">
        <f aca="false">IF(Y348&gt;0,Z348/Y348,IF(I348="Opening",0,AA347))</f>
        <v>33951.0749917688</v>
      </c>
      <c r="AB348" s="9" t="n">
        <f aca="false">IF(AND(I348="DO",O348="MA"),S348-N348,0)</f>
        <v>0</v>
      </c>
      <c r="AC348" s="9" t="n">
        <f aca="false">IF(I348="DO",X348-S348,0)</f>
        <v>0</v>
      </c>
      <c r="AD348" s="23" t="n">
        <f aca="false">IF(B349&lt;&gt;B348,1,0)</f>
        <v>0</v>
      </c>
      <c r="AE348" s="14" t="n">
        <f aca="false">IF(I348="Opening",0,AE347+W348)</f>
        <v>1823.6</v>
      </c>
      <c r="AF348" s="14" t="n">
        <f aca="false">IF(I348="Opening",K348,AF347)</f>
        <v>1787.3</v>
      </c>
      <c r="AG348" s="14" t="n">
        <f aca="false">AG347</f>
        <v>3.3</v>
      </c>
      <c r="AH348" s="14" t="n">
        <f aca="false">IF(W348=0,0,MAX(0,MIN(AE348,AF348)-MIN(AE348-W348,AF348)))</f>
        <v>0</v>
      </c>
      <c r="AI348" s="14" t="n">
        <f aca="false">IF(W348=0,0,MAX(0,MIN(AE348,AF348+AG348)-MAX(AE348-W348,AF348)))</f>
        <v>0</v>
      </c>
      <c r="AJ348" s="14" t="n">
        <f aca="false">W348-AH348-AI348</f>
        <v>0</v>
      </c>
      <c r="AK348" s="9" t="n">
        <f aca="false">IF(W348=0,0,X348*AH348/W348)</f>
        <v>0</v>
      </c>
      <c r="AL348" s="9" t="n">
        <f aca="false">IF(W348=0,0,X348*AI348/W348)</f>
        <v>0</v>
      </c>
      <c r="AM348" s="9" t="n">
        <f aca="false">X348-AK348-AL348</f>
        <v>0</v>
      </c>
    </row>
    <row r="349" customFormat="false" ht="15" hidden="false" customHeight="false" outlineLevel="0" collapsed="false">
      <c r="A349" s="6" t="n">
        <v>344</v>
      </c>
      <c r="B349" s="74" t="s">
        <v>979</v>
      </c>
      <c r="C349" s="53" t="str">
        <f aca="false">INDEX(I_Items!$C$5:$C$133,MATCH($B349,I_Items!$A$5:$A$133,0))</f>
        <v>RPA</v>
      </c>
      <c r="D349" s="53" t="str">
        <f aca="false">INDEX(I_Items!$D$5:$D$133,MATCH($B349,I_Items!$A$5:$A$133,0))</f>
        <v>Karkas</v>
      </c>
      <c r="E349" s="53" t="str">
        <f aca="false">INDEX(I_Items!$F$5:$F$133,MATCH($B349,I_Items!$A$5:$A$133,0))</f>
        <v>Frozen</v>
      </c>
      <c r="F349" s="53" t="str">
        <f aca="false">IF(INDEX(I_Items!$E$5:$E$133,MATCH($B349,I_Items!$A$5:$A$133,0))="","",INDEX(I_Items!$E$5:$E$133,MATCH($B349,I_Items!$A$5:$A$133,0)))</f>
        <v>Uk 1.0</v>
      </c>
      <c r="G349" s="76" t="n">
        <v>46262</v>
      </c>
      <c r="H349" s="23" t="n">
        <f aca="false">MONTH(G349)</f>
        <v>8</v>
      </c>
      <c r="I349" s="74" t="s">
        <v>2074</v>
      </c>
      <c r="J349" s="74" t="s">
        <v>1323</v>
      </c>
      <c r="K349" s="10" t="n">
        <v>113.6</v>
      </c>
      <c r="L349" s="8" t="n">
        <v>3871885.92</v>
      </c>
      <c r="M349" s="10" t="n">
        <v>0</v>
      </c>
      <c r="N349" s="8" t="n">
        <v>0</v>
      </c>
      <c r="O349" s="74"/>
      <c r="P349" s="74"/>
      <c r="Q349" s="74"/>
      <c r="R349" s="14" t="n">
        <f aca="false">IF(I349="Unbilled",0,M349)</f>
        <v>0</v>
      </c>
      <c r="S349" s="9" t="n">
        <f aca="false">IF(R349=0,0,IF(O349="Booked",N349,R349*V348))</f>
        <v>0</v>
      </c>
      <c r="T349" s="14" t="n">
        <f aca="false">IF(I349="Opening",K349,T348+K349-R349)</f>
        <v>878.7</v>
      </c>
      <c r="U349" s="9" t="n">
        <f aca="false">IF(I349="Opening",L349,U348+L349-S349)</f>
        <v>29847853.3962023</v>
      </c>
      <c r="V349" s="9" t="n">
        <f aca="false">IF(T349&gt;0,U349/T349,IF(I349="Opening",0,V348))</f>
        <v>33968.1955117814</v>
      </c>
      <c r="W349" s="14" t="n">
        <f aca="false">M349</f>
        <v>0</v>
      </c>
      <c r="X349" s="9" t="n">
        <f aca="false">IF(W349=0,0,IF(O349="Booked",N349,W349*AA348))</f>
        <v>0</v>
      </c>
      <c r="Y349" s="14" t="n">
        <f aca="false">IF(I349="Opening",K349,Y348+K349-W349)</f>
        <v>878.7</v>
      </c>
      <c r="Z349" s="9" t="n">
        <f aca="false">IF(I349="Opening",L349,Z348+L349-X349)</f>
        <v>29847853.3962023</v>
      </c>
      <c r="AA349" s="9" t="n">
        <f aca="false">IF(Y349&gt;0,Z349/Y349,IF(I349="Opening",0,AA348))</f>
        <v>33968.1955117814</v>
      </c>
      <c r="AB349" s="9" t="n">
        <f aca="false">IF(AND(I349="DO",O349="MA"),S349-N349,0)</f>
        <v>0</v>
      </c>
      <c r="AC349" s="9" t="n">
        <f aca="false">IF(I349="DO",X349-S349,0)</f>
        <v>0</v>
      </c>
      <c r="AD349" s="23" t="n">
        <f aca="false">IF(B350&lt;&gt;B349,1,0)</f>
        <v>0</v>
      </c>
      <c r="AE349" s="14" t="n">
        <f aca="false">IF(I349="Opening",0,AE348+W349)</f>
        <v>1823.6</v>
      </c>
      <c r="AF349" s="14" t="n">
        <f aca="false">IF(I349="Opening",K349,AF348)</f>
        <v>1787.3</v>
      </c>
      <c r="AG349" s="14" t="n">
        <f aca="false">AG348</f>
        <v>3.3</v>
      </c>
      <c r="AH349" s="14" t="n">
        <f aca="false">IF(W349=0,0,MAX(0,MIN(AE349,AF349)-MIN(AE349-W349,AF349)))</f>
        <v>0</v>
      </c>
      <c r="AI349" s="14" t="n">
        <f aca="false">IF(W349=0,0,MAX(0,MIN(AE349,AF349+AG349)-MAX(AE349-W349,AF349)))</f>
        <v>0</v>
      </c>
      <c r="AJ349" s="14" t="n">
        <f aca="false">W349-AH349-AI349</f>
        <v>0</v>
      </c>
      <c r="AK349" s="9" t="n">
        <f aca="false">IF(W349=0,0,X349*AH349/W349)</f>
        <v>0</v>
      </c>
      <c r="AL349" s="9" t="n">
        <f aca="false">IF(W349=0,0,X349*AI349/W349)</f>
        <v>0</v>
      </c>
      <c r="AM349" s="9" t="n">
        <f aca="false">X349-AK349-AL349</f>
        <v>0</v>
      </c>
    </row>
    <row r="350" customFormat="false" ht="15" hidden="false" customHeight="false" outlineLevel="0" collapsed="false">
      <c r="A350" s="6" t="n">
        <v>345</v>
      </c>
      <c r="B350" s="74" t="s">
        <v>979</v>
      </c>
      <c r="C350" s="53" t="str">
        <f aca="false">INDEX(I_Items!$C$5:$C$133,MATCH($B350,I_Items!$A$5:$A$133,0))</f>
        <v>RPA</v>
      </c>
      <c r="D350" s="53" t="str">
        <f aca="false">INDEX(I_Items!$D$5:$D$133,MATCH($B350,I_Items!$A$5:$A$133,0))</f>
        <v>Karkas</v>
      </c>
      <c r="E350" s="53" t="str">
        <f aca="false">INDEX(I_Items!$F$5:$F$133,MATCH($B350,I_Items!$A$5:$A$133,0))</f>
        <v>Frozen</v>
      </c>
      <c r="F350" s="53" t="str">
        <f aca="false">IF(INDEX(I_Items!$E$5:$E$133,MATCH($B350,I_Items!$A$5:$A$133,0))="","",INDEX(I_Items!$E$5:$E$133,MATCH($B350,I_Items!$A$5:$A$133,0)))</f>
        <v>Uk 1.0</v>
      </c>
      <c r="G350" s="76" t="n">
        <v>46265</v>
      </c>
      <c r="H350" s="23" t="n">
        <f aca="false">MONTH(G350)</f>
        <v>8</v>
      </c>
      <c r="I350" s="74" t="s">
        <v>2074</v>
      </c>
      <c r="J350" s="74" t="s">
        <v>1326</v>
      </c>
      <c r="K350" s="10" t="n">
        <v>55.1</v>
      </c>
      <c r="L350" s="8" t="n">
        <v>1845669.51</v>
      </c>
      <c r="M350" s="10" t="n">
        <v>0</v>
      </c>
      <c r="N350" s="8" t="n">
        <v>0</v>
      </c>
      <c r="O350" s="74"/>
      <c r="P350" s="74"/>
      <c r="Q350" s="74"/>
      <c r="R350" s="14" t="n">
        <f aca="false">IF(I350="Unbilled",0,M350)</f>
        <v>0</v>
      </c>
      <c r="S350" s="9" t="n">
        <f aca="false">IF(R350=0,0,IF(O350="Booked",N350,R350*V349))</f>
        <v>0</v>
      </c>
      <c r="T350" s="14" t="n">
        <f aca="false">IF(I350="Opening",K350,T349+K350-R350)</f>
        <v>933.8</v>
      </c>
      <c r="U350" s="9" t="n">
        <f aca="false">IF(I350="Opening",L350,U349+L350-S350)</f>
        <v>31693522.9062023</v>
      </c>
      <c r="V350" s="9" t="n">
        <f aca="false">IF(T350&gt;0,U350/T350,IF(I350="Opening",0,V349))</f>
        <v>33940.3757830395</v>
      </c>
      <c r="W350" s="14" t="n">
        <f aca="false">M350</f>
        <v>0</v>
      </c>
      <c r="X350" s="9" t="n">
        <f aca="false">IF(W350=0,0,IF(O350="Booked",N350,W350*AA349))</f>
        <v>0</v>
      </c>
      <c r="Y350" s="14" t="n">
        <f aca="false">IF(I350="Opening",K350,Y349+K350-W350)</f>
        <v>933.8</v>
      </c>
      <c r="Z350" s="9" t="n">
        <f aca="false">IF(I350="Opening",L350,Z349+L350-X350)</f>
        <v>31693522.9062023</v>
      </c>
      <c r="AA350" s="9" t="n">
        <f aca="false">IF(Y350&gt;0,Z350/Y350,IF(I350="Opening",0,AA349))</f>
        <v>33940.3757830395</v>
      </c>
      <c r="AB350" s="9" t="n">
        <f aca="false">IF(AND(I350="DO",O350="MA"),S350-N350,0)</f>
        <v>0</v>
      </c>
      <c r="AC350" s="9" t="n">
        <f aca="false">IF(I350="DO",X350-S350,0)</f>
        <v>0</v>
      </c>
      <c r="AD350" s="23" t="n">
        <f aca="false">IF(B351&lt;&gt;B350,1,0)</f>
        <v>1</v>
      </c>
      <c r="AE350" s="14" t="n">
        <f aca="false">IF(I350="Opening",0,AE349+W350)</f>
        <v>1823.6</v>
      </c>
      <c r="AF350" s="14" t="n">
        <f aca="false">IF(I350="Opening",K350,AF349)</f>
        <v>1787.3</v>
      </c>
      <c r="AG350" s="14" t="n">
        <f aca="false">AG349</f>
        <v>3.3</v>
      </c>
      <c r="AH350" s="14" t="n">
        <f aca="false">IF(W350=0,0,MAX(0,MIN(AE350,AF350)-MIN(AE350-W350,AF350)))</f>
        <v>0</v>
      </c>
      <c r="AI350" s="14" t="n">
        <f aca="false">IF(W350=0,0,MAX(0,MIN(AE350,AF350+AG350)-MAX(AE350-W350,AF350)))</f>
        <v>0</v>
      </c>
      <c r="AJ350" s="14" t="n">
        <f aca="false">W350-AH350-AI350</f>
        <v>0</v>
      </c>
      <c r="AK350" s="9" t="n">
        <f aca="false">IF(W350=0,0,X350*AH350/W350)</f>
        <v>0</v>
      </c>
      <c r="AL350" s="9" t="n">
        <f aca="false">IF(W350=0,0,X350*AI350/W350)</f>
        <v>0</v>
      </c>
      <c r="AM350" s="9" t="n">
        <f aca="false">X350-AK350-AL350</f>
        <v>0</v>
      </c>
    </row>
    <row r="351" customFormat="false" ht="15" hidden="false" customHeight="false" outlineLevel="0" collapsed="false">
      <c r="A351" s="6" t="n">
        <v>346</v>
      </c>
      <c r="B351" s="74" t="s">
        <v>980</v>
      </c>
      <c r="C351" s="53" t="str">
        <f aca="false">INDEX(I_Items!$C$5:$C$133,MATCH($B351,I_Items!$A$5:$A$133,0))</f>
        <v>RPA</v>
      </c>
      <c r="D351" s="53" t="str">
        <f aca="false">INDEX(I_Items!$D$5:$D$133,MATCH($B351,I_Items!$A$5:$A$133,0))</f>
        <v>Karkas</v>
      </c>
      <c r="E351" s="53" t="str">
        <f aca="false">INDEX(I_Items!$F$5:$F$133,MATCH($B351,I_Items!$A$5:$A$133,0))</f>
        <v>Frozen</v>
      </c>
      <c r="F351" s="53" t="str">
        <f aca="false">IF(INDEX(I_Items!$E$5:$E$133,MATCH($B351,I_Items!$A$5:$A$133,0))="","",INDEX(I_Items!$E$5:$E$133,MATCH($B351,I_Items!$A$5:$A$133,0)))</f>
        <v>Uk 1.0</v>
      </c>
      <c r="G351" s="76" t="n">
        <v>46204</v>
      </c>
      <c r="H351" s="23" t="n">
        <f aca="false">MONTH(G351)</f>
        <v>7</v>
      </c>
      <c r="I351" s="74" t="s">
        <v>2072</v>
      </c>
      <c r="J351" s="74" t="s">
        <v>2073</v>
      </c>
      <c r="K351" s="10" t="n">
        <v>489.71</v>
      </c>
      <c r="L351" s="8" t="n">
        <v>13202354.93</v>
      </c>
      <c r="M351" s="10" t="n">
        <v>0</v>
      </c>
      <c r="N351" s="8" t="n">
        <v>0</v>
      </c>
      <c r="O351" s="74"/>
      <c r="P351" s="74"/>
      <c r="Q351" s="74"/>
      <c r="R351" s="14" t="n">
        <f aca="false">IF(I351="Unbilled",0,M351)</f>
        <v>0</v>
      </c>
      <c r="S351" s="9" t="n">
        <f aca="false">IF(R351=0,0,IF(O351="Booked",N351,R351*V350))</f>
        <v>0</v>
      </c>
      <c r="T351" s="14" t="n">
        <f aca="false">IF(I351="Opening",K351,T350+K351-R351)</f>
        <v>489.71</v>
      </c>
      <c r="U351" s="9" t="n">
        <f aca="false">IF(I351="Opening",L351,U350+L351-S351)</f>
        <v>13202354.93</v>
      </c>
      <c r="V351" s="9" t="n">
        <f aca="false">IF(T351&gt;0,U351/T351,IF(I351="Opening",0,V350))</f>
        <v>26959.5371342223</v>
      </c>
      <c r="W351" s="14" t="n">
        <f aca="false">M351</f>
        <v>0</v>
      </c>
      <c r="X351" s="9" t="n">
        <f aca="false">IF(W351=0,0,IF(O351="Booked",N351,W351*AA350))</f>
        <v>0</v>
      </c>
      <c r="Y351" s="14" t="n">
        <f aca="false">IF(I351="Opening",K351,Y350+K351-W351)</f>
        <v>489.71</v>
      </c>
      <c r="Z351" s="9" t="n">
        <f aca="false">IF(I351="Opening",L351,Z350+L351-X351)</f>
        <v>13202354.93</v>
      </c>
      <c r="AA351" s="9" t="n">
        <f aca="false">IF(Y351&gt;0,Z351/Y351,IF(I351="Opening",0,AA350))</f>
        <v>26959.5371342223</v>
      </c>
      <c r="AB351" s="9" t="n">
        <f aca="false">IF(AND(I351="DO",O351="MA"),S351-N351,0)</f>
        <v>0</v>
      </c>
      <c r="AC351" s="9" t="n">
        <f aca="false">IF(I351="DO",X351-S351,0)</f>
        <v>0</v>
      </c>
      <c r="AD351" s="23" t="n">
        <f aca="false">IF(B352&lt;&gt;B351,1,0)</f>
        <v>0</v>
      </c>
      <c r="AE351" s="14" t="n">
        <f aca="false">IF(I351="Opening",0,AE350+W351)</f>
        <v>0</v>
      </c>
      <c r="AF351" s="14" t="n">
        <f aca="false">IF(I351="Opening",K351,AF350)</f>
        <v>489.71</v>
      </c>
      <c r="AG351" s="14" t="n">
        <f aca="false">SUMIFS($K$6:$K$1110,$B$6:$B$1110,B351,$H$6:$H$1110,7,$I$6:$I$1110,"&lt;&gt;Opening")</f>
        <v>0</v>
      </c>
      <c r="AH351" s="14" t="n">
        <f aca="false">IF(W351=0,0,MAX(0,MIN(AE351,AF351)-MIN(AE351-W351,AF351)))</f>
        <v>0</v>
      </c>
      <c r="AI351" s="14" t="n">
        <f aca="false">IF(W351=0,0,MAX(0,MIN(AE351,AF351+AG351)-MAX(AE351-W351,AF351)))</f>
        <v>0</v>
      </c>
      <c r="AJ351" s="14" t="n">
        <f aca="false">W351-AH351-AI351</f>
        <v>0</v>
      </c>
      <c r="AK351" s="9" t="n">
        <f aca="false">IF(W351=0,0,X351*AH351/W351)</f>
        <v>0</v>
      </c>
      <c r="AL351" s="9" t="n">
        <f aca="false">IF(W351=0,0,X351*AI351/W351)</f>
        <v>0</v>
      </c>
      <c r="AM351" s="9" t="n">
        <f aca="false">X351-AK351-AL351</f>
        <v>0</v>
      </c>
    </row>
    <row r="352" customFormat="false" ht="15" hidden="false" customHeight="false" outlineLevel="0" collapsed="false">
      <c r="A352" s="6" t="n">
        <v>347</v>
      </c>
      <c r="B352" s="74" t="s">
        <v>980</v>
      </c>
      <c r="C352" s="53" t="str">
        <f aca="false">INDEX(I_Items!$C$5:$C$133,MATCH($B352,I_Items!$A$5:$A$133,0))</f>
        <v>RPA</v>
      </c>
      <c r="D352" s="53" t="str">
        <f aca="false">INDEX(I_Items!$D$5:$D$133,MATCH($B352,I_Items!$A$5:$A$133,0))</f>
        <v>Karkas</v>
      </c>
      <c r="E352" s="53" t="str">
        <f aca="false">INDEX(I_Items!$F$5:$F$133,MATCH($B352,I_Items!$A$5:$A$133,0))</f>
        <v>Frozen</v>
      </c>
      <c r="F352" s="53" t="str">
        <f aca="false">IF(INDEX(I_Items!$E$5:$E$133,MATCH($B352,I_Items!$A$5:$A$133,0))="","",INDEX(I_Items!$E$5:$E$133,MATCH($B352,I_Items!$A$5:$A$133,0)))</f>
        <v>Uk 1.0</v>
      </c>
      <c r="G352" s="76" t="n">
        <v>46216</v>
      </c>
      <c r="H352" s="23" t="n">
        <f aca="false">MONTH(G352)</f>
        <v>7</v>
      </c>
      <c r="I352" s="74" t="s">
        <v>2075</v>
      </c>
      <c r="J352" s="74" t="s">
        <v>2144</v>
      </c>
      <c r="K352" s="10" t="n">
        <v>0</v>
      </c>
      <c r="L352" s="8" t="n">
        <v>0</v>
      </c>
      <c r="M352" s="10" t="n">
        <v>62.6</v>
      </c>
      <c r="N352" s="8" t="n">
        <v>1687667.02</v>
      </c>
      <c r="O352" s="74" t="s">
        <v>2077</v>
      </c>
      <c r="P352" s="74"/>
      <c r="Q352" s="74"/>
      <c r="R352" s="14" t="n">
        <f aca="false">IF(I352="Unbilled",0,M352)</f>
        <v>62.6</v>
      </c>
      <c r="S352" s="9" t="n">
        <f aca="false">IF(R352=0,0,IF(O352="Booked",N352,R352*V351))</f>
        <v>1687667.02460232</v>
      </c>
      <c r="T352" s="14" t="n">
        <f aca="false">IF(I352="Opening",K352,T351+K352-R352)</f>
        <v>427.11</v>
      </c>
      <c r="U352" s="9" t="n">
        <f aca="false">IF(I352="Opening",L352,U351+L352-S352)</f>
        <v>11514687.9053977</v>
      </c>
      <c r="V352" s="9" t="n">
        <f aca="false">IF(T352&gt;0,U352/T352,IF(I352="Opening",0,V351))</f>
        <v>26959.5371342223</v>
      </c>
      <c r="W352" s="14" t="n">
        <f aca="false">M352</f>
        <v>62.6</v>
      </c>
      <c r="X352" s="9" t="n">
        <f aca="false">IF(W352=0,0,IF(O352="Booked",N352,W352*AA351))</f>
        <v>1687667.02460232</v>
      </c>
      <c r="Y352" s="14" t="n">
        <f aca="false">IF(I352="Opening",K352,Y351+K352-W352)</f>
        <v>427.11</v>
      </c>
      <c r="Z352" s="9" t="n">
        <f aca="false">IF(I352="Opening",L352,Z351+L352-X352)</f>
        <v>11514687.9053977</v>
      </c>
      <c r="AA352" s="9" t="n">
        <f aca="false">IF(Y352&gt;0,Z352/Y352,IF(I352="Opening",0,AA351))</f>
        <v>26959.5371342223</v>
      </c>
      <c r="AB352" s="9" t="n">
        <f aca="false">IF(AND(I352="DO",O352="MA"),S352-N352,0)</f>
        <v>0.00460231583565474</v>
      </c>
      <c r="AC352" s="9" t="n">
        <f aca="false">IF(I352="DO",X352-S352,0)</f>
        <v>0</v>
      </c>
      <c r="AD352" s="23" t="n">
        <f aca="false">IF(B353&lt;&gt;B352,1,0)</f>
        <v>0</v>
      </c>
      <c r="AE352" s="14" t="n">
        <f aca="false">IF(I352="Opening",0,AE351+W352)</f>
        <v>62.6</v>
      </c>
      <c r="AF352" s="14" t="n">
        <f aca="false">IF(I352="Opening",K352,AF351)</f>
        <v>489.71</v>
      </c>
      <c r="AG352" s="14" t="n">
        <f aca="false">AG351</f>
        <v>0</v>
      </c>
      <c r="AH352" s="14" t="n">
        <f aca="false">IF(W352=0,0,MAX(0,MIN(AE352,AF352)-MIN(AE352-W352,AF352)))</f>
        <v>62.6</v>
      </c>
      <c r="AI352" s="14" t="n">
        <f aca="false">IF(W352=0,0,MAX(0,MIN(AE352,AF352+AG352)-MAX(AE352-W352,AF352)))</f>
        <v>0</v>
      </c>
      <c r="AJ352" s="14" t="n">
        <f aca="false">W352-AH352-AI352</f>
        <v>0</v>
      </c>
      <c r="AK352" s="9" t="n">
        <f aca="false">IF(W352=0,0,X352*AH352/W352)</f>
        <v>1687667.02460232</v>
      </c>
      <c r="AL352" s="9" t="n">
        <f aca="false">IF(W352=0,0,X352*AI352/W352)</f>
        <v>0</v>
      </c>
      <c r="AM352" s="9" t="n">
        <f aca="false">X352-AK352-AL352</f>
        <v>0</v>
      </c>
    </row>
    <row r="353" customFormat="false" ht="15" hidden="false" customHeight="false" outlineLevel="0" collapsed="false">
      <c r="A353" s="6" t="n">
        <v>348</v>
      </c>
      <c r="B353" s="74" t="s">
        <v>980</v>
      </c>
      <c r="C353" s="53" t="str">
        <f aca="false">INDEX(I_Items!$C$5:$C$133,MATCH($B353,I_Items!$A$5:$A$133,0))</f>
        <v>RPA</v>
      </c>
      <c r="D353" s="53" t="str">
        <f aca="false">INDEX(I_Items!$D$5:$D$133,MATCH($B353,I_Items!$A$5:$A$133,0))</f>
        <v>Karkas</v>
      </c>
      <c r="E353" s="53" t="str">
        <f aca="false">INDEX(I_Items!$F$5:$F$133,MATCH($B353,I_Items!$A$5:$A$133,0))</f>
        <v>Frozen</v>
      </c>
      <c r="F353" s="53" t="str">
        <f aca="false">IF(INDEX(I_Items!$E$5:$E$133,MATCH($B353,I_Items!$A$5:$A$133,0))="","",INDEX(I_Items!$E$5:$E$133,MATCH($B353,I_Items!$A$5:$A$133,0)))</f>
        <v>Uk 1.0</v>
      </c>
      <c r="G353" s="76" t="n">
        <v>46225</v>
      </c>
      <c r="H353" s="23" t="n">
        <f aca="false">MONTH(G353)</f>
        <v>7</v>
      </c>
      <c r="I353" s="74" t="s">
        <v>2075</v>
      </c>
      <c r="J353" s="74" t="s">
        <v>2145</v>
      </c>
      <c r="K353" s="10" t="n">
        <v>0</v>
      </c>
      <c r="L353" s="8" t="n">
        <v>0</v>
      </c>
      <c r="M353" s="10" t="n">
        <v>267.99</v>
      </c>
      <c r="N353" s="8" t="n">
        <v>7224886.35</v>
      </c>
      <c r="O353" s="74" t="s">
        <v>2077</v>
      </c>
      <c r="P353" s="74"/>
      <c r="Q353" s="74"/>
      <c r="R353" s="14" t="n">
        <f aca="false">IF(I353="Unbilled",0,M353)</f>
        <v>267.99</v>
      </c>
      <c r="S353" s="9" t="n">
        <f aca="false">IF(R353=0,0,IF(O353="Booked",N353,R353*V352))</f>
        <v>7224886.35660023</v>
      </c>
      <c r="T353" s="14" t="n">
        <f aca="false">IF(I353="Opening",K353,T352+K353-R353)</f>
        <v>159.12</v>
      </c>
      <c r="U353" s="9" t="n">
        <f aca="false">IF(I353="Opening",L353,U352+L353-S353)</f>
        <v>4289801.54879745</v>
      </c>
      <c r="V353" s="9" t="n">
        <f aca="false">IF(T353&gt;0,U353/T353,IF(I353="Opening",0,V352))</f>
        <v>26959.5371342223</v>
      </c>
      <c r="W353" s="14" t="n">
        <f aca="false">M353</f>
        <v>267.99</v>
      </c>
      <c r="X353" s="9" t="n">
        <f aca="false">IF(W353=0,0,IF(O353="Booked",N353,W353*AA352))</f>
        <v>7224886.35660023</v>
      </c>
      <c r="Y353" s="14" t="n">
        <f aca="false">IF(I353="Opening",K353,Y352+K353-W353)</f>
        <v>159.12</v>
      </c>
      <c r="Z353" s="9" t="n">
        <f aca="false">IF(I353="Opening",L353,Z352+L353-X353)</f>
        <v>4289801.54879745</v>
      </c>
      <c r="AA353" s="9" t="n">
        <f aca="false">IF(Y353&gt;0,Z353/Y353,IF(I353="Opening",0,AA352))</f>
        <v>26959.5371342223</v>
      </c>
      <c r="AB353" s="9" t="n">
        <f aca="false">IF(AND(I353="DO",O353="MA"),S353-N353,0)</f>
        <v>0.00660023372620344</v>
      </c>
      <c r="AC353" s="9" t="n">
        <f aca="false">IF(I353="DO",X353-S353,0)</f>
        <v>0</v>
      </c>
      <c r="AD353" s="23" t="n">
        <f aca="false">IF(B354&lt;&gt;B353,1,0)</f>
        <v>0</v>
      </c>
      <c r="AE353" s="14" t="n">
        <f aca="false">IF(I353="Opening",0,AE352+W353)</f>
        <v>330.59</v>
      </c>
      <c r="AF353" s="14" t="n">
        <f aca="false">IF(I353="Opening",K353,AF352)</f>
        <v>489.71</v>
      </c>
      <c r="AG353" s="14" t="n">
        <f aca="false">AG352</f>
        <v>0</v>
      </c>
      <c r="AH353" s="14" t="n">
        <f aca="false">IF(W353=0,0,MAX(0,MIN(AE353,AF353)-MIN(AE353-W353,AF353)))</f>
        <v>267.99</v>
      </c>
      <c r="AI353" s="14" t="n">
        <f aca="false">IF(W353=0,0,MAX(0,MIN(AE353,AF353+AG353)-MAX(AE353-W353,AF353)))</f>
        <v>0</v>
      </c>
      <c r="AJ353" s="14" t="n">
        <f aca="false">W353-AH353-AI353</f>
        <v>0</v>
      </c>
      <c r="AK353" s="9" t="n">
        <f aca="false">IF(W353=0,0,X353*AH353/W353)</f>
        <v>7224886.35660023</v>
      </c>
      <c r="AL353" s="9" t="n">
        <f aca="false">IF(W353=0,0,X353*AI353/W353)</f>
        <v>0</v>
      </c>
      <c r="AM353" s="9" t="n">
        <f aca="false">X353-AK353-AL353</f>
        <v>0</v>
      </c>
    </row>
    <row r="354" customFormat="false" ht="15" hidden="false" customHeight="false" outlineLevel="0" collapsed="false">
      <c r="A354" s="6" t="n">
        <v>349</v>
      </c>
      <c r="B354" s="74" t="s">
        <v>980</v>
      </c>
      <c r="C354" s="53" t="str">
        <f aca="false">INDEX(I_Items!$C$5:$C$133,MATCH($B354,I_Items!$A$5:$A$133,0))</f>
        <v>RPA</v>
      </c>
      <c r="D354" s="53" t="str">
        <f aca="false">INDEX(I_Items!$D$5:$D$133,MATCH($B354,I_Items!$A$5:$A$133,0))</f>
        <v>Karkas</v>
      </c>
      <c r="E354" s="53" t="str">
        <f aca="false">INDEX(I_Items!$F$5:$F$133,MATCH($B354,I_Items!$A$5:$A$133,0))</f>
        <v>Frozen</v>
      </c>
      <c r="F354" s="53" t="str">
        <f aca="false">IF(INDEX(I_Items!$E$5:$E$133,MATCH($B354,I_Items!$A$5:$A$133,0))="","",INDEX(I_Items!$E$5:$E$133,MATCH($B354,I_Items!$A$5:$A$133,0)))</f>
        <v>Uk 1.0</v>
      </c>
      <c r="G354" s="76" t="n">
        <v>46231</v>
      </c>
      <c r="H354" s="23" t="n">
        <f aca="false">MONTH(G354)</f>
        <v>7</v>
      </c>
      <c r="I354" s="74" t="s">
        <v>2075</v>
      </c>
      <c r="J354" s="74" t="s">
        <v>2142</v>
      </c>
      <c r="K354" s="10" t="n">
        <v>0</v>
      </c>
      <c r="L354" s="8" t="n">
        <v>0</v>
      </c>
      <c r="M354" s="10" t="n">
        <v>43.47</v>
      </c>
      <c r="N354" s="8" t="n">
        <v>1171931.08</v>
      </c>
      <c r="O354" s="74" t="s">
        <v>2077</v>
      </c>
      <c r="P354" s="74"/>
      <c r="Q354" s="74"/>
      <c r="R354" s="14" t="n">
        <f aca="false">IF(I354="Unbilled",0,M354)</f>
        <v>43.47</v>
      </c>
      <c r="S354" s="9" t="n">
        <f aca="false">IF(R354=0,0,IF(O354="Booked",N354,R354*V353))</f>
        <v>1171931.07922464</v>
      </c>
      <c r="T354" s="14" t="n">
        <f aca="false">IF(I354="Opening",K354,T353+K354-R354)</f>
        <v>115.65</v>
      </c>
      <c r="U354" s="9" t="n">
        <f aca="false">IF(I354="Opening",L354,U353+L354-S354)</f>
        <v>3117870.46957281</v>
      </c>
      <c r="V354" s="9" t="n">
        <f aca="false">IF(T354&gt;0,U354/T354,IF(I354="Opening",0,V353))</f>
        <v>26959.5371342223</v>
      </c>
      <c r="W354" s="14" t="n">
        <f aca="false">M354</f>
        <v>43.47</v>
      </c>
      <c r="X354" s="9" t="n">
        <f aca="false">IF(W354=0,0,IF(O354="Booked",N354,W354*AA353))</f>
        <v>1171931.07922464</v>
      </c>
      <c r="Y354" s="14" t="n">
        <f aca="false">IF(I354="Opening",K354,Y353+K354-W354)</f>
        <v>115.65</v>
      </c>
      <c r="Z354" s="9" t="n">
        <f aca="false">IF(I354="Opening",L354,Z353+L354-X354)</f>
        <v>3117870.46957281</v>
      </c>
      <c r="AA354" s="9" t="n">
        <f aca="false">IF(Y354&gt;0,Z354/Y354,IF(I354="Opening",0,AA353))</f>
        <v>26959.5371342223</v>
      </c>
      <c r="AB354" s="9" t="n">
        <f aca="false">IF(AND(I354="DO",O354="MA"),S354-N354,0)</f>
        <v>-0.000775357009842992</v>
      </c>
      <c r="AC354" s="9" t="n">
        <f aca="false">IF(I354="DO",X354-S354,0)</f>
        <v>0</v>
      </c>
      <c r="AD354" s="23" t="n">
        <f aca="false">IF(B355&lt;&gt;B354,1,0)</f>
        <v>0</v>
      </c>
      <c r="AE354" s="14" t="n">
        <f aca="false">IF(I354="Opening",0,AE353+W354)</f>
        <v>374.06</v>
      </c>
      <c r="AF354" s="14" t="n">
        <f aca="false">IF(I354="Opening",K354,AF353)</f>
        <v>489.71</v>
      </c>
      <c r="AG354" s="14" t="n">
        <f aca="false">AG353</f>
        <v>0</v>
      </c>
      <c r="AH354" s="14" t="n">
        <f aca="false">IF(W354=0,0,MAX(0,MIN(AE354,AF354)-MIN(AE354-W354,AF354)))</f>
        <v>43.47</v>
      </c>
      <c r="AI354" s="14" t="n">
        <f aca="false">IF(W354=0,0,MAX(0,MIN(AE354,AF354+AG354)-MAX(AE354-W354,AF354)))</f>
        <v>0</v>
      </c>
      <c r="AJ354" s="14" t="n">
        <f aca="false">W354-AH354-AI354</f>
        <v>0</v>
      </c>
      <c r="AK354" s="9" t="n">
        <f aca="false">IF(W354=0,0,X354*AH354/W354)</f>
        <v>1171931.07922464</v>
      </c>
      <c r="AL354" s="9" t="n">
        <f aca="false">IF(W354=0,0,X354*AI354/W354)</f>
        <v>0</v>
      </c>
      <c r="AM354" s="9" t="n">
        <f aca="false">X354-AK354-AL354</f>
        <v>0</v>
      </c>
    </row>
    <row r="355" customFormat="false" ht="15" hidden="false" customHeight="false" outlineLevel="0" collapsed="false">
      <c r="A355" s="6" t="n">
        <v>350</v>
      </c>
      <c r="B355" s="74" t="s">
        <v>980</v>
      </c>
      <c r="C355" s="53" t="str">
        <f aca="false">INDEX(I_Items!$C$5:$C$133,MATCH($B355,I_Items!$A$5:$A$133,0))</f>
        <v>RPA</v>
      </c>
      <c r="D355" s="53" t="str">
        <f aca="false">INDEX(I_Items!$D$5:$D$133,MATCH($B355,I_Items!$A$5:$A$133,0))</f>
        <v>Karkas</v>
      </c>
      <c r="E355" s="53" t="str">
        <f aca="false">INDEX(I_Items!$F$5:$F$133,MATCH($B355,I_Items!$A$5:$A$133,0))</f>
        <v>Frozen</v>
      </c>
      <c r="F355" s="53" t="str">
        <f aca="false">IF(INDEX(I_Items!$E$5:$E$133,MATCH($B355,I_Items!$A$5:$A$133,0))="","",INDEX(I_Items!$E$5:$E$133,MATCH($B355,I_Items!$A$5:$A$133,0)))</f>
        <v>Uk 1.0</v>
      </c>
      <c r="G355" s="76" t="n">
        <v>46233</v>
      </c>
      <c r="H355" s="23" t="n">
        <f aca="false">MONTH(G355)</f>
        <v>7</v>
      </c>
      <c r="I355" s="74" t="s">
        <v>2075</v>
      </c>
      <c r="J355" s="74" t="s">
        <v>2143</v>
      </c>
      <c r="K355" s="10" t="n">
        <v>0</v>
      </c>
      <c r="L355" s="8" t="n">
        <v>0</v>
      </c>
      <c r="M355" s="10" t="n">
        <v>115.65</v>
      </c>
      <c r="N355" s="8" t="n">
        <v>3117870.47</v>
      </c>
      <c r="O355" s="74" t="s">
        <v>2077</v>
      </c>
      <c r="P355" s="74"/>
      <c r="Q355" s="74"/>
      <c r="R355" s="14" t="n">
        <f aca="false">IF(I355="Unbilled",0,M355)</f>
        <v>115.65</v>
      </c>
      <c r="S355" s="9" t="n">
        <f aca="false">IF(R355=0,0,IF(O355="Booked",N355,R355*V354))</f>
        <v>3117870.46957281</v>
      </c>
      <c r="T355" s="14" t="n">
        <f aca="false">IF(I355="Opening",K355,T354+K355-R355)</f>
        <v>0</v>
      </c>
      <c r="U355" s="9" t="n">
        <f aca="false">IF(I355="Opening",L355,U354+L355-S355)</f>
        <v>0</v>
      </c>
      <c r="V355" s="9" t="n">
        <f aca="false">IF(T355&gt;0,U355/T355,IF(I355="Opening",0,V354))</f>
        <v>26959.5371342223</v>
      </c>
      <c r="W355" s="14" t="n">
        <f aca="false">M355</f>
        <v>115.65</v>
      </c>
      <c r="X355" s="9" t="n">
        <f aca="false">IF(W355=0,0,IF(O355="Booked",N355,W355*AA354))</f>
        <v>3117870.46957281</v>
      </c>
      <c r="Y355" s="14" t="n">
        <f aca="false">IF(I355="Opening",K355,Y354+K355-W355)</f>
        <v>0</v>
      </c>
      <c r="Z355" s="9" t="n">
        <f aca="false">IF(I355="Opening",L355,Z354+L355-X355)</f>
        <v>0</v>
      </c>
      <c r="AA355" s="9" t="n">
        <f aca="false">IF(Y355&gt;0,Z355/Y355,IF(I355="Opening",0,AA354))</f>
        <v>26959.5371342223</v>
      </c>
      <c r="AB355" s="9" t="n">
        <f aca="false">IF(AND(I355="DO",O355="MA"),S355-N355,0)</f>
        <v>-0.000427191611379385</v>
      </c>
      <c r="AC355" s="9" t="n">
        <f aca="false">IF(I355="DO",X355-S355,0)</f>
        <v>0</v>
      </c>
      <c r="AD355" s="23" t="n">
        <f aca="false">IF(B356&lt;&gt;B355,1,0)</f>
        <v>0</v>
      </c>
      <c r="AE355" s="14" t="n">
        <f aca="false">IF(I355="Opening",0,AE354+W355)</f>
        <v>489.71</v>
      </c>
      <c r="AF355" s="14" t="n">
        <f aca="false">IF(I355="Opening",K355,AF354)</f>
        <v>489.71</v>
      </c>
      <c r="AG355" s="14" t="n">
        <f aca="false">AG354</f>
        <v>0</v>
      </c>
      <c r="AH355" s="14" t="n">
        <f aca="false">IF(W355=0,0,MAX(0,MIN(AE355,AF355)-MIN(AE355-W355,AF355)))</f>
        <v>115.65</v>
      </c>
      <c r="AI355" s="14" t="n">
        <f aca="false">IF(W355=0,0,MAX(0,MIN(AE355,AF355+AG355)-MAX(AE355-W355,AF355)))</f>
        <v>0</v>
      </c>
      <c r="AJ355" s="14" t="n">
        <f aca="false">W355-AH355-AI355</f>
        <v>0</v>
      </c>
      <c r="AK355" s="9" t="n">
        <f aca="false">IF(W355=0,0,X355*AH355/W355)</f>
        <v>3117870.46957281</v>
      </c>
      <c r="AL355" s="9" t="n">
        <f aca="false">IF(W355=0,0,X355*AI355/W355)</f>
        <v>0</v>
      </c>
      <c r="AM355" s="9" t="n">
        <f aca="false">X355-AK355-AL355</f>
        <v>0</v>
      </c>
    </row>
    <row r="356" customFormat="false" ht="15" hidden="false" customHeight="false" outlineLevel="0" collapsed="false">
      <c r="A356" s="6" t="n">
        <v>351</v>
      </c>
      <c r="B356" s="74" t="s">
        <v>980</v>
      </c>
      <c r="C356" s="53" t="str">
        <f aca="false">INDEX(I_Items!$C$5:$C$133,MATCH($B356,I_Items!$A$5:$A$133,0))</f>
        <v>RPA</v>
      </c>
      <c r="D356" s="53" t="str">
        <f aca="false">INDEX(I_Items!$D$5:$D$133,MATCH($B356,I_Items!$A$5:$A$133,0))</f>
        <v>Karkas</v>
      </c>
      <c r="E356" s="53" t="str">
        <f aca="false">INDEX(I_Items!$F$5:$F$133,MATCH($B356,I_Items!$A$5:$A$133,0))</f>
        <v>Frozen</v>
      </c>
      <c r="F356" s="53" t="str">
        <f aca="false">IF(INDEX(I_Items!$E$5:$E$133,MATCH($B356,I_Items!$A$5:$A$133,0))="","",INDEX(I_Items!$E$5:$E$133,MATCH($B356,I_Items!$A$5:$A$133,0)))</f>
        <v>Uk 1.0</v>
      </c>
      <c r="G356" s="76" t="n">
        <v>46244</v>
      </c>
      <c r="H356" s="23" t="n">
        <f aca="false">MONTH(G356)</f>
        <v>8</v>
      </c>
      <c r="I356" s="74" t="s">
        <v>2074</v>
      </c>
      <c r="J356" s="74" t="s">
        <v>1298</v>
      </c>
      <c r="K356" s="10" t="n">
        <v>21.4</v>
      </c>
      <c r="L356" s="8" t="n">
        <v>811792.6</v>
      </c>
      <c r="M356" s="10" t="n">
        <v>0</v>
      </c>
      <c r="N356" s="8" t="n">
        <v>0</v>
      </c>
      <c r="O356" s="74"/>
      <c r="P356" s="74"/>
      <c r="Q356" s="74"/>
      <c r="R356" s="14" t="n">
        <f aca="false">IF(I356="Unbilled",0,M356)</f>
        <v>0</v>
      </c>
      <c r="S356" s="9" t="n">
        <f aca="false">IF(R356=0,0,IF(O356="Booked",N356,R356*V355))</f>
        <v>0</v>
      </c>
      <c r="T356" s="14" t="n">
        <f aca="false">IF(I356="Opening",K356,T355+K356-R356)</f>
        <v>21.4</v>
      </c>
      <c r="U356" s="9" t="n">
        <f aca="false">IF(I356="Opening",L356,U355+L356-S356)</f>
        <v>811792.6</v>
      </c>
      <c r="V356" s="9" t="n">
        <f aca="false">IF(T356&gt;0,U356/T356,IF(I356="Opening",0,V355))</f>
        <v>37934.2336448598</v>
      </c>
      <c r="W356" s="14" t="n">
        <f aca="false">M356</f>
        <v>0</v>
      </c>
      <c r="X356" s="9" t="n">
        <f aca="false">IF(W356=0,0,IF(O356="Booked",N356,W356*AA355))</f>
        <v>0</v>
      </c>
      <c r="Y356" s="14" t="n">
        <f aca="false">IF(I356="Opening",K356,Y355+K356-W356)</f>
        <v>21.4</v>
      </c>
      <c r="Z356" s="9" t="n">
        <f aca="false">IF(I356="Opening",L356,Z355+L356-X356)</f>
        <v>811792.6</v>
      </c>
      <c r="AA356" s="9" t="n">
        <f aca="false">IF(Y356&gt;0,Z356/Y356,IF(I356="Opening",0,AA355))</f>
        <v>37934.2336448598</v>
      </c>
      <c r="AB356" s="9" t="n">
        <f aca="false">IF(AND(I356="DO",O356="MA"),S356-N356,0)</f>
        <v>0</v>
      </c>
      <c r="AC356" s="9" t="n">
        <f aca="false">IF(I356="DO",X356-S356,0)</f>
        <v>0</v>
      </c>
      <c r="AD356" s="23" t="n">
        <f aca="false">IF(B357&lt;&gt;B356,1,0)</f>
        <v>0</v>
      </c>
      <c r="AE356" s="14" t="n">
        <f aca="false">IF(I356="Opening",0,AE355+W356)</f>
        <v>489.71</v>
      </c>
      <c r="AF356" s="14" t="n">
        <f aca="false">IF(I356="Opening",K356,AF355)</f>
        <v>489.71</v>
      </c>
      <c r="AG356" s="14" t="n">
        <f aca="false">AG355</f>
        <v>0</v>
      </c>
      <c r="AH356" s="14" t="n">
        <f aca="false">IF(W356=0,0,MAX(0,MIN(AE356,AF356)-MIN(AE356-W356,AF356)))</f>
        <v>0</v>
      </c>
      <c r="AI356" s="14" t="n">
        <f aca="false">IF(W356=0,0,MAX(0,MIN(AE356,AF356+AG356)-MAX(AE356-W356,AF356)))</f>
        <v>0</v>
      </c>
      <c r="AJ356" s="14" t="n">
        <f aca="false">W356-AH356-AI356</f>
        <v>0</v>
      </c>
      <c r="AK356" s="9" t="n">
        <f aca="false">IF(W356=0,0,X356*AH356/W356)</f>
        <v>0</v>
      </c>
      <c r="AL356" s="9" t="n">
        <f aca="false">IF(W356=0,0,X356*AI356/W356)</f>
        <v>0</v>
      </c>
      <c r="AM356" s="9" t="n">
        <f aca="false">X356-AK356-AL356</f>
        <v>0</v>
      </c>
    </row>
    <row r="357" customFormat="false" ht="15" hidden="false" customHeight="false" outlineLevel="0" collapsed="false">
      <c r="A357" s="6" t="n">
        <v>352</v>
      </c>
      <c r="B357" s="74" t="s">
        <v>980</v>
      </c>
      <c r="C357" s="53" t="str">
        <f aca="false">INDEX(I_Items!$C$5:$C$133,MATCH($B357,I_Items!$A$5:$A$133,0))</f>
        <v>RPA</v>
      </c>
      <c r="D357" s="53" t="str">
        <f aca="false">INDEX(I_Items!$D$5:$D$133,MATCH($B357,I_Items!$A$5:$A$133,0))</f>
        <v>Karkas</v>
      </c>
      <c r="E357" s="53" t="str">
        <f aca="false">INDEX(I_Items!$F$5:$F$133,MATCH($B357,I_Items!$A$5:$A$133,0))</f>
        <v>Frozen</v>
      </c>
      <c r="F357" s="53" t="str">
        <f aca="false">IF(INDEX(I_Items!$E$5:$E$133,MATCH($B357,I_Items!$A$5:$A$133,0))="","",INDEX(I_Items!$E$5:$E$133,MATCH($B357,I_Items!$A$5:$A$133,0)))</f>
        <v>Uk 1.0</v>
      </c>
      <c r="G357" s="76" t="n">
        <v>46248</v>
      </c>
      <c r="H357" s="23" t="n">
        <f aca="false">MONTH(G357)</f>
        <v>8</v>
      </c>
      <c r="I357" s="74" t="s">
        <v>2074</v>
      </c>
      <c r="J357" s="74" t="s">
        <v>1302</v>
      </c>
      <c r="K357" s="10" t="n">
        <v>548.6</v>
      </c>
      <c r="L357" s="8" t="n">
        <v>21003611.39</v>
      </c>
      <c r="M357" s="10" t="n">
        <v>0</v>
      </c>
      <c r="N357" s="8" t="n">
        <v>0</v>
      </c>
      <c r="O357" s="74"/>
      <c r="P357" s="74"/>
      <c r="Q357" s="74"/>
      <c r="R357" s="14" t="n">
        <f aca="false">IF(I357="Unbilled",0,M357)</f>
        <v>0</v>
      </c>
      <c r="S357" s="9" t="n">
        <f aca="false">IF(R357=0,0,IF(O357="Booked",N357,R357*V356))</f>
        <v>0</v>
      </c>
      <c r="T357" s="14" t="n">
        <f aca="false">IF(I357="Opening",K357,T356+K357-R357)</f>
        <v>570</v>
      </c>
      <c r="U357" s="9" t="n">
        <f aca="false">IF(I357="Opening",L357,U356+L357-S357)</f>
        <v>21815403.99</v>
      </c>
      <c r="V357" s="9" t="n">
        <f aca="false">IF(T357&gt;0,U357/T357,IF(I357="Opening",0,V356))</f>
        <v>38272.6385789474</v>
      </c>
      <c r="W357" s="14" t="n">
        <f aca="false">M357</f>
        <v>0</v>
      </c>
      <c r="X357" s="9" t="n">
        <f aca="false">IF(W357=0,0,IF(O357="Booked",N357,W357*AA356))</f>
        <v>0</v>
      </c>
      <c r="Y357" s="14" t="n">
        <f aca="false">IF(I357="Opening",K357,Y356+K357-W357)</f>
        <v>570</v>
      </c>
      <c r="Z357" s="9" t="n">
        <f aca="false">IF(I357="Opening",L357,Z356+L357-X357)</f>
        <v>21815403.99</v>
      </c>
      <c r="AA357" s="9" t="n">
        <f aca="false">IF(Y357&gt;0,Z357/Y357,IF(I357="Opening",0,AA356))</f>
        <v>38272.6385789474</v>
      </c>
      <c r="AB357" s="9" t="n">
        <f aca="false">IF(AND(I357="DO",O357="MA"),S357-N357,0)</f>
        <v>0</v>
      </c>
      <c r="AC357" s="9" t="n">
        <f aca="false">IF(I357="DO",X357-S357,0)</f>
        <v>0</v>
      </c>
      <c r="AD357" s="23" t="n">
        <f aca="false">IF(B358&lt;&gt;B357,1,0)</f>
        <v>0</v>
      </c>
      <c r="AE357" s="14" t="n">
        <f aca="false">IF(I357="Opening",0,AE356+W357)</f>
        <v>489.71</v>
      </c>
      <c r="AF357" s="14" t="n">
        <f aca="false">IF(I357="Opening",K357,AF356)</f>
        <v>489.71</v>
      </c>
      <c r="AG357" s="14" t="n">
        <f aca="false">AG356</f>
        <v>0</v>
      </c>
      <c r="AH357" s="14" t="n">
        <f aca="false">IF(W357=0,0,MAX(0,MIN(AE357,AF357)-MIN(AE357-W357,AF357)))</f>
        <v>0</v>
      </c>
      <c r="AI357" s="14" t="n">
        <f aca="false">IF(W357=0,0,MAX(0,MIN(AE357,AF357+AG357)-MAX(AE357-W357,AF357)))</f>
        <v>0</v>
      </c>
      <c r="AJ357" s="14" t="n">
        <f aca="false">W357-AH357-AI357</f>
        <v>0</v>
      </c>
      <c r="AK357" s="9" t="n">
        <f aca="false">IF(W357=0,0,X357*AH357/W357)</f>
        <v>0</v>
      </c>
      <c r="AL357" s="9" t="n">
        <f aca="false">IF(W357=0,0,X357*AI357/W357)</f>
        <v>0</v>
      </c>
      <c r="AM357" s="9" t="n">
        <f aca="false">X357-AK357-AL357</f>
        <v>0</v>
      </c>
    </row>
    <row r="358" customFormat="false" ht="15" hidden="false" customHeight="false" outlineLevel="0" collapsed="false">
      <c r="A358" s="6" t="n">
        <v>353</v>
      </c>
      <c r="B358" s="74" t="s">
        <v>980</v>
      </c>
      <c r="C358" s="53" t="str">
        <f aca="false">INDEX(I_Items!$C$5:$C$133,MATCH($B358,I_Items!$A$5:$A$133,0))</f>
        <v>RPA</v>
      </c>
      <c r="D358" s="53" t="str">
        <f aca="false">INDEX(I_Items!$D$5:$D$133,MATCH($B358,I_Items!$A$5:$A$133,0))</f>
        <v>Karkas</v>
      </c>
      <c r="E358" s="53" t="str">
        <f aca="false">INDEX(I_Items!$F$5:$F$133,MATCH($B358,I_Items!$A$5:$A$133,0))</f>
        <v>Frozen</v>
      </c>
      <c r="F358" s="53" t="str">
        <f aca="false">IF(INDEX(I_Items!$E$5:$E$133,MATCH($B358,I_Items!$A$5:$A$133,0))="","",INDEX(I_Items!$E$5:$E$133,MATCH($B358,I_Items!$A$5:$A$133,0)))</f>
        <v>Uk 1.0</v>
      </c>
      <c r="G358" s="76" t="n">
        <v>46248</v>
      </c>
      <c r="H358" s="23" t="n">
        <f aca="false">MONTH(G358)</f>
        <v>8</v>
      </c>
      <c r="I358" s="74" t="s">
        <v>2117</v>
      </c>
      <c r="J358" s="74" t="s">
        <v>2146</v>
      </c>
      <c r="K358" s="10" t="n">
        <v>0</v>
      </c>
      <c r="L358" s="8" t="n">
        <v>0</v>
      </c>
      <c r="M358" s="10" t="n">
        <v>146.9</v>
      </c>
      <c r="N358" s="8" t="n">
        <v>5622250.61</v>
      </c>
      <c r="O358" s="74" t="s">
        <v>2119</v>
      </c>
      <c r="P358" s="74"/>
      <c r="Q358" s="74"/>
      <c r="R358" s="14" t="n">
        <f aca="false">IF(I358="Unbilled",0,M358)</f>
        <v>146.9</v>
      </c>
      <c r="S358" s="9" t="n">
        <f aca="false">IF(R358=0,0,IF(O358="Booked",N358,R358*V357))</f>
        <v>5622250.61</v>
      </c>
      <c r="T358" s="14" t="n">
        <f aca="false">IF(I358="Opening",K358,T357+K358-R358)</f>
        <v>423.1</v>
      </c>
      <c r="U358" s="9" t="n">
        <f aca="false">IF(I358="Opening",L358,U357+L358-S358)</f>
        <v>16193153.38</v>
      </c>
      <c r="V358" s="9" t="n">
        <f aca="false">IF(T358&gt;0,U358/T358,IF(I358="Opening",0,V357))</f>
        <v>38272.6385724415</v>
      </c>
      <c r="W358" s="14" t="n">
        <f aca="false">M358</f>
        <v>146.9</v>
      </c>
      <c r="X358" s="9" t="n">
        <f aca="false">IF(W358=0,0,IF(O358="Booked",N358,W358*AA357))</f>
        <v>5622250.61</v>
      </c>
      <c r="Y358" s="14" t="n">
        <f aca="false">IF(I358="Opening",K358,Y357+K358-W358)</f>
        <v>423.1</v>
      </c>
      <c r="Z358" s="9" t="n">
        <f aca="false">IF(I358="Opening",L358,Z357+L358-X358)</f>
        <v>16193153.38</v>
      </c>
      <c r="AA358" s="9" t="n">
        <f aca="false">IF(Y358&gt;0,Z358/Y358,IF(I358="Opening",0,AA357))</f>
        <v>38272.6385724415</v>
      </c>
      <c r="AB358" s="9" t="n">
        <f aca="false">IF(AND(I358="DO",O358="MA"),S358-N358,0)</f>
        <v>0</v>
      </c>
      <c r="AC358" s="9" t="n">
        <f aca="false">IF(I358="DO",X358-S358,0)</f>
        <v>0</v>
      </c>
      <c r="AD358" s="23" t="n">
        <f aca="false">IF(B359&lt;&gt;B358,1,0)</f>
        <v>0</v>
      </c>
      <c r="AE358" s="14" t="n">
        <f aca="false">IF(I358="Opening",0,AE357+W358)</f>
        <v>636.61</v>
      </c>
      <c r="AF358" s="14" t="n">
        <f aca="false">IF(I358="Opening",K358,AF357)</f>
        <v>489.71</v>
      </c>
      <c r="AG358" s="14" t="n">
        <f aca="false">AG357</f>
        <v>0</v>
      </c>
      <c r="AH358" s="14" t="n">
        <f aca="false">IF(W358=0,0,MAX(0,MIN(AE358,AF358)-MIN(AE358-W358,AF358)))</f>
        <v>0</v>
      </c>
      <c r="AI358" s="14" t="n">
        <f aca="false">IF(W358=0,0,MAX(0,MIN(AE358,AF358+AG358)-MAX(AE358-W358,AF358)))</f>
        <v>0</v>
      </c>
      <c r="AJ358" s="14" t="n">
        <f aca="false">W358-AH358-AI358</f>
        <v>146.9</v>
      </c>
      <c r="AK358" s="9" t="n">
        <f aca="false">IF(W358=0,0,X358*AH358/W358)</f>
        <v>0</v>
      </c>
      <c r="AL358" s="9" t="n">
        <f aca="false">IF(W358=0,0,X358*AI358/W358)</f>
        <v>0</v>
      </c>
      <c r="AM358" s="9" t="n">
        <f aca="false">X358-AK358-AL358</f>
        <v>5622250.61</v>
      </c>
    </row>
    <row r="359" customFormat="false" ht="15" hidden="false" customHeight="false" outlineLevel="0" collapsed="false">
      <c r="A359" s="6" t="n">
        <v>354</v>
      </c>
      <c r="B359" s="74" t="s">
        <v>980</v>
      </c>
      <c r="C359" s="53" t="str">
        <f aca="false">INDEX(I_Items!$C$5:$C$133,MATCH($B359,I_Items!$A$5:$A$133,0))</f>
        <v>RPA</v>
      </c>
      <c r="D359" s="53" t="str">
        <f aca="false">INDEX(I_Items!$D$5:$D$133,MATCH($B359,I_Items!$A$5:$A$133,0))</f>
        <v>Karkas</v>
      </c>
      <c r="E359" s="53" t="str">
        <f aca="false">INDEX(I_Items!$F$5:$F$133,MATCH($B359,I_Items!$A$5:$A$133,0))</f>
        <v>Frozen</v>
      </c>
      <c r="F359" s="53" t="str">
        <f aca="false">IF(INDEX(I_Items!$E$5:$E$133,MATCH($B359,I_Items!$A$5:$A$133,0))="","",INDEX(I_Items!$E$5:$E$133,MATCH($B359,I_Items!$A$5:$A$133,0)))</f>
        <v>Uk 1.0</v>
      </c>
      <c r="G359" s="76" t="n">
        <v>46259</v>
      </c>
      <c r="H359" s="23" t="n">
        <f aca="false">MONTH(G359)</f>
        <v>8</v>
      </c>
      <c r="I359" s="74" t="s">
        <v>2074</v>
      </c>
      <c r="J359" s="74" t="s">
        <v>1314</v>
      </c>
      <c r="K359" s="10" t="n">
        <v>402.8</v>
      </c>
      <c r="L359" s="8" t="n">
        <v>14855100.18</v>
      </c>
      <c r="M359" s="10" t="n">
        <v>0</v>
      </c>
      <c r="N359" s="8" t="n">
        <v>0</v>
      </c>
      <c r="O359" s="74"/>
      <c r="P359" s="74"/>
      <c r="Q359" s="74"/>
      <c r="R359" s="14" t="n">
        <f aca="false">IF(I359="Unbilled",0,M359)</f>
        <v>0</v>
      </c>
      <c r="S359" s="9" t="n">
        <f aca="false">IF(R359=0,0,IF(O359="Booked",N359,R359*V358))</f>
        <v>0</v>
      </c>
      <c r="T359" s="14" t="n">
        <f aca="false">IF(I359="Opening",K359,T358+K359-R359)</f>
        <v>825.9</v>
      </c>
      <c r="U359" s="9" t="n">
        <f aca="false">IF(I359="Opening",L359,U358+L359-S359)</f>
        <v>31048253.56</v>
      </c>
      <c r="V359" s="9" t="n">
        <f aca="false">IF(T359&gt;0,U359/T359,IF(I359="Opening",0,V358))</f>
        <v>37593.2359365541</v>
      </c>
      <c r="W359" s="14" t="n">
        <f aca="false">M359</f>
        <v>0</v>
      </c>
      <c r="X359" s="9" t="n">
        <f aca="false">IF(W359=0,0,IF(O359="Booked",N359,W359*AA358))</f>
        <v>0</v>
      </c>
      <c r="Y359" s="14" t="n">
        <f aca="false">IF(I359="Opening",K359,Y358+K359-W359)</f>
        <v>825.9</v>
      </c>
      <c r="Z359" s="9" t="n">
        <f aca="false">IF(I359="Opening",L359,Z358+L359-X359)</f>
        <v>31048253.56</v>
      </c>
      <c r="AA359" s="9" t="n">
        <f aca="false">IF(Y359&gt;0,Z359/Y359,IF(I359="Opening",0,AA358))</f>
        <v>37593.2359365541</v>
      </c>
      <c r="AB359" s="9" t="n">
        <f aca="false">IF(AND(I359="DO",O359="MA"),S359-N359,0)</f>
        <v>0</v>
      </c>
      <c r="AC359" s="9" t="n">
        <f aca="false">IF(I359="DO",X359-S359,0)</f>
        <v>0</v>
      </c>
      <c r="AD359" s="23" t="n">
        <f aca="false">IF(B360&lt;&gt;B359,1,0)</f>
        <v>0</v>
      </c>
      <c r="AE359" s="14" t="n">
        <f aca="false">IF(I359="Opening",0,AE358+W359)</f>
        <v>636.61</v>
      </c>
      <c r="AF359" s="14" t="n">
        <f aca="false">IF(I359="Opening",K359,AF358)</f>
        <v>489.71</v>
      </c>
      <c r="AG359" s="14" t="n">
        <f aca="false">AG358</f>
        <v>0</v>
      </c>
      <c r="AH359" s="14" t="n">
        <f aca="false">IF(W359=0,0,MAX(0,MIN(AE359,AF359)-MIN(AE359-W359,AF359)))</f>
        <v>0</v>
      </c>
      <c r="AI359" s="14" t="n">
        <f aca="false">IF(W359=0,0,MAX(0,MIN(AE359,AF359+AG359)-MAX(AE359-W359,AF359)))</f>
        <v>0</v>
      </c>
      <c r="AJ359" s="14" t="n">
        <f aca="false">W359-AH359-AI359</f>
        <v>0</v>
      </c>
      <c r="AK359" s="9" t="n">
        <f aca="false">IF(W359=0,0,X359*AH359/W359)</f>
        <v>0</v>
      </c>
      <c r="AL359" s="9" t="n">
        <f aca="false">IF(W359=0,0,X359*AI359/W359)</f>
        <v>0</v>
      </c>
      <c r="AM359" s="9" t="n">
        <f aca="false">X359-AK359-AL359</f>
        <v>0</v>
      </c>
    </row>
    <row r="360" customFormat="false" ht="15" hidden="false" customHeight="false" outlineLevel="0" collapsed="false">
      <c r="A360" s="6" t="n">
        <v>355</v>
      </c>
      <c r="B360" s="74" t="s">
        <v>980</v>
      </c>
      <c r="C360" s="53" t="str">
        <f aca="false">INDEX(I_Items!$C$5:$C$133,MATCH($B360,I_Items!$A$5:$A$133,0))</f>
        <v>RPA</v>
      </c>
      <c r="D360" s="53" t="str">
        <f aca="false">INDEX(I_Items!$D$5:$D$133,MATCH($B360,I_Items!$A$5:$A$133,0))</f>
        <v>Karkas</v>
      </c>
      <c r="E360" s="53" t="str">
        <f aca="false">INDEX(I_Items!$F$5:$F$133,MATCH($B360,I_Items!$A$5:$A$133,0))</f>
        <v>Frozen</v>
      </c>
      <c r="F360" s="53" t="str">
        <f aca="false">IF(INDEX(I_Items!$E$5:$E$133,MATCH($B360,I_Items!$A$5:$A$133,0))="","",INDEX(I_Items!$E$5:$E$133,MATCH($B360,I_Items!$A$5:$A$133,0)))</f>
        <v>Uk 1.0</v>
      </c>
      <c r="G360" s="76" t="n">
        <v>46260</v>
      </c>
      <c r="H360" s="23" t="n">
        <f aca="false">MONTH(G360)</f>
        <v>8</v>
      </c>
      <c r="I360" s="74" t="s">
        <v>2074</v>
      </c>
      <c r="J360" s="74" t="s">
        <v>1317</v>
      </c>
      <c r="K360" s="10" t="n">
        <v>566.6</v>
      </c>
      <c r="L360" s="8" t="n">
        <v>21343479.04</v>
      </c>
      <c r="M360" s="10" t="n">
        <v>0</v>
      </c>
      <c r="N360" s="8" t="n">
        <v>0</v>
      </c>
      <c r="O360" s="74"/>
      <c r="P360" s="74"/>
      <c r="Q360" s="74"/>
      <c r="R360" s="14" t="n">
        <f aca="false">IF(I360="Unbilled",0,M360)</f>
        <v>0</v>
      </c>
      <c r="S360" s="9" t="n">
        <f aca="false">IF(R360=0,0,IF(O360="Booked",N360,R360*V359))</f>
        <v>0</v>
      </c>
      <c r="T360" s="14" t="n">
        <f aca="false">IF(I360="Opening",K360,T359+K360-R360)</f>
        <v>1392.5</v>
      </c>
      <c r="U360" s="9" t="n">
        <f aca="false">IF(I360="Opening",L360,U359+L360-S360)</f>
        <v>52391732.6</v>
      </c>
      <c r="V360" s="9" t="n">
        <f aca="false">IF(T360&gt;0,U360/T360,IF(I360="Opening",0,V359))</f>
        <v>37624.2244883303</v>
      </c>
      <c r="W360" s="14" t="n">
        <f aca="false">M360</f>
        <v>0</v>
      </c>
      <c r="X360" s="9" t="n">
        <f aca="false">IF(W360=0,0,IF(O360="Booked",N360,W360*AA359))</f>
        <v>0</v>
      </c>
      <c r="Y360" s="14" t="n">
        <f aca="false">IF(I360="Opening",K360,Y359+K360-W360)</f>
        <v>1392.5</v>
      </c>
      <c r="Z360" s="9" t="n">
        <f aca="false">IF(I360="Opening",L360,Z359+L360-X360)</f>
        <v>52391732.6</v>
      </c>
      <c r="AA360" s="9" t="n">
        <f aca="false">IF(Y360&gt;0,Z360/Y360,IF(I360="Opening",0,AA359))</f>
        <v>37624.2244883303</v>
      </c>
      <c r="AB360" s="9" t="n">
        <f aca="false">IF(AND(I360="DO",O360="MA"),S360-N360,0)</f>
        <v>0</v>
      </c>
      <c r="AC360" s="9" t="n">
        <f aca="false">IF(I360="DO",X360-S360,0)</f>
        <v>0</v>
      </c>
      <c r="AD360" s="23" t="n">
        <f aca="false">IF(B361&lt;&gt;B360,1,0)</f>
        <v>0</v>
      </c>
      <c r="AE360" s="14" t="n">
        <f aca="false">IF(I360="Opening",0,AE359+W360)</f>
        <v>636.61</v>
      </c>
      <c r="AF360" s="14" t="n">
        <f aca="false">IF(I360="Opening",K360,AF359)</f>
        <v>489.71</v>
      </c>
      <c r="AG360" s="14" t="n">
        <f aca="false">AG359</f>
        <v>0</v>
      </c>
      <c r="AH360" s="14" t="n">
        <f aca="false">IF(W360=0,0,MAX(0,MIN(AE360,AF360)-MIN(AE360-W360,AF360)))</f>
        <v>0</v>
      </c>
      <c r="AI360" s="14" t="n">
        <f aca="false">IF(W360=0,0,MAX(0,MIN(AE360,AF360+AG360)-MAX(AE360-W360,AF360)))</f>
        <v>0</v>
      </c>
      <c r="AJ360" s="14" t="n">
        <f aca="false">W360-AH360-AI360</f>
        <v>0</v>
      </c>
      <c r="AK360" s="9" t="n">
        <f aca="false">IF(W360=0,0,X360*AH360/W360)</f>
        <v>0</v>
      </c>
      <c r="AL360" s="9" t="n">
        <f aca="false">IF(W360=0,0,X360*AI360/W360)</f>
        <v>0</v>
      </c>
      <c r="AM360" s="9" t="n">
        <f aca="false">X360-AK360-AL360</f>
        <v>0</v>
      </c>
    </row>
    <row r="361" customFormat="false" ht="15" hidden="false" customHeight="false" outlineLevel="0" collapsed="false">
      <c r="A361" s="6" t="n">
        <v>356</v>
      </c>
      <c r="B361" s="74" t="s">
        <v>980</v>
      </c>
      <c r="C361" s="53" t="str">
        <f aca="false">INDEX(I_Items!$C$5:$C$133,MATCH($B361,I_Items!$A$5:$A$133,0))</f>
        <v>RPA</v>
      </c>
      <c r="D361" s="53" t="str">
        <f aca="false">INDEX(I_Items!$D$5:$D$133,MATCH($B361,I_Items!$A$5:$A$133,0))</f>
        <v>Karkas</v>
      </c>
      <c r="E361" s="53" t="str">
        <f aca="false">INDEX(I_Items!$F$5:$F$133,MATCH($B361,I_Items!$A$5:$A$133,0))</f>
        <v>Frozen</v>
      </c>
      <c r="F361" s="53" t="str">
        <f aca="false">IF(INDEX(I_Items!$E$5:$E$133,MATCH($B361,I_Items!$A$5:$A$133,0))="","",INDEX(I_Items!$E$5:$E$133,MATCH($B361,I_Items!$A$5:$A$133,0)))</f>
        <v>Uk 1.0</v>
      </c>
      <c r="G361" s="76" t="n">
        <v>46261</v>
      </c>
      <c r="H361" s="23" t="n">
        <f aca="false">MONTH(G361)</f>
        <v>8</v>
      </c>
      <c r="I361" s="74" t="s">
        <v>2075</v>
      </c>
      <c r="J361" s="74" t="s">
        <v>2147</v>
      </c>
      <c r="K361" s="10" t="n">
        <v>0</v>
      </c>
      <c r="L361" s="8" t="n">
        <v>0</v>
      </c>
      <c r="M361" s="10" t="n">
        <v>172.5</v>
      </c>
      <c r="N361" s="8" t="n">
        <v>6490178.73</v>
      </c>
      <c r="O361" s="74" t="s">
        <v>2077</v>
      </c>
      <c r="P361" s="74"/>
      <c r="Q361" s="74"/>
      <c r="R361" s="14" t="n">
        <f aca="false">IF(I361="Unbilled",0,M361)</f>
        <v>172.5</v>
      </c>
      <c r="S361" s="9" t="n">
        <f aca="false">IF(R361=0,0,IF(O361="Booked",N361,R361*V360))</f>
        <v>6490178.72423698</v>
      </c>
      <c r="T361" s="14" t="n">
        <f aca="false">IF(I361="Opening",K361,T360+K361-R361)</f>
        <v>1220</v>
      </c>
      <c r="U361" s="9" t="n">
        <f aca="false">IF(I361="Opening",L361,U360+L361-S361)</f>
        <v>45901553.875763</v>
      </c>
      <c r="V361" s="9" t="n">
        <f aca="false">IF(T361&gt;0,U361/T361,IF(I361="Opening",0,V360))</f>
        <v>37624.2244883303</v>
      </c>
      <c r="W361" s="14" t="n">
        <f aca="false">M361</f>
        <v>172.5</v>
      </c>
      <c r="X361" s="9" t="n">
        <f aca="false">IF(W361=0,0,IF(O361="Booked",N361,W361*AA360))</f>
        <v>6490178.72423698</v>
      </c>
      <c r="Y361" s="14" t="n">
        <f aca="false">IF(I361="Opening",K361,Y360+K361-W361)</f>
        <v>1220</v>
      </c>
      <c r="Z361" s="9" t="n">
        <f aca="false">IF(I361="Opening",L361,Z360+L361-X361)</f>
        <v>45901553.875763</v>
      </c>
      <c r="AA361" s="9" t="n">
        <f aca="false">IF(Y361&gt;0,Z361/Y361,IF(I361="Opening",0,AA360))</f>
        <v>37624.2244883303</v>
      </c>
      <c r="AB361" s="9" t="n">
        <f aca="false">IF(AND(I361="DO",O361="MA"),S361-N361,0)</f>
        <v>-0.00576301664113998</v>
      </c>
      <c r="AC361" s="9" t="n">
        <f aca="false">IF(I361="DO",X361-S361,0)</f>
        <v>0</v>
      </c>
      <c r="AD361" s="23" t="n">
        <f aca="false">IF(B362&lt;&gt;B361,1,0)</f>
        <v>0</v>
      </c>
      <c r="AE361" s="14" t="n">
        <f aca="false">IF(I361="Opening",0,AE360+W361)</f>
        <v>809.11</v>
      </c>
      <c r="AF361" s="14" t="n">
        <f aca="false">IF(I361="Opening",K361,AF360)</f>
        <v>489.71</v>
      </c>
      <c r="AG361" s="14" t="n">
        <f aca="false">AG360</f>
        <v>0</v>
      </c>
      <c r="AH361" s="14" t="n">
        <f aca="false">IF(W361=0,0,MAX(0,MIN(AE361,AF361)-MIN(AE361-W361,AF361)))</f>
        <v>0</v>
      </c>
      <c r="AI361" s="14" t="n">
        <f aca="false">IF(W361=0,0,MAX(0,MIN(AE361,AF361+AG361)-MAX(AE361-W361,AF361)))</f>
        <v>0</v>
      </c>
      <c r="AJ361" s="14" t="n">
        <f aca="false">W361-AH361-AI361</f>
        <v>172.5</v>
      </c>
      <c r="AK361" s="9" t="n">
        <f aca="false">IF(W361=0,0,X361*AH361/W361)</f>
        <v>0</v>
      </c>
      <c r="AL361" s="9" t="n">
        <f aca="false">IF(W361=0,0,X361*AI361/W361)</f>
        <v>0</v>
      </c>
      <c r="AM361" s="9" t="n">
        <f aca="false">X361-AK361-AL361</f>
        <v>6490178.72423698</v>
      </c>
    </row>
    <row r="362" customFormat="false" ht="15" hidden="false" customHeight="false" outlineLevel="0" collapsed="false">
      <c r="A362" s="6" t="n">
        <v>357</v>
      </c>
      <c r="B362" s="74" t="s">
        <v>980</v>
      </c>
      <c r="C362" s="53" t="str">
        <f aca="false">INDEX(I_Items!$C$5:$C$133,MATCH($B362,I_Items!$A$5:$A$133,0))</f>
        <v>RPA</v>
      </c>
      <c r="D362" s="53" t="str">
        <f aca="false">INDEX(I_Items!$D$5:$D$133,MATCH($B362,I_Items!$A$5:$A$133,0))</f>
        <v>Karkas</v>
      </c>
      <c r="E362" s="53" t="str">
        <f aca="false">INDEX(I_Items!$F$5:$F$133,MATCH($B362,I_Items!$A$5:$A$133,0))</f>
        <v>Frozen</v>
      </c>
      <c r="F362" s="53" t="str">
        <f aca="false">IF(INDEX(I_Items!$E$5:$E$133,MATCH($B362,I_Items!$A$5:$A$133,0))="","",INDEX(I_Items!$E$5:$E$133,MATCH($B362,I_Items!$A$5:$A$133,0)))</f>
        <v>Uk 1.0</v>
      </c>
      <c r="G362" s="76" t="n">
        <v>46263</v>
      </c>
      <c r="H362" s="23" t="n">
        <f aca="false">MONTH(G362)</f>
        <v>8</v>
      </c>
      <c r="I362" s="74" t="s">
        <v>2075</v>
      </c>
      <c r="J362" s="74" t="s">
        <v>2148</v>
      </c>
      <c r="K362" s="10" t="n">
        <v>0</v>
      </c>
      <c r="L362" s="8" t="n">
        <v>0</v>
      </c>
      <c r="M362" s="10" t="n">
        <v>22.86</v>
      </c>
      <c r="N362" s="8" t="n">
        <v>860089.77</v>
      </c>
      <c r="O362" s="74" t="s">
        <v>2077</v>
      </c>
      <c r="P362" s="74"/>
      <c r="Q362" s="74"/>
      <c r="R362" s="14" t="n">
        <f aca="false">IF(I362="Unbilled",0,M362)</f>
        <v>22.86</v>
      </c>
      <c r="S362" s="9" t="n">
        <f aca="false">IF(R362=0,0,IF(O362="Booked",N362,R362*V361))</f>
        <v>860089.771803232</v>
      </c>
      <c r="T362" s="14" t="n">
        <f aca="false">IF(I362="Opening",K362,T361+K362-R362)</f>
        <v>1197.14</v>
      </c>
      <c r="U362" s="9" t="n">
        <f aca="false">IF(I362="Opening",L362,U361+L362-S362)</f>
        <v>45041464.1039598</v>
      </c>
      <c r="V362" s="9" t="n">
        <f aca="false">IF(T362&gt;0,U362/T362,IF(I362="Opening",0,V361))</f>
        <v>37624.2244883303</v>
      </c>
      <c r="W362" s="14" t="n">
        <f aca="false">M362</f>
        <v>22.86</v>
      </c>
      <c r="X362" s="9" t="n">
        <f aca="false">IF(W362=0,0,IF(O362="Booked",N362,W362*AA361))</f>
        <v>860089.771803232</v>
      </c>
      <c r="Y362" s="14" t="n">
        <f aca="false">IF(I362="Opening",K362,Y361+K362-W362)</f>
        <v>1197.14</v>
      </c>
      <c r="Z362" s="9" t="n">
        <f aca="false">IF(I362="Opening",L362,Z361+L362-X362)</f>
        <v>45041464.1039598</v>
      </c>
      <c r="AA362" s="9" t="n">
        <f aca="false">IF(Y362&gt;0,Z362/Y362,IF(I362="Opening",0,AA361))</f>
        <v>37624.2244883303</v>
      </c>
      <c r="AB362" s="9" t="n">
        <f aca="false">IF(AND(I362="DO",O362="MA"),S362-N362,0)</f>
        <v>0.00180323154199868</v>
      </c>
      <c r="AC362" s="9" t="n">
        <f aca="false">IF(I362="DO",X362-S362,0)</f>
        <v>0</v>
      </c>
      <c r="AD362" s="23" t="n">
        <f aca="false">IF(B363&lt;&gt;B362,1,0)</f>
        <v>1</v>
      </c>
      <c r="AE362" s="14" t="n">
        <f aca="false">IF(I362="Opening",0,AE361+W362)</f>
        <v>831.97</v>
      </c>
      <c r="AF362" s="14" t="n">
        <f aca="false">IF(I362="Opening",K362,AF361)</f>
        <v>489.71</v>
      </c>
      <c r="AG362" s="14" t="n">
        <f aca="false">AG361</f>
        <v>0</v>
      </c>
      <c r="AH362" s="14" t="n">
        <f aca="false">IF(W362=0,0,MAX(0,MIN(AE362,AF362)-MIN(AE362-W362,AF362)))</f>
        <v>0</v>
      </c>
      <c r="AI362" s="14" t="n">
        <f aca="false">IF(W362=0,0,MAX(0,MIN(AE362,AF362+AG362)-MAX(AE362-W362,AF362)))</f>
        <v>0</v>
      </c>
      <c r="AJ362" s="14" t="n">
        <f aca="false">W362-AH362-AI362</f>
        <v>22.86</v>
      </c>
      <c r="AK362" s="9" t="n">
        <f aca="false">IF(W362=0,0,X362*AH362/W362)</f>
        <v>0</v>
      </c>
      <c r="AL362" s="9" t="n">
        <f aca="false">IF(W362=0,0,X362*AI362/W362)</f>
        <v>0</v>
      </c>
      <c r="AM362" s="9" t="n">
        <f aca="false">X362-AK362-AL362</f>
        <v>860089.771803232</v>
      </c>
    </row>
    <row r="363" customFormat="false" ht="15" hidden="false" customHeight="false" outlineLevel="0" collapsed="false">
      <c r="A363" s="6" t="n">
        <v>358</v>
      </c>
      <c r="B363" s="74" t="s">
        <v>981</v>
      </c>
      <c r="C363" s="53" t="str">
        <f aca="false">INDEX(I_Items!$C$5:$C$133,MATCH($B363,I_Items!$A$5:$A$133,0))</f>
        <v>RPA</v>
      </c>
      <c r="D363" s="53" t="str">
        <f aca="false">INDEX(I_Items!$D$5:$D$133,MATCH($B363,I_Items!$A$5:$A$133,0))</f>
        <v>Karkas</v>
      </c>
      <c r="E363" s="53" t="str">
        <f aca="false">INDEX(I_Items!$F$5:$F$133,MATCH($B363,I_Items!$A$5:$A$133,0))</f>
        <v>Fresh</v>
      </c>
      <c r="F363" s="53" t="str">
        <f aca="false">IF(INDEX(I_Items!$E$5:$E$133,MATCH($B363,I_Items!$A$5:$A$133,0))="","",INDEX(I_Items!$E$5:$E$133,MATCH($B363,I_Items!$A$5:$A$133,0)))</f>
        <v>Uk 1.1</v>
      </c>
      <c r="G363" s="76" t="n">
        <v>46204</v>
      </c>
      <c r="H363" s="23" t="n">
        <f aca="false">MONTH(G363)</f>
        <v>7</v>
      </c>
      <c r="I363" s="74" t="s">
        <v>2072</v>
      </c>
      <c r="J363" s="74" t="s">
        <v>2073</v>
      </c>
      <c r="K363" s="10" t="n">
        <v>0</v>
      </c>
      <c r="L363" s="8" t="n">
        <v>0</v>
      </c>
      <c r="M363" s="10" t="n">
        <v>0</v>
      </c>
      <c r="N363" s="8" t="n">
        <v>0</v>
      </c>
      <c r="O363" s="74"/>
      <c r="P363" s="74"/>
      <c r="Q363" s="74"/>
      <c r="R363" s="14" t="n">
        <f aca="false">IF(I363="Unbilled",0,M363)</f>
        <v>0</v>
      </c>
      <c r="S363" s="9" t="n">
        <f aca="false">IF(R363=0,0,IF(O363="Booked",N363,R363*V362))</f>
        <v>0</v>
      </c>
      <c r="T363" s="14" t="n">
        <f aca="false">IF(I363="Opening",K363,T362+K363-R363)</f>
        <v>0</v>
      </c>
      <c r="U363" s="9" t="n">
        <f aca="false">IF(I363="Opening",L363,U362+L363-S363)</f>
        <v>0</v>
      </c>
      <c r="V363" s="9" t="n">
        <f aca="false">IF(T363&gt;0,U363/T363,IF(I363="Opening",0,V362))</f>
        <v>0</v>
      </c>
      <c r="W363" s="14" t="n">
        <f aca="false">M363</f>
        <v>0</v>
      </c>
      <c r="X363" s="9" t="n">
        <f aca="false">IF(W363=0,0,IF(O363="Booked",N363,W363*AA362))</f>
        <v>0</v>
      </c>
      <c r="Y363" s="14" t="n">
        <f aca="false">IF(I363="Opening",K363,Y362+K363-W363)</f>
        <v>0</v>
      </c>
      <c r="Z363" s="9" t="n">
        <f aca="false">IF(I363="Opening",L363,Z362+L363-X363)</f>
        <v>0</v>
      </c>
      <c r="AA363" s="9" t="n">
        <f aca="false">IF(Y363&gt;0,Z363/Y363,IF(I363="Opening",0,AA362))</f>
        <v>0</v>
      </c>
      <c r="AB363" s="9" t="n">
        <f aca="false">IF(AND(I363="DO",O363="MA"),S363-N363,0)</f>
        <v>0</v>
      </c>
      <c r="AC363" s="9" t="n">
        <f aca="false">IF(I363="DO",X363-S363,0)</f>
        <v>0</v>
      </c>
      <c r="AD363" s="23" t="n">
        <f aca="false">IF(B364&lt;&gt;B363,1,0)</f>
        <v>0</v>
      </c>
      <c r="AE363" s="14" t="n">
        <f aca="false">IF(I363="Opening",0,AE362+W363)</f>
        <v>0</v>
      </c>
      <c r="AF363" s="14" t="n">
        <f aca="false">IF(I363="Opening",K363,AF362)</f>
        <v>0</v>
      </c>
      <c r="AG363" s="14" t="n">
        <f aca="false">SUMIFS($K$6:$K$1110,$B$6:$B$1110,B363,$H$6:$H$1110,7,$I$6:$I$1110,"&lt;&gt;Opening")</f>
        <v>0</v>
      </c>
      <c r="AH363" s="14" t="n">
        <f aca="false">IF(W363=0,0,MAX(0,MIN(AE363,AF363)-MIN(AE363-W363,AF363)))</f>
        <v>0</v>
      </c>
      <c r="AI363" s="14" t="n">
        <f aca="false">IF(W363=0,0,MAX(0,MIN(AE363,AF363+AG363)-MAX(AE363-W363,AF363)))</f>
        <v>0</v>
      </c>
      <c r="AJ363" s="14" t="n">
        <f aca="false">W363-AH363-AI363</f>
        <v>0</v>
      </c>
      <c r="AK363" s="9" t="n">
        <f aca="false">IF(W363=0,0,X363*AH363/W363)</f>
        <v>0</v>
      </c>
      <c r="AL363" s="9" t="n">
        <f aca="false">IF(W363=0,0,X363*AI363/W363)</f>
        <v>0</v>
      </c>
      <c r="AM363" s="9" t="n">
        <f aca="false">X363-AK363-AL363</f>
        <v>0</v>
      </c>
    </row>
    <row r="364" customFormat="false" ht="15" hidden="false" customHeight="false" outlineLevel="0" collapsed="false">
      <c r="A364" s="6" t="n">
        <v>359</v>
      </c>
      <c r="B364" s="74" t="s">
        <v>981</v>
      </c>
      <c r="C364" s="53" t="str">
        <f aca="false">INDEX(I_Items!$C$5:$C$133,MATCH($B364,I_Items!$A$5:$A$133,0))</f>
        <v>RPA</v>
      </c>
      <c r="D364" s="53" t="str">
        <f aca="false">INDEX(I_Items!$D$5:$D$133,MATCH($B364,I_Items!$A$5:$A$133,0))</f>
        <v>Karkas</v>
      </c>
      <c r="E364" s="53" t="str">
        <f aca="false">INDEX(I_Items!$F$5:$F$133,MATCH($B364,I_Items!$A$5:$A$133,0))</f>
        <v>Fresh</v>
      </c>
      <c r="F364" s="53" t="str">
        <f aca="false">IF(INDEX(I_Items!$E$5:$E$133,MATCH($B364,I_Items!$A$5:$A$133,0))="","",INDEX(I_Items!$E$5:$E$133,MATCH($B364,I_Items!$A$5:$A$133,0)))</f>
        <v>Uk 1.1</v>
      </c>
      <c r="G364" s="76" t="n">
        <v>46241</v>
      </c>
      <c r="H364" s="23" t="n">
        <f aca="false">MONTH(G364)</f>
        <v>8</v>
      </c>
      <c r="I364" s="74" t="s">
        <v>2074</v>
      </c>
      <c r="J364" s="74" t="s">
        <v>1290</v>
      </c>
      <c r="K364" s="10" t="n">
        <v>168.2</v>
      </c>
      <c r="L364" s="8" t="n">
        <v>5129075.96</v>
      </c>
      <c r="M364" s="10" t="n">
        <v>0</v>
      </c>
      <c r="N364" s="8" t="n">
        <v>0</v>
      </c>
      <c r="O364" s="74"/>
      <c r="P364" s="74"/>
      <c r="Q364" s="74"/>
      <c r="R364" s="14" t="n">
        <f aca="false">IF(I364="Unbilled",0,M364)</f>
        <v>0</v>
      </c>
      <c r="S364" s="9" t="n">
        <f aca="false">IF(R364=0,0,IF(O364="Booked",N364,R364*V363))</f>
        <v>0</v>
      </c>
      <c r="T364" s="14" t="n">
        <f aca="false">IF(I364="Opening",K364,T363+K364-R364)</f>
        <v>168.2</v>
      </c>
      <c r="U364" s="9" t="n">
        <f aca="false">IF(I364="Opening",L364,U363+L364-S364)</f>
        <v>5129075.96</v>
      </c>
      <c r="V364" s="9" t="n">
        <f aca="false">IF(T364&gt;0,U364/T364,IF(I364="Opening",0,V363))</f>
        <v>30493.9117717004</v>
      </c>
      <c r="W364" s="14" t="n">
        <f aca="false">M364</f>
        <v>0</v>
      </c>
      <c r="X364" s="9" t="n">
        <f aca="false">IF(W364=0,0,IF(O364="Booked",N364,W364*AA363))</f>
        <v>0</v>
      </c>
      <c r="Y364" s="14" t="n">
        <f aca="false">IF(I364="Opening",K364,Y363+K364-W364)</f>
        <v>168.2</v>
      </c>
      <c r="Z364" s="9" t="n">
        <f aca="false">IF(I364="Opening",L364,Z363+L364-X364)</f>
        <v>5129075.96</v>
      </c>
      <c r="AA364" s="9" t="n">
        <f aca="false">IF(Y364&gt;0,Z364/Y364,IF(I364="Opening",0,AA363))</f>
        <v>30493.9117717004</v>
      </c>
      <c r="AB364" s="9" t="n">
        <f aca="false">IF(AND(I364="DO",O364="MA"),S364-N364,0)</f>
        <v>0</v>
      </c>
      <c r="AC364" s="9" t="n">
        <f aca="false">IF(I364="DO",X364-S364,0)</f>
        <v>0</v>
      </c>
      <c r="AD364" s="23" t="n">
        <f aca="false">IF(B365&lt;&gt;B364,1,0)</f>
        <v>0</v>
      </c>
      <c r="AE364" s="14" t="n">
        <f aca="false">IF(I364="Opening",0,AE363+W364)</f>
        <v>0</v>
      </c>
      <c r="AF364" s="14" t="n">
        <f aca="false">IF(I364="Opening",K364,AF363)</f>
        <v>0</v>
      </c>
      <c r="AG364" s="14" t="n">
        <f aca="false">AG363</f>
        <v>0</v>
      </c>
      <c r="AH364" s="14" t="n">
        <f aca="false">IF(W364=0,0,MAX(0,MIN(AE364,AF364)-MIN(AE364-W364,AF364)))</f>
        <v>0</v>
      </c>
      <c r="AI364" s="14" t="n">
        <f aca="false">IF(W364=0,0,MAX(0,MIN(AE364,AF364+AG364)-MAX(AE364-W364,AF364)))</f>
        <v>0</v>
      </c>
      <c r="AJ364" s="14" t="n">
        <f aca="false">W364-AH364-AI364</f>
        <v>0</v>
      </c>
      <c r="AK364" s="9" t="n">
        <f aca="false">IF(W364=0,0,X364*AH364/W364)</f>
        <v>0</v>
      </c>
      <c r="AL364" s="9" t="n">
        <f aca="false">IF(W364=0,0,X364*AI364/W364)</f>
        <v>0</v>
      </c>
      <c r="AM364" s="9" t="n">
        <f aca="false">X364-AK364-AL364</f>
        <v>0</v>
      </c>
    </row>
    <row r="365" customFormat="false" ht="15" hidden="false" customHeight="false" outlineLevel="0" collapsed="false">
      <c r="A365" s="6" t="n">
        <v>360</v>
      </c>
      <c r="B365" s="74" t="s">
        <v>981</v>
      </c>
      <c r="C365" s="53" t="str">
        <f aca="false">INDEX(I_Items!$C$5:$C$133,MATCH($B365,I_Items!$A$5:$A$133,0))</f>
        <v>RPA</v>
      </c>
      <c r="D365" s="53" t="str">
        <f aca="false">INDEX(I_Items!$D$5:$D$133,MATCH($B365,I_Items!$A$5:$A$133,0))</f>
        <v>Karkas</v>
      </c>
      <c r="E365" s="53" t="str">
        <f aca="false">INDEX(I_Items!$F$5:$F$133,MATCH($B365,I_Items!$A$5:$A$133,0))</f>
        <v>Fresh</v>
      </c>
      <c r="F365" s="53" t="str">
        <f aca="false">IF(INDEX(I_Items!$E$5:$E$133,MATCH($B365,I_Items!$A$5:$A$133,0))="","",INDEX(I_Items!$E$5:$E$133,MATCH($B365,I_Items!$A$5:$A$133,0)))</f>
        <v>Uk 1.1</v>
      </c>
      <c r="G365" s="76" t="n">
        <v>46249</v>
      </c>
      <c r="H365" s="23" t="n">
        <f aca="false">MONTH(G365)</f>
        <v>8</v>
      </c>
      <c r="I365" s="74" t="s">
        <v>2075</v>
      </c>
      <c r="J365" s="74" t="s">
        <v>2114</v>
      </c>
      <c r="K365" s="10" t="n">
        <v>0</v>
      </c>
      <c r="L365" s="8" t="n">
        <v>0</v>
      </c>
      <c r="M365" s="10" t="n">
        <v>168.2</v>
      </c>
      <c r="N365" s="8" t="n">
        <v>5129075.96</v>
      </c>
      <c r="O365" s="74" t="s">
        <v>2077</v>
      </c>
      <c r="P365" s="74" t="s">
        <v>1119</v>
      </c>
      <c r="Q365" s="74"/>
      <c r="R365" s="14" t="n">
        <f aca="false">IF(I365="Unbilled",0,M365)</f>
        <v>168.2</v>
      </c>
      <c r="S365" s="9" t="n">
        <f aca="false">IF(R365=0,0,IF(O365="Booked",N365,R365*V364))</f>
        <v>5129075.96</v>
      </c>
      <c r="T365" s="14" t="n">
        <f aca="false">IF(I365="Opening",K365,T364+K365-R365)</f>
        <v>0</v>
      </c>
      <c r="U365" s="9" t="n">
        <f aca="false">IF(I365="Opening",L365,U364+L365-S365)</f>
        <v>0</v>
      </c>
      <c r="V365" s="9" t="n">
        <f aca="false">IF(T365&gt;0,U365/T365,IF(I365="Opening",0,V364))</f>
        <v>30493.9117717004</v>
      </c>
      <c r="W365" s="14" t="n">
        <f aca="false">M365</f>
        <v>168.2</v>
      </c>
      <c r="X365" s="9" t="n">
        <f aca="false">IF(W365=0,0,IF(O365="Booked",N365,W365*AA364))</f>
        <v>5129075.96</v>
      </c>
      <c r="Y365" s="14" t="n">
        <f aca="false">IF(I365="Opening",K365,Y364+K365-W365)</f>
        <v>0</v>
      </c>
      <c r="Z365" s="9" t="n">
        <f aca="false">IF(I365="Opening",L365,Z364+L365-X365)</f>
        <v>0</v>
      </c>
      <c r="AA365" s="9" t="n">
        <f aca="false">IF(Y365&gt;0,Z365/Y365,IF(I365="Opening",0,AA364))</f>
        <v>30493.9117717004</v>
      </c>
      <c r="AB365" s="9" t="n">
        <f aca="false">IF(AND(I365="DO",O365="MA"),S365-N365,0)</f>
        <v>0</v>
      </c>
      <c r="AC365" s="9" t="n">
        <f aca="false">IF(I365="DO",X365-S365,0)</f>
        <v>0</v>
      </c>
      <c r="AD365" s="23" t="n">
        <f aca="false">IF(B366&lt;&gt;B365,1,0)</f>
        <v>1</v>
      </c>
      <c r="AE365" s="14" t="n">
        <f aca="false">IF(I365="Opening",0,AE364+W365)</f>
        <v>168.2</v>
      </c>
      <c r="AF365" s="14" t="n">
        <f aca="false">IF(I365="Opening",K365,AF364)</f>
        <v>0</v>
      </c>
      <c r="AG365" s="14" t="n">
        <f aca="false">AG364</f>
        <v>0</v>
      </c>
      <c r="AH365" s="14" t="n">
        <f aca="false">IF(W365=0,0,MAX(0,MIN(AE365,AF365)-MIN(AE365-W365,AF365)))</f>
        <v>0</v>
      </c>
      <c r="AI365" s="14" t="n">
        <f aca="false">IF(W365=0,0,MAX(0,MIN(AE365,AF365+AG365)-MAX(AE365-W365,AF365)))</f>
        <v>0</v>
      </c>
      <c r="AJ365" s="14" t="n">
        <f aca="false">W365-AH365-AI365</f>
        <v>168.2</v>
      </c>
      <c r="AK365" s="9" t="n">
        <f aca="false">IF(W365=0,0,X365*AH365/W365)</f>
        <v>0</v>
      </c>
      <c r="AL365" s="9" t="n">
        <f aca="false">IF(W365=0,0,X365*AI365/W365)</f>
        <v>0</v>
      </c>
      <c r="AM365" s="9" t="n">
        <f aca="false">X365-AK365-AL365</f>
        <v>5129075.96</v>
      </c>
    </row>
    <row r="366" customFormat="false" ht="15" hidden="false" customHeight="false" outlineLevel="0" collapsed="false">
      <c r="A366" s="6" t="n">
        <v>361</v>
      </c>
      <c r="B366" s="74" t="s">
        <v>982</v>
      </c>
      <c r="C366" s="53" t="str">
        <f aca="false">INDEX(I_Items!$C$5:$C$133,MATCH($B366,I_Items!$A$5:$A$133,0))</f>
        <v>RPA</v>
      </c>
      <c r="D366" s="53" t="str">
        <f aca="false">INDEX(I_Items!$D$5:$D$133,MATCH($B366,I_Items!$A$5:$A$133,0))</f>
        <v>Karkas</v>
      </c>
      <c r="E366" s="53" t="str">
        <f aca="false">INDEX(I_Items!$F$5:$F$133,MATCH($B366,I_Items!$A$5:$A$133,0))</f>
        <v>Fresh</v>
      </c>
      <c r="F366" s="53" t="str">
        <f aca="false">IF(INDEX(I_Items!$E$5:$E$133,MATCH($B366,I_Items!$A$5:$A$133,0))="","",INDEX(I_Items!$E$5:$E$133,MATCH($B366,I_Items!$A$5:$A$133,0)))</f>
        <v>Uk 1.1</v>
      </c>
      <c r="G366" s="76" t="n">
        <v>46204</v>
      </c>
      <c r="H366" s="23" t="n">
        <f aca="false">MONTH(G366)</f>
        <v>7</v>
      </c>
      <c r="I366" s="74" t="s">
        <v>2072</v>
      </c>
      <c r="J366" s="74" t="s">
        <v>2073</v>
      </c>
      <c r="K366" s="10" t="n">
        <v>86.3</v>
      </c>
      <c r="L366" s="8" t="n">
        <v>2230473.55</v>
      </c>
      <c r="M366" s="10" t="n">
        <v>0</v>
      </c>
      <c r="N366" s="8" t="n">
        <v>0</v>
      </c>
      <c r="O366" s="74"/>
      <c r="P366" s="74"/>
      <c r="Q366" s="74"/>
      <c r="R366" s="14" t="n">
        <f aca="false">IF(I366="Unbilled",0,M366)</f>
        <v>0</v>
      </c>
      <c r="S366" s="9" t="n">
        <f aca="false">IF(R366=0,0,IF(O366="Booked",N366,R366*V365))</f>
        <v>0</v>
      </c>
      <c r="T366" s="14" t="n">
        <f aca="false">IF(I366="Opening",K366,T365+K366-R366)</f>
        <v>86.3</v>
      </c>
      <c r="U366" s="9" t="n">
        <f aca="false">IF(I366="Opening",L366,U365+L366-S366)</f>
        <v>2230473.55</v>
      </c>
      <c r="V366" s="9" t="n">
        <f aca="false">IF(T366&gt;0,U366/T366,IF(I366="Opening",0,V365))</f>
        <v>25845.5799536501</v>
      </c>
      <c r="W366" s="14" t="n">
        <f aca="false">M366</f>
        <v>0</v>
      </c>
      <c r="X366" s="9" t="n">
        <f aca="false">IF(W366=0,0,IF(O366="Booked",N366,W366*AA365))</f>
        <v>0</v>
      </c>
      <c r="Y366" s="14" t="n">
        <f aca="false">IF(I366="Opening",K366,Y365+K366-W366)</f>
        <v>86.3</v>
      </c>
      <c r="Z366" s="9" t="n">
        <f aca="false">IF(I366="Opening",L366,Z365+L366-X366)</f>
        <v>2230473.55</v>
      </c>
      <c r="AA366" s="9" t="n">
        <f aca="false">IF(Y366&gt;0,Z366/Y366,IF(I366="Opening",0,AA365))</f>
        <v>25845.5799536501</v>
      </c>
      <c r="AB366" s="9" t="n">
        <f aca="false">IF(AND(I366="DO",O366="MA"),S366-N366,0)</f>
        <v>0</v>
      </c>
      <c r="AC366" s="9" t="n">
        <f aca="false">IF(I366="DO",X366-S366,0)</f>
        <v>0</v>
      </c>
      <c r="AD366" s="23" t="n">
        <f aca="false">IF(B367&lt;&gt;B366,1,0)</f>
        <v>0</v>
      </c>
      <c r="AE366" s="14" t="n">
        <f aca="false">IF(I366="Opening",0,AE365+W366)</f>
        <v>0</v>
      </c>
      <c r="AF366" s="14" t="n">
        <f aca="false">IF(I366="Opening",K366,AF365)</f>
        <v>86.3</v>
      </c>
      <c r="AG366" s="14" t="n">
        <f aca="false">SUMIFS($K$6:$K$1110,$B$6:$B$1110,B366,$H$6:$H$1110,7,$I$6:$I$1110,"&lt;&gt;Opening")</f>
        <v>0</v>
      </c>
      <c r="AH366" s="14" t="n">
        <f aca="false">IF(W366=0,0,MAX(0,MIN(AE366,AF366)-MIN(AE366-W366,AF366)))</f>
        <v>0</v>
      </c>
      <c r="AI366" s="14" t="n">
        <f aca="false">IF(W366=0,0,MAX(0,MIN(AE366,AF366+AG366)-MAX(AE366-W366,AF366)))</f>
        <v>0</v>
      </c>
      <c r="AJ366" s="14" t="n">
        <f aca="false">W366-AH366-AI366</f>
        <v>0</v>
      </c>
      <c r="AK366" s="9" t="n">
        <f aca="false">IF(W366=0,0,X366*AH366/W366)</f>
        <v>0</v>
      </c>
      <c r="AL366" s="9" t="n">
        <f aca="false">IF(W366=0,0,X366*AI366/W366)</f>
        <v>0</v>
      </c>
      <c r="AM366" s="9" t="n">
        <f aca="false">X366-AK366-AL366</f>
        <v>0</v>
      </c>
    </row>
    <row r="367" customFormat="false" ht="15" hidden="false" customHeight="false" outlineLevel="0" collapsed="false">
      <c r="A367" s="6" t="n">
        <v>362</v>
      </c>
      <c r="B367" s="74" t="s">
        <v>982</v>
      </c>
      <c r="C367" s="53" t="str">
        <f aca="false">INDEX(I_Items!$C$5:$C$133,MATCH($B367,I_Items!$A$5:$A$133,0))</f>
        <v>RPA</v>
      </c>
      <c r="D367" s="53" t="str">
        <f aca="false">INDEX(I_Items!$D$5:$D$133,MATCH($B367,I_Items!$A$5:$A$133,0))</f>
        <v>Karkas</v>
      </c>
      <c r="E367" s="53" t="str">
        <f aca="false">INDEX(I_Items!$F$5:$F$133,MATCH($B367,I_Items!$A$5:$A$133,0))</f>
        <v>Fresh</v>
      </c>
      <c r="F367" s="53" t="str">
        <f aca="false">IF(INDEX(I_Items!$E$5:$E$133,MATCH($B367,I_Items!$A$5:$A$133,0))="","",INDEX(I_Items!$E$5:$E$133,MATCH($B367,I_Items!$A$5:$A$133,0)))</f>
        <v>Uk 1.1</v>
      </c>
      <c r="G367" s="76" t="n">
        <v>46231</v>
      </c>
      <c r="H367" s="23" t="n">
        <f aca="false">MONTH(G367)</f>
        <v>7</v>
      </c>
      <c r="I367" s="74" t="s">
        <v>2075</v>
      </c>
      <c r="J367" s="74" t="s">
        <v>2142</v>
      </c>
      <c r="K367" s="10" t="n">
        <v>0</v>
      </c>
      <c r="L367" s="8" t="n">
        <v>0</v>
      </c>
      <c r="M367" s="10" t="n">
        <v>86.3</v>
      </c>
      <c r="N367" s="8" t="n">
        <v>2230473.55</v>
      </c>
      <c r="O367" s="74" t="s">
        <v>2077</v>
      </c>
      <c r="P367" s="74"/>
      <c r="Q367" s="74"/>
      <c r="R367" s="14" t="n">
        <f aca="false">IF(I367="Unbilled",0,M367)</f>
        <v>86.3</v>
      </c>
      <c r="S367" s="9" t="n">
        <f aca="false">IF(R367=0,0,IF(O367="Booked",N367,R367*V366))</f>
        <v>2230473.55</v>
      </c>
      <c r="T367" s="14" t="n">
        <f aca="false">IF(I367="Opening",K367,T366+K367-R367)</f>
        <v>0</v>
      </c>
      <c r="U367" s="9" t="n">
        <f aca="false">IF(I367="Opening",L367,U366+L367-S367)</f>
        <v>0</v>
      </c>
      <c r="V367" s="9" t="n">
        <f aca="false">IF(T367&gt;0,U367/T367,IF(I367="Opening",0,V366))</f>
        <v>25845.5799536501</v>
      </c>
      <c r="W367" s="14" t="n">
        <f aca="false">M367</f>
        <v>86.3</v>
      </c>
      <c r="X367" s="9" t="n">
        <f aca="false">IF(W367=0,0,IF(O367="Booked",N367,W367*AA366))</f>
        <v>2230473.55</v>
      </c>
      <c r="Y367" s="14" t="n">
        <f aca="false">IF(I367="Opening",K367,Y366+K367-W367)</f>
        <v>0</v>
      </c>
      <c r="Z367" s="9" t="n">
        <f aca="false">IF(I367="Opening",L367,Z366+L367-X367)</f>
        <v>0</v>
      </c>
      <c r="AA367" s="9" t="n">
        <f aca="false">IF(Y367&gt;0,Z367/Y367,IF(I367="Opening",0,AA366))</f>
        <v>25845.5799536501</v>
      </c>
      <c r="AB367" s="9" t="n">
        <f aca="false">IF(AND(I367="DO",O367="MA"),S367-N367,0)</f>
        <v>0</v>
      </c>
      <c r="AC367" s="9" t="n">
        <f aca="false">IF(I367="DO",X367-S367,0)</f>
        <v>0</v>
      </c>
      <c r="AD367" s="23" t="n">
        <f aca="false">IF(B368&lt;&gt;B367,1,0)</f>
        <v>0</v>
      </c>
      <c r="AE367" s="14" t="n">
        <f aca="false">IF(I367="Opening",0,AE366+W367)</f>
        <v>86.3</v>
      </c>
      <c r="AF367" s="14" t="n">
        <f aca="false">IF(I367="Opening",K367,AF366)</f>
        <v>86.3</v>
      </c>
      <c r="AG367" s="14" t="n">
        <f aca="false">AG366</f>
        <v>0</v>
      </c>
      <c r="AH367" s="14" t="n">
        <f aca="false">IF(W367=0,0,MAX(0,MIN(AE367,AF367)-MIN(AE367-W367,AF367)))</f>
        <v>86.3</v>
      </c>
      <c r="AI367" s="14" t="n">
        <f aca="false">IF(W367=0,0,MAX(0,MIN(AE367,AF367+AG367)-MAX(AE367-W367,AF367)))</f>
        <v>0</v>
      </c>
      <c r="AJ367" s="14" t="n">
        <f aca="false">W367-AH367-AI367</f>
        <v>0</v>
      </c>
      <c r="AK367" s="9" t="n">
        <f aca="false">IF(W367=0,0,X367*AH367/W367)</f>
        <v>2230473.55</v>
      </c>
      <c r="AL367" s="9" t="n">
        <f aca="false">IF(W367=0,0,X367*AI367/W367)</f>
        <v>0</v>
      </c>
      <c r="AM367" s="9" t="n">
        <f aca="false">X367-AK367-AL367</f>
        <v>0</v>
      </c>
    </row>
    <row r="368" customFormat="false" ht="15" hidden="false" customHeight="false" outlineLevel="0" collapsed="false">
      <c r="A368" s="6" t="n">
        <v>363</v>
      </c>
      <c r="B368" s="74" t="s">
        <v>982</v>
      </c>
      <c r="C368" s="53" t="str">
        <f aca="false">INDEX(I_Items!$C$5:$C$133,MATCH($B368,I_Items!$A$5:$A$133,0))</f>
        <v>RPA</v>
      </c>
      <c r="D368" s="53" t="str">
        <f aca="false">INDEX(I_Items!$D$5:$D$133,MATCH($B368,I_Items!$A$5:$A$133,0))</f>
        <v>Karkas</v>
      </c>
      <c r="E368" s="53" t="str">
        <f aca="false">INDEX(I_Items!$F$5:$F$133,MATCH($B368,I_Items!$A$5:$A$133,0))</f>
        <v>Fresh</v>
      </c>
      <c r="F368" s="53" t="str">
        <f aca="false">IF(INDEX(I_Items!$E$5:$E$133,MATCH($B368,I_Items!$A$5:$A$133,0))="","",INDEX(I_Items!$E$5:$E$133,MATCH($B368,I_Items!$A$5:$A$133,0)))</f>
        <v>Uk 1.1</v>
      </c>
      <c r="G368" s="76" t="n">
        <v>46241</v>
      </c>
      <c r="H368" s="23" t="n">
        <f aca="false">MONTH(G368)</f>
        <v>8</v>
      </c>
      <c r="I368" s="74" t="s">
        <v>2074</v>
      </c>
      <c r="J368" s="74" t="s">
        <v>1290</v>
      </c>
      <c r="K368" s="10" t="n">
        <v>1324</v>
      </c>
      <c r="L368" s="8" t="n">
        <v>50467423.96</v>
      </c>
      <c r="M368" s="10" t="n">
        <v>0</v>
      </c>
      <c r="N368" s="8" t="n">
        <v>0</v>
      </c>
      <c r="O368" s="74"/>
      <c r="P368" s="74"/>
      <c r="Q368" s="74"/>
      <c r="R368" s="14" t="n">
        <f aca="false">IF(I368="Unbilled",0,M368)</f>
        <v>0</v>
      </c>
      <c r="S368" s="9" t="n">
        <f aca="false">IF(R368=0,0,IF(O368="Booked",N368,R368*V367))</f>
        <v>0</v>
      </c>
      <c r="T368" s="14" t="n">
        <f aca="false">IF(I368="Opening",K368,T367+K368-R368)</f>
        <v>1324</v>
      </c>
      <c r="U368" s="9" t="n">
        <f aca="false">IF(I368="Opening",L368,U367+L368-S368)</f>
        <v>50467423.96</v>
      </c>
      <c r="V368" s="9" t="n">
        <f aca="false">IF(T368&gt;0,U368/T368,IF(I368="Opening",0,V367))</f>
        <v>38117.3896978852</v>
      </c>
      <c r="W368" s="14" t="n">
        <f aca="false">M368</f>
        <v>0</v>
      </c>
      <c r="X368" s="9" t="n">
        <f aca="false">IF(W368=0,0,IF(O368="Booked",N368,W368*AA367))</f>
        <v>0</v>
      </c>
      <c r="Y368" s="14" t="n">
        <f aca="false">IF(I368="Opening",K368,Y367+K368-W368)</f>
        <v>1324</v>
      </c>
      <c r="Z368" s="9" t="n">
        <f aca="false">IF(I368="Opening",L368,Z367+L368-X368)</f>
        <v>50467423.96</v>
      </c>
      <c r="AA368" s="9" t="n">
        <f aca="false">IF(Y368&gt;0,Z368/Y368,IF(I368="Opening",0,AA367))</f>
        <v>38117.3896978852</v>
      </c>
      <c r="AB368" s="9" t="n">
        <f aca="false">IF(AND(I368="DO",O368="MA"),S368-N368,0)</f>
        <v>0</v>
      </c>
      <c r="AC368" s="9" t="n">
        <f aca="false">IF(I368="DO",X368-S368,0)</f>
        <v>0</v>
      </c>
      <c r="AD368" s="23" t="n">
        <f aca="false">IF(B369&lt;&gt;B368,1,0)</f>
        <v>0</v>
      </c>
      <c r="AE368" s="14" t="n">
        <f aca="false">IF(I368="Opening",0,AE367+W368)</f>
        <v>86.3</v>
      </c>
      <c r="AF368" s="14" t="n">
        <f aca="false">IF(I368="Opening",K368,AF367)</f>
        <v>86.3</v>
      </c>
      <c r="AG368" s="14" t="n">
        <f aca="false">AG367</f>
        <v>0</v>
      </c>
      <c r="AH368" s="14" t="n">
        <f aca="false">IF(W368=0,0,MAX(0,MIN(AE368,AF368)-MIN(AE368-W368,AF368)))</f>
        <v>0</v>
      </c>
      <c r="AI368" s="14" t="n">
        <f aca="false">IF(W368=0,0,MAX(0,MIN(AE368,AF368+AG368)-MAX(AE368-W368,AF368)))</f>
        <v>0</v>
      </c>
      <c r="AJ368" s="14" t="n">
        <f aca="false">W368-AH368-AI368</f>
        <v>0</v>
      </c>
      <c r="AK368" s="9" t="n">
        <f aca="false">IF(W368=0,0,X368*AH368/W368)</f>
        <v>0</v>
      </c>
      <c r="AL368" s="9" t="n">
        <f aca="false">IF(W368=0,0,X368*AI368/W368)</f>
        <v>0</v>
      </c>
      <c r="AM368" s="9" t="n">
        <f aca="false">X368-AK368-AL368</f>
        <v>0</v>
      </c>
    </row>
    <row r="369" customFormat="false" ht="15" hidden="false" customHeight="false" outlineLevel="0" collapsed="false">
      <c r="A369" s="6" t="n">
        <v>364</v>
      </c>
      <c r="B369" s="74" t="s">
        <v>982</v>
      </c>
      <c r="C369" s="53" t="str">
        <f aca="false">INDEX(I_Items!$C$5:$C$133,MATCH($B369,I_Items!$A$5:$A$133,0))</f>
        <v>RPA</v>
      </c>
      <c r="D369" s="53" t="str">
        <f aca="false">INDEX(I_Items!$D$5:$D$133,MATCH($B369,I_Items!$A$5:$A$133,0))</f>
        <v>Karkas</v>
      </c>
      <c r="E369" s="53" t="str">
        <f aca="false">INDEX(I_Items!$F$5:$F$133,MATCH($B369,I_Items!$A$5:$A$133,0))</f>
        <v>Fresh</v>
      </c>
      <c r="F369" s="53" t="str">
        <f aca="false">IF(INDEX(I_Items!$E$5:$E$133,MATCH($B369,I_Items!$A$5:$A$133,0))="","",INDEX(I_Items!$E$5:$E$133,MATCH($B369,I_Items!$A$5:$A$133,0)))</f>
        <v>Uk 1.1</v>
      </c>
      <c r="G369" s="76" t="n">
        <v>46244</v>
      </c>
      <c r="H369" s="23" t="n">
        <f aca="false">MONTH(G369)</f>
        <v>8</v>
      </c>
      <c r="I369" s="74" t="s">
        <v>2074</v>
      </c>
      <c r="J369" s="74" t="s">
        <v>1294</v>
      </c>
      <c r="K369" s="10" t="n">
        <v>1736.8</v>
      </c>
      <c r="L369" s="8" t="n">
        <v>62313302.4</v>
      </c>
      <c r="M369" s="10" t="n">
        <v>0</v>
      </c>
      <c r="N369" s="8" t="n">
        <v>0</v>
      </c>
      <c r="O369" s="74"/>
      <c r="P369" s="74"/>
      <c r="Q369" s="74"/>
      <c r="R369" s="14" t="n">
        <f aca="false">IF(I369="Unbilled",0,M369)</f>
        <v>0</v>
      </c>
      <c r="S369" s="9" t="n">
        <f aca="false">IF(R369=0,0,IF(O369="Booked",N369,R369*V368))</f>
        <v>0</v>
      </c>
      <c r="T369" s="14" t="n">
        <f aca="false">IF(I369="Opening",K369,T368+K369-R369)</f>
        <v>3060.8</v>
      </c>
      <c r="U369" s="9" t="n">
        <f aca="false">IF(I369="Opening",L369,U368+L369-S369)</f>
        <v>112780726.36</v>
      </c>
      <c r="V369" s="9" t="n">
        <f aca="false">IF(T369&gt;0,U369/T369,IF(I369="Opening",0,V368))</f>
        <v>36846.8133690538</v>
      </c>
      <c r="W369" s="14" t="n">
        <f aca="false">M369</f>
        <v>0</v>
      </c>
      <c r="X369" s="9" t="n">
        <f aca="false">IF(W369=0,0,IF(O369="Booked",N369,W369*AA368))</f>
        <v>0</v>
      </c>
      <c r="Y369" s="14" t="n">
        <f aca="false">IF(I369="Opening",K369,Y368+K369-W369)</f>
        <v>3060.8</v>
      </c>
      <c r="Z369" s="9" t="n">
        <f aca="false">IF(I369="Opening",L369,Z368+L369-X369)</f>
        <v>112780726.36</v>
      </c>
      <c r="AA369" s="9" t="n">
        <f aca="false">IF(Y369&gt;0,Z369/Y369,IF(I369="Opening",0,AA368))</f>
        <v>36846.8133690538</v>
      </c>
      <c r="AB369" s="9" t="n">
        <f aca="false">IF(AND(I369="DO",O369="MA"),S369-N369,0)</f>
        <v>0</v>
      </c>
      <c r="AC369" s="9" t="n">
        <f aca="false">IF(I369="DO",X369-S369,0)</f>
        <v>0</v>
      </c>
      <c r="AD369" s="23" t="n">
        <f aca="false">IF(B370&lt;&gt;B369,1,0)</f>
        <v>0</v>
      </c>
      <c r="AE369" s="14" t="n">
        <f aca="false">IF(I369="Opening",0,AE368+W369)</f>
        <v>86.3</v>
      </c>
      <c r="AF369" s="14" t="n">
        <f aca="false">IF(I369="Opening",K369,AF368)</f>
        <v>86.3</v>
      </c>
      <c r="AG369" s="14" t="n">
        <f aca="false">AG368</f>
        <v>0</v>
      </c>
      <c r="AH369" s="14" t="n">
        <f aca="false">IF(W369=0,0,MAX(0,MIN(AE369,AF369)-MIN(AE369-W369,AF369)))</f>
        <v>0</v>
      </c>
      <c r="AI369" s="14" t="n">
        <f aca="false">IF(W369=0,0,MAX(0,MIN(AE369,AF369+AG369)-MAX(AE369-W369,AF369)))</f>
        <v>0</v>
      </c>
      <c r="AJ369" s="14" t="n">
        <f aca="false">W369-AH369-AI369</f>
        <v>0</v>
      </c>
      <c r="AK369" s="9" t="n">
        <f aca="false">IF(W369=0,0,X369*AH369/W369)</f>
        <v>0</v>
      </c>
      <c r="AL369" s="9" t="n">
        <f aca="false">IF(W369=0,0,X369*AI369/W369)</f>
        <v>0</v>
      </c>
      <c r="AM369" s="9" t="n">
        <f aca="false">X369-AK369-AL369</f>
        <v>0</v>
      </c>
    </row>
    <row r="370" customFormat="false" ht="15" hidden="false" customHeight="false" outlineLevel="0" collapsed="false">
      <c r="A370" s="6" t="n">
        <v>365</v>
      </c>
      <c r="B370" s="74" t="s">
        <v>982</v>
      </c>
      <c r="C370" s="53" t="str">
        <f aca="false">INDEX(I_Items!$C$5:$C$133,MATCH($B370,I_Items!$A$5:$A$133,0))</f>
        <v>RPA</v>
      </c>
      <c r="D370" s="53" t="str">
        <f aca="false">INDEX(I_Items!$D$5:$D$133,MATCH($B370,I_Items!$A$5:$A$133,0))</f>
        <v>Karkas</v>
      </c>
      <c r="E370" s="53" t="str">
        <f aca="false">INDEX(I_Items!$F$5:$F$133,MATCH($B370,I_Items!$A$5:$A$133,0))</f>
        <v>Fresh</v>
      </c>
      <c r="F370" s="53" t="str">
        <f aca="false">IF(INDEX(I_Items!$E$5:$E$133,MATCH($B370,I_Items!$A$5:$A$133,0))="","",INDEX(I_Items!$E$5:$E$133,MATCH($B370,I_Items!$A$5:$A$133,0)))</f>
        <v>Uk 1.1</v>
      </c>
      <c r="G370" s="76" t="n">
        <v>46246</v>
      </c>
      <c r="H370" s="23" t="n">
        <f aca="false">MONTH(G370)</f>
        <v>8</v>
      </c>
      <c r="I370" s="74" t="s">
        <v>2075</v>
      </c>
      <c r="J370" s="74" t="s">
        <v>2131</v>
      </c>
      <c r="K370" s="10" t="n">
        <v>0</v>
      </c>
      <c r="L370" s="8" t="n">
        <v>0</v>
      </c>
      <c r="M370" s="10" t="n">
        <v>1081.81</v>
      </c>
      <c r="N370" s="8" t="n">
        <v>39861251.2</v>
      </c>
      <c r="O370" s="74" t="s">
        <v>2077</v>
      </c>
      <c r="P370" s="74"/>
      <c r="Q370" s="74"/>
      <c r="R370" s="14" t="n">
        <f aca="false">IF(I370="Unbilled",0,M370)</f>
        <v>1081.81</v>
      </c>
      <c r="S370" s="9" t="n">
        <f aca="false">IF(R370=0,0,IF(O370="Booked",N370,R370*V369))</f>
        <v>39861251.1707761</v>
      </c>
      <c r="T370" s="14" t="n">
        <f aca="false">IF(I370="Opening",K370,T369+K370-R370)</f>
        <v>1978.99</v>
      </c>
      <c r="U370" s="9" t="n">
        <f aca="false">IF(I370="Opening",L370,U369+L370-S370)</f>
        <v>72919475.1892239</v>
      </c>
      <c r="V370" s="9" t="n">
        <f aca="false">IF(T370&gt;0,U370/T370,IF(I370="Opening",0,V369))</f>
        <v>36846.8133690538</v>
      </c>
      <c r="W370" s="14" t="n">
        <f aca="false">M370</f>
        <v>1081.81</v>
      </c>
      <c r="X370" s="9" t="n">
        <f aca="false">IF(W370=0,0,IF(O370="Booked",N370,W370*AA369))</f>
        <v>39861251.1707761</v>
      </c>
      <c r="Y370" s="14" t="n">
        <f aca="false">IF(I370="Opening",K370,Y369+K370-W370)</f>
        <v>1978.99</v>
      </c>
      <c r="Z370" s="9" t="n">
        <f aca="false">IF(I370="Opening",L370,Z369+L370-X370)</f>
        <v>72919475.1892239</v>
      </c>
      <c r="AA370" s="9" t="n">
        <f aca="false">IF(Y370&gt;0,Z370/Y370,IF(I370="Opening",0,AA369))</f>
        <v>36846.8133690538</v>
      </c>
      <c r="AB370" s="9" t="n">
        <f aca="false">IF(AND(I370="DO",O370="MA"),S370-N370,0)</f>
        <v>-0.0292238742113113</v>
      </c>
      <c r="AC370" s="9" t="n">
        <f aca="false">IF(I370="DO",X370-S370,0)</f>
        <v>0</v>
      </c>
      <c r="AD370" s="23" t="n">
        <f aca="false">IF(B371&lt;&gt;B370,1,0)</f>
        <v>0</v>
      </c>
      <c r="AE370" s="14" t="n">
        <f aca="false">IF(I370="Opening",0,AE369+W370)</f>
        <v>1168.11</v>
      </c>
      <c r="AF370" s="14" t="n">
        <f aca="false">IF(I370="Opening",K370,AF369)</f>
        <v>86.3</v>
      </c>
      <c r="AG370" s="14" t="n">
        <f aca="false">AG369</f>
        <v>0</v>
      </c>
      <c r="AH370" s="14" t="n">
        <f aca="false">IF(W370=0,0,MAX(0,MIN(AE370,AF370)-MIN(AE370-W370,AF370)))</f>
        <v>0</v>
      </c>
      <c r="AI370" s="14" t="n">
        <f aca="false">IF(W370=0,0,MAX(0,MIN(AE370,AF370+AG370)-MAX(AE370-W370,AF370)))</f>
        <v>0</v>
      </c>
      <c r="AJ370" s="14" t="n">
        <f aca="false">W370-AH370-AI370</f>
        <v>1081.81</v>
      </c>
      <c r="AK370" s="9" t="n">
        <f aca="false">IF(W370=0,0,X370*AH370/W370)</f>
        <v>0</v>
      </c>
      <c r="AL370" s="9" t="n">
        <f aca="false">IF(W370=0,0,X370*AI370/W370)</f>
        <v>0</v>
      </c>
      <c r="AM370" s="9" t="n">
        <f aca="false">X370-AK370-AL370</f>
        <v>39861251.1707761</v>
      </c>
    </row>
    <row r="371" customFormat="false" ht="15" hidden="false" customHeight="false" outlineLevel="0" collapsed="false">
      <c r="A371" s="6" t="n">
        <v>366</v>
      </c>
      <c r="B371" s="74" t="s">
        <v>982</v>
      </c>
      <c r="C371" s="53" t="str">
        <f aca="false">INDEX(I_Items!$C$5:$C$133,MATCH($B371,I_Items!$A$5:$A$133,0))</f>
        <v>RPA</v>
      </c>
      <c r="D371" s="53" t="str">
        <f aca="false">INDEX(I_Items!$D$5:$D$133,MATCH($B371,I_Items!$A$5:$A$133,0))</f>
        <v>Karkas</v>
      </c>
      <c r="E371" s="53" t="str">
        <f aca="false">INDEX(I_Items!$F$5:$F$133,MATCH($B371,I_Items!$A$5:$A$133,0))</f>
        <v>Fresh</v>
      </c>
      <c r="F371" s="53" t="str">
        <f aca="false">IF(INDEX(I_Items!$E$5:$E$133,MATCH($B371,I_Items!$A$5:$A$133,0))="","",INDEX(I_Items!$E$5:$E$133,MATCH($B371,I_Items!$A$5:$A$133,0)))</f>
        <v>Uk 1.1</v>
      </c>
      <c r="G371" s="76" t="n">
        <v>46246</v>
      </c>
      <c r="H371" s="23" t="n">
        <f aca="false">MONTH(G371)</f>
        <v>8</v>
      </c>
      <c r="I371" s="74" t="s">
        <v>2075</v>
      </c>
      <c r="J371" s="74" t="s">
        <v>2149</v>
      </c>
      <c r="K371" s="10" t="n">
        <v>0</v>
      </c>
      <c r="L371" s="8" t="n">
        <v>0</v>
      </c>
      <c r="M371" s="10" t="n">
        <v>451.73</v>
      </c>
      <c r="N371" s="8" t="n">
        <v>16644811.02</v>
      </c>
      <c r="O371" s="74" t="s">
        <v>2077</v>
      </c>
      <c r="P371" s="74"/>
      <c r="Q371" s="74"/>
      <c r="R371" s="14" t="n">
        <f aca="false">IF(I371="Unbilled",0,M371)</f>
        <v>451.73</v>
      </c>
      <c r="S371" s="9" t="n">
        <f aca="false">IF(R371=0,0,IF(O371="Booked",N371,R371*V370))</f>
        <v>16644811.0032027</v>
      </c>
      <c r="T371" s="14" t="n">
        <f aca="false">IF(I371="Opening",K371,T370+K371-R371)</f>
        <v>1527.26</v>
      </c>
      <c r="U371" s="9" t="n">
        <f aca="false">IF(I371="Opening",L371,U370+L371-S371)</f>
        <v>56274664.1860212</v>
      </c>
      <c r="V371" s="9" t="n">
        <f aca="false">IF(T371&gt;0,U371/T371,IF(I371="Opening",0,V370))</f>
        <v>36846.8133690538</v>
      </c>
      <c r="W371" s="14" t="n">
        <f aca="false">M371</f>
        <v>451.73</v>
      </c>
      <c r="X371" s="9" t="n">
        <f aca="false">IF(W371=0,0,IF(O371="Booked",N371,W371*AA370))</f>
        <v>16644811.0032027</v>
      </c>
      <c r="Y371" s="14" t="n">
        <f aca="false">IF(I371="Opening",K371,Y370+K371-W371)</f>
        <v>1527.26</v>
      </c>
      <c r="Z371" s="9" t="n">
        <f aca="false">IF(I371="Opening",L371,Z370+L371-X371)</f>
        <v>56274664.1860212</v>
      </c>
      <c r="AA371" s="9" t="n">
        <f aca="false">IF(Y371&gt;0,Z371/Y371,IF(I371="Opening",0,AA370))</f>
        <v>36846.8133690538</v>
      </c>
      <c r="AB371" s="9" t="n">
        <f aca="false">IF(AND(I371="DO",O371="MA"),S371-N371,0)</f>
        <v>-0.0167973078787327</v>
      </c>
      <c r="AC371" s="9" t="n">
        <f aca="false">IF(I371="DO",X371-S371,0)</f>
        <v>0</v>
      </c>
      <c r="AD371" s="23" t="n">
        <f aca="false">IF(B372&lt;&gt;B371,1,0)</f>
        <v>0</v>
      </c>
      <c r="AE371" s="14" t="n">
        <f aca="false">IF(I371="Opening",0,AE370+W371)</f>
        <v>1619.84</v>
      </c>
      <c r="AF371" s="14" t="n">
        <f aca="false">IF(I371="Opening",K371,AF370)</f>
        <v>86.3</v>
      </c>
      <c r="AG371" s="14" t="n">
        <f aca="false">AG370</f>
        <v>0</v>
      </c>
      <c r="AH371" s="14" t="n">
        <f aca="false">IF(W371=0,0,MAX(0,MIN(AE371,AF371)-MIN(AE371-W371,AF371)))</f>
        <v>0</v>
      </c>
      <c r="AI371" s="14" t="n">
        <f aca="false">IF(W371=0,0,MAX(0,MIN(AE371,AF371+AG371)-MAX(AE371-W371,AF371)))</f>
        <v>0</v>
      </c>
      <c r="AJ371" s="14" t="n">
        <f aca="false">W371-AH371-AI371</f>
        <v>451.73</v>
      </c>
      <c r="AK371" s="9" t="n">
        <f aca="false">IF(W371=0,0,X371*AH371/W371)</f>
        <v>0</v>
      </c>
      <c r="AL371" s="9" t="n">
        <f aca="false">IF(W371=0,0,X371*AI371/W371)</f>
        <v>0</v>
      </c>
      <c r="AM371" s="9" t="n">
        <f aca="false">X371-AK371-AL371</f>
        <v>16644811.0032027</v>
      </c>
    </row>
    <row r="372" customFormat="false" ht="15" hidden="false" customHeight="false" outlineLevel="0" collapsed="false">
      <c r="A372" s="6" t="n">
        <v>367</v>
      </c>
      <c r="B372" s="74" t="s">
        <v>982</v>
      </c>
      <c r="C372" s="53" t="str">
        <f aca="false">INDEX(I_Items!$C$5:$C$133,MATCH($B372,I_Items!$A$5:$A$133,0))</f>
        <v>RPA</v>
      </c>
      <c r="D372" s="53" t="str">
        <f aca="false">INDEX(I_Items!$D$5:$D$133,MATCH($B372,I_Items!$A$5:$A$133,0))</f>
        <v>Karkas</v>
      </c>
      <c r="E372" s="53" t="str">
        <f aca="false">INDEX(I_Items!$F$5:$F$133,MATCH($B372,I_Items!$A$5:$A$133,0))</f>
        <v>Fresh</v>
      </c>
      <c r="F372" s="53" t="str">
        <f aca="false">IF(INDEX(I_Items!$E$5:$E$133,MATCH($B372,I_Items!$A$5:$A$133,0))="","",INDEX(I_Items!$E$5:$E$133,MATCH($B372,I_Items!$A$5:$A$133,0)))</f>
        <v>Uk 1.1</v>
      </c>
      <c r="G372" s="76" t="n">
        <v>46249</v>
      </c>
      <c r="H372" s="23" t="n">
        <f aca="false">MONTH(G372)</f>
        <v>8</v>
      </c>
      <c r="I372" s="74" t="s">
        <v>2075</v>
      </c>
      <c r="J372" s="74" t="s">
        <v>2114</v>
      </c>
      <c r="K372" s="10" t="n">
        <v>0</v>
      </c>
      <c r="L372" s="8" t="n">
        <v>0</v>
      </c>
      <c r="M372" s="10" t="n">
        <v>605</v>
      </c>
      <c r="N372" s="8" t="n">
        <v>22292322.11</v>
      </c>
      <c r="O372" s="74" t="s">
        <v>2077</v>
      </c>
      <c r="P372" s="74" t="s">
        <v>1119</v>
      </c>
      <c r="Q372" s="74"/>
      <c r="R372" s="14" t="n">
        <f aca="false">IF(I372="Unbilled",0,M372)</f>
        <v>605</v>
      </c>
      <c r="S372" s="9" t="n">
        <f aca="false">IF(R372=0,0,IF(O372="Booked",N372,R372*V371))</f>
        <v>22292322.0882776</v>
      </c>
      <c r="T372" s="14" t="n">
        <f aca="false">IF(I372="Opening",K372,T371+K372-R372)</f>
        <v>922.26</v>
      </c>
      <c r="U372" s="9" t="n">
        <f aca="false">IF(I372="Opening",L372,U371+L372-S372)</f>
        <v>33982342.0977436</v>
      </c>
      <c r="V372" s="9" t="n">
        <f aca="false">IF(T372&gt;0,U372/T372,IF(I372="Opening",0,V371))</f>
        <v>36846.8133690538</v>
      </c>
      <c r="W372" s="14" t="n">
        <f aca="false">M372</f>
        <v>605</v>
      </c>
      <c r="X372" s="9" t="n">
        <f aca="false">IF(W372=0,0,IF(O372="Booked",N372,W372*AA371))</f>
        <v>22292322.0882776</v>
      </c>
      <c r="Y372" s="14" t="n">
        <f aca="false">IF(I372="Opening",K372,Y371+K372-W372)</f>
        <v>922.26</v>
      </c>
      <c r="Z372" s="9" t="n">
        <f aca="false">IF(I372="Opening",L372,Z371+L372-X372)</f>
        <v>33982342.0977436</v>
      </c>
      <c r="AA372" s="9" t="n">
        <f aca="false">IF(Y372&gt;0,Z372/Y372,IF(I372="Opening",0,AA371))</f>
        <v>36846.8133690538</v>
      </c>
      <c r="AB372" s="9" t="n">
        <f aca="false">IF(AND(I372="DO",O372="MA"),S372-N372,0)</f>
        <v>-0.021722424775362</v>
      </c>
      <c r="AC372" s="9" t="n">
        <f aca="false">IF(I372="DO",X372-S372,0)</f>
        <v>0</v>
      </c>
      <c r="AD372" s="23" t="n">
        <f aca="false">IF(B373&lt;&gt;B372,1,0)</f>
        <v>0</v>
      </c>
      <c r="AE372" s="14" t="n">
        <f aca="false">IF(I372="Opening",0,AE371+W372)</f>
        <v>2224.84</v>
      </c>
      <c r="AF372" s="14" t="n">
        <f aca="false">IF(I372="Opening",K372,AF371)</f>
        <v>86.3</v>
      </c>
      <c r="AG372" s="14" t="n">
        <f aca="false">AG371</f>
        <v>0</v>
      </c>
      <c r="AH372" s="14" t="n">
        <f aca="false">IF(W372=0,0,MAX(0,MIN(AE372,AF372)-MIN(AE372-W372,AF372)))</f>
        <v>0</v>
      </c>
      <c r="AI372" s="14" t="n">
        <f aca="false">IF(W372=0,0,MAX(0,MIN(AE372,AF372+AG372)-MAX(AE372-W372,AF372)))</f>
        <v>0</v>
      </c>
      <c r="AJ372" s="14" t="n">
        <f aca="false">W372-AH372-AI372</f>
        <v>605</v>
      </c>
      <c r="AK372" s="9" t="n">
        <f aca="false">IF(W372=0,0,X372*AH372/W372)</f>
        <v>0</v>
      </c>
      <c r="AL372" s="9" t="n">
        <f aca="false">IF(W372=0,0,X372*AI372/W372)</f>
        <v>0</v>
      </c>
      <c r="AM372" s="9" t="n">
        <f aca="false">X372-AK372-AL372</f>
        <v>22292322.0882776</v>
      </c>
    </row>
    <row r="373" customFormat="false" ht="15" hidden="false" customHeight="false" outlineLevel="0" collapsed="false">
      <c r="A373" s="6" t="n">
        <v>368</v>
      </c>
      <c r="B373" s="74" t="s">
        <v>982</v>
      </c>
      <c r="C373" s="53" t="str">
        <f aca="false">INDEX(I_Items!$C$5:$C$133,MATCH($B373,I_Items!$A$5:$A$133,0))</f>
        <v>RPA</v>
      </c>
      <c r="D373" s="53" t="str">
        <f aca="false">INDEX(I_Items!$D$5:$D$133,MATCH($B373,I_Items!$A$5:$A$133,0))</f>
        <v>Karkas</v>
      </c>
      <c r="E373" s="53" t="str">
        <f aca="false">INDEX(I_Items!$F$5:$F$133,MATCH($B373,I_Items!$A$5:$A$133,0))</f>
        <v>Fresh</v>
      </c>
      <c r="F373" s="53" t="str">
        <f aca="false">IF(INDEX(I_Items!$E$5:$E$133,MATCH($B373,I_Items!$A$5:$A$133,0))="","",INDEX(I_Items!$E$5:$E$133,MATCH($B373,I_Items!$A$5:$A$133,0)))</f>
        <v>Uk 1.1</v>
      </c>
      <c r="G373" s="76" t="n">
        <v>46249</v>
      </c>
      <c r="H373" s="23" t="n">
        <f aca="false">MONTH(G373)</f>
        <v>8</v>
      </c>
      <c r="I373" s="74" t="s">
        <v>2075</v>
      </c>
      <c r="J373" s="74" t="s">
        <v>2114</v>
      </c>
      <c r="K373" s="10" t="n">
        <v>0</v>
      </c>
      <c r="L373" s="8" t="n">
        <v>0</v>
      </c>
      <c r="M373" s="10" t="n">
        <v>505.07</v>
      </c>
      <c r="N373" s="8" t="n">
        <v>18610220.04</v>
      </c>
      <c r="O373" s="74" t="s">
        <v>2077</v>
      </c>
      <c r="P373" s="74" t="s">
        <v>1119</v>
      </c>
      <c r="Q373" s="74"/>
      <c r="R373" s="14" t="n">
        <f aca="false">IF(I373="Unbilled",0,M373)</f>
        <v>505.07</v>
      </c>
      <c r="S373" s="9" t="n">
        <f aca="false">IF(R373=0,0,IF(O373="Booked",N373,R373*V372))</f>
        <v>18610220.028308</v>
      </c>
      <c r="T373" s="14" t="n">
        <f aca="false">IF(I373="Opening",K373,T372+K373-R373)</f>
        <v>417.19</v>
      </c>
      <c r="U373" s="9" t="n">
        <f aca="false">IF(I373="Opening",L373,U372+L373-S373)</f>
        <v>15372122.0694356</v>
      </c>
      <c r="V373" s="9" t="n">
        <f aca="false">IF(T373&gt;0,U373/T373,IF(I373="Opening",0,V372))</f>
        <v>36846.8133690538</v>
      </c>
      <c r="W373" s="14" t="n">
        <f aca="false">M373</f>
        <v>505.07</v>
      </c>
      <c r="X373" s="9" t="n">
        <f aca="false">IF(W373=0,0,IF(O373="Booked",N373,W373*AA372))</f>
        <v>18610220.028308</v>
      </c>
      <c r="Y373" s="14" t="n">
        <f aca="false">IF(I373="Opening",K373,Y372+K373-W373)</f>
        <v>417.19</v>
      </c>
      <c r="Z373" s="9" t="n">
        <f aca="false">IF(I373="Opening",L373,Z372+L373-X373)</f>
        <v>15372122.0694356</v>
      </c>
      <c r="AA373" s="9" t="n">
        <f aca="false">IF(Y373&gt;0,Z373/Y373,IF(I373="Opening",0,AA372))</f>
        <v>36846.8133690538</v>
      </c>
      <c r="AB373" s="9" t="n">
        <f aca="false">IF(AND(I373="DO",O373="MA"),S373-N373,0)</f>
        <v>-0.011691976338625</v>
      </c>
      <c r="AC373" s="9" t="n">
        <f aca="false">IF(I373="DO",X373-S373,0)</f>
        <v>0</v>
      </c>
      <c r="AD373" s="23" t="n">
        <f aca="false">IF(B374&lt;&gt;B373,1,0)</f>
        <v>1</v>
      </c>
      <c r="AE373" s="14" t="n">
        <f aca="false">IF(I373="Opening",0,AE372+W373)</f>
        <v>2729.91</v>
      </c>
      <c r="AF373" s="14" t="n">
        <f aca="false">IF(I373="Opening",K373,AF372)</f>
        <v>86.3</v>
      </c>
      <c r="AG373" s="14" t="n">
        <f aca="false">AG372</f>
        <v>0</v>
      </c>
      <c r="AH373" s="14" t="n">
        <f aca="false">IF(W373=0,0,MAX(0,MIN(AE373,AF373)-MIN(AE373-W373,AF373)))</f>
        <v>0</v>
      </c>
      <c r="AI373" s="14" t="n">
        <f aca="false">IF(W373=0,0,MAX(0,MIN(AE373,AF373+AG373)-MAX(AE373-W373,AF373)))</f>
        <v>0</v>
      </c>
      <c r="AJ373" s="14" t="n">
        <f aca="false">W373-AH373-AI373</f>
        <v>505.07</v>
      </c>
      <c r="AK373" s="9" t="n">
        <f aca="false">IF(W373=0,0,X373*AH373/W373)</f>
        <v>0</v>
      </c>
      <c r="AL373" s="9" t="n">
        <f aca="false">IF(W373=0,0,X373*AI373/W373)</f>
        <v>0</v>
      </c>
      <c r="AM373" s="9" t="n">
        <f aca="false">X373-AK373-AL373</f>
        <v>18610220.028308</v>
      </c>
    </row>
    <row r="374" customFormat="false" ht="15" hidden="false" customHeight="false" outlineLevel="0" collapsed="false">
      <c r="A374" s="6" t="n">
        <v>369</v>
      </c>
      <c r="B374" s="74" t="s">
        <v>983</v>
      </c>
      <c r="C374" s="53" t="str">
        <f aca="false">INDEX(I_Items!$C$5:$C$133,MATCH($B374,I_Items!$A$5:$A$133,0))</f>
        <v>RPA</v>
      </c>
      <c r="D374" s="53" t="str">
        <f aca="false">INDEX(I_Items!$D$5:$D$133,MATCH($B374,I_Items!$A$5:$A$133,0))</f>
        <v>Karkas</v>
      </c>
      <c r="E374" s="53" t="str">
        <f aca="false">INDEX(I_Items!$F$5:$F$133,MATCH($B374,I_Items!$A$5:$A$133,0))</f>
        <v>Frozen</v>
      </c>
      <c r="F374" s="53" t="str">
        <f aca="false">IF(INDEX(I_Items!$E$5:$E$133,MATCH($B374,I_Items!$A$5:$A$133,0))="","",INDEX(I_Items!$E$5:$E$133,MATCH($B374,I_Items!$A$5:$A$133,0)))</f>
        <v>Uk 1.1</v>
      </c>
      <c r="G374" s="76" t="n">
        <v>46204</v>
      </c>
      <c r="H374" s="23" t="n">
        <f aca="false">MONTH(G374)</f>
        <v>7</v>
      </c>
      <c r="I374" s="74" t="s">
        <v>2072</v>
      </c>
      <c r="J374" s="74" t="s">
        <v>2073</v>
      </c>
      <c r="K374" s="10" t="n">
        <v>92.3</v>
      </c>
      <c r="L374" s="8" t="n">
        <v>2207343.14</v>
      </c>
      <c r="M374" s="10" t="n">
        <v>0</v>
      </c>
      <c r="N374" s="8" t="n">
        <v>0</v>
      </c>
      <c r="O374" s="74"/>
      <c r="P374" s="74"/>
      <c r="Q374" s="74"/>
      <c r="R374" s="14" t="n">
        <f aca="false">IF(I374="Unbilled",0,M374)</f>
        <v>0</v>
      </c>
      <c r="S374" s="9" t="n">
        <f aca="false">IF(R374=0,0,IF(O374="Booked",N374,R374*V373))</f>
        <v>0</v>
      </c>
      <c r="T374" s="14" t="n">
        <f aca="false">IF(I374="Opening",K374,T373+K374-R374)</f>
        <v>92.3</v>
      </c>
      <c r="U374" s="9" t="n">
        <f aca="false">IF(I374="Opening",L374,U373+L374-S374)</f>
        <v>2207343.14</v>
      </c>
      <c r="V374" s="9" t="n">
        <f aca="false">IF(T374&gt;0,U374/T374,IF(I374="Opening",0,V373))</f>
        <v>23914.8769230769</v>
      </c>
      <c r="W374" s="14" t="n">
        <f aca="false">M374</f>
        <v>0</v>
      </c>
      <c r="X374" s="9" t="n">
        <f aca="false">IF(W374=0,0,IF(O374="Booked",N374,W374*AA373))</f>
        <v>0</v>
      </c>
      <c r="Y374" s="14" t="n">
        <f aca="false">IF(I374="Opening",K374,Y373+K374-W374)</f>
        <v>92.3</v>
      </c>
      <c r="Z374" s="9" t="n">
        <f aca="false">IF(I374="Opening",L374,Z373+L374-X374)</f>
        <v>2207343.14</v>
      </c>
      <c r="AA374" s="9" t="n">
        <f aca="false">IF(Y374&gt;0,Z374/Y374,IF(I374="Opening",0,AA373))</f>
        <v>23914.8769230769</v>
      </c>
      <c r="AB374" s="9" t="n">
        <f aca="false">IF(AND(I374="DO",O374="MA"),S374-N374,0)</f>
        <v>0</v>
      </c>
      <c r="AC374" s="9" t="n">
        <f aca="false">IF(I374="DO",X374-S374,0)</f>
        <v>0</v>
      </c>
      <c r="AD374" s="23" t="n">
        <f aca="false">IF(B375&lt;&gt;B374,1,0)</f>
        <v>0</v>
      </c>
      <c r="AE374" s="14" t="n">
        <f aca="false">IF(I374="Opening",0,AE373+W374)</f>
        <v>0</v>
      </c>
      <c r="AF374" s="14" t="n">
        <f aca="false">IF(I374="Opening",K374,AF373)</f>
        <v>92.3</v>
      </c>
      <c r="AG374" s="14" t="n">
        <f aca="false">SUMIFS($K$6:$K$1110,$B$6:$B$1110,B374,$H$6:$H$1110,7,$I$6:$I$1110,"&lt;&gt;Opening")</f>
        <v>0</v>
      </c>
      <c r="AH374" s="14" t="n">
        <f aca="false">IF(W374=0,0,MAX(0,MIN(AE374,AF374)-MIN(AE374-W374,AF374)))</f>
        <v>0</v>
      </c>
      <c r="AI374" s="14" t="n">
        <f aca="false">IF(W374=0,0,MAX(0,MIN(AE374,AF374+AG374)-MAX(AE374-W374,AF374)))</f>
        <v>0</v>
      </c>
      <c r="AJ374" s="14" t="n">
        <f aca="false">W374-AH374-AI374</f>
        <v>0</v>
      </c>
      <c r="AK374" s="9" t="n">
        <f aca="false">IF(W374=0,0,X374*AH374/W374)</f>
        <v>0</v>
      </c>
      <c r="AL374" s="9" t="n">
        <f aca="false">IF(W374=0,0,X374*AI374/W374)</f>
        <v>0</v>
      </c>
      <c r="AM374" s="9" t="n">
        <f aca="false">X374-AK374-AL374</f>
        <v>0</v>
      </c>
    </row>
    <row r="375" customFormat="false" ht="15" hidden="false" customHeight="false" outlineLevel="0" collapsed="false">
      <c r="A375" s="6" t="n">
        <v>370</v>
      </c>
      <c r="B375" s="74" t="s">
        <v>983</v>
      </c>
      <c r="C375" s="53" t="str">
        <f aca="false">INDEX(I_Items!$C$5:$C$133,MATCH($B375,I_Items!$A$5:$A$133,0))</f>
        <v>RPA</v>
      </c>
      <c r="D375" s="53" t="str">
        <f aca="false">INDEX(I_Items!$D$5:$D$133,MATCH($B375,I_Items!$A$5:$A$133,0))</f>
        <v>Karkas</v>
      </c>
      <c r="E375" s="53" t="str">
        <f aca="false">INDEX(I_Items!$F$5:$F$133,MATCH($B375,I_Items!$A$5:$A$133,0))</f>
        <v>Frozen</v>
      </c>
      <c r="F375" s="53" t="str">
        <f aca="false">IF(INDEX(I_Items!$E$5:$E$133,MATCH($B375,I_Items!$A$5:$A$133,0))="","",INDEX(I_Items!$E$5:$E$133,MATCH($B375,I_Items!$A$5:$A$133,0)))</f>
        <v>Uk 1.1</v>
      </c>
      <c r="G375" s="76" t="n">
        <v>46204</v>
      </c>
      <c r="H375" s="23" t="n">
        <f aca="false">MONTH(G375)</f>
        <v>7</v>
      </c>
      <c r="I375" s="74" t="s">
        <v>2117</v>
      </c>
      <c r="J375" s="74" t="s">
        <v>2141</v>
      </c>
      <c r="K375" s="10" t="n">
        <v>0</v>
      </c>
      <c r="L375" s="8" t="n">
        <v>0</v>
      </c>
      <c r="M375" s="10" t="n">
        <v>3.3</v>
      </c>
      <c r="N375" s="8" t="n">
        <v>85456.24</v>
      </c>
      <c r="O375" s="74" t="s">
        <v>2119</v>
      </c>
      <c r="P375" s="74"/>
      <c r="Q375" s="74"/>
      <c r="R375" s="14" t="n">
        <f aca="false">IF(I375="Unbilled",0,M375)</f>
        <v>3.3</v>
      </c>
      <c r="S375" s="9" t="n">
        <f aca="false">IF(R375=0,0,IF(O375="Booked",N375,R375*V374))</f>
        <v>85456.24</v>
      </c>
      <c r="T375" s="14" t="n">
        <f aca="false">IF(I375="Opening",K375,T374+K375-R375)</f>
        <v>89</v>
      </c>
      <c r="U375" s="9" t="n">
        <f aca="false">IF(I375="Opening",L375,U374+L375-S375)</f>
        <v>2121886.9</v>
      </c>
      <c r="V375" s="9" t="n">
        <f aca="false">IF(T375&gt;0,U375/T375,IF(I375="Opening",0,V374))</f>
        <v>23841.4258426966</v>
      </c>
      <c r="W375" s="14" t="n">
        <f aca="false">M375</f>
        <v>3.3</v>
      </c>
      <c r="X375" s="9" t="n">
        <f aca="false">IF(W375=0,0,IF(O375="Booked",N375,W375*AA374))</f>
        <v>85456.24</v>
      </c>
      <c r="Y375" s="14" t="n">
        <f aca="false">IF(I375="Opening",K375,Y374+K375-W375)</f>
        <v>89</v>
      </c>
      <c r="Z375" s="9" t="n">
        <f aca="false">IF(I375="Opening",L375,Z374+L375-X375)</f>
        <v>2121886.9</v>
      </c>
      <c r="AA375" s="9" t="n">
        <f aca="false">IF(Y375&gt;0,Z375/Y375,IF(I375="Opening",0,AA374))</f>
        <v>23841.4258426966</v>
      </c>
      <c r="AB375" s="9" t="n">
        <f aca="false">IF(AND(I375="DO",O375="MA"),S375-N375,0)</f>
        <v>0</v>
      </c>
      <c r="AC375" s="9" t="n">
        <f aca="false">IF(I375="DO",X375-S375,0)</f>
        <v>0</v>
      </c>
      <c r="AD375" s="23" t="n">
        <f aca="false">IF(B376&lt;&gt;B375,1,0)</f>
        <v>0</v>
      </c>
      <c r="AE375" s="14" t="n">
        <f aca="false">IF(I375="Opening",0,AE374+W375)</f>
        <v>3.3</v>
      </c>
      <c r="AF375" s="14" t="n">
        <f aca="false">IF(I375="Opening",K375,AF374)</f>
        <v>92.3</v>
      </c>
      <c r="AG375" s="14" t="n">
        <f aca="false">AG374</f>
        <v>0</v>
      </c>
      <c r="AH375" s="14" t="n">
        <f aca="false">IF(W375=0,0,MAX(0,MIN(AE375,AF375)-MIN(AE375-W375,AF375)))</f>
        <v>3.3</v>
      </c>
      <c r="AI375" s="14" t="n">
        <f aca="false">IF(W375=0,0,MAX(0,MIN(AE375,AF375+AG375)-MAX(AE375-W375,AF375)))</f>
        <v>0</v>
      </c>
      <c r="AJ375" s="14" t="n">
        <f aca="false">W375-AH375-AI375</f>
        <v>0</v>
      </c>
      <c r="AK375" s="9" t="n">
        <f aca="false">IF(W375=0,0,X375*AH375/W375)</f>
        <v>85456.24</v>
      </c>
      <c r="AL375" s="9" t="n">
        <f aca="false">IF(W375=0,0,X375*AI375/W375)</f>
        <v>0</v>
      </c>
      <c r="AM375" s="9" t="n">
        <f aca="false">X375-AK375-AL375</f>
        <v>0</v>
      </c>
    </row>
    <row r="376" customFormat="false" ht="15" hidden="false" customHeight="false" outlineLevel="0" collapsed="false">
      <c r="A376" s="6" t="n">
        <v>371</v>
      </c>
      <c r="B376" s="74" t="s">
        <v>983</v>
      </c>
      <c r="C376" s="53" t="str">
        <f aca="false">INDEX(I_Items!$C$5:$C$133,MATCH($B376,I_Items!$A$5:$A$133,0))</f>
        <v>RPA</v>
      </c>
      <c r="D376" s="53" t="str">
        <f aca="false">INDEX(I_Items!$D$5:$D$133,MATCH($B376,I_Items!$A$5:$A$133,0))</f>
        <v>Karkas</v>
      </c>
      <c r="E376" s="53" t="str">
        <f aca="false">INDEX(I_Items!$F$5:$F$133,MATCH($B376,I_Items!$A$5:$A$133,0))</f>
        <v>Frozen</v>
      </c>
      <c r="F376" s="53" t="str">
        <f aca="false">IF(INDEX(I_Items!$E$5:$E$133,MATCH($B376,I_Items!$A$5:$A$133,0))="","",INDEX(I_Items!$E$5:$E$133,MATCH($B376,I_Items!$A$5:$A$133,0)))</f>
        <v>Uk 1.1</v>
      </c>
      <c r="G376" s="76" t="n">
        <v>46231</v>
      </c>
      <c r="H376" s="23" t="n">
        <f aca="false">MONTH(G376)</f>
        <v>7</v>
      </c>
      <c r="I376" s="74" t="s">
        <v>2075</v>
      </c>
      <c r="J376" s="74" t="s">
        <v>2142</v>
      </c>
      <c r="K376" s="10" t="n">
        <v>0</v>
      </c>
      <c r="L376" s="8" t="n">
        <v>0</v>
      </c>
      <c r="M376" s="10" t="n">
        <v>5.22</v>
      </c>
      <c r="N376" s="8" t="n">
        <v>124452.24</v>
      </c>
      <c r="O376" s="74" t="s">
        <v>2077</v>
      </c>
      <c r="P376" s="74"/>
      <c r="Q376" s="74"/>
      <c r="R376" s="14" t="n">
        <f aca="false">IF(I376="Unbilled",0,M376)</f>
        <v>5.22</v>
      </c>
      <c r="S376" s="9" t="n">
        <f aca="false">IF(R376=0,0,IF(O376="Booked",N376,R376*V375))</f>
        <v>124452.242898876</v>
      </c>
      <c r="T376" s="14" t="n">
        <f aca="false">IF(I376="Opening",K376,T375+K376-R376)</f>
        <v>83.78</v>
      </c>
      <c r="U376" s="9" t="n">
        <f aca="false">IF(I376="Opening",L376,U375+L376-S376)</f>
        <v>1997434.65710112</v>
      </c>
      <c r="V376" s="9" t="n">
        <f aca="false">IF(T376&gt;0,U376/T376,IF(I376="Opening",0,V375))</f>
        <v>23841.4258426966</v>
      </c>
      <c r="W376" s="14" t="n">
        <f aca="false">M376</f>
        <v>5.22</v>
      </c>
      <c r="X376" s="9" t="n">
        <f aca="false">IF(W376=0,0,IF(O376="Booked",N376,W376*AA375))</f>
        <v>124452.242898876</v>
      </c>
      <c r="Y376" s="14" t="n">
        <f aca="false">IF(I376="Opening",K376,Y375+K376-W376)</f>
        <v>83.78</v>
      </c>
      <c r="Z376" s="9" t="n">
        <f aca="false">IF(I376="Opening",L376,Z375+L376-X376)</f>
        <v>1997434.65710112</v>
      </c>
      <c r="AA376" s="9" t="n">
        <f aca="false">IF(Y376&gt;0,Z376/Y376,IF(I376="Opening",0,AA375))</f>
        <v>23841.4258426966</v>
      </c>
      <c r="AB376" s="9" t="n">
        <f aca="false">IF(AND(I376="DO",O376="MA"),S376-N376,0)</f>
        <v>0.00289887639519293</v>
      </c>
      <c r="AC376" s="9" t="n">
        <f aca="false">IF(I376="DO",X376-S376,0)</f>
        <v>0</v>
      </c>
      <c r="AD376" s="23" t="n">
        <f aca="false">IF(B377&lt;&gt;B376,1,0)</f>
        <v>0</v>
      </c>
      <c r="AE376" s="14" t="n">
        <f aca="false">IF(I376="Opening",0,AE375+W376)</f>
        <v>8.52</v>
      </c>
      <c r="AF376" s="14" t="n">
        <f aca="false">IF(I376="Opening",K376,AF375)</f>
        <v>92.3</v>
      </c>
      <c r="AG376" s="14" t="n">
        <f aca="false">AG375</f>
        <v>0</v>
      </c>
      <c r="AH376" s="14" t="n">
        <f aca="false">IF(W376=0,0,MAX(0,MIN(AE376,AF376)-MIN(AE376-W376,AF376)))</f>
        <v>5.22</v>
      </c>
      <c r="AI376" s="14" t="n">
        <f aca="false">IF(W376=0,0,MAX(0,MIN(AE376,AF376+AG376)-MAX(AE376-W376,AF376)))</f>
        <v>0</v>
      </c>
      <c r="AJ376" s="14" t="n">
        <f aca="false">W376-AH376-AI376</f>
        <v>0</v>
      </c>
      <c r="AK376" s="9" t="n">
        <f aca="false">IF(W376=0,0,X376*AH376/W376)</f>
        <v>124452.242898876</v>
      </c>
      <c r="AL376" s="9" t="n">
        <f aca="false">IF(W376=0,0,X376*AI376/W376)</f>
        <v>0</v>
      </c>
      <c r="AM376" s="9" t="n">
        <f aca="false">X376-AK376-AL376</f>
        <v>0</v>
      </c>
    </row>
    <row r="377" customFormat="false" ht="15" hidden="false" customHeight="false" outlineLevel="0" collapsed="false">
      <c r="A377" s="6" t="n">
        <v>372</v>
      </c>
      <c r="B377" s="74" t="s">
        <v>983</v>
      </c>
      <c r="C377" s="53" t="str">
        <f aca="false">INDEX(I_Items!$C$5:$C$133,MATCH($B377,I_Items!$A$5:$A$133,0))</f>
        <v>RPA</v>
      </c>
      <c r="D377" s="53" t="str">
        <f aca="false">INDEX(I_Items!$D$5:$D$133,MATCH($B377,I_Items!$A$5:$A$133,0))</f>
        <v>Karkas</v>
      </c>
      <c r="E377" s="53" t="str">
        <f aca="false">INDEX(I_Items!$F$5:$F$133,MATCH($B377,I_Items!$A$5:$A$133,0))</f>
        <v>Frozen</v>
      </c>
      <c r="F377" s="53" t="str">
        <f aca="false">IF(INDEX(I_Items!$E$5:$E$133,MATCH($B377,I_Items!$A$5:$A$133,0))="","",INDEX(I_Items!$E$5:$E$133,MATCH($B377,I_Items!$A$5:$A$133,0)))</f>
        <v>Uk 1.1</v>
      </c>
      <c r="G377" s="76" t="n">
        <v>46231</v>
      </c>
      <c r="H377" s="23" t="n">
        <f aca="false">MONTH(G377)</f>
        <v>7</v>
      </c>
      <c r="I377" s="74" t="s">
        <v>2075</v>
      </c>
      <c r="J377" s="74" t="s">
        <v>2142</v>
      </c>
      <c r="K377" s="10" t="n">
        <v>0</v>
      </c>
      <c r="L377" s="8" t="n">
        <v>0</v>
      </c>
      <c r="M377" s="10" t="n">
        <v>83.78</v>
      </c>
      <c r="N377" s="8" t="n">
        <v>1997434.66</v>
      </c>
      <c r="O377" s="74" t="s">
        <v>2077</v>
      </c>
      <c r="P377" s="74"/>
      <c r="Q377" s="74"/>
      <c r="R377" s="14" t="n">
        <f aca="false">IF(I377="Unbilled",0,M377)</f>
        <v>83.78</v>
      </c>
      <c r="S377" s="9" t="n">
        <f aca="false">IF(R377=0,0,IF(O377="Booked",N377,R377*V376))</f>
        <v>1997434.65710112</v>
      </c>
      <c r="T377" s="14" t="n">
        <f aca="false">IF(I377="Opening",K377,T376+K377-R377)</f>
        <v>0</v>
      </c>
      <c r="U377" s="9" t="n">
        <f aca="false">IF(I377="Opening",L377,U376+L377-S377)</f>
        <v>0</v>
      </c>
      <c r="V377" s="9" t="n">
        <f aca="false">IF(T377&gt;0,U377/T377,IF(I377="Opening",0,V376))</f>
        <v>23841.4258426966</v>
      </c>
      <c r="W377" s="14" t="n">
        <f aca="false">M377</f>
        <v>83.78</v>
      </c>
      <c r="X377" s="9" t="n">
        <f aca="false">IF(W377=0,0,IF(O377="Booked",N377,W377*AA376))</f>
        <v>1997434.65710112</v>
      </c>
      <c r="Y377" s="14" t="n">
        <f aca="false">IF(I377="Opening",K377,Y376+K377-W377)</f>
        <v>0</v>
      </c>
      <c r="Z377" s="9" t="n">
        <f aca="false">IF(I377="Opening",L377,Z376+L377-X377)</f>
        <v>0</v>
      </c>
      <c r="AA377" s="9" t="n">
        <f aca="false">IF(Y377&gt;0,Z377/Y377,IF(I377="Opening",0,AA376))</f>
        <v>23841.4258426966</v>
      </c>
      <c r="AB377" s="9" t="n">
        <f aca="false">IF(AND(I377="DO",O377="MA"),S377-N377,0)</f>
        <v>-0.00289887632243335</v>
      </c>
      <c r="AC377" s="9" t="n">
        <f aca="false">IF(I377="DO",X377-S377,0)</f>
        <v>0</v>
      </c>
      <c r="AD377" s="23" t="n">
        <f aca="false">IF(B378&lt;&gt;B377,1,0)</f>
        <v>0</v>
      </c>
      <c r="AE377" s="14" t="n">
        <f aca="false">IF(I377="Opening",0,AE376+W377)</f>
        <v>92.3</v>
      </c>
      <c r="AF377" s="14" t="n">
        <f aca="false">IF(I377="Opening",K377,AF376)</f>
        <v>92.3</v>
      </c>
      <c r="AG377" s="14" t="n">
        <f aca="false">AG376</f>
        <v>0</v>
      </c>
      <c r="AH377" s="14" t="n">
        <f aca="false">IF(W377=0,0,MAX(0,MIN(AE377,AF377)-MIN(AE377-W377,AF377)))</f>
        <v>83.78</v>
      </c>
      <c r="AI377" s="14" t="n">
        <f aca="false">IF(W377=0,0,MAX(0,MIN(AE377,AF377+AG377)-MAX(AE377-W377,AF377)))</f>
        <v>0</v>
      </c>
      <c r="AJ377" s="14" t="n">
        <f aca="false">W377-AH377-AI377</f>
        <v>0</v>
      </c>
      <c r="AK377" s="9" t="n">
        <f aca="false">IF(W377=0,0,X377*AH377/W377)</f>
        <v>1997434.65710112</v>
      </c>
      <c r="AL377" s="9" t="n">
        <f aca="false">IF(W377=0,0,X377*AI377/W377)</f>
        <v>0</v>
      </c>
      <c r="AM377" s="9" t="n">
        <f aca="false">X377-AK377-AL377</f>
        <v>0</v>
      </c>
    </row>
    <row r="378" customFormat="false" ht="15" hidden="false" customHeight="false" outlineLevel="0" collapsed="false">
      <c r="A378" s="6" t="n">
        <v>373</v>
      </c>
      <c r="B378" s="74" t="s">
        <v>983</v>
      </c>
      <c r="C378" s="53" t="str">
        <f aca="false">INDEX(I_Items!$C$5:$C$133,MATCH($B378,I_Items!$A$5:$A$133,0))</f>
        <v>RPA</v>
      </c>
      <c r="D378" s="53" t="str">
        <f aca="false">INDEX(I_Items!$D$5:$D$133,MATCH($B378,I_Items!$A$5:$A$133,0))</f>
        <v>Karkas</v>
      </c>
      <c r="E378" s="53" t="str">
        <f aca="false">INDEX(I_Items!$F$5:$F$133,MATCH($B378,I_Items!$A$5:$A$133,0))</f>
        <v>Frozen</v>
      </c>
      <c r="F378" s="53" t="str">
        <f aca="false">IF(INDEX(I_Items!$E$5:$E$133,MATCH($B378,I_Items!$A$5:$A$133,0))="","",INDEX(I_Items!$E$5:$E$133,MATCH($B378,I_Items!$A$5:$A$133,0)))</f>
        <v>Uk 1.1</v>
      </c>
      <c r="G378" s="76" t="n">
        <v>46244</v>
      </c>
      <c r="H378" s="23" t="n">
        <f aca="false">MONTH(G378)</f>
        <v>8</v>
      </c>
      <c r="I378" s="74" t="s">
        <v>2074</v>
      </c>
      <c r="J378" s="74" t="s">
        <v>1294</v>
      </c>
      <c r="K378" s="10" t="n">
        <v>161</v>
      </c>
      <c r="L378" s="8" t="n">
        <v>5251267.58</v>
      </c>
      <c r="M378" s="10" t="n">
        <v>0</v>
      </c>
      <c r="N378" s="8" t="n">
        <v>0</v>
      </c>
      <c r="O378" s="74"/>
      <c r="P378" s="74"/>
      <c r="Q378" s="74"/>
      <c r="R378" s="14" t="n">
        <f aca="false">IF(I378="Unbilled",0,M378)</f>
        <v>0</v>
      </c>
      <c r="S378" s="9" t="n">
        <f aca="false">IF(R378=0,0,IF(O378="Booked",N378,R378*V377))</f>
        <v>0</v>
      </c>
      <c r="T378" s="14" t="n">
        <f aca="false">IF(I378="Opening",K378,T377+K378-R378)</f>
        <v>161</v>
      </c>
      <c r="U378" s="9" t="n">
        <f aca="false">IF(I378="Opening",L378,U377+L378-S378)</f>
        <v>5251267.58</v>
      </c>
      <c r="V378" s="9" t="n">
        <f aca="false">IF(T378&gt;0,U378/T378,IF(I378="Opening",0,V377))</f>
        <v>32616.5688198758</v>
      </c>
      <c r="W378" s="14" t="n">
        <f aca="false">M378</f>
        <v>0</v>
      </c>
      <c r="X378" s="9" t="n">
        <f aca="false">IF(W378=0,0,IF(O378="Booked",N378,W378*AA377))</f>
        <v>0</v>
      </c>
      <c r="Y378" s="14" t="n">
        <f aca="false">IF(I378="Opening",K378,Y377+K378-W378)</f>
        <v>161</v>
      </c>
      <c r="Z378" s="9" t="n">
        <f aca="false">IF(I378="Opening",L378,Z377+L378-X378)</f>
        <v>5251267.58</v>
      </c>
      <c r="AA378" s="9" t="n">
        <f aca="false">IF(Y378&gt;0,Z378/Y378,IF(I378="Opening",0,AA377))</f>
        <v>32616.5688198758</v>
      </c>
      <c r="AB378" s="9" t="n">
        <f aca="false">IF(AND(I378="DO",O378="MA"),S378-N378,0)</f>
        <v>0</v>
      </c>
      <c r="AC378" s="9" t="n">
        <f aca="false">IF(I378="DO",X378-S378,0)</f>
        <v>0</v>
      </c>
      <c r="AD378" s="23" t="n">
        <f aca="false">IF(B379&lt;&gt;B378,1,0)</f>
        <v>0</v>
      </c>
      <c r="AE378" s="14" t="n">
        <f aca="false">IF(I378="Opening",0,AE377+W378)</f>
        <v>92.3</v>
      </c>
      <c r="AF378" s="14" t="n">
        <f aca="false">IF(I378="Opening",K378,AF377)</f>
        <v>92.3</v>
      </c>
      <c r="AG378" s="14" t="n">
        <f aca="false">AG377</f>
        <v>0</v>
      </c>
      <c r="AH378" s="14" t="n">
        <f aca="false">IF(W378=0,0,MAX(0,MIN(AE378,AF378)-MIN(AE378-W378,AF378)))</f>
        <v>0</v>
      </c>
      <c r="AI378" s="14" t="n">
        <f aca="false">IF(W378=0,0,MAX(0,MIN(AE378,AF378+AG378)-MAX(AE378-W378,AF378)))</f>
        <v>0</v>
      </c>
      <c r="AJ378" s="14" t="n">
        <f aca="false">W378-AH378-AI378</f>
        <v>0</v>
      </c>
      <c r="AK378" s="9" t="n">
        <f aca="false">IF(W378=0,0,X378*AH378/W378)</f>
        <v>0</v>
      </c>
      <c r="AL378" s="9" t="n">
        <f aca="false">IF(W378=0,0,X378*AI378/W378)</f>
        <v>0</v>
      </c>
      <c r="AM378" s="9" t="n">
        <f aca="false">X378-AK378-AL378</f>
        <v>0</v>
      </c>
    </row>
    <row r="379" customFormat="false" ht="15" hidden="false" customHeight="false" outlineLevel="0" collapsed="false">
      <c r="A379" s="6" t="n">
        <v>374</v>
      </c>
      <c r="B379" s="74" t="s">
        <v>983</v>
      </c>
      <c r="C379" s="53" t="str">
        <f aca="false">INDEX(I_Items!$C$5:$C$133,MATCH($B379,I_Items!$A$5:$A$133,0))</f>
        <v>RPA</v>
      </c>
      <c r="D379" s="53" t="str">
        <f aca="false">INDEX(I_Items!$D$5:$D$133,MATCH($B379,I_Items!$A$5:$A$133,0))</f>
        <v>Karkas</v>
      </c>
      <c r="E379" s="53" t="str">
        <f aca="false">INDEX(I_Items!$F$5:$F$133,MATCH($B379,I_Items!$A$5:$A$133,0))</f>
        <v>Frozen</v>
      </c>
      <c r="F379" s="53" t="str">
        <f aca="false">IF(INDEX(I_Items!$E$5:$E$133,MATCH($B379,I_Items!$A$5:$A$133,0))="","",INDEX(I_Items!$E$5:$E$133,MATCH($B379,I_Items!$A$5:$A$133,0)))</f>
        <v>Uk 1.1</v>
      </c>
      <c r="G379" s="76" t="n">
        <v>46248</v>
      </c>
      <c r="H379" s="23" t="n">
        <f aca="false">MONTH(G379)</f>
        <v>8</v>
      </c>
      <c r="I379" s="74" t="s">
        <v>2074</v>
      </c>
      <c r="J379" s="74" t="s">
        <v>1302</v>
      </c>
      <c r="K379" s="10" t="n">
        <v>82.5</v>
      </c>
      <c r="L379" s="8" t="n">
        <v>2871437.94</v>
      </c>
      <c r="M379" s="10" t="n">
        <v>0</v>
      </c>
      <c r="N379" s="8" t="n">
        <v>0</v>
      </c>
      <c r="O379" s="74"/>
      <c r="P379" s="74"/>
      <c r="Q379" s="74"/>
      <c r="R379" s="14" t="n">
        <f aca="false">IF(I379="Unbilled",0,M379)</f>
        <v>0</v>
      </c>
      <c r="S379" s="9" t="n">
        <f aca="false">IF(R379=0,0,IF(O379="Booked",N379,R379*V378))</f>
        <v>0</v>
      </c>
      <c r="T379" s="14" t="n">
        <f aca="false">IF(I379="Opening",K379,T378+K379-R379)</f>
        <v>243.5</v>
      </c>
      <c r="U379" s="9" t="n">
        <f aca="false">IF(I379="Opening",L379,U378+L379-S379)</f>
        <v>8122705.52</v>
      </c>
      <c r="V379" s="9" t="n">
        <f aca="false">IF(T379&gt;0,U379/T379,IF(I379="Opening",0,V378))</f>
        <v>33358.1335523614</v>
      </c>
      <c r="W379" s="14" t="n">
        <f aca="false">M379</f>
        <v>0</v>
      </c>
      <c r="X379" s="9" t="n">
        <f aca="false">IF(W379=0,0,IF(O379="Booked",N379,W379*AA378))</f>
        <v>0</v>
      </c>
      <c r="Y379" s="14" t="n">
        <f aca="false">IF(I379="Opening",K379,Y378+K379-W379)</f>
        <v>243.5</v>
      </c>
      <c r="Z379" s="9" t="n">
        <f aca="false">IF(I379="Opening",L379,Z378+L379-X379)</f>
        <v>8122705.52</v>
      </c>
      <c r="AA379" s="9" t="n">
        <f aca="false">IF(Y379&gt;0,Z379/Y379,IF(I379="Opening",0,AA378))</f>
        <v>33358.1335523614</v>
      </c>
      <c r="AB379" s="9" t="n">
        <f aca="false">IF(AND(I379="DO",O379="MA"),S379-N379,0)</f>
        <v>0</v>
      </c>
      <c r="AC379" s="9" t="n">
        <f aca="false">IF(I379="DO",X379-S379,0)</f>
        <v>0</v>
      </c>
      <c r="AD379" s="23" t="n">
        <f aca="false">IF(B380&lt;&gt;B379,1,0)</f>
        <v>0</v>
      </c>
      <c r="AE379" s="14" t="n">
        <f aca="false">IF(I379="Opening",0,AE378+W379)</f>
        <v>92.3</v>
      </c>
      <c r="AF379" s="14" t="n">
        <f aca="false">IF(I379="Opening",K379,AF378)</f>
        <v>92.3</v>
      </c>
      <c r="AG379" s="14" t="n">
        <f aca="false">AG378</f>
        <v>0</v>
      </c>
      <c r="AH379" s="14" t="n">
        <f aca="false">IF(W379=0,0,MAX(0,MIN(AE379,AF379)-MIN(AE379-W379,AF379)))</f>
        <v>0</v>
      </c>
      <c r="AI379" s="14" t="n">
        <f aca="false">IF(W379=0,0,MAX(0,MIN(AE379,AF379+AG379)-MAX(AE379-W379,AF379)))</f>
        <v>0</v>
      </c>
      <c r="AJ379" s="14" t="n">
        <f aca="false">W379-AH379-AI379</f>
        <v>0</v>
      </c>
      <c r="AK379" s="9" t="n">
        <f aca="false">IF(W379=0,0,X379*AH379/W379)</f>
        <v>0</v>
      </c>
      <c r="AL379" s="9" t="n">
        <f aca="false">IF(W379=0,0,X379*AI379/W379)</f>
        <v>0</v>
      </c>
      <c r="AM379" s="9" t="n">
        <f aca="false">X379-AK379-AL379</f>
        <v>0</v>
      </c>
    </row>
    <row r="380" customFormat="false" ht="15" hidden="false" customHeight="false" outlineLevel="0" collapsed="false">
      <c r="A380" s="6" t="n">
        <v>375</v>
      </c>
      <c r="B380" s="74" t="s">
        <v>983</v>
      </c>
      <c r="C380" s="53" t="str">
        <f aca="false">INDEX(I_Items!$C$5:$C$133,MATCH($B380,I_Items!$A$5:$A$133,0))</f>
        <v>RPA</v>
      </c>
      <c r="D380" s="53" t="str">
        <f aca="false">INDEX(I_Items!$D$5:$D$133,MATCH($B380,I_Items!$A$5:$A$133,0))</f>
        <v>Karkas</v>
      </c>
      <c r="E380" s="53" t="str">
        <f aca="false">INDEX(I_Items!$F$5:$F$133,MATCH($B380,I_Items!$A$5:$A$133,0))</f>
        <v>Frozen</v>
      </c>
      <c r="F380" s="53" t="str">
        <f aca="false">IF(INDEX(I_Items!$E$5:$E$133,MATCH($B380,I_Items!$A$5:$A$133,0))="","",INDEX(I_Items!$E$5:$E$133,MATCH($B380,I_Items!$A$5:$A$133,0)))</f>
        <v>Uk 1.1</v>
      </c>
      <c r="G380" s="76" t="n">
        <v>46253</v>
      </c>
      <c r="H380" s="23" t="n">
        <f aca="false">MONTH(G380)</f>
        <v>8</v>
      </c>
      <c r="I380" s="74" t="s">
        <v>2074</v>
      </c>
      <c r="J380" s="74" t="s">
        <v>1305</v>
      </c>
      <c r="K380" s="10" t="n">
        <v>122.8</v>
      </c>
      <c r="L380" s="8" t="n">
        <v>4218368.6</v>
      </c>
      <c r="M380" s="10" t="n">
        <v>0</v>
      </c>
      <c r="N380" s="8" t="n">
        <v>0</v>
      </c>
      <c r="O380" s="74"/>
      <c r="P380" s="74"/>
      <c r="Q380" s="74"/>
      <c r="R380" s="14" t="n">
        <f aca="false">IF(I380="Unbilled",0,M380)</f>
        <v>0</v>
      </c>
      <c r="S380" s="9" t="n">
        <f aca="false">IF(R380=0,0,IF(O380="Booked",N380,R380*V379))</f>
        <v>0</v>
      </c>
      <c r="T380" s="14" t="n">
        <f aca="false">IF(I380="Opening",K380,T379+K380-R380)</f>
        <v>366.3</v>
      </c>
      <c r="U380" s="9" t="n">
        <f aca="false">IF(I380="Opening",L380,U379+L380-S380)</f>
        <v>12341074.12</v>
      </c>
      <c r="V380" s="9" t="n">
        <f aca="false">IF(T380&gt;0,U380/T380,IF(I380="Opening",0,V379))</f>
        <v>33691.166038766</v>
      </c>
      <c r="W380" s="14" t="n">
        <f aca="false">M380</f>
        <v>0</v>
      </c>
      <c r="X380" s="9" t="n">
        <f aca="false">IF(W380=0,0,IF(O380="Booked",N380,W380*AA379))</f>
        <v>0</v>
      </c>
      <c r="Y380" s="14" t="n">
        <f aca="false">IF(I380="Opening",K380,Y379+K380-W380)</f>
        <v>366.3</v>
      </c>
      <c r="Z380" s="9" t="n">
        <f aca="false">IF(I380="Opening",L380,Z379+L380-X380)</f>
        <v>12341074.12</v>
      </c>
      <c r="AA380" s="9" t="n">
        <f aca="false">IF(Y380&gt;0,Z380/Y380,IF(I380="Opening",0,AA379))</f>
        <v>33691.166038766</v>
      </c>
      <c r="AB380" s="9" t="n">
        <f aca="false">IF(AND(I380="DO",O380="MA"),S380-N380,0)</f>
        <v>0</v>
      </c>
      <c r="AC380" s="9" t="n">
        <f aca="false">IF(I380="DO",X380-S380,0)</f>
        <v>0</v>
      </c>
      <c r="AD380" s="23" t="n">
        <f aca="false">IF(B381&lt;&gt;B380,1,0)</f>
        <v>0</v>
      </c>
      <c r="AE380" s="14" t="n">
        <f aca="false">IF(I380="Opening",0,AE379+W380)</f>
        <v>92.3</v>
      </c>
      <c r="AF380" s="14" t="n">
        <f aca="false">IF(I380="Opening",K380,AF379)</f>
        <v>92.3</v>
      </c>
      <c r="AG380" s="14" t="n">
        <f aca="false">AG379</f>
        <v>0</v>
      </c>
      <c r="AH380" s="14" t="n">
        <f aca="false">IF(W380=0,0,MAX(0,MIN(AE380,AF380)-MIN(AE380-W380,AF380)))</f>
        <v>0</v>
      </c>
      <c r="AI380" s="14" t="n">
        <f aca="false">IF(W380=0,0,MAX(0,MIN(AE380,AF380+AG380)-MAX(AE380-W380,AF380)))</f>
        <v>0</v>
      </c>
      <c r="AJ380" s="14" t="n">
        <f aca="false">W380-AH380-AI380</f>
        <v>0</v>
      </c>
      <c r="AK380" s="9" t="n">
        <f aca="false">IF(W380=0,0,X380*AH380/W380)</f>
        <v>0</v>
      </c>
      <c r="AL380" s="9" t="n">
        <f aca="false">IF(W380=0,0,X380*AI380/W380)</f>
        <v>0</v>
      </c>
      <c r="AM380" s="9" t="n">
        <f aca="false">X380-AK380-AL380</f>
        <v>0</v>
      </c>
    </row>
    <row r="381" customFormat="false" ht="15" hidden="false" customHeight="false" outlineLevel="0" collapsed="false">
      <c r="A381" s="6" t="n">
        <v>376</v>
      </c>
      <c r="B381" s="74" t="s">
        <v>983</v>
      </c>
      <c r="C381" s="53" t="str">
        <f aca="false">INDEX(I_Items!$C$5:$C$133,MATCH($B381,I_Items!$A$5:$A$133,0))</f>
        <v>RPA</v>
      </c>
      <c r="D381" s="53" t="str">
        <f aca="false">INDEX(I_Items!$D$5:$D$133,MATCH($B381,I_Items!$A$5:$A$133,0))</f>
        <v>Karkas</v>
      </c>
      <c r="E381" s="53" t="str">
        <f aca="false">INDEX(I_Items!$F$5:$F$133,MATCH($B381,I_Items!$A$5:$A$133,0))</f>
        <v>Frozen</v>
      </c>
      <c r="F381" s="53" t="str">
        <f aca="false">IF(INDEX(I_Items!$E$5:$E$133,MATCH($B381,I_Items!$A$5:$A$133,0))="","",INDEX(I_Items!$E$5:$E$133,MATCH($B381,I_Items!$A$5:$A$133,0)))</f>
        <v>Uk 1.1</v>
      </c>
      <c r="G381" s="76" t="n">
        <v>46254</v>
      </c>
      <c r="H381" s="23" t="n">
        <f aca="false">MONTH(G381)</f>
        <v>8</v>
      </c>
      <c r="I381" s="74" t="s">
        <v>2074</v>
      </c>
      <c r="J381" s="74" t="s">
        <v>1308</v>
      </c>
      <c r="K381" s="10" t="n">
        <v>132.8</v>
      </c>
      <c r="L381" s="8" t="n">
        <v>4572128.66</v>
      </c>
      <c r="M381" s="10" t="n">
        <v>0</v>
      </c>
      <c r="N381" s="8" t="n">
        <v>0</v>
      </c>
      <c r="O381" s="74"/>
      <c r="P381" s="74"/>
      <c r="Q381" s="74"/>
      <c r="R381" s="14" t="n">
        <f aca="false">IF(I381="Unbilled",0,M381)</f>
        <v>0</v>
      </c>
      <c r="S381" s="9" t="n">
        <f aca="false">IF(R381=0,0,IF(O381="Booked",N381,R381*V380))</f>
        <v>0</v>
      </c>
      <c r="T381" s="14" t="n">
        <f aca="false">IF(I381="Opening",K381,T380+K381-R381)</f>
        <v>499.1</v>
      </c>
      <c r="U381" s="9" t="n">
        <f aca="false">IF(I381="Opening",L381,U380+L381-S381)</f>
        <v>16913202.78</v>
      </c>
      <c r="V381" s="9" t="n">
        <f aca="false">IF(T381&gt;0,U381/T381,IF(I381="Opening",0,V380))</f>
        <v>33887.4028851934</v>
      </c>
      <c r="W381" s="14" t="n">
        <f aca="false">M381</f>
        <v>0</v>
      </c>
      <c r="X381" s="9" t="n">
        <f aca="false">IF(W381=0,0,IF(O381="Booked",N381,W381*AA380))</f>
        <v>0</v>
      </c>
      <c r="Y381" s="14" t="n">
        <f aca="false">IF(I381="Opening",K381,Y380+K381-W381)</f>
        <v>499.1</v>
      </c>
      <c r="Z381" s="9" t="n">
        <f aca="false">IF(I381="Opening",L381,Z380+L381-X381)</f>
        <v>16913202.78</v>
      </c>
      <c r="AA381" s="9" t="n">
        <f aca="false">IF(Y381&gt;0,Z381/Y381,IF(I381="Opening",0,AA380))</f>
        <v>33887.4028851934</v>
      </c>
      <c r="AB381" s="9" t="n">
        <f aca="false">IF(AND(I381="DO",O381="MA"),S381-N381,0)</f>
        <v>0</v>
      </c>
      <c r="AC381" s="9" t="n">
        <f aca="false">IF(I381="DO",X381-S381,0)</f>
        <v>0</v>
      </c>
      <c r="AD381" s="23" t="n">
        <f aca="false">IF(B382&lt;&gt;B381,1,0)</f>
        <v>0</v>
      </c>
      <c r="AE381" s="14" t="n">
        <f aca="false">IF(I381="Opening",0,AE380+W381)</f>
        <v>92.3</v>
      </c>
      <c r="AF381" s="14" t="n">
        <f aca="false">IF(I381="Opening",K381,AF380)</f>
        <v>92.3</v>
      </c>
      <c r="AG381" s="14" t="n">
        <f aca="false">AG380</f>
        <v>0</v>
      </c>
      <c r="AH381" s="14" t="n">
        <f aca="false">IF(W381=0,0,MAX(0,MIN(AE381,AF381)-MIN(AE381-W381,AF381)))</f>
        <v>0</v>
      </c>
      <c r="AI381" s="14" t="n">
        <f aca="false">IF(W381=0,0,MAX(0,MIN(AE381,AF381+AG381)-MAX(AE381-W381,AF381)))</f>
        <v>0</v>
      </c>
      <c r="AJ381" s="14" t="n">
        <f aca="false">W381-AH381-AI381</f>
        <v>0</v>
      </c>
      <c r="AK381" s="9" t="n">
        <f aca="false">IF(W381=0,0,X381*AH381/W381)</f>
        <v>0</v>
      </c>
      <c r="AL381" s="9" t="n">
        <f aca="false">IF(W381=0,0,X381*AI381/W381)</f>
        <v>0</v>
      </c>
      <c r="AM381" s="9" t="n">
        <f aca="false">X381-AK381-AL381</f>
        <v>0</v>
      </c>
    </row>
    <row r="382" customFormat="false" ht="15" hidden="false" customHeight="false" outlineLevel="0" collapsed="false">
      <c r="A382" s="6" t="n">
        <v>377</v>
      </c>
      <c r="B382" s="74" t="s">
        <v>983</v>
      </c>
      <c r="C382" s="53" t="str">
        <f aca="false">INDEX(I_Items!$C$5:$C$133,MATCH($B382,I_Items!$A$5:$A$133,0))</f>
        <v>RPA</v>
      </c>
      <c r="D382" s="53" t="str">
        <f aca="false">INDEX(I_Items!$D$5:$D$133,MATCH($B382,I_Items!$A$5:$A$133,0))</f>
        <v>Karkas</v>
      </c>
      <c r="E382" s="53" t="str">
        <f aca="false">INDEX(I_Items!$F$5:$F$133,MATCH($B382,I_Items!$A$5:$A$133,0))</f>
        <v>Frozen</v>
      </c>
      <c r="F382" s="53" t="str">
        <f aca="false">IF(INDEX(I_Items!$E$5:$E$133,MATCH($B382,I_Items!$A$5:$A$133,0))="","",INDEX(I_Items!$E$5:$E$133,MATCH($B382,I_Items!$A$5:$A$133,0)))</f>
        <v>Uk 1.1</v>
      </c>
      <c r="G382" s="76" t="n">
        <v>46255</v>
      </c>
      <c r="H382" s="23" t="n">
        <f aca="false">MONTH(G382)</f>
        <v>8</v>
      </c>
      <c r="I382" s="74" t="s">
        <v>2074</v>
      </c>
      <c r="J382" s="74" t="s">
        <v>1311</v>
      </c>
      <c r="K382" s="10" t="n">
        <v>121.2</v>
      </c>
      <c r="L382" s="8" t="n">
        <v>4210666.52</v>
      </c>
      <c r="M382" s="10" t="n">
        <v>0</v>
      </c>
      <c r="N382" s="8" t="n">
        <v>0</v>
      </c>
      <c r="O382" s="74"/>
      <c r="P382" s="74"/>
      <c r="Q382" s="74"/>
      <c r="R382" s="14" t="n">
        <f aca="false">IF(I382="Unbilled",0,M382)</f>
        <v>0</v>
      </c>
      <c r="S382" s="9" t="n">
        <f aca="false">IF(R382=0,0,IF(O382="Booked",N382,R382*V381))</f>
        <v>0</v>
      </c>
      <c r="T382" s="14" t="n">
        <f aca="false">IF(I382="Opening",K382,T381+K382-R382)</f>
        <v>620.3</v>
      </c>
      <c r="U382" s="9" t="n">
        <f aca="false">IF(I382="Opening",L382,U381+L382-S382)</f>
        <v>21123869.3</v>
      </c>
      <c r="V382" s="9" t="n">
        <f aca="false">IF(T382&gt;0,U382/T382,IF(I382="Opening",0,V381))</f>
        <v>34054.2790585201</v>
      </c>
      <c r="W382" s="14" t="n">
        <f aca="false">M382</f>
        <v>0</v>
      </c>
      <c r="X382" s="9" t="n">
        <f aca="false">IF(W382=0,0,IF(O382="Booked",N382,W382*AA381))</f>
        <v>0</v>
      </c>
      <c r="Y382" s="14" t="n">
        <f aca="false">IF(I382="Opening",K382,Y381+K382-W382)</f>
        <v>620.3</v>
      </c>
      <c r="Z382" s="9" t="n">
        <f aca="false">IF(I382="Opening",L382,Z381+L382-X382)</f>
        <v>21123869.3</v>
      </c>
      <c r="AA382" s="9" t="n">
        <f aca="false">IF(Y382&gt;0,Z382/Y382,IF(I382="Opening",0,AA381))</f>
        <v>34054.2790585201</v>
      </c>
      <c r="AB382" s="9" t="n">
        <f aca="false">IF(AND(I382="DO",O382="MA"),S382-N382,0)</f>
        <v>0</v>
      </c>
      <c r="AC382" s="9" t="n">
        <f aca="false">IF(I382="DO",X382-S382,0)</f>
        <v>0</v>
      </c>
      <c r="AD382" s="23" t="n">
        <f aca="false">IF(B383&lt;&gt;B382,1,0)</f>
        <v>0</v>
      </c>
      <c r="AE382" s="14" t="n">
        <f aca="false">IF(I382="Opening",0,AE381+W382)</f>
        <v>92.3</v>
      </c>
      <c r="AF382" s="14" t="n">
        <f aca="false">IF(I382="Opening",K382,AF381)</f>
        <v>92.3</v>
      </c>
      <c r="AG382" s="14" t="n">
        <f aca="false">AG381</f>
        <v>0</v>
      </c>
      <c r="AH382" s="14" t="n">
        <f aca="false">IF(W382=0,0,MAX(0,MIN(AE382,AF382)-MIN(AE382-W382,AF382)))</f>
        <v>0</v>
      </c>
      <c r="AI382" s="14" t="n">
        <f aca="false">IF(W382=0,0,MAX(0,MIN(AE382,AF382+AG382)-MAX(AE382-W382,AF382)))</f>
        <v>0</v>
      </c>
      <c r="AJ382" s="14" t="n">
        <f aca="false">W382-AH382-AI382</f>
        <v>0</v>
      </c>
      <c r="AK382" s="9" t="n">
        <f aca="false">IF(W382=0,0,X382*AH382/W382)</f>
        <v>0</v>
      </c>
      <c r="AL382" s="9" t="n">
        <f aca="false">IF(W382=0,0,X382*AI382/W382)</f>
        <v>0</v>
      </c>
      <c r="AM382" s="9" t="n">
        <f aca="false">X382-AK382-AL382</f>
        <v>0</v>
      </c>
    </row>
    <row r="383" customFormat="false" ht="15" hidden="false" customHeight="false" outlineLevel="0" collapsed="false">
      <c r="A383" s="6" t="n">
        <v>378</v>
      </c>
      <c r="B383" s="74" t="s">
        <v>983</v>
      </c>
      <c r="C383" s="53" t="str">
        <f aca="false">INDEX(I_Items!$C$5:$C$133,MATCH($B383,I_Items!$A$5:$A$133,0))</f>
        <v>RPA</v>
      </c>
      <c r="D383" s="53" t="str">
        <f aca="false">INDEX(I_Items!$D$5:$D$133,MATCH($B383,I_Items!$A$5:$A$133,0))</f>
        <v>Karkas</v>
      </c>
      <c r="E383" s="53" t="str">
        <f aca="false">INDEX(I_Items!$F$5:$F$133,MATCH($B383,I_Items!$A$5:$A$133,0))</f>
        <v>Frozen</v>
      </c>
      <c r="F383" s="53" t="str">
        <f aca="false">IF(INDEX(I_Items!$E$5:$E$133,MATCH($B383,I_Items!$A$5:$A$133,0))="","",INDEX(I_Items!$E$5:$E$133,MATCH($B383,I_Items!$A$5:$A$133,0)))</f>
        <v>Uk 1.1</v>
      </c>
      <c r="G383" s="76" t="n">
        <v>46259</v>
      </c>
      <c r="H383" s="23" t="n">
        <f aca="false">MONTH(G383)</f>
        <v>8</v>
      </c>
      <c r="I383" s="74" t="s">
        <v>2074</v>
      </c>
      <c r="J383" s="74" t="s">
        <v>1314</v>
      </c>
      <c r="K383" s="10" t="n">
        <v>89.9</v>
      </c>
      <c r="L383" s="8" t="n">
        <v>3014068.58</v>
      </c>
      <c r="M383" s="10" t="n">
        <v>0</v>
      </c>
      <c r="N383" s="8" t="n">
        <v>0</v>
      </c>
      <c r="O383" s="74"/>
      <c r="P383" s="74"/>
      <c r="Q383" s="74"/>
      <c r="R383" s="14" t="n">
        <f aca="false">IF(I383="Unbilled",0,M383)</f>
        <v>0</v>
      </c>
      <c r="S383" s="9" t="n">
        <f aca="false">IF(R383=0,0,IF(O383="Booked",N383,R383*V382))</f>
        <v>0</v>
      </c>
      <c r="T383" s="14" t="n">
        <f aca="false">IF(I383="Opening",K383,T382+K383-R383)</f>
        <v>710.2</v>
      </c>
      <c r="U383" s="9" t="n">
        <f aca="false">IF(I383="Opening",L383,U382+L383-S383)</f>
        <v>24137937.88</v>
      </c>
      <c r="V383" s="9" t="n">
        <f aca="false">IF(T383&gt;0,U383/T383,IF(I383="Opening",0,V382))</f>
        <v>33987.5216558716</v>
      </c>
      <c r="W383" s="14" t="n">
        <f aca="false">M383</f>
        <v>0</v>
      </c>
      <c r="X383" s="9" t="n">
        <f aca="false">IF(W383=0,0,IF(O383="Booked",N383,W383*AA382))</f>
        <v>0</v>
      </c>
      <c r="Y383" s="14" t="n">
        <f aca="false">IF(I383="Opening",K383,Y382+K383-W383)</f>
        <v>710.2</v>
      </c>
      <c r="Z383" s="9" t="n">
        <f aca="false">IF(I383="Opening",L383,Z382+L383-X383)</f>
        <v>24137937.88</v>
      </c>
      <c r="AA383" s="9" t="n">
        <f aca="false">IF(Y383&gt;0,Z383/Y383,IF(I383="Opening",0,AA382))</f>
        <v>33987.5216558716</v>
      </c>
      <c r="AB383" s="9" t="n">
        <f aca="false">IF(AND(I383="DO",O383="MA"),S383-N383,0)</f>
        <v>0</v>
      </c>
      <c r="AC383" s="9" t="n">
        <f aca="false">IF(I383="DO",X383-S383,0)</f>
        <v>0</v>
      </c>
      <c r="AD383" s="23" t="n">
        <f aca="false">IF(B384&lt;&gt;B383,1,0)</f>
        <v>0</v>
      </c>
      <c r="AE383" s="14" t="n">
        <f aca="false">IF(I383="Opening",0,AE382+W383)</f>
        <v>92.3</v>
      </c>
      <c r="AF383" s="14" t="n">
        <f aca="false">IF(I383="Opening",K383,AF382)</f>
        <v>92.3</v>
      </c>
      <c r="AG383" s="14" t="n">
        <f aca="false">AG382</f>
        <v>0</v>
      </c>
      <c r="AH383" s="14" t="n">
        <f aca="false">IF(W383=0,0,MAX(0,MIN(AE383,AF383)-MIN(AE383-W383,AF383)))</f>
        <v>0</v>
      </c>
      <c r="AI383" s="14" t="n">
        <f aca="false">IF(W383=0,0,MAX(0,MIN(AE383,AF383+AG383)-MAX(AE383-W383,AF383)))</f>
        <v>0</v>
      </c>
      <c r="AJ383" s="14" t="n">
        <f aca="false">W383-AH383-AI383</f>
        <v>0</v>
      </c>
      <c r="AK383" s="9" t="n">
        <f aca="false">IF(W383=0,0,X383*AH383/W383)</f>
        <v>0</v>
      </c>
      <c r="AL383" s="9" t="n">
        <f aca="false">IF(W383=0,0,X383*AI383/W383)</f>
        <v>0</v>
      </c>
      <c r="AM383" s="9" t="n">
        <f aca="false">X383-AK383-AL383</f>
        <v>0</v>
      </c>
    </row>
    <row r="384" customFormat="false" ht="15" hidden="false" customHeight="false" outlineLevel="0" collapsed="false">
      <c r="A384" s="6" t="n">
        <v>379</v>
      </c>
      <c r="B384" s="74" t="s">
        <v>983</v>
      </c>
      <c r="C384" s="53" t="str">
        <f aca="false">INDEX(I_Items!$C$5:$C$133,MATCH($B384,I_Items!$A$5:$A$133,0))</f>
        <v>RPA</v>
      </c>
      <c r="D384" s="53" t="str">
        <f aca="false">INDEX(I_Items!$D$5:$D$133,MATCH($B384,I_Items!$A$5:$A$133,0))</f>
        <v>Karkas</v>
      </c>
      <c r="E384" s="53" t="str">
        <f aca="false">INDEX(I_Items!$F$5:$F$133,MATCH($B384,I_Items!$A$5:$A$133,0))</f>
        <v>Frozen</v>
      </c>
      <c r="F384" s="53" t="str">
        <f aca="false">IF(INDEX(I_Items!$E$5:$E$133,MATCH($B384,I_Items!$A$5:$A$133,0))="","",INDEX(I_Items!$E$5:$E$133,MATCH($B384,I_Items!$A$5:$A$133,0)))</f>
        <v>Uk 1.1</v>
      </c>
      <c r="G384" s="76" t="n">
        <v>46260</v>
      </c>
      <c r="H384" s="23" t="n">
        <f aca="false">MONTH(G384)</f>
        <v>8</v>
      </c>
      <c r="I384" s="74" t="s">
        <v>2074</v>
      </c>
      <c r="J384" s="74" t="s">
        <v>1317</v>
      </c>
      <c r="K384" s="10" t="n">
        <v>131.8</v>
      </c>
      <c r="L384" s="8" t="n">
        <v>4513478.39</v>
      </c>
      <c r="M384" s="10" t="n">
        <v>0</v>
      </c>
      <c r="N384" s="8" t="n">
        <v>0</v>
      </c>
      <c r="O384" s="74"/>
      <c r="P384" s="74"/>
      <c r="Q384" s="74"/>
      <c r="R384" s="14" t="n">
        <f aca="false">IF(I384="Unbilled",0,M384)</f>
        <v>0</v>
      </c>
      <c r="S384" s="9" t="n">
        <f aca="false">IF(R384=0,0,IF(O384="Booked",N384,R384*V383))</f>
        <v>0</v>
      </c>
      <c r="T384" s="14" t="n">
        <f aca="false">IF(I384="Opening",K384,T383+K384-R384)</f>
        <v>842</v>
      </c>
      <c r="U384" s="9" t="n">
        <f aca="false">IF(I384="Opening",L384,U383+L384-S384)</f>
        <v>28651416.27</v>
      </c>
      <c r="V384" s="9" t="n">
        <f aca="false">IF(T384&gt;0,U384/T384,IF(I384="Opening",0,V383))</f>
        <v>34027.8102969121</v>
      </c>
      <c r="W384" s="14" t="n">
        <f aca="false">M384</f>
        <v>0</v>
      </c>
      <c r="X384" s="9" t="n">
        <f aca="false">IF(W384=0,0,IF(O384="Booked",N384,W384*AA383))</f>
        <v>0</v>
      </c>
      <c r="Y384" s="14" t="n">
        <f aca="false">IF(I384="Opening",K384,Y383+K384-W384)</f>
        <v>842</v>
      </c>
      <c r="Z384" s="9" t="n">
        <f aca="false">IF(I384="Opening",L384,Z383+L384-X384)</f>
        <v>28651416.27</v>
      </c>
      <c r="AA384" s="9" t="n">
        <f aca="false">IF(Y384&gt;0,Z384/Y384,IF(I384="Opening",0,AA383))</f>
        <v>34027.8102969121</v>
      </c>
      <c r="AB384" s="9" t="n">
        <f aca="false">IF(AND(I384="DO",O384="MA"),S384-N384,0)</f>
        <v>0</v>
      </c>
      <c r="AC384" s="9" t="n">
        <f aca="false">IF(I384="DO",X384-S384,0)</f>
        <v>0</v>
      </c>
      <c r="AD384" s="23" t="n">
        <f aca="false">IF(B385&lt;&gt;B384,1,0)</f>
        <v>0</v>
      </c>
      <c r="AE384" s="14" t="n">
        <f aca="false">IF(I384="Opening",0,AE383+W384)</f>
        <v>92.3</v>
      </c>
      <c r="AF384" s="14" t="n">
        <f aca="false">IF(I384="Opening",K384,AF383)</f>
        <v>92.3</v>
      </c>
      <c r="AG384" s="14" t="n">
        <f aca="false">AG383</f>
        <v>0</v>
      </c>
      <c r="AH384" s="14" t="n">
        <f aca="false">IF(W384=0,0,MAX(0,MIN(AE384,AF384)-MIN(AE384-W384,AF384)))</f>
        <v>0</v>
      </c>
      <c r="AI384" s="14" t="n">
        <f aca="false">IF(W384=0,0,MAX(0,MIN(AE384,AF384+AG384)-MAX(AE384-W384,AF384)))</f>
        <v>0</v>
      </c>
      <c r="AJ384" s="14" t="n">
        <f aca="false">W384-AH384-AI384</f>
        <v>0</v>
      </c>
      <c r="AK384" s="9" t="n">
        <f aca="false">IF(W384=0,0,X384*AH384/W384)</f>
        <v>0</v>
      </c>
      <c r="AL384" s="9" t="n">
        <f aca="false">IF(W384=0,0,X384*AI384/W384)</f>
        <v>0</v>
      </c>
      <c r="AM384" s="9" t="n">
        <f aca="false">X384-AK384-AL384</f>
        <v>0</v>
      </c>
    </row>
    <row r="385" customFormat="false" ht="15" hidden="false" customHeight="false" outlineLevel="0" collapsed="false">
      <c r="A385" s="6" t="n">
        <v>380</v>
      </c>
      <c r="B385" s="74" t="s">
        <v>983</v>
      </c>
      <c r="C385" s="53" t="str">
        <f aca="false">INDEX(I_Items!$C$5:$C$133,MATCH($B385,I_Items!$A$5:$A$133,0))</f>
        <v>RPA</v>
      </c>
      <c r="D385" s="53" t="str">
        <f aca="false">INDEX(I_Items!$D$5:$D$133,MATCH($B385,I_Items!$A$5:$A$133,0))</f>
        <v>Karkas</v>
      </c>
      <c r="E385" s="53" t="str">
        <f aca="false">INDEX(I_Items!$F$5:$F$133,MATCH($B385,I_Items!$A$5:$A$133,0))</f>
        <v>Frozen</v>
      </c>
      <c r="F385" s="53" t="str">
        <f aca="false">IF(INDEX(I_Items!$E$5:$E$133,MATCH($B385,I_Items!$A$5:$A$133,0))="","",INDEX(I_Items!$E$5:$E$133,MATCH($B385,I_Items!$A$5:$A$133,0)))</f>
        <v>Uk 1.1</v>
      </c>
      <c r="G385" s="76" t="n">
        <v>46261</v>
      </c>
      <c r="H385" s="23" t="n">
        <f aca="false">MONTH(G385)</f>
        <v>8</v>
      </c>
      <c r="I385" s="74" t="s">
        <v>2074</v>
      </c>
      <c r="J385" s="74" t="s">
        <v>1320</v>
      </c>
      <c r="K385" s="10" t="n">
        <v>106.1</v>
      </c>
      <c r="L385" s="8" t="n">
        <v>3586598.95</v>
      </c>
      <c r="M385" s="10" t="n">
        <v>0</v>
      </c>
      <c r="N385" s="8" t="n">
        <v>0</v>
      </c>
      <c r="O385" s="74"/>
      <c r="P385" s="74"/>
      <c r="Q385" s="74"/>
      <c r="R385" s="14" t="n">
        <f aca="false">IF(I385="Unbilled",0,M385)</f>
        <v>0</v>
      </c>
      <c r="S385" s="9" t="n">
        <f aca="false">IF(R385=0,0,IF(O385="Booked",N385,R385*V384))</f>
        <v>0</v>
      </c>
      <c r="T385" s="14" t="n">
        <f aca="false">IF(I385="Opening",K385,T384+K385-R385)</f>
        <v>948.1</v>
      </c>
      <c r="U385" s="9" t="n">
        <f aca="false">IF(I385="Opening",L385,U384+L385-S385)</f>
        <v>32238015.22</v>
      </c>
      <c r="V385" s="9" t="n">
        <f aca="false">IF(T385&gt;0,U385/T385,IF(I385="Opening",0,V384))</f>
        <v>34002.7583799177</v>
      </c>
      <c r="W385" s="14" t="n">
        <f aca="false">M385</f>
        <v>0</v>
      </c>
      <c r="X385" s="9" t="n">
        <f aca="false">IF(W385=0,0,IF(O385="Booked",N385,W385*AA384))</f>
        <v>0</v>
      </c>
      <c r="Y385" s="14" t="n">
        <f aca="false">IF(I385="Opening",K385,Y384+K385-W385)</f>
        <v>948.1</v>
      </c>
      <c r="Z385" s="9" t="n">
        <f aca="false">IF(I385="Opening",L385,Z384+L385-X385)</f>
        <v>32238015.22</v>
      </c>
      <c r="AA385" s="9" t="n">
        <f aca="false">IF(Y385&gt;0,Z385/Y385,IF(I385="Opening",0,AA384))</f>
        <v>34002.7583799177</v>
      </c>
      <c r="AB385" s="9" t="n">
        <f aca="false">IF(AND(I385="DO",O385="MA"),S385-N385,0)</f>
        <v>0</v>
      </c>
      <c r="AC385" s="9" t="n">
        <f aca="false">IF(I385="DO",X385-S385,0)</f>
        <v>0</v>
      </c>
      <c r="AD385" s="23" t="n">
        <f aca="false">IF(B386&lt;&gt;B385,1,0)</f>
        <v>0</v>
      </c>
      <c r="AE385" s="14" t="n">
        <f aca="false">IF(I385="Opening",0,AE384+W385)</f>
        <v>92.3</v>
      </c>
      <c r="AF385" s="14" t="n">
        <f aca="false">IF(I385="Opening",K385,AF384)</f>
        <v>92.3</v>
      </c>
      <c r="AG385" s="14" t="n">
        <f aca="false">AG384</f>
        <v>0</v>
      </c>
      <c r="AH385" s="14" t="n">
        <f aca="false">IF(W385=0,0,MAX(0,MIN(AE385,AF385)-MIN(AE385-W385,AF385)))</f>
        <v>0</v>
      </c>
      <c r="AI385" s="14" t="n">
        <f aca="false">IF(W385=0,0,MAX(0,MIN(AE385,AF385+AG385)-MAX(AE385-W385,AF385)))</f>
        <v>0</v>
      </c>
      <c r="AJ385" s="14" t="n">
        <f aca="false">W385-AH385-AI385</f>
        <v>0</v>
      </c>
      <c r="AK385" s="9" t="n">
        <f aca="false">IF(W385=0,0,X385*AH385/W385)</f>
        <v>0</v>
      </c>
      <c r="AL385" s="9" t="n">
        <f aca="false">IF(W385=0,0,X385*AI385/W385)</f>
        <v>0</v>
      </c>
      <c r="AM385" s="9" t="n">
        <f aca="false">X385-AK385-AL385</f>
        <v>0</v>
      </c>
    </row>
    <row r="386" customFormat="false" ht="15" hidden="false" customHeight="false" outlineLevel="0" collapsed="false">
      <c r="A386" s="6" t="n">
        <v>381</v>
      </c>
      <c r="B386" s="74" t="s">
        <v>983</v>
      </c>
      <c r="C386" s="53" t="str">
        <f aca="false">INDEX(I_Items!$C$5:$C$133,MATCH($B386,I_Items!$A$5:$A$133,0))</f>
        <v>RPA</v>
      </c>
      <c r="D386" s="53" t="str">
        <f aca="false">INDEX(I_Items!$D$5:$D$133,MATCH($B386,I_Items!$A$5:$A$133,0))</f>
        <v>Karkas</v>
      </c>
      <c r="E386" s="53" t="str">
        <f aca="false">INDEX(I_Items!$F$5:$F$133,MATCH($B386,I_Items!$A$5:$A$133,0))</f>
        <v>Frozen</v>
      </c>
      <c r="F386" s="53" t="str">
        <f aca="false">IF(INDEX(I_Items!$E$5:$E$133,MATCH($B386,I_Items!$A$5:$A$133,0))="","",INDEX(I_Items!$E$5:$E$133,MATCH($B386,I_Items!$A$5:$A$133,0)))</f>
        <v>Uk 1.1</v>
      </c>
      <c r="G386" s="76" t="n">
        <v>46262</v>
      </c>
      <c r="H386" s="23" t="n">
        <f aca="false">MONTH(G386)</f>
        <v>8</v>
      </c>
      <c r="I386" s="74" t="s">
        <v>2074</v>
      </c>
      <c r="J386" s="74" t="s">
        <v>1323</v>
      </c>
      <c r="K386" s="10" t="n">
        <v>144.7</v>
      </c>
      <c r="L386" s="8" t="n">
        <v>4931882.86</v>
      </c>
      <c r="M386" s="10" t="n">
        <v>0</v>
      </c>
      <c r="N386" s="8" t="n">
        <v>0</v>
      </c>
      <c r="O386" s="74"/>
      <c r="P386" s="74"/>
      <c r="Q386" s="74"/>
      <c r="R386" s="14" t="n">
        <f aca="false">IF(I386="Unbilled",0,M386)</f>
        <v>0</v>
      </c>
      <c r="S386" s="9" t="n">
        <f aca="false">IF(R386=0,0,IF(O386="Booked",N386,R386*V385))</f>
        <v>0</v>
      </c>
      <c r="T386" s="14" t="n">
        <f aca="false">IF(I386="Opening",K386,T385+K386-R386)</f>
        <v>1092.8</v>
      </c>
      <c r="U386" s="9" t="n">
        <f aca="false">IF(I386="Opening",L386,U385+L386-S386)</f>
        <v>37169898.08</v>
      </c>
      <c r="V386" s="9" t="n">
        <f aca="false">IF(T386&gt;0,U386/T386,IF(I386="Opening",0,V385))</f>
        <v>34013.4499267936</v>
      </c>
      <c r="W386" s="14" t="n">
        <f aca="false">M386</f>
        <v>0</v>
      </c>
      <c r="X386" s="9" t="n">
        <f aca="false">IF(W386=0,0,IF(O386="Booked",N386,W386*AA385))</f>
        <v>0</v>
      </c>
      <c r="Y386" s="14" t="n">
        <f aca="false">IF(I386="Opening",K386,Y385+K386-W386)</f>
        <v>1092.8</v>
      </c>
      <c r="Z386" s="9" t="n">
        <f aca="false">IF(I386="Opening",L386,Z385+L386-X386)</f>
        <v>37169898.08</v>
      </c>
      <c r="AA386" s="9" t="n">
        <f aca="false">IF(Y386&gt;0,Z386/Y386,IF(I386="Opening",0,AA385))</f>
        <v>34013.4499267936</v>
      </c>
      <c r="AB386" s="9" t="n">
        <f aca="false">IF(AND(I386="DO",O386="MA"),S386-N386,0)</f>
        <v>0</v>
      </c>
      <c r="AC386" s="9" t="n">
        <f aca="false">IF(I386="DO",X386-S386,0)</f>
        <v>0</v>
      </c>
      <c r="AD386" s="23" t="n">
        <f aca="false">IF(B387&lt;&gt;B386,1,0)</f>
        <v>0</v>
      </c>
      <c r="AE386" s="14" t="n">
        <f aca="false">IF(I386="Opening",0,AE385+W386)</f>
        <v>92.3</v>
      </c>
      <c r="AF386" s="14" t="n">
        <f aca="false">IF(I386="Opening",K386,AF385)</f>
        <v>92.3</v>
      </c>
      <c r="AG386" s="14" t="n">
        <f aca="false">AG385</f>
        <v>0</v>
      </c>
      <c r="AH386" s="14" t="n">
        <f aca="false">IF(W386=0,0,MAX(0,MIN(AE386,AF386)-MIN(AE386-W386,AF386)))</f>
        <v>0</v>
      </c>
      <c r="AI386" s="14" t="n">
        <f aca="false">IF(W386=0,0,MAX(0,MIN(AE386,AF386+AG386)-MAX(AE386-W386,AF386)))</f>
        <v>0</v>
      </c>
      <c r="AJ386" s="14" t="n">
        <f aca="false">W386-AH386-AI386</f>
        <v>0</v>
      </c>
      <c r="AK386" s="9" t="n">
        <f aca="false">IF(W386=0,0,X386*AH386/W386)</f>
        <v>0</v>
      </c>
      <c r="AL386" s="9" t="n">
        <f aca="false">IF(W386=0,0,X386*AI386/W386)</f>
        <v>0</v>
      </c>
      <c r="AM386" s="9" t="n">
        <f aca="false">X386-AK386-AL386</f>
        <v>0</v>
      </c>
    </row>
    <row r="387" customFormat="false" ht="15" hidden="false" customHeight="false" outlineLevel="0" collapsed="false">
      <c r="A387" s="6" t="n">
        <v>382</v>
      </c>
      <c r="B387" s="74" t="s">
        <v>983</v>
      </c>
      <c r="C387" s="53" t="str">
        <f aca="false">INDEX(I_Items!$C$5:$C$133,MATCH($B387,I_Items!$A$5:$A$133,0))</f>
        <v>RPA</v>
      </c>
      <c r="D387" s="53" t="str">
        <f aca="false">INDEX(I_Items!$D$5:$D$133,MATCH($B387,I_Items!$A$5:$A$133,0))</f>
        <v>Karkas</v>
      </c>
      <c r="E387" s="53" t="str">
        <f aca="false">INDEX(I_Items!$F$5:$F$133,MATCH($B387,I_Items!$A$5:$A$133,0))</f>
        <v>Frozen</v>
      </c>
      <c r="F387" s="53" t="str">
        <f aca="false">IF(INDEX(I_Items!$E$5:$E$133,MATCH($B387,I_Items!$A$5:$A$133,0))="","",INDEX(I_Items!$E$5:$E$133,MATCH($B387,I_Items!$A$5:$A$133,0)))</f>
        <v>Uk 1.1</v>
      </c>
      <c r="G387" s="76" t="n">
        <v>46265</v>
      </c>
      <c r="H387" s="23" t="n">
        <f aca="false">MONTH(G387)</f>
        <v>8</v>
      </c>
      <c r="I387" s="74" t="s">
        <v>2074</v>
      </c>
      <c r="J387" s="74" t="s">
        <v>1326</v>
      </c>
      <c r="K387" s="10" t="n">
        <v>56.2</v>
      </c>
      <c r="L387" s="8" t="n">
        <v>1882515.91</v>
      </c>
      <c r="M387" s="10" t="n">
        <v>0</v>
      </c>
      <c r="N387" s="8" t="n">
        <v>0</v>
      </c>
      <c r="O387" s="74"/>
      <c r="P387" s="74"/>
      <c r="Q387" s="74"/>
      <c r="R387" s="14" t="n">
        <f aca="false">IF(I387="Unbilled",0,M387)</f>
        <v>0</v>
      </c>
      <c r="S387" s="9" t="n">
        <f aca="false">IF(R387=0,0,IF(O387="Booked",N387,R387*V386))</f>
        <v>0</v>
      </c>
      <c r="T387" s="14" t="n">
        <f aca="false">IF(I387="Opening",K387,T386+K387-R387)</f>
        <v>1149</v>
      </c>
      <c r="U387" s="9" t="n">
        <f aca="false">IF(I387="Opening",L387,U386+L387-S387)</f>
        <v>39052413.99</v>
      </c>
      <c r="V387" s="9" t="n">
        <f aca="false">IF(T387&gt;0,U387/T387,IF(I387="Opening",0,V386))</f>
        <v>33988.1757963447</v>
      </c>
      <c r="W387" s="14" t="n">
        <f aca="false">M387</f>
        <v>0</v>
      </c>
      <c r="X387" s="9" t="n">
        <f aca="false">IF(W387=0,0,IF(O387="Booked",N387,W387*AA386))</f>
        <v>0</v>
      </c>
      <c r="Y387" s="14" t="n">
        <f aca="false">IF(I387="Opening",K387,Y386+K387-W387)</f>
        <v>1149</v>
      </c>
      <c r="Z387" s="9" t="n">
        <f aca="false">IF(I387="Opening",L387,Z386+L387-X387)</f>
        <v>39052413.99</v>
      </c>
      <c r="AA387" s="9" t="n">
        <f aca="false">IF(Y387&gt;0,Z387/Y387,IF(I387="Opening",0,AA386))</f>
        <v>33988.1757963447</v>
      </c>
      <c r="AB387" s="9" t="n">
        <f aca="false">IF(AND(I387="DO",O387="MA"),S387-N387,0)</f>
        <v>0</v>
      </c>
      <c r="AC387" s="9" t="n">
        <f aca="false">IF(I387="DO",X387-S387,0)</f>
        <v>0</v>
      </c>
      <c r="AD387" s="23" t="n">
        <f aca="false">IF(B388&lt;&gt;B387,1,0)</f>
        <v>0</v>
      </c>
      <c r="AE387" s="14" t="n">
        <f aca="false">IF(I387="Opening",0,AE386+W387)</f>
        <v>92.3</v>
      </c>
      <c r="AF387" s="14" t="n">
        <f aca="false">IF(I387="Opening",K387,AF386)</f>
        <v>92.3</v>
      </c>
      <c r="AG387" s="14" t="n">
        <f aca="false">AG386</f>
        <v>0</v>
      </c>
      <c r="AH387" s="14" t="n">
        <f aca="false">IF(W387=0,0,MAX(0,MIN(AE387,AF387)-MIN(AE387-W387,AF387)))</f>
        <v>0</v>
      </c>
      <c r="AI387" s="14" t="n">
        <f aca="false">IF(W387=0,0,MAX(0,MIN(AE387,AF387+AG387)-MAX(AE387-W387,AF387)))</f>
        <v>0</v>
      </c>
      <c r="AJ387" s="14" t="n">
        <f aca="false">W387-AH387-AI387</f>
        <v>0</v>
      </c>
      <c r="AK387" s="9" t="n">
        <f aca="false">IF(W387=0,0,X387*AH387/W387)</f>
        <v>0</v>
      </c>
      <c r="AL387" s="9" t="n">
        <f aca="false">IF(W387=0,0,X387*AI387/W387)</f>
        <v>0</v>
      </c>
      <c r="AM387" s="9" t="n">
        <f aca="false">X387-AK387-AL387</f>
        <v>0</v>
      </c>
    </row>
    <row r="388" customFormat="false" ht="15" hidden="false" customHeight="false" outlineLevel="0" collapsed="false">
      <c r="A388" s="6" t="n">
        <v>383</v>
      </c>
      <c r="B388" s="74" t="s">
        <v>983</v>
      </c>
      <c r="C388" s="53" t="str">
        <f aca="false">INDEX(I_Items!$C$5:$C$133,MATCH($B388,I_Items!$A$5:$A$133,0))</f>
        <v>RPA</v>
      </c>
      <c r="D388" s="53" t="str">
        <f aca="false">INDEX(I_Items!$D$5:$D$133,MATCH($B388,I_Items!$A$5:$A$133,0))</f>
        <v>Karkas</v>
      </c>
      <c r="E388" s="53" t="str">
        <f aca="false">INDEX(I_Items!$F$5:$F$133,MATCH($B388,I_Items!$A$5:$A$133,0))</f>
        <v>Frozen</v>
      </c>
      <c r="F388" s="53" t="str">
        <f aca="false">IF(INDEX(I_Items!$E$5:$E$133,MATCH($B388,I_Items!$A$5:$A$133,0))="","",INDEX(I_Items!$E$5:$E$133,MATCH($B388,I_Items!$A$5:$A$133,0)))</f>
        <v>Uk 1.1</v>
      </c>
      <c r="G388" s="76" t="n">
        <v>46265</v>
      </c>
      <c r="H388" s="23" t="n">
        <f aca="false">MONTH(G388)</f>
        <v>8</v>
      </c>
      <c r="I388" s="74" t="s">
        <v>2075</v>
      </c>
      <c r="J388" s="74" t="s">
        <v>2123</v>
      </c>
      <c r="K388" s="10" t="n">
        <v>0</v>
      </c>
      <c r="L388" s="8" t="n">
        <v>0</v>
      </c>
      <c r="M388" s="10" t="n">
        <v>33.4</v>
      </c>
      <c r="N388" s="8" t="n">
        <v>1135205.07</v>
      </c>
      <c r="O388" s="74" t="s">
        <v>2077</v>
      </c>
      <c r="P388" s="74"/>
      <c r="Q388" s="74"/>
      <c r="R388" s="14" t="n">
        <f aca="false">IF(I388="Unbilled",0,M388)</f>
        <v>33.4</v>
      </c>
      <c r="S388" s="9" t="n">
        <f aca="false">IF(R388=0,0,IF(O388="Booked",N388,R388*V387))</f>
        <v>1135205.07159791</v>
      </c>
      <c r="T388" s="14" t="n">
        <f aca="false">IF(I388="Opening",K388,T387+K388-R388)</f>
        <v>1115.6</v>
      </c>
      <c r="U388" s="9" t="n">
        <f aca="false">IF(I388="Opening",L388,U387+L388-S388)</f>
        <v>37917208.9184021</v>
      </c>
      <c r="V388" s="9" t="n">
        <f aca="false">IF(T388&gt;0,U388/T388,IF(I388="Opening",0,V387))</f>
        <v>33988.1757963447</v>
      </c>
      <c r="W388" s="14" t="n">
        <f aca="false">M388</f>
        <v>33.4</v>
      </c>
      <c r="X388" s="9" t="n">
        <f aca="false">IF(W388=0,0,IF(O388="Booked",N388,W388*AA387))</f>
        <v>1135205.07159791</v>
      </c>
      <c r="Y388" s="14" t="n">
        <f aca="false">IF(I388="Opening",K388,Y387+K388-W388)</f>
        <v>1115.6</v>
      </c>
      <c r="Z388" s="9" t="n">
        <f aca="false">IF(I388="Opening",L388,Z387+L388-X388)</f>
        <v>37917208.9184021</v>
      </c>
      <c r="AA388" s="9" t="n">
        <f aca="false">IF(Y388&gt;0,Z388/Y388,IF(I388="Opening",0,AA387))</f>
        <v>33988.1757963447</v>
      </c>
      <c r="AB388" s="9" t="n">
        <f aca="false">IF(AND(I388="DO",O388="MA"),S388-N388,0)</f>
        <v>0.00159791111946106</v>
      </c>
      <c r="AC388" s="9" t="n">
        <f aca="false">IF(I388="DO",X388-S388,0)</f>
        <v>0</v>
      </c>
      <c r="AD388" s="23" t="n">
        <f aca="false">IF(B389&lt;&gt;B388,1,0)</f>
        <v>1</v>
      </c>
      <c r="AE388" s="14" t="n">
        <f aca="false">IF(I388="Opening",0,AE387+W388)</f>
        <v>125.7</v>
      </c>
      <c r="AF388" s="14" t="n">
        <f aca="false">IF(I388="Opening",K388,AF387)</f>
        <v>92.3</v>
      </c>
      <c r="AG388" s="14" t="n">
        <f aca="false">AG387</f>
        <v>0</v>
      </c>
      <c r="AH388" s="14" t="n">
        <f aca="false">IF(W388=0,0,MAX(0,MIN(AE388,AF388)-MIN(AE388-W388,AF388)))</f>
        <v>0</v>
      </c>
      <c r="AI388" s="14" t="n">
        <f aca="false">IF(W388=0,0,MAX(0,MIN(AE388,AF388+AG388)-MAX(AE388-W388,AF388)))</f>
        <v>0</v>
      </c>
      <c r="AJ388" s="14" t="n">
        <f aca="false">W388-AH388-AI388</f>
        <v>33.4</v>
      </c>
      <c r="AK388" s="9" t="n">
        <f aca="false">IF(W388=0,0,X388*AH388/W388)</f>
        <v>0</v>
      </c>
      <c r="AL388" s="9" t="n">
        <f aca="false">IF(W388=0,0,X388*AI388/W388)</f>
        <v>0</v>
      </c>
      <c r="AM388" s="9" t="n">
        <f aca="false">X388-AK388-AL388</f>
        <v>1135205.07159791</v>
      </c>
    </row>
    <row r="389" customFormat="false" ht="15" hidden="false" customHeight="false" outlineLevel="0" collapsed="false">
      <c r="A389" s="6" t="n">
        <v>384</v>
      </c>
      <c r="B389" s="74" t="s">
        <v>984</v>
      </c>
      <c r="C389" s="53" t="str">
        <f aca="false">INDEX(I_Items!$C$5:$C$133,MATCH($B389,I_Items!$A$5:$A$133,0))</f>
        <v>RPA</v>
      </c>
      <c r="D389" s="53" t="str">
        <f aca="false">INDEX(I_Items!$D$5:$D$133,MATCH($B389,I_Items!$A$5:$A$133,0))</f>
        <v>Karkas</v>
      </c>
      <c r="E389" s="53" t="str">
        <f aca="false">INDEX(I_Items!$F$5:$F$133,MATCH($B389,I_Items!$A$5:$A$133,0))</f>
        <v>Frozen</v>
      </c>
      <c r="F389" s="53" t="str">
        <f aca="false">IF(INDEX(I_Items!$E$5:$E$133,MATCH($B389,I_Items!$A$5:$A$133,0))="","",INDEX(I_Items!$E$5:$E$133,MATCH($B389,I_Items!$A$5:$A$133,0)))</f>
        <v>Uk 1.1</v>
      </c>
      <c r="G389" s="76" t="n">
        <v>46204</v>
      </c>
      <c r="H389" s="23" t="n">
        <f aca="false">MONTH(G389)</f>
        <v>7</v>
      </c>
      <c r="I389" s="74" t="s">
        <v>2072</v>
      </c>
      <c r="J389" s="74" t="s">
        <v>2073</v>
      </c>
      <c r="K389" s="10" t="n">
        <v>1125.96</v>
      </c>
      <c r="L389" s="8" t="n">
        <v>28332804.93</v>
      </c>
      <c r="M389" s="10" t="n">
        <v>0</v>
      </c>
      <c r="N389" s="8" t="n">
        <v>0</v>
      </c>
      <c r="O389" s="74"/>
      <c r="P389" s="74"/>
      <c r="Q389" s="74"/>
      <c r="R389" s="14" t="n">
        <f aca="false">IF(I389="Unbilled",0,M389)</f>
        <v>0</v>
      </c>
      <c r="S389" s="9" t="n">
        <f aca="false">IF(R389=0,0,IF(O389="Booked",N389,R389*V388))</f>
        <v>0</v>
      </c>
      <c r="T389" s="14" t="n">
        <f aca="false">IF(I389="Opening",K389,T388+K389-R389)</f>
        <v>1125.96</v>
      </c>
      <c r="U389" s="9" t="n">
        <f aca="false">IF(I389="Opening",L389,U388+L389-S389)</f>
        <v>28332804.93</v>
      </c>
      <c r="V389" s="9" t="n">
        <f aca="false">IF(T389&gt;0,U389/T389,IF(I389="Opening",0,V388))</f>
        <v>25163.2428594266</v>
      </c>
      <c r="W389" s="14" t="n">
        <f aca="false">M389</f>
        <v>0</v>
      </c>
      <c r="X389" s="9" t="n">
        <f aca="false">IF(W389=0,0,IF(O389="Booked",N389,W389*AA388))</f>
        <v>0</v>
      </c>
      <c r="Y389" s="14" t="n">
        <f aca="false">IF(I389="Opening",K389,Y388+K389-W389)</f>
        <v>1125.96</v>
      </c>
      <c r="Z389" s="9" t="n">
        <f aca="false">IF(I389="Opening",L389,Z388+L389-X389)</f>
        <v>28332804.93</v>
      </c>
      <c r="AA389" s="9" t="n">
        <f aca="false">IF(Y389&gt;0,Z389/Y389,IF(I389="Opening",0,AA388))</f>
        <v>25163.2428594266</v>
      </c>
      <c r="AB389" s="9" t="n">
        <f aca="false">IF(AND(I389="DO",O389="MA"),S389-N389,0)</f>
        <v>0</v>
      </c>
      <c r="AC389" s="9" t="n">
        <f aca="false">IF(I389="DO",X389-S389,0)</f>
        <v>0</v>
      </c>
      <c r="AD389" s="23" t="n">
        <f aca="false">IF(B390&lt;&gt;B389,1,0)</f>
        <v>0</v>
      </c>
      <c r="AE389" s="14" t="n">
        <f aca="false">IF(I389="Opening",0,AE388+W389)</f>
        <v>0</v>
      </c>
      <c r="AF389" s="14" t="n">
        <f aca="false">IF(I389="Opening",K389,AF388)</f>
        <v>1125.96</v>
      </c>
      <c r="AG389" s="14" t="n">
        <f aca="false">SUMIFS($K$6:$K$1110,$B$6:$B$1110,B389,$H$6:$H$1110,7,$I$6:$I$1110,"&lt;&gt;Opening")</f>
        <v>0</v>
      </c>
      <c r="AH389" s="14" t="n">
        <f aca="false">IF(W389=0,0,MAX(0,MIN(AE389,AF389)-MIN(AE389-W389,AF389)))</f>
        <v>0</v>
      </c>
      <c r="AI389" s="14" t="n">
        <f aca="false">IF(W389=0,0,MAX(0,MIN(AE389,AF389+AG389)-MAX(AE389-W389,AF389)))</f>
        <v>0</v>
      </c>
      <c r="AJ389" s="14" t="n">
        <f aca="false">W389-AH389-AI389</f>
        <v>0</v>
      </c>
      <c r="AK389" s="9" t="n">
        <f aca="false">IF(W389=0,0,X389*AH389/W389)</f>
        <v>0</v>
      </c>
      <c r="AL389" s="9" t="n">
        <f aca="false">IF(W389=0,0,X389*AI389/W389)</f>
        <v>0</v>
      </c>
      <c r="AM389" s="9" t="n">
        <f aca="false">X389-AK389-AL389</f>
        <v>0</v>
      </c>
    </row>
    <row r="390" customFormat="false" ht="15" hidden="false" customHeight="false" outlineLevel="0" collapsed="false">
      <c r="A390" s="6" t="n">
        <v>385</v>
      </c>
      <c r="B390" s="74" t="s">
        <v>984</v>
      </c>
      <c r="C390" s="53" t="str">
        <f aca="false">INDEX(I_Items!$C$5:$C$133,MATCH($B390,I_Items!$A$5:$A$133,0))</f>
        <v>RPA</v>
      </c>
      <c r="D390" s="53" t="str">
        <f aca="false">INDEX(I_Items!$D$5:$D$133,MATCH($B390,I_Items!$A$5:$A$133,0))</f>
        <v>Karkas</v>
      </c>
      <c r="E390" s="53" t="str">
        <f aca="false">INDEX(I_Items!$F$5:$F$133,MATCH($B390,I_Items!$A$5:$A$133,0))</f>
        <v>Frozen</v>
      </c>
      <c r="F390" s="53" t="str">
        <f aca="false">IF(INDEX(I_Items!$E$5:$E$133,MATCH($B390,I_Items!$A$5:$A$133,0))="","",INDEX(I_Items!$E$5:$E$133,MATCH($B390,I_Items!$A$5:$A$133,0)))</f>
        <v>Uk 1.1</v>
      </c>
      <c r="G390" s="76" t="n">
        <v>46231</v>
      </c>
      <c r="H390" s="23" t="n">
        <f aca="false">MONTH(G390)</f>
        <v>7</v>
      </c>
      <c r="I390" s="74" t="s">
        <v>2075</v>
      </c>
      <c r="J390" s="74" t="s">
        <v>2142</v>
      </c>
      <c r="K390" s="10" t="n">
        <v>0</v>
      </c>
      <c r="L390" s="8" t="n">
        <v>0</v>
      </c>
      <c r="M390" s="10" t="n">
        <v>769.15</v>
      </c>
      <c r="N390" s="8" t="n">
        <v>19354308.28</v>
      </c>
      <c r="O390" s="74" t="s">
        <v>2077</v>
      </c>
      <c r="P390" s="74"/>
      <c r="Q390" s="74"/>
      <c r="R390" s="14" t="n">
        <f aca="false">IF(I390="Unbilled",0,M390)</f>
        <v>769.15</v>
      </c>
      <c r="S390" s="9" t="n">
        <f aca="false">IF(R390=0,0,IF(O390="Booked",N390,R390*V389))</f>
        <v>19354308.245328</v>
      </c>
      <c r="T390" s="14" t="n">
        <f aca="false">IF(I390="Opening",K390,T389+K390-R390)</f>
        <v>356.81</v>
      </c>
      <c r="U390" s="9" t="n">
        <f aca="false">IF(I390="Opening",L390,U389+L390-S390)</f>
        <v>8978496.68467202</v>
      </c>
      <c r="V390" s="9" t="n">
        <f aca="false">IF(T390&gt;0,U390/T390,IF(I390="Opening",0,V389))</f>
        <v>25163.2428594266</v>
      </c>
      <c r="W390" s="14" t="n">
        <f aca="false">M390</f>
        <v>769.15</v>
      </c>
      <c r="X390" s="9" t="n">
        <f aca="false">IF(W390=0,0,IF(O390="Booked",N390,W390*AA389))</f>
        <v>19354308.245328</v>
      </c>
      <c r="Y390" s="14" t="n">
        <f aca="false">IF(I390="Opening",K390,Y389+K390-W390)</f>
        <v>356.81</v>
      </c>
      <c r="Z390" s="9" t="n">
        <f aca="false">IF(I390="Opening",L390,Z389+L390-X390)</f>
        <v>8978496.68467202</v>
      </c>
      <c r="AA390" s="9" t="n">
        <f aca="false">IF(Y390&gt;0,Z390/Y390,IF(I390="Opening",0,AA389))</f>
        <v>25163.2428594266</v>
      </c>
      <c r="AB390" s="9" t="n">
        <f aca="false">IF(AND(I390="DO",O390="MA"),S390-N390,0)</f>
        <v>-0.0346720181405544</v>
      </c>
      <c r="AC390" s="9" t="n">
        <f aca="false">IF(I390="DO",X390-S390,0)</f>
        <v>0</v>
      </c>
      <c r="AD390" s="23" t="n">
        <f aca="false">IF(B391&lt;&gt;B390,1,0)</f>
        <v>0</v>
      </c>
      <c r="AE390" s="14" t="n">
        <f aca="false">IF(I390="Opening",0,AE389+W390)</f>
        <v>769.15</v>
      </c>
      <c r="AF390" s="14" t="n">
        <f aca="false">IF(I390="Opening",K390,AF389)</f>
        <v>1125.96</v>
      </c>
      <c r="AG390" s="14" t="n">
        <f aca="false">AG389</f>
        <v>0</v>
      </c>
      <c r="AH390" s="14" t="n">
        <f aca="false">IF(W390=0,0,MAX(0,MIN(AE390,AF390)-MIN(AE390-W390,AF390)))</f>
        <v>769.15</v>
      </c>
      <c r="AI390" s="14" t="n">
        <f aca="false">IF(W390=0,0,MAX(0,MIN(AE390,AF390+AG390)-MAX(AE390-W390,AF390)))</f>
        <v>0</v>
      </c>
      <c r="AJ390" s="14" t="n">
        <f aca="false">W390-AH390-AI390</f>
        <v>0</v>
      </c>
      <c r="AK390" s="9" t="n">
        <f aca="false">IF(W390=0,0,X390*AH390/W390)</f>
        <v>19354308.245328</v>
      </c>
      <c r="AL390" s="9" t="n">
        <f aca="false">IF(W390=0,0,X390*AI390/W390)</f>
        <v>0</v>
      </c>
      <c r="AM390" s="9" t="n">
        <f aca="false">X390-AK390-AL390</f>
        <v>0</v>
      </c>
    </row>
    <row r="391" customFormat="false" ht="15" hidden="false" customHeight="false" outlineLevel="0" collapsed="false">
      <c r="A391" s="6" t="n">
        <v>386</v>
      </c>
      <c r="B391" s="74" t="s">
        <v>984</v>
      </c>
      <c r="C391" s="53" t="str">
        <f aca="false">INDEX(I_Items!$C$5:$C$133,MATCH($B391,I_Items!$A$5:$A$133,0))</f>
        <v>RPA</v>
      </c>
      <c r="D391" s="53" t="str">
        <f aca="false">INDEX(I_Items!$D$5:$D$133,MATCH($B391,I_Items!$A$5:$A$133,0))</f>
        <v>Karkas</v>
      </c>
      <c r="E391" s="53" t="str">
        <f aca="false">INDEX(I_Items!$F$5:$F$133,MATCH($B391,I_Items!$A$5:$A$133,0))</f>
        <v>Frozen</v>
      </c>
      <c r="F391" s="53" t="str">
        <f aca="false">IF(INDEX(I_Items!$E$5:$E$133,MATCH($B391,I_Items!$A$5:$A$133,0))="","",INDEX(I_Items!$E$5:$E$133,MATCH($B391,I_Items!$A$5:$A$133,0)))</f>
        <v>Uk 1.1</v>
      </c>
      <c r="G391" s="76" t="n">
        <v>46233</v>
      </c>
      <c r="H391" s="23" t="n">
        <f aca="false">MONTH(G391)</f>
        <v>7</v>
      </c>
      <c r="I391" s="74" t="s">
        <v>2075</v>
      </c>
      <c r="J391" s="74" t="s">
        <v>2143</v>
      </c>
      <c r="K391" s="10" t="n">
        <v>0</v>
      </c>
      <c r="L391" s="8" t="n">
        <v>0</v>
      </c>
      <c r="M391" s="10" t="n">
        <v>169.31</v>
      </c>
      <c r="N391" s="8" t="n">
        <v>4260388.66</v>
      </c>
      <c r="O391" s="74" t="s">
        <v>2077</v>
      </c>
      <c r="P391" s="74"/>
      <c r="Q391" s="74"/>
      <c r="R391" s="14" t="n">
        <f aca="false">IF(I391="Unbilled",0,M391)</f>
        <v>169.31</v>
      </c>
      <c r="S391" s="9" t="n">
        <f aca="false">IF(R391=0,0,IF(O391="Booked",N391,R391*V390))</f>
        <v>4260388.64852952</v>
      </c>
      <c r="T391" s="14" t="n">
        <f aca="false">IF(I391="Opening",K391,T390+K391-R391)</f>
        <v>187.5</v>
      </c>
      <c r="U391" s="9" t="n">
        <f aca="false">IF(I391="Opening",L391,U390+L391-S391)</f>
        <v>4718108.03614249</v>
      </c>
      <c r="V391" s="9" t="n">
        <f aca="false">IF(T391&gt;0,U391/T391,IF(I391="Opening",0,V390))</f>
        <v>25163.2428594266</v>
      </c>
      <c r="W391" s="14" t="n">
        <f aca="false">M391</f>
        <v>169.31</v>
      </c>
      <c r="X391" s="9" t="n">
        <f aca="false">IF(W391=0,0,IF(O391="Booked",N391,W391*AA390))</f>
        <v>4260388.64852952</v>
      </c>
      <c r="Y391" s="14" t="n">
        <f aca="false">IF(I391="Opening",K391,Y390+K391-W391)</f>
        <v>187.5</v>
      </c>
      <c r="Z391" s="9" t="n">
        <f aca="false">IF(I391="Opening",L391,Z390+L391-X391)</f>
        <v>4718108.03614249</v>
      </c>
      <c r="AA391" s="9" t="n">
        <f aca="false">IF(Y391&gt;0,Z391/Y391,IF(I391="Opening",0,AA390))</f>
        <v>25163.2428594266</v>
      </c>
      <c r="AB391" s="9" t="n">
        <f aca="false">IF(AND(I391="DO",O391="MA"),S391-N391,0)</f>
        <v>-0.011470478028059</v>
      </c>
      <c r="AC391" s="9" t="n">
        <f aca="false">IF(I391="DO",X391-S391,0)</f>
        <v>0</v>
      </c>
      <c r="AD391" s="23" t="n">
        <f aca="false">IF(B392&lt;&gt;B391,1,0)</f>
        <v>0</v>
      </c>
      <c r="AE391" s="14" t="n">
        <f aca="false">IF(I391="Opening",0,AE390+W391)</f>
        <v>938.46</v>
      </c>
      <c r="AF391" s="14" t="n">
        <f aca="false">IF(I391="Opening",K391,AF390)</f>
        <v>1125.96</v>
      </c>
      <c r="AG391" s="14" t="n">
        <f aca="false">AG390</f>
        <v>0</v>
      </c>
      <c r="AH391" s="14" t="n">
        <f aca="false">IF(W391=0,0,MAX(0,MIN(AE391,AF391)-MIN(AE391-W391,AF391)))</f>
        <v>169.31</v>
      </c>
      <c r="AI391" s="14" t="n">
        <f aca="false">IF(W391=0,0,MAX(0,MIN(AE391,AF391+AG391)-MAX(AE391-W391,AF391)))</f>
        <v>0</v>
      </c>
      <c r="AJ391" s="14" t="n">
        <f aca="false">W391-AH391-AI391</f>
        <v>0</v>
      </c>
      <c r="AK391" s="9" t="n">
        <f aca="false">IF(W391=0,0,X391*AH391/W391)</f>
        <v>4260388.64852952</v>
      </c>
      <c r="AL391" s="9" t="n">
        <f aca="false">IF(W391=0,0,X391*AI391/W391)</f>
        <v>0</v>
      </c>
      <c r="AM391" s="9" t="n">
        <f aca="false">X391-AK391-AL391</f>
        <v>0</v>
      </c>
    </row>
    <row r="392" customFormat="false" ht="15" hidden="false" customHeight="false" outlineLevel="0" collapsed="false">
      <c r="A392" s="6" t="n">
        <v>387</v>
      </c>
      <c r="B392" s="74" t="s">
        <v>984</v>
      </c>
      <c r="C392" s="53" t="str">
        <f aca="false">INDEX(I_Items!$C$5:$C$133,MATCH($B392,I_Items!$A$5:$A$133,0))</f>
        <v>RPA</v>
      </c>
      <c r="D392" s="53" t="str">
        <f aca="false">INDEX(I_Items!$D$5:$D$133,MATCH($B392,I_Items!$A$5:$A$133,0))</f>
        <v>Karkas</v>
      </c>
      <c r="E392" s="53" t="str">
        <f aca="false">INDEX(I_Items!$F$5:$F$133,MATCH($B392,I_Items!$A$5:$A$133,0))</f>
        <v>Frozen</v>
      </c>
      <c r="F392" s="53" t="str">
        <f aca="false">IF(INDEX(I_Items!$E$5:$E$133,MATCH($B392,I_Items!$A$5:$A$133,0))="","",INDEX(I_Items!$E$5:$E$133,MATCH($B392,I_Items!$A$5:$A$133,0)))</f>
        <v>Uk 1.1</v>
      </c>
      <c r="G392" s="76" t="n">
        <v>46233</v>
      </c>
      <c r="H392" s="23" t="n">
        <f aca="false">MONTH(G392)</f>
        <v>7</v>
      </c>
      <c r="I392" s="74" t="s">
        <v>2075</v>
      </c>
      <c r="J392" s="74" t="s">
        <v>2143</v>
      </c>
      <c r="K392" s="10" t="n">
        <v>0</v>
      </c>
      <c r="L392" s="8" t="n">
        <v>0</v>
      </c>
      <c r="M392" s="10" t="n">
        <v>187.5</v>
      </c>
      <c r="N392" s="8" t="n">
        <v>4718108.04</v>
      </c>
      <c r="O392" s="74" t="s">
        <v>2077</v>
      </c>
      <c r="P392" s="74"/>
      <c r="Q392" s="74"/>
      <c r="R392" s="14" t="n">
        <f aca="false">IF(I392="Unbilled",0,M392)</f>
        <v>187.5</v>
      </c>
      <c r="S392" s="9" t="n">
        <f aca="false">IF(R392=0,0,IF(O392="Booked",N392,R392*V391))</f>
        <v>4718108.03614249</v>
      </c>
      <c r="T392" s="14" t="n">
        <f aca="false">IF(I392="Opening",K392,T391+K392-R392)</f>
        <v>0</v>
      </c>
      <c r="U392" s="9" t="n">
        <f aca="false">IF(I392="Opening",L392,U391+L392-S392)</f>
        <v>0</v>
      </c>
      <c r="V392" s="9" t="n">
        <f aca="false">IF(T392&gt;0,U392/T392,IF(I392="Opening",0,V391))</f>
        <v>25163.2428594266</v>
      </c>
      <c r="W392" s="14" t="n">
        <f aca="false">M392</f>
        <v>187.5</v>
      </c>
      <c r="X392" s="9" t="n">
        <f aca="false">IF(W392=0,0,IF(O392="Booked",N392,W392*AA391))</f>
        <v>4718108.03614249</v>
      </c>
      <c r="Y392" s="14" t="n">
        <f aca="false">IF(I392="Opening",K392,Y391+K392-W392)</f>
        <v>0</v>
      </c>
      <c r="Z392" s="9" t="n">
        <f aca="false">IF(I392="Opening",L392,Z391+L392-X392)</f>
        <v>0</v>
      </c>
      <c r="AA392" s="9" t="n">
        <f aca="false">IF(Y392&gt;0,Z392/Y392,IF(I392="Opening",0,AA391))</f>
        <v>25163.2428594266</v>
      </c>
      <c r="AB392" s="9" t="n">
        <f aca="false">IF(AND(I392="DO",O392="MA"),S392-N392,0)</f>
        <v>-0.00385750643908978</v>
      </c>
      <c r="AC392" s="9" t="n">
        <f aca="false">IF(I392="DO",X392-S392,0)</f>
        <v>0</v>
      </c>
      <c r="AD392" s="23" t="n">
        <f aca="false">IF(B393&lt;&gt;B392,1,0)</f>
        <v>0</v>
      </c>
      <c r="AE392" s="14" t="n">
        <f aca="false">IF(I392="Opening",0,AE391+W392)</f>
        <v>1125.96</v>
      </c>
      <c r="AF392" s="14" t="n">
        <f aca="false">IF(I392="Opening",K392,AF391)</f>
        <v>1125.96</v>
      </c>
      <c r="AG392" s="14" t="n">
        <f aca="false">AG391</f>
        <v>0</v>
      </c>
      <c r="AH392" s="14" t="n">
        <f aca="false">IF(W392=0,0,MAX(0,MIN(AE392,AF392)-MIN(AE392-W392,AF392)))</f>
        <v>187.5</v>
      </c>
      <c r="AI392" s="14" t="n">
        <f aca="false">IF(W392=0,0,MAX(0,MIN(AE392,AF392+AG392)-MAX(AE392-W392,AF392)))</f>
        <v>0</v>
      </c>
      <c r="AJ392" s="14" t="n">
        <f aca="false">W392-AH392-AI392</f>
        <v>0</v>
      </c>
      <c r="AK392" s="9" t="n">
        <f aca="false">IF(W392=0,0,X392*AH392/W392)</f>
        <v>4718108.03614249</v>
      </c>
      <c r="AL392" s="9" t="n">
        <f aca="false">IF(W392=0,0,X392*AI392/W392)</f>
        <v>0</v>
      </c>
      <c r="AM392" s="9" t="n">
        <f aca="false">X392-AK392-AL392</f>
        <v>0</v>
      </c>
    </row>
    <row r="393" customFormat="false" ht="15" hidden="false" customHeight="false" outlineLevel="0" collapsed="false">
      <c r="A393" s="6" t="n">
        <v>388</v>
      </c>
      <c r="B393" s="74" t="s">
        <v>984</v>
      </c>
      <c r="C393" s="53" t="str">
        <f aca="false">INDEX(I_Items!$C$5:$C$133,MATCH($B393,I_Items!$A$5:$A$133,0))</f>
        <v>RPA</v>
      </c>
      <c r="D393" s="53" t="str">
        <f aca="false">INDEX(I_Items!$D$5:$D$133,MATCH($B393,I_Items!$A$5:$A$133,0))</f>
        <v>Karkas</v>
      </c>
      <c r="E393" s="53" t="str">
        <f aca="false">INDEX(I_Items!$F$5:$F$133,MATCH($B393,I_Items!$A$5:$A$133,0))</f>
        <v>Frozen</v>
      </c>
      <c r="F393" s="53" t="str">
        <f aca="false">IF(INDEX(I_Items!$E$5:$E$133,MATCH($B393,I_Items!$A$5:$A$133,0))="","",INDEX(I_Items!$E$5:$E$133,MATCH($B393,I_Items!$A$5:$A$133,0)))</f>
        <v>Uk 1.1</v>
      </c>
      <c r="G393" s="76" t="n">
        <v>46244</v>
      </c>
      <c r="H393" s="23" t="n">
        <f aca="false">MONTH(G393)</f>
        <v>8</v>
      </c>
      <c r="I393" s="74" t="s">
        <v>2074</v>
      </c>
      <c r="J393" s="74" t="s">
        <v>1298</v>
      </c>
      <c r="K393" s="10" t="n">
        <v>75.9</v>
      </c>
      <c r="L393" s="8" t="n">
        <v>2879208.34</v>
      </c>
      <c r="M393" s="10" t="n">
        <v>0</v>
      </c>
      <c r="N393" s="8" t="n">
        <v>0</v>
      </c>
      <c r="O393" s="74"/>
      <c r="P393" s="74"/>
      <c r="Q393" s="74"/>
      <c r="R393" s="14" t="n">
        <f aca="false">IF(I393="Unbilled",0,M393)</f>
        <v>0</v>
      </c>
      <c r="S393" s="9" t="n">
        <f aca="false">IF(R393=0,0,IF(O393="Booked",N393,R393*V392))</f>
        <v>0</v>
      </c>
      <c r="T393" s="14" t="n">
        <f aca="false">IF(I393="Opening",K393,T392+K393-R393)</f>
        <v>75.9</v>
      </c>
      <c r="U393" s="9" t="n">
        <f aca="false">IF(I393="Opening",L393,U392+L393-S393)</f>
        <v>2879208.34</v>
      </c>
      <c r="V393" s="9" t="n">
        <f aca="false">IF(T393&gt;0,U393/T393,IF(I393="Opening",0,V392))</f>
        <v>37934.2337285903</v>
      </c>
      <c r="W393" s="14" t="n">
        <f aca="false">M393</f>
        <v>0</v>
      </c>
      <c r="X393" s="9" t="n">
        <f aca="false">IF(W393=0,0,IF(O393="Booked",N393,W393*AA392))</f>
        <v>0</v>
      </c>
      <c r="Y393" s="14" t="n">
        <f aca="false">IF(I393="Opening",K393,Y392+K393-W393)</f>
        <v>75.9</v>
      </c>
      <c r="Z393" s="9" t="n">
        <f aca="false">IF(I393="Opening",L393,Z392+L393-X393)</f>
        <v>2879208.34</v>
      </c>
      <c r="AA393" s="9" t="n">
        <f aca="false">IF(Y393&gt;0,Z393/Y393,IF(I393="Opening",0,AA392))</f>
        <v>37934.2337285903</v>
      </c>
      <c r="AB393" s="9" t="n">
        <f aca="false">IF(AND(I393="DO",O393="MA"),S393-N393,0)</f>
        <v>0</v>
      </c>
      <c r="AC393" s="9" t="n">
        <f aca="false">IF(I393="DO",X393-S393,0)</f>
        <v>0</v>
      </c>
      <c r="AD393" s="23" t="n">
        <f aca="false">IF(B394&lt;&gt;B393,1,0)</f>
        <v>0</v>
      </c>
      <c r="AE393" s="14" t="n">
        <f aca="false">IF(I393="Opening",0,AE392+W393)</f>
        <v>1125.96</v>
      </c>
      <c r="AF393" s="14" t="n">
        <f aca="false">IF(I393="Opening",K393,AF392)</f>
        <v>1125.96</v>
      </c>
      <c r="AG393" s="14" t="n">
        <f aca="false">AG392</f>
        <v>0</v>
      </c>
      <c r="AH393" s="14" t="n">
        <f aca="false">IF(W393=0,0,MAX(0,MIN(AE393,AF393)-MIN(AE393-W393,AF393)))</f>
        <v>0</v>
      </c>
      <c r="AI393" s="14" t="n">
        <f aca="false">IF(W393=0,0,MAX(0,MIN(AE393,AF393+AG393)-MAX(AE393-W393,AF393)))</f>
        <v>0</v>
      </c>
      <c r="AJ393" s="14" t="n">
        <f aca="false">W393-AH393-AI393</f>
        <v>0</v>
      </c>
      <c r="AK393" s="9" t="n">
        <f aca="false">IF(W393=0,0,X393*AH393/W393)</f>
        <v>0</v>
      </c>
      <c r="AL393" s="9" t="n">
        <f aca="false">IF(W393=0,0,X393*AI393/W393)</f>
        <v>0</v>
      </c>
      <c r="AM393" s="9" t="n">
        <f aca="false">X393-AK393-AL393</f>
        <v>0</v>
      </c>
    </row>
    <row r="394" customFormat="false" ht="15" hidden="false" customHeight="false" outlineLevel="0" collapsed="false">
      <c r="A394" s="6" t="n">
        <v>389</v>
      </c>
      <c r="B394" s="74" t="s">
        <v>984</v>
      </c>
      <c r="C394" s="53" t="str">
        <f aca="false">INDEX(I_Items!$C$5:$C$133,MATCH($B394,I_Items!$A$5:$A$133,0))</f>
        <v>RPA</v>
      </c>
      <c r="D394" s="53" t="str">
        <f aca="false">INDEX(I_Items!$D$5:$D$133,MATCH($B394,I_Items!$A$5:$A$133,0))</f>
        <v>Karkas</v>
      </c>
      <c r="E394" s="53" t="str">
        <f aca="false">INDEX(I_Items!$F$5:$F$133,MATCH($B394,I_Items!$A$5:$A$133,0))</f>
        <v>Frozen</v>
      </c>
      <c r="F394" s="53" t="str">
        <f aca="false">IF(INDEX(I_Items!$E$5:$E$133,MATCH($B394,I_Items!$A$5:$A$133,0))="","",INDEX(I_Items!$E$5:$E$133,MATCH($B394,I_Items!$A$5:$A$133,0)))</f>
        <v>Uk 1.1</v>
      </c>
      <c r="G394" s="76" t="n">
        <v>46248</v>
      </c>
      <c r="H394" s="23" t="n">
        <f aca="false">MONTH(G394)</f>
        <v>8</v>
      </c>
      <c r="I394" s="74" t="s">
        <v>2074</v>
      </c>
      <c r="J394" s="74" t="s">
        <v>1302</v>
      </c>
      <c r="K394" s="10" t="n">
        <v>1405.7</v>
      </c>
      <c r="L394" s="8" t="n">
        <v>53818404.16</v>
      </c>
      <c r="M394" s="10" t="n">
        <v>0</v>
      </c>
      <c r="N394" s="8" t="n">
        <v>0</v>
      </c>
      <c r="O394" s="74"/>
      <c r="P394" s="74"/>
      <c r="Q394" s="74"/>
      <c r="R394" s="14" t="n">
        <f aca="false">IF(I394="Unbilled",0,M394)</f>
        <v>0</v>
      </c>
      <c r="S394" s="9" t="n">
        <f aca="false">IF(R394=0,0,IF(O394="Booked",N394,R394*V393))</f>
        <v>0</v>
      </c>
      <c r="T394" s="14" t="n">
        <f aca="false">IF(I394="Opening",K394,T393+K394-R394)</f>
        <v>1481.6</v>
      </c>
      <c r="U394" s="9" t="n">
        <f aca="false">IF(I394="Opening",L394,U393+L394-S394)</f>
        <v>56697612.5</v>
      </c>
      <c r="V394" s="9" t="n">
        <f aca="false">IF(T394&gt;0,U394/T394,IF(I394="Opening",0,V393))</f>
        <v>38267.8270113391</v>
      </c>
      <c r="W394" s="14" t="n">
        <f aca="false">M394</f>
        <v>0</v>
      </c>
      <c r="X394" s="9" t="n">
        <f aca="false">IF(W394=0,0,IF(O394="Booked",N394,W394*AA393))</f>
        <v>0</v>
      </c>
      <c r="Y394" s="14" t="n">
        <f aca="false">IF(I394="Opening",K394,Y393+K394-W394)</f>
        <v>1481.6</v>
      </c>
      <c r="Z394" s="9" t="n">
        <f aca="false">IF(I394="Opening",L394,Z393+L394-X394)</f>
        <v>56697612.5</v>
      </c>
      <c r="AA394" s="9" t="n">
        <f aca="false">IF(Y394&gt;0,Z394/Y394,IF(I394="Opening",0,AA393))</f>
        <v>38267.8270113391</v>
      </c>
      <c r="AB394" s="9" t="n">
        <f aca="false">IF(AND(I394="DO",O394="MA"),S394-N394,0)</f>
        <v>0</v>
      </c>
      <c r="AC394" s="9" t="n">
        <f aca="false">IF(I394="DO",X394-S394,0)</f>
        <v>0</v>
      </c>
      <c r="AD394" s="23" t="n">
        <f aca="false">IF(B395&lt;&gt;B394,1,0)</f>
        <v>0</v>
      </c>
      <c r="AE394" s="14" t="n">
        <f aca="false">IF(I394="Opening",0,AE393+W394)</f>
        <v>1125.96</v>
      </c>
      <c r="AF394" s="14" t="n">
        <f aca="false">IF(I394="Opening",K394,AF393)</f>
        <v>1125.96</v>
      </c>
      <c r="AG394" s="14" t="n">
        <f aca="false">AG393</f>
        <v>0</v>
      </c>
      <c r="AH394" s="14" t="n">
        <f aca="false">IF(W394=0,0,MAX(0,MIN(AE394,AF394)-MIN(AE394-W394,AF394)))</f>
        <v>0</v>
      </c>
      <c r="AI394" s="14" t="n">
        <f aca="false">IF(W394=0,0,MAX(0,MIN(AE394,AF394+AG394)-MAX(AE394-W394,AF394)))</f>
        <v>0</v>
      </c>
      <c r="AJ394" s="14" t="n">
        <f aca="false">W394-AH394-AI394</f>
        <v>0</v>
      </c>
      <c r="AK394" s="9" t="n">
        <f aca="false">IF(W394=0,0,X394*AH394/W394)</f>
        <v>0</v>
      </c>
      <c r="AL394" s="9" t="n">
        <f aca="false">IF(W394=0,0,X394*AI394/W394)</f>
        <v>0</v>
      </c>
      <c r="AM394" s="9" t="n">
        <f aca="false">X394-AK394-AL394</f>
        <v>0</v>
      </c>
    </row>
    <row r="395" customFormat="false" ht="15" hidden="false" customHeight="false" outlineLevel="0" collapsed="false">
      <c r="A395" s="6" t="n">
        <v>390</v>
      </c>
      <c r="B395" s="74" t="s">
        <v>984</v>
      </c>
      <c r="C395" s="53" t="str">
        <f aca="false">INDEX(I_Items!$C$5:$C$133,MATCH($B395,I_Items!$A$5:$A$133,0))</f>
        <v>RPA</v>
      </c>
      <c r="D395" s="53" t="str">
        <f aca="false">INDEX(I_Items!$D$5:$D$133,MATCH($B395,I_Items!$A$5:$A$133,0))</f>
        <v>Karkas</v>
      </c>
      <c r="E395" s="53" t="str">
        <f aca="false">INDEX(I_Items!$F$5:$F$133,MATCH($B395,I_Items!$A$5:$A$133,0))</f>
        <v>Frozen</v>
      </c>
      <c r="F395" s="53" t="str">
        <f aca="false">IF(INDEX(I_Items!$E$5:$E$133,MATCH($B395,I_Items!$A$5:$A$133,0))="","",INDEX(I_Items!$E$5:$E$133,MATCH($B395,I_Items!$A$5:$A$133,0)))</f>
        <v>Uk 1.1</v>
      </c>
      <c r="G395" s="76" t="n">
        <v>46253</v>
      </c>
      <c r="H395" s="23" t="n">
        <f aca="false">MONTH(G395)</f>
        <v>8</v>
      </c>
      <c r="I395" s="74" t="s">
        <v>2074</v>
      </c>
      <c r="J395" s="74" t="s">
        <v>1305</v>
      </c>
      <c r="K395" s="10" t="n">
        <v>1550.2</v>
      </c>
      <c r="L395" s="8" t="n">
        <v>58576925.91</v>
      </c>
      <c r="M395" s="10" t="n">
        <v>0</v>
      </c>
      <c r="N395" s="8" t="n">
        <v>0</v>
      </c>
      <c r="O395" s="74"/>
      <c r="P395" s="74"/>
      <c r="Q395" s="74"/>
      <c r="R395" s="14" t="n">
        <f aca="false">IF(I395="Unbilled",0,M395)</f>
        <v>0</v>
      </c>
      <c r="S395" s="9" t="n">
        <f aca="false">IF(R395=0,0,IF(O395="Booked",N395,R395*V394))</f>
        <v>0</v>
      </c>
      <c r="T395" s="14" t="n">
        <f aca="false">IF(I395="Opening",K395,T394+K395-R395)</f>
        <v>3031.8</v>
      </c>
      <c r="U395" s="9" t="n">
        <f aca="false">IF(I395="Opening",L395,U394+L395-S395)</f>
        <v>115274538.41</v>
      </c>
      <c r="V395" s="9" t="n">
        <f aca="false">IF(T395&gt;0,U395/T395,IF(I395="Opening",0,V394))</f>
        <v>38021.81489874</v>
      </c>
      <c r="W395" s="14" t="n">
        <f aca="false">M395</f>
        <v>0</v>
      </c>
      <c r="X395" s="9" t="n">
        <f aca="false">IF(W395=0,0,IF(O395="Booked",N395,W395*AA394))</f>
        <v>0</v>
      </c>
      <c r="Y395" s="14" t="n">
        <f aca="false">IF(I395="Opening",K395,Y394+K395-W395)</f>
        <v>3031.8</v>
      </c>
      <c r="Z395" s="9" t="n">
        <f aca="false">IF(I395="Opening",L395,Z394+L395-X395)</f>
        <v>115274538.41</v>
      </c>
      <c r="AA395" s="9" t="n">
        <f aca="false">IF(Y395&gt;0,Z395/Y395,IF(I395="Opening",0,AA394))</f>
        <v>38021.81489874</v>
      </c>
      <c r="AB395" s="9" t="n">
        <f aca="false">IF(AND(I395="DO",O395="MA"),S395-N395,0)</f>
        <v>0</v>
      </c>
      <c r="AC395" s="9" t="n">
        <f aca="false">IF(I395="DO",X395-S395,0)</f>
        <v>0</v>
      </c>
      <c r="AD395" s="23" t="n">
        <f aca="false">IF(B396&lt;&gt;B395,1,0)</f>
        <v>0</v>
      </c>
      <c r="AE395" s="14" t="n">
        <f aca="false">IF(I395="Opening",0,AE394+W395)</f>
        <v>1125.96</v>
      </c>
      <c r="AF395" s="14" t="n">
        <f aca="false">IF(I395="Opening",K395,AF394)</f>
        <v>1125.96</v>
      </c>
      <c r="AG395" s="14" t="n">
        <f aca="false">AG394</f>
        <v>0</v>
      </c>
      <c r="AH395" s="14" t="n">
        <f aca="false">IF(W395=0,0,MAX(0,MIN(AE395,AF395)-MIN(AE395-W395,AF395)))</f>
        <v>0</v>
      </c>
      <c r="AI395" s="14" t="n">
        <f aca="false">IF(W395=0,0,MAX(0,MIN(AE395,AF395+AG395)-MAX(AE395-W395,AF395)))</f>
        <v>0</v>
      </c>
      <c r="AJ395" s="14" t="n">
        <f aca="false">W395-AH395-AI395</f>
        <v>0</v>
      </c>
      <c r="AK395" s="9" t="n">
        <f aca="false">IF(W395=0,0,X395*AH395/W395)</f>
        <v>0</v>
      </c>
      <c r="AL395" s="9" t="n">
        <f aca="false">IF(W395=0,0,X395*AI395/W395)</f>
        <v>0</v>
      </c>
      <c r="AM395" s="9" t="n">
        <f aca="false">X395-AK395-AL395</f>
        <v>0</v>
      </c>
    </row>
    <row r="396" customFormat="false" ht="15" hidden="false" customHeight="false" outlineLevel="0" collapsed="false">
      <c r="A396" s="6" t="n">
        <v>391</v>
      </c>
      <c r="B396" s="74" t="s">
        <v>984</v>
      </c>
      <c r="C396" s="53" t="str">
        <f aca="false">INDEX(I_Items!$C$5:$C$133,MATCH($B396,I_Items!$A$5:$A$133,0))</f>
        <v>RPA</v>
      </c>
      <c r="D396" s="53" t="str">
        <f aca="false">INDEX(I_Items!$D$5:$D$133,MATCH($B396,I_Items!$A$5:$A$133,0))</f>
        <v>Karkas</v>
      </c>
      <c r="E396" s="53" t="str">
        <f aca="false">INDEX(I_Items!$F$5:$F$133,MATCH($B396,I_Items!$A$5:$A$133,0))</f>
        <v>Frozen</v>
      </c>
      <c r="F396" s="53" t="str">
        <f aca="false">IF(INDEX(I_Items!$E$5:$E$133,MATCH($B396,I_Items!$A$5:$A$133,0))="","",INDEX(I_Items!$E$5:$E$133,MATCH($B396,I_Items!$A$5:$A$133,0)))</f>
        <v>Uk 1.1</v>
      </c>
      <c r="G396" s="76" t="n">
        <v>46254</v>
      </c>
      <c r="H396" s="23" t="n">
        <f aca="false">MONTH(G396)</f>
        <v>8</v>
      </c>
      <c r="I396" s="74" t="s">
        <v>2074</v>
      </c>
      <c r="J396" s="74" t="s">
        <v>1308</v>
      </c>
      <c r="K396" s="10" t="n">
        <v>1156.8</v>
      </c>
      <c r="L396" s="8" t="n">
        <v>43809806.38</v>
      </c>
      <c r="M396" s="10" t="n">
        <v>0</v>
      </c>
      <c r="N396" s="8" t="n">
        <v>0</v>
      </c>
      <c r="O396" s="74"/>
      <c r="P396" s="74"/>
      <c r="Q396" s="74"/>
      <c r="R396" s="14" t="n">
        <f aca="false">IF(I396="Unbilled",0,M396)</f>
        <v>0</v>
      </c>
      <c r="S396" s="9" t="n">
        <f aca="false">IF(R396=0,0,IF(O396="Booked",N396,R396*V395))</f>
        <v>0</v>
      </c>
      <c r="T396" s="14" t="n">
        <f aca="false">IF(I396="Opening",K396,T395+K396-R396)</f>
        <v>4188.6</v>
      </c>
      <c r="U396" s="9" t="n">
        <f aca="false">IF(I396="Opening",L396,U395+L396-S396)</f>
        <v>159084344.79</v>
      </c>
      <c r="V396" s="9" t="n">
        <f aca="false">IF(T396&gt;0,U396/T396,IF(I396="Opening",0,V395))</f>
        <v>37980.3143747314</v>
      </c>
      <c r="W396" s="14" t="n">
        <f aca="false">M396</f>
        <v>0</v>
      </c>
      <c r="X396" s="9" t="n">
        <f aca="false">IF(W396=0,0,IF(O396="Booked",N396,W396*AA395))</f>
        <v>0</v>
      </c>
      <c r="Y396" s="14" t="n">
        <f aca="false">IF(I396="Opening",K396,Y395+K396-W396)</f>
        <v>4188.6</v>
      </c>
      <c r="Z396" s="9" t="n">
        <f aca="false">IF(I396="Opening",L396,Z395+L396-X396)</f>
        <v>159084344.79</v>
      </c>
      <c r="AA396" s="9" t="n">
        <f aca="false">IF(Y396&gt;0,Z396/Y396,IF(I396="Opening",0,AA395))</f>
        <v>37980.3143747314</v>
      </c>
      <c r="AB396" s="9" t="n">
        <f aca="false">IF(AND(I396="DO",O396="MA"),S396-N396,0)</f>
        <v>0</v>
      </c>
      <c r="AC396" s="9" t="n">
        <f aca="false">IF(I396="DO",X396-S396,0)</f>
        <v>0</v>
      </c>
      <c r="AD396" s="23" t="n">
        <f aca="false">IF(B397&lt;&gt;B396,1,0)</f>
        <v>0</v>
      </c>
      <c r="AE396" s="14" t="n">
        <f aca="false">IF(I396="Opening",0,AE395+W396)</f>
        <v>1125.96</v>
      </c>
      <c r="AF396" s="14" t="n">
        <f aca="false">IF(I396="Opening",K396,AF395)</f>
        <v>1125.96</v>
      </c>
      <c r="AG396" s="14" t="n">
        <f aca="false">AG395</f>
        <v>0</v>
      </c>
      <c r="AH396" s="14" t="n">
        <f aca="false">IF(W396=0,0,MAX(0,MIN(AE396,AF396)-MIN(AE396-W396,AF396)))</f>
        <v>0</v>
      </c>
      <c r="AI396" s="14" t="n">
        <f aca="false">IF(W396=0,0,MAX(0,MIN(AE396,AF396+AG396)-MAX(AE396-W396,AF396)))</f>
        <v>0</v>
      </c>
      <c r="AJ396" s="14" t="n">
        <f aca="false">W396-AH396-AI396</f>
        <v>0</v>
      </c>
      <c r="AK396" s="9" t="n">
        <f aca="false">IF(W396=0,0,X396*AH396/W396)</f>
        <v>0</v>
      </c>
      <c r="AL396" s="9" t="n">
        <f aca="false">IF(W396=0,0,X396*AI396/W396)</f>
        <v>0</v>
      </c>
      <c r="AM396" s="9" t="n">
        <f aca="false">X396-AK396-AL396</f>
        <v>0</v>
      </c>
    </row>
    <row r="397" customFormat="false" ht="15" hidden="false" customHeight="false" outlineLevel="0" collapsed="false">
      <c r="A397" s="6" t="n">
        <v>392</v>
      </c>
      <c r="B397" s="74" t="s">
        <v>984</v>
      </c>
      <c r="C397" s="53" t="str">
        <f aca="false">INDEX(I_Items!$C$5:$C$133,MATCH($B397,I_Items!$A$5:$A$133,0))</f>
        <v>RPA</v>
      </c>
      <c r="D397" s="53" t="str">
        <f aca="false">INDEX(I_Items!$D$5:$D$133,MATCH($B397,I_Items!$A$5:$A$133,0))</f>
        <v>Karkas</v>
      </c>
      <c r="E397" s="53" t="str">
        <f aca="false">INDEX(I_Items!$F$5:$F$133,MATCH($B397,I_Items!$A$5:$A$133,0))</f>
        <v>Frozen</v>
      </c>
      <c r="F397" s="53" t="str">
        <f aca="false">IF(INDEX(I_Items!$E$5:$E$133,MATCH($B397,I_Items!$A$5:$A$133,0))="","",INDEX(I_Items!$E$5:$E$133,MATCH($B397,I_Items!$A$5:$A$133,0)))</f>
        <v>Uk 1.1</v>
      </c>
      <c r="G397" s="76" t="n">
        <v>46255</v>
      </c>
      <c r="H397" s="23" t="n">
        <f aca="false">MONTH(G397)</f>
        <v>8</v>
      </c>
      <c r="I397" s="74" t="s">
        <v>2074</v>
      </c>
      <c r="J397" s="74" t="s">
        <v>1311</v>
      </c>
      <c r="K397" s="10" t="n">
        <v>1190</v>
      </c>
      <c r="L397" s="8" t="n">
        <v>45476588.04</v>
      </c>
      <c r="M397" s="10" t="n">
        <v>0</v>
      </c>
      <c r="N397" s="8" t="n">
        <v>0</v>
      </c>
      <c r="O397" s="74"/>
      <c r="P397" s="74"/>
      <c r="Q397" s="74"/>
      <c r="R397" s="14" t="n">
        <f aca="false">IF(I397="Unbilled",0,M397)</f>
        <v>0</v>
      </c>
      <c r="S397" s="9" t="n">
        <f aca="false">IF(R397=0,0,IF(O397="Booked",N397,R397*V396))</f>
        <v>0</v>
      </c>
      <c r="T397" s="14" t="n">
        <f aca="false">IF(I397="Opening",K397,T396+K397-R397)</f>
        <v>5378.6</v>
      </c>
      <c r="U397" s="9" t="n">
        <f aca="false">IF(I397="Opening",L397,U396+L397-S397)</f>
        <v>204560932.83</v>
      </c>
      <c r="V397" s="9" t="n">
        <f aca="false">IF(T397&gt;0,U397/T397,IF(I397="Opening",0,V396))</f>
        <v>38032.3751217789</v>
      </c>
      <c r="W397" s="14" t="n">
        <f aca="false">M397</f>
        <v>0</v>
      </c>
      <c r="X397" s="9" t="n">
        <f aca="false">IF(W397=0,0,IF(O397="Booked",N397,W397*AA396))</f>
        <v>0</v>
      </c>
      <c r="Y397" s="14" t="n">
        <f aca="false">IF(I397="Opening",K397,Y396+K397-W397)</f>
        <v>5378.6</v>
      </c>
      <c r="Z397" s="9" t="n">
        <f aca="false">IF(I397="Opening",L397,Z396+L397-X397)</f>
        <v>204560932.83</v>
      </c>
      <c r="AA397" s="9" t="n">
        <f aca="false">IF(Y397&gt;0,Z397/Y397,IF(I397="Opening",0,AA396))</f>
        <v>38032.3751217789</v>
      </c>
      <c r="AB397" s="9" t="n">
        <f aca="false">IF(AND(I397="DO",O397="MA"),S397-N397,0)</f>
        <v>0</v>
      </c>
      <c r="AC397" s="9" t="n">
        <f aca="false">IF(I397="DO",X397-S397,0)</f>
        <v>0</v>
      </c>
      <c r="AD397" s="23" t="n">
        <f aca="false">IF(B398&lt;&gt;B397,1,0)</f>
        <v>0</v>
      </c>
      <c r="AE397" s="14" t="n">
        <f aca="false">IF(I397="Opening",0,AE396+W397)</f>
        <v>1125.96</v>
      </c>
      <c r="AF397" s="14" t="n">
        <f aca="false">IF(I397="Opening",K397,AF396)</f>
        <v>1125.96</v>
      </c>
      <c r="AG397" s="14" t="n">
        <f aca="false">AG396</f>
        <v>0</v>
      </c>
      <c r="AH397" s="14" t="n">
        <f aca="false">IF(W397=0,0,MAX(0,MIN(AE397,AF397)-MIN(AE397-W397,AF397)))</f>
        <v>0</v>
      </c>
      <c r="AI397" s="14" t="n">
        <f aca="false">IF(W397=0,0,MAX(0,MIN(AE397,AF397+AG397)-MAX(AE397-W397,AF397)))</f>
        <v>0</v>
      </c>
      <c r="AJ397" s="14" t="n">
        <f aca="false">W397-AH397-AI397</f>
        <v>0</v>
      </c>
      <c r="AK397" s="9" t="n">
        <f aca="false">IF(W397=0,0,X397*AH397/W397)</f>
        <v>0</v>
      </c>
      <c r="AL397" s="9" t="n">
        <f aca="false">IF(W397=0,0,X397*AI397/W397)</f>
        <v>0</v>
      </c>
      <c r="AM397" s="9" t="n">
        <f aca="false">X397-AK397-AL397</f>
        <v>0</v>
      </c>
    </row>
    <row r="398" customFormat="false" ht="15" hidden="false" customHeight="false" outlineLevel="0" collapsed="false">
      <c r="A398" s="6" t="n">
        <v>393</v>
      </c>
      <c r="B398" s="74" t="s">
        <v>984</v>
      </c>
      <c r="C398" s="53" t="str">
        <f aca="false">INDEX(I_Items!$C$5:$C$133,MATCH($B398,I_Items!$A$5:$A$133,0))</f>
        <v>RPA</v>
      </c>
      <c r="D398" s="53" t="str">
        <f aca="false">INDEX(I_Items!$D$5:$D$133,MATCH($B398,I_Items!$A$5:$A$133,0))</f>
        <v>Karkas</v>
      </c>
      <c r="E398" s="53" t="str">
        <f aca="false">INDEX(I_Items!$F$5:$F$133,MATCH($B398,I_Items!$A$5:$A$133,0))</f>
        <v>Frozen</v>
      </c>
      <c r="F398" s="53" t="str">
        <f aca="false">IF(INDEX(I_Items!$E$5:$E$133,MATCH($B398,I_Items!$A$5:$A$133,0))="","",INDEX(I_Items!$E$5:$E$133,MATCH($B398,I_Items!$A$5:$A$133,0)))</f>
        <v>Uk 1.1</v>
      </c>
      <c r="G398" s="76" t="n">
        <v>46259</v>
      </c>
      <c r="H398" s="23" t="n">
        <f aca="false">MONTH(G398)</f>
        <v>8</v>
      </c>
      <c r="I398" s="74" t="s">
        <v>2074</v>
      </c>
      <c r="J398" s="74" t="s">
        <v>1314</v>
      </c>
      <c r="K398" s="10" t="n">
        <v>1056.7</v>
      </c>
      <c r="L398" s="8" t="n">
        <v>38970666.24</v>
      </c>
      <c r="M398" s="10" t="n">
        <v>0</v>
      </c>
      <c r="N398" s="8" t="n">
        <v>0</v>
      </c>
      <c r="O398" s="74"/>
      <c r="P398" s="74"/>
      <c r="Q398" s="74"/>
      <c r="R398" s="14" t="n">
        <f aca="false">IF(I398="Unbilled",0,M398)</f>
        <v>0</v>
      </c>
      <c r="S398" s="9" t="n">
        <f aca="false">IF(R398=0,0,IF(O398="Booked",N398,R398*V397))</f>
        <v>0</v>
      </c>
      <c r="T398" s="14" t="n">
        <f aca="false">IF(I398="Opening",K398,T397+K398-R398)</f>
        <v>6435.3</v>
      </c>
      <c r="U398" s="9" t="n">
        <f aca="false">IF(I398="Opening",L398,U397+L398-S398)</f>
        <v>243531599.07</v>
      </c>
      <c r="V398" s="9" t="n">
        <f aca="false">IF(T398&gt;0,U398/T398,IF(I398="Opening",0,V397))</f>
        <v>37843.0840939816</v>
      </c>
      <c r="W398" s="14" t="n">
        <f aca="false">M398</f>
        <v>0</v>
      </c>
      <c r="X398" s="9" t="n">
        <f aca="false">IF(W398=0,0,IF(O398="Booked",N398,W398*AA397))</f>
        <v>0</v>
      </c>
      <c r="Y398" s="14" t="n">
        <f aca="false">IF(I398="Opening",K398,Y397+K398-W398)</f>
        <v>6435.3</v>
      </c>
      <c r="Z398" s="9" t="n">
        <f aca="false">IF(I398="Opening",L398,Z397+L398-X398)</f>
        <v>243531599.07</v>
      </c>
      <c r="AA398" s="9" t="n">
        <f aca="false">IF(Y398&gt;0,Z398/Y398,IF(I398="Opening",0,AA397))</f>
        <v>37843.0840939816</v>
      </c>
      <c r="AB398" s="9" t="n">
        <f aca="false">IF(AND(I398="DO",O398="MA"),S398-N398,0)</f>
        <v>0</v>
      </c>
      <c r="AC398" s="9" t="n">
        <f aca="false">IF(I398="DO",X398-S398,0)</f>
        <v>0</v>
      </c>
      <c r="AD398" s="23" t="n">
        <f aca="false">IF(B399&lt;&gt;B398,1,0)</f>
        <v>0</v>
      </c>
      <c r="AE398" s="14" t="n">
        <f aca="false">IF(I398="Opening",0,AE397+W398)</f>
        <v>1125.96</v>
      </c>
      <c r="AF398" s="14" t="n">
        <f aca="false">IF(I398="Opening",K398,AF397)</f>
        <v>1125.96</v>
      </c>
      <c r="AG398" s="14" t="n">
        <f aca="false">AG397</f>
        <v>0</v>
      </c>
      <c r="AH398" s="14" t="n">
        <f aca="false">IF(W398=0,0,MAX(0,MIN(AE398,AF398)-MIN(AE398-W398,AF398)))</f>
        <v>0</v>
      </c>
      <c r="AI398" s="14" t="n">
        <f aca="false">IF(W398=0,0,MAX(0,MIN(AE398,AF398+AG398)-MAX(AE398-W398,AF398)))</f>
        <v>0</v>
      </c>
      <c r="AJ398" s="14" t="n">
        <f aca="false">W398-AH398-AI398</f>
        <v>0</v>
      </c>
      <c r="AK398" s="9" t="n">
        <f aca="false">IF(W398=0,0,X398*AH398/W398)</f>
        <v>0</v>
      </c>
      <c r="AL398" s="9" t="n">
        <f aca="false">IF(W398=0,0,X398*AI398/W398)</f>
        <v>0</v>
      </c>
      <c r="AM398" s="9" t="n">
        <f aca="false">X398-AK398-AL398</f>
        <v>0</v>
      </c>
    </row>
    <row r="399" customFormat="false" ht="15" hidden="false" customHeight="false" outlineLevel="0" collapsed="false">
      <c r="A399" s="6" t="n">
        <v>394</v>
      </c>
      <c r="B399" s="74" t="s">
        <v>984</v>
      </c>
      <c r="C399" s="53" t="str">
        <f aca="false">INDEX(I_Items!$C$5:$C$133,MATCH($B399,I_Items!$A$5:$A$133,0))</f>
        <v>RPA</v>
      </c>
      <c r="D399" s="53" t="str">
        <f aca="false">INDEX(I_Items!$D$5:$D$133,MATCH($B399,I_Items!$A$5:$A$133,0))</f>
        <v>Karkas</v>
      </c>
      <c r="E399" s="53" t="str">
        <f aca="false">INDEX(I_Items!$F$5:$F$133,MATCH($B399,I_Items!$A$5:$A$133,0))</f>
        <v>Frozen</v>
      </c>
      <c r="F399" s="53" t="str">
        <f aca="false">IF(INDEX(I_Items!$E$5:$E$133,MATCH($B399,I_Items!$A$5:$A$133,0))="","",INDEX(I_Items!$E$5:$E$133,MATCH($B399,I_Items!$A$5:$A$133,0)))</f>
        <v>Uk 1.1</v>
      </c>
      <c r="G399" s="76" t="n">
        <v>46260</v>
      </c>
      <c r="H399" s="23" t="n">
        <f aca="false">MONTH(G399)</f>
        <v>8</v>
      </c>
      <c r="I399" s="74" t="s">
        <v>2074</v>
      </c>
      <c r="J399" s="74" t="s">
        <v>1317</v>
      </c>
      <c r="K399" s="10" t="n">
        <v>1106</v>
      </c>
      <c r="L399" s="8" t="n">
        <v>41662350.54</v>
      </c>
      <c r="M399" s="10" t="n">
        <v>0</v>
      </c>
      <c r="N399" s="8" t="n">
        <v>0</v>
      </c>
      <c r="O399" s="74"/>
      <c r="P399" s="74"/>
      <c r="Q399" s="74"/>
      <c r="R399" s="14" t="n">
        <f aca="false">IF(I399="Unbilled",0,M399)</f>
        <v>0</v>
      </c>
      <c r="S399" s="9" t="n">
        <f aca="false">IF(R399=0,0,IF(O399="Booked",N399,R399*V398))</f>
        <v>0</v>
      </c>
      <c r="T399" s="14" t="n">
        <f aca="false">IF(I399="Opening",K399,T398+K399-R399)</f>
        <v>7541.3</v>
      </c>
      <c r="U399" s="9" t="n">
        <f aca="false">IF(I399="Opening",L399,U398+L399-S399)</f>
        <v>285193949.61</v>
      </c>
      <c r="V399" s="9" t="n">
        <f aca="false">IF(T399&gt;0,U399/T399,IF(I399="Opening",0,V398))</f>
        <v>37817.6109702571</v>
      </c>
      <c r="W399" s="14" t="n">
        <f aca="false">M399</f>
        <v>0</v>
      </c>
      <c r="X399" s="9" t="n">
        <f aca="false">IF(W399=0,0,IF(O399="Booked",N399,W399*AA398))</f>
        <v>0</v>
      </c>
      <c r="Y399" s="14" t="n">
        <f aca="false">IF(I399="Opening",K399,Y398+K399-W399)</f>
        <v>7541.3</v>
      </c>
      <c r="Z399" s="9" t="n">
        <f aca="false">IF(I399="Opening",L399,Z398+L399-X399)</f>
        <v>285193949.61</v>
      </c>
      <c r="AA399" s="9" t="n">
        <f aca="false">IF(Y399&gt;0,Z399/Y399,IF(I399="Opening",0,AA398))</f>
        <v>37817.6109702571</v>
      </c>
      <c r="AB399" s="9" t="n">
        <f aca="false">IF(AND(I399="DO",O399="MA"),S399-N399,0)</f>
        <v>0</v>
      </c>
      <c r="AC399" s="9" t="n">
        <f aca="false">IF(I399="DO",X399-S399,0)</f>
        <v>0</v>
      </c>
      <c r="AD399" s="23" t="n">
        <f aca="false">IF(B400&lt;&gt;B399,1,0)</f>
        <v>0</v>
      </c>
      <c r="AE399" s="14" t="n">
        <f aca="false">IF(I399="Opening",0,AE398+W399)</f>
        <v>1125.96</v>
      </c>
      <c r="AF399" s="14" t="n">
        <f aca="false">IF(I399="Opening",K399,AF398)</f>
        <v>1125.96</v>
      </c>
      <c r="AG399" s="14" t="n">
        <f aca="false">AG398</f>
        <v>0</v>
      </c>
      <c r="AH399" s="14" t="n">
        <f aca="false">IF(W399=0,0,MAX(0,MIN(AE399,AF399)-MIN(AE399-W399,AF399)))</f>
        <v>0</v>
      </c>
      <c r="AI399" s="14" t="n">
        <f aca="false">IF(W399=0,0,MAX(0,MIN(AE399,AF399+AG399)-MAX(AE399-W399,AF399)))</f>
        <v>0</v>
      </c>
      <c r="AJ399" s="14" t="n">
        <f aca="false">W399-AH399-AI399</f>
        <v>0</v>
      </c>
      <c r="AK399" s="9" t="n">
        <f aca="false">IF(W399=0,0,X399*AH399/W399)</f>
        <v>0</v>
      </c>
      <c r="AL399" s="9" t="n">
        <f aca="false">IF(W399=0,0,X399*AI399/W399)</f>
        <v>0</v>
      </c>
      <c r="AM399" s="9" t="n">
        <f aca="false">X399-AK399-AL399</f>
        <v>0</v>
      </c>
    </row>
    <row r="400" customFormat="false" ht="15" hidden="false" customHeight="false" outlineLevel="0" collapsed="false">
      <c r="A400" s="6" t="n">
        <v>395</v>
      </c>
      <c r="B400" s="74" t="s">
        <v>984</v>
      </c>
      <c r="C400" s="53" t="str">
        <f aca="false">INDEX(I_Items!$C$5:$C$133,MATCH($B400,I_Items!$A$5:$A$133,0))</f>
        <v>RPA</v>
      </c>
      <c r="D400" s="53" t="str">
        <f aca="false">INDEX(I_Items!$D$5:$D$133,MATCH($B400,I_Items!$A$5:$A$133,0))</f>
        <v>Karkas</v>
      </c>
      <c r="E400" s="53" t="str">
        <f aca="false">INDEX(I_Items!$F$5:$F$133,MATCH($B400,I_Items!$A$5:$A$133,0))</f>
        <v>Frozen</v>
      </c>
      <c r="F400" s="53" t="str">
        <f aca="false">IF(INDEX(I_Items!$E$5:$E$133,MATCH($B400,I_Items!$A$5:$A$133,0))="","",INDEX(I_Items!$E$5:$E$133,MATCH($B400,I_Items!$A$5:$A$133,0)))</f>
        <v>Uk 1.1</v>
      </c>
      <c r="G400" s="76" t="n">
        <v>46261</v>
      </c>
      <c r="H400" s="23" t="n">
        <f aca="false">MONTH(G400)</f>
        <v>8</v>
      </c>
      <c r="I400" s="74" t="s">
        <v>2074</v>
      </c>
      <c r="J400" s="74" t="s">
        <v>1320</v>
      </c>
      <c r="K400" s="10" t="n">
        <v>1429.3</v>
      </c>
      <c r="L400" s="8" t="n">
        <v>53147582.02</v>
      </c>
      <c r="M400" s="10" t="n">
        <v>0</v>
      </c>
      <c r="N400" s="8" t="n">
        <v>0</v>
      </c>
      <c r="O400" s="74"/>
      <c r="P400" s="74"/>
      <c r="Q400" s="74"/>
      <c r="R400" s="14" t="n">
        <f aca="false">IF(I400="Unbilled",0,M400)</f>
        <v>0</v>
      </c>
      <c r="S400" s="9" t="n">
        <f aca="false">IF(R400=0,0,IF(O400="Booked",N400,R400*V399))</f>
        <v>0</v>
      </c>
      <c r="T400" s="14" t="n">
        <f aca="false">IF(I400="Opening",K400,T399+K400-R400)</f>
        <v>8970.6</v>
      </c>
      <c r="U400" s="9" t="n">
        <f aca="false">IF(I400="Opening",L400,U399+L400-S400)</f>
        <v>338341531.63</v>
      </c>
      <c r="V400" s="9" t="n">
        <f aca="false">IF(T400&gt;0,U400/T400,IF(I400="Opening",0,V399))</f>
        <v>37716.7114384768</v>
      </c>
      <c r="W400" s="14" t="n">
        <f aca="false">M400</f>
        <v>0</v>
      </c>
      <c r="X400" s="9" t="n">
        <f aca="false">IF(W400=0,0,IF(O400="Booked",N400,W400*AA399))</f>
        <v>0</v>
      </c>
      <c r="Y400" s="14" t="n">
        <f aca="false">IF(I400="Opening",K400,Y399+K400-W400)</f>
        <v>8970.6</v>
      </c>
      <c r="Z400" s="9" t="n">
        <f aca="false">IF(I400="Opening",L400,Z399+L400-X400)</f>
        <v>338341531.63</v>
      </c>
      <c r="AA400" s="9" t="n">
        <f aca="false">IF(Y400&gt;0,Z400/Y400,IF(I400="Opening",0,AA399))</f>
        <v>37716.7114384768</v>
      </c>
      <c r="AB400" s="9" t="n">
        <f aca="false">IF(AND(I400="DO",O400="MA"),S400-N400,0)</f>
        <v>0</v>
      </c>
      <c r="AC400" s="9" t="n">
        <f aca="false">IF(I400="DO",X400-S400,0)</f>
        <v>0</v>
      </c>
      <c r="AD400" s="23" t="n">
        <f aca="false">IF(B401&lt;&gt;B400,1,0)</f>
        <v>0</v>
      </c>
      <c r="AE400" s="14" t="n">
        <f aca="false">IF(I400="Opening",0,AE399+W400)</f>
        <v>1125.96</v>
      </c>
      <c r="AF400" s="14" t="n">
        <f aca="false">IF(I400="Opening",K400,AF399)</f>
        <v>1125.96</v>
      </c>
      <c r="AG400" s="14" t="n">
        <f aca="false">AG399</f>
        <v>0</v>
      </c>
      <c r="AH400" s="14" t="n">
        <f aca="false">IF(W400=0,0,MAX(0,MIN(AE400,AF400)-MIN(AE400-W400,AF400)))</f>
        <v>0</v>
      </c>
      <c r="AI400" s="14" t="n">
        <f aca="false">IF(W400=0,0,MAX(0,MIN(AE400,AF400+AG400)-MAX(AE400-W400,AF400)))</f>
        <v>0</v>
      </c>
      <c r="AJ400" s="14" t="n">
        <f aca="false">W400-AH400-AI400</f>
        <v>0</v>
      </c>
      <c r="AK400" s="9" t="n">
        <f aca="false">IF(W400=0,0,X400*AH400/W400)</f>
        <v>0</v>
      </c>
      <c r="AL400" s="9" t="n">
        <f aca="false">IF(W400=0,0,X400*AI400/W400)</f>
        <v>0</v>
      </c>
      <c r="AM400" s="9" t="n">
        <f aca="false">X400-AK400-AL400</f>
        <v>0</v>
      </c>
    </row>
    <row r="401" customFormat="false" ht="15" hidden="false" customHeight="false" outlineLevel="0" collapsed="false">
      <c r="A401" s="6" t="n">
        <v>396</v>
      </c>
      <c r="B401" s="74" t="s">
        <v>984</v>
      </c>
      <c r="C401" s="53" t="str">
        <f aca="false">INDEX(I_Items!$C$5:$C$133,MATCH($B401,I_Items!$A$5:$A$133,0))</f>
        <v>RPA</v>
      </c>
      <c r="D401" s="53" t="str">
        <f aca="false">INDEX(I_Items!$D$5:$D$133,MATCH($B401,I_Items!$A$5:$A$133,0))</f>
        <v>Karkas</v>
      </c>
      <c r="E401" s="53" t="str">
        <f aca="false">INDEX(I_Items!$F$5:$F$133,MATCH($B401,I_Items!$A$5:$A$133,0))</f>
        <v>Frozen</v>
      </c>
      <c r="F401" s="53" t="str">
        <f aca="false">IF(INDEX(I_Items!$E$5:$E$133,MATCH($B401,I_Items!$A$5:$A$133,0))="","",INDEX(I_Items!$E$5:$E$133,MATCH($B401,I_Items!$A$5:$A$133,0)))</f>
        <v>Uk 1.1</v>
      </c>
      <c r="G401" s="76" t="n">
        <v>46261</v>
      </c>
      <c r="H401" s="23" t="n">
        <f aca="false">MONTH(G401)</f>
        <v>8</v>
      </c>
      <c r="I401" s="74" t="s">
        <v>2075</v>
      </c>
      <c r="J401" s="74" t="s">
        <v>2147</v>
      </c>
      <c r="K401" s="10" t="n">
        <v>0</v>
      </c>
      <c r="L401" s="8" t="n">
        <v>0</v>
      </c>
      <c r="M401" s="10" t="n">
        <v>265</v>
      </c>
      <c r="N401" s="8" t="n">
        <v>9994928.52</v>
      </c>
      <c r="O401" s="74" t="s">
        <v>2077</v>
      </c>
      <c r="P401" s="74"/>
      <c r="Q401" s="74"/>
      <c r="R401" s="14" t="n">
        <f aca="false">IF(I401="Unbilled",0,M401)</f>
        <v>265</v>
      </c>
      <c r="S401" s="9" t="n">
        <f aca="false">IF(R401=0,0,IF(O401="Booked",N401,R401*V400))</f>
        <v>9994928.53119635</v>
      </c>
      <c r="T401" s="14" t="n">
        <f aca="false">IF(I401="Opening",K401,T400+K401-R401)</f>
        <v>8705.6</v>
      </c>
      <c r="U401" s="9" t="n">
        <f aca="false">IF(I401="Opening",L401,U400+L401-S401)</f>
        <v>328346603.098804</v>
      </c>
      <c r="V401" s="9" t="n">
        <f aca="false">IF(T401&gt;0,U401/T401,IF(I401="Opening",0,V400))</f>
        <v>37716.7114384768</v>
      </c>
      <c r="W401" s="14" t="n">
        <f aca="false">M401</f>
        <v>265</v>
      </c>
      <c r="X401" s="9" t="n">
        <f aca="false">IF(W401=0,0,IF(O401="Booked",N401,W401*AA400))</f>
        <v>9994928.53119635</v>
      </c>
      <c r="Y401" s="14" t="n">
        <f aca="false">IF(I401="Opening",K401,Y400+K401-W401)</f>
        <v>8705.6</v>
      </c>
      <c r="Z401" s="9" t="n">
        <f aca="false">IF(I401="Opening",L401,Z400+L401-X401)</f>
        <v>328346603.098804</v>
      </c>
      <c r="AA401" s="9" t="n">
        <f aca="false">IF(Y401&gt;0,Z401/Y401,IF(I401="Opening",0,AA400))</f>
        <v>37716.7114384768</v>
      </c>
      <c r="AB401" s="9" t="n">
        <f aca="false">IF(AND(I401="DO",O401="MA"),S401-N401,0)</f>
        <v>0.0111963525414467</v>
      </c>
      <c r="AC401" s="9" t="n">
        <f aca="false">IF(I401="DO",X401-S401,0)</f>
        <v>0</v>
      </c>
      <c r="AD401" s="23" t="n">
        <f aca="false">IF(B402&lt;&gt;B401,1,0)</f>
        <v>0</v>
      </c>
      <c r="AE401" s="14" t="n">
        <f aca="false">IF(I401="Opening",0,AE400+W401)</f>
        <v>1390.96</v>
      </c>
      <c r="AF401" s="14" t="n">
        <f aca="false">IF(I401="Opening",K401,AF400)</f>
        <v>1125.96</v>
      </c>
      <c r="AG401" s="14" t="n">
        <f aca="false">AG400</f>
        <v>0</v>
      </c>
      <c r="AH401" s="14" t="n">
        <f aca="false">IF(W401=0,0,MAX(0,MIN(AE401,AF401)-MIN(AE401-W401,AF401)))</f>
        <v>0</v>
      </c>
      <c r="AI401" s="14" t="n">
        <f aca="false">IF(W401=0,0,MAX(0,MIN(AE401,AF401+AG401)-MAX(AE401-W401,AF401)))</f>
        <v>0</v>
      </c>
      <c r="AJ401" s="14" t="n">
        <f aca="false">W401-AH401-AI401</f>
        <v>265</v>
      </c>
      <c r="AK401" s="9" t="n">
        <f aca="false">IF(W401=0,0,X401*AH401/W401)</f>
        <v>0</v>
      </c>
      <c r="AL401" s="9" t="n">
        <f aca="false">IF(W401=0,0,X401*AI401/W401)</f>
        <v>0</v>
      </c>
      <c r="AM401" s="9" t="n">
        <f aca="false">X401-AK401-AL401</f>
        <v>9994928.53119635</v>
      </c>
    </row>
    <row r="402" customFormat="false" ht="15" hidden="false" customHeight="false" outlineLevel="0" collapsed="false">
      <c r="A402" s="6" t="n">
        <v>397</v>
      </c>
      <c r="B402" s="74" t="s">
        <v>984</v>
      </c>
      <c r="C402" s="53" t="str">
        <f aca="false">INDEX(I_Items!$C$5:$C$133,MATCH($B402,I_Items!$A$5:$A$133,0))</f>
        <v>RPA</v>
      </c>
      <c r="D402" s="53" t="str">
        <f aca="false">INDEX(I_Items!$D$5:$D$133,MATCH($B402,I_Items!$A$5:$A$133,0))</f>
        <v>Karkas</v>
      </c>
      <c r="E402" s="53" t="str">
        <f aca="false">INDEX(I_Items!$F$5:$F$133,MATCH($B402,I_Items!$A$5:$A$133,0))</f>
        <v>Frozen</v>
      </c>
      <c r="F402" s="53" t="str">
        <f aca="false">IF(INDEX(I_Items!$E$5:$E$133,MATCH($B402,I_Items!$A$5:$A$133,0))="","",INDEX(I_Items!$E$5:$E$133,MATCH($B402,I_Items!$A$5:$A$133,0)))</f>
        <v>Uk 1.1</v>
      </c>
      <c r="G402" s="76" t="n">
        <v>46262</v>
      </c>
      <c r="H402" s="23" t="n">
        <f aca="false">MONTH(G402)</f>
        <v>8</v>
      </c>
      <c r="I402" s="74" t="s">
        <v>2074</v>
      </c>
      <c r="J402" s="74" t="s">
        <v>1323</v>
      </c>
      <c r="K402" s="10" t="n">
        <v>1526.8</v>
      </c>
      <c r="L402" s="8" t="n">
        <v>57242561.31</v>
      </c>
      <c r="M402" s="10" t="n">
        <v>0</v>
      </c>
      <c r="N402" s="8" t="n">
        <v>0</v>
      </c>
      <c r="O402" s="74"/>
      <c r="P402" s="74"/>
      <c r="Q402" s="74"/>
      <c r="R402" s="14" t="n">
        <f aca="false">IF(I402="Unbilled",0,M402)</f>
        <v>0</v>
      </c>
      <c r="S402" s="9" t="n">
        <f aca="false">IF(R402=0,0,IF(O402="Booked",N402,R402*V401))</f>
        <v>0</v>
      </c>
      <c r="T402" s="14" t="n">
        <f aca="false">IF(I402="Opening",K402,T401+K402-R402)</f>
        <v>10232.4</v>
      </c>
      <c r="U402" s="9" t="n">
        <f aca="false">IF(I402="Opening",L402,U401+L402-S402)</f>
        <v>385589164.408804</v>
      </c>
      <c r="V402" s="9" t="n">
        <f aca="false">IF(T402&gt;0,U402/T402,IF(I402="Opening",0,V401))</f>
        <v>37683.1598069665</v>
      </c>
      <c r="W402" s="14" t="n">
        <f aca="false">M402</f>
        <v>0</v>
      </c>
      <c r="X402" s="9" t="n">
        <f aca="false">IF(W402=0,0,IF(O402="Booked",N402,W402*AA401))</f>
        <v>0</v>
      </c>
      <c r="Y402" s="14" t="n">
        <f aca="false">IF(I402="Opening",K402,Y401+K402-W402)</f>
        <v>10232.4</v>
      </c>
      <c r="Z402" s="9" t="n">
        <f aca="false">IF(I402="Opening",L402,Z401+L402-X402)</f>
        <v>385589164.408804</v>
      </c>
      <c r="AA402" s="9" t="n">
        <f aca="false">IF(Y402&gt;0,Z402/Y402,IF(I402="Opening",0,AA401))</f>
        <v>37683.1598069665</v>
      </c>
      <c r="AB402" s="9" t="n">
        <f aca="false">IF(AND(I402="DO",O402="MA"),S402-N402,0)</f>
        <v>0</v>
      </c>
      <c r="AC402" s="9" t="n">
        <f aca="false">IF(I402="DO",X402-S402,0)</f>
        <v>0</v>
      </c>
      <c r="AD402" s="23" t="n">
        <f aca="false">IF(B403&lt;&gt;B402,1,0)</f>
        <v>0</v>
      </c>
      <c r="AE402" s="14" t="n">
        <f aca="false">IF(I402="Opening",0,AE401+W402)</f>
        <v>1390.96</v>
      </c>
      <c r="AF402" s="14" t="n">
        <f aca="false">IF(I402="Opening",K402,AF401)</f>
        <v>1125.96</v>
      </c>
      <c r="AG402" s="14" t="n">
        <f aca="false">AG401</f>
        <v>0</v>
      </c>
      <c r="AH402" s="14" t="n">
        <f aca="false">IF(W402=0,0,MAX(0,MIN(AE402,AF402)-MIN(AE402-W402,AF402)))</f>
        <v>0</v>
      </c>
      <c r="AI402" s="14" t="n">
        <f aca="false">IF(W402=0,0,MAX(0,MIN(AE402,AF402+AG402)-MAX(AE402-W402,AF402)))</f>
        <v>0</v>
      </c>
      <c r="AJ402" s="14" t="n">
        <f aca="false">W402-AH402-AI402</f>
        <v>0</v>
      </c>
      <c r="AK402" s="9" t="n">
        <f aca="false">IF(W402=0,0,X402*AH402/W402)</f>
        <v>0</v>
      </c>
      <c r="AL402" s="9" t="n">
        <f aca="false">IF(W402=0,0,X402*AI402/W402)</f>
        <v>0</v>
      </c>
      <c r="AM402" s="9" t="n">
        <f aca="false">X402-AK402-AL402</f>
        <v>0</v>
      </c>
    </row>
    <row r="403" customFormat="false" ht="15" hidden="false" customHeight="false" outlineLevel="0" collapsed="false">
      <c r="A403" s="6" t="n">
        <v>398</v>
      </c>
      <c r="B403" s="74" t="s">
        <v>984</v>
      </c>
      <c r="C403" s="53" t="str">
        <f aca="false">INDEX(I_Items!$C$5:$C$133,MATCH($B403,I_Items!$A$5:$A$133,0))</f>
        <v>RPA</v>
      </c>
      <c r="D403" s="53" t="str">
        <f aca="false">INDEX(I_Items!$D$5:$D$133,MATCH($B403,I_Items!$A$5:$A$133,0))</f>
        <v>Karkas</v>
      </c>
      <c r="E403" s="53" t="str">
        <f aca="false">INDEX(I_Items!$F$5:$F$133,MATCH($B403,I_Items!$A$5:$A$133,0))</f>
        <v>Frozen</v>
      </c>
      <c r="F403" s="53" t="str">
        <f aca="false">IF(INDEX(I_Items!$E$5:$E$133,MATCH($B403,I_Items!$A$5:$A$133,0))="","",INDEX(I_Items!$E$5:$E$133,MATCH($B403,I_Items!$A$5:$A$133,0)))</f>
        <v>Uk 1.1</v>
      </c>
      <c r="G403" s="76" t="n">
        <v>46263</v>
      </c>
      <c r="H403" s="23" t="n">
        <f aca="false">MONTH(G403)</f>
        <v>8</v>
      </c>
      <c r="I403" s="74" t="s">
        <v>2075</v>
      </c>
      <c r="J403" s="74" t="s">
        <v>2148</v>
      </c>
      <c r="K403" s="10" t="n">
        <v>0</v>
      </c>
      <c r="L403" s="8" t="n">
        <v>0</v>
      </c>
      <c r="M403" s="10" t="n">
        <v>41.2</v>
      </c>
      <c r="N403" s="8" t="n">
        <v>1552546.18</v>
      </c>
      <c r="O403" s="74" t="s">
        <v>2077</v>
      </c>
      <c r="P403" s="74"/>
      <c r="Q403" s="74"/>
      <c r="R403" s="14" t="n">
        <f aca="false">IF(I403="Unbilled",0,M403)</f>
        <v>41.2</v>
      </c>
      <c r="S403" s="9" t="n">
        <f aca="false">IF(R403=0,0,IF(O403="Booked",N403,R403*V402))</f>
        <v>1552546.18404702</v>
      </c>
      <c r="T403" s="14" t="n">
        <f aca="false">IF(I403="Opening",K403,T402+K403-R403)</f>
        <v>10191.2</v>
      </c>
      <c r="U403" s="9" t="n">
        <f aca="false">IF(I403="Opening",L403,U402+L403-S403)</f>
        <v>384036618.224757</v>
      </c>
      <c r="V403" s="9" t="n">
        <f aca="false">IF(T403&gt;0,U403/T403,IF(I403="Opening",0,V402))</f>
        <v>37683.1598069665</v>
      </c>
      <c r="W403" s="14" t="n">
        <f aca="false">M403</f>
        <v>41.2</v>
      </c>
      <c r="X403" s="9" t="n">
        <f aca="false">IF(W403=0,0,IF(O403="Booked",N403,W403*AA402))</f>
        <v>1552546.18404702</v>
      </c>
      <c r="Y403" s="14" t="n">
        <f aca="false">IF(I403="Opening",K403,Y402+K403-W403)</f>
        <v>10191.2</v>
      </c>
      <c r="Z403" s="9" t="n">
        <f aca="false">IF(I403="Opening",L403,Z402+L403-X403)</f>
        <v>384036618.224757</v>
      </c>
      <c r="AA403" s="9" t="n">
        <f aca="false">IF(Y403&gt;0,Z403/Y403,IF(I403="Opening",0,AA402))</f>
        <v>37683.1598069665</v>
      </c>
      <c r="AB403" s="9" t="n">
        <f aca="false">IF(AND(I403="DO",O403="MA"),S403-N403,0)</f>
        <v>0.00404701847583056</v>
      </c>
      <c r="AC403" s="9" t="n">
        <f aca="false">IF(I403="DO",X403-S403,0)</f>
        <v>0</v>
      </c>
      <c r="AD403" s="23" t="n">
        <f aca="false">IF(B404&lt;&gt;B403,1,0)</f>
        <v>0</v>
      </c>
      <c r="AE403" s="14" t="n">
        <f aca="false">IF(I403="Opening",0,AE402+W403)</f>
        <v>1432.16</v>
      </c>
      <c r="AF403" s="14" t="n">
        <f aca="false">IF(I403="Opening",K403,AF402)</f>
        <v>1125.96</v>
      </c>
      <c r="AG403" s="14" t="n">
        <f aca="false">AG402</f>
        <v>0</v>
      </c>
      <c r="AH403" s="14" t="n">
        <f aca="false">IF(W403=0,0,MAX(0,MIN(AE403,AF403)-MIN(AE403-W403,AF403)))</f>
        <v>0</v>
      </c>
      <c r="AI403" s="14" t="n">
        <f aca="false">IF(W403=0,0,MAX(0,MIN(AE403,AF403+AG403)-MAX(AE403-W403,AF403)))</f>
        <v>0</v>
      </c>
      <c r="AJ403" s="14" t="n">
        <f aca="false">W403-AH403-AI403</f>
        <v>41.2</v>
      </c>
      <c r="AK403" s="9" t="n">
        <f aca="false">IF(W403=0,0,X403*AH403/W403)</f>
        <v>0</v>
      </c>
      <c r="AL403" s="9" t="n">
        <f aca="false">IF(W403=0,0,X403*AI403/W403)</f>
        <v>0</v>
      </c>
      <c r="AM403" s="9" t="n">
        <f aca="false">X403-AK403-AL403</f>
        <v>1552546.18404702</v>
      </c>
    </row>
    <row r="404" customFormat="false" ht="15" hidden="false" customHeight="false" outlineLevel="0" collapsed="false">
      <c r="A404" s="6" t="n">
        <v>399</v>
      </c>
      <c r="B404" s="74" t="s">
        <v>984</v>
      </c>
      <c r="C404" s="53" t="str">
        <f aca="false">INDEX(I_Items!$C$5:$C$133,MATCH($B404,I_Items!$A$5:$A$133,0))</f>
        <v>RPA</v>
      </c>
      <c r="D404" s="53" t="str">
        <f aca="false">INDEX(I_Items!$D$5:$D$133,MATCH($B404,I_Items!$A$5:$A$133,0))</f>
        <v>Karkas</v>
      </c>
      <c r="E404" s="53" t="str">
        <f aca="false">INDEX(I_Items!$F$5:$F$133,MATCH($B404,I_Items!$A$5:$A$133,0))</f>
        <v>Frozen</v>
      </c>
      <c r="F404" s="53" t="str">
        <f aca="false">IF(INDEX(I_Items!$E$5:$E$133,MATCH($B404,I_Items!$A$5:$A$133,0))="","",INDEX(I_Items!$E$5:$E$133,MATCH($B404,I_Items!$A$5:$A$133,0)))</f>
        <v>Uk 1.1</v>
      </c>
      <c r="G404" s="76" t="n">
        <v>46263</v>
      </c>
      <c r="H404" s="23" t="n">
        <f aca="false">MONTH(G404)</f>
        <v>8</v>
      </c>
      <c r="I404" s="74" t="s">
        <v>2075</v>
      </c>
      <c r="J404" s="74" t="s">
        <v>2150</v>
      </c>
      <c r="K404" s="10" t="n">
        <v>0</v>
      </c>
      <c r="L404" s="8" t="n">
        <v>0</v>
      </c>
      <c r="M404" s="10" t="n">
        <v>302.8</v>
      </c>
      <c r="N404" s="8" t="n">
        <v>11410460.79</v>
      </c>
      <c r="O404" s="74" t="s">
        <v>2077</v>
      </c>
      <c r="P404" s="74"/>
      <c r="Q404" s="74"/>
      <c r="R404" s="14" t="n">
        <f aca="false">IF(I404="Unbilled",0,M404)</f>
        <v>302.8</v>
      </c>
      <c r="S404" s="9" t="n">
        <f aca="false">IF(R404=0,0,IF(O404="Booked",N404,R404*V403))</f>
        <v>11410460.7895494</v>
      </c>
      <c r="T404" s="14" t="n">
        <f aca="false">IF(I404="Opening",K404,T403+K404-R404)</f>
        <v>9888.4</v>
      </c>
      <c r="U404" s="9" t="n">
        <f aca="false">IF(I404="Opening",L404,U403+L404-S404)</f>
        <v>372626157.435207</v>
      </c>
      <c r="V404" s="9" t="n">
        <f aca="false">IF(T404&gt;0,U404/T404,IF(I404="Opening",0,V403))</f>
        <v>37683.1598069665</v>
      </c>
      <c r="W404" s="14" t="n">
        <f aca="false">M404</f>
        <v>302.8</v>
      </c>
      <c r="X404" s="9" t="n">
        <f aca="false">IF(W404=0,0,IF(O404="Booked",N404,W404*AA403))</f>
        <v>11410460.7895494</v>
      </c>
      <c r="Y404" s="14" t="n">
        <f aca="false">IF(I404="Opening",K404,Y403+K404-W404)</f>
        <v>9888.4</v>
      </c>
      <c r="Z404" s="9" t="n">
        <f aca="false">IF(I404="Opening",L404,Z403+L404-X404)</f>
        <v>372626157.435207</v>
      </c>
      <c r="AA404" s="9" t="n">
        <f aca="false">IF(Y404&gt;0,Z404/Y404,IF(I404="Opening",0,AA403))</f>
        <v>37683.1598069665</v>
      </c>
      <c r="AB404" s="9" t="n">
        <f aca="false">IF(AND(I404="DO",O404="MA"),S404-N404,0)</f>
        <v>-0.000450551509857178</v>
      </c>
      <c r="AC404" s="9" t="n">
        <f aca="false">IF(I404="DO",X404-S404,0)</f>
        <v>0</v>
      </c>
      <c r="AD404" s="23" t="n">
        <f aca="false">IF(B405&lt;&gt;B404,1,0)</f>
        <v>0</v>
      </c>
      <c r="AE404" s="14" t="n">
        <f aca="false">IF(I404="Opening",0,AE403+W404)</f>
        <v>1734.96</v>
      </c>
      <c r="AF404" s="14" t="n">
        <f aca="false">IF(I404="Opening",K404,AF403)</f>
        <v>1125.96</v>
      </c>
      <c r="AG404" s="14" t="n">
        <f aca="false">AG403</f>
        <v>0</v>
      </c>
      <c r="AH404" s="14" t="n">
        <f aca="false">IF(W404=0,0,MAX(0,MIN(AE404,AF404)-MIN(AE404-W404,AF404)))</f>
        <v>0</v>
      </c>
      <c r="AI404" s="14" t="n">
        <f aca="false">IF(W404=0,0,MAX(0,MIN(AE404,AF404+AG404)-MAX(AE404-W404,AF404)))</f>
        <v>0</v>
      </c>
      <c r="AJ404" s="14" t="n">
        <f aca="false">W404-AH404-AI404</f>
        <v>302.8</v>
      </c>
      <c r="AK404" s="9" t="n">
        <f aca="false">IF(W404=0,0,X404*AH404/W404)</f>
        <v>0</v>
      </c>
      <c r="AL404" s="9" t="n">
        <f aca="false">IF(W404=0,0,X404*AI404/W404)</f>
        <v>0</v>
      </c>
      <c r="AM404" s="9" t="n">
        <f aca="false">X404-AK404-AL404</f>
        <v>11410460.7895494</v>
      </c>
    </row>
    <row r="405" customFormat="false" ht="15" hidden="false" customHeight="false" outlineLevel="0" collapsed="false">
      <c r="A405" s="6" t="n">
        <v>400</v>
      </c>
      <c r="B405" s="74" t="s">
        <v>984</v>
      </c>
      <c r="C405" s="53" t="str">
        <f aca="false">INDEX(I_Items!$C$5:$C$133,MATCH($B405,I_Items!$A$5:$A$133,0))</f>
        <v>RPA</v>
      </c>
      <c r="D405" s="53" t="str">
        <f aca="false">INDEX(I_Items!$D$5:$D$133,MATCH($B405,I_Items!$A$5:$A$133,0))</f>
        <v>Karkas</v>
      </c>
      <c r="E405" s="53" t="str">
        <f aca="false">INDEX(I_Items!$F$5:$F$133,MATCH($B405,I_Items!$A$5:$A$133,0))</f>
        <v>Frozen</v>
      </c>
      <c r="F405" s="53" t="str">
        <f aca="false">IF(INDEX(I_Items!$E$5:$E$133,MATCH($B405,I_Items!$A$5:$A$133,0))="","",INDEX(I_Items!$E$5:$E$133,MATCH($B405,I_Items!$A$5:$A$133,0)))</f>
        <v>Uk 1.1</v>
      </c>
      <c r="G405" s="76" t="n">
        <v>46265</v>
      </c>
      <c r="H405" s="23" t="n">
        <f aca="false">MONTH(G405)</f>
        <v>8</v>
      </c>
      <c r="I405" s="74" t="s">
        <v>2074</v>
      </c>
      <c r="J405" s="74" t="s">
        <v>1326</v>
      </c>
      <c r="K405" s="10" t="n">
        <v>806.5</v>
      </c>
      <c r="L405" s="8" t="n">
        <v>29716619.02</v>
      </c>
      <c r="M405" s="10" t="n">
        <v>0</v>
      </c>
      <c r="N405" s="8" t="n">
        <v>0</v>
      </c>
      <c r="O405" s="74"/>
      <c r="P405" s="74"/>
      <c r="Q405" s="74"/>
      <c r="R405" s="14" t="n">
        <f aca="false">IF(I405="Unbilled",0,M405)</f>
        <v>0</v>
      </c>
      <c r="S405" s="9" t="n">
        <f aca="false">IF(R405=0,0,IF(O405="Booked",N405,R405*V404))</f>
        <v>0</v>
      </c>
      <c r="T405" s="14" t="n">
        <f aca="false">IF(I405="Opening",K405,T404+K405-R405)</f>
        <v>10694.9</v>
      </c>
      <c r="U405" s="9" t="n">
        <f aca="false">IF(I405="Opening",L405,U404+L405-S405)</f>
        <v>402342776.455207</v>
      </c>
      <c r="V405" s="9" t="n">
        <f aca="false">IF(T405&gt;0,U405/T405,IF(I405="Opening",0,V404))</f>
        <v>37620.0596971647</v>
      </c>
      <c r="W405" s="14" t="n">
        <f aca="false">M405</f>
        <v>0</v>
      </c>
      <c r="X405" s="9" t="n">
        <f aca="false">IF(W405=0,0,IF(O405="Booked",N405,W405*AA404))</f>
        <v>0</v>
      </c>
      <c r="Y405" s="14" t="n">
        <f aca="false">IF(I405="Opening",K405,Y404+K405-W405)</f>
        <v>10694.9</v>
      </c>
      <c r="Z405" s="9" t="n">
        <f aca="false">IF(I405="Opening",L405,Z404+L405-X405)</f>
        <v>402342776.455207</v>
      </c>
      <c r="AA405" s="9" t="n">
        <f aca="false">IF(Y405&gt;0,Z405/Y405,IF(I405="Opening",0,AA404))</f>
        <v>37620.0596971647</v>
      </c>
      <c r="AB405" s="9" t="n">
        <f aca="false">IF(AND(I405="DO",O405="MA"),S405-N405,0)</f>
        <v>0</v>
      </c>
      <c r="AC405" s="9" t="n">
        <f aca="false">IF(I405="DO",X405-S405,0)</f>
        <v>0</v>
      </c>
      <c r="AD405" s="23" t="n">
        <f aca="false">IF(B406&lt;&gt;B405,1,0)</f>
        <v>1</v>
      </c>
      <c r="AE405" s="14" t="n">
        <f aca="false">IF(I405="Opening",0,AE404+W405)</f>
        <v>1734.96</v>
      </c>
      <c r="AF405" s="14" t="n">
        <f aca="false">IF(I405="Opening",K405,AF404)</f>
        <v>1125.96</v>
      </c>
      <c r="AG405" s="14" t="n">
        <f aca="false">AG404</f>
        <v>0</v>
      </c>
      <c r="AH405" s="14" t="n">
        <f aca="false">IF(W405=0,0,MAX(0,MIN(AE405,AF405)-MIN(AE405-W405,AF405)))</f>
        <v>0</v>
      </c>
      <c r="AI405" s="14" t="n">
        <f aca="false">IF(W405=0,0,MAX(0,MIN(AE405,AF405+AG405)-MAX(AE405-W405,AF405)))</f>
        <v>0</v>
      </c>
      <c r="AJ405" s="14" t="n">
        <f aca="false">W405-AH405-AI405</f>
        <v>0</v>
      </c>
      <c r="AK405" s="9" t="n">
        <f aca="false">IF(W405=0,0,X405*AH405/W405)</f>
        <v>0</v>
      </c>
      <c r="AL405" s="9" t="n">
        <f aca="false">IF(W405=0,0,X405*AI405/W405)</f>
        <v>0</v>
      </c>
      <c r="AM405" s="9" t="n">
        <f aca="false">X405-AK405-AL405</f>
        <v>0</v>
      </c>
    </row>
    <row r="406" customFormat="false" ht="15" hidden="false" customHeight="false" outlineLevel="0" collapsed="false">
      <c r="A406" s="6" t="n">
        <v>401</v>
      </c>
      <c r="B406" s="74" t="s">
        <v>985</v>
      </c>
      <c r="C406" s="53" t="str">
        <f aca="false">INDEX(I_Items!$C$5:$C$133,MATCH($B406,I_Items!$A$5:$A$133,0))</f>
        <v>RPA</v>
      </c>
      <c r="D406" s="53" t="str">
        <f aca="false">INDEX(I_Items!$D$5:$D$133,MATCH($B406,I_Items!$A$5:$A$133,0))</f>
        <v>Karkas</v>
      </c>
      <c r="E406" s="53" t="str">
        <f aca="false">INDEX(I_Items!$F$5:$F$133,MATCH($B406,I_Items!$A$5:$A$133,0))</f>
        <v>Fresh</v>
      </c>
      <c r="F406" s="53" t="str">
        <f aca="false">IF(INDEX(I_Items!$E$5:$E$133,MATCH($B406,I_Items!$A$5:$A$133,0))="","",INDEX(I_Items!$E$5:$E$133,MATCH($B406,I_Items!$A$5:$A$133,0)))</f>
        <v>Uk 1.2</v>
      </c>
      <c r="G406" s="76" t="n">
        <v>46204</v>
      </c>
      <c r="H406" s="23" t="n">
        <f aca="false">MONTH(G406)</f>
        <v>7</v>
      </c>
      <c r="I406" s="74" t="s">
        <v>2072</v>
      </c>
      <c r="J406" s="74" t="s">
        <v>2073</v>
      </c>
      <c r="K406" s="10" t="n">
        <v>0</v>
      </c>
      <c r="L406" s="8" t="n">
        <v>0</v>
      </c>
      <c r="M406" s="10" t="n">
        <v>0</v>
      </c>
      <c r="N406" s="8" t="n">
        <v>0</v>
      </c>
      <c r="O406" s="74"/>
      <c r="P406" s="74"/>
      <c r="Q406" s="74"/>
      <c r="R406" s="14" t="n">
        <f aca="false">IF(I406="Unbilled",0,M406)</f>
        <v>0</v>
      </c>
      <c r="S406" s="9" t="n">
        <f aca="false">IF(R406=0,0,IF(O406="Booked",N406,R406*V405))</f>
        <v>0</v>
      </c>
      <c r="T406" s="14" t="n">
        <f aca="false">IF(I406="Opening",K406,T405+K406-R406)</f>
        <v>0</v>
      </c>
      <c r="U406" s="9" t="n">
        <f aca="false">IF(I406="Opening",L406,U405+L406-S406)</f>
        <v>0</v>
      </c>
      <c r="V406" s="9" t="n">
        <f aca="false">IF(T406&gt;0,U406/T406,IF(I406="Opening",0,V405))</f>
        <v>0</v>
      </c>
      <c r="W406" s="14" t="n">
        <f aca="false">M406</f>
        <v>0</v>
      </c>
      <c r="X406" s="9" t="n">
        <f aca="false">IF(W406=0,0,IF(O406="Booked",N406,W406*AA405))</f>
        <v>0</v>
      </c>
      <c r="Y406" s="14" t="n">
        <f aca="false">IF(I406="Opening",K406,Y405+K406-W406)</f>
        <v>0</v>
      </c>
      <c r="Z406" s="9" t="n">
        <f aca="false">IF(I406="Opening",L406,Z405+L406-X406)</f>
        <v>0</v>
      </c>
      <c r="AA406" s="9" t="n">
        <f aca="false">IF(Y406&gt;0,Z406/Y406,IF(I406="Opening",0,AA405))</f>
        <v>0</v>
      </c>
      <c r="AB406" s="9" t="n">
        <f aca="false">IF(AND(I406="DO",O406="MA"),S406-N406,0)</f>
        <v>0</v>
      </c>
      <c r="AC406" s="9" t="n">
        <f aca="false">IF(I406="DO",X406-S406,0)</f>
        <v>0</v>
      </c>
      <c r="AD406" s="23" t="n">
        <f aca="false">IF(B407&lt;&gt;B406,1,0)</f>
        <v>0</v>
      </c>
      <c r="AE406" s="14" t="n">
        <f aca="false">IF(I406="Opening",0,AE405+W406)</f>
        <v>0</v>
      </c>
      <c r="AF406" s="14" t="n">
        <f aca="false">IF(I406="Opening",K406,AF405)</f>
        <v>0</v>
      </c>
      <c r="AG406" s="14" t="n">
        <f aca="false">SUMIFS($K$6:$K$1110,$B$6:$B$1110,B406,$H$6:$H$1110,7,$I$6:$I$1110,"&lt;&gt;Opening")</f>
        <v>0</v>
      </c>
      <c r="AH406" s="14" t="n">
        <f aca="false">IF(W406=0,0,MAX(0,MIN(AE406,AF406)-MIN(AE406-W406,AF406)))</f>
        <v>0</v>
      </c>
      <c r="AI406" s="14" t="n">
        <f aca="false">IF(W406=0,0,MAX(0,MIN(AE406,AF406+AG406)-MAX(AE406-W406,AF406)))</f>
        <v>0</v>
      </c>
      <c r="AJ406" s="14" t="n">
        <f aca="false">W406-AH406-AI406</f>
        <v>0</v>
      </c>
      <c r="AK406" s="9" t="n">
        <f aca="false">IF(W406=0,0,X406*AH406/W406)</f>
        <v>0</v>
      </c>
      <c r="AL406" s="9" t="n">
        <f aca="false">IF(W406=0,0,X406*AI406/W406)</f>
        <v>0</v>
      </c>
      <c r="AM406" s="9" t="n">
        <f aca="false">X406-AK406-AL406</f>
        <v>0</v>
      </c>
    </row>
    <row r="407" customFormat="false" ht="15" hidden="false" customHeight="false" outlineLevel="0" collapsed="false">
      <c r="A407" s="6" t="n">
        <v>402</v>
      </c>
      <c r="B407" s="74" t="s">
        <v>985</v>
      </c>
      <c r="C407" s="53" t="str">
        <f aca="false">INDEX(I_Items!$C$5:$C$133,MATCH($B407,I_Items!$A$5:$A$133,0))</f>
        <v>RPA</v>
      </c>
      <c r="D407" s="53" t="str">
        <f aca="false">INDEX(I_Items!$D$5:$D$133,MATCH($B407,I_Items!$A$5:$A$133,0))</f>
        <v>Karkas</v>
      </c>
      <c r="E407" s="53" t="str">
        <f aca="false">INDEX(I_Items!$F$5:$F$133,MATCH($B407,I_Items!$A$5:$A$133,0))</f>
        <v>Fresh</v>
      </c>
      <c r="F407" s="53" t="str">
        <f aca="false">IF(INDEX(I_Items!$E$5:$E$133,MATCH($B407,I_Items!$A$5:$A$133,0))="","",INDEX(I_Items!$E$5:$E$133,MATCH($B407,I_Items!$A$5:$A$133,0)))</f>
        <v>Uk 1.2</v>
      </c>
      <c r="G407" s="76" t="n">
        <v>46241</v>
      </c>
      <c r="H407" s="23" t="n">
        <f aca="false">MONTH(G407)</f>
        <v>8</v>
      </c>
      <c r="I407" s="74" t="s">
        <v>2074</v>
      </c>
      <c r="J407" s="74" t="s">
        <v>1290</v>
      </c>
      <c r="K407" s="10" t="n">
        <v>120.8</v>
      </c>
      <c r="L407" s="8" t="n">
        <v>3683664.55</v>
      </c>
      <c r="M407" s="10" t="n">
        <v>0</v>
      </c>
      <c r="N407" s="8" t="n">
        <v>0</v>
      </c>
      <c r="O407" s="74"/>
      <c r="P407" s="74"/>
      <c r="Q407" s="74"/>
      <c r="R407" s="14" t="n">
        <f aca="false">IF(I407="Unbilled",0,M407)</f>
        <v>0</v>
      </c>
      <c r="S407" s="9" t="n">
        <f aca="false">IF(R407=0,0,IF(O407="Booked",N407,R407*V406))</f>
        <v>0</v>
      </c>
      <c r="T407" s="14" t="n">
        <f aca="false">IF(I407="Opening",K407,T406+K407-R407)</f>
        <v>120.8</v>
      </c>
      <c r="U407" s="9" t="n">
        <f aca="false">IF(I407="Opening",L407,U406+L407-S407)</f>
        <v>3683664.55</v>
      </c>
      <c r="V407" s="9" t="n">
        <f aca="false">IF(T407&gt;0,U407/T407,IF(I407="Opening",0,V406))</f>
        <v>30493.9118377483</v>
      </c>
      <c r="W407" s="14" t="n">
        <f aca="false">M407</f>
        <v>0</v>
      </c>
      <c r="X407" s="9" t="n">
        <f aca="false">IF(W407=0,0,IF(O407="Booked",N407,W407*AA406))</f>
        <v>0</v>
      </c>
      <c r="Y407" s="14" t="n">
        <f aca="false">IF(I407="Opening",K407,Y406+K407-W407)</f>
        <v>120.8</v>
      </c>
      <c r="Z407" s="9" t="n">
        <f aca="false">IF(I407="Opening",L407,Z406+L407-X407)</f>
        <v>3683664.55</v>
      </c>
      <c r="AA407" s="9" t="n">
        <f aca="false">IF(Y407&gt;0,Z407/Y407,IF(I407="Opening",0,AA406))</f>
        <v>30493.9118377483</v>
      </c>
      <c r="AB407" s="9" t="n">
        <f aca="false">IF(AND(I407="DO",O407="MA"),S407-N407,0)</f>
        <v>0</v>
      </c>
      <c r="AC407" s="9" t="n">
        <f aca="false">IF(I407="DO",X407-S407,0)</f>
        <v>0</v>
      </c>
      <c r="AD407" s="23" t="n">
        <f aca="false">IF(B408&lt;&gt;B407,1,0)</f>
        <v>1</v>
      </c>
      <c r="AE407" s="14" t="n">
        <f aca="false">IF(I407="Opening",0,AE406+W407)</f>
        <v>0</v>
      </c>
      <c r="AF407" s="14" t="n">
        <f aca="false">IF(I407="Opening",K407,AF406)</f>
        <v>0</v>
      </c>
      <c r="AG407" s="14" t="n">
        <f aca="false">AG406</f>
        <v>0</v>
      </c>
      <c r="AH407" s="14" t="n">
        <f aca="false">IF(W407=0,0,MAX(0,MIN(AE407,AF407)-MIN(AE407-W407,AF407)))</f>
        <v>0</v>
      </c>
      <c r="AI407" s="14" t="n">
        <f aca="false">IF(W407=0,0,MAX(0,MIN(AE407,AF407+AG407)-MAX(AE407-W407,AF407)))</f>
        <v>0</v>
      </c>
      <c r="AJ407" s="14" t="n">
        <f aca="false">W407-AH407-AI407</f>
        <v>0</v>
      </c>
      <c r="AK407" s="9" t="n">
        <f aca="false">IF(W407=0,0,X407*AH407/W407)</f>
        <v>0</v>
      </c>
      <c r="AL407" s="9" t="n">
        <f aca="false">IF(W407=0,0,X407*AI407/W407)</f>
        <v>0</v>
      </c>
      <c r="AM407" s="9" t="n">
        <f aca="false">X407-AK407-AL407</f>
        <v>0</v>
      </c>
    </row>
    <row r="408" customFormat="false" ht="15" hidden="false" customHeight="false" outlineLevel="0" collapsed="false">
      <c r="A408" s="6" t="n">
        <v>403</v>
      </c>
      <c r="B408" s="74" t="s">
        <v>986</v>
      </c>
      <c r="C408" s="53" t="str">
        <f aca="false">INDEX(I_Items!$C$5:$C$133,MATCH($B408,I_Items!$A$5:$A$133,0))</f>
        <v>RPA</v>
      </c>
      <c r="D408" s="53" t="str">
        <f aca="false">INDEX(I_Items!$D$5:$D$133,MATCH($B408,I_Items!$A$5:$A$133,0))</f>
        <v>Karkas</v>
      </c>
      <c r="E408" s="53" t="str">
        <f aca="false">INDEX(I_Items!$F$5:$F$133,MATCH($B408,I_Items!$A$5:$A$133,0))</f>
        <v>Fresh</v>
      </c>
      <c r="F408" s="53" t="str">
        <f aca="false">IF(INDEX(I_Items!$E$5:$E$133,MATCH($B408,I_Items!$A$5:$A$133,0))="","",INDEX(I_Items!$E$5:$E$133,MATCH($B408,I_Items!$A$5:$A$133,0)))</f>
        <v>Uk 1.2</v>
      </c>
      <c r="G408" s="76" t="n">
        <v>46204</v>
      </c>
      <c r="H408" s="23" t="n">
        <f aca="false">MONTH(G408)</f>
        <v>7</v>
      </c>
      <c r="I408" s="74" t="s">
        <v>2072</v>
      </c>
      <c r="J408" s="74" t="s">
        <v>2073</v>
      </c>
      <c r="K408" s="10" t="n">
        <v>283.6</v>
      </c>
      <c r="L408" s="8" t="n">
        <v>7329806.49</v>
      </c>
      <c r="M408" s="10" t="n">
        <v>0</v>
      </c>
      <c r="N408" s="8" t="n">
        <v>0</v>
      </c>
      <c r="O408" s="74"/>
      <c r="P408" s="74"/>
      <c r="Q408" s="74"/>
      <c r="R408" s="14" t="n">
        <f aca="false">IF(I408="Unbilled",0,M408)</f>
        <v>0</v>
      </c>
      <c r="S408" s="9" t="n">
        <f aca="false">IF(R408=0,0,IF(O408="Booked",N408,R408*V407))</f>
        <v>0</v>
      </c>
      <c r="T408" s="14" t="n">
        <f aca="false">IF(I408="Opening",K408,T407+K408-R408)</f>
        <v>283.6</v>
      </c>
      <c r="U408" s="9" t="n">
        <f aca="false">IF(I408="Opening",L408,U407+L408-S408)</f>
        <v>7329806.49</v>
      </c>
      <c r="V408" s="9" t="n">
        <f aca="false">IF(T408&gt;0,U408/T408,IF(I408="Opening",0,V407))</f>
        <v>25845.5800070522</v>
      </c>
      <c r="W408" s="14" t="n">
        <f aca="false">M408</f>
        <v>0</v>
      </c>
      <c r="X408" s="9" t="n">
        <f aca="false">IF(W408=0,0,IF(O408="Booked",N408,W408*AA407))</f>
        <v>0</v>
      </c>
      <c r="Y408" s="14" t="n">
        <f aca="false">IF(I408="Opening",K408,Y407+K408-W408)</f>
        <v>283.6</v>
      </c>
      <c r="Z408" s="9" t="n">
        <f aca="false">IF(I408="Opening",L408,Z407+L408-X408)</f>
        <v>7329806.49</v>
      </c>
      <c r="AA408" s="9" t="n">
        <f aca="false">IF(Y408&gt;0,Z408/Y408,IF(I408="Opening",0,AA407))</f>
        <v>25845.5800070522</v>
      </c>
      <c r="AB408" s="9" t="n">
        <f aca="false">IF(AND(I408="DO",O408="MA"),S408-N408,0)</f>
        <v>0</v>
      </c>
      <c r="AC408" s="9" t="n">
        <f aca="false">IF(I408="DO",X408-S408,0)</f>
        <v>0</v>
      </c>
      <c r="AD408" s="23" t="n">
        <f aca="false">IF(B409&lt;&gt;B408,1,0)</f>
        <v>0</v>
      </c>
      <c r="AE408" s="14" t="n">
        <f aca="false">IF(I408="Opening",0,AE407+W408)</f>
        <v>0</v>
      </c>
      <c r="AF408" s="14" t="n">
        <f aca="false">IF(I408="Opening",K408,AF407)</f>
        <v>283.6</v>
      </c>
      <c r="AG408" s="14" t="n">
        <f aca="false">SUMIFS($K$6:$K$1110,$B$6:$B$1110,B408,$H$6:$H$1110,7,$I$6:$I$1110,"&lt;&gt;Opening")</f>
        <v>0</v>
      </c>
      <c r="AH408" s="14" t="n">
        <f aca="false">IF(W408=0,0,MAX(0,MIN(AE408,AF408)-MIN(AE408-W408,AF408)))</f>
        <v>0</v>
      </c>
      <c r="AI408" s="14" t="n">
        <f aca="false">IF(W408=0,0,MAX(0,MIN(AE408,AF408+AG408)-MAX(AE408-W408,AF408)))</f>
        <v>0</v>
      </c>
      <c r="AJ408" s="14" t="n">
        <f aca="false">W408-AH408-AI408</f>
        <v>0</v>
      </c>
      <c r="AK408" s="9" t="n">
        <f aca="false">IF(W408=0,0,X408*AH408/W408)</f>
        <v>0</v>
      </c>
      <c r="AL408" s="9" t="n">
        <f aca="false">IF(W408=0,0,X408*AI408/W408)</f>
        <v>0</v>
      </c>
      <c r="AM408" s="9" t="n">
        <f aca="false">X408-AK408-AL408</f>
        <v>0</v>
      </c>
    </row>
    <row r="409" customFormat="false" ht="15" hidden="false" customHeight="false" outlineLevel="0" collapsed="false">
      <c r="A409" s="6" t="n">
        <v>404</v>
      </c>
      <c r="B409" s="74" t="s">
        <v>986</v>
      </c>
      <c r="C409" s="53" t="str">
        <f aca="false">INDEX(I_Items!$C$5:$C$133,MATCH($B409,I_Items!$A$5:$A$133,0))</f>
        <v>RPA</v>
      </c>
      <c r="D409" s="53" t="str">
        <f aca="false">INDEX(I_Items!$D$5:$D$133,MATCH($B409,I_Items!$A$5:$A$133,0))</f>
        <v>Karkas</v>
      </c>
      <c r="E409" s="53" t="str">
        <f aca="false">INDEX(I_Items!$F$5:$F$133,MATCH($B409,I_Items!$A$5:$A$133,0))</f>
        <v>Fresh</v>
      </c>
      <c r="F409" s="53" t="str">
        <f aca="false">IF(INDEX(I_Items!$E$5:$E$133,MATCH($B409,I_Items!$A$5:$A$133,0))="","",INDEX(I_Items!$E$5:$E$133,MATCH($B409,I_Items!$A$5:$A$133,0)))</f>
        <v>Uk 1.2</v>
      </c>
      <c r="G409" s="76" t="n">
        <v>46241</v>
      </c>
      <c r="H409" s="23" t="n">
        <f aca="false">MONTH(G409)</f>
        <v>8</v>
      </c>
      <c r="I409" s="74" t="s">
        <v>2074</v>
      </c>
      <c r="J409" s="74" t="s">
        <v>1290</v>
      </c>
      <c r="K409" s="10" t="n">
        <v>889</v>
      </c>
      <c r="L409" s="8" t="n">
        <v>33886359.44</v>
      </c>
      <c r="M409" s="10" t="n">
        <v>0</v>
      </c>
      <c r="N409" s="8" t="n">
        <v>0</v>
      </c>
      <c r="O409" s="74"/>
      <c r="P409" s="74"/>
      <c r="Q409" s="74"/>
      <c r="R409" s="14" t="n">
        <f aca="false">IF(I409="Unbilled",0,M409)</f>
        <v>0</v>
      </c>
      <c r="S409" s="9" t="n">
        <f aca="false">IF(R409=0,0,IF(O409="Booked",N409,R409*V408))</f>
        <v>0</v>
      </c>
      <c r="T409" s="14" t="n">
        <f aca="false">IF(I409="Opening",K409,T408+K409-R409)</f>
        <v>1172.6</v>
      </c>
      <c r="U409" s="9" t="n">
        <f aca="false">IF(I409="Opening",L409,U408+L409-S409)</f>
        <v>41216165.93</v>
      </c>
      <c r="V409" s="9" t="n">
        <f aca="false">IF(T409&gt;0,U409/T409,IF(I409="Opening",0,V408))</f>
        <v>35149.3825089545</v>
      </c>
      <c r="W409" s="14" t="n">
        <f aca="false">M409</f>
        <v>0</v>
      </c>
      <c r="X409" s="9" t="n">
        <f aca="false">IF(W409=0,0,IF(O409="Booked",N409,W409*AA408))</f>
        <v>0</v>
      </c>
      <c r="Y409" s="14" t="n">
        <f aca="false">IF(I409="Opening",K409,Y408+K409-W409)</f>
        <v>1172.6</v>
      </c>
      <c r="Z409" s="9" t="n">
        <f aca="false">IF(I409="Opening",L409,Z408+L409-X409)</f>
        <v>41216165.93</v>
      </c>
      <c r="AA409" s="9" t="n">
        <f aca="false">IF(Y409&gt;0,Z409/Y409,IF(I409="Opening",0,AA408))</f>
        <v>35149.3825089545</v>
      </c>
      <c r="AB409" s="9" t="n">
        <f aca="false">IF(AND(I409="DO",O409="MA"),S409-N409,0)</f>
        <v>0</v>
      </c>
      <c r="AC409" s="9" t="n">
        <f aca="false">IF(I409="DO",X409-S409,0)</f>
        <v>0</v>
      </c>
      <c r="AD409" s="23" t="n">
        <f aca="false">IF(B410&lt;&gt;B409,1,0)</f>
        <v>0</v>
      </c>
      <c r="AE409" s="14" t="n">
        <f aca="false">IF(I409="Opening",0,AE408+W409)</f>
        <v>0</v>
      </c>
      <c r="AF409" s="14" t="n">
        <f aca="false">IF(I409="Opening",K409,AF408)</f>
        <v>283.6</v>
      </c>
      <c r="AG409" s="14" t="n">
        <f aca="false">AG408</f>
        <v>0</v>
      </c>
      <c r="AH409" s="14" t="n">
        <f aca="false">IF(W409=0,0,MAX(0,MIN(AE409,AF409)-MIN(AE409-W409,AF409)))</f>
        <v>0</v>
      </c>
      <c r="AI409" s="14" t="n">
        <f aca="false">IF(W409=0,0,MAX(0,MIN(AE409,AF409+AG409)-MAX(AE409-W409,AF409)))</f>
        <v>0</v>
      </c>
      <c r="AJ409" s="14" t="n">
        <f aca="false">W409-AH409-AI409</f>
        <v>0</v>
      </c>
      <c r="AK409" s="9" t="n">
        <f aca="false">IF(W409=0,0,X409*AH409/W409)</f>
        <v>0</v>
      </c>
      <c r="AL409" s="9" t="n">
        <f aca="false">IF(W409=0,0,X409*AI409/W409)</f>
        <v>0</v>
      </c>
      <c r="AM409" s="9" t="n">
        <f aca="false">X409-AK409-AL409</f>
        <v>0</v>
      </c>
    </row>
    <row r="410" customFormat="false" ht="15" hidden="false" customHeight="false" outlineLevel="0" collapsed="false">
      <c r="A410" s="6" t="n">
        <v>405</v>
      </c>
      <c r="B410" s="74" t="s">
        <v>986</v>
      </c>
      <c r="C410" s="53" t="str">
        <f aca="false">INDEX(I_Items!$C$5:$C$133,MATCH($B410,I_Items!$A$5:$A$133,0))</f>
        <v>RPA</v>
      </c>
      <c r="D410" s="53" t="str">
        <f aca="false">INDEX(I_Items!$D$5:$D$133,MATCH($B410,I_Items!$A$5:$A$133,0))</f>
        <v>Karkas</v>
      </c>
      <c r="E410" s="53" t="str">
        <f aca="false">INDEX(I_Items!$F$5:$F$133,MATCH($B410,I_Items!$A$5:$A$133,0))</f>
        <v>Fresh</v>
      </c>
      <c r="F410" s="53" t="str">
        <f aca="false">IF(INDEX(I_Items!$E$5:$E$133,MATCH($B410,I_Items!$A$5:$A$133,0))="","",INDEX(I_Items!$E$5:$E$133,MATCH($B410,I_Items!$A$5:$A$133,0)))</f>
        <v>Uk 1.2</v>
      </c>
      <c r="G410" s="76" t="n">
        <v>46244</v>
      </c>
      <c r="H410" s="23" t="n">
        <f aca="false">MONTH(G410)</f>
        <v>8</v>
      </c>
      <c r="I410" s="74" t="s">
        <v>2074</v>
      </c>
      <c r="J410" s="74" t="s">
        <v>1294</v>
      </c>
      <c r="K410" s="10" t="n">
        <v>1438.2</v>
      </c>
      <c r="L410" s="8" t="n">
        <v>51600064.2</v>
      </c>
      <c r="M410" s="10" t="n">
        <v>0</v>
      </c>
      <c r="N410" s="8" t="n">
        <v>0</v>
      </c>
      <c r="O410" s="74"/>
      <c r="P410" s="74"/>
      <c r="Q410" s="74"/>
      <c r="R410" s="14" t="n">
        <f aca="false">IF(I410="Unbilled",0,M410)</f>
        <v>0</v>
      </c>
      <c r="S410" s="9" t="n">
        <f aca="false">IF(R410=0,0,IF(O410="Booked",N410,R410*V409))</f>
        <v>0</v>
      </c>
      <c r="T410" s="14" t="n">
        <f aca="false">IF(I410="Opening",K410,T409+K410-R410)</f>
        <v>2610.8</v>
      </c>
      <c r="U410" s="9" t="n">
        <f aca="false">IF(I410="Opening",L410,U409+L410-S410)</f>
        <v>92816230.13</v>
      </c>
      <c r="V410" s="9" t="n">
        <f aca="false">IF(T410&gt;0,U410/T410,IF(I410="Opening",0,V409))</f>
        <v>35550.8771755784</v>
      </c>
      <c r="W410" s="14" t="n">
        <f aca="false">M410</f>
        <v>0</v>
      </c>
      <c r="X410" s="9" t="n">
        <f aca="false">IF(W410=0,0,IF(O410="Booked",N410,W410*AA409))</f>
        <v>0</v>
      </c>
      <c r="Y410" s="14" t="n">
        <f aca="false">IF(I410="Opening",K410,Y409+K410-W410)</f>
        <v>2610.8</v>
      </c>
      <c r="Z410" s="9" t="n">
        <f aca="false">IF(I410="Opening",L410,Z409+L410-X410)</f>
        <v>92816230.13</v>
      </c>
      <c r="AA410" s="9" t="n">
        <f aca="false">IF(Y410&gt;0,Z410/Y410,IF(I410="Opening",0,AA409))</f>
        <v>35550.8771755784</v>
      </c>
      <c r="AB410" s="9" t="n">
        <f aca="false">IF(AND(I410="DO",O410="MA"),S410-N410,0)</f>
        <v>0</v>
      </c>
      <c r="AC410" s="9" t="n">
        <f aca="false">IF(I410="DO",X410-S410,0)</f>
        <v>0</v>
      </c>
      <c r="AD410" s="23" t="n">
        <f aca="false">IF(B411&lt;&gt;B410,1,0)</f>
        <v>0</v>
      </c>
      <c r="AE410" s="14" t="n">
        <f aca="false">IF(I410="Opening",0,AE409+W410)</f>
        <v>0</v>
      </c>
      <c r="AF410" s="14" t="n">
        <f aca="false">IF(I410="Opening",K410,AF409)</f>
        <v>283.6</v>
      </c>
      <c r="AG410" s="14" t="n">
        <f aca="false">AG409</f>
        <v>0</v>
      </c>
      <c r="AH410" s="14" t="n">
        <f aca="false">IF(W410=0,0,MAX(0,MIN(AE410,AF410)-MIN(AE410-W410,AF410)))</f>
        <v>0</v>
      </c>
      <c r="AI410" s="14" t="n">
        <f aca="false">IF(W410=0,0,MAX(0,MIN(AE410,AF410+AG410)-MAX(AE410-W410,AF410)))</f>
        <v>0</v>
      </c>
      <c r="AJ410" s="14" t="n">
        <f aca="false">W410-AH410-AI410</f>
        <v>0</v>
      </c>
      <c r="AK410" s="9" t="n">
        <f aca="false">IF(W410=0,0,X410*AH410/W410)</f>
        <v>0</v>
      </c>
      <c r="AL410" s="9" t="n">
        <f aca="false">IF(W410=0,0,X410*AI410/W410)</f>
        <v>0</v>
      </c>
      <c r="AM410" s="9" t="n">
        <f aca="false">X410-AK410-AL410</f>
        <v>0</v>
      </c>
    </row>
    <row r="411" customFormat="false" ht="15" hidden="false" customHeight="false" outlineLevel="0" collapsed="false">
      <c r="A411" s="6" t="n">
        <v>406</v>
      </c>
      <c r="B411" s="74" t="s">
        <v>986</v>
      </c>
      <c r="C411" s="53" t="str">
        <f aca="false">INDEX(I_Items!$C$5:$C$133,MATCH($B411,I_Items!$A$5:$A$133,0))</f>
        <v>RPA</v>
      </c>
      <c r="D411" s="53" t="str">
        <f aca="false">INDEX(I_Items!$D$5:$D$133,MATCH($B411,I_Items!$A$5:$A$133,0))</f>
        <v>Karkas</v>
      </c>
      <c r="E411" s="53" t="str">
        <f aca="false">INDEX(I_Items!$F$5:$F$133,MATCH($B411,I_Items!$A$5:$A$133,0))</f>
        <v>Fresh</v>
      </c>
      <c r="F411" s="53" t="str">
        <f aca="false">IF(INDEX(I_Items!$E$5:$E$133,MATCH($B411,I_Items!$A$5:$A$133,0))="","",INDEX(I_Items!$E$5:$E$133,MATCH($B411,I_Items!$A$5:$A$133,0)))</f>
        <v>Uk 1.2</v>
      </c>
      <c r="G411" s="76" t="n">
        <v>46244</v>
      </c>
      <c r="H411" s="23" t="n">
        <f aca="false">MONTH(G411)</f>
        <v>8</v>
      </c>
      <c r="I411" s="74" t="s">
        <v>2117</v>
      </c>
      <c r="J411" s="74" t="s">
        <v>2151</v>
      </c>
      <c r="K411" s="10" t="n">
        <v>0</v>
      </c>
      <c r="L411" s="8" t="n">
        <v>0</v>
      </c>
      <c r="M411" s="10" t="n">
        <v>203.68</v>
      </c>
      <c r="N411" s="8" t="n">
        <v>7241002.67</v>
      </c>
      <c r="O411" s="74" t="s">
        <v>2119</v>
      </c>
      <c r="P411" s="74"/>
      <c r="Q411" s="74"/>
      <c r="R411" s="14" t="n">
        <f aca="false">IF(I411="Unbilled",0,M411)</f>
        <v>203.68</v>
      </c>
      <c r="S411" s="9" t="n">
        <f aca="false">IF(R411=0,0,IF(O411="Booked",N411,R411*V410))</f>
        <v>7241002.67</v>
      </c>
      <c r="T411" s="14" t="n">
        <f aca="false">IF(I411="Opening",K411,T410+K411-R411)</f>
        <v>2407.12</v>
      </c>
      <c r="U411" s="9" t="n">
        <f aca="false">IF(I411="Opening",L411,U410+L411-S411)</f>
        <v>85575227.46</v>
      </c>
      <c r="V411" s="9" t="n">
        <f aca="false">IF(T411&gt;0,U411/T411,IF(I411="Opening",0,V410))</f>
        <v>35550.8771727209</v>
      </c>
      <c r="W411" s="14" t="n">
        <f aca="false">M411</f>
        <v>203.68</v>
      </c>
      <c r="X411" s="9" t="n">
        <f aca="false">IF(W411=0,0,IF(O411="Booked",N411,W411*AA410))</f>
        <v>7241002.67</v>
      </c>
      <c r="Y411" s="14" t="n">
        <f aca="false">IF(I411="Opening",K411,Y410+K411-W411)</f>
        <v>2407.12</v>
      </c>
      <c r="Z411" s="9" t="n">
        <f aca="false">IF(I411="Opening",L411,Z410+L411-X411)</f>
        <v>85575227.46</v>
      </c>
      <c r="AA411" s="9" t="n">
        <f aca="false">IF(Y411&gt;0,Z411/Y411,IF(I411="Opening",0,AA410))</f>
        <v>35550.8771727209</v>
      </c>
      <c r="AB411" s="9" t="n">
        <f aca="false">IF(AND(I411="DO",O411="MA"),S411-N411,0)</f>
        <v>0</v>
      </c>
      <c r="AC411" s="9" t="n">
        <f aca="false">IF(I411="DO",X411-S411,0)</f>
        <v>0</v>
      </c>
      <c r="AD411" s="23" t="n">
        <f aca="false">IF(B412&lt;&gt;B411,1,0)</f>
        <v>0</v>
      </c>
      <c r="AE411" s="14" t="n">
        <f aca="false">IF(I411="Opening",0,AE410+W411)</f>
        <v>203.68</v>
      </c>
      <c r="AF411" s="14" t="n">
        <f aca="false">IF(I411="Opening",K411,AF410)</f>
        <v>283.6</v>
      </c>
      <c r="AG411" s="14" t="n">
        <f aca="false">AG410</f>
        <v>0</v>
      </c>
      <c r="AH411" s="14" t="n">
        <f aca="false">IF(W411=0,0,MAX(0,MIN(AE411,AF411)-MIN(AE411-W411,AF411)))</f>
        <v>203.68</v>
      </c>
      <c r="AI411" s="14" t="n">
        <f aca="false">IF(W411=0,0,MAX(0,MIN(AE411,AF411+AG411)-MAX(AE411-W411,AF411)))</f>
        <v>0</v>
      </c>
      <c r="AJ411" s="14" t="n">
        <f aca="false">W411-AH411-AI411</f>
        <v>0</v>
      </c>
      <c r="AK411" s="9" t="n">
        <f aca="false">IF(W411=0,0,X411*AH411/W411)</f>
        <v>7241002.67</v>
      </c>
      <c r="AL411" s="9" t="n">
        <f aca="false">IF(W411=0,0,X411*AI411/W411)</f>
        <v>0</v>
      </c>
      <c r="AM411" s="9" t="n">
        <f aca="false">X411-AK411-AL411</f>
        <v>0</v>
      </c>
    </row>
    <row r="412" customFormat="false" ht="15" hidden="false" customHeight="false" outlineLevel="0" collapsed="false">
      <c r="A412" s="6" t="n">
        <v>407</v>
      </c>
      <c r="B412" s="74" t="s">
        <v>986</v>
      </c>
      <c r="C412" s="53" t="str">
        <f aca="false">INDEX(I_Items!$C$5:$C$133,MATCH($B412,I_Items!$A$5:$A$133,0))</f>
        <v>RPA</v>
      </c>
      <c r="D412" s="53" t="str">
        <f aca="false">INDEX(I_Items!$D$5:$D$133,MATCH($B412,I_Items!$A$5:$A$133,0))</f>
        <v>Karkas</v>
      </c>
      <c r="E412" s="53" t="str">
        <f aca="false">INDEX(I_Items!$F$5:$F$133,MATCH($B412,I_Items!$A$5:$A$133,0))</f>
        <v>Fresh</v>
      </c>
      <c r="F412" s="53" t="str">
        <f aca="false">IF(INDEX(I_Items!$E$5:$E$133,MATCH($B412,I_Items!$A$5:$A$133,0))="","",INDEX(I_Items!$E$5:$E$133,MATCH($B412,I_Items!$A$5:$A$133,0)))</f>
        <v>Uk 1.2</v>
      </c>
      <c r="G412" s="76" t="n">
        <v>46246</v>
      </c>
      <c r="H412" s="23" t="n">
        <f aca="false">MONTH(G412)</f>
        <v>8</v>
      </c>
      <c r="I412" s="74" t="s">
        <v>2075</v>
      </c>
      <c r="J412" s="74" t="s">
        <v>2131</v>
      </c>
      <c r="K412" s="10" t="n">
        <v>0</v>
      </c>
      <c r="L412" s="8" t="n">
        <v>0</v>
      </c>
      <c r="M412" s="10" t="n">
        <v>745.3</v>
      </c>
      <c r="N412" s="8" t="n">
        <v>26496068.78</v>
      </c>
      <c r="O412" s="74" t="s">
        <v>2077</v>
      </c>
      <c r="P412" s="74"/>
      <c r="Q412" s="74"/>
      <c r="R412" s="14" t="n">
        <f aca="false">IF(I412="Unbilled",0,M412)</f>
        <v>745.3</v>
      </c>
      <c r="S412" s="9" t="n">
        <f aca="false">IF(R412=0,0,IF(O412="Booked",N412,R412*V411))</f>
        <v>26496068.7568289</v>
      </c>
      <c r="T412" s="14" t="n">
        <f aca="false">IF(I412="Opening",K412,T411+K412-R412)</f>
        <v>1661.82</v>
      </c>
      <c r="U412" s="9" t="n">
        <f aca="false">IF(I412="Opening",L412,U411+L412-S412)</f>
        <v>59079158.7031711</v>
      </c>
      <c r="V412" s="9" t="n">
        <f aca="false">IF(T412&gt;0,U412/T412,IF(I412="Opening",0,V411))</f>
        <v>35550.8771727209</v>
      </c>
      <c r="W412" s="14" t="n">
        <f aca="false">M412</f>
        <v>745.3</v>
      </c>
      <c r="X412" s="9" t="n">
        <f aca="false">IF(W412=0,0,IF(O412="Booked",N412,W412*AA411))</f>
        <v>26496068.7568289</v>
      </c>
      <c r="Y412" s="14" t="n">
        <f aca="false">IF(I412="Opening",K412,Y411+K412-W412)</f>
        <v>1661.82</v>
      </c>
      <c r="Z412" s="9" t="n">
        <f aca="false">IF(I412="Opening",L412,Z411+L412-X412)</f>
        <v>59079158.7031711</v>
      </c>
      <c r="AA412" s="9" t="n">
        <f aca="false">IF(Y412&gt;0,Z412/Y412,IF(I412="Opening",0,AA411))</f>
        <v>35550.8771727209</v>
      </c>
      <c r="AB412" s="9" t="n">
        <f aca="false">IF(AND(I412="DO",O412="MA"),S412-N412,0)</f>
        <v>-0.023171104490757</v>
      </c>
      <c r="AC412" s="9" t="n">
        <f aca="false">IF(I412="DO",X412-S412,0)</f>
        <v>0</v>
      </c>
      <c r="AD412" s="23" t="n">
        <f aca="false">IF(B413&lt;&gt;B412,1,0)</f>
        <v>0</v>
      </c>
      <c r="AE412" s="14" t="n">
        <f aca="false">IF(I412="Opening",0,AE411+W412)</f>
        <v>948.98</v>
      </c>
      <c r="AF412" s="14" t="n">
        <f aca="false">IF(I412="Opening",K412,AF411)</f>
        <v>283.6</v>
      </c>
      <c r="AG412" s="14" t="n">
        <f aca="false">AG411</f>
        <v>0</v>
      </c>
      <c r="AH412" s="14" t="n">
        <f aca="false">IF(W412=0,0,MAX(0,MIN(AE412,AF412)-MIN(AE412-W412,AF412)))</f>
        <v>79.92</v>
      </c>
      <c r="AI412" s="14" t="n">
        <f aca="false">IF(W412=0,0,MAX(0,MIN(AE412,AF412+AG412)-MAX(AE412-W412,AF412)))</f>
        <v>0</v>
      </c>
      <c r="AJ412" s="14" t="n">
        <f aca="false">W412-AH412-AI412</f>
        <v>665.38</v>
      </c>
      <c r="AK412" s="9" t="n">
        <f aca="false">IF(W412=0,0,X412*AH412/W412)</f>
        <v>2841226.10364385</v>
      </c>
      <c r="AL412" s="9" t="n">
        <f aca="false">IF(W412=0,0,X412*AI412/W412)</f>
        <v>0</v>
      </c>
      <c r="AM412" s="9" t="n">
        <f aca="false">X412-AK412-AL412</f>
        <v>23654842.653185</v>
      </c>
    </row>
    <row r="413" customFormat="false" ht="15" hidden="false" customHeight="false" outlineLevel="0" collapsed="false">
      <c r="A413" s="6" t="n">
        <v>408</v>
      </c>
      <c r="B413" s="74" t="s">
        <v>986</v>
      </c>
      <c r="C413" s="53" t="str">
        <f aca="false">INDEX(I_Items!$C$5:$C$133,MATCH($B413,I_Items!$A$5:$A$133,0))</f>
        <v>RPA</v>
      </c>
      <c r="D413" s="53" t="str">
        <f aca="false">INDEX(I_Items!$D$5:$D$133,MATCH($B413,I_Items!$A$5:$A$133,0))</f>
        <v>Karkas</v>
      </c>
      <c r="E413" s="53" t="str">
        <f aca="false">INDEX(I_Items!$F$5:$F$133,MATCH($B413,I_Items!$A$5:$A$133,0))</f>
        <v>Fresh</v>
      </c>
      <c r="F413" s="53" t="str">
        <f aca="false">IF(INDEX(I_Items!$E$5:$E$133,MATCH($B413,I_Items!$A$5:$A$133,0))="","",INDEX(I_Items!$E$5:$E$133,MATCH($B413,I_Items!$A$5:$A$133,0)))</f>
        <v>Uk 1.2</v>
      </c>
      <c r="G413" s="76" t="n">
        <v>46246</v>
      </c>
      <c r="H413" s="23" t="n">
        <f aca="false">MONTH(G413)</f>
        <v>8</v>
      </c>
      <c r="I413" s="74" t="s">
        <v>2075</v>
      </c>
      <c r="J413" s="74" t="s">
        <v>2149</v>
      </c>
      <c r="K413" s="10" t="n">
        <v>0</v>
      </c>
      <c r="L413" s="8" t="n">
        <v>0</v>
      </c>
      <c r="M413" s="10" t="n">
        <v>371.23</v>
      </c>
      <c r="N413" s="8" t="n">
        <v>13197552.14</v>
      </c>
      <c r="O413" s="74" t="s">
        <v>2077</v>
      </c>
      <c r="P413" s="74"/>
      <c r="Q413" s="74"/>
      <c r="R413" s="14" t="n">
        <f aca="false">IF(I413="Unbilled",0,M413)</f>
        <v>371.23</v>
      </c>
      <c r="S413" s="9" t="n">
        <f aca="false">IF(R413=0,0,IF(O413="Booked",N413,R413*V412))</f>
        <v>13197552.1328292</v>
      </c>
      <c r="T413" s="14" t="n">
        <f aca="false">IF(I413="Opening",K413,T412+K413-R413)</f>
        <v>1290.59</v>
      </c>
      <c r="U413" s="9" t="n">
        <f aca="false">IF(I413="Opening",L413,U412+L413-S413)</f>
        <v>45881606.5703419</v>
      </c>
      <c r="V413" s="9" t="n">
        <f aca="false">IF(T413&gt;0,U413/T413,IF(I413="Opening",0,V412))</f>
        <v>35550.8771727209</v>
      </c>
      <c r="W413" s="14" t="n">
        <f aca="false">M413</f>
        <v>371.23</v>
      </c>
      <c r="X413" s="9" t="n">
        <f aca="false">IF(W413=0,0,IF(O413="Booked",N413,W413*AA412))</f>
        <v>13197552.1328292</v>
      </c>
      <c r="Y413" s="14" t="n">
        <f aca="false">IF(I413="Opening",K413,Y412+K413-W413)</f>
        <v>1290.59</v>
      </c>
      <c r="Z413" s="9" t="n">
        <f aca="false">IF(I413="Opening",L413,Z412+L413-X413)</f>
        <v>45881606.5703419</v>
      </c>
      <c r="AA413" s="9" t="n">
        <f aca="false">IF(Y413&gt;0,Z413/Y413,IF(I413="Opening",0,AA412))</f>
        <v>35550.8771727209</v>
      </c>
      <c r="AB413" s="9" t="n">
        <f aca="false">IF(AND(I413="DO",O413="MA"),S413-N413,0)</f>
        <v>-0.00717081129550934</v>
      </c>
      <c r="AC413" s="9" t="n">
        <f aca="false">IF(I413="DO",X413-S413,0)</f>
        <v>0</v>
      </c>
      <c r="AD413" s="23" t="n">
        <f aca="false">IF(B414&lt;&gt;B413,1,0)</f>
        <v>0</v>
      </c>
      <c r="AE413" s="14" t="n">
        <f aca="false">IF(I413="Opening",0,AE412+W413)</f>
        <v>1320.21</v>
      </c>
      <c r="AF413" s="14" t="n">
        <f aca="false">IF(I413="Opening",K413,AF412)</f>
        <v>283.6</v>
      </c>
      <c r="AG413" s="14" t="n">
        <f aca="false">AG412</f>
        <v>0</v>
      </c>
      <c r="AH413" s="14" t="n">
        <f aca="false">IF(W413=0,0,MAX(0,MIN(AE413,AF413)-MIN(AE413-W413,AF413)))</f>
        <v>0</v>
      </c>
      <c r="AI413" s="14" t="n">
        <f aca="false">IF(W413=0,0,MAX(0,MIN(AE413,AF413+AG413)-MAX(AE413-W413,AF413)))</f>
        <v>0</v>
      </c>
      <c r="AJ413" s="14" t="n">
        <f aca="false">W413-AH413-AI413</f>
        <v>371.23</v>
      </c>
      <c r="AK413" s="9" t="n">
        <f aca="false">IF(W413=0,0,X413*AH413/W413)</f>
        <v>0</v>
      </c>
      <c r="AL413" s="9" t="n">
        <f aca="false">IF(W413=0,0,X413*AI413/W413)</f>
        <v>0</v>
      </c>
      <c r="AM413" s="9" t="n">
        <f aca="false">X413-AK413-AL413</f>
        <v>13197552.1328292</v>
      </c>
    </row>
    <row r="414" customFormat="false" ht="15" hidden="false" customHeight="false" outlineLevel="0" collapsed="false">
      <c r="A414" s="6" t="n">
        <v>409</v>
      </c>
      <c r="B414" s="74" t="s">
        <v>986</v>
      </c>
      <c r="C414" s="53" t="str">
        <f aca="false">INDEX(I_Items!$C$5:$C$133,MATCH($B414,I_Items!$A$5:$A$133,0))</f>
        <v>RPA</v>
      </c>
      <c r="D414" s="53" t="str">
        <f aca="false">INDEX(I_Items!$D$5:$D$133,MATCH($B414,I_Items!$A$5:$A$133,0))</f>
        <v>Karkas</v>
      </c>
      <c r="E414" s="53" t="str">
        <f aca="false">INDEX(I_Items!$F$5:$F$133,MATCH($B414,I_Items!$A$5:$A$133,0))</f>
        <v>Fresh</v>
      </c>
      <c r="F414" s="53" t="str">
        <f aca="false">IF(INDEX(I_Items!$E$5:$E$133,MATCH($B414,I_Items!$A$5:$A$133,0))="","",INDEX(I_Items!$E$5:$E$133,MATCH($B414,I_Items!$A$5:$A$133,0)))</f>
        <v>Uk 1.2</v>
      </c>
      <c r="G414" s="76" t="n">
        <v>46248</v>
      </c>
      <c r="H414" s="23" t="n">
        <f aca="false">MONTH(G414)</f>
        <v>8</v>
      </c>
      <c r="I414" s="74" t="s">
        <v>2074</v>
      </c>
      <c r="J414" s="74" t="s">
        <v>1302</v>
      </c>
      <c r="K414" s="10" t="n">
        <v>2206.9</v>
      </c>
      <c r="L414" s="8" t="n">
        <v>84493018.53</v>
      </c>
      <c r="M414" s="10" t="n">
        <v>0</v>
      </c>
      <c r="N414" s="8" t="n">
        <v>0</v>
      </c>
      <c r="O414" s="74"/>
      <c r="P414" s="74"/>
      <c r="Q414" s="74"/>
      <c r="R414" s="14" t="n">
        <f aca="false">IF(I414="Unbilled",0,M414)</f>
        <v>0</v>
      </c>
      <c r="S414" s="9" t="n">
        <f aca="false">IF(R414=0,0,IF(O414="Booked",N414,R414*V413))</f>
        <v>0</v>
      </c>
      <c r="T414" s="14" t="n">
        <f aca="false">IF(I414="Opening",K414,T413+K414-R414)</f>
        <v>3497.49</v>
      </c>
      <c r="U414" s="9" t="n">
        <f aca="false">IF(I414="Opening",L414,U413+L414-S414)</f>
        <v>130374625.100342</v>
      </c>
      <c r="V414" s="9" t="n">
        <f aca="false">IF(T414&gt;0,U414/T414,IF(I414="Opening",0,V413))</f>
        <v>37276.6255515647</v>
      </c>
      <c r="W414" s="14" t="n">
        <f aca="false">M414</f>
        <v>0</v>
      </c>
      <c r="X414" s="9" t="n">
        <f aca="false">IF(W414=0,0,IF(O414="Booked",N414,W414*AA413))</f>
        <v>0</v>
      </c>
      <c r="Y414" s="14" t="n">
        <f aca="false">IF(I414="Opening",K414,Y413+K414-W414)</f>
        <v>3497.49</v>
      </c>
      <c r="Z414" s="9" t="n">
        <f aca="false">IF(I414="Opening",L414,Z413+L414-X414)</f>
        <v>130374625.100342</v>
      </c>
      <c r="AA414" s="9" t="n">
        <f aca="false">IF(Y414&gt;0,Z414/Y414,IF(I414="Opening",0,AA413))</f>
        <v>37276.6255515647</v>
      </c>
      <c r="AB414" s="9" t="n">
        <f aca="false">IF(AND(I414="DO",O414="MA"),S414-N414,0)</f>
        <v>0</v>
      </c>
      <c r="AC414" s="9" t="n">
        <f aca="false">IF(I414="DO",X414-S414,0)</f>
        <v>0</v>
      </c>
      <c r="AD414" s="23" t="n">
        <f aca="false">IF(B415&lt;&gt;B414,1,0)</f>
        <v>0</v>
      </c>
      <c r="AE414" s="14" t="n">
        <f aca="false">IF(I414="Opening",0,AE413+W414)</f>
        <v>1320.21</v>
      </c>
      <c r="AF414" s="14" t="n">
        <f aca="false">IF(I414="Opening",K414,AF413)</f>
        <v>283.6</v>
      </c>
      <c r="AG414" s="14" t="n">
        <f aca="false">AG413</f>
        <v>0</v>
      </c>
      <c r="AH414" s="14" t="n">
        <f aca="false">IF(W414=0,0,MAX(0,MIN(AE414,AF414)-MIN(AE414-W414,AF414)))</f>
        <v>0</v>
      </c>
      <c r="AI414" s="14" t="n">
        <f aca="false">IF(W414=0,0,MAX(0,MIN(AE414,AF414+AG414)-MAX(AE414-W414,AF414)))</f>
        <v>0</v>
      </c>
      <c r="AJ414" s="14" t="n">
        <f aca="false">W414-AH414-AI414</f>
        <v>0</v>
      </c>
      <c r="AK414" s="9" t="n">
        <f aca="false">IF(W414=0,0,X414*AH414/W414)</f>
        <v>0</v>
      </c>
      <c r="AL414" s="9" t="n">
        <f aca="false">IF(W414=0,0,X414*AI414/W414)</f>
        <v>0</v>
      </c>
      <c r="AM414" s="9" t="n">
        <f aca="false">X414-AK414-AL414</f>
        <v>0</v>
      </c>
    </row>
    <row r="415" customFormat="false" ht="15" hidden="false" customHeight="false" outlineLevel="0" collapsed="false">
      <c r="A415" s="6" t="n">
        <v>410</v>
      </c>
      <c r="B415" s="74" t="s">
        <v>986</v>
      </c>
      <c r="C415" s="53" t="str">
        <f aca="false">INDEX(I_Items!$C$5:$C$133,MATCH($B415,I_Items!$A$5:$A$133,0))</f>
        <v>RPA</v>
      </c>
      <c r="D415" s="53" t="str">
        <f aca="false">INDEX(I_Items!$D$5:$D$133,MATCH($B415,I_Items!$A$5:$A$133,0))</f>
        <v>Karkas</v>
      </c>
      <c r="E415" s="53" t="str">
        <f aca="false">INDEX(I_Items!$F$5:$F$133,MATCH($B415,I_Items!$A$5:$A$133,0))</f>
        <v>Fresh</v>
      </c>
      <c r="F415" s="53" t="str">
        <f aca="false">IF(INDEX(I_Items!$E$5:$E$133,MATCH($B415,I_Items!$A$5:$A$133,0))="","",INDEX(I_Items!$E$5:$E$133,MATCH($B415,I_Items!$A$5:$A$133,0)))</f>
        <v>Uk 1.2</v>
      </c>
      <c r="G415" s="76" t="n">
        <v>46249</v>
      </c>
      <c r="H415" s="23" t="n">
        <f aca="false">MONTH(G415)</f>
        <v>8</v>
      </c>
      <c r="I415" s="74" t="s">
        <v>2075</v>
      </c>
      <c r="J415" s="74" t="s">
        <v>2114</v>
      </c>
      <c r="K415" s="10" t="n">
        <v>0</v>
      </c>
      <c r="L415" s="8" t="n">
        <v>0</v>
      </c>
      <c r="M415" s="10" t="n">
        <v>329.53</v>
      </c>
      <c r="N415" s="8" t="n">
        <v>12283766.43</v>
      </c>
      <c r="O415" s="74" t="s">
        <v>2077</v>
      </c>
      <c r="P415" s="74" t="s">
        <v>1119</v>
      </c>
      <c r="Q415" s="74"/>
      <c r="R415" s="14" t="n">
        <f aca="false">IF(I415="Unbilled",0,M415)</f>
        <v>329.53</v>
      </c>
      <c r="S415" s="9" t="n">
        <f aca="false">IF(R415=0,0,IF(O415="Booked",N415,R415*V414))</f>
        <v>12283766.4180071</v>
      </c>
      <c r="T415" s="14" t="n">
        <f aca="false">IF(I415="Opening",K415,T414+K415-R415)</f>
        <v>3167.96</v>
      </c>
      <c r="U415" s="9" t="n">
        <f aca="false">IF(I415="Opening",L415,U414+L415-S415)</f>
        <v>118090858.682335</v>
      </c>
      <c r="V415" s="9" t="n">
        <f aca="false">IF(T415&gt;0,U415/T415,IF(I415="Opening",0,V414))</f>
        <v>37276.6255515647</v>
      </c>
      <c r="W415" s="14" t="n">
        <f aca="false">M415</f>
        <v>329.53</v>
      </c>
      <c r="X415" s="9" t="n">
        <f aca="false">IF(W415=0,0,IF(O415="Booked",N415,W415*AA414))</f>
        <v>12283766.4180071</v>
      </c>
      <c r="Y415" s="14" t="n">
        <f aca="false">IF(I415="Opening",K415,Y414+K415-W415)</f>
        <v>3167.96</v>
      </c>
      <c r="Z415" s="9" t="n">
        <f aca="false">IF(I415="Opening",L415,Z414+L415-X415)</f>
        <v>118090858.682335</v>
      </c>
      <c r="AA415" s="9" t="n">
        <f aca="false">IF(Y415&gt;0,Z415/Y415,IF(I415="Opening",0,AA414))</f>
        <v>37276.6255515647</v>
      </c>
      <c r="AB415" s="9" t="n">
        <f aca="false">IF(AND(I415="DO",O415="MA"),S415-N415,0)</f>
        <v>-0.0119928978383541</v>
      </c>
      <c r="AC415" s="9" t="n">
        <f aca="false">IF(I415="DO",X415-S415,0)</f>
        <v>0</v>
      </c>
      <c r="AD415" s="23" t="n">
        <f aca="false">IF(B416&lt;&gt;B415,1,0)</f>
        <v>0</v>
      </c>
      <c r="AE415" s="14" t="n">
        <f aca="false">IF(I415="Opening",0,AE414+W415)</f>
        <v>1649.74</v>
      </c>
      <c r="AF415" s="14" t="n">
        <f aca="false">IF(I415="Opening",K415,AF414)</f>
        <v>283.6</v>
      </c>
      <c r="AG415" s="14" t="n">
        <f aca="false">AG414</f>
        <v>0</v>
      </c>
      <c r="AH415" s="14" t="n">
        <f aca="false">IF(W415=0,0,MAX(0,MIN(AE415,AF415)-MIN(AE415-W415,AF415)))</f>
        <v>0</v>
      </c>
      <c r="AI415" s="14" t="n">
        <f aca="false">IF(W415=0,0,MAX(0,MIN(AE415,AF415+AG415)-MAX(AE415-W415,AF415)))</f>
        <v>0</v>
      </c>
      <c r="AJ415" s="14" t="n">
        <f aca="false">W415-AH415-AI415</f>
        <v>329.53</v>
      </c>
      <c r="AK415" s="9" t="n">
        <f aca="false">IF(W415=0,0,X415*AH415/W415)</f>
        <v>0</v>
      </c>
      <c r="AL415" s="9" t="n">
        <f aca="false">IF(W415=0,0,X415*AI415/W415)</f>
        <v>0</v>
      </c>
      <c r="AM415" s="9" t="n">
        <f aca="false">X415-AK415-AL415</f>
        <v>12283766.4180071</v>
      </c>
    </row>
    <row r="416" customFormat="false" ht="15" hidden="false" customHeight="false" outlineLevel="0" collapsed="false">
      <c r="A416" s="6" t="n">
        <v>411</v>
      </c>
      <c r="B416" s="74" t="s">
        <v>986</v>
      </c>
      <c r="C416" s="53" t="str">
        <f aca="false">INDEX(I_Items!$C$5:$C$133,MATCH($B416,I_Items!$A$5:$A$133,0))</f>
        <v>RPA</v>
      </c>
      <c r="D416" s="53" t="str">
        <f aca="false">INDEX(I_Items!$D$5:$D$133,MATCH($B416,I_Items!$A$5:$A$133,0))</f>
        <v>Karkas</v>
      </c>
      <c r="E416" s="53" t="str">
        <f aca="false">INDEX(I_Items!$F$5:$F$133,MATCH($B416,I_Items!$A$5:$A$133,0))</f>
        <v>Fresh</v>
      </c>
      <c r="F416" s="53" t="str">
        <f aca="false">IF(INDEX(I_Items!$E$5:$E$133,MATCH($B416,I_Items!$A$5:$A$133,0))="","",INDEX(I_Items!$E$5:$E$133,MATCH($B416,I_Items!$A$5:$A$133,0)))</f>
        <v>Uk 1.2</v>
      </c>
      <c r="G416" s="76" t="n">
        <v>46249</v>
      </c>
      <c r="H416" s="23" t="n">
        <f aca="false">MONTH(G416)</f>
        <v>8</v>
      </c>
      <c r="I416" s="74" t="s">
        <v>89</v>
      </c>
      <c r="J416" s="74" t="s">
        <v>2152</v>
      </c>
      <c r="K416" s="10" t="n">
        <v>0</v>
      </c>
      <c r="L416" s="8" t="n">
        <v>0</v>
      </c>
      <c r="M416" s="13" t="n">
        <f aca="false">INDEX(Unbilled!$K$22:$K$38,MATCH($Q416,Unbilled!$B$22:$B$38,0))</f>
        <v>2206.9</v>
      </c>
      <c r="N416" s="8" t="n">
        <v>0</v>
      </c>
      <c r="O416" s="74" t="s">
        <v>2077</v>
      </c>
      <c r="P416" s="74"/>
      <c r="Q416" s="74" t="s">
        <v>1123</v>
      </c>
      <c r="R416" s="14" t="n">
        <f aca="false">IF(I416="Unbilled",0,M416)</f>
        <v>0</v>
      </c>
      <c r="S416" s="9" t="n">
        <f aca="false">IF(R416=0,0,IF(O416="Booked",N416,R416*V415))</f>
        <v>0</v>
      </c>
      <c r="T416" s="14" t="n">
        <f aca="false">IF(I416="Opening",K416,T415+K416-R416)</f>
        <v>3167.96</v>
      </c>
      <c r="U416" s="9" t="n">
        <f aca="false">IF(I416="Opening",L416,U415+L416-S416)</f>
        <v>118090858.682335</v>
      </c>
      <c r="V416" s="9" t="n">
        <f aca="false">IF(T416&gt;0,U416/T416,IF(I416="Opening",0,V415))</f>
        <v>37276.6255515647</v>
      </c>
      <c r="W416" s="14" t="n">
        <f aca="false">M416</f>
        <v>2206.9</v>
      </c>
      <c r="X416" s="9" t="n">
        <f aca="false">IF(W416=0,0,IF(O416="Booked",N416,W416*AA415))</f>
        <v>82265784.929748</v>
      </c>
      <c r="Y416" s="14" t="n">
        <f aca="false">IF(I416="Opening",K416,Y415+K416-W416)</f>
        <v>961.060000000001</v>
      </c>
      <c r="Z416" s="9" t="n">
        <f aca="false">IF(I416="Opening",L416,Z415+L416-X416)</f>
        <v>35825073.7525868</v>
      </c>
      <c r="AA416" s="9" t="n">
        <f aca="false">IF(Y416&gt;0,Z416/Y416,IF(I416="Opening",0,AA415))</f>
        <v>37276.6255515647</v>
      </c>
      <c r="AB416" s="9" t="n">
        <f aca="false">IF(AND(I416="DO",O416="MA"),S416-N416,0)</f>
        <v>0</v>
      </c>
      <c r="AC416" s="9" t="n">
        <f aca="false">IF(I416="DO",X416-S416,0)</f>
        <v>0</v>
      </c>
      <c r="AD416" s="23" t="n">
        <f aca="false">IF(B417&lt;&gt;B416,1,0)</f>
        <v>0</v>
      </c>
      <c r="AE416" s="14" t="n">
        <f aca="false">IF(I416="Opening",0,AE415+W416)</f>
        <v>3856.64</v>
      </c>
      <c r="AF416" s="14" t="n">
        <f aca="false">IF(I416="Opening",K416,AF415)</f>
        <v>283.6</v>
      </c>
      <c r="AG416" s="14" t="n">
        <f aca="false">AG415</f>
        <v>0</v>
      </c>
      <c r="AH416" s="14" t="n">
        <f aca="false">IF(W416=0,0,MAX(0,MIN(AE416,AF416)-MIN(AE416-W416,AF416)))</f>
        <v>0</v>
      </c>
      <c r="AI416" s="14" t="n">
        <f aca="false">IF(W416=0,0,MAX(0,MIN(AE416,AF416+AG416)-MAX(AE416-W416,AF416)))</f>
        <v>0</v>
      </c>
      <c r="AJ416" s="14" t="n">
        <f aca="false">W416-AH416-AI416</f>
        <v>2206.9</v>
      </c>
      <c r="AK416" s="9" t="n">
        <f aca="false">IF(W416=0,0,X416*AH416/W416)</f>
        <v>0</v>
      </c>
      <c r="AL416" s="9" t="n">
        <f aca="false">IF(W416=0,0,X416*AI416/W416)</f>
        <v>0</v>
      </c>
      <c r="AM416" s="9" t="n">
        <f aca="false">X416-AK416-AL416</f>
        <v>82265784.929748</v>
      </c>
    </row>
    <row r="417" customFormat="false" ht="15" hidden="false" customHeight="false" outlineLevel="0" collapsed="false">
      <c r="A417" s="6" t="n">
        <v>412</v>
      </c>
      <c r="B417" s="74" t="s">
        <v>986</v>
      </c>
      <c r="C417" s="53" t="str">
        <f aca="false">INDEX(I_Items!$C$5:$C$133,MATCH($B417,I_Items!$A$5:$A$133,0))</f>
        <v>RPA</v>
      </c>
      <c r="D417" s="53" t="str">
        <f aca="false">INDEX(I_Items!$D$5:$D$133,MATCH($B417,I_Items!$A$5:$A$133,0))</f>
        <v>Karkas</v>
      </c>
      <c r="E417" s="53" t="str">
        <f aca="false">INDEX(I_Items!$F$5:$F$133,MATCH($B417,I_Items!$A$5:$A$133,0))</f>
        <v>Fresh</v>
      </c>
      <c r="F417" s="53" t="str">
        <f aca="false">IF(INDEX(I_Items!$E$5:$E$133,MATCH($B417,I_Items!$A$5:$A$133,0))="","",INDEX(I_Items!$E$5:$E$133,MATCH($B417,I_Items!$A$5:$A$133,0)))</f>
        <v>Uk 1.2</v>
      </c>
      <c r="G417" s="76" t="n">
        <v>46253</v>
      </c>
      <c r="H417" s="23" t="n">
        <f aca="false">MONTH(G417)</f>
        <v>8</v>
      </c>
      <c r="I417" s="74" t="s">
        <v>2074</v>
      </c>
      <c r="J417" s="74" t="s">
        <v>1305</v>
      </c>
      <c r="K417" s="10" t="n">
        <v>1904.5</v>
      </c>
      <c r="L417" s="8" t="n">
        <v>71964749.96</v>
      </c>
      <c r="M417" s="10" t="n">
        <v>0</v>
      </c>
      <c r="N417" s="8" t="n">
        <v>0</v>
      </c>
      <c r="O417" s="74"/>
      <c r="P417" s="74"/>
      <c r="Q417" s="74"/>
      <c r="R417" s="14" t="n">
        <f aca="false">IF(I417="Unbilled",0,M417)</f>
        <v>0</v>
      </c>
      <c r="S417" s="9" t="n">
        <f aca="false">IF(R417=0,0,IF(O417="Booked",N417,R417*V416))</f>
        <v>0</v>
      </c>
      <c r="T417" s="14" t="n">
        <f aca="false">IF(I417="Opening",K417,T416+K417-R417)</f>
        <v>5072.46</v>
      </c>
      <c r="U417" s="9" t="n">
        <f aca="false">IF(I417="Opening",L417,U416+L417-S417)</f>
        <v>190055608.642335</v>
      </c>
      <c r="V417" s="9" t="n">
        <f aca="false">IF(T417&gt;0,U417/T417,IF(I417="Opening",0,V416))</f>
        <v>37468.1335372452</v>
      </c>
      <c r="W417" s="14" t="n">
        <f aca="false">M417</f>
        <v>0</v>
      </c>
      <c r="X417" s="9" t="n">
        <f aca="false">IF(W417=0,0,IF(O417="Booked",N417,W417*AA416))</f>
        <v>0</v>
      </c>
      <c r="Y417" s="14" t="n">
        <f aca="false">IF(I417="Opening",K417,Y416+K417-W417)</f>
        <v>2865.56</v>
      </c>
      <c r="Z417" s="9" t="n">
        <f aca="false">IF(I417="Opening",L417,Z416+L417-X417)</f>
        <v>107789823.712587</v>
      </c>
      <c r="AA417" s="9" t="n">
        <f aca="false">IF(Y417&gt;0,Z417/Y417,IF(I417="Opening",0,AA416))</f>
        <v>37615.6226750048</v>
      </c>
      <c r="AB417" s="9" t="n">
        <f aca="false">IF(AND(I417="DO",O417="MA"),S417-N417,0)</f>
        <v>0</v>
      </c>
      <c r="AC417" s="9" t="n">
        <f aca="false">IF(I417="DO",X417-S417,0)</f>
        <v>0</v>
      </c>
      <c r="AD417" s="23" t="n">
        <f aca="false">IF(B418&lt;&gt;B417,1,0)</f>
        <v>0</v>
      </c>
      <c r="AE417" s="14" t="n">
        <f aca="false">IF(I417="Opening",0,AE416+W417)</f>
        <v>3856.64</v>
      </c>
      <c r="AF417" s="14" t="n">
        <f aca="false">IF(I417="Opening",K417,AF416)</f>
        <v>283.6</v>
      </c>
      <c r="AG417" s="14" t="n">
        <f aca="false">AG416</f>
        <v>0</v>
      </c>
      <c r="AH417" s="14" t="n">
        <f aca="false">IF(W417=0,0,MAX(0,MIN(AE417,AF417)-MIN(AE417-W417,AF417)))</f>
        <v>0</v>
      </c>
      <c r="AI417" s="14" t="n">
        <f aca="false">IF(W417=0,0,MAX(0,MIN(AE417,AF417+AG417)-MAX(AE417-W417,AF417)))</f>
        <v>0</v>
      </c>
      <c r="AJ417" s="14" t="n">
        <f aca="false">W417-AH417-AI417</f>
        <v>0</v>
      </c>
      <c r="AK417" s="9" t="n">
        <f aca="false">IF(W417=0,0,X417*AH417/W417)</f>
        <v>0</v>
      </c>
      <c r="AL417" s="9" t="n">
        <f aca="false">IF(W417=0,0,X417*AI417/W417)</f>
        <v>0</v>
      </c>
      <c r="AM417" s="9" t="n">
        <f aca="false">X417-AK417-AL417</f>
        <v>0</v>
      </c>
    </row>
    <row r="418" customFormat="false" ht="15" hidden="false" customHeight="false" outlineLevel="0" collapsed="false">
      <c r="A418" s="6" t="n">
        <v>413</v>
      </c>
      <c r="B418" s="74" t="s">
        <v>986</v>
      </c>
      <c r="C418" s="53" t="str">
        <f aca="false">INDEX(I_Items!$C$5:$C$133,MATCH($B418,I_Items!$A$5:$A$133,0))</f>
        <v>RPA</v>
      </c>
      <c r="D418" s="53" t="str">
        <f aca="false">INDEX(I_Items!$D$5:$D$133,MATCH($B418,I_Items!$A$5:$A$133,0))</f>
        <v>Karkas</v>
      </c>
      <c r="E418" s="53" t="str">
        <f aca="false">INDEX(I_Items!$F$5:$F$133,MATCH($B418,I_Items!$A$5:$A$133,0))</f>
        <v>Fresh</v>
      </c>
      <c r="F418" s="53" t="str">
        <f aca="false">IF(INDEX(I_Items!$E$5:$E$133,MATCH($B418,I_Items!$A$5:$A$133,0))="","",INDEX(I_Items!$E$5:$E$133,MATCH($B418,I_Items!$A$5:$A$133,0)))</f>
        <v>Uk 1.2</v>
      </c>
      <c r="G418" s="76" t="n">
        <v>46255</v>
      </c>
      <c r="H418" s="23" t="n">
        <f aca="false">MONTH(G418)</f>
        <v>8</v>
      </c>
      <c r="I418" s="74" t="s">
        <v>2075</v>
      </c>
      <c r="J418" s="74" t="s">
        <v>2153</v>
      </c>
      <c r="K418" s="10" t="n">
        <v>0</v>
      </c>
      <c r="L418" s="8" t="n">
        <v>0</v>
      </c>
      <c r="M418" s="10" t="n">
        <v>116.2</v>
      </c>
      <c r="N418" s="8" t="n">
        <v>4353797.12</v>
      </c>
      <c r="O418" s="74" t="s">
        <v>2077</v>
      </c>
      <c r="P418" s="74"/>
      <c r="Q418" s="74"/>
      <c r="R418" s="14" t="n">
        <f aca="false">IF(I418="Unbilled",0,M418)</f>
        <v>116.2</v>
      </c>
      <c r="S418" s="9" t="n">
        <f aca="false">IF(R418=0,0,IF(O418="Booked",N418,R418*V417))</f>
        <v>4353797.11702789</v>
      </c>
      <c r="T418" s="14" t="n">
        <f aca="false">IF(I418="Opening",K418,T417+K418-R418)</f>
        <v>4956.26</v>
      </c>
      <c r="U418" s="9" t="n">
        <f aca="false">IF(I418="Opening",L418,U417+L418-S418)</f>
        <v>185701811.525307</v>
      </c>
      <c r="V418" s="9" t="n">
        <f aca="false">IF(T418&gt;0,U418/T418,IF(I418="Opening",0,V417))</f>
        <v>37468.1335372452</v>
      </c>
      <c r="W418" s="14" t="n">
        <f aca="false">M418</f>
        <v>116.2</v>
      </c>
      <c r="X418" s="9" t="n">
        <f aca="false">IF(W418=0,0,IF(O418="Booked",N418,W418*AA417))</f>
        <v>4370935.35483556</v>
      </c>
      <c r="Y418" s="14" t="n">
        <f aca="false">IF(I418="Opening",K418,Y417+K418-W418)</f>
        <v>2749.36</v>
      </c>
      <c r="Z418" s="9" t="n">
        <f aca="false">IF(I418="Opening",L418,Z417+L418-X418)</f>
        <v>103418888.357751</v>
      </c>
      <c r="AA418" s="9" t="n">
        <f aca="false">IF(Y418&gt;0,Z418/Y418,IF(I418="Opening",0,AA417))</f>
        <v>37615.6226750048</v>
      </c>
      <c r="AB418" s="9" t="n">
        <f aca="false">IF(AND(I418="DO",O418="MA"),S418-N418,0)</f>
        <v>-0.00297210738062859</v>
      </c>
      <c r="AC418" s="9" t="n">
        <f aca="false">IF(I418="DO",X418-S418,0)</f>
        <v>17138.2378076641</v>
      </c>
      <c r="AD418" s="23" t="n">
        <f aca="false">IF(B419&lt;&gt;B418,1,0)</f>
        <v>0</v>
      </c>
      <c r="AE418" s="14" t="n">
        <f aca="false">IF(I418="Opening",0,AE417+W418)</f>
        <v>3972.84</v>
      </c>
      <c r="AF418" s="14" t="n">
        <f aca="false">IF(I418="Opening",K418,AF417)</f>
        <v>283.6</v>
      </c>
      <c r="AG418" s="14" t="n">
        <f aca="false">AG417</f>
        <v>0</v>
      </c>
      <c r="AH418" s="14" t="n">
        <f aca="false">IF(W418=0,0,MAX(0,MIN(AE418,AF418)-MIN(AE418-W418,AF418)))</f>
        <v>0</v>
      </c>
      <c r="AI418" s="14" t="n">
        <f aca="false">IF(W418=0,0,MAX(0,MIN(AE418,AF418+AG418)-MAX(AE418-W418,AF418)))</f>
        <v>0</v>
      </c>
      <c r="AJ418" s="14" t="n">
        <f aca="false">W418-AH418-AI418</f>
        <v>116.2</v>
      </c>
      <c r="AK418" s="9" t="n">
        <f aca="false">IF(W418=0,0,X418*AH418/W418)</f>
        <v>0</v>
      </c>
      <c r="AL418" s="9" t="n">
        <f aca="false">IF(W418=0,0,X418*AI418/W418)</f>
        <v>0</v>
      </c>
      <c r="AM418" s="9" t="n">
        <f aca="false">X418-AK418-AL418</f>
        <v>4370935.35483556</v>
      </c>
    </row>
    <row r="419" customFormat="false" ht="15" hidden="false" customHeight="false" outlineLevel="0" collapsed="false">
      <c r="A419" s="6" t="n">
        <v>414</v>
      </c>
      <c r="B419" s="74" t="s">
        <v>986</v>
      </c>
      <c r="C419" s="53" t="str">
        <f aca="false">INDEX(I_Items!$C$5:$C$133,MATCH($B419,I_Items!$A$5:$A$133,0))</f>
        <v>RPA</v>
      </c>
      <c r="D419" s="53" t="str">
        <f aca="false">INDEX(I_Items!$D$5:$D$133,MATCH($B419,I_Items!$A$5:$A$133,0))</f>
        <v>Karkas</v>
      </c>
      <c r="E419" s="53" t="str">
        <f aca="false">INDEX(I_Items!$F$5:$F$133,MATCH($B419,I_Items!$A$5:$A$133,0))</f>
        <v>Fresh</v>
      </c>
      <c r="F419" s="53" t="str">
        <f aca="false">IF(INDEX(I_Items!$E$5:$E$133,MATCH($B419,I_Items!$A$5:$A$133,0))="","",INDEX(I_Items!$E$5:$E$133,MATCH($B419,I_Items!$A$5:$A$133,0)))</f>
        <v>Uk 1.2</v>
      </c>
      <c r="G419" s="76" t="n">
        <v>46255</v>
      </c>
      <c r="H419" s="23" t="n">
        <f aca="false">MONTH(G419)</f>
        <v>8</v>
      </c>
      <c r="I419" s="74" t="s">
        <v>2075</v>
      </c>
      <c r="J419" s="74" t="s">
        <v>2153</v>
      </c>
      <c r="K419" s="10" t="n">
        <v>0</v>
      </c>
      <c r="L419" s="8" t="n">
        <v>0</v>
      </c>
      <c r="M419" s="10" t="n">
        <v>1659.7</v>
      </c>
      <c r="N419" s="8" t="n">
        <v>62185861.34</v>
      </c>
      <c r="O419" s="74" t="s">
        <v>2077</v>
      </c>
      <c r="P419" s="74"/>
      <c r="Q419" s="74"/>
      <c r="R419" s="14" t="n">
        <f aca="false">IF(I419="Unbilled",0,M419)</f>
        <v>1659.7</v>
      </c>
      <c r="S419" s="9" t="n">
        <f aca="false">IF(R419=0,0,IF(O419="Booked",N419,R419*V418))</f>
        <v>62185861.2317659</v>
      </c>
      <c r="T419" s="14" t="n">
        <f aca="false">IF(I419="Opening",K419,T418+K419-R419)</f>
        <v>3296.56</v>
      </c>
      <c r="U419" s="9" t="n">
        <f aca="false">IF(I419="Opening",L419,U418+L419-S419)</f>
        <v>123515950.293541</v>
      </c>
      <c r="V419" s="9" t="n">
        <f aca="false">IF(T419&gt;0,U419/T419,IF(I419="Opening",0,V418))</f>
        <v>37468.1335372452</v>
      </c>
      <c r="W419" s="14" t="n">
        <f aca="false">M419</f>
        <v>1659.7</v>
      </c>
      <c r="X419" s="9" t="n">
        <f aca="false">IF(W419=0,0,IF(O419="Booked",N419,W419*AA418))</f>
        <v>62430648.9537054</v>
      </c>
      <c r="Y419" s="14" t="n">
        <f aca="false">IF(I419="Opening",K419,Y418+K419-W419)</f>
        <v>1089.66</v>
      </c>
      <c r="Z419" s="9" t="n">
        <f aca="false">IF(I419="Opening",L419,Z418+L419-X419)</f>
        <v>40988239.4040458</v>
      </c>
      <c r="AA419" s="9" t="n">
        <f aca="false">IF(Y419&gt;0,Z419/Y419,IF(I419="Opening",0,AA418))</f>
        <v>37615.6226750048</v>
      </c>
      <c r="AB419" s="9" t="n">
        <f aca="false">IF(AND(I419="DO",O419="MA"),S419-N419,0)</f>
        <v>-0.108234144747257</v>
      </c>
      <c r="AC419" s="9" t="n">
        <f aca="false">IF(I419="DO",X419-S419,0)</f>
        <v>244787.721939586</v>
      </c>
      <c r="AD419" s="23" t="n">
        <f aca="false">IF(B420&lt;&gt;B419,1,0)</f>
        <v>0</v>
      </c>
      <c r="AE419" s="14" t="n">
        <f aca="false">IF(I419="Opening",0,AE418+W419)</f>
        <v>5632.54</v>
      </c>
      <c r="AF419" s="14" t="n">
        <f aca="false">IF(I419="Opening",K419,AF418)</f>
        <v>283.6</v>
      </c>
      <c r="AG419" s="14" t="n">
        <f aca="false">AG418</f>
        <v>0</v>
      </c>
      <c r="AH419" s="14" t="n">
        <f aca="false">IF(W419=0,0,MAX(0,MIN(AE419,AF419)-MIN(AE419-W419,AF419)))</f>
        <v>0</v>
      </c>
      <c r="AI419" s="14" t="n">
        <f aca="false">IF(W419=0,0,MAX(0,MIN(AE419,AF419+AG419)-MAX(AE419-W419,AF419)))</f>
        <v>0</v>
      </c>
      <c r="AJ419" s="14" t="n">
        <f aca="false">W419-AH419-AI419</f>
        <v>1659.7</v>
      </c>
      <c r="AK419" s="9" t="n">
        <f aca="false">IF(W419=0,0,X419*AH419/W419)</f>
        <v>0</v>
      </c>
      <c r="AL419" s="9" t="n">
        <f aca="false">IF(W419=0,0,X419*AI419/W419)</f>
        <v>0</v>
      </c>
      <c r="AM419" s="9" t="n">
        <f aca="false">X419-AK419-AL419</f>
        <v>62430648.9537054</v>
      </c>
    </row>
    <row r="420" customFormat="false" ht="15" hidden="false" customHeight="false" outlineLevel="0" collapsed="false">
      <c r="A420" s="6" t="n">
        <v>415</v>
      </c>
      <c r="B420" s="74" t="s">
        <v>986</v>
      </c>
      <c r="C420" s="53" t="str">
        <f aca="false">INDEX(I_Items!$C$5:$C$133,MATCH($B420,I_Items!$A$5:$A$133,0))</f>
        <v>RPA</v>
      </c>
      <c r="D420" s="53" t="str">
        <f aca="false">INDEX(I_Items!$D$5:$D$133,MATCH($B420,I_Items!$A$5:$A$133,0))</f>
        <v>Karkas</v>
      </c>
      <c r="E420" s="53" t="str">
        <f aca="false">INDEX(I_Items!$F$5:$F$133,MATCH($B420,I_Items!$A$5:$A$133,0))</f>
        <v>Fresh</v>
      </c>
      <c r="F420" s="53" t="str">
        <f aca="false">IF(INDEX(I_Items!$E$5:$E$133,MATCH($B420,I_Items!$A$5:$A$133,0))="","",INDEX(I_Items!$E$5:$E$133,MATCH($B420,I_Items!$A$5:$A$133,0)))</f>
        <v>Uk 1.2</v>
      </c>
      <c r="G420" s="76" t="n">
        <v>46259</v>
      </c>
      <c r="H420" s="23" t="n">
        <f aca="false">MONTH(G420)</f>
        <v>8</v>
      </c>
      <c r="I420" s="74" t="s">
        <v>2074</v>
      </c>
      <c r="J420" s="74" t="s">
        <v>1314</v>
      </c>
      <c r="K420" s="10" t="n">
        <v>1742.5</v>
      </c>
      <c r="L420" s="8" t="n">
        <v>64262691.33</v>
      </c>
      <c r="M420" s="10" t="n">
        <v>0</v>
      </c>
      <c r="N420" s="8" t="n">
        <v>0</v>
      </c>
      <c r="O420" s="74"/>
      <c r="P420" s="74"/>
      <c r="Q420" s="74"/>
      <c r="R420" s="14" t="n">
        <f aca="false">IF(I420="Unbilled",0,M420)</f>
        <v>0</v>
      </c>
      <c r="S420" s="9" t="n">
        <f aca="false">IF(R420=0,0,IF(O420="Booked",N420,R420*V419))</f>
        <v>0</v>
      </c>
      <c r="T420" s="14" t="n">
        <f aca="false">IF(I420="Opening",K420,T419+K420-R420)</f>
        <v>5039.06</v>
      </c>
      <c r="U420" s="9" t="n">
        <f aca="false">IF(I420="Opening",L420,U419+L420-S420)</f>
        <v>187778641.623541</v>
      </c>
      <c r="V420" s="9" t="n">
        <f aca="false">IF(T420&gt;0,U420/T420,IF(I420="Opening",0,V419))</f>
        <v>37264.6171356446</v>
      </c>
      <c r="W420" s="14" t="n">
        <f aca="false">M420</f>
        <v>0</v>
      </c>
      <c r="X420" s="9" t="n">
        <f aca="false">IF(W420=0,0,IF(O420="Booked",N420,W420*AA419))</f>
        <v>0</v>
      </c>
      <c r="Y420" s="14" t="n">
        <f aca="false">IF(I420="Opening",K420,Y419+K420-W420)</f>
        <v>2832.16</v>
      </c>
      <c r="Z420" s="9" t="n">
        <f aca="false">IF(I420="Opening",L420,Z419+L420-X420)</f>
        <v>105250930.734046</v>
      </c>
      <c r="AA420" s="9" t="n">
        <f aca="false">IF(Y420&gt;0,Z420/Y420,IF(I420="Opening",0,AA419))</f>
        <v>37162.7770797009</v>
      </c>
      <c r="AB420" s="9" t="n">
        <f aca="false">IF(AND(I420="DO",O420="MA"),S420-N420,0)</f>
        <v>0</v>
      </c>
      <c r="AC420" s="9" t="n">
        <f aca="false">IF(I420="DO",X420-S420,0)</f>
        <v>0</v>
      </c>
      <c r="AD420" s="23" t="n">
        <f aca="false">IF(B421&lt;&gt;B420,1,0)</f>
        <v>0</v>
      </c>
      <c r="AE420" s="14" t="n">
        <f aca="false">IF(I420="Opening",0,AE419+W420)</f>
        <v>5632.54</v>
      </c>
      <c r="AF420" s="14" t="n">
        <f aca="false">IF(I420="Opening",K420,AF419)</f>
        <v>283.6</v>
      </c>
      <c r="AG420" s="14" t="n">
        <f aca="false">AG419</f>
        <v>0</v>
      </c>
      <c r="AH420" s="14" t="n">
        <f aca="false">IF(W420=0,0,MAX(0,MIN(AE420,AF420)-MIN(AE420-W420,AF420)))</f>
        <v>0</v>
      </c>
      <c r="AI420" s="14" t="n">
        <f aca="false">IF(W420=0,0,MAX(0,MIN(AE420,AF420+AG420)-MAX(AE420-W420,AF420)))</f>
        <v>0</v>
      </c>
      <c r="AJ420" s="14" t="n">
        <f aca="false">W420-AH420-AI420</f>
        <v>0</v>
      </c>
      <c r="AK420" s="9" t="n">
        <f aca="false">IF(W420=0,0,X420*AH420/W420)</f>
        <v>0</v>
      </c>
      <c r="AL420" s="9" t="n">
        <f aca="false">IF(W420=0,0,X420*AI420/W420)</f>
        <v>0</v>
      </c>
      <c r="AM420" s="9" t="n">
        <f aca="false">X420-AK420-AL420</f>
        <v>0</v>
      </c>
    </row>
    <row r="421" customFormat="false" ht="15" hidden="false" customHeight="false" outlineLevel="0" collapsed="false">
      <c r="A421" s="6" t="n">
        <v>416</v>
      </c>
      <c r="B421" s="74" t="s">
        <v>986</v>
      </c>
      <c r="C421" s="53" t="str">
        <f aca="false">INDEX(I_Items!$C$5:$C$133,MATCH($B421,I_Items!$A$5:$A$133,0))</f>
        <v>RPA</v>
      </c>
      <c r="D421" s="53" t="str">
        <f aca="false">INDEX(I_Items!$D$5:$D$133,MATCH($B421,I_Items!$A$5:$A$133,0))</f>
        <v>Karkas</v>
      </c>
      <c r="E421" s="53" t="str">
        <f aca="false">INDEX(I_Items!$F$5:$F$133,MATCH($B421,I_Items!$A$5:$A$133,0))</f>
        <v>Fresh</v>
      </c>
      <c r="F421" s="53" t="str">
        <f aca="false">IF(INDEX(I_Items!$E$5:$E$133,MATCH($B421,I_Items!$A$5:$A$133,0))="","",INDEX(I_Items!$E$5:$E$133,MATCH($B421,I_Items!$A$5:$A$133,0)))</f>
        <v>Uk 1.2</v>
      </c>
      <c r="G421" s="76" t="n">
        <v>46260</v>
      </c>
      <c r="H421" s="23" t="n">
        <f aca="false">MONTH(G421)</f>
        <v>8</v>
      </c>
      <c r="I421" s="74" t="s">
        <v>2074</v>
      </c>
      <c r="J421" s="74" t="s">
        <v>1317</v>
      </c>
      <c r="K421" s="10" t="n">
        <v>1572.1</v>
      </c>
      <c r="L421" s="8" t="n">
        <v>59220055.41</v>
      </c>
      <c r="M421" s="10" t="n">
        <v>0</v>
      </c>
      <c r="N421" s="8" t="n">
        <v>0</v>
      </c>
      <c r="O421" s="74"/>
      <c r="P421" s="74"/>
      <c r="Q421" s="74"/>
      <c r="R421" s="14" t="n">
        <f aca="false">IF(I421="Unbilled",0,M421)</f>
        <v>0</v>
      </c>
      <c r="S421" s="9" t="n">
        <f aca="false">IF(R421=0,0,IF(O421="Booked",N421,R421*V420))</f>
        <v>0</v>
      </c>
      <c r="T421" s="14" t="n">
        <f aca="false">IF(I421="Opening",K421,T420+K421-R421)</f>
        <v>6611.16</v>
      </c>
      <c r="U421" s="9" t="n">
        <f aca="false">IF(I421="Opening",L421,U420+L421-S421)</f>
        <v>246998697.033541</v>
      </c>
      <c r="V421" s="9" t="n">
        <f aca="false">IF(T421&gt;0,U421/T421,IF(I421="Opening",0,V420))</f>
        <v>37360.8711683791</v>
      </c>
      <c r="W421" s="14" t="n">
        <f aca="false">M421</f>
        <v>0</v>
      </c>
      <c r="X421" s="9" t="n">
        <f aca="false">IF(W421=0,0,IF(O421="Booked",N421,W421*AA420))</f>
        <v>0</v>
      </c>
      <c r="Y421" s="14" t="n">
        <f aca="false">IF(I421="Opening",K421,Y420+K421-W421)</f>
        <v>4404.26</v>
      </c>
      <c r="Z421" s="9" t="n">
        <f aca="false">IF(I421="Opening",L421,Z420+L421-X421)</f>
        <v>164470986.144046</v>
      </c>
      <c r="AA421" s="9" t="n">
        <f aca="false">IF(Y421&gt;0,Z421/Y421,IF(I421="Opening",0,AA420))</f>
        <v>37343.6141699277</v>
      </c>
      <c r="AB421" s="9" t="n">
        <f aca="false">IF(AND(I421="DO",O421="MA"),S421-N421,0)</f>
        <v>0</v>
      </c>
      <c r="AC421" s="9" t="n">
        <f aca="false">IF(I421="DO",X421-S421,0)</f>
        <v>0</v>
      </c>
      <c r="AD421" s="23" t="n">
        <f aca="false">IF(B422&lt;&gt;B421,1,0)</f>
        <v>0</v>
      </c>
      <c r="AE421" s="14" t="n">
        <f aca="false">IF(I421="Opening",0,AE420+W421)</f>
        <v>5632.54</v>
      </c>
      <c r="AF421" s="14" t="n">
        <f aca="false">IF(I421="Opening",K421,AF420)</f>
        <v>283.6</v>
      </c>
      <c r="AG421" s="14" t="n">
        <f aca="false">AG420</f>
        <v>0</v>
      </c>
      <c r="AH421" s="14" t="n">
        <f aca="false">IF(W421=0,0,MAX(0,MIN(AE421,AF421)-MIN(AE421-W421,AF421)))</f>
        <v>0</v>
      </c>
      <c r="AI421" s="14" t="n">
        <f aca="false">IF(W421=0,0,MAX(0,MIN(AE421,AF421+AG421)-MAX(AE421-W421,AF421)))</f>
        <v>0</v>
      </c>
      <c r="AJ421" s="14" t="n">
        <f aca="false">W421-AH421-AI421</f>
        <v>0</v>
      </c>
      <c r="AK421" s="9" t="n">
        <f aca="false">IF(W421=0,0,X421*AH421/W421)</f>
        <v>0</v>
      </c>
      <c r="AL421" s="9" t="n">
        <f aca="false">IF(W421=0,0,X421*AI421/W421)</f>
        <v>0</v>
      </c>
      <c r="AM421" s="9" t="n">
        <f aca="false">X421-AK421-AL421</f>
        <v>0</v>
      </c>
    </row>
    <row r="422" customFormat="false" ht="15" hidden="false" customHeight="false" outlineLevel="0" collapsed="false">
      <c r="A422" s="6" t="n">
        <v>417</v>
      </c>
      <c r="B422" s="74" t="s">
        <v>986</v>
      </c>
      <c r="C422" s="53" t="str">
        <f aca="false">INDEX(I_Items!$C$5:$C$133,MATCH($B422,I_Items!$A$5:$A$133,0))</f>
        <v>RPA</v>
      </c>
      <c r="D422" s="53" t="str">
        <f aca="false">INDEX(I_Items!$D$5:$D$133,MATCH($B422,I_Items!$A$5:$A$133,0))</f>
        <v>Karkas</v>
      </c>
      <c r="E422" s="53" t="str">
        <f aca="false">INDEX(I_Items!$F$5:$F$133,MATCH($B422,I_Items!$A$5:$A$133,0))</f>
        <v>Fresh</v>
      </c>
      <c r="F422" s="53" t="str">
        <f aca="false">IF(INDEX(I_Items!$E$5:$E$133,MATCH($B422,I_Items!$A$5:$A$133,0))="","",INDEX(I_Items!$E$5:$E$133,MATCH($B422,I_Items!$A$5:$A$133,0)))</f>
        <v>Uk 1.2</v>
      </c>
      <c r="G422" s="76" t="n">
        <v>46260</v>
      </c>
      <c r="H422" s="23" t="n">
        <f aca="false">MONTH(G422)</f>
        <v>8</v>
      </c>
      <c r="I422" s="74" t="s">
        <v>2075</v>
      </c>
      <c r="J422" s="74" t="s">
        <v>2154</v>
      </c>
      <c r="K422" s="10" t="n">
        <v>0</v>
      </c>
      <c r="L422" s="8" t="n">
        <v>0</v>
      </c>
      <c r="M422" s="10" t="n">
        <v>1389.8</v>
      </c>
      <c r="N422" s="8" t="n">
        <v>51924138.79</v>
      </c>
      <c r="O422" s="74" t="s">
        <v>2077</v>
      </c>
      <c r="P422" s="74"/>
      <c r="Q422" s="74"/>
      <c r="R422" s="14" t="n">
        <f aca="false">IF(I422="Unbilled",0,M422)</f>
        <v>1389.8</v>
      </c>
      <c r="S422" s="9" t="n">
        <f aca="false">IF(R422=0,0,IF(O422="Booked",N422,R422*V421))</f>
        <v>51924138.7498132</v>
      </c>
      <c r="T422" s="14" t="n">
        <f aca="false">IF(I422="Opening",K422,T421+K422-R422)</f>
        <v>5221.36</v>
      </c>
      <c r="U422" s="9" t="n">
        <f aca="false">IF(I422="Opening",L422,U421+L422-S422)</f>
        <v>195074558.283728</v>
      </c>
      <c r="V422" s="9" t="n">
        <f aca="false">IF(T422&gt;0,U422/T422,IF(I422="Opening",0,V421))</f>
        <v>37360.8711683791</v>
      </c>
      <c r="W422" s="14" t="n">
        <f aca="false">M422</f>
        <v>1389.8</v>
      </c>
      <c r="X422" s="9" t="n">
        <f aca="false">IF(W422=0,0,IF(O422="Booked",N422,W422*AA421))</f>
        <v>51900154.9733655</v>
      </c>
      <c r="Y422" s="14" t="n">
        <f aca="false">IF(I422="Opening",K422,Y421+K422-W422)</f>
        <v>3014.46</v>
      </c>
      <c r="Z422" s="9" t="n">
        <f aca="false">IF(I422="Opening",L422,Z421+L422-X422)</f>
        <v>112570831.17068</v>
      </c>
      <c r="AA422" s="9" t="n">
        <f aca="false">IF(Y422&gt;0,Z422/Y422,IF(I422="Opening",0,AA421))</f>
        <v>37343.6141699277</v>
      </c>
      <c r="AB422" s="9" t="n">
        <f aca="false">IF(AND(I422="DO",O422="MA"),S422-N422,0)</f>
        <v>-0.0401867628097534</v>
      </c>
      <c r="AC422" s="9" t="n">
        <f aca="false">IF(I422="DO",X422-S422,0)</f>
        <v>-23983.7764477208</v>
      </c>
      <c r="AD422" s="23" t="n">
        <f aca="false">IF(B423&lt;&gt;B422,1,0)</f>
        <v>0</v>
      </c>
      <c r="AE422" s="14" t="n">
        <f aca="false">IF(I422="Opening",0,AE421+W422)</f>
        <v>7022.34</v>
      </c>
      <c r="AF422" s="14" t="n">
        <f aca="false">IF(I422="Opening",K422,AF421)</f>
        <v>283.6</v>
      </c>
      <c r="AG422" s="14" t="n">
        <f aca="false">AG421</f>
        <v>0</v>
      </c>
      <c r="AH422" s="14" t="n">
        <f aca="false">IF(W422=0,0,MAX(0,MIN(AE422,AF422)-MIN(AE422-W422,AF422)))</f>
        <v>0</v>
      </c>
      <c r="AI422" s="14" t="n">
        <f aca="false">IF(W422=0,0,MAX(0,MIN(AE422,AF422+AG422)-MAX(AE422-W422,AF422)))</f>
        <v>0</v>
      </c>
      <c r="AJ422" s="14" t="n">
        <f aca="false">W422-AH422-AI422</f>
        <v>1389.8</v>
      </c>
      <c r="AK422" s="9" t="n">
        <f aca="false">IF(W422=0,0,X422*AH422/W422)</f>
        <v>0</v>
      </c>
      <c r="AL422" s="9" t="n">
        <f aca="false">IF(W422=0,0,X422*AI422/W422)</f>
        <v>0</v>
      </c>
      <c r="AM422" s="9" t="n">
        <f aca="false">X422-AK422-AL422</f>
        <v>51900154.9733655</v>
      </c>
    </row>
    <row r="423" customFormat="false" ht="15" hidden="false" customHeight="false" outlineLevel="0" collapsed="false">
      <c r="A423" s="6" t="n">
        <v>418</v>
      </c>
      <c r="B423" s="74" t="s">
        <v>986</v>
      </c>
      <c r="C423" s="53" t="str">
        <f aca="false">INDEX(I_Items!$C$5:$C$133,MATCH($B423,I_Items!$A$5:$A$133,0))</f>
        <v>RPA</v>
      </c>
      <c r="D423" s="53" t="str">
        <f aca="false">INDEX(I_Items!$D$5:$D$133,MATCH($B423,I_Items!$A$5:$A$133,0))</f>
        <v>Karkas</v>
      </c>
      <c r="E423" s="53" t="str">
        <f aca="false">INDEX(I_Items!$F$5:$F$133,MATCH($B423,I_Items!$A$5:$A$133,0))</f>
        <v>Fresh</v>
      </c>
      <c r="F423" s="53" t="str">
        <f aca="false">IF(INDEX(I_Items!$E$5:$E$133,MATCH($B423,I_Items!$A$5:$A$133,0))="","",INDEX(I_Items!$E$5:$E$133,MATCH($B423,I_Items!$A$5:$A$133,0)))</f>
        <v>Uk 1.2</v>
      </c>
      <c r="G423" s="76" t="n">
        <v>46261</v>
      </c>
      <c r="H423" s="23" t="n">
        <f aca="false">MONTH(G423)</f>
        <v>8</v>
      </c>
      <c r="I423" s="74" t="s">
        <v>2074</v>
      </c>
      <c r="J423" s="74" t="s">
        <v>1320</v>
      </c>
      <c r="K423" s="10" t="n">
        <v>1644.3</v>
      </c>
      <c r="L423" s="8" t="n">
        <v>61142215.85</v>
      </c>
      <c r="M423" s="10" t="n">
        <v>0</v>
      </c>
      <c r="N423" s="8" t="n">
        <v>0</v>
      </c>
      <c r="O423" s="74"/>
      <c r="P423" s="74"/>
      <c r="Q423" s="74"/>
      <c r="R423" s="14" t="n">
        <f aca="false">IF(I423="Unbilled",0,M423)</f>
        <v>0</v>
      </c>
      <c r="S423" s="9" t="n">
        <f aca="false">IF(R423=0,0,IF(O423="Booked",N423,R423*V422))</f>
        <v>0</v>
      </c>
      <c r="T423" s="14" t="n">
        <f aca="false">IF(I423="Opening",K423,T422+K423-R423)</f>
        <v>6865.66</v>
      </c>
      <c r="U423" s="9" t="n">
        <f aca="false">IF(I423="Opening",L423,U422+L423-S423)</f>
        <v>256216774.133728</v>
      </c>
      <c r="V423" s="9" t="n">
        <f aca="false">IF(T423&gt;0,U423/T423,IF(I423="Opening",0,V422))</f>
        <v>37318.5934249188</v>
      </c>
      <c r="W423" s="14" t="n">
        <f aca="false">M423</f>
        <v>0</v>
      </c>
      <c r="X423" s="9" t="n">
        <f aca="false">IF(W423=0,0,IF(O423="Booked",N423,W423*AA422))</f>
        <v>0</v>
      </c>
      <c r="Y423" s="14" t="n">
        <f aca="false">IF(I423="Opening",K423,Y422+K423-W423)</f>
        <v>4658.76</v>
      </c>
      <c r="Z423" s="9" t="n">
        <f aca="false">IF(I423="Opening",L423,Z422+L423-X423)</f>
        <v>173713047.02068</v>
      </c>
      <c r="AA423" s="9" t="n">
        <f aca="false">IF(Y423&gt;0,Z423/Y423,IF(I423="Opening",0,AA422))</f>
        <v>37287.3998704978</v>
      </c>
      <c r="AB423" s="9" t="n">
        <f aca="false">IF(AND(I423="DO",O423="MA"),S423-N423,0)</f>
        <v>0</v>
      </c>
      <c r="AC423" s="9" t="n">
        <f aca="false">IF(I423="DO",X423-S423,0)</f>
        <v>0</v>
      </c>
      <c r="AD423" s="23" t="n">
        <f aca="false">IF(B424&lt;&gt;B423,1,0)</f>
        <v>0</v>
      </c>
      <c r="AE423" s="14" t="n">
        <f aca="false">IF(I423="Opening",0,AE422+W423)</f>
        <v>7022.34</v>
      </c>
      <c r="AF423" s="14" t="n">
        <f aca="false">IF(I423="Opening",K423,AF422)</f>
        <v>283.6</v>
      </c>
      <c r="AG423" s="14" t="n">
        <f aca="false">AG422</f>
        <v>0</v>
      </c>
      <c r="AH423" s="14" t="n">
        <f aca="false">IF(W423=0,0,MAX(0,MIN(AE423,AF423)-MIN(AE423-W423,AF423)))</f>
        <v>0</v>
      </c>
      <c r="AI423" s="14" t="n">
        <f aca="false">IF(W423=0,0,MAX(0,MIN(AE423,AF423+AG423)-MAX(AE423-W423,AF423)))</f>
        <v>0</v>
      </c>
      <c r="AJ423" s="14" t="n">
        <f aca="false">W423-AH423-AI423</f>
        <v>0</v>
      </c>
      <c r="AK423" s="9" t="n">
        <f aca="false">IF(W423=0,0,X423*AH423/W423)</f>
        <v>0</v>
      </c>
      <c r="AL423" s="9" t="n">
        <f aca="false">IF(W423=0,0,X423*AI423/W423)</f>
        <v>0</v>
      </c>
      <c r="AM423" s="9" t="n">
        <f aca="false">X423-AK423-AL423</f>
        <v>0</v>
      </c>
    </row>
    <row r="424" customFormat="false" ht="15" hidden="false" customHeight="false" outlineLevel="0" collapsed="false">
      <c r="A424" s="6" t="n">
        <v>419</v>
      </c>
      <c r="B424" s="74" t="s">
        <v>986</v>
      </c>
      <c r="C424" s="53" t="str">
        <f aca="false">INDEX(I_Items!$C$5:$C$133,MATCH($B424,I_Items!$A$5:$A$133,0))</f>
        <v>RPA</v>
      </c>
      <c r="D424" s="53" t="str">
        <f aca="false">INDEX(I_Items!$D$5:$D$133,MATCH($B424,I_Items!$A$5:$A$133,0))</f>
        <v>Karkas</v>
      </c>
      <c r="E424" s="53" t="str">
        <f aca="false">INDEX(I_Items!$F$5:$F$133,MATCH($B424,I_Items!$A$5:$A$133,0))</f>
        <v>Fresh</v>
      </c>
      <c r="F424" s="53" t="str">
        <f aca="false">IF(INDEX(I_Items!$E$5:$E$133,MATCH($B424,I_Items!$A$5:$A$133,0))="","",INDEX(I_Items!$E$5:$E$133,MATCH($B424,I_Items!$A$5:$A$133,0)))</f>
        <v>Uk 1.2</v>
      </c>
      <c r="G424" s="76" t="n">
        <v>46261</v>
      </c>
      <c r="H424" s="23" t="n">
        <f aca="false">MONTH(G424)</f>
        <v>8</v>
      </c>
      <c r="I424" s="74" t="s">
        <v>2075</v>
      </c>
      <c r="J424" s="74" t="s">
        <v>2155</v>
      </c>
      <c r="K424" s="10" t="n">
        <v>0</v>
      </c>
      <c r="L424" s="8" t="n">
        <v>0</v>
      </c>
      <c r="M424" s="10" t="n">
        <v>1245.95</v>
      </c>
      <c r="N424" s="8" t="n">
        <v>46497101.45</v>
      </c>
      <c r="O424" s="74" t="s">
        <v>2077</v>
      </c>
      <c r="P424" s="74"/>
      <c r="Q424" s="74"/>
      <c r="R424" s="14" t="n">
        <f aca="false">IF(I424="Unbilled",0,M424)</f>
        <v>1245.95</v>
      </c>
      <c r="S424" s="9" t="n">
        <f aca="false">IF(R424=0,0,IF(O424="Booked",N424,R424*V423))</f>
        <v>46497101.4777775</v>
      </c>
      <c r="T424" s="14" t="n">
        <f aca="false">IF(I424="Opening",K424,T423+K424-R424)</f>
        <v>5619.71</v>
      </c>
      <c r="U424" s="9" t="n">
        <f aca="false">IF(I424="Opening",L424,U423+L424-S424)</f>
        <v>209719672.65595</v>
      </c>
      <c r="V424" s="9" t="n">
        <f aca="false">IF(T424&gt;0,U424/T424,IF(I424="Opening",0,V423))</f>
        <v>37318.5934249188</v>
      </c>
      <c r="W424" s="14" t="n">
        <f aca="false">M424</f>
        <v>1245.95</v>
      </c>
      <c r="X424" s="9" t="n">
        <f aca="false">IF(W424=0,0,IF(O424="Booked",N424,W424*AA423))</f>
        <v>46458235.8686467</v>
      </c>
      <c r="Y424" s="14" t="n">
        <f aca="false">IF(I424="Opening",K424,Y423+K424-W424)</f>
        <v>3412.81</v>
      </c>
      <c r="Z424" s="9" t="n">
        <f aca="false">IF(I424="Opening",L424,Z423+L424-X424)</f>
        <v>127254811.152034</v>
      </c>
      <c r="AA424" s="9" t="n">
        <f aca="false">IF(Y424&gt;0,Z424/Y424,IF(I424="Opening",0,AA423))</f>
        <v>37287.3998704978</v>
      </c>
      <c r="AB424" s="9" t="n">
        <f aca="false">IF(AND(I424="DO",O424="MA"),S424-N424,0)</f>
        <v>0.0277775302529335</v>
      </c>
      <c r="AC424" s="9" t="n">
        <f aca="false">IF(I424="DO",X424-S424,0)</f>
        <v>-38865.6091308221</v>
      </c>
      <c r="AD424" s="23" t="n">
        <f aca="false">IF(B425&lt;&gt;B424,1,0)</f>
        <v>1</v>
      </c>
      <c r="AE424" s="14" t="n">
        <f aca="false">IF(I424="Opening",0,AE423+W424)</f>
        <v>8268.29</v>
      </c>
      <c r="AF424" s="14" t="n">
        <f aca="false">IF(I424="Opening",K424,AF423)</f>
        <v>283.6</v>
      </c>
      <c r="AG424" s="14" t="n">
        <f aca="false">AG423</f>
        <v>0</v>
      </c>
      <c r="AH424" s="14" t="n">
        <f aca="false">IF(W424=0,0,MAX(0,MIN(AE424,AF424)-MIN(AE424-W424,AF424)))</f>
        <v>0</v>
      </c>
      <c r="AI424" s="14" t="n">
        <f aca="false">IF(W424=0,0,MAX(0,MIN(AE424,AF424+AG424)-MAX(AE424-W424,AF424)))</f>
        <v>0</v>
      </c>
      <c r="AJ424" s="14" t="n">
        <f aca="false">W424-AH424-AI424</f>
        <v>1245.95</v>
      </c>
      <c r="AK424" s="9" t="n">
        <f aca="false">IF(W424=0,0,X424*AH424/W424)</f>
        <v>0</v>
      </c>
      <c r="AL424" s="9" t="n">
        <f aca="false">IF(W424=0,0,X424*AI424/W424)</f>
        <v>0</v>
      </c>
      <c r="AM424" s="9" t="n">
        <f aca="false">X424-AK424-AL424</f>
        <v>46458235.8686467</v>
      </c>
    </row>
    <row r="425" customFormat="false" ht="15" hidden="false" customHeight="false" outlineLevel="0" collapsed="false">
      <c r="A425" s="6" t="n">
        <v>420</v>
      </c>
      <c r="B425" s="74" t="s">
        <v>987</v>
      </c>
      <c r="C425" s="53" t="str">
        <f aca="false">INDEX(I_Items!$C$5:$C$133,MATCH($B425,I_Items!$A$5:$A$133,0))</f>
        <v>RPA</v>
      </c>
      <c r="D425" s="53" t="str">
        <f aca="false">INDEX(I_Items!$D$5:$D$133,MATCH($B425,I_Items!$A$5:$A$133,0))</f>
        <v>Karkas</v>
      </c>
      <c r="E425" s="53" t="str">
        <f aca="false">INDEX(I_Items!$F$5:$F$133,MATCH($B425,I_Items!$A$5:$A$133,0))</f>
        <v>Frozen</v>
      </c>
      <c r="F425" s="53" t="str">
        <f aca="false">IF(INDEX(I_Items!$E$5:$E$133,MATCH($B425,I_Items!$A$5:$A$133,0))="","",INDEX(I_Items!$E$5:$E$133,MATCH($B425,I_Items!$A$5:$A$133,0)))</f>
        <v>Uk 1.2</v>
      </c>
      <c r="G425" s="76" t="n">
        <v>46204</v>
      </c>
      <c r="H425" s="23" t="n">
        <f aca="false">MONTH(G425)</f>
        <v>7</v>
      </c>
      <c r="I425" s="74" t="s">
        <v>2072</v>
      </c>
      <c r="J425" s="74" t="s">
        <v>2073</v>
      </c>
      <c r="K425" s="10" t="n">
        <v>132.97</v>
      </c>
      <c r="L425" s="8" t="n">
        <v>3244024.9</v>
      </c>
      <c r="M425" s="10" t="n">
        <v>0</v>
      </c>
      <c r="N425" s="8" t="n">
        <v>0</v>
      </c>
      <c r="O425" s="74"/>
      <c r="P425" s="74"/>
      <c r="Q425" s="74"/>
      <c r="R425" s="14" t="n">
        <f aca="false">IF(I425="Unbilled",0,M425)</f>
        <v>0</v>
      </c>
      <c r="S425" s="9" t="n">
        <f aca="false">IF(R425=0,0,IF(O425="Booked",N425,R425*V424))</f>
        <v>0</v>
      </c>
      <c r="T425" s="14" t="n">
        <f aca="false">IF(I425="Opening",K425,T424+K425-R425)</f>
        <v>132.97</v>
      </c>
      <c r="U425" s="9" t="n">
        <f aca="false">IF(I425="Opening",L425,U424+L425-S425)</f>
        <v>3244024.9</v>
      </c>
      <c r="V425" s="9" t="n">
        <f aca="false">IF(T425&gt;0,U425/T425,IF(I425="Opening",0,V424))</f>
        <v>24396.6676693991</v>
      </c>
      <c r="W425" s="14" t="n">
        <f aca="false">M425</f>
        <v>0</v>
      </c>
      <c r="X425" s="9" t="n">
        <f aca="false">IF(W425=0,0,IF(O425="Booked",N425,W425*AA424))</f>
        <v>0</v>
      </c>
      <c r="Y425" s="14" t="n">
        <f aca="false">IF(I425="Opening",K425,Y424+K425-W425)</f>
        <v>132.97</v>
      </c>
      <c r="Z425" s="9" t="n">
        <f aca="false">IF(I425="Opening",L425,Z424+L425-X425)</f>
        <v>3244024.9</v>
      </c>
      <c r="AA425" s="9" t="n">
        <f aca="false">IF(Y425&gt;0,Z425/Y425,IF(I425="Opening",0,AA424))</f>
        <v>24396.6676693991</v>
      </c>
      <c r="AB425" s="9" t="n">
        <f aca="false">IF(AND(I425="DO",O425="MA"),S425-N425,0)</f>
        <v>0</v>
      </c>
      <c r="AC425" s="9" t="n">
        <f aca="false">IF(I425="DO",X425-S425,0)</f>
        <v>0</v>
      </c>
      <c r="AD425" s="23" t="n">
        <f aca="false">IF(B426&lt;&gt;B425,1,0)</f>
        <v>0</v>
      </c>
      <c r="AE425" s="14" t="n">
        <f aca="false">IF(I425="Opening",0,AE424+W425)</f>
        <v>0</v>
      </c>
      <c r="AF425" s="14" t="n">
        <f aca="false">IF(I425="Opening",K425,AF424)</f>
        <v>132.97</v>
      </c>
      <c r="AG425" s="14" t="n">
        <f aca="false">SUMIFS($K$6:$K$1110,$B$6:$B$1110,B425,$H$6:$H$1110,7,$I$6:$I$1110,"&lt;&gt;Opening")</f>
        <v>0</v>
      </c>
      <c r="AH425" s="14" t="n">
        <f aca="false">IF(W425=0,0,MAX(0,MIN(AE425,AF425)-MIN(AE425-W425,AF425)))</f>
        <v>0</v>
      </c>
      <c r="AI425" s="14" t="n">
        <f aca="false">IF(W425=0,0,MAX(0,MIN(AE425,AF425+AG425)-MAX(AE425-W425,AF425)))</f>
        <v>0</v>
      </c>
      <c r="AJ425" s="14" t="n">
        <f aca="false">W425-AH425-AI425</f>
        <v>0</v>
      </c>
      <c r="AK425" s="9" t="n">
        <f aca="false">IF(W425=0,0,X425*AH425/W425)</f>
        <v>0</v>
      </c>
      <c r="AL425" s="9" t="n">
        <f aca="false">IF(W425=0,0,X425*AI425/W425)</f>
        <v>0</v>
      </c>
      <c r="AM425" s="9" t="n">
        <f aca="false">X425-AK425-AL425</f>
        <v>0</v>
      </c>
    </row>
    <row r="426" customFormat="false" ht="15" hidden="false" customHeight="false" outlineLevel="0" collapsed="false">
      <c r="A426" s="6" t="n">
        <v>421</v>
      </c>
      <c r="B426" s="74" t="s">
        <v>987</v>
      </c>
      <c r="C426" s="53" t="str">
        <f aca="false">INDEX(I_Items!$C$5:$C$133,MATCH($B426,I_Items!$A$5:$A$133,0))</f>
        <v>RPA</v>
      </c>
      <c r="D426" s="53" t="str">
        <f aca="false">INDEX(I_Items!$D$5:$D$133,MATCH($B426,I_Items!$A$5:$A$133,0))</f>
        <v>Karkas</v>
      </c>
      <c r="E426" s="53" t="str">
        <f aca="false">INDEX(I_Items!$F$5:$F$133,MATCH($B426,I_Items!$A$5:$A$133,0))</f>
        <v>Frozen</v>
      </c>
      <c r="F426" s="53" t="str">
        <f aca="false">IF(INDEX(I_Items!$E$5:$E$133,MATCH($B426,I_Items!$A$5:$A$133,0))="","",INDEX(I_Items!$E$5:$E$133,MATCH($B426,I_Items!$A$5:$A$133,0)))</f>
        <v>Uk 1.2</v>
      </c>
      <c r="G426" s="76" t="n">
        <v>46244</v>
      </c>
      <c r="H426" s="23" t="n">
        <f aca="false">MONTH(G426)</f>
        <v>8</v>
      </c>
      <c r="I426" s="74" t="s">
        <v>2074</v>
      </c>
      <c r="J426" s="74" t="s">
        <v>1294</v>
      </c>
      <c r="K426" s="10" t="n">
        <v>117.5</v>
      </c>
      <c r="L426" s="8" t="n">
        <v>3832446.83</v>
      </c>
      <c r="M426" s="10" t="n">
        <v>0</v>
      </c>
      <c r="N426" s="8" t="n">
        <v>0</v>
      </c>
      <c r="O426" s="74"/>
      <c r="P426" s="74"/>
      <c r="Q426" s="74"/>
      <c r="R426" s="14" t="n">
        <f aca="false">IF(I426="Unbilled",0,M426)</f>
        <v>0</v>
      </c>
      <c r="S426" s="9" t="n">
        <f aca="false">IF(R426=0,0,IF(O426="Booked",N426,R426*V425))</f>
        <v>0</v>
      </c>
      <c r="T426" s="14" t="n">
        <f aca="false">IF(I426="Opening",K426,T425+K426-R426)</f>
        <v>250.47</v>
      </c>
      <c r="U426" s="9" t="n">
        <f aca="false">IF(I426="Opening",L426,U425+L426-S426)</f>
        <v>7076471.73</v>
      </c>
      <c r="V426" s="9" t="n">
        <f aca="false">IF(T426&gt;0,U426/T426,IF(I426="Opening",0,V425))</f>
        <v>28252.7717091867</v>
      </c>
      <c r="W426" s="14" t="n">
        <f aca="false">M426</f>
        <v>0</v>
      </c>
      <c r="X426" s="9" t="n">
        <f aca="false">IF(W426=0,0,IF(O426="Booked",N426,W426*AA425))</f>
        <v>0</v>
      </c>
      <c r="Y426" s="14" t="n">
        <f aca="false">IF(I426="Opening",K426,Y425+K426-W426)</f>
        <v>250.47</v>
      </c>
      <c r="Z426" s="9" t="n">
        <f aca="false">IF(I426="Opening",L426,Z425+L426-X426)</f>
        <v>7076471.73</v>
      </c>
      <c r="AA426" s="9" t="n">
        <f aca="false">IF(Y426&gt;0,Z426/Y426,IF(I426="Opening",0,AA425))</f>
        <v>28252.7717091867</v>
      </c>
      <c r="AB426" s="9" t="n">
        <f aca="false">IF(AND(I426="DO",O426="MA"),S426-N426,0)</f>
        <v>0</v>
      </c>
      <c r="AC426" s="9" t="n">
        <f aca="false">IF(I426="DO",X426-S426,0)</f>
        <v>0</v>
      </c>
      <c r="AD426" s="23" t="n">
        <f aca="false">IF(B427&lt;&gt;B426,1,0)</f>
        <v>0</v>
      </c>
      <c r="AE426" s="14" t="n">
        <f aca="false">IF(I426="Opening",0,AE425+W426)</f>
        <v>0</v>
      </c>
      <c r="AF426" s="14" t="n">
        <f aca="false">IF(I426="Opening",K426,AF425)</f>
        <v>132.97</v>
      </c>
      <c r="AG426" s="14" t="n">
        <f aca="false">AG425</f>
        <v>0</v>
      </c>
      <c r="AH426" s="14" t="n">
        <f aca="false">IF(W426=0,0,MAX(0,MIN(AE426,AF426)-MIN(AE426-W426,AF426)))</f>
        <v>0</v>
      </c>
      <c r="AI426" s="14" t="n">
        <f aca="false">IF(W426=0,0,MAX(0,MIN(AE426,AF426+AG426)-MAX(AE426-W426,AF426)))</f>
        <v>0</v>
      </c>
      <c r="AJ426" s="14" t="n">
        <f aca="false">W426-AH426-AI426</f>
        <v>0</v>
      </c>
      <c r="AK426" s="9" t="n">
        <f aca="false">IF(W426=0,0,X426*AH426/W426)</f>
        <v>0</v>
      </c>
      <c r="AL426" s="9" t="n">
        <f aca="false">IF(W426=0,0,X426*AI426/W426)</f>
        <v>0</v>
      </c>
      <c r="AM426" s="9" t="n">
        <f aca="false">X426-AK426-AL426</f>
        <v>0</v>
      </c>
    </row>
    <row r="427" customFormat="false" ht="15" hidden="false" customHeight="false" outlineLevel="0" collapsed="false">
      <c r="A427" s="6" t="n">
        <v>422</v>
      </c>
      <c r="B427" s="74" t="s">
        <v>987</v>
      </c>
      <c r="C427" s="53" t="str">
        <f aca="false">INDEX(I_Items!$C$5:$C$133,MATCH($B427,I_Items!$A$5:$A$133,0))</f>
        <v>RPA</v>
      </c>
      <c r="D427" s="53" t="str">
        <f aca="false">INDEX(I_Items!$D$5:$D$133,MATCH($B427,I_Items!$A$5:$A$133,0))</f>
        <v>Karkas</v>
      </c>
      <c r="E427" s="53" t="str">
        <f aca="false">INDEX(I_Items!$F$5:$F$133,MATCH($B427,I_Items!$A$5:$A$133,0))</f>
        <v>Frozen</v>
      </c>
      <c r="F427" s="53" t="str">
        <f aca="false">IF(INDEX(I_Items!$E$5:$E$133,MATCH($B427,I_Items!$A$5:$A$133,0))="","",INDEX(I_Items!$E$5:$E$133,MATCH($B427,I_Items!$A$5:$A$133,0)))</f>
        <v>Uk 1.2</v>
      </c>
      <c r="G427" s="76" t="n">
        <v>46244</v>
      </c>
      <c r="H427" s="23" t="n">
        <f aca="false">MONTH(G427)</f>
        <v>8</v>
      </c>
      <c r="I427" s="74" t="s">
        <v>2074</v>
      </c>
      <c r="J427" s="74" t="s">
        <v>1298</v>
      </c>
      <c r="K427" s="10" t="n">
        <v>8.8</v>
      </c>
      <c r="L427" s="8" t="n">
        <v>303473.87</v>
      </c>
      <c r="M427" s="10" t="n">
        <v>0</v>
      </c>
      <c r="N427" s="8" t="n">
        <v>0</v>
      </c>
      <c r="O427" s="74"/>
      <c r="P427" s="74"/>
      <c r="Q427" s="74"/>
      <c r="R427" s="14" t="n">
        <f aca="false">IF(I427="Unbilled",0,M427)</f>
        <v>0</v>
      </c>
      <c r="S427" s="9" t="n">
        <f aca="false">IF(R427=0,0,IF(O427="Booked",N427,R427*V426))</f>
        <v>0</v>
      </c>
      <c r="T427" s="14" t="n">
        <f aca="false">IF(I427="Opening",K427,T426+K427-R427)</f>
        <v>259.27</v>
      </c>
      <c r="U427" s="9" t="n">
        <f aca="false">IF(I427="Opening",L427,U426+L427-S427)</f>
        <v>7379945.6</v>
      </c>
      <c r="V427" s="9" t="n">
        <f aca="false">IF(T427&gt;0,U427/T427,IF(I427="Opening",0,V426))</f>
        <v>28464.3252208123</v>
      </c>
      <c r="W427" s="14" t="n">
        <f aca="false">M427</f>
        <v>0</v>
      </c>
      <c r="X427" s="9" t="n">
        <f aca="false">IF(W427=0,0,IF(O427="Booked",N427,W427*AA426))</f>
        <v>0</v>
      </c>
      <c r="Y427" s="14" t="n">
        <f aca="false">IF(I427="Opening",K427,Y426+K427-W427)</f>
        <v>259.27</v>
      </c>
      <c r="Z427" s="9" t="n">
        <f aca="false">IF(I427="Opening",L427,Z426+L427-X427)</f>
        <v>7379945.6</v>
      </c>
      <c r="AA427" s="9" t="n">
        <f aca="false">IF(Y427&gt;0,Z427/Y427,IF(I427="Opening",0,AA426))</f>
        <v>28464.3252208123</v>
      </c>
      <c r="AB427" s="9" t="n">
        <f aca="false">IF(AND(I427="DO",O427="MA"),S427-N427,0)</f>
        <v>0</v>
      </c>
      <c r="AC427" s="9" t="n">
        <f aca="false">IF(I427="DO",X427-S427,0)</f>
        <v>0</v>
      </c>
      <c r="AD427" s="23" t="n">
        <f aca="false">IF(B428&lt;&gt;B427,1,0)</f>
        <v>0</v>
      </c>
      <c r="AE427" s="14" t="n">
        <f aca="false">IF(I427="Opening",0,AE426+W427)</f>
        <v>0</v>
      </c>
      <c r="AF427" s="14" t="n">
        <f aca="false">IF(I427="Opening",K427,AF426)</f>
        <v>132.97</v>
      </c>
      <c r="AG427" s="14" t="n">
        <f aca="false">AG426</f>
        <v>0</v>
      </c>
      <c r="AH427" s="14" t="n">
        <f aca="false">IF(W427=0,0,MAX(0,MIN(AE427,AF427)-MIN(AE427-W427,AF427)))</f>
        <v>0</v>
      </c>
      <c r="AI427" s="14" t="n">
        <f aca="false">IF(W427=0,0,MAX(0,MIN(AE427,AF427+AG427)-MAX(AE427-W427,AF427)))</f>
        <v>0</v>
      </c>
      <c r="AJ427" s="14" t="n">
        <f aca="false">W427-AH427-AI427</f>
        <v>0</v>
      </c>
      <c r="AK427" s="9" t="n">
        <f aca="false">IF(W427=0,0,X427*AH427/W427)</f>
        <v>0</v>
      </c>
      <c r="AL427" s="9" t="n">
        <f aca="false">IF(W427=0,0,X427*AI427/W427)</f>
        <v>0</v>
      </c>
      <c r="AM427" s="9" t="n">
        <f aca="false">X427-AK427-AL427</f>
        <v>0</v>
      </c>
    </row>
    <row r="428" customFormat="false" ht="15" hidden="false" customHeight="false" outlineLevel="0" collapsed="false">
      <c r="A428" s="6" t="n">
        <v>423</v>
      </c>
      <c r="B428" s="74" t="s">
        <v>987</v>
      </c>
      <c r="C428" s="53" t="str">
        <f aca="false">INDEX(I_Items!$C$5:$C$133,MATCH($B428,I_Items!$A$5:$A$133,0))</f>
        <v>RPA</v>
      </c>
      <c r="D428" s="53" t="str">
        <f aca="false">INDEX(I_Items!$D$5:$D$133,MATCH($B428,I_Items!$A$5:$A$133,0))</f>
        <v>Karkas</v>
      </c>
      <c r="E428" s="53" t="str">
        <f aca="false">INDEX(I_Items!$F$5:$F$133,MATCH($B428,I_Items!$A$5:$A$133,0))</f>
        <v>Frozen</v>
      </c>
      <c r="F428" s="53" t="str">
        <f aca="false">IF(INDEX(I_Items!$E$5:$E$133,MATCH($B428,I_Items!$A$5:$A$133,0))="","",INDEX(I_Items!$E$5:$E$133,MATCH($B428,I_Items!$A$5:$A$133,0)))</f>
        <v>Uk 1.2</v>
      </c>
      <c r="G428" s="76" t="n">
        <v>46244</v>
      </c>
      <c r="H428" s="23" t="n">
        <f aca="false">MONTH(G428)</f>
        <v>8</v>
      </c>
      <c r="I428" s="74" t="s">
        <v>2117</v>
      </c>
      <c r="J428" s="74" t="s">
        <v>2151</v>
      </c>
      <c r="K428" s="10" t="n">
        <v>203.68</v>
      </c>
      <c r="L428" s="8" t="n">
        <v>7241002.67</v>
      </c>
      <c r="M428" s="10" t="n">
        <v>0</v>
      </c>
      <c r="N428" s="8" t="n">
        <v>0</v>
      </c>
      <c r="O428" s="74" t="s">
        <v>2119</v>
      </c>
      <c r="P428" s="74"/>
      <c r="Q428" s="74"/>
      <c r="R428" s="14" t="n">
        <f aca="false">IF(I428="Unbilled",0,M428)</f>
        <v>0</v>
      </c>
      <c r="S428" s="9" t="n">
        <f aca="false">IF(R428=0,0,IF(O428="Booked",N428,R428*V427))</f>
        <v>0</v>
      </c>
      <c r="T428" s="14" t="n">
        <f aca="false">IF(I428="Opening",K428,T427+K428-R428)</f>
        <v>462.95</v>
      </c>
      <c r="U428" s="9" t="n">
        <f aca="false">IF(I428="Opening",L428,U427+L428-S428)</f>
        <v>14620948.27</v>
      </c>
      <c r="V428" s="9" t="n">
        <f aca="false">IF(T428&gt;0,U428/T428,IF(I428="Opening",0,V427))</f>
        <v>31582.1325629118</v>
      </c>
      <c r="W428" s="14" t="n">
        <f aca="false">M428</f>
        <v>0</v>
      </c>
      <c r="X428" s="9" t="n">
        <f aca="false">IF(W428=0,0,IF(O428="Booked",N428,W428*AA427))</f>
        <v>0</v>
      </c>
      <c r="Y428" s="14" t="n">
        <f aca="false">IF(I428="Opening",K428,Y427+K428-W428)</f>
        <v>462.95</v>
      </c>
      <c r="Z428" s="9" t="n">
        <f aca="false">IF(I428="Opening",L428,Z427+L428-X428)</f>
        <v>14620948.27</v>
      </c>
      <c r="AA428" s="9" t="n">
        <f aca="false">IF(Y428&gt;0,Z428/Y428,IF(I428="Opening",0,AA427))</f>
        <v>31582.1325629118</v>
      </c>
      <c r="AB428" s="9" t="n">
        <f aca="false">IF(AND(I428="DO",O428="MA"),S428-N428,0)</f>
        <v>0</v>
      </c>
      <c r="AC428" s="9" t="n">
        <f aca="false">IF(I428="DO",X428-S428,0)</f>
        <v>0</v>
      </c>
      <c r="AD428" s="23" t="n">
        <f aca="false">IF(B429&lt;&gt;B428,1,0)</f>
        <v>0</v>
      </c>
      <c r="AE428" s="14" t="n">
        <f aca="false">IF(I428="Opening",0,AE427+W428)</f>
        <v>0</v>
      </c>
      <c r="AF428" s="14" t="n">
        <f aca="false">IF(I428="Opening",K428,AF427)</f>
        <v>132.97</v>
      </c>
      <c r="AG428" s="14" t="n">
        <f aca="false">AG427</f>
        <v>0</v>
      </c>
      <c r="AH428" s="14" t="n">
        <f aca="false">IF(W428=0,0,MAX(0,MIN(AE428,AF428)-MIN(AE428-W428,AF428)))</f>
        <v>0</v>
      </c>
      <c r="AI428" s="14" t="n">
        <f aca="false">IF(W428=0,0,MAX(0,MIN(AE428,AF428+AG428)-MAX(AE428-W428,AF428)))</f>
        <v>0</v>
      </c>
      <c r="AJ428" s="14" t="n">
        <f aca="false">W428-AH428-AI428</f>
        <v>0</v>
      </c>
      <c r="AK428" s="9" t="n">
        <f aca="false">IF(W428=0,0,X428*AH428/W428)</f>
        <v>0</v>
      </c>
      <c r="AL428" s="9" t="n">
        <f aca="false">IF(W428=0,0,X428*AI428/W428)</f>
        <v>0</v>
      </c>
      <c r="AM428" s="9" t="n">
        <f aca="false">X428-AK428-AL428</f>
        <v>0</v>
      </c>
    </row>
    <row r="429" customFormat="false" ht="15" hidden="false" customHeight="false" outlineLevel="0" collapsed="false">
      <c r="A429" s="6" t="n">
        <v>424</v>
      </c>
      <c r="B429" s="74" t="s">
        <v>987</v>
      </c>
      <c r="C429" s="53" t="str">
        <f aca="false">INDEX(I_Items!$C$5:$C$133,MATCH($B429,I_Items!$A$5:$A$133,0))</f>
        <v>RPA</v>
      </c>
      <c r="D429" s="53" t="str">
        <f aca="false">INDEX(I_Items!$D$5:$D$133,MATCH($B429,I_Items!$A$5:$A$133,0))</f>
        <v>Karkas</v>
      </c>
      <c r="E429" s="53" t="str">
        <f aca="false">INDEX(I_Items!$F$5:$F$133,MATCH($B429,I_Items!$A$5:$A$133,0))</f>
        <v>Frozen</v>
      </c>
      <c r="F429" s="53" t="str">
        <f aca="false">IF(INDEX(I_Items!$E$5:$E$133,MATCH($B429,I_Items!$A$5:$A$133,0))="","",INDEX(I_Items!$E$5:$E$133,MATCH($B429,I_Items!$A$5:$A$133,0)))</f>
        <v>Uk 1.2</v>
      </c>
      <c r="G429" s="76" t="n">
        <v>46248</v>
      </c>
      <c r="H429" s="23" t="n">
        <f aca="false">MONTH(G429)</f>
        <v>8</v>
      </c>
      <c r="I429" s="74" t="s">
        <v>2074</v>
      </c>
      <c r="J429" s="74" t="s">
        <v>1302</v>
      </c>
      <c r="K429" s="10" t="n">
        <v>119</v>
      </c>
      <c r="L429" s="8" t="n">
        <v>4141831.7</v>
      </c>
      <c r="M429" s="10" t="n">
        <v>0</v>
      </c>
      <c r="N429" s="8" t="n">
        <v>0</v>
      </c>
      <c r="O429" s="74"/>
      <c r="P429" s="74"/>
      <c r="Q429" s="74"/>
      <c r="R429" s="14" t="n">
        <f aca="false">IF(I429="Unbilled",0,M429)</f>
        <v>0</v>
      </c>
      <c r="S429" s="9" t="n">
        <f aca="false">IF(R429=0,0,IF(O429="Booked",N429,R429*V428))</f>
        <v>0</v>
      </c>
      <c r="T429" s="14" t="n">
        <f aca="false">IF(I429="Opening",K429,T428+K429-R429)</f>
        <v>581.95</v>
      </c>
      <c r="U429" s="9" t="n">
        <f aca="false">IF(I429="Opening",L429,U428+L429-S429)</f>
        <v>18762779.97</v>
      </c>
      <c r="V429" s="9" t="n">
        <f aca="false">IF(T429&gt;0,U429/T429,IF(I429="Opening",0,V428))</f>
        <v>32241.2234212561</v>
      </c>
      <c r="W429" s="14" t="n">
        <f aca="false">M429</f>
        <v>0</v>
      </c>
      <c r="X429" s="9" t="n">
        <f aca="false">IF(W429=0,0,IF(O429="Booked",N429,W429*AA428))</f>
        <v>0</v>
      </c>
      <c r="Y429" s="14" t="n">
        <f aca="false">IF(I429="Opening",K429,Y428+K429-W429)</f>
        <v>581.95</v>
      </c>
      <c r="Z429" s="9" t="n">
        <f aca="false">IF(I429="Opening",L429,Z428+L429-X429)</f>
        <v>18762779.97</v>
      </c>
      <c r="AA429" s="9" t="n">
        <f aca="false">IF(Y429&gt;0,Z429/Y429,IF(I429="Opening",0,AA428))</f>
        <v>32241.2234212561</v>
      </c>
      <c r="AB429" s="9" t="n">
        <f aca="false">IF(AND(I429="DO",O429="MA"),S429-N429,0)</f>
        <v>0</v>
      </c>
      <c r="AC429" s="9" t="n">
        <f aca="false">IF(I429="DO",X429-S429,0)</f>
        <v>0</v>
      </c>
      <c r="AD429" s="23" t="n">
        <f aca="false">IF(B430&lt;&gt;B429,1,0)</f>
        <v>0</v>
      </c>
      <c r="AE429" s="14" t="n">
        <f aca="false">IF(I429="Opening",0,AE428+W429)</f>
        <v>0</v>
      </c>
      <c r="AF429" s="14" t="n">
        <f aca="false">IF(I429="Opening",K429,AF428)</f>
        <v>132.97</v>
      </c>
      <c r="AG429" s="14" t="n">
        <f aca="false">AG428</f>
        <v>0</v>
      </c>
      <c r="AH429" s="14" t="n">
        <f aca="false">IF(W429=0,0,MAX(0,MIN(AE429,AF429)-MIN(AE429-W429,AF429)))</f>
        <v>0</v>
      </c>
      <c r="AI429" s="14" t="n">
        <f aca="false">IF(W429=0,0,MAX(0,MIN(AE429,AF429+AG429)-MAX(AE429-W429,AF429)))</f>
        <v>0</v>
      </c>
      <c r="AJ429" s="14" t="n">
        <f aca="false">W429-AH429-AI429</f>
        <v>0</v>
      </c>
      <c r="AK429" s="9" t="n">
        <f aca="false">IF(W429=0,0,X429*AH429/W429)</f>
        <v>0</v>
      </c>
      <c r="AL429" s="9" t="n">
        <f aca="false">IF(W429=0,0,X429*AI429/W429)</f>
        <v>0</v>
      </c>
      <c r="AM429" s="9" t="n">
        <f aca="false">X429-AK429-AL429</f>
        <v>0</v>
      </c>
    </row>
    <row r="430" customFormat="false" ht="15" hidden="false" customHeight="false" outlineLevel="0" collapsed="false">
      <c r="A430" s="6" t="n">
        <v>425</v>
      </c>
      <c r="B430" s="74" t="s">
        <v>987</v>
      </c>
      <c r="C430" s="53" t="str">
        <f aca="false">INDEX(I_Items!$C$5:$C$133,MATCH($B430,I_Items!$A$5:$A$133,0))</f>
        <v>RPA</v>
      </c>
      <c r="D430" s="53" t="str">
        <f aca="false">INDEX(I_Items!$D$5:$D$133,MATCH($B430,I_Items!$A$5:$A$133,0))</f>
        <v>Karkas</v>
      </c>
      <c r="E430" s="53" t="str">
        <f aca="false">INDEX(I_Items!$F$5:$F$133,MATCH($B430,I_Items!$A$5:$A$133,0))</f>
        <v>Frozen</v>
      </c>
      <c r="F430" s="53" t="str">
        <f aca="false">IF(INDEX(I_Items!$E$5:$E$133,MATCH($B430,I_Items!$A$5:$A$133,0))="","",INDEX(I_Items!$E$5:$E$133,MATCH($B430,I_Items!$A$5:$A$133,0)))</f>
        <v>Uk 1.2</v>
      </c>
      <c r="G430" s="76" t="n">
        <v>46252</v>
      </c>
      <c r="H430" s="23" t="n">
        <f aca="false">MONTH(G430)</f>
        <v>8</v>
      </c>
      <c r="I430" s="74" t="s">
        <v>2075</v>
      </c>
      <c r="J430" s="74" t="s">
        <v>2156</v>
      </c>
      <c r="K430" s="10" t="n">
        <v>0</v>
      </c>
      <c r="L430" s="8" t="n">
        <v>0</v>
      </c>
      <c r="M430" s="10" t="n">
        <v>13.6</v>
      </c>
      <c r="N430" s="8" t="n">
        <v>438480.64</v>
      </c>
      <c r="O430" s="74" t="s">
        <v>2077</v>
      </c>
      <c r="P430" s="74"/>
      <c r="Q430" s="74"/>
      <c r="R430" s="14" t="n">
        <f aca="false">IF(I430="Unbilled",0,M430)</f>
        <v>13.6</v>
      </c>
      <c r="S430" s="9" t="n">
        <f aca="false">IF(R430=0,0,IF(O430="Booked",N430,R430*V429))</f>
        <v>438480.638529083</v>
      </c>
      <c r="T430" s="14" t="n">
        <f aca="false">IF(I430="Opening",K430,T429+K430-R430)</f>
        <v>568.35</v>
      </c>
      <c r="U430" s="9" t="n">
        <f aca="false">IF(I430="Opening",L430,U429+L430-S430)</f>
        <v>18324299.3314709</v>
      </c>
      <c r="V430" s="9" t="n">
        <f aca="false">IF(T430&gt;0,U430/T430,IF(I430="Opening",0,V429))</f>
        <v>32241.2234212561</v>
      </c>
      <c r="W430" s="14" t="n">
        <f aca="false">M430</f>
        <v>13.6</v>
      </c>
      <c r="X430" s="9" t="n">
        <f aca="false">IF(W430=0,0,IF(O430="Booked",N430,W430*AA429))</f>
        <v>438480.638529083</v>
      </c>
      <c r="Y430" s="14" t="n">
        <f aca="false">IF(I430="Opening",K430,Y429+K430-W430)</f>
        <v>568.35</v>
      </c>
      <c r="Z430" s="9" t="n">
        <f aca="false">IF(I430="Opening",L430,Z429+L430-X430)</f>
        <v>18324299.3314709</v>
      </c>
      <c r="AA430" s="9" t="n">
        <f aca="false">IF(Y430&gt;0,Z430/Y430,IF(I430="Opening",0,AA429))</f>
        <v>32241.2234212561</v>
      </c>
      <c r="AB430" s="9" t="n">
        <f aca="false">IF(AND(I430="DO",O430="MA"),S430-N430,0)</f>
        <v>-0.00147091684630141</v>
      </c>
      <c r="AC430" s="9" t="n">
        <f aca="false">IF(I430="DO",X430-S430,0)</f>
        <v>0</v>
      </c>
      <c r="AD430" s="23" t="n">
        <f aca="false">IF(B431&lt;&gt;B430,1,0)</f>
        <v>0</v>
      </c>
      <c r="AE430" s="14" t="n">
        <f aca="false">IF(I430="Opening",0,AE429+W430)</f>
        <v>13.6</v>
      </c>
      <c r="AF430" s="14" t="n">
        <f aca="false">IF(I430="Opening",K430,AF429)</f>
        <v>132.97</v>
      </c>
      <c r="AG430" s="14" t="n">
        <f aca="false">AG429</f>
        <v>0</v>
      </c>
      <c r="AH430" s="14" t="n">
        <f aca="false">IF(W430=0,0,MAX(0,MIN(AE430,AF430)-MIN(AE430-W430,AF430)))</f>
        <v>13.6</v>
      </c>
      <c r="AI430" s="14" t="n">
        <f aca="false">IF(W430=0,0,MAX(0,MIN(AE430,AF430+AG430)-MAX(AE430-W430,AF430)))</f>
        <v>0</v>
      </c>
      <c r="AJ430" s="14" t="n">
        <f aca="false">W430-AH430-AI430</f>
        <v>0</v>
      </c>
      <c r="AK430" s="9" t="n">
        <f aca="false">IF(W430=0,0,X430*AH430/W430)</f>
        <v>438480.638529083</v>
      </c>
      <c r="AL430" s="9" t="n">
        <f aca="false">IF(W430=0,0,X430*AI430/W430)</f>
        <v>0</v>
      </c>
      <c r="AM430" s="9" t="n">
        <f aca="false">X430-AK430-AL430</f>
        <v>0</v>
      </c>
    </row>
    <row r="431" customFormat="false" ht="15" hidden="false" customHeight="false" outlineLevel="0" collapsed="false">
      <c r="A431" s="6" t="n">
        <v>426</v>
      </c>
      <c r="B431" s="74" t="s">
        <v>987</v>
      </c>
      <c r="C431" s="53" t="str">
        <f aca="false">INDEX(I_Items!$C$5:$C$133,MATCH($B431,I_Items!$A$5:$A$133,0))</f>
        <v>RPA</v>
      </c>
      <c r="D431" s="53" t="str">
        <f aca="false">INDEX(I_Items!$D$5:$D$133,MATCH($B431,I_Items!$A$5:$A$133,0))</f>
        <v>Karkas</v>
      </c>
      <c r="E431" s="53" t="str">
        <f aca="false">INDEX(I_Items!$F$5:$F$133,MATCH($B431,I_Items!$A$5:$A$133,0))</f>
        <v>Frozen</v>
      </c>
      <c r="F431" s="53" t="str">
        <f aca="false">IF(INDEX(I_Items!$E$5:$E$133,MATCH($B431,I_Items!$A$5:$A$133,0))="","",INDEX(I_Items!$E$5:$E$133,MATCH($B431,I_Items!$A$5:$A$133,0)))</f>
        <v>Uk 1.2</v>
      </c>
      <c r="G431" s="76" t="n">
        <v>46253</v>
      </c>
      <c r="H431" s="23" t="n">
        <f aca="false">MONTH(G431)</f>
        <v>8</v>
      </c>
      <c r="I431" s="74" t="s">
        <v>2074</v>
      </c>
      <c r="J431" s="74" t="s">
        <v>1305</v>
      </c>
      <c r="K431" s="10" t="n">
        <v>156.1</v>
      </c>
      <c r="L431" s="8" t="n">
        <v>5362274.74</v>
      </c>
      <c r="M431" s="10" t="n">
        <v>0</v>
      </c>
      <c r="N431" s="8" t="n">
        <v>0</v>
      </c>
      <c r="O431" s="74"/>
      <c r="P431" s="74"/>
      <c r="Q431" s="74"/>
      <c r="R431" s="14" t="n">
        <f aca="false">IF(I431="Unbilled",0,M431)</f>
        <v>0</v>
      </c>
      <c r="S431" s="9" t="n">
        <f aca="false">IF(R431=0,0,IF(O431="Booked",N431,R431*V430))</f>
        <v>0</v>
      </c>
      <c r="T431" s="14" t="n">
        <f aca="false">IF(I431="Opening",K431,T430+K431-R431)</f>
        <v>724.45</v>
      </c>
      <c r="U431" s="9" t="n">
        <f aca="false">IF(I431="Opening",L431,U430+L431-S431)</f>
        <v>23686574.0714709</v>
      </c>
      <c r="V431" s="9" t="n">
        <f aca="false">IF(T431&gt;0,U431/T431,IF(I431="Opening",0,V430))</f>
        <v>32695.9404672109</v>
      </c>
      <c r="W431" s="14" t="n">
        <f aca="false">M431</f>
        <v>0</v>
      </c>
      <c r="X431" s="9" t="n">
        <f aca="false">IF(W431=0,0,IF(O431="Booked",N431,W431*AA430))</f>
        <v>0</v>
      </c>
      <c r="Y431" s="14" t="n">
        <f aca="false">IF(I431="Opening",K431,Y430+K431-W431)</f>
        <v>724.45</v>
      </c>
      <c r="Z431" s="9" t="n">
        <f aca="false">IF(I431="Opening",L431,Z430+L431-X431)</f>
        <v>23686574.0714709</v>
      </c>
      <c r="AA431" s="9" t="n">
        <f aca="false">IF(Y431&gt;0,Z431/Y431,IF(I431="Opening",0,AA430))</f>
        <v>32695.9404672109</v>
      </c>
      <c r="AB431" s="9" t="n">
        <f aca="false">IF(AND(I431="DO",O431="MA"),S431-N431,0)</f>
        <v>0</v>
      </c>
      <c r="AC431" s="9" t="n">
        <f aca="false">IF(I431="DO",X431-S431,0)</f>
        <v>0</v>
      </c>
      <c r="AD431" s="23" t="n">
        <f aca="false">IF(B432&lt;&gt;B431,1,0)</f>
        <v>0</v>
      </c>
      <c r="AE431" s="14" t="n">
        <f aca="false">IF(I431="Opening",0,AE430+W431)</f>
        <v>13.6</v>
      </c>
      <c r="AF431" s="14" t="n">
        <f aca="false">IF(I431="Opening",K431,AF430)</f>
        <v>132.97</v>
      </c>
      <c r="AG431" s="14" t="n">
        <f aca="false">AG430</f>
        <v>0</v>
      </c>
      <c r="AH431" s="14" t="n">
        <f aca="false">IF(W431=0,0,MAX(0,MIN(AE431,AF431)-MIN(AE431-W431,AF431)))</f>
        <v>0</v>
      </c>
      <c r="AI431" s="14" t="n">
        <f aca="false">IF(W431=0,0,MAX(0,MIN(AE431,AF431+AG431)-MAX(AE431-W431,AF431)))</f>
        <v>0</v>
      </c>
      <c r="AJ431" s="14" t="n">
        <f aca="false">W431-AH431-AI431</f>
        <v>0</v>
      </c>
      <c r="AK431" s="9" t="n">
        <f aca="false">IF(W431=0,0,X431*AH431/W431)</f>
        <v>0</v>
      </c>
      <c r="AL431" s="9" t="n">
        <f aca="false">IF(W431=0,0,X431*AI431/W431)</f>
        <v>0</v>
      </c>
      <c r="AM431" s="9" t="n">
        <f aca="false">X431-AK431-AL431</f>
        <v>0</v>
      </c>
    </row>
    <row r="432" customFormat="false" ht="15" hidden="false" customHeight="false" outlineLevel="0" collapsed="false">
      <c r="A432" s="6" t="n">
        <v>427</v>
      </c>
      <c r="B432" s="74" t="s">
        <v>987</v>
      </c>
      <c r="C432" s="53" t="str">
        <f aca="false">INDEX(I_Items!$C$5:$C$133,MATCH($B432,I_Items!$A$5:$A$133,0))</f>
        <v>RPA</v>
      </c>
      <c r="D432" s="53" t="str">
        <f aca="false">INDEX(I_Items!$D$5:$D$133,MATCH($B432,I_Items!$A$5:$A$133,0))</f>
        <v>Karkas</v>
      </c>
      <c r="E432" s="53" t="str">
        <f aca="false">INDEX(I_Items!$F$5:$F$133,MATCH($B432,I_Items!$A$5:$A$133,0))</f>
        <v>Frozen</v>
      </c>
      <c r="F432" s="53" t="str">
        <f aca="false">IF(INDEX(I_Items!$E$5:$E$133,MATCH($B432,I_Items!$A$5:$A$133,0))="","",INDEX(I_Items!$E$5:$E$133,MATCH($B432,I_Items!$A$5:$A$133,0)))</f>
        <v>Uk 1.2</v>
      </c>
      <c r="G432" s="76" t="n">
        <v>46254</v>
      </c>
      <c r="H432" s="23" t="n">
        <f aca="false">MONTH(G432)</f>
        <v>8</v>
      </c>
      <c r="I432" s="74" t="s">
        <v>2074</v>
      </c>
      <c r="J432" s="74" t="s">
        <v>1308</v>
      </c>
      <c r="K432" s="10" t="n">
        <v>59.2</v>
      </c>
      <c r="L432" s="8" t="n">
        <v>2038177.84</v>
      </c>
      <c r="M432" s="10" t="n">
        <v>0</v>
      </c>
      <c r="N432" s="8" t="n">
        <v>0</v>
      </c>
      <c r="O432" s="74"/>
      <c r="P432" s="74"/>
      <c r="Q432" s="74"/>
      <c r="R432" s="14" t="n">
        <f aca="false">IF(I432="Unbilled",0,M432)</f>
        <v>0</v>
      </c>
      <c r="S432" s="9" t="n">
        <f aca="false">IF(R432=0,0,IF(O432="Booked",N432,R432*V431))</f>
        <v>0</v>
      </c>
      <c r="T432" s="14" t="n">
        <f aca="false">IF(I432="Opening",K432,T431+K432-R432)</f>
        <v>783.65</v>
      </c>
      <c r="U432" s="9" t="n">
        <f aca="false">IF(I432="Opening",L432,U431+L432-S432)</f>
        <v>25724751.9114709</v>
      </c>
      <c r="V432" s="9" t="n">
        <f aca="false">IF(T432&gt;0,U432/T432,IF(I432="Opening",0,V431))</f>
        <v>32826.8383991207</v>
      </c>
      <c r="W432" s="14" t="n">
        <f aca="false">M432</f>
        <v>0</v>
      </c>
      <c r="X432" s="9" t="n">
        <f aca="false">IF(W432=0,0,IF(O432="Booked",N432,W432*AA431))</f>
        <v>0</v>
      </c>
      <c r="Y432" s="14" t="n">
        <f aca="false">IF(I432="Opening",K432,Y431+K432-W432)</f>
        <v>783.65</v>
      </c>
      <c r="Z432" s="9" t="n">
        <f aca="false">IF(I432="Opening",L432,Z431+L432-X432)</f>
        <v>25724751.9114709</v>
      </c>
      <c r="AA432" s="9" t="n">
        <f aca="false">IF(Y432&gt;0,Z432/Y432,IF(I432="Opening",0,AA431))</f>
        <v>32826.8383991207</v>
      </c>
      <c r="AB432" s="9" t="n">
        <f aca="false">IF(AND(I432="DO",O432="MA"),S432-N432,0)</f>
        <v>0</v>
      </c>
      <c r="AC432" s="9" t="n">
        <f aca="false">IF(I432="DO",X432-S432,0)</f>
        <v>0</v>
      </c>
      <c r="AD432" s="23" t="n">
        <f aca="false">IF(B433&lt;&gt;B432,1,0)</f>
        <v>0</v>
      </c>
      <c r="AE432" s="14" t="n">
        <f aca="false">IF(I432="Opening",0,AE431+W432)</f>
        <v>13.6</v>
      </c>
      <c r="AF432" s="14" t="n">
        <f aca="false">IF(I432="Opening",K432,AF431)</f>
        <v>132.97</v>
      </c>
      <c r="AG432" s="14" t="n">
        <f aca="false">AG431</f>
        <v>0</v>
      </c>
      <c r="AH432" s="14" t="n">
        <f aca="false">IF(W432=0,0,MAX(0,MIN(AE432,AF432)-MIN(AE432-W432,AF432)))</f>
        <v>0</v>
      </c>
      <c r="AI432" s="14" t="n">
        <f aca="false">IF(W432=0,0,MAX(0,MIN(AE432,AF432+AG432)-MAX(AE432-W432,AF432)))</f>
        <v>0</v>
      </c>
      <c r="AJ432" s="14" t="n">
        <f aca="false">W432-AH432-AI432</f>
        <v>0</v>
      </c>
      <c r="AK432" s="9" t="n">
        <f aca="false">IF(W432=0,0,X432*AH432/W432)</f>
        <v>0</v>
      </c>
      <c r="AL432" s="9" t="n">
        <f aca="false">IF(W432=0,0,X432*AI432/W432)</f>
        <v>0</v>
      </c>
      <c r="AM432" s="9" t="n">
        <f aca="false">X432-AK432-AL432</f>
        <v>0</v>
      </c>
    </row>
    <row r="433" customFormat="false" ht="15" hidden="false" customHeight="false" outlineLevel="0" collapsed="false">
      <c r="A433" s="6" t="n">
        <v>428</v>
      </c>
      <c r="B433" s="74" t="s">
        <v>987</v>
      </c>
      <c r="C433" s="53" t="str">
        <f aca="false">INDEX(I_Items!$C$5:$C$133,MATCH($B433,I_Items!$A$5:$A$133,0))</f>
        <v>RPA</v>
      </c>
      <c r="D433" s="53" t="str">
        <f aca="false">INDEX(I_Items!$D$5:$D$133,MATCH($B433,I_Items!$A$5:$A$133,0))</f>
        <v>Karkas</v>
      </c>
      <c r="E433" s="53" t="str">
        <f aca="false">INDEX(I_Items!$F$5:$F$133,MATCH($B433,I_Items!$A$5:$A$133,0))</f>
        <v>Frozen</v>
      </c>
      <c r="F433" s="53" t="str">
        <f aca="false">IF(INDEX(I_Items!$E$5:$E$133,MATCH($B433,I_Items!$A$5:$A$133,0))="","",INDEX(I_Items!$E$5:$E$133,MATCH($B433,I_Items!$A$5:$A$133,0)))</f>
        <v>Uk 1.2</v>
      </c>
      <c r="G433" s="76" t="n">
        <v>46255</v>
      </c>
      <c r="H433" s="23" t="n">
        <f aca="false">MONTH(G433)</f>
        <v>8</v>
      </c>
      <c r="I433" s="74" t="s">
        <v>2074</v>
      </c>
      <c r="J433" s="74" t="s">
        <v>1311</v>
      </c>
      <c r="K433" s="10" t="n">
        <v>78.8</v>
      </c>
      <c r="L433" s="8" t="n">
        <v>2737628.06</v>
      </c>
      <c r="M433" s="10" t="n">
        <v>0</v>
      </c>
      <c r="N433" s="8" t="n">
        <v>0</v>
      </c>
      <c r="O433" s="74"/>
      <c r="P433" s="74"/>
      <c r="Q433" s="74"/>
      <c r="R433" s="14" t="n">
        <f aca="false">IF(I433="Unbilled",0,M433)</f>
        <v>0</v>
      </c>
      <c r="S433" s="9" t="n">
        <f aca="false">IF(R433=0,0,IF(O433="Booked",N433,R433*V432))</f>
        <v>0</v>
      </c>
      <c r="T433" s="14" t="n">
        <f aca="false">IF(I433="Opening",K433,T432+K433-R433)</f>
        <v>862.45</v>
      </c>
      <c r="U433" s="9" t="n">
        <f aca="false">IF(I433="Opening",L433,U432+L433-S433)</f>
        <v>28462379.9714709</v>
      </c>
      <c r="V433" s="9" t="n">
        <f aca="false">IF(T433&gt;0,U433/T433,IF(I433="Opening",0,V432))</f>
        <v>33001.7739828059</v>
      </c>
      <c r="W433" s="14" t="n">
        <f aca="false">M433</f>
        <v>0</v>
      </c>
      <c r="X433" s="9" t="n">
        <f aca="false">IF(W433=0,0,IF(O433="Booked",N433,W433*AA432))</f>
        <v>0</v>
      </c>
      <c r="Y433" s="14" t="n">
        <f aca="false">IF(I433="Opening",K433,Y432+K433-W433)</f>
        <v>862.45</v>
      </c>
      <c r="Z433" s="9" t="n">
        <f aca="false">IF(I433="Opening",L433,Z432+L433-X433)</f>
        <v>28462379.9714709</v>
      </c>
      <c r="AA433" s="9" t="n">
        <f aca="false">IF(Y433&gt;0,Z433/Y433,IF(I433="Opening",0,AA432))</f>
        <v>33001.7739828059</v>
      </c>
      <c r="AB433" s="9" t="n">
        <f aca="false">IF(AND(I433="DO",O433="MA"),S433-N433,0)</f>
        <v>0</v>
      </c>
      <c r="AC433" s="9" t="n">
        <f aca="false">IF(I433="DO",X433-S433,0)</f>
        <v>0</v>
      </c>
      <c r="AD433" s="23" t="n">
        <f aca="false">IF(B434&lt;&gt;B433,1,0)</f>
        <v>0</v>
      </c>
      <c r="AE433" s="14" t="n">
        <f aca="false">IF(I433="Opening",0,AE432+W433)</f>
        <v>13.6</v>
      </c>
      <c r="AF433" s="14" t="n">
        <f aca="false">IF(I433="Opening",K433,AF432)</f>
        <v>132.97</v>
      </c>
      <c r="AG433" s="14" t="n">
        <f aca="false">AG432</f>
        <v>0</v>
      </c>
      <c r="AH433" s="14" t="n">
        <f aca="false">IF(W433=0,0,MAX(0,MIN(AE433,AF433)-MIN(AE433-W433,AF433)))</f>
        <v>0</v>
      </c>
      <c r="AI433" s="14" t="n">
        <f aca="false">IF(W433=0,0,MAX(0,MIN(AE433,AF433+AG433)-MAX(AE433-W433,AF433)))</f>
        <v>0</v>
      </c>
      <c r="AJ433" s="14" t="n">
        <f aca="false">W433-AH433-AI433</f>
        <v>0</v>
      </c>
      <c r="AK433" s="9" t="n">
        <f aca="false">IF(W433=0,0,X433*AH433/W433)</f>
        <v>0</v>
      </c>
      <c r="AL433" s="9" t="n">
        <f aca="false">IF(W433=0,0,X433*AI433/W433)</f>
        <v>0</v>
      </c>
      <c r="AM433" s="9" t="n">
        <f aca="false">X433-AK433-AL433</f>
        <v>0</v>
      </c>
    </row>
    <row r="434" customFormat="false" ht="15" hidden="false" customHeight="false" outlineLevel="0" collapsed="false">
      <c r="A434" s="6" t="n">
        <v>429</v>
      </c>
      <c r="B434" s="74" t="s">
        <v>987</v>
      </c>
      <c r="C434" s="53" t="str">
        <f aca="false">INDEX(I_Items!$C$5:$C$133,MATCH($B434,I_Items!$A$5:$A$133,0))</f>
        <v>RPA</v>
      </c>
      <c r="D434" s="53" t="str">
        <f aca="false">INDEX(I_Items!$D$5:$D$133,MATCH($B434,I_Items!$A$5:$A$133,0))</f>
        <v>Karkas</v>
      </c>
      <c r="E434" s="53" t="str">
        <f aca="false">INDEX(I_Items!$F$5:$F$133,MATCH($B434,I_Items!$A$5:$A$133,0))</f>
        <v>Frozen</v>
      </c>
      <c r="F434" s="53" t="str">
        <f aca="false">IF(INDEX(I_Items!$E$5:$E$133,MATCH($B434,I_Items!$A$5:$A$133,0))="","",INDEX(I_Items!$E$5:$E$133,MATCH($B434,I_Items!$A$5:$A$133,0)))</f>
        <v>Uk 1.2</v>
      </c>
      <c r="G434" s="76" t="n">
        <v>46259</v>
      </c>
      <c r="H434" s="23" t="n">
        <f aca="false">MONTH(G434)</f>
        <v>8</v>
      </c>
      <c r="I434" s="74" t="s">
        <v>2074</v>
      </c>
      <c r="J434" s="74" t="s">
        <v>1314</v>
      </c>
      <c r="K434" s="10" t="n">
        <v>127</v>
      </c>
      <c r="L434" s="8" t="n">
        <v>4257916.68</v>
      </c>
      <c r="M434" s="10" t="n">
        <v>0</v>
      </c>
      <c r="N434" s="8" t="n">
        <v>0</v>
      </c>
      <c r="O434" s="74"/>
      <c r="P434" s="74"/>
      <c r="Q434" s="74"/>
      <c r="R434" s="14" t="n">
        <f aca="false">IF(I434="Unbilled",0,M434)</f>
        <v>0</v>
      </c>
      <c r="S434" s="9" t="n">
        <f aca="false">IF(R434=0,0,IF(O434="Booked",N434,R434*V433))</f>
        <v>0</v>
      </c>
      <c r="T434" s="14" t="n">
        <f aca="false">IF(I434="Opening",K434,T433+K434-R434)</f>
        <v>989.45</v>
      </c>
      <c r="U434" s="9" t="n">
        <f aca="false">IF(I434="Opening",L434,U433+L434-S434)</f>
        <v>32720296.6514709</v>
      </c>
      <c r="V434" s="9" t="n">
        <f aca="false">IF(T434&gt;0,U434/T434,IF(I434="Opening",0,V433))</f>
        <v>33069.1764631572</v>
      </c>
      <c r="W434" s="14" t="n">
        <f aca="false">M434</f>
        <v>0</v>
      </c>
      <c r="X434" s="9" t="n">
        <f aca="false">IF(W434=0,0,IF(O434="Booked",N434,W434*AA433))</f>
        <v>0</v>
      </c>
      <c r="Y434" s="14" t="n">
        <f aca="false">IF(I434="Opening",K434,Y433+K434-W434)</f>
        <v>989.45</v>
      </c>
      <c r="Z434" s="9" t="n">
        <f aca="false">IF(I434="Opening",L434,Z433+L434-X434)</f>
        <v>32720296.6514709</v>
      </c>
      <c r="AA434" s="9" t="n">
        <f aca="false">IF(Y434&gt;0,Z434/Y434,IF(I434="Opening",0,AA433))</f>
        <v>33069.1764631572</v>
      </c>
      <c r="AB434" s="9" t="n">
        <f aca="false">IF(AND(I434="DO",O434="MA"),S434-N434,0)</f>
        <v>0</v>
      </c>
      <c r="AC434" s="9" t="n">
        <f aca="false">IF(I434="DO",X434-S434,0)</f>
        <v>0</v>
      </c>
      <c r="AD434" s="23" t="n">
        <f aca="false">IF(B435&lt;&gt;B434,1,0)</f>
        <v>0</v>
      </c>
      <c r="AE434" s="14" t="n">
        <f aca="false">IF(I434="Opening",0,AE433+W434)</f>
        <v>13.6</v>
      </c>
      <c r="AF434" s="14" t="n">
        <f aca="false">IF(I434="Opening",K434,AF433)</f>
        <v>132.97</v>
      </c>
      <c r="AG434" s="14" t="n">
        <f aca="false">AG433</f>
        <v>0</v>
      </c>
      <c r="AH434" s="14" t="n">
        <f aca="false">IF(W434=0,0,MAX(0,MIN(AE434,AF434)-MIN(AE434-W434,AF434)))</f>
        <v>0</v>
      </c>
      <c r="AI434" s="14" t="n">
        <f aca="false">IF(W434=0,0,MAX(0,MIN(AE434,AF434+AG434)-MAX(AE434-W434,AF434)))</f>
        <v>0</v>
      </c>
      <c r="AJ434" s="14" t="n">
        <f aca="false">W434-AH434-AI434</f>
        <v>0</v>
      </c>
      <c r="AK434" s="9" t="n">
        <f aca="false">IF(W434=0,0,X434*AH434/W434)</f>
        <v>0</v>
      </c>
      <c r="AL434" s="9" t="n">
        <f aca="false">IF(W434=0,0,X434*AI434/W434)</f>
        <v>0</v>
      </c>
      <c r="AM434" s="9" t="n">
        <f aca="false">X434-AK434-AL434</f>
        <v>0</v>
      </c>
    </row>
    <row r="435" customFormat="false" ht="15" hidden="false" customHeight="false" outlineLevel="0" collapsed="false">
      <c r="A435" s="6" t="n">
        <v>430</v>
      </c>
      <c r="B435" s="74" t="s">
        <v>987</v>
      </c>
      <c r="C435" s="53" t="str">
        <f aca="false">INDEX(I_Items!$C$5:$C$133,MATCH($B435,I_Items!$A$5:$A$133,0))</f>
        <v>RPA</v>
      </c>
      <c r="D435" s="53" t="str">
        <f aca="false">INDEX(I_Items!$D$5:$D$133,MATCH($B435,I_Items!$A$5:$A$133,0))</f>
        <v>Karkas</v>
      </c>
      <c r="E435" s="53" t="str">
        <f aca="false">INDEX(I_Items!$F$5:$F$133,MATCH($B435,I_Items!$A$5:$A$133,0))</f>
        <v>Frozen</v>
      </c>
      <c r="F435" s="53" t="str">
        <f aca="false">IF(INDEX(I_Items!$E$5:$E$133,MATCH($B435,I_Items!$A$5:$A$133,0))="","",INDEX(I_Items!$E$5:$E$133,MATCH($B435,I_Items!$A$5:$A$133,0)))</f>
        <v>Uk 1.2</v>
      </c>
      <c r="G435" s="76" t="n">
        <v>46260</v>
      </c>
      <c r="H435" s="23" t="n">
        <f aca="false">MONTH(G435)</f>
        <v>8</v>
      </c>
      <c r="I435" s="74" t="s">
        <v>2074</v>
      </c>
      <c r="J435" s="74" t="s">
        <v>1317</v>
      </c>
      <c r="K435" s="10" t="n">
        <v>178.8</v>
      </c>
      <c r="L435" s="8" t="n">
        <v>6122988.89</v>
      </c>
      <c r="M435" s="10" t="n">
        <v>0</v>
      </c>
      <c r="N435" s="8" t="n">
        <v>0</v>
      </c>
      <c r="O435" s="74"/>
      <c r="P435" s="74"/>
      <c r="Q435" s="74"/>
      <c r="R435" s="14" t="n">
        <f aca="false">IF(I435="Unbilled",0,M435)</f>
        <v>0</v>
      </c>
      <c r="S435" s="9" t="n">
        <f aca="false">IF(R435=0,0,IF(O435="Booked",N435,R435*V434))</f>
        <v>0</v>
      </c>
      <c r="T435" s="14" t="n">
        <f aca="false">IF(I435="Opening",K435,T434+K435-R435)</f>
        <v>1168.25</v>
      </c>
      <c r="U435" s="9" t="n">
        <f aca="false">IF(I435="Opening",L435,U434+L435-S435)</f>
        <v>38843285.5414709</v>
      </c>
      <c r="V435" s="9" t="n">
        <f aca="false">IF(T435&gt;0,U435/T435,IF(I435="Opening",0,V434))</f>
        <v>33249.1209428384</v>
      </c>
      <c r="W435" s="14" t="n">
        <f aca="false">M435</f>
        <v>0</v>
      </c>
      <c r="X435" s="9" t="n">
        <f aca="false">IF(W435=0,0,IF(O435="Booked",N435,W435*AA434))</f>
        <v>0</v>
      </c>
      <c r="Y435" s="14" t="n">
        <f aca="false">IF(I435="Opening",K435,Y434+K435-W435)</f>
        <v>1168.25</v>
      </c>
      <c r="Z435" s="9" t="n">
        <f aca="false">IF(I435="Opening",L435,Z434+L435-X435)</f>
        <v>38843285.5414709</v>
      </c>
      <c r="AA435" s="9" t="n">
        <f aca="false">IF(Y435&gt;0,Z435/Y435,IF(I435="Opening",0,AA434))</f>
        <v>33249.1209428384</v>
      </c>
      <c r="AB435" s="9" t="n">
        <f aca="false">IF(AND(I435="DO",O435="MA"),S435-N435,0)</f>
        <v>0</v>
      </c>
      <c r="AC435" s="9" t="n">
        <f aca="false">IF(I435="DO",X435-S435,0)</f>
        <v>0</v>
      </c>
      <c r="AD435" s="23" t="n">
        <f aca="false">IF(B436&lt;&gt;B435,1,0)</f>
        <v>0</v>
      </c>
      <c r="AE435" s="14" t="n">
        <f aca="false">IF(I435="Opening",0,AE434+W435)</f>
        <v>13.6</v>
      </c>
      <c r="AF435" s="14" t="n">
        <f aca="false">IF(I435="Opening",K435,AF434)</f>
        <v>132.97</v>
      </c>
      <c r="AG435" s="14" t="n">
        <f aca="false">AG434</f>
        <v>0</v>
      </c>
      <c r="AH435" s="14" t="n">
        <f aca="false">IF(W435=0,0,MAX(0,MIN(AE435,AF435)-MIN(AE435-W435,AF435)))</f>
        <v>0</v>
      </c>
      <c r="AI435" s="14" t="n">
        <f aca="false">IF(W435=0,0,MAX(0,MIN(AE435,AF435+AG435)-MAX(AE435-W435,AF435)))</f>
        <v>0</v>
      </c>
      <c r="AJ435" s="14" t="n">
        <f aca="false">W435-AH435-AI435</f>
        <v>0</v>
      </c>
      <c r="AK435" s="9" t="n">
        <f aca="false">IF(W435=0,0,X435*AH435/W435)</f>
        <v>0</v>
      </c>
      <c r="AL435" s="9" t="n">
        <f aca="false">IF(W435=0,0,X435*AI435/W435)</f>
        <v>0</v>
      </c>
      <c r="AM435" s="9" t="n">
        <f aca="false">X435-AK435-AL435</f>
        <v>0</v>
      </c>
    </row>
    <row r="436" customFormat="false" ht="15" hidden="false" customHeight="false" outlineLevel="0" collapsed="false">
      <c r="A436" s="6" t="n">
        <v>431</v>
      </c>
      <c r="B436" s="74" t="s">
        <v>987</v>
      </c>
      <c r="C436" s="53" t="str">
        <f aca="false">INDEX(I_Items!$C$5:$C$133,MATCH($B436,I_Items!$A$5:$A$133,0))</f>
        <v>RPA</v>
      </c>
      <c r="D436" s="53" t="str">
        <f aca="false">INDEX(I_Items!$D$5:$D$133,MATCH($B436,I_Items!$A$5:$A$133,0))</f>
        <v>Karkas</v>
      </c>
      <c r="E436" s="53" t="str">
        <f aca="false">INDEX(I_Items!$F$5:$F$133,MATCH($B436,I_Items!$A$5:$A$133,0))</f>
        <v>Frozen</v>
      </c>
      <c r="F436" s="53" t="str">
        <f aca="false">IF(INDEX(I_Items!$E$5:$E$133,MATCH($B436,I_Items!$A$5:$A$133,0))="","",INDEX(I_Items!$E$5:$E$133,MATCH($B436,I_Items!$A$5:$A$133,0)))</f>
        <v>Uk 1.2</v>
      </c>
      <c r="G436" s="76" t="n">
        <v>46261</v>
      </c>
      <c r="H436" s="23" t="n">
        <f aca="false">MONTH(G436)</f>
        <v>8</v>
      </c>
      <c r="I436" s="74" t="s">
        <v>2074</v>
      </c>
      <c r="J436" s="74" t="s">
        <v>1320</v>
      </c>
      <c r="K436" s="10" t="n">
        <v>137.3</v>
      </c>
      <c r="L436" s="8" t="n">
        <v>4641282.14</v>
      </c>
      <c r="M436" s="10" t="n">
        <v>0</v>
      </c>
      <c r="N436" s="8" t="n">
        <v>0</v>
      </c>
      <c r="O436" s="74"/>
      <c r="P436" s="74"/>
      <c r="Q436" s="74"/>
      <c r="R436" s="14" t="n">
        <f aca="false">IF(I436="Unbilled",0,M436)</f>
        <v>0</v>
      </c>
      <c r="S436" s="9" t="n">
        <f aca="false">IF(R436=0,0,IF(O436="Booked",N436,R436*V435))</f>
        <v>0</v>
      </c>
      <c r="T436" s="14" t="n">
        <f aca="false">IF(I436="Opening",K436,T435+K436-R436)</f>
        <v>1305.55</v>
      </c>
      <c r="U436" s="9" t="n">
        <f aca="false">IF(I436="Opening",L436,U435+L436-S436)</f>
        <v>43484567.6814709</v>
      </c>
      <c r="V436" s="9" t="n">
        <f aca="false">IF(T436&gt;0,U436/T436,IF(I436="Opening",0,V435))</f>
        <v>33307.470170787</v>
      </c>
      <c r="W436" s="14" t="n">
        <f aca="false">M436</f>
        <v>0</v>
      </c>
      <c r="X436" s="9" t="n">
        <f aca="false">IF(W436=0,0,IF(O436="Booked",N436,W436*AA435))</f>
        <v>0</v>
      </c>
      <c r="Y436" s="14" t="n">
        <f aca="false">IF(I436="Opening",K436,Y435+K436-W436)</f>
        <v>1305.55</v>
      </c>
      <c r="Z436" s="9" t="n">
        <f aca="false">IF(I436="Opening",L436,Z435+L436-X436)</f>
        <v>43484567.6814709</v>
      </c>
      <c r="AA436" s="9" t="n">
        <f aca="false">IF(Y436&gt;0,Z436/Y436,IF(I436="Opening",0,AA435))</f>
        <v>33307.470170787</v>
      </c>
      <c r="AB436" s="9" t="n">
        <f aca="false">IF(AND(I436="DO",O436="MA"),S436-N436,0)</f>
        <v>0</v>
      </c>
      <c r="AC436" s="9" t="n">
        <f aca="false">IF(I436="DO",X436-S436,0)</f>
        <v>0</v>
      </c>
      <c r="AD436" s="23" t="n">
        <f aca="false">IF(B437&lt;&gt;B436,1,0)</f>
        <v>0</v>
      </c>
      <c r="AE436" s="14" t="n">
        <f aca="false">IF(I436="Opening",0,AE435+W436)</f>
        <v>13.6</v>
      </c>
      <c r="AF436" s="14" t="n">
        <f aca="false">IF(I436="Opening",K436,AF435)</f>
        <v>132.97</v>
      </c>
      <c r="AG436" s="14" t="n">
        <f aca="false">AG435</f>
        <v>0</v>
      </c>
      <c r="AH436" s="14" t="n">
        <f aca="false">IF(W436=0,0,MAX(0,MIN(AE436,AF436)-MIN(AE436-W436,AF436)))</f>
        <v>0</v>
      </c>
      <c r="AI436" s="14" t="n">
        <f aca="false">IF(W436=0,0,MAX(0,MIN(AE436,AF436+AG436)-MAX(AE436-W436,AF436)))</f>
        <v>0</v>
      </c>
      <c r="AJ436" s="14" t="n">
        <f aca="false">W436-AH436-AI436</f>
        <v>0</v>
      </c>
      <c r="AK436" s="9" t="n">
        <f aca="false">IF(W436=0,0,X436*AH436/W436)</f>
        <v>0</v>
      </c>
      <c r="AL436" s="9" t="n">
        <f aca="false">IF(W436=0,0,X436*AI436/W436)</f>
        <v>0</v>
      </c>
      <c r="AM436" s="9" t="n">
        <f aca="false">X436-AK436-AL436</f>
        <v>0</v>
      </c>
    </row>
    <row r="437" customFormat="false" ht="15" hidden="false" customHeight="false" outlineLevel="0" collapsed="false">
      <c r="A437" s="6" t="n">
        <v>432</v>
      </c>
      <c r="B437" s="74" t="s">
        <v>987</v>
      </c>
      <c r="C437" s="53" t="str">
        <f aca="false">INDEX(I_Items!$C$5:$C$133,MATCH($B437,I_Items!$A$5:$A$133,0))</f>
        <v>RPA</v>
      </c>
      <c r="D437" s="53" t="str">
        <f aca="false">INDEX(I_Items!$D$5:$D$133,MATCH($B437,I_Items!$A$5:$A$133,0))</f>
        <v>Karkas</v>
      </c>
      <c r="E437" s="53" t="str">
        <f aca="false">INDEX(I_Items!$F$5:$F$133,MATCH($B437,I_Items!$A$5:$A$133,0))</f>
        <v>Frozen</v>
      </c>
      <c r="F437" s="53" t="str">
        <f aca="false">IF(INDEX(I_Items!$E$5:$E$133,MATCH($B437,I_Items!$A$5:$A$133,0))="","",INDEX(I_Items!$E$5:$E$133,MATCH($B437,I_Items!$A$5:$A$133,0)))</f>
        <v>Uk 1.2</v>
      </c>
      <c r="G437" s="76" t="n">
        <v>46262</v>
      </c>
      <c r="H437" s="23" t="n">
        <f aca="false">MONTH(G437)</f>
        <v>8</v>
      </c>
      <c r="I437" s="74" t="s">
        <v>2074</v>
      </c>
      <c r="J437" s="74" t="s">
        <v>1323</v>
      </c>
      <c r="K437" s="10" t="n">
        <v>170.7</v>
      </c>
      <c r="L437" s="8" t="n">
        <v>5818053.93</v>
      </c>
      <c r="M437" s="10" t="n">
        <v>0</v>
      </c>
      <c r="N437" s="8" t="n">
        <v>0</v>
      </c>
      <c r="O437" s="74"/>
      <c r="P437" s="74"/>
      <c r="Q437" s="74"/>
      <c r="R437" s="14" t="n">
        <f aca="false">IF(I437="Unbilled",0,M437)</f>
        <v>0</v>
      </c>
      <c r="S437" s="9" t="n">
        <f aca="false">IF(R437=0,0,IF(O437="Booked",N437,R437*V436))</f>
        <v>0</v>
      </c>
      <c r="T437" s="14" t="n">
        <f aca="false">IF(I437="Opening",K437,T436+K437-R437)</f>
        <v>1476.25</v>
      </c>
      <c r="U437" s="9" t="n">
        <f aca="false">IF(I437="Opening",L437,U436+L437-S437)</f>
        <v>49302621.6114709</v>
      </c>
      <c r="V437" s="9" t="n">
        <f aca="false">IF(T437&gt;0,U437/T437,IF(I437="Opening",0,V436))</f>
        <v>33397.2034624697</v>
      </c>
      <c r="W437" s="14" t="n">
        <f aca="false">M437</f>
        <v>0</v>
      </c>
      <c r="X437" s="9" t="n">
        <f aca="false">IF(W437=0,0,IF(O437="Booked",N437,W437*AA436))</f>
        <v>0</v>
      </c>
      <c r="Y437" s="14" t="n">
        <f aca="false">IF(I437="Opening",K437,Y436+K437-W437)</f>
        <v>1476.25</v>
      </c>
      <c r="Z437" s="9" t="n">
        <f aca="false">IF(I437="Opening",L437,Z436+L437-X437)</f>
        <v>49302621.6114709</v>
      </c>
      <c r="AA437" s="9" t="n">
        <f aca="false">IF(Y437&gt;0,Z437/Y437,IF(I437="Opening",0,AA436))</f>
        <v>33397.2034624697</v>
      </c>
      <c r="AB437" s="9" t="n">
        <f aca="false">IF(AND(I437="DO",O437="MA"),S437-N437,0)</f>
        <v>0</v>
      </c>
      <c r="AC437" s="9" t="n">
        <f aca="false">IF(I437="DO",X437-S437,0)</f>
        <v>0</v>
      </c>
      <c r="AD437" s="23" t="n">
        <f aca="false">IF(B438&lt;&gt;B437,1,0)</f>
        <v>0</v>
      </c>
      <c r="AE437" s="14" t="n">
        <f aca="false">IF(I437="Opening",0,AE436+W437)</f>
        <v>13.6</v>
      </c>
      <c r="AF437" s="14" t="n">
        <f aca="false">IF(I437="Opening",K437,AF436)</f>
        <v>132.97</v>
      </c>
      <c r="AG437" s="14" t="n">
        <f aca="false">AG436</f>
        <v>0</v>
      </c>
      <c r="AH437" s="14" t="n">
        <f aca="false">IF(W437=0,0,MAX(0,MIN(AE437,AF437)-MIN(AE437-W437,AF437)))</f>
        <v>0</v>
      </c>
      <c r="AI437" s="14" t="n">
        <f aca="false">IF(W437=0,0,MAX(0,MIN(AE437,AF437+AG437)-MAX(AE437-W437,AF437)))</f>
        <v>0</v>
      </c>
      <c r="AJ437" s="14" t="n">
        <f aca="false">W437-AH437-AI437</f>
        <v>0</v>
      </c>
      <c r="AK437" s="9" t="n">
        <f aca="false">IF(W437=0,0,X437*AH437/W437)</f>
        <v>0</v>
      </c>
      <c r="AL437" s="9" t="n">
        <f aca="false">IF(W437=0,0,X437*AI437/W437)</f>
        <v>0</v>
      </c>
      <c r="AM437" s="9" t="n">
        <f aca="false">X437-AK437-AL437</f>
        <v>0</v>
      </c>
    </row>
    <row r="438" customFormat="false" ht="15" hidden="false" customHeight="false" outlineLevel="0" collapsed="false">
      <c r="A438" s="6" t="n">
        <v>433</v>
      </c>
      <c r="B438" s="74" t="s">
        <v>987</v>
      </c>
      <c r="C438" s="53" t="str">
        <f aca="false">INDEX(I_Items!$C$5:$C$133,MATCH($B438,I_Items!$A$5:$A$133,0))</f>
        <v>RPA</v>
      </c>
      <c r="D438" s="53" t="str">
        <f aca="false">INDEX(I_Items!$D$5:$D$133,MATCH($B438,I_Items!$A$5:$A$133,0))</f>
        <v>Karkas</v>
      </c>
      <c r="E438" s="53" t="str">
        <f aca="false">INDEX(I_Items!$F$5:$F$133,MATCH($B438,I_Items!$A$5:$A$133,0))</f>
        <v>Frozen</v>
      </c>
      <c r="F438" s="53" t="str">
        <f aca="false">IF(INDEX(I_Items!$E$5:$E$133,MATCH($B438,I_Items!$A$5:$A$133,0))="","",INDEX(I_Items!$E$5:$E$133,MATCH($B438,I_Items!$A$5:$A$133,0)))</f>
        <v>Uk 1.2</v>
      </c>
      <c r="G438" s="76" t="n">
        <v>46263</v>
      </c>
      <c r="H438" s="23" t="n">
        <f aca="false">MONTH(G438)</f>
        <v>8</v>
      </c>
      <c r="I438" s="74" t="s">
        <v>2075</v>
      </c>
      <c r="J438" s="74" t="s">
        <v>2157</v>
      </c>
      <c r="K438" s="10" t="n">
        <v>0</v>
      </c>
      <c r="L438" s="8" t="n">
        <v>0</v>
      </c>
      <c r="M438" s="10" t="n">
        <v>15</v>
      </c>
      <c r="N438" s="8" t="n">
        <v>500958.05</v>
      </c>
      <c r="O438" s="74" t="s">
        <v>2077</v>
      </c>
      <c r="P438" s="74"/>
      <c r="Q438" s="74"/>
      <c r="R438" s="14" t="n">
        <f aca="false">IF(I438="Unbilled",0,M438)</f>
        <v>15</v>
      </c>
      <c r="S438" s="9" t="n">
        <f aca="false">IF(R438=0,0,IF(O438="Booked",N438,R438*V437))</f>
        <v>500958.051937046</v>
      </c>
      <c r="T438" s="14" t="n">
        <f aca="false">IF(I438="Opening",K438,T437+K438-R438)</f>
        <v>1461.25</v>
      </c>
      <c r="U438" s="9" t="n">
        <f aca="false">IF(I438="Opening",L438,U437+L438-S438)</f>
        <v>48801663.5595339</v>
      </c>
      <c r="V438" s="9" t="n">
        <f aca="false">IF(T438&gt;0,U438/T438,IF(I438="Opening",0,V437))</f>
        <v>33397.2034624697</v>
      </c>
      <c r="W438" s="14" t="n">
        <f aca="false">M438</f>
        <v>15</v>
      </c>
      <c r="X438" s="9" t="n">
        <f aca="false">IF(W438=0,0,IF(O438="Booked",N438,W438*AA437))</f>
        <v>500958.051937046</v>
      </c>
      <c r="Y438" s="14" t="n">
        <f aca="false">IF(I438="Opening",K438,Y437+K438-W438)</f>
        <v>1461.25</v>
      </c>
      <c r="Z438" s="9" t="n">
        <f aca="false">IF(I438="Opening",L438,Z437+L438-X438)</f>
        <v>48801663.5595339</v>
      </c>
      <c r="AA438" s="9" t="n">
        <f aca="false">IF(Y438&gt;0,Z438/Y438,IF(I438="Opening",0,AA437))</f>
        <v>33397.2034624697</v>
      </c>
      <c r="AB438" s="9" t="n">
        <f aca="false">IF(AND(I438="DO",O438="MA"),S438-N438,0)</f>
        <v>0.0019370456575416</v>
      </c>
      <c r="AC438" s="9" t="n">
        <f aca="false">IF(I438="DO",X438-S438,0)</f>
        <v>0</v>
      </c>
      <c r="AD438" s="23" t="n">
        <f aca="false">IF(B439&lt;&gt;B438,1,0)</f>
        <v>0</v>
      </c>
      <c r="AE438" s="14" t="n">
        <f aca="false">IF(I438="Opening",0,AE437+W438)</f>
        <v>28.6</v>
      </c>
      <c r="AF438" s="14" t="n">
        <f aca="false">IF(I438="Opening",K438,AF437)</f>
        <v>132.97</v>
      </c>
      <c r="AG438" s="14" t="n">
        <f aca="false">AG437</f>
        <v>0</v>
      </c>
      <c r="AH438" s="14" t="n">
        <f aca="false">IF(W438=0,0,MAX(0,MIN(AE438,AF438)-MIN(AE438-W438,AF438)))</f>
        <v>15</v>
      </c>
      <c r="AI438" s="14" t="n">
        <f aca="false">IF(W438=0,0,MAX(0,MIN(AE438,AF438+AG438)-MAX(AE438-W438,AF438)))</f>
        <v>0</v>
      </c>
      <c r="AJ438" s="14" t="n">
        <f aca="false">W438-AH438-AI438</f>
        <v>0</v>
      </c>
      <c r="AK438" s="9" t="n">
        <f aca="false">IF(W438=0,0,X438*AH438/W438)</f>
        <v>500958.051937046</v>
      </c>
      <c r="AL438" s="9" t="n">
        <f aca="false">IF(W438=0,0,X438*AI438/W438)</f>
        <v>0</v>
      </c>
      <c r="AM438" s="9" t="n">
        <f aca="false">X438-AK438-AL438</f>
        <v>0</v>
      </c>
    </row>
    <row r="439" customFormat="false" ht="15" hidden="false" customHeight="false" outlineLevel="0" collapsed="false">
      <c r="A439" s="6" t="n">
        <v>434</v>
      </c>
      <c r="B439" s="74" t="s">
        <v>987</v>
      </c>
      <c r="C439" s="53" t="str">
        <f aca="false">INDEX(I_Items!$C$5:$C$133,MATCH($B439,I_Items!$A$5:$A$133,0))</f>
        <v>RPA</v>
      </c>
      <c r="D439" s="53" t="str">
        <f aca="false">INDEX(I_Items!$D$5:$D$133,MATCH($B439,I_Items!$A$5:$A$133,0))</f>
        <v>Karkas</v>
      </c>
      <c r="E439" s="53" t="str">
        <f aca="false">INDEX(I_Items!$F$5:$F$133,MATCH($B439,I_Items!$A$5:$A$133,0))</f>
        <v>Frozen</v>
      </c>
      <c r="F439" s="53" t="str">
        <f aca="false">IF(INDEX(I_Items!$E$5:$E$133,MATCH($B439,I_Items!$A$5:$A$133,0))="","",INDEX(I_Items!$E$5:$E$133,MATCH($B439,I_Items!$A$5:$A$133,0)))</f>
        <v>Uk 1.2</v>
      </c>
      <c r="G439" s="76" t="n">
        <v>46263</v>
      </c>
      <c r="H439" s="23" t="n">
        <f aca="false">MONTH(G439)</f>
        <v>8</v>
      </c>
      <c r="I439" s="74" t="s">
        <v>2075</v>
      </c>
      <c r="J439" s="74" t="s">
        <v>2129</v>
      </c>
      <c r="K439" s="10" t="n">
        <v>0</v>
      </c>
      <c r="L439" s="8" t="n">
        <v>0</v>
      </c>
      <c r="M439" s="10" t="n">
        <v>16.1</v>
      </c>
      <c r="N439" s="8" t="n">
        <v>537694.98</v>
      </c>
      <c r="O439" s="74" t="s">
        <v>2077</v>
      </c>
      <c r="P439" s="74"/>
      <c r="Q439" s="74"/>
      <c r="R439" s="14" t="n">
        <f aca="false">IF(I439="Unbilled",0,M439)</f>
        <v>16.1</v>
      </c>
      <c r="S439" s="9" t="n">
        <f aca="false">IF(R439=0,0,IF(O439="Booked",N439,R439*V438))</f>
        <v>537694.975745763</v>
      </c>
      <c r="T439" s="14" t="n">
        <f aca="false">IF(I439="Opening",K439,T438+K439-R439)</f>
        <v>1445.15</v>
      </c>
      <c r="U439" s="9" t="n">
        <f aca="false">IF(I439="Opening",L439,U438+L439-S439)</f>
        <v>48263968.5837881</v>
      </c>
      <c r="V439" s="9" t="n">
        <f aca="false">IF(T439&gt;0,U439/T439,IF(I439="Opening",0,V438))</f>
        <v>33397.2034624697</v>
      </c>
      <c r="W439" s="14" t="n">
        <f aca="false">M439</f>
        <v>16.1</v>
      </c>
      <c r="X439" s="9" t="n">
        <f aca="false">IF(W439=0,0,IF(O439="Booked",N439,W439*AA438))</f>
        <v>537694.975745763</v>
      </c>
      <c r="Y439" s="14" t="n">
        <f aca="false">IF(I439="Opening",K439,Y438+K439-W439)</f>
        <v>1445.15</v>
      </c>
      <c r="Z439" s="9" t="n">
        <f aca="false">IF(I439="Opening",L439,Z438+L439-X439)</f>
        <v>48263968.5837881</v>
      </c>
      <c r="AA439" s="9" t="n">
        <f aca="false">IF(Y439&gt;0,Z439/Y439,IF(I439="Opening",0,AA438))</f>
        <v>33397.2034624697</v>
      </c>
      <c r="AB439" s="9" t="n">
        <f aca="false">IF(AND(I439="DO",O439="MA"),S439-N439,0)</f>
        <v>-0.00425423751585186</v>
      </c>
      <c r="AC439" s="9" t="n">
        <f aca="false">IF(I439="DO",X439-S439,0)</f>
        <v>0</v>
      </c>
      <c r="AD439" s="23" t="n">
        <f aca="false">IF(B440&lt;&gt;B439,1,0)</f>
        <v>0</v>
      </c>
      <c r="AE439" s="14" t="n">
        <f aca="false">IF(I439="Opening",0,AE438+W439)</f>
        <v>44.7</v>
      </c>
      <c r="AF439" s="14" t="n">
        <f aca="false">IF(I439="Opening",K439,AF438)</f>
        <v>132.97</v>
      </c>
      <c r="AG439" s="14" t="n">
        <f aca="false">AG438</f>
        <v>0</v>
      </c>
      <c r="AH439" s="14" t="n">
        <f aca="false">IF(W439=0,0,MAX(0,MIN(AE439,AF439)-MIN(AE439-W439,AF439)))</f>
        <v>16.1</v>
      </c>
      <c r="AI439" s="14" t="n">
        <f aca="false">IF(W439=0,0,MAX(0,MIN(AE439,AF439+AG439)-MAX(AE439-W439,AF439)))</f>
        <v>0</v>
      </c>
      <c r="AJ439" s="14" t="n">
        <f aca="false">W439-AH439-AI439</f>
        <v>0</v>
      </c>
      <c r="AK439" s="9" t="n">
        <f aca="false">IF(W439=0,0,X439*AH439/W439)</f>
        <v>537694.975745763</v>
      </c>
      <c r="AL439" s="9" t="n">
        <f aca="false">IF(W439=0,0,X439*AI439/W439)</f>
        <v>0</v>
      </c>
      <c r="AM439" s="9" t="n">
        <f aca="false">X439-AK439-AL439</f>
        <v>0</v>
      </c>
    </row>
    <row r="440" customFormat="false" ht="15" hidden="false" customHeight="false" outlineLevel="0" collapsed="false">
      <c r="A440" s="6" t="n">
        <v>435</v>
      </c>
      <c r="B440" s="74" t="s">
        <v>987</v>
      </c>
      <c r="C440" s="53" t="str">
        <f aca="false">INDEX(I_Items!$C$5:$C$133,MATCH($B440,I_Items!$A$5:$A$133,0))</f>
        <v>RPA</v>
      </c>
      <c r="D440" s="53" t="str">
        <f aca="false">INDEX(I_Items!$D$5:$D$133,MATCH($B440,I_Items!$A$5:$A$133,0))</f>
        <v>Karkas</v>
      </c>
      <c r="E440" s="53" t="str">
        <f aca="false">INDEX(I_Items!$F$5:$F$133,MATCH($B440,I_Items!$A$5:$A$133,0))</f>
        <v>Frozen</v>
      </c>
      <c r="F440" s="53" t="str">
        <f aca="false">IF(INDEX(I_Items!$E$5:$E$133,MATCH($B440,I_Items!$A$5:$A$133,0))="","",INDEX(I_Items!$E$5:$E$133,MATCH($B440,I_Items!$A$5:$A$133,0)))</f>
        <v>Uk 1.2</v>
      </c>
      <c r="G440" s="76" t="n">
        <v>46265</v>
      </c>
      <c r="H440" s="23" t="n">
        <f aca="false">MONTH(G440)</f>
        <v>8</v>
      </c>
      <c r="I440" s="74" t="s">
        <v>2074</v>
      </c>
      <c r="J440" s="74" t="s">
        <v>1326</v>
      </c>
      <c r="K440" s="10" t="n">
        <v>140.9</v>
      </c>
      <c r="L440" s="8" t="n">
        <v>4719688.47</v>
      </c>
      <c r="M440" s="10" t="n">
        <v>0</v>
      </c>
      <c r="N440" s="8" t="n">
        <v>0</v>
      </c>
      <c r="O440" s="74"/>
      <c r="P440" s="74"/>
      <c r="Q440" s="74"/>
      <c r="R440" s="14" t="n">
        <f aca="false">IF(I440="Unbilled",0,M440)</f>
        <v>0</v>
      </c>
      <c r="S440" s="9" t="n">
        <f aca="false">IF(R440=0,0,IF(O440="Booked",N440,R440*V439))</f>
        <v>0</v>
      </c>
      <c r="T440" s="14" t="n">
        <f aca="false">IF(I440="Opening",K440,T439+K440-R440)</f>
        <v>1586.05</v>
      </c>
      <c r="U440" s="9" t="n">
        <f aca="false">IF(I440="Opening",L440,U439+L440-S440)</f>
        <v>52983657.0537881</v>
      </c>
      <c r="V440" s="9" t="n">
        <f aca="false">IF(T440&gt;0,U440/T440,IF(I440="Opening",0,V439))</f>
        <v>33406.0446100615</v>
      </c>
      <c r="W440" s="14" t="n">
        <f aca="false">M440</f>
        <v>0</v>
      </c>
      <c r="X440" s="9" t="n">
        <f aca="false">IF(W440=0,0,IF(O440="Booked",N440,W440*AA439))</f>
        <v>0</v>
      </c>
      <c r="Y440" s="14" t="n">
        <f aca="false">IF(I440="Opening",K440,Y439+K440-W440)</f>
        <v>1586.05</v>
      </c>
      <c r="Z440" s="9" t="n">
        <f aca="false">IF(I440="Opening",L440,Z439+L440-X440)</f>
        <v>52983657.0537881</v>
      </c>
      <c r="AA440" s="9" t="n">
        <f aca="false">IF(Y440&gt;0,Z440/Y440,IF(I440="Opening",0,AA439))</f>
        <v>33406.0446100615</v>
      </c>
      <c r="AB440" s="9" t="n">
        <f aca="false">IF(AND(I440="DO",O440="MA"),S440-N440,0)</f>
        <v>0</v>
      </c>
      <c r="AC440" s="9" t="n">
        <f aca="false">IF(I440="DO",X440-S440,0)</f>
        <v>0</v>
      </c>
      <c r="AD440" s="23" t="n">
        <f aca="false">IF(B441&lt;&gt;B440,1,0)</f>
        <v>0</v>
      </c>
      <c r="AE440" s="14" t="n">
        <f aca="false">IF(I440="Opening",0,AE439+W440)</f>
        <v>44.7</v>
      </c>
      <c r="AF440" s="14" t="n">
        <f aca="false">IF(I440="Opening",K440,AF439)</f>
        <v>132.97</v>
      </c>
      <c r="AG440" s="14" t="n">
        <f aca="false">AG439</f>
        <v>0</v>
      </c>
      <c r="AH440" s="14" t="n">
        <f aca="false">IF(W440=0,0,MAX(0,MIN(AE440,AF440)-MIN(AE440-W440,AF440)))</f>
        <v>0</v>
      </c>
      <c r="AI440" s="14" t="n">
        <f aca="false">IF(W440=0,0,MAX(0,MIN(AE440,AF440+AG440)-MAX(AE440-W440,AF440)))</f>
        <v>0</v>
      </c>
      <c r="AJ440" s="14" t="n">
        <f aca="false">W440-AH440-AI440</f>
        <v>0</v>
      </c>
      <c r="AK440" s="9" t="n">
        <f aca="false">IF(W440=0,0,X440*AH440/W440)</f>
        <v>0</v>
      </c>
      <c r="AL440" s="9" t="n">
        <f aca="false">IF(W440=0,0,X440*AI440/W440)</f>
        <v>0</v>
      </c>
      <c r="AM440" s="9" t="n">
        <f aca="false">X440-AK440-AL440</f>
        <v>0</v>
      </c>
    </row>
    <row r="441" customFormat="false" ht="15" hidden="false" customHeight="false" outlineLevel="0" collapsed="false">
      <c r="A441" s="6" t="n">
        <v>436</v>
      </c>
      <c r="B441" s="74" t="s">
        <v>987</v>
      </c>
      <c r="C441" s="53" t="str">
        <f aca="false">INDEX(I_Items!$C$5:$C$133,MATCH($B441,I_Items!$A$5:$A$133,0))</f>
        <v>RPA</v>
      </c>
      <c r="D441" s="53" t="str">
        <f aca="false">INDEX(I_Items!$D$5:$D$133,MATCH($B441,I_Items!$A$5:$A$133,0))</f>
        <v>Karkas</v>
      </c>
      <c r="E441" s="53" t="str">
        <f aca="false">INDEX(I_Items!$F$5:$F$133,MATCH($B441,I_Items!$A$5:$A$133,0))</f>
        <v>Frozen</v>
      </c>
      <c r="F441" s="53" t="str">
        <f aca="false">IF(INDEX(I_Items!$E$5:$E$133,MATCH($B441,I_Items!$A$5:$A$133,0))="","",INDEX(I_Items!$E$5:$E$133,MATCH($B441,I_Items!$A$5:$A$133,0)))</f>
        <v>Uk 1.2</v>
      </c>
      <c r="G441" s="76" t="n">
        <v>46265</v>
      </c>
      <c r="H441" s="23" t="n">
        <f aca="false">MONTH(G441)</f>
        <v>8</v>
      </c>
      <c r="I441" s="74" t="s">
        <v>2075</v>
      </c>
      <c r="J441" s="74" t="s">
        <v>2123</v>
      </c>
      <c r="K441" s="10" t="n">
        <v>0</v>
      </c>
      <c r="L441" s="8" t="n">
        <v>0</v>
      </c>
      <c r="M441" s="10" t="n">
        <v>15.2</v>
      </c>
      <c r="N441" s="8" t="n">
        <v>507771.88</v>
      </c>
      <c r="O441" s="74" t="s">
        <v>2077</v>
      </c>
      <c r="P441" s="74"/>
      <c r="Q441" s="74"/>
      <c r="R441" s="14" t="n">
        <f aca="false">IF(I441="Unbilled",0,M441)</f>
        <v>15.2</v>
      </c>
      <c r="S441" s="9" t="n">
        <f aca="false">IF(R441=0,0,IF(O441="Booked",N441,R441*V440))</f>
        <v>507771.878072935</v>
      </c>
      <c r="T441" s="14" t="n">
        <f aca="false">IF(I441="Opening",K441,T440+K441-R441)</f>
        <v>1570.85</v>
      </c>
      <c r="U441" s="9" t="n">
        <f aca="false">IF(I441="Opening",L441,U440+L441-S441)</f>
        <v>52475885.1757152</v>
      </c>
      <c r="V441" s="9" t="n">
        <f aca="false">IF(T441&gt;0,U441/T441,IF(I441="Opening",0,V440))</f>
        <v>33406.0446100615</v>
      </c>
      <c r="W441" s="14" t="n">
        <f aca="false">M441</f>
        <v>15.2</v>
      </c>
      <c r="X441" s="9" t="n">
        <f aca="false">IF(W441=0,0,IF(O441="Booked",N441,W441*AA440))</f>
        <v>507771.878072935</v>
      </c>
      <c r="Y441" s="14" t="n">
        <f aca="false">IF(I441="Opening",K441,Y440+K441-W441)</f>
        <v>1570.85</v>
      </c>
      <c r="Z441" s="9" t="n">
        <f aca="false">IF(I441="Opening",L441,Z440+L441-X441)</f>
        <v>52475885.1757152</v>
      </c>
      <c r="AA441" s="9" t="n">
        <f aca="false">IF(Y441&gt;0,Z441/Y441,IF(I441="Opening",0,AA440))</f>
        <v>33406.0446100615</v>
      </c>
      <c r="AB441" s="9" t="n">
        <f aca="false">IF(AND(I441="DO",O441="MA"),S441-N441,0)</f>
        <v>-0.00192706467350945</v>
      </c>
      <c r="AC441" s="9" t="n">
        <f aca="false">IF(I441="DO",X441-S441,0)</f>
        <v>0</v>
      </c>
      <c r="AD441" s="23" t="n">
        <f aca="false">IF(B442&lt;&gt;B441,1,0)</f>
        <v>1</v>
      </c>
      <c r="AE441" s="14" t="n">
        <f aca="false">IF(I441="Opening",0,AE440+W441)</f>
        <v>59.9</v>
      </c>
      <c r="AF441" s="14" t="n">
        <f aca="false">IF(I441="Opening",K441,AF440)</f>
        <v>132.97</v>
      </c>
      <c r="AG441" s="14" t="n">
        <f aca="false">AG440</f>
        <v>0</v>
      </c>
      <c r="AH441" s="14" t="n">
        <f aca="false">IF(W441=0,0,MAX(0,MIN(AE441,AF441)-MIN(AE441-W441,AF441)))</f>
        <v>15.2</v>
      </c>
      <c r="AI441" s="14" t="n">
        <f aca="false">IF(W441=0,0,MAX(0,MIN(AE441,AF441+AG441)-MAX(AE441-W441,AF441)))</f>
        <v>0</v>
      </c>
      <c r="AJ441" s="14" t="n">
        <f aca="false">W441-AH441-AI441</f>
        <v>0</v>
      </c>
      <c r="AK441" s="9" t="n">
        <f aca="false">IF(W441=0,0,X441*AH441/W441)</f>
        <v>507771.878072935</v>
      </c>
      <c r="AL441" s="9" t="n">
        <f aca="false">IF(W441=0,0,X441*AI441/W441)</f>
        <v>0</v>
      </c>
      <c r="AM441" s="9" t="n">
        <f aca="false">X441-AK441-AL441</f>
        <v>0</v>
      </c>
    </row>
    <row r="442" customFormat="false" ht="15" hidden="false" customHeight="false" outlineLevel="0" collapsed="false">
      <c r="A442" s="6" t="n">
        <v>437</v>
      </c>
      <c r="B442" s="74" t="s">
        <v>988</v>
      </c>
      <c r="C442" s="53" t="str">
        <f aca="false">INDEX(I_Items!$C$5:$C$133,MATCH($B442,I_Items!$A$5:$A$133,0))</f>
        <v>RPA</v>
      </c>
      <c r="D442" s="53" t="str">
        <f aca="false">INDEX(I_Items!$D$5:$D$133,MATCH($B442,I_Items!$A$5:$A$133,0))</f>
        <v>Karkas</v>
      </c>
      <c r="E442" s="53" t="str">
        <f aca="false">INDEX(I_Items!$F$5:$F$133,MATCH($B442,I_Items!$A$5:$A$133,0))</f>
        <v>Frozen</v>
      </c>
      <c r="F442" s="53" t="str">
        <f aca="false">IF(INDEX(I_Items!$E$5:$E$133,MATCH($B442,I_Items!$A$5:$A$133,0))="","",INDEX(I_Items!$E$5:$E$133,MATCH($B442,I_Items!$A$5:$A$133,0)))</f>
        <v>Uk 1.2</v>
      </c>
      <c r="G442" s="76" t="n">
        <v>46204</v>
      </c>
      <c r="H442" s="23" t="n">
        <f aca="false">MONTH(G442)</f>
        <v>7</v>
      </c>
      <c r="I442" s="74" t="s">
        <v>2072</v>
      </c>
      <c r="J442" s="74" t="s">
        <v>2073</v>
      </c>
      <c r="K442" s="10" t="n">
        <v>30.12</v>
      </c>
      <c r="L442" s="8" t="n">
        <v>677275.68</v>
      </c>
      <c r="M442" s="10" t="n">
        <v>0</v>
      </c>
      <c r="N442" s="8" t="n">
        <v>0</v>
      </c>
      <c r="O442" s="74"/>
      <c r="P442" s="74"/>
      <c r="Q442" s="74"/>
      <c r="R442" s="14" t="n">
        <f aca="false">IF(I442="Unbilled",0,M442)</f>
        <v>0</v>
      </c>
      <c r="S442" s="9" t="n">
        <f aca="false">IF(R442=0,0,IF(O442="Booked",N442,R442*V441))</f>
        <v>0</v>
      </c>
      <c r="T442" s="14" t="n">
        <f aca="false">IF(I442="Opening",K442,T441+K442-R442)</f>
        <v>30.12</v>
      </c>
      <c r="U442" s="9" t="n">
        <f aca="false">IF(I442="Opening",L442,U441+L442-S442)</f>
        <v>677275.68</v>
      </c>
      <c r="V442" s="9" t="n">
        <f aca="false">IF(T442&gt;0,U442/T442,IF(I442="Opening",0,V441))</f>
        <v>22485.9123505976</v>
      </c>
      <c r="W442" s="14" t="n">
        <f aca="false">M442</f>
        <v>0</v>
      </c>
      <c r="X442" s="9" t="n">
        <f aca="false">IF(W442=0,0,IF(O442="Booked",N442,W442*AA441))</f>
        <v>0</v>
      </c>
      <c r="Y442" s="14" t="n">
        <f aca="false">IF(I442="Opening",K442,Y441+K442-W442)</f>
        <v>30.12</v>
      </c>
      <c r="Z442" s="9" t="n">
        <f aca="false">IF(I442="Opening",L442,Z441+L442-X442)</f>
        <v>677275.68</v>
      </c>
      <c r="AA442" s="9" t="n">
        <f aca="false">IF(Y442&gt;0,Z442/Y442,IF(I442="Opening",0,AA441))</f>
        <v>22485.9123505976</v>
      </c>
      <c r="AB442" s="9" t="n">
        <f aca="false">IF(AND(I442="DO",O442="MA"),S442-N442,0)</f>
        <v>0</v>
      </c>
      <c r="AC442" s="9" t="n">
        <f aca="false">IF(I442="DO",X442-S442,0)</f>
        <v>0</v>
      </c>
      <c r="AD442" s="23" t="n">
        <f aca="false">IF(B443&lt;&gt;B442,1,0)</f>
        <v>0</v>
      </c>
      <c r="AE442" s="14" t="n">
        <f aca="false">IF(I442="Opening",0,AE441+W442)</f>
        <v>0</v>
      </c>
      <c r="AF442" s="14" t="n">
        <f aca="false">IF(I442="Opening",K442,AF441)</f>
        <v>30.12</v>
      </c>
      <c r="AG442" s="14" t="n">
        <f aca="false">SUMIFS($K$6:$K$1110,$B$6:$B$1110,B442,$H$6:$H$1110,7,$I$6:$I$1110,"&lt;&gt;Opening")</f>
        <v>0</v>
      </c>
      <c r="AH442" s="14" t="n">
        <f aca="false">IF(W442=0,0,MAX(0,MIN(AE442,AF442)-MIN(AE442-W442,AF442)))</f>
        <v>0</v>
      </c>
      <c r="AI442" s="14" t="n">
        <f aca="false">IF(W442=0,0,MAX(0,MIN(AE442,AF442+AG442)-MAX(AE442-W442,AF442)))</f>
        <v>0</v>
      </c>
      <c r="AJ442" s="14" t="n">
        <f aca="false">W442-AH442-AI442</f>
        <v>0</v>
      </c>
      <c r="AK442" s="9" t="n">
        <f aca="false">IF(W442=0,0,X442*AH442/W442)</f>
        <v>0</v>
      </c>
      <c r="AL442" s="9" t="n">
        <f aca="false">IF(W442=0,0,X442*AI442/W442)</f>
        <v>0</v>
      </c>
      <c r="AM442" s="9" t="n">
        <f aca="false">X442-AK442-AL442</f>
        <v>0</v>
      </c>
    </row>
    <row r="443" customFormat="false" ht="15" hidden="false" customHeight="false" outlineLevel="0" collapsed="false">
      <c r="A443" s="6" t="n">
        <v>438</v>
      </c>
      <c r="B443" s="74" t="s">
        <v>988</v>
      </c>
      <c r="C443" s="53" t="str">
        <f aca="false">INDEX(I_Items!$C$5:$C$133,MATCH($B443,I_Items!$A$5:$A$133,0))</f>
        <v>RPA</v>
      </c>
      <c r="D443" s="53" t="str">
        <f aca="false">INDEX(I_Items!$D$5:$D$133,MATCH($B443,I_Items!$A$5:$A$133,0))</f>
        <v>Karkas</v>
      </c>
      <c r="E443" s="53" t="str">
        <f aca="false">INDEX(I_Items!$F$5:$F$133,MATCH($B443,I_Items!$A$5:$A$133,0))</f>
        <v>Frozen</v>
      </c>
      <c r="F443" s="53" t="str">
        <f aca="false">IF(INDEX(I_Items!$E$5:$E$133,MATCH($B443,I_Items!$A$5:$A$133,0))="","",INDEX(I_Items!$E$5:$E$133,MATCH($B443,I_Items!$A$5:$A$133,0)))</f>
        <v>Uk 1.2</v>
      </c>
      <c r="G443" s="76" t="n">
        <v>46244</v>
      </c>
      <c r="H443" s="23" t="n">
        <f aca="false">MONTH(G443)</f>
        <v>8</v>
      </c>
      <c r="I443" s="74" t="s">
        <v>2074</v>
      </c>
      <c r="J443" s="74" t="s">
        <v>1298</v>
      </c>
      <c r="K443" s="10" t="n">
        <v>189.6</v>
      </c>
      <c r="L443" s="8" t="n">
        <v>7192330.71</v>
      </c>
      <c r="M443" s="10" t="n">
        <v>0</v>
      </c>
      <c r="N443" s="8" t="n">
        <v>0</v>
      </c>
      <c r="O443" s="74"/>
      <c r="P443" s="74"/>
      <c r="Q443" s="74"/>
      <c r="R443" s="14" t="n">
        <f aca="false">IF(I443="Unbilled",0,M443)</f>
        <v>0</v>
      </c>
      <c r="S443" s="9" t="n">
        <f aca="false">IF(R443=0,0,IF(O443="Booked",N443,R443*V442))</f>
        <v>0</v>
      </c>
      <c r="T443" s="14" t="n">
        <f aca="false">IF(I443="Opening",K443,T442+K443-R443)</f>
        <v>219.72</v>
      </c>
      <c r="U443" s="9" t="n">
        <f aca="false">IF(I443="Opening",L443,U442+L443-S443)</f>
        <v>7869606.39</v>
      </c>
      <c r="V443" s="9" t="n">
        <f aca="false">IF(T443&gt;0,U443/T443,IF(I443="Opening",0,V442))</f>
        <v>35816.5228017477</v>
      </c>
      <c r="W443" s="14" t="n">
        <f aca="false">M443</f>
        <v>0</v>
      </c>
      <c r="X443" s="9" t="n">
        <f aca="false">IF(W443=0,0,IF(O443="Booked",N443,W443*AA442))</f>
        <v>0</v>
      </c>
      <c r="Y443" s="14" t="n">
        <f aca="false">IF(I443="Opening",K443,Y442+K443-W443)</f>
        <v>219.72</v>
      </c>
      <c r="Z443" s="9" t="n">
        <f aca="false">IF(I443="Opening",L443,Z442+L443-X443)</f>
        <v>7869606.39</v>
      </c>
      <c r="AA443" s="9" t="n">
        <f aca="false">IF(Y443&gt;0,Z443/Y443,IF(I443="Opening",0,AA442))</f>
        <v>35816.5228017477</v>
      </c>
      <c r="AB443" s="9" t="n">
        <f aca="false">IF(AND(I443="DO",O443="MA"),S443-N443,0)</f>
        <v>0</v>
      </c>
      <c r="AC443" s="9" t="n">
        <f aca="false">IF(I443="DO",X443-S443,0)</f>
        <v>0</v>
      </c>
      <c r="AD443" s="23" t="n">
        <f aca="false">IF(B444&lt;&gt;B443,1,0)</f>
        <v>0</v>
      </c>
      <c r="AE443" s="14" t="n">
        <f aca="false">IF(I443="Opening",0,AE442+W443)</f>
        <v>0</v>
      </c>
      <c r="AF443" s="14" t="n">
        <f aca="false">IF(I443="Opening",K443,AF442)</f>
        <v>30.12</v>
      </c>
      <c r="AG443" s="14" t="n">
        <f aca="false">AG442</f>
        <v>0</v>
      </c>
      <c r="AH443" s="14" t="n">
        <f aca="false">IF(W443=0,0,MAX(0,MIN(AE443,AF443)-MIN(AE443-W443,AF443)))</f>
        <v>0</v>
      </c>
      <c r="AI443" s="14" t="n">
        <f aca="false">IF(W443=0,0,MAX(0,MIN(AE443,AF443+AG443)-MAX(AE443-W443,AF443)))</f>
        <v>0</v>
      </c>
      <c r="AJ443" s="14" t="n">
        <f aca="false">W443-AH443-AI443</f>
        <v>0</v>
      </c>
      <c r="AK443" s="9" t="n">
        <f aca="false">IF(W443=0,0,X443*AH443/W443)</f>
        <v>0</v>
      </c>
      <c r="AL443" s="9" t="n">
        <f aca="false">IF(W443=0,0,X443*AI443/W443)</f>
        <v>0</v>
      </c>
      <c r="AM443" s="9" t="n">
        <f aca="false">X443-AK443-AL443</f>
        <v>0</v>
      </c>
    </row>
    <row r="444" customFormat="false" ht="15" hidden="false" customHeight="false" outlineLevel="0" collapsed="false">
      <c r="A444" s="6" t="n">
        <v>439</v>
      </c>
      <c r="B444" s="74" t="s">
        <v>988</v>
      </c>
      <c r="C444" s="53" t="str">
        <f aca="false">INDEX(I_Items!$C$5:$C$133,MATCH($B444,I_Items!$A$5:$A$133,0))</f>
        <v>RPA</v>
      </c>
      <c r="D444" s="53" t="str">
        <f aca="false">INDEX(I_Items!$D$5:$D$133,MATCH($B444,I_Items!$A$5:$A$133,0))</f>
        <v>Karkas</v>
      </c>
      <c r="E444" s="53" t="str">
        <f aca="false">INDEX(I_Items!$F$5:$F$133,MATCH($B444,I_Items!$A$5:$A$133,0))</f>
        <v>Frozen</v>
      </c>
      <c r="F444" s="53" t="str">
        <f aca="false">IF(INDEX(I_Items!$E$5:$E$133,MATCH($B444,I_Items!$A$5:$A$133,0))="","",INDEX(I_Items!$E$5:$E$133,MATCH($B444,I_Items!$A$5:$A$133,0)))</f>
        <v>Uk 1.2</v>
      </c>
      <c r="G444" s="76" t="n">
        <v>46244</v>
      </c>
      <c r="H444" s="23" t="n">
        <f aca="false">MONTH(G444)</f>
        <v>8</v>
      </c>
      <c r="I444" s="74" t="s">
        <v>2075</v>
      </c>
      <c r="J444" s="74" t="s">
        <v>2158</v>
      </c>
      <c r="K444" s="10" t="n">
        <v>0</v>
      </c>
      <c r="L444" s="8" t="n">
        <v>0</v>
      </c>
      <c r="M444" s="10" t="n">
        <v>257.65</v>
      </c>
      <c r="N444" s="8" t="n">
        <v>9581448.6</v>
      </c>
      <c r="O444" s="74" t="s">
        <v>2119</v>
      </c>
      <c r="P444" s="74"/>
      <c r="Q444" s="74"/>
      <c r="R444" s="14" t="n">
        <f aca="false">IF(I444="Unbilled",0,M444)</f>
        <v>257.65</v>
      </c>
      <c r="S444" s="9" t="n">
        <f aca="false">IF(R444=0,0,IF(O444="Booked",N444,R444*V443))</f>
        <v>9581448.6</v>
      </c>
      <c r="T444" s="14" t="n">
        <f aca="false">IF(I444="Opening",K444,T443+K444-R444)</f>
        <v>-37.93</v>
      </c>
      <c r="U444" s="9" t="n">
        <f aca="false">IF(I444="Opening",L444,U443+L444-S444)</f>
        <v>-1711842.21</v>
      </c>
      <c r="V444" s="9" t="n">
        <f aca="false">IF(T444&gt;0,U444/T444,IF(I444="Opening",0,V443))</f>
        <v>35816.5228017477</v>
      </c>
      <c r="W444" s="14" t="n">
        <f aca="false">M444</f>
        <v>257.65</v>
      </c>
      <c r="X444" s="9" t="n">
        <f aca="false">IF(W444=0,0,IF(O444="Booked",N444,W444*AA443))</f>
        <v>9581448.6</v>
      </c>
      <c r="Y444" s="14" t="n">
        <f aca="false">IF(I444="Opening",K444,Y443+K444-W444)</f>
        <v>-37.93</v>
      </c>
      <c r="Z444" s="9" t="n">
        <f aca="false">IF(I444="Opening",L444,Z443+L444-X444)</f>
        <v>-1711842.21</v>
      </c>
      <c r="AA444" s="9" t="n">
        <f aca="false">IF(Y444&gt;0,Z444/Y444,IF(I444="Opening",0,AA443))</f>
        <v>35816.5228017477</v>
      </c>
      <c r="AB444" s="9" t="n">
        <f aca="false">IF(AND(I444="DO",O444="MA"),S444-N444,0)</f>
        <v>0</v>
      </c>
      <c r="AC444" s="9" t="n">
        <f aca="false">IF(I444="DO",X444-S444,0)</f>
        <v>0</v>
      </c>
      <c r="AD444" s="23" t="n">
        <f aca="false">IF(B445&lt;&gt;B444,1,0)</f>
        <v>0</v>
      </c>
      <c r="AE444" s="14" t="n">
        <f aca="false">IF(I444="Opening",0,AE443+W444)</f>
        <v>257.65</v>
      </c>
      <c r="AF444" s="14" t="n">
        <f aca="false">IF(I444="Opening",K444,AF443)</f>
        <v>30.12</v>
      </c>
      <c r="AG444" s="14" t="n">
        <f aca="false">AG443</f>
        <v>0</v>
      </c>
      <c r="AH444" s="14" t="n">
        <f aca="false">IF(W444=0,0,MAX(0,MIN(AE444,AF444)-MIN(AE444-W444,AF444)))</f>
        <v>30.12</v>
      </c>
      <c r="AI444" s="14" t="n">
        <f aca="false">IF(W444=0,0,MAX(0,MIN(AE444,AF444+AG444)-MAX(AE444-W444,AF444)))</f>
        <v>0</v>
      </c>
      <c r="AJ444" s="14" t="n">
        <f aca="false">W444-AH444-AI444</f>
        <v>227.53</v>
      </c>
      <c r="AK444" s="9" t="n">
        <f aca="false">IF(W444=0,0,X444*AH444/W444)</f>
        <v>1120097.93065011</v>
      </c>
      <c r="AL444" s="9" t="n">
        <f aca="false">IF(W444=0,0,X444*AI444/W444)</f>
        <v>0</v>
      </c>
      <c r="AM444" s="9" t="n">
        <f aca="false">X444-AK444-AL444</f>
        <v>8461350.66934989</v>
      </c>
    </row>
    <row r="445" customFormat="false" ht="15" hidden="false" customHeight="false" outlineLevel="0" collapsed="false">
      <c r="A445" s="6" t="n">
        <v>440</v>
      </c>
      <c r="B445" s="74" t="s">
        <v>988</v>
      </c>
      <c r="C445" s="53" t="str">
        <f aca="false">INDEX(I_Items!$C$5:$C$133,MATCH($B445,I_Items!$A$5:$A$133,0))</f>
        <v>RPA</v>
      </c>
      <c r="D445" s="53" t="str">
        <f aca="false">INDEX(I_Items!$D$5:$D$133,MATCH($B445,I_Items!$A$5:$A$133,0))</f>
        <v>Karkas</v>
      </c>
      <c r="E445" s="53" t="str">
        <f aca="false">INDEX(I_Items!$F$5:$F$133,MATCH($B445,I_Items!$A$5:$A$133,0))</f>
        <v>Frozen</v>
      </c>
      <c r="F445" s="53" t="str">
        <f aca="false">IF(INDEX(I_Items!$E$5:$E$133,MATCH($B445,I_Items!$A$5:$A$133,0))="","",INDEX(I_Items!$E$5:$E$133,MATCH($B445,I_Items!$A$5:$A$133,0)))</f>
        <v>Uk 1.2</v>
      </c>
      <c r="G445" s="76" t="n">
        <v>46254</v>
      </c>
      <c r="H445" s="23" t="n">
        <f aca="false">MONTH(G445)</f>
        <v>8</v>
      </c>
      <c r="I445" s="74" t="s">
        <v>2074</v>
      </c>
      <c r="J445" s="74" t="s">
        <v>1308</v>
      </c>
      <c r="K445" s="10" t="n">
        <v>440.7</v>
      </c>
      <c r="L445" s="8" t="n">
        <v>16689991.07</v>
      </c>
      <c r="M445" s="10" t="n">
        <v>0</v>
      </c>
      <c r="N445" s="8" t="n">
        <v>0</v>
      </c>
      <c r="O445" s="74"/>
      <c r="P445" s="74"/>
      <c r="Q445" s="74"/>
      <c r="R445" s="14" t="n">
        <f aca="false">IF(I445="Unbilled",0,M445)</f>
        <v>0</v>
      </c>
      <c r="S445" s="9" t="n">
        <f aca="false">IF(R445=0,0,IF(O445="Booked",N445,R445*V444))</f>
        <v>0</v>
      </c>
      <c r="T445" s="14" t="n">
        <f aca="false">IF(I445="Opening",K445,T444+K445-R445)</f>
        <v>402.77</v>
      </c>
      <c r="U445" s="9" t="n">
        <f aca="false">IF(I445="Opening",L445,U444+L445-S445)</f>
        <v>14978148.86</v>
      </c>
      <c r="V445" s="9" t="n">
        <f aca="false">IF(T445&gt;0,U445/T445,IF(I445="Opening",0,V444))</f>
        <v>37187.8463142737</v>
      </c>
      <c r="W445" s="14" t="n">
        <f aca="false">M445</f>
        <v>0</v>
      </c>
      <c r="X445" s="9" t="n">
        <f aca="false">IF(W445=0,0,IF(O445="Booked",N445,W445*AA444))</f>
        <v>0</v>
      </c>
      <c r="Y445" s="14" t="n">
        <f aca="false">IF(I445="Opening",K445,Y444+K445-W445)</f>
        <v>402.77</v>
      </c>
      <c r="Z445" s="9" t="n">
        <f aca="false">IF(I445="Opening",L445,Z444+L445-X445)</f>
        <v>14978148.86</v>
      </c>
      <c r="AA445" s="9" t="n">
        <f aca="false">IF(Y445&gt;0,Z445/Y445,IF(I445="Opening",0,AA444))</f>
        <v>37187.8463142737</v>
      </c>
      <c r="AB445" s="9" t="n">
        <f aca="false">IF(AND(I445="DO",O445="MA"),S445-N445,0)</f>
        <v>0</v>
      </c>
      <c r="AC445" s="9" t="n">
        <f aca="false">IF(I445="DO",X445-S445,0)</f>
        <v>0</v>
      </c>
      <c r="AD445" s="23" t="n">
        <f aca="false">IF(B446&lt;&gt;B445,1,0)</f>
        <v>0</v>
      </c>
      <c r="AE445" s="14" t="n">
        <f aca="false">IF(I445="Opening",0,AE444+W445)</f>
        <v>257.65</v>
      </c>
      <c r="AF445" s="14" t="n">
        <f aca="false">IF(I445="Opening",K445,AF444)</f>
        <v>30.12</v>
      </c>
      <c r="AG445" s="14" t="n">
        <f aca="false">AG444</f>
        <v>0</v>
      </c>
      <c r="AH445" s="14" t="n">
        <f aca="false">IF(W445=0,0,MAX(0,MIN(AE445,AF445)-MIN(AE445-W445,AF445)))</f>
        <v>0</v>
      </c>
      <c r="AI445" s="14" t="n">
        <f aca="false">IF(W445=0,0,MAX(0,MIN(AE445,AF445+AG445)-MAX(AE445-W445,AF445)))</f>
        <v>0</v>
      </c>
      <c r="AJ445" s="14" t="n">
        <f aca="false">W445-AH445-AI445</f>
        <v>0</v>
      </c>
      <c r="AK445" s="9" t="n">
        <f aca="false">IF(W445=0,0,X445*AH445/W445)</f>
        <v>0</v>
      </c>
      <c r="AL445" s="9" t="n">
        <f aca="false">IF(W445=0,0,X445*AI445/W445)</f>
        <v>0</v>
      </c>
      <c r="AM445" s="9" t="n">
        <f aca="false">X445-AK445-AL445</f>
        <v>0</v>
      </c>
    </row>
    <row r="446" customFormat="false" ht="15" hidden="false" customHeight="false" outlineLevel="0" collapsed="false">
      <c r="A446" s="6" t="n">
        <v>441</v>
      </c>
      <c r="B446" s="74" t="s">
        <v>988</v>
      </c>
      <c r="C446" s="53" t="str">
        <f aca="false">INDEX(I_Items!$C$5:$C$133,MATCH($B446,I_Items!$A$5:$A$133,0))</f>
        <v>RPA</v>
      </c>
      <c r="D446" s="53" t="str">
        <f aca="false">INDEX(I_Items!$D$5:$D$133,MATCH($B446,I_Items!$A$5:$A$133,0))</f>
        <v>Karkas</v>
      </c>
      <c r="E446" s="53" t="str">
        <f aca="false">INDEX(I_Items!$F$5:$F$133,MATCH($B446,I_Items!$A$5:$A$133,0))</f>
        <v>Frozen</v>
      </c>
      <c r="F446" s="53" t="str">
        <f aca="false">IF(INDEX(I_Items!$E$5:$E$133,MATCH($B446,I_Items!$A$5:$A$133,0))="","",INDEX(I_Items!$E$5:$E$133,MATCH($B446,I_Items!$A$5:$A$133,0)))</f>
        <v>Uk 1.2</v>
      </c>
      <c r="G446" s="76" t="n">
        <v>46255</v>
      </c>
      <c r="H446" s="23" t="n">
        <f aca="false">MONTH(G446)</f>
        <v>8</v>
      </c>
      <c r="I446" s="74" t="s">
        <v>2074</v>
      </c>
      <c r="J446" s="74" t="s">
        <v>1311</v>
      </c>
      <c r="K446" s="10" t="n">
        <v>725.3</v>
      </c>
      <c r="L446" s="8" t="n">
        <v>27717789.33</v>
      </c>
      <c r="M446" s="10" t="n">
        <v>0</v>
      </c>
      <c r="N446" s="8" t="n">
        <v>0</v>
      </c>
      <c r="O446" s="74"/>
      <c r="P446" s="74"/>
      <c r="Q446" s="74"/>
      <c r="R446" s="14" t="n">
        <f aca="false">IF(I446="Unbilled",0,M446)</f>
        <v>0</v>
      </c>
      <c r="S446" s="9" t="n">
        <f aca="false">IF(R446=0,0,IF(O446="Booked",N446,R446*V445))</f>
        <v>0</v>
      </c>
      <c r="T446" s="14" t="n">
        <f aca="false">IF(I446="Opening",K446,T445+K446-R446)</f>
        <v>1128.07</v>
      </c>
      <c r="U446" s="9" t="n">
        <f aca="false">IF(I446="Opening",L446,U445+L446-S446)</f>
        <v>42695938.19</v>
      </c>
      <c r="V446" s="9" t="n">
        <f aca="false">IF(T446&gt;0,U446/T446,IF(I446="Opening",0,V445))</f>
        <v>37848.6602693095</v>
      </c>
      <c r="W446" s="14" t="n">
        <f aca="false">M446</f>
        <v>0</v>
      </c>
      <c r="X446" s="9" t="n">
        <f aca="false">IF(W446=0,0,IF(O446="Booked",N446,W446*AA445))</f>
        <v>0</v>
      </c>
      <c r="Y446" s="14" t="n">
        <f aca="false">IF(I446="Opening",K446,Y445+K446-W446)</f>
        <v>1128.07</v>
      </c>
      <c r="Z446" s="9" t="n">
        <f aca="false">IF(I446="Opening",L446,Z445+L446-X446)</f>
        <v>42695938.19</v>
      </c>
      <c r="AA446" s="9" t="n">
        <f aca="false">IF(Y446&gt;0,Z446/Y446,IF(I446="Opening",0,AA445))</f>
        <v>37848.6602693095</v>
      </c>
      <c r="AB446" s="9" t="n">
        <f aca="false">IF(AND(I446="DO",O446="MA"),S446-N446,0)</f>
        <v>0</v>
      </c>
      <c r="AC446" s="9" t="n">
        <f aca="false">IF(I446="DO",X446-S446,0)</f>
        <v>0</v>
      </c>
      <c r="AD446" s="23" t="n">
        <f aca="false">IF(B447&lt;&gt;B446,1,0)</f>
        <v>0</v>
      </c>
      <c r="AE446" s="14" t="n">
        <f aca="false">IF(I446="Opening",0,AE445+W446)</f>
        <v>257.65</v>
      </c>
      <c r="AF446" s="14" t="n">
        <f aca="false">IF(I446="Opening",K446,AF445)</f>
        <v>30.12</v>
      </c>
      <c r="AG446" s="14" t="n">
        <f aca="false">AG445</f>
        <v>0</v>
      </c>
      <c r="AH446" s="14" t="n">
        <f aca="false">IF(W446=0,0,MAX(0,MIN(AE446,AF446)-MIN(AE446-W446,AF446)))</f>
        <v>0</v>
      </c>
      <c r="AI446" s="14" t="n">
        <f aca="false">IF(W446=0,0,MAX(0,MIN(AE446,AF446+AG446)-MAX(AE446-W446,AF446)))</f>
        <v>0</v>
      </c>
      <c r="AJ446" s="14" t="n">
        <f aca="false">W446-AH446-AI446</f>
        <v>0</v>
      </c>
      <c r="AK446" s="9" t="n">
        <f aca="false">IF(W446=0,0,X446*AH446/W446)</f>
        <v>0</v>
      </c>
      <c r="AL446" s="9" t="n">
        <f aca="false">IF(W446=0,0,X446*AI446/W446)</f>
        <v>0</v>
      </c>
      <c r="AM446" s="9" t="n">
        <f aca="false">X446-AK446-AL446</f>
        <v>0</v>
      </c>
    </row>
    <row r="447" customFormat="false" ht="15" hidden="false" customHeight="false" outlineLevel="0" collapsed="false">
      <c r="A447" s="6" t="n">
        <v>442</v>
      </c>
      <c r="B447" s="74" t="s">
        <v>988</v>
      </c>
      <c r="C447" s="53" t="str">
        <f aca="false">INDEX(I_Items!$C$5:$C$133,MATCH($B447,I_Items!$A$5:$A$133,0))</f>
        <v>RPA</v>
      </c>
      <c r="D447" s="53" t="str">
        <f aca="false">INDEX(I_Items!$D$5:$D$133,MATCH($B447,I_Items!$A$5:$A$133,0))</f>
        <v>Karkas</v>
      </c>
      <c r="E447" s="53" t="str">
        <f aca="false">INDEX(I_Items!$F$5:$F$133,MATCH($B447,I_Items!$A$5:$A$133,0))</f>
        <v>Frozen</v>
      </c>
      <c r="F447" s="53" t="str">
        <f aca="false">IF(INDEX(I_Items!$E$5:$E$133,MATCH($B447,I_Items!$A$5:$A$133,0))="","",INDEX(I_Items!$E$5:$E$133,MATCH($B447,I_Items!$A$5:$A$133,0)))</f>
        <v>Uk 1.2</v>
      </c>
      <c r="G447" s="76" t="n">
        <v>46261</v>
      </c>
      <c r="H447" s="23" t="n">
        <f aca="false">MONTH(G447)</f>
        <v>8</v>
      </c>
      <c r="I447" s="74" t="s">
        <v>2075</v>
      </c>
      <c r="J447" s="74" t="s">
        <v>2147</v>
      </c>
      <c r="K447" s="10" t="n">
        <v>0</v>
      </c>
      <c r="L447" s="8" t="n">
        <v>0</v>
      </c>
      <c r="M447" s="10" t="n">
        <v>322.2</v>
      </c>
      <c r="N447" s="8" t="n">
        <v>12194838.35</v>
      </c>
      <c r="O447" s="74" t="s">
        <v>2077</v>
      </c>
      <c r="P447" s="74"/>
      <c r="Q447" s="74"/>
      <c r="R447" s="14" t="n">
        <f aca="false">IF(I447="Unbilled",0,M447)</f>
        <v>322.2</v>
      </c>
      <c r="S447" s="9" t="n">
        <f aca="false">IF(R447=0,0,IF(O447="Booked",N447,R447*V446))</f>
        <v>12194838.3387715</v>
      </c>
      <c r="T447" s="14" t="n">
        <f aca="false">IF(I447="Opening",K447,T446+K447-R447)</f>
        <v>805.87</v>
      </c>
      <c r="U447" s="9" t="n">
        <f aca="false">IF(I447="Opening",L447,U446+L447-S447)</f>
        <v>30501099.8512285</v>
      </c>
      <c r="V447" s="9" t="n">
        <f aca="false">IF(T447&gt;0,U447/T447,IF(I447="Opening",0,V446))</f>
        <v>37848.6602693095</v>
      </c>
      <c r="W447" s="14" t="n">
        <f aca="false">M447</f>
        <v>322.2</v>
      </c>
      <c r="X447" s="9" t="n">
        <f aca="false">IF(W447=0,0,IF(O447="Booked",N447,W447*AA446))</f>
        <v>12194838.3387715</v>
      </c>
      <c r="Y447" s="14" t="n">
        <f aca="false">IF(I447="Opening",K447,Y446+K447-W447)</f>
        <v>805.87</v>
      </c>
      <c r="Z447" s="9" t="n">
        <f aca="false">IF(I447="Opening",L447,Z446+L447-X447)</f>
        <v>30501099.8512285</v>
      </c>
      <c r="AA447" s="9" t="n">
        <f aca="false">IF(Y447&gt;0,Z447/Y447,IF(I447="Opening",0,AA446))</f>
        <v>37848.6602693095</v>
      </c>
      <c r="AB447" s="9" t="n">
        <f aca="false">IF(AND(I447="DO",O447="MA"),S447-N447,0)</f>
        <v>-0.0112284701317549</v>
      </c>
      <c r="AC447" s="9" t="n">
        <f aca="false">IF(I447="DO",X447-S447,0)</f>
        <v>0</v>
      </c>
      <c r="AD447" s="23" t="n">
        <f aca="false">IF(B448&lt;&gt;B447,1,0)</f>
        <v>0</v>
      </c>
      <c r="AE447" s="14" t="n">
        <f aca="false">IF(I447="Opening",0,AE446+W447)</f>
        <v>579.85</v>
      </c>
      <c r="AF447" s="14" t="n">
        <f aca="false">IF(I447="Opening",K447,AF446)</f>
        <v>30.12</v>
      </c>
      <c r="AG447" s="14" t="n">
        <f aca="false">AG446</f>
        <v>0</v>
      </c>
      <c r="AH447" s="14" t="n">
        <f aca="false">IF(W447=0,0,MAX(0,MIN(AE447,AF447)-MIN(AE447-W447,AF447)))</f>
        <v>0</v>
      </c>
      <c r="AI447" s="14" t="n">
        <f aca="false">IF(W447=0,0,MAX(0,MIN(AE447,AF447+AG447)-MAX(AE447-W447,AF447)))</f>
        <v>0</v>
      </c>
      <c r="AJ447" s="14" t="n">
        <f aca="false">W447-AH447-AI447</f>
        <v>322.2</v>
      </c>
      <c r="AK447" s="9" t="n">
        <f aca="false">IF(W447=0,0,X447*AH447/W447)</f>
        <v>0</v>
      </c>
      <c r="AL447" s="9" t="n">
        <f aca="false">IF(W447=0,0,X447*AI447/W447)</f>
        <v>0</v>
      </c>
      <c r="AM447" s="9" t="n">
        <f aca="false">X447-AK447-AL447</f>
        <v>12194838.3387715</v>
      </c>
    </row>
    <row r="448" customFormat="false" ht="15" hidden="false" customHeight="false" outlineLevel="0" collapsed="false">
      <c r="A448" s="6" t="n">
        <v>443</v>
      </c>
      <c r="B448" s="74" t="s">
        <v>988</v>
      </c>
      <c r="C448" s="53" t="str">
        <f aca="false">INDEX(I_Items!$C$5:$C$133,MATCH($B448,I_Items!$A$5:$A$133,0))</f>
        <v>RPA</v>
      </c>
      <c r="D448" s="53" t="str">
        <f aca="false">INDEX(I_Items!$D$5:$D$133,MATCH($B448,I_Items!$A$5:$A$133,0))</f>
        <v>Karkas</v>
      </c>
      <c r="E448" s="53" t="str">
        <f aca="false">INDEX(I_Items!$F$5:$F$133,MATCH($B448,I_Items!$A$5:$A$133,0))</f>
        <v>Frozen</v>
      </c>
      <c r="F448" s="53" t="str">
        <f aca="false">IF(INDEX(I_Items!$E$5:$E$133,MATCH($B448,I_Items!$A$5:$A$133,0))="","",INDEX(I_Items!$E$5:$E$133,MATCH($B448,I_Items!$A$5:$A$133,0)))</f>
        <v>Uk 1.2</v>
      </c>
      <c r="G448" s="76" t="n">
        <v>46262</v>
      </c>
      <c r="H448" s="23" t="n">
        <f aca="false">MONTH(G448)</f>
        <v>8</v>
      </c>
      <c r="I448" s="74" t="s">
        <v>2074</v>
      </c>
      <c r="J448" s="74" t="s">
        <v>1323</v>
      </c>
      <c r="K448" s="10" t="n">
        <v>1687.6</v>
      </c>
      <c r="L448" s="8" t="n">
        <v>63271251.29</v>
      </c>
      <c r="M448" s="10" t="n">
        <v>0</v>
      </c>
      <c r="N448" s="8" t="n">
        <v>0</v>
      </c>
      <c r="O448" s="74"/>
      <c r="P448" s="74"/>
      <c r="Q448" s="74"/>
      <c r="R448" s="14" t="n">
        <f aca="false">IF(I448="Unbilled",0,M448)</f>
        <v>0</v>
      </c>
      <c r="S448" s="9" t="n">
        <f aca="false">IF(R448=0,0,IF(O448="Booked",N448,R448*V447))</f>
        <v>0</v>
      </c>
      <c r="T448" s="14" t="n">
        <f aca="false">IF(I448="Opening",K448,T447+K448-R448)</f>
        <v>2493.47</v>
      </c>
      <c r="U448" s="9" t="n">
        <f aca="false">IF(I448="Opening",L448,U447+L448-S448)</f>
        <v>93772351.1412285</v>
      </c>
      <c r="V448" s="9" t="n">
        <f aca="false">IF(T448&gt;0,U448/T448,IF(I448="Opening",0,V447))</f>
        <v>37607.1703855384</v>
      </c>
      <c r="W448" s="14" t="n">
        <f aca="false">M448</f>
        <v>0</v>
      </c>
      <c r="X448" s="9" t="n">
        <f aca="false">IF(W448=0,0,IF(O448="Booked",N448,W448*AA447))</f>
        <v>0</v>
      </c>
      <c r="Y448" s="14" t="n">
        <f aca="false">IF(I448="Opening",K448,Y447+K448-W448)</f>
        <v>2493.47</v>
      </c>
      <c r="Z448" s="9" t="n">
        <f aca="false">IF(I448="Opening",L448,Z447+L448-X448)</f>
        <v>93772351.1412285</v>
      </c>
      <c r="AA448" s="9" t="n">
        <f aca="false">IF(Y448&gt;0,Z448/Y448,IF(I448="Opening",0,AA447))</f>
        <v>37607.1703855384</v>
      </c>
      <c r="AB448" s="9" t="n">
        <f aca="false">IF(AND(I448="DO",O448="MA"),S448-N448,0)</f>
        <v>0</v>
      </c>
      <c r="AC448" s="9" t="n">
        <f aca="false">IF(I448="DO",X448-S448,0)</f>
        <v>0</v>
      </c>
      <c r="AD448" s="23" t="n">
        <f aca="false">IF(B449&lt;&gt;B448,1,0)</f>
        <v>0</v>
      </c>
      <c r="AE448" s="14" t="n">
        <f aca="false">IF(I448="Opening",0,AE447+W448)</f>
        <v>579.85</v>
      </c>
      <c r="AF448" s="14" t="n">
        <f aca="false">IF(I448="Opening",K448,AF447)</f>
        <v>30.12</v>
      </c>
      <c r="AG448" s="14" t="n">
        <f aca="false">AG447</f>
        <v>0</v>
      </c>
      <c r="AH448" s="14" t="n">
        <f aca="false">IF(W448=0,0,MAX(0,MIN(AE448,AF448)-MIN(AE448-W448,AF448)))</f>
        <v>0</v>
      </c>
      <c r="AI448" s="14" t="n">
        <f aca="false">IF(W448=0,0,MAX(0,MIN(AE448,AF448+AG448)-MAX(AE448-W448,AF448)))</f>
        <v>0</v>
      </c>
      <c r="AJ448" s="14" t="n">
        <f aca="false">W448-AH448-AI448</f>
        <v>0</v>
      </c>
      <c r="AK448" s="9" t="n">
        <f aca="false">IF(W448=0,0,X448*AH448/W448)</f>
        <v>0</v>
      </c>
      <c r="AL448" s="9" t="n">
        <f aca="false">IF(W448=0,0,X448*AI448/W448)</f>
        <v>0</v>
      </c>
      <c r="AM448" s="9" t="n">
        <f aca="false">X448-AK448-AL448</f>
        <v>0</v>
      </c>
    </row>
    <row r="449" customFormat="false" ht="15" hidden="false" customHeight="false" outlineLevel="0" collapsed="false">
      <c r="A449" s="6" t="n">
        <v>444</v>
      </c>
      <c r="B449" s="74" t="s">
        <v>988</v>
      </c>
      <c r="C449" s="53" t="str">
        <f aca="false">INDEX(I_Items!$C$5:$C$133,MATCH($B449,I_Items!$A$5:$A$133,0))</f>
        <v>RPA</v>
      </c>
      <c r="D449" s="53" t="str">
        <f aca="false">INDEX(I_Items!$D$5:$D$133,MATCH($B449,I_Items!$A$5:$A$133,0))</f>
        <v>Karkas</v>
      </c>
      <c r="E449" s="53" t="str">
        <f aca="false">INDEX(I_Items!$F$5:$F$133,MATCH($B449,I_Items!$A$5:$A$133,0))</f>
        <v>Frozen</v>
      </c>
      <c r="F449" s="53" t="str">
        <f aca="false">IF(INDEX(I_Items!$E$5:$E$133,MATCH($B449,I_Items!$A$5:$A$133,0))="","",INDEX(I_Items!$E$5:$E$133,MATCH($B449,I_Items!$A$5:$A$133,0)))</f>
        <v>Uk 1.2</v>
      </c>
      <c r="G449" s="76" t="n">
        <v>46263</v>
      </c>
      <c r="H449" s="23" t="n">
        <f aca="false">MONTH(G449)</f>
        <v>8</v>
      </c>
      <c r="I449" s="74" t="s">
        <v>2075</v>
      </c>
      <c r="J449" s="74" t="s">
        <v>2148</v>
      </c>
      <c r="K449" s="10" t="n">
        <v>0</v>
      </c>
      <c r="L449" s="8" t="n">
        <v>0</v>
      </c>
      <c r="M449" s="10" t="n">
        <v>95.7</v>
      </c>
      <c r="N449" s="8" t="n">
        <v>3599006.21</v>
      </c>
      <c r="O449" s="74" t="s">
        <v>2077</v>
      </c>
      <c r="P449" s="74"/>
      <c r="Q449" s="74"/>
      <c r="R449" s="14" t="n">
        <f aca="false">IF(I449="Unbilled",0,M449)</f>
        <v>95.7</v>
      </c>
      <c r="S449" s="9" t="n">
        <f aca="false">IF(R449=0,0,IF(O449="Booked",N449,R449*V448))</f>
        <v>3599006.20589603</v>
      </c>
      <c r="T449" s="14" t="n">
        <f aca="false">IF(I449="Opening",K449,T448+K449-R449)</f>
        <v>2397.77</v>
      </c>
      <c r="U449" s="9" t="n">
        <f aca="false">IF(I449="Opening",L449,U448+L449-S449)</f>
        <v>90173344.9353325</v>
      </c>
      <c r="V449" s="9" t="n">
        <f aca="false">IF(T449&gt;0,U449/T449,IF(I449="Opening",0,V448))</f>
        <v>37607.1703855384</v>
      </c>
      <c r="W449" s="14" t="n">
        <f aca="false">M449</f>
        <v>95.7</v>
      </c>
      <c r="X449" s="9" t="n">
        <f aca="false">IF(W449=0,0,IF(O449="Booked",N449,W449*AA448))</f>
        <v>3599006.20589603</v>
      </c>
      <c r="Y449" s="14" t="n">
        <f aca="false">IF(I449="Opening",K449,Y448+K449-W449)</f>
        <v>2397.77</v>
      </c>
      <c r="Z449" s="9" t="n">
        <f aca="false">IF(I449="Opening",L449,Z448+L449-X449)</f>
        <v>90173344.9353325</v>
      </c>
      <c r="AA449" s="9" t="n">
        <f aca="false">IF(Y449&gt;0,Z449/Y449,IF(I449="Opening",0,AA448))</f>
        <v>37607.1703855384</v>
      </c>
      <c r="AB449" s="9" t="n">
        <f aca="false">IF(AND(I449="DO",O449="MA"),S449-N449,0)</f>
        <v>-0.00410397304221988</v>
      </c>
      <c r="AC449" s="9" t="n">
        <f aca="false">IF(I449="DO",X449-S449,0)</f>
        <v>0</v>
      </c>
      <c r="AD449" s="23" t="n">
        <f aca="false">IF(B450&lt;&gt;B449,1,0)</f>
        <v>0</v>
      </c>
      <c r="AE449" s="14" t="n">
        <f aca="false">IF(I449="Opening",0,AE448+W449)</f>
        <v>675.55</v>
      </c>
      <c r="AF449" s="14" t="n">
        <f aca="false">IF(I449="Opening",K449,AF448)</f>
        <v>30.12</v>
      </c>
      <c r="AG449" s="14" t="n">
        <f aca="false">AG448</f>
        <v>0</v>
      </c>
      <c r="AH449" s="14" t="n">
        <f aca="false">IF(W449=0,0,MAX(0,MIN(AE449,AF449)-MIN(AE449-W449,AF449)))</f>
        <v>0</v>
      </c>
      <c r="AI449" s="14" t="n">
        <f aca="false">IF(W449=0,0,MAX(0,MIN(AE449,AF449+AG449)-MAX(AE449-W449,AF449)))</f>
        <v>0</v>
      </c>
      <c r="AJ449" s="14" t="n">
        <f aca="false">W449-AH449-AI449</f>
        <v>95.7</v>
      </c>
      <c r="AK449" s="9" t="n">
        <f aca="false">IF(W449=0,0,X449*AH449/W449)</f>
        <v>0</v>
      </c>
      <c r="AL449" s="9" t="n">
        <f aca="false">IF(W449=0,0,X449*AI449/W449)</f>
        <v>0</v>
      </c>
      <c r="AM449" s="9" t="n">
        <f aca="false">X449-AK449-AL449</f>
        <v>3599006.20589603</v>
      </c>
    </row>
    <row r="450" customFormat="false" ht="15" hidden="false" customHeight="false" outlineLevel="0" collapsed="false">
      <c r="A450" s="6" t="n">
        <v>445</v>
      </c>
      <c r="B450" s="74" t="s">
        <v>988</v>
      </c>
      <c r="C450" s="53" t="str">
        <f aca="false">INDEX(I_Items!$C$5:$C$133,MATCH($B450,I_Items!$A$5:$A$133,0))</f>
        <v>RPA</v>
      </c>
      <c r="D450" s="53" t="str">
        <f aca="false">INDEX(I_Items!$D$5:$D$133,MATCH($B450,I_Items!$A$5:$A$133,0))</f>
        <v>Karkas</v>
      </c>
      <c r="E450" s="53" t="str">
        <f aca="false">INDEX(I_Items!$F$5:$F$133,MATCH($B450,I_Items!$A$5:$A$133,0))</f>
        <v>Frozen</v>
      </c>
      <c r="F450" s="53" t="str">
        <f aca="false">IF(INDEX(I_Items!$E$5:$E$133,MATCH($B450,I_Items!$A$5:$A$133,0))="","",INDEX(I_Items!$E$5:$E$133,MATCH($B450,I_Items!$A$5:$A$133,0)))</f>
        <v>Uk 1.2</v>
      </c>
      <c r="G450" s="76" t="n">
        <v>46265</v>
      </c>
      <c r="H450" s="23" t="n">
        <f aca="false">MONTH(G450)</f>
        <v>8</v>
      </c>
      <c r="I450" s="74" t="s">
        <v>2074</v>
      </c>
      <c r="J450" s="74" t="s">
        <v>1326</v>
      </c>
      <c r="K450" s="10" t="n">
        <v>1325.2</v>
      </c>
      <c r="L450" s="8" t="n">
        <v>48828845.04</v>
      </c>
      <c r="M450" s="10" t="n">
        <v>0</v>
      </c>
      <c r="N450" s="8" t="n">
        <v>0</v>
      </c>
      <c r="O450" s="74"/>
      <c r="P450" s="74"/>
      <c r="Q450" s="74"/>
      <c r="R450" s="14" t="n">
        <f aca="false">IF(I450="Unbilled",0,M450)</f>
        <v>0</v>
      </c>
      <c r="S450" s="9" t="n">
        <f aca="false">IF(R450=0,0,IF(O450="Booked",N450,R450*V449))</f>
        <v>0</v>
      </c>
      <c r="T450" s="14" t="n">
        <f aca="false">IF(I450="Opening",K450,T449+K450-R450)</f>
        <v>3722.97</v>
      </c>
      <c r="U450" s="9" t="n">
        <f aca="false">IF(I450="Opening",L450,U449+L450-S450)</f>
        <v>139002189.975332</v>
      </c>
      <c r="V450" s="9" t="n">
        <f aca="false">IF(T450&gt;0,U450/T450,IF(I450="Opening",0,V449))</f>
        <v>37336.3712238703</v>
      </c>
      <c r="W450" s="14" t="n">
        <f aca="false">M450</f>
        <v>0</v>
      </c>
      <c r="X450" s="9" t="n">
        <f aca="false">IF(W450=0,0,IF(O450="Booked",N450,W450*AA449))</f>
        <v>0</v>
      </c>
      <c r="Y450" s="14" t="n">
        <f aca="false">IF(I450="Opening",K450,Y449+K450-W450)</f>
        <v>3722.97</v>
      </c>
      <c r="Z450" s="9" t="n">
        <f aca="false">IF(I450="Opening",L450,Z449+L450-X450)</f>
        <v>139002189.975332</v>
      </c>
      <c r="AA450" s="9" t="n">
        <f aca="false">IF(Y450&gt;0,Z450/Y450,IF(I450="Opening",0,AA449))</f>
        <v>37336.3712238703</v>
      </c>
      <c r="AB450" s="9" t="n">
        <f aca="false">IF(AND(I450="DO",O450="MA"),S450-N450,0)</f>
        <v>0</v>
      </c>
      <c r="AC450" s="9" t="n">
        <f aca="false">IF(I450="DO",X450-S450,0)</f>
        <v>0</v>
      </c>
      <c r="AD450" s="23" t="n">
        <f aca="false">IF(B451&lt;&gt;B450,1,0)</f>
        <v>1</v>
      </c>
      <c r="AE450" s="14" t="n">
        <f aca="false">IF(I450="Opening",0,AE449+W450)</f>
        <v>675.55</v>
      </c>
      <c r="AF450" s="14" t="n">
        <f aca="false">IF(I450="Opening",K450,AF449)</f>
        <v>30.12</v>
      </c>
      <c r="AG450" s="14" t="n">
        <f aca="false">AG449</f>
        <v>0</v>
      </c>
      <c r="AH450" s="14" t="n">
        <f aca="false">IF(W450=0,0,MAX(0,MIN(AE450,AF450)-MIN(AE450-W450,AF450)))</f>
        <v>0</v>
      </c>
      <c r="AI450" s="14" t="n">
        <f aca="false">IF(W450=0,0,MAX(0,MIN(AE450,AF450+AG450)-MAX(AE450-W450,AF450)))</f>
        <v>0</v>
      </c>
      <c r="AJ450" s="14" t="n">
        <f aca="false">W450-AH450-AI450</f>
        <v>0</v>
      </c>
      <c r="AK450" s="9" t="n">
        <f aca="false">IF(W450=0,0,X450*AH450/W450)</f>
        <v>0</v>
      </c>
      <c r="AL450" s="9" t="n">
        <f aca="false">IF(W450=0,0,X450*AI450/W450)</f>
        <v>0</v>
      </c>
      <c r="AM450" s="9" t="n">
        <f aca="false">X450-AK450-AL450</f>
        <v>0</v>
      </c>
    </row>
    <row r="451" customFormat="false" ht="15" hidden="false" customHeight="false" outlineLevel="0" collapsed="false">
      <c r="A451" s="6" t="n">
        <v>446</v>
      </c>
      <c r="B451" s="74" t="s">
        <v>989</v>
      </c>
      <c r="C451" s="53" t="str">
        <f aca="false">INDEX(I_Items!$C$5:$C$133,MATCH($B451,I_Items!$A$5:$A$133,0))</f>
        <v>RPA</v>
      </c>
      <c r="D451" s="53" t="str">
        <f aca="false">INDEX(I_Items!$D$5:$D$133,MATCH($B451,I_Items!$A$5:$A$133,0))</f>
        <v>Karkas</v>
      </c>
      <c r="E451" s="53" t="str">
        <f aca="false">INDEX(I_Items!$F$5:$F$133,MATCH($B451,I_Items!$A$5:$A$133,0))</f>
        <v>Fresh</v>
      </c>
      <c r="F451" s="53" t="str">
        <f aca="false">IF(INDEX(I_Items!$E$5:$E$133,MATCH($B451,I_Items!$A$5:$A$133,0))="","",INDEX(I_Items!$E$5:$E$133,MATCH($B451,I_Items!$A$5:$A$133,0)))</f>
        <v>Uk 1.3</v>
      </c>
      <c r="G451" s="76" t="n">
        <v>46204</v>
      </c>
      <c r="H451" s="23" t="n">
        <f aca="false">MONTH(G451)</f>
        <v>7</v>
      </c>
      <c r="I451" s="74" t="s">
        <v>2072</v>
      </c>
      <c r="J451" s="74" t="s">
        <v>2073</v>
      </c>
      <c r="K451" s="10" t="n">
        <v>0</v>
      </c>
      <c r="L451" s="8" t="n">
        <v>0</v>
      </c>
      <c r="M451" s="10" t="n">
        <v>0</v>
      </c>
      <c r="N451" s="8" t="n">
        <v>0</v>
      </c>
      <c r="O451" s="74"/>
      <c r="P451" s="74"/>
      <c r="Q451" s="74"/>
      <c r="R451" s="14" t="n">
        <f aca="false">IF(I451="Unbilled",0,M451)</f>
        <v>0</v>
      </c>
      <c r="S451" s="9" t="n">
        <f aca="false">IF(R451=0,0,IF(O451="Booked",N451,R451*V450))</f>
        <v>0</v>
      </c>
      <c r="T451" s="14" t="n">
        <f aca="false">IF(I451="Opening",K451,T450+K451-R451)</f>
        <v>0</v>
      </c>
      <c r="U451" s="9" t="n">
        <f aca="false">IF(I451="Opening",L451,U450+L451-S451)</f>
        <v>0</v>
      </c>
      <c r="V451" s="9" t="n">
        <f aca="false">IF(T451&gt;0,U451/T451,IF(I451="Opening",0,V450))</f>
        <v>0</v>
      </c>
      <c r="W451" s="14" t="n">
        <f aca="false">M451</f>
        <v>0</v>
      </c>
      <c r="X451" s="9" t="n">
        <f aca="false">IF(W451=0,0,IF(O451="Booked",N451,W451*AA450))</f>
        <v>0</v>
      </c>
      <c r="Y451" s="14" t="n">
        <f aca="false">IF(I451="Opening",K451,Y450+K451-W451)</f>
        <v>0</v>
      </c>
      <c r="Z451" s="9" t="n">
        <f aca="false">IF(I451="Opening",L451,Z450+L451-X451)</f>
        <v>0</v>
      </c>
      <c r="AA451" s="9" t="n">
        <f aca="false">IF(Y451&gt;0,Z451/Y451,IF(I451="Opening",0,AA450))</f>
        <v>0</v>
      </c>
      <c r="AB451" s="9" t="n">
        <f aca="false">IF(AND(I451="DO",O451="MA"),S451-N451,0)</f>
        <v>0</v>
      </c>
      <c r="AC451" s="9" t="n">
        <f aca="false">IF(I451="DO",X451-S451,0)</f>
        <v>0</v>
      </c>
      <c r="AD451" s="23" t="n">
        <f aca="false">IF(B452&lt;&gt;B451,1,0)</f>
        <v>0</v>
      </c>
      <c r="AE451" s="14" t="n">
        <f aca="false">IF(I451="Opening",0,AE450+W451)</f>
        <v>0</v>
      </c>
      <c r="AF451" s="14" t="n">
        <f aca="false">IF(I451="Opening",K451,AF450)</f>
        <v>0</v>
      </c>
      <c r="AG451" s="14" t="n">
        <f aca="false">SUMIFS($K$6:$K$1110,$B$6:$B$1110,B451,$H$6:$H$1110,7,$I$6:$I$1110,"&lt;&gt;Opening")</f>
        <v>0</v>
      </c>
      <c r="AH451" s="14" t="n">
        <f aca="false">IF(W451=0,0,MAX(0,MIN(AE451,AF451)-MIN(AE451-W451,AF451)))</f>
        <v>0</v>
      </c>
      <c r="AI451" s="14" t="n">
        <f aca="false">IF(W451=0,0,MAX(0,MIN(AE451,AF451+AG451)-MAX(AE451-W451,AF451)))</f>
        <v>0</v>
      </c>
      <c r="AJ451" s="14" t="n">
        <f aca="false">W451-AH451-AI451</f>
        <v>0</v>
      </c>
      <c r="AK451" s="9" t="n">
        <f aca="false">IF(W451=0,0,X451*AH451/W451)</f>
        <v>0</v>
      </c>
      <c r="AL451" s="9" t="n">
        <f aca="false">IF(W451=0,0,X451*AI451/W451)</f>
        <v>0</v>
      </c>
      <c r="AM451" s="9" t="n">
        <f aca="false">X451-AK451-AL451</f>
        <v>0</v>
      </c>
    </row>
    <row r="452" customFormat="false" ht="15" hidden="false" customHeight="false" outlineLevel="0" collapsed="false">
      <c r="A452" s="6" t="n">
        <v>447</v>
      </c>
      <c r="B452" s="74" t="s">
        <v>989</v>
      </c>
      <c r="C452" s="53" t="str">
        <f aca="false">INDEX(I_Items!$C$5:$C$133,MATCH($B452,I_Items!$A$5:$A$133,0))</f>
        <v>RPA</v>
      </c>
      <c r="D452" s="53" t="str">
        <f aca="false">INDEX(I_Items!$D$5:$D$133,MATCH($B452,I_Items!$A$5:$A$133,0))</f>
        <v>Karkas</v>
      </c>
      <c r="E452" s="53" t="str">
        <f aca="false">INDEX(I_Items!$F$5:$F$133,MATCH($B452,I_Items!$A$5:$A$133,0))</f>
        <v>Fresh</v>
      </c>
      <c r="F452" s="53" t="str">
        <f aca="false">IF(INDEX(I_Items!$E$5:$E$133,MATCH($B452,I_Items!$A$5:$A$133,0))="","",INDEX(I_Items!$E$5:$E$133,MATCH($B452,I_Items!$A$5:$A$133,0)))</f>
        <v>Uk 1.3</v>
      </c>
      <c r="G452" s="76" t="n">
        <v>46241</v>
      </c>
      <c r="H452" s="23" t="n">
        <f aca="false">MONTH(G452)</f>
        <v>8</v>
      </c>
      <c r="I452" s="74" t="s">
        <v>2074</v>
      </c>
      <c r="J452" s="74" t="s">
        <v>1290</v>
      </c>
      <c r="K452" s="10" t="n">
        <v>26.9</v>
      </c>
      <c r="L452" s="8" t="n">
        <v>820286.23</v>
      </c>
      <c r="M452" s="10" t="n">
        <v>0</v>
      </c>
      <c r="N452" s="8" t="n">
        <v>0</v>
      </c>
      <c r="O452" s="74"/>
      <c r="P452" s="74"/>
      <c r="Q452" s="74"/>
      <c r="R452" s="14" t="n">
        <f aca="false">IF(I452="Unbilled",0,M452)</f>
        <v>0</v>
      </c>
      <c r="S452" s="9" t="n">
        <f aca="false">IF(R452=0,0,IF(O452="Booked",N452,R452*V451))</f>
        <v>0</v>
      </c>
      <c r="T452" s="14" t="n">
        <f aca="false">IF(I452="Opening",K452,T451+K452-R452)</f>
        <v>26.9</v>
      </c>
      <c r="U452" s="9" t="n">
        <f aca="false">IF(I452="Opening",L452,U451+L452-S452)</f>
        <v>820286.23</v>
      </c>
      <c r="V452" s="9" t="n">
        <f aca="false">IF(T452&gt;0,U452/T452,IF(I452="Opening",0,V451))</f>
        <v>30493.9118959108</v>
      </c>
      <c r="W452" s="14" t="n">
        <f aca="false">M452</f>
        <v>0</v>
      </c>
      <c r="X452" s="9" t="n">
        <f aca="false">IF(W452=0,0,IF(O452="Booked",N452,W452*AA451))</f>
        <v>0</v>
      </c>
      <c r="Y452" s="14" t="n">
        <f aca="false">IF(I452="Opening",K452,Y451+K452-W452)</f>
        <v>26.9</v>
      </c>
      <c r="Z452" s="9" t="n">
        <f aca="false">IF(I452="Opening",L452,Z451+L452-X452)</f>
        <v>820286.23</v>
      </c>
      <c r="AA452" s="9" t="n">
        <f aca="false">IF(Y452&gt;0,Z452/Y452,IF(I452="Opening",0,AA451))</f>
        <v>30493.9118959108</v>
      </c>
      <c r="AB452" s="9" t="n">
        <f aca="false">IF(AND(I452="DO",O452="MA"),S452-N452,0)</f>
        <v>0</v>
      </c>
      <c r="AC452" s="9" t="n">
        <f aca="false">IF(I452="DO",X452-S452,0)</f>
        <v>0</v>
      </c>
      <c r="AD452" s="23" t="n">
        <f aca="false">IF(B453&lt;&gt;B452,1,0)</f>
        <v>1</v>
      </c>
      <c r="AE452" s="14" t="n">
        <f aca="false">IF(I452="Opening",0,AE451+W452)</f>
        <v>0</v>
      </c>
      <c r="AF452" s="14" t="n">
        <f aca="false">IF(I452="Opening",K452,AF451)</f>
        <v>0</v>
      </c>
      <c r="AG452" s="14" t="n">
        <f aca="false">AG451</f>
        <v>0</v>
      </c>
      <c r="AH452" s="14" t="n">
        <f aca="false">IF(W452=0,0,MAX(0,MIN(AE452,AF452)-MIN(AE452-W452,AF452)))</f>
        <v>0</v>
      </c>
      <c r="AI452" s="14" t="n">
        <f aca="false">IF(W452=0,0,MAX(0,MIN(AE452,AF452+AG452)-MAX(AE452-W452,AF452)))</f>
        <v>0</v>
      </c>
      <c r="AJ452" s="14" t="n">
        <f aca="false">W452-AH452-AI452</f>
        <v>0</v>
      </c>
      <c r="AK452" s="9" t="n">
        <f aca="false">IF(W452=0,0,X452*AH452/W452)</f>
        <v>0</v>
      </c>
      <c r="AL452" s="9" t="n">
        <f aca="false">IF(W452=0,0,X452*AI452/W452)</f>
        <v>0</v>
      </c>
      <c r="AM452" s="9" t="n">
        <f aca="false">X452-AK452-AL452</f>
        <v>0</v>
      </c>
    </row>
    <row r="453" customFormat="false" ht="15" hidden="false" customHeight="false" outlineLevel="0" collapsed="false">
      <c r="A453" s="6" t="n">
        <v>448</v>
      </c>
      <c r="B453" s="74" t="s">
        <v>990</v>
      </c>
      <c r="C453" s="53" t="str">
        <f aca="false">INDEX(I_Items!$C$5:$C$133,MATCH($B453,I_Items!$A$5:$A$133,0))</f>
        <v>RPA</v>
      </c>
      <c r="D453" s="53" t="str">
        <f aca="false">INDEX(I_Items!$D$5:$D$133,MATCH($B453,I_Items!$A$5:$A$133,0))</f>
        <v>Karkas</v>
      </c>
      <c r="E453" s="53" t="str">
        <f aca="false">INDEX(I_Items!$F$5:$F$133,MATCH($B453,I_Items!$A$5:$A$133,0))</f>
        <v>Fresh</v>
      </c>
      <c r="F453" s="53" t="str">
        <f aca="false">IF(INDEX(I_Items!$E$5:$E$133,MATCH($B453,I_Items!$A$5:$A$133,0))="","",INDEX(I_Items!$E$5:$E$133,MATCH($B453,I_Items!$A$5:$A$133,0)))</f>
        <v>Uk 1.3</v>
      </c>
      <c r="G453" s="76" t="n">
        <v>46204</v>
      </c>
      <c r="H453" s="23" t="n">
        <f aca="false">MONTH(G453)</f>
        <v>7</v>
      </c>
      <c r="I453" s="74" t="s">
        <v>2072</v>
      </c>
      <c r="J453" s="74" t="s">
        <v>2073</v>
      </c>
      <c r="K453" s="10" t="n">
        <v>0</v>
      </c>
      <c r="L453" s="8" t="n">
        <v>0</v>
      </c>
      <c r="M453" s="10" t="n">
        <v>0</v>
      </c>
      <c r="N453" s="8" t="n">
        <v>0</v>
      </c>
      <c r="O453" s="74"/>
      <c r="P453" s="74"/>
      <c r="Q453" s="74"/>
      <c r="R453" s="14" t="n">
        <f aca="false">IF(I453="Unbilled",0,M453)</f>
        <v>0</v>
      </c>
      <c r="S453" s="9" t="n">
        <f aca="false">IF(R453=0,0,IF(O453="Booked",N453,R453*V452))</f>
        <v>0</v>
      </c>
      <c r="T453" s="14" t="n">
        <f aca="false">IF(I453="Opening",K453,T452+K453-R453)</f>
        <v>0</v>
      </c>
      <c r="U453" s="9" t="n">
        <f aca="false">IF(I453="Opening",L453,U452+L453-S453)</f>
        <v>0</v>
      </c>
      <c r="V453" s="9" t="n">
        <f aca="false">IF(T453&gt;0,U453/T453,IF(I453="Opening",0,V452))</f>
        <v>0</v>
      </c>
      <c r="W453" s="14" t="n">
        <f aca="false">M453</f>
        <v>0</v>
      </c>
      <c r="X453" s="9" t="n">
        <f aca="false">IF(W453=0,0,IF(O453="Booked",N453,W453*AA452))</f>
        <v>0</v>
      </c>
      <c r="Y453" s="14" t="n">
        <f aca="false">IF(I453="Opening",K453,Y452+K453-W453)</f>
        <v>0</v>
      </c>
      <c r="Z453" s="9" t="n">
        <f aca="false">IF(I453="Opening",L453,Z452+L453-X453)</f>
        <v>0</v>
      </c>
      <c r="AA453" s="9" t="n">
        <f aca="false">IF(Y453&gt;0,Z453/Y453,IF(I453="Opening",0,AA452))</f>
        <v>0</v>
      </c>
      <c r="AB453" s="9" t="n">
        <f aca="false">IF(AND(I453="DO",O453="MA"),S453-N453,0)</f>
        <v>0</v>
      </c>
      <c r="AC453" s="9" t="n">
        <f aca="false">IF(I453="DO",X453-S453,0)</f>
        <v>0</v>
      </c>
      <c r="AD453" s="23" t="n">
        <f aca="false">IF(B454&lt;&gt;B453,1,0)</f>
        <v>0</v>
      </c>
      <c r="AE453" s="14" t="n">
        <f aca="false">IF(I453="Opening",0,AE452+W453)</f>
        <v>0</v>
      </c>
      <c r="AF453" s="14" t="n">
        <f aca="false">IF(I453="Opening",K453,AF452)</f>
        <v>0</v>
      </c>
      <c r="AG453" s="14" t="n">
        <f aca="false">SUMIFS($K$6:$K$1110,$B$6:$B$1110,B453,$H$6:$H$1110,7,$I$6:$I$1110,"&lt;&gt;Opening")</f>
        <v>0</v>
      </c>
      <c r="AH453" s="14" t="n">
        <f aca="false">IF(W453=0,0,MAX(0,MIN(AE453,AF453)-MIN(AE453-W453,AF453)))</f>
        <v>0</v>
      </c>
      <c r="AI453" s="14" t="n">
        <f aca="false">IF(W453=0,0,MAX(0,MIN(AE453,AF453+AG453)-MAX(AE453-W453,AF453)))</f>
        <v>0</v>
      </c>
      <c r="AJ453" s="14" t="n">
        <f aca="false">W453-AH453-AI453</f>
        <v>0</v>
      </c>
      <c r="AK453" s="9" t="n">
        <f aca="false">IF(W453=0,0,X453*AH453/W453)</f>
        <v>0</v>
      </c>
      <c r="AL453" s="9" t="n">
        <f aca="false">IF(W453=0,0,X453*AI453/W453)</f>
        <v>0</v>
      </c>
      <c r="AM453" s="9" t="n">
        <f aca="false">X453-AK453-AL453</f>
        <v>0</v>
      </c>
    </row>
    <row r="454" customFormat="false" ht="15" hidden="false" customHeight="false" outlineLevel="0" collapsed="false">
      <c r="A454" s="6" t="n">
        <v>449</v>
      </c>
      <c r="B454" s="74" t="s">
        <v>990</v>
      </c>
      <c r="C454" s="53" t="str">
        <f aca="false">INDEX(I_Items!$C$5:$C$133,MATCH($B454,I_Items!$A$5:$A$133,0))</f>
        <v>RPA</v>
      </c>
      <c r="D454" s="53" t="str">
        <f aca="false">INDEX(I_Items!$D$5:$D$133,MATCH($B454,I_Items!$A$5:$A$133,0))</f>
        <v>Karkas</v>
      </c>
      <c r="E454" s="53" t="str">
        <f aca="false">INDEX(I_Items!$F$5:$F$133,MATCH($B454,I_Items!$A$5:$A$133,0))</f>
        <v>Fresh</v>
      </c>
      <c r="F454" s="53" t="str">
        <f aca="false">IF(INDEX(I_Items!$E$5:$E$133,MATCH($B454,I_Items!$A$5:$A$133,0))="","",INDEX(I_Items!$E$5:$E$133,MATCH($B454,I_Items!$A$5:$A$133,0)))</f>
        <v>Uk 1.3</v>
      </c>
      <c r="G454" s="76" t="n">
        <v>46241</v>
      </c>
      <c r="H454" s="23" t="n">
        <f aca="false">MONTH(G454)</f>
        <v>8</v>
      </c>
      <c r="I454" s="74" t="s">
        <v>2074</v>
      </c>
      <c r="J454" s="74" t="s">
        <v>1290</v>
      </c>
      <c r="K454" s="10" t="n">
        <v>356.9</v>
      </c>
      <c r="L454" s="8" t="n">
        <v>13604096.38</v>
      </c>
      <c r="M454" s="10" t="n">
        <v>0</v>
      </c>
      <c r="N454" s="8" t="n">
        <v>0</v>
      </c>
      <c r="O454" s="74"/>
      <c r="P454" s="74"/>
      <c r="Q454" s="74"/>
      <c r="R454" s="14" t="n">
        <f aca="false">IF(I454="Unbilled",0,M454)</f>
        <v>0</v>
      </c>
      <c r="S454" s="9" t="n">
        <f aca="false">IF(R454=0,0,IF(O454="Booked",N454,R454*V453))</f>
        <v>0</v>
      </c>
      <c r="T454" s="14" t="n">
        <f aca="false">IF(I454="Opening",K454,T453+K454-R454)</f>
        <v>356.9</v>
      </c>
      <c r="U454" s="9" t="n">
        <f aca="false">IF(I454="Opening",L454,U453+L454-S454)</f>
        <v>13604096.38</v>
      </c>
      <c r="V454" s="9" t="n">
        <f aca="false">IF(T454&gt;0,U454/T454,IF(I454="Opening",0,V453))</f>
        <v>38117.3896889885</v>
      </c>
      <c r="W454" s="14" t="n">
        <f aca="false">M454</f>
        <v>0</v>
      </c>
      <c r="X454" s="9" t="n">
        <f aca="false">IF(W454=0,0,IF(O454="Booked",N454,W454*AA453))</f>
        <v>0</v>
      </c>
      <c r="Y454" s="14" t="n">
        <f aca="false">IF(I454="Opening",K454,Y453+K454-W454)</f>
        <v>356.9</v>
      </c>
      <c r="Z454" s="9" t="n">
        <f aca="false">IF(I454="Opening",L454,Z453+L454-X454)</f>
        <v>13604096.38</v>
      </c>
      <c r="AA454" s="9" t="n">
        <f aca="false">IF(Y454&gt;0,Z454/Y454,IF(I454="Opening",0,AA453))</f>
        <v>38117.3896889885</v>
      </c>
      <c r="AB454" s="9" t="n">
        <f aca="false">IF(AND(I454="DO",O454="MA"),S454-N454,0)</f>
        <v>0</v>
      </c>
      <c r="AC454" s="9" t="n">
        <f aca="false">IF(I454="DO",X454-S454,0)</f>
        <v>0</v>
      </c>
      <c r="AD454" s="23" t="n">
        <f aca="false">IF(B455&lt;&gt;B454,1,0)</f>
        <v>0</v>
      </c>
      <c r="AE454" s="14" t="n">
        <f aca="false">IF(I454="Opening",0,AE453+W454)</f>
        <v>0</v>
      </c>
      <c r="AF454" s="14" t="n">
        <f aca="false">IF(I454="Opening",K454,AF453)</f>
        <v>0</v>
      </c>
      <c r="AG454" s="14" t="n">
        <f aca="false">AG453</f>
        <v>0</v>
      </c>
      <c r="AH454" s="14" t="n">
        <f aca="false">IF(W454=0,0,MAX(0,MIN(AE454,AF454)-MIN(AE454-W454,AF454)))</f>
        <v>0</v>
      </c>
      <c r="AI454" s="14" t="n">
        <f aca="false">IF(W454=0,0,MAX(0,MIN(AE454,AF454+AG454)-MAX(AE454-W454,AF454)))</f>
        <v>0</v>
      </c>
      <c r="AJ454" s="14" t="n">
        <f aca="false">W454-AH454-AI454</f>
        <v>0</v>
      </c>
      <c r="AK454" s="9" t="n">
        <f aca="false">IF(W454=0,0,X454*AH454/W454)</f>
        <v>0</v>
      </c>
      <c r="AL454" s="9" t="n">
        <f aca="false">IF(W454=0,0,X454*AI454/W454)</f>
        <v>0</v>
      </c>
      <c r="AM454" s="9" t="n">
        <f aca="false">X454-AK454-AL454</f>
        <v>0</v>
      </c>
    </row>
    <row r="455" customFormat="false" ht="15" hidden="false" customHeight="false" outlineLevel="0" collapsed="false">
      <c r="A455" s="6" t="n">
        <v>450</v>
      </c>
      <c r="B455" s="74" t="s">
        <v>990</v>
      </c>
      <c r="C455" s="53" t="str">
        <f aca="false">INDEX(I_Items!$C$5:$C$133,MATCH($B455,I_Items!$A$5:$A$133,0))</f>
        <v>RPA</v>
      </c>
      <c r="D455" s="53" t="str">
        <f aca="false">INDEX(I_Items!$D$5:$D$133,MATCH($B455,I_Items!$A$5:$A$133,0))</f>
        <v>Karkas</v>
      </c>
      <c r="E455" s="53" t="str">
        <f aca="false">INDEX(I_Items!$F$5:$F$133,MATCH($B455,I_Items!$A$5:$A$133,0))</f>
        <v>Fresh</v>
      </c>
      <c r="F455" s="53" t="str">
        <f aca="false">IF(INDEX(I_Items!$E$5:$E$133,MATCH($B455,I_Items!$A$5:$A$133,0))="","",INDEX(I_Items!$E$5:$E$133,MATCH($B455,I_Items!$A$5:$A$133,0)))</f>
        <v>Uk 1.3</v>
      </c>
      <c r="G455" s="76" t="n">
        <v>46244</v>
      </c>
      <c r="H455" s="23" t="n">
        <f aca="false">MONTH(G455)</f>
        <v>8</v>
      </c>
      <c r="I455" s="74" t="s">
        <v>2074</v>
      </c>
      <c r="J455" s="74" t="s">
        <v>1294</v>
      </c>
      <c r="K455" s="10" t="n">
        <v>544.5</v>
      </c>
      <c r="L455" s="8" t="n">
        <v>19535693.89</v>
      </c>
      <c r="M455" s="10" t="n">
        <v>0</v>
      </c>
      <c r="N455" s="8" t="n">
        <v>0</v>
      </c>
      <c r="O455" s="74"/>
      <c r="P455" s="74"/>
      <c r="Q455" s="74"/>
      <c r="R455" s="14" t="n">
        <f aca="false">IF(I455="Unbilled",0,M455)</f>
        <v>0</v>
      </c>
      <c r="S455" s="9" t="n">
        <f aca="false">IF(R455=0,0,IF(O455="Booked",N455,R455*V454))</f>
        <v>0</v>
      </c>
      <c r="T455" s="14" t="n">
        <f aca="false">IF(I455="Opening",K455,T454+K455-R455)</f>
        <v>901.4</v>
      </c>
      <c r="U455" s="9" t="n">
        <f aca="false">IF(I455="Opening",L455,U454+L455-S455)</f>
        <v>33139790.27</v>
      </c>
      <c r="V455" s="9" t="n">
        <f aca="false">IF(T455&gt;0,U455/T455,IF(I455="Opening",0,V454))</f>
        <v>36764.7995007766</v>
      </c>
      <c r="W455" s="14" t="n">
        <f aca="false">M455</f>
        <v>0</v>
      </c>
      <c r="X455" s="9" t="n">
        <f aca="false">IF(W455=0,0,IF(O455="Booked",N455,W455*AA454))</f>
        <v>0</v>
      </c>
      <c r="Y455" s="14" t="n">
        <f aca="false">IF(I455="Opening",K455,Y454+K455-W455)</f>
        <v>901.4</v>
      </c>
      <c r="Z455" s="9" t="n">
        <f aca="false">IF(I455="Opening",L455,Z454+L455-X455)</f>
        <v>33139790.27</v>
      </c>
      <c r="AA455" s="9" t="n">
        <f aca="false">IF(Y455&gt;0,Z455/Y455,IF(I455="Opening",0,AA454))</f>
        <v>36764.7995007766</v>
      </c>
      <c r="AB455" s="9" t="n">
        <f aca="false">IF(AND(I455="DO",O455="MA"),S455-N455,0)</f>
        <v>0</v>
      </c>
      <c r="AC455" s="9" t="n">
        <f aca="false">IF(I455="DO",X455-S455,0)</f>
        <v>0</v>
      </c>
      <c r="AD455" s="23" t="n">
        <f aca="false">IF(B456&lt;&gt;B455,1,0)</f>
        <v>0</v>
      </c>
      <c r="AE455" s="14" t="n">
        <f aca="false">IF(I455="Opening",0,AE454+W455)</f>
        <v>0</v>
      </c>
      <c r="AF455" s="14" t="n">
        <f aca="false">IF(I455="Opening",K455,AF454)</f>
        <v>0</v>
      </c>
      <c r="AG455" s="14" t="n">
        <f aca="false">AG454</f>
        <v>0</v>
      </c>
      <c r="AH455" s="14" t="n">
        <f aca="false">IF(W455=0,0,MAX(0,MIN(AE455,AF455)-MIN(AE455-W455,AF455)))</f>
        <v>0</v>
      </c>
      <c r="AI455" s="14" t="n">
        <f aca="false">IF(W455=0,0,MAX(0,MIN(AE455,AF455+AG455)-MAX(AE455-W455,AF455)))</f>
        <v>0</v>
      </c>
      <c r="AJ455" s="14" t="n">
        <f aca="false">W455-AH455-AI455</f>
        <v>0</v>
      </c>
      <c r="AK455" s="9" t="n">
        <f aca="false">IF(W455=0,0,X455*AH455/W455)</f>
        <v>0</v>
      </c>
      <c r="AL455" s="9" t="n">
        <f aca="false">IF(W455=0,0,X455*AI455/W455)</f>
        <v>0</v>
      </c>
      <c r="AM455" s="9" t="n">
        <f aca="false">X455-AK455-AL455</f>
        <v>0</v>
      </c>
    </row>
    <row r="456" customFormat="false" ht="15" hidden="false" customHeight="false" outlineLevel="0" collapsed="false">
      <c r="A456" s="6" t="n">
        <v>451</v>
      </c>
      <c r="B456" s="74" t="s">
        <v>990</v>
      </c>
      <c r="C456" s="53" t="str">
        <f aca="false">INDEX(I_Items!$C$5:$C$133,MATCH($B456,I_Items!$A$5:$A$133,0))</f>
        <v>RPA</v>
      </c>
      <c r="D456" s="53" t="str">
        <f aca="false">INDEX(I_Items!$D$5:$D$133,MATCH($B456,I_Items!$A$5:$A$133,0))</f>
        <v>Karkas</v>
      </c>
      <c r="E456" s="53" t="str">
        <f aca="false">INDEX(I_Items!$F$5:$F$133,MATCH($B456,I_Items!$A$5:$A$133,0))</f>
        <v>Fresh</v>
      </c>
      <c r="F456" s="53" t="str">
        <f aca="false">IF(INDEX(I_Items!$E$5:$E$133,MATCH($B456,I_Items!$A$5:$A$133,0))="","",INDEX(I_Items!$E$5:$E$133,MATCH($B456,I_Items!$A$5:$A$133,0)))</f>
        <v>Uk 1.3</v>
      </c>
      <c r="G456" s="76" t="n">
        <v>46244</v>
      </c>
      <c r="H456" s="23" t="n">
        <f aca="false">MONTH(G456)</f>
        <v>8</v>
      </c>
      <c r="I456" s="74" t="s">
        <v>2074</v>
      </c>
      <c r="J456" s="74" t="s">
        <v>1298</v>
      </c>
      <c r="K456" s="10" t="n">
        <v>356.9</v>
      </c>
      <c r="L456" s="8" t="n">
        <v>13538728.01</v>
      </c>
      <c r="M456" s="10" t="n">
        <v>0</v>
      </c>
      <c r="N456" s="8" t="n">
        <v>0</v>
      </c>
      <c r="O456" s="74"/>
      <c r="P456" s="74"/>
      <c r="Q456" s="74"/>
      <c r="R456" s="14" t="n">
        <f aca="false">IF(I456="Unbilled",0,M456)</f>
        <v>0</v>
      </c>
      <c r="S456" s="9" t="n">
        <f aca="false">IF(R456=0,0,IF(O456="Booked",N456,R456*V455))</f>
        <v>0</v>
      </c>
      <c r="T456" s="14" t="n">
        <f aca="false">IF(I456="Opening",K456,T455+K456-R456)</f>
        <v>1258.3</v>
      </c>
      <c r="U456" s="9" t="n">
        <f aca="false">IF(I456="Opening",L456,U455+L456-S456)</f>
        <v>46678518.28</v>
      </c>
      <c r="V456" s="9" t="n">
        <f aca="false">IF(T456&gt;0,U456/T456,IF(I456="Opening",0,V455))</f>
        <v>37096.4939044743</v>
      </c>
      <c r="W456" s="14" t="n">
        <f aca="false">M456</f>
        <v>0</v>
      </c>
      <c r="X456" s="9" t="n">
        <f aca="false">IF(W456=0,0,IF(O456="Booked",N456,W456*AA455))</f>
        <v>0</v>
      </c>
      <c r="Y456" s="14" t="n">
        <f aca="false">IF(I456="Opening",K456,Y455+K456-W456)</f>
        <v>1258.3</v>
      </c>
      <c r="Z456" s="9" t="n">
        <f aca="false">IF(I456="Opening",L456,Z455+L456-X456)</f>
        <v>46678518.28</v>
      </c>
      <c r="AA456" s="9" t="n">
        <f aca="false">IF(Y456&gt;0,Z456/Y456,IF(I456="Opening",0,AA455))</f>
        <v>37096.4939044743</v>
      </c>
      <c r="AB456" s="9" t="n">
        <f aca="false">IF(AND(I456="DO",O456="MA"),S456-N456,0)</f>
        <v>0</v>
      </c>
      <c r="AC456" s="9" t="n">
        <f aca="false">IF(I456="DO",X456-S456,0)</f>
        <v>0</v>
      </c>
      <c r="AD456" s="23" t="n">
        <f aca="false">IF(B457&lt;&gt;B456,1,0)</f>
        <v>0</v>
      </c>
      <c r="AE456" s="14" t="n">
        <f aca="false">IF(I456="Opening",0,AE455+W456)</f>
        <v>0</v>
      </c>
      <c r="AF456" s="14" t="n">
        <f aca="false">IF(I456="Opening",K456,AF455)</f>
        <v>0</v>
      </c>
      <c r="AG456" s="14" t="n">
        <f aca="false">AG455</f>
        <v>0</v>
      </c>
      <c r="AH456" s="14" t="n">
        <f aca="false">IF(W456=0,0,MAX(0,MIN(AE456,AF456)-MIN(AE456-W456,AF456)))</f>
        <v>0</v>
      </c>
      <c r="AI456" s="14" t="n">
        <f aca="false">IF(W456=0,0,MAX(0,MIN(AE456,AF456+AG456)-MAX(AE456-W456,AF456)))</f>
        <v>0</v>
      </c>
      <c r="AJ456" s="14" t="n">
        <f aca="false">W456-AH456-AI456</f>
        <v>0</v>
      </c>
      <c r="AK456" s="9" t="n">
        <f aca="false">IF(W456=0,0,X456*AH456/W456)</f>
        <v>0</v>
      </c>
      <c r="AL456" s="9" t="n">
        <f aca="false">IF(W456=0,0,X456*AI456/W456)</f>
        <v>0</v>
      </c>
      <c r="AM456" s="9" t="n">
        <f aca="false">X456-AK456-AL456</f>
        <v>0</v>
      </c>
    </row>
    <row r="457" customFormat="false" ht="15" hidden="false" customHeight="false" outlineLevel="0" collapsed="false">
      <c r="A457" s="6" t="n">
        <v>452</v>
      </c>
      <c r="B457" s="74" t="s">
        <v>990</v>
      </c>
      <c r="C457" s="53" t="str">
        <f aca="false">INDEX(I_Items!$C$5:$C$133,MATCH($B457,I_Items!$A$5:$A$133,0))</f>
        <v>RPA</v>
      </c>
      <c r="D457" s="53" t="str">
        <f aca="false">INDEX(I_Items!$D$5:$D$133,MATCH($B457,I_Items!$A$5:$A$133,0))</f>
        <v>Karkas</v>
      </c>
      <c r="E457" s="53" t="str">
        <f aca="false">INDEX(I_Items!$F$5:$F$133,MATCH($B457,I_Items!$A$5:$A$133,0))</f>
        <v>Fresh</v>
      </c>
      <c r="F457" s="53" t="str">
        <f aca="false">IF(INDEX(I_Items!$E$5:$E$133,MATCH($B457,I_Items!$A$5:$A$133,0))="","",INDEX(I_Items!$E$5:$E$133,MATCH($B457,I_Items!$A$5:$A$133,0)))</f>
        <v>Uk 1.3</v>
      </c>
      <c r="G457" s="76" t="n">
        <v>46246</v>
      </c>
      <c r="H457" s="23" t="n">
        <f aca="false">MONTH(G457)</f>
        <v>8</v>
      </c>
      <c r="I457" s="74" t="s">
        <v>2075</v>
      </c>
      <c r="J457" s="74" t="s">
        <v>2159</v>
      </c>
      <c r="K457" s="10" t="n">
        <v>0</v>
      </c>
      <c r="L457" s="8" t="n">
        <v>0</v>
      </c>
      <c r="M457" s="10" t="n">
        <v>60.05</v>
      </c>
      <c r="N457" s="8" t="n">
        <v>2227644.46</v>
      </c>
      <c r="O457" s="74" t="s">
        <v>2077</v>
      </c>
      <c r="P457" s="74"/>
      <c r="Q457" s="74"/>
      <c r="R457" s="14" t="n">
        <f aca="false">IF(I457="Unbilled",0,M457)</f>
        <v>60.05</v>
      </c>
      <c r="S457" s="9" t="n">
        <f aca="false">IF(R457=0,0,IF(O457="Booked",N457,R457*V456))</f>
        <v>2227644.45896368</v>
      </c>
      <c r="T457" s="14" t="n">
        <f aca="false">IF(I457="Opening",K457,T456+K457-R457)</f>
        <v>1198.25</v>
      </c>
      <c r="U457" s="9" t="n">
        <f aca="false">IF(I457="Opening",L457,U456+L457-S457)</f>
        <v>44450873.8210363</v>
      </c>
      <c r="V457" s="9" t="n">
        <f aca="false">IF(T457&gt;0,U457/T457,IF(I457="Opening",0,V456))</f>
        <v>37096.4939044743</v>
      </c>
      <c r="W457" s="14" t="n">
        <f aca="false">M457</f>
        <v>60.05</v>
      </c>
      <c r="X457" s="9" t="n">
        <f aca="false">IF(W457=0,0,IF(O457="Booked",N457,W457*AA456))</f>
        <v>2227644.45896368</v>
      </c>
      <c r="Y457" s="14" t="n">
        <f aca="false">IF(I457="Opening",K457,Y456+K457-W457)</f>
        <v>1198.25</v>
      </c>
      <c r="Z457" s="9" t="n">
        <f aca="false">IF(I457="Opening",L457,Z456+L457-X457)</f>
        <v>44450873.8210363</v>
      </c>
      <c r="AA457" s="9" t="n">
        <f aca="false">IF(Y457&gt;0,Z457/Y457,IF(I457="Opening",0,AA456))</f>
        <v>37096.4939044743</v>
      </c>
      <c r="AB457" s="9" t="n">
        <f aca="false">IF(AND(I457="DO",O457="MA"),S457-N457,0)</f>
        <v>-0.00103631895035505</v>
      </c>
      <c r="AC457" s="9" t="n">
        <f aca="false">IF(I457="DO",X457-S457,0)</f>
        <v>0</v>
      </c>
      <c r="AD457" s="23" t="n">
        <f aca="false">IF(B458&lt;&gt;B457,1,0)</f>
        <v>0</v>
      </c>
      <c r="AE457" s="14" t="n">
        <f aca="false">IF(I457="Opening",0,AE456+W457)</f>
        <v>60.05</v>
      </c>
      <c r="AF457" s="14" t="n">
        <f aca="false">IF(I457="Opening",K457,AF456)</f>
        <v>0</v>
      </c>
      <c r="AG457" s="14" t="n">
        <f aca="false">AG456</f>
        <v>0</v>
      </c>
      <c r="AH457" s="14" t="n">
        <f aca="false">IF(W457=0,0,MAX(0,MIN(AE457,AF457)-MIN(AE457-W457,AF457)))</f>
        <v>0</v>
      </c>
      <c r="AI457" s="14" t="n">
        <f aca="false">IF(W457=0,0,MAX(0,MIN(AE457,AF457+AG457)-MAX(AE457-W457,AF457)))</f>
        <v>0</v>
      </c>
      <c r="AJ457" s="14" t="n">
        <f aca="false">W457-AH457-AI457</f>
        <v>60.05</v>
      </c>
      <c r="AK457" s="9" t="n">
        <f aca="false">IF(W457=0,0,X457*AH457/W457)</f>
        <v>0</v>
      </c>
      <c r="AL457" s="9" t="n">
        <f aca="false">IF(W457=0,0,X457*AI457/W457)</f>
        <v>0</v>
      </c>
      <c r="AM457" s="9" t="n">
        <f aca="false">X457-AK457-AL457</f>
        <v>2227644.45896368</v>
      </c>
    </row>
    <row r="458" customFormat="false" ht="15" hidden="false" customHeight="false" outlineLevel="0" collapsed="false">
      <c r="A458" s="6" t="n">
        <v>453</v>
      </c>
      <c r="B458" s="74" t="s">
        <v>990</v>
      </c>
      <c r="C458" s="53" t="str">
        <f aca="false">INDEX(I_Items!$C$5:$C$133,MATCH($B458,I_Items!$A$5:$A$133,0))</f>
        <v>RPA</v>
      </c>
      <c r="D458" s="53" t="str">
        <f aca="false">INDEX(I_Items!$D$5:$D$133,MATCH($B458,I_Items!$A$5:$A$133,0))</f>
        <v>Karkas</v>
      </c>
      <c r="E458" s="53" t="str">
        <f aca="false">INDEX(I_Items!$F$5:$F$133,MATCH($B458,I_Items!$A$5:$A$133,0))</f>
        <v>Fresh</v>
      </c>
      <c r="F458" s="53" t="str">
        <f aca="false">IF(INDEX(I_Items!$E$5:$E$133,MATCH($B458,I_Items!$A$5:$A$133,0))="","",INDEX(I_Items!$E$5:$E$133,MATCH($B458,I_Items!$A$5:$A$133,0)))</f>
        <v>Uk 1.3</v>
      </c>
      <c r="G458" s="76" t="n">
        <v>46246</v>
      </c>
      <c r="H458" s="23" t="n">
        <f aca="false">MONTH(G458)</f>
        <v>8</v>
      </c>
      <c r="I458" s="74" t="s">
        <v>2075</v>
      </c>
      <c r="J458" s="74" t="s">
        <v>2131</v>
      </c>
      <c r="K458" s="10" t="n">
        <v>0</v>
      </c>
      <c r="L458" s="8" t="n">
        <v>0</v>
      </c>
      <c r="M458" s="10" t="n">
        <v>349.73</v>
      </c>
      <c r="N458" s="8" t="n">
        <v>12973756.81</v>
      </c>
      <c r="O458" s="74" t="s">
        <v>2077</v>
      </c>
      <c r="P458" s="74"/>
      <c r="Q458" s="74"/>
      <c r="R458" s="14" t="n">
        <f aca="false">IF(I458="Unbilled",0,M458)</f>
        <v>349.73</v>
      </c>
      <c r="S458" s="9" t="n">
        <f aca="false">IF(R458=0,0,IF(O458="Booked",N458,R458*V457))</f>
        <v>12973756.8132118</v>
      </c>
      <c r="T458" s="14" t="n">
        <f aca="false">IF(I458="Opening",K458,T457+K458-R458)</f>
        <v>848.52</v>
      </c>
      <c r="U458" s="9" t="n">
        <f aca="false">IF(I458="Opening",L458,U457+L458-S458)</f>
        <v>31477117.0078245</v>
      </c>
      <c r="V458" s="9" t="n">
        <f aca="false">IF(T458&gt;0,U458/T458,IF(I458="Opening",0,V457))</f>
        <v>37096.4939044743</v>
      </c>
      <c r="W458" s="14" t="n">
        <f aca="false">M458</f>
        <v>349.73</v>
      </c>
      <c r="X458" s="9" t="n">
        <f aca="false">IF(W458=0,0,IF(O458="Booked",N458,W458*AA457))</f>
        <v>12973756.8132118</v>
      </c>
      <c r="Y458" s="14" t="n">
        <f aca="false">IF(I458="Opening",K458,Y457+K458-W458)</f>
        <v>848.52</v>
      </c>
      <c r="Z458" s="9" t="n">
        <f aca="false">IF(I458="Opening",L458,Z457+L458-X458)</f>
        <v>31477117.0078245</v>
      </c>
      <c r="AA458" s="9" t="n">
        <f aca="false">IF(Y458&gt;0,Z458/Y458,IF(I458="Opening",0,AA457))</f>
        <v>37096.4939044743</v>
      </c>
      <c r="AB458" s="9" t="n">
        <f aca="false">IF(AND(I458="DO",O458="MA"),S458-N458,0)</f>
        <v>0.00321179442107677</v>
      </c>
      <c r="AC458" s="9" t="n">
        <f aca="false">IF(I458="DO",X458-S458,0)</f>
        <v>0</v>
      </c>
      <c r="AD458" s="23" t="n">
        <f aca="false">IF(B459&lt;&gt;B458,1,0)</f>
        <v>0</v>
      </c>
      <c r="AE458" s="14" t="n">
        <f aca="false">IF(I458="Opening",0,AE457+W458)</f>
        <v>409.78</v>
      </c>
      <c r="AF458" s="14" t="n">
        <f aca="false">IF(I458="Opening",K458,AF457)</f>
        <v>0</v>
      </c>
      <c r="AG458" s="14" t="n">
        <f aca="false">AG457</f>
        <v>0</v>
      </c>
      <c r="AH458" s="14" t="n">
        <f aca="false">IF(W458=0,0,MAX(0,MIN(AE458,AF458)-MIN(AE458-W458,AF458)))</f>
        <v>0</v>
      </c>
      <c r="AI458" s="14" t="n">
        <f aca="false">IF(W458=0,0,MAX(0,MIN(AE458,AF458+AG458)-MAX(AE458-W458,AF458)))</f>
        <v>0</v>
      </c>
      <c r="AJ458" s="14" t="n">
        <f aca="false">W458-AH458-AI458</f>
        <v>349.73</v>
      </c>
      <c r="AK458" s="9" t="n">
        <f aca="false">IF(W458=0,0,X458*AH458/W458)</f>
        <v>0</v>
      </c>
      <c r="AL458" s="9" t="n">
        <f aca="false">IF(W458=0,0,X458*AI458/W458)</f>
        <v>0</v>
      </c>
      <c r="AM458" s="9" t="n">
        <f aca="false">X458-AK458-AL458</f>
        <v>12973756.8132118</v>
      </c>
    </row>
    <row r="459" customFormat="false" ht="15" hidden="false" customHeight="false" outlineLevel="0" collapsed="false">
      <c r="A459" s="6" t="n">
        <v>454</v>
      </c>
      <c r="B459" s="74" t="s">
        <v>990</v>
      </c>
      <c r="C459" s="53" t="str">
        <f aca="false">INDEX(I_Items!$C$5:$C$133,MATCH($B459,I_Items!$A$5:$A$133,0))</f>
        <v>RPA</v>
      </c>
      <c r="D459" s="53" t="str">
        <f aca="false">INDEX(I_Items!$D$5:$D$133,MATCH($B459,I_Items!$A$5:$A$133,0))</f>
        <v>Karkas</v>
      </c>
      <c r="E459" s="53" t="str">
        <f aca="false">INDEX(I_Items!$F$5:$F$133,MATCH($B459,I_Items!$A$5:$A$133,0))</f>
        <v>Fresh</v>
      </c>
      <c r="F459" s="53" t="str">
        <f aca="false">IF(INDEX(I_Items!$E$5:$E$133,MATCH($B459,I_Items!$A$5:$A$133,0))="","",INDEX(I_Items!$E$5:$E$133,MATCH($B459,I_Items!$A$5:$A$133,0)))</f>
        <v>Uk 1.3</v>
      </c>
      <c r="G459" s="76" t="n">
        <v>46246</v>
      </c>
      <c r="H459" s="23" t="n">
        <f aca="false">MONTH(G459)</f>
        <v>8</v>
      </c>
      <c r="I459" s="74" t="s">
        <v>2075</v>
      </c>
      <c r="J459" s="74" t="s">
        <v>2149</v>
      </c>
      <c r="K459" s="10" t="n">
        <v>0</v>
      </c>
      <c r="L459" s="8" t="n">
        <v>0</v>
      </c>
      <c r="M459" s="10" t="n">
        <v>108.65</v>
      </c>
      <c r="N459" s="8" t="n">
        <v>4030534.06</v>
      </c>
      <c r="O459" s="74" t="s">
        <v>2077</v>
      </c>
      <c r="P459" s="74"/>
      <c r="Q459" s="74"/>
      <c r="R459" s="14" t="n">
        <f aca="false">IF(I459="Unbilled",0,M459)</f>
        <v>108.65</v>
      </c>
      <c r="S459" s="9" t="n">
        <f aca="false">IF(R459=0,0,IF(O459="Booked",N459,R459*V458))</f>
        <v>4030534.06272113</v>
      </c>
      <c r="T459" s="14" t="n">
        <f aca="false">IF(I459="Opening",K459,T458+K459-R459)</f>
        <v>739.87</v>
      </c>
      <c r="U459" s="9" t="n">
        <f aca="false">IF(I459="Opening",L459,U458+L459-S459)</f>
        <v>27446582.9451034</v>
      </c>
      <c r="V459" s="9" t="n">
        <f aca="false">IF(T459&gt;0,U459/T459,IF(I459="Opening",0,V458))</f>
        <v>37096.4939044743</v>
      </c>
      <c r="W459" s="14" t="n">
        <f aca="false">M459</f>
        <v>108.65</v>
      </c>
      <c r="X459" s="9" t="n">
        <f aca="false">IF(W459=0,0,IF(O459="Booked",N459,W459*AA458))</f>
        <v>4030534.06272113</v>
      </c>
      <c r="Y459" s="14" t="n">
        <f aca="false">IF(I459="Opening",K459,Y458+K459-W459)</f>
        <v>739.87</v>
      </c>
      <c r="Z459" s="9" t="n">
        <f aca="false">IF(I459="Opening",L459,Z458+L459-X459)</f>
        <v>27446582.9451034</v>
      </c>
      <c r="AA459" s="9" t="n">
        <f aca="false">IF(Y459&gt;0,Z459/Y459,IF(I459="Opening",0,AA458))</f>
        <v>37096.4939044743</v>
      </c>
      <c r="AB459" s="9" t="n">
        <f aca="false">IF(AND(I459="DO",O459="MA"),S459-N459,0)</f>
        <v>0.00272113224491477</v>
      </c>
      <c r="AC459" s="9" t="n">
        <f aca="false">IF(I459="DO",X459-S459,0)</f>
        <v>0</v>
      </c>
      <c r="AD459" s="23" t="n">
        <f aca="false">IF(B460&lt;&gt;B459,1,0)</f>
        <v>0</v>
      </c>
      <c r="AE459" s="14" t="n">
        <f aca="false">IF(I459="Opening",0,AE458+W459)</f>
        <v>518.43</v>
      </c>
      <c r="AF459" s="14" t="n">
        <f aca="false">IF(I459="Opening",K459,AF458)</f>
        <v>0</v>
      </c>
      <c r="AG459" s="14" t="n">
        <f aca="false">AG458</f>
        <v>0</v>
      </c>
      <c r="AH459" s="14" t="n">
        <f aca="false">IF(W459=0,0,MAX(0,MIN(AE459,AF459)-MIN(AE459-W459,AF459)))</f>
        <v>0</v>
      </c>
      <c r="AI459" s="14" t="n">
        <f aca="false">IF(W459=0,0,MAX(0,MIN(AE459,AF459+AG459)-MAX(AE459-W459,AF459)))</f>
        <v>0</v>
      </c>
      <c r="AJ459" s="14" t="n">
        <f aca="false">W459-AH459-AI459</f>
        <v>108.65</v>
      </c>
      <c r="AK459" s="9" t="n">
        <f aca="false">IF(W459=0,0,X459*AH459/W459)</f>
        <v>0</v>
      </c>
      <c r="AL459" s="9" t="n">
        <f aca="false">IF(W459=0,0,X459*AI459/W459)</f>
        <v>0</v>
      </c>
      <c r="AM459" s="9" t="n">
        <f aca="false">X459-AK459-AL459</f>
        <v>4030534.06272113</v>
      </c>
    </row>
    <row r="460" customFormat="false" ht="15" hidden="false" customHeight="false" outlineLevel="0" collapsed="false">
      <c r="A460" s="6" t="n">
        <v>455</v>
      </c>
      <c r="B460" s="74" t="s">
        <v>990</v>
      </c>
      <c r="C460" s="53" t="str">
        <f aca="false">INDEX(I_Items!$C$5:$C$133,MATCH($B460,I_Items!$A$5:$A$133,0))</f>
        <v>RPA</v>
      </c>
      <c r="D460" s="53" t="str">
        <f aca="false">INDEX(I_Items!$D$5:$D$133,MATCH($B460,I_Items!$A$5:$A$133,0))</f>
        <v>Karkas</v>
      </c>
      <c r="E460" s="53" t="str">
        <f aca="false">INDEX(I_Items!$F$5:$F$133,MATCH($B460,I_Items!$A$5:$A$133,0))</f>
        <v>Fresh</v>
      </c>
      <c r="F460" s="53" t="str">
        <f aca="false">IF(INDEX(I_Items!$E$5:$E$133,MATCH($B460,I_Items!$A$5:$A$133,0))="","",INDEX(I_Items!$E$5:$E$133,MATCH($B460,I_Items!$A$5:$A$133,0)))</f>
        <v>Uk 1.3</v>
      </c>
      <c r="G460" s="76" t="n">
        <v>46246</v>
      </c>
      <c r="H460" s="23" t="n">
        <f aca="false">MONTH(G460)</f>
        <v>8</v>
      </c>
      <c r="I460" s="74" t="s">
        <v>2117</v>
      </c>
      <c r="J460" s="74" t="s">
        <v>2160</v>
      </c>
      <c r="K460" s="10" t="n">
        <v>0</v>
      </c>
      <c r="L460" s="8" t="n">
        <v>0</v>
      </c>
      <c r="M460" s="10" t="n">
        <v>356.9</v>
      </c>
      <c r="N460" s="8" t="n">
        <v>13239738.67</v>
      </c>
      <c r="O460" s="74" t="s">
        <v>2119</v>
      </c>
      <c r="P460" s="74"/>
      <c r="Q460" s="74"/>
      <c r="R460" s="14" t="n">
        <f aca="false">IF(I460="Unbilled",0,M460)</f>
        <v>356.9</v>
      </c>
      <c r="S460" s="9" t="n">
        <f aca="false">IF(R460=0,0,IF(O460="Booked",N460,R460*V459))</f>
        <v>13239738.67</v>
      </c>
      <c r="T460" s="14" t="n">
        <f aca="false">IF(I460="Opening",K460,T459+K460-R460)</f>
        <v>382.97</v>
      </c>
      <c r="U460" s="9" t="n">
        <f aca="false">IF(I460="Opening",L460,U459+L460-S460)</f>
        <v>14206844.2751034</v>
      </c>
      <c r="V460" s="9" t="n">
        <f aca="false">IF(T460&gt;0,U460/T460,IF(I460="Opening",0,V459))</f>
        <v>37096.4939162425</v>
      </c>
      <c r="W460" s="14" t="n">
        <f aca="false">M460</f>
        <v>356.9</v>
      </c>
      <c r="X460" s="9" t="n">
        <f aca="false">IF(W460=0,0,IF(O460="Booked",N460,W460*AA459))</f>
        <v>13239738.67</v>
      </c>
      <c r="Y460" s="14" t="n">
        <f aca="false">IF(I460="Opening",K460,Y459+K460-W460)</f>
        <v>382.97</v>
      </c>
      <c r="Z460" s="9" t="n">
        <f aca="false">IF(I460="Opening",L460,Z459+L460-X460)</f>
        <v>14206844.2751034</v>
      </c>
      <c r="AA460" s="9" t="n">
        <f aca="false">IF(Y460&gt;0,Z460/Y460,IF(I460="Opening",0,AA459))</f>
        <v>37096.4939162425</v>
      </c>
      <c r="AB460" s="9" t="n">
        <f aca="false">IF(AND(I460="DO",O460="MA"),S460-N460,0)</f>
        <v>0</v>
      </c>
      <c r="AC460" s="9" t="n">
        <f aca="false">IF(I460="DO",X460-S460,0)</f>
        <v>0</v>
      </c>
      <c r="AD460" s="23" t="n">
        <f aca="false">IF(B461&lt;&gt;B460,1,0)</f>
        <v>0</v>
      </c>
      <c r="AE460" s="14" t="n">
        <f aca="false">IF(I460="Opening",0,AE459+W460)</f>
        <v>875.33</v>
      </c>
      <c r="AF460" s="14" t="n">
        <f aca="false">IF(I460="Opening",K460,AF459)</f>
        <v>0</v>
      </c>
      <c r="AG460" s="14" t="n">
        <f aca="false">AG459</f>
        <v>0</v>
      </c>
      <c r="AH460" s="14" t="n">
        <f aca="false">IF(W460=0,0,MAX(0,MIN(AE460,AF460)-MIN(AE460-W460,AF460)))</f>
        <v>0</v>
      </c>
      <c r="AI460" s="14" t="n">
        <f aca="false">IF(W460=0,0,MAX(0,MIN(AE460,AF460+AG460)-MAX(AE460-W460,AF460)))</f>
        <v>0</v>
      </c>
      <c r="AJ460" s="14" t="n">
        <f aca="false">W460-AH460-AI460</f>
        <v>356.9</v>
      </c>
      <c r="AK460" s="9" t="n">
        <f aca="false">IF(W460=0,0,X460*AH460/W460)</f>
        <v>0</v>
      </c>
      <c r="AL460" s="9" t="n">
        <f aca="false">IF(W460=0,0,X460*AI460/W460)</f>
        <v>0</v>
      </c>
      <c r="AM460" s="9" t="n">
        <f aca="false">X460-AK460-AL460</f>
        <v>13239738.67</v>
      </c>
    </row>
    <row r="461" customFormat="false" ht="15" hidden="false" customHeight="false" outlineLevel="0" collapsed="false">
      <c r="A461" s="6" t="n">
        <v>456</v>
      </c>
      <c r="B461" s="74" t="s">
        <v>990</v>
      </c>
      <c r="C461" s="53" t="str">
        <f aca="false">INDEX(I_Items!$C$5:$C$133,MATCH($B461,I_Items!$A$5:$A$133,0))</f>
        <v>RPA</v>
      </c>
      <c r="D461" s="53" t="str">
        <f aca="false">INDEX(I_Items!$D$5:$D$133,MATCH($B461,I_Items!$A$5:$A$133,0))</f>
        <v>Karkas</v>
      </c>
      <c r="E461" s="53" t="str">
        <f aca="false">INDEX(I_Items!$F$5:$F$133,MATCH($B461,I_Items!$A$5:$A$133,0))</f>
        <v>Fresh</v>
      </c>
      <c r="F461" s="53" t="str">
        <f aca="false">IF(INDEX(I_Items!$E$5:$E$133,MATCH($B461,I_Items!$A$5:$A$133,0))="","",INDEX(I_Items!$E$5:$E$133,MATCH($B461,I_Items!$A$5:$A$133,0)))</f>
        <v>Uk 1.3</v>
      </c>
      <c r="G461" s="76" t="n">
        <v>46248</v>
      </c>
      <c r="H461" s="23" t="n">
        <f aca="false">MONTH(G461)</f>
        <v>8</v>
      </c>
      <c r="I461" s="74" t="s">
        <v>2074</v>
      </c>
      <c r="J461" s="74" t="s">
        <v>1302</v>
      </c>
      <c r="K461" s="10" t="n">
        <v>2359.5</v>
      </c>
      <c r="L461" s="8" t="n">
        <v>90335437.59</v>
      </c>
      <c r="M461" s="10" t="n">
        <v>0</v>
      </c>
      <c r="N461" s="8" t="n">
        <v>0</v>
      </c>
      <c r="O461" s="74"/>
      <c r="P461" s="74"/>
      <c r="Q461" s="74"/>
      <c r="R461" s="14" t="n">
        <f aca="false">IF(I461="Unbilled",0,M461)</f>
        <v>0</v>
      </c>
      <c r="S461" s="9" t="n">
        <f aca="false">IF(R461=0,0,IF(O461="Booked",N461,R461*V460))</f>
        <v>0</v>
      </c>
      <c r="T461" s="14" t="n">
        <f aca="false">IF(I461="Opening",K461,T460+K461-R461)</f>
        <v>2742.47</v>
      </c>
      <c r="U461" s="9" t="n">
        <f aca="false">IF(I461="Opening",L461,U460+L461-S461)</f>
        <v>104542281.865103</v>
      </c>
      <c r="V461" s="9" t="n">
        <f aca="false">IF(T461&gt;0,U461/T461,IF(I461="Opening",0,V460))</f>
        <v>38119.7540411029</v>
      </c>
      <c r="W461" s="14" t="n">
        <f aca="false">M461</f>
        <v>0</v>
      </c>
      <c r="X461" s="9" t="n">
        <f aca="false">IF(W461=0,0,IF(O461="Booked",N461,W461*AA460))</f>
        <v>0</v>
      </c>
      <c r="Y461" s="14" t="n">
        <f aca="false">IF(I461="Opening",K461,Y460+K461-W461)</f>
        <v>2742.47</v>
      </c>
      <c r="Z461" s="9" t="n">
        <f aca="false">IF(I461="Opening",L461,Z460+L461-X461)</f>
        <v>104542281.865103</v>
      </c>
      <c r="AA461" s="9" t="n">
        <f aca="false">IF(Y461&gt;0,Z461/Y461,IF(I461="Opening",0,AA460))</f>
        <v>38119.7540411029</v>
      </c>
      <c r="AB461" s="9" t="n">
        <f aca="false">IF(AND(I461="DO",O461="MA"),S461-N461,0)</f>
        <v>0</v>
      </c>
      <c r="AC461" s="9" t="n">
        <f aca="false">IF(I461="DO",X461-S461,0)</f>
        <v>0</v>
      </c>
      <c r="AD461" s="23" t="n">
        <f aca="false">IF(B462&lt;&gt;B461,1,0)</f>
        <v>0</v>
      </c>
      <c r="AE461" s="14" t="n">
        <f aca="false">IF(I461="Opening",0,AE460+W461)</f>
        <v>875.33</v>
      </c>
      <c r="AF461" s="14" t="n">
        <f aca="false">IF(I461="Opening",K461,AF460)</f>
        <v>0</v>
      </c>
      <c r="AG461" s="14" t="n">
        <f aca="false">AG460</f>
        <v>0</v>
      </c>
      <c r="AH461" s="14" t="n">
        <f aca="false">IF(W461=0,0,MAX(0,MIN(AE461,AF461)-MIN(AE461-W461,AF461)))</f>
        <v>0</v>
      </c>
      <c r="AI461" s="14" t="n">
        <f aca="false">IF(W461=0,0,MAX(0,MIN(AE461,AF461+AG461)-MAX(AE461-W461,AF461)))</f>
        <v>0</v>
      </c>
      <c r="AJ461" s="14" t="n">
        <f aca="false">W461-AH461-AI461</f>
        <v>0</v>
      </c>
      <c r="AK461" s="9" t="n">
        <f aca="false">IF(W461=0,0,X461*AH461/W461)</f>
        <v>0</v>
      </c>
      <c r="AL461" s="9" t="n">
        <f aca="false">IF(W461=0,0,X461*AI461/W461)</f>
        <v>0</v>
      </c>
      <c r="AM461" s="9" t="n">
        <f aca="false">X461-AK461-AL461</f>
        <v>0</v>
      </c>
    </row>
    <row r="462" customFormat="false" ht="15" hidden="false" customHeight="false" outlineLevel="0" collapsed="false">
      <c r="A462" s="6" t="n">
        <v>457</v>
      </c>
      <c r="B462" s="74" t="s">
        <v>990</v>
      </c>
      <c r="C462" s="53" t="str">
        <f aca="false">INDEX(I_Items!$C$5:$C$133,MATCH($B462,I_Items!$A$5:$A$133,0))</f>
        <v>RPA</v>
      </c>
      <c r="D462" s="53" t="str">
        <f aca="false">INDEX(I_Items!$D$5:$D$133,MATCH($B462,I_Items!$A$5:$A$133,0))</f>
        <v>Karkas</v>
      </c>
      <c r="E462" s="53" t="str">
        <f aca="false">INDEX(I_Items!$F$5:$F$133,MATCH($B462,I_Items!$A$5:$A$133,0))</f>
        <v>Fresh</v>
      </c>
      <c r="F462" s="53" t="str">
        <f aca="false">IF(INDEX(I_Items!$E$5:$E$133,MATCH($B462,I_Items!$A$5:$A$133,0))="","",INDEX(I_Items!$E$5:$E$133,MATCH($B462,I_Items!$A$5:$A$133,0)))</f>
        <v>Uk 1.3</v>
      </c>
      <c r="G462" s="76" t="n">
        <v>46249</v>
      </c>
      <c r="H462" s="23" t="n">
        <f aca="false">MONTH(G462)</f>
        <v>8</v>
      </c>
      <c r="I462" s="74" t="s">
        <v>2075</v>
      </c>
      <c r="J462" s="74" t="s">
        <v>2114</v>
      </c>
      <c r="K462" s="10" t="n">
        <v>0</v>
      </c>
      <c r="L462" s="8" t="n">
        <v>0</v>
      </c>
      <c r="M462" s="10" t="n">
        <v>128.88</v>
      </c>
      <c r="N462" s="8" t="n">
        <v>4912873.9</v>
      </c>
      <c r="O462" s="74" t="s">
        <v>2077</v>
      </c>
      <c r="P462" s="74" t="s">
        <v>1119</v>
      </c>
      <c r="Q462" s="74"/>
      <c r="R462" s="14" t="n">
        <f aca="false">IF(I462="Unbilled",0,M462)</f>
        <v>128.88</v>
      </c>
      <c r="S462" s="9" t="n">
        <f aca="false">IF(R462=0,0,IF(O462="Booked",N462,R462*V461))</f>
        <v>4912873.90081734</v>
      </c>
      <c r="T462" s="14" t="n">
        <f aca="false">IF(I462="Opening",K462,T461+K462-R462)</f>
        <v>2613.59</v>
      </c>
      <c r="U462" s="9" t="n">
        <f aca="false">IF(I462="Opening",L462,U461+L462-S462)</f>
        <v>99629407.9642861</v>
      </c>
      <c r="V462" s="9" t="n">
        <f aca="false">IF(T462&gt;0,U462/T462,IF(I462="Opening",0,V461))</f>
        <v>38119.7540411029</v>
      </c>
      <c r="W462" s="14" t="n">
        <f aca="false">M462</f>
        <v>128.88</v>
      </c>
      <c r="X462" s="9" t="n">
        <f aca="false">IF(W462=0,0,IF(O462="Booked",N462,W462*AA461))</f>
        <v>4912873.90081734</v>
      </c>
      <c r="Y462" s="14" t="n">
        <f aca="false">IF(I462="Opening",K462,Y461+K462-W462)</f>
        <v>2613.59</v>
      </c>
      <c r="Z462" s="9" t="n">
        <f aca="false">IF(I462="Opening",L462,Z461+L462-X462)</f>
        <v>99629407.9642861</v>
      </c>
      <c r="AA462" s="9" t="n">
        <f aca="false">IF(Y462&gt;0,Z462/Y462,IF(I462="Opening",0,AA461))</f>
        <v>38119.7540411029</v>
      </c>
      <c r="AB462" s="9" t="n">
        <f aca="false">IF(AND(I462="DO",O462="MA"),S462-N462,0)</f>
        <v>0.000817337073385716</v>
      </c>
      <c r="AC462" s="9" t="n">
        <f aca="false">IF(I462="DO",X462-S462,0)</f>
        <v>0</v>
      </c>
      <c r="AD462" s="23" t="n">
        <f aca="false">IF(B463&lt;&gt;B462,1,0)</f>
        <v>0</v>
      </c>
      <c r="AE462" s="14" t="n">
        <f aca="false">IF(I462="Opening",0,AE461+W462)</f>
        <v>1004.21</v>
      </c>
      <c r="AF462" s="14" t="n">
        <f aca="false">IF(I462="Opening",K462,AF461)</f>
        <v>0</v>
      </c>
      <c r="AG462" s="14" t="n">
        <f aca="false">AG461</f>
        <v>0</v>
      </c>
      <c r="AH462" s="14" t="n">
        <f aca="false">IF(W462=0,0,MAX(0,MIN(AE462,AF462)-MIN(AE462-W462,AF462)))</f>
        <v>0</v>
      </c>
      <c r="AI462" s="14" t="n">
        <f aca="false">IF(W462=0,0,MAX(0,MIN(AE462,AF462+AG462)-MAX(AE462-W462,AF462)))</f>
        <v>0</v>
      </c>
      <c r="AJ462" s="14" t="n">
        <f aca="false">W462-AH462-AI462</f>
        <v>128.88</v>
      </c>
      <c r="AK462" s="9" t="n">
        <f aca="false">IF(W462=0,0,X462*AH462/W462)</f>
        <v>0</v>
      </c>
      <c r="AL462" s="9" t="n">
        <f aca="false">IF(W462=0,0,X462*AI462/W462)</f>
        <v>0</v>
      </c>
      <c r="AM462" s="9" t="n">
        <f aca="false">X462-AK462-AL462</f>
        <v>4912873.90081734</v>
      </c>
    </row>
    <row r="463" customFormat="false" ht="15" hidden="false" customHeight="false" outlineLevel="0" collapsed="false">
      <c r="A463" s="6" t="n">
        <v>458</v>
      </c>
      <c r="B463" s="74" t="s">
        <v>990</v>
      </c>
      <c r="C463" s="53" t="str">
        <f aca="false">INDEX(I_Items!$C$5:$C$133,MATCH($B463,I_Items!$A$5:$A$133,0))</f>
        <v>RPA</v>
      </c>
      <c r="D463" s="53" t="str">
        <f aca="false">INDEX(I_Items!$D$5:$D$133,MATCH($B463,I_Items!$A$5:$A$133,0))</f>
        <v>Karkas</v>
      </c>
      <c r="E463" s="53" t="str">
        <f aca="false">INDEX(I_Items!$F$5:$F$133,MATCH($B463,I_Items!$A$5:$A$133,0))</f>
        <v>Fresh</v>
      </c>
      <c r="F463" s="53" t="str">
        <f aca="false">IF(INDEX(I_Items!$E$5:$E$133,MATCH($B463,I_Items!$A$5:$A$133,0))="","",INDEX(I_Items!$E$5:$E$133,MATCH($B463,I_Items!$A$5:$A$133,0)))</f>
        <v>Uk 1.3</v>
      </c>
      <c r="G463" s="76" t="n">
        <v>46249</v>
      </c>
      <c r="H463" s="23" t="n">
        <f aca="false">MONTH(G463)</f>
        <v>8</v>
      </c>
      <c r="I463" s="74" t="s">
        <v>89</v>
      </c>
      <c r="J463" s="74" t="s">
        <v>2152</v>
      </c>
      <c r="K463" s="10" t="n">
        <v>0</v>
      </c>
      <c r="L463" s="8" t="n">
        <v>0</v>
      </c>
      <c r="M463" s="13" t="n">
        <f aca="false">INDEX(Unbilled!$K$22:$K$38,MATCH($Q463,Unbilled!$B$22:$B$38,0))</f>
        <v>1763.3</v>
      </c>
      <c r="N463" s="8" t="n">
        <v>0</v>
      </c>
      <c r="O463" s="74" t="s">
        <v>2077</v>
      </c>
      <c r="P463" s="74"/>
      <c r="Q463" s="74" t="s">
        <v>1124</v>
      </c>
      <c r="R463" s="14" t="n">
        <f aca="false">IF(I463="Unbilled",0,M463)</f>
        <v>0</v>
      </c>
      <c r="S463" s="9" t="n">
        <f aca="false">IF(R463=0,0,IF(O463="Booked",N463,R463*V462))</f>
        <v>0</v>
      </c>
      <c r="T463" s="14" t="n">
        <f aca="false">IF(I463="Opening",K463,T462+K463-R463)</f>
        <v>2613.59</v>
      </c>
      <c r="U463" s="9" t="n">
        <f aca="false">IF(I463="Opening",L463,U462+L463-S463)</f>
        <v>99629407.9642861</v>
      </c>
      <c r="V463" s="9" t="n">
        <f aca="false">IF(T463&gt;0,U463/T463,IF(I463="Opening",0,V462))</f>
        <v>38119.7540411029</v>
      </c>
      <c r="W463" s="14" t="n">
        <f aca="false">M463</f>
        <v>1763.3</v>
      </c>
      <c r="X463" s="9" t="n">
        <f aca="false">IF(W463=0,0,IF(O463="Booked",N463,W463*AA462))</f>
        <v>67216562.3006767</v>
      </c>
      <c r="Y463" s="14" t="n">
        <f aca="false">IF(I463="Opening",K463,Y462+K463-W463)</f>
        <v>850.29</v>
      </c>
      <c r="Z463" s="9" t="n">
        <f aca="false">IF(I463="Opening",L463,Z462+L463-X463)</f>
        <v>32412845.6636094</v>
      </c>
      <c r="AA463" s="9" t="n">
        <f aca="false">IF(Y463&gt;0,Z463/Y463,IF(I463="Opening",0,AA462))</f>
        <v>38119.7540411029</v>
      </c>
      <c r="AB463" s="9" t="n">
        <f aca="false">IF(AND(I463="DO",O463="MA"),S463-N463,0)</f>
        <v>0</v>
      </c>
      <c r="AC463" s="9" t="n">
        <f aca="false">IF(I463="DO",X463-S463,0)</f>
        <v>0</v>
      </c>
      <c r="AD463" s="23" t="n">
        <f aca="false">IF(B464&lt;&gt;B463,1,0)</f>
        <v>0</v>
      </c>
      <c r="AE463" s="14" t="n">
        <f aca="false">IF(I463="Opening",0,AE462+W463)</f>
        <v>2767.51</v>
      </c>
      <c r="AF463" s="14" t="n">
        <f aca="false">IF(I463="Opening",K463,AF462)</f>
        <v>0</v>
      </c>
      <c r="AG463" s="14" t="n">
        <f aca="false">AG462</f>
        <v>0</v>
      </c>
      <c r="AH463" s="14" t="n">
        <f aca="false">IF(W463=0,0,MAX(0,MIN(AE463,AF463)-MIN(AE463-W463,AF463)))</f>
        <v>0</v>
      </c>
      <c r="AI463" s="14" t="n">
        <f aca="false">IF(W463=0,0,MAX(0,MIN(AE463,AF463+AG463)-MAX(AE463-W463,AF463)))</f>
        <v>0</v>
      </c>
      <c r="AJ463" s="14" t="n">
        <f aca="false">W463-AH463-AI463</f>
        <v>1763.3</v>
      </c>
      <c r="AK463" s="9" t="n">
        <f aca="false">IF(W463=0,0,X463*AH463/W463)</f>
        <v>0</v>
      </c>
      <c r="AL463" s="9" t="n">
        <f aca="false">IF(W463=0,0,X463*AI463/W463)</f>
        <v>0</v>
      </c>
      <c r="AM463" s="9" t="n">
        <f aca="false">X463-AK463-AL463</f>
        <v>67216562.3006767</v>
      </c>
    </row>
    <row r="464" customFormat="false" ht="15" hidden="false" customHeight="false" outlineLevel="0" collapsed="false">
      <c r="A464" s="6" t="n">
        <v>459</v>
      </c>
      <c r="B464" s="74" t="s">
        <v>990</v>
      </c>
      <c r="C464" s="53" t="str">
        <f aca="false">INDEX(I_Items!$C$5:$C$133,MATCH($B464,I_Items!$A$5:$A$133,0))</f>
        <v>RPA</v>
      </c>
      <c r="D464" s="53" t="str">
        <f aca="false">INDEX(I_Items!$D$5:$D$133,MATCH($B464,I_Items!$A$5:$A$133,0))</f>
        <v>Karkas</v>
      </c>
      <c r="E464" s="53" t="str">
        <f aca="false">INDEX(I_Items!$F$5:$F$133,MATCH($B464,I_Items!$A$5:$A$133,0))</f>
        <v>Fresh</v>
      </c>
      <c r="F464" s="53" t="str">
        <f aca="false">IF(INDEX(I_Items!$E$5:$E$133,MATCH($B464,I_Items!$A$5:$A$133,0))="","",INDEX(I_Items!$E$5:$E$133,MATCH($B464,I_Items!$A$5:$A$133,0)))</f>
        <v>Uk 1.3</v>
      </c>
      <c r="G464" s="76" t="n">
        <v>46252</v>
      </c>
      <c r="H464" s="23" t="n">
        <f aca="false">MONTH(G464)</f>
        <v>8</v>
      </c>
      <c r="I464" s="74" t="s">
        <v>2075</v>
      </c>
      <c r="J464" s="74" t="s">
        <v>2126</v>
      </c>
      <c r="K464" s="10" t="n">
        <v>0</v>
      </c>
      <c r="L464" s="8" t="n">
        <v>0</v>
      </c>
      <c r="M464" s="10" t="n">
        <v>5.6</v>
      </c>
      <c r="N464" s="8" t="n">
        <v>213470.62</v>
      </c>
      <c r="O464" s="74" t="s">
        <v>2077</v>
      </c>
      <c r="P464" s="74"/>
      <c r="Q464" s="74"/>
      <c r="R464" s="14" t="n">
        <f aca="false">IF(I464="Unbilled",0,M464)</f>
        <v>5.6</v>
      </c>
      <c r="S464" s="9" t="n">
        <f aca="false">IF(R464=0,0,IF(O464="Booked",N464,R464*V463))</f>
        <v>213470.622630176</v>
      </c>
      <c r="T464" s="14" t="n">
        <f aca="false">IF(I464="Opening",K464,T463+K464-R464)</f>
        <v>2607.99</v>
      </c>
      <c r="U464" s="9" t="n">
        <f aca="false">IF(I464="Opening",L464,U463+L464-S464)</f>
        <v>99415937.3416559</v>
      </c>
      <c r="V464" s="9" t="n">
        <f aca="false">IF(T464&gt;0,U464/T464,IF(I464="Opening",0,V463))</f>
        <v>38119.7540411029</v>
      </c>
      <c r="W464" s="14" t="n">
        <f aca="false">M464</f>
        <v>5.6</v>
      </c>
      <c r="X464" s="9" t="n">
        <f aca="false">IF(W464=0,0,IF(O464="Booked",N464,W464*AA463))</f>
        <v>213470.622630176</v>
      </c>
      <c r="Y464" s="14" t="n">
        <f aca="false">IF(I464="Opening",K464,Y463+K464-W464)</f>
        <v>844.69</v>
      </c>
      <c r="Z464" s="9" t="n">
        <f aca="false">IF(I464="Opening",L464,Z463+L464-X464)</f>
        <v>32199375.0409792</v>
      </c>
      <c r="AA464" s="9" t="n">
        <f aca="false">IF(Y464&gt;0,Z464/Y464,IF(I464="Opening",0,AA463))</f>
        <v>38119.7540411029</v>
      </c>
      <c r="AB464" s="9" t="n">
        <f aca="false">IF(AND(I464="DO",O464="MA"),S464-N464,0)</f>
        <v>0.00263017608085647</v>
      </c>
      <c r="AC464" s="9" t="n">
        <f aca="false">IF(I464="DO",X464-S464,0)</f>
        <v>0</v>
      </c>
      <c r="AD464" s="23" t="n">
        <f aca="false">IF(B465&lt;&gt;B464,1,0)</f>
        <v>0</v>
      </c>
      <c r="AE464" s="14" t="n">
        <f aca="false">IF(I464="Opening",0,AE463+W464)</f>
        <v>2773.11</v>
      </c>
      <c r="AF464" s="14" t="n">
        <f aca="false">IF(I464="Opening",K464,AF463)</f>
        <v>0</v>
      </c>
      <c r="AG464" s="14" t="n">
        <f aca="false">AG463</f>
        <v>0</v>
      </c>
      <c r="AH464" s="14" t="n">
        <f aca="false">IF(W464=0,0,MAX(0,MIN(AE464,AF464)-MIN(AE464-W464,AF464)))</f>
        <v>0</v>
      </c>
      <c r="AI464" s="14" t="n">
        <f aca="false">IF(W464=0,0,MAX(0,MIN(AE464,AF464+AG464)-MAX(AE464-W464,AF464)))</f>
        <v>0</v>
      </c>
      <c r="AJ464" s="14" t="n">
        <f aca="false">W464-AH464-AI464</f>
        <v>5.6</v>
      </c>
      <c r="AK464" s="9" t="n">
        <f aca="false">IF(W464=0,0,X464*AH464/W464)</f>
        <v>0</v>
      </c>
      <c r="AL464" s="9" t="n">
        <f aca="false">IF(W464=0,0,X464*AI464/W464)</f>
        <v>0</v>
      </c>
      <c r="AM464" s="9" t="n">
        <f aca="false">X464-AK464-AL464</f>
        <v>213470.622630176</v>
      </c>
    </row>
    <row r="465" customFormat="false" ht="15" hidden="false" customHeight="false" outlineLevel="0" collapsed="false">
      <c r="A465" s="6" t="n">
        <v>460</v>
      </c>
      <c r="B465" s="74" t="s">
        <v>990</v>
      </c>
      <c r="C465" s="53" t="str">
        <f aca="false">INDEX(I_Items!$C$5:$C$133,MATCH($B465,I_Items!$A$5:$A$133,0))</f>
        <v>RPA</v>
      </c>
      <c r="D465" s="53" t="str">
        <f aca="false">INDEX(I_Items!$D$5:$D$133,MATCH($B465,I_Items!$A$5:$A$133,0))</f>
        <v>Karkas</v>
      </c>
      <c r="E465" s="53" t="str">
        <f aca="false">INDEX(I_Items!$F$5:$F$133,MATCH($B465,I_Items!$A$5:$A$133,0))</f>
        <v>Fresh</v>
      </c>
      <c r="F465" s="53" t="str">
        <f aca="false">IF(INDEX(I_Items!$E$5:$E$133,MATCH($B465,I_Items!$A$5:$A$133,0))="","",INDEX(I_Items!$E$5:$E$133,MATCH($B465,I_Items!$A$5:$A$133,0)))</f>
        <v>Uk 1.3</v>
      </c>
      <c r="G465" s="76" t="n">
        <v>46253</v>
      </c>
      <c r="H465" s="23" t="n">
        <f aca="false">MONTH(G465)</f>
        <v>8</v>
      </c>
      <c r="I465" s="74" t="s">
        <v>2074</v>
      </c>
      <c r="J465" s="74" t="s">
        <v>1305</v>
      </c>
      <c r="K465" s="10" t="n">
        <v>1915.4</v>
      </c>
      <c r="L465" s="8" t="n">
        <v>72376624.88</v>
      </c>
      <c r="M465" s="10" t="n">
        <v>0</v>
      </c>
      <c r="N465" s="8" t="n">
        <v>0</v>
      </c>
      <c r="O465" s="74"/>
      <c r="P465" s="74"/>
      <c r="Q465" s="74"/>
      <c r="R465" s="14" t="n">
        <f aca="false">IF(I465="Unbilled",0,M465)</f>
        <v>0</v>
      </c>
      <c r="S465" s="9" t="n">
        <f aca="false">IF(R465=0,0,IF(O465="Booked",N465,R465*V464))</f>
        <v>0</v>
      </c>
      <c r="T465" s="14" t="n">
        <f aca="false">IF(I465="Opening",K465,T464+K465-R465)</f>
        <v>4523.39</v>
      </c>
      <c r="U465" s="9" t="n">
        <f aca="false">IF(I465="Opening",L465,U464+L465-S465)</f>
        <v>171792562.221656</v>
      </c>
      <c r="V465" s="9" t="n">
        <f aca="false">IF(T465&gt;0,U465/T465,IF(I465="Opening",0,V464))</f>
        <v>37978.7199913463</v>
      </c>
      <c r="W465" s="14" t="n">
        <f aca="false">M465</f>
        <v>0</v>
      </c>
      <c r="X465" s="9" t="n">
        <f aca="false">IF(W465=0,0,IF(O465="Booked",N465,W465*AA464))</f>
        <v>0</v>
      </c>
      <c r="Y465" s="14" t="n">
        <f aca="false">IF(I465="Opening",K465,Y464+K465-W465)</f>
        <v>2760.09</v>
      </c>
      <c r="Z465" s="9" t="n">
        <f aca="false">IF(I465="Opening",L465,Z464+L465-X465)</f>
        <v>104575999.920979</v>
      </c>
      <c r="AA465" s="9" t="n">
        <f aca="false">IF(Y465&gt;0,Z465/Y465,IF(I465="Opening",0,AA464))</f>
        <v>37888.6195453696</v>
      </c>
      <c r="AB465" s="9" t="n">
        <f aca="false">IF(AND(I465="DO",O465="MA"),S465-N465,0)</f>
        <v>0</v>
      </c>
      <c r="AC465" s="9" t="n">
        <f aca="false">IF(I465="DO",X465-S465,0)</f>
        <v>0</v>
      </c>
      <c r="AD465" s="23" t="n">
        <f aca="false">IF(B466&lt;&gt;B465,1,0)</f>
        <v>0</v>
      </c>
      <c r="AE465" s="14" t="n">
        <f aca="false">IF(I465="Opening",0,AE464+W465)</f>
        <v>2773.11</v>
      </c>
      <c r="AF465" s="14" t="n">
        <f aca="false">IF(I465="Opening",K465,AF464)</f>
        <v>0</v>
      </c>
      <c r="AG465" s="14" t="n">
        <f aca="false">AG464</f>
        <v>0</v>
      </c>
      <c r="AH465" s="14" t="n">
        <f aca="false">IF(W465=0,0,MAX(0,MIN(AE465,AF465)-MIN(AE465-W465,AF465)))</f>
        <v>0</v>
      </c>
      <c r="AI465" s="14" t="n">
        <f aca="false">IF(W465=0,0,MAX(0,MIN(AE465,AF465+AG465)-MAX(AE465-W465,AF465)))</f>
        <v>0</v>
      </c>
      <c r="AJ465" s="14" t="n">
        <f aca="false">W465-AH465-AI465</f>
        <v>0</v>
      </c>
      <c r="AK465" s="9" t="n">
        <f aca="false">IF(W465=0,0,X465*AH465/W465)</f>
        <v>0</v>
      </c>
      <c r="AL465" s="9" t="n">
        <f aca="false">IF(W465=0,0,X465*AI465/W465)</f>
        <v>0</v>
      </c>
      <c r="AM465" s="9" t="n">
        <f aca="false">X465-AK465-AL465</f>
        <v>0</v>
      </c>
    </row>
    <row r="466" customFormat="false" ht="15" hidden="false" customHeight="false" outlineLevel="0" collapsed="false">
      <c r="A466" s="6" t="n">
        <v>461</v>
      </c>
      <c r="B466" s="74" t="s">
        <v>990</v>
      </c>
      <c r="C466" s="53" t="str">
        <f aca="false">INDEX(I_Items!$C$5:$C$133,MATCH($B466,I_Items!$A$5:$A$133,0))</f>
        <v>RPA</v>
      </c>
      <c r="D466" s="53" t="str">
        <f aca="false">INDEX(I_Items!$D$5:$D$133,MATCH($B466,I_Items!$A$5:$A$133,0))</f>
        <v>Karkas</v>
      </c>
      <c r="E466" s="53" t="str">
        <f aca="false">INDEX(I_Items!$F$5:$F$133,MATCH($B466,I_Items!$A$5:$A$133,0))</f>
        <v>Fresh</v>
      </c>
      <c r="F466" s="53" t="str">
        <f aca="false">IF(INDEX(I_Items!$E$5:$E$133,MATCH($B466,I_Items!$A$5:$A$133,0))="","",INDEX(I_Items!$E$5:$E$133,MATCH($B466,I_Items!$A$5:$A$133,0)))</f>
        <v>Uk 1.3</v>
      </c>
      <c r="G466" s="76" t="n">
        <v>46255</v>
      </c>
      <c r="H466" s="23" t="n">
        <f aca="false">MONTH(G466)</f>
        <v>8</v>
      </c>
      <c r="I466" s="74" t="s">
        <v>2075</v>
      </c>
      <c r="J466" s="74" t="s">
        <v>2153</v>
      </c>
      <c r="K466" s="10" t="n">
        <v>0</v>
      </c>
      <c r="L466" s="8" t="n">
        <v>0</v>
      </c>
      <c r="M466" s="10" t="n">
        <v>1757.6</v>
      </c>
      <c r="N466" s="8" t="n">
        <v>66751398.27</v>
      </c>
      <c r="O466" s="74" t="s">
        <v>2077</v>
      </c>
      <c r="P466" s="74"/>
      <c r="Q466" s="74"/>
      <c r="R466" s="14" t="n">
        <f aca="false">IF(I466="Unbilled",0,M466)</f>
        <v>1757.6</v>
      </c>
      <c r="S466" s="9" t="n">
        <f aca="false">IF(R466=0,0,IF(O466="Booked",N466,R466*V465))</f>
        <v>66751398.2567902</v>
      </c>
      <c r="T466" s="14" t="n">
        <f aca="false">IF(I466="Opening",K466,T465+K466-R466)</f>
        <v>2765.79</v>
      </c>
      <c r="U466" s="9" t="n">
        <f aca="false">IF(I466="Opening",L466,U465+L466-S466)</f>
        <v>105041163.964866</v>
      </c>
      <c r="V466" s="9" t="n">
        <f aca="false">IF(T466&gt;0,U466/T466,IF(I466="Opening",0,V465))</f>
        <v>37978.7199913463</v>
      </c>
      <c r="W466" s="14" t="n">
        <f aca="false">M466</f>
        <v>1757.6</v>
      </c>
      <c r="X466" s="9" t="n">
        <f aca="false">IF(W466=0,0,IF(O466="Booked",N466,W466*AA465))</f>
        <v>66593037.7129416</v>
      </c>
      <c r="Y466" s="14" t="n">
        <f aca="false">IF(I466="Opening",K466,Y465+K466-W466)</f>
        <v>1002.49</v>
      </c>
      <c r="Z466" s="9" t="n">
        <f aca="false">IF(I466="Opening",L466,Z465+L466-X466)</f>
        <v>37982962.2080376</v>
      </c>
      <c r="AA466" s="9" t="n">
        <f aca="false">IF(Y466&gt;0,Z466/Y466,IF(I466="Opening",0,AA465))</f>
        <v>37888.6195453696</v>
      </c>
      <c r="AB466" s="9" t="n">
        <f aca="false">IF(AND(I466="DO",O466="MA"),S466-N466,0)</f>
        <v>-0.0132097825407982</v>
      </c>
      <c r="AC466" s="9" t="n">
        <f aca="false">IF(I466="DO",X466-S466,0)</f>
        <v>-158360.543848619</v>
      </c>
      <c r="AD466" s="23" t="n">
        <f aca="false">IF(B467&lt;&gt;B466,1,0)</f>
        <v>0</v>
      </c>
      <c r="AE466" s="14" t="n">
        <f aca="false">IF(I466="Opening",0,AE465+W466)</f>
        <v>4530.71</v>
      </c>
      <c r="AF466" s="14" t="n">
        <f aca="false">IF(I466="Opening",K466,AF465)</f>
        <v>0</v>
      </c>
      <c r="AG466" s="14" t="n">
        <f aca="false">AG465</f>
        <v>0</v>
      </c>
      <c r="AH466" s="14" t="n">
        <f aca="false">IF(W466=0,0,MAX(0,MIN(AE466,AF466)-MIN(AE466-W466,AF466)))</f>
        <v>0</v>
      </c>
      <c r="AI466" s="14" t="n">
        <f aca="false">IF(W466=0,0,MAX(0,MIN(AE466,AF466+AG466)-MAX(AE466-W466,AF466)))</f>
        <v>0</v>
      </c>
      <c r="AJ466" s="14" t="n">
        <f aca="false">W466-AH466-AI466</f>
        <v>1757.6</v>
      </c>
      <c r="AK466" s="9" t="n">
        <f aca="false">IF(W466=0,0,X466*AH466/W466)</f>
        <v>0</v>
      </c>
      <c r="AL466" s="9" t="n">
        <f aca="false">IF(W466=0,0,X466*AI466/W466)</f>
        <v>0</v>
      </c>
      <c r="AM466" s="9" t="n">
        <f aca="false">X466-AK466-AL466</f>
        <v>66593037.7129416</v>
      </c>
    </row>
    <row r="467" customFormat="false" ht="15" hidden="false" customHeight="false" outlineLevel="0" collapsed="false">
      <c r="A467" s="6" t="n">
        <v>462</v>
      </c>
      <c r="B467" s="74" t="s">
        <v>990</v>
      </c>
      <c r="C467" s="53" t="str">
        <f aca="false">INDEX(I_Items!$C$5:$C$133,MATCH($B467,I_Items!$A$5:$A$133,0))</f>
        <v>RPA</v>
      </c>
      <c r="D467" s="53" t="str">
        <f aca="false">INDEX(I_Items!$D$5:$D$133,MATCH($B467,I_Items!$A$5:$A$133,0))</f>
        <v>Karkas</v>
      </c>
      <c r="E467" s="53" t="str">
        <f aca="false">INDEX(I_Items!$F$5:$F$133,MATCH($B467,I_Items!$A$5:$A$133,0))</f>
        <v>Fresh</v>
      </c>
      <c r="F467" s="53" t="str">
        <f aca="false">IF(INDEX(I_Items!$E$5:$E$133,MATCH($B467,I_Items!$A$5:$A$133,0))="","",INDEX(I_Items!$E$5:$E$133,MATCH($B467,I_Items!$A$5:$A$133,0)))</f>
        <v>Uk 1.3</v>
      </c>
      <c r="G467" s="76" t="n">
        <v>46259</v>
      </c>
      <c r="H467" s="23" t="n">
        <f aca="false">MONTH(G467)</f>
        <v>8</v>
      </c>
      <c r="I467" s="74" t="s">
        <v>2074</v>
      </c>
      <c r="J467" s="74" t="s">
        <v>1314</v>
      </c>
      <c r="K467" s="10" t="n">
        <v>1826.1</v>
      </c>
      <c r="L467" s="8" t="n">
        <v>67345825.33</v>
      </c>
      <c r="M467" s="10" t="n">
        <v>0</v>
      </c>
      <c r="N467" s="8" t="n">
        <v>0</v>
      </c>
      <c r="O467" s="74"/>
      <c r="P467" s="74"/>
      <c r="Q467" s="74"/>
      <c r="R467" s="14" t="n">
        <f aca="false">IF(I467="Unbilled",0,M467)</f>
        <v>0</v>
      </c>
      <c r="S467" s="9" t="n">
        <f aca="false">IF(R467=0,0,IF(O467="Booked",N467,R467*V466))</f>
        <v>0</v>
      </c>
      <c r="T467" s="14" t="n">
        <f aca="false">IF(I467="Opening",K467,T466+K467-R467)</f>
        <v>4591.89</v>
      </c>
      <c r="U467" s="9" t="n">
        <f aca="false">IF(I467="Opening",L467,U466+L467-S467)</f>
        <v>172386989.294866</v>
      </c>
      <c r="V467" s="9" t="n">
        <f aca="false">IF(T467&gt;0,U467/T467,IF(I467="Opening",0,V466))</f>
        <v>37541.6199636458</v>
      </c>
      <c r="W467" s="14" t="n">
        <f aca="false">M467</f>
        <v>0</v>
      </c>
      <c r="X467" s="9" t="n">
        <f aca="false">IF(W467=0,0,IF(O467="Booked",N467,W467*AA466))</f>
        <v>0</v>
      </c>
      <c r="Y467" s="14" t="n">
        <f aca="false">IF(I467="Opening",K467,Y466+K467-W467)</f>
        <v>2828.59</v>
      </c>
      <c r="Z467" s="9" t="n">
        <f aca="false">IF(I467="Opening",L467,Z466+L467-X467)</f>
        <v>105328787.538038</v>
      </c>
      <c r="AA467" s="9" t="n">
        <f aca="false">IF(Y467&gt;0,Z467/Y467,IF(I467="Opening",0,AA466))</f>
        <v>37237.2056530065</v>
      </c>
      <c r="AB467" s="9" t="n">
        <f aca="false">IF(AND(I467="DO",O467="MA"),S467-N467,0)</f>
        <v>0</v>
      </c>
      <c r="AC467" s="9" t="n">
        <f aca="false">IF(I467="DO",X467-S467,0)</f>
        <v>0</v>
      </c>
      <c r="AD467" s="23" t="n">
        <f aca="false">IF(B468&lt;&gt;B467,1,0)</f>
        <v>0</v>
      </c>
      <c r="AE467" s="14" t="n">
        <f aca="false">IF(I467="Opening",0,AE466+W467)</f>
        <v>4530.71</v>
      </c>
      <c r="AF467" s="14" t="n">
        <f aca="false">IF(I467="Opening",K467,AF466)</f>
        <v>0</v>
      </c>
      <c r="AG467" s="14" t="n">
        <f aca="false">AG466</f>
        <v>0</v>
      </c>
      <c r="AH467" s="14" t="n">
        <f aca="false">IF(W467=0,0,MAX(0,MIN(AE467,AF467)-MIN(AE467-W467,AF467)))</f>
        <v>0</v>
      </c>
      <c r="AI467" s="14" t="n">
        <f aca="false">IF(W467=0,0,MAX(0,MIN(AE467,AF467+AG467)-MAX(AE467-W467,AF467)))</f>
        <v>0</v>
      </c>
      <c r="AJ467" s="14" t="n">
        <f aca="false">W467-AH467-AI467</f>
        <v>0</v>
      </c>
      <c r="AK467" s="9" t="n">
        <f aca="false">IF(W467=0,0,X467*AH467/W467)</f>
        <v>0</v>
      </c>
      <c r="AL467" s="9" t="n">
        <f aca="false">IF(W467=0,0,X467*AI467/W467)</f>
        <v>0</v>
      </c>
      <c r="AM467" s="9" t="n">
        <f aca="false">X467-AK467-AL467</f>
        <v>0</v>
      </c>
    </row>
    <row r="468" customFormat="false" ht="15" hidden="false" customHeight="false" outlineLevel="0" collapsed="false">
      <c r="A468" s="6" t="n">
        <v>463</v>
      </c>
      <c r="B468" s="74" t="s">
        <v>990</v>
      </c>
      <c r="C468" s="53" t="str">
        <f aca="false">INDEX(I_Items!$C$5:$C$133,MATCH($B468,I_Items!$A$5:$A$133,0))</f>
        <v>RPA</v>
      </c>
      <c r="D468" s="53" t="str">
        <f aca="false">INDEX(I_Items!$D$5:$D$133,MATCH($B468,I_Items!$A$5:$A$133,0))</f>
        <v>Karkas</v>
      </c>
      <c r="E468" s="53" t="str">
        <f aca="false">INDEX(I_Items!$F$5:$F$133,MATCH($B468,I_Items!$A$5:$A$133,0))</f>
        <v>Fresh</v>
      </c>
      <c r="F468" s="53" t="str">
        <f aca="false">IF(INDEX(I_Items!$E$5:$E$133,MATCH($B468,I_Items!$A$5:$A$133,0))="","",INDEX(I_Items!$E$5:$E$133,MATCH($B468,I_Items!$A$5:$A$133,0)))</f>
        <v>Uk 1.3</v>
      </c>
      <c r="G468" s="76" t="n">
        <v>46260</v>
      </c>
      <c r="H468" s="23" t="n">
        <f aca="false">MONTH(G468)</f>
        <v>8</v>
      </c>
      <c r="I468" s="74" t="s">
        <v>2074</v>
      </c>
      <c r="J468" s="74" t="s">
        <v>1317</v>
      </c>
      <c r="K468" s="10" t="n">
        <v>1621.4</v>
      </c>
      <c r="L468" s="8" t="n">
        <v>61077156.57</v>
      </c>
      <c r="M468" s="10" t="n">
        <v>0</v>
      </c>
      <c r="N468" s="8" t="n">
        <v>0</v>
      </c>
      <c r="O468" s="74"/>
      <c r="P468" s="74"/>
      <c r="Q468" s="74"/>
      <c r="R468" s="14" t="n">
        <f aca="false">IF(I468="Unbilled",0,M468)</f>
        <v>0</v>
      </c>
      <c r="S468" s="9" t="n">
        <f aca="false">IF(R468=0,0,IF(O468="Booked",N468,R468*V467))</f>
        <v>0</v>
      </c>
      <c r="T468" s="14" t="n">
        <f aca="false">IF(I468="Opening",K468,T467+K468-R468)</f>
        <v>6213.29</v>
      </c>
      <c r="U468" s="9" t="n">
        <f aca="false">IF(I468="Opening",L468,U467+L468-S468)</f>
        <v>233464145.864866</v>
      </c>
      <c r="V468" s="9" t="n">
        <f aca="false">IF(T468&gt;0,U468/T468,IF(I468="Opening",0,V467))</f>
        <v>37574.9636448429</v>
      </c>
      <c r="W468" s="14" t="n">
        <f aca="false">M468</f>
        <v>0</v>
      </c>
      <c r="X468" s="9" t="n">
        <f aca="false">IF(W468=0,0,IF(O468="Booked",N468,W468*AA467))</f>
        <v>0</v>
      </c>
      <c r="Y468" s="14" t="n">
        <f aca="false">IF(I468="Opening",K468,Y467+K468-W468)</f>
        <v>4449.99</v>
      </c>
      <c r="Z468" s="9" t="n">
        <f aca="false">IF(I468="Opening",L468,Z467+L468-X468)</f>
        <v>166405944.108038</v>
      </c>
      <c r="AA468" s="9" t="n">
        <f aca="false">IF(Y468&gt;0,Z468/Y468,IF(I468="Opening",0,AA467))</f>
        <v>37394.6782145662</v>
      </c>
      <c r="AB468" s="9" t="n">
        <f aca="false">IF(AND(I468="DO",O468="MA"),S468-N468,0)</f>
        <v>0</v>
      </c>
      <c r="AC468" s="9" t="n">
        <f aca="false">IF(I468="DO",X468-S468,0)</f>
        <v>0</v>
      </c>
      <c r="AD468" s="23" t="n">
        <f aca="false">IF(B469&lt;&gt;B468,1,0)</f>
        <v>0</v>
      </c>
      <c r="AE468" s="14" t="n">
        <f aca="false">IF(I468="Opening",0,AE467+W468)</f>
        <v>4530.71</v>
      </c>
      <c r="AF468" s="14" t="n">
        <f aca="false">IF(I468="Opening",K468,AF467)</f>
        <v>0</v>
      </c>
      <c r="AG468" s="14" t="n">
        <f aca="false">AG467</f>
        <v>0</v>
      </c>
      <c r="AH468" s="14" t="n">
        <f aca="false">IF(W468=0,0,MAX(0,MIN(AE468,AF468)-MIN(AE468-W468,AF468)))</f>
        <v>0</v>
      </c>
      <c r="AI468" s="14" t="n">
        <f aca="false">IF(W468=0,0,MAX(0,MIN(AE468,AF468+AG468)-MAX(AE468-W468,AF468)))</f>
        <v>0</v>
      </c>
      <c r="AJ468" s="14" t="n">
        <f aca="false">W468-AH468-AI468</f>
        <v>0</v>
      </c>
      <c r="AK468" s="9" t="n">
        <f aca="false">IF(W468=0,0,X468*AH468/W468)</f>
        <v>0</v>
      </c>
      <c r="AL468" s="9" t="n">
        <f aca="false">IF(W468=0,0,X468*AI468/W468)</f>
        <v>0</v>
      </c>
      <c r="AM468" s="9" t="n">
        <f aca="false">X468-AK468-AL468</f>
        <v>0</v>
      </c>
    </row>
    <row r="469" customFormat="false" ht="15" hidden="false" customHeight="false" outlineLevel="0" collapsed="false">
      <c r="A469" s="6" t="n">
        <v>464</v>
      </c>
      <c r="B469" s="74" t="s">
        <v>990</v>
      </c>
      <c r="C469" s="53" t="str">
        <f aca="false">INDEX(I_Items!$C$5:$C$133,MATCH($B469,I_Items!$A$5:$A$133,0))</f>
        <v>RPA</v>
      </c>
      <c r="D469" s="53" t="str">
        <f aca="false">INDEX(I_Items!$D$5:$D$133,MATCH($B469,I_Items!$A$5:$A$133,0))</f>
        <v>Karkas</v>
      </c>
      <c r="E469" s="53" t="str">
        <f aca="false">INDEX(I_Items!$F$5:$F$133,MATCH($B469,I_Items!$A$5:$A$133,0))</f>
        <v>Fresh</v>
      </c>
      <c r="F469" s="53" t="str">
        <f aca="false">IF(INDEX(I_Items!$E$5:$E$133,MATCH($B469,I_Items!$A$5:$A$133,0))="","",INDEX(I_Items!$E$5:$E$133,MATCH($B469,I_Items!$A$5:$A$133,0)))</f>
        <v>Uk 1.3</v>
      </c>
      <c r="G469" s="76" t="n">
        <v>46260</v>
      </c>
      <c r="H469" s="23" t="n">
        <f aca="false">MONTH(G469)</f>
        <v>8</v>
      </c>
      <c r="I469" s="74" t="s">
        <v>2075</v>
      </c>
      <c r="J469" s="74" t="s">
        <v>2154</v>
      </c>
      <c r="K469" s="10" t="n">
        <v>0</v>
      </c>
      <c r="L469" s="8" t="n">
        <v>0</v>
      </c>
      <c r="M469" s="10" t="n">
        <v>1765.35</v>
      </c>
      <c r="N469" s="8" t="n">
        <v>66332961.99</v>
      </c>
      <c r="O469" s="74" t="s">
        <v>2077</v>
      </c>
      <c r="P469" s="74"/>
      <c r="Q469" s="74"/>
      <c r="R469" s="14" t="n">
        <f aca="false">IF(I469="Unbilled",0,M469)</f>
        <v>1765.35</v>
      </c>
      <c r="S469" s="9" t="n">
        <f aca="false">IF(R469=0,0,IF(O469="Booked",N469,R469*V468))</f>
        <v>66332962.0704233</v>
      </c>
      <c r="T469" s="14" t="n">
        <f aca="false">IF(I469="Opening",K469,T468+K469-R469)</f>
        <v>4447.94</v>
      </c>
      <c r="U469" s="9" t="n">
        <f aca="false">IF(I469="Opening",L469,U468+L469-S469)</f>
        <v>167131183.794442</v>
      </c>
      <c r="V469" s="9" t="n">
        <f aca="false">IF(T469&gt;0,U469/T469,IF(I469="Opening",0,V468))</f>
        <v>37574.9636448429</v>
      </c>
      <c r="W469" s="14" t="n">
        <f aca="false">M469</f>
        <v>1765.35</v>
      </c>
      <c r="X469" s="9" t="n">
        <f aca="false">IF(W469=0,0,IF(O469="Booked",N469,W469*AA468))</f>
        <v>66014695.1860845</v>
      </c>
      <c r="Y469" s="14" t="n">
        <f aca="false">IF(I469="Opening",K469,Y468+K469-W469)</f>
        <v>2684.64</v>
      </c>
      <c r="Z469" s="9" t="n">
        <f aca="false">IF(I469="Opening",L469,Z468+L469-X469)</f>
        <v>100391248.921953</v>
      </c>
      <c r="AA469" s="9" t="n">
        <f aca="false">IF(Y469&gt;0,Z469/Y469,IF(I469="Opening",0,AA468))</f>
        <v>37394.6782145662</v>
      </c>
      <c r="AB469" s="9" t="n">
        <f aca="false">IF(AND(I469="DO",O469="MA"),S469-N469,0)</f>
        <v>0.0804233178496361</v>
      </c>
      <c r="AC469" s="9" t="n">
        <f aca="false">IF(I469="DO",X469-S469,0)</f>
        <v>-318266.884338833</v>
      </c>
      <c r="AD469" s="23" t="n">
        <f aca="false">IF(B470&lt;&gt;B469,1,0)</f>
        <v>0</v>
      </c>
      <c r="AE469" s="14" t="n">
        <f aca="false">IF(I469="Opening",0,AE468+W469)</f>
        <v>6296.06</v>
      </c>
      <c r="AF469" s="14" t="n">
        <f aca="false">IF(I469="Opening",K469,AF468)</f>
        <v>0</v>
      </c>
      <c r="AG469" s="14" t="n">
        <f aca="false">AG468</f>
        <v>0</v>
      </c>
      <c r="AH469" s="14" t="n">
        <f aca="false">IF(W469=0,0,MAX(0,MIN(AE469,AF469)-MIN(AE469-W469,AF469)))</f>
        <v>0</v>
      </c>
      <c r="AI469" s="14" t="n">
        <f aca="false">IF(W469=0,0,MAX(0,MIN(AE469,AF469+AG469)-MAX(AE469-W469,AF469)))</f>
        <v>0</v>
      </c>
      <c r="AJ469" s="14" t="n">
        <f aca="false">W469-AH469-AI469</f>
        <v>1765.35</v>
      </c>
      <c r="AK469" s="9" t="n">
        <f aca="false">IF(W469=0,0,X469*AH469/W469)</f>
        <v>0</v>
      </c>
      <c r="AL469" s="9" t="n">
        <f aca="false">IF(W469=0,0,X469*AI469/W469)</f>
        <v>0</v>
      </c>
      <c r="AM469" s="9" t="n">
        <f aca="false">X469-AK469-AL469</f>
        <v>66014695.1860845</v>
      </c>
    </row>
    <row r="470" customFormat="false" ht="15" hidden="false" customHeight="false" outlineLevel="0" collapsed="false">
      <c r="A470" s="6" t="n">
        <v>465</v>
      </c>
      <c r="B470" s="74" t="s">
        <v>990</v>
      </c>
      <c r="C470" s="53" t="str">
        <f aca="false">INDEX(I_Items!$C$5:$C$133,MATCH($B470,I_Items!$A$5:$A$133,0))</f>
        <v>RPA</v>
      </c>
      <c r="D470" s="53" t="str">
        <f aca="false">INDEX(I_Items!$D$5:$D$133,MATCH($B470,I_Items!$A$5:$A$133,0))</f>
        <v>Karkas</v>
      </c>
      <c r="E470" s="53" t="str">
        <f aca="false">INDEX(I_Items!$F$5:$F$133,MATCH($B470,I_Items!$A$5:$A$133,0))</f>
        <v>Fresh</v>
      </c>
      <c r="F470" s="53" t="str">
        <f aca="false">IF(INDEX(I_Items!$E$5:$E$133,MATCH($B470,I_Items!$A$5:$A$133,0))="","",INDEX(I_Items!$E$5:$E$133,MATCH($B470,I_Items!$A$5:$A$133,0)))</f>
        <v>Uk 1.3</v>
      </c>
      <c r="G470" s="76" t="n">
        <v>46261</v>
      </c>
      <c r="H470" s="23" t="n">
        <f aca="false">MONTH(G470)</f>
        <v>8</v>
      </c>
      <c r="I470" s="74" t="s">
        <v>2074</v>
      </c>
      <c r="J470" s="74" t="s">
        <v>1320</v>
      </c>
      <c r="K470" s="10" t="n">
        <v>1681.7</v>
      </c>
      <c r="L470" s="8" t="n">
        <v>62532910.3</v>
      </c>
      <c r="M470" s="10" t="n">
        <v>0</v>
      </c>
      <c r="N470" s="8" t="n">
        <v>0</v>
      </c>
      <c r="O470" s="74"/>
      <c r="P470" s="74"/>
      <c r="Q470" s="74"/>
      <c r="R470" s="14" t="n">
        <f aca="false">IF(I470="Unbilled",0,M470)</f>
        <v>0</v>
      </c>
      <c r="S470" s="9" t="n">
        <f aca="false">IF(R470=0,0,IF(O470="Booked",N470,R470*V469))</f>
        <v>0</v>
      </c>
      <c r="T470" s="14" t="n">
        <f aca="false">IF(I470="Opening",K470,T469+K470-R470)</f>
        <v>6129.64</v>
      </c>
      <c r="U470" s="9" t="n">
        <f aca="false">IF(I470="Opening",L470,U469+L470-S470)</f>
        <v>229664094.094442</v>
      </c>
      <c r="V470" s="9" t="n">
        <f aca="false">IF(T470&gt;0,U470/T470,IF(I470="Opening",0,V469))</f>
        <v>37467.7948614343</v>
      </c>
      <c r="W470" s="14" t="n">
        <f aca="false">M470</f>
        <v>0</v>
      </c>
      <c r="X470" s="9" t="n">
        <f aca="false">IF(W470=0,0,IF(O470="Booked",N470,W470*AA469))</f>
        <v>0</v>
      </c>
      <c r="Y470" s="14" t="n">
        <f aca="false">IF(I470="Opening",K470,Y469+K470-W470)</f>
        <v>4366.34</v>
      </c>
      <c r="Z470" s="9" t="n">
        <f aca="false">IF(I470="Opening",L470,Z469+L470-X470)</f>
        <v>162924159.221953</v>
      </c>
      <c r="AA470" s="9" t="n">
        <f aca="false">IF(Y470&gt;0,Z470/Y470,IF(I470="Opening",0,AA469))</f>
        <v>37313.6675618374</v>
      </c>
      <c r="AB470" s="9" t="n">
        <f aca="false">IF(AND(I470="DO",O470="MA"),S470-N470,0)</f>
        <v>0</v>
      </c>
      <c r="AC470" s="9" t="n">
        <f aca="false">IF(I470="DO",X470-S470,0)</f>
        <v>0</v>
      </c>
      <c r="AD470" s="23" t="n">
        <f aca="false">IF(B471&lt;&gt;B470,1,0)</f>
        <v>0</v>
      </c>
      <c r="AE470" s="14" t="n">
        <f aca="false">IF(I470="Opening",0,AE469+W470)</f>
        <v>6296.06</v>
      </c>
      <c r="AF470" s="14" t="n">
        <f aca="false">IF(I470="Opening",K470,AF469)</f>
        <v>0</v>
      </c>
      <c r="AG470" s="14" t="n">
        <f aca="false">AG469</f>
        <v>0</v>
      </c>
      <c r="AH470" s="14" t="n">
        <f aca="false">IF(W470=0,0,MAX(0,MIN(AE470,AF470)-MIN(AE470-W470,AF470)))</f>
        <v>0</v>
      </c>
      <c r="AI470" s="14" t="n">
        <f aca="false">IF(W470=0,0,MAX(0,MIN(AE470,AF470+AG470)-MAX(AE470-W470,AF470)))</f>
        <v>0</v>
      </c>
      <c r="AJ470" s="14" t="n">
        <f aca="false">W470-AH470-AI470</f>
        <v>0</v>
      </c>
      <c r="AK470" s="9" t="n">
        <f aca="false">IF(W470=0,0,X470*AH470/W470)</f>
        <v>0</v>
      </c>
      <c r="AL470" s="9" t="n">
        <f aca="false">IF(W470=0,0,X470*AI470/W470)</f>
        <v>0</v>
      </c>
      <c r="AM470" s="9" t="n">
        <f aca="false">X470-AK470-AL470</f>
        <v>0</v>
      </c>
    </row>
    <row r="471" customFormat="false" ht="15" hidden="false" customHeight="false" outlineLevel="0" collapsed="false">
      <c r="A471" s="6" t="n">
        <v>466</v>
      </c>
      <c r="B471" s="74" t="s">
        <v>990</v>
      </c>
      <c r="C471" s="53" t="str">
        <f aca="false">INDEX(I_Items!$C$5:$C$133,MATCH($B471,I_Items!$A$5:$A$133,0))</f>
        <v>RPA</v>
      </c>
      <c r="D471" s="53" t="str">
        <f aca="false">INDEX(I_Items!$D$5:$D$133,MATCH($B471,I_Items!$A$5:$A$133,0))</f>
        <v>Karkas</v>
      </c>
      <c r="E471" s="53" t="str">
        <f aca="false">INDEX(I_Items!$F$5:$F$133,MATCH($B471,I_Items!$A$5:$A$133,0))</f>
        <v>Fresh</v>
      </c>
      <c r="F471" s="53" t="str">
        <f aca="false">IF(INDEX(I_Items!$E$5:$E$133,MATCH($B471,I_Items!$A$5:$A$133,0))="","",INDEX(I_Items!$E$5:$E$133,MATCH($B471,I_Items!$A$5:$A$133,0)))</f>
        <v>Uk 1.3</v>
      </c>
      <c r="G471" s="76" t="n">
        <v>46261</v>
      </c>
      <c r="H471" s="23" t="n">
        <f aca="false">MONTH(G471)</f>
        <v>8</v>
      </c>
      <c r="I471" s="74" t="s">
        <v>2075</v>
      </c>
      <c r="J471" s="74" t="s">
        <v>2155</v>
      </c>
      <c r="K471" s="10" t="n">
        <v>0</v>
      </c>
      <c r="L471" s="8" t="n">
        <v>0</v>
      </c>
      <c r="M471" s="10" t="n">
        <v>1412.65</v>
      </c>
      <c r="N471" s="8" t="n">
        <v>52928880.47</v>
      </c>
      <c r="O471" s="74" t="s">
        <v>2077</v>
      </c>
      <c r="P471" s="74"/>
      <c r="Q471" s="74"/>
      <c r="R471" s="14" t="n">
        <f aca="false">IF(I471="Unbilled",0,M471)</f>
        <v>1412.65</v>
      </c>
      <c r="S471" s="9" t="n">
        <f aca="false">IF(R471=0,0,IF(O471="Booked",N471,R471*V470))</f>
        <v>52928880.4110052</v>
      </c>
      <c r="T471" s="14" t="n">
        <f aca="false">IF(I471="Opening",K471,T470+K471-R471)</f>
        <v>4716.99</v>
      </c>
      <c r="U471" s="9" t="n">
        <f aca="false">IF(I471="Opening",L471,U470+L471-S471)</f>
        <v>176735213.683437</v>
      </c>
      <c r="V471" s="9" t="n">
        <f aca="false">IF(T471&gt;0,U471/T471,IF(I471="Opening",0,V470))</f>
        <v>37467.7948614343</v>
      </c>
      <c r="W471" s="14" t="n">
        <f aca="false">M471</f>
        <v>1412.65</v>
      </c>
      <c r="X471" s="9" t="n">
        <f aca="false">IF(W471=0,0,IF(O471="Booked",N471,W471*AA470))</f>
        <v>52711152.4812296</v>
      </c>
      <c r="Y471" s="14" t="n">
        <f aca="false">IF(I471="Opening",K471,Y470+K471-W471)</f>
        <v>2953.69</v>
      </c>
      <c r="Z471" s="9" t="n">
        <f aca="false">IF(I471="Opening",L471,Z470+L471-X471)</f>
        <v>110213006.740723</v>
      </c>
      <c r="AA471" s="9" t="n">
        <f aca="false">IF(Y471&gt;0,Z471/Y471,IF(I471="Opening",0,AA470))</f>
        <v>37313.6675618374</v>
      </c>
      <c r="AB471" s="9" t="n">
        <f aca="false">IF(AND(I471="DO",O471="MA"),S471-N471,0)</f>
        <v>-0.05899478495121</v>
      </c>
      <c r="AC471" s="9" t="n">
        <f aca="false">IF(I471="DO",X471-S471,0)</f>
        <v>-217727.929775618</v>
      </c>
      <c r="AD471" s="23" t="n">
        <f aca="false">IF(B472&lt;&gt;B471,1,0)</f>
        <v>0</v>
      </c>
      <c r="AE471" s="14" t="n">
        <f aca="false">IF(I471="Opening",0,AE470+W471)</f>
        <v>7708.71</v>
      </c>
      <c r="AF471" s="14" t="n">
        <f aca="false">IF(I471="Opening",K471,AF470)</f>
        <v>0</v>
      </c>
      <c r="AG471" s="14" t="n">
        <f aca="false">AG470</f>
        <v>0</v>
      </c>
      <c r="AH471" s="14" t="n">
        <f aca="false">IF(W471=0,0,MAX(0,MIN(AE471,AF471)-MIN(AE471-W471,AF471)))</f>
        <v>0</v>
      </c>
      <c r="AI471" s="14" t="n">
        <f aca="false">IF(W471=0,0,MAX(0,MIN(AE471,AF471+AG471)-MAX(AE471-W471,AF471)))</f>
        <v>0</v>
      </c>
      <c r="AJ471" s="14" t="n">
        <f aca="false">W471-AH471-AI471</f>
        <v>1412.65</v>
      </c>
      <c r="AK471" s="9" t="n">
        <f aca="false">IF(W471=0,0,X471*AH471/W471)</f>
        <v>0</v>
      </c>
      <c r="AL471" s="9" t="n">
        <f aca="false">IF(W471=0,0,X471*AI471/W471)</f>
        <v>0</v>
      </c>
      <c r="AM471" s="9" t="n">
        <f aca="false">X471-AK471-AL471</f>
        <v>52711152.4812296</v>
      </c>
    </row>
    <row r="472" customFormat="false" ht="15" hidden="false" customHeight="false" outlineLevel="0" collapsed="false">
      <c r="A472" s="6" t="n">
        <v>467</v>
      </c>
      <c r="B472" s="74" t="s">
        <v>990</v>
      </c>
      <c r="C472" s="53" t="str">
        <f aca="false">INDEX(I_Items!$C$5:$C$133,MATCH($B472,I_Items!$A$5:$A$133,0))</f>
        <v>RPA</v>
      </c>
      <c r="D472" s="53" t="str">
        <f aca="false">INDEX(I_Items!$D$5:$D$133,MATCH($B472,I_Items!$A$5:$A$133,0))</f>
        <v>Karkas</v>
      </c>
      <c r="E472" s="53" t="str">
        <f aca="false">INDEX(I_Items!$F$5:$F$133,MATCH($B472,I_Items!$A$5:$A$133,0))</f>
        <v>Fresh</v>
      </c>
      <c r="F472" s="53" t="str">
        <f aca="false">IF(INDEX(I_Items!$E$5:$E$133,MATCH($B472,I_Items!$A$5:$A$133,0))="","",INDEX(I_Items!$E$5:$E$133,MATCH($B472,I_Items!$A$5:$A$133,0)))</f>
        <v>Uk 1.3</v>
      </c>
      <c r="G472" s="76" t="n">
        <v>46261</v>
      </c>
      <c r="H472" s="23" t="n">
        <f aca="false">MONTH(G472)</f>
        <v>8</v>
      </c>
      <c r="I472" s="74" t="s">
        <v>2075</v>
      </c>
      <c r="J472" s="74" t="s">
        <v>2155</v>
      </c>
      <c r="K472" s="10" t="n">
        <v>0</v>
      </c>
      <c r="L472" s="8" t="n">
        <v>0</v>
      </c>
      <c r="M472" s="10" t="n">
        <v>50.7</v>
      </c>
      <c r="N472" s="8" t="n">
        <v>1899617.2</v>
      </c>
      <c r="O472" s="74" t="s">
        <v>2077</v>
      </c>
      <c r="P472" s="74"/>
      <c r="Q472" s="74"/>
      <c r="R472" s="14" t="n">
        <f aca="false">IF(I472="Unbilled",0,M472)</f>
        <v>50.7</v>
      </c>
      <c r="S472" s="9" t="n">
        <f aca="false">IF(R472=0,0,IF(O472="Booked",N472,R472*V471))</f>
        <v>1899617.19947472</v>
      </c>
      <c r="T472" s="14" t="n">
        <f aca="false">IF(I472="Opening",K472,T471+K472-R472)</f>
        <v>4666.29</v>
      </c>
      <c r="U472" s="9" t="n">
        <f aca="false">IF(I472="Opening",L472,U471+L472-S472)</f>
        <v>174835596.483962</v>
      </c>
      <c r="V472" s="9" t="n">
        <f aca="false">IF(T472&gt;0,U472/T472,IF(I472="Opening",0,V471))</f>
        <v>37467.7948614343</v>
      </c>
      <c r="W472" s="14" t="n">
        <f aca="false">M472</f>
        <v>50.7</v>
      </c>
      <c r="X472" s="9" t="n">
        <f aca="false">IF(W472=0,0,IF(O472="Booked",N472,W472*AA471))</f>
        <v>1891802.94538516</v>
      </c>
      <c r="Y472" s="14" t="n">
        <f aca="false">IF(I472="Opening",K472,Y471+K472-W472)</f>
        <v>2902.99</v>
      </c>
      <c r="Z472" s="9" t="n">
        <f aca="false">IF(I472="Opening",L472,Z471+L472-X472)</f>
        <v>108321203.795338</v>
      </c>
      <c r="AA472" s="9" t="n">
        <f aca="false">IF(Y472&gt;0,Z472/Y472,IF(I472="Opening",0,AA471))</f>
        <v>37313.6675618374</v>
      </c>
      <c r="AB472" s="9" t="n">
        <f aca="false">IF(AND(I472="DO",O472="MA"),S472-N472,0)</f>
        <v>-0.000525278737768531</v>
      </c>
      <c r="AC472" s="9" t="n">
        <f aca="false">IF(I472="DO",X472-S472,0)</f>
        <v>-7814.25408956525</v>
      </c>
      <c r="AD472" s="23" t="n">
        <f aca="false">IF(B473&lt;&gt;B472,1,0)</f>
        <v>0</v>
      </c>
      <c r="AE472" s="14" t="n">
        <f aca="false">IF(I472="Opening",0,AE471+W472)</f>
        <v>7759.41</v>
      </c>
      <c r="AF472" s="14" t="n">
        <f aca="false">IF(I472="Opening",K472,AF471)</f>
        <v>0</v>
      </c>
      <c r="AG472" s="14" t="n">
        <f aca="false">AG471</f>
        <v>0</v>
      </c>
      <c r="AH472" s="14" t="n">
        <f aca="false">IF(W472=0,0,MAX(0,MIN(AE472,AF472)-MIN(AE472-W472,AF472)))</f>
        <v>0</v>
      </c>
      <c r="AI472" s="14" t="n">
        <f aca="false">IF(W472=0,0,MAX(0,MIN(AE472,AF472+AG472)-MAX(AE472-W472,AF472)))</f>
        <v>0</v>
      </c>
      <c r="AJ472" s="14" t="n">
        <f aca="false">W472-AH472-AI472</f>
        <v>50.7</v>
      </c>
      <c r="AK472" s="9" t="n">
        <f aca="false">IF(W472=0,0,X472*AH472/W472)</f>
        <v>0</v>
      </c>
      <c r="AL472" s="9" t="n">
        <f aca="false">IF(W472=0,0,X472*AI472/W472)</f>
        <v>0</v>
      </c>
      <c r="AM472" s="9" t="n">
        <f aca="false">X472-AK472-AL472</f>
        <v>1891802.94538516</v>
      </c>
    </row>
    <row r="473" customFormat="false" ht="15" hidden="false" customHeight="false" outlineLevel="0" collapsed="false">
      <c r="A473" s="6" t="n">
        <v>468</v>
      </c>
      <c r="B473" s="74" t="s">
        <v>990</v>
      </c>
      <c r="C473" s="53" t="str">
        <f aca="false">INDEX(I_Items!$C$5:$C$133,MATCH($B473,I_Items!$A$5:$A$133,0))</f>
        <v>RPA</v>
      </c>
      <c r="D473" s="53" t="str">
        <f aca="false">INDEX(I_Items!$D$5:$D$133,MATCH($B473,I_Items!$A$5:$A$133,0))</f>
        <v>Karkas</v>
      </c>
      <c r="E473" s="53" t="str">
        <f aca="false">INDEX(I_Items!$F$5:$F$133,MATCH($B473,I_Items!$A$5:$A$133,0))</f>
        <v>Fresh</v>
      </c>
      <c r="F473" s="53" t="str">
        <f aca="false">IF(INDEX(I_Items!$E$5:$E$133,MATCH($B473,I_Items!$A$5:$A$133,0))="","",INDEX(I_Items!$E$5:$E$133,MATCH($B473,I_Items!$A$5:$A$133,0)))</f>
        <v>Uk 1.3</v>
      </c>
      <c r="G473" s="76" t="n">
        <v>46262</v>
      </c>
      <c r="H473" s="23" t="n">
        <f aca="false">MONTH(G473)</f>
        <v>8</v>
      </c>
      <c r="I473" s="74" t="s">
        <v>2074</v>
      </c>
      <c r="J473" s="74" t="s">
        <v>1323</v>
      </c>
      <c r="K473" s="10" t="n">
        <v>1953.7</v>
      </c>
      <c r="L473" s="8" t="n">
        <v>73247833.4</v>
      </c>
      <c r="M473" s="10" t="n">
        <v>0</v>
      </c>
      <c r="N473" s="8" t="n">
        <v>0</v>
      </c>
      <c r="O473" s="74"/>
      <c r="P473" s="74"/>
      <c r="Q473" s="74"/>
      <c r="R473" s="14" t="n">
        <f aca="false">IF(I473="Unbilled",0,M473)</f>
        <v>0</v>
      </c>
      <c r="S473" s="9" t="n">
        <f aca="false">IF(R473=0,0,IF(O473="Booked",N473,R473*V472))</f>
        <v>0</v>
      </c>
      <c r="T473" s="14" t="n">
        <f aca="false">IF(I473="Opening",K473,T472+K473-R473)</f>
        <v>6619.99</v>
      </c>
      <c r="U473" s="9" t="n">
        <f aca="false">IF(I473="Opening",L473,U472+L473-S473)</f>
        <v>248083429.883962</v>
      </c>
      <c r="V473" s="9" t="n">
        <f aca="false">IF(T473&gt;0,U473/T473,IF(I473="Opening",0,V472))</f>
        <v>37474.8949596544</v>
      </c>
      <c r="W473" s="14" t="n">
        <f aca="false">M473</f>
        <v>0</v>
      </c>
      <c r="X473" s="9" t="n">
        <f aca="false">IF(W473=0,0,IF(O473="Booked",N473,W473*AA472))</f>
        <v>0</v>
      </c>
      <c r="Y473" s="14" t="n">
        <f aca="false">IF(I473="Opening",K473,Y472+K473-W473)</f>
        <v>4856.69</v>
      </c>
      <c r="Z473" s="9" t="n">
        <f aca="false">IF(I473="Opening",L473,Z472+L473-X473)</f>
        <v>181569037.195338</v>
      </c>
      <c r="AA473" s="9" t="n">
        <f aca="false">IF(Y473&gt;0,Z473/Y473,IF(I473="Opening",0,AA472))</f>
        <v>37385.346232792</v>
      </c>
      <c r="AB473" s="9" t="n">
        <f aca="false">IF(AND(I473="DO",O473="MA"),S473-N473,0)</f>
        <v>0</v>
      </c>
      <c r="AC473" s="9" t="n">
        <f aca="false">IF(I473="DO",X473-S473,0)</f>
        <v>0</v>
      </c>
      <c r="AD473" s="23" t="n">
        <f aca="false">IF(B474&lt;&gt;B473,1,0)</f>
        <v>0</v>
      </c>
      <c r="AE473" s="14" t="n">
        <f aca="false">IF(I473="Opening",0,AE472+W473)</f>
        <v>7759.41</v>
      </c>
      <c r="AF473" s="14" t="n">
        <f aca="false">IF(I473="Opening",K473,AF472)</f>
        <v>0</v>
      </c>
      <c r="AG473" s="14" t="n">
        <f aca="false">AG472</f>
        <v>0</v>
      </c>
      <c r="AH473" s="14" t="n">
        <f aca="false">IF(W473=0,0,MAX(0,MIN(AE473,AF473)-MIN(AE473-W473,AF473)))</f>
        <v>0</v>
      </c>
      <c r="AI473" s="14" t="n">
        <f aca="false">IF(W473=0,0,MAX(0,MIN(AE473,AF473+AG473)-MAX(AE473-W473,AF473)))</f>
        <v>0</v>
      </c>
      <c r="AJ473" s="14" t="n">
        <f aca="false">W473-AH473-AI473</f>
        <v>0</v>
      </c>
      <c r="AK473" s="9" t="n">
        <f aca="false">IF(W473=0,0,X473*AH473/W473)</f>
        <v>0</v>
      </c>
      <c r="AL473" s="9" t="n">
        <f aca="false">IF(W473=0,0,X473*AI473/W473)</f>
        <v>0</v>
      </c>
      <c r="AM473" s="9" t="n">
        <f aca="false">X473-AK473-AL473</f>
        <v>0</v>
      </c>
    </row>
    <row r="474" customFormat="false" ht="15" hidden="false" customHeight="false" outlineLevel="0" collapsed="false">
      <c r="A474" s="6" t="n">
        <v>469</v>
      </c>
      <c r="B474" s="74" t="s">
        <v>990</v>
      </c>
      <c r="C474" s="53" t="str">
        <f aca="false">INDEX(I_Items!$C$5:$C$133,MATCH($B474,I_Items!$A$5:$A$133,0))</f>
        <v>RPA</v>
      </c>
      <c r="D474" s="53" t="str">
        <f aca="false">INDEX(I_Items!$D$5:$D$133,MATCH($B474,I_Items!$A$5:$A$133,0))</f>
        <v>Karkas</v>
      </c>
      <c r="E474" s="53" t="str">
        <f aca="false">INDEX(I_Items!$F$5:$F$133,MATCH($B474,I_Items!$A$5:$A$133,0))</f>
        <v>Fresh</v>
      </c>
      <c r="F474" s="53" t="str">
        <f aca="false">IF(INDEX(I_Items!$E$5:$E$133,MATCH($B474,I_Items!$A$5:$A$133,0))="","",INDEX(I_Items!$E$5:$E$133,MATCH($B474,I_Items!$A$5:$A$133,0)))</f>
        <v>Uk 1.3</v>
      </c>
      <c r="G474" s="76" t="n">
        <v>46262</v>
      </c>
      <c r="H474" s="23" t="n">
        <f aca="false">MONTH(G474)</f>
        <v>8</v>
      </c>
      <c r="I474" s="74" t="s">
        <v>2075</v>
      </c>
      <c r="J474" s="74" t="s">
        <v>2161</v>
      </c>
      <c r="K474" s="10" t="n">
        <v>0</v>
      </c>
      <c r="L474" s="8" t="n">
        <v>0</v>
      </c>
      <c r="M474" s="10" t="n">
        <v>1403.6</v>
      </c>
      <c r="N474" s="8" t="n">
        <v>52599762.62</v>
      </c>
      <c r="O474" s="74" t="s">
        <v>2077</v>
      </c>
      <c r="P474" s="74"/>
      <c r="Q474" s="74"/>
      <c r="R474" s="14" t="n">
        <f aca="false">IF(I474="Unbilled",0,M474)</f>
        <v>1403.6</v>
      </c>
      <c r="S474" s="9" t="n">
        <f aca="false">IF(R474=0,0,IF(O474="Booked",N474,R474*V473))</f>
        <v>52599762.5653709</v>
      </c>
      <c r="T474" s="14" t="n">
        <f aca="false">IF(I474="Opening",K474,T473+K474-R474)</f>
        <v>5216.39</v>
      </c>
      <c r="U474" s="9" t="n">
        <f aca="false">IF(I474="Opening",L474,U473+L474-S474)</f>
        <v>195483667.318592</v>
      </c>
      <c r="V474" s="9" t="n">
        <f aca="false">IF(T474&gt;0,U474/T474,IF(I474="Opening",0,V473))</f>
        <v>37474.8949596544</v>
      </c>
      <c r="W474" s="14" t="n">
        <f aca="false">M474</f>
        <v>1403.6</v>
      </c>
      <c r="X474" s="9" t="n">
        <f aca="false">IF(W474=0,0,IF(O474="Booked",N474,W474*AA473))</f>
        <v>52474071.9723468</v>
      </c>
      <c r="Y474" s="14" t="n">
        <f aca="false">IF(I474="Opening",K474,Y473+K474-W474)</f>
        <v>3453.09</v>
      </c>
      <c r="Z474" s="9" t="n">
        <f aca="false">IF(I474="Opening",L474,Z473+L474-X474)</f>
        <v>129094965.222992</v>
      </c>
      <c r="AA474" s="9" t="n">
        <f aca="false">IF(Y474&gt;0,Z474/Y474,IF(I474="Opening",0,AA473))</f>
        <v>37385.3462327919</v>
      </c>
      <c r="AB474" s="9" t="n">
        <f aca="false">IF(AND(I474="DO",O474="MA"),S474-N474,0)</f>
        <v>-0.0546291023492813</v>
      </c>
      <c r="AC474" s="9" t="n">
        <f aca="false">IF(I474="DO",X474-S474,0)</f>
        <v>-125690.59302412</v>
      </c>
      <c r="AD474" s="23" t="n">
        <f aca="false">IF(B475&lt;&gt;B474,1,0)</f>
        <v>0</v>
      </c>
      <c r="AE474" s="14" t="n">
        <f aca="false">IF(I474="Opening",0,AE473+W474)</f>
        <v>9163.01</v>
      </c>
      <c r="AF474" s="14" t="n">
        <f aca="false">IF(I474="Opening",K474,AF473)</f>
        <v>0</v>
      </c>
      <c r="AG474" s="14" t="n">
        <f aca="false">AG473</f>
        <v>0</v>
      </c>
      <c r="AH474" s="14" t="n">
        <f aca="false">IF(W474=0,0,MAX(0,MIN(AE474,AF474)-MIN(AE474-W474,AF474)))</f>
        <v>0</v>
      </c>
      <c r="AI474" s="14" t="n">
        <f aca="false">IF(W474=0,0,MAX(0,MIN(AE474,AF474+AG474)-MAX(AE474-W474,AF474)))</f>
        <v>0</v>
      </c>
      <c r="AJ474" s="14" t="n">
        <f aca="false">W474-AH474-AI474</f>
        <v>1403.6</v>
      </c>
      <c r="AK474" s="9" t="n">
        <f aca="false">IF(W474=0,0,X474*AH474/W474)</f>
        <v>0</v>
      </c>
      <c r="AL474" s="9" t="n">
        <f aca="false">IF(W474=0,0,X474*AI474/W474)</f>
        <v>0</v>
      </c>
      <c r="AM474" s="9" t="n">
        <f aca="false">X474-AK474-AL474</f>
        <v>52474071.9723468</v>
      </c>
    </row>
    <row r="475" customFormat="false" ht="15" hidden="false" customHeight="false" outlineLevel="0" collapsed="false">
      <c r="A475" s="6" t="n">
        <v>470</v>
      </c>
      <c r="B475" s="74" t="s">
        <v>990</v>
      </c>
      <c r="C475" s="53" t="str">
        <f aca="false">INDEX(I_Items!$C$5:$C$133,MATCH($B475,I_Items!$A$5:$A$133,0))</f>
        <v>RPA</v>
      </c>
      <c r="D475" s="53" t="str">
        <f aca="false">INDEX(I_Items!$D$5:$D$133,MATCH($B475,I_Items!$A$5:$A$133,0))</f>
        <v>Karkas</v>
      </c>
      <c r="E475" s="53" t="str">
        <f aca="false">INDEX(I_Items!$F$5:$F$133,MATCH($B475,I_Items!$A$5:$A$133,0))</f>
        <v>Fresh</v>
      </c>
      <c r="F475" s="53" t="str">
        <f aca="false">IF(INDEX(I_Items!$E$5:$E$133,MATCH($B475,I_Items!$A$5:$A$133,0))="","",INDEX(I_Items!$E$5:$E$133,MATCH($B475,I_Items!$A$5:$A$133,0)))</f>
        <v>Uk 1.3</v>
      </c>
      <c r="G475" s="76" t="n">
        <v>46263</v>
      </c>
      <c r="H475" s="23" t="n">
        <f aca="false">MONTH(G475)</f>
        <v>8</v>
      </c>
      <c r="I475" s="74" t="s">
        <v>2075</v>
      </c>
      <c r="J475" s="74" t="s">
        <v>2132</v>
      </c>
      <c r="K475" s="10" t="n">
        <v>0</v>
      </c>
      <c r="L475" s="8" t="n">
        <v>0</v>
      </c>
      <c r="M475" s="10" t="n">
        <v>1615.7</v>
      </c>
      <c r="N475" s="8" t="n">
        <v>60548187.85</v>
      </c>
      <c r="O475" s="74" t="s">
        <v>2077</v>
      </c>
      <c r="P475" s="74"/>
      <c r="Q475" s="74"/>
      <c r="R475" s="14" t="n">
        <f aca="false">IF(I475="Unbilled",0,M475)</f>
        <v>1615.7</v>
      </c>
      <c r="S475" s="9" t="n">
        <f aca="false">IF(R475=0,0,IF(O475="Booked",N475,R475*V474))</f>
        <v>60548187.7863136</v>
      </c>
      <c r="T475" s="14" t="n">
        <f aca="false">IF(I475="Opening",K475,T474+K475-R475)</f>
        <v>3600.69</v>
      </c>
      <c r="U475" s="9" t="n">
        <f aca="false">IF(I475="Opening",L475,U474+L475-S475)</f>
        <v>134935479.532278</v>
      </c>
      <c r="V475" s="9" t="n">
        <f aca="false">IF(T475&gt;0,U475/T475,IF(I475="Opening",0,V474))</f>
        <v>37474.8949596544</v>
      </c>
      <c r="W475" s="14" t="n">
        <f aca="false">M475</f>
        <v>1615.7</v>
      </c>
      <c r="X475" s="9" t="n">
        <f aca="false">IF(W475=0,0,IF(O475="Booked",N475,W475*AA474))</f>
        <v>60403503.9083219</v>
      </c>
      <c r="Y475" s="14" t="n">
        <f aca="false">IF(I475="Opening",K475,Y474+K475-W475)</f>
        <v>1837.39</v>
      </c>
      <c r="Z475" s="9" t="n">
        <f aca="false">IF(I475="Opening",L475,Z474+L475-X475)</f>
        <v>68691461.3146696</v>
      </c>
      <c r="AA475" s="9" t="n">
        <f aca="false">IF(Y475&gt;0,Z475/Y475,IF(I475="Opening",0,AA474))</f>
        <v>37385.3462327919</v>
      </c>
      <c r="AB475" s="9" t="n">
        <f aca="false">IF(AND(I475="DO",O475="MA"),S475-N475,0)</f>
        <v>-0.0636863932013512</v>
      </c>
      <c r="AC475" s="9" t="n">
        <f aca="false">IF(I475="DO",X475-S475,0)</f>
        <v>-144683.877991669</v>
      </c>
      <c r="AD475" s="23" t="n">
        <f aca="false">IF(B476&lt;&gt;B475,1,0)</f>
        <v>0</v>
      </c>
      <c r="AE475" s="14" t="n">
        <f aca="false">IF(I475="Opening",0,AE474+W475)</f>
        <v>10778.71</v>
      </c>
      <c r="AF475" s="14" t="n">
        <f aca="false">IF(I475="Opening",K475,AF474)</f>
        <v>0</v>
      </c>
      <c r="AG475" s="14" t="n">
        <f aca="false">AG474</f>
        <v>0</v>
      </c>
      <c r="AH475" s="14" t="n">
        <f aca="false">IF(W475=0,0,MAX(0,MIN(AE475,AF475)-MIN(AE475-W475,AF475)))</f>
        <v>0</v>
      </c>
      <c r="AI475" s="14" t="n">
        <f aca="false">IF(W475=0,0,MAX(0,MIN(AE475,AF475+AG475)-MAX(AE475-W475,AF475)))</f>
        <v>0</v>
      </c>
      <c r="AJ475" s="14" t="n">
        <f aca="false">W475-AH475-AI475</f>
        <v>1615.7</v>
      </c>
      <c r="AK475" s="9" t="n">
        <f aca="false">IF(W475=0,0,X475*AH475/W475)</f>
        <v>0</v>
      </c>
      <c r="AL475" s="9" t="n">
        <f aca="false">IF(W475=0,0,X475*AI475/W475)</f>
        <v>0</v>
      </c>
      <c r="AM475" s="9" t="n">
        <f aca="false">X475-AK475-AL475</f>
        <v>60403503.9083219</v>
      </c>
    </row>
    <row r="476" customFormat="false" ht="15" hidden="false" customHeight="false" outlineLevel="0" collapsed="false">
      <c r="A476" s="6" t="n">
        <v>471</v>
      </c>
      <c r="B476" s="74" t="s">
        <v>990</v>
      </c>
      <c r="C476" s="53" t="str">
        <f aca="false">INDEX(I_Items!$C$5:$C$133,MATCH($B476,I_Items!$A$5:$A$133,0))</f>
        <v>RPA</v>
      </c>
      <c r="D476" s="53" t="str">
        <f aca="false">INDEX(I_Items!$D$5:$D$133,MATCH($B476,I_Items!$A$5:$A$133,0))</f>
        <v>Karkas</v>
      </c>
      <c r="E476" s="53" t="str">
        <f aca="false">INDEX(I_Items!$F$5:$F$133,MATCH($B476,I_Items!$A$5:$A$133,0))</f>
        <v>Fresh</v>
      </c>
      <c r="F476" s="53" t="str">
        <f aca="false">IF(INDEX(I_Items!$E$5:$E$133,MATCH($B476,I_Items!$A$5:$A$133,0))="","",INDEX(I_Items!$E$5:$E$133,MATCH($B476,I_Items!$A$5:$A$133,0)))</f>
        <v>Uk 1.3</v>
      </c>
      <c r="G476" s="76" t="n">
        <v>46263</v>
      </c>
      <c r="H476" s="23" t="n">
        <f aca="false">MONTH(G476)</f>
        <v>8</v>
      </c>
      <c r="I476" s="74" t="s">
        <v>2075</v>
      </c>
      <c r="J476" s="74" t="s">
        <v>2132</v>
      </c>
      <c r="K476" s="10" t="n">
        <v>0</v>
      </c>
      <c r="L476" s="8" t="n">
        <v>0</v>
      </c>
      <c r="M476" s="10" t="n">
        <v>139.35</v>
      </c>
      <c r="N476" s="8" t="n">
        <v>5222126.62</v>
      </c>
      <c r="O476" s="74" t="s">
        <v>2077</v>
      </c>
      <c r="P476" s="74"/>
      <c r="Q476" s="74"/>
      <c r="R476" s="14" t="n">
        <f aca="false">IF(I476="Unbilled",0,M476)</f>
        <v>139.35</v>
      </c>
      <c r="S476" s="9" t="n">
        <f aca="false">IF(R476=0,0,IF(O476="Booked",N476,R476*V475))</f>
        <v>5222126.61262784</v>
      </c>
      <c r="T476" s="14" t="n">
        <f aca="false">IF(I476="Opening",K476,T475+K476-R476)</f>
        <v>3461.34</v>
      </c>
      <c r="U476" s="9" t="n">
        <f aca="false">IF(I476="Opening",L476,U475+L476-S476)</f>
        <v>129713352.91965</v>
      </c>
      <c r="V476" s="9" t="n">
        <f aca="false">IF(T476&gt;0,U476/T476,IF(I476="Opening",0,V475))</f>
        <v>37474.8949596544</v>
      </c>
      <c r="W476" s="14" t="n">
        <f aca="false">M476</f>
        <v>139.35</v>
      </c>
      <c r="X476" s="9" t="n">
        <f aca="false">IF(W476=0,0,IF(O476="Booked",N476,W476*AA475))</f>
        <v>5209647.99753956</v>
      </c>
      <c r="Y476" s="14" t="n">
        <f aca="false">IF(I476="Opening",K476,Y475+K476-W476)</f>
        <v>1698.04</v>
      </c>
      <c r="Z476" s="9" t="n">
        <f aca="false">IF(I476="Opening",L476,Z475+L476-X476)</f>
        <v>63481813.3171301</v>
      </c>
      <c r="AA476" s="9" t="n">
        <f aca="false">IF(Y476&gt;0,Z476/Y476,IF(I476="Opening",0,AA475))</f>
        <v>37385.3462327919</v>
      </c>
      <c r="AB476" s="9" t="n">
        <f aca="false">IF(AND(I476="DO",O476="MA"),S476-N476,0)</f>
        <v>-0.00737216137349606</v>
      </c>
      <c r="AC476" s="9" t="n">
        <f aca="false">IF(I476="DO",X476-S476,0)</f>
        <v>-12478.6150882822</v>
      </c>
      <c r="AD476" s="23" t="n">
        <f aca="false">IF(B477&lt;&gt;B476,1,0)</f>
        <v>0</v>
      </c>
      <c r="AE476" s="14" t="n">
        <f aca="false">IF(I476="Opening",0,AE475+W476)</f>
        <v>10918.06</v>
      </c>
      <c r="AF476" s="14" t="n">
        <f aca="false">IF(I476="Opening",K476,AF475)</f>
        <v>0</v>
      </c>
      <c r="AG476" s="14" t="n">
        <f aca="false">AG475</f>
        <v>0</v>
      </c>
      <c r="AH476" s="14" t="n">
        <f aca="false">IF(W476=0,0,MAX(0,MIN(AE476,AF476)-MIN(AE476-W476,AF476)))</f>
        <v>0</v>
      </c>
      <c r="AI476" s="14" t="n">
        <f aca="false">IF(W476=0,0,MAX(0,MIN(AE476,AF476+AG476)-MAX(AE476-W476,AF476)))</f>
        <v>0</v>
      </c>
      <c r="AJ476" s="14" t="n">
        <f aca="false">W476-AH476-AI476</f>
        <v>139.35</v>
      </c>
      <c r="AK476" s="9" t="n">
        <f aca="false">IF(W476=0,0,X476*AH476/W476)</f>
        <v>0</v>
      </c>
      <c r="AL476" s="9" t="n">
        <f aca="false">IF(W476=0,0,X476*AI476/W476)</f>
        <v>0</v>
      </c>
      <c r="AM476" s="9" t="n">
        <f aca="false">X476-AK476-AL476</f>
        <v>5209647.99753956</v>
      </c>
    </row>
    <row r="477" customFormat="false" ht="15" hidden="false" customHeight="false" outlineLevel="0" collapsed="false">
      <c r="A477" s="6" t="n">
        <v>472</v>
      </c>
      <c r="B477" s="74" t="s">
        <v>990</v>
      </c>
      <c r="C477" s="53" t="str">
        <f aca="false">INDEX(I_Items!$C$5:$C$133,MATCH($B477,I_Items!$A$5:$A$133,0))</f>
        <v>RPA</v>
      </c>
      <c r="D477" s="53" t="str">
        <f aca="false">INDEX(I_Items!$D$5:$D$133,MATCH($B477,I_Items!$A$5:$A$133,0))</f>
        <v>Karkas</v>
      </c>
      <c r="E477" s="53" t="str">
        <f aca="false">INDEX(I_Items!$F$5:$F$133,MATCH($B477,I_Items!$A$5:$A$133,0))</f>
        <v>Fresh</v>
      </c>
      <c r="F477" s="53" t="str">
        <f aca="false">IF(INDEX(I_Items!$E$5:$E$133,MATCH($B477,I_Items!$A$5:$A$133,0))="","",INDEX(I_Items!$E$5:$E$133,MATCH($B477,I_Items!$A$5:$A$133,0)))</f>
        <v>Uk 1.3</v>
      </c>
      <c r="G477" s="76" t="n">
        <v>46265</v>
      </c>
      <c r="H477" s="23" t="n">
        <f aca="false">MONTH(G477)</f>
        <v>8</v>
      </c>
      <c r="I477" s="74" t="s">
        <v>2074</v>
      </c>
      <c r="J477" s="74" t="s">
        <v>1326</v>
      </c>
      <c r="K477" s="10" t="n">
        <v>1736.8</v>
      </c>
      <c r="L477" s="8" t="n">
        <v>63994821.96</v>
      </c>
      <c r="M477" s="10" t="n">
        <v>0</v>
      </c>
      <c r="N477" s="8" t="n">
        <v>0</v>
      </c>
      <c r="O477" s="74"/>
      <c r="P477" s="74"/>
      <c r="Q477" s="74"/>
      <c r="R477" s="14" t="n">
        <f aca="false">IF(I477="Unbilled",0,M477)</f>
        <v>0</v>
      </c>
      <c r="S477" s="9" t="n">
        <f aca="false">IF(R477=0,0,IF(O477="Booked",N477,R477*V476))</f>
        <v>0</v>
      </c>
      <c r="T477" s="14" t="n">
        <f aca="false">IF(I477="Opening",K477,T476+K477-R477)</f>
        <v>5198.14</v>
      </c>
      <c r="U477" s="9" t="n">
        <f aca="false">IF(I477="Opening",L477,U476+L477-S477)</f>
        <v>193708174.87965</v>
      </c>
      <c r="V477" s="9" t="n">
        <f aca="false">IF(T477&gt;0,U477/T477,IF(I477="Opening",0,V476))</f>
        <v>37264.9014608399</v>
      </c>
      <c r="W477" s="14" t="n">
        <f aca="false">M477</f>
        <v>0</v>
      </c>
      <c r="X477" s="9" t="n">
        <f aca="false">IF(W477=0,0,IF(O477="Booked",N477,W477*AA476))</f>
        <v>0</v>
      </c>
      <c r="Y477" s="14" t="n">
        <f aca="false">IF(I477="Opening",K477,Y476+K477-W477)</f>
        <v>3434.84</v>
      </c>
      <c r="Z477" s="9" t="n">
        <f aca="false">IF(I477="Opening",L477,Z476+L477-X477)</f>
        <v>127476635.27713</v>
      </c>
      <c r="AA477" s="9" t="n">
        <f aca="false">IF(Y477&gt;0,Z477/Y477,IF(I477="Opening",0,AA476))</f>
        <v>37112.830663766</v>
      </c>
      <c r="AB477" s="9" t="n">
        <f aca="false">IF(AND(I477="DO",O477="MA"),S477-N477,0)</f>
        <v>0</v>
      </c>
      <c r="AC477" s="9" t="n">
        <f aca="false">IF(I477="DO",X477-S477,0)</f>
        <v>0</v>
      </c>
      <c r="AD477" s="23" t="n">
        <f aca="false">IF(B478&lt;&gt;B477,1,0)</f>
        <v>1</v>
      </c>
      <c r="AE477" s="14" t="n">
        <f aca="false">IF(I477="Opening",0,AE476+W477)</f>
        <v>10918.06</v>
      </c>
      <c r="AF477" s="14" t="n">
        <f aca="false">IF(I477="Opening",K477,AF476)</f>
        <v>0</v>
      </c>
      <c r="AG477" s="14" t="n">
        <f aca="false">AG476</f>
        <v>0</v>
      </c>
      <c r="AH477" s="14" t="n">
        <f aca="false">IF(W477=0,0,MAX(0,MIN(AE477,AF477)-MIN(AE477-W477,AF477)))</f>
        <v>0</v>
      </c>
      <c r="AI477" s="14" t="n">
        <f aca="false">IF(W477=0,0,MAX(0,MIN(AE477,AF477+AG477)-MAX(AE477-W477,AF477)))</f>
        <v>0</v>
      </c>
      <c r="AJ477" s="14" t="n">
        <f aca="false">W477-AH477-AI477</f>
        <v>0</v>
      </c>
      <c r="AK477" s="9" t="n">
        <f aca="false">IF(W477=0,0,X477*AH477/W477)</f>
        <v>0</v>
      </c>
      <c r="AL477" s="9" t="n">
        <f aca="false">IF(W477=0,0,X477*AI477/W477)</f>
        <v>0</v>
      </c>
      <c r="AM477" s="9" t="n">
        <f aca="false">X477-AK477-AL477</f>
        <v>0</v>
      </c>
    </row>
    <row r="478" customFormat="false" ht="15" hidden="false" customHeight="false" outlineLevel="0" collapsed="false">
      <c r="A478" s="6" t="n">
        <v>473</v>
      </c>
      <c r="B478" s="74" t="s">
        <v>991</v>
      </c>
      <c r="C478" s="53" t="str">
        <f aca="false">INDEX(I_Items!$C$5:$C$133,MATCH($B478,I_Items!$A$5:$A$133,0))</f>
        <v>RPA</v>
      </c>
      <c r="D478" s="53" t="str">
        <f aca="false">INDEX(I_Items!$D$5:$D$133,MATCH($B478,I_Items!$A$5:$A$133,0))</f>
        <v>Karkas</v>
      </c>
      <c r="E478" s="53" t="str">
        <f aca="false">INDEX(I_Items!$F$5:$F$133,MATCH($B478,I_Items!$A$5:$A$133,0))</f>
        <v>Frozen</v>
      </c>
      <c r="F478" s="53" t="str">
        <f aca="false">IF(INDEX(I_Items!$E$5:$E$133,MATCH($B478,I_Items!$A$5:$A$133,0))="","",INDEX(I_Items!$E$5:$E$133,MATCH($B478,I_Items!$A$5:$A$133,0)))</f>
        <v>Uk 1.3</v>
      </c>
      <c r="G478" s="76" t="n">
        <v>46204</v>
      </c>
      <c r="H478" s="23" t="n">
        <f aca="false">MONTH(G478)</f>
        <v>7</v>
      </c>
      <c r="I478" s="74" t="s">
        <v>2072</v>
      </c>
      <c r="J478" s="74" t="s">
        <v>2073</v>
      </c>
      <c r="K478" s="10" t="n">
        <v>84.9</v>
      </c>
      <c r="L478" s="8" t="n">
        <v>2065392.9</v>
      </c>
      <c r="M478" s="10" t="n">
        <v>0</v>
      </c>
      <c r="N478" s="8" t="n">
        <v>0</v>
      </c>
      <c r="O478" s="74"/>
      <c r="P478" s="74"/>
      <c r="Q478" s="74"/>
      <c r="R478" s="14" t="n">
        <f aca="false">IF(I478="Unbilled",0,M478)</f>
        <v>0</v>
      </c>
      <c r="S478" s="9" t="n">
        <f aca="false">IF(R478=0,0,IF(O478="Booked",N478,R478*V477))</f>
        <v>0</v>
      </c>
      <c r="T478" s="14" t="n">
        <f aca="false">IF(I478="Opening",K478,T477+K478-R478)</f>
        <v>84.9</v>
      </c>
      <c r="U478" s="9" t="n">
        <f aca="false">IF(I478="Opening",L478,U477+L478-S478)</f>
        <v>2065392.9</v>
      </c>
      <c r="V478" s="9" t="n">
        <f aca="false">IF(T478&gt;0,U478/T478,IF(I478="Opening",0,V477))</f>
        <v>24327.3604240283</v>
      </c>
      <c r="W478" s="14" t="n">
        <f aca="false">M478</f>
        <v>0</v>
      </c>
      <c r="X478" s="9" t="n">
        <f aca="false">IF(W478=0,0,IF(O478="Booked",N478,W478*AA477))</f>
        <v>0</v>
      </c>
      <c r="Y478" s="14" t="n">
        <f aca="false">IF(I478="Opening",K478,Y477+K478-W478)</f>
        <v>84.9</v>
      </c>
      <c r="Z478" s="9" t="n">
        <f aca="false">IF(I478="Opening",L478,Z477+L478-X478)</f>
        <v>2065392.9</v>
      </c>
      <c r="AA478" s="9" t="n">
        <f aca="false">IF(Y478&gt;0,Z478/Y478,IF(I478="Opening",0,AA477))</f>
        <v>24327.3604240283</v>
      </c>
      <c r="AB478" s="9" t="n">
        <f aca="false">IF(AND(I478="DO",O478="MA"),S478-N478,0)</f>
        <v>0</v>
      </c>
      <c r="AC478" s="9" t="n">
        <f aca="false">IF(I478="DO",X478-S478,0)</f>
        <v>0</v>
      </c>
      <c r="AD478" s="23" t="n">
        <f aca="false">IF(B479&lt;&gt;B478,1,0)</f>
        <v>0</v>
      </c>
      <c r="AE478" s="14" t="n">
        <f aca="false">IF(I478="Opening",0,AE477+W478)</f>
        <v>0</v>
      </c>
      <c r="AF478" s="14" t="n">
        <f aca="false">IF(I478="Opening",K478,AF477)</f>
        <v>84.9</v>
      </c>
      <c r="AG478" s="14" t="n">
        <f aca="false">SUMIFS($K$6:$K$1110,$B$6:$B$1110,B478,$H$6:$H$1110,7,$I$6:$I$1110,"&lt;&gt;Opening")</f>
        <v>68.7</v>
      </c>
      <c r="AH478" s="14" t="n">
        <f aca="false">IF(W478=0,0,MAX(0,MIN(AE478,AF478)-MIN(AE478-W478,AF478)))</f>
        <v>0</v>
      </c>
      <c r="AI478" s="14" t="n">
        <f aca="false">IF(W478=0,0,MAX(0,MIN(AE478,AF478+AG478)-MAX(AE478-W478,AF478)))</f>
        <v>0</v>
      </c>
      <c r="AJ478" s="14" t="n">
        <f aca="false">W478-AH478-AI478</f>
        <v>0</v>
      </c>
      <c r="AK478" s="9" t="n">
        <f aca="false">IF(W478=0,0,X478*AH478/W478)</f>
        <v>0</v>
      </c>
      <c r="AL478" s="9" t="n">
        <f aca="false">IF(W478=0,0,X478*AI478/W478)</f>
        <v>0</v>
      </c>
      <c r="AM478" s="9" t="n">
        <f aca="false">X478-AK478-AL478</f>
        <v>0</v>
      </c>
    </row>
    <row r="479" customFormat="false" ht="15" hidden="false" customHeight="false" outlineLevel="0" collapsed="false">
      <c r="A479" s="6" t="n">
        <v>474</v>
      </c>
      <c r="B479" s="74" t="s">
        <v>991</v>
      </c>
      <c r="C479" s="53" t="str">
        <f aca="false">INDEX(I_Items!$C$5:$C$133,MATCH($B479,I_Items!$A$5:$A$133,0))</f>
        <v>RPA</v>
      </c>
      <c r="D479" s="53" t="str">
        <f aca="false">INDEX(I_Items!$D$5:$D$133,MATCH($B479,I_Items!$A$5:$A$133,0))</f>
        <v>Karkas</v>
      </c>
      <c r="E479" s="53" t="str">
        <f aca="false">INDEX(I_Items!$F$5:$F$133,MATCH($B479,I_Items!$A$5:$A$133,0))</f>
        <v>Frozen</v>
      </c>
      <c r="F479" s="53" t="str">
        <f aca="false">IF(INDEX(I_Items!$E$5:$E$133,MATCH($B479,I_Items!$A$5:$A$133,0))="","",INDEX(I_Items!$E$5:$E$133,MATCH($B479,I_Items!$A$5:$A$133,0)))</f>
        <v>Uk 1.3</v>
      </c>
      <c r="G479" s="76" t="n">
        <v>46204</v>
      </c>
      <c r="H479" s="23" t="n">
        <f aca="false">MONTH(G479)</f>
        <v>7</v>
      </c>
      <c r="I479" s="74" t="s">
        <v>2117</v>
      </c>
      <c r="J479" s="74" t="s">
        <v>2162</v>
      </c>
      <c r="K479" s="10" t="n">
        <v>68.7</v>
      </c>
      <c r="L479" s="8" t="n">
        <v>1779043.51</v>
      </c>
      <c r="M479" s="10" t="n">
        <v>0</v>
      </c>
      <c r="N479" s="8" t="n">
        <v>0</v>
      </c>
      <c r="O479" s="74" t="s">
        <v>2119</v>
      </c>
      <c r="P479" s="74"/>
      <c r="Q479" s="74"/>
      <c r="R479" s="14" t="n">
        <f aca="false">IF(I479="Unbilled",0,M479)</f>
        <v>0</v>
      </c>
      <c r="S479" s="9" t="n">
        <f aca="false">IF(R479=0,0,IF(O479="Booked",N479,R479*V478))</f>
        <v>0</v>
      </c>
      <c r="T479" s="14" t="n">
        <f aca="false">IF(I479="Opening",K479,T478+K479-R479)</f>
        <v>153.6</v>
      </c>
      <c r="U479" s="9" t="n">
        <f aca="false">IF(I479="Opening",L479,U478+L479-S479)</f>
        <v>3844436.41</v>
      </c>
      <c r="V479" s="9" t="n">
        <f aca="false">IF(T479&gt;0,U479/T479,IF(I479="Opening",0,V478))</f>
        <v>25028.8828776042</v>
      </c>
      <c r="W479" s="14" t="n">
        <f aca="false">M479</f>
        <v>0</v>
      </c>
      <c r="X479" s="9" t="n">
        <f aca="false">IF(W479=0,0,IF(O479="Booked",N479,W479*AA478))</f>
        <v>0</v>
      </c>
      <c r="Y479" s="14" t="n">
        <f aca="false">IF(I479="Opening",K479,Y478+K479-W479)</f>
        <v>153.6</v>
      </c>
      <c r="Z479" s="9" t="n">
        <f aca="false">IF(I479="Opening",L479,Z478+L479-X479)</f>
        <v>3844436.41</v>
      </c>
      <c r="AA479" s="9" t="n">
        <f aca="false">IF(Y479&gt;0,Z479/Y479,IF(I479="Opening",0,AA478))</f>
        <v>25028.8828776042</v>
      </c>
      <c r="AB479" s="9" t="n">
        <f aca="false">IF(AND(I479="DO",O479="MA"),S479-N479,0)</f>
        <v>0</v>
      </c>
      <c r="AC479" s="9" t="n">
        <f aca="false">IF(I479="DO",X479-S479,0)</f>
        <v>0</v>
      </c>
      <c r="AD479" s="23" t="n">
        <f aca="false">IF(B480&lt;&gt;B479,1,0)</f>
        <v>0</v>
      </c>
      <c r="AE479" s="14" t="n">
        <f aca="false">IF(I479="Opening",0,AE478+W479)</f>
        <v>0</v>
      </c>
      <c r="AF479" s="14" t="n">
        <f aca="false">IF(I479="Opening",K479,AF478)</f>
        <v>84.9</v>
      </c>
      <c r="AG479" s="14" t="n">
        <f aca="false">AG478</f>
        <v>68.7</v>
      </c>
      <c r="AH479" s="14" t="n">
        <f aca="false">IF(W479=0,0,MAX(0,MIN(AE479,AF479)-MIN(AE479-W479,AF479)))</f>
        <v>0</v>
      </c>
      <c r="AI479" s="14" t="n">
        <f aca="false">IF(W479=0,0,MAX(0,MIN(AE479,AF479+AG479)-MAX(AE479-W479,AF479)))</f>
        <v>0</v>
      </c>
      <c r="AJ479" s="14" t="n">
        <f aca="false">W479-AH479-AI479</f>
        <v>0</v>
      </c>
      <c r="AK479" s="9" t="n">
        <f aca="false">IF(W479=0,0,X479*AH479/W479)</f>
        <v>0</v>
      </c>
      <c r="AL479" s="9" t="n">
        <f aca="false">IF(W479=0,0,X479*AI479/W479)</f>
        <v>0</v>
      </c>
      <c r="AM479" s="9" t="n">
        <f aca="false">X479-AK479-AL479</f>
        <v>0</v>
      </c>
    </row>
    <row r="480" customFormat="false" ht="15" hidden="false" customHeight="false" outlineLevel="0" collapsed="false">
      <c r="A480" s="6" t="n">
        <v>475</v>
      </c>
      <c r="B480" s="74" t="s">
        <v>991</v>
      </c>
      <c r="C480" s="53" t="str">
        <f aca="false">INDEX(I_Items!$C$5:$C$133,MATCH($B480,I_Items!$A$5:$A$133,0))</f>
        <v>RPA</v>
      </c>
      <c r="D480" s="53" t="str">
        <f aca="false">INDEX(I_Items!$D$5:$D$133,MATCH($B480,I_Items!$A$5:$A$133,0))</f>
        <v>Karkas</v>
      </c>
      <c r="E480" s="53" t="str">
        <f aca="false">INDEX(I_Items!$F$5:$F$133,MATCH($B480,I_Items!$A$5:$A$133,0))</f>
        <v>Frozen</v>
      </c>
      <c r="F480" s="53" t="str">
        <f aca="false">IF(INDEX(I_Items!$E$5:$E$133,MATCH($B480,I_Items!$A$5:$A$133,0))="","",INDEX(I_Items!$E$5:$E$133,MATCH($B480,I_Items!$A$5:$A$133,0)))</f>
        <v>Uk 1.3</v>
      </c>
      <c r="G480" s="76" t="n">
        <v>46244</v>
      </c>
      <c r="H480" s="23" t="n">
        <f aca="false">MONTH(G480)</f>
        <v>8</v>
      </c>
      <c r="I480" s="74" t="s">
        <v>2074</v>
      </c>
      <c r="J480" s="74" t="s">
        <v>1294</v>
      </c>
      <c r="K480" s="10" t="n">
        <v>51.3</v>
      </c>
      <c r="L480" s="8" t="n">
        <v>1673229.98</v>
      </c>
      <c r="M480" s="10" t="n">
        <v>0</v>
      </c>
      <c r="N480" s="8" t="n">
        <v>0</v>
      </c>
      <c r="O480" s="74"/>
      <c r="P480" s="74"/>
      <c r="Q480" s="74"/>
      <c r="R480" s="14" t="n">
        <f aca="false">IF(I480="Unbilled",0,M480)</f>
        <v>0</v>
      </c>
      <c r="S480" s="9" t="n">
        <f aca="false">IF(R480=0,0,IF(O480="Booked",N480,R480*V479))</f>
        <v>0</v>
      </c>
      <c r="T480" s="14" t="n">
        <f aca="false">IF(I480="Opening",K480,T479+K480-R480)</f>
        <v>204.9</v>
      </c>
      <c r="U480" s="9" t="n">
        <f aca="false">IF(I480="Opening",L480,U479+L480-S480)</f>
        <v>5517666.39</v>
      </c>
      <c r="V480" s="9" t="n">
        <f aca="false">IF(T480&gt;0,U480/T480,IF(I480="Opening",0,V479))</f>
        <v>26928.5816983895</v>
      </c>
      <c r="W480" s="14" t="n">
        <f aca="false">M480</f>
        <v>0</v>
      </c>
      <c r="X480" s="9" t="n">
        <f aca="false">IF(W480=0,0,IF(O480="Booked",N480,W480*AA479))</f>
        <v>0</v>
      </c>
      <c r="Y480" s="14" t="n">
        <f aca="false">IF(I480="Opening",K480,Y479+K480-W480)</f>
        <v>204.9</v>
      </c>
      <c r="Z480" s="9" t="n">
        <f aca="false">IF(I480="Opening",L480,Z479+L480-X480)</f>
        <v>5517666.39</v>
      </c>
      <c r="AA480" s="9" t="n">
        <f aca="false">IF(Y480&gt;0,Z480/Y480,IF(I480="Opening",0,AA479))</f>
        <v>26928.5816983895</v>
      </c>
      <c r="AB480" s="9" t="n">
        <f aca="false">IF(AND(I480="DO",O480="MA"),S480-N480,0)</f>
        <v>0</v>
      </c>
      <c r="AC480" s="9" t="n">
        <f aca="false">IF(I480="DO",X480-S480,0)</f>
        <v>0</v>
      </c>
      <c r="AD480" s="23" t="n">
        <f aca="false">IF(B481&lt;&gt;B480,1,0)</f>
        <v>0</v>
      </c>
      <c r="AE480" s="14" t="n">
        <f aca="false">IF(I480="Opening",0,AE479+W480)</f>
        <v>0</v>
      </c>
      <c r="AF480" s="14" t="n">
        <f aca="false">IF(I480="Opening",K480,AF479)</f>
        <v>84.9</v>
      </c>
      <c r="AG480" s="14" t="n">
        <f aca="false">AG479</f>
        <v>68.7</v>
      </c>
      <c r="AH480" s="14" t="n">
        <f aca="false">IF(W480=0,0,MAX(0,MIN(AE480,AF480)-MIN(AE480-W480,AF480)))</f>
        <v>0</v>
      </c>
      <c r="AI480" s="14" t="n">
        <f aca="false">IF(W480=0,0,MAX(0,MIN(AE480,AF480+AG480)-MAX(AE480-W480,AF480)))</f>
        <v>0</v>
      </c>
      <c r="AJ480" s="14" t="n">
        <f aca="false">W480-AH480-AI480</f>
        <v>0</v>
      </c>
      <c r="AK480" s="9" t="n">
        <f aca="false">IF(W480=0,0,X480*AH480/W480)</f>
        <v>0</v>
      </c>
      <c r="AL480" s="9" t="n">
        <f aca="false">IF(W480=0,0,X480*AI480/W480)</f>
        <v>0</v>
      </c>
      <c r="AM480" s="9" t="n">
        <f aca="false">X480-AK480-AL480</f>
        <v>0</v>
      </c>
    </row>
    <row r="481" customFormat="false" ht="15" hidden="false" customHeight="false" outlineLevel="0" collapsed="false">
      <c r="A481" s="6" t="n">
        <v>476</v>
      </c>
      <c r="B481" s="74" t="s">
        <v>991</v>
      </c>
      <c r="C481" s="53" t="str">
        <f aca="false">INDEX(I_Items!$C$5:$C$133,MATCH($B481,I_Items!$A$5:$A$133,0))</f>
        <v>RPA</v>
      </c>
      <c r="D481" s="53" t="str">
        <f aca="false">INDEX(I_Items!$D$5:$D$133,MATCH($B481,I_Items!$A$5:$A$133,0))</f>
        <v>Karkas</v>
      </c>
      <c r="E481" s="53" t="str">
        <f aca="false">INDEX(I_Items!$F$5:$F$133,MATCH($B481,I_Items!$A$5:$A$133,0))</f>
        <v>Frozen</v>
      </c>
      <c r="F481" s="53" t="str">
        <f aca="false">IF(INDEX(I_Items!$E$5:$E$133,MATCH($B481,I_Items!$A$5:$A$133,0))="","",INDEX(I_Items!$E$5:$E$133,MATCH($B481,I_Items!$A$5:$A$133,0)))</f>
        <v>Uk 1.3</v>
      </c>
      <c r="G481" s="76" t="n">
        <v>46244</v>
      </c>
      <c r="H481" s="23" t="n">
        <f aca="false">MONTH(G481)</f>
        <v>8</v>
      </c>
      <c r="I481" s="74" t="s">
        <v>2074</v>
      </c>
      <c r="J481" s="74" t="s">
        <v>1298</v>
      </c>
      <c r="K481" s="10" t="n">
        <v>34.3</v>
      </c>
      <c r="L481" s="8" t="n">
        <v>1182858.38</v>
      </c>
      <c r="M481" s="10" t="n">
        <v>0</v>
      </c>
      <c r="N481" s="8" t="n">
        <v>0</v>
      </c>
      <c r="O481" s="74"/>
      <c r="P481" s="74"/>
      <c r="Q481" s="74"/>
      <c r="R481" s="14" t="n">
        <f aca="false">IF(I481="Unbilled",0,M481)</f>
        <v>0</v>
      </c>
      <c r="S481" s="9" t="n">
        <f aca="false">IF(R481=0,0,IF(O481="Booked",N481,R481*V480))</f>
        <v>0</v>
      </c>
      <c r="T481" s="14" t="n">
        <f aca="false">IF(I481="Opening",K481,T480+K481-R481)</f>
        <v>239.2</v>
      </c>
      <c r="U481" s="9" t="n">
        <f aca="false">IF(I481="Opening",L481,U480+L481-S481)</f>
        <v>6700524.77</v>
      </c>
      <c r="V481" s="9" t="n">
        <f aca="false">IF(T481&gt;0,U481/T481,IF(I481="Opening",0,V480))</f>
        <v>28012.2272993311</v>
      </c>
      <c r="W481" s="14" t="n">
        <f aca="false">M481</f>
        <v>0</v>
      </c>
      <c r="X481" s="9" t="n">
        <f aca="false">IF(W481=0,0,IF(O481="Booked",N481,W481*AA480))</f>
        <v>0</v>
      </c>
      <c r="Y481" s="14" t="n">
        <f aca="false">IF(I481="Opening",K481,Y480+K481-W481)</f>
        <v>239.2</v>
      </c>
      <c r="Z481" s="9" t="n">
        <f aca="false">IF(I481="Opening",L481,Z480+L481-X481)</f>
        <v>6700524.77</v>
      </c>
      <c r="AA481" s="9" t="n">
        <f aca="false">IF(Y481&gt;0,Z481/Y481,IF(I481="Opening",0,AA480))</f>
        <v>28012.2272993311</v>
      </c>
      <c r="AB481" s="9" t="n">
        <f aca="false">IF(AND(I481="DO",O481="MA"),S481-N481,0)</f>
        <v>0</v>
      </c>
      <c r="AC481" s="9" t="n">
        <f aca="false">IF(I481="DO",X481-S481,0)</f>
        <v>0</v>
      </c>
      <c r="AD481" s="23" t="n">
        <f aca="false">IF(B482&lt;&gt;B481,1,0)</f>
        <v>0</v>
      </c>
      <c r="AE481" s="14" t="n">
        <f aca="false">IF(I481="Opening",0,AE480+W481)</f>
        <v>0</v>
      </c>
      <c r="AF481" s="14" t="n">
        <f aca="false">IF(I481="Opening",K481,AF480)</f>
        <v>84.9</v>
      </c>
      <c r="AG481" s="14" t="n">
        <f aca="false">AG480</f>
        <v>68.7</v>
      </c>
      <c r="AH481" s="14" t="n">
        <f aca="false">IF(W481=0,0,MAX(0,MIN(AE481,AF481)-MIN(AE481-W481,AF481)))</f>
        <v>0</v>
      </c>
      <c r="AI481" s="14" t="n">
        <f aca="false">IF(W481=0,0,MAX(0,MIN(AE481,AF481+AG481)-MAX(AE481-W481,AF481)))</f>
        <v>0</v>
      </c>
      <c r="AJ481" s="14" t="n">
        <f aca="false">W481-AH481-AI481</f>
        <v>0</v>
      </c>
      <c r="AK481" s="9" t="n">
        <f aca="false">IF(W481=0,0,X481*AH481/W481)</f>
        <v>0</v>
      </c>
      <c r="AL481" s="9" t="n">
        <f aca="false">IF(W481=0,0,X481*AI481/W481)</f>
        <v>0</v>
      </c>
      <c r="AM481" s="9" t="n">
        <f aca="false">X481-AK481-AL481</f>
        <v>0</v>
      </c>
    </row>
    <row r="482" customFormat="false" ht="15" hidden="false" customHeight="false" outlineLevel="0" collapsed="false">
      <c r="A482" s="6" t="n">
        <v>477</v>
      </c>
      <c r="B482" s="74" t="s">
        <v>991</v>
      </c>
      <c r="C482" s="53" t="str">
        <f aca="false">INDEX(I_Items!$C$5:$C$133,MATCH($B482,I_Items!$A$5:$A$133,0))</f>
        <v>RPA</v>
      </c>
      <c r="D482" s="53" t="str">
        <f aca="false">INDEX(I_Items!$D$5:$D$133,MATCH($B482,I_Items!$A$5:$A$133,0))</f>
        <v>Karkas</v>
      </c>
      <c r="E482" s="53" t="str">
        <f aca="false">INDEX(I_Items!$F$5:$F$133,MATCH($B482,I_Items!$A$5:$A$133,0))</f>
        <v>Frozen</v>
      </c>
      <c r="F482" s="53" t="str">
        <f aca="false">IF(INDEX(I_Items!$E$5:$E$133,MATCH($B482,I_Items!$A$5:$A$133,0))="","",INDEX(I_Items!$E$5:$E$133,MATCH($B482,I_Items!$A$5:$A$133,0)))</f>
        <v>Uk 1.3</v>
      </c>
      <c r="G482" s="76" t="n">
        <v>46246</v>
      </c>
      <c r="H482" s="23" t="n">
        <f aca="false">MONTH(G482)</f>
        <v>8</v>
      </c>
      <c r="I482" s="74" t="s">
        <v>2075</v>
      </c>
      <c r="J482" s="74" t="s">
        <v>2125</v>
      </c>
      <c r="K482" s="10" t="n">
        <v>0</v>
      </c>
      <c r="L482" s="8" t="n">
        <v>0</v>
      </c>
      <c r="M482" s="10" t="n">
        <v>15</v>
      </c>
      <c r="N482" s="8" t="n">
        <v>420183.41</v>
      </c>
      <c r="O482" s="74" t="s">
        <v>2077</v>
      </c>
      <c r="P482" s="74"/>
      <c r="Q482" s="74"/>
      <c r="R482" s="14" t="n">
        <f aca="false">IF(I482="Unbilled",0,M482)</f>
        <v>15</v>
      </c>
      <c r="S482" s="9" t="n">
        <f aca="false">IF(R482=0,0,IF(O482="Booked",N482,R482*V481))</f>
        <v>420183.409489967</v>
      </c>
      <c r="T482" s="14" t="n">
        <f aca="false">IF(I482="Opening",K482,T481+K482-R482)</f>
        <v>224.2</v>
      </c>
      <c r="U482" s="9" t="n">
        <f aca="false">IF(I482="Opening",L482,U481+L482-S482)</f>
        <v>6280341.36051003</v>
      </c>
      <c r="V482" s="9" t="n">
        <f aca="false">IF(T482&gt;0,U482/T482,IF(I482="Opening",0,V481))</f>
        <v>28012.2272993311</v>
      </c>
      <c r="W482" s="14" t="n">
        <f aca="false">M482</f>
        <v>15</v>
      </c>
      <c r="X482" s="9" t="n">
        <f aca="false">IF(W482=0,0,IF(O482="Booked",N482,W482*AA481))</f>
        <v>420183.409489967</v>
      </c>
      <c r="Y482" s="14" t="n">
        <f aca="false">IF(I482="Opening",K482,Y481+K482-W482)</f>
        <v>224.2</v>
      </c>
      <c r="Z482" s="9" t="n">
        <f aca="false">IF(I482="Opening",L482,Z481+L482-X482)</f>
        <v>6280341.36051003</v>
      </c>
      <c r="AA482" s="9" t="n">
        <f aca="false">IF(Y482&gt;0,Z482/Y482,IF(I482="Opening",0,AA481))</f>
        <v>28012.2272993311</v>
      </c>
      <c r="AB482" s="9" t="n">
        <f aca="false">IF(AND(I482="DO",O482="MA"),S482-N482,0)</f>
        <v>-0.000510033452883363</v>
      </c>
      <c r="AC482" s="9" t="n">
        <f aca="false">IF(I482="DO",X482-S482,0)</f>
        <v>0</v>
      </c>
      <c r="AD482" s="23" t="n">
        <f aca="false">IF(B483&lt;&gt;B482,1,0)</f>
        <v>0</v>
      </c>
      <c r="AE482" s="14" t="n">
        <f aca="false">IF(I482="Opening",0,AE481+W482)</f>
        <v>15</v>
      </c>
      <c r="AF482" s="14" t="n">
        <f aca="false">IF(I482="Opening",K482,AF481)</f>
        <v>84.9</v>
      </c>
      <c r="AG482" s="14" t="n">
        <f aca="false">AG481</f>
        <v>68.7</v>
      </c>
      <c r="AH482" s="14" t="n">
        <f aca="false">IF(W482=0,0,MAX(0,MIN(AE482,AF482)-MIN(AE482-W482,AF482)))</f>
        <v>15</v>
      </c>
      <c r="AI482" s="14" t="n">
        <f aca="false">IF(W482=0,0,MAX(0,MIN(AE482,AF482+AG482)-MAX(AE482-W482,AF482)))</f>
        <v>0</v>
      </c>
      <c r="AJ482" s="14" t="n">
        <f aca="false">W482-AH482-AI482</f>
        <v>0</v>
      </c>
      <c r="AK482" s="9" t="n">
        <f aca="false">IF(W482=0,0,X482*AH482/W482)</f>
        <v>420183.409489967</v>
      </c>
      <c r="AL482" s="9" t="n">
        <f aca="false">IF(W482=0,0,X482*AI482/W482)</f>
        <v>0</v>
      </c>
      <c r="AM482" s="9" t="n">
        <f aca="false">X482-AK482-AL482</f>
        <v>0</v>
      </c>
    </row>
    <row r="483" customFormat="false" ht="15" hidden="false" customHeight="false" outlineLevel="0" collapsed="false">
      <c r="A483" s="6" t="n">
        <v>478</v>
      </c>
      <c r="B483" s="74" t="s">
        <v>991</v>
      </c>
      <c r="C483" s="53" t="str">
        <f aca="false">INDEX(I_Items!$C$5:$C$133,MATCH($B483,I_Items!$A$5:$A$133,0))</f>
        <v>RPA</v>
      </c>
      <c r="D483" s="53" t="str">
        <f aca="false">INDEX(I_Items!$D$5:$D$133,MATCH($B483,I_Items!$A$5:$A$133,0))</f>
        <v>Karkas</v>
      </c>
      <c r="E483" s="53" t="str">
        <f aca="false">INDEX(I_Items!$F$5:$F$133,MATCH($B483,I_Items!$A$5:$A$133,0))</f>
        <v>Frozen</v>
      </c>
      <c r="F483" s="53" t="str">
        <f aca="false">IF(INDEX(I_Items!$E$5:$E$133,MATCH($B483,I_Items!$A$5:$A$133,0))="","",INDEX(I_Items!$E$5:$E$133,MATCH($B483,I_Items!$A$5:$A$133,0)))</f>
        <v>Uk 1.3</v>
      </c>
      <c r="G483" s="76" t="n">
        <v>46248</v>
      </c>
      <c r="H483" s="23" t="n">
        <f aca="false">MONTH(G483)</f>
        <v>8</v>
      </c>
      <c r="I483" s="74" t="s">
        <v>2074</v>
      </c>
      <c r="J483" s="74" t="s">
        <v>1302</v>
      </c>
      <c r="K483" s="10" t="n">
        <v>156.2</v>
      </c>
      <c r="L483" s="8" t="n">
        <v>5436589.17</v>
      </c>
      <c r="M483" s="10" t="n">
        <v>0</v>
      </c>
      <c r="N483" s="8" t="n">
        <v>0</v>
      </c>
      <c r="O483" s="74"/>
      <c r="P483" s="74"/>
      <c r="Q483" s="74"/>
      <c r="R483" s="14" t="n">
        <f aca="false">IF(I483="Unbilled",0,M483)</f>
        <v>0</v>
      </c>
      <c r="S483" s="9" t="n">
        <f aca="false">IF(R483=0,0,IF(O483="Booked",N483,R483*V482))</f>
        <v>0</v>
      </c>
      <c r="T483" s="14" t="n">
        <f aca="false">IF(I483="Opening",K483,T482+K483-R483)</f>
        <v>380.4</v>
      </c>
      <c r="U483" s="9" t="n">
        <f aca="false">IF(I483="Opening",L483,U482+L483-S483)</f>
        <v>11716930.53051</v>
      </c>
      <c r="V483" s="9" t="n">
        <f aca="false">IF(T483&gt;0,U483/T483,IF(I483="Opening",0,V482))</f>
        <v>30801.604969795</v>
      </c>
      <c r="W483" s="14" t="n">
        <f aca="false">M483</f>
        <v>0</v>
      </c>
      <c r="X483" s="9" t="n">
        <f aca="false">IF(W483=0,0,IF(O483="Booked",N483,W483*AA482))</f>
        <v>0</v>
      </c>
      <c r="Y483" s="14" t="n">
        <f aca="false">IF(I483="Opening",K483,Y482+K483-W483)</f>
        <v>380.4</v>
      </c>
      <c r="Z483" s="9" t="n">
        <f aca="false">IF(I483="Opening",L483,Z482+L483-X483)</f>
        <v>11716930.53051</v>
      </c>
      <c r="AA483" s="9" t="n">
        <f aca="false">IF(Y483&gt;0,Z483/Y483,IF(I483="Opening",0,AA482))</f>
        <v>30801.604969795</v>
      </c>
      <c r="AB483" s="9" t="n">
        <f aca="false">IF(AND(I483="DO",O483="MA"),S483-N483,0)</f>
        <v>0</v>
      </c>
      <c r="AC483" s="9" t="n">
        <f aca="false">IF(I483="DO",X483-S483,0)</f>
        <v>0</v>
      </c>
      <c r="AD483" s="23" t="n">
        <f aca="false">IF(B484&lt;&gt;B483,1,0)</f>
        <v>0</v>
      </c>
      <c r="AE483" s="14" t="n">
        <f aca="false">IF(I483="Opening",0,AE482+W483)</f>
        <v>15</v>
      </c>
      <c r="AF483" s="14" t="n">
        <f aca="false">IF(I483="Opening",K483,AF482)</f>
        <v>84.9</v>
      </c>
      <c r="AG483" s="14" t="n">
        <f aca="false">AG482</f>
        <v>68.7</v>
      </c>
      <c r="AH483" s="14" t="n">
        <f aca="false">IF(W483=0,0,MAX(0,MIN(AE483,AF483)-MIN(AE483-W483,AF483)))</f>
        <v>0</v>
      </c>
      <c r="AI483" s="14" t="n">
        <f aca="false">IF(W483=0,0,MAX(0,MIN(AE483,AF483+AG483)-MAX(AE483-W483,AF483)))</f>
        <v>0</v>
      </c>
      <c r="AJ483" s="14" t="n">
        <f aca="false">W483-AH483-AI483</f>
        <v>0</v>
      </c>
      <c r="AK483" s="9" t="n">
        <f aca="false">IF(W483=0,0,X483*AH483/W483)</f>
        <v>0</v>
      </c>
      <c r="AL483" s="9" t="n">
        <f aca="false">IF(W483=0,0,X483*AI483/W483)</f>
        <v>0</v>
      </c>
      <c r="AM483" s="9" t="n">
        <f aca="false">X483-AK483-AL483</f>
        <v>0</v>
      </c>
    </row>
    <row r="484" customFormat="false" ht="15" hidden="false" customHeight="false" outlineLevel="0" collapsed="false">
      <c r="A484" s="6" t="n">
        <v>479</v>
      </c>
      <c r="B484" s="74" t="s">
        <v>991</v>
      </c>
      <c r="C484" s="53" t="str">
        <f aca="false">INDEX(I_Items!$C$5:$C$133,MATCH($B484,I_Items!$A$5:$A$133,0))</f>
        <v>RPA</v>
      </c>
      <c r="D484" s="53" t="str">
        <f aca="false">INDEX(I_Items!$D$5:$D$133,MATCH($B484,I_Items!$A$5:$A$133,0))</f>
        <v>Karkas</v>
      </c>
      <c r="E484" s="53" t="str">
        <f aca="false">INDEX(I_Items!$F$5:$F$133,MATCH($B484,I_Items!$A$5:$A$133,0))</f>
        <v>Frozen</v>
      </c>
      <c r="F484" s="53" t="str">
        <f aca="false">IF(INDEX(I_Items!$E$5:$E$133,MATCH($B484,I_Items!$A$5:$A$133,0))="","",INDEX(I_Items!$E$5:$E$133,MATCH($B484,I_Items!$A$5:$A$133,0)))</f>
        <v>Uk 1.3</v>
      </c>
      <c r="G484" s="76" t="n">
        <v>46252</v>
      </c>
      <c r="H484" s="23" t="n">
        <f aca="false">MONTH(G484)</f>
        <v>8</v>
      </c>
      <c r="I484" s="74" t="s">
        <v>2075</v>
      </c>
      <c r="J484" s="74" t="s">
        <v>2156</v>
      </c>
      <c r="K484" s="10" t="n">
        <v>0</v>
      </c>
      <c r="L484" s="8" t="n">
        <v>0</v>
      </c>
      <c r="M484" s="10" t="n">
        <v>8.6</v>
      </c>
      <c r="N484" s="8" t="n">
        <v>264893.8</v>
      </c>
      <c r="O484" s="74" t="s">
        <v>2077</v>
      </c>
      <c r="P484" s="74"/>
      <c r="Q484" s="74"/>
      <c r="R484" s="14" t="n">
        <f aca="false">IF(I484="Unbilled",0,M484)</f>
        <v>8.6</v>
      </c>
      <c r="S484" s="9" t="n">
        <f aca="false">IF(R484=0,0,IF(O484="Booked",N484,R484*V483))</f>
        <v>264893.802740237</v>
      </c>
      <c r="T484" s="14" t="n">
        <f aca="false">IF(I484="Opening",K484,T483+K484-R484)</f>
        <v>371.8</v>
      </c>
      <c r="U484" s="9" t="n">
        <f aca="false">IF(I484="Opening",L484,U483+L484-S484)</f>
        <v>11452036.7277698</v>
      </c>
      <c r="V484" s="9" t="n">
        <f aca="false">IF(T484&gt;0,U484/T484,IF(I484="Opening",0,V483))</f>
        <v>30801.604969795</v>
      </c>
      <c r="W484" s="14" t="n">
        <f aca="false">M484</f>
        <v>8.6</v>
      </c>
      <c r="X484" s="9" t="n">
        <f aca="false">IF(W484=0,0,IF(O484="Booked",N484,W484*AA483))</f>
        <v>264893.802740237</v>
      </c>
      <c r="Y484" s="14" t="n">
        <f aca="false">IF(I484="Opening",K484,Y483+K484-W484)</f>
        <v>371.8</v>
      </c>
      <c r="Z484" s="9" t="n">
        <f aca="false">IF(I484="Opening",L484,Z483+L484-X484)</f>
        <v>11452036.7277698</v>
      </c>
      <c r="AA484" s="9" t="n">
        <f aca="false">IF(Y484&gt;0,Z484/Y484,IF(I484="Opening",0,AA483))</f>
        <v>30801.604969795</v>
      </c>
      <c r="AB484" s="9" t="n">
        <f aca="false">IF(AND(I484="DO",O484="MA"),S484-N484,0)</f>
        <v>0.00274023733800277</v>
      </c>
      <c r="AC484" s="9" t="n">
        <f aca="false">IF(I484="DO",X484-S484,0)</f>
        <v>0</v>
      </c>
      <c r="AD484" s="23" t="n">
        <f aca="false">IF(B485&lt;&gt;B484,1,0)</f>
        <v>0</v>
      </c>
      <c r="AE484" s="14" t="n">
        <f aca="false">IF(I484="Opening",0,AE483+W484)</f>
        <v>23.6</v>
      </c>
      <c r="AF484" s="14" t="n">
        <f aca="false">IF(I484="Opening",K484,AF483)</f>
        <v>84.9</v>
      </c>
      <c r="AG484" s="14" t="n">
        <f aca="false">AG483</f>
        <v>68.7</v>
      </c>
      <c r="AH484" s="14" t="n">
        <f aca="false">IF(W484=0,0,MAX(0,MIN(AE484,AF484)-MIN(AE484-W484,AF484)))</f>
        <v>8.6</v>
      </c>
      <c r="AI484" s="14" t="n">
        <f aca="false">IF(W484=0,0,MAX(0,MIN(AE484,AF484+AG484)-MAX(AE484-W484,AF484)))</f>
        <v>0</v>
      </c>
      <c r="AJ484" s="14" t="n">
        <f aca="false">W484-AH484-AI484</f>
        <v>0</v>
      </c>
      <c r="AK484" s="9" t="n">
        <f aca="false">IF(W484=0,0,X484*AH484/W484)</f>
        <v>264893.802740237</v>
      </c>
      <c r="AL484" s="9" t="n">
        <f aca="false">IF(W484=0,0,X484*AI484/W484)</f>
        <v>0</v>
      </c>
      <c r="AM484" s="9" t="n">
        <f aca="false">X484-AK484-AL484</f>
        <v>0</v>
      </c>
    </row>
    <row r="485" customFormat="false" ht="15" hidden="false" customHeight="false" outlineLevel="0" collapsed="false">
      <c r="A485" s="6" t="n">
        <v>480</v>
      </c>
      <c r="B485" s="74" t="s">
        <v>991</v>
      </c>
      <c r="C485" s="53" t="str">
        <f aca="false">INDEX(I_Items!$C$5:$C$133,MATCH($B485,I_Items!$A$5:$A$133,0))</f>
        <v>RPA</v>
      </c>
      <c r="D485" s="53" t="str">
        <f aca="false">INDEX(I_Items!$D$5:$D$133,MATCH($B485,I_Items!$A$5:$A$133,0))</f>
        <v>Karkas</v>
      </c>
      <c r="E485" s="53" t="str">
        <f aca="false">INDEX(I_Items!$F$5:$F$133,MATCH($B485,I_Items!$A$5:$A$133,0))</f>
        <v>Frozen</v>
      </c>
      <c r="F485" s="53" t="str">
        <f aca="false">IF(INDEX(I_Items!$E$5:$E$133,MATCH($B485,I_Items!$A$5:$A$133,0))="","",INDEX(I_Items!$E$5:$E$133,MATCH($B485,I_Items!$A$5:$A$133,0)))</f>
        <v>Uk 1.3</v>
      </c>
      <c r="G485" s="76" t="n">
        <v>46253</v>
      </c>
      <c r="H485" s="23" t="n">
        <f aca="false">MONTH(G485)</f>
        <v>8</v>
      </c>
      <c r="I485" s="74" t="s">
        <v>2074</v>
      </c>
      <c r="J485" s="74" t="s">
        <v>1305</v>
      </c>
      <c r="K485" s="10" t="n">
        <v>138.6</v>
      </c>
      <c r="L485" s="8" t="n">
        <v>4761122.86</v>
      </c>
      <c r="M485" s="10" t="n">
        <v>0</v>
      </c>
      <c r="N485" s="8" t="n">
        <v>0</v>
      </c>
      <c r="O485" s="74"/>
      <c r="P485" s="74"/>
      <c r="Q485" s="74"/>
      <c r="R485" s="14" t="n">
        <f aca="false">IF(I485="Unbilled",0,M485)</f>
        <v>0</v>
      </c>
      <c r="S485" s="9" t="n">
        <f aca="false">IF(R485=0,0,IF(O485="Booked",N485,R485*V484))</f>
        <v>0</v>
      </c>
      <c r="T485" s="14" t="n">
        <f aca="false">IF(I485="Opening",K485,T484+K485-R485)</f>
        <v>510.4</v>
      </c>
      <c r="U485" s="9" t="n">
        <f aca="false">IF(I485="Opening",L485,U484+L485-S485)</f>
        <v>16213159.5877698</v>
      </c>
      <c r="V485" s="9" t="n">
        <f aca="false">IF(T485&gt;0,U485/T485,IF(I485="Opening",0,V484))</f>
        <v>31765.5948036242</v>
      </c>
      <c r="W485" s="14" t="n">
        <f aca="false">M485</f>
        <v>0</v>
      </c>
      <c r="X485" s="9" t="n">
        <f aca="false">IF(W485=0,0,IF(O485="Booked",N485,W485*AA484))</f>
        <v>0</v>
      </c>
      <c r="Y485" s="14" t="n">
        <f aca="false">IF(I485="Opening",K485,Y484+K485-W485)</f>
        <v>510.4</v>
      </c>
      <c r="Z485" s="9" t="n">
        <f aca="false">IF(I485="Opening",L485,Z484+L485-X485)</f>
        <v>16213159.5877698</v>
      </c>
      <c r="AA485" s="9" t="n">
        <f aca="false">IF(Y485&gt;0,Z485/Y485,IF(I485="Opening",0,AA484))</f>
        <v>31765.5948036242</v>
      </c>
      <c r="AB485" s="9" t="n">
        <f aca="false">IF(AND(I485="DO",O485="MA"),S485-N485,0)</f>
        <v>0</v>
      </c>
      <c r="AC485" s="9" t="n">
        <f aca="false">IF(I485="DO",X485-S485,0)</f>
        <v>0</v>
      </c>
      <c r="AD485" s="23" t="n">
        <f aca="false">IF(B486&lt;&gt;B485,1,0)</f>
        <v>0</v>
      </c>
      <c r="AE485" s="14" t="n">
        <f aca="false">IF(I485="Opening",0,AE484+W485)</f>
        <v>23.6</v>
      </c>
      <c r="AF485" s="14" t="n">
        <f aca="false">IF(I485="Opening",K485,AF484)</f>
        <v>84.9</v>
      </c>
      <c r="AG485" s="14" t="n">
        <f aca="false">AG484</f>
        <v>68.7</v>
      </c>
      <c r="AH485" s="14" t="n">
        <f aca="false">IF(W485=0,0,MAX(0,MIN(AE485,AF485)-MIN(AE485-W485,AF485)))</f>
        <v>0</v>
      </c>
      <c r="AI485" s="14" t="n">
        <f aca="false">IF(W485=0,0,MAX(0,MIN(AE485,AF485+AG485)-MAX(AE485-W485,AF485)))</f>
        <v>0</v>
      </c>
      <c r="AJ485" s="14" t="n">
        <f aca="false">W485-AH485-AI485</f>
        <v>0</v>
      </c>
      <c r="AK485" s="9" t="n">
        <f aca="false">IF(W485=0,0,X485*AH485/W485)</f>
        <v>0</v>
      </c>
      <c r="AL485" s="9" t="n">
        <f aca="false">IF(W485=0,0,X485*AI485/W485)</f>
        <v>0</v>
      </c>
      <c r="AM485" s="9" t="n">
        <f aca="false">X485-AK485-AL485</f>
        <v>0</v>
      </c>
    </row>
    <row r="486" customFormat="false" ht="15" hidden="false" customHeight="false" outlineLevel="0" collapsed="false">
      <c r="A486" s="6" t="n">
        <v>481</v>
      </c>
      <c r="B486" s="74" t="s">
        <v>991</v>
      </c>
      <c r="C486" s="53" t="str">
        <f aca="false">INDEX(I_Items!$C$5:$C$133,MATCH($B486,I_Items!$A$5:$A$133,0))</f>
        <v>RPA</v>
      </c>
      <c r="D486" s="53" t="str">
        <f aca="false">INDEX(I_Items!$D$5:$D$133,MATCH($B486,I_Items!$A$5:$A$133,0))</f>
        <v>Karkas</v>
      </c>
      <c r="E486" s="53" t="str">
        <f aca="false">INDEX(I_Items!$F$5:$F$133,MATCH($B486,I_Items!$A$5:$A$133,0))</f>
        <v>Frozen</v>
      </c>
      <c r="F486" s="53" t="str">
        <f aca="false">IF(INDEX(I_Items!$E$5:$E$133,MATCH($B486,I_Items!$A$5:$A$133,0))="","",INDEX(I_Items!$E$5:$E$133,MATCH($B486,I_Items!$A$5:$A$133,0)))</f>
        <v>Uk 1.3</v>
      </c>
      <c r="G486" s="76" t="n">
        <v>46254</v>
      </c>
      <c r="H486" s="23" t="n">
        <f aca="false">MONTH(G486)</f>
        <v>8</v>
      </c>
      <c r="I486" s="74" t="s">
        <v>2074</v>
      </c>
      <c r="J486" s="74" t="s">
        <v>1308</v>
      </c>
      <c r="K486" s="10" t="n">
        <v>6.9</v>
      </c>
      <c r="L486" s="8" t="n">
        <v>237557.89</v>
      </c>
      <c r="M486" s="10" t="n">
        <v>0</v>
      </c>
      <c r="N486" s="8" t="n">
        <v>0</v>
      </c>
      <c r="O486" s="74"/>
      <c r="P486" s="74"/>
      <c r="Q486" s="74"/>
      <c r="R486" s="14" t="n">
        <f aca="false">IF(I486="Unbilled",0,M486)</f>
        <v>0</v>
      </c>
      <c r="S486" s="9" t="n">
        <f aca="false">IF(R486=0,0,IF(O486="Booked",N486,R486*V485))</f>
        <v>0</v>
      </c>
      <c r="T486" s="14" t="n">
        <f aca="false">IF(I486="Opening",K486,T485+K486-R486)</f>
        <v>517.3</v>
      </c>
      <c r="U486" s="9" t="n">
        <f aca="false">IF(I486="Opening",L486,U485+L486-S486)</f>
        <v>16450717.4777698</v>
      </c>
      <c r="V486" s="9" t="n">
        <f aca="false">IF(T486&gt;0,U486/T486,IF(I486="Opening",0,V485))</f>
        <v>31801.1163305042</v>
      </c>
      <c r="W486" s="14" t="n">
        <f aca="false">M486</f>
        <v>0</v>
      </c>
      <c r="X486" s="9" t="n">
        <f aca="false">IF(W486=0,0,IF(O486="Booked",N486,W486*AA485))</f>
        <v>0</v>
      </c>
      <c r="Y486" s="14" t="n">
        <f aca="false">IF(I486="Opening",K486,Y485+K486-W486)</f>
        <v>517.3</v>
      </c>
      <c r="Z486" s="9" t="n">
        <f aca="false">IF(I486="Opening",L486,Z485+L486-X486)</f>
        <v>16450717.4777698</v>
      </c>
      <c r="AA486" s="9" t="n">
        <f aca="false">IF(Y486&gt;0,Z486/Y486,IF(I486="Opening",0,AA485))</f>
        <v>31801.1163305042</v>
      </c>
      <c r="AB486" s="9" t="n">
        <f aca="false">IF(AND(I486="DO",O486="MA"),S486-N486,0)</f>
        <v>0</v>
      </c>
      <c r="AC486" s="9" t="n">
        <f aca="false">IF(I486="DO",X486-S486,0)</f>
        <v>0</v>
      </c>
      <c r="AD486" s="23" t="n">
        <f aca="false">IF(B487&lt;&gt;B486,1,0)</f>
        <v>0</v>
      </c>
      <c r="AE486" s="14" t="n">
        <f aca="false">IF(I486="Opening",0,AE485+W486)</f>
        <v>23.6</v>
      </c>
      <c r="AF486" s="14" t="n">
        <f aca="false">IF(I486="Opening",K486,AF485)</f>
        <v>84.9</v>
      </c>
      <c r="AG486" s="14" t="n">
        <f aca="false">AG485</f>
        <v>68.7</v>
      </c>
      <c r="AH486" s="14" t="n">
        <f aca="false">IF(W486=0,0,MAX(0,MIN(AE486,AF486)-MIN(AE486-W486,AF486)))</f>
        <v>0</v>
      </c>
      <c r="AI486" s="14" t="n">
        <f aca="false">IF(W486=0,0,MAX(0,MIN(AE486,AF486+AG486)-MAX(AE486-W486,AF486)))</f>
        <v>0</v>
      </c>
      <c r="AJ486" s="14" t="n">
        <f aca="false">W486-AH486-AI486</f>
        <v>0</v>
      </c>
      <c r="AK486" s="9" t="n">
        <f aca="false">IF(W486=0,0,X486*AH486/W486)</f>
        <v>0</v>
      </c>
      <c r="AL486" s="9" t="n">
        <f aca="false">IF(W486=0,0,X486*AI486/W486)</f>
        <v>0</v>
      </c>
      <c r="AM486" s="9" t="n">
        <f aca="false">X486-AK486-AL486</f>
        <v>0</v>
      </c>
    </row>
    <row r="487" customFormat="false" ht="15" hidden="false" customHeight="false" outlineLevel="0" collapsed="false">
      <c r="A487" s="6" t="n">
        <v>482</v>
      </c>
      <c r="B487" s="74" t="s">
        <v>991</v>
      </c>
      <c r="C487" s="53" t="str">
        <f aca="false">INDEX(I_Items!$C$5:$C$133,MATCH($B487,I_Items!$A$5:$A$133,0))</f>
        <v>RPA</v>
      </c>
      <c r="D487" s="53" t="str">
        <f aca="false">INDEX(I_Items!$D$5:$D$133,MATCH($B487,I_Items!$A$5:$A$133,0))</f>
        <v>Karkas</v>
      </c>
      <c r="E487" s="53" t="str">
        <f aca="false">INDEX(I_Items!$F$5:$F$133,MATCH($B487,I_Items!$A$5:$A$133,0))</f>
        <v>Frozen</v>
      </c>
      <c r="F487" s="53" t="str">
        <f aca="false">IF(INDEX(I_Items!$E$5:$E$133,MATCH($B487,I_Items!$A$5:$A$133,0))="","",INDEX(I_Items!$E$5:$E$133,MATCH($B487,I_Items!$A$5:$A$133,0)))</f>
        <v>Uk 1.3</v>
      </c>
      <c r="G487" s="76" t="n">
        <v>46255</v>
      </c>
      <c r="H487" s="23" t="n">
        <f aca="false">MONTH(G487)</f>
        <v>8</v>
      </c>
      <c r="I487" s="74" t="s">
        <v>2074</v>
      </c>
      <c r="J487" s="74" t="s">
        <v>1311</v>
      </c>
      <c r="K487" s="10" t="n">
        <v>17.7</v>
      </c>
      <c r="L487" s="8" t="n">
        <v>614924.07</v>
      </c>
      <c r="M487" s="10" t="n">
        <v>0</v>
      </c>
      <c r="N487" s="8" t="n">
        <v>0</v>
      </c>
      <c r="O487" s="74"/>
      <c r="P487" s="74"/>
      <c r="Q487" s="74"/>
      <c r="R487" s="14" t="n">
        <f aca="false">IF(I487="Unbilled",0,M487)</f>
        <v>0</v>
      </c>
      <c r="S487" s="9" t="n">
        <f aca="false">IF(R487=0,0,IF(O487="Booked",N487,R487*V486))</f>
        <v>0</v>
      </c>
      <c r="T487" s="14" t="n">
        <f aca="false">IF(I487="Opening",K487,T486+K487-R487)</f>
        <v>535</v>
      </c>
      <c r="U487" s="9" t="n">
        <f aca="false">IF(I487="Opening",L487,U486+L487-S487)</f>
        <v>17065641.5477698</v>
      </c>
      <c r="V487" s="9" t="n">
        <f aca="false">IF(T487&gt;0,U487/T487,IF(I487="Opening",0,V486))</f>
        <v>31898.3954163921</v>
      </c>
      <c r="W487" s="14" t="n">
        <f aca="false">M487</f>
        <v>0</v>
      </c>
      <c r="X487" s="9" t="n">
        <f aca="false">IF(W487=0,0,IF(O487="Booked",N487,W487*AA486))</f>
        <v>0</v>
      </c>
      <c r="Y487" s="14" t="n">
        <f aca="false">IF(I487="Opening",K487,Y486+K487-W487)</f>
        <v>535</v>
      </c>
      <c r="Z487" s="9" t="n">
        <f aca="false">IF(I487="Opening",L487,Z486+L487-X487)</f>
        <v>17065641.5477698</v>
      </c>
      <c r="AA487" s="9" t="n">
        <f aca="false">IF(Y487&gt;0,Z487/Y487,IF(I487="Opening",0,AA486))</f>
        <v>31898.3954163921</v>
      </c>
      <c r="AB487" s="9" t="n">
        <f aca="false">IF(AND(I487="DO",O487="MA"),S487-N487,0)</f>
        <v>0</v>
      </c>
      <c r="AC487" s="9" t="n">
        <f aca="false">IF(I487="DO",X487-S487,0)</f>
        <v>0</v>
      </c>
      <c r="AD487" s="23" t="n">
        <f aca="false">IF(B488&lt;&gt;B487,1,0)</f>
        <v>0</v>
      </c>
      <c r="AE487" s="14" t="n">
        <f aca="false">IF(I487="Opening",0,AE486+W487)</f>
        <v>23.6</v>
      </c>
      <c r="AF487" s="14" t="n">
        <f aca="false">IF(I487="Opening",K487,AF486)</f>
        <v>84.9</v>
      </c>
      <c r="AG487" s="14" t="n">
        <f aca="false">AG486</f>
        <v>68.7</v>
      </c>
      <c r="AH487" s="14" t="n">
        <f aca="false">IF(W487=0,0,MAX(0,MIN(AE487,AF487)-MIN(AE487-W487,AF487)))</f>
        <v>0</v>
      </c>
      <c r="AI487" s="14" t="n">
        <f aca="false">IF(W487=0,0,MAX(0,MIN(AE487,AF487+AG487)-MAX(AE487-W487,AF487)))</f>
        <v>0</v>
      </c>
      <c r="AJ487" s="14" t="n">
        <f aca="false">W487-AH487-AI487</f>
        <v>0</v>
      </c>
      <c r="AK487" s="9" t="n">
        <f aca="false">IF(W487=0,0,X487*AH487/W487)</f>
        <v>0</v>
      </c>
      <c r="AL487" s="9" t="n">
        <f aca="false">IF(W487=0,0,X487*AI487/W487)</f>
        <v>0</v>
      </c>
      <c r="AM487" s="9" t="n">
        <f aca="false">X487-AK487-AL487</f>
        <v>0</v>
      </c>
    </row>
    <row r="488" customFormat="false" ht="15" hidden="false" customHeight="false" outlineLevel="0" collapsed="false">
      <c r="A488" s="6" t="n">
        <v>483</v>
      </c>
      <c r="B488" s="74" t="s">
        <v>991</v>
      </c>
      <c r="C488" s="53" t="str">
        <f aca="false">INDEX(I_Items!$C$5:$C$133,MATCH($B488,I_Items!$A$5:$A$133,0))</f>
        <v>RPA</v>
      </c>
      <c r="D488" s="53" t="str">
        <f aca="false">INDEX(I_Items!$D$5:$D$133,MATCH($B488,I_Items!$A$5:$A$133,0))</f>
        <v>Karkas</v>
      </c>
      <c r="E488" s="53" t="str">
        <f aca="false">INDEX(I_Items!$F$5:$F$133,MATCH($B488,I_Items!$A$5:$A$133,0))</f>
        <v>Frozen</v>
      </c>
      <c r="F488" s="53" t="str">
        <f aca="false">IF(INDEX(I_Items!$E$5:$E$133,MATCH($B488,I_Items!$A$5:$A$133,0))="","",INDEX(I_Items!$E$5:$E$133,MATCH($B488,I_Items!$A$5:$A$133,0)))</f>
        <v>Uk 1.3</v>
      </c>
      <c r="G488" s="76" t="n">
        <v>46259</v>
      </c>
      <c r="H488" s="23" t="n">
        <f aca="false">MONTH(G488)</f>
        <v>8</v>
      </c>
      <c r="I488" s="74" t="s">
        <v>2074</v>
      </c>
      <c r="J488" s="74" t="s">
        <v>1314</v>
      </c>
      <c r="K488" s="10" t="n">
        <v>166</v>
      </c>
      <c r="L488" s="8" t="n">
        <v>5565465.9</v>
      </c>
      <c r="M488" s="10" t="n">
        <v>0</v>
      </c>
      <c r="N488" s="8" t="n">
        <v>0</v>
      </c>
      <c r="O488" s="74"/>
      <c r="P488" s="74"/>
      <c r="Q488" s="74"/>
      <c r="R488" s="14" t="n">
        <f aca="false">IF(I488="Unbilled",0,M488)</f>
        <v>0</v>
      </c>
      <c r="S488" s="9" t="n">
        <f aca="false">IF(R488=0,0,IF(O488="Booked",N488,R488*V487))</f>
        <v>0</v>
      </c>
      <c r="T488" s="14" t="n">
        <f aca="false">IF(I488="Opening",K488,T487+K488-R488)</f>
        <v>701</v>
      </c>
      <c r="U488" s="9" t="n">
        <f aca="false">IF(I488="Opening",L488,U487+L488-S488)</f>
        <v>22631107.4477698</v>
      </c>
      <c r="V488" s="9" t="n">
        <f aca="false">IF(T488&gt;0,U488/T488,IF(I488="Opening",0,V487))</f>
        <v>32284.0334490297</v>
      </c>
      <c r="W488" s="14" t="n">
        <f aca="false">M488</f>
        <v>0</v>
      </c>
      <c r="X488" s="9" t="n">
        <f aca="false">IF(W488=0,0,IF(O488="Booked",N488,W488*AA487))</f>
        <v>0</v>
      </c>
      <c r="Y488" s="14" t="n">
        <f aca="false">IF(I488="Opening",K488,Y487+K488-W488)</f>
        <v>701</v>
      </c>
      <c r="Z488" s="9" t="n">
        <f aca="false">IF(I488="Opening",L488,Z487+L488-X488)</f>
        <v>22631107.4477698</v>
      </c>
      <c r="AA488" s="9" t="n">
        <f aca="false">IF(Y488&gt;0,Z488/Y488,IF(I488="Opening",0,AA487))</f>
        <v>32284.0334490297</v>
      </c>
      <c r="AB488" s="9" t="n">
        <f aca="false">IF(AND(I488="DO",O488="MA"),S488-N488,0)</f>
        <v>0</v>
      </c>
      <c r="AC488" s="9" t="n">
        <f aca="false">IF(I488="DO",X488-S488,0)</f>
        <v>0</v>
      </c>
      <c r="AD488" s="23" t="n">
        <f aca="false">IF(B489&lt;&gt;B488,1,0)</f>
        <v>0</v>
      </c>
      <c r="AE488" s="14" t="n">
        <f aca="false">IF(I488="Opening",0,AE487+W488)</f>
        <v>23.6</v>
      </c>
      <c r="AF488" s="14" t="n">
        <f aca="false">IF(I488="Opening",K488,AF487)</f>
        <v>84.9</v>
      </c>
      <c r="AG488" s="14" t="n">
        <f aca="false">AG487</f>
        <v>68.7</v>
      </c>
      <c r="AH488" s="14" t="n">
        <f aca="false">IF(W488=0,0,MAX(0,MIN(AE488,AF488)-MIN(AE488-W488,AF488)))</f>
        <v>0</v>
      </c>
      <c r="AI488" s="14" t="n">
        <f aca="false">IF(W488=0,0,MAX(0,MIN(AE488,AF488+AG488)-MAX(AE488-W488,AF488)))</f>
        <v>0</v>
      </c>
      <c r="AJ488" s="14" t="n">
        <f aca="false">W488-AH488-AI488</f>
        <v>0</v>
      </c>
      <c r="AK488" s="9" t="n">
        <f aca="false">IF(W488=0,0,X488*AH488/W488)</f>
        <v>0</v>
      </c>
      <c r="AL488" s="9" t="n">
        <f aca="false">IF(W488=0,0,X488*AI488/W488)</f>
        <v>0</v>
      </c>
      <c r="AM488" s="9" t="n">
        <f aca="false">X488-AK488-AL488</f>
        <v>0</v>
      </c>
    </row>
    <row r="489" customFormat="false" ht="15" hidden="false" customHeight="false" outlineLevel="0" collapsed="false">
      <c r="A489" s="6" t="n">
        <v>484</v>
      </c>
      <c r="B489" s="74" t="s">
        <v>991</v>
      </c>
      <c r="C489" s="53" t="str">
        <f aca="false">INDEX(I_Items!$C$5:$C$133,MATCH($B489,I_Items!$A$5:$A$133,0))</f>
        <v>RPA</v>
      </c>
      <c r="D489" s="53" t="str">
        <f aca="false">INDEX(I_Items!$D$5:$D$133,MATCH($B489,I_Items!$A$5:$A$133,0))</f>
        <v>Karkas</v>
      </c>
      <c r="E489" s="53" t="str">
        <f aca="false">INDEX(I_Items!$F$5:$F$133,MATCH($B489,I_Items!$A$5:$A$133,0))</f>
        <v>Frozen</v>
      </c>
      <c r="F489" s="53" t="str">
        <f aca="false">IF(INDEX(I_Items!$E$5:$E$133,MATCH($B489,I_Items!$A$5:$A$133,0))="","",INDEX(I_Items!$E$5:$E$133,MATCH($B489,I_Items!$A$5:$A$133,0)))</f>
        <v>Uk 1.3</v>
      </c>
      <c r="G489" s="76" t="n">
        <v>46260</v>
      </c>
      <c r="H489" s="23" t="n">
        <f aca="false">MONTH(G489)</f>
        <v>8</v>
      </c>
      <c r="I489" s="74" t="s">
        <v>2074</v>
      </c>
      <c r="J489" s="74" t="s">
        <v>1317</v>
      </c>
      <c r="K489" s="10" t="n">
        <v>148.1</v>
      </c>
      <c r="L489" s="8" t="n">
        <v>5071670.33</v>
      </c>
      <c r="M489" s="10" t="n">
        <v>0</v>
      </c>
      <c r="N489" s="8" t="n">
        <v>0</v>
      </c>
      <c r="O489" s="74"/>
      <c r="P489" s="74"/>
      <c r="Q489" s="74"/>
      <c r="R489" s="14" t="n">
        <f aca="false">IF(I489="Unbilled",0,M489)</f>
        <v>0</v>
      </c>
      <c r="S489" s="9" t="n">
        <f aca="false">IF(R489=0,0,IF(O489="Booked",N489,R489*V488))</f>
        <v>0</v>
      </c>
      <c r="T489" s="14" t="n">
        <f aca="false">IF(I489="Opening",K489,T488+K489-R489)</f>
        <v>849.1</v>
      </c>
      <c r="U489" s="9" t="n">
        <f aca="false">IF(I489="Opening",L489,U488+L489-S489)</f>
        <v>27702777.7777698</v>
      </c>
      <c r="V489" s="9" t="n">
        <f aca="false">IF(T489&gt;0,U489/T489,IF(I489="Opening",0,V488))</f>
        <v>32626.0484957835</v>
      </c>
      <c r="W489" s="14" t="n">
        <f aca="false">M489</f>
        <v>0</v>
      </c>
      <c r="X489" s="9" t="n">
        <f aca="false">IF(W489=0,0,IF(O489="Booked",N489,W489*AA488))</f>
        <v>0</v>
      </c>
      <c r="Y489" s="14" t="n">
        <f aca="false">IF(I489="Opening",K489,Y488+K489-W489)</f>
        <v>849.1</v>
      </c>
      <c r="Z489" s="9" t="n">
        <f aca="false">IF(I489="Opening",L489,Z488+L489-X489)</f>
        <v>27702777.7777698</v>
      </c>
      <c r="AA489" s="9" t="n">
        <f aca="false">IF(Y489&gt;0,Z489/Y489,IF(I489="Opening",0,AA488))</f>
        <v>32626.0484957835</v>
      </c>
      <c r="AB489" s="9" t="n">
        <f aca="false">IF(AND(I489="DO",O489="MA"),S489-N489,0)</f>
        <v>0</v>
      </c>
      <c r="AC489" s="9" t="n">
        <f aca="false">IF(I489="DO",X489-S489,0)</f>
        <v>0</v>
      </c>
      <c r="AD489" s="23" t="n">
        <f aca="false">IF(B490&lt;&gt;B489,1,0)</f>
        <v>0</v>
      </c>
      <c r="AE489" s="14" t="n">
        <f aca="false">IF(I489="Opening",0,AE488+W489)</f>
        <v>23.6</v>
      </c>
      <c r="AF489" s="14" t="n">
        <f aca="false">IF(I489="Opening",K489,AF488)</f>
        <v>84.9</v>
      </c>
      <c r="AG489" s="14" t="n">
        <f aca="false">AG488</f>
        <v>68.7</v>
      </c>
      <c r="AH489" s="14" t="n">
        <f aca="false">IF(W489=0,0,MAX(0,MIN(AE489,AF489)-MIN(AE489-W489,AF489)))</f>
        <v>0</v>
      </c>
      <c r="AI489" s="14" t="n">
        <f aca="false">IF(W489=0,0,MAX(0,MIN(AE489,AF489+AG489)-MAX(AE489-W489,AF489)))</f>
        <v>0</v>
      </c>
      <c r="AJ489" s="14" t="n">
        <f aca="false">W489-AH489-AI489</f>
        <v>0</v>
      </c>
      <c r="AK489" s="9" t="n">
        <f aca="false">IF(W489=0,0,X489*AH489/W489)</f>
        <v>0</v>
      </c>
      <c r="AL489" s="9" t="n">
        <f aca="false">IF(W489=0,0,X489*AI489/W489)</f>
        <v>0</v>
      </c>
      <c r="AM489" s="9" t="n">
        <f aca="false">X489-AK489-AL489</f>
        <v>0</v>
      </c>
    </row>
    <row r="490" customFormat="false" ht="15" hidden="false" customHeight="false" outlineLevel="0" collapsed="false">
      <c r="A490" s="6" t="n">
        <v>485</v>
      </c>
      <c r="B490" s="74" t="s">
        <v>991</v>
      </c>
      <c r="C490" s="53" t="str">
        <f aca="false">INDEX(I_Items!$C$5:$C$133,MATCH($B490,I_Items!$A$5:$A$133,0))</f>
        <v>RPA</v>
      </c>
      <c r="D490" s="53" t="str">
        <f aca="false">INDEX(I_Items!$D$5:$D$133,MATCH($B490,I_Items!$A$5:$A$133,0))</f>
        <v>Karkas</v>
      </c>
      <c r="E490" s="53" t="str">
        <f aca="false">INDEX(I_Items!$F$5:$F$133,MATCH($B490,I_Items!$A$5:$A$133,0))</f>
        <v>Frozen</v>
      </c>
      <c r="F490" s="53" t="str">
        <f aca="false">IF(INDEX(I_Items!$E$5:$E$133,MATCH($B490,I_Items!$A$5:$A$133,0))="","",INDEX(I_Items!$E$5:$E$133,MATCH($B490,I_Items!$A$5:$A$133,0)))</f>
        <v>Uk 1.3</v>
      </c>
      <c r="G490" s="76" t="n">
        <v>46261</v>
      </c>
      <c r="H490" s="23" t="n">
        <f aca="false">MONTH(G490)</f>
        <v>8</v>
      </c>
      <c r="I490" s="74" t="s">
        <v>2074</v>
      </c>
      <c r="J490" s="74" t="s">
        <v>1320</v>
      </c>
      <c r="K490" s="10" t="n">
        <v>133.2</v>
      </c>
      <c r="L490" s="8" t="n">
        <v>4502685.95</v>
      </c>
      <c r="M490" s="10" t="n">
        <v>0</v>
      </c>
      <c r="N490" s="8" t="n">
        <v>0</v>
      </c>
      <c r="O490" s="74"/>
      <c r="P490" s="74"/>
      <c r="Q490" s="74"/>
      <c r="R490" s="14" t="n">
        <f aca="false">IF(I490="Unbilled",0,M490)</f>
        <v>0</v>
      </c>
      <c r="S490" s="9" t="n">
        <f aca="false">IF(R490=0,0,IF(O490="Booked",N490,R490*V489))</f>
        <v>0</v>
      </c>
      <c r="T490" s="14" t="n">
        <f aca="false">IF(I490="Opening",K490,T489+K490-R490)</f>
        <v>982.3</v>
      </c>
      <c r="U490" s="9" t="n">
        <f aca="false">IF(I490="Opening",L490,U489+L490-S490)</f>
        <v>32205463.7277698</v>
      </c>
      <c r="V490" s="9" t="n">
        <f aca="false">IF(T490&gt;0,U490/T490,IF(I490="Opening",0,V489))</f>
        <v>32785.7718902268</v>
      </c>
      <c r="W490" s="14" t="n">
        <f aca="false">M490</f>
        <v>0</v>
      </c>
      <c r="X490" s="9" t="n">
        <f aca="false">IF(W490=0,0,IF(O490="Booked",N490,W490*AA489))</f>
        <v>0</v>
      </c>
      <c r="Y490" s="14" t="n">
        <f aca="false">IF(I490="Opening",K490,Y489+K490-W490)</f>
        <v>982.3</v>
      </c>
      <c r="Z490" s="9" t="n">
        <f aca="false">IF(I490="Opening",L490,Z489+L490-X490)</f>
        <v>32205463.7277698</v>
      </c>
      <c r="AA490" s="9" t="n">
        <f aca="false">IF(Y490&gt;0,Z490/Y490,IF(I490="Opening",0,AA489))</f>
        <v>32785.7718902268</v>
      </c>
      <c r="AB490" s="9" t="n">
        <f aca="false">IF(AND(I490="DO",O490="MA"),S490-N490,0)</f>
        <v>0</v>
      </c>
      <c r="AC490" s="9" t="n">
        <f aca="false">IF(I490="DO",X490-S490,0)</f>
        <v>0</v>
      </c>
      <c r="AD490" s="23" t="n">
        <f aca="false">IF(B491&lt;&gt;B490,1,0)</f>
        <v>0</v>
      </c>
      <c r="AE490" s="14" t="n">
        <f aca="false">IF(I490="Opening",0,AE489+W490)</f>
        <v>23.6</v>
      </c>
      <c r="AF490" s="14" t="n">
        <f aca="false">IF(I490="Opening",K490,AF489)</f>
        <v>84.9</v>
      </c>
      <c r="AG490" s="14" t="n">
        <f aca="false">AG489</f>
        <v>68.7</v>
      </c>
      <c r="AH490" s="14" t="n">
        <f aca="false">IF(W490=0,0,MAX(0,MIN(AE490,AF490)-MIN(AE490-W490,AF490)))</f>
        <v>0</v>
      </c>
      <c r="AI490" s="14" t="n">
        <f aca="false">IF(W490=0,0,MAX(0,MIN(AE490,AF490+AG490)-MAX(AE490-W490,AF490)))</f>
        <v>0</v>
      </c>
      <c r="AJ490" s="14" t="n">
        <f aca="false">W490-AH490-AI490</f>
        <v>0</v>
      </c>
      <c r="AK490" s="9" t="n">
        <f aca="false">IF(W490=0,0,X490*AH490/W490)</f>
        <v>0</v>
      </c>
      <c r="AL490" s="9" t="n">
        <f aca="false">IF(W490=0,0,X490*AI490/W490)</f>
        <v>0</v>
      </c>
      <c r="AM490" s="9" t="n">
        <f aca="false">X490-AK490-AL490</f>
        <v>0</v>
      </c>
    </row>
    <row r="491" customFormat="false" ht="15" hidden="false" customHeight="false" outlineLevel="0" collapsed="false">
      <c r="A491" s="6" t="n">
        <v>486</v>
      </c>
      <c r="B491" s="74" t="s">
        <v>991</v>
      </c>
      <c r="C491" s="53" t="str">
        <f aca="false">INDEX(I_Items!$C$5:$C$133,MATCH($B491,I_Items!$A$5:$A$133,0))</f>
        <v>RPA</v>
      </c>
      <c r="D491" s="53" t="str">
        <f aca="false">INDEX(I_Items!$D$5:$D$133,MATCH($B491,I_Items!$A$5:$A$133,0))</f>
        <v>Karkas</v>
      </c>
      <c r="E491" s="53" t="str">
        <f aca="false">INDEX(I_Items!$F$5:$F$133,MATCH($B491,I_Items!$A$5:$A$133,0))</f>
        <v>Frozen</v>
      </c>
      <c r="F491" s="53" t="str">
        <f aca="false">IF(INDEX(I_Items!$E$5:$E$133,MATCH($B491,I_Items!$A$5:$A$133,0))="","",INDEX(I_Items!$E$5:$E$133,MATCH($B491,I_Items!$A$5:$A$133,0)))</f>
        <v>Uk 1.3</v>
      </c>
      <c r="G491" s="76" t="n">
        <v>46262</v>
      </c>
      <c r="H491" s="23" t="n">
        <f aca="false">MONTH(G491)</f>
        <v>8</v>
      </c>
      <c r="I491" s="74" t="s">
        <v>2074</v>
      </c>
      <c r="J491" s="74" t="s">
        <v>1323</v>
      </c>
      <c r="K491" s="10" t="n">
        <v>193.5</v>
      </c>
      <c r="L491" s="8" t="n">
        <v>6595157.79</v>
      </c>
      <c r="M491" s="10" t="n">
        <v>0</v>
      </c>
      <c r="N491" s="8" t="n">
        <v>0</v>
      </c>
      <c r="O491" s="74"/>
      <c r="P491" s="74"/>
      <c r="Q491" s="74"/>
      <c r="R491" s="14" t="n">
        <f aca="false">IF(I491="Unbilled",0,M491)</f>
        <v>0</v>
      </c>
      <c r="S491" s="9" t="n">
        <f aca="false">IF(R491=0,0,IF(O491="Booked",N491,R491*V490))</f>
        <v>0</v>
      </c>
      <c r="T491" s="14" t="n">
        <f aca="false">IF(I491="Opening",K491,T490+K491-R491)</f>
        <v>1175.8</v>
      </c>
      <c r="U491" s="9" t="n">
        <f aca="false">IF(I491="Opening",L491,U490+L491-S491)</f>
        <v>38800621.5177698</v>
      </c>
      <c r="V491" s="9" t="n">
        <f aca="false">IF(T491&gt;0,U491/T491,IF(I491="Opening",0,V490))</f>
        <v>32999.3379127146</v>
      </c>
      <c r="W491" s="14" t="n">
        <f aca="false">M491</f>
        <v>0</v>
      </c>
      <c r="X491" s="9" t="n">
        <f aca="false">IF(W491=0,0,IF(O491="Booked",N491,W491*AA490))</f>
        <v>0</v>
      </c>
      <c r="Y491" s="14" t="n">
        <f aca="false">IF(I491="Opening",K491,Y490+K491-W491)</f>
        <v>1175.8</v>
      </c>
      <c r="Z491" s="9" t="n">
        <f aca="false">IF(I491="Opening",L491,Z490+L491-X491)</f>
        <v>38800621.5177698</v>
      </c>
      <c r="AA491" s="9" t="n">
        <f aca="false">IF(Y491&gt;0,Z491/Y491,IF(I491="Opening",0,AA490))</f>
        <v>32999.3379127146</v>
      </c>
      <c r="AB491" s="9" t="n">
        <f aca="false">IF(AND(I491="DO",O491="MA"),S491-N491,0)</f>
        <v>0</v>
      </c>
      <c r="AC491" s="9" t="n">
        <f aca="false">IF(I491="DO",X491-S491,0)</f>
        <v>0</v>
      </c>
      <c r="AD491" s="23" t="n">
        <f aca="false">IF(B492&lt;&gt;B491,1,0)</f>
        <v>0</v>
      </c>
      <c r="AE491" s="14" t="n">
        <f aca="false">IF(I491="Opening",0,AE490+W491)</f>
        <v>23.6</v>
      </c>
      <c r="AF491" s="14" t="n">
        <f aca="false">IF(I491="Opening",K491,AF490)</f>
        <v>84.9</v>
      </c>
      <c r="AG491" s="14" t="n">
        <f aca="false">AG490</f>
        <v>68.7</v>
      </c>
      <c r="AH491" s="14" t="n">
        <f aca="false">IF(W491=0,0,MAX(0,MIN(AE491,AF491)-MIN(AE491-W491,AF491)))</f>
        <v>0</v>
      </c>
      <c r="AI491" s="14" t="n">
        <f aca="false">IF(W491=0,0,MAX(0,MIN(AE491,AF491+AG491)-MAX(AE491-W491,AF491)))</f>
        <v>0</v>
      </c>
      <c r="AJ491" s="14" t="n">
        <f aca="false">W491-AH491-AI491</f>
        <v>0</v>
      </c>
      <c r="AK491" s="9" t="n">
        <f aca="false">IF(W491=0,0,X491*AH491/W491)</f>
        <v>0</v>
      </c>
      <c r="AL491" s="9" t="n">
        <f aca="false">IF(W491=0,0,X491*AI491/W491)</f>
        <v>0</v>
      </c>
      <c r="AM491" s="9" t="n">
        <f aca="false">X491-AK491-AL491</f>
        <v>0</v>
      </c>
    </row>
    <row r="492" customFormat="false" ht="15" hidden="false" customHeight="false" outlineLevel="0" collapsed="false">
      <c r="A492" s="6" t="n">
        <v>487</v>
      </c>
      <c r="B492" s="74" t="s">
        <v>991</v>
      </c>
      <c r="C492" s="53" t="str">
        <f aca="false">INDEX(I_Items!$C$5:$C$133,MATCH($B492,I_Items!$A$5:$A$133,0))</f>
        <v>RPA</v>
      </c>
      <c r="D492" s="53" t="str">
        <f aca="false">INDEX(I_Items!$D$5:$D$133,MATCH($B492,I_Items!$A$5:$A$133,0))</f>
        <v>Karkas</v>
      </c>
      <c r="E492" s="53" t="str">
        <f aca="false">INDEX(I_Items!$F$5:$F$133,MATCH($B492,I_Items!$A$5:$A$133,0))</f>
        <v>Frozen</v>
      </c>
      <c r="F492" s="53" t="str">
        <f aca="false">IF(INDEX(I_Items!$E$5:$E$133,MATCH($B492,I_Items!$A$5:$A$133,0))="","",INDEX(I_Items!$E$5:$E$133,MATCH($B492,I_Items!$A$5:$A$133,0)))</f>
        <v>Uk 1.3</v>
      </c>
      <c r="G492" s="76" t="n">
        <v>46265</v>
      </c>
      <c r="H492" s="23" t="n">
        <f aca="false">MONTH(G492)</f>
        <v>8</v>
      </c>
      <c r="I492" s="74" t="s">
        <v>2074</v>
      </c>
      <c r="J492" s="74" t="s">
        <v>1326</v>
      </c>
      <c r="K492" s="10" t="n">
        <v>135.4</v>
      </c>
      <c r="L492" s="8" t="n">
        <v>4535456.48</v>
      </c>
      <c r="M492" s="10" t="n">
        <v>0</v>
      </c>
      <c r="N492" s="8" t="n">
        <v>0</v>
      </c>
      <c r="O492" s="74"/>
      <c r="P492" s="74"/>
      <c r="Q492" s="74"/>
      <c r="R492" s="14" t="n">
        <f aca="false">IF(I492="Unbilled",0,M492)</f>
        <v>0</v>
      </c>
      <c r="S492" s="9" t="n">
        <f aca="false">IF(R492=0,0,IF(O492="Booked",N492,R492*V491))</f>
        <v>0</v>
      </c>
      <c r="T492" s="14" t="n">
        <f aca="false">IF(I492="Opening",K492,T491+K492-R492)</f>
        <v>1311.2</v>
      </c>
      <c r="U492" s="9" t="n">
        <f aca="false">IF(I492="Opening",L492,U491+L492-S492)</f>
        <v>43336077.9977698</v>
      </c>
      <c r="V492" s="9" t="n">
        <f aca="false">IF(T492&gt;0,U492/T492,IF(I492="Opening",0,V491))</f>
        <v>33050.7001203247</v>
      </c>
      <c r="W492" s="14" t="n">
        <f aca="false">M492</f>
        <v>0</v>
      </c>
      <c r="X492" s="9" t="n">
        <f aca="false">IF(W492=0,0,IF(O492="Booked",N492,W492*AA491))</f>
        <v>0</v>
      </c>
      <c r="Y492" s="14" t="n">
        <f aca="false">IF(I492="Opening",K492,Y491+K492-W492)</f>
        <v>1311.2</v>
      </c>
      <c r="Z492" s="9" t="n">
        <f aca="false">IF(I492="Opening",L492,Z491+L492-X492)</f>
        <v>43336077.9977698</v>
      </c>
      <c r="AA492" s="9" t="n">
        <f aca="false">IF(Y492&gt;0,Z492/Y492,IF(I492="Opening",0,AA491))</f>
        <v>33050.7001203247</v>
      </c>
      <c r="AB492" s="9" t="n">
        <f aca="false">IF(AND(I492="DO",O492="MA"),S492-N492,0)</f>
        <v>0</v>
      </c>
      <c r="AC492" s="9" t="n">
        <f aca="false">IF(I492="DO",X492-S492,0)</f>
        <v>0</v>
      </c>
      <c r="AD492" s="23" t="n">
        <f aca="false">IF(B493&lt;&gt;B492,1,0)</f>
        <v>1</v>
      </c>
      <c r="AE492" s="14" t="n">
        <f aca="false">IF(I492="Opening",0,AE491+W492)</f>
        <v>23.6</v>
      </c>
      <c r="AF492" s="14" t="n">
        <f aca="false">IF(I492="Opening",K492,AF491)</f>
        <v>84.9</v>
      </c>
      <c r="AG492" s="14" t="n">
        <f aca="false">AG491</f>
        <v>68.7</v>
      </c>
      <c r="AH492" s="14" t="n">
        <f aca="false">IF(W492=0,0,MAX(0,MIN(AE492,AF492)-MIN(AE492-W492,AF492)))</f>
        <v>0</v>
      </c>
      <c r="AI492" s="14" t="n">
        <f aca="false">IF(W492=0,0,MAX(0,MIN(AE492,AF492+AG492)-MAX(AE492-W492,AF492)))</f>
        <v>0</v>
      </c>
      <c r="AJ492" s="14" t="n">
        <f aca="false">W492-AH492-AI492</f>
        <v>0</v>
      </c>
      <c r="AK492" s="9" t="n">
        <f aca="false">IF(W492=0,0,X492*AH492/W492)</f>
        <v>0</v>
      </c>
      <c r="AL492" s="9" t="n">
        <f aca="false">IF(W492=0,0,X492*AI492/W492)</f>
        <v>0</v>
      </c>
      <c r="AM492" s="9" t="n">
        <f aca="false">X492-AK492-AL492</f>
        <v>0</v>
      </c>
    </row>
    <row r="493" customFormat="false" ht="15" hidden="false" customHeight="false" outlineLevel="0" collapsed="false">
      <c r="A493" s="6" t="n">
        <v>488</v>
      </c>
      <c r="B493" s="74" t="s">
        <v>992</v>
      </c>
      <c r="C493" s="53" t="str">
        <f aca="false">INDEX(I_Items!$C$5:$C$133,MATCH($B493,I_Items!$A$5:$A$133,0))</f>
        <v>RPA</v>
      </c>
      <c r="D493" s="53" t="str">
        <f aca="false">INDEX(I_Items!$D$5:$D$133,MATCH($B493,I_Items!$A$5:$A$133,0))</f>
        <v>Karkas</v>
      </c>
      <c r="E493" s="53" t="str">
        <f aca="false">INDEX(I_Items!$F$5:$F$133,MATCH($B493,I_Items!$A$5:$A$133,0))</f>
        <v>Frozen</v>
      </c>
      <c r="F493" s="53" t="str">
        <f aca="false">IF(INDEX(I_Items!$E$5:$E$133,MATCH($B493,I_Items!$A$5:$A$133,0))="","",INDEX(I_Items!$E$5:$E$133,MATCH($B493,I_Items!$A$5:$A$133,0)))</f>
        <v>Uk 1.3</v>
      </c>
      <c r="G493" s="76" t="n">
        <v>46204</v>
      </c>
      <c r="H493" s="23" t="n">
        <f aca="false">MONTH(G493)</f>
        <v>7</v>
      </c>
      <c r="I493" s="74" t="s">
        <v>2072</v>
      </c>
      <c r="J493" s="74" t="s">
        <v>2073</v>
      </c>
      <c r="K493" s="10" t="n">
        <v>405.32</v>
      </c>
      <c r="L493" s="8" t="n">
        <v>11073143.97</v>
      </c>
      <c r="M493" s="10" t="n">
        <v>0</v>
      </c>
      <c r="N493" s="8" t="n">
        <v>0</v>
      </c>
      <c r="O493" s="74"/>
      <c r="P493" s="74"/>
      <c r="Q493" s="74"/>
      <c r="R493" s="14" t="n">
        <f aca="false">IF(I493="Unbilled",0,M493)</f>
        <v>0</v>
      </c>
      <c r="S493" s="9" t="n">
        <f aca="false">IF(R493=0,0,IF(O493="Booked",N493,R493*V492))</f>
        <v>0</v>
      </c>
      <c r="T493" s="14" t="n">
        <f aca="false">IF(I493="Opening",K493,T492+K493-R493)</f>
        <v>405.32</v>
      </c>
      <c r="U493" s="9" t="n">
        <f aca="false">IF(I493="Opening",L493,U492+L493-S493)</f>
        <v>11073143.97</v>
      </c>
      <c r="V493" s="9" t="n">
        <f aca="false">IF(T493&gt;0,U493/T493,IF(I493="Opening",0,V492))</f>
        <v>27319.5104361986</v>
      </c>
      <c r="W493" s="14" t="n">
        <f aca="false">M493</f>
        <v>0</v>
      </c>
      <c r="X493" s="9" t="n">
        <f aca="false">IF(W493=0,0,IF(O493="Booked",N493,W493*AA492))</f>
        <v>0</v>
      </c>
      <c r="Y493" s="14" t="n">
        <f aca="false">IF(I493="Opening",K493,Y492+K493-W493)</f>
        <v>405.32</v>
      </c>
      <c r="Z493" s="9" t="n">
        <f aca="false">IF(I493="Opening",L493,Z492+L493-X493)</f>
        <v>11073143.97</v>
      </c>
      <c r="AA493" s="9" t="n">
        <f aca="false">IF(Y493&gt;0,Z493/Y493,IF(I493="Opening",0,AA492))</f>
        <v>27319.5104361986</v>
      </c>
      <c r="AB493" s="9" t="n">
        <f aca="false">IF(AND(I493="DO",O493="MA"),S493-N493,0)</f>
        <v>0</v>
      </c>
      <c r="AC493" s="9" t="n">
        <f aca="false">IF(I493="DO",X493-S493,0)</f>
        <v>0</v>
      </c>
      <c r="AD493" s="23" t="n">
        <f aca="false">IF(B494&lt;&gt;B493,1,0)</f>
        <v>0</v>
      </c>
      <c r="AE493" s="14" t="n">
        <f aca="false">IF(I493="Opening",0,AE492+W493)</f>
        <v>0</v>
      </c>
      <c r="AF493" s="14" t="n">
        <f aca="false">IF(I493="Opening",K493,AF492)</f>
        <v>405.32</v>
      </c>
      <c r="AG493" s="14" t="n">
        <f aca="false">SUMIFS($K$6:$K$1110,$B$6:$B$1110,B493,$H$6:$H$1110,7,$I$6:$I$1110,"&lt;&gt;Opening")</f>
        <v>0</v>
      </c>
      <c r="AH493" s="14" t="n">
        <f aca="false">IF(W493=0,0,MAX(0,MIN(AE493,AF493)-MIN(AE493-W493,AF493)))</f>
        <v>0</v>
      </c>
      <c r="AI493" s="14" t="n">
        <f aca="false">IF(W493=0,0,MAX(0,MIN(AE493,AF493+AG493)-MAX(AE493-W493,AF493)))</f>
        <v>0</v>
      </c>
      <c r="AJ493" s="14" t="n">
        <f aca="false">W493-AH493-AI493</f>
        <v>0</v>
      </c>
      <c r="AK493" s="9" t="n">
        <f aca="false">IF(W493=0,0,X493*AH493/W493)</f>
        <v>0</v>
      </c>
      <c r="AL493" s="9" t="n">
        <f aca="false">IF(W493=0,0,X493*AI493/W493)</f>
        <v>0</v>
      </c>
      <c r="AM493" s="9" t="n">
        <f aca="false">X493-AK493-AL493</f>
        <v>0</v>
      </c>
    </row>
    <row r="494" customFormat="false" ht="15" hidden="false" customHeight="false" outlineLevel="0" collapsed="false">
      <c r="A494" s="6" t="n">
        <v>489</v>
      </c>
      <c r="B494" s="74" t="s">
        <v>992</v>
      </c>
      <c r="C494" s="53" t="str">
        <f aca="false">INDEX(I_Items!$C$5:$C$133,MATCH($B494,I_Items!$A$5:$A$133,0))</f>
        <v>RPA</v>
      </c>
      <c r="D494" s="53" t="str">
        <f aca="false">INDEX(I_Items!$D$5:$D$133,MATCH($B494,I_Items!$A$5:$A$133,0))</f>
        <v>Karkas</v>
      </c>
      <c r="E494" s="53" t="str">
        <f aca="false">INDEX(I_Items!$F$5:$F$133,MATCH($B494,I_Items!$A$5:$A$133,0))</f>
        <v>Frozen</v>
      </c>
      <c r="F494" s="53" t="str">
        <f aca="false">IF(INDEX(I_Items!$E$5:$E$133,MATCH($B494,I_Items!$A$5:$A$133,0))="","",INDEX(I_Items!$E$5:$E$133,MATCH($B494,I_Items!$A$5:$A$133,0)))</f>
        <v>Uk 1.3</v>
      </c>
      <c r="G494" s="76" t="n">
        <v>46249</v>
      </c>
      <c r="H494" s="23" t="n">
        <f aca="false">MONTH(G494)</f>
        <v>8</v>
      </c>
      <c r="I494" s="74" t="s">
        <v>2075</v>
      </c>
      <c r="J494" s="74" t="s">
        <v>2114</v>
      </c>
      <c r="K494" s="10" t="n">
        <v>0</v>
      </c>
      <c r="L494" s="8" t="n">
        <v>0</v>
      </c>
      <c r="M494" s="10" t="n">
        <v>321.18</v>
      </c>
      <c r="N494" s="8" t="n">
        <v>8774480.48</v>
      </c>
      <c r="O494" s="74" t="s">
        <v>2077</v>
      </c>
      <c r="P494" s="74" t="s">
        <v>1119</v>
      </c>
      <c r="Q494" s="74"/>
      <c r="R494" s="14" t="n">
        <f aca="false">IF(I494="Unbilled",0,M494)</f>
        <v>321.18</v>
      </c>
      <c r="S494" s="9" t="n">
        <f aca="false">IF(R494=0,0,IF(O494="Booked",N494,R494*V493))</f>
        <v>8774480.36189826</v>
      </c>
      <c r="T494" s="14" t="n">
        <f aca="false">IF(I494="Opening",K494,T493+K494-R494)</f>
        <v>84.14</v>
      </c>
      <c r="U494" s="9" t="n">
        <f aca="false">IF(I494="Opening",L494,U493+L494-S494)</f>
        <v>2298663.60810175</v>
      </c>
      <c r="V494" s="9" t="n">
        <f aca="false">IF(T494&gt;0,U494/T494,IF(I494="Opening",0,V493))</f>
        <v>27319.5104361986</v>
      </c>
      <c r="W494" s="14" t="n">
        <f aca="false">M494</f>
        <v>321.18</v>
      </c>
      <c r="X494" s="9" t="n">
        <f aca="false">IF(W494=0,0,IF(O494="Booked",N494,W494*AA493))</f>
        <v>8774480.36189826</v>
      </c>
      <c r="Y494" s="14" t="n">
        <f aca="false">IF(I494="Opening",K494,Y493+K494-W494)</f>
        <v>84.14</v>
      </c>
      <c r="Z494" s="9" t="n">
        <f aca="false">IF(I494="Opening",L494,Z493+L494-X494)</f>
        <v>2298663.60810175</v>
      </c>
      <c r="AA494" s="9" t="n">
        <f aca="false">IF(Y494&gt;0,Z494/Y494,IF(I494="Opening",0,AA493))</f>
        <v>27319.5104361986</v>
      </c>
      <c r="AB494" s="9" t="n">
        <f aca="false">IF(AND(I494="DO",O494="MA"),S494-N494,0)</f>
        <v>-0.118101745843887</v>
      </c>
      <c r="AC494" s="9" t="n">
        <f aca="false">IF(I494="DO",X494-S494,0)</f>
        <v>0</v>
      </c>
      <c r="AD494" s="23" t="n">
        <f aca="false">IF(B495&lt;&gt;B494,1,0)</f>
        <v>0</v>
      </c>
      <c r="AE494" s="14" t="n">
        <f aca="false">IF(I494="Opening",0,AE493+W494)</f>
        <v>321.18</v>
      </c>
      <c r="AF494" s="14" t="n">
        <f aca="false">IF(I494="Opening",K494,AF493)</f>
        <v>405.32</v>
      </c>
      <c r="AG494" s="14" t="n">
        <f aca="false">AG493</f>
        <v>0</v>
      </c>
      <c r="AH494" s="14" t="n">
        <f aca="false">IF(W494=0,0,MAX(0,MIN(AE494,AF494)-MIN(AE494-W494,AF494)))</f>
        <v>321.18</v>
      </c>
      <c r="AI494" s="14" t="n">
        <f aca="false">IF(W494=0,0,MAX(0,MIN(AE494,AF494+AG494)-MAX(AE494-W494,AF494)))</f>
        <v>0</v>
      </c>
      <c r="AJ494" s="14" t="n">
        <f aca="false">W494-AH494-AI494</f>
        <v>0</v>
      </c>
      <c r="AK494" s="9" t="n">
        <f aca="false">IF(W494=0,0,X494*AH494/W494)</f>
        <v>8774480.36189826</v>
      </c>
      <c r="AL494" s="9" t="n">
        <f aca="false">IF(W494=0,0,X494*AI494/W494)</f>
        <v>0</v>
      </c>
      <c r="AM494" s="9" t="n">
        <f aca="false">X494-AK494-AL494</f>
        <v>0</v>
      </c>
    </row>
    <row r="495" customFormat="false" ht="15" hidden="false" customHeight="false" outlineLevel="0" collapsed="false">
      <c r="A495" s="6" t="n">
        <v>490</v>
      </c>
      <c r="B495" s="74" t="s">
        <v>992</v>
      </c>
      <c r="C495" s="53" t="str">
        <f aca="false">INDEX(I_Items!$C$5:$C$133,MATCH($B495,I_Items!$A$5:$A$133,0))</f>
        <v>RPA</v>
      </c>
      <c r="D495" s="53" t="str">
        <f aca="false">INDEX(I_Items!$D$5:$D$133,MATCH($B495,I_Items!$A$5:$A$133,0))</f>
        <v>Karkas</v>
      </c>
      <c r="E495" s="53" t="str">
        <f aca="false">INDEX(I_Items!$F$5:$F$133,MATCH($B495,I_Items!$A$5:$A$133,0))</f>
        <v>Frozen</v>
      </c>
      <c r="F495" s="53" t="str">
        <f aca="false">IF(INDEX(I_Items!$E$5:$E$133,MATCH($B495,I_Items!$A$5:$A$133,0))="","",INDEX(I_Items!$E$5:$E$133,MATCH($B495,I_Items!$A$5:$A$133,0)))</f>
        <v>Uk 1.3</v>
      </c>
      <c r="G495" s="76" t="n">
        <v>46249</v>
      </c>
      <c r="H495" s="23" t="n">
        <f aca="false">MONTH(G495)</f>
        <v>8</v>
      </c>
      <c r="I495" s="74" t="s">
        <v>2075</v>
      </c>
      <c r="J495" s="74" t="s">
        <v>2114</v>
      </c>
      <c r="K495" s="10" t="n">
        <v>0</v>
      </c>
      <c r="L495" s="8" t="n">
        <v>0</v>
      </c>
      <c r="M495" s="10" t="n">
        <v>75.38</v>
      </c>
      <c r="N495" s="8" t="n">
        <v>2059344.72</v>
      </c>
      <c r="O495" s="74" t="s">
        <v>2077</v>
      </c>
      <c r="P495" s="74" t="s">
        <v>1119</v>
      </c>
      <c r="Q495" s="74"/>
      <c r="R495" s="14" t="n">
        <f aca="false">IF(I495="Unbilled",0,M495)</f>
        <v>75.38</v>
      </c>
      <c r="S495" s="9" t="n">
        <f aca="false">IF(R495=0,0,IF(O495="Booked",N495,R495*V494))</f>
        <v>2059344.69668065</v>
      </c>
      <c r="T495" s="14" t="n">
        <f aca="false">IF(I495="Opening",K495,T494+K495-R495)</f>
        <v>8.75999999999999</v>
      </c>
      <c r="U495" s="9" t="n">
        <f aca="false">IF(I495="Opening",L495,U494+L495-S495)</f>
        <v>239318.911421099</v>
      </c>
      <c r="V495" s="9" t="n">
        <f aca="false">IF(T495&gt;0,U495/T495,IF(I495="Opening",0,V494))</f>
        <v>27319.5104361986</v>
      </c>
      <c r="W495" s="14" t="n">
        <f aca="false">M495</f>
        <v>75.38</v>
      </c>
      <c r="X495" s="9" t="n">
        <f aca="false">IF(W495=0,0,IF(O495="Booked",N495,W495*AA494))</f>
        <v>2059344.69668065</v>
      </c>
      <c r="Y495" s="14" t="n">
        <f aca="false">IF(I495="Opening",K495,Y494+K495-W495)</f>
        <v>8.75999999999999</v>
      </c>
      <c r="Z495" s="9" t="n">
        <f aca="false">IF(I495="Opening",L495,Z494+L495-X495)</f>
        <v>239318.911421099</v>
      </c>
      <c r="AA495" s="9" t="n">
        <f aca="false">IF(Y495&gt;0,Z495/Y495,IF(I495="Opening",0,AA494))</f>
        <v>27319.5104361986</v>
      </c>
      <c r="AB495" s="9" t="n">
        <f aca="false">IF(AND(I495="DO",O495="MA"),S495-N495,0)</f>
        <v>-0.0233193531166762</v>
      </c>
      <c r="AC495" s="9" t="n">
        <f aca="false">IF(I495="DO",X495-S495,0)</f>
        <v>0</v>
      </c>
      <c r="AD495" s="23" t="n">
        <f aca="false">IF(B496&lt;&gt;B495,1,0)</f>
        <v>0</v>
      </c>
      <c r="AE495" s="14" t="n">
        <f aca="false">IF(I495="Opening",0,AE494+W495)</f>
        <v>396.56</v>
      </c>
      <c r="AF495" s="14" t="n">
        <f aca="false">IF(I495="Opening",K495,AF494)</f>
        <v>405.32</v>
      </c>
      <c r="AG495" s="14" t="n">
        <f aca="false">AG494</f>
        <v>0</v>
      </c>
      <c r="AH495" s="14" t="n">
        <f aca="false">IF(W495=0,0,MAX(0,MIN(AE495,AF495)-MIN(AE495-W495,AF495)))</f>
        <v>75.38</v>
      </c>
      <c r="AI495" s="14" t="n">
        <f aca="false">IF(W495=0,0,MAX(0,MIN(AE495,AF495+AG495)-MAX(AE495-W495,AF495)))</f>
        <v>0</v>
      </c>
      <c r="AJ495" s="14" t="n">
        <f aca="false">W495-AH495-AI495</f>
        <v>0</v>
      </c>
      <c r="AK495" s="9" t="n">
        <f aca="false">IF(W495=0,0,X495*AH495/W495)</f>
        <v>2059344.69668065</v>
      </c>
      <c r="AL495" s="9" t="n">
        <f aca="false">IF(W495=0,0,X495*AI495/W495)</f>
        <v>0</v>
      </c>
      <c r="AM495" s="9" t="n">
        <f aca="false">X495-AK495-AL495</f>
        <v>0</v>
      </c>
    </row>
    <row r="496" customFormat="false" ht="15" hidden="false" customHeight="false" outlineLevel="0" collapsed="false">
      <c r="A496" s="6" t="n">
        <v>491</v>
      </c>
      <c r="B496" s="74" t="s">
        <v>992</v>
      </c>
      <c r="C496" s="53" t="str">
        <f aca="false">INDEX(I_Items!$C$5:$C$133,MATCH($B496,I_Items!$A$5:$A$133,0))</f>
        <v>RPA</v>
      </c>
      <c r="D496" s="53" t="str">
        <f aca="false">INDEX(I_Items!$D$5:$D$133,MATCH($B496,I_Items!$A$5:$A$133,0))</f>
        <v>Karkas</v>
      </c>
      <c r="E496" s="53" t="str">
        <f aca="false">INDEX(I_Items!$F$5:$F$133,MATCH($B496,I_Items!$A$5:$A$133,0))</f>
        <v>Frozen</v>
      </c>
      <c r="F496" s="53" t="str">
        <f aca="false">IF(INDEX(I_Items!$E$5:$E$133,MATCH($B496,I_Items!$A$5:$A$133,0))="","",INDEX(I_Items!$E$5:$E$133,MATCH($B496,I_Items!$A$5:$A$133,0)))</f>
        <v>Uk 1.3</v>
      </c>
      <c r="G496" s="76" t="n">
        <v>46254</v>
      </c>
      <c r="H496" s="23" t="n">
        <f aca="false">MONTH(G496)</f>
        <v>8</v>
      </c>
      <c r="I496" s="74" t="s">
        <v>2074</v>
      </c>
      <c r="J496" s="74" t="s">
        <v>1308</v>
      </c>
      <c r="K496" s="10" t="n">
        <v>106.6</v>
      </c>
      <c r="L496" s="8" t="n">
        <v>4037106.98</v>
      </c>
      <c r="M496" s="10" t="n">
        <v>0</v>
      </c>
      <c r="N496" s="8" t="n">
        <v>0</v>
      </c>
      <c r="O496" s="74"/>
      <c r="P496" s="74"/>
      <c r="Q496" s="74"/>
      <c r="R496" s="14" t="n">
        <f aca="false">IF(I496="Unbilled",0,M496)</f>
        <v>0</v>
      </c>
      <c r="S496" s="9" t="n">
        <f aca="false">IF(R496=0,0,IF(O496="Booked",N496,R496*V495))</f>
        <v>0</v>
      </c>
      <c r="T496" s="14" t="n">
        <f aca="false">IF(I496="Opening",K496,T495+K496-R496)</f>
        <v>115.36</v>
      </c>
      <c r="U496" s="9" t="n">
        <f aca="false">IF(I496="Opening",L496,U495+L496-S496)</f>
        <v>4276425.8914211</v>
      </c>
      <c r="V496" s="9" t="n">
        <f aca="false">IF(T496&gt;0,U496/T496,IF(I496="Opening",0,V495))</f>
        <v>37070.2660490733</v>
      </c>
      <c r="W496" s="14" t="n">
        <f aca="false">M496</f>
        <v>0</v>
      </c>
      <c r="X496" s="9" t="n">
        <f aca="false">IF(W496=0,0,IF(O496="Booked",N496,W496*AA495))</f>
        <v>0</v>
      </c>
      <c r="Y496" s="14" t="n">
        <f aca="false">IF(I496="Opening",K496,Y495+K496-W496)</f>
        <v>115.36</v>
      </c>
      <c r="Z496" s="9" t="n">
        <f aca="false">IF(I496="Opening",L496,Z495+L496-X496)</f>
        <v>4276425.8914211</v>
      </c>
      <c r="AA496" s="9" t="n">
        <f aca="false">IF(Y496&gt;0,Z496/Y496,IF(I496="Opening",0,AA495))</f>
        <v>37070.2660490733</v>
      </c>
      <c r="AB496" s="9" t="n">
        <f aca="false">IF(AND(I496="DO",O496="MA"),S496-N496,0)</f>
        <v>0</v>
      </c>
      <c r="AC496" s="9" t="n">
        <f aca="false">IF(I496="DO",X496-S496,0)</f>
        <v>0</v>
      </c>
      <c r="AD496" s="23" t="n">
        <f aca="false">IF(B497&lt;&gt;B496,1,0)</f>
        <v>0</v>
      </c>
      <c r="AE496" s="14" t="n">
        <f aca="false">IF(I496="Opening",0,AE495+W496)</f>
        <v>396.56</v>
      </c>
      <c r="AF496" s="14" t="n">
        <f aca="false">IF(I496="Opening",K496,AF495)</f>
        <v>405.32</v>
      </c>
      <c r="AG496" s="14" t="n">
        <f aca="false">AG495</f>
        <v>0</v>
      </c>
      <c r="AH496" s="14" t="n">
        <f aca="false">IF(W496=0,0,MAX(0,MIN(AE496,AF496)-MIN(AE496-W496,AF496)))</f>
        <v>0</v>
      </c>
      <c r="AI496" s="14" t="n">
        <f aca="false">IF(W496=0,0,MAX(0,MIN(AE496,AF496+AG496)-MAX(AE496-W496,AF496)))</f>
        <v>0</v>
      </c>
      <c r="AJ496" s="14" t="n">
        <f aca="false">W496-AH496-AI496</f>
        <v>0</v>
      </c>
      <c r="AK496" s="9" t="n">
        <f aca="false">IF(W496=0,0,X496*AH496/W496)</f>
        <v>0</v>
      </c>
      <c r="AL496" s="9" t="n">
        <f aca="false">IF(W496=0,0,X496*AI496/W496)</f>
        <v>0</v>
      </c>
      <c r="AM496" s="9" t="n">
        <f aca="false">X496-AK496-AL496</f>
        <v>0</v>
      </c>
    </row>
    <row r="497" customFormat="false" ht="15" hidden="false" customHeight="false" outlineLevel="0" collapsed="false">
      <c r="A497" s="6" t="n">
        <v>492</v>
      </c>
      <c r="B497" s="74" t="s">
        <v>992</v>
      </c>
      <c r="C497" s="53" t="str">
        <f aca="false">INDEX(I_Items!$C$5:$C$133,MATCH($B497,I_Items!$A$5:$A$133,0))</f>
        <v>RPA</v>
      </c>
      <c r="D497" s="53" t="str">
        <f aca="false">INDEX(I_Items!$D$5:$D$133,MATCH($B497,I_Items!$A$5:$A$133,0))</f>
        <v>Karkas</v>
      </c>
      <c r="E497" s="53" t="str">
        <f aca="false">INDEX(I_Items!$F$5:$F$133,MATCH($B497,I_Items!$A$5:$A$133,0))</f>
        <v>Frozen</v>
      </c>
      <c r="F497" s="53" t="str">
        <f aca="false">IF(INDEX(I_Items!$E$5:$E$133,MATCH($B497,I_Items!$A$5:$A$133,0))="","",INDEX(I_Items!$E$5:$E$133,MATCH($B497,I_Items!$A$5:$A$133,0)))</f>
        <v>Uk 1.3</v>
      </c>
      <c r="G497" s="76" t="n">
        <v>46255</v>
      </c>
      <c r="H497" s="23" t="n">
        <f aca="false">MONTH(G497)</f>
        <v>8</v>
      </c>
      <c r="I497" s="74" t="s">
        <v>2074</v>
      </c>
      <c r="J497" s="74" t="s">
        <v>1311</v>
      </c>
      <c r="K497" s="10" t="n">
        <v>228.7</v>
      </c>
      <c r="L497" s="8" t="n">
        <v>8739912.34</v>
      </c>
      <c r="M497" s="10" t="n">
        <v>0</v>
      </c>
      <c r="N497" s="8" t="n">
        <v>0</v>
      </c>
      <c r="O497" s="74"/>
      <c r="P497" s="74"/>
      <c r="Q497" s="74"/>
      <c r="R497" s="14" t="n">
        <f aca="false">IF(I497="Unbilled",0,M497)</f>
        <v>0</v>
      </c>
      <c r="S497" s="9" t="n">
        <f aca="false">IF(R497=0,0,IF(O497="Booked",N497,R497*V496))</f>
        <v>0</v>
      </c>
      <c r="T497" s="14" t="n">
        <f aca="false">IF(I497="Opening",K497,T496+K497-R497)</f>
        <v>344.06</v>
      </c>
      <c r="U497" s="9" t="n">
        <f aca="false">IF(I497="Opening",L497,U496+L497-S497)</f>
        <v>13016338.2314211</v>
      </c>
      <c r="V497" s="9" t="n">
        <f aca="false">IF(T497&gt;0,U497/T497,IF(I497="Opening",0,V496))</f>
        <v>37831.5939993638</v>
      </c>
      <c r="W497" s="14" t="n">
        <f aca="false">M497</f>
        <v>0</v>
      </c>
      <c r="X497" s="9" t="n">
        <f aca="false">IF(W497=0,0,IF(O497="Booked",N497,W497*AA496))</f>
        <v>0</v>
      </c>
      <c r="Y497" s="14" t="n">
        <f aca="false">IF(I497="Opening",K497,Y496+K497-W497)</f>
        <v>344.06</v>
      </c>
      <c r="Z497" s="9" t="n">
        <f aca="false">IF(I497="Opening",L497,Z496+L497-X497)</f>
        <v>13016338.2314211</v>
      </c>
      <c r="AA497" s="9" t="n">
        <f aca="false">IF(Y497&gt;0,Z497/Y497,IF(I497="Opening",0,AA496))</f>
        <v>37831.5939993638</v>
      </c>
      <c r="AB497" s="9" t="n">
        <f aca="false">IF(AND(I497="DO",O497="MA"),S497-N497,0)</f>
        <v>0</v>
      </c>
      <c r="AC497" s="9" t="n">
        <f aca="false">IF(I497="DO",X497-S497,0)</f>
        <v>0</v>
      </c>
      <c r="AD497" s="23" t="n">
        <f aca="false">IF(B498&lt;&gt;B497,1,0)</f>
        <v>0</v>
      </c>
      <c r="AE497" s="14" t="n">
        <f aca="false">IF(I497="Opening",0,AE496+W497)</f>
        <v>396.56</v>
      </c>
      <c r="AF497" s="14" t="n">
        <f aca="false">IF(I497="Opening",K497,AF496)</f>
        <v>405.32</v>
      </c>
      <c r="AG497" s="14" t="n">
        <f aca="false">AG496</f>
        <v>0</v>
      </c>
      <c r="AH497" s="14" t="n">
        <f aca="false">IF(W497=0,0,MAX(0,MIN(AE497,AF497)-MIN(AE497-W497,AF497)))</f>
        <v>0</v>
      </c>
      <c r="AI497" s="14" t="n">
        <f aca="false">IF(W497=0,0,MAX(0,MIN(AE497,AF497+AG497)-MAX(AE497-W497,AF497)))</f>
        <v>0</v>
      </c>
      <c r="AJ497" s="14" t="n">
        <f aca="false">W497-AH497-AI497</f>
        <v>0</v>
      </c>
      <c r="AK497" s="9" t="n">
        <f aca="false">IF(W497=0,0,X497*AH497/W497)</f>
        <v>0</v>
      </c>
      <c r="AL497" s="9" t="n">
        <f aca="false">IF(W497=0,0,X497*AI497/W497)</f>
        <v>0</v>
      </c>
      <c r="AM497" s="9" t="n">
        <f aca="false">X497-AK497-AL497</f>
        <v>0</v>
      </c>
    </row>
    <row r="498" customFormat="false" ht="15" hidden="false" customHeight="false" outlineLevel="0" collapsed="false">
      <c r="A498" s="6" t="n">
        <v>493</v>
      </c>
      <c r="B498" s="74" t="s">
        <v>992</v>
      </c>
      <c r="C498" s="53" t="str">
        <f aca="false">INDEX(I_Items!$C$5:$C$133,MATCH($B498,I_Items!$A$5:$A$133,0))</f>
        <v>RPA</v>
      </c>
      <c r="D498" s="53" t="str">
        <f aca="false">INDEX(I_Items!$D$5:$D$133,MATCH($B498,I_Items!$A$5:$A$133,0))</f>
        <v>Karkas</v>
      </c>
      <c r="E498" s="53" t="str">
        <f aca="false">INDEX(I_Items!$F$5:$F$133,MATCH($B498,I_Items!$A$5:$A$133,0))</f>
        <v>Frozen</v>
      </c>
      <c r="F498" s="53" t="str">
        <f aca="false">IF(INDEX(I_Items!$E$5:$E$133,MATCH($B498,I_Items!$A$5:$A$133,0))="","",INDEX(I_Items!$E$5:$E$133,MATCH($B498,I_Items!$A$5:$A$133,0)))</f>
        <v>Uk 1.3</v>
      </c>
      <c r="G498" s="76" t="n">
        <v>46263</v>
      </c>
      <c r="H498" s="23" t="n">
        <f aca="false">MONTH(G498)</f>
        <v>8</v>
      </c>
      <c r="I498" s="74" t="s">
        <v>2075</v>
      </c>
      <c r="J498" s="74" t="s">
        <v>2148</v>
      </c>
      <c r="K498" s="10" t="n">
        <v>0</v>
      </c>
      <c r="L498" s="8" t="n">
        <v>0</v>
      </c>
      <c r="M498" s="10" t="n">
        <v>42.8</v>
      </c>
      <c r="N498" s="8" t="n">
        <v>1619192.22</v>
      </c>
      <c r="O498" s="74" t="s">
        <v>2077</v>
      </c>
      <c r="P498" s="74"/>
      <c r="Q498" s="74"/>
      <c r="R498" s="14" t="n">
        <f aca="false">IF(I498="Unbilled",0,M498)</f>
        <v>42.8</v>
      </c>
      <c r="S498" s="9" t="n">
        <f aca="false">IF(R498=0,0,IF(O498="Booked",N498,R498*V497))</f>
        <v>1619192.22317277</v>
      </c>
      <c r="T498" s="14" t="n">
        <f aca="false">IF(I498="Opening",K498,T497+K498-R498)</f>
        <v>301.26</v>
      </c>
      <c r="U498" s="9" t="n">
        <f aca="false">IF(I498="Opening",L498,U497+L498-S498)</f>
        <v>11397146.0082483</v>
      </c>
      <c r="V498" s="9" t="n">
        <f aca="false">IF(T498&gt;0,U498/T498,IF(I498="Opening",0,V497))</f>
        <v>37831.5939993638</v>
      </c>
      <c r="W498" s="14" t="n">
        <f aca="false">M498</f>
        <v>42.8</v>
      </c>
      <c r="X498" s="9" t="n">
        <f aca="false">IF(W498=0,0,IF(O498="Booked",N498,W498*AA497))</f>
        <v>1619192.22317277</v>
      </c>
      <c r="Y498" s="14" t="n">
        <f aca="false">IF(I498="Opening",K498,Y497+K498-W498)</f>
        <v>301.26</v>
      </c>
      <c r="Z498" s="9" t="n">
        <f aca="false">IF(I498="Opening",L498,Z497+L498-X498)</f>
        <v>11397146.0082483</v>
      </c>
      <c r="AA498" s="9" t="n">
        <f aca="false">IF(Y498&gt;0,Z498/Y498,IF(I498="Opening",0,AA497))</f>
        <v>37831.5939993638</v>
      </c>
      <c r="AB498" s="9" t="n">
        <f aca="false">IF(AND(I498="DO",O498="MA"),S498-N498,0)</f>
        <v>0.00317276944406331</v>
      </c>
      <c r="AC498" s="9" t="n">
        <f aca="false">IF(I498="DO",X498-S498,0)</f>
        <v>0</v>
      </c>
      <c r="AD498" s="23" t="n">
        <f aca="false">IF(B499&lt;&gt;B498,1,0)</f>
        <v>1</v>
      </c>
      <c r="AE498" s="14" t="n">
        <f aca="false">IF(I498="Opening",0,AE497+W498)</f>
        <v>439.36</v>
      </c>
      <c r="AF498" s="14" t="n">
        <f aca="false">IF(I498="Opening",K498,AF497)</f>
        <v>405.32</v>
      </c>
      <c r="AG498" s="14" t="n">
        <f aca="false">AG497</f>
        <v>0</v>
      </c>
      <c r="AH498" s="14" t="n">
        <f aca="false">IF(W498=0,0,MAX(0,MIN(AE498,AF498)-MIN(AE498-W498,AF498)))</f>
        <v>8.75999999999999</v>
      </c>
      <c r="AI498" s="14" t="n">
        <f aca="false">IF(W498=0,0,MAX(0,MIN(AE498,AF498+AG498)-MAX(AE498-W498,AF498)))</f>
        <v>0</v>
      </c>
      <c r="AJ498" s="14" t="n">
        <f aca="false">W498-AH498-AI498</f>
        <v>34.04</v>
      </c>
      <c r="AK498" s="9" t="n">
        <f aca="false">IF(W498=0,0,X498*AH498/W498)</f>
        <v>331404.763434426</v>
      </c>
      <c r="AL498" s="9" t="n">
        <f aca="false">IF(W498=0,0,X498*AI498/W498)</f>
        <v>0</v>
      </c>
      <c r="AM498" s="9" t="n">
        <f aca="false">X498-AK498-AL498</f>
        <v>1287787.45973834</v>
      </c>
    </row>
    <row r="499" customFormat="false" ht="15" hidden="false" customHeight="false" outlineLevel="0" collapsed="false">
      <c r="A499" s="6" t="n">
        <v>494</v>
      </c>
      <c r="B499" s="74" t="s">
        <v>993</v>
      </c>
      <c r="C499" s="53" t="str">
        <f aca="false">INDEX(I_Items!$C$5:$C$133,MATCH($B499,I_Items!$A$5:$A$133,0))</f>
        <v>RPA</v>
      </c>
      <c r="D499" s="53" t="str">
        <f aca="false">INDEX(I_Items!$D$5:$D$133,MATCH($B499,I_Items!$A$5:$A$133,0))</f>
        <v>Karkas</v>
      </c>
      <c r="E499" s="53" t="str">
        <f aca="false">INDEX(I_Items!$F$5:$F$133,MATCH($B499,I_Items!$A$5:$A$133,0))</f>
        <v>Fresh</v>
      </c>
      <c r="F499" s="53" t="str">
        <f aca="false">IF(INDEX(I_Items!$E$5:$E$133,MATCH($B499,I_Items!$A$5:$A$133,0))="","",INDEX(I_Items!$E$5:$E$133,MATCH($B499,I_Items!$A$5:$A$133,0)))</f>
        <v>Uk 1.4</v>
      </c>
      <c r="G499" s="76" t="n">
        <v>46204</v>
      </c>
      <c r="H499" s="23" t="n">
        <f aca="false">MONTH(G499)</f>
        <v>7</v>
      </c>
      <c r="I499" s="74" t="s">
        <v>2072</v>
      </c>
      <c r="J499" s="74" t="s">
        <v>2073</v>
      </c>
      <c r="K499" s="10" t="n">
        <v>0</v>
      </c>
      <c r="L499" s="8" t="n">
        <v>0.08</v>
      </c>
      <c r="M499" s="10" t="n">
        <v>0</v>
      </c>
      <c r="N499" s="8" t="n">
        <v>0</v>
      </c>
      <c r="O499" s="74"/>
      <c r="P499" s="74"/>
      <c r="Q499" s="74"/>
      <c r="R499" s="14" t="n">
        <f aca="false">IF(I499="Unbilled",0,M499)</f>
        <v>0</v>
      </c>
      <c r="S499" s="9" t="n">
        <f aca="false">IF(R499=0,0,IF(O499="Booked",N499,R499*V498))</f>
        <v>0</v>
      </c>
      <c r="T499" s="14" t="n">
        <f aca="false">IF(I499="Opening",K499,T498+K499-R499)</f>
        <v>0</v>
      </c>
      <c r="U499" s="9" t="n">
        <f aca="false">IF(I499="Opening",L499,U498+L499-S499)</f>
        <v>0.08</v>
      </c>
      <c r="V499" s="9" t="n">
        <f aca="false">IF(T499&gt;0,U499/T499,IF(I499="Opening",0,V498))</f>
        <v>0</v>
      </c>
      <c r="W499" s="14" t="n">
        <f aca="false">M499</f>
        <v>0</v>
      </c>
      <c r="X499" s="9" t="n">
        <f aca="false">IF(W499=0,0,IF(O499="Booked",N499,W499*AA498))</f>
        <v>0</v>
      </c>
      <c r="Y499" s="14" t="n">
        <f aca="false">IF(I499="Opening",K499,Y498+K499-W499)</f>
        <v>0</v>
      </c>
      <c r="Z499" s="9" t="n">
        <f aca="false">IF(I499="Opening",L499,Z498+L499-X499)</f>
        <v>0.08</v>
      </c>
      <c r="AA499" s="9" t="n">
        <f aca="false">IF(Y499&gt;0,Z499/Y499,IF(I499="Opening",0,AA498))</f>
        <v>0</v>
      </c>
      <c r="AB499" s="9" t="n">
        <f aca="false">IF(AND(I499="DO",O499="MA"),S499-N499,0)</f>
        <v>0</v>
      </c>
      <c r="AC499" s="9" t="n">
        <f aca="false">IF(I499="DO",X499-S499,0)</f>
        <v>0</v>
      </c>
      <c r="AD499" s="23" t="n">
        <f aca="false">IF(B500&lt;&gt;B499,1,0)</f>
        <v>0</v>
      </c>
      <c r="AE499" s="14" t="n">
        <f aca="false">IF(I499="Opening",0,AE498+W499)</f>
        <v>0</v>
      </c>
      <c r="AF499" s="14" t="n">
        <f aca="false">IF(I499="Opening",K499,AF498)</f>
        <v>0</v>
      </c>
      <c r="AG499" s="14" t="n">
        <f aca="false">SUMIFS($K$6:$K$1110,$B$6:$B$1110,B499,$H$6:$H$1110,7,$I$6:$I$1110,"&lt;&gt;Opening")</f>
        <v>0</v>
      </c>
      <c r="AH499" s="14" t="n">
        <f aca="false">IF(W499=0,0,MAX(0,MIN(AE499,AF499)-MIN(AE499-W499,AF499)))</f>
        <v>0</v>
      </c>
      <c r="AI499" s="14" t="n">
        <f aca="false">IF(W499=0,0,MAX(0,MIN(AE499,AF499+AG499)-MAX(AE499-W499,AF499)))</f>
        <v>0</v>
      </c>
      <c r="AJ499" s="14" t="n">
        <f aca="false">W499-AH499-AI499</f>
        <v>0</v>
      </c>
      <c r="AK499" s="9" t="n">
        <f aca="false">IF(W499=0,0,X499*AH499/W499)</f>
        <v>0</v>
      </c>
      <c r="AL499" s="9" t="n">
        <f aca="false">IF(W499=0,0,X499*AI499/W499)</f>
        <v>0</v>
      </c>
      <c r="AM499" s="9" t="n">
        <f aca="false">X499-AK499-AL499</f>
        <v>0</v>
      </c>
    </row>
    <row r="500" customFormat="false" ht="15" hidden="false" customHeight="false" outlineLevel="0" collapsed="false">
      <c r="A500" s="6" t="n">
        <v>495</v>
      </c>
      <c r="B500" s="74" t="s">
        <v>993</v>
      </c>
      <c r="C500" s="53" t="str">
        <f aca="false">INDEX(I_Items!$C$5:$C$133,MATCH($B500,I_Items!$A$5:$A$133,0))</f>
        <v>RPA</v>
      </c>
      <c r="D500" s="53" t="str">
        <f aca="false">INDEX(I_Items!$D$5:$D$133,MATCH($B500,I_Items!$A$5:$A$133,0))</f>
        <v>Karkas</v>
      </c>
      <c r="E500" s="53" t="str">
        <f aca="false">INDEX(I_Items!$F$5:$F$133,MATCH($B500,I_Items!$A$5:$A$133,0))</f>
        <v>Fresh</v>
      </c>
      <c r="F500" s="53" t="str">
        <f aca="false">IF(INDEX(I_Items!$E$5:$E$133,MATCH($B500,I_Items!$A$5:$A$133,0))="","",INDEX(I_Items!$E$5:$E$133,MATCH($B500,I_Items!$A$5:$A$133,0)))</f>
        <v>Uk 1.4</v>
      </c>
      <c r="G500" s="76" t="n">
        <v>46241</v>
      </c>
      <c r="H500" s="23" t="n">
        <f aca="false">MONTH(G500)</f>
        <v>8</v>
      </c>
      <c r="I500" s="74" t="s">
        <v>2074</v>
      </c>
      <c r="J500" s="74" t="s">
        <v>1290</v>
      </c>
      <c r="K500" s="10" t="n">
        <v>24.4</v>
      </c>
      <c r="L500" s="8" t="n">
        <v>930064.31</v>
      </c>
      <c r="M500" s="10" t="n">
        <v>0</v>
      </c>
      <c r="N500" s="8" t="n">
        <v>0</v>
      </c>
      <c r="O500" s="74"/>
      <c r="P500" s="74"/>
      <c r="Q500" s="74"/>
      <c r="R500" s="14" t="n">
        <f aca="false">IF(I500="Unbilled",0,M500)</f>
        <v>0</v>
      </c>
      <c r="S500" s="9" t="n">
        <f aca="false">IF(R500=0,0,IF(O500="Booked",N500,R500*V499))</f>
        <v>0</v>
      </c>
      <c r="T500" s="14" t="n">
        <f aca="false">IF(I500="Opening",K500,T499+K500-R500)</f>
        <v>24.4</v>
      </c>
      <c r="U500" s="9" t="n">
        <f aca="false">IF(I500="Opening",L500,U499+L500-S500)</f>
        <v>930064.39</v>
      </c>
      <c r="V500" s="9" t="n">
        <f aca="false">IF(T500&gt;0,U500/T500,IF(I500="Opening",0,V499))</f>
        <v>38117.3930327869</v>
      </c>
      <c r="W500" s="14" t="n">
        <f aca="false">M500</f>
        <v>0</v>
      </c>
      <c r="X500" s="9" t="n">
        <f aca="false">IF(W500=0,0,IF(O500="Booked",N500,W500*AA499))</f>
        <v>0</v>
      </c>
      <c r="Y500" s="14" t="n">
        <f aca="false">IF(I500="Opening",K500,Y499+K500-W500)</f>
        <v>24.4</v>
      </c>
      <c r="Z500" s="9" t="n">
        <f aca="false">IF(I500="Opening",L500,Z499+L500-X500)</f>
        <v>930064.39</v>
      </c>
      <c r="AA500" s="9" t="n">
        <f aca="false">IF(Y500&gt;0,Z500/Y500,IF(I500="Opening",0,AA499))</f>
        <v>38117.3930327869</v>
      </c>
      <c r="AB500" s="9" t="n">
        <f aca="false">IF(AND(I500="DO",O500="MA"),S500-N500,0)</f>
        <v>0</v>
      </c>
      <c r="AC500" s="9" t="n">
        <f aca="false">IF(I500="DO",X500-S500,0)</f>
        <v>0</v>
      </c>
      <c r="AD500" s="23" t="n">
        <f aca="false">IF(B501&lt;&gt;B500,1,0)</f>
        <v>0</v>
      </c>
      <c r="AE500" s="14" t="n">
        <f aca="false">IF(I500="Opening",0,AE499+W500)</f>
        <v>0</v>
      </c>
      <c r="AF500" s="14" t="n">
        <f aca="false">IF(I500="Opening",K500,AF499)</f>
        <v>0</v>
      </c>
      <c r="AG500" s="14" t="n">
        <f aca="false">AG499</f>
        <v>0</v>
      </c>
      <c r="AH500" s="14" t="n">
        <f aca="false">IF(W500=0,0,MAX(0,MIN(AE500,AF500)-MIN(AE500-W500,AF500)))</f>
        <v>0</v>
      </c>
      <c r="AI500" s="14" t="n">
        <f aca="false">IF(W500=0,0,MAX(0,MIN(AE500,AF500+AG500)-MAX(AE500-W500,AF500)))</f>
        <v>0</v>
      </c>
      <c r="AJ500" s="14" t="n">
        <f aca="false">W500-AH500-AI500</f>
        <v>0</v>
      </c>
      <c r="AK500" s="9" t="n">
        <f aca="false">IF(W500=0,0,X500*AH500/W500)</f>
        <v>0</v>
      </c>
      <c r="AL500" s="9" t="n">
        <f aca="false">IF(W500=0,0,X500*AI500/W500)</f>
        <v>0</v>
      </c>
      <c r="AM500" s="9" t="n">
        <f aca="false">X500-AK500-AL500</f>
        <v>0</v>
      </c>
    </row>
    <row r="501" customFormat="false" ht="15" hidden="false" customHeight="false" outlineLevel="0" collapsed="false">
      <c r="A501" s="6" t="n">
        <v>496</v>
      </c>
      <c r="B501" s="74" t="s">
        <v>993</v>
      </c>
      <c r="C501" s="53" t="str">
        <f aca="false">INDEX(I_Items!$C$5:$C$133,MATCH($B501,I_Items!$A$5:$A$133,0))</f>
        <v>RPA</v>
      </c>
      <c r="D501" s="53" t="str">
        <f aca="false">INDEX(I_Items!$D$5:$D$133,MATCH($B501,I_Items!$A$5:$A$133,0))</f>
        <v>Karkas</v>
      </c>
      <c r="E501" s="53" t="str">
        <f aca="false">INDEX(I_Items!$F$5:$F$133,MATCH($B501,I_Items!$A$5:$A$133,0))</f>
        <v>Fresh</v>
      </c>
      <c r="F501" s="53" t="str">
        <f aca="false">IF(INDEX(I_Items!$E$5:$E$133,MATCH($B501,I_Items!$A$5:$A$133,0))="","",INDEX(I_Items!$E$5:$E$133,MATCH($B501,I_Items!$A$5:$A$133,0)))</f>
        <v>Uk 1.4</v>
      </c>
      <c r="G501" s="76" t="n">
        <v>46244</v>
      </c>
      <c r="H501" s="23" t="n">
        <f aca="false">MONTH(G501)</f>
        <v>8</v>
      </c>
      <c r="I501" s="74" t="s">
        <v>2074</v>
      </c>
      <c r="J501" s="74" t="s">
        <v>1294</v>
      </c>
      <c r="K501" s="10" t="n">
        <v>72.3</v>
      </c>
      <c r="L501" s="8" t="n">
        <v>2593995.72</v>
      </c>
      <c r="M501" s="10" t="n">
        <v>0</v>
      </c>
      <c r="N501" s="8" t="n">
        <v>0</v>
      </c>
      <c r="O501" s="74"/>
      <c r="P501" s="74"/>
      <c r="Q501" s="74"/>
      <c r="R501" s="14" t="n">
        <f aca="false">IF(I501="Unbilled",0,M501)</f>
        <v>0</v>
      </c>
      <c r="S501" s="9" t="n">
        <f aca="false">IF(R501=0,0,IF(O501="Booked",N501,R501*V500))</f>
        <v>0</v>
      </c>
      <c r="T501" s="14" t="n">
        <f aca="false">IF(I501="Opening",K501,T500+K501-R501)</f>
        <v>96.7</v>
      </c>
      <c r="U501" s="9" t="n">
        <f aca="false">IF(I501="Opening",L501,U500+L501-S501)</f>
        <v>3524060.11</v>
      </c>
      <c r="V501" s="9" t="n">
        <f aca="false">IF(T501&gt;0,U501/T501,IF(I501="Opening",0,V500))</f>
        <v>36443.2276111686</v>
      </c>
      <c r="W501" s="14" t="n">
        <f aca="false">M501</f>
        <v>0</v>
      </c>
      <c r="X501" s="9" t="n">
        <f aca="false">IF(W501=0,0,IF(O501="Booked",N501,W501*AA500))</f>
        <v>0</v>
      </c>
      <c r="Y501" s="14" t="n">
        <f aca="false">IF(I501="Opening",K501,Y500+K501-W501)</f>
        <v>96.7</v>
      </c>
      <c r="Z501" s="9" t="n">
        <f aca="false">IF(I501="Opening",L501,Z500+L501-X501)</f>
        <v>3524060.11</v>
      </c>
      <c r="AA501" s="9" t="n">
        <f aca="false">IF(Y501&gt;0,Z501/Y501,IF(I501="Opening",0,AA500))</f>
        <v>36443.2276111686</v>
      </c>
      <c r="AB501" s="9" t="n">
        <f aca="false">IF(AND(I501="DO",O501="MA"),S501-N501,0)</f>
        <v>0</v>
      </c>
      <c r="AC501" s="9" t="n">
        <f aca="false">IF(I501="DO",X501-S501,0)</f>
        <v>0</v>
      </c>
      <c r="AD501" s="23" t="n">
        <f aca="false">IF(B502&lt;&gt;B501,1,0)</f>
        <v>0</v>
      </c>
      <c r="AE501" s="14" t="n">
        <f aca="false">IF(I501="Opening",0,AE500+W501)</f>
        <v>0</v>
      </c>
      <c r="AF501" s="14" t="n">
        <f aca="false">IF(I501="Opening",K501,AF500)</f>
        <v>0</v>
      </c>
      <c r="AG501" s="14" t="n">
        <f aca="false">AG500</f>
        <v>0</v>
      </c>
      <c r="AH501" s="14" t="n">
        <f aca="false">IF(W501=0,0,MAX(0,MIN(AE501,AF501)-MIN(AE501-W501,AF501)))</f>
        <v>0</v>
      </c>
      <c r="AI501" s="14" t="n">
        <f aca="false">IF(W501=0,0,MAX(0,MIN(AE501,AF501+AG501)-MAX(AE501-W501,AF501)))</f>
        <v>0</v>
      </c>
      <c r="AJ501" s="14" t="n">
        <f aca="false">W501-AH501-AI501</f>
        <v>0</v>
      </c>
      <c r="AK501" s="9" t="n">
        <f aca="false">IF(W501=0,0,X501*AH501/W501)</f>
        <v>0</v>
      </c>
      <c r="AL501" s="9" t="n">
        <f aca="false">IF(W501=0,0,X501*AI501/W501)</f>
        <v>0</v>
      </c>
      <c r="AM501" s="9" t="n">
        <f aca="false">X501-AK501-AL501</f>
        <v>0</v>
      </c>
    </row>
    <row r="502" customFormat="false" ht="15" hidden="false" customHeight="false" outlineLevel="0" collapsed="false">
      <c r="A502" s="6" t="n">
        <v>497</v>
      </c>
      <c r="B502" s="74" t="s">
        <v>993</v>
      </c>
      <c r="C502" s="53" t="str">
        <f aca="false">INDEX(I_Items!$C$5:$C$133,MATCH($B502,I_Items!$A$5:$A$133,0))</f>
        <v>RPA</v>
      </c>
      <c r="D502" s="53" t="str">
        <f aca="false">INDEX(I_Items!$D$5:$D$133,MATCH($B502,I_Items!$A$5:$A$133,0))</f>
        <v>Karkas</v>
      </c>
      <c r="E502" s="53" t="str">
        <f aca="false">INDEX(I_Items!$F$5:$F$133,MATCH($B502,I_Items!$A$5:$A$133,0))</f>
        <v>Fresh</v>
      </c>
      <c r="F502" s="53" t="str">
        <f aca="false">IF(INDEX(I_Items!$E$5:$E$133,MATCH($B502,I_Items!$A$5:$A$133,0))="","",INDEX(I_Items!$E$5:$E$133,MATCH($B502,I_Items!$A$5:$A$133,0)))</f>
        <v>Uk 1.4</v>
      </c>
      <c r="G502" s="76" t="n">
        <v>46244</v>
      </c>
      <c r="H502" s="23" t="n">
        <f aca="false">MONTH(G502)</f>
        <v>8</v>
      </c>
      <c r="I502" s="74" t="s">
        <v>2074</v>
      </c>
      <c r="J502" s="74" t="s">
        <v>1298</v>
      </c>
      <c r="K502" s="10" t="n">
        <v>608.4</v>
      </c>
      <c r="L502" s="8" t="n">
        <v>23079187.78</v>
      </c>
      <c r="M502" s="10" t="n">
        <v>0</v>
      </c>
      <c r="N502" s="8" t="n">
        <v>0</v>
      </c>
      <c r="O502" s="74"/>
      <c r="P502" s="74"/>
      <c r="Q502" s="74"/>
      <c r="R502" s="14" t="n">
        <f aca="false">IF(I502="Unbilled",0,M502)</f>
        <v>0</v>
      </c>
      <c r="S502" s="9" t="n">
        <f aca="false">IF(R502=0,0,IF(O502="Booked",N502,R502*V501))</f>
        <v>0</v>
      </c>
      <c r="T502" s="14" t="n">
        <f aca="false">IF(I502="Opening",K502,T501+K502-R502)</f>
        <v>705.1</v>
      </c>
      <c r="U502" s="9" t="n">
        <f aca="false">IF(I502="Opening",L502,U501+L502-S502)</f>
        <v>26603247.89</v>
      </c>
      <c r="V502" s="9" t="n">
        <f aca="false">IF(T502&gt;0,U502/T502,IF(I502="Opening",0,V501))</f>
        <v>37729.7516522479</v>
      </c>
      <c r="W502" s="14" t="n">
        <f aca="false">M502</f>
        <v>0</v>
      </c>
      <c r="X502" s="9" t="n">
        <f aca="false">IF(W502=0,0,IF(O502="Booked",N502,W502*AA501))</f>
        <v>0</v>
      </c>
      <c r="Y502" s="14" t="n">
        <f aca="false">IF(I502="Opening",K502,Y501+K502-W502)</f>
        <v>705.1</v>
      </c>
      <c r="Z502" s="9" t="n">
        <f aca="false">IF(I502="Opening",L502,Z501+L502-X502)</f>
        <v>26603247.89</v>
      </c>
      <c r="AA502" s="9" t="n">
        <f aca="false">IF(Y502&gt;0,Z502/Y502,IF(I502="Opening",0,AA501))</f>
        <v>37729.7516522479</v>
      </c>
      <c r="AB502" s="9" t="n">
        <f aca="false">IF(AND(I502="DO",O502="MA"),S502-N502,0)</f>
        <v>0</v>
      </c>
      <c r="AC502" s="9" t="n">
        <f aca="false">IF(I502="DO",X502-S502,0)</f>
        <v>0</v>
      </c>
      <c r="AD502" s="23" t="n">
        <f aca="false">IF(B503&lt;&gt;B502,1,0)</f>
        <v>0</v>
      </c>
      <c r="AE502" s="14" t="n">
        <f aca="false">IF(I502="Opening",0,AE501+W502)</f>
        <v>0</v>
      </c>
      <c r="AF502" s="14" t="n">
        <f aca="false">IF(I502="Opening",K502,AF501)</f>
        <v>0</v>
      </c>
      <c r="AG502" s="14" t="n">
        <f aca="false">AG501</f>
        <v>0</v>
      </c>
      <c r="AH502" s="14" t="n">
        <f aca="false">IF(W502=0,0,MAX(0,MIN(AE502,AF502)-MIN(AE502-W502,AF502)))</f>
        <v>0</v>
      </c>
      <c r="AI502" s="14" t="n">
        <f aca="false">IF(W502=0,0,MAX(0,MIN(AE502,AF502+AG502)-MAX(AE502-W502,AF502)))</f>
        <v>0</v>
      </c>
      <c r="AJ502" s="14" t="n">
        <f aca="false">W502-AH502-AI502</f>
        <v>0</v>
      </c>
      <c r="AK502" s="9" t="n">
        <f aca="false">IF(W502=0,0,X502*AH502/W502)</f>
        <v>0</v>
      </c>
      <c r="AL502" s="9" t="n">
        <f aca="false">IF(W502=0,0,X502*AI502/W502)</f>
        <v>0</v>
      </c>
      <c r="AM502" s="9" t="n">
        <f aca="false">X502-AK502-AL502</f>
        <v>0</v>
      </c>
    </row>
    <row r="503" customFormat="false" ht="15" hidden="false" customHeight="false" outlineLevel="0" collapsed="false">
      <c r="A503" s="6" t="n">
        <v>498</v>
      </c>
      <c r="B503" s="74" t="s">
        <v>993</v>
      </c>
      <c r="C503" s="53" t="str">
        <f aca="false">INDEX(I_Items!$C$5:$C$133,MATCH($B503,I_Items!$A$5:$A$133,0))</f>
        <v>RPA</v>
      </c>
      <c r="D503" s="53" t="str">
        <f aca="false">INDEX(I_Items!$D$5:$D$133,MATCH($B503,I_Items!$A$5:$A$133,0))</f>
        <v>Karkas</v>
      </c>
      <c r="E503" s="53" t="str">
        <f aca="false">INDEX(I_Items!$F$5:$F$133,MATCH($B503,I_Items!$A$5:$A$133,0))</f>
        <v>Fresh</v>
      </c>
      <c r="F503" s="53" t="str">
        <f aca="false">IF(INDEX(I_Items!$E$5:$E$133,MATCH($B503,I_Items!$A$5:$A$133,0))="","",INDEX(I_Items!$E$5:$E$133,MATCH($B503,I_Items!$A$5:$A$133,0)))</f>
        <v>Uk 1.4</v>
      </c>
      <c r="G503" s="76" t="n">
        <v>46246</v>
      </c>
      <c r="H503" s="23" t="n">
        <f aca="false">MONTH(G503)</f>
        <v>8</v>
      </c>
      <c r="I503" s="74" t="s">
        <v>2075</v>
      </c>
      <c r="J503" s="74" t="s">
        <v>2131</v>
      </c>
      <c r="K503" s="10" t="n">
        <v>0</v>
      </c>
      <c r="L503" s="8" t="n">
        <v>0</v>
      </c>
      <c r="M503" s="10" t="n">
        <v>32.92</v>
      </c>
      <c r="N503" s="8" t="n">
        <v>1242063.42</v>
      </c>
      <c r="O503" s="74" t="s">
        <v>2077</v>
      </c>
      <c r="P503" s="74"/>
      <c r="Q503" s="74"/>
      <c r="R503" s="14" t="n">
        <f aca="false">IF(I503="Unbilled",0,M503)</f>
        <v>32.92</v>
      </c>
      <c r="S503" s="9" t="n">
        <f aca="false">IF(R503=0,0,IF(O503="Booked",N503,R503*V502))</f>
        <v>1242063.424392</v>
      </c>
      <c r="T503" s="14" t="n">
        <f aca="false">IF(I503="Opening",K503,T502+K503-R503)</f>
        <v>672.18</v>
      </c>
      <c r="U503" s="9" t="n">
        <f aca="false">IF(I503="Opening",L503,U502+L503-S503)</f>
        <v>25361184.465608</v>
      </c>
      <c r="V503" s="9" t="n">
        <f aca="false">IF(T503&gt;0,U503/T503,IF(I503="Opening",0,V502))</f>
        <v>37729.7516522479</v>
      </c>
      <c r="W503" s="14" t="n">
        <f aca="false">M503</f>
        <v>32.92</v>
      </c>
      <c r="X503" s="9" t="n">
        <f aca="false">IF(W503=0,0,IF(O503="Booked",N503,W503*AA502))</f>
        <v>1242063.424392</v>
      </c>
      <c r="Y503" s="14" t="n">
        <f aca="false">IF(I503="Opening",K503,Y502+K503-W503)</f>
        <v>672.18</v>
      </c>
      <c r="Z503" s="9" t="n">
        <f aca="false">IF(I503="Opening",L503,Z502+L503-X503)</f>
        <v>25361184.465608</v>
      </c>
      <c r="AA503" s="9" t="n">
        <f aca="false">IF(Y503&gt;0,Z503/Y503,IF(I503="Opening",0,AA502))</f>
        <v>37729.7516522479</v>
      </c>
      <c r="AB503" s="9" t="n">
        <f aca="false">IF(AND(I503="DO",O503="MA"),S503-N503,0)</f>
        <v>0.00439200131222606</v>
      </c>
      <c r="AC503" s="9" t="n">
        <f aca="false">IF(I503="DO",X503-S503,0)</f>
        <v>0</v>
      </c>
      <c r="AD503" s="23" t="n">
        <f aca="false">IF(B504&lt;&gt;B503,1,0)</f>
        <v>0</v>
      </c>
      <c r="AE503" s="14" t="n">
        <f aca="false">IF(I503="Opening",0,AE502+W503)</f>
        <v>32.92</v>
      </c>
      <c r="AF503" s="14" t="n">
        <f aca="false">IF(I503="Opening",K503,AF502)</f>
        <v>0</v>
      </c>
      <c r="AG503" s="14" t="n">
        <f aca="false">AG502</f>
        <v>0</v>
      </c>
      <c r="AH503" s="14" t="n">
        <f aca="false">IF(W503=0,0,MAX(0,MIN(AE503,AF503)-MIN(AE503-W503,AF503)))</f>
        <v>0</v>
      </c>
      <c r="AI503" s="14" t="n">
        <f aca="false">IF(W503=0,0,MAX(0,MIN(AE503,AF503+AG503)-MAX(AE503-W503,AF503)))</f>
        <v>0</v>
      </c>
      <c r="AJ503" s="14" t="n">
        <f aca="false">W503-AH503-AI503</f>
        <v>32.92</v>
      </c>
      <c r="AK503" s="9" t="n">
        <f aca="false">IF(W503=0,0,X503*AH503/W503)</f>
        <v>0</v>
      </c>
      <c r="AL503" s="9" t="n">
        <f aca="false">IF(W503=0,0,X503*AI503/W503)</f>
        <v>0</v>
      </c>
      <c r="AM503" s="9" t="n">
        <f aca="false">X503-AK503-AL503</f>
        <v>1242063.424392</v>
      </c>
    </row>
    <row r="504" customFormat="false" ht="15" hidden="false" customHeight="false" outlineLevel="0" collapsed="false">
      <c r="A504" s="6" t="n">
        <v>499</v>
      </c>
      <c r="B504" s="74" t="s">
        <v>993</v>
      </c>
      <c r="C504" s="53" t="str">
        <f aca="false">INDEX(I_Items!$C$5:$C$133,MATCH($B504,I_Items!$A$5:$A$133,0))</f>
        <v>RPA</v>
      </c>
      <c r="D504" s="53" t="str">
        <f aca="false">INDEX(I_Items!$D$5:$D$133,MATCH($B504,I_Items!$A$5:$A$133,0))</f>
        <v>Karkas</v>
      </c>
      <c r="E504" s="53" t="str">
        <f aca="false">INDEX(I_Items!$F$5:$F$133,MATCH($B504,I_Items!$A$5:$A$133,0))</f>
        <v>Fresh</v>
      </c>
      <c r="F504" s="53" t="str">
        <f aca="false">IF(INDEX(I_Items!$E$5:$E$133,MATCH($B504,I_Items!$A$5:$A$133,0))="","",INDEX(I_Items!$E$5:$E$133,MATCH($B504,I_Items!$A$5:$A$133,0)))</f>
        <v>Uk 1.4</v>
      </c>
      <c r="G504" s="76" t="n">
        <v>46246</v>
      </c>
      <c r="H504" s="23" t="n">
        <f aca="false">MONTH(G504)</f>
        <v>8</v>
      </c>
      <c r="I504" s="74" t="s">
        <v>2075</v>
      </c>
      <c r="J504" s="74" t="s">
        <v>2149</v>
      </c>
      <c r="K504" s="10" t="n">
        <v>0</v>
      </c>
      <c r="L504" s="8" t="n">
        <v>0</v>
      </c>
      <c r="M504" s="10" t="n">
        <v>21.86</v>
      </c>
      <c r="N504" s="8" t="n">
        <v>824772.37</v>
      </c>
      <c r="O504" s="74" t="s">
        <v>2077</v>
      </c>
      <c r="P504" s="74"/>
      <c r="Q504" s="74"/>
      <c r="R504" s="14" t="n">
        <f aca="false">IF(I504="Unbilled",0,M504)</f>
        <v>21.86</v>
      </c>
      <c r="S504" s="9" t="n">
        <f aca="false">IF(R504=0,0,IF(O504="Booked",N504,R504*V503))</f>
        <v>824772.371118139</v>
      </c>
      <c r="T504" s="14" t="n">
        <f aca="false">IF(I504="Opening",K504,T503+K504-R504)</f>
        <v>650.32</v>
      </c>
      <c r="U504" s="9" t="n">
        <f aca="false">IF(I504="Opening",L504,U503+L504-S504)</f>
        <v>24536412.0944899</v>
      </c>
      <c r="V504" s="9" t="n">
        <f aca="false">IF(T504&gt;0,U504/T504,IF(I504="Opening",0,V503))</f>
        <v>37729.7516522479</v>
      </c>
      <c r="W504" s="14" t="n">
        <f aca="false">M504</f>
        <v>21.86</v>
      </c>
      <c r="X504" s="9" t="n">
        <f aca="false">IF(W504=0,0,IF(O504="Booked",N504,W504*AA503))</f>
        <v>824772.371118139</v>
      </c>
      <c r="Y504" s="14" t="n">
        <f aca="false">IF(I504="Opening",K504,Y503+K504-W504)</f>
        <v>650.32</v>
      </c>
      <c r="Z504" s="9" t="n">
        <f aca="false">IF(I504="Opening",L504,Z503+L504-X504)</f>
        <v>24536412.0944899</v>
      </c>
      <c r="AA504" s="9" t="n">
        <f aca="false">IF(Y504&gt;0,Z504/Y504,IF(I504="Opening",0,AA503))</f>
        <v>37729.7516522479</v>
      </c>
      <c r="AB504" s="9" t="n">
        <f aca="false">IF(AND(I504="DO",O504="MA"),S504-N504,0)</f>
        <v>0.00111813936382532</v>
      </c>
      <c r="AC504" s="9" t="n">
        <f aca="false">IF(I504="DO",X504-S504,0)</f>
        <v>0</v>
      </c>
      <c r="AD504" s="23" t="n">
        <f aca="false">IF(B505&lt;&gt;B504,1,0)</f>
        <v>0</v>
      </c>
      <c r="AE504" s="14" t="n">
        <f aca="false">IF(I504="Opening",0,AE503+W504)</f>
        <v>54.78</v>
      </c>
      <c r="AF504" s="14" t="n">
        <f aca="false">IF(I504="Opening",K504,AF503)</f>
        <v>0</v>
      </c>
      <c r="AG504" s="14" t="n">
        <f aca="false">AG503</f>
        <v>0</v>
      </c>
      <c r="AH504" s="14" t="n">
        <f aca="false">IF(W504=0,0,MAX(0,MIN(AE504,AF504)-MIN(AE504-W504,AF504)))</f>
        <v>0</v>
      </c>
      <c r="AI504" s="14" t="n">
        <f aca="false">IF(W504=0,0,MAX(0,MIN(AE504,AF504+AG504)-MAX(AE504-W504,AF504)))</f>
        <v>0</v>
      </c>
      <c r="AJ504" s="14" t="n">
        <f aca="false">W504-AH504-AI504</f>
        <v>21.86</v>
      </c>
      <c r="AK504" s="9" t="n">
        <f aca="false">IF(W504=0,0,X504*AH504/W504)</f>
        <v>0</v>
      </c>
      <c r="AL504" s="9" t="n">
        <f aca="false">IF(W504=0,0,X504*AI504/W504)</f>
        <v>0</v>
      </c>
      <c r="AM504" s="9" t="n">
        <f aca="false">X504-AK504-AL504</f>
        <v>824772.371118139</v>
      </c>
    </row>
    <row r="505" customFormat="false" ht="15" hidden="false" customHeight="false" outlineLevel="0" collapsed="false">
      <c r="A505" s="6" t="n">
        <v>500</v>
      </c>
      <c r="B505" s="74" t="s">
        <v>993</v>
      </c>
      <c r="C505" s="53" t="str">
        <f aca="false">INDEX(I_Items!$C$5:$C$133,MATCH($B505,I_Items!$A$5:$A$133,0))</f>
        <v>RPA</v>
      </c>
      <c r="D505" s="53" t="str">
        <f aca="false">INDEX(I_Items!$D$5:$D$133,MATCH($B505,I_Items!$A$5:$A$133,0))</f>
        <v>Karkas</v>
      </c>
      <c r="E505" s="53" t="str">
        <f aca="false">INDEX(I_Items!$F$5:$F$133,MATCH($B505,I_Items!$A$5:$A$133,0))</f>
        <v>Fresh</v>
      </c>
      <c r="F505" s="53" t="str">
        <f aca="false">IF(INDEX(I_Items!$E$5:$E$133,MATCH($B505,I_Items!$A$5:$A$133,0))="","",INDEX(I_Items!$E$5:$E$133,MATCH($B505,I_Items!$A$5:$A$133,0)))</f>
        <v>Uk 1.4</v>
      </c>
      <c r="G505" s="76" t="n">
        <v>46246</v>
      </c>
      <c r="H505" s="23" t="n">
        <f aca="false">MONTH(G505)</f>
        <v>8</v>
      </c>
      <c r="I505" s="74" t="s">
        <v>2117</v>
      </c>
      <c r="J505" s="74" t="s">
        <v>2160</v>
      </c>
      <c r="K505" s="10" t="n">
        <v>0</v>
      </c>
      <c r="L505" s="8" t="n">
        <v>0</v>
      </c>
      <c r="M505" s="10" t="n">
        <v>608.4</v>
      </c>
      <c r="N505" s="8" t="n">
        <v>22954780.81</v>
      </c>
      <c r="O505" s="74" t="s">
        <v>2119</v>
      </c>
      <c r="P505" s="74"/>
      <c r="Q505" s="74"/>
      <c r="R505" s="14" t="n">
        <f aca="false">IF(I505="Unbilled",0,M505)</f>
        <v>608.4</v>
      </c>
      <c r="S505" s="9" t="n">
        <f aca="false">IF(R505=0,0,IF(O505="Booked",N505,R505*V504))</f>
        <v>22954780.81</v>
      </c>
      <c r="T505" s="14" t="n">
        <f aca="false">IF(I505="Opening",K505,T504+K505-R505)</f>
        <v>41.92</v>
      </c>
      <c r="U505" s="9" t="n">
        <f aca="false">IF(I505="Opening",L505,U504+L505-S505)</f>
        <v>1581631.28448986</v>
      </c>
      <c r="V505" s="9" t="n">
        <f aca="false">IF(T505&gt;0,U505/T505,IF(I505="Opening",0,V504))</f>
        <v>37729.7539238994</v>
      </c>
      <c r="W505" s="14" t="n">
        <f aca="false">M505</f>
        <v>608.4</v>
      </c>
      <c r="X505" s="9" t="n">
        <f aca="false">IF(W505=0,0,IF(O505="Booked",N505,W505*AA504))</f>
        <v>22954780.81</v>
      </c>
      <c r="Y505" s="14" t="n">
        <f aca="false">IF(I505="Opening",K505,Y504+K505-W505)</f>
        <v>41.92</v>
      </c>
      <c r="Z505" s="9" t="n">
        <f aca="false">IF(I505="Opening",L505,Z504+L505-X505)</f>
        <v>1581631.28448986</v>
      </c>
      <c r="AA505" s="9" t="n">
        <f aca="false">IF(Y505&gt;0,Z505/Y505,IF(I505="Opening",0,AA504))</f>
        <v>37729.7539238994</v>
      </c>
      <c r="AB505" s="9" t="n">
        <f aca="false">IF(AND(I505="DO",O505="MA"),S505-N505,0)</f>
        <v>0</v>
      </c>
      <c r="AC505" s="9" t="n">
        <f aca="false">IF(I505="DO",X505-S505,0)</f>
        <v>0</v>
      </c>
      <c r="AD505" s="23" t="n">
        <f aca="false">IF(B506&lt;&gt;B505,1,0)</f>
        <v>0</v>
      </c>
      <c r="AE505" s="14" t="n">
        <f aca="false">IF(I505="Opening",0,AE504+W505)</f>
        <v>663.18</v>
      </c>
      <c r="AF505" s="14" t="n">
        <f aca="false">IF(I505="Opening",K505,AF504)</f>
        <v>0</v>
      </c>
      <c r="AG505" s="14" t="n">
        <f aca="false">AG504</f>
        <v>0</v>
      </c>
      <c r="AH505" s="14" t="n">
        <f aca="false">IF(W505=0,0,MAX(0,MIN(AE505,AF505)-MIN(AE505-W505,AF505)))</f>
        <v>0</v>
      </c>
      <c r="AI505" s="14" t="n">
        <f aca="false">IF(W505=0,0,MAX(0,MIN(AE505,AF505+AG505)-MAX(AE505-W505,AF505)))</f>
        <v>0</v>
      </c>
      <c r="AJ505" s="14" t="n">
        <f aca="false">W505-AH505-AI505</f>
        <v>608.4</v>
      </c>
      <c r="AK505" s="9" t="n">
        <f aca="false">IF(W505=0,0,X505*AH505/W505)</f>
        <v>0</v>
      </c>
      <c r="AL505" s="9" t="n">
        <f aca="false">IF(W505=0,0,X505*AI505/W505)</f>
        <v>0</v>
      </c>
      <c r="AM505" s="9" t="n">
        <f aca="false">X505-AK505-AL505</f>
        <v>22954780.81</v>
      </c>
    </row>
    <row r="506" customFormat="false" ht="15" hidden="false" customHeight="false" outlineLevel="0" collapsed="false">
      <c r="A506" s="6" t="n">
        <v>501</v>
      </c>
      <c r="B506" s="74" t="s">
        <v>993</v>
      </c>
      <c r="C506" s="53" t="str">
        <f aca="false">INDEX(I_Items!$C$5:$C$133,MATCH($B506,I_Items!$A$5:$A$133,0))</f>
        <v>RPA</v>
      </c>
      <c r="D506" s="53" t="str">
        <f aca="false">INDEX(I_Items!$D$5:$D$133,MATCH($B506,I_Items!$A$5:$A$133,0))</f>
        <v>Karkas</v>
      </c>
      <c r="E506" s="53" t="str">
        <f aca="false">INDEX(I_Items!$F$5:$F$133,MATCH($B506,I_Items!$A$5:$A$133,0))</f>
        <v>Fresh</v>
      </c>
      <c r="F506" s="53" t="str">
        <f aca="false">IF(INDEX(I_Items!$E$5:$E$133,MATCH($B506,I_Items!$A$5:$A$133,0))="","",INDEX(I_Items!$E$5:$E$133,MATCH($B506,I_Items!$A$5:$A$133,0)))</f>
        <v>Uk 1.4</v>
      </c>
      <c r="G506" s="76" t="n">
        <v>46248</v>
      </c>
      <c r="H506" s="23" t="n">
        <f aca="false">MONTH(G506)</f>
        <v>8</v>
      </c>
      <c r="I506" s="74" t="s">
        <v>2074</v>
      </c>
      <c r="J506" s="74" t="s">
        <v>1302</v>
      </c>
      <c r="K506" s="10" t="n">
        <v>1657.5</v>
      </c>
      <c r="L506" s="8" t="n">
        <v>63458778.47</v>
      </c>
      <c r="M506" s="10" t="n">
        <v>0</v>
      </c>
      <c r="N506" s="8" t="n">
        <v>0</v>
      </c>
      <c r="O506" s="74"/>
      <c r="P506" s="74"/>
      <c r="Q506" s="74"/>
      <c r="R506" s="14" t="n">
        <f aca="false">IF(I506="Unbilled",0,M506)</f>
        <v>0</v>
      </c>
      <c r="S506" s="9" t="n">
        <f aca="false">IF(R506=0,0,IF(O506="Booked",N506,R506*V505))</f>
        <v>0</v>
      </c>
      <c r="T506" s="14" t="n">
        <f aca="false">IF(I506="Opening",K506,T505+K506-R506)</f>
        <v>1699.42</v>
      </c>
      <c r="U506" s="9" t="n">
        <f aca="false">IF(I506="Opening",L506,U505+L506-S506)</f>
        <v>65040409.7544899</v>
      </c>
      <c r="V506" s="9" t="n">
        <f aca="false">IF(T506&gt;0,U506/T506,IF(I506="Opening",0,V505))</f>
        <v>38272.1221090077</v>
      </c>
      <c r="W506" s="14" t="n">
        <f aca="false">M506</f>
        <v>0</v>
      </c>
      <c r="X506" s="9" t="n">
        <f aca="false">IF(W506=0,0,IF(O506="Booked",N506,W506*AA505))</f>
        <v>0</v>
      </c>
      <c r="Y506" s="14" t="n">
        <f aca="false">IF(I506="Opening",K506,Y505+K506-W506)</f>
        <v>1699.42</v>
      </c>
      <c r="Z506" s="9" t="n">
        <f aca="false">IF(I506="Opening",L506,Z505+L506-X506)</f>
        <v>65040409.7544899</v>
      </c>
      <c r="AA506" s="9" t="n">
        <f aca="false">IF(Y506&gt;0,Z506/Y506,IF(I506="Opening",0,AA505))</f>
        <v>38272.1221090077</v>
      </c>
      <c r="AB506" s="9" t="n">
        <f aca="false">IF(AND(I506="DO",O506="MA"),S506-N506,0)</f>
        <v>0</v>
      </c>
      <c r="AC506" s="9" t="n">
        <f aca="false">IF(I506="DO",X506-S506,0)</f>
        <v>0</v>
      </c>
      <c r="AD506" s="23" t="n">
        <f aca="false">IF(B507&lt;&gt;B506,1,0)</f>
        <v>0</v>
      </c>
      <c r="AE506" s="14" t="n">
        <f aca="false">IF(I506="Opening",0,AE505+W506)</f>
        <v>663.18</v>
      </c>
      <c r="AF506" s="14" t="n">
        <f aca="false">IF(I506="Opening",K506,AF505)</f>
        <v>0</v>
      </c>
      <c r="AG506" s="14" t="n">
        <f aca="false">AG505</f>
        <v>0</v>
      </c>
      <c r="AH506" s="14" t="n">
        <f aca="false">IF(W506=0,0,MAX(0,MIN(AE506,AF506)-MIN(AE506-W506,AF506)))</f>
        <v>0</v>
      </c>
      <c r="AI506" s="14" t="n">
        <f aca="false">IF(W506=0,0,MAX(0,MIN(AE506,AF506+AG506)-MAX(AE506-W506,AF506)))</f>
        <v>0</v>
      </c>
      <c r="AJ506" s="14" t="n">
        <f aca="false">W506-AH506-AI506</f>
        <v>0</v>
      </c>
      <c r="AK506" s="9" t="n">
        <f aca="false">IF(W506=0,0,X506*AH506/W506)</f>
        <v>0</v>
      </c>
      <c r="AL506" s="9" t="n">
        <f aca="false">IF(W506=0,0,X506*AI506/W506)</f>
        <v>0</v>
      </c>
      <c r="AM506" s="9" t="n">
        <f aca="false">X506-AK506-AL506</f>
        <v>0</v>
      </c>
    </row>
    <row r="507" customFormat="false" ht="15" hidden="false" customHeight="false" outlineLevel="0" collapsed="false">
      <c r="A507" s="6" t="n">
        <v>502</v>
      </c>
      <c r="B507" s="74" t="s">
        <v>993</v>
      </c>
      <c r="C507" s="53" t="str">
        <f aca="false">INDEX(I_Items!$C$5:$C$133,MATCH($B507,I_Items!$A$5:$A$133,0))</f>
        <v>RPA</v>
      </c>
      <c r="D507" s="53" t="str">
        <f aca="false">INDEX(I_Items!$D$5:$D$133,MATCH($B507,I_Items!$A$5:$A$133,0))</f>
        <v>Karkas</v>
      </c>
      <c r="E507" s="53" t="str">
        <f aca="false">INDEX(I_Items!$F$5:$F$133,MATCH($B507,I_Items!$A$5:$A$133,0))</f>
        <v>Fresh</v>
      </c>
      <c r="F507" s="53" t="str">
        <f aca="false">IF(INDEX(I_Items!$E$5:$E$133,MATCH($B507,I_Items!$A$5:$A$133,0))="","",INDEX(I_Items!$E$5:$E$133,MATCH($B507,I_Items!$A$5:$A$133,0)))</f>
        <v>Uk 1.4</v>
      </c>
      <c r="G507" s="76" t="n">
        <v>46249</v>
      </c>
      <c r="H507" s="23" t="n">
        <f aca="false">MONTH(G507)</f>
        <v>8</v>
      </c>
      <c r="I507" s="74" t="s">
        <v>2075</v>
      </c>
      <c r="J507" s="74" t="s">
        <v>2114</v>
      </c>
      <c r="K507" s="10" t="n">
        <v>0</v>
      </c>
      <c r="L507" s="8" t="n">
        <v>0</v>
      </c>
      <c r="M507" s="10" t="n">
        <v>14.63</v>
      </c>
      <c r="N507" s="8" t="n">
        <v>559921.15</v>
      </c>
      <c r="O507" s="74" t="s">
        <v>2077</v>
      </c>
      <c r="P507" s="74" t="s">
        <v>1119</v>
      </c>
      <c r="Q507" s="74"/>
      <c r="R507" s="14" t="n">
        <f aca="false">IF(I507="Unbilled",0,M507)</f>
        <v>14.63</v>
      </c>
      <c r="S507" s="9" t="n">
        <f aca="false">IF(R507=0,0,IF(O507="Booked",N507,R507*V506))</f>
        <v>559921.146454783</v>
      </c>
      <c r="T507" s="14" t="n">
        <f aca="false">IF(I507="Opening",K507,T506+K507-R507)</f>
        <v>1684.79</v>
      </c>
      <c r="U507" s="9" t="n">
        <f aca="false">IF(I507="Opening",L507,U506+L507-S507)</f>
        <v>64480488.6080351</v>
      </c>
      <c r="V507" s="9" t="n">
        <f aca="false">IF(T507&gt;0,U507/T507,IF(I507="Opening",0,V506))</f>
        <v>38272.1221090077</v>
      </c>
      <c r="W507" s="14" t="n">
        <f aca="false">M507</f>
        <v>14.63</v>
      </c>
      <c r="X507" s="9" t="n">
        <f aca="false">IF(W507=0,0,IF(O507="Booked",N507,W507*AA506))</f>
        <v>559921.146454783</v>
      </c>
      <c r="Y507" s="14" t="n">
        <f aca="false">IF(I507="Opening",K507,Y506+K507-W507)</f>
        <v>1684.79</v>
      </c>
      <c r="Z507" s="9" t="n">
        <f aca="false">IF(I507="Opening",L507,Z506+L507-X507)</f>
        <v>64480488.6080351</v>
      </c>
      <c r="AA507" s="9" t="n">
        <f aca="false">IF(Y507&gt;0,Z507/Y507,IF(I507="Opening",0,AA506))</f>
        <v>38272.1221090077</v>
      </c>
      <c r="AB507" s="9" t="n">
        <f aca="false">IF(AND(I507="DO",O507="MA"),S507-N507,0)</f>
        <v>-0.00354521744884551</v>
      </c>
      <c r="AC507" s="9" t="n">
        <f aca="false">IF(I507="DO",X507-S507,0)</f>
        <v>0</v>
      </c>
      <c r="AD507" s="23" t="n">
        <f aca="false">IF(B508&lt;&gt;B507,1,0)</f>
        <v>0</v>
      </c>
      <c r="AE507" s="14" t="n">
        <f aca="false">IF(I507="Opening",0,AE506+W507)</f>
        <v>677.81</v>
      </c>
      <c r="AF507" s="14" t="n">
        <f aca="false">IF(I507="Opening",K507,AF506)</f>
        <v>0</v>
      </c>
      <c r="AG507" s="14" t="n">
        <f aca="false">AG506</f>
        <v>0</v>
      </c>
      <c r="AH507" s="14" t="n">
        <f aca="false">IF(W507=0,0,MAX(0,MIN(AE507,AF507)-MIN(AE507-W507,AF507)))</f>
        <v>0</v>
      </c>
      <c r="AI507" s="14" t="n">
        <f aca="false">IF(W507=0,0,MAX(0,MIN(AE507,AF507+AG507)-MAX(AE507-W507,AF507)))</f>
        <v>0</v>
      </c>
      <c r="AJ507" s="14" t="n">
        <f aca="false">W507-AH507-AI507</f>
        <v>14.63</v>
      </c>
      <c r="AK507" s="9" t="n">
        <f aca="false">IF(W507=0,0,X507*AH507/W507)</f>
        <v>0</v>
      </c>
      <c r="AL507" s="9" t="n">
        <f aca="false">IF(W507=0,0,X507*AI507/W507)</f>
        <v>0</v>
      </c>
      <c r="AM507" s="9" t="n">
        <f aca="false">X507-AK507-AL507</f>
        <v>559921.146454783</v>
      </c>
    </row>
    <row r="508" customFormat="false" ht="15" hidden="false" customHeight="false" outlineLevel="0" collapsed="false">
      <c r="A508" s="6" t="n">
        <v>503</v>
      </c>
      <c r="B508" s="74" t="s">
        <v>993</v>
      </c>
      <c r="C508" s="53" t="str">
        <f aca="false">INDEX(I_Items!$C$5:$C$133,MATCH($B508,I_Items!$A$5:$A$133,0))</f>
        <v>RPA</v>
      </c>
      <c r="D508" s="53" t="str">
        <f aca="false">INDEX(I_Items!$D$5:$D$133,MATCH($B508,I_Items!$A$5:$A$133,0))</f>
        <v>Karkas</v>
      </c>
      <c r="E508" s="53" t="str">
        <f aca="false">INDEX(I_Items!$F$5:$F$133,MATCH($B508,I_Items!$A$5:$A$133,0))</f>
        <v>Fresh</v>
      </c>
      <c r="F508" s="53" t="str">
        <f aca="false">IF(INDEX(I_Items!$E$5:$E$133,MATCH($B508,I_Items!$A$5:$A$133,0))="","",INDEX(I_Items!$E$5:$E$133,MATCH($B508,I_Items!$A$5:$A$133,0)))</f>
        <v>Uk 1.4</v>
      </c>
      <c r="G508" s="76" t="n">
        <v>46249</v>
      </c>
      <c r="H508" s="23" t="n">
        <f aca="false">MONTH(G508)</f>
        <v>8</v>
      </c>
      <c r="I508" s="74" t="s">
        <v>89</v>
      </c>
      <c r="J508" s="74" t="s">
        <v>2152</v>
      </c>
      <c r="K508" s="10" t="n">
        <v>0</v>
      </c>
      <c r="L508" s="8" t="n">
        <v>0</v>
      </c>
      <c r="M508" s="13" t="n">
        <f aca="false">INDEX(Unbilled!$K$22:$K$38,MATCH($Q508,Unbilled!$B$22:$B$38,0))</f>
        <v>1510.4</v>
      </c>
      <c r="N508" s="8" t="n">
        <v>0</v>
      </c>
      <c r="O508" s="74" t="s">
        <v>2077</v>
      </c>
      <c r="P508" s="74"/>
      <c r="Q508" s="74" t="s">
        <v>1125</v>
      </c>
      <c r="R508" s="14" t="n">
        <f aca="false">IF(I508="Unbilled",0,M508)</f>
        <v>0</v>
      </c>
      <c r="S508" s="9" t="n">
        <f aca="false">IF(R508=0,0,IF(O508="Booked",N508,R508*V507))</f>
        <v>0</v>
      </c>
      <c r="T508" s="14" t="n">
        <f aca="false">IF(I508="Opening",K508,T507+K508-R508)</f>
        <v>1684.79</v>
      </c>
      <c r="U508" s="9" t="n">
        <f aca="false">IF(I508="Opening",L508,U507+L508-S508)</f>
        <v>64480488.6080351</v>
      </c>
      <c r="V508" s="9" t="n">
        <f aca="false">IF(T508&gt;0,U508/T508,IF(I508="Opening",0,V507))</f>
        <v>38272.1221090077</v>
      </c>
      <c r="W508" s="14" t="n">
        <f aca="false">M508</f>
        <v>1510.4</v>
      </c>
      <c r="X508" s="9" t="n">
        <f aca="false">IF(W508=0,0,IF(O508="Booked",N508,W508*AA507))</f>
        <v>57806213.2334452</v>
      </c>
      <c r="Y508" s="14" t="n">
        <f aca="false">IF(I508="Opening",K508,Y507+K508-W508)</f>
        <v>174.39</v>
      </c>
      <c r="Z508" s="9" t="n">
        <f aca="false">IF(I508="Opening",L508,Z507+L508-X508)</f>
        <v>6674275.37458985</v>
      </c>
      <c r="AA508" s="9" t="n">
        <f aca="false">IF(Y508&gt;0,Z508/Y508,IF(I508="Opening",0,AA507))</f>
        <v>38272.1221090077</v>
      </c>
      <c r="AB508" s="9" t="n">
        <f aca="false">IF(AND(I508="DO",O508="MA"),S508-N508,0)</f>
        <v>0</v>
      </c>
      <c r="AC508" s="9" t="n">
        <f aca="false">IF(I508="DO",X508-S508,0)</f>
        <v>0</v>
      </c>
      <c r="AD508" s="23" t="n">
        <f aca="false">IF(B509&lt;&gt;B508,1,0)</f>
        <v>0</v>
      </c>
      <c r="AE508" s="14" t="n">
        <f aca="false">IF(I508="Opening",0,AE507+W508)</f>
        <v>2188.21</v>
      </c>
      <c r="AF508" s="14" t="n">
        <f aca="false">IF(I508="Opening",K508,AF507)</f>
        <v>0</v>
      </c>
      <c r="AG508" s="14" t="n">
        <f aca="false">AG507</f>
        <v>0</v>
      </c>
      <c r="AH508" s="14" t="n">
        <f aca="false">IF(W508=0,0,MAX(0,MIN(AE508,AF508)-MIN(AE508-W508,AF508)))</f>
        <v>0</v>
      </c>
      <c r="AI508" s="14" t="n">
        <f aca="false">IF(W508=0,0,MAX(0,MIN(AE508,AF508+AG508)-MAX(AE508-W508,AF508)))</f>
        <v>0</v>
      </c>
      <c r="AJ508" s="14" t="n">
        <f aca="false">W508-AH508-AI508</f>
        <v>1510.4</v>
      </c>
      <c r="AK508" s="9" t="n">
        <f aca="false">IF(W508=0,0,X508*AH508/W508)</f>
        <v>0</v>
      </c>
      <c r="AL508" s="9" t="n">
        <f aca="false">IF(W508=0,0,X508*AI508/W508)</f>
        <v>0</v>
      </c>
      <c r="AM508" s="9" t="n">
        <f aca="false">X508-AK508-AL508</f>
        <v>57806213.2334452</v>
      </c>
    </row>
    <row r="509" customFormat="false" ht="15" hidden="false" customHeight="false" outlineLevel="0" collapsed="false">
      <c r="A509" s="6" t="n">
        <v>504</v>
      </c>
      <c r="B509" s="74" t="s">
        <v>993</v>
      </c>
      <c r="C509" s="53" t="str">
        <f aca="false">INDEX(I_Items!$C$5:$C$133,MATCH($B509,I_Items!$A$5:$A$133,0))</f>
        <v>RPA</v>
      </c>
      <c r="D509" s="53" t="str">
        <f aca="false">INDEX(I_Items!$D$5:$D$133,MATCH($B509,I_Items!$A$5:$A$133,0))</f>
        <v>Karkas</v>
      </c>
      <c r="E509" s="53" t="str">
        <f aca="false">INDEX(I_Items!$F$5:$F$133,MATCH($B509,I_Items!$A$5:$A$133,0))</f>
        <v>Fresh</v>
      </c>
      <c r="F509" s="53" t="str">
        <f aca="false">IF(INDEX(I_Items!$E$5:$E$133,MATCH($B509,I_Items!$A$5:$A$133,0))="","",INDEX(I_Items!$E$5:$E$133,MATCH($B509,I_Items!$A$5:$A$133,0)))</f>
        <v>Uk 1.4</v>
      </c>
      <c r="G509" s="76" t="n">
        <v>46252</v>
      </c>
      <c r="H509" s="23" t="n">
        <f aca="false">MONTH(G509)</f>
        <v>8</v>
      </c>
      <c r="I509" s="74" t="s">
        <v>2075</v>
      </c>
      <c r="J509" s="74" t="s">
        <v>2163</v>
      </c>
      <c r="K509" s="10" t="n">
        <v>0</v>
      </c>
      <c r="L509" s="8" t="n">
        <v>0</v>
      </c>
      <c r="M509" s="10" t="n">
        <v>40</v>
      </c>
      <c r="N509" s="8" t="n">
        <v>1530884.88</v>
      </c>
      <c r="O509" s="74" t="s">
        <v>2077</v>
      </c>
      <c r="P509" s="74"/>
      <c r="Q509" s="74"/>
      <c r="R509" s="14" t="n">
        <f aca="false">IF(I509="Unbilled",0,M509)</f>
        <v>40</v>
      </c>
      <c r="S509" s="9" t="n">
        <f aca="false">IF(R509=0,0,IF(O509="Booked",N509,R509*V508))</f>
        <v>1530884.88436031</v>
      </c>
      <c r="T509" s="14" t="n">
        <f aca="false">IF(I509="Opening",K509,T508+K509-R509)</f>
        <v>1644.79</v>
      </c>
      <c r="U509" s="9" t="n">
        <f aca="false">IF(I509="Opening",L509,U508+L509-S509)</f>
        <v>62949603.7236748</v>
      </c>
      <c r="V509" s="9" t="n">
        <f aca="false">IF(T509&gt;0,U509/T509,IF(I509="Opening",0,V508))</f>
        <v>38272.1221090077</v>
      </c>
      <c r="W509" s="14" t="n">
        <f aca="false">M509</f>
        <v>40</v>
      </c>
      <c r="X509" s="9" t="n">
        <f aca="false">IF(W509=0,0,IF(O509="Booked",N509,W509*AA508))</f>
        <v>1530884.88436031</v>
      </c>
      <c r="Y509" s="14" t="n">
        <f aca="false">IF(I509="Opening",K509,Y508+K509-W509)</f>
        <v>134.39</v>
      </c>
      <c r="Z509" s="9" t="n">
        <f aca="false">IF(I509="Opening",L509,Z508+L509-X509)</f>
        <v>5143390.49022954</v>
      </c>
      <c r="AA509" s="9" t="n">
        <f aca="false">IF(Y509&gt;0,Z509/Y509,IF(I509="Opening",0,AA508))</f>
        <v>38272.1221090077</v>
      </c>
      <c r="AB509" s="9" t="n">
        <f aca="false">IF(AND(I509="DO",O509="MA"),S509-N509,0)</f>
        <v>0.00436030817218125</v>
      </c>
      <c r="AC509" s="9" t="n">
        <f aca="false">IF(I509="DO",X509-S509,0)</f>
        <v>0</v>
      </c>
      <c r="AD509" s="23" t="n">
        <f aca="false">IF(B510&lt;&gt;B509,1,0)</f>
        <v>0</v>
      </c>
      <c r="AE509" s="14" t="n">
        <f aca="false">IF(I509="Opening",0,AE508+W509)</f>
        <v>2228.21</v>
      </c>
      <c r="AF509" s="14" t="n">
        <f aca="false">IF(I509="Opening",K509,AF508)</f>
        <v>0</v>
      </c>
      <c r="AG509" s="14" t="n">
        <f aca="false">AG508</f>
        <v>0</v>
      </c>
      <c r="AH509" s="14" t="n">
        <f aca="false">IF(W509=0,0,MAX(0,MIN(AE509,AF509)-MIN(AE509-W509,AF509)))</f>
        <v>0</v>
      </c>
      <c r="AI509" s="14" t="n">
        <f aca="false">IF(W509=0,0,MAX(0,MIN(AE509,AF509+AG509)-MAX(AE509-W509,AF509)))</f>
        <v>0</v>
      </c>
      <c r="AJ509" s="14" t="n">
        <f aca="false">W509-AH509-AI509</f>
        <v>40</v>
      </c>
      <c r="AK509" s="9" t="n">
        <f aca="false">IF(W509=0,0,X509*AH509/W509)</f>
        <v>0</v>
      </c>
      <c r="AL509" s="9" t="n">
        <f aca="false">IF(W509=0,0,X509*AI509/W509)</f>
        <v>0</v>
      </c>
      <c r="AM509" s="9" t="n">
        <f aca="false">X509-AK509-AL509</f>
        <v>1530884.88436031</v>
      </c>
    </row>
    <row r="510" customFormat="false" ht="15" hidden="false" customHeight="false" outlineLevel="0" collapsed="false">
      <c r="A510" s="6" t="n">
        <v>505</v>
      </c>
      <c r="B510" s="74" t="s">
        <v>993</v>
      </c>
      <c r="C510" s="53" t="str">
        <f aca="false">INDEX(I_Items!$C$5:$C$133,MATCH($B510,I_Items!$A$5:$A$133,0))</f>
        <v>RPA</v>
      </c>
      <c r="D510" s="53" t="str">
        <f aca="false">INDEX(I_Items!$D$5:$D$133,MATCH($B510,I_Items!$A$5:$A$133,0))</f>
        <v>Karkas</v>
      </c>
      <c r="E510" s="53" t="str">
        <f aca="false">INDEX(I_Items!$F$5:$F$133,MATCH($B510,I_Items!$A$5:$A$133,0))</f>
        <v>Fresh</v>
      </c>
      <c r="F510" s="53" t="str">
        <f aca="false">IF(INDEX(I_Items!$E$5:$E$133,MATCH($B510,I_Items!$A$5:$A$133,0))="","",INDEX(I_Items!$E$5:$E$133,MATCH($B510,I_Items!$A$5:$A$133,0)))</f>
        <v>Uk 1.4</v>
      </c>
      <c r="G510" s="76" t="n">
        <v>46253</v>
      </c>
      <c r="H510" s="23" t="n">
        <f aca="false">MONTH(G510)</f>
        <v>8</v>
      </c>
      <c r="I510" s="74" t="s">
        <v>2074</v>
      </c>
      <c r="J510" s="74" t="s">
        <v>1305</v>
      </c>
      <c r="K510" s="10" t="n">
        <v>1836.6</v>
      </c>
      <c r="L510" s="8" t="n">
        <v>69399033.75</v>
      </c>
      <c r="M510" s="10" t="n">
        <v>0</v>
      </c>
      <c r="N510" s="8" t="n">
        <v>0</v>
      </c>
      <c r="O510" s="74"/>
      <c r="P510" s="74"/>
      <c r="Q510" s="74"/>
      <c r="R510" s="14" t="n">
        <f aca="false">IF(I510="Unbilled",0,M510)</f>
        <v>0</v>
      </c>
      <c r="S510" s="9" t="n">
        <f aca="false">IF(R510=0,0,IF(O510="Booked",N510,R510*V509))</f>
        <v>0</v>
      </c>
      <c r="T510" s="14" t="n">
        <f aca="false">IF(I510="Opening",K510,T509+K510-R510)</f>
        <v>3481.39</v>
      </c>
      <c r="U510" s="9" t="n">
        <f aca="false">IF(I510="Opening",L510,U509+L510-S510)</f>
        <v>132348637.473675</v>
      </c>
      <c r="V510" s="9" t="n">
        <f aca="false">IF(T510&gt;0,U510/T510,IF(I510="Opening",0,V509))</f>
        <v>38016.033099904</v>
      </c>
      <c r="W510" s="14" t="n">
        <f aca="false">M510</f>
        <v>0</v>
      </c>
      <c r="X510" s="9" t="n">
        <f aca="false">IF(W510=0,0,IF(O510="Booked",N510,W510*AA509))</f>
        <v>0</v>
      </c>
      <c r="Y510" s="14" t="n">
        <f aca="false">IF(I510="Opening",K510,Y509+K510-W510)</f>
        <v>1970.99</v>
      </c>
      <c r="Z510" s="9" t="n">
        <f aca="false">IF(I510="Opening",L510,Z509+L510-X510)</f>
        <v>74542424.2402295</v>
      </c>
      <c r="AA510" s="9" t="n">
        <f aca="false">IF(Y510&gt;0,Z510/Y510,IF(I510="Opening",0,AA509))</f>
        <v>37819.7881471898</v>
      </c>
      <c r="AB510" s="9" t="n">
        <f aca="false">IF(AND(I510="DO",O510="MA"),S510-N510,0)</f>
        <v>0</v>
      </c>
      <c r="AC510" s="9" t="n">
        <f aca="false">IF(I510="DO",X510-S510,0)</f>
        <v>0</v>
      </c>
      <c r="AD510" s="23" t="n">
        <f aca="false">IF(B511&lt;&gt;B510,1,0)</f>
        <v>0</v>
      </c>
      <c r="AE510" s="14" t="n">
        <f aca="false">IF(I510="Opening",0,AE509+W510)</f>
        <v>2228.21</v>
      </c>
      <c r="AF510" s="14" t="n">
        <f aca="false">IF(I510="Opening",K510,AF509)</f>
        <v>0</v>
      </c>
      <c r="AG510" s="14" t="n">
        <f aca="false">AG509</f>
        <v>0</v>
      </c>
      <c r="AH510" s="14" t="n">
        <f aca="false">IF(W510=0,0,MAX(0,MIN(AE510,AF510)-MIN(AE510-W510,AF510)))</f>
        <v>0</v>
      </c>
      <c r="AI510" s="14" t="n">
        <f aca="false">IF(W510=0,0,MAX(0,MIN(AE510,AF510+AG510)-MAX(AE510-W510,AF510)))</f>
        <v>0</v>
      </c>
      <c r="AJ510" s="14" t="n">
        <f aca="false">W510-AH510-AI510</f>
        <v>0</v>
      </c>
      <c r="AK510" s="9" t="n">
        <f aca="false">IF(W510=0,0,X510*AH510/W510)</f>
        <v>0</v>
      </c>
      <c r="AL510" s="9" t="n">
        <f aca="false">IF(W510=0,0,X510*AI510/W510)</f>
        <v>0</v>
      </c>
      <c r="AM510" s="9" t="n">
        <f aca="false">X510-AK510-AL510</f>
        <v>0</v>
      </c>
    </row>
    <row r="511" customFormat="false" ht="15" hidden="false" customHeight="false" outlineLevel="0" collapsed="false">
      <c r="A511" s="6" t="n">
        <v>506</v>
      </c>
      <c r="B511" s="74" t="s">
        <v>993</v>
      </c>
      <c r="C511" s="53" t="str">
        <f aca="false">INDEX(I_Items!$C$5:$C$133,MATCH($B511,I_Items!$A$5:$A$133,0))</f>
        <v>RPA</v>
      </c>
      <c r="D511" s="53" t="str">
        <f aca="false">INDEX(I_Items!$D$5:$D$133,MATCH($B511,I_Items!$A$5:$A$133,0))</f>
        <v>Karkas</v>
      </c>
      <c r="E511" s="53" t="str">
        <f aca="false">INDEX(I_Items!$F$5:$F$133,MATCH($B511,I_Items!$A$5:$A$133,0))</f>
        <v>Fresh</v>
      </c>
      <c r="F511" s="53" t="str">
        <f aca="false">IF(INDEX(I_Items!$E$5:$E$133,MATCH($B511,I_Items!$A$5:$A$133,0))="","",INDEX(I_Items!$E$5:$E$133,MATCH($B511,I_Items!$A$5:$A$133,0)))</f>
        <v>Uk 1.4</v>
      </c>
      <c r="G511" s="76" t="n">
        <v>46255</v>
      </c>
      <c r="H511" s="23" t="n">
        <f aca="false">MONTH(G511)</f>
        <v>8</v>
      </c>
      <c r="I511" s="74" t="s">
        <v>2075</v>
      </c>
      <c r="J511" s="74" t="s">
        <v>2153</v>
      </c>
      <c r="K511" s="10" t="n">
        <v>0</v>
      </c>
      <c r="L511" s="8" t="n">
        <v>0</v>
      </c>
      <c r="M511" s="10" t="n">
        <v>94.65</v>
      </c>
      <c r="N511" s="8" t="n">
        <v>3598217.53</v>
      </c>
      <c r="O511" s="74" t="s">
        <v>2077</v>
      </c>
      <c r="P511" s="74"/>
      <c r="Q511" s="74"/>
      <c r="R511" s="14" t="n">
        <f aca="false">IF(I511="Unbilled",0,M511)</f>
        <v>94.65</v>
      </c>
      <c r="S511" s="9" t="n">
        <f aca="false">IF(R511=0,0,IF(O511="Booked",N511,R511*V510))</f>
        <v>3598217.53290591</v>
      </c>
      <c r="T511" s="14" t="n">
        <f aca="false">IF(I511="Opening",K511,T510+K511-R511)</f>
        <v>3386.74</v>
      </c>
      <c r="U511" s="9" t="n">
        <f aca="false">IF(I511="Opening",L511,U510+L511-S511)</f>
        <v>128750419.940769</v>
      </c>
      <c r="V511" s="9" t="n">
        <f aca="false">IF(T511&gt;0,U511/T511,IF(I511="Opening",0,V510))</f>
        <v>38016.033099904</v>
      </c>
      <c r="W511" s="14" t="n">
        <f aca="false">M511</f>
        <v>94.65</v>
      </c>
      <c r="X511" s="9" t="n">
        <f aca="false">IF(W511=0,0,IF(O511="Booked",N511,W511*AA510))</f>
        <v>3579642.94813151</v>
      </c>
      <c r="Y511" s="14" t="n">
        <f aca="false">IF(I511="Opening",K511,Y510+K511-W511)</f>
        <v>1876.34</v>
      </c>
      <c r="Z511" s="9" t="n">
        <f aca="false">IF(I511="Opening",L511,Z510+L511-X511)</f>
        <v>70962781.292098</v>
      </c>
      <c r="AA511" s="9" t="n">
        <f aca="false">IF(Y511&gt;0,Z511/Y511,IF(I511="Opening",0,AA510))</f>
        <v>37819.7881471898</v>
      </c>
      <c r="AB511" s="9" t="n">
        <f aca="false">IF(AND(I511="DO",O511="MA"),S511-N511,0)</f>
        <v>0.00290591362863779</v>
      </c>
      <c r="AC511" s="9" t="n">
        <f aca="false">IF(I511="DO",X511-S511,0)</f>
        <v>-18574.5847744029</v>
      </c>
      <c r="AD511" s="23" t="n">
        <f aca="false">IF(B512&lt;&gt;B511,1,0)</f>
        <v>0</v>
      </c>
      <c r="AE511" s="14" t="n">
        <f aca="false">IF(I511="Opening",0,AE510+W511)</f>
        <v>2322.86</v>
      </c>
      <c r="AF511" s="14" t="n">
        <f aca="false">IF(I511="Opening",K511,AF510)</f>
        <v>0</v>
      </c>
      <c r="AG511" s="14" t="n">
        <f aca="false">AG510</f>
        <v>0</v>
      </c>
      <c r="AH511" s="14" t="n">
        <f aca="false">IF(W511=0,0,MAX(0,MIN(AE511,AF511)-MIN(AE511-W511,AF511)))</f>
        <v>0</v>
      </c>
      <c r="AI511" s="14" t="n">
        <f aca="false">IF(W511=0,0,MAX(0,MIN(AE511,AF511+AG511)-MAX(AE511-W511,AF511)))</f>
        <v>0</v>
      </c>
      <c r="AJ511" s="14" t="n">
        <f aca="false">W511-AH511-AI511</f>
        <v>94.65</v>
      </c>
      <c r="AK511" s="9" t="n">
        <f aca="false">IF(W511=0,0,X511*AH511/W511)</f>
        <v>0</v>
      </c>
      <c r="AL511" s="9" t="n">
        <f aca="false">IF(W511=0,0,X511*AI511/W511)</f>
        <v>0</v>
      </c>
      <c r="AM511" s="9" t="n">
        <f aca="false">X511-AK511-AL511</f>
        <v>3579642.94813151</v>
      </c>
    </row>
    <row r="512" customFormat="false" ht="15" hidden="false" customHeight="false" outlineLevel="0" collapsed="false">
      <c r="A512" s="6" t="n">
        <v>507</v>
      </c>
      <c r="B512" s="74" t="s">
        <v>993</v>
      </c>
      <c r="C512" s="53" t="str">
        <f aca="false">INDEX(I_Items!$C$5:$C$133,MATCH($B512,I_Items!$A$5:$A$133,0))</f>
        <v>RPA</v>
      </c>
      <c r="D512" s="53" t="str">
        <f aca="false">INDEX(I_Items!$D$5:$D$133,MATCH($B512,I_Items!$A$5:$A$133,0))</f>
        <v>Karkas</v>
      </c>
      <c r="E512" s="53" t="str">
        <f aca="false">INDEX(I_Items!$F$5:$F$133,MATCH($B512,I_Items!$A$5:$A$133,0))</f>
        <v>Fresh</v>
      </c>
      <c r="F512" s="53" t="str">
        <f aca="false">IF(INDEX(I_Items!$E$5:$E$133,MATCH($B512,I_Items!$A$5:$A$133,0))="","",INDEX(I_Items!$E$5:$E$133,MATCH($B512,I_Items!$A$5:$A$133,0)))</f>
        <v>Uk 1.4</v>
      </c>
      <c r="G512" s="76" t="n">
        <v>46255</v>
      </c>
      <c r="H512" s="23" t="n">
        <f aca="false">MONTH(G512)</f>
        <v>8</v>
      </c>
      <c r="I512" s="74" t="s">
        <v>2075</v>
      </c>
      <c r="J512" s="74" t="s">
        <v>2153</v>
      </c>
      <c r="K512" s="10" t="n">
        <v>0</v>
      </c>
      <c r="L512" s="8" t="n">
        <v>0</v>
      </c>
      <c r="M512" s="10" t="n">
        <v>1596.4</v>
      </c>
      <c r="N512" s="8" t="n">
        <v>60688795.24</v>
      </c>
      <c r="O512" s="74" t="s">
        <v>2077</v>
      </c>
      <c r="P512" s="74"/>
      <c r="Q512" s="74"/>
      <c r="R512" s="14" t="n">
        <f aca="false">IF(I512="Unbilled",0,M512)</f>
        <v>1596.4</v>
      </c>
      <c r="S512" s="9" t="n">
        <f aca="false">IF(R512=0,0,IF(O512="Booked",N512,R512*V511))</f>
        <v>60688795.2406868</v>
      </c>
      <c r="T512" s="14" t="n">
        <f aca="false">IF(I512="Opening",K512,T511+K512-R512)</f>
        <v>1790.34</v>
      </c>
      <c r="U512" s="9" t="n">
        <f aca="false">IF(I512="Opening",L512,U511+L512-S512)</f>
        <v>68061624.7000821</v>
      </c>
      <c r="V512" s="9" t="n">
        <f aca="false">IF(T512&gt;0,U512/T512,IF(I512="Opening",0,V511))</f>
        <v>38016.033099904</v>
      </c>
      <c r="W512" s="14" t="n">
        <f aca="false">M512</f>
        <v>1596.4</v>
      </c>
      <c r="X512" s="9" t="n">
        <f aca="false">IF(W512=0,0,IF(O512="Booked",N512,W512*AA511))</f>
        <v>60375509.7981737</v>
      </c>
      <c r="Y512" s="14" t="n">
        <f aca="false">IF(I512="Opening",K512,Y511+K512-W512)</f>
        <v>279.94</v>
      </c>
      <c r="Z512" s="9" t="n">
        <f aca="false">IF(I512="Opening",L512,Z511+L512-X512)</f>
        <v>10587271.4939243</v>
      </c>
      <c r="AA512" s="9" t="n">
        <f aca="false">IF(Y512&gt;0,Z512/Y512,IF(I512="Opening",0,AA511))</f>
        <v>37819.7881471898</v>
      </c>
      <c r="AB512" s="9" t="n">
        <f aca="false">IF(AND(I512="DO",O512="MA"),S512-N512,0)</f>
        <v>0.000686749815940857</v>
      </c>
      <c r="AC512" s="9" t="n">
        <f aca="false">IF(I512="DO",X512-S512,0)</f>
        <v>-313285.442513019</v>
      </c>
      <c r="AD512" s="23" t="n">
        <f aca="false">IF(B513&lt;&gt;B512,1,0)</f>
        <v>0</v>
      </c>
      <c r="AE512" s="14" t="n">
        <f aca="false">IF(I512="Opening",0,AE511+W512)</f>
        <v>3919.26</v>
      </c>
      <c r="AF512" s="14" t="n">
        <f aca="false">IF(I512="Opening",K512,AF511)</f>
        <v>0</v>
      </c>
      <c r="AG512" s="14" t="n">
        <f aca="false">AG511</f>
        <v>0</v>
      </c>
      <c r="AH512" s="14" t="n">
        <f aca="false">IF(W512=0,0,MAX(0,MIN(AE512,AF512)-MIN(AE512-W512,AF512)))</f>
        <v>0</v>
      </c>
      <c r="AI512" s="14" t="n">
        <f aca="false">IF(W512=0,0,MAX(0,MIN(AE512,AF512+AG512)-MAX(AE512-W512,AF512)))</f>
        <v>0</v>
      </c>
      <c r="AJ512" s="14" t="n">
        <f aca="false">W512-AH512-AI512</f>
        <v>1596.4</v>
      </c>
      <c r="AK512" s="9" t="n">
        <f aca="false">IF(W512=0,0,X512*AH512/W512)</f>
        <v>0</v>
      </c>
      <c r="AL512" s="9" t="n">
        <f aca="false">IF(W512=0,0,X512*AI512/W512)</f>
        <v>0</v>
      </c>
      <c r="AM512" s="9" t="n">
        <f aca="false">X512-AK512-AL512</f>
        <v>60375509.7981737</v>
      </c>
    </row>
    <row r="513" customFormat="false" ht="15" hidden="false" customHeight="false" outlineLevel="0" collapsed="false">
      <c r="A513" s="6" t="n">
        <v>508</v>
      </c>
      <c r="B513" s="74" t="s">
        <v>993</v>
      </c>
      <c r="C513" s="53" t="str">
        <f aca="false">INDEX(I_Items!$C$5:$C$133,MATCH($B513,I_Items!$A$5:$A$133,0))</f>
        <v>RPA</v>
      </c>
      <c r="D513" s="53" t="str">
        <f aca="false">INDEX(I_Items!$D$5:$D$133,MATCH($B513,I_Items!$A$5:$A$133,0))</f>
        <v>Karkas</v>
      </c>
      <c r="E513" s="53" t="str">
        <f aca="false">INDEX(I_Items!$F$5:$F$133,MATCH($B513,I_Items!$A$5:$A$133,0))</f>
        <v>Fresh</v>
      </c>
      <c r="F513" s="53" t="str">
        <f aca="false">IF(INDEX(I_Items!$E$5:$E$133,MATCH($B513,I_Items!$A$5:$A$133,0))="","",INDEX(I_Items!$E$5:$E$133,MATCH($B513,I_Items!$A$5:$A$133,0)))</f>
        <v>Uk 1.4</v>
      </c>
      <c r="G513" s="76" t="n">
        <v>46259</v>
      </c>
      <c r="H513" s="23" t="n">
        <f aca="false">MONTH(G513)</f>
        <v>8</v>
      </c>
      <c r="I513" s="74" t="s">
        <v>2074</v>
      </c>
      <c r="J513" s="74" t="s">
        <v>1314</v>
      </c>
      <c r="K513" s="10" t="n">
        <v>1517</v>
      </c>
      <c r="L513" s="8" t="n">
        <v>55946343.04</v>
      </c>
      <c r="M513" s="10" t="n">
        <v>0</v>
      </c>
      <c r="N513" s="8" t="n">
        <v>0</v>
      </c>
      <c r="O513" s="74"/>
      <c r="P513" s="74"/>
      <c r="Q513" s="74"/>
      <c r="R513" s="14" t="n">
        <f aca="false">IF(I513="Unbilled",0,M513)</f>
        <v>0</v>
      </c>
      <c r="S513" s="9" t="n">
        <f aca="false">IF(R513=0,0,IF(O513="Booked",N513,R513*V512))</f>
        <v>0</v>
      </c>
      <c r="T513" s="14" t="n">
        <f aca="false">IF(I513="Opening",K513,T512+K513-R513)</f>
        <v>3307.34</v>
      </c>
      <c r="U513" s="9" t="n">
        <f aca="false">IF(I513="Opening",L513,U512+L513-S513)</f>
        <v>124007967.740082</v>
      </c>
      <c r="V513" s="9" t="n">
        <f aca="false">IF(T513&gt;0,U513/T513,IF(I513="Opening",0,V512))</f>
        <v>37494.7745741539</v>
      </c>
      <c r="W513" s="14" t="n">
        <f aca="false">M513</f>
        <v>0</v>
      </c>
      <c r="X513" s="9" t="n">
        <f aca="false">IF(W513=0,0,IF(O513="Booked",N513,W513*AA512))</f>
        <v>0</v>
      </c>
      <c r="Y513" s="14" t="n">
        <f aca="false">IF(I513="Opening",K513,Y512+K513-W513)</f>
        <v>1796.94</v>
      </c>
      <c r="Z513" s="9" t="n">
        <f aca="false">IF(I513="Opening",L513,Z512+L513-X513)</f>
        <v>66533614.5339243</v>
      </c>
      <c r="AA513" s="9" t="n">
        <f aca="false">IF(Y513&gt;0,Z513/Y513,IF(I513="Opening",0,AA512))</f>
        <v>37026.0634934524</v>
      </c>
      <c r="AB513" s="9" t="n">
        <f aca="false">IF(AND(I513="DO",O513="MA"),S513-N513,0)</f>
        <v>0</v>
      </c>
      <c r="AC513" s="9" t="n">
        <f aca="false">IF(I513="DO",X513-S513,0)</f>
        <v>0</v>
      </c>
      <c r="AD513" s="23" t="n">
        <f aca="false">IF(B514&lt;&gt;B513,1,0)</f>
        <v>0</v>
      </c>
      <c r="AE513" s="14" t="n">
        <f aca="false">IF(I513="Opening",0,AE512+W513)</f>
        <v>3919.26</v>
      </c>
      <c r="AF513" s="14" t="n">
        <f aca="false">IF(I513="Opening",K513,AF512)</f>
        <v>0</v>
      </c>
      <c r="AG513" s="14" t="n">
        <f aca="false">AG512</f>
        <v>0</v>
      </c>
      <c r="AH513" s="14" t="n">
        <f aca="false">IF(W513=0,0,MAX(0,MIN(AE513,AF513)-MIN(AE513-W513,AF513)))</f>
        <v>0</v>
      </c>
      <c r="AI513" s="14" t="n">
        <f aca="false">IF(W513=0,0,MAX(0,MIN(AE513,AF513+AG513)-MAX(AE513-W513,AF513)))</f>
        <v>0</v>
      </c>
      <c r="AJ513" s="14" t="n">
        <f aca="false">W513-AH513-AI513</f>
        <v>0</v>
      </c>
      <c r="AK513" s="9" t="n">
        <f aca="false">IF(W513=0,0,X513*AH513/W513)</f>
        <v>0</v>
      </c>
      <c r="AL513" s="9" t="n">
        <f aca="false">IF(W513=0,0,X513*AI513/W513)</f>
        <v>0</v>
      </c>
      <c r="AM513" s="9" t="n">
        <f aca="false">X513-AK513-AL513</f>
        <v>0</v>
      </c>
    </row>
    <row r="514" customFormat="false" ht="15" hidden="false" customHeight="false" outlineLevel="0" collapsed="false">
      <c r="A514" s="6" t="n">
        <v>509</v>
      </c>
      <c r="B514" s="74" t="s">
        <v>993</v>
      </c>
      <c r="C514" s="53" t="str">
        <f aca="false">INDEX(I_Items!$C$5:$C$133,MATCH($B514,I_Items!$A$5:$A$133,0))</f>
        <v>RPA</v>
      </c>
      <c r="D514" s="53" t="str">
        <f aca="false">INDEX(I_Items!$D$5:$D$133,MATCH($B514,I_Items!$A$5:$A$133,0))</f>
        <v>Karkas</v>
      </c>
      <c r="E514" s="53" t="str">
        <f aca="false">INDEX(I_Items!$F$5:$F$133,MATCH($B514,I_Items!$A$5:$A$133,0))</f>
        <v>Fresh</v>
      </c>
      <c r="F514" s="53" t="str">
        <f aca="false">IF(INDEX(I_Items!$E$5:$E$133,MATCH($B514,I_Items!$A$5:$A$133,0))="","",INDEX(I_Items!$E$5:$E$133,MATCH($B514,I_Items!$A$5:$A$133,0)))</f>
        <v>Uk 1.4</v>
      </c>
      <c r="G514" s="76" t="n">
        <v>46260</v>
      </c>
      <c r="H514" s="23" t="n">
        <f aca="false">MONTH(G514)</f>
        <v>8</v>
      </c>
      <c r="I514" s="74" t="s">
        <v>2074</v>
      </c>
      <c r="J514" s="74" t="s">
        <v>1317</v>
      </c>
      <c r="K514" s="10" t="n">
        <v>1182.4</v>
      </c>
      <c r="L514" s="8" t="n">
        <v>44540292.29</v>
      </c>
      <c r="M514" s="10" t="n">
        <v>0</v>
      </c>
      <c r="N514" s="8" t="n">
        <v>0</v>
      </c>
      <c r="O514" s="74"/>
      <c r="P514" s="74"/>
      <c r="Q514" s="74"/>
      <c r="R514" s="14" t="n">
        <f aca="false">IF(I514="Unbilled",0,M514)</f>
        <v>0</v>
      </c>
      <c r="S514" s="9" t="n">
        <f aca="false">IF(R514=0,0,IF(O514="Booked",N514,R514*V513))</f>
        <v>0</v>
      </c>
      <c r="T514" s="14" t="n">
        <f aca="false">IF(I514="Opening",K514,T513+K514-R514)</f>
        <v>4489.74</v>
      </c>
      <c r="U514" s="9" t="n">
        <f aca="false">IF(I514="Opening",L514,U513+L514-S514)</f>
        <v>168548260.030082</v>
      </c>
      <c r="V514" s="9" t="n">
        <f aca="false">IF(T514&gt;0,U514/T514,IF(I514="Opening",0,V513))</f>
        <v>37540.761832552</v>
      </c>
      <c r="W514" s="14" t="n">
        <f aca="false">M514</f>
        <v>0</v>
      </c>
      <c r="X514" s="9" t="n">
        <f aca="false">IF(W514=0,0,IF(O514="Booked",N514,W514*AA513))</f>
        <v>0</v>
      </c>
      <c r="Y514" s="14" t="n">
        <f aca="false">IF(I514="Opening",K514,Y513+K514-W514)</f>
        <v>2979.34</v>
      </c>
      <c r="Z514" s="9" t="n">
        <f aca="false">IF(I514="Opening",L514,Z513+L514-X514)</f>
        <v>111073906.823924</v>
      </c>
      <c r="AA514" s="9" t="n">
        <f aca="false">IF(Y514&gt;0,Z514/Y514,IF(I514="Opening",0,AA513))</f>
        <v>37281.3800452195</v>
      </c>
      <c r="AB514" s="9" t="n">
        <f aca="false">IF(AND(I514="DO",O514="MA"),S514-N514,0)</f>
        <v>0</v>
      </c>
      <c r="AC514" s="9" t="n">
        <f aca="false">IF(I514="DO",X514-S514,0)</f>
        <v>0</v>
      </c>
      <c r="AD514" s="23" t="n">
        <f aca="false">IF(B515&lt;&gt;B514,1,0)</f>
        <v>0</v>
      </c>
      <c r="AE514" s="14" t="n">
        <f aca="false">IF(I514="Opening",0,AE513+W514)</f>
        <v>3919.26</v>
      </c>
      <c r="AF514" s="14" t="n">
        <f aca="false">IF(I514="Opening",K514,AF513)</f>
        <v>0</v>
      </c>
      <c r="AG514" s="14" t="n">
        <f aca="false">AG513</f>
        <v>0</v>
      </c>
      <c r="AH514" s="14" t="n">
        <f aca="false">IF(W514=0,0,MAX(0,MIN(AE514,AF514)-MIN(AE514-W514,AF514)))</f>
        <v>0</v>
      </c>
      <c r="AI514" s="14" t="n">
        <f aca="false">IF(W514=0,0,MAX(0,MIN(AE514,AF514+AG514)-MAX(AE514-W514,AF514)))</f>
        <v>0</v>
      </c>
      <c r="AJ514" s="14" t="n">
        <f aca="false">W514-AH514-AI514</f>
        <v>0</v>
      </c>
      <c r="AK514" s="9" t="n">
        <f aca="false">IF(W514=0,0,X514*AH514/W514)</f>
        <v>0</v>
      </c>
      <c r="AL514" s="9" t="n">
        <f aca="false">IF(W514=0,0,X514*AI514/W514)</f>
        <v>0</v>
      </c>
      <c r="AM514" s="9" t="n">
        <f aca="false">X514-AK514-AL514</f>
        <v>0</v>
      </c>
    </row>
    <row r="515" customFormat="false" ht="15" hidden="false" customHeight="false" outlineLevel="0" collapsed="false">
      <c r="A515" s="6" t="n">
        <v>510</v>
      </c>
      <c r="B515" s="74" t="s">
        <v>993</v>
      </c>
      <c r="C515" s="53" t="str">
        <f aca="false">INDEX(I_Items!$C$5:$C$133,MATCH($B515,I_Items!$A$5:$A$133,0))</f>
        <v>RPA</v>
      </c>
      <c r="D515" s="53" t="str">
        <f aca="false">INDEX(I_Items!$D$5:$D$133,MATCH($B515,I_Items!$A$5:$A$133,0))</f>
        <v>Karkas</v>
      </c>
      <c r="E515" s="53" t="str">
        <f aca="false">INDEX(I_Items!$F$5:$F$133,MATCH($B515,I_Items!$A$5:$A$133,0))</f>
        <v>Fresh</v>
      </c>
      <c r="F515" s="53" t="str">
        <f aca="false">IF(INDEX(I_Items!$E$5:$E$133,MATCH($B515,I_Items!$A$5:$A$133,0))="","",INDEX(I_Items!$E$5:$E$133,MATCH($B515,I_Items!$A$5:$A$133,0)))</f>
        <v>Uk 1.4</v>
      </c>
      <c r="G515" s="76" t="n">
        <v>46260</v>
      </c>
      <c r="H515" s="23" t="n">
        <f aca="false">MONTH(G515)</f>
        <v>8</v>
      </c>
      <c r="I515" s="74" t="s">
        <v>2075</v>
      </c>
      <c r="J515" s="74" t="s">
        <v>2154</v>
      </c>
      <c r="K515" s="10" t="n">
        <v>0</v>
      </c>
      <c r="L515" s="8" t="n">
        <v>0</v>
      </c>
      <c r="M515" s="10" t="n">
        <v>1517</v>
      </c>
      <c r="N515" s="8" t="n">
        <v>56949335.65</v>
      </c>
      <c r="O515" s="74" t="s">
        <v>2077</v>
      </c>
      <c r="P515" s="74"/>
      <c r="Q515" s="74"/>
      <c r="R515" s="14" t="n">
        <f aca="false">IF(I515="Unbilled",0,M515)</f>
        <v>1517</v>
      </c>
      <c r="S515" s="9" t="n">
        <f aca="false">IF(R515=0,0,IF(O515="Booked",N515,R515*V514))</f>
        <v>56949335.6999814</v>
      </c>
      <c r="T515" s="14" t="n">
        <f aca="false">IF(I515="Opening",K515,T514+K515-R515)</f>
        <v>2972.74</v>
      </c>
      <c r="U515" s="9" t="n">
        <f aca="false">IF(I515="Opening",L515,U514+L515-S515)</f>
        <v>111598924.330101</v>
      </c>
      <c r="V515" s="9" t="n">
        <f aca="false">IF(T515&gt;0,U515/T515,IF(I515="Opening",0,V514))</f>
        <v>37540.761832552</v>
      </c>
      <c r="W515" s="14" t="n">
        <f aca="false">M515</f>
        <v>1517</v>
      </c>
      <c r="X515" s="9" t="n">
        <f aca="false">IF(W515=0,0,IF(O515="Booked",N515,W515*AA514))</f>
        <v>56555853.528598</v>
      </c>
      <c r="Y515" s="14" t="n">
        <f aca="false">IF(I515="Opening",K515,Y514+K515-W515)</f>
        <v>1462.34</v>
      </c>
      <c r="Z515" s="9" t="n">
        <f aca="false">IF(I515="Opening",L515,Z514+L515-X515)</f>
        <v>54518053.2953263</v>
      </c>
      <c r="AA515" s="9" t="n">
        <f aca="false">IF(Y515&gt;0,Z515/Y515,IF(I515="Opening",0,AA514))</f>
        <v>37281.3800452195</v>
      </c>
      <c r="AB515" s="9" t="n">
        <f aca="false">IF(AND(I515="DO",O515="MA"),S515-N515,0)</f>
        <v>0.0499814227223396</v>
      </c>
      <c r="AC515" s="9" t="n">
        <f aca="false">IF(I515="DO",X515-S515,0)</f>
        <v>-393482.171383433</v>
      </c>
      <c r="AD515" s="23" t="n">
        <f aca="false">IF(B516&lt;&gt;B515,1,0)</f>
        <v>0</v>
      </c>
      <c r="AE515" s="14" t="n">
        <f aca="false">IF(I515="Opening",0,AE514+W515)</f>
        <v>5436.26</v>
      </c>
      <c r="AF515" s="14" t="n">
        <f aca="false">IF(I515="Opening",K515,AF514)</f>
        <v>0</v>
      </c>
      <c r="AG515" s="14" t="n">
        <f aca="false">AG514</f>
        <v>0</v>
      </c>
      <c r="AH515" s="14" t="n">
        <f aca="false">IF(W515=0,0,MAX(0,MIN(AE515,AF515)-MIN(AE515-W515,AF515)))</f>
        <v>0</v>
      </c>
      <c r="AI515" s="14" t="n">
        <f aca="false">IF(W515=0,0,MAX(0,MIN(AE515,AF515+AG515)-MAX(AE515-W515,AF515)))</f>
        <v>0</v>
      </c>
      <c r="AJ515" s="14" t="n">
        <f aca="false">W515-AH515-AI515</f>
        <v>1517</v>
      </c>
      <c r="AK515" s="9" t="n">
        <f aca="false">IF(W515=0,0,X515*AH515/W515)</f>
        <v>0</v>
      </c>
      <c r="AL515" s="9" t="n">
        <f aca="false">IF(W515=0,0,X515*AI515/W515)</f>
        <v>0</v>
      </c>
      <c r="AM515" s="9" t="n">
        <f aca="false">X515-AK515-AL515</f>
        <v>56555853.528598</v>
      </c>
    </row>
    <row r="516" customFormat="false" ht="15" hidden="false" customHeight="false" outlineLevel="0" collapsed="false">
      <c r="A516" s="6" t="n">
        <v>511</v>
      </c>
      <c r="B516" s="74" t="s">
        <v>993</v>
      </c>
      <c r="C516" s="53" t="str">
        <f aca="false">INDEX(I_Items!$C$5:$C$133,MATCH($B516,I_Items!$A$5:$A$133,0))</f>
        <v>RPA</v>
      </c>
      <c r="D516" s="53" t="str">
        <f aca="false">INDEX(I_Items!$D$5:$D$133,MATCH($B516,I_Items!$A$5:$A$133,0))</f>
        <v>Karkas</v>
      </c>
      <c r="E516" s="53" t="str">
        <f aca="false">INDEX(I_Items!$F$5:$F$133,MATCH($B516,I_Items!$A$5:$A$133,0))</f>
        <v>Fresh</v>
      </c>
      <c r="F516" s="53" t="str">
        <f aca="false">IF(INDEX(I_Items!$E$5:$E$133,MATCH($B516,I_Items!$A$5:$A$133,0))="","",INDEX(I_Items!$E$5:$E$133,MATCH($B516,I_Items!$A$5:$A$133,0)))</f>
        <v>Uk 1.4</v>
      </c>
      <c r="G516" s="76" t="n">
        <v>46261</v>
      </c>
      <c r="H516" s="23" t="n">
        <f aca="false">MONTH(G516)</f>
        <v>8</v>
      </c>
      <c r="I516" s="74" t="s">
        <v>2074</v>
      </c>
      <c r="J516" s="74" t="s">
        <v>1320</v>
      </c>
      <c r="K516" s="10" t="n">
        <v>985.2</v>
      </c>
      <c r="L516" s="8" t="n">
        <v>36634015.12</v>
      </c>
      <c r="M516" s="10" t="n">
        <v>0</v>
      </c>
      <c r="N516" s="8" t="n">
        <v>0</v>
      </c>
      <c r="O516" s="74"/>
      <c r="P516" s="74"/>
      <c r="Q516" s="74"/>
      <c r="R516" s="14" t="n">
        <f aca="false">IF(I516="Unbilled",0,M516)</f>
        <v>0</v>
      </c>
      <c r="S516" s="9" t="n">
        <f aca="false">IF(R516=0,0,IF(O516="Booked",N516,R516*V515))</f>
        <v>0</v>
      </c>
      <c r="T516" s="14" t="n">
        <f aca="false">IF(I516="Opening",K516,T515+K516-R516)</f>
        <v>3957.94</v>
      </c>
      <c r="U516" s="9" t="n">
        <f aca="false">IF(I516="Opening",L516,U515+L516-S516)</f>
        <v>148232939.450101</v>
      </c>
      <c r="V516" s="9" t="n">
        <f aca="false">IF(T516&gt;0,U516/T516,IF(I516="Opening",0,V515))</f>
        <v>37452.0430956762</v>
      </c>
      <c r="W516" s="14" t="n">
        <f aca="false">M516</f>
        <v>0</v>
      </c>
      <c r="X516" s="9" t="n">
        <f aca="false">IF(W516=0,0,IF(O516="Booked",N516,W516*AA515))</f>
        <v>0</v>
      </c>
      <c r="Y516" s="14" t="n">
        <f aca="false">IF(I516="Opening",K516,Y515+K516-W516)</f>
        <v>2447.54</v>
      </c>
      <c r="Z516" s="9" t="n">
        <f aca="false">IF(I516="Opening",L516,Z515+L516-X516)</f>
        <v>91152068.4153263</v>
      </c>
      <c r="AA516" s="9" t="n">
        <f aca="false">IF(Y516&gt;0,Z516/Y516,IF(I516="Opening",0,AA515))</f>
        <v>37242.3202134904</v>
      </c>
      <c r="AB516" s="9" t="n">
        <f aca="false">IF(AND(I516="DO",O516="MA"),S516-N516,0)</f>
        <v>0</v>
      </c>
      <c r="AC516" s="9" t="n">
        <f aca="false">IF(I516="DO",X516-S516,0)</f>
        <v>0</v>
      </c>
      <c r="AD516" s="23" t="n">
        <f aca="false">IF(B517&lt;&gt;B516,1,0)</f>
        <v>0</v>
      </c>
      <c r="AE516" s="14" t="n">
        <f aca="false">IF(I516="Opening",0,AE515+W516)</f>
        <v>5436.26</v>
      </c>
      <c r="AF516" s="14" t="n">
        <f aca="false">IF(I516="Opening",K516,AF515)</f>
        <v>0</v>
      </c>
      <c r="AG516" s="14" t="n">
        <f aca="false">AG515</f>
        <v>0</v>
      </c>
      <c r="AH516" s="14" t="n">
        <f aca="false">IF(W516=0,0,MAX(0,MIN(AE516,AF516)-MIN(AE516-W516,AF516)))</f>
        <v>0</v>
      </c>
      <c r="AI516" s="14" t="n">
        <f aca="false">IF(W516=0,0,MAX(0,MIN(AE516,AF516+AG516)-MAX(AE516-W516,AF516)))</f>
        <v>0</v>
      </c>
      <c r="AJ516" s="14" t="n">
        <f aca="false">W516-AH516-AI516</f>
        <v>0</v>
      </c>
      <c r="AK516" s="9" t="n">
        <f aca="false">IF(W516=0,0,X516*AH516/W516)</f>
        <v>0</v>
      </c>
      <c r="AL516" s="9" t="n">
        <f aca="false">IF(W516=0,0,X516*AI516/W516)</f>
        <v>0</v>
      </c>
      <c r="AM516" s="9" t="n">
        <f aca="false">X516-AK516-AL516</f>
        <v>0</v>
      </c>
    </row>
    <row r="517" customFormat="false" ht="15" hidden="false" customHeight="false" outlineLevel="0" collapsed="false">
      <c r="A517" s="6" t="n">
        <v>512</v>
      </c>
      <c r="B517" s="74" t="s">
        <v>993</v>
      </c>
      <c r="C517" s="53" t="str">
        <f aca="false">INDEX(I_Items!$C$5:$C$133,MATCH($B517,I_Items!$A$5:$A$133,0))</f>
        <v>RPA</v>
      </c>
      <c r="D517" s="53" t="str">
        <f aca="false">INDEX(I_Items!$D$5:$D$133,MATCH($B517,I_Items!$A$5:$A$133,0))</f>
        <v>Karkas</v>
      </c>
      <c r="E517" s="53" t="str">
        <f aca="false">INDEX(I_Items!$F$5:$F$133,MATCH($B517,I_Items!$A$5:$A$133,0))</f>
        <v>Fresh</v>
      </c>
      <c r="F517" s="53" t="str">
        <f aca="false">IF(INDEX(I_Items!$E$5:$E$133,MATCH($B517,I_Items!$A$5:$A$133,0))="","",INDEX(I_Items!$E$5:$E$133,MATCH($B517,I_Items!$A$5:$A$133,0)))</f>
        <v>Uk 1.4</v>
      </c>
      <c r="G517" s="76" t="n">
        <v>46261</v>
      </c>
      <c r="H517" s="23" t="n">
        <f aca="false">MONTH(G517)</f>
        <v>8</v>
      </c>
      <c r="I517" s="74" t="s">
        <v>2075</v>
      </c>
      <c r="J517" s="74" t="s">
        <v>2155</v>
      </c>
      <c r="K517" s="10" t="n">
        <v>0</v>
      </c>
      <c r="L517" s="8" t="n">
        <v>0</v>
      </c>
      <c r="M517" s="10" t="n">
        <v>1182.4</v>
      </c>
      <c r="N517" s="8" t="n">
        <v>44283295.76</v>
      </c>
      <c r="O517" s="74" t="s">
        <v>2077</v>
      </c>
      <c r="P517" s="74"/>
      <c r="Q517" s="74"/>
      <c r="R517" s="14" t="n">
        <f aca="false">IF(I517="Unbilled",0,M517)</f>
        <v>1182.4</v>
      </c>
      <c r="S517" s="9" t="n">
        <f aca="false">IF(R517=0,0,IF(O517="Booked",N517,R517*V516))</f>
        <v>44283295.7563276</v>
      </c>
      <c r="T517" s="14" t="n">
        <f aca="false">IF(I517="Opening",K517,T516+K517-R517)</f>
        <v>2775.54</v>
      </c>
      <c r="U517" s="9" t="n">
        <f aca="false">IF(I517="Opening",L517,U516+L517-S517)</f>
        <v>103949643.693773</v>
      </c>
      <c r="V517" s="9" t="n">
        <f aca="false">IF(T517&gt;0,U517/T517,IF(I517="Opening",0,V516))</f>
        <v>37452.0430956762</v>
      </c>
      <c r="W517" s="14" t="n">
        <f aca="false">M517</f>
        <v>1182.4</v>
      </c>
      <c r="X517" s="9" t="n">
        <f aca="false">IF(W517=0,0,IF(O517="Booked",N517,W517*AA516))</f>
        <v>44035319.4204311</v>
      </c>
      <c r="Y517" s="14" t="n">
        <f aca="false">IF(I517="Opening",K517,Y516+K517-W517)</f>
        <v>1265.14</v>
      </c>
      <c r="Z517" s="9" t="n">
        <f aca="false">IF(I517="Opening",L517,Z516+L517-X517)</f>
        <v>47116748.9948952</v>
      </c>
      <c r="AA517" s="9" t="n">
        <f aca="false">IF(Y517&gt;0,Z517/Y517,IF(I517="Opening",0,AA516))</f>
        <v>37242.3202134904</v>
      </c>
      <c r="AB517" s="9" t="n">
        <f aca="false">IF(AND(I517="DO",O517="MA"),S517-N517,0)</f>
        <v>-0.00367243587970734</v>
      </c>
      <c r="AC517" s="9" t="n">
        <f aca="false">IF(I517="DO",X517-S517,0)</f>
        <v>-247976.335896514</v>
      </c>
      <c r="AD517" s="23" t="n">
        <f aca="false">IF(B518&lt;&gt;B517,1,0)</f>
        <v>0</v>
      </c>
      <c r="AE517" s="14" t="n">
        <f aca="false">IF(I517="Opening",0,AE516+W517)</f>
        <v>6618.66</v>
      </c>
      <c r="AF517" s="14" t="n">
        <f aca="false">IF(I517="Opening",K517,AF516)</f>
        <v>0</v>
      </c>
      <c r="AG517" s="14" t="n">
        <f aca="false">AG516</f>
        <v>0</v>
      </c>
      <c r="AH517" s="14" t="n">
        <f aca="false">IF(W517=0,0,MAX(0,MIN(AE517,AF517)-MIN(AE517-W517,AF517)))</f>
        <v>0</v>
      </c>
      <c r="AI517" s="14" t="n">
        <f aca="false">IF(W517=0,0,MAX(0,MIN(AE517,AF517+AG517)-MAX(AE517-W517,AF517)))</f>
        <v>0</v>
      </c>
      <c r="AJ517" s="14" t="n">
        <f aca="false">W517-AH517-AI517</f>
        <v>1182.4</v>
      </c>
      <c r="AK517" s="9" t="n">
        <f aca="false">IF(W517=0,0,X517*AH517/W517)</f>
        <v>0</v>
      </c>
      <c r="AL517" s="9" t="n">
        <f aca="false">IF(W517=0,0,X517*AI517/W517)</f>
        <v>0</v>
      </c>
      <c r="AM517" s="9" t="n">
        <f aca="false">X517-AK517-AL517</f>
        <v>44035319.4204311</v>
      </c>
    </row>
    <row r="518" customFormat="false" ht="15" hidden="false" customHeight="false" outlineLevel="0" collapsed="false">
      <c r="A518" s="6" t="n">
        <v>513</v>
      </c>
      <c r="B518" s="74" t="s">
        <v>993</v>
      </c>
      <c r="C518" s="53" t="str">
        <f aca="false">INDEX(I_Items!$C$5:$C$133,MATCH($B518,I_Items!$A$5:$A$133,0))</f>
        <v>RPA</v>
      </c>
      <c r="D518" s="53" t="str">
        <f aca="false">INDEX(I_Items!$D$5:$D$133,MATCH($B518,I_Items!$A$5:$A$133,0))</f>
        <v>Karkas</v>
      </c>
      <c r="E518" s="53" t="str">
        <f aca="false">INDEX(I_Items!$F$5:$F$133,MATCH($B518,I_Items!$A$5:$A$133,0))</f>
        <v>Fresh</v>
      </c>
      <c r="F518" s="53" t="str">
        <f aca="false">IF(INDEX(I_Items!$E$5:$E$133,MATCH($B518,I_Items!$A$5:$A$133,0))="","",INDEX(I_Items!$E$5:$E$133,MATCH($B518,I_Items!$A$5:$A$133,0)))</f>
        <v>Uk 1.4</v>
      </c>
      <c r="G518" s="76" t="n">
        <v>46262</v>
      </c>
      <c r="H518" s="23" t="n">
        <f aca="false">MONTH(G518)</f>
        <v>8</v>
      </c>
      <c r="I518" s="74" t="s">
        <v>2074</v>
      </c>
      <c r="J518" s="74" t="s">
        <v>1323</v>
      </c>
      <c r="K518" s="10" t="n">
        <v>1496.6</v>
      </c>
      <c r="L518" s="8" t="n">
        <v>56110307.35</v>
      </c>
      <c r="M518" s="10" t="n">
        <v>0</v>
      </c>
      <c r="N518" s="8" t="n">
        <v>0</v>
      </c>
      <c r="O518" s="74"/>
      <c r="P518" s="74"/>
      <c r="Q518" s="74"/>
      <c r="R518" s="14" t="n">
        <f aca="false">IF(I518="Unbilled",0,M518)</f>
        <v>0</v>
      </c>
      <c r="S518" s="9" t="n">
        <f aca="false">IF(R518=0,0,IF(O518="Booked",N518,R518*V517))</f>
        <v>0</v>
      </c>
      <c r="T518" s="14" t="n">
        <f aca="false">IF(I518="Opening",K518,T517+K518-R518)</f>
        <v>4272.14</v>
      </c>
      <c r="U518" s="9" t="n">
        <f aca="false">IF(I518="Opening",L518,U517+L518-S518)</f>
        <v>160059951.043773</v>
      </c>
      <c r="V518" s="9" t="n">
        <f aca="false">IF(T518&gt;0,U518/T518,IF(I518="Opening",0,V517))</f>
        <v>37465.9891866309</v>
      </c>
      <c r="W518" s="14" t="n">
        <f aca="false">M518</f>
        <v>0</v>
      </c>
      <c r="X518" s="9" t="n">
        <f aca="false">IF(W518=0,0,IF(O518="Booked",N518,W518*AA517))</f>
        <v>0</v>
      </c>
      <c r="Y518" s="14" t="n">
        <f aca="false">IF(I518="Opening",K518,Y517+K518-W518)</f>
        <v>2761.74</v>
      </c>
      <c r="Z518" s="9" t="n">
        <f aca="false">IF(I518="Opening",L518,Z517+L518-X518)</f>
        <v>103227056.344895</v>
      </c>
      <c r="AA518" s="9" t="n">
        <f aca="false">IF(Y518&gt;0,Z518/Y518,IF(I518="Opening",0,AA517))</f>
        <v>37377.5432679743</v>
      </c>
      <c r="AB518" s="9" t="n">
        <f aca="false">IF(AND(I518="DO",O518="MA"),S518-N518,0)</f>
        <v>0</v>
      </c>
      <c r="AC518" s="9" t="n">
        <f aca="false">IF(I518="DO",X518-S518,0)</f>
        <v>0</v>
      </c>
      <c r="AD518" s="23" t="n">
        <f aca="false">IF(B519&lt;&gt;B518,1,0)</f>
        <v>0</v>
      </c>
      <c r="AE518" s="14" t="n">
        <f aca="false">IF(I518="Opening",0,AE517+W518)</f>
        <v>6618.66</v>
      </c>
      <c r="AF518" s="14" t="n">
        <f aca="false">IF(I518="Opening",K518,AF517)</f>
        <v>0</v>
      </c>
      <c r="AG518" s="14" t="n">
        <f aca="false">AG517</f>
        <v>0</v>
      </c>
      <c r="AH518" s="14" t="n">
        <f aca="false">IF(W518=0,0,MAX(0,MIN(AE518,AF518)-MIN(AE518-W518,AF518)))</f>
        <v>0</v>
      </c>
      <c r="AI518" s="14" t="n">
        <f aca="false">IF(W518=0,0,MAX(0,MIN(AE518,AF518+AG518)-MAX(AE518-W518,AF518)))</f>
        <v>0</v>
      </c>
      <c r="AJ518" s="14" t="n">
        <f aca="false">W518-AH518-AI518</f>
        <v>0</v>
      </c>
      <c r="AK518" s="9" t="n">
        <f aca="false">IF(W518=0,0,X518*AH518/W518)</f>
        <v>0</v>
      </c>
      <c r="AL518" s="9" t="n">
        <f aca="false">IF(W518=0,0,X518*AI518/W518)</f>
        <v>0</v>
      </c>
      <c r="AM518" s="9" t="n">
        <f aca="false">X518-AK518-AL518</f>
        <v>0</v>
      </c>
    </row>
    <row r="519" customFormat="false" ht="15" hidden="false" customHeight="false" outlineLevel="0" collapsed="false">
      <c r="A519" s="6" t="n">
        <v>514</v>
      </c>
      <c r="B519" s="74" t="s">
        <v>993</v>
      </c>
      <c r="C519" s="53" t="str">
        <f aca="false">INDEX(I_Items!$C$5:$C$133,MATCH($B519,I_Items!$A$5:$A$133,0))</f>
        <v>RPA</v>
      </c>
      <c r="D519" s="53" t="str">
        <f aca="false">INDEX(I_Items!$D$5:$D$133,MATCH($B519,I_Items!$A$5:$A$133,0))</f>
        <v>Karkas</v>
      </c>
      <c r="E519" s="53" t="str">
        <f aca="false">INDEX(I_Items!$F$5:$F$133,MATCH($B519,I_Items!$A$5:$A$133,0))</f>
        <v>Fresh</v>
      </c>
      <c r="F519" s="53" t="str">
        <f aca="false">IF(INDEX(I_Items!$E$5:$E$133,MATCH($B519,I_Items!$A$5:$A$133,0))="","",INDEX(I_Items!$E$5:$E$133,MATCH($B519,I_Items!$A$5:$A$133,0)))</f>
        <v>Uk 1.4</v>
      </c>
      <c r="G519" s="76" t="n">
        <v>46262</v>
      </c>
      <c r="H519" s="23" t="n">
        <f aca="false">MONTH(G519)</f>
        <v>8</v>
      </c>
      <c r="I519" s="74" t="s">
        <v>2075</v>
      </c>
      <c r="J519" s="74" t="s">
        <v>2161</v>
      </c>
      <c r="K519" s="10" t="n">
        <v>0</v>
      </c>
      <c r="L519" s="8" t="n">
        <v>0</v>
      </c>
      <c r="M519" s="10" t="n">
        <v>985.2</v>
      </c>
      <c r="N519" s="8" t="n">
        <v>36911492.56</v>
      </c>
      <c r="O519" s="74" t="s">
        <v>2077</v>
      </c>
      <c r="P519" s="74"/>
      <c r="Q519" s="74"/>
      <c r="R519" s="14" t="n">
        <f aca="false">IF(I519="Unbilled",0,M519)</f>
        <v>985.2</v>
      </c>
      <c r="S519" s="9" t="n">
        <f aca="false">IF(R519=0,0,IF(O519="Booked",N519,R519*V518))</f>
        <v>36911492.5466687</v>
      </c>
      <c r="T519" s="14" t="n">
        <f aca="false">IF(I519="Opening",K519,T518+K519-R519)</f>
        <v>3286.94</v>
      </c>
      <c r="U519" s="9" t="n">
        <f aca="false">IF(I519="Opening",L519,U518+L519-S519)</f>
        <v>123148458.497104</v>
      </c>
      <c r="V519" s="9" t="n">
        <f aca="false">IF(T519&gt;0,U519/T519,IF(I519="Opening",0,V518))</f>
        <v>37465.9891866309</v>
      </c>
      <c r="W519" s="14" t="n">
        <f aca="false">M519</f>
        <v>985.2</v>
      </c>
      <c r="X519" s="9" t="n">
        <f aca="false">IF(W519=0,0,IF(O519="Booked",N519,W519*AA518))</f>
        <v>36824355.6276083</v>
      </c>
      <c r="Y519" s="14" t="n">
        <f aca="false">IF(I519="Opening",K519,Y518+K519-W519)</f>
        <v>1776.54</v>
      </c>
      <c r="Z519" s="9" t="n">
        <f aca="false">IF(I519="Opening",L519,Z518+L519-X519)</f>
        <v>66402700.717287</v>
      </c>
      <c r="AA519" s="9" t="n">
        <f aca="false">IF(Y519&gt;0,Z519/Y519,IF(I519="Opening",0,AA518))</f>
        <v>37377.5432679743</v>
      </c>
      <c r="AB519" s="9" t="n">
        <f aca="false">IF(AND(I519="DO",O519="MA"),S519-N519,0)</f>
        <v>-0.0133312866091728</v>
      </c>
      <c r="AC519" s="9" t="n">
        <f aca="false">IF(I519="DO",X519-S519,0)</f>
        <v>-87136.9190604687</v>
      </c>
      <c r="AD519" s="23" t="n">
        <f aca="false">IF(B520&lt;&gt;B519,1,0)</f>
        <v>0</v>
      </c>
      <c r="AE519" s="14" t="n">
        <f aca="false">IF(I519="Opening",0,AE518+W519)</f>
        <v>7603.86</v>
      </c>
      <c r="AF519" s="14" t="n">
        <f aca="false">IF(I519="Opening",K519,AF518)</f>
        <v>0</v>
      </c>
      <c r="AG519" s="14" t="n">
        <f aca="false">AG518</f>
        <v>0</v>
      </c>
      <c r="AH519" s="14" t="n">
        <f aca="false">IF(W519=0,0,MAX(0,MIN(AE519,AF519)-MIN(AE519-W519,AF519)))</f>
        <v>0</v>
      </c>
      <c r="AI519" s="14" t="n">
        <f aca="false">IF(W519=0,0,MAX(0,MIN(AE519,AF519+AG519)-MAX(AE519-W519,AF519)))</f>
        <v>0</v>
      </c>
      <c r="AJ519" s="14" t="n">
        <f aca="false">W519-AH519-AI519</f>
        <v>985.2</v>
      </c>
      <c r="AK519" s="9" t="n">
        <f aca="false">IF(W519=0,0,X519*AH519/W519)</f>
        <v>0</v>
      </c>
      <c r="AL519" s="9" t="n">
        <f aca="false">IF(W519=0,0,X519*AI519/W519)</f>
        <v>0</v>
      </c>
      <c r="AM519" s="9" t="n">
        <f aca="false">X519-AK519-AL519</f>
        <v>36824355.6276083</v>
      </c>
    </row>
    <row r="520" customFormat="false" ht="15" hidden="false" customHeight="false" outlineLevel="0" collapsed="false">
      <c r="A520" s="6" t="n">
        <v>515</v>
      </c>
      <c r="B520" s="74" t="s">
        <v>993</v>
      </c>
      <c r="C520" s="53" t="str">
        <f aca="false">INDEX(I_Items!$C$5:$C$133,MATCH($B520,I_Items!$A$5:$A$133,0))</f>
        <v>RPA</v>
      </c>
      <c r="D520" s="53" t="str">
        <f aca="false">INDEX(I_Items!$D$5:$D$133,MATCH($B520,I_Items!$A$5:$A$133,0))</f>
        <v>Karkas</v>
      </c>
      <c r="E520" s="53" t="str">
        <f aca="false">INDEX(I_Items!$F$5:$F$133,MATCH($B520,I_Items!$A$5:$A$133,0))</f>
        <v>Fresh</v>
      </c>
      <c r="F520" s="53" t="str">
        <f aca="false">IF(INDEX(I_Items!$E$5:$E$133,MATCH($B520,I_Items!$A$5:$A$133,0))="","",INDEX(I_Items!$E$5:$E$133,MATCH($B520,I_Items!$A$5:$A$133,0)))</f>
        <v>Uk 1.4</v>
      </c>
      <c r="G520" s="76" t="n">
        <v>46263</v>
      </c>
      <c r="H520" s="23" t="n">
        <f aca="false">MONTH(G520)</f>
        <v>8</v>
      </c>
      <c r="I520" s="74" t="s">
        <v>2075</v>
      </c>
      <c r="J520" s="74" t="s">
        <v>2132</v>
      </c>
      <c r="K520" s="10" t="n">
        <v>0</v>
      </c>
      <c r="L520" s="8" t="n">
        <v>0</v>
      </c>
      <c r="M520" s="10" t="n">
        <v>1496.6</v>
      </c>
      <c r="N520" s="8" t="n">
        <v>56071599.44</v>
      </c>
      <c r="O520" s="74" t="s">
        <v>2077</v>
      </c>
      <c r="P520" s="74"/>
      <c r="Q520" s="74"/>
      <c r="R520" s="14" t="n">
        <f aca="false">IF(I520="Unbilled",0,M520)</f>
        <v>1496.6</v>
      </c>
      <c r="S520" s="9" t="n">
        <f aca="false">IF(R520=0,0,IF(O520="Booked",N520,R520*V519))</f>
        <v>56071599.4167117</v>
      </c>
      <c r="T520" s="14" t="n">
        <f aca="false">IF(I520="Opening",K520,T519+K520-R520)</f>
        <v>1790.34</v>
      </c>
      <c r="U520" s="9" t="n">
        <f aca="false">IF(I520="Opening",L520,U519+L520-S520)</f>
        <v>67076859.0803927</v>
      </c>
      <c r="V520" s="9" t="n">
        <f aca="false">IF(T520&gt;0,U520/T520,IF(I520="Opening",0,V519))</f>
        <v>37465.9891866309</v>
      </c>
      <c r="W520" s="14" t="n">
        <f aca="false">M520</f>
        <v>1496.6</v>
      </c>
      <c r="X520" s="9" t="n">
        <f aca="false">IF(W520=0,0,IF(O520="Booked",N520,W520*AA519))</f>
        <v>55939231.2548503</v>
      </c>
      <c r="Y520" s="14" t="n">
        <f aca="false">IF(I520="Opening",K520,Y519+K520-W520)</f>
        <v>279.94</v>
      </c>
      <c r="Z520" s="9" t="n">
        <f aca="false">IF(I520="Opening",L520,Z519+L520-X520)</f>
        <v>10463469.4624367</v>
      </c>
      <c r="AA520" s="9" t="n">
        <f aca="false">IF(Y520&gt;0,Z520/Y520,IF(I520="Opening",0,AA519))</f>
        <v>37377.5432679743</v>
      </c>
      <c r="AB520" s="9" t="n">
        <f aca="false">IF(AND(I520="DO",O520="MA"),S520-N520,0)</f>
        <v>-0.0232882648706436</v>
      </c>
      <c r="AC520" s="9" t="n">
        <f aca="false">IF(I520="DO",X520-S520,0)</f>
        <v>-132368.161861449</v>
      </c>
      <c r="AD520" s="23" t="n">
        <f aca="false">IF(B521&lt;&gt;B520,1,0)</f>
        <v>0</v>
      </c>
      <c r="AE520" s="14" t="n">
        <f aca="false">IF(I520="Opening",0,AE519+W520)</f>
        <v>9100.46</v>
      </c>
      <c r="AF520" s="14" t="n">
        <f aca="false">IF(I520="Opening",K520,AF519)</f>
        <v>0</v>
      </c>
      <c r="AG520" s="14" t="n">
        <f aca="false">AG519</f>
        <v>0</v>
      </c>
      <c r="AH520" s="14" t="n">
        <f aca="false">IF(W520=0,0,MAX(0,MIN(AE520,AF520)-MIN(AE520-W520,AF520)))</f>
        <v>0</v>
      </c>
      <c r="AI520" s="14" t="n">
        <f aca="false">IF(W520=0,0,MAX(0,MIN(AE520,AF520+AG520)-MAX(AE520-W520,AF520)))</f>
        <v>0</v>
      </c>
      <c r="AJ520" s="14" t="n">
        <f aca="false">W520-AH520-AI520</f>
        <v>1496.6</v>
      </c>
      <c r="AK520" s="9" t="n">
        <f aca="false">IF(W520=0,0,X520*AH520/W520)</f>
        <v>0</v>
      </c>
      <c r="AL520" s="9" t="n">
        <f aca="false">IF(W520=0,0,X520*AI520/W520)</f>
        <v>0</v>
      </c>
      <c r="AM520" s="9" t="n">
        <f aca="false">X520-AK520-AL520</f>
        <v>55939231.2548503</v>
      </c>
    </row>
    <row r="521" customFormat="false" ht="15" hidden="false" customHeight="false" outlineLevel="0" collapsed="false">
      <c r="A521" s="6" t="n">
        <v>516</v>
      </c>
      <c r="B521" s="74" t="s">
        <v>993</v>
      </c>
      <c r="C521" s="53" t="str">
        <f aca="false">INDEX(I_Items!$C$5:$C$133,MATCH($B521,I_Items!$A$5:$A$133,0))</f>
        <v>RPA</v>
      </c>
      <c r="D521" s="53" t="str">
        <f aca="false">INDEX(I_Items!$D$5:$D$133,MATCH($B521,I_Items!$A$5:$A$133,0))</f>
        <v>Karkas</v>
      </c>
      <c r="E521" s="53" t="str">
        <f aca="false">INDEX(I_Items!$F$5:$F$133,MATCH($B521,I_Items!$A$5:$A$133,0))</f>
        <v>Fresh</v>
      </c>
      <c r="F521" s="53" t="str">
        <f aca="false">IF(INDEX(I_Items!$E$5:$E$133,MATCH($B521,I_Items!$A$5:$A$133,0))="","",INDEX(I_Items!$E$5:$E$133,MATCH($B521,I_Items!$A$5:$A$133,0)))</f>
        <v>Uk 1.4</v>
      </c>
      <c r="G521" s="76" t="n">
        <v>46265</v>
      </c>
      <c r="H521" s="23" t="n">
        <f aca="false">MONTH(G521)</f>
        <v>8</v>
      </c>
      <c r="I521" s="74" t="s">
        <v>2074</v>
      </c>
      <c r="J521" s="74" t="s">
        <v>1326</v>
      </c>
      <c r="K521" s="10" t="n">
        <v>1924.4</v>
      </c>
      <c r="L521" s="8" t="n">
        <v>70907206</v>
      </c>
      <c r="M521" s="10" t="n">
        <v>0</v>
      </c>
      <c r="N521" s="8" t="n">
        <v>0</v>
      </c>
      <c r="O521" s="74"/>
      <c r="P521" s="74"/>
      <c r="Q521" s="74"/>
      <c r="R521" s="14" t="n">
        <f aca="false">IF(I521="Unbilled",0,M521)</f>
        <v>0</v>
      </c>
      <c r="S521" s="9" t="n">
        <f aca="false">IF(R521=0,0,IF(O521="Booked",N521,R521*V520))</f>
        <v>0</v>
      </c>
      <c r="T521" s="14" t="n">
        <f aca="false">IF(I521="Opening",K521,T520+K521-R521)</f>
        <v>3714.74</v>
      </c>
      <c r="U521" s="9" t="n">
        <f aca="false">IF(I521="Opening",L521,U520+L521-S521)</f>
        <v>137984065.080393</v>
      </c>
      <c r="V521" s="9" t="n">
        <f aca="false">IF(T521&gt;0,U521/T521,IF(I521="Opening",0,V520))</f>
        <v>37145.0128623787</v>
      </c>
      <c r="W521" s="14" t="n">
        <f aca="false">M521</f>
        <v>0</v>
      </c>
      <c r="X521" s="9" t="n">
        <f aca="false">IF(W521=0,0,IF(O521="Booked",N521,W521*AA520))</f>
        <v>0</v>
      </c>
      <c r="Y521" s="14" t="n">
        <f aca="false">IF(I521="Opening",K521,Y520+K521-W521)</f>
        <v>2204.34</v>
      </c>
      <c r="Z521" s="9" t="n">
        <f aca="false">IF(I521="Opening",L521,Z520+L521-X521)</f>
        <v>81370675.4624367</v>
      </c>
      <c r="AA521" s="9" t="n">
        <f aca="false">IF(Y521&gt;0,Z521/Y521,IF(I521="Opening",0,AA520))</f>
        <v>36913.8497066862</v>
      </c>
      <c r="AB521" s="9" t="n">
        <f aca="false">IF(AND(I521="DO",O521="MA"),S521-N521,0)</f>
        <v>0</v>
      </c>
      <c r="AC521" s="9" t="n">
        <f aca="false">IF(I521="DO",X521-S521,0)</f>
        <v>0</v>
      </c>
      <c r="AD521" s="23" t="n">
        <f aca="false">IF(B522&lt;&gt;B521,1,0)</f>
        <v>1</v>
      </c>
      <c r="AE521" s="14" t="n">
        <f aca="false">IF(I521="Opening",0,AE520+W521)</f>
        <v>9100.46</v>
      </c>
      <c r="AF521" s="14" t="n">
        <f aca="false">IF(I521="Opening",K521,AF520)</f>
        <v>0</v>
      </c>
      <c r="AG521" s="14" t="n">
        <f aca="false">AG520</f>
        <v>0</v>
      </c>
      <c r="AH521" s="14" t="n">
        <f aca="false">IF(W521=0,0,MAX(0,MIN(AE521,AF521)-MIN(AE521-W521,AF521)))</f>
        <v>0</v>
      </c>
      <c r="AI521" s="14" t="n">
        <f aca="false">IF(W521=0,0,MAX(0,MIN(AE521,AF521+AG521)-MAX(AE521-W521,AF521)))</f>
        <v>0</v>
      </c>
      <c r="AJ521" s="14" t="n">
        <f aca="false">W521-AH521-AI521</f>
        <v>0</v>
      </c>
      <c r="AK521" s="9" t="n">
        <f aca="false">IF(W521=0,0,X521*AH521/W521)</f>
        <v>0</v>
      </c>
      <c r="AL521" s="9" t="n">
        <f aca="false">IF(W521=0,0,X521*AI521/W521)</f>
        <v>0</v>
      </c>
      <c r="AM521" s="9" t="n">
        <f aca="false">X521-AK521-AL521</f>
        <v>0</v>
      </c>
    </row>
    <row r="522" customFormat="false" ht="15" hidden="false" customHeight="false" outlineLevel="0" collapsed="false">
      <c r="A522" s="6" t="n">
        <v>517</v>
      </c>
      <c r="B522" s="74" t="s">
        <v>994</v>
      </c>
      <c r="C522" s="53" t="str">
        <f aca="false">INDEX(I_Items!$C$5:$C$133,MATCH($B522,I_Items!$A$5:$A$133,0))</f>
        <v>RPA</v>
      </c>
      <c r="D522" s="53" t="str">
        <f aca="false">INDEX(I_Items!$D$5:$D$133,MATCH($B522,I_Items!$A$5:$A$133,0))</f>
        <v>Karkas</v>
      </c>
      <c r="E522" s="53" t="str">
        <f aca="false">INDEX(I_Items!$F$5:$F$133,MATCH($B522,I_Items!$A$5:$A$133,0))</f>
        <v>Frozen</v>
      </c>
      <c r="F522" s="53" t="str">
        <f aca="false">IF(INDEX(I_Items!$E$5:$E$133,MATCH($B522,I_Items!$A$5:$A$133,0))="","",INDEX(I_Items!$E$5:$E$133,MATCH($B522,I_Items!$A$5:$A$133,0)))</f>
        <v>Uk 1.4</v>
      </c>
      <c r="G522" s="76" t="n">
        <v>46204</v>
      </c>
      <c r="H522" s="23" t="n">
        <f aca="false">MONTH(G522)</f>
        <v>7</v>
      </c>
      <c r="I522" s="74" t="s">
        <v>2072</v>
      </c>
      <c r="J522" s="74" t="s">
        <v>2073</v>
      </c>
      <c r="K522" s="10" t="n">
        <v>567.72</v>
      </c>
      <c r="L522" s="8" t="n">
        <v>13951811.51</v>
      </c>
      <c r="M522" s="10" t="n">
        <v>0</v>
      </c>
      <c r="N522" s="8" t="n">
        <v>0</v>
      </c>
      <c r="O522" s="74"/>
      <c r="P522" s="74"/>
      <c r="Q522" s="74"/>
      <c r="R522" s="14" t="n">
        <f aca="false">IF(I522="Unbilled",0,M522)</f>
        <v>0</v>
      </c>
      <c r="S522" s="9" t="n">
        <f aca="false">IF(R522=0,0,IF(O522="Booked",N522,R522*V521))</f>
        <v>0</v>
      </c>
      <c r="T522" s="14" t="n">
        <f aca="false">IF(I522="Opening",K522,T521+K522-R522)</f>
        <v>567.72</v>
      </c>
      <c r="U522" s="9" t="n">
        <f aca="false">IF(I522="Opening",L522,U521+L522-S522)</f>
        <v>13951811.51</v>
      </c>
      <c r="V522" s="9" t="n">
        <f aca="false">IF(T522&gt;0,U522/T522,IF(I522="Opening",0,V521))</f>
        <v>24575.1629500458</v>
      </c>
      <c r="W522" s="14" t="n">
        <f aca="false">M522</f>
        <v>0</v>
      </c>
      <c r="X522" s="9" t="n">
        <f aca="false">IF(W522=0,0,IF(O522="Booked",N522,W522*AA521))</f>
        <v>0</v>
      </c>
      <c r="Y522" s="14" t="n">
        <f aca="false">IF(I522="Opening",K522,Y521+K522-W522)</f>
        <v>567.72</v>
      </c>
      <c r="Z522" s="9" t="n">
        <f aca="false">IF(I522="Opening",L522,Z521+L522-X522)</f>
        <v>13951811.51</v>
      </c>
      <c r="AA522" s="9" t="n">
        <f aca="false">IF(Y522&gt;0,Z522/Y522,IF(I522="Opening",0,AA521))</f>
        <v>24575.1629500458</v>
      </c>
      <c r="AB522" s="9" t="n">
        <f aca="false">IF(AND(I522="DO",O522="MA"),S522-N522,0)</f>
        <v>0</v>
      </c>
      <c r="AC522" s="9" t="n">
        <f aca="false">IF(I522="DO",X522-S522,0)</f>
        <v>0</v>
      </c>
      <c r="AD522" s="23" t="n">
        <f aca="false">IF(B523&lt;&gt;B522,1,0)</f>
        <v>0</v>
      </c>
      <c r="AE522" s="14" t="n">
        <f aca="false">IF(I522="Opening",0,AE521+W522)</f>
        <v>0</v>
      </c>
      <c r="AF522" s="14" t="n">
        <f aca="false">IF(I522="Opening",K522,AF521)</f>
        <v>567.72</v>
      </c>
      <c r="AG522" s="14" t="n">
        <f aca="false">SUMIFS($K$6:$K$1110,$B$6:$B$1110,B522,$H$6:$H$1110,7,$I$6:$I$1110,"&lt;&gt;Opening")</f>
        <v>48.4</v>
      </c>
      <c r="AH522" s="14" t="n">
        <f aca="false">IF(W522=0,0,MAX(0,MIN(AE522,AF522)-MIN(AE522-W522,AF522)))</f>
        <v>0</v>
      </c>
      <c r="AI522" s="14" t="n">
        <f aca="false">IF(W522=0,0,MAX(0,MIN(AE522,AF522+AG522)-MAX(AE522-W522,AF522)))</f>
        <v>0</v>
      </c>
      <c r="AJ522" s="14" t="n">
        <f aca="false">W522-AH522-AI522</f>
        <v>0</v>
      </c>
      <c r="AK522" s="9" t="n">
        <f aca="false">IF(W522=0,0,X522*AH522/W522)</f>
        <v>0</v>
      </c>
      <c r="AL522" s="9" t="n">
        <f aca="false">IF(W522=0,0,X522*AI522/W522)</f>
        <v>0</v>
      </c>
      <c r="AM522" s="9" t="n">
        <f aca="false">X522-AK522-AL522</f>
        <v>0</v>
      </c>
    </row>
    <row r="523" customFormat="false" ht="15" hidden="false" customHeight="false" outlineLevel="0" collapsed="false">
      <c r="A523" s="6" t="n">
        <v>518</v>
      </c>
      <c r="B523" s="74" t="s">
        <v>994</v>
      </c>
      <c r="C523" s="53" t="str">
        <f aca="false">INDEX(I_Items!$C$5:$C$133,MATCH($B523,I_Items!$A$5:$A$133,0))</f>
        <v>RPA</v>
      </c>
      <c r="D523" s="53" t="str">
        <f aca="false">INDEX(I_Items!$D$5:$D$133,MATCH($B523,I_Items!$A$5:$A$133,0))</f>
        <v>Karkas</v>
      </c>
      <c r="E523" s="53" t="str">
        <f aca="false">INDEX(I_Items!$F$5:$F$133,MATCH($B523,I_Items!$A$5:$A$133,0))</f>
        <v>Frozen</v>
      </c>
      <c r="F523" s="53" t="str">
        <f aca="false">IF(INDEX(I_Items!$E$5:$E$133,MATCH($B523,I_Items!$A$5:$A$133,0))="","",INDEX(I_Items!$E$5:$E$133,MATCH($B523,I_Items!$A$5:$A$133,0)))</f>
        <v>Uk 1.4</v>
      </c>
      <c r="G523" s="76" t="n">
        <v>46204</v>
      </c>
      <c r="H523" s="23" t="n">
        <f aca="false">MONTH(G523)</f>
        <v>7</v>
      </c>
      <c r="I523" s="74" t="s">
        <v>2117</v>
      </c>
      <c r="J523" s="74" t="s">
        <v>2164</v>
      </c>
      <c r="K523" s="10" t="n">
        <v>48.4</v>
      </c>
      <c r="L523" s="8" t="n">
        <v>1253358.17</v>
      </c>
      <c r="M523" s="10" t="n">
        <v>0</v>
      </c>
      <c r="N523" s="8" t="n">
        <v>0</v>
      </c>
      <c r="O523" s="74" t="s">
        <v>2119</v>
      </c>
      <c r="P523" s="74"/>
      <c r="Q523" s="74"/>
      <c r="R523" s="14" t="n">
        <f aca="false">IF(I523="Unbilled",0,M523)</f>
        <v>0</v>
      </c>
      <c r="S523" s="9" t="n">
        <f aca="false">IF(R523=0,0,IF(O523="Booked",N523,R523*V522))</f>
        <v>0</v>
      </c>
      <c r="T523" s="14" t="n">
        <f aca="false">IF(I523="Opening",K523,T522+K523-R523)</f>
        <v>616.12</v>
      </c>
      <c r="U523" s="9" t="n">
        <f aca="false">IF(I523="Opening",L523,U522+L523-S523)</f>
        <v>15205169.68</v>
      </c>
      <c r="V523" s="9" t="n">
        <f aca="false">IF(T523&gt;0,U523/T523,IF(I523="Opening",0,V522))</f>
        <v>24678.9094332273</v>
      </c>
      <c r="W523" s="14" t="n">
        <f aca="false">M523</f>
        <v>0</v>
      </c>
      <c r="X523" s="9" t="n">
        <f aca="false">IF(W523=0,0,IF(O523="Booked",N523,W523*AA522))</f>
        <v>0</v>
      </c>
      <c r="Y523" s="14" t="n">
        <f aca="false">IF(I523="Opening",K523,Y522+K523-W523)</f>
        <v>616.12</v>
      </c>
      <c r="Z523" s="9" t="n">
        <f aca="false">IF(I523="Opening",L523,Z522+L523-X523)</f>
        <v>15205169.68</v>
      </c>
      <c r="AA523" s="9" t="n">
        <f aca="false">IF(Y523&gt;0,Z523/Y523,IF(I523="Opening",0,AA522))</f>
        <v>24678.9094332273</v>
      </c>
      <c r="AB523" s="9" t="n">
        <f aca="false">IF(AND(I523="DO",O523="MA"),S523-N523,0)</f>
        <v>0</v>
      </c>
      <c r="AC523" s="9" t="n">
        <f aca="false">IF(I523="DO",X523-S523,0)</f>
        <v>0</v>
      </c>
      <c r="AD523" s="23" t="n">
        <f aca="false">IF(B524&lt;&gt;B523,1,0)</f>
        <v>0</v>
      </c>
      <c r="AE523" s="14" t="n">
        <f aca="false">IF(I523="Opening",0,AE522+W523)</f>
        <v>0</v>
      </c>
      <c r="AF523" s="14" t="n">
        <f aca="false">IF(I523="Opening",K523,AF522)</f>
        <v>567.72</v>
      </c>
      <c r="AG523" s="14" t="n">
        <f aca="false">AG522</f>
        <v>48.4</v>
      </c>
      <c r="AH523" s="14" t="n">
        <f aca="false">IF(W523=0,0,MAX(0,MIN(AE523,AF523)-MIN(AE523-W523,AF523)))</f>
        <v>0</v>
      </c>
      <c r="AI523" s="14" t="n">
        <f aca="false">IF(W523=0,0,MAX(0,MIN(AE523,AF523+AG523)-MAX(AE523-W523,AF523)))</f>
        <v>0</v>
      </c>
      <c r="AJ523" s="14" t="n">
        <f aca="false">W523-AH523-AI523</f>
        <v>0</v>
      </c>
      <c r="AK523" s="9" t="n">
        <f aca="false">IF(W523=0,0,X523*AH523/W523)</f>
        <v>0</v>
      </c>
      <c r="AL523" s="9" t="n">
        <f aca="false">IF(W523=0,0,X523*AI523/W523)</f>
        <v>0</v>
      </c>
      <c r="AM523" s="9" t="n">
        <f aca="false">X523-AK523-AL523</f>
        <v>0</v>
      </c>
    </row>
    <row r="524" customFormat="false" ht="15" hidden="false" customHeight="false" outlineLevel="0" collapsed="false">
      <c r="A524" s="6" t="n">
        <v>519</v>
      </c>
      <c r="B524" s="74" t="s">
        <v>994</v>
      </c>
      <c r="C524" s="53" t="str">
        <f aca="false">INDEX(I_Items!$C$5:$C$133,MATCH($B524,I_Items!$A$5:$A$133,0))</f>
        <v>RPA</v>
      </c>
      <c r="D524" s="53" t="str">
        <f aca="false">INDEX(I_Items!$D$5:$D$133,MATCH($B524,I_Items!$A$5:$A$133,0))</f>
        <v>Karkas</v>
      </c>
      <c r="E524" s="53" t="str">
        <f aca="false">INDEX(I_Items!$F$5:$F$133,MATCH($B524,I_Items!$A$5:$A$133,0))</f>
        <v>Frozen</v>
      </c>
      <c r="F524" s="53" t="str">
        <f aca="false">IF(INDEX(I_Items!$E$5:$E$133,MATCH($B524,I_Items!$A$5:$A$133,0))="","",INDEX(I_Items!$E$5:$E$133,MATCH($B524,I_Items!$A$5:$A$133,0)))</f>
        <v>Uk 1.4</v>
      </c>
      <c r="G524" s="76" t="n">
        <v>46204</v>
      </c>
      <c r="H524" s="23" t="n">
        <f aca="false">MONTH(G524)</f>
        <v>7</v>
      </c>
      <c r="I524" s="74" t="s">
        <v>2117</v>
      </c>
      <c r="J524" s="74" t="s">
        <v>2162</v>
      </c>
      <c r="K524" s="10" t="n">
        <v>0</v>
      </c>
      <c r="L524" s="8" t="n">
        <v>0</v>
      </c>
      <c r="M524" s="10" t="n">
        <v>68.7</v>
      </c>
      <c r="N524" s="8" t="n">
        <v>1779043.52</v>
      </c>
      <c r="O524" s="74" t="s">
        <v>2119</v>
      </c>
      <c r="P524" s="74"/>
      <c r="Q524" s="74"/>
      <c r="R524" s="14" t="n">
        <f aca="false">IF(I524="Unbilled",0,M524)</f>
        <v>68.7</v>
      </c>
      <c r="S524" s="9" t="n">
        <f aca="false">IF(R524=0,0,IF(O524="Booked",N524,R524*V523))</f>
        <v>1779043.52</v>
      </c>
      <c r="T524" s="14" t="n">
        <f aca="false">IF(I524="Opening",K524,T523+K524-R524)</f>
        <v>547.42</v>
      </c>
      <c r="U524" s="9" t="n">
        <f aca="false">IF(I524="Opening",L524,U523+L524-S524)</f>
        <v>13426126.16</v>
      </c>
      <c r="V524" s="9" t="n">
        <f aca="false">IF(T524&gt;0,U524/T524,IF(I524="Opening",0,V523))</f>
        <v>24526.1885937671</v>
      </c>
      <c r="W524" s="14" t="n">
        <f aca="false">M524</f>
        <v>68.7</v>
      </c>
      <c r="X524" s="9" t="n">
        <f aca="false">IF(W524=0,0,IF(O524="Booked",N524,W524*AA523))</f>
        <v>1779043.52</v>
      </c>
      <c r="Y524" s="14" t="n">
        <f aca="false">IF(I524="Opening",K524,Y523+K524-W524)</f>
        <v>547.42</v>
      </c>
      <c r="Z524" s="9" t="n">
        <f aca="false">IF(I524="Opening",L524,Z523+L524-X524)</f>
        <v>13426126.16</v>
      </c>
      <c r="AA524" s="9" t="n">
        <f aca="false">IF(Y524&gt;0,Z524/Y524,IF(I524="Opening",0,AA523))</f>
        <v>24526.1885937671</v>
      </c>
      <c r="AB524" s="9" t="n">
        <f aca="false">IF(AND(I524="DO",O524="MA"),S524-N524,0)</f>
        <v>0</v>
      </c>
      <c r="AC524" s="9" t="n">
        <f aca="false">IF(I524="DO",X524-S524,0)</f>
        <v>0</v>
      </c>
      <c r="AD524" s="23" t="n">
        <f aca="false">IF(B525&lt;&gt;B524,1,0)</f>
        <v>0</v>
      </c>
      <c r="AE524" s="14" t="n">
        <f aca="false">IF(I524="Opening",0,AE523+W524)</f>
        <v>68.7</v>
      </c>
      <c r="AF524" s="14" t="n">
        <f aca="false">IF(I524="Opening",K524,AF523)</f>
        <v>567.72</v>
      </c>
      <c r="AG524" s="14" t="n">
        <f aca="false">AG523</f>
        <v>48.4</v>
      </c>
      <c r="AH524" s="14" t="n">
        <f aca="false">IF(W524=0,0,MAX(0,MIN(AE524,AF524)-MIN(AE524-W524,AF524)))</f>
        <v>68.7</v>
      </c>
      <c r="AI524" s="14" t="n">
        <f aca="false">IF(W524=0,0,MAX(0,MIN(AE524,AF524+AG524)-MAX(AE524-W524,AF524)))</f>
        <v>0</v>
      </c>
      <c r="AJ524" s="14" t="n">
        <f aca="false">W524-AH524-AI524</f>
        <v>0</v>
      </c>
      <c r="AK524" s="9" t="n">
        <f aca="false">IF(W524=0,0,X524*AH524/W524)</f>
        <v>1779043.52</v>
      </c>
      <c r="AL524" s="9" t="n">
        <f aca="false">IF(W524=0,0,X524*AI524/W524)</f>
        <v>0</v>
      </c>
      <c r="AM524" s="9" t="n">
        <f aca="false">X524-AK524-AL524</f>
        <v>0</v>
      </c>
    </row>
    <row r="525" customFormat="false" ht="15" hidden="false" customHeight="false" outlineLevel="0" collapsed="false">
      <c r="A525" s="6" t="n">
        <v>520</v>
      </c>
      <c r="B525" s="74" t="s">
        <v>994</v>
      </c>
      <c r="C525" s="53" t="str">
        <f aca="false">INDEX(I_Items!$C$5:$C$133,MATCH($B525,I_Items!$A$5:$A$133,0))</f>
        <v>RPA</v>
      </c>
      <c r="D525" s="53" t="str">
        <f aca="false">INDEX(I_Items!$D$5:$D$133,MATCH($B525,I_Items!$A$5:$A$133,0))</f>
        <v>Karkas</v>
      </c>
      <c r="E525" s="53" t="str">
        <f aca="false">INDEX(I_Items!$F$5:$F$133,MATCH($B525,I_Items!$A$5:$A$133,0))</f>
        <v>Frozen</v>
      </c>
      <c r="F525" s="53" t="str">
        <f aca="false">IF(INDEX(I_Items!$E$5:$E$133,MATCH($B525,I_Items!$A$5:$A$133,0))="","",INDEX(I_Items!$E$5:$E$133,MATCH($B525,I_Items!$A$5:$A$133,0)))</f>
        <v>Uk 1.4</v>
      </c>
      <c r="G525" s="76" t="n">
        <v>46239</v>
      </c>
      <c r="H525" s="23" t="n">
        <f aca="false">MONTH(G525)</f>
        <v>8</v>
      </c>
      <c r="I525" s="74" t="s">
        <v>2075</v>
      </c>
      <c r="J525" s="74" t="s">
        <v>2165</v>
      </c>
      <c r="K525" s="10" t="n">
        <v>0</v>
      </c>
      <c r="L525" s="8" t="n">
        <v>0</v>
      </c>
      <c r="M525" s="10" t="n">
        <v>477.93</v>
      </c>
      <c r="N525" s="8" t="n">
        <v>11721801.32</v>
      </c>
      <c r="O525" s="74" t="s">
        <v>2077</v>
      </c>
      <c r="P525" s="74"/>
      <c r="Q525" s="74"/>
      <c r="R525" s="14" t="n">
        <f aca="false">IF(I525="Unbilled",0,M525)</f>
        <v>477.93</v>
      </c>
      <c r="S525" s="9" t="n">
        <f aca="false">IF(R525=0,0,IF(O525="Booked",N525,R525*V524))</f>
        <v>11721801.3146191</v>
      </c>
      <c r="T525" s="14" t="n">
        <f aca="false">IF(I525="Opening",K525,T524+K525-R525)</f>
        <v>69.49</v>
      </c>
      <c r="U525" s="9" t="n">
        <f aca="false">IF(I525="Opening",L525,U524+L525-S525)</f>
        <v>1704324.84538088</v>
      </c>
      <c r="V525" s="9" t="n">
        <f aca="false">IF(T525&gt;0,U525/T525,IF(I525="Opening",0,V524))</f>
        <v>24526.1885937671</v>
      </c>
      <c r="W525" s="14" t="n">
        <f aca="false">M525</f>
        <v>477.93</v>
      </c>
      <c r="X525" s="9" t="n">
        <f aca="false">IF(W525=0,0,IF(O525="Booked",N525,W525*AA524))</f>
        <v>11721801.3146191</v>
      </c>
      <c r="Y525" s="14" t="n">
        <f aca="false">IF(I525="Opening",K525,Y524+K525-W525)</f>
        <v>69.49</v>
      </c>
      <c r="Z525" s="9" t="n">
        <f aca="false">IF(I525="Opening",L525,Z524+L525-X525)</f>
        <v>1704324.84538088</v>
      </c>
      <c r="AA525" s="9" t="n">
        <f aca="false">IF(Y525&gt;0,Z525/Y525,IF(I525="Opening",0,AA524))</f>
        <v>24526.1885937671</v>
      </c>
      <c r="AB525" s="9" t="n">
        <f aca="false">IF(AND(I525="DO",O525="MA"),S525-N525,0)</f>
        <v>-0.00538087636232376</v>
      </c>
      <c r="AC525" s="9" t="n">
        <f aca="false">IF(I525="DO",X525-S525,0)</f>
        <v>0</v>
      </c>
      <c r="AD525" s="23" t="n">
        <f aca="false">IF(B526&lt;&gt;B525,1,0)</f>
        <v>0</v>
      </c>
      <c r="AE525" s="14" t="n">
        <f aca="false">IF(I525="Opening",0,AE524+W525)</f>
        <v>546.63</v>
      </c>
      <c r="AF525" s="14" t="n">
        <f aca="false">IF(I525="Opening",K525,AF524)</f>
        <v>567.72</v>
      </c>
      <c r="AG525" s="14" t="n">
        <f aca="false">AG524</f>
        <v>48.4</v>
      </c>
      <c r="AH525" s="14" t="n">
        <f aca="false">IF(W525=0,0,MAX(0,MIN(AE525,AF525)-MIN(AE525-W525,AF525)))</f>
        <v>477.93</v>
      </c>
      <c r="AI525" s="14" t="n">
        <f aca="false">IF(W525=0,0,MAX(0,MIN(AE525,AF525+AG525)-MAX(AE525-W525,AF525)))</f>
        <v>0</v>
      </c>
      <c r="AJ525" s="14" t="n">
        <f aca="false">W525-AH525-AI525</f>
        <v>0</v>
      </c>
      <c r="AK525" s="9" t="n">
        <f aca="false">IF(W525=0,0,X525*AH525/W525)</f>
        <v>11721801.3146191</v>
      </c>
      <c r="AL525" s="9" t="n">
        <f aca="false">IF(W525=0,0,X525*AI525/W525)</f>
        <v>0</v>
      </c>
      <c r="AM525" s="9" t="n">
        <f aca="false">X525-AK525-AL525</f>
        <v>0</v>
      </c>
    </row>
    <row r="526" customFormat="false" ht="15" hidden="false" customHeight="false" outlineLevel="0" collapsed="false">
      <c r="A526" s="6" t="n">
        <v>521</v>
      </c>
      <c r="B526" s="74" t="s">
        <v>994</v>
      </c>
      <c r="C526" s="53" t="str">
        <f aca="false">INDEX(I_Items!$C$5:$C$133,MATCH($B526,I_Items!$A$5:$A$133,0))</f>
        <v>RPA</v>
      </c>
      <c r="D526" s="53" t="str">
        <f aca="false">INDEX(I_Items!$D$5:$D$133,MATCH($B526,I_Items!$A$5:$A$133,0))</f>
        <v>Karkas</v>
      </c>
      <c r="E526" s="53" t="str">
        <f aca="false">INDEX(I_Items!$F$5:$F$133,MATCH($B526,I_Items!$A$5:$A$133,0))</f>
        <v>Frozen</v>
      </c>
      <c r="F526" s="53" t="str">
        <f aca="false">IF(INDEX(I_Items!$E$5:$E$133,MATCH($B526,I_Items!$A$5:$A$133,0))="","",INDEX(I_Items!$E$5:$E$133,MATCH($B526,I_Items!$A$5:$A$133,0)))</f>
        <v>Uk 1.4</v>
      </c>
      <c r="G526" s="76" t="n">
        <v>46241</v>
      </c>
      <c r="H526" s="23" t="n">
        <f aca="false">MONTH(G526)</f>
        <v>8</v>
      </c>
      <c r="I526" s="74" t="s">
        <v>2074</v>
      </c>
      <c r="J526" s="74" t="s">
        <v>1290</v>
      </c>
      <c r="K526" s="10" t="n">
        <v>10.1</v>
      </c>
      <c r="L526" s="8" t="n">
        <v>307988.51</v>
      </c>
      <c r="M526" s="10" t="n">
        <v>0</v>
      </c>
      <c r="N526" s="8" t="n">
        <v>0</v>
      </c>
      <c r="O526" s="74"/>
      <c r="P526" s="74"/>
      <c r="Q526" s="74"/>
      <c r="R526" s="14" t="n">
        <f aca="false">IF(I526="Unbilled",0,M526)</f>
        <v>0</v>
      </c>
      <c r="S526" s="9" t="n">
        <f aca="false">IF(R526=0,0,IF(O526="Booked",N526,R526*V525))</f>
        <v>0</v>
      </c>
      <c r="T526" s="14" t="n">
        <f aca="false">IF(I526="Opening",K526,T525+K526-R526)</f>
        <v>79.59</v>
      </c>
      <c r="U526" s="9" t="n">
        <f aca="false">IF(I526="Opening",L526,U525+L526-S526)</f>
        <v>2012313.35538088</v>
      </c>
      <c r="V526" s="9" t="n">
        <f aca="false">IF(T526&gt;0,U526/T526,IF(I526="Opening",0,V525))</f>
        <v>25283.4948533846</v>
      </c>
      <c r="W526" s="14" t="n">
        <f aca="false">M526</f>
        <v>0</v>
      </c>
      <c r="X526" s="9" t="n">
        <f aca="false">IF(W526=0,0,IF(O526="Booked",N526,W526*AA525))</f>
        <v>0</v>
      </c>
      <c r="Y526" s="14" t="n">
        <f aca="false">IF(I526="Opening",K526,Y525+K526-W526)</f>
        <v>79.59</v>
      </c>
      <c r="Z526" s="9" t="n">
        <f aca="false">IF(I526="Opening",L526,Z525+L526-X526)</f>
        <v>2012313.35538088</v>
      </c>
      <c r="AA526" s="9" t="n">
        <f aca="false">IF(Y526&gt;0,Z526/Y526,IF(I526="Opening",0,AA525))</f>
        <v>25283.4948533846</v>
      </c>
      <c r="AB526" s="9" t="n">
        <f aca="false">IF(AND(I526="DO",O526="MA"),S526-N526,0)</f>
        <v>0</v>
      </c>
      <c r="AC526" s="9" t="n">
        <f aca="false">IF(I526="DO",X526-S526,0)</f>
        <v>0</v>
      </c>
      <c r="AD526" s="23" t="n">
        <f aca="false">IF(B527&lt;&gt;B526,1,0)</f>
        <v>0</v>
      </c>
      <c r="AE526" s="14" t="n">
        <f aca="false">IF(I526="Opening",0,AE525+W526)</f>
        <v>546.63</v>
      </c>
      <c r="AF526" s="14" t="n">
        <f aca="false">IF(I526="Opening",K526,AF525)</f>
        <v>567.72</v>
      </c>
      <c r="AG526" s="14" t="n">
        <f aca="false">AG525</f>
        <v>48.4</v>
      </c>
      <c r="AH526" s="14" t="n">
        <f aca="false">IF(W526=0,0,MAX(0,MIN(AE526,AF526)-MIN(AE526-W526,AF526)))</f>
        <v>0</v>
      </c>
      <c r="AI526" s="14" t="n">
        <f aca="false">IF(W526=0,0,MAX(0,MIN(AE526,AF526+AG526)-MAX(AE526-W526,AF526)))</f>
        <v>0</v>
      </c>
      <c r="AJ526" s="14" t="n">
        <f aca="false">W526-AH526-AI526</f>
        <v>0</v>
      </c>
      <c r="AK526" s="9" t="n">
        <f aca="false">IF(W526=0,0,X526*AH526/W526)</f>
        <v>0</v>
      </c>
      <c r="AL526" s="9" t="n">
        <f aca="false">IF(W526=0,0,X526*AI526/W526)</f>
        <v>0</v>
      </c>
      <c r="AM526" s="9" t="n">
        <f aca="false">X526-AK526-AL526</f>
        <v>0</v>
      </c>
    </row>
    <row r="527" customFormat="false" ht="15" hidden="false" customHeight="false" outlineLevel="0" collapsed="false">
      <c r="A527" s="6" t="n">
        <v>522</v>
      </c>
      <c r="B527" s="74" t="s">
        <v>994</v>
      </c>
      <c r="C527" s="53" t="str">
        <f aca="false">INDEX(I_Items!$C$5:$C$133,MATCH($B527,I_Items!$A$5:$A$133,0))</f>
        <v>RPA</v>
      </c>
      <c r="D527" s="53" t="str">
        <f aca="false">INDEX(I_Items!$D$5:$D$133,MATCH($B527,I_Items!$A$5:$A$133,0))</f>
        <v>Karkas</v>
      </c>
      <c r="E527" s="53" t="str">
        <f aca="false">INDEX(I_Items!$F$5:$F$133,MATCH($B527,I_Items!$A$5:$A$133,0))</f>
        <v>Frozen</v>
      </c>
      <c r="F527" s="53" t="str">
        <f aca="false">IF(INDEX(I_Items!$E$5:$E$133,MATCH($B527,I_Items!$A$5:$A$133,0))="","",INDEX(I_Items!$E$5:$E$133,MATCH($B527,I_Items!$A$5:$A$133,0)))</f>
        <v>Uk 1.4</v>
      </c>
      <c r="G527" s="76" t="n">
        <v>46244</v>
      </c>
      <c r="H527" s="23" t="n">
        <f aca="false">MONTH(G527)</f>
        <v>8</v>
      </c>
      <c r="I527" s="74" t="s">
        <v>2074</v>
      </c>
      <c r="J527" s="74" t="s">
        <v>1298</v>
      </c>
      <c r="K527" s="10" t="n">
        <v>61.8</v>
      </c>
      <c r="L527" s="8" t="n">
        <v>2131214.22</v>
      </c>
      <c r="M527" s="10" t="n">
        <v>0</v>
      </c>
      <c r="N527" s="8" t="n">
        <v>0</v>
      </c>
      <c r="O527" s="74"/>
      <c r="P527" s="74"/>
      <c r="Q527" s="74"/>
      <c r="R527" s="14" t="n">
        <f aca="false">IF(I527="Unbilled",0,M527)</f>
        <v>0</v>
      </c>
      <c r="S527" s="9" t="n">
        <f aca="false">IF(R527=0,0,IF(O527="Booked",N527,R527*V526))</f>
        <v>0</v>
      </c>
      <c r="T527" s="14" t="n">
        <f aca="false">IF(I527="Opening",K527,T526+K527-R527)</f>
        <v>141.39</v>
      </c>
      <c r="U527" s="9" t="n">
        <f aca="false">IF(I527="Opening",L527,U526+L527-S527)</f>
        <v>4143527.57538088</v>
      </c>
      <c r="V527" s="9" t="n">
        <f aca="false">IF(T527&gt;0,U527/T527,IF(I527="Opening",0,V526))</f>
        <v>29305.6621782366</v>
      </c>
      <c r="W527" s="14" t="n">
        <f aca="false">M527</f>
        <v>0</v>
      </c>
      <c r="X527" s="9" t="n">
        <f aca="false">IF(W527=0,0,IF(O527="Booked",N527,W527*AA526))</f>
        <v>0</v>
      </c>
      <c r="Y527" s="14" t="n">
        <f aca="false">IF(I527="Opening",K527,Y526+K527-W527)</f>
        <v>141.39</v>
      </c>
      <c r="Z527" s="9" t="n">
        <f aca="false">IF(I527="Opening",L527,Z526+L527-X527)</f>
        <v>4143527.57538088</v>
      </c>
      <c r="AA527" s="9" t="n">
        <f aca="false">IF(Y527&gt;0,Z527/Y527,IF(I527="Opening",0,AA526))</f>
        <v>29305.6621782366</v>
      </c>
      <c r="AB527" s="9" t="n">
        <f aca="false">IF(AND(I527="DO",O527="MA"),S527-N527,0)</f>
        <v>0</v>
      </c>
      <c r="AC527" s="9" t="n">
        <f aca="false">IF(I527="DO",X527-S527,0)</f>
        <v>0</v>
      </c>
      <c r="AD527" s="23" t="n">
        <f aca="false">IF(B528&lt;&gt;B527,1,0)</f>
        <v>0</v>
      </c>
      <c r="AE527" s="14" t="n">
        <f aca="false">IF(I527="Opening",0,AE526+W527)</f>
        <v>546.63</v>
      </c>
      <c r="AF527" s="14" t="n">
        <f aca="false">IF(I527="Opening",K527,AF526)</f>
        <v>567.72</v>
      </c>
      <c r="AG527" s="14" t="n">
        <f aca="false">AG526</f>
        <v>48.4</v>
      </c>
      <c r="AH527" s="14" t="n">
        <f aca="false">IF(W527=0,0,MAX(0,MIN(AE527,AF527)-MIN(AE527-W527,AF527)))</f>
        <v>0</v>
      </c>
      <c r="AI527" s="14" t="n">
        <f aca="false">IF(W527=0,0,MAX(0,MIN(AE527,AF527+AG527)-MAX(AE527-W527,AF527)))</f>
        <v>0</v>
      </c>
      <c r="AJ527" s="14" t="n">
        <f aca="false">W527-AH527-AI527</f>
        <v>0</v>
      </c>
      <c r="AK527" s="9" t="n">
        <f aca="false">IF(W527=0,0,X527*AH527/W527)</f>
        <v>0</v>
      </c>
      <c r="AL527" s="9" t="n">
        <f aca="false">IF(W527=0,0,X527*AI527/W527)</f>
        <v>0</v>
      </c>
      <c r="AM527" s="9" t="n">
        <f aca="false">X527-AK527-AL527</f>
        <v>0</v>
      </c>
    </row>
    <row r="528" customFormat="false" ht="15" hidden="false" customHeight="false" outlineLevel="0" collapsed="false">
      <c r="A528" s="6" t="n">
        <v>523</v>
      </c>
      <c r="B528" s="74" t="s">
        <v>994</v>
      </c>
      <c r="C528" s="53" t="str">
        <f aca="false">INDEX(I_Items!$C$5:$C$133,MATCH($B528,I_Items!$A$5:$A$133,0))</f>
        <v>RPA</v>
      </c>
      <c r="D528" s="53" t="str">
        <f aca="false">INDEX(I_Items!$D$5:$D$133,MATCH($B528,I_Items!$A$5:$A$133,0))</f>
        <v>Karkas</v>
      </c>
      <c r="E528" s="53" t="str">
        <f aca="false">INDEX(I_Items!$F$5:$F$133,MATCH($B528,I_Items!$A$5:$A$133,0))</f>
        <v>Frozen</v>
      </c>
      <c r="F528" s="53" t="str">
        <f aca="false">IF(INDEX(I_Items!$E$5:$E$133,MATCH($B528,I_Items!$A$5:$A$133,0))="","",INDEX(I_Items!$E$5:$E$133,MATCH($B528,I_Items!$A$5:$A$133,0)))</f>
        <v>Uk 1.4</v>
      </c>
      <c r="G528" s="76" t="n">
        <v>46248</v>
      </c>
      <c r="H528" s="23" t="n">
        <f aca="false">MONTH(G528)</f>
        <v>8</v>
      </c>
      <c r="I528" s="74" t="s">
        <v>2074</v>
      </c>
      <c r="J528" s="74" t="s">
        <v>1302</v>
      </c>
      <c r="K528" s="10" t="n">
        <v>110.4</v>
      </c>
      <c r="L528" s="8" t="n">
        <v>3842506.05</v>
      </c>
      <c r="M528" s="10" t="n">
        <v>0</v>
      </c>
      <c r="N528" s="8" t="n">
        <v>0</v>
      </c>
      <c r="O528" s="74"/>
      <c r="P528" s="74"/>
      <c r="Q528" s="74"/>
      <c r="R528" s="14" t="n">
        <f aca="false">IF(I528="Unbilled",0,M528)</f>
        <v>0</v>
      </c>
      <c r="S528" s="9" t="n">
        <f aca="false">IF(R528=0,0,IF(O528="Booked",N528,R528*V527))</f>
        <v>0</v>
      </c>
      <c r="T528" s="14" t="n">
        <f aca="false">IF(I528="Opening",K528,T527+K528-R528)</f>
        <v>251.79</v>
      </c>
      <c r="U528" s="9" t="n">
        <f aca="false">IF(I528="Opening",L528,U527+L528-S528)</f>
        <v>7986033.62538088</v>
      </c>
      <c r="V528" s="9" t="n">
        <f aca="false">IF(T528&gt;0,U528/T528,IF(I528="Opening",0,V527))</f>
        <v>31717.0404916036</v>
      </c>
      <c r="W528" s="14" t="n">
        <f aca="false">M528</f>
        <v>0</v>
      </c>
      <c r="X528" s="9" t="n">
        <f aca="false">IF(W528=0,0,IF(O528="Booked",N528,W528*AA527))</f>
        <v>0</v>
      </c>
      <c r="Y528" s="14" t="n">
        <f aca="false">IF(I528="Opening",K528,Y527+K528-W528)</f>
        <v>251.79</v>
      </c>
      <c r="Z528" s="9" t="n">
        <f aca="false">IF(I528="Opening",L528,Z527+L528-X528)</f>
        <v>7986033.62538088</v>
      </c>
      <c r="AA528" s="9" t="n">
        <f aca="false">IF(Y528&gt;0,Z528/Y528,IF(I528="Opening",0,AA527))</f>
        <v>31717.0404916036</v>
      </c>
      <c r="AB528" s="9" t="n">
        <f aca="false">IF(AND(I528="DO",O528="MA"),S528-N528,0)</f>
        <v>0</v>
      </c>
      <c r="AC528" s="9" t="n">
        <f aca="false">IF(I528="DO",X528-S528,0)</f>
        <v>0</v>
      </c>
      <c r="AD528" s="23" t="n">
        <f aca="false">IF(B529&lt;&gt;B528,1,0)</f>
        <v>0</v>
      </c>
      <c r="AE528" s="14" t="n">
        <f aca="false">IF(I528="Opening",0,AE527+W528)</f>
        <v>546.63</v>
      </c>
      <c r="AF528" s="14" t="n">
        <f aca="false">IF(I528="Opening",K528,AF527)</f>
        <v>567.72</v>
      </c>
      <c r="AG528" s="14" t="n">
        <f aca="false">AG527</f>
        <v>48.4</v>
      </c>
      <c r="AH528" s="14" t="n">
        <f aca="false">IF(W528=0,0,MAX(0,MIN(AE528,AF528)-MIN(AE528-W528,AF528)))</f>
        <v>0</v>
      </c>
      <c r="AI528" s="14" t="n">
        <f aca="false">IF(W528=0,0,MAX(0,MIN(AE528,AF528+AG528)-MAX(AE528-W528,AF528)))</f>
        <v>0</v>
      </c>
      <c r="AJ528" s="14" t="n">
        <f aca="false">W528-AH528-AI528</f>
        <v>0</v>
      </c>
      <c r="AK528" s="9" t="n">
        <f aca="false">IF(W528=0,0,X528*AH528/W528)</f>
        <v>0</v>
      </c>
      <c r="AL528" s="9" t="n">
        <f aca="false">IF(W528=0,0,X528*AI528/W528)</f>
        <v>0</v>
      </c>
      <c r="AM528" s="9" t="n">
        <f aca="false">X528-AK528-AL528</f>
        <v>0</v>
      </c>
    </row>
    <row r="529" customFormat="false" ht="15" hidden="false" customHeight="false" outlineLevel="0" collapsed="false">
      <c r="A529" s="6" t="n">
        <v>524</v>
      </c>
      <c r="B529" s="74" t="s">
        <v>994</v>
      </c>
      <c r="C529" s="53" t="str">
        <f aca="false">INDEX(I_Items!$C$5:$C$133,MATCH($B529,I_Items!$A$5:$A$133,0))</f>
        <v>RPA</v>
      </c>
      <c r="D529" s="53" t="str">
        <f aca="false">INDEX(I_Items!$D$5:$D$133,MATCH($B529,I_Items!$A$5:$A$133,0))</f>
        <v>Karkas</v>
      </c>
      <c r="E529" s="53" t="str">
        <f aca="false">INDEX(I_Items!$F$5:$F$133,MATCH($B529,I_Items!$A$5:$A$133,0))</f>
        <v>Frozen</v>
      </c>
      <c r="F529" s="53" t="str">
        <f aca="false">IF(INDEX(I_Items!$E$5:$E$133,MATCH($B529,I_Items!$A$5:$A$133,0))="","",INDEX(I_Items!$E$5:$E$133,MATCH($B529,I_Items!$A$5:$A$133,0)))</f>
        <v>Uk 1.4</v>
      </c>
      <c r="G529" s="76" t="n">
        <v>46253</v>
      </c>
      <c r="H529" s="23" t="n">
        <f aca="false">MONTH(G529)</f>
        <v>8</v>
      </c>
      <c r="I529" s="74" t="s">
        <v>2074</v>
      </c>
      <c r="J529" s="74" t="s">
        <v>1305</v>
      </c>
      <c r="K529" s="10" t="n">
        <v>98.3</v>
      </c>
      <c r="L529" s="8" t="n">
        <v>3376755.97</v>
      </c>
      <c r="M529" s="10" t="n">
        <v>0</v>
      </c>
      <c r="N529" s="8" t="n">
        <v>0</v>
      </c>
      <c r="O529" s="74"/>
      <c r="P529" s="74"/>
      <c r="Q529" s="74"/>
      <c r="R529" s="14" t="n">
        <f aca="false">IF(I529="Unbilled",0,M529)</f>
        <v>0</v>
      </c>
      <c r="S529" s="9" t="n">
        <f aca="false">IF(R529=0,0,IF(O529="Booked",N529,R529*V528))</f>
        <v>0</v>
      </c>
      <c r="T529" s="14" t="n">
        <f aca="false">IF(I529="Opening",K529,T528+K529-R529)</f>
        <v>350.09</v>
      </c>
      <c r="U529" s="9" t="n">
        <f aca="false">IF(I529="Opening",L529,U528+L529-S529)</f>
        <v>11362789.5953809</v>
      </c>
      <c r="V529" s="9" t="n">
        <f aca="false">IF(T529&gt;0,U529/T529,IF(I529="Opening",0,V528))</f>
        <v>32456.767103833</v>
      </c>
      <c r="W529" s="14" t="n">
        <f aca="false">M529</f>
        <v>0</v>
      </c>
      <c r="X529" s="9" t="n">
        <f aca="false">IF(W529=0,0,IF(O529="Booked",N529,W529*AA528))</f>
        <v>0</v>
      </c>
      <c r="Y529" s="14" t="n">
        <f aca="false">IF(I529="Opening",K529,Y528+K529-W529)</f>
        <v>350.09</v>
      </c>
      <c r="Z529" s="9" t="n">
        <f aca="false">IF(I529="Opening",L529,Z528+L529-X529)</f>
        <v>11362789.5953809</v>
      </c>
      <c r="AA529" s="9" t="n">
        <f aca="false">IF(Y529&gt;0,Z529/Y529,IF(I529="Opening",0,AA528))</f>
        <v>32456.767103833</v>
      </c>
      <c r="AB529" s="9" t="n">
        <f aca="false">IF(AND(I529="DO",O529="MA"),S529-N529,0)</f>
        <v>0</v>
      </c>
      <c r="AC529" s="9" t="n">
        <f aca="false">IF(I529="DO",X529-S529,0)</f>
        <v>0</v>
      </c>
      <c r="AD529" s="23" t="n">
        <f aca="false">IF(B530&lt;&gt;B529,1,0)</f>
        <v>0</v>
      </c>
      <c r="AE529" s="14" t="n">
        <f aca="false">IF(I529="Opening",0,AE528+W529)</f>
        <v>546.63</v>
      </c>
      <c r="AF529" s="14" t="n">
        <f aca="false">IF(I529="Opening",K529,AF528)</f>
        <v>567.72</v>
      </c>
      <c r="AG529" s="14" t="n">
        <f aca="false">AG528</f>
        <v>48.4</v>
      </c>
      <c r="AH529" s="14" t="n">
        <f aca="false">IF(W529=0,0,MAX(0,MIN(AE529,AF529)-MIN(AE529-W529,AF529)))</f>
        <v>0</v>
      </c>
      <c r="AI529" s="14" t="n">
        <f aca="false">IF(W529=0,0,MAX(0,MIN(AE529,AF529+AG529)-MAX(AE529-W529,AF529)))</f>
        <v>0</v>
      </c>
      <c r="AJ529" s="14" t="n">
        <f aca="false">W529-AH529-AI529</f>
        <v>0</v>
      </c>
      <c r="AK529" s="9" t="n">
        <f aca="false">IF(W529=0,0,X529*AH529/W529)</f>
        <v>0</v>
      </c>
      <c r="AL529" s="9" t="n">
        <f aca="false">IF(W529=0,0,X529*AI529/W529)</f>
        <v>0</v>
      </c>
      <c r="AM529" s="9" t="n">
        <f aca="false">X529-AK529-AL529</f>
        <v>0</v>
      </c>
    </row>
    <row r="530" customFormat="false" ht="15" hidden="false" customHeight="false" outlineLevel="0" collapsed="false">
      <c r="A530" s="6" t="n">
        <v>525</v>
      </c>
      <c r="B530" s="74" t="s">
        <v>994</v>
      </c>
      <c r="C530" s="53" t="str">
        <f aca="false">INDEX(I_Items!$C$5:$C$133,MATCH($B530,I_Items!$A$5:$A$133,0))</f>
        <v>RPA</v>
      </c>
      <c r="D530" s="53" t="str">
        <f aca="false">INDEX(I_Items!$D$5:$D$133,MATCH($B530,I_Items!$A$5:$A$133,0))</f>
        <v>Karkas</v>
      </c>
      <c r="E530" s="53" t="str">
        <f aca="false">INDEX(I_Items!$F$5:$F$133,MATCH($B530,I_Items!$A$5:$A$133,0))</f>
        <v>Frozen</v>
      </c>
      <c r="F530" s="53" t="str">
        <f aca="false">IF(INDEX(I_Items!$E$5:$E$133,MATCH($B530,I_Items!$A$5:$A$133,0))="","",INDEX(I_Items!$E$5:$E$133,MATCH($B530,I_Items!$A$5:$A$133,0)))</f>
        <v>Uk 1.4</v>
      </c>
      <c r="G530" s="76" t="n">
        <v>46255</v>
      </c>
      <c r="H530" s="23" t="n">
        <f aca="false">MONTH(G530)</f>
        <v>8</v>
      </c>
      <c r="I530" s="74" t="s">
        <v>2074</v>
      </c>
      <c r="J530" s="74" t="s">
        <v>1311</v>
      </c>
      <c r="K530" s="10" t="n">
        <v>4.4</v>
      </c>
      <c r="L530" s="8" t="n">
        <v>152862.48</v>
      </c>
      <c r="M530" s="10" t="n">
        <v>0</v>
      </c>
      <c r="N530" s="8" t="n">
        <v>0</v>
      </c>
      <c r="O530" s="74"/>
      <c r="P530" s="74"/>
      <c r="Q530" s="74"/>
      <c r="R530" s="14" t="n">
        <f aca="false">IF(I530="Unbilled",0,M530)</f>
        <v>0</v>
      </c>
      <c r="S530" s="9" t="n">
        <f aca="false">IF(R530=0,0,IF(O530="Booked",N530,R530*V529))</f>
        <v>0</v>
      </c>
      <c r="T530" s="14" t="n">
        <f aca="false">IF(I530="Opening",K530,T529+K530-R530)</f>
        <v>354.49</v>
      </c>
      <c r="U530" s="9" t="n">
        <f aca="false">IF(I530="Opening",L530,U529+L530-S530)</f>
        <v>11515652.0753809</v>
      </c>
      <c r="V530" s="9" t="n">
        <f aca="false">IF(T530&gt;0,U530/T530,IF(I530="Opening",0,V529))</f>
        <v>32485.125321958</v>
      </c>
      <c r="W530" s="14" t="n">
        <f aca="false">M530</f>
        <v>0</v>
      </c>
      <c r="X530" s="9" t="n">
        <f aca="false">IF(W530=0,0,IF(O530="Booked",N530,W530*AA529))</f>
        <v>0</v>
      </c>
      <c r="Y530" s="14" t="n">
        <f aca="false">IF(I530="Opening",K530,Y529+K530-W530)</f>
        <v>354.49</v>
      </c>
      <c r="Z530" s="9" t="n">
        <f aca="false">IF(I530="Opening",L530,Z529+L530-X530)</f>
        <v>11515652.0753809</v>
      </c>
      <c r="AA530" s="9" t="n">
        <f aca="false">IF(Y530&gt;0,Z530/Y530,IF(I530="Opening",0,AA529))</f>
        <v>32485.125321958</v>
      </c>
      <c r="AB530" s="9" t="n">
        <f aca="false">IF(AND(I530="DO",O530="MA"),S530-N530,0)</f>
        <v>0</v>
      </c>
      <c r="AC530" s="9" t="n">
        <f aca="false">IF(I530="DO",X530-S530,0)</f>
        <v>0</v>
      </c>
      <c r="AD530" s="23" t="n">
        <f aca="false">IF(B531&lt;&gt;B530,1,0)</f>
        <v>0</v>
      </c>
      <c r="AE530" s="14" t="n">
        <f aca="false">IF(I530="Opening",0,AE529+W530)</f>
        <v>546.63</v>
      </c>
      <c r="AF530" s="14" t="n">
        <f aca="false">IF(I530="Opening",K530,AF529)</f>
        <v>567.72</v>
      </c>
      <c r="AG530" s="14" t="n">
        <f aca="false">AG529</f>
        <v>48.4</v>
      </c>
      <c r="AH530" s="14" t="n">
        <f aca="false">IF(W530=0,0,MAX(0,MIN(AE530,AF530)-MIN(AE530-W530,AF530)))</f>
        <v>0</v>
      </c>
      <c r="AI530" s="14" t="n">
        <f aca="false">IF(W530=0,0,MAX(0,MIN(AE530,AF530+AG530)-MAX(AE530-W530,AF530)))</f>
        <v>0</v>
      </c>
      <c r="AJ530" s="14" t="n">
        <f aca="false">W530-AH530-AI530</f>
        <v>0</v>
      </c>
      <c r="AK530" s="9" t="n">
        <f aca="false">IF(W530=0,0,X530*AH530/W530)</f>
        <v>0</v>
      </c>
      <c r="AL530" s="9" t="n">
        <f aca="false">IF(W530=0,0,X530*AI530/W530)</f>
        <v>0</v>
      </c>
      <c r="AM530" s="9" t="n">
        <f aca="false">X530-AK530-AL530</f>
        <v>0</v>
      </c>
    </row>
    <row r="531" customFormat="false" ht="15" hidden="false" customHeight="false" outlineLevel="0" collapsed="false">
      <c r="A531" s="6" t="n">
        <v>526</v>
      </c>
      <c r="B531" s="74" t="s">
        <v>994</v>
      </c>
      <c r="C531" s="53" t="str">
        <f aca="false">INDEX(I_Items!$C$5:$C$133,MATCH($B531,I_Items!$A$5:$A$133,0))</f>
        <v>RPA</v>
      </c>
      <c r="D531" s="53" t="str">
        <f aca="false">INDEX(I_Items!$D$5:$D$133,MATCH($B531,I_Items!$A$5:$A$133,0))</f>
        <v>Karkas</v>
      </c>
      <c r="E531" s="53" t="str">
        <f aca="false">INDEX(I_Items!$F$5:$F$133,MATCH($B531,I_Items!$A$5:$A$133,0))</f>
        <v>Frozen</v>
      </c>
      <c r="F531" s="53" t="str">
        <f aca="false">IF(INDEX(I_Items!$E$5:$E$133,MATCH($B531,I_Items!$A$5:$A$133,0))="","",INDEX(I_Items!$E$5:$E$133,MATCH($B531,I_Items!$A$5:$A$133,0)))</f>
        <v>Uk 1.4</v>
      </c>
      <c r="G531" s="76" t="n">
        <v>46259</v>
      </c>
      <c r="H531" s="23" t="n">
        <f aca="false">MONTH(G531)</f>
        <v>8</v>
      </c>
      <c r="I531" s="74" t="s">
        <v>2074</v>
      </c>
      <c r="J531" s="74" t="s">
        <v>1314</v>
      </c>
      <c r="K531" s="10" t="n">
        <v>142.6</v>
      </c>
      <c r="L531" s="8" t="n">
        <v>4780936.37</v>
      </c>
      <c r="M531" s="10" t="n">
        <v>0</v>
      </c>
      <c r="N531" s="8" t="n">
        <v>0</v>
      </c>
      <c r="O531" s="74"/>
      <c r="P531" s="74"/>
      <c r="Q531" s="74"/>
      <c r="R531" s="14" t="n">
        <f aca="false">IF(I531="Unbilled",0,M531)</f>
        <v>0</v>
      </c>
      <c r="S531" s="9" t="n">
        <f aca="false">IF(R531=0,0,IF(O531="Booked",N531,R531*V530))</f>
        <v>0</v>
      </c>
      <c r="T531" s="14" t="n">
        <f aca="false">IF(I531="Opening",K531,T530+K531-R531)</f>
        <v>497.09</v>
      </c>
      <c r="U531" s="9" t="n">
        <f aca="false">IF(I531="Opening",L531,U530+L531-S531)</f>
        <v>16296588.4453809</v>
      </c>
      <c r="V531" s="9" t="n">
        <f aca="false">IF(T531&gt;0,U531/T531,IF(I531="Opening",0,V530))</f>
        <v>32783.9796523384</v>
      </c>
      <c r="W531" s="14" t="n">
        <f aca="false">M531</f>
        <v>0</v>
      </c>
      <c r="X531" s="9" t="n">
        <f aca="false">IF(W531=0,0,IF(O531="Booked",N531,W531*AA530))</f>
        <v>0</v>
      </c>
      <c r="Y531" s="14" t="n">
        <f aca="false">IF(I531="Opening",K531,Y530+K531-W531)</f>
        <v>497.09</v>
      </c>
      <c r="Z531" s="9" t="n">
        <f aca="false">IF(I531="Opening",L531,Z530+L531-X531)</f>
        <v>16296588.4453809</v>
      </c>
      <c r="AA531" s="9" t="n">
        <f aca="false">IF(Y531&gt;0,Z531/Y531,IF(I531="Opening",0,AA530))</f>
        <v>32783.9796523384</v>
      </c>
      <c r="AB531" s="9" t="n">
        <f aca="false">IF(AND(I531="DO",O531="MA"),S531-N531,0)</f>
        <v>0</v>
      </c>
      <c r="AC531" s="9" t="n">
        <f aca="false">IF(I531="DO",X531-S531,0)</f>
        <v>0</v>
      </c>
      <c r="AD531" s="23" t="n">
        <f aca="false">IF(B532&lt;&gt;B531,1,0)</f>
        <v>0</v>
      </c>
      <c r="AE531" s="14" t="n">
        <f aca="false">IF(I531="Opening",0,AE530+W531)</f>
        <v>546.63</v>
      </c>
      <c r="AF531" s="14" t="n">
        <f aca="false">IF(I531="Opening",K531,AF530)</f>
        <v>567.72</v>
      </c>
      <c r="AG531" s="14" t="n">
        <f aca="false">AG530</f>
        <v>48.4</v>
      </c>
      <c r="AH531" s="14" t="n">
        <f aca="false">IF(W531=0,0,MAX(0,MIN(AE531,AF531)-MIN(AE531-W531,AF531)))</f>
        <v>0</v>
      </c>
      <c r="AI531" s="14" t="n">
        <f aca="false">IF(W531=0,0,MAX(0,MIN(AE531,AF531+AG531)-MAX(AE531-W531,AF531)))</f>
        <v>0</v>
      </c>
      <c r="AJ531" s="14" t="n">
        <f aca="false">W531-AH531-AI531</f>
        <v>0</v>
      </c>
      <c r="AK531" s="9" t="n">
        <f aca="false">IF(W531=0,0,X531*AH531/W531)</f>
        <v>0</v>
      </c>
      <c r="AL531" s="9" t="n">
        <f aca="false">IF(W531=0,0,X531*AI531/W531)</f>
        <v>0</v>
      </c>
      <c r="AM531" s="9" t="n">
        <f aca="false">X531-AK531-AL531</f>
        <v>0</v>
      </c>
    </row>
    <row r="532" customFormat="false" ht="15" hidden="false" customHeight="false" outlineLevel="0" collapsed="false">
      <c r="A532" s="6" t="n">
        <v>527</v>
      </c>
      <c r="B532" s="74" t="s">
        <v>994</v>
      </c>
      <c r="C532" s="53" t="str">
        <f aca="false">INDEX(I_Items!$C$5:$C$133,MATCH($B532,I_Items!$A$5:$A$133,0))</f>
        <v>RPA</v>
      </c>
      <c r="D532" s="53" t="str">
        <f aca="false">INDEX(I_Items!$D$5:$D$133,MATCH($B532,I_Items!$A$5:$A$133,0))</f>
        <v>Karkas</v>
      </c>
      <c r="E532" s="53" t="str">
        <f aca="false">INDEX(I_Items!$F$5:$F$133,MATCH($B532,I_Items!$A$5:$A$133,0))</f>
        <v>Frozen</v>
      </c>
      <c r="F532" s="53" t="str">
        <f aca="false">IF(INDEX(I_Items!$E$5:$E$133,MATCH($B532,I_Items!$A$5:$A$133,0))="","",INDEX(I_Items!$E$5:$E$133,MATCH($B532,I_Items!$A$5:$A$133,0)))</f>
        <v>Uk 1.4</v>
      </c>
      <c r="G532" s="76" t="n">
        <v>46260</v>
      </c>
      <c r="H532" s="23" t="n">
        <f aca="false">MONTH(G532)</f>
        <v>8</v>
      </c>
      <c r="I532" s="74" t="s">
        <v>2074</v>
      </c>
      <c r="J532" s="74" t="s">
        <v>1317</v>
      </c>
      <c r="K532" s="10" t="n">
        <v>100.9</v>
      </c>
      <c r="L532" s="8" t="n">
        <v>3455310.84</v>
      </c>
      <c r="M532" s="10" t="n">
        <v>0</v>
      </c>
      <c r="N532" s="8" t="n">
        <v>0</v>
      </c>
      <c r="O532" s="74"/>
      <c r="P532" s="74"/>
      <c r="Q532" s="74"/>
      <c r="R532" s="14" t="n">
        <f aca="false">IF(I532="Unbilled",0,M532)</f>
        <v>0</v>
      </c>
      <c r="S532" s="9" t="n">
        <f aca="false">IF(R532=0,0,IF(O532="Booked",N532,R532*V531))</f>
        <v>0</v>
      </c>
      <c r="T532" s="14" t="n">
        <f aca="false">IF(I532="Opening",K532,T531+K532-R532)</f>
        <v>597.99</v>
      </c>
      <c r="U532" s="9" t="n">
        <f aca="false">IF(I532="Opening",L532,U531+L532-S532)</f>
        <v>19751899.2853809</v>
      </c>
      <c r="V532" s="9" t="n">
        <f aca="false">IF(T532&gt;0,U532/T532,IF(I532="Opening",0,V531))</f>
        <v>33030.4842645878</v>
      </c>
      <c r="W532" s="14" t="n">
        <f aca="false">M532</f>
        <v>0</v>
      </c>
      <c r="X532" s="9" t="n">
        <f aca="false">IF(W532=0,0,IF(O532="Booked",N532,W532*AA531))</f>
        <v>0</v>
      </c>
      <c r="Y532" s="14" t="n">
        <f aca="false">IF(I532="Opening",K532,Y531+K532-W532)</f>
        <v>597.99</v>
      </c>
      <c r="Z532" s="9" t="n">
        <f aca="false">IF(I532="Opening",L532,Z531+L532-X532)</f>
        <v>19751899.2853809</v>
      </c>
      <c r="AA532" s="9" t="n">
        <f aca="false">IF(Y532&gt;0,Z532/Y532,IF(I532="Opening",0,AA531))</f>
        <v>33030.4842645878</v>
      </c>
      <c r="AB532" s="9" t="n">
        <f aca="false">IF(AND(I532="DO",O532="MA"),S532-N532,0)</f>
        <v>0</v>
      </c>
      <c r="AC532" s="9" t="n">
        <f aca="false">IF(I532="DO",X532-S532,0)</f>
        <v>0</v>
      </c>
      <c r="AD532" s="23" t="n">
        <f aca="false">IF(B533&lt;&gt;B532,1,0)</f>
        <v>0</v>
      </c>
      <c r="AE532" s="14" t="n">
        <f aca="false">IF(I532="Opening",0,AE531+W532)</f>
        <v>546.63</v>
      </c>
      <c r="AF532" s="14" t="n">
        <f aca="false">IF(I532="Opening",K532,AF531)</f>
        <v>567.72</v>
      </c>
      <c r="AG532" s="14" t="n">
        <f aca="false">AG531</f>
        <v>48.4</v>
      </c>
      <c r="AH532" s="14" t="n">
        <f aca="false">IF(W532=0,0,MAX(0,MIN(AE532,AF532)-MIN(AE532-W532,AF532)))</f>
        <v>0</v>
      </c>
      <c r="AI532" s="14" t="n">
        <f aca="false">IF(W532=0,0,MAX(0,MIN(AE532,AF532+AG532)-MAX(AE532-W532,AF532)))</f>
        <v>0</v>
      </c>
      <c r="AJ532" s="14" t="n">
        <f aca="false">W532-AH532-AI532</f>
        <v>0</v>
      </c>
      <c r="AK532" s="9" t="n">
        <f aca="false">IF(W532=0,0,X532*AH532/W532)</f>
        <v>0</v>
      </c>
      <c r="AL532" s="9" t="n">
        <f aca="false">IF(W532=0,0,X532*AI532/W532)</f>
        <v>0</v>
      </c>
      <c r="AM532" s="9" t="n">
        <f aca="false">X532-AK532-AL532</f>
        <v>0</v>
      </c>
    </row>
    <row r="533" customFormat="false" ht="15" hidden="false" customHeight="false" outlineLevel="0" collapsed="false">
      <c r="A533" s="6" t="n">
        <v>528</v>
      </c>
      <c r="B533" s="74" t="s">
        <v>994</v>
      </c>
      <c r="C533" s="53" t="str">
        <f aca="false">INDEX(I_Items!$C$5:$C$133,MATCH($B533,I_Items!$A$5:$A$133,0))</f>
        <v>RPA</v>
      </c>
      <c r="D533" s="53" t="str">
        <f aca="false">INDEX(I_Items!$D$5:$D$133,MATCH($B533,I_Items!$A$5:$A$133,0))</f>
        <v>Karkas</v>
      </c>
      <c r="E533" s="53" t="str">
        <f aca="false">INDEX(I_Items!$F$5:$F$133,MATCH($B533,I_Items!$A$5:$A$133,0))</f>
        <v>Frozen</v>
      </c>
      <c r="F533" s="53" t="str">
        <f aca="false">IF(INDEX(I_Items!$E$5:$E$133,MATCH($B533,I_Items!$A$5:$A$133,0))="","",INDEX(I_Items!$E$5:$E$133,MATCH($B533,I_Items!$A$5:$A$133,0)))</f>
        <v>Uk 1.4</v>
      </c>
      <c r="G533" s="76" t="n">
        <v>46261</v>
      </c>
      <c r="H533" s="23" t="n">
        <f aca="false">MONTH(G533)</f>
        <v>8</v>
      </c>
      <c r="I533" s="74" t="s">
        <v>2074</v>
      </c>
      <c r="J533" s="74" t="s">
        <v>1320</v>
      </c>
      <c r="K533" s="10" t="n">
        <v>88.9</v>
      </c>
      <c r="L533" s="8" t="n">
        <v>3005171.03</v>
      </c>
      <c r="M533" s="10" t="n">
        <v>0</v>
      </c>
      <c r="N533" s="8" t="n">
        <v>0</v>
      </c>
      <c r="O533" s="74"/>
      <c r="P533" s="74"/>
      <c r="Q533" s="74"/>
      <c r="R533" s="14" t="n">
        <f aca="false">IF(I533="Unbilled",0,M533)</f>
        <v>0</v>
      </c>
      <c r="S533" s="9" t="n">
        <f aca="false">IF(R533=0,0,IF(O533="Booked",N533,R533*V532))</f>
        <v>0</v>
      </c>
      <c r="T533" s="14" t="n">
        <f aca="false">IF(I533="Opening",K533,T532+K533-R533)</f>
        <v>686.89</v>
      </c>
      <c r="U533" s="9" t="n">
        <f aca="false">IF(I533="Opening",L533,U532+L533-S533)</f>
        <v>22757070.3153809</v>
      </c>
      <c r="V533" s="9" t="n">
        <f aca="false">IF(T533&gt;0,U533/T533,IF(I533="Opening",0,V532))</f>
        <v>33130.5890541148</v>
      </c>
      <c r="W533" s="14" t="n">
        <f aca="false">M533</f>
        <v>0</v>
      </c>
      <c r="X533" s="9" t="n">
        <f aca="false">IF(W533=0,0,IF(O533="Booked",N533,W533*AA532))</f>
        <v>0</v>
      </c>
      <c r="Y533" s="14" t="n">
        <f aca="false">IF(I533="Opening",K533,Y532+K533-W533)</f>
        <v>686.89</v>
      </c>
      <c r="Z533" s="9" t="n">
        <f aca="false">IF(I533="Opening",L533,Z532+L533-X533)</f>
        <v>22757070.3153809</v>
      </c>
      <c r="AA533" s="9" t="n">
        <f aca="false">IF(Y533&gt;0,Z533/Y533,IF(I533="Opening",0,AA532))</f>
        <v>33130.5890541148</v>
      </c>
      <c r="AB533" s="9" t="n">
        <f aca="false">IF(AND(I533="DO",O533="MA"),S533-N533,0)</f>
        <v>0</v>
      </c>
      <c r="AC533" s="9" t="n">
        <f aca="false">IF(I533="DO",X533-S533,0)</f>
        <v>0</v>
      </c>
      <c r="AD533" s="23" t="n">
        <f aca="false">IF(B534&lt;&gt;B533,1,0)</f>
        <v>0</v>
      </c>
      <c r="AE533" s="14" t="n">
        <f aca="false">IF(I533="Opening",0,AE532+W533)</f>
        <v>546.63</v>
      </c>
      <c r="AF533" s="14" t="n">
        <f aca="false">IF(I533="Opening",K533,AF532)</f>
        <v>567.72</v>
      </c>
      <c r="AG533" s="14" t="n">
        <f aca="false">AG532</f>
        <v>48.4</v>
      </c>
      <c r="AH533" s="14" t="n">
        <f aca="false">IF(W533=0,0,MAX(0,MIN(AE533,AF533)-MIN(AE533-W533,AF533)))</f>
        <v>0</v>
      </c>
      <c r="AI533" s="14" t="n">
        <f aca="false">IF(W533=0,0,MAX(0,MIN(AE533,AF533+AG533)-MAX(AE533-W533,AF533)))</f>
        <v>0</v>
      </c>
      <c r="AJ533" s="14" t="n">
        <f aca="false">W533-AH533-AI533</f>
        <v>0</v>
      </c>
      <c r="AK533" s="9" t="n">
        <f aca="false">IF(W533=0,0,X533*AH533/W533)</f>
        <v>0</v>
      </c>
      <c r="AL533" s="9" t="n">
        <f aca="false">IF(W533=0,0,X533*AI533/W533)</f>
        <v>0</v>
      </c>
      <c r="AM533" s="9" t="n">
        <f aca="false">X533-AK533-AL533</f>
        <v>0</v>
      </c>
    </row>
    <row r="534" customFormat="false" ht="15" hidden="false" customHeight="false" outlineLevel="0" collapsed="false">
      <c r="A534" s="6" t="n">
        <v>529</v>
      </c>
      <c r="B534" s="74" t="s">
        <v>994</v>
      </c>
      <c r="C534" s="53" t="str">
        <f aca="false">INDEX(I_Items!$C$5:$C$133,MATCH($B534,I_Items!$A$5:$A$133,0))</f>
        <v>RPA</v>
      </c>
      <c r="D534" s="53" t="str">
        <f aca="false">INDEX(I_Items!$D$5:$D$133,MATCH($B534,I_Items!$A$5:$A$133,0))</f>
        <v>Karkas</v>
      </c>
      <c r="E534" s="53" t="str">
        <f aca="false">INDEX(I_Items!$F$5:$F$133,MATCH($B534,I_Items!$A$5:$A$133,0))</f>
        <v>Frozen</v>
      </c>
      <c r="F534" s="53" t="str">
        <f aca="false">IF(INDEX(I_Items!$E$5:$E$133,MATCH($B534,I_Items!$A$5:$A$133,0))="","",INDEX(I_Items!$E$5:$E$133,MATCH($B534,I_Items!$A$5:$A$133,0)))</f>
        <v>Uk 1.4</v>
      </c>
      <c r="G534" s="76" t="n">
        <v>46262</v>
      </c>
      <c r="H534" s="23" t="n">
        <f aca="false">MONTH(G534)</f>
        <v>8</v>
      </c>
      <c r="I534" s="74" t="s">
        <v>2074</v>
      </c>
      <c r="J534" s="74" t="s">
        <v>1323</v>
      </c>
      <c r="K534" s="10" t="n">
        <v>171.1</v>
      </c>
      <c r="L534" s="8" t="n">
        <v>5831687.33</v>
      </c>
      <c r="M534" s="10" t="n">
        <v>0</v>
      </c>
      <c r="N534" s="8" t="n">
        <v>0</v>
      </c>
      <c r="O534" s="74"/>
      <c r="P534" s="74"/>
      <c r="Q534" s="74"/>
      <c r="R534" s="14" t="n">
        <f aca="false">IF(I534="Unbilled",0,M534)</f>
        <v>0</v>
      </c>
      <c r="S534" s="9" t="n">
        <f aca="false">IF(R534=0,0,IF(O534="Booked",N534,R534*V533))</f>
        <v>0</v>
      </c>
      <c r="T534" s="14" t="n">
        <f aca="false">IF(I534="Opening",K534,T533+K534-R534)</f>
        <v>857.99</v>
      </c>
      <c r="U534" s="9" t="n">
        <f aca="false">IF(I534="Opening",L534,U533+L534-S534)</f>
        <v>28588757.6453809</v>
      </c>
      <c r="V534" s="9" t="n">
        <f aca="false">IF(T534&gt;0,U534/T534,IF(I534="Opening",0,V533))</f>
        <v>33320.6187081212</v>
      </c>
      <c r="W534" s="14" t="n">
        <f aca="false">M534</f>
        <v>0</v>
      </c>
      <c r="X534" s="9" t="n">
        <f aca="false">IF(W534=0,0,IF(O534="Booked",N534,W534*AA533))</f>
        <v>0</v>
      </c>
      <c r="Y534" s="14" t="n">
        <f aca="false">IF(I534="Opening",K534,Y533+K534-W534)</f>
        <v>857.99</v>
      </c>
      <c r="Z534" s="9" t="n">
        <f aca="false">IF(I534="Opening",L534,Z533+L534-X534)</f>
        <v>28588757.6453809</v>
      </c>
      <c r="AA534" s="9" t="n">
        <f aca="false">IF(Y534&gt;0,Z534/Y534,IF(I534="Opening",0,AA533))</f>
        <v>33320.6187081212</v>
      </c>
      <c r="AB534" s="9" t="n">
        <f aca="false">IF(AND(I534="DO",O534="MA"),S534-N534,0)</f>
        <v>0</v>
      </c>
      <c r="AC534" s="9" t="n">
        <f aca="false">IF(I534="DO",X534-S534,0)</f>
        <v>0</v>
      </c>
      <c r="AD534" s="23" t="n">
        <f aca="false">IF(B535&lt;&gt;B534,1,0)</f>
        <v>0</v>
      </c>
      <c r="AE534" s="14" t="n">
        <f aca="false">IF(I534="Opening",0,AE533+W534)</f>
        <v>546.63</v>
      </c>
      <c r="AF534" s="14" t="n">
        <f aca="false">IF(I534="Opening",K534,AF533)</f>
        <v>567.72</v>
      </c>
      <c r="AG534" s="14" t="n">
        <f aca="false">AG533</f>
        <v>48.4</v>
      </c>
      <c r="AH534" s="14" t="n">
        <f aca="false">IF(W534=0,0,MAX(0,MIN(AE534,AF534)-MIN(AE534-W534,AF534)))</f>
        <v>0</v>
      </c>
      <c r="AI534" s="14" t="n">
        <f aca="false">IF(W534=0,0,MAX(0,MIN(AE534,AF534+AG534)-MAX(AE534-W534,AF534)))</f>
        <v>0</v>
      </c>
      <c r="AJ534" s="14" t="n">
        <f aca="false">W534-AH534-AI534</f>
        <v>0</v>
      </c>
      <c r="AK534" s="9" t="n">
        <f aca="false">IF(W534=0,0,X534*AH534/W534)</f>
        <v>0</v>
      </c>
      <c r="AL534" s="9" t="n">
        <f aca="false">IF(W534=0,0,X534*AI534/W534)</f>
        <v>0</v>
      </c>
      <c r="AM534" s="9" t="n">
        <f aca="false">X534-AK534-AL534</f>
        <v>0</v>
      </c>
    </row>
    <row r="535" customFormat="false" ht="15" hidden="false" customHeight="false" outlineLevel="0" collapsed="false">
      <c r="A535" s="6" t="n">
        <v>530</v>
      </c>
      <c r="B535" s="74" t="s">
        <v>994</v>
      </c>
      <c r="C535" s="53" t="str">
        <f aca="false">INDEX(I_Items!$C$5:$C$133,MATCH($B535,I_Items!$A$5:$A$133,0))</f>
        <v>RPA</v>
      </c>
      <c r="D535" s="53" t="str">
        <f aca="false">INDEX(I_Items!$D$5:$D$133,MATCH($B535,I_Items!$A$5:$A$133,0))</f>
        <v>Karkas</v>
      </c>
      <c r="E535" s="53" t="str">
        <f aca="false">INDEX(I_Items!$F$5:$F$133,MATCH($B535,I_Items!$A$5:$A$133,0))</f>
        <v>Frozen</v>
      </c>
      <c r="F535" s="53" t="str">
        <f aca="false">IF(INDEX(I_Items!$E$5:$E$133,MATCH($B535,I_Items!$A$5:$A$133,0))="","",INDEX(I_Items!$E$5:$E$133,MATCH($B535,I_Items!$A$5:$A$133,0)))</f>
        <v>Uk 1.4</v>
      </c>
      <c r="G535" s="76" t="n">
        <v>46265</v>
      </c>
      <c r="H535" s="23" t="n">
        <f aca="false">MONTH(G535)</f>
        <v>8</v>
      </c>
      <c r="I535" s="74" t="s">
        <v>2074</v>
      </c>
      <c r="J535" s="74" t="s">
        <v>1326</v>
      </c>
      <c r="K535" s="10" t="n">
        <v>195</v>
      </c>
      <c r="L535" s="8" t="n">
        <v>6531861.26</v>
      </c>
      <c r="M535" s="10" t="n">
        <v>0</v>
      </c>
      <c r="N535" s="8" t="n">
        <v>0</v>
      </c>
      <c r="O535" s="74"/>
      <c r="P535" s="74"/>
      <c r="Q535" s="74"/>
      <c r="R535" s="14" t="n">
        <f aca="false">IF(I535="Unbilled",0,M535)</f>
        <v>0</v>
      </c>
      <c r="S535" s="9" t="n">
        <f aca="false">IF(R535=0,0,IF(O535="Booked",N535,R535*V534))</f>
        <v>0</v>
      </c>
      <c r="T535" s="14" t="n">
        <f aca="false">IF(I535="Opening",K535,T534+K535-R535)</f>
        <v>1052.99</v>
      </c>
      <c r="U535" s="9" t="n">
        <f aca="false">IF(I535="Opening",L535,U534+L535-S535)</f>
        <v>35120618.9053809</v>
      </c>
      <c r="V535" s="9" t="n">
        <f aca="false">IF(T535&gt;0,U535/T535,IF(I535="Opening",0,V534))</f>
        <v>33353.2311848934</v>
      </c>
      <c r="W535" s="14" t="n">
        <f aca="false">M535</f>
        <v>0</v>
      </c>
      <c r="X535" s="9" t="n">
        <f aca="false">IF(W535=0,0,IF(O535="Booked",N535,W535*AA534))</f>
        <v>0</v>
      </c>
      <c r="Y535" s="14" t="n">
        <f aca="false">IF(I535="Opening",K535,Y534+K535-W535)</f>
        <v>1052.99</v>
      </c>
      <c r="Z535" s="9" t="n">
        <f aca="false">IF(I535="Opening",L535,Z534+L535-X535)</f>
        <v>35120618.9053809</v>
      </c>
      <c r="AA535" s="9" t="n">
        <f aca="false">IF(Y535&gt;0,Z535/Y535,IF(I535="Opening",0,AA534))</f>
        <v>33353.2311848934</v>
      </c>
      <c r="AB535" s="9" t="n">
        <f aca="false">IF(AND(I535="DO",O535="MA"),S535-N535,0)</f>
        <v>0</v>
      </c>
      <c r="AC535" s="9" t="n">
        <f aca="false">IF(I535="DO",X535-S535,0)</f>
        <v>0</v>
      </c>
      <c r="AD535" s="23" t="n">
        <f aca="false">IF(B536&lt;&gt;B535,1,0)</f>
        <v>1</v>
      </c>
      <c r="AE535" s="14" t="n">
        <f aca="false">IF(I535="Opening",0,AE534+W535)</f>
        <v>546.63</v>
      </c>
      <c r="AF535" s="14" t="n">
        <f aca="false">IF(I535="Opening",K535,AF534)</f>
        <v>567.72</v>
      </c>
      <c r="AG535" s="14" t="n">
        <f aca="false">AG534</f>
        <v>48.4</v>
      </c>
      <c r="AH535" s="14" t="n">
        <f aca="false">IF(W535=0,0,MAX(0,MIN(AE535,AF535)-MIN(AE535-W535,AF535)))</f>
        <v>0</v>
      </c>
      <c r="AI535" s="14" t="n">
        <f aca="false">IF(W535=0,0,MAX(0,MIN(AE535,AF535+AG535)-MAX(AE535-W535,AF535)))</f>
        <v>0</v>
      </c>
      <c r="AJ535" s="14" t="n">
        <f aca="false">W535-AH535-AI535</f>
        <v>0</v>
      </c>
      <c r="AK535" s="9" t="n">
        <f aca="false">IF(W535=0,0,X535*AH535/W535)</f>
        <v>0</v>
      </c>
      <c r="AL535" s="9" t="n">
        <f aca="false">IF(W535=0,0,X535*AI535/W535)</f>
        <v>0</v>
      </c>
      <c r="AM535" s="9" t="n">
        <f aca="false">X535-AK535-AL535</f>
        <v>0</v>
      </c>
    </row>
    <row r="536" customFormat="false" ht="15" hidden="false" customHeight="false" outlineLevel="0" collapsed="false">
      <c r="A536" s="6" t="n">
        <v>531</v>
      </c>
      <c r="B536" s="74" t="s">
        <v>995</v>
      </c>
      <c r="C536" s="53" t="str">
        <f aca="false">INDEX(I_Items!$C$5:$C$133,MATCH($B536,I_Items!$A$5:$A$133,0))</f>
        <v>RPA</v>
      </c>
      <c r="D536" s="53" t="str">
        <f aca="false">INDEX(I_Items!$D$5:$D$133,MATCH($B536,I_Items!$A$5:$A$133,0))</f>
        <v>Karkas</v>
      </c>
      <c r="E536" s="53" t="str">
        <f aca="false">INDEX(I_Items!$F$5:$F$133,MATCH($B536,I_Items!$A$5:$A$133,0))</f>
        <v>Frozen</v>
      </c>
      <c r="F536" s="53" t="str">
        <f aca="false">IF(INDEX(I_Items!$E$5:$E$133,MATCH($B536,I_Items!$A$5:$A$133,0))="","",INDEX(I_Items!$E$5:$E$133,MATCH($B536,I_Items!$A$5:$A$133,0)))</f>
        <v>Uk 1.4</v>
      </c>
      <c r="G536" s="76" t="n">
        <v>46204</v>
      </c>
      <c r="H536" s="23" t="n">
        <f aca="false">MONTH(G536)</f>
        <v>7</v>
      </c>
      <c r="I536" s="74" t="s">
        <v>2072</v>
      </c>
      <c r="J536" s="74" t="s">
        <v>2073</v>
      </c>
      <c r="K536" s="10" t="n">
        <v>3940.88</v>
      </c>
      <c r="L536" s="8" t="n">
        <v>109484912.1</v>
      </c>
      <c r="M536" s="10" t="n">
        <v>0</v>
      </c>
      <c r="N536" s="8" t="n">
        <v>0</v>
      </c>
      <c r="O536" s="74"/>
      <c r="P536" s="74"/>
      <c r="Q536" s="74"/>
      <c r="R536" s="14" t="n">
        <f aca="false">IF(I536="Unbilled",0,M536)</f>
        <v>0</v>
      </c>
      <c r="S536" s="9" t="n">
        <f aca="false">IF(R536=0,0,IF(O536="Booked",N536,R536*V535))</f>
        <v>0</v>
      </c>
      <c r="T536" s="14" t="n">
        <f aca="false">IF(I536="Opening",K536,T535+K536-R536)</f>
        <v>3940.88</v>
      </c>
      <c r="U536" s="9" t="n">
        <f aca="false">IF(I536="Opening",L536,U535+L536-S536)</f>
        <v>109484912.1</v>
      </c>
      <c r="V536" s="9" t="n">
        <f aca="false">IF(T536&gt;0,U536/T536,IF(I536="Opening",0,V535))</f>
        <v>27781.8436745092</v>
      </c>
      <c r="W536" s="14" t="n">
        <f aca="false">M536</f>
        <v>0</v>
      </c>
      <c r="X536" s="9" t="n">
        <f aca="false">IF(W536=0,0,IF(O536="Booked",N536,W536*AA535))</f>
        <v>0</v>
      </c>
      <c r="Y536" s="14" t="n">
        <f aca="false">IF(I536="Opening",K536,Y535+K536-W536)</f>
        <v>3940.88</v>
      </c>
      <c r="Z536" s="9" t="n">
        <f aca="false">IF(I536="Opening",L536,Z535+L536-X536)</f>
        <v>109484912.1</v>
      </c>
      <c r="AA536" s="9" t="n">
        <f aca="false">IF(Y536&gt;0,Z536/Y536,IF(I536="Opening",0,AA535))</f>
        <v>27781.8436745092</v>
      </c>
      <c r="AB536" s="9" t="n">
        <f aca="false">IF(AND(I536="DO",O536="MA"),S536-N536,0)</f>
        <v>0</v>
      </c>
      <c r="AC536" s="9" t="n">
        <f aca="false">IF(I536="DO",X536-S536,0)</f>
        <v>0</v>
      </c>
      <c r="AD536" s="23" t="n">
        <f aca="false">IF(B537&lt;&gt;B536,1,0)</f>
        <v>0</v>
      </c>
      <c r="AE536" s="14" t="n">
        <f aca="false">IF(I536="Opening",0,AE535+W536)</f>
        <v>0</v>
      </c>
      <c r="AF536" s="14" t="n">
        <f aca="false">IF(I536="Opening",K536,AF535)</f>
        <v>3940.88</v>
      </c>
      <c r="AG536" s="14" t="n">
        <f aca="false">SUMIFS($K$6:$K$1110,$B$6:$B$1110,B536,$H$6:$H$1110,7,$I$6:$I$1110,"&lt;&gt;Opening")</f>
        <v>0</v>
      </c>
      <c r="AH536" s="14" t="n">
        <f aca="false">IF(W536=0,0,MAX(0,MIN(AE536,AF536)-MIN(AE536-W536,AF536)))</f>
        <v>0</v>
      </c>
      <c r="AI536" s="14" t="n">
        <f aca="false">IF(W536=0,0,MAX(0,MIN(AE536,AF536+AG536)-MAX(AE536-W536,AF536)))</f>
        <v>0</v>
      </c>
      <c r="AJ536" s="14" t="n">
        <f aca="false">W536-AH536-AI536</f>
        <v>0</v>
      </c>
      <c r="AK536" s="9" t="n">
        <f aca="false">IF(W536=0,0,X536*AH536/W536)</f>
        <v>0</v>
      </c>
      <c r="AL536" s="9" t="n">
        <f aca="false">IF(W536=0,0,X536*AI536/W536)</f>
        <v>0</v>
      </c>
      <c r="AM536" s="9" t="n">
        <f aca="false">X536-AK536-AL536</f>
        <v>0</v>
      </c>
    </row>
    <row r="537" customFormat="false" ht="15" hidden="false" customHeight="false" outlineLevel="0" collapsed="false">
      <c r="A537" s="6" t="n">
        <v>532</v>
      </c>
      <c r="B537" s="74" t="s">
        <v>995</v>
      </c>
      <c r="C537" s="53" t="str">
        <f aca="false">INDEX(I_Items!$C$5:$C$133,MATCH($B537,I_Items!$A$5:$A$133,0))</f>
        <v>RPA</v>
      </c>
      <c r="D537" s="53" t="str">
        <f aca="false">INDEX(I_Items!$D$5:$D$133,MATCH($B537,I_Items!$A$5:$A$133,0))</f>
        <v>Karkas</v>
      </c>
      <c r="E537" s="53" t="str">
        <f aca="false">INDEX(I_Items!$F$5:$F$133,MATCH($B537,I_Items!$A$5:$A$133,0))</f>
        <v>Frozen</v>
      </c>
      <c r="F537" s="53" t="str">
        <f aca="false">IF(INDEX(I_Items!$E$5:$E$133,MATCH($B537,I_Items!$A$5:$A$133,0))="","",INDEX(I_Items!$E$5:$E$133,MATCH($B537,I_Items!$A$5:$A$133,0)))</f>
        <v>Uk 1.4</v>
      </c>
      <c r="G537" s="76" t="n">
        <v>46228</v>
      </c>
      <c r="H537" s="23" t="n">
        <f aca="false">MONTH(G537)</f>
        <v>7</v>
      </c>
      <c r="I537" s="74" t="s">
        <v>2075</v>
      </c>
      <c r="J537" s="74" t="s">
        <v>2166</v>
      </c>
      <c r="K537" s="10" t="n">
        <v>0</v>
      </c>
      <c r="L537" s="8" t="n">
        <v>0</v>
      </c>
      <c r="M537" s="10" t="n">
        <v>1007.9</v>
      </c>
      <c r="N537" s="8" t="n">
        <v>28001320.27</v>
      </c>
      <c r="O537" s="74" t="s">
        <v>2077</v>
      </c>
      <c r="P537" s="74"/>
      <c r="Q537" s="74"/>
      <c r="R537" s="14" t="n">
        <f aca="false">IF(I537="Unbilled",0,M537)</f>
        <v>1007.9</v>
      </c>
      <c r="S537" s="9" t="n">
        <f aca="false">IF(R537=0,0,IF(O537="Booked",N537,R537*V536))</f>
        <v>28001320.2395379</v>
      </c>
      <c r="T537" s="14" t="n">
        <f aca="false">IF(I537="Opening",K537,T536+K537-R537)</f>
        <v>2932.98</v>
      </c>
      <c r="U537" s="9" t="n">
        <f aca="false">IF(I537="Opening",L537,U536+L537-S537)</f>
        <v>81483591.8604621</v>
      </c>
      <c r="V537" s="9" t="n">
        <f aca="false">IF(T537&gt;0,U537/T537,IF(I537="Opening",0,V536))</f>
        <v>27781.8436745092</v>
      </c>
      <c r="W537" s="14" t="n">
        <f aca="false">M537</f>
        <v>1007.9</v>
      </c>
      <c r="X537" s="9" t="n">
        <f aca="false">IF(W537=0,0,IF(O537="Booked",N537,W537*AA536))</f>
        <v>28001320.2395379</v>
      </c>
      <c r="Y537" s="14" t="n">
        <f aca="false">IF(I537="Opening",K537,Y536+K537-W537)</f>
        <v>2932.98</v>
      </c>
      <c r="Z537" s="9" t="n">
        <f aca="false">IF(I537="Opening",L537,Z536+L537-X537)</f>
        <v>81483591.8604621</v>
      </c>
      <c r="AA537" s="9" t="n">
        <f aca="false">IF(Y537&gt;0,Z537/Y537,IF(I537="Opening",0,AA536))</f>
        <v>27781.8436745092</v>
      </c>
      <c r="AB537" s="9" t="n">
        <f aca="false">IF(AND(I537="DO",O537="MA"),S537-N537,0)</f>
        <v>-0.030462134629488</v>
      </c>
      <c r="AC537" s="9" t="n">
        <f aca="false">IF(I537="DO",X537-S537,0)</f>
        <v>0</v>
      </c>
      <c r="AD537" s="23" t="n">
        <f aca="false">IF(B538&lt;&gt;B537,1,0)</f>
        <v>0</v>
      </c>
      <c r="AE537" s="14" t="n">
        <f aca="false">IF(I537="Opening",0,AE536+W537)</f>
        <v>1007.9</v>
      </c>
      <c r="AF537" s="14" t="n">
        <f aca="false">IF(I537="Opening",K537,AF536)</f>
        <v>3940.88</v>
      </c>
      <c r="AG537" s="14" t="n">
        <f aca="false">AG536</f>
        <v>0</v>
      </c>
      <c r="AH537" s="14" t="n">
        <f aca="false">IF(W537=0,0,MAX(0,MIN(AE537,AF537)-MIN(AE537-W537,AF537)))</f>
        <v>1007.9</v>
      </c>
      <c r="AI537" s="14" t="n">
        <f aca="false">IF(W537=0,0,MAX(0,MIN(AE537,AF537+AG537)-MAX(AE537-W537,AF537)))</f>
        <v>0</v>
      </c>
      <c r="AJ537" s="14" t="n">
        <f aca="false">W537-AH537-AI537</f>
        <v>0</v>
      </c>
      <c r="AK537" s="9" t="n">
        <f aca="false">IF(W537=0,0,X537*AH537/W537)</f>
        <v>28001320.2395379</v>
      </c>
      <c r="AL537" s="9" t="n">
        <f aca="false">IF(W537=0,0,X537*AI537/W537)</f>
        <v>0</v>
      </c>
      <c r="AM537" s="9" t="n">
        <f aca="false">X537-AK537-AL537</f>
        <v>0</v>
      </c>
    </row>
    <row r="538" customFormat="false" ht="15" hidden="false" customHeight="false" outlineLevel="0" collapsed="false">
      <c r="A538" s="6" t="n">
        <v>533</v>
      </c>
      <c r="B538" s="74" t="s">
        <v>995</v>
      </c>
      <c r="C538" s="53" t="str">
        <f aca="false">INDEX(I_Items!$C$5:$C$133,MATCH($B538,I_Items!$A$5:$A$133,0))</f>
        <v>RPA</v>
      </c>
      <c r="D538" s="53" t="str">
        <f aca="false">INDEX(I_Items!$D$5:$D$133,MATCH($B538,I_Items!$A$5:$A$133,0))</f>
        <v>Karkas</v>
      </c>
      <c r="E538" s="53" t="str">
        <f aca="false">INDEX(I_Items!$F$5:$F$133,MATCH($B538,I_Items!$A$5:$A$133,0))</f>
        <v>Frozen</v>
      </c>
      <c r="F538" s="53" t="str">
        <f aca="false">IF(INDEX(I_Items!$E$5:$E$133,MATCH($B538,I_Items!$A$5:$A$133,0))="","",INDEX(I_Items!$E$5:$E$133,MATCH($B538,I_Items!$A$5:$A$133,0)))</f>
        <v>Uk 1.4</v>
      </c>
      <c r="G538" s="76" t="n">
        <v>46231</v>
      </c>
      <c r="H538" s="23" t="n">
        <f aca="false">MONTH(G538)</f>
        <v>7</v>
      </c>
      <c r="I538" s="74" t="s">
        <v>2075</v>
      </c>
      <c r="J538" s="74" t="s">
        <v>2167</v>
      </c>
      <c r="K538" s="10" t="n">
        <v>0</v>
      </c>
      <c r="L538" s="8" t="n">
        <v>0</v>
      </c>
      <c r="M538" s="10" t="n">
        <v>520.9</v>
      </c>
      <c r="N538" s="8" t="n">
        <v>14471562.38</v>
      </c>
      <c r="O538" s="74" t="s">
        <v>2077</v>
      </c>
      <c r="P538" s="74"/>
      <c r="Q538" s="74"/>
      <c r="R538" s="14" t="n">
        <f aca="false">IF(I538="Unbilled",0,M538)</f>
        <v>520.9</v>
      </c>
      <c r="S538" s="9" t="n">
        <f aca="false">IF(R538=0,0,IF(O538="Booked",N538,R538*V537))</f>
        <v>14471562.3700519</v>
      </c>
      <c r="T538" s="14" t="n">
        <f aca="false">IF(I538="Opening",K538,T537+K538-R538)</f>
        <v>2412.08</v>
      </c>
      <c r="U538" s="9" t="n">
        <f aca="false">IF(I538="Opening",L538,U537+L538-S538)</f>
        <v>67012029.4904103</v>
      </c>
      <c r="V538" s="9" t="n">
        <f aca="false">IF(T538&gt;0,U538/T538,IF(I538="Opening",0,V537))</f>
        <v>27781.8436745092</v>
      </c>
      <c r="W538" s="14" t="n">
        <f aca="false">M538</f>
        <v>520.9</v>
      </c>
      <c r="X538" s="9" t="n">
        <f aca="false">IF(W538=0,0,IF(O538="Booked",N538,W538*AA537))</f>
        <v>14471562.3700519</v>
      </c>
      <c r="Y538" s="14" t="n">
        <f aca="false">IF(I538="Opening",K538,Y537+K538-W538)</f>
        <v>2412.08</v>
      </c>
      <c r="Z538" s="9" t="n">
        <f aca="false">IF(I538="Opening",L538,Z537+L538-X538)</f>
        <v>67012029.4904103</v>
      </c>
      <c r="AA538" s="9" t="n">
        <f aca="false">IF(Y538&gt;0,Z538/Y538,IF(I538="Opening",0,AA537))</f>
        <v>27781.8436745092</v>
      </c>
      <c r="AB538" s="9" t="n">
        <f aca="false">IF(AND(I538="DO",O538="MA"),S538-N538,0)</f>
        <v>-0.00994813442230225</v>
      </c>
      <c r="AC538" s="9" t="n">
        <f aca="false">IF(I538="DO",X538-S538,0)</f>
        <v>0</v>
      </c>
      <c r="AD538" s="23" t="n">
        <f aca="false">IF(B539&lt;&gt;B538,1,0)</f>
        <v>0</v>
      </c>
      <c r="AE538" s="14" t="n">
        <f aca="false">IF(I538="Opening",0,AE537+W538)</f>
        <v>1528.8</v>
      </c>
      <c r="AF538" s="14" t="n">
        <f aca="false">IF(I538="Opening",K538,AF537)</f>
        <v>3940.88</v>
      </c>
      <c r="AG538" s="14" t="n">
        <f aca="false">AG537</f>
        <v>0</v>
      </c>
      <c r="AH538" s="14" t="n">
        <f aca="false">IF(W538=0,0,MAX(0,MIN(AE538,AF538)-MIN(AE538-W538,AF538)))</f>
        <v>520.9</v>
      </c>
      <c r="AI538" s="14" t="n">
        <f aca="false">IF(W538=0,0,MAX(0,MIN(AE538,AF538+AG538)-MAX(AE538-W538,AF538)))</f>
        <v>0</v>
      </c>
      <c r="AJ538" s="14" t="n">
        <f aca="false">W538-AH538-AI538</f>
        <v>0</v>
      </c>
      <c r="AK538" s="9" t="n">
        <f aca="false">IF(W538=0,0,X538*AH538/W538)</f>
        <v>14471562.3700519</v>
      </c>
      <c r="AL538" s="9" t="n">
        <f aca="false">IF(W538=0,0,X538*AI538/W538)</f>
        <v>0</v>
      </c>
      <c r="AM538" s="9" t="n">
        <f aca="false">X538-AK538-AL538</f>
        <v>0</v>
      </c>
    </row>
    <row r="539" customFormat="false" ht="15" hidden="false" customHeight="false" outlineLevel="0" collapsed="false">
      <c r="A539" s="6" t="n">
        <v>534</v>
      </c>
      <c r="B539" s="74" t="s">
        <v>995</v>
      </c>
      <c r="C539" s="53" t="str">
        <f aca="false">INDEX(I_Items!$C$5:$C$133,MATCH($B539,I_Items!$A$5:$A$133,0))</f>
        <v>RPA</v>
      </c>
      <c r="D539" s="53" t="str">
        <f aca="false">INDEX(I_Items!$D$5:$D$133,MATCH($B539,I_Items!$A$5:$A$133,0))</f>
        <v>Karkas</v>
      </c>
      <c r="E539" s="53" t="str">
        <f aca="false">INDEX(I_Items!$F$5:$F$133,MATCH($B539,I_Items!$A$5:$A$133,0))</f>
        <v>Frozen</v>
      </c>
      <c r="F539" s="53" t="str">
        <f aca="false">IF(INDEX(I_Items!$E$5:$E$133,MATCH($B539,I_Items!$A$5:$A$133,0))="","",INDEX(I_Items!$E$5:$E$133,MATCH($B539,I_Items!$A$5:$A$133,0)))</f>
        <v>Uk 1.4</v>
      </c>
      <c r="G539" s="76" t="n">
        <v>46239</v>
      </c>
      <c r="H539" s="23" t="n">
        <f aca="false">MONTH(G539)</f>
        <v>8</v>
      </c>
      <c r="I539" s="74" t="s">
        <v>2075</v>
      </c>
      <c r="J539" s="74" t="s">
        <v>2165</v>
      </c>
      <c r="K539" s="10" t="n">
        <v>0</v>
      </c>
      <c r="L539" s="8" t="n">
        <v>0</v>
      </c>
      <c r="M539" s="10" t="n">
        <v>600.4</v>
      </c>
      <c r="N539" s="8" t="n">
        <v>16680218.96</v>
      </c>
      <c r="O539" s="74" t="s">
        <v>2077</v>
      </c>
      <c r="P539" s="74"/>
      <c r="Q539" s="74"/>
      <c r="R539" s="14" t="n">
        <f aca="false">IF(I539="Unbilled",0,M539)</f>
        <v>600.4</v>
      </c>
      <c r="S539" s="9" t="n">
        <f aca="false">IF(R539=0,0,IF(O539="Booked",N539,R539*V538))</f>
        <v>16680218.9421754</v>
      </c>
      <c r="T539" s="14" t="n">
        <f aca="false">IF(I539="Opening",K539,T538+K539-R539)</f>
        <v>1811.68</v>
      </c>
      <c r="U539" s="9" t="n">
        <f aca="false">IF(I539="Opening",L539,U538+L539-S539)</f>
        <v>50331810.5482349</v>
      </c>
      <c r="V539" s="9" t="n">
        <f aca="false">IF(T539&gt;0,U539/T539,IF(I539="Opening",0,V538))</f>
        <v>27781.8436745092</v>
      </c>
      <c r="W539" s="14" t="n">
        <f aca="false">M539</f>
        <v>600.4</v>
      </c>
      <c r="X539" s="9" t="n">
        <f aca="false">IF(W539=0,0,IF(O539="Booked",N539,W539*AA538))</f>
        <v>16680218.9421754</v>
      </c>
      <c r="Y539" s="14" t="n">
        <f aca="false">IF(I539="Opening",K539,Y538+K539-W539)</f>
        <v>1811.68</v>
      </c>
      <c r="Z539" s="9" t="n">
        <f aca="false">IF(I539="Opening",L539,Z538+L539-X539)</f>
        <v>50331810.5482349</v>
      </c>
      <c r="AA539" s="9" t="n">
        <f aca="false">IF(Y539&gt;0,Z539/Y539,IF(I539="Opening",0,AA538))</f>
        <v>27781.8436745092</v>
      </c>
      <c r="AB539" s="9" t="n">
        <f aca="false">IF(AND(I539="DO",O539="MA"),S539-N539,0)</f>
        <v>-0.017824649810791</v>
      </c>
      <c r="AC539" s="9" t="n">
        <f aca="false">IF(I539="DO",X539-S539,0)</f>
        <v>0</v>
      </c>
      <c r="AD539" s="23" t="n">
        <f aca="false">IF(B540&lt;&gt;B539,1,0)</f>
        <v>0</v>
      </c>
      <c r="AE539" s="14" t="n">
        <f aca="false">IF(I539="Opening",0,AE538+W539)</f>
        <v>2129.2</v>
      </c>
      <c r="AF539" s="14" t="n">
        <f aca="false">IF(I539="Opening",K539,AF538)</f>
        <v>3940.88</v>
      </c>
      <c r="AG539" s="14" t="n">
        <f aca="false">AG538</f>
        <v>0</v>
      </c>
      <c r="AH539" s="14" t="n">
        <f aca="false">IF(W539=0,0,MAX(0,MIN(AE539,AF539)-MIN(AE539-W539,AF539)))</f>
        <v>600.4</v>
      </c>
      <c r="AI539" s="14" t="n">
        <f aca="false">IF(W539=0,0,MAX(0,MIN(AE539,AF539+AG539)-MAX(AE539-W539,AF539)))</f>
        <v>0</v>
      </c>
      <c r="AJ539" s="14" t="n">
        <f aca="false">W539-AH539-AI539</f>
        <v>0</v>
      </c>
      <c r="AK539" s="9" t="n">
        <f aca="false">IF(W539=0,0,X539*AH539/W539)</f>
        <v>16680218.9421754</v>
      </c>
      <c r="AL539" s="9" t="n">
        <f aca="false">IF(W539=0,0,X539*AI539/W539)</f>
        <v>0</v>
      </c>
      <c r="AM539" s="9" t="n">
        <f aca="false">X539-AK539-AL539</f>
        <v>0</v>
      </c>
    </row>
    <row r="540" customFormat="false" ht="15" hidden="false" customHeight="false" outlineLevel="0" collapsed="false">
      <c r="A540" s="6" t="n">
        <v>535</v>
      </c>
      <c r="B540" s="74" t="s">
        <v>995</v>
      </c>
      <c r="C540" s="53" t="str">
        <f aca="false">INDEX(I_Items!$C$5:$C$133,MATCH($B540,I_Items!$A$5:$A$133,0))</f>
        <v>RPA</v>
      </c>
      <c r="D540" s="53" t="str">
        <f aca="false">INDEX(I_Items!$D$5:$D$133,MATCH($B540,I_Items!$A$5:$A$133,0))</f>
        <v>Karkas</v>
      </c>
      <c r="E540" s="53" t="str">
        <f aca="false">INDEX(I_Items!$F$5:$F$133,MATCH($B540,I_Items!$A$5:$A$133,0))</f>
        <v>Frozen</v>
      </c>
      <c r="F540" s="53" t="str">
        <f aca="false">IF(INDEX(I_Items!$E$5:$E$133,MATCH($B540,I_Items!$A$5:$A$133,0))="","",INDEX(I_Items!$E$5:$E$133,MATCH($B540,I_Items!$A$5:$A$133,0)))</f>
        <v>Uk 1.4</v>
      </c>
      <c r="G540" s="76" t="n">
        <v>46254</v>
      </c>
      <c r="H540" s="23" t="n">
        <f aca="false">MONTH(G540)</f>
        <v>8</v>
      </c>
      <c r="I540" s="74" t="s">
        <v>2074</v>
      </c>
      <c r="J540" s="74" t="s">
        <v>1308</v>
      </c>
      <c r="K540" s="10" t="n">
        <v>28.8</v>
      </c>
      <c r="L540" s="8" t="n">
        <v>1090700.57</v>
      </c>
      <c r="M540" s="10" t="n">
        <v>0</v>
      </c>
      <c r="N540" s="8" t="n">
        <v>0</v>
      </c>
      <c r="O540" s="74"/>
      <c r="P540" s="74"/>
      <c r="Q540" s="74"/>
      <c r="R540" s="14" t="n">
        <f aca="false">IF(I540="Unbilled",0,M540)</f>
        <v>0</v>
      </c>
      <c r="S540" s="9" t="n">
        <f aca="false">IF(R540=0,0,IF(O540="Booked",N540,R540*V539))</f>
        <v>0</v>
      </c>
      <c r="T540" s="14" t="n">
        <f aca="false">IF(I540="Opening",K540,T539+K540-R540)</f>
        <v>1840.48</v>
      </c>
      <c r="U540" s="9" t="n">
        <f aca="false">IF(I540="Opening",L540,U539+L540-S540)</f>
        <v>51422511.1182349</v>
      </c>
      <c r="V540" s="9" t="n">
        <f aca="false">IF(T540&gt;0,U540/T540,IF(I540="Opening",0,V539))</f>
        <v>27939.7282873136</v>
      </c>
      <c r="W540" s="14" t="n">
        <f aca="false">M540</f>
        <v>0</v>
      </c>
      <c r="X540" s="9" t="n">
        <f aca="false">IF(W540=0,0,IF(O540="Booked",N540,W540*AA539))</f>
        <v>0</v>
      </c>
      <c r="Y540" s="14" t="n">
        <f aca="false">IF(I540="Opening",K540,Y539+K540-W540)</f>
        <v>1840.48</v>
      </c>
      <c r="Z540" s="9" t="n">
        <f aca="false">IF(I540="Opening",L540,Z539+L540-X540)</f>
        <v>51422511.1182349</v>
      </c>
      <c r="AA540" s="9" t="n">
        <f aca="false">IF(Y540&gt;0,Z540/Y540,IF(I540="Opening",0,AA539))</f>
        <v>27939.7282873136</v>
      </c>
      <c r="AB540" s="9" t="n">
        <f aca="false">IF(AND(I540="DO",O540="MA"),S540-N540,0)</f>
        <v>0</v>
      </c>
      <c r="AC540" s="9" t="n">
        <f aca="false">IF(I540="DO",X540-S540,0)</f>
        <v>0</v>
      </c>
      <c r="AD540" s="23" t="n">
        <f aca="false">IF(B541&lt;&gt;B540,1,0)</f>
        <v>0</v>
      </c>
      <c r="AE540" s="14" t="n">
        <f aca="false">IF(I540="Opening",0,AE539+W540)</f>
        <v>2129.2</v>
      </c>
      <c r="AF540" s="14" t="n">
        <f aca="false">IF(I540="Opening",K540,AF539)</f>
        <v>3940.88</v>
      </c>
      <c r="AG540" s="14" t="n">
        <f aca="false">AG539</f>
        <v>0</v>
      </c>
      <c r="AH540" s="14" t="n">
        <f aca="false">IF(W540=0,0,MAX(0,MIN(AE540,AF540)-MIN(AE540-W540,AF540)))</f>
        <v>0</v>
      </c>
      <c r="AI540" s="14" t="n">
        <f aca="false">IF(W540=0,0,MAX(0,MIN(AE540,AF540+AG540)-MAX(AE540-W540,AF540)))</f>
        <v>0</v>
      </c>
      <c r="AJ540" s="14" t="n">
        <f aca="false">W540-AH540-AI540</f>
        <v>0</v>
      </c>
      <c r="AK540" s="9" t="n">
        <f aca="false">IF(W540=0,0,X540*AH540/W540)</f>
        <v>0</v>
      </c>
      <c r="AL540" s="9" t="n">
        <f aca="false">IF(W540=0,0,X540*AI540/W540)</f>
        <v>0</v>
      </c>
      <c r="AM540" s="9" t="n">
        <f aca="false">X540-AK540-AL540</f>
        <v>0</v>
      </c>
    </row>
    <row r="541" customFormat="false" ht="15" hidden="false" customHeight="false" outlineLevel="0" collapsed="false">
      <c r="A541" s="6" t="n">
        <v>536</v>
      </c>
      <c r="B541" s="74" t="s">
        <v>995</v>
      </c>
      <c r="C541" s="53" t="str">
        <f aca="false">INDEX(I_Items!$C$5:$C$133,MATCH($B541,I_Items!$A$5:$A$133,0))</f>
        <v>RPA</v>
      </c>
      <c r="D541" s="53" t="str">
        <f aca="false">INDEX(I_Items!$D$5:$D$133,MATCH($B541,I_Items!$A$5:$A$133,0))</f>
        <v>Karkas</v>
      </c>
      <c r="E541" s="53" t="str">
        <f aca="false">INDEX(I_Items!$F$5:$F$133,MATCH($B541,I_Items!$A$5:$A$133,0))</f>
        <v>Frozen</v>
      </c>
      <c r="F541" s="53" t="str">
        <f aca="false">IF(INDEX(I_Items!$E$5:$E$133,MATCH($B541,I_Items!$A$5:$A$133,0))="","",INDEX(I_Items!$E$5:$E$133,MATCH($B541,I_Items!$A$5:$A$133,0)))</f>
        <v>Uk 1.4</v>
      </c>
      <c r="G541" s="76" t="n">
        <v>46255</v>
      </c>
      <c r="H541" s="23" t="n">
        <f aca="false">MONTH(G541)</f>
        <v>8</v>
      </c>
      <c r="I541" s="74" t="s">
        <v>2074</v>
      </c>
      <c r="J541" s="74" t="s">
        <v>1311</v>
      </c>
      <c r="K541" s="10" t="n">
        <v>42</v>
      </c>
      <c r="L541" s="8" t="n">
        <v>1605056.05</v>
      </c>
      <c r="M541" s="10" t="n">
        <v>0</v>
      </c>
      <c r="N541" s="8" t="n">
        <v>0</v>
      </c>
      <c r="O541" s="74"/>
      <c r="P541" s="74"/>
      <c r="Q541" s="74"/>
      <c r="R541" s="14" t="n">
        <f aca="false">IF(I541="Unbilled",0,M541)</f>
        <v>0</v>
      </c>
      <c r="S541" s="9" t="n">
        <f aca="false">IF(R541=0,0,IF(O541="Booked",N541,R541*V540))</f>
        <v>0</v>
      </c>
      <c r="T541" s="14" t="n">
        <f aca="false">IF(I541="Opening",K541,T540+K541-R541)</f>
        <v>1882.48</v>
      </c>
      <c r="U541" s="9" t="n">
        <f aca="false">IF(I541="Opening",L541,U540+L541-S541)</f>
        <v>53027567.1682349</v>
      </c>
      <c r="V541" s="9" t="n">
        <f aca="false">IF(T541&gt;0,U541/T541,IF(I541="Opening",0,V540))</f>
        <v>28168.9936510534</v>
      </c>
      <c r="W541" s="14" t="n">
        <f aca="false">M541</f>
        <v>0</v>
      </c>
      <c r="X541" s="9" t="n">
        <f aca="false">IF(W541=0,0,IF(O541="Booked",N541,W541*AA540))</f>
        <v>0</v>
      </c>
      <c r="Y541" s="14" t="n">
        <f aca="false">IF(I541="Opening",K541,Y540+K541-W541)</f>
        <v>1882.48</v>
      </c>
      <c r="Z541" s="9" t="n">
        <f aca="false">IF(I541="Opening",L541,Z540+L541-X541)</f>
        <v>53027567.1682349</v>
      </c>
      <c r="AA541" s="9" t="n">
        <f aca="false">IF(Y541&gt;0,Z541/Y541,IF(I541="Opening",0,AA540))</f>
        <v>28168.9936510534</v>
      </c>
      <c r="AB541" s="9" t="n">
        <f aca="false">IF(AND(I541="DO",O541="MA"),S541-N541,0)</f>
        <v>0</v>
      </c>
      <c r="AC541" s="9" t="n">
        <f aca="false">IF(I541="DO",X541-S541,0)</f>
        <v>0</v>
      </c>
      <c r="AD541" s="23" t="n">
        <f aca="false">IF(B542&lt;&gt;B541,1,0)</f>
        <v>1</v>
      </c>
      <c r="AE541" s="14" t="n">
        <f aca="false">IF(I541="Opening",0,AE540+W541)</f>
        <v>2129.2</v>
      </c>
      <c r="AF541" s="14" t="n">
        <f aca="false">IF(I541="Opening",K541,AF540)</f>
        <v>3940.88</v>
      </c>
      <c r="AG541" s="14" t="n">
        <f aca="false">AG540</f>
        <v>0</v>
      </c>
      <c r="AH541" s="14" t="n">
        <f aca="false">IF(W541=0,0,MAX(0,MIN(AE541,AF541)-MIN(AE541-W541,AF541)))</f>
        <v>0</v>
      </c>
      <c r="AI541" s="14" t="n">
        <f aca="false">IF(W541=0,0,MAX(0,MIN(AE541,AF541+AG541)-MAX(AE541-W541,AF541)))</f>
        <v>0</v>
      </c>
      <c r="AJ541" s="14" t="n">
        <f aca="false">W541-AH541-AI541</f>
        <v>0</v>
      </c>
      <c r="AK541" s="9" t="n">
        <f aca="false">IF(W541=0,0,X541*AH541/W541)</f>
        <v>0</v>
      </c>
      <c r="AL541" s="9" t="n">
        <f aca="false">IF(W541=0,0,X541*AI541/W541)</f>
        <v>0</v>
      </c>
      <c r="AM541" s="9" t="n">
        <f aca="false">X541-AK541-AL541</f>
        <v>0</v>
      </c>
    </row>
    <row r="542" customFormat="false" ht="15" hidden="false" customHeight="false" outlineLevel="0" collapsed="false">
      <c r="A542" s="6" t="n">
        <v>537</v>
      </c>
      <c r="B542" s="74" t="s">
        <v>996</v>
      </c>
      <c r="C542" s="53" t="str">
        <f aca="false">INDEX(I_Items!$C$5:$C$133,MATCH($B542,I_Items!$A$5:$A$133,0))</f>
        <v>RPA</v>
      </c>
      <c r="D542" s="53" t="str">
        <f aca="false">INDEX(I_Items!$D$5:$D$133,MATCH($B542,I_Items!$A$5:$A$133,0))</f>
        <v>Karkas</v>
      </c>
      <c r="E542" s="53" t="str">
        <f aca="false">INDEX(I_Items!$F$5:$F$133,MATCH($B542,I_Items!$A$5:$A$133,0))</f>
        <v>Fresh</v>
      </c>
      <c r="F542" s="53" t="str">
        <f aca="false">IF(INDEX(I_Items!$E$5:$E$133,MATCH($B542,I_Items!$A$5:$A$133,0))="","",INDEX(I_Items!$E$5:$E$133,MATCH($B542,I_Items!$A$5:$A$133,0)))</f>
        <v>Uk 1.5</v>
      </c>
      <c r="G542" s="76" t="n">
        <v>46204</v>
      </c>
      <c r="H542" s="23" t="n">
        <f aca="false">MONTH(G542)</f>
        <v>7</v>
      </c>
      <c r="I542" s="74" t="s">
        <v>2072</v>
      </c>
      <c r="J542" s="74" t="s">
        <v>2073</v>
      </c>
      <c r="K542" s="10" t="n">
        <v>0</v>
      </c>
      <c r="L542" s="8" t="n">
        <v>0.41</v>
      </c>
      <c r="M542" s="10" t="n">
        <v>0</v>
      </c>
      <c r="N542" s="8" t="n">
        <v>0</v>
      </c>
      <c r="O542" s="74"/>
      <c r="P542" s="74"/>
      <c r="Q542" s="74"/>
      <c r="R542" s="14" t="n">
        <f aca="false">IF(I542="Unbilled",0,M542)</f>
        <v>0</v>
      </c>
      <c r="S542" s="9" t="n">
        <f aca="false">IF(R542=0,0,IF(O542="Booked",N542,R542*V541))</f>
        <v>0</v>
      </c>
      <c r="T542" s="14" t="n">
        <f aca="false">IF(I542="Opening",K542,T541+K542-R542)</f>
        <v>0</v>
      </c>
      <c r="U542" s="9" t="n">
        <f aca="false">IF(I542="Opening",L542,U541+L542-S542)</f>
        <v>0.41</v>
      </c>
      <c r="V542" s="9" t="n">
        <f aca="false">IF(T542&gt;0,U542/T542,IF(I542="Opening",0,V541))</f>
        <v>0</v>
      </c>
      <c r="W542" s="14" t="n">
        <f aca="false">M542</f>
        <v>0</v>
      </c>
      <c r="X542" s="9" t="n">
        <f aca="false">IF(W542=0,0,IF(O542="Booked",N542,W542*AA541))</f>
        <v>0</v>
      </c>
      <c r="Y542" s="14" t="n">
        <f aca="false">IF(I542="Opening",K542,Y541+K542-W542)</f>
        <v>0</v>
      </c>
      <c r="Z542" s="9" t="n">
        <f aca="false">IF(I542="Opening",L542,Z541+L542-X542)</f>
        <v>0.41</v>
      </c>
      <c r="AA542" s="9" t="n">
        <f aca="false">IF(Y542&gt;0,Z542/Y542,IF(I542="Opening",0,AA541))</f>
        <v>0</v>
      </c>
      <c r="AB542" s="9" t="n">
        <f aca="false">IF(AND(I542="DO",O542="MA"),S542-N542,0)</f>
        <v>0</v>
      </c>
      <c r="AC542" s="9" t="n">
        <f aca="false">IF(I542="DO",X542-S542,0)</f>
        <v>0</v>
      </c>
      <c r="AD542" s="23" t="n">
        <f aca="false">IF(B543&lt;&gt;B542,1,0)</f>
        <v>0</v>
      </c>
      <c r="AE542" s="14" t="n">
        <f aca="false">IF(I542="Opening",0,AE541+W542)</f>
        <v>0</v>
      </c>
      <c r="AF542" s="14" t="n">
        <f aca="false">IF(I542="Opening",K542,AF541)</f>
        <v>0</v>
      </c>
      <c r="AG542" s="14" t="n">
        <f aca="false">SUMIFS($K$6:$K$1110,$B$6:$B$1110,B542,$H$6:$H$1110,7,$I$6:$I$1110,"&lt;&gt;Opening")</f>
        <v>0</v>
      </c>
      <c r="AH542" s="14" t="n">
        <f aca="false">IF(W542=0,0,MAX(0,MIN(AE542,AF542)-MIN(AE542-W542,AF542)))</f>
        <v>0</v>
      </c>
      <c r="AI542" s="14" t="n">
        <f aca="false">IF(W542=0,0,MAX(0,MIN(AE542,AF542+AG542)-MAX(AE542-W542,AF542)))</f>
        <v>0</v>
      </c>
      <c r="AJ542" s="14" t="n">
        <f aca="false">W542-AH542-AI542</f>
        <v>0</v>
      </c>
      <c r="AK542" s="9" t="n">
        <f aca="false">IF(W542=0,0,X542*AH542/W542)</f>
        <v>0</v>
      </c>
      <c r="AL542" s="9" t="n">
        <f aca="false">IF(W542=0,0,X542*AI542/W542)</f>
        <v>0</v>
      </c>
      <c r="AM542" s="9" t="n">
        <f aca="false">X542-AK542-AL542</f>
        <v>0</v>
      </c>
    </row>
    <row r="543" customFormat="false" ht="15" hidden="false" customHeight="false" outlineLevel="0" collapsed="false">
      <c r="A543" s="6" t="n">
        <v>538</v>
      </c>
      <c r="B543" s="74" t="s">
        <v>996</v>
      </c>
      <c r="C543" s="53" t="str">
        <f aca="false">INDEX(I_Items!$C$5:$C$133,MATCH($B543,I_Items!$A$5:$A$133,0))</f>
        <v>RPA</v>
      </c>
      <c r="D543" s="53" t="str">
        <f aca="false">INDEX(I_Items!$D$5:$D$133,MATCH($B543,I_Items!$A$5:$A$133,0))</f>
        <v>Karkas</v>
      </c>
      <c r="E543" s="53" t="str">
        <f aca="false">INDEX(I_Items!$F$5:$F$133,MATCH($B543,I_Items!$A$5:$A$133,0))</f>
        <v>Fresh</v>
      </c>
      <c r="F543" s="53" t="str">
        <f aca="false">IF(INDEX(I_Items!$E$5:$E$133,MATCH($B543,I_Items!$A$5:$A$133,0))="","",INDEX(I_Items!$E$5:$E$133,MATCH($B543,I_Items!$A$5:$A$133,0)))</f>
        <v>Uk 1.5</v>
      </c>
      <c r="G543" s="76" t="n">
        <v>46244</v>
      </c>
      <c r="H543" s="23" t="n">
        <f aca="false">MONTH(G543)</f>
        <v>8</v>
      </c>
      <c r="I543" s="74" t="s">
        <v>2074</v>
      </c>
      <c r="J543" s="74" t="s">
        <v>1298</v>
      </c>
      <c r="K543" s="10" t="n">
        <v>840.7</v>
      </c>
      <c r="L543" s="8" t="n">
        <v>31891310.27</v>
      </c>
      <c r="M543" s="10" t="n">
        <v>0</v>
      </c>
      <c r="N543" s="8" t="n">
        <v>0</v>
      </c>
      <c r="O543" s="74"/>
      <c r="P543" s="74"/>
      <c r="Q543" s="74"/>
      <c r="R543" s="14" t="n">
        <f aca="false">IF(I543="Unbilled",0,M543)</f>
        <v>0</v>
      </c>
      <c r="S543" s="9" t="n">
        <f aca="false">IF(R543=0,0,IF(O543="Booked",N543,R543*V542))</f>
        <v>0</v>
      </c>
      <c r="T543" s="14" t="n">
        <f aca="false">IF(I543="Opening",K543,T542+K543-R543)</f>
        <v>840.7</v>
      </c>
      <c r="U543" s="9" t="n">
        <f aca="false">IF(I543="Opening",L543,U542+L543-S543)</f>
        <v>31891310.68</v>
      </c>
      <c r="V543" s="9" t="n">
        <f aca="false">IF(T543&gt;0,U543/T543,IF(I543="Opening",0,V542))</f>
        <v>37934.2341857976</v>
      </c>
      <c r="W543" s="14" t="n">
        <f aca="false">M543</f>
        <v>0</v>
      </c>
      <c r="X543" s="9" t="n">
        <f aca="false">IF(W543=0,0,IF(O543="Booked",N543,W543*AA542))</f>
        <v>0</v>
      </c>
      <c r="Y543" s="14" t="n">
        <f aca="false">IF(I543="Opening",K543,Y542+K543-W543)</f>
        <v>840.7</v>
      </c>
      <c r="Z543" s="9" t="n">
        <f aca="false">IF(I543="Opening",L543,Z542+L543-X543)</f>
        <v>31891310.68</v>
      </c>
      <c r="AA543" s="9" t="n">
        <f aca="false">IF(Y543&gt;0,Z543/Y543,IF(I543="Opening",0,AA542))</f>
        <v>37934.2341857976</v>
      </c>
      <c r="AB543" s="9" t="n">
        <f aca="false">IF(AND(I543="DO",O543="MA"),S543-N543,0)</f>
        <v>0</v>
      </c>
      <c r="AC543" s="9" t="n">
        <f aca="false">IF(I543="DO",X543-S543,0)</f>
        <v>0</v>
      </c>
      <c r="AD543" s="23" t="n">
        <f aca="false">IF(B544&lt;&gt;B543,1,0)</f>
        <v>0</v>
      </c>
      <c r="AE543" s="14" t="n">
        <f aca="false">IF(I543="Opening",0,AE542+W543)</f>
        <v>0</v>
      </c>
      <c r="AF543" s="14" t="n">
        <f aca="false">IF(I543="Opening",K543,AF542)</f>
        <v>0</v>
      </c>
      <c r="AG543" s="14" t="n">
        <f aca="false">AG542</f>
        <v>0</v>
      </c>
      <c r="AH543" s="14" t="n">
        <f aca="false">IF(W543=0,0,MAX(0,MIN(AE543,AF543)-MIN(AE543-W543,AF543)))</f>
        <v>0</v>
      </c>
      <c r="AI543" s="14" t="n">
        <f aca="false">IF(W543=0,0,MAX(0,MIN(AE543,AF543+AG543)-MAX(AE543-W543,AF543)))</f>
        <v>0</v>
      </c>
      <c r="AJ543" s="14" t="n">
        <f aca="false">W543-AH543-AI543</f>
        <v>0</v>
      </c>
      <c r="AK543" s="9" t="n">
        <f aca="false">IF(W543=0,0,X543*AH543/W543)</f>
        <v>0</v>
      </c>
      <c r="AL543" s="9" t="n">
        <f aca="false">IF(W543=0,0,X543*AI543/W543)</f>
        <v>0</v>
      </c>
      <c r="AM543" s="9" t="n">
        <f aca="false">X543-AK543-AL543</f>
        <v>0</v>
      </c>
    </row>
    <row r="544" customFormat="false" ht="15" hidden="false" customHeight="false" outlineLevel="0" collapsed="false">
      <c r="A544" s="6" t="n">
        <v>539</v>
      </c>
      <c r="B544" s="74" t="s">
        <v>996</v>
      </c>
      <c r="C544" s="53" t="str">
        <f aca="false">INDEX(I_Items!$C$5:$C$133,MATCH($B544,I_Items!$A$5:$A$133,0))</f>
        <v>RPA</v>
      </c>
      <c r="D544" s="53" t="str">
        <f aca="false">INDEX(I_Items!$D$5:$D$133,MATCH($B544,I_Items!$A$5:$A$133,0))</f>
        <v>Karkas</v>
      </c>
      <c r="E544" s="53" t="str">
        <f aca="false">INDEX(I_Items!$F$5:$F$133,MATCH($B544,I_Items!$A$5:$A$133,0))</f>
        <v>Fresh</v>
      </c>
      <c r="F544" s="53" t="str">
        <f aca="false">IF(INDEX(I_Items!$E$5:$E$133,MATCH($B544,I_Items!$A$5:$A$133,0))="","",INDEX(I_Items!$E$5:$E$133,MATCH($B544,I_Items!$A$5:$A$133,0)))</f>
        <v>Uk 1.5</v>
      </c>
      <c r="G544" s="76" t="n">
        <v>46246</v>
      </c>
      <c r="H544" s="23" t="n">
        <f aca="false">MONTH(G544)</f>
        <v>8</v>
      </c>
      <c r="I544" s="74" t="s">
        <v>2075</v>
      </c>
      <c r="J544" s="74" t="s">
        <v>2159</v>
      </c>
      <c r="K544" s="10" t="n">
        <v>0</v>
      </c>
      <c r="L544" s="8" t="n">
        <v>0</v>
      </c>
      <c r="M544" s="10" t="n">
        <v>2189.9</v>
      </c>
      <c r="N544" s="8" t="n">
        <v>83072178.38</v>
      </c>
      <c r="O544" s="74" t="s">
        <v>2077</v>
      </c>
      <c r="P544" s="74"/>
      <c r="Q544" s="74"/>
      <c r="R544" s="14" t="n">
        <f aca="false">IF(I544="Unbilled",0,M544)</f>
        <v>2189.9</v>
      </c>
      <c r="S544" s="9" t="n">
        <f aca="false">IF(R544=0,0,IF(O544="Booked",N544,R544*V543))</f>
        <v>83072179.4434781</v>
      </c>
      <c r="T544" s="14" t="n">
        <f aca="false">IF(I544="Opening",K544,T543+K544-R544)</f>
        <v>-1349.2</v>
      </c>
      <c r="U544" s="9" t="n">
        <f aca="false">IF(I544="Opening",L544,U543+L544-S544)</f>
        <v>-51180868.7634781</v>
      </c>
      <c r="V544" s="9" t="n">
        <f aca="false">IF(T544&gt;0,U544/T544,IF(I544="Opening",0,V543))</f>
        <v>37934.2341857976</v>
      </c>
      <c r="W544" s="14" t="n">
        <f aca="false">M544</f>
        <v>2189.9</v>
      </c>
      <c r="X544" s="9" t="n">
        <f aca="false">IF(W544=0,0,IF(O544="Booked",N544,W544*AA543))</f>
        <v>83072179.4434781</v>
      </c>
      <c r="Y544" s="14" t="n">
        <f aca="false">IF(I544="Opening",K544,Y543+K544-W544)</f>
        <v>-1349.2</v>
      </c>
      <c r="Z544" s="9" t="n">
        <f aca="false">IF(I544="Opening",L544,Z543+L544-X544)</f>
        <v>-51180868.7634781</v>
      </c>
      <c r="AA544" s="9" t="n">
        <f aca="false">IF(Y544&gt;0,Z544/Y544,IF(I544="Opening",0,AA543))</f>
        <v>37934.2341857976</v>
      </c>
      <c r="AB544" s="9" t="n">
        <f aca="false">IF(AND(I544="DO",O544="MA"),S544-N544,0)</f>
        <v>1.06347805261612</v>
      </c>
      <c r="AC544" s="9" t="n">
        <f aca="false">IF(I544="DO",X544-S544,0)</f>
        <v>0</v>
      </c>
      <c r="AD544" s="23" t="n">
        <f aca="false">IF(B545&lt;&gt;B544,1,0)</f>
        <v>0</v>
      </c>
      <c r="AE544" s="14" t="n">
        <f aca="false">IF(I544="Opening",0,AE543+W544)</f>
        <v>2189.9</v>
      </c>
      <c r="AF544" s="14" t="n">
        <f aca="false">IF(I544="Opening",K544,AF543)</f>
        <v>0</v>
      </c>
      <c r="AG544" s="14" t="n">
        <f aca="false">AG543</f>
        <v>0</v>
      </c>
      <c r="AH544" s="14" t="n">
        <f aca="false">IF(W544=0,0,MAX(0,MIN(AE544,AF544)-MIN(AE544-W544,AF544)))</f>
        <v>0</v>
      </c>
      <c r="AI544" s="14" t="n">
        <f aca="false">IF(W544=0,0,MAX(0,MIN(AE544,AF544+AG544)-MAX(AE544-W544,AF544)))</f>
        <v>0</v>
      </c>
      <c r="AJ544" s="14" t="n">
        <f aca="false">W544-AH544-AI544</f>
        <v>2189.9</v>
      </c>
      <c r="AK544" s="9" t="n">
        <f aca="false">IF(W544=0,0,X544*AH544/W544)</f>
        <v>0</v>
      </c>
      <c r="AL544" s="9" t="n">
        <f aca="false">IF(W544=0,0,X544*AI544/W544)</f>
        <v>0</v>
      </c>
      <c r="AM544" s="9" t="n">
        <f aca="false">X544-AK544-AL544</f>
        <v>83072179.4434781</v>
      </c>
    </row>
    <row r="545" customFormat="false" ht="15" hidden="false" customHeight="false" outlineLevel="0" collapsed="false">
      <c r="A545" s="6" t="n">
        <v>540</v>
      </c>
      <c r="B545" s="74" t="s">
        <v>996</v>
      </c>
      <c r="C545" s="53" t="str">
        <f aca="false">INDEX(I_Items!$C$5:$C$133,MATCH($B545,I_Items!$A$5:$A$133,0))</f>
        <v>RPA</v>
      </c>
      <c r="D545" s="53" t="str">
        <f aca="false">INDEX(I_Items!$D$5:$D$133,MATCH($B545,I_Items!$A$5:$A$133,0))</f>
        <v>Karkas</v>
      </c>
      <c r="E545" s="53" t="str">
        <f aca="false">INDEX(I_Items!$F$5:$F$133,MATCH($B545,I_Items!$A$5:$A$133,0))</f>
        <v>Fresh</v>
      </c>
      <c r="F545" s="53" t="str">
        <f aca="false">IF(INDEX(I_Items!$E$5:$E$133,MATCH($B545,I_Items!$A$5:$A$133,0))="","",INDEX(I_Items!$E$5:$E$133,MATCH($B545,I_Items!$A$5:$A$133,0)))</f>
        <v>Uk 1.5</v>
      </c>
      <c r="G545" s="76" t="n">
        <v>46246</v>
      </c>
      <c r="H545" s="23" t="n">
        <f aca="false">MONTH(G545)</f>
        <v>8</v>
      </c>
      <c r="I545" s="74" t="s">
        <v>2117</v>
      </c>
      <c r="J545" s="74" t="s">
        <v>2160</v>
      </c>
      <c r="K545" s="10" t="n">
        <v>1772.4</v>
      </c>
      <c r="L545" s="8" t="n">
        <v>67234635.81</v>
      </c>
      <c r="M545" s="10" t="n">
        <v>0</v>
      </c>
      <c r="N545" s="8" t="n">
        <v>0</v>
      </c>
      <c r="O545" s="74" t="s">
        <v>2119</v>
      </c>
      <c r="P545" s="74"/>
      <c r="Q545" s="74"/>
      <c r="R545" s="14" t="n">
        <f aca="false">IF(I545="Unbilled",0,M545)</f>
        <v>0</v>
      </c>
      <c r="S545" s="9" t="n">
        <f aca="false">IF(R545=0,0,IF(O545="Booked",N545,R545*V544))</f>
        <v>0</v>
      </c>
      <c r="T545" s="14" t="n">
        <f aca="false">IF(I545="Opening",K545,T544+K545-R545)</f>
        <v>423.2</v>
      </c>
      <c r="U545" s="9" t="n">
        <f aca="false">IF(I545="Opening",L545,U544+L545-S545)</f>
        <v>16053767.046522</v>
      </c>
      <c r="V545" s="9" t="n">
        <f aca="false">IF(T545&gt;0,U545/T545,IF(I545="Opening",0,V544))</f>
        <v>37934.2321515169</v>
      </c>
      <c r="W545" s="14" t="n">
        <f aca="false">M545</f>
        <v>0</v>
      </c>
      <c r="X545" s="9" t="n">
        <f aca="false">IF(W545=0,0,IF(O545="Booked",N545,W545*AA544))</f>
        <v>0</v>
      </c>
      <c r="Y545" s="14" t="n">
        <f aca="false">IF(I545="Opening",K545,Y544+K545-W545)</f>
        <v>423.2</v>
      </c>
      <c r="Z545" s="9" t="n">
        <f aca="false">IF(I545="Opening",L545,Z544+L545-X545)</f>
        <v>16053767.046522</v>
      </c>
      <c r="AA545" s="9" t="n">
        <f aca="false">IF(Y545&gt;0,Z545/Y545,IF(I545="Opening",0,AA544))</f>
        <v>37934.2321515169</v>
      </c>
      <c r="AB545" s="9" t="n">
        <f aca="false">IF(AND(I545="DO",O545="MA"),S545-N545,0)</f>
        <v>0</v>
      </c>
      <c r="AC545" s="9" t="n">
        <f aca="false">IF(I545="DO",X545-S545,0)</f>
        <v>0</v>
      </c>
      <c r="AD545" s="23" t="n">
        <f aca="false">IF(B546&lt;&gt;B545,1,0)</f>
        <v>0</v>
      </c>
      <c r="AE545" s="14" t="n">
        <f aca="false">IF(I545="Opening",0,AE544+W545)</f>
        <v>2189.9</v>
      </c>
      <c r="AF545" s="14" t="n">
        <f aca="false">IF(I545="Opening",K545,AF544)</f>
        <v>0</v>
      </c>
      <c r="AG545" s="14" t="n">
        <f aca="false">AG544</f>
        <v>0</v>
      </c>
      <c r="AH545" s="14" t="n">
        <f aca="false">IF(W545=0,0,MAX(0,MIN(AE545,AF545)-MIN(AE545-W545,AF545)))</f>
        <v>0</v>
      </c>
      <c r="AI545" s="14" t="n">
        <f aca="false">IF(W545=0,0,MAX(0,MIN(AE545,AF545+AG545)-MAX(AE545-W545,AF545)))</f>
        <v>0</v>
      </c>
      <c r="AJ545" s="14" t="n">
        <f aca="false">W545-AH545-AI545</f>
        <v>0</v>
      </c>
      <c r="AK545" s="9" t="n">
        <f aca="false">IF(W545=0,0,X545*AH545/W545)</f>
        <v>0</v>
      </c>
      <c r="AL545" s="9" t="n">
        <f aca="false">IF(W545=0,0,X545*AI545/W545)</f>
        <v>0</v>
      </c>
      <c r="AM545" s="9" t="n">
        <f aca="false">X545-AK545-AL545</f>
        <v>0</v>
      </c>
    </row>
    <row r="546" customFormat="false" ht="15" hidden="false" customHeight="false" outlineLevel="0" collapsed="false">
      <c r="A546" s="6" t="n">
        <v>541</v>
      </c>
      <c r="B546" s="74" t="s">
        <v>996</v>
      </c>
      <c r="C546" s="53" t="str">
        <f aca="false">INDEX(I_Items!$C$5:$C$133,MATCH($B546,I_Items!$A$5:$A$133,0))</f>
        <v>RPA</v>
      </c>
      <c r="D546" s="53" t="str">
        <f aca="false">INDEX(I_Items!$D$5:$D$133,MATCH($B546,I_Items!$A$5:$A$133,0))</f>
        <v>Karkas</v>
      </c>
      <c r="E546" s="53" t="str">
        <f aca="false">INDEX(I_Items!$F$5:$F$133,MATCH($B546,I_Items!$A$5:$A$133,0))</f>
        <v>Fresh</v>
      </c>
      <c r="F546" s="53" t="str">
        <f aca="false">IF(INDEX(I_Items!$E$5:$E$133,MATCH($B546,I_Items!$A$5:$A$133,0))="","",INDEX(I_Items!$E$5:$E$133,MATCH($B546,I_Items!$A$5:$A$133,0)))</f>
        <v>Uk 1.5</v>
      </c>
      <c r="G546" s="76" t="n">
        <v>46248</v>
      </c>
      <c r="H546" s="23" t="n">
        <f aca="false">MONTH(G546)</f>
        <v>8</v>
      </c>
      <c r="I546" s="74" t="s">
        <v>2074</v>
      </c>
      <c r="J546" s="74" t="s">
        <v>1302</v>
      </c>
      <c r="K546" s="10" t="n">
        <v>807.2</v>
      </c>
      <c r="L546" s="8" t="n">
        <v>30904329.4</v>
      </c>
      <c r="M546" s="10" t="n">
        <v>0</v>
      </c>
      <c r="N546" s="8" t="n">
        <v>0</v>
      </c>
      <c r="O546" s="74"/>
      <c r="P546" s="74"/>
      <c r="Q546" s="74"/>
      <c r="R546" s="14" t="n">
        <f aca="false">IF(I546="Unbilled",0,M546)</f>
        <v>0</v>
      </c>
      <c r="S546" s="9" t="n">
        <f aca="false">IF(R546=0,0,IF(O546="Booked",N546,R546*V545))</f>
        <v>0</v>
      </c>
      <c r="T546" s="14" t="n">
        <f aca="false">IF(I546="Opening",K546,T545+K546-R546)</f>
        <v>1230.4</v>
      </c>
      <c r="U546" s="9" t="n">
        <f aca="false">IF(I546="Opening",L546,U545+L546-S546)</f>
        <v>46958096.446522</v>
      </c>
      <c r="V546" s="9" t="n">
        <f aca="false">IF(T546&gt;0,U546/T546,IF(I546="Opening",0,V545))</f>
        <v>38164.9028336492</v>
      </c>
      <c r="W546" s="14" t="n">
        <f aca="false">M546</f>
        <v>0</v>
      </c>
      <c r="X546" s="9" t="n">
        <f aca="false">IF(W546=0,0,IF(O546="Booked",N546,W546*AA545))</f>
        <v>0</v>
      </c>
      <c r="Y546" s="14" t="n">
        <f aca="false">IF(I546="Opening",K546,Y545+K546-W546)</f>
        <v>1230.4</v>
      </c>
      <c r="Z546" s="9" t="n">
        <f aca="false">IF(I546="Opening",L546,Z545+L546-X546)</f>
        <v>46958096.446522</v>
      </c>
      <c r="AA546" s="9" t="n">
        <f aca="false">IF(Y546&gt;0,Z546/Y546,IF(I546="Opening",0,AA545))</f>
        <v>38164.9028336492</v>
      </c>
      <c r="AB546" s="9" t="n">
        <f aca="false">IF(AND(I546="DO",O546="MA"),S546-N546,0)</f>
        <v>0</v>
      </c>
      <c r="AC546" s="9" t="n">
        <f aca="false">IF(I546="DO",X546-S546,0)</f>
        <v>0</v>
      </c>
      <c r="AD546" s="23" t="n">
        <f aca="false">IF(B547&lt;&gt;B546,1,0)</f>
        <v>0</v>
      </c>
      <c r="AE546" s="14" t="n">
        <f aca="false">IF(I546="Opening",0,AE545+W546)</f>
        <v>2189.9</v>
      </c>
      <c r="AF546" s="14" t="n">
        <f aca="false">IF(I546="Opening",K546,AF545)</f>
        <v>0</v>
      </c>
      <c r="AG546" s="14" t="n">
        <f aca="false">AG545</f>
        <v>0</v>
      </c>
      <c r="AH546" s="14" t="n">
        <f aca="false">IF(W546=0,0,MAX(0,MIN(AE546,AF546)-MIN(AE546-W546,AF546)))</f>
        <v>0</v>
      </c>
      <c r="AI546" s="14" t="n">
        <f aca="false">IF(W546=0,0,MAX(0,MIN(AE546,AF546+AG546)-MAX(AE546-W546,AF546)))</f>
        <v>0</v>
      </c>
      <c r="AJ546" s="14" t="n">
        <f aca="false">W546-AH546-AI546</f>
        <v>0</v>
      </c>
      <c r="AK546" s="9" t="n">
        <f aca="false">IF(W546=0,0,X546*AH546/W546)</f>
        <v>0</v>
      </c>
      <c r="AL546" s="9" t="n">
        <f aca="false">IF(W546=0,0,X546*AI546/W546)</f>
        <v>0</v>
      </c>
      <c r="AM546" s="9" t="n">
        <f aca="false">X546-AK546-AL546</f>
        <v>0</v>
      </c>
    </row>
    <row r="547" customFormat="false" ht="15" hidden="false" customHeight="false" outlineLevel="0" collapsed="false">
      <c r="A547" s="6" t="n">
        <v>542</v>
      </c>
      <c r="B547" s="74" t="s">
        <v>996</v>
      </c>
      <c r="C547" s="53" t="str">
        <f aca="false">INDEX(I_Items!$C$5:$C$133,MATCH($B547,I_Items!$A$5:$A$133,0))</f>
        <v>RPA</v>
      </c>
      <c r="D547" s="53" t="str">
        <f aca="false">INDEX(I_Items!$D$5:$D$133,MATCH($B547,I_Items!$A$5:$A$133,0))</f>
        <v>Karkas</v>
      </c>
      <c r="E547" s="53" t="str">
        <f aca="false">INDEX(I_Items!$F$5:$F$133,MATCH($B547,I_Items!$A$5:$A$133,0))</f>
        <v>Fresh</v>
      </c>
      <c r="F547" s="53" t="str">
        <f aca="false">IF(INDEX(I_Items!$E$5:$E$133,MATCH($B547,I_Items!$A$5:$A$133,0))="","",INDEX(I_Items!$E$5:$E$133,MATCH($B547,I_Items!$A$5:$A$133,0)))</f>
        <v>Uk 1.5</v>
      </c>
      <c r="G547" s="76" t="n">
        <v>46249</v>
      </c>
      <c r="H547" s="23" t="n">
        <f aca="false">MONTH(G547)</f>
        <v>8</v>
      </c>
      <c r="I547" s="74" t="s">
        <v>89</v>
      </c>
      <c r="J547" s="74" t="s">
        <v>2152</v>
      </c>
      <c r="K547" s="10" t="n">
        <v>0</v>
      </c>
      <c r="L547" s="8" t="n">
        <v>0</v>
      </c>
      <c r="M547" s="13" t="n">
        <f aca="false">INDEX(Unbilled!$K$22:$K$38,MATCH($Q547,Unbilled!$B$22:$B$38,0))</f>
        <v>807.2</v>
      </c>
      <c r="N547" s="8" t="n">
        <v>0</v>
      </c>
      <c r="O547" s="74" t="s">
        <v>2077</v>
      </c>
      <c r="P547" s="74"/>
      <c r="Q547" s="74" t="s">
        <v>1126</v>
      </c>
      <c r="R547" s="14" t="n">
        <f aca="false">IF(I547="Unbilled",0,M547)</f>
        <v>0</v>
      </c>
      <c r="S547" s="9" t="n">
        <f aca="false">IF(R547=0,0,IF(O547="Booked",N547,R547*V546))</f>
        <v>0</v>
      </c>
      <c r="T547" s="14" t="n">
        <f aca="false">IF(I547="Opening",K547,T546+K547-R547)</f>
        <v>1230.4</v>
      </c>
      <c r="U547" s="9" t="n">
        <f aca="false">IF(I547="Opening",L547,U546+L547-S547)</f>
        <v>46958096.446522</v>
      </c>
      <c r="V547" s="9" t="n">
        <f aca="false">IF(T547&gt;0,U547/T547,IF(I547="Opening",0,V546))</f>
        <v>38164.9028336492</v>
      </c>
      <c r="W547" s="14" t="n">
        <f aca="false">M547</f>
        <v>807.2</v>
      </c>
      <c r="X547" s="9" t="n">
        <f aca="false">IF(W547=0,0,IF(O547="Booked",N547,W547*AA546))</f>
        <v>30806709.5673216</v>
      </c>
      <c r="Y547" s="14" t="n">
        <f aca="false">IF(I547="Opening",K547,Y546+K547-W547)</f>
        <v>423.2</v>
      </c>
      <c r="Z547" s="9" t="n">
        <f aca="false">IF(I547="Opening",L547,Z546+L547-X547)</f>
        <v>16151386.8792003</v>
      </c>
      <c r="AA547" s="9" t="n">
        <f aca="false">IF(Y547&gt;0,Z547/Y547,IF(I547="Opening",0,AA546))</f>
        <v>38164.9028336492</v>
      </c>
      <c r="AB547" s="9" t="n">
        <f aca="false">IF(AND(I547="DO",O547="MA"),S547-N547,0)</f>
        <v>0</v>
      </c>
      <c r="AC547" s="9" t="n">
        <f aca="false">IF(I547="DO",X547-S547,0)</f>
        <v>0</v>
      </c>
      <c r="AD547" s="23" t="n">
        <f aca="false">IF(B548&lt;&gt;B547,1,0)</f>
        <v>0</v>
      </c>
      <c r="AE547" s="14" t="n">
        <f aca="false">IF(I547="Opening",0,AE546+W547)</f>
        <v>2997.1</v>
      </c>
      <c r="AF547" s="14" t="n">
        <f aca="false">IF(I547="Opening",K547,AF546)</f>
        <v>0</v>
      </c>
      <c r="AG547" s="14" t="n">
        <f aca="false">AG546</f>
        <v>0</v>
      </c>
      <c r="AH547" s="14" t="n">
        <f aca="false">IF(W547=0,0,MAX(0,MIN(AE547,AF547)-MIN(AE547-W547,AF547)))</f>
        <v>0</v>
      </c>
      <c r="AI547" s="14" t="n">
        <f aca="false">IF(W547=0,0,MAX(0,MIN(AE547,AF547+AG547)-MAX(AE547-W547,AF547)))</f>
        <v>0</v>
      </c>
      <c r="AJ547" s="14" t="n">
        <f aca="false">W547-AH547-AI547</f>
        <v>807.2</v>
      </c>
      <c r="AK547" s="9" t="n">
        <f aca="false">IF(W547=0,0,X547*AH547/W547)</f>
        <v>0</v>
      </c>
      <c r="AL547" s="9" t="n">
        <f aca="false">IF(W547=0,0,X547*AI547/W547)</f>
        <v>0</v>
      </c>
      <c r="AM547" s="9" t="n">
        <f aca="false">X547-AK547-AL547</f>
        <v>30806709.5673216</v>
      </c>
    </row>
    <row r="548" customFormat="false" ht="15" hidden="false" customHeight="false" outlineLevel="0" collapsed="false">
      <c r="A548" s="6" t="n">
        <v>543</v>
      </c>
      <c r="B548" s="74" t="s">
        <v>996</v>
      </c>
      <c r="C548" s="53" t="str">
        <f aca="false">INDEX(I_Items!$C$5:$C$133,MATCH($B548,I_Items!$A$5:$A$133,0))</f>
        <v>RPA</v>
      </c>
      <c r="D548" s="53" t="str">
        <f aca="false">INDEX(I_Items!$D$5:$D$133,MATCH($B548,I_Items!$A$5:$A$133,0))</f>
        <v>Karkas</v>
      </c>
      <c r="E548" s="53" t="str">
        <f aca="false">INDEX(I_Items!$F$5:$F$133,MATCH($B548,I_Items!$A$5:$A$133,0))</f>
        <v>Fresh</v>
      </c>
      <c r="F548" s="53" t="str">
        <f aca="false">IF(INDEX(I_Items!$E$5:$E$133,MATCH($B548,I_Items!$A$5:$A$133,0))="","",INDEX(I_Items!$E$5:$E$133,MATCH($B548,I_Items!$A$5:$A$133,0)))</f>
        <v>Uk 1.5</v>
      </c>
      <c r="G548" s="76" t="n">
        <v>46253</v>
      </c>
      <c r="H548" s="23" t="n">
        <f aca="false">MONTH(G548)</f>
        <v>8</v>
      </c>
      <c r="I548" s="74" t="s">
        <v>2074</v>
      </c>
      <c r="J548" s="74" t="s">
        <v>1305</v>
      </c>
      <c r="K548" s="10" t="n">
        <v>906.1</v>
      </c>
      <c r="L548" s="8" t="n">
        <v>34238519.27</v>
      </c>
      <c r="M548" s="10" t="n">
        <v>0</v>
      </c>
      <c r="N548" s="8" t="n">
        <v>0</v>
      </c>
      <c r="O548" s="74"/>
      <c r="P548" s="74"/>
      <c r="Q548" s="74"/>
      <c r="R548" s="14" t="n">
        <f aca="false">IF(I548="Unbilled",0,M548)</f>
        <v>0</v>
      </c>
      <c r="S548" s="9" t="n">
        <f aca="false">IF(R548=0,0,IF(O548="Booked",N548,R548*V547))</f>
        <v>0</v>
      </c>
      <c r="T548" s="14" t="n">
        <f aca="false">IF(I548="Opening",K548,T547+K548-R548)</f>
        <v>2136.5</v>
      </c>
      <c r="U548" s="9" t="n">
        <f aca="false">IF(I548="Opening",L548,U547+L548-S548)</f>
        <v>81196615.716522</v>
      </c>
      <c r="V548" s="9" t="n">
        <f aca="false">IF(T548&gt;0,U548/T548,IF(I548="Opening",0,V547))</f>
        <v>38004.5006864133</v>
      </c>
      <c r="W548" s="14" t="n">
        <f aca="false">M548</f>
        <v>0</v>
      </c>
      <c r="X548" s="9" t="n">
        <f aca="false">IF(W548=0,0,IF(O548="Booked",N548,W548*AA547))</f>
        <v>0</v>
      </c>
      <c r="Y548" s="14" t="n">
        <f aca="false">IF(I548="Opening",K548,Y547+K548-W548)</f>
        <v>1329.3</v>
      </c>
      <c r="Z548" s="9" t="n">
        <f aca="false">IF(I548="Opening",L548,Z547+L548-X548)</f>
        <v>50389906.1492003</v>
      </c>
      <c r="AA548" s="9" t="n">
        <f aca="false">IF(Y548&gt;0,Z548/Y548,IF(I548="Opening",0,AA547))</f>
        <v>37907.0985851202</v>
      </c>
      <c r="AB548" s="9" t="n">
        <f aca="false">IF(AND(I548="DO",O548="MA"),S548-N548,0)</f>
        <v>0</v>
      </c>
      <c r="AC548" s="9" t="n">
        <f aca="false">IF(I548="DO",X548-S548,0)</f>
        <v>0</v>
      </c>
      <c r="AD548" s="23" t="n">
        <f aca="false">IF(B549&lt;&gt;B548,1,0)</f>
        <v>0</v>
      </c>
      <c r="AE548" s="14" t="n">
        <f aca="false">IF(I548="Opening",0,AE547+W548)</f>
        <v>2997.1</v>
      </c>
      <c r="AF548" s="14" t="n">
        <f aca="false">IF(I548="Opening",K548,AF547)</f>
        <v>0</v>
      </c>
      <c r="AG548" s="14" t="n">
        <f aca="false">AG547</f>
        <v>0</v>
      </c>
      <c r="AH548" s="14" t="n">
        <f aca="false">IF(W548=0,0,MAX(0,MIN(AE548,AF548)-MIN(AE548-W548,AF548)))</f>
        <v>0</v>
      </c>
      <c r="AI548" s="14" t="n">
        <f aca="false">IF(W548=0,0,MAX(0,MIN(AE548,AF548+AG548)-MAX(AE548-W548,AF548)))</f>
        <v>0</v>
      </c>
      <c r="AJ548" s="14" t="n">
        <f aca="false">W548-AH548-AI548</f>
        <v>0</v>
      </c>
      <c r="AK548" s="9" t="n">
        <f aca="false">IF(W548=0,0,X548*AH548/W548)</f>
        <v>0</v>
      </c>
      <c r="AL548" s="9" t="n">
        <f aca="false">IF(W548=0,0,X548*AI548/W548)</f>
        <v>0</v>
      </c>
      <c r="AM548" s="9" t="n">
        <f aca="false">X548-AK548-AL548</f>
        <v>0</v>
      </c>
    </row>
    <row r="549" customFormat="false" ht="15" hidden="false" customHeight="false" outlineLevel="0" collapsed="false">
      <c r="A549" s="6" t="n">
        <v>544</v>
      </c>
      <c r="B549" s="74" t="s">
        <v>996</v>
      </c>
      <c r="C549" s="53" t="str">
        <f aca="false">INDEX(I_Items!$C$5:$C$133,MATCH($B549,I_Items!$A$5:$A$133,0))</f>
        <v>RPA</v>
      </c>
      <c r="D549" s="53" t="str">
        <f aca="false">INDEX(I_Items!$D$5:$D$133,MATCH($B549,I_Items!$A$5:$A$133,0))</f>
        <v>Karkas</v>
      </c>
      <c r="E549" s="53" t="str">
        <f aca="false">INDEX(I_Items!$F$5:$F$133,MATCH($B549,I_Items!$A$5:$A$133,0))</f>
        <v>Fresh</v>
      </c>
      <c r="F549" s="53" t="str">
        <f aca="false">IF(INDEX(I_Items!$E$5:$E$133,MATCH($B549,I_Items!$A$5:$A$133,0))="","",INDEX(I_Items!$E$5:$E$133,MATCH($B549,I_Items!$A$5:$A$133,0)))</f>
        <v>Uk 1.5</v>
      </c>
      <c r="G549" s="76" t="n">
        <v>46255</v>
      </c>
      <c r="H549" s="23" t="n">
        <f aca="false">MONTH(G549)</f>
        <v>8</v>
      </c>
      <c r="I549" s="74" t="s">
        <v>2075</v>
      </c>
      <c r="J549" s="74" t="s">
        <v>2153</v>
      </c>
      <c r="K549" s="10" t="n">
        <v>0</v>
      </c>
      <c r="L549" s="8" t="n">
        <v>0</v>
      </c>
      <c r="M549" s="10" t="n">
        <v>839</v>
      </c>
      <c r="N549" s="8" t="n">
        <v>31885776.34</v>
      </c>
      <c r="O549" s="74" t="s">
        <v>2077</v>
      </c>
      <c r="P549" s="74"/>
      <c r="Q549" s="74"/>
      <c r="R549" s="14" t="n">
        <f aca="false">IF(I549="Unbilled",0,M549)</f>
        <v>839</v>
      </c>
      <c r="S549" s="9" t="n">
        <f aca="false">IF(R549=0,0,IF(O549="Booked",N549,R549*V548))</f>
        <v>31885776.0759007</v>
      </c>
      <c r="T549" s="14" t="n">
        <f aca="false">IF(I549="Opening",K549,T548+K549-R549)</f>
        <v>1297.5</v>
      </c>
      <c r="U549" s="9" t="n">
        <f aca="false">IF(I549="Opening",L549,U548+L549-S549)</f>
        <v>49310839.6406212</v>
      </c>
      <c r="V549" s="9" t="n">
        <f aca="false">IF(T549&gt;0,U549/T549,IF(I549="Opening",0,V548))</f>
        <v>38004.5006864133</v>
      </c>
      <c r="W549" s="14" t="n">
        <f aca="false">M549</f>
        <v>839</v>
      </c>
      <c r="X549" s="9" t="n">
        <f aca="false">IF(W549=0,0,IF(O549="Booked",N549,W549*AA548))</f>
        <v>31804055.7129159</v>
      </c>
      <c r="Y549" s="14" t="n">
        <f aca="false">IF(I549="Opening",K549,Y548+K549-W549)</f>
        <v>490.3</v>
      </c>
      <c r="Z549" s="9" t="n">
        <f aca="false">IF(I549="Opening",L549,Z548+L549-X549)</f>
        <v>18585850.4362845</v>
      </c>
      <c r="AA549" s="9" t="n">
        <f aca="false">IF(Y549&gt;0,Z549/Y549,IF(I549="Opening",0,AA548))</f>
        <v>37907.0985851202</v>
      </c>
      <c r="AB549" s="9" t="n">
        <f aca="false">IF(AND(I549="DO",O549="MA"),S549-N549,0)</f>
        <v>-0.264099270105362</v>
      </c>
      <c r="AC549" s="9" t="n">
        <f aca="false">IF(I549="DO",X549-S549,0)</f>
        <v>-81720.362984851</v>
      </c>
      <c r="AD549" s="23" t="n">
        <f aca="false">IF(B550&lt;&gt;B549,1,0)</f>
        <v>0</v>
      </c>
      <c r="AE549" s="14" t="n">
        <f aca="false">IF(I549="Opening",0,AE548+W549)</f>
        <v>3836.1</v>
      </c>
      <c r="AF549" s="14" t="n">
        <f aca="false">IF(I549="Opening",K549,AF548)</f>
        <v>0</v>
      </c>
      <c r="AG549" s="14" t="n">
        <f aca="false">AG548</f>
        <v>0</v>
      </c>
      <c r="AH549" s="14" t="n">
        <f aca="false">IF(W549=0,0,MAX(0,MIN(AE549,AF549)-MIN(AE549-W549,AF549)))</f>
        <v>0</v>
      </c>
      <c r="AI549" s="14" t="n">
        <f aca="false">IF(W549=0,0,MAX(0,MIN(AE549,AF549+AG549)-MAX(AE549-W549,AF549)))</f>
        <v>0</v>
      </c>
      <c r="AJ549" s="14" t="n">
        <f aca="false">W549-AH549-AI549</f>
        <v>839</v>
      </c>
      <c r="AK549" s="9" t="n">
        <f aca="false">IF(W549=0,0,X549*AH549/W549)</f>
        <v>0</v>
      </c>
      <c r="AL549" s="9" t="n">
        <f aca="false">IF(W549=0,0,X549*AI549/W549)</f>
        <v>0</v>
      </c>
      <c r="AM549" s="9" t="n">
        <f aca="false">X549-AK549-AL549</f>
        <v>31804055.7129159</v>
      </c>
    </row>
    <row r="550" customFormat="false" ht="15" hidden="false" customHeight="false" outlineLevel="0" collapsed="false">
      <c r="A550" s="6" t="n">
        <v>545</v>
      </c>
      <c r="B550" s="74" t="s">
        <v>996</v>
      </c>
      <c r="C550" s="53" t="str">
        <f aca="false">INDEX(I_Items!$C$5:$C$133,MATCH($B550,I_Items!$A$5:$A$133,0))</f>
        <v>RPA</v>
      </c>
      <c r="D550" s="53" t="str">
        <f aca="false">INDEX(I_Items!$D$5:$D$133,MATCH($B550,I_Items!$A$5:$A$133,0))</f>
        <v>Karkas</v>
      </c>
      <c r="E550" s="53" t="str">
        <f aca="false">INDEX(I_Items!$F$5:$F$133,MATCH($B550,I_Items!$A$5:$A$133,0))</f>
        <v>Fresh</v>
      </c>
      <c r="F550" s="53" t="str">
        <f aca="false">IF(INDEX(I_Items!$E$5:$E$133,MATCH($B550,I_Items!$A$5:$A$133,0))="","",INDEX(I_Items!$E$5:$E$133,MATCH($B550,I_Items!$A$5:$A$133,0)))</f>
        <v>Uk 1.5</v>
      </c>
      <c r="G550" s="76" t="n">
        <v>46259</v>
      </c>
      <c r="H550" s="23" t="n">
        <f aca="false">MONTH(G550)</f>
        <v>8</v>
      </c>
      <c r="I550" s="74" t="s">
        <v>2074</v>
      </c>
      <c r="J550" s="74" t="s">
        <v>1314</v>
      </c>
      <c r="K550" s="10" t="n">
        <v>811.5</v>
      </c>
      <c r="L550" s="8" t="n">
        <v>29927789.96</v>
      </c>
      <c r="M550" s="10" t="n">
        <v>0</v>
      </c>
      <c r="N550" s="8" t="n">
        <v>0</v>
      </c>
      <c r="O550" s="74"/>
      <c r="P550" s="74"/>
      <c r="Q550" s="74"/>
      <c r="R550" s="14" t="n">
        <f aca="false">IF(I550="Unbilled",0,M550)</f>
        <v>0</v>
      </c>
      <c r="S550" s="9" t="n">
        <f aca="false">IF(R550=0,0,IF(O550="Booked",N550,R550*V549))</f>
        <v>0</v>
      </c>
      <c r="T550" s="14" t="n">
        <f aca="false">IF(I550="Opening",K550,T549+K550-R550)</f>
        <v>2109</v>
      </c>
      <c r="U550" s="9" t="n">
        <f aca="false">IF(I550="Opening",L550,U549+L550-S550)</f>
        <v>79238629.6006212</v>
      </c>
      <c r="V550" s="9" t="n">
        <f aca="false">IF(T550&gt;0,U550/T550,IF(I550="Opening",0,V549))</f>
        <v>37571.6593649223</v>
      </c>
      <c r="W550" s="14" t="n">
        <f aca="false">M550</f>
        <v>0</v>
      </c>
      <c r="X550" s="9" t="n">
        <f aca="false">IF(W550=0,0,IF(O550="Booked",N550,W550*AA549))</f>
        <v>0</v>
      </c>
      <c r="Y550" s="14" t="n">
        <f aca="false">IF(I550="Opening",K550,Y549+K550-W550)</f>
        <v>1301.8</v>
      </c>
      <c r="Z550" s="9" t="n">
        <f aca="false">IF(I550="Opening",L550,Z549+L550-X550)</f>
        <v>48513640.3962845</v>
      </c>
      <c r="AA550" s="9" t="n">
        <f aca="false">IF(Y550&gt;0,Z550/Y550,IF(I550="Opening",0,AA549))</f>
        <v>37266.5850332497</v>
      </c>
      <c r="AB550" s="9" t="n">
        <f aca="false">IF(AND(I550="DO",O550="MA"),S550-N550,0)</f>
        <v>0</v>
      </c>
      <c r="AC550" s="9" t="n">
        <f aca="false">IF(I550="DO",X550-S550,0)</f>
        <v>0</v>
      </c>
      <c r="AD550" s="23" t="n">
        <f aca="false">IF(B551&lt;&gt;B550,1,0)</f>
        <v>0</v>
      </c>
      <c r="AE550" s="14" t="n">
        <f aca="false">IF(I550="Opening",0,AE549+W550)</f>
        <v>3836.1</v>
      </c>
      <c r="AF550" s="14" t="n">
        <f aca="false">IF(I550="Opening",K550,AF549)</f>
        <v>0</v>
      </c>
      <c r="AG550" s="14" t="n">
        <f aca="false">AG549</f>
        <v>0</v>
      </c>
      <c r="AH550" s="14" t="n">
        <f aca="false">IF(W550=0,0,MAX(0,MIN(AE550,AF550)-MIN(AE550-W550,AF550)))</f>
        <v>0</v>
      </c>
      <c r="AI550" s="14" t="n">
        <f aca="false">IF(W550=0,0,MAX(0,MIN(AE550,AF550+AG550)-MAX(AE550-W550,AF550)))</f>
        <v>0</v>
      </c>
      <c r="AJ550" s="14" t="n">
        <f aca="false">W550-AH550-AI550</f>
        <v>0</v>
      </c>
      <c r="AK550" s="9" t="n">
        <f aca="false">IF(W550=0,0,X550*AH550/W550)</f>
        <v>0</v>
      </c>
      <c r="AL550" s="9" t="n">
        <f aca="false">IF(W550=0,0,X550*AI550/W550)</f>
        <v>0</v>
      </c>
      <c r="AM550" s="9" t="n">
        <f aca="false">X550-AK550-AL550</f>
        <v>0</v>
      </c>
    </row>
    <row r="551" customFormat="false" ht="15" hidden="false" customHeight="false" outlineLevel="0" collapsed="false">
      <c r="A551" s="6" t="n">
        <v>546</v>
      </c>
      <c r="B551" s="74" t="s">
        <v>996</v>
      </c>
      <c r="C551" s="53" t="str">
        <f aca="false">INDEX(I_Items!$C$5:$C$133,MATCH($B551,I_Items!$A$5:$A$133,0))</f>
        <v>RPA</v>
      </c>
      <c r="D551" s="53" t="str">
        <f aca="false">INDEX(I_Items!$D$5:$D$133,MATCH($B551,I_Items!$A$5:$A$133,0))</f>
        <v>Karkas</v>
      </c>
      <c r="E551" s="53" t="str">
        <f aca="false">INDEX(I_Items!$F$5:$F$133,MATCH($B551,I_Items!$A$5:$A$133,0))</f>
        <v>Fresh</v>
      </c>
      <c r="F551" s="53" t="str">
        <f aca="false">IF(INDEX(I_Items!$E$5:$E$133,MATCH($B551,I_Items!$A$5:$A$133,0))="","",INDEX(I_Items!$E$5:$E$133,MATCH($B551,I_Items!$A$5:$A$133,0)))</f>
        <v>Uk 1.5</v>
      </c>
      <c r="G551" s="76" t="n">
        <v>46260</v>
      </c>
      <c r="H551" s="23" t="n">
        <f aca="false">MONTH(G551)</f>
        <v>8</v>
      </c>
      <c r="I551" s="74" t="s">
        <v>2074</v>
      </c>
      <c r="J551" s="74" t="s">
        <v>1317</v>
      </c>
      <c r="K551" s="10" t="n">
        <v>628.8</v>
      </c>
      <c r="L551" s="8" t="n">
        <v>23686515.39</v>
      </c>
      <c r="M551" s="10" t="n">
        <v>0</v>
      </c>
      <c r="N551" s="8" t="n">
        <v>0</v>
      </c>
      <c r="O551" s="74"/>
      <c r="P551" s="74"/>
      <c r="Q551" s="74"/>
      <c r="R551" s="14" t="n">
        <f aca="false">IF(I551="Unbilled",0,M551)</f>
        <v>0</v>
      </c>
      <c r="S551" s="9" t="n">
        <f aca="false">IF(R551=0,0,IF(O551="Booked",N551,R551*V550))</f>
        <v>0</v>
      </c>
      <c r="T551" s="14" t="n">
        <f aca="false">IF(I551="Opening",K551,T550+K551-R551)</f>
        <v>2737.8</v>
      </c>
      <c r="U551" s="9" t="n">
        <f aca="false">IF(I551="Opening",L551,U550+L551-S551)</f>
        <v>102925144.990621</v>
      </c>
      <c r="V551" s="9" t="n">
        <f aca="false">IF(T551&gt;0,U551/T551,IF(I551="Opening",0,V550))</f>
        <v>37594.1065785014</v>
      </c>
      <c r="W551" s="14" t="n">
        <f aca="false">M551</f>
        <v>0</v>
      </c>
      <c r="X551" s="9" t="n">
        <f aca="false">IF(W551=0,0,IF(O551="Booked",N551,W551*AA550))</f>
        <v>0</v>
      </c>
      <c r="Y551" s="14" t="n">
        <f aca="false">IF(I551="Opening",K551,Y550+K551-W551)</f>
        <v>1930.6</v>
      </c>
      <c r="Z551" s="9" t="n">
        <f aca="false">IF(I551="Opening",L551,Z550+L551-X551)</f>
        <v>72200155.7862845</v>
      </c>
      <c r="AA551" s="9" t="n">
        <f aca="false">IF(Y551&gt;0,Z551/Y551,IF(I551="Opening",0,AA550))</f>
        <v>37397.7808900261</v>
      </c>
      <c r="AB551" s="9" t="n">
        <f aca="false">IF(AND(I551="DO",O551="MA"),S551-N551,0)</f>
        <v>0</v>
      </c>
      <c r="AC551" s="9" t="n">
        <f aca="false">IF(I551="DO",X551-S551,0)</f>
        <v>0</v>
      </c>
      <c r="AD551" s="23" t="n">
        <f aca="false">IF(B552&lt;&gt;B551,1,0)</f>
        <v>0</v>
      </c>
      <c r="AE551" s="14" t="n">
        <f aca="false">IF(I551="Opening",0,AE550+W551)</f>
        <v>3836.1</v>
      </c>
      <c r="AF551" s="14" t="n">
        <f aca="false">IF(I551="Opening",K551,AF550)</f>
        <v>0</v>
      </c>
      <c r="AG551" s="14" t="n">
        <f aca="false">AG550</f>
        <v>0</v>
      </c>
      <c r="AH551" s="14" t="n">
        <f aca="false">IF(W551=0,0,MAX(0,MIN(AE551,AF551)-MIN(AE551-W551,AF551)))</f>
        <v>0</v>
      </c>
      <c r="AI551" s="14" t="n">
        <f aca="false">IF(W551=0,0,MAX(0,MIN(AE551,AF551+AG551)-MAX(AE551-W551,AF551)))</f>
        <v>0</v>
      </c>
      <c r="AJ551" s="14" t="n">
        <f aca="false">W551-AH551-AI551</f>
        <v>0</v>
      </c>
      <c r="AK551" s="9" t="n">
        <f aca="false">IF(W551=0,0,X551*AH551/W551)</f>
        <v>0</v>
      </c>
      <c r="AL551" s="9" t="n">
        <f aca="false">IF(W551=0,0,X551*AI551/W551)</f>
        <v>0</v>
      </c>
      <c r="AM551" s="9" t="n">
        <f aca="false">X551-AK551-AL551</f>
        <v>0</v>
      </c>
    </row>
    <row r="552" customFormat="false" ht="15" hidden="false" customHeight="false" outlineLevel="0" collapsed="false">
      <c r="A552" s="6" t="n">
        <v>547</v>
      </c>
      <c r="B552" s="74" t="s">
        <v>996</v>
      </c>
      <c r="C552" s="53" t="str">
        <f aca="false">INDEX(I_Items!$C$5:$C$133,MATCH($B552,I_Items!$A$5:$A$133,0))</f>
        <v>RPA</v>
      </c>
      <c r="D552" s="53" t="str">
        <f aca="false">INDEX(I_Items!$D$5:$D$133,MATCH($B552,I_Items!$A$5:$A$133,0))</f>
        <v>Karkas</v>
      </c>
      <c r="E552" s="53" t="str">
        <f aca="false">INDEX(I_Items!$F$5:$F$133,MATCH($B552,I_Items!$A$5:$A$133,0))</f>
        <v>Fresh</v>
      </c>
      <c r="F552" s="53" t="str">
        <f aca="false">IF(INDEX(I_Items!$E$5:$E$133,MATCH($B552,I_Items!$A$5:$A$133,0))="","",INDEX(I_Items!$E$5:$E$133,MATCH($B552,I_Items!$A$5:$A$133,0)))</f>
        <v>Uk 1.5</v>
      </c>
      <c r="G552" s="76" t="n">
        <v>46260</v>
      </c>
      <c r="H552" s="23" t="n">
        <f aca="false">MONTH(G552)</f>
        <v>8</v>
      </c>
      <c r="I552" s="74" t="s">
        <v>2075</v>
      </c>
      <c r="J552" s="74" t="s">
        <v>2154</v>
      </c>
      <c r="K552" s="10" t="n">
        <v>0</v>
      </c>
      <c r="L552" s="8" t="n">
        <v>0</v>
      </c>
      <c r="M552" s="10" t="n">
        <v>420</v>
      </c>
      <c r="N552" s="8" t="n">
        <v>15789524.81</v>
      </c>
      <c r="O552" s="74" t="s">
        <v>2077</v>
      </c>
      <c r="P552" s="74"/>
      <c r="Q552" s="74"/>
      <c r="R552" s="14" t="n">
        <f aca="false">IF(I552="Unbilled",0,M552)</f>
        <v>420</v>
      </c>
      <c r="S552" s="9" t="n">
        <f aca="false">IF(R552=0,0,IF(O552="Booked",N552,R552*V551))</f>
        <v>15789524.7629706</v>
      </c>
      <c r="T552" s="14" t="n">
        <f aca="false">IF(I552="Opening",K552,T551+K552-R552)</f>
        <v>2317.8</v>
      </c>
      <c r="U552" s="9" t="n">
        <f aca="false">IF(I552="Opening",L552,U551+L552-S552)</f>
        <v>87135620.2276506</v>
      </c>
      <c r="V552" s="9" t="n">
        <f aca="false">IF(T552&gt;0,U552/T552,IF(I552="Opening",0,V551))</f>
        <v>37594.1065785014</v>
      </c>
      <c r="W552" s="14" t="n">
        <f aca="false">M552</f>
        <v>420</v>
      </c>
      <c r="X552" s="9" t="n">
        <f aca="false">IF(W552=0,0,IF(O552="Booked",N552,W552*AA551))</f>
        <v>15707067.973811</v>
      </c>
      <c r="Y552" s="14" t="n">
        <f aca="false">IF(I552="Opening",K552,Y551+K552-W552)</f>
        <v>1510.6</v>
      </c>
      <c r="Z552" s="9" t="n">
        <f aca="false">IF(I552="Opening",L552,Z551+L552-X552)</f>
        <v>56493087.8124735</v>
      </c>
      <c r="AA552" s="9" t="n">
        <f aca="false">IF(Y552&gt;0,Z552/Y552,IF(I552="Opening",0,AA551))</f>
        <v>37397.7808900261</v>
      </c>
      <c r="AB552" s="9" t="n">
        <f aca="false">IF(AND(I552="DO",O552="MA"),S552-N552,0)</f>
        <v>-0.0470294002443552</v>
      </c>
      <c r="AC552" s="9" t="n">
        <f aca="false">IF(I552="DO",X552-S552,0)</f>
        <v>-82456.789159622</v>
      </c>
      <c r="AD552" s="23" t="n">
        <f aca="false">IF(B553&lt;&gt;B552,1,0)</f>
        <v>0</v>
      </c>
      <c r="AE552" s="14" t="n">
        <f aca="false">IF(I552="Opening",0,AE551+W552)</f>
        <v>4256.1</v>
      </c>
      <c r="AF552" s="14" t="n">
        <f aca="false">IF(I552="Opening",K552,AF551)</f>
        <v>0</v>
      </c>
      <c r="AG552" s="14" t="n">
        <f aca="false">AG551</f>
        <v>0</v>
      </c>
      <c r="AH552" s="14" t="n">
        <f aca="false">IF(W552=0,0,MAX(0,MIN(AE552,AF552)-MIN(AE552-W552,AF552)))</f>
        <v>0</v>
      </c>
      <c r="AI552" s="14" t="n">
        <f aca="false">IF(W552=0,0,MAX(0,MIN(AE552,AF552+AG552)-MAX(AE552-W552,AF552)))</f>
        <v>0</v>
      </c>
      <c r="AJ552" s="14" t="n">
        <f aca="false">W552-AH552-AI552</f>
        <v>420</v>
      </c>
      <c r="AK552" s="9" t="n">
        <f aca="false">IF(W552=0,0,X552*AH552/W552)</f>
        <v>0</v>
      </c>
      <c r="AL552" s="9" t="n">
        <f aca="false">IF(W552=0,0,X552*AI552/W552)</f>
        <v>0</v>
      </c>
      <c r="AM552" s="9" t="n">
        <f aca="false">X552-AK552-AL552</f>
        <v>15707067.973811</v>
      </c>
    </row>
    <row r="553" customFormat="false" ht="15" hidden="false" customHeight="false" outlineLevel="0" collapsed="false">
      <c r="A553" s="6" t="n">
        <v>548</v>
      </c>
      <c r="B553" s="74" t="s">
        <v>996</v>
      </c>
      <c r="C553" s="53" t="str">
        <f aca="false">INDEX(I_Items!$C$5:$C$133,MATCH($B553,I_Items!$A$5:$A$133,0))</f>
        <v>RPA</v>
      </c>
      <c r="D553" s="53" t="str">
        <f aca="false">INDEX(I_Items!$D$5:$D$133,MATCH($B553,I_Items!$A$5:$A$133,0))</f>
        <v>Karkas</v>
      </c>
      <c r="E553" s="53" t="str">
        <f aca="false">INDEX(I_Items!$F$5:$F$133,MATCH($B553,I_Items!$A$5:$A$133,0))</f>
        <v>Fresh</v>
      </c>
      <c r="F553" s="53" t="str">
        <f aca="false">IF(INDEX(I_Items!$E$5:$E$133,MATCH($B553,I_Items!$A$5:$A$133,0))="","",INDEX(I_Items!$E$5:$E$133,MATCH($B553,I_Items!$A$5:$A$133,0)))</f>
        <v>Uk 1.5</v>
      </c>
      <c r="G553" s="76" t="n">
        <v>46261</v>
      </c>
      <c r="H553" s="23" t="n">
        <f aca="false">MONTH(G553)</f>
        <v>8</v>
      </c>
      <c r="I553" s="74" t="s">
        <v>2074</v>
      </c>
      <c r="J553" s="74" t="s">
        <v>1320</v>
      </c>
      <c r="K553" s="10" t="n">
        <v>471.7</v>
      </c>
      <c r="L553" s="8" t="n">
        <v>17539854.78</v>
      </c>
      <c r="M553" s="10" t="n">
        <v>0</v>
      </c>
      <c r="N553" s="8" t="n">
        <v>0</v>
      </c>
      <c r="O553" s="74"/>
      <c r="P553" s="74"/>
      <c r="Q553" s="74"/>
      <c r="R553" s="14" t="n">
        <f aca="false">IF(I553="Unbilled",0,M553)</f>
        <v>0</v>
      </c>
      <c r="S553" s="9" t="n">
        <f aca="false">IF(R553=0,0,IF(O553="Booked",N553,R553*V552))</f>
        <v>0</v>
      </c>
      <c r="T553" s="14" t="n">
        <f aca="false">IF(I553="Opening",K553,T552+K553-R553)</f>
        <v>2789.5</v>
      </c>
      <c r="U553" s="9" t="n">
        <f aca="false">IF(I553="Opening",L553,U552+L553-S553)</f>
        <v>104675475.007651</v>
      </c>
      <c r="V553" s="9" t="n">
        <f aca="false">IF(T553&gt;0,U553/T553,IF(I553="Opening",0,V552))</f>
        <v>37524.8162780608</v>
      </c>
      <c r="W553" s="14" t="n">
        <f aca="false">M553</f>
        <v>0</v>
      </c>
      <c r="X553" s="9" t="n">
        <f aca="false">IF(W553=0,0,IF(O553="Booked",N553,W553*AA552))</f>
        <v>0</v>
      </c>
      <c r="Y553" s="14" t="n">
        <f aca="false">IF(I553="Opening",K553,Y552+K553-W553)</f>
        <v>1982.3</v>
      </c>
      <c r="Z553" s="9" t="n">
        <f aca="false">IF(I553="Opening",L553,Z552+L553-X553)</f>
        <v>74032942.5924735</v>
      </c>
      <c r="AA553" s="9" t="n">
        <f aca="false">IF(Y553&gt;0,Z553/Y553,IF(I553="Opening",0,AA552))</f>
        <v>37346.9921770032</v>
      </c>
      <c r="AB553" s="9" t="n">
        <f aca="false">IF(AND(I553="DO",O553="MA"),S553-N553,0)</f>
        <v>0</v>
      </c>
      <c r="AC553" s="9" t="n">
        <f aca="false">IF(I553="DO",X553-S553,0)</f>
        <v>0</v>
      </c>
      <c r="AD553" s="23" t="n">
        <f aca="false">IF(B554&lt;&gt;B553,1,0)</f>
        <v>0</v>
      </c>
      <c r="AE553" s="14" t="n">
        <f aca="false">IF(I553="Opening",0,AE552+W553)</f>
        <v>4256.1</v>
      </c>
      <c r="AF553" s="14" t="n">
        <f aca="false">IF(I553="Opening",K553,AF552)</f>
        <v>0</v>
      </c>
      <c r="AG553" s="14" t="n">
        <f aca="false">AG552</f>
        <v>0</v>
      </c>
      <c r="AH553" s="14" t="n">
        <f aca="false">IF(W553=0,0,MAX(0,MIN(AE553,AF553)-MIN(AE553-W553,AF553)))</f>
        <v>0</v>
      </c>
      <c r="AI553" s="14" t="n">
        <f aca="false">IF(W553=0,0,MAX(0,MIN(AE553,AF553+AG553)-MAX(AE553-W553,AF553)))</f>
        <v>0</v>
      </c>
      <c r="AJ553" s="14" t="n">
        <f aca="false">W553-AH553-AI553</f>
        <v>0</v>
      </c>
      <c r="AK553" s="9" t="n">
        <f aca="false">IF(W553=0,0,X553*AH553/W553)</f>
        <v>0</v>
      </c>
      <c r="AL553" s="9" t="n">
        <f aca="false">IF(W553=0,0,X553*AI553/W553)</f>
        <v>0</v>
      </c>
      <c r="AM553" s="9" t="n">
        <f aca="false">X553-AK553-AL553</f>
        <v>0</v>
      </c>
    </row>
    <row r="554" customFormat="false" ht="15" hidden="false" customHeight="false" outlineLevel="0" collapsed="false">
      <c r="A554" s="6" t="n">
        <v>549</v>
      </c>
      <c r="B554" s="74" t="s">
        <v>996</v>
      </c>
      <c r="C554" s="53" t="str">
        <f aca="false">INDEX(I_Items!$C$5:$C$133,MATCH($B554,I_Items!$A$5:$A$133,0))</f>
        <v>RPA</v>
      </c>
      <c r="D554" s="53" t="str">
        <f aca="false">INDEX(I_Items!$D$5:$D$133,MATCH($B554,I_Items!$A$5:$A$133,0))</f>
        <v>Karkas</v>
      </c>
      <c r="E554" s="53" t="str">
        <f aca="false">INDEX(I_Items!$F$5:$F$133,MATCH($B554,I_Items!$A$5:$A$133,0))</f>
        <v>Fresh</v>
      </c>
      <c r="F554" s="53" t="str">
        <f aca="false">IF(INDEX(I_Items!$E$5:$E$133,MATCH($B554,I_Items!$A$5:$A$133,0))="","",INDEX(I_Items!$E$5:$E$133,MATCH($B554,I_Items!$A$5:$A$133,0)))</f>
        <v>Uk 1.5</v>
      </c>
      <c r="G554" s="76" t="n">
        <v>46261</v>
      </c>
      <c r="H554" s="23" t="n">
        <f aca="false">MONTH(G554)</f>
        <v>8</v>
      </c>
      <c r="I554" s="74" t="s">
        <v>2075</v>
      </c>
      <c r="J554" s="74" t="s">
        <v>2155</v>
      </c>
      <c r="K554" s="10" t="n">
        <v>0</v>
      </c>
      <c r="L554" s="8" t="n">
        <v>0</v>
      </c>
      <c r="M554" s="10" t="n">
        <v>628.8</v>
      </c>
      <c r="N554" s="8" t="n">
        <v>23595604.55</v>
      </c>
      <c r="O554" s="74" t="s">
        <v>2077</v>
      </c>
      <c r="P554" s="74"/>
      <c r="Q554" s="74"/>
      <c r="R554" s="14" t="n">
        <f aca="false">IF(I554="Unbilled",0,M554)</f>
        <v>628.8</v>
      </c>
      <c r="S554" s="9" t="n">
        <f aca="false">IF(R554=0,0,IF(O554="Booked",N554,R554*V553))</f>
        <v>23595604.4756446</v>
      </c>
      <c r="T554" s="14" t="n">
        <f aca="false">IF(I554="Opening",K554,T553+K554-R554)</f>
        <v>2160.7</v>
      </c>
      <c r="U554" s="9" t="n">
        <f aca="false">IF(I554="Opening",L554,U553+L554-S554)</f>
        <v>81079870.532006</v>
      </c>
      <c r="V554" s="9" t="n">
        <f aca="false">IF(T554&gt;0,U554/T554,IF(I554="Opening",0,V553))</f>
        <v>37524.8162780608</v>
      </c>
      <c r="W554" s="14" t="n">
        <f aca="false">M554</f>
        <v>628.8</v>
      </c>
      <c r="X554" s="9" t="n">
        <f aca="false">IF(W554=0,0,IF(O554="Booked",N554,W554*AA553))</f>
        <v>23483788.6808996</v>
      </c>
      <c r="Y554" s="14" t="n">
        <f aca="false">IF(I554="Opening",K554,Y553+K554-W554)</f>
        <v>1353.5</v>
      </c>
      <c r="Z554" s="9" t="n">
        <f aca="false">IF(I554="Opening",L554,Z553+L554-X554)</f>
        <v>50549153.9115739</v>
      </c>
      <c r="AA554" s="9" t="n">
        <f aca="false">IF(Y554&gt;0,Z554/Y554,IF(I554="Opening",0,AA553))</f>
        <v>37346.9921770032</v>
      </c>
      <c r="AB554" s="9" t="n">
        <f aca="false">IF(AND(I554="DO",O554="MA"),S554-N554,0)</f>
        <v>-0.0743553638458252</v>
      </c>
      <c r="AC554" s="9" t="n">
        <f aca="false">IF(I554="DO",X554-S554,0)</f>
        <v>-111815.794745017</v>
      </c>
      <c r="AD554" s="23" t="n">
        <f aca="false">IF(B555&lt;&gt;B554,1,0)</f>
        <v>0</v>
      </c>
      <c r="AE554" s="14" t="n">
        <f aca="false">IF(I554="Opening",0,AE553+W554)</f>
        <v>4884.9</v>
      </c>
      <c r="AF554" s="14" t="n">
        <f aca="false">IF(I554="Opening",K554,AF553)</f>
        <v>0</v>
      </c>
      <c r="AG554" s="14" t="n">
        <f aca="false">AG553</f>
        <v>0</v>
      </c>
      <c r="AH554" s="14" t="n">
        <f aca="false">IF(W554=0,0,MAX(0,MIN(AE554,AF554)-MIN(AE554-W554,AF554)))</f>
        <v>0</v>
      </c>
      <c r="AI554" s="14" t="n">
        <f aca="false">IF(W554=0,0,MAX(0,MIN(AE554,AF554+AG554)-MAX(AE554-W554,AF554)))</f>
        <v>0</v>
      </c>
      <c r="AJ554" s="14" t="n">
        <f aca="false">W554-AH554-AI554</f>
        <v>628.8</v>
      </c>
      <c r="AK554" s="9" t="n">
        <f aca="false">IF(W554=0,0,X554*AH554/W554)</f>
        <v>0</v>
      </c>
      <c r="AL554" s="9" t="n">
        <f aca="false">IF(W554=0,0,X554*AI554/W554)</f>
        <v>0</v>
      </c>
      <c r="AM554" s="9" t="n">
        <f aca="false">X554-AK554-AL554</f>
        <v>23483788.6808996</v>
      </c>
    </row>
    <row r="555" customFormat="false" ht="15" hidden="false" customHeight="false" outlineLevel="0" collapsed="false">
      <c r="A555" s="6" t="n">
        <v>550</v>
      </c>
      <c r="B555" s="74" t="s">
        <v>996</v>
      </c>
      <c r="C555" s="53" t="str">
        <f aca="false">INDEX(I_Items!$C$5:$C$133,MATCH($B555,I_Items!$A$5:$A$133,0))</f>
        <v>RPA</v>
      </c>
      <c r="D555" s="53" t="str">
        <f aca="false">INDEX(I_Items!$D$5:$D$133,MATCH($B555,I_Items!$A$5:$A$133,0))</f>
        <v>Karkas</v>
      </c>
      <c r="E555" s="53" t="str">
        <f aca="false">INDEX(I_Items!$F$5:$F$133,MATCH($B555,I_Items!$A$5:$A$133,0))</f>
        <v>Fresh</v>
      </c>
      <c r="F555" s="53" t="str">
        <f aca="false">IF(INDEX(I_Items!$E$5:$E$133,MATCH($B555,I_Items!$A$5:$A$133,0))="","",INDEX(I_Items!$E$5:$E$133,MATCH($B555,I_Items!$A$5:$A$133,0)))</f>
        <v>Uk 1.5</v>
      </c>
      <c r="G555" s="76" t="n">
        <v>46262</v>
      </c>
      <c r="H555" s="23" t="n">
        <f aca="false">MONTH(G555)</f>
        <v>8</v>
      </c>
      <c r="I555" s="74" t="s">
        <v>2075</v>
      </c>
      <c r="J555" s="74" t="s">
        <v>2161</v>
      </c>
      <c r="K555" s="10" t="n">
        <v>0</v>
      </c>
      <c r="L555" s="8" t="n">
        <v>0</v>
      </c>
      <c r="M555" s="10" t="n">
        <v>265.9</v>
      </c>
      <c r="N555" s="8" t="n">
        <v>9977848.68</v>
      </c>
      <c r="O555" s="74" t="s">
        <v>2077</v>
      </c>
      <c r="P555" s="74"/>
      <c r="Q555" s="74"/>
      <c r="R555" s="14" t="n">
        <f aca="false">IF(I555="Unbilled",0,M555)</f>
        <v>265.9</v>
      </c>
      <c r="S555" s="9" t="n">
        <f aca="false">IF(R555=0,0,IF(O555="Booked",N555,R555*V554))</f>
        <v>9977848.64833637</v>
      </c>
      <c r="T555" s="14" t="n">
        <f aca="false">IF(I555="Opening",K555,T554+K555-R555)</f>
        <v>1894.8</v>
      </c>
      <c r="U555" s="9" t="n">
        <f aca="false">IF(I555="Opening",L555,U554+L555-S555)</f>
        <v>71102021.8836696</v>
      </c>
      <c r="V555" s="9" t="n">
        <f aca="false">IF(T555&gt;0,U555/T555,IF(I555="Opening",0,V554))</f>
        <v>37524.8162780608</v>
      </c>
      <c r="W555" s="14" t="n">
        <f aca="false">M555</f>
        <v>265.9</v>
      </c>
      <c r="X555" s="9" t="n">
        <f aca="false">IF(W555=0,0,IF(O555="Booked",N555,W555*AA554))</f>
        <v>9930565.21986515</v>
      </c>
      <c r="Y555" s="14" t="n">
        <f aca="false">IF(I555="Opening",K555,Y554+K555-W555)</f>
        <v>1087.6</v>
      </c>
      <c r="Z555" s="9" t="n">
        <f aca="false">IF(I555="Opening",L555,Z554+L555-X555)</f>
        <v>40618588.6917087</v>
      </c>
      <c r="AA555" s="9" t="n">
        <f aca="false">IF(Y555&gt;0,Z555/Y555,IF(I555="Opening",0,AA554))</f>
        <v>37346.9921770032</v>
      </c>
      <c r="AB555" s="9" t="n">
        <f aca="false">IF(AND(I555="DO",O555="MA"),S555-N555,0)</f>
        <v>-0.031663628295064</v>
      </c>
      <c r="AC555" s="9" t="n">
        <f aca="false">IF(I555="DO",X555-S555,0)</f>
        <v>-47283.4284712169</v>
      </c>
      <c r="AD555" s="23" t="n">
        <f aca="false">IF(B556&lt;&gt;B555,1,0)</f>
        <v>0</v>
      </c>
      <c r="AE555" s="14" t="n">
        <f aca="false">IF(I555="Opening",0,AE554+W555)</f>
        <v>5150.8</v>
      </c>
      <c r="AF555" s="14" t="n">
        <f aca="false">IF(I555="Opening",K555,AF554)</f>
        <v>0</v>
      </c>
      <c r="AG555" s="14" t="n">
        <f aca="false">AG554</f>
        <v>0</v>
      </c>
      <c r="AH555" s="14" t="n">
        <f aca="false">IF(W555=0,0,MAX(0,MIN(AE555,AF555)-MIN(AE555-W555,AF555)))</f>
        <v>0</v>
      </c>
      <c r="AI555" s="14" t="n">
        <f aca="false">IF(W555=0,0,MAX(0,MIN(AE555,AF555+AG555)-MAX(AE555-W555,AF555)))</f>
        <v>0</v>
      </c>
      <c r="AJ555" s="14" t="n">
        <f aca="false">W555-AH555-AI555</f>
        <v>265.9</v>
      </c>
      <c r="AK555" s="9" t="n">
        <f aca="false">IF(W555=0,0,X555*AH555/W555)</f>
        <v>0</v>
      </c>
      <c r="AL555" s="9" t="n">
        <f aca="false">IF(W555=0,0,X555*AI555/W555)</f>
        <v>0</v>
      </c>
      <c r="AM555" s="9" t="n">
        <f aca="false">X555-AK555-AL555</f>
        <v>9930565.21986515</v>
      </c>
    </row>
    <row r="556" customFormat="false" ht="15" hidden="false" customHeight="false" outlineLevel="0" collapsed="false">
      <c r="A556" s="6" t="n">
        <v>551</v>
      </c>
      <c r="B556" s="74" t="s">
        <v>996</v>
      </c>
      <c r="C556" s="53" t="str">
        <f aca="false">INDEX(I_Items!$C$5:$C$133,MATCH($B556,I_Items!$A$5:$A$133,0))</f>
        <v>RPA</v>
      </c>
      <c r="D556" s="53" t="str">
        <f aca="false">INDEX(I_Items!$D$5:$D$133,MATCH($B556,I_Items!$A$5:$A$133,0))</f>
        <v>Karkas</v>
      </c>
      <c r="E556" s="53" t="str">
        <f aca="false">INDEX(I_Items!$F$5:$F$133,MATCH($B556,I_Items!$A$5:$A$133,0))</f>
        <v>Fresh</v>
      </c>
      <c r="F556" s="53" t="str">
        <f aca="false">IF(INDEX(I_Items!$E$5:$E$133,MATCH($B556,I_Items!$A$5:$A$133,0))="","",INDEX(I_Items!$E$5:$E$133,MATCH($B556,I_Items!$A$5:$A$133,0)))</f>
        <v>Uk 1.5</v>
      </c>
      <c r="G556" s="76" t="n">
        <v>46263</v>
      </c>
      <c r="H556" s="23" t="n">
        <f aca="false">MONTH(G556)</f>
        <v>8</v>
      </c>
      <c r="I556" s="74" t="s">
        <v>2075</v>
      </c>
      <c r="J556" s="74" t="s">
        <v>2132</v>
      </c>
      <c r="K556" s="10" t="n">
        <v>0</v>
      </c>
      <c r="L556" s="8" t="n">
        <v>0</v>
      </c>
      <c r="M556" s="10" t="n">
        <v>59.5</v>
      </c>
      <c r="N556" s="8" t="n">
        <v>2232726.58</v>
      </c>
      <c r="O556" s="74" t="s">
        <v>2077</v>
      </c>
      <c r="P556" s="74"/>
      <c r="Q556" s="74"/>
      <c r="R556" s="14" t="n">
        <f aca="false">IF(I556="Unbilled",0,M556)</f>
        <v>59.5</v>
      </c>
      <c r="S556" s="9" t="n">
        <f aca="false">IF(R556=0,0,IF(O556="Booked",N556,R556*V555))</f>
        <v>2232726.56854462</v>
      </c>
      <c r="T556" s="14" t="n">
        <f aca="false">IF(I556="Opening",K556,T555+K556-R556)</f>
        <v>1835.3</v>
      </c>
      <c r="U556" s="9" t="n">
        <f aca="false">IF(I556="Opening",L556,U555+L556-S556)</f>
        <v>68869295.315125</v>
      </c>
      <c r="V556" s="9" t="n">
        <f aca="false">IF(T556&gt;0,U556/T556,IF(I556="Opening",0,V555))</f>
        <v>37524.8162780608</v>
      </c>
      <c r="W556" s="14" t="n">
        <f aca="false">M556</f>
        <v>59.5</v>
      </c>
      <c r="X556" s="9" t="n">
        <f aca="false">IF(W556=0,0,IF(O556="Booked",N556,W556*AA555))</f>
        <v>2222146.03453169</v>
      </c>
      <c r="Y556" s="14" t="n">
        <f aca="false">IF(I556="Opening",K556,Y555+K556-W556)</f>
        <v>1028.1</v>
      </c>
      <c r="Z556" s="9" t="n">
        <f aca="false">IF(I556="Opening",L556,Z555+L556-X556)</f>
        <v>38396442.657177</v>
      </c>
      <c r="AA556" s="9" t="n">
        <f aca="false">IF(Y556&gt;0,Z556/Y556,IF(I556="Opening",0,AA555))</f>
        <v>37346.9921770032</v>
      </c>
      <c r="AB556" s="9" t="n">
        <f aca="false">IF(AND(I556="DO",O556="MA"),S556-N556,0)</f>
        <v>-0.0114553812891245</v>
      </c>
      <c r="AC556" s="9" t="n">
        <f aca="false">IF(I556="DO",X556-S556,0)</f>
        <v>-10580.5340129281</v>
      </c>
      <c r="AD556" s="23" t="n">
        <f aca="false">IF(B557&lt;&gt;B556,1,0)</f>
        <v>1</v>
      </c>
      <c r="AE556" s="14" t="n">
        <f aca="false">IF(I556="Opening",0,AE555+W556)</f>
        <v>5210.3</v>
      </c>
      <c r="AF556" s="14" t="n">
        <f aca="false">IF(I556="Opening",K556,AF555)</f>
        <v>0</v>
      </c>
      <c r="AG556" s="14" t="n">
        <f aca="false">AG555</f>
        <v>0</v>
      </c>
      <c r="AH556" s="14" t="n">
        <f aca="false">IF(W556=0,0,MAX(0,MIN(AE556,AF556)-MIN(AE556-W556,AF556)))</f>
        <v>0</v>
      </c>
      <c r="AI556" s="14" t="n">
        <f aca="false">IF(W556=0,0,MAX(0,MIN(AE556,AF556+AG556)-MAX(AE556-W556,AF556)))</f>
        <v>0</v>
      </c>
      <c r="AJ556" s="14" t="n">
        <f aca="false">W556-AH556-AI556</f>
        <v>59.5</v>
      </c>
      <c r="AK556" s="9" t="n">
        <f aca="false">IF(W556=0,0,X556*AH556/W556)</f>
        <v>0</v>
      </c>
      <c r="AL556" s="9" t="n">
        <f aca="false">IF(W556=0,0,X556*AI556/W556)</f>
        <v>0</v>
      </c>
      <c r="AM556" s="9" t="n">
        <f aca="false">X556-AK556-AL556</f>
        <v>2222146.03453169</v>
      </c>
    </row>
    <row r="557" customFormat="false" ht="15" hidden="false" customHeight="false" outlineLevel="0" collapsed="false">
      <c r="A557" s="6" t="n">
        <v>552</v>
      </c>
      <c r="B557" s="74" t="s">
        <v>997</v>
      </c>
      <c r="C557" s="53" t="str">
        <f aca="false">INDEX(I_Items!$C$5:$C$133,MATCH($B557,I_Items!$A$5:$A$133,0))</f>
        <v>RPA</v>
      </c>
      <c r="D557" s="53" t="str">
        <f aca="false">INDEX(I_Items!$D$5:$D$133,MATCH($B557,I_Items!$A$5:$A$133,0))</f>
        <v>Karkas</v>
      </c>
      <c r="E557" s="53" t="str">
        <f aca="false">INDEX(I_Items!$F$5:$F$133,MATCH($B557,I_Items!$A$5:$A$133,0))</f>
        <v>Frozen</v>
      </c>
      <c r="F557" s="53" t="str">
        <f aca="false">IF(INDEX(I_Items!$E$5:$E$133,MATCH($B557,I_Items!$A$5:$A$133,0))="","",INDEX(I_Items!$E$5:$E$133,MATCH($B557,I_Items!$A$5:$A$133,0)))</f>
        <v>Uk 1.5</v>
      </c>
      <c r="G557" s="76" t="n">
        <v>46204</v>
      </c>
      <c r="H557" s="23" t="n">
        <f aca="false">MONTH(G557)</f>
        <v>7</v>
      </c>
      <c r="I557" s="74" t="s">
        <v>2072</v>
      </c>
      <c r="J557" s="74" t="s">
        <v>2073</v>
      </c>
      <c r="K557" s="10" t="n">
        <v>0</v>
      </c>
      <c r="L557" s="8" t="n">
        <v>-0.03</v>
      </c>
      <c r="M557" s="10" t="n">
        <v>0</v>
      </c>
      <c r="N557" s="8" t="n">
        <v>0</v>
      </c>
      <c r="O557" s="74"/>
      <c r="P557" s="74"/>
      <c r="Q557" s="74"/>
      <c r="R557" s="14" t="n">
        <f aca="false">IF(I557="Unbilled",0,M557)</f>
        <v>0</v>
      </c>
      <c r="S557" s="9" t="n">
        <f aca="false">IF(R557=0,0,IF(O557="Booked",N557,R557*V556))</f>
        <v>0</v>
      </c>
      <c r="T557" s="14" t="n">
        <f aca="false">IF(I557="Opening",K557,T556+K557-R557)</f>
        <v>0</v>
      </c>
      <c r="U557" s="9" t="n">
        <f aca="false">IF(I557="Opening",L557,U556+L557-S557)</f>
        <v>-0.03</v>
      </c>
      <c r="V557" s="9" t="n">
        <f aca="false">IF(T557&gt;0,U557/T557,IF(I557="Opening",0,V556))</f>
        <v>0</v>
      </c>
      <c r="W557" s="14" t="n">
        <f aca="false">M557</f>
        <v>0</v>
      </c>
      <c r="X557" s="9" t="n">
        <f aca="false">IF(W557=0,0,IF(O557="Booked",N557,W557*AA556))</f>
        <v>0</v>
      </c>
      <c r="Y557" s="14" t="n">
        <f aca="false">IF(I557="Opening",K557,Y556+K557-W557)</f>
        <v>0</v>
      </c>
      <c r="Z557" s="9" t="n">
        <f aca="false">IF(I557="Opening",L557,Z556+L557-X557)</f>
        <v>-0.03</v>
      </c>
      <c r="AA557" s="9" t="n">
        <f aca="false">IF(Y557&gt;0,Z557/Y557,IF(I557="Opening",0,AA556))</f>
        <v>0</v>
      </c>
      <c r="AB557" s="9" t="n">
        <f aca="false">IF(AND(I557="DO",O557="MA"),S557-N557,0)</f>
        <v>0</v>
      </c>
      <c r="AC557" s="9" t="n">
        <f aca="false">IF(I557="DO",X557-S557,0)</f>
        <v>0</v>
      </c>
      <c r="AD557" s="23" t="n">
        <f aca="false">IF(B558&lt;&gt;B557,1,0)</f>
        <v>0</v>
      </c>
      <c r="AE557" s="14" t="n">
        <f aca="false">IF(I557="Opening",0,AE556+W557)</f>
        <v>0</v>
      </c>
      <c r="AF557" s="14" t="n">
        <f aca="false">IF(I557="Opening",K557,AF556)</f>
        <v>0</v>
      </c>
      <c r="AG557" s="14" t="n">
        <f aca="false">SUMIFS($K$6:$K$1110,$B$6:$B$1110,B557,$H$6:$H$1110,7,$I$6:$I$1110,"&lt;&gt;Opening")</f>
        <v>129.2</v>
      </c>
      <c r="AH557" s="14" t="n">
        <f aca="false">IF(W557=0,0,MAX(0,MIN(AE557,AF557)-MIN(AE557-W557,AF557)))</f>
        <v>0</v>
      </c>
      <c r="AI557" s="14" t="n">
        <f aca="false">IF(W557=0,0,MAX(0,MIN(AE557,AF557+AG557)-MAX(AE557-W557,AF557)))</f>
        <v>0</v>
      </c>
      <c r="AJ557" s="14" t="n">
        <f aca="false">W557-AH557-AI557</f>
        <v>0</v>
      </c>
      <c r="AK557" s="9" t="n">
        <f aca="false">IF(W557=0,0,X557*AH557/W557)</f>
        <v>0</v>
      </c>
      <c r="AL557" s="9" t="n">
        <f aca="false">IF(W557=0,0,X557*AI557/W557)</f>
        <v>0</v>
      </c>
      <c r="AM557" s="9" t="n">
        <f aca="false">X557-AK557-AL557</f>
        <v>0</v>
      </c>
    </row>
    <row r="558" customFormat="false" ht="15" hidden="false" customHeight="false" outlineLevel="0" collapsed="false">
      <c r="A558" s="6" t="n">
        <v>553</v>
      </c>
      <c r="B558" s="74" t="s">
        <v>997</v>
      </c>
      <c r="C558" s="53" t="str">
        <f aca="false">INDEX(I_Items!$C$5:$C$133,MATCH($B558,I_Items!$A$5:$A$133,0))</f>
        <v>RPA</v>
      </c>
      <c r="D558" s="53" t="str">
        <f aca="false">INDEX(I_Items!$D$5:$D$133,MATCH($B558,I_Items!$A$5:$A$133,0))</f>
        <v>Karkas</v>
      </c>
      <c r="E558" s="53" t="str">
        <f aca="false">INDEX(I_Items!$F$5:$F$133,MATCH($B558,I_Items!$A$5:$A$133,0))</f>
        <v>Frozen</v>
      </c>
      <c r="F558" s="53" t="str">
        <f aca="false">IF(INDEX(I_Items!$E$5:$E$133,MATCH($B558,I_Items!$A$5:$A$133,0))="","",INDEX(I_Items!$E$5:$E$133,MATCH($B558,I_Items!$A$5:$A$133,0)))</f>
        <v>Uk 1.5</v>
      </c>
      <c r="G558" s="76" t="n">
        <v>46204</v>
      </c>
      <c r="H558" s="23" t="n">
        <f aca="false">MONTH(G558)</f>
        <v>7</v>
      </c>
      <c r="I558" s="74" t="s">
        <v>2117</v>
      </c>
      <c r="J558" s="74" t="s">
        <v>2164</v>
      </c>
      <c r="K558" s="10" t="n">
        <v>0</v>
      </c>
      <c r="L558" s="8" t="n">
        <v>0</v>
      </c>
      <c r="M558" s="10" t="n">
        <v>48.4</v>
      </c>
      <c r="N558" s="8" t="n">
        <v>1253358.17</v>
      </c>
      <c r="O558" s="74" t="s">
        <v>2119</v>
      </c>
      <c r="P558" s="74"/>
      <c r="Q558" s="74"/>
      <c r="R558" s="14" t="n">
        <f aca="false">IF(I558="Unbilled",0,M558)</f>
        <v>48.4</v>
      </c>
      <c r="S558" s="9" t="n">
        <f aca="false">IF(R558=0,0,IF(O558="Booked",N558,R558*V557))</f>
        <v>1253358.17</v>
      </c>
      <c r="T558" s="14" t="n">
        <f aca="false">IF(I558="Opening",K558,T557+K558-R558)</f>
        <v>-48.4</v>
      </c>
      <c r="U558" s="9" t="n">
        <f aca="false">IF(I558="Opening",L558,U557+L558-S558)</f>
        <v>-1253358.2</v>
      </c>
      <c r="V558" s="9" t="n">
        <f aca="false">IF(T558&gt;0,U558/T558,IF(I558="Opening",0,V557))</f>
        <v>0</v>
      </c>
      <c r="W558" s="14" t="n">
        <f aca="false">M558</f>
        <v>48.4</v>
      </c>
      <c r="X558" s="9" t="n">
        <f aca="false">IF(W558=0,0,IF(O558="Booked",N558,W558*AA557))</f>
        <v>1253358.17</v>
      </c>
      <c r="Y558" s="14" t="n">
        <f aca="false">IF(I558="Opening",K558,Y557+K558-W558)</f>
        <v>-48.4</v>
      </c>
      <c r="Z558" s="9" t="n">
        <f aca="false">IF(I558="Opening",L558,Z557+L558-X558)</f>
        <v>-1253358.2</v>
      </c>
      <c r="AA558" s="9" t="n">
        <f aca="false">IF(Y558&gt;0,Z558/Y558,IF(I558="Opening",0,AA557))</f>
        <v>0</v>
      </c>
      <c r="AB558" s="9" t="n">
        <f aca="false">IF(AND(I558="DO",O558="MA"),S558-N558,0)</f>
        <v>0</v>
      </c>
      <c r="AC558" s="9" t="n">
        <f aca="false">IF(I558="DO",X558-S558,0)</f>
        <v>0</v>
      </c>
      <c r="AD558" s="23" t="n">
        <f aca="false">IF(B559&lt;&gt;B558,1,0)</f>
        <v>0</v>
      </c>
      <c r="AE558" s="14" t="n">
        <f aca="false">IF(I558="Opening",0,AE557+W558)</f>
        <v>48.4</v>
      </c>
      <c r="AF558" s="14" t="n">
        <f aca="false">IF(I558="Opening",K558,AF557)</f>
        <v>0</v>
      </c>
      <c r="AG558" s="14" t="n">
        <f aca="false">AG557</f>
        <v>129.2</v>
      </c>
      <c r="AH558" s="14" t="n">
        <f aca="false">IF(W558=0,0,MAX(0,MIN(AE558,AF558)-MIN(AE558-W558,AF558)))</f>
        <v>0</v>
      </c>
      <c r="AI558" s="14" t="n">
        <f aca="false">IF(W558=0,0,MAX(0,MIN(AE558,AF558+AG558)-MAX(AE558-W558,AF558)))</f>
        <v>48.4</v>
      </c>
      <c r="AJ558" s="14" t="n">
        <f aca="false">W558-AH558-AI558</f>
        <v>0</v>
      </c>
      <c r="AK558" s="9" t="n">
        <f aca="false">IF(W558=0,0,X558*AH558/W558)</f>
        <v>0</v>
      </c>
      <c r="AL558" s="9" t="n">
        <f aca="false">IF(W558=0,0,X558*AI558/W558)</f>
        <v>1253358.17</v>
      </c>
      <c r="AM558" s="9" t="n">
        <f aca="false">X558-AK558-AL558</f>
        <v>0</v>
      </c>
    </row>
    <row r="559" customFormat="false" ht="15" hidden="false" customHeight="false" outlineLevel="0" collapsed="false">
      <c r="A559" s="6" t="n">
        <v>554</v>
      </c>
      <c r="B559" s="74" t="s">
        <v>997</v>
      </c>
      <c r="C559" s="53" t="str">
        <f aca="false">INDEX(I_Items!$C$5:$C$133,MATCH($B559,I_Items!$A$5:$A$133,0))</f>
        <v>RPA</v>
      </c>
      <c r="D559" s="53" t="str">
        <f aca="false">INDEX(I_Items!$D$5:$D$133,MATCH($B559,I_Items!$A$5:$A$133,0))</f>
        <v>Karkas</v>
      </c>
      <c r="E559" s="53" t="str">
        <f aca="false">INDEX(I_Items!$F$5:$F$133,MATCH($B559,I_Items!$A$5:$A$133,0))</f>
        <v>Frozen</v>
      </c>
      <c r="F559" s="53" t="str">
        <f aca="false">IF(INDEX(I_Items!$E$5:$E$133,MATCH($B559,I_Items!$A$5:$A$133,0))="","",INDEX(I_Items!$E$5:$E$133,MATCH($B559,I_Items!$A$5:$A$133,0)))</f>
        <v>Uk 1.5</v>
      </c>
      <c r="G559" s="76" t="n">
        <v>46204</v>
      </c>
      <c r="H559" s="23" t="n">
        <f aca="false">MONTH(G559)</f>
        <v>7</v>
      </c>
      <c r="I559" s="74" t="s">
        <v>2117</v>
      </c>
      <c r="J559" s="74" t="s">
        <v>2168</v>
      </c>
      <c r="K559" s="10" t="n">
        <v>129.2</v>
      </c>
      <c r="L559" s="8" t="n">
        <v>3345741.24</v>
      </c>
      <c r="M559" s="10" t="n">
        <v>0</v>
      </c>
      <c r="N559" s="8" t="n">
        <v>0</v>
      </c>
      <c r="O559" s="74" t="s">
        <v>2119</v>
      </c>
      <c r="P559" s="74"/>
      <c r="Q559" s="74"/>
      <c r="R559" s="14" t="n">
        <f aca="false">IF(I559="Unbilled",0,M559)</f>
        <v>0</v>
      </c>
      <c r="S559" s="9" t="n">
        <f aca="false">IF(R559=0,0,IF(O559="Booked",N559,R559*V558))</f>
        <v>0</v>
      </c>
      <c r="T559" s="14" t="n">
        <f aca="false">IF(I559="Opening",K559,T558+K559-R559)</f>
        <v>80.8</v>
      </c>
      <c r="U559" s="9" t="n">
        <f aca="false">IF(I559="Opening",L559,U558+L559-S559)</f>
        <v>2092383.04</v>
      </c>
      <c r="V559" s="9" t="n">
        <f aca="false">IF(T559&gt;0,U559/T559,IF(I559="Opening",0,V558))</f>
        <v>25895.8297029703</v>
      </c>
      <c r="W559" s="14" t="n">
        <f aca="false">M559</f>
        <v>0</v>
      </c>
      <c r="X559" s="9" t="n">
        <f aca="false">IF(W559=0,0,IF(O559="Booked",N559,W559*AA558))</f>
        <v>0</v>
      </c>
      <c r="Y559" s="14" t="n">
        <f aca="false">IF(I559="Opening",K559,Y558+K559-W559)</f>
        <v>80.8</v>
      </c>
      <c r="Z559" s="9" t="n">
        <f aca="false">IF(I559="Opening",L559,Z558+L559-X559)</f>
        <v>2092383.04</v>
      </c>
      <c r="AA559" s="9" t="n">
        <f aca="false">IF(Y559&gt;0,Z559/Y559,IF(I559="Opening",0,AA558))</f>
        <v>25895.8297029703</v>
      </c>
      <c r="AB559" s="9" t="n">
        <f aca="false">IF(AND(I559="DO",O559="MA"),S559-N559,0)</f>
        <v>0</v>
      </c>
      <c r="AC559" s="9" t="n">
        <f aca="false">IF(I559="DO",X559-S559,0)</f>
        <v>0</v>
      </c>
      <c r="AD559" s="23" t="n">
        <f aca="false">IF(B560&lt;&gt;B559,1,0)</f>
        <v>0</v>
      </c>
      <c r="AE559" s="14" t="n">
        <f aca="false">IF(I559="Opening",0,AE558+W559)</f>
        <v>48.4</v>
      </c>
      <c r="AF559" s="14" t="n">
        <f aca="false">IF(I559="Opening",K559,AF558)</f>
        <v>0</v>
      </c>
      <c r="AG559" s="14" t="n">
        <f aca="false">AG558</f>
        <v>129.2</v>
      </c>
      <c r="AH559" s="14" t="n">
        <f aca="false">IF(W559=0,0,MAX(0,MIN(AE559,AF559)-MIN(AE559-W559,AF559)))</f>
        <v>0</v>
      </c>
      <c r="AI559" s="14" t="n">
        <f aca="false">IF(W559=0,0,MAX(0,MIN(AE559,AF559+AG559)-MAX(AE559-W559,AF559)))</f>
        <v>0</v>
      </c>
      <c r="AJ559" s="14" t="n">
        <f aca="false">W559-AH559-AI559</f>
        <v>0</v>
      </c>
      <c r="AK559" s="9" t="n">
        <f aca="false">IF(W559=0,0,X559*AH559/W559)</f>
        <v>0</v>
      </c>
      <c r="AL559" s="9" t="n">
        <f aca="false">IF(W559=0,0,X559*AI559/W559)</f>
        <v>0</v>
      </c>
      <c r="AM559" s="9" t="n">
        <f aca="false">X559-AK559-AL559</f>
        <v>0</v>
      </c>
    </row>
    <row r="560" customFormat="false" ht="15" hidden="false" customHeight="false" outlineLevel="0" collapsed="false">
      <c r="A560" s="6" t="n">
        <v>555</v>
      </c>
      <c r="B560" s="74" t="s">
        <v>997</v>
      </c>
      <c r="C560" s="53" t="str">
        <f aca="false">INDEX(I_Items!$C$5:$C$133,MATCH($B560,I_Items!$A$5:$A$133,0))</f>
        <v>RPA</v>
      </c>
      <c r="D560" s="53" t="str">
        <f aca="false">INDEX(I_Items!$D$5:$D$133,MATCH($B560,I_Items!$A$5:$A$133,0))</f>
        <v>Karkas</v>
      </c>
      <c r="E560" s="53" t="str">
        <f aca="false">INDEX(I_Items!$F$5:$F$133,MATCH($B560,I_Items!$A$5:$A$133,0))</f>
        <v>Frozen</v>
      </c>
      <c r="F560" s="53" t="str">
        <f aca="false">IF(INDEX(I_Items!$E$5:$E$133,MATCH($B560,I_Items!$A$5:$A$133,0))="","",INDEX(I_Items!$E$5:$E$133,MATCH($B560,I_Items!$A$5:$A$133,0)))</f>
        <v>Uk 1.5</v>
      </c>
      <c r="G560" s="76" t="n">
        <v>46244</v>
      </c>
      <c r="H560" s="23" t="n">
        <f aca="false">MONTH(G560)</f>
        <v>8</v>
      </c>
      <c r="I560" s="74" t="s">
        <v>2074</v>
      </c>
      <c r="J560" s="74" t="s">
        <v>1298</v>
      </c>
      <c r="K560" s="10" t="n">
        <v>69.5</v>
      </c>
      <c r="L560" s="8" t="n">
        <v>2396753.86</v>
      </c>
      <c r="M560" s="10" t="n">
        <v>0</v>
      </c>
      <c r="N560" s="8" t="n">
        <v>0</v>
      </c>
      <c r="O560" s="74"/>
      <c r="P560" s="74"/>
      <c r="Q560" s="74"/>
      <c r="R560" s="14" t="n">
        <f aca="false">IF(I560="Unbilled",0,M560)</f>
        <v>0</v>
      </c>
      <c r="S560" s="9" t="n">
        <f aca="false">IF(R560=0,0,IF(O560="Booked",N560,R560*V559))</f>
        <v>0</v>
      </c>
      <c r="T560" s="14" t="n">
        <f aca="false">IF(I560="Opening",K560,T559+K560-R560)</f>
        <v>150.3</v>
      </c>
      <c r="U560" s="9" t="n">
        <f aca="false">IF(I560="Opening",L560,U559+L560-S560)</f>
        <v>4489136.9</v>
      </c>
      <c r="V560" s="9" t="n">
        <f aca="false">IF(T560&gt;0,U560/T560,IF(I560="Opening",0,V559))</f>
        <v>29867.8436460413</v>
      </c>
      <c r="W560" s="14" t="n">
        <f aca="false">M560</f>
        <v>0</v>
      </c>
      <c r="X560" s="9" t="n">
        <f aca="false">IF(W560=0,0,IF(O560="Booked",N560,W560*AA559))</f>
        <v>0</v>
      </c>
      <c r="Y560" s="14" t="n">
        <f aca="false">IF(I560="Opening",K560,Y559+K560-W560)</f>
        <v>150.3</v>
      </c>
      <c r="Z560" s="9" t="n">
        <f aca="false">IF(I560="Opening",L560,Z559+L560-X560)</f>
        <v>4489136.9</v>
      </c>
      <c r="AA560" s="9" t="n">
        <f aca="false">IF(Y560&gt;0,Z560/Y560,IF(I560="Opening",0,AA559))</f>
        <v>29867.8436460413</v>
      </c>
      <c r="AB560" s="9" t="n">
        <f aca="false">IF(AND(I560="DO",O560="MA"),S560-N560,0)</f>
        <v>0</v>
      </c>
      <c r="AC560" s="9" t="n">
        <f aca="false">IF(I560="DO",X560-S560,0)</f>
        <v>0</v>
      </c>
      <c r="AD560" s="23" t="n">
        <f aca="false">IF(B561&lt;&gt;B560,1,0)</f>
        <v>0</v>
      </c>
      <c r="AE560" s="14" t="n">
        <f aca="false">IF(I560="Opening",0,AE559+W560)</f>
        <v>48.4</v>
      </c>
      <c r="AF560" s="14" t="n">
        <f aca="false">IF(I560="Opening",K560,AF559)</f>
        <v>0</v>
      </c>
      <c r="AG560" s="14" t="n">
        <f aca="false">AG559</f>
        <v>129.2</v>
      </c>
      <c r="AH560" s="14" t="n">
        <f aca="false">IF(W560=0,0,MAX(0,MIN(AE560,AF560)-MIN(AE560-W560,AF560)))</f>
        <v>0</v>
      </c>
      <c r="AI560" s="14" t="n">
        <f aca="false">IF(W560=0,0,MAX(0,MIN(AE560,AF560+AG560)-MAX(AE560-W560,AF560)))</f>
        <v>0</v>
      </c>
      <c r="AJ560" s="14" t="n">
        <f aca="false">W560-AH560-AI560</f>
        <v>0</v>
      </c>
      <c r="AK560" s="9" t="n">
        <f aca="false">IF(W560=0,0,X560*AH560/W560)</f>
        <v>0</v>
      </c>
      <c r="AL560" s="9" t="n">
        <f aca="false">IF(W560=0,0,X560*AI560/W560)</f>
        <v>0</v>
      </c>
      <c r="AM560" s="9" t="n">
        <f aca="false">X560-AK560-AL560</f>
        <v>0</v>
      </c>
    </row>
    <row r="561" customFormat="false" ht="15" hidden="false" customHeight="false" outlineLevel="0" collapsed="false">
      <c r="A561" s="6" t="n">
        <v>556</v>
      </c>
      <c r="B561" s="74" t="s">
        <v>997</v>
      </c>
      <c r="C561" s="53" t="str">
        <f aca="false">INDEX(I_Items!$C$5:$C$133,MATCH($B561,I_Items!$A$5:$A$133,0))</f>
        <v>RPA</v>
      </c>
      <c r="D561" s="53" t="str">
        <f aca="false">INDEX(I_Items!$D$5:$D$133,MATCH($B561,I_Items!$A$5:$A$133,0))</f>
        <v>Karkas</v>
      </c>
      <c r="E561" s="53" t="str">
        <f aca="false">INDEX(I_Items!$F$5:$F$133,MATCH($B561,I_Items!$A$5:$A$133,0))</f>
        <v>Frozen</v>
      </c>
      <c r="F561" s="53" t="str">
        <f aca="false">IF(INDEX(I_Items!$E$5:$E$133,MATCH($B561,I_Items!$A$5:$A$133,0))="","",INDEX(I_Items!$E$5:$E$133,MATCH($B561,I_Items!$A$5:$A$133,0)))</f>
        <v>Uk 1.5</v>
      </c>
      <c r="G561" s="76" t="n">
        <v>46248</v>
      </c>
      <c r="H561" s="23" t="n">
        <f aca="false">MONTH(G561)</f>
        <v>8</v>
      </c>
      <c r="I561" s="74" t="s">
        <v>2074</v>
      </c>
      <c r="J561" s="74" t="s">
        <v>1302</v>
      </c>
      <c r="K561" s="10" t="n">
        <v>34.6</v>
      </c>
      <c r="L561" s="8" t="n">
        <v>1204263.67</v>
      </c>
      <c r="M561" s="10" t="n">
        <v>0</v>
      </c>
      <c r="N561" s="8" t="n">
        <v>0</v>
      </c>
      <c r="O561" s="74"/>
      <c r="P561" s="74"/>
      <c r="Q561" s="74"/>
      <c r="R561" s="14" t="n">
        <f aca="false">IF(I561="Unbilled",0,M561)</f>
        <v>0</v>
      </c>
      <c r="S561" s="9" t="n">
        <f aca="false">IF(R561=0,0,IF(O561="Booked",N561,R561*V560))</f>
        <v>0</v>
      </c>
      <c r="T561" s="14" t="n">
        <f aca="false">IF(I561="Opening",K561,T560+K561-R561)</f>
        <v>184.9</v>
      </c>
      <c r="U561" s="9" t="n">
        <f aca="false">IF(I561="Opening",L561,U560+L561-S561)</f>
        <v>5693400.57</v>
      </c>
      <c r="V561" s="9" t="n">
        <f aca="false">IF(T561&gt;0,U561/T561,IF(I561="Opening",0,V560))</f>
        <v>30791.7824229313</v>
      </c>
      <c r="W561" s="14" t="n">
        <f aca="false">M561</f>
        <v>0</v>
      </c>
      <c r="X561" s="9" t="n">
        <f aca="false">IF(W561=0,0,IF(O561="Booked",N561,W561*AA560))</f>
        <v>0</v>
      </c>
      <c r="Y561" s="14" t="n">
        <f aca="false">IF(I561="Opening",K561,Y560+K561-W561)</f>
        <v>184.9</v>
      </c>
      <c r="Z561" s="9" t="n">
        <f aca="false">IF(I561="Opening",L561,Z560+L561-X561)</f>
        <v>5693400.57</v>
      </c>
      <c r="AA561" s="9" t="n">
        <f aca="false">IF(Y561&gt;0,Z561/Y561,IF(I561="Opening",0,AA560))</f>
        <v>30791.7824229313</v>
      </c>
      <c r="AB561" s="9" t="n">
        <f aca="false">IF(AND(I561="DO",O561="MA"),S561-N561,0)</f>
        <v>0</v>
      </c>
      <c r="AC561" s="9" t="n">
        <f aca="false">IF(I561="DO",X561-S561,0)</f>
        <v>0</v>
      </c>
      <c r="AD561" s="23" t="n">
        <f aca="false">IF(B562&lt;&gt;B561,1,0)</f>
        <v>0</v>
      </c>
      <c r="AE561" s="14" t="n">
        <f aca="false">IF(I561="Opening",0,AE560+W561)</f>
        <v>48.4</v>
      </c>
      <c r="AF561" s="14" t="n">
        <f aca="false">IF(I561="Opening",K561,AF560)</f>
        <v>0</v>
      </c>
      <c r="AG561" s="14" t="n">
        <f aca="false">AG560</f>
        <v>129.2</v>
      </c>
      <c r="AH561" s="14" t="n">
        <f aca="false">IF(W561=0,0,MAX(0,MIN(AE561,AF561)-MIN(AE561-W561,AF561)))</f>
        <v>0</v>
      </c>
      <c r="AI561" s="14" t="n">
        <f aca="false">IF(W561=0,0,MAX(0,MIN(AE561,AF561+AG561)-MAX(AE561-W561,AF561)))</f>
        <v>0</v>
      </c>
      <c r="AJ561" s="14" t="n">
        <f aca="false">W561-AH561-AI561</f>
        <v>0</v>
      </c>
      <c r="AK561" s="9" t="n">
        <f aca="false">IF(W561=0,0,X561*AH561/W561)</f>
        <v>0</v>
      </c>
      <c r="AL561" s="9" t="n">
        <f aca="false">IF(W561=0,0,X561*AI561/W561)</f>
        <v>0</v>
      </c>
      <c r="AM561" s="9" t="n">
        <f aca="false">X561-AK561-AL561</f>
        <v>0</v>
      </c>
    </row>
    <row r="562" customFormat="false" ht="15" hidden="false" customHeight="false" outlineLevel="0" collapsed="false">
      <c r="A562" s="6" t="n">
        <v>557</v>
      </c>
      <c r="B562" s="74" t="s">
        <v>997</v>
      </c>
      <c r="C562" s="53" t="str">
        <f aca="false">INDEX(I_Items!$C$5:$C$133,MATCH($B562,I_Items!$A$5:$A$133,0))</f>
        <v>RPA</v>
      </c>
      <c r="D562" s="53" t="str">
        <f aca="false">INDEX(I_Items!$D$5:$D$133,MATCH($B562,I_Items!$A$5:$A$133,0))</f>
        <v>Karkas</v>
      </c>
      <c r="E562" s="53" t="str">
        <f aca="false">INDEX(I_Items!$F$5:$F$133,MATCH($B562,I_Items!$A$5:$A$133,0))</f>
        <v>Frozen</v>
      </c>
      <c r="F562" s="53" t="str">
        <f aca="false">IF(INDEX(I_Items!$E$5:$E$133,MATCH($B562,I_Items!$A$5:$A$133,0))="","",INDEX(I_Items!$E$5:$E$133,MATCH($B562,I_Items!$A$5:$A$133,0)))</f>
        <v>Uk 1.5</v>
      </c>
      <c r="G562" s="76" t="n">
        <v>46253</v>
      </c>
      <c r="H562" s="23" t="n">
        <f aca="false">MONTH(G562)</f>
        <v>8</v>
      </c>
      <c r="I562" s="74" t="s">
        <v>2074</v>
      </c>
      <c r="J562" s="74" t="s">
        <v>1305</v>
      </c>
      <c r="K562" s="10" t="n">
        <v>118.3</v>
      </c>
      <c r="L562" s="8" t="n">
        <v>4063786.69</v>
      </c>
      <c r="M562" s="10" t="n">
        <v>0</v>
      </c>
      <c r="N562" s="8" t="n">
        <v>0</v>
      </c>
      <c r="O562" s="74"/>
      <c r="P562" s="74"/>
      <c r="Q562" s="74"/>
      <c r="R562" s="14" t="n">
        <f aca="false">IF(I562="Unbilled",0,M562)</f>
        <v>0</v>
      </c>
      <c r="S562" s="9" t="n">
        <f aca="false">IF(R562=0,0,IF(O562="Booked",N562,R562*V561))</f>
        <v>0</v>
      </c>
      <c r="T562" s="14" t="n">
        <f aca="false">IF(I562="Opening",K562,T561+K562-R562)</f>
        <v>303.2</v>
      </c>
      <c r="U562" s="9" t="n">
        <f aca="false">IF(I562="Opening",L562,U561+L562-S562)</f>
        <v>9757187.26</v>
      </c>
      <c r="V562" s="9" t="n">
        <f aca="false">IF(T562&gt;0,U562/T562,IF(I562="Opening",0,V561))</f>
        <v>32180.69676781</v>
      </c>
      <c r="W562" s="14" t="n">
        <f aca="false">M562</f>
        <v>0</v>
      </c>
      <c r="X562" s="9" t="n">
        <f aca="false">IF(W562=0,0,IF(O562="Booked",N562,W562*AA561))</f>
        <v>0</v>
      </c>
      <c r="Y562" s="14" t="n">
        <f aca="false">IF(I562="Opening",K562,Y561+K562-W562)</f>
        <v>303.2</v>
      </c>
      <c r="Z562" s="9" t="n">
        <f aca="false">IF(I562="Opening",L562,Z561+L562-X562)</f>
        <v>9757187.26</v>
      </c>
      <c r="AA562" s="9" t="n">
        <f aca="false">IF(Y562&gt;0,Z562/Y562,IF(I562="Opening",0,AA561))</f>
        <v>32180.69676781</v>
      </c>
      <c r="AB562" s="9" t="n">
        <f aca="false">IF(AND(I562="DO",O562="MA"),S562-N562,0)</f>
        <v>0</v>
      </c>
      <c r="AC562" s="9" t="n">
        <f aca="false">IF(I562="DO",X562-S562,0)</f>
        <v>0</v>
      </c>
      <c r="AD562" s="23" t="n">
        <f aca="false">IF(B563&lt;&gt;B562,1,0)</f>
        <v>0</v>
      </c>
      <c r="AE562" s="14" t="n">
        <f aca="false">IF(I562="Opening",0,AE561+W562)</f>
        <v>48.4</v>
      </c>
      <c r="AF562" s="14" t="n">
        <f aca="false">IF(I562="Opening",K562,AF561)</f>
        <v>0</v>
      </c>
      <c r="AG562" s="14" t="n">
        <f aca="false">AG561</f>
        <v>129.2</v>
      </c>
      <c r="AH562" s="14" t="n">
        <f aca="false">IF(W562=0,0,MAX(0,MIN(AE562,AF562)-MIN(AE562-W562,AF562)))</f>
        <v>0</v>
      </c>
      <c r="AI562" s="14" t="n">
        <f aca="false">IF(W562=0,0,MAX(0,MIN(AE562,AF562+AG562)-MAX(AE562-W562,AF562)))</f>
        <v>0</v>
      </c>
      <c r="AJ562" s="14" t="n">
        <f aca="false">W562-AH562-AI562</f>
        <v>0</v>
      </c>
      <c r="AK562" s="9" t="n">
        <f aca="false">IF(W562=0,0,X562*AH562/W562)</f>
        <v>0</v>
      </c>
      <c r="AL562" s="9" t="n">
        <f aca="false">IF(W562=0,0,X562*AI562/W562)</f>
        <v>0</v>
      </c>
      <c r="AM562" s="9" t="n">
        <f aca="false">X562-AK562-AL562</f>
        <v>0</v>
      </c>
    </row>
    <row r="563" customFormat="false" ht="15" hidden="false" customHeight="false" outlineLevel="0" collapsed="false">
      <c r="A563" s="6" t="n">
        <v>558</v>
      </c>
      <c r="B563" s="74" t="s">
        <v>997</v>
      </c>
      <c r="C563" s="53" t="str">
        <f aca="false">INDEX(I_Items!$C$5:$C$133,MATCH($B563,I_Items!$A$5:$A$133,0))</f>
        <v>RPA</v>
      </c>
      <c r="D563" s="53" t="str">
        <f aca="false">INDEX(I_Items!$D$5:$D$133,MATCH($B563,I_Items!$A$5:$A$133,0))</f>
        <v>Karkas</v>
      </c>
      <c r="E563" s="53" t="str">
        <f aca="false">INDEX(I_Items!$F$5:$F$133,MATCH($B563,I_Items!$A$5:$A$133,0))</f>
        <v>Frozen</v>
      </c>
      <c r="F563" s="53" t="str">
        <f aca="false">IF(INDEX(I_Items!$E$5:$E$133,MATCH($B563,I_Items!$A$5:$A$133,0))="","",INDEX(I_Items!$E$5:$E$133,MATCH($B563,I_Items!$A$5:$A$133,0)))</f>
        <v>Uk 1.5</v>
      </c>
      <c r="G563" s="76" t="n">
        <v>46255</v>
      </c>
      <c r="H563" s="23" t="n">
        <f aca="false">MONTH(G563)</f>
        <v>8</v>
      </c>
      <c r="I563" s="74" t="s">
        <v>2075</v>
      </c>
      <c r="J563" s="74" t="s">
        <v>2127</v>
      </c>
      <c r="K563" s="10" t="n">
        <v>0</v>
      </c>
      <c r="L563" s="8" t="n">
        <v>0</v>
      </c>
      <c r="M563" s="10" t="n">
        <v>20</v>
      </c>
      <c r="N563" s="8" t="n">
        <v>643613.94</v>
      </c>
      <c r="O563" s="74" t="s">
        <v>2077</v>
      </c>
      <c r="P563" s="74"/>
      <c r="Q563" s="74"/>
      <c r="R563" s="14" t="n">
        <f aca="false">IF(I563="Unbilled",0,M563)</f>
        <v>20</v>
      </c>
      <c r="S563" s="9" t="n">
        <f aca="false">IF(R563=0,0,IF(O563="Booked",N563,R563*V562))</f>
        <v>643613.935356201</v>
      </c>
      <c r="T563" s="14" t="n">
        <f aca="false">IF(I563="Opening",K563,T562+K563-R563)</f>
        <v>283.2</v>
      </c>
      <c r="U563" s="9" t="n">
        <f aca="false">IF(I563="Opening",L563,U562+L563-S563)</f>
        <v>9113573.3246438</v>
      </c>
      <c r="V563" s="9" t="n">
        <f aca="false">IF(T563&gt;0,U563/T563,IF(I563="Opening",0,V562))</f>
        <v>32180.69676781</v>
      </c>
      <c r="W563" s="14" t="n">
        <f aca="false">M563</f>
        <v>20</v>
      </c>
      <c r="X563" s="9" t="n">
        <f aca="false">IF(W563=0,0,IF(O563="Booked",N563,W563*AA562))</f>
        <v>643613.935356201</v>
      </c>
      <c r="Y563" s="14" t="n">
        <f aca="false">IF(I563="Opening",K563,Y562+K563-W563)</f>
        <v>283.2</v>
      </c>
      <c r="Z563" s="9" t="n">
        <f aca="false">IF(I563="Opening",L563,Z562+L563-X563)</f>
        <v>9113573.3246438</v>
      </c>
      <c r="AA563" s="9" t="n">
        <f aca="false">IF(Y563&gt;0,Z563/Y563,IF(I563="Opening",0,AA562))</f>
        <v>32180.69676781</v>
      </c>
      <c r="AB563" s="9" t="n">
        <f aca="false">IF(AND(I563="DO",O563="MA"),S563-N563,0)</f>
        <v>-0.00464379938784987</v>
      </c>
      <c r="AC563" s="9" t="n">
        <f aca="false">IF(I563="DO",X563-S563,0)</f>
        <v>0</v>
      </c>
      <c r="AD563" s="23" t="n">
        <f aca="false">IF(B564&lt;&gt;B563,1,0)</f>
        <v>0</v>
      </c>
      <c r="AE563" s="14" t="n">
        <f aca="false">IF(I563="Opening",0,AE562+W563)</f>
        <v>68.4</v>
      </c>
      <c r="AF563" s="14" t="n">
        <f aca="false">IF(I563="Opening",K563,AF562)</f>
        <v>0</v>
      </c>
      <c r="AG563" s="14" t="n">
        <f aca="false">AG562</f>
        <v>129.2</v>
      </c>
      <c r="AH563" s="14" t="n">
        <f aca="false">IF(W563=0,0,MAX(0,MIN(AE563,AF563)-MIN(AE563-W563,AF563)))</f>
        <v>0</v>
      </c>
      <c r="AI563" s="14" t="n">
        <f aca="false">IF(W563=0,0,MAX(0,MIN(AE563,AF563+AG563)-MAX(AE563-W563,AF563)))</f>
        <v>20</v>
      </c>
      <c r="AJ563" s="14" t="n">
        <f aca="false">W563-AH563-AI563</f>
        <v>0</v>
      </c>
      <c r="AK563" s="9" t="n">
        <f aca="false">IF(W563=0,0,X563*AH563/W563)</f>
        <v>0</v>
      </c>
      <c r="AL563" s="9" t="n">
        <f aca="false">IF(W563=0,0,X563*AI563/W563)</f>
        <v>643613.935356201</v>
      </c>
      <c r="AM563" s="9" t="n">
        <f aca="false">X563-AK563-AL563</f>
        <v>0</v>
      </c>
    </row>
    <row r="564" customFormat="false" ht="15" hidden="false" customHeight="false" outlineLevel="0" collapsed="false">
      <c r="A564" s="6" t="n">
        <v>559</v>
      </c>
      <c r="B564" s="74" t="s">
        <v>997</v>
      </c>
      <c r="C564" s="53" t="str">
        <f aca="false">INDEX(I_Items!$C$5:$C$133,MATCH($B564,I_Items!$A$5:$A$133,0))</f>
        <v>RPA</v>
      </c>
      <c r="D564" s="53" t="str">
        <f aca="false">INDEX(I_Items!$D$5:$D$133,MATCH($B564,I_Items!$A$5:$A$133,0))</f>
        <v>Karkas</v>
      </c>
      <c r="E564" s="53" t="str">
        <f aca="false">INDEX(I_Items!$F$5:$F$133,MATCH($B564,I_Items!$A$5:$A$133,0))</f>
        <v>Frozen</v>
      </c>
      <c r="F564" s="53" t="str">
        <f aca="false">IF(INDEX(I_Items!$E$5:$E$133,MATCH($B564,I_Items!$A$5:$A$133,0))="","",INDEX(I_Items!$E$5:$E$133,MATCH($B564,I_Items!$A$5:$A$133,0)))</f>
        <v>Uk 1.5</v>
      </c>
      <c r="G564" s="76" t="n">
        <v>46259</v>
      </c>
      <c r="H564" s="23" t="n">
        <f aca="false">MONTH(G564)</f>
        <v>8</v>
      </c>
      <c r="I564" s="74" t="s">
        <v>2074</v>
      </c>
      <c r="J564" s="74" t="s">
        <v>1314</v>
      </c>
      <c r="K564" s="10" t="n">
        <v>93.1</v>
      </c>
      <c r="L564" s="8" t="n">
        <v>3121354.67</v>
      </c>
      <c r="M564" s="10" t="n">
        <v>0</v>
      </c>
      <c r="N564" s="8" t="n">
        <v>0</v>
      </c>
      <c r="O564" s="74"/>
      <c r="P564" s="74"/>
      <c r="Q564" s="74"/>
      <c r="R564" s="14" t="n">
        <f aca="false">IF(I564="Unbilled",0,M564)</f>
        <v>0</v>
      </c>
      <c r="S564" s="9" t="n">
        <f aca="false">IF(R564=0,0,IF(O564="Booked",N564,R564*V563))</f>
        <v>0</v>
      </c>
      <c r="T564" s="14" t="n">
        <f aca="false">IF(I564="Opening",K564,T563+K564-R564)</f>
        <v>376.3</v>
      </c>
      <c r="U564" s="9" t="n">
        <f aca="false">IF(I564="Opening",L564,U563+L564-S564)</f>
        <v>12234927.9946438</v>
      </c>
      <c r="V564" s="9" t="n">
        <f aca="false">IF(T564&gt;0,U564/T564,IF(I564="Opening",0,V563))</f>
        <v>32513.760283401</v>
      </c>
      <c r="W564" s="14" t="n">
        <f aca="false">M564</f>
        <v>0</v>
      </c>
      <c r="X564" s="9" t="n">
        <f aca="false">IF(W564=0,0,IF(O564="Booked",N564,W564*AA563))</f>
        <v>0</v>
      </c>
      <c r="Y564" s="14" t="n">
        <f aca="false">IF(I564="Opening",K564,Y563+K564-W564)</f>
        <v>376.3</v>
      </c>
      <c r="Z564" s="9" t="n">
        <f aca="false">IF(I564="Opening",L564,Z563+L564-X564)</f>
        <v>12234927.9946438</v>
      </c>
      <c r="AA564" s="9" t="n">
        <f aca="false">IF(Y564&gt;0,Z564/Y564,IF(I564="Opening",0,AA563))</f>
        <v>32513.760283401</v>
      </c>
      <c r="AB564" s="9" t="n">
        <f aca="false">IF(AND(I564="DO",O564="MA"),S564-N564,0)</f>
        <v>0</v>
      </c>
      <c r="AC564" s="9" t="n">
        <f aca="false">IF(I564="DO",X564-S564,0)</f>
        <v>0</v>
      </c>
      <c r="AD564" s="23" t="n">
        <f aca="false">IF(B565&lt;&gt;B564,1,0)</f>
        <v>0</v>
      </c>
      <c r="AE564" s="14" t="n">
        <f aca="false">IF(I564="Opening",0,AE563+W564)</f>
        <v>68.4</v>
      </c>
      <c r="AF564" s="14" t="n">
        <f aca="false">IF(I564="Opening",K564,AF563)</f>
        <v>0</v>
      </c>
      <c r="AG564" s="14" t="n">
        <f aca="false">AG563</f>
        <v>129.2</v>
      </c>
      <c r="AH564" s="14" t="n">
        <f aca="false">IF(W564=0,0,MAX(0,MIN(AE564,AF564)-MIN(AE564-W564,AF564)))</f>
        <v>0</v>
      </c>
      <c r="AI564" s="14" t="n">
        <f aca="false">IF(W564=0,0,MAX(0,MIN(AE564,AF564+AG564)-MAX(AE564-W564,AF564)))</f>
        <v>0</v>
      </c>
      <c r="AJ564" s="14" t="n">
        <f aca="false">W564-AH564-AI564</f>
        <v>0</v>
      </c>
      <c r="AK564" s="9" t="n">
        <f aca="false">IF(W564=0,0,X564*AH564/W564)</f>
        <v>0</v>
      </c>
      <c r="AL564" s="9" t="n">
        <f aca="false">IF(W564=0,0,X564*AI564/W564)</f>
        <v>0</v>
      </c>
      <c r="AM564" s="9" t="n">
        <f aca="false">X564-AK564-AL564</f>
        <v>0</v>
      </c>
    </row>
    <row r="565" customFormat="false" ht="15" hidden="false" customHeight="false" outlineLevel="0" collapsed="false">
      <c r="A565" s="6" t="n">
        <v>560</v>
      </c>
      <c r="B565" s="74" t="s">
        <v>997</v>
      </c>
      <c r="C565" s="53" t="str">
        <f aca="false">INDEX(I_Items!$C$5:$C$133,MATCH($B565,I_Items!$A$5:$A$133,0))</f>
        <v>RPA</v>
      </c>
      <c r="D565" s="53" t="str">
        <f aca="false">INDEX(I_Items!$D$5:$D$133,MATCH($B565,I_Items!$A$5:$A$133,0))</f>
        <v>Karkas</v>
      </c>
      <c r="E565" s="53" t="str">
        <f aca="false">INDEX(I_Items!$F$5:$F$133,MATCH($B565,I_Items!$A$5:$A$133,0))</f>
        <v>Frozen</v>
      </c>
      <c r="F565" s="53" t="str">
        <f aca="false">IF(INDEX(I_Items!$E$5:$E$133,MATCH($B565,I_Items!$A$5:$A$133,0))="","",INDEX(I_Items!$E$5:$E$133,MATCH($B565,I_Items!$A$5:$A$133,0)))</f>
        <v>Uk 1.5</v>
      </c>
      <c r="G565" s="76" t="n">
        <v>46260</v>
      </c>
      <c r="H565" s="23" t="n">
        <f aca="false">MONTH(G565)</f>
        <v>8</v>
      </c>
      <c r="I565" s="74" t="s">
        <v>2074</v>
      </c>
      <c r="J565" s="74" t="s">
        <v>1317</v>
      </c>
      <c r="K565" s="10" t="n">
        <v>69.7</v>
      </c>
      <c r="L565" s="8" t="n">
        <v>2386869.83</v>
      </c>
      <c r="M565" s="10" t="n">
        <v>0</v>
      </c>
      <c r="N565" s="8" t="n">
        <v>0</v>
      </c>
      <c r="O565" s="74"/>
      <c r="P565" s="74"/>
      <c r="Q565" s="74"/>
      <c r="R565" s="14" t="n">
        <f aca="false">IF(I565="Unbilled",0,M565)</f>
        <v>0</v>
      </c>
      <c r="S565" s="9" t="n">
        <f aca="false">IF(R565=0,0,IF(O565="Booked",N565,R565*V564))</f>
        <v>0</v>
      </c>
      <c r="T565" s="14" t="n">
        <f aca="false">IF(I565="Opening",K565,T564+K565-R565)</f>
        <v>446</v>
      </c>
      <c r="U565" s="9" t="n">
        <f aca="false">IF(I565="Opening",L565,U564+L565-S565)</f>
        <v>14621797.8246438</v>
      </c>
      <c r="V565" s="9" t="n">
        <f aca="false">IF(T565&gt;0,U565/T565,IF(I565="Opening",0,V564))</f>
        <v>32784.3000552552</v>
      </c>
      <c r="W565" s="14" t="n">
        <f aca="false">M565</f>
        <v>0</v>
      </c>
      <c r="X565" s="9" t="n">
        <f aca="false">IF(W565=0,0,IF(O565="Booked",N565,W565*AA564))</f>
        <v>0</v>
      </c>
      <c r="Y565" s="14" t="n">
        <f aca="false">IF(I565="Opening",K565,Y564+K565-W565)</f>
        <v>446</v>
      </c>
      <c r="Z565" s="9" t="n">
        <f aca="false">IF(I565="Opening",L565,Z564+L565-X565)</f>
        <v>14621797.8246438</v>
      </c>
      <c r="AA565" s="9" t="n">
        <f aca="false">IF(Y565&gt;0,Z565/Y565,IF(I565="Opening",0,AA564))</f>
        <v>32784.3000552552</v>
      </c>
      <c r="AB565" s="9" t="n">
        <f aca="false">IF(AND(I565="DO",O565="MA"),S565-N565,0)</f>
        <v>0</v>
      </c>
      <c r="AC565" s="9" t="n">
        <f aca="false">IF(I565="DO",X565-S565,0)</f>
        <v>0</v>
      </c>
      <c r="AD565" s="23" t="n">
        <f aca="false">IF(B566&lt;&gt;B565,1,0)</f>
        <v>0</v>
      </c>
      <c r="AE565" s="14" t="n">
        <f aca="false">IF(I565="Opening",0,AE564+W565)</f>
        <v>68.4</v>
      </c>
      <c r="AF565" s="14" t="n">
        <f aca="false">IF(I565="Opening",K565,AF564)</f>
        <v>0</v>
      </c>
      <c r="AG565" s="14" t="n">
        <f aca="false">AG564</f>
        <v>129.2</v>
      </c>
      <c r="AH565" s="14" t="n">
        <f aca="false">IF(W565=0,0,MAX(0,MIN(AE565,AF565)-MIN(AE565-W565,AF565)))</f>
        <v>0</v>
      </c>
      <c r="AI565" s="14" t="n">
        <f aca="false">IF(W565=0,0,MAX(0,MIN(AE565,AF565+AG565)-MAX(AE565-W565,AF565)))</f>
        <v>0</v>
      </c>
      <c r="AJ565" s="14" t="n">
        <f aca="false">W565-AH565-AI565</f>
        <v>0</v>
      </c>
      <c r="AK565" s="9" t="n">
        <f aca="false">IF(W565=0,0,X565*AH565/W565)</f>
        <v>0</v>
      </c>
      <c r="AL565" s="9" t="n">
        <f aca="false">IF(W565=0,0,X565*AI565/W565)</f>
        <v>0</v>
      </c>
      <c r="AM565" s="9" t="n">
        <f aca="false">X565-AK565-AL565</f>
        <v>0</v>
      </c>
    </row>
    <row r="566" customFormat="false" ht="15" hidden="false" customHeight="false" outlineLevel="0" collapsed="false">
      <c r="A566" s="6" t="n">
        <v>561</v>
      </c>
      <c r="B566" s="74" t="s">
        <v>997</v>
      </c>
      <c r="C566" s="53" t="str">
        <f aca="false">INDEX(I_Items!$C$5:$C$133,MATCH($B566,I_Items!$A$5:$A$133,0))</f>
        <v>RPA</v>
      </c>
      <c r="D566" s="53" t="str">
        <f aca="false">INDEX(I_Items!$D$5:$D$133,MATCH($B566,I_Items!$A$5:$A$133,0))</f>
        <v>Karkas</v>
      </c>
      <c r="E566" s="53" t="str">
        <f aca="false">INDEX(I_Items!$F$5:$F$133,MATCH($B566,I_Items!$A$5:$A$133,0))</f>
        <v>Frozen</v>
      </c>
      <c r="F566" s="53" t="str">
        <f aca="false">IF(INDEX(I_Items!$E$5:$E$133,MATCH($B566,I_Items!$A$5:$A$133,0))="","",INDEX(I_Items!$E$5:$E$133,MATCH($B566,I_Items!$A$5:$A$133,0)))</f>
        <v>Uk 1.5</v>
      </c>
      <c r="G566" s="76" t="n">
        <v>46261</v>
      </c>
      <c r="H566" s="23" t="n">
        <f aca="false">MONTH(G566)</f>
        <v>8</v>
      </c>
      <c r="I566" s="74" t="s">
        <v>2074</v>
      </c>
      <c r="J566" s="74" t="s">
        <v>1320</v>
      </c>
      <c r="K566" s="10" t="n">
        <v>62.5</v>
      </c>
      <c r="L566" s="8" t="n">
        <v>2112746.79</v>
      </c>
      <c r="M566" s="10" t="n">
        <v>0</v>
      </c>
      <c r="N566" s="8" t="n">
        <v>0</v>
      </c>
      <c r="O566" s="74"/>
      <c r="P566" s="74"/>
      <c r="Q566" s="74"/>
      <c r="R566" s="14" t="n">
        <f aca="false">IF(I566="Unbilled",0,M566)</f>
        <v>0</v>
      </c>
      <c r="S566" s="9" t="n">
        <f aca="false">IF(R566=0,0,IF(O566="Booked",N566,R566*V565))</f>
        <v>0</v>
      </c>
      <c r="T566" s="14" t="n">
        <f aca="false">IF(I566="Opening",K566,T565+K566-R566)</f>
        <v>508.5</v>
      </c>
      <c r="U566" s="9" t="n">
        <f aca="false">IF(I566="Opening",L566,U565+L566-S566)</f>
        <v>16734544.6146438</v>
      </c>
      <c r="V566" s="9" t="n">
        <f aca="false">IF(T566&gt;0,U566/T566,IF(I566="Opening",0,V565))</f>
        <v>32909.6255941864</v>
      </c>
      <c r="W566" s="14" t="n">
        <f aca="false">M566</f>
        <v>0</v>
      </c>
      <c r="X566" s="9" t="n">
        <f aca="false">IF(W566=0,0,IF(O566="Booked",N566,W566*AA565))</f>
        <v>0</v>
      </c>
      <c r="Y566" s="14" t="n">
        <f aca="false">IF(I566="Opening",K566,Y565+K566-W566)</f>
        <v>508.5</v>
      </c>
      <c r="Z566" s="9" t="n">
        <f aca="false">IF(I566="Opening",L566,Z565+L566-X566)</f>
        <v>16734544.6146438</v>
      </c>
      <c r="AA566" s="9" t="n">
        <f aca="false">IF(Y566&gt;0,Z566/Y566,IF(I566="Opening",0,AA565))</f>
        <v>32909.6255941864</v>
      </c>
      <c r="AB566" s="9" t="n">
        <f aca="false">IF(AND(I566="DO",O566="MA"),S566-N566,0)</f>
        <v>0</v>
      </c>
      <c r="AC566" s="9" t="n">
        <f aca="false">IF(I566="DO",X566-S566,0)</f>
        <v>0</v>
      </c>
      <c r="AD566" s="23" t="n">
        <f aca="false">IF(B567&lt;&gt;B566,1,0)</f>
        <v>0</v>
      </c>
      <c r="AE566" s="14" t="n">
        <f aca="false">IF(I566="Opening",0,AE565+W566)</f>
        <v>68.4</v>
      </c>
      <c r="AF566" s="14" t="n">
        <f aca="false">IF(I566="Opening",K566,AF565)</f>
        <v>0</v>
      </c>
      <c r="AG566" s="14" t="n">
        <f aca="false">AG565</f>
        <v>129.2</v>
      </c>
      <c r="AH566" s="14" t="n">
        <f aca="false">IF(W566=0,0,MAX(0,MIN(AE566,AF566)-MIN(AE566-W566,AF566)))</f>
        <v>0</v>
      </c>
      <c r="AI566" s="14" t="n">
        <f aca="false">IF(W566=0,0,MAX(0,MIN(AE566,AF566+AG566)-MAX(AE566-W566,AF566)))</f>
        <v>0</v>
      </c>
      <c r="AJ566" s="14" t="n">
        <f aca="false">W566-AH566-AI566</f>
        <v>0</v>
      </c>
      <c r="AK566" s="9" t="n">
        <f aca="false">IF(W566=0,0,X566*AH566/W566)</f>
        <v>0</v>
      </c>
      <c r="AL566" s="9" t="n">
        <f aca="false">IF(W566=0,0,X566*AI566/W566)</f>
        <v>0</v>
      </c>
      <c r="AM566" s="9" t="n">
        <f aca="false">X566-AK566-AL566</f>
        <v>0</v>
      </c>
    </row>
    <row r="567" customFormat="false" ht="15" hidden="false" customHeight="false" outlineLevel="0" collapsed="false">
      <c r="A567" s="6" t="n">
        <v>562</v>
      </c>
      <c r="B567" s="74" t="s">
        <v>997</v>
      </c>
      <c r="C567" s="53" t="str">
        <f aca="false">INDEX(I_Items!$C$5:$C$133,MATCH($B567,I_Items!$A$5:$A$133,0))</f>
        <v>RPA</v>
      </c>
      <c r="D567" s="53" t="str">
        <f aca="false">INDEX(I_Items!$D$5:$D$133,MATCH($B567,I_Items!$A$5:$A$133,0))</f>
        <v>Karkas</v>
      </c>
      <c r="E567" s="53" t="str">
        <f aca="false">INDEX(I_Items!$F$5:$F$133,MATCH($B567,I_Items!$A$5:$A$133,0))</f>
        <v>Frozen</v>
      </c>
      <c r="F567" s="53" t="str">
        <f aca="false">IF(INDEX(I_Items!$E$5:$E$133,MATCH($B567,I_Items!$A$5:$A$133,0))="","",INDEX(I_Items!$E$5:$E$133,MATCH($B567,I_Items!$A$5:$A$133,0)))</f>
        <v>Uk 1.5</v>
      </c>
      <c r="G567" s="76" t="n">
        <v>46265</v>
      </c>
      <c r="H567" s="23" t="n">
        <f aca="false">MONTH(G567)</f>
        <v>8</v>
      </c>
      <c r="I567" s="74" t="s">
        <v>2074</v>
      </c>
      <c r="J567" s="74" t="s">
        <v>1326</v>
      </c>
      <c r="K567" s="10" t="n">
        <v>164.8</v>
      </c>
      <c r="L567" s="8" t="n">
        <v>5520260.18</v>
      </c>
      <c r="M567" s="10" t="n">
        <v>0</v>
      </c>
      <c r="N567" s="8" t="n">
        <v>0</v>
      </c>
      <c r="O567" s="74"/>
      <c r="P567" s="74"/>
      <c r="Q567" s="74"/>
      <c r="R567" s="14" t="n">
        <f aca="false">IF(I567="Unbilled",0,M567)</f>
        <v>0</v>
      </c>
      <c r="S567" s="9" t="n">
        <f aca="false">IF(R567=0,0,IF(O567="Booked",N567,R567*V566))</f>
        <v>0</v>
      </c>
      <c r="T567" s="14" t="n">
        <f aca="false">IF(I567="Opening",K567,T566+K567-R567)</f>
        <v>673.3</v>
      </c>
      <c r="U567" s="9" t="n">
        <f aca="false">IF(I567="Opening",L567,U566+L567-S567)</f>
        <v>22254804.7946438</v>
      </c>
      <c r="V567" s="9" t="n">
        <f aca="false">IF(T567&gt;0,U567/T567,IF(I567="Opening",0,V566))</f>
        <v>33053.3265923716</v>
      </c>
      <c r="W567" s="14" t="n">
        <f aca="false">M567</f>
        <v>0</v>
      </c>
      <c r="X567" s="9" t="n">
        <f aca="false">IF(W567=0,0,IF(O567="Booked",N567,W567*AA566))</f>
        <v>0</v>
      </c>
      <c r="Y567" s="14" t="n">
        <f aca="false">IF(I567="Opening",K567,Y566+K567-W567)</f>
        <v>673.3</v>
      </c>
      <c r="Z567" s="9" t="n">
        <f aca="false">IF(I567="Opening",L567,Z566+L567-X567)</f>
        <v>22254804.7946438</v>
      </c>
      <c r="AA567" s="9" t="n">
        <f aca="false">IF(Y567&gt;0,Z567/Y567,IF(I567="Opening",0,AA566))</f>
        <v>33053.3265923716</v>
      </c>
      <c r="AB567" s="9" t="n">
        <f aca="false">IF(AND(I567="DO",O567="MA"),S567-N567,0)</f>
        <v>0</v>
      </c>
      <c r="AC567" s="9" t="n">
        <f aca="false">IF(I567="DO",X567-S567,0)</f>
        <v>0</v>
      </c>
      <c r="AD567" s="23" t="n">
        <f aca="false">IF(B568&lt;&gt;B567,1,0)</f>
        <v>1</v>
      </c>
      <c r="AE567" s="14" t="n">
        <f aca="false">IF(I567="Opening",0,AE566+W567)</f>
        <v>68.4</v>
      </c>
      <c r="AF567" s="14" t="n">
        <f aca="false">IF(I567="Opening",K567,AF566)</f>
        <v>0</v>
      </c>
      <c r="AG567" s="14" t="n">
        <f aca="false">AG566</f>
        <v>129.2</v>
      </c>
      <c r="AH567" s="14" t="n">
        <f aca="false">IF(W567=0,0,MAX(0,MIN(AE567,AF567)-MIN(AE567-W567,AF567)))</f>
        <v>0</v>
      </c>
      <c r="AI567" s="14" t="n">
        <f aca="false">IF(W567=0,0,MAX(0,MIN(AE567,AF567+AG567)-MAX(AE567-W567,AF567)))</f>
        <v>0</v>
      </c>
      <c r="AJ567" s="14" t="n">
        <f aca="false">W567-AH567-AI567</f>
        <v>0</v>
      </c>
      <c r="AK567" s="9" t="n">
        <f aca="false">IF(W567=0,0,X567*AH567/W567)</f>
        <v>0</v>
      </c>
      <c r="AL567" s="9" t="n">
        <f aca="false">IF(W567=0,0,X567*AI567/W567)</f>
        <v>0</v>
      </c>
      <c r="AM567" s="9" t="n">
        <f aca="false">X567-AK567-AL567</f>
        <v>0</v>
      </c>
    </row>
    <row r="568" customFormat="false" ht="15" hidden="false" customHeight="false" outlineLevel="0" collapsed="false">
      <c r="A568" s="6" t="n">
        <v>563</v>
      </c>
      <c r="B568" s="74" t="s">
        <v>998</v>
      </c>
      <c r="C568" s="53" t="str">
        <f aca="false">INDEX(I_Items!$C$5:$C$133,MATCH($B568,I_Items!$A$5:$A$133,0))</f>
        <v>RPA</v>
      </c>
      <c r="D568" s="53" t="str">
        <f aca="false">INDEX(I_Items!$D$5:$D$133,MATCH($B568,I_Items!$A$5:$A$133,0))</f>
        <v>Karkas</v>
      </c>
      <c r="E568" s="53" t="str">
        <f aca="false">INDEX(I_Items!$F$5:$F$133,MATCH($B568,I_Items!$A$5:$A$133,0))</f>
        <v>Frozen</v>
      </c>
      <c r="F568" s="53" t="str">
        <f aca="false">IF(INDEX(I_Items!$E$5:$E$133,MATCH($B568,I_Items!$A$5:$A$133,0))="","",INDEX(I_Items!$E$5:$E$133,MATCH($B568,I_Items!$A$5:$A$133,0)))</f>
        <v>Uk 1.5</v>
      </c>
      <c r="G568" s="76" t="n">
        <v>46204</v>
      </c>
      <c r="H568" s="23" t="n">
        <f aca="false">MONTH(G568)</f>
        <v>7</v>
      </c>
      <c r="I568" s="74" t="s">
        <v>2072</v>
      </c>
      <c r="J568" s="74" t="s">
        <v>2073</v>
      </c>
      <c r="K568" s="10" t="n">
        <v>189.25</v>
      </c>
      <c r="L568" s="8" t="n">
        <v>5188372.47</v>
      </c>
      <c r="M568" s="10" t="n">
        <v>0</v>
      </c>
      <c r="N568" s="8" t="n">
        <v>0</v>
      </c>
      <c r="O568" s="74"/>
      <c r="P568" s="74"/>
      <c r="Q568" s="74"/>
      <c r="R568" s="14" t="n">
        <f aca="false">IF(I568="Unbilled",0,M568)</f>
        <v>0</v>
      </c>
      <c r="S568" s="9" t="n">
        <f aca="false">IF(R568=0,0,IF(O568="Booked",N568,R568*V567))</f>
        <v>0</v>
      </c>
      <c r="T568" s="14" t="n">
        <f aca="false">IF(I568="Opening",K568,T567+K568-R568)</f>
        <v>189.25</v>
      </c>
      <c r="U568" s="9" t="n">
        <f aca="false">IF(I568="Opening",L568,U567+L568-S568)</f>
        <v>5188372.47</v>
      </c>
      <c r="V568" s="9" t="n">
        <f aca="false">IF(T568&gt;0,U568/T568,IF(I568="Opening",0,V567))</f>
        <v>27415.4423778071</v>
      </c>
      <c r="W568" s="14" t="n">
        <f aca="false">M568</f>
        <v>0</v>
      </c>
      <c r="X568" s="9" t="n">
        <f aca="false">IF(W568=0,0,IF(O568="Booked",N568,W568*AA567))</f>
        <v>0</v>
      </c>
      <c r="Y568" s="14" t="n">
        <f aca="false">IF(I568="Opening",K568,Y567+K568-W568)</f>
        <v>189.25</v>
      </c>
      <c r="Z568" s="9" t="n">
        <f aca="false">IF(I568="Opening",L568,Z567+L568-X568)</f>
        <v>5188372.47</v>
      </c>
      <c r="AA568" s="9" t="n">
        <f aca="false">IF(Y568&gt;0,Z568/Y568,IF(I568="Opening",0,AA567))</f>
        <v>27415.4423778071</v>
      </c>
      <c r="AB568" s="9" t="n">
        <f aca="false">IF(AND(I568="DO",O568="MA"),S568-N568,0)</f>
        <v>0</v>
      </c>
      <c r="AC568" s="9" t="n">
        <f aca="false">IF(I568="DO",X568-S568,0)</f>
        <v>0</v>
      </c>
      <c r="AD568" s="23" t="n">
        <f aca="false">IF(B569&lt;&gt;B568,1,0)</f>
        <v>0</v>
      </c>
      <c r="AE568" s="14" t="n">
        <f aca="false">IF(I568="Opening",0,AE567+W568)</f>
        <v>0</v>
      </c>
      <c r="AF568" s="14" t="n">
        <f aca="false">IF(I568="Opening",K568,AF567)</f>
        <v>189.25</v>
      </c>
      <c r="AG568" s="14" t="n">
        <f aca="false">SUMIFS($K$6:$K$1110,$B$6:$B$1110,B568,$H$6:$H$1110,7,$I$6:$I$1110,"&lt;&gt;Opening")</f>
        <v>0</v>
      </c>
      <c r="AH568" s="14" t="n">
        <f aca="false">IF(W568=0,0,MAX(0,MIN(AE568,AF568)-MIN(AE568-W568,AF568)))</f>
        <v>0</v>
      </c>
      <c r="AI568" s="14" t="n">
        <f aca="false">IF(W568=0,0,MAX(0,MIN(AE568,AF568+AG568)-MAX(AE568-W568,AF568)))</f>
        <v>0</v>
      </c>
      <c r="AJ568" s="14" t="n">
        <f aca="false">W568-AH568-AI568</f>
        <v>0</v>
      </c>
      <c r="AK568" s="9" t="n">
        <f aca="false">IF(W568=0,0,X568*AH568/W568)</f>
        <v>0</v>
      </c>
      <c r="AL568" s="9" t="n">
        <f aca="false">IF(W568=0,0,X568*AI568/W568)</f>
        <v>0</v>
      </c>
      <c r="AM568" s="9" t="n">
        <f aca="false">X568-AK568-AL568</f>
        <v>0</v>
      </c>
    </row>
    <row r="569" customFormat="false" ht="15" hidden="false" customHeight="false" outlineLevel="0" collapsed="false">
      <c r="A569" s="6" t="n">
        <v>564</v>
      </c>
      <c r="B569" s="74" t="s">
        <v>998</v>
      </c>
      <c r="C569" s="53" t="str">
        <f aca="false">INDEX(I_Items!$C$5:$C$133,MATCH($B569,I_Items!$A$5:$A$133,0))</f>
        <v>RPA</v>
      </c>
      <c r="D569" s="53" t="str">
        <f aca="false">INDEX(I_Items!$D$5:$D$133,MATCH($B569,I_Items!$A$5:$A$133,0))</f>
        <v>Karkas</v>
      </c>
      <c r="E569" s="53" t="str">
        <f aca="false">INDEX(I_Items!$F$5:$F$133,MATCH($B569,I_Items!$A$5:$A$133,0))</f>
        <v>Frozen</v>
      </c>
      <c r="F569" s="53" t="str">
        <f aca="false">IF(INDEX(I_Items!$E$5:$E$133,MATCH($B569,I_Items!$A$5:$A$133,0))="","",INDEX(I_Items!$E$5:$E$133,MATCH($B569,I_Items!$A$5:$A$133,0)))</f>
        <v>Uk 1.5</v>
      </c>
      <c r="G569" s="76" t="n">
        <v>46262</v>
      </c>
      <c r="H569" s="23" t="n">
        <f aca="false">MONTH(G569)</f>
        <v>8</v>
      </c>
      <c r="I569" s="74" t="s">
        <v>2074</v>
      </c>
      <c r="J569" s="74" t="s">
        <v>1323</v>
      </c>
      <c r="K569" s="10" t="n">
        <v>980.7</v>
      </c>
      <c r="L569" s="8" t="n">
        <v>36768260.34</v>
      </c>
      <c r="M569" s="10" t="n">
        <v>0</v>
      </c>
      <c r="N569" s="8" t="n">
        <v>0</v>
      </c>
      <c r="O569" s="74"/>
      <c r="P569" s="74"/>
      <c r="Q569" s="74"/>
      <c r="R569" s="14" t="n">
        <f aca="false">IF(I569="Unbilled",0,M569)</f>
        <v>0</v>
      </c>
      <c r="S569" s="9" t="n">
        <f aca="false">IF(R569=0,0,IF(O569="Booked",N569,R569*V568))</f>
        <v>0</v>
      </c>
      <c r="T569" s="14" t="n">
        <f aca="false">IF(I569="Opening",K569,T568+K569-R569)</f>
        <v>1169.95</v>
      </c>
      <c r="U569" s="9" t="n">
        <f aca="false">IF(I569="Opening",L569,U568+L569-S569)</f>
        <v>41956632.81</v>
      </c>
      <c r="V569" s="9" t="n">
        <f aca="false">IF(T569&gt;0,U569/T569,IF(I569="Opening",0,V568))</f>
        <v>35861.9024830121</v>
      </c>
      <c r="W569" s="14" t="n">
        <f aca="false">M569</f>
        <v>0</v>
      </c>
      <c r="X569" s="9" t="n">
        <f aca="false">IF(W569=0,0,IF(O569="Booked",N569,W569*AA568))</f>
        <v>0</v>
      </c>
      <c r="Y569" s="14" t="n">
        <f aca="false">IF(I569="Opening",K569,Y568+K569-W569)</f>
        <v>1169.95</v>
      </c>
      <c r="Z569" s="9" t="n">
        <f aca="false">IF(I569="Opening",L569,Z568+L569-X569)</f>
        <v>41956632.81</v>
      </c>
      <c r="AA569" s="9" t="n">
        <f aca="false">IF(Y569&gt;0,Z569/Y569,IF(I569="Opening",0,AA568))</f>
        <v>35861.9024830121</v>
      </c>
      <c r="AB569" s="9" t="n">
        <f aca="false">IF(AND(I569="DO",O569="MA"),S569-N569,0)</f>
        <v>0</v>
      </c>
      <c r="AC569" s="9" t="n">
        <f aca="false">IF(I569="DO",X569-S569,0)</f>
        <v>0</v>
      </c>
      <c r="AD569" s="23" t="n">
        <f aca="false">IF(B570&lt;&gt;B569,1,0)</f>
        <v>0</v>
      </c>
      <c r="AE569" s="14" t="n">
        <f aca="false">IF(I569="Opening",0,AE568+W569)</f>
        <v>0</v>
      </c>
      <c r="AF569" s="14" t="n">
        <f aca="false">IF(I569="Opening",K569,AF568)</f>
        <v>189.25</v>
      </c>
      <c r="AG569" s="14" t="n">
        <f aca="false">AG568</f>
        <v>0</v>
      </c>
      <c r="AH569" s="14" t="n">
        <f aca="false">IF(W569=0,0,MAX(0,MIN(AE569,AF569)-MIN(AE569-W569,AF569)))</f>
        <v>0</v>
      </c>
      <c r="AI569" s="14" t="n">
        <f aca="false">IF(W569=0,0,MAX(0,MIN(AE569,AF569+AG569)-MAX(AE569-W569,AF569)))</f>
        <v>0</v>
      </c>
      <c r="AJ569" s="14" t="n">
        <f aca="false">W569-AH569-AI569</f>
        <v>0</v>
      </c>
      <c r="AK569" s="9" t="n">
        <f aca="false">IF(W569=0,0,X569*AH569/W569)</f>
        <v>0</v>
      </c>
      <c r="AL569" s="9" t="n">
        <f aca="false">IF(W569=0,0,X569*AI569/W569)</f>
        <v>0</v>
      </c>
      <c r="AM569" s="9" t="n">
        <f aca="false">X569-AK569-AL569</f>
        <v>0</v>
      </c>
    </row>
    <row r="570" customFormat="false" ht="15" hidden="false" customHeight="false" outlineLevel="0" collapsed="false">
      <c r="A570" s="6" t="n">
        <v>565</v>
      </c>
      <c r="B570" s="74" t="s">
        <v>998</v>
      </c>
      <c r="C570" s="53" t="str">
        <f aca="false">INDEX(I_Items!$C$5:$C$133,MATCH($B570,I_Items!$A$5:$A$133,0))</f>
        <v>RPA</v>
      </c>
      <c r="D570" s="53" t="str">
        <f aca="false">INDEX(I_Items!$D$5:$D$133,MATCH($B570,I_Items!$A$5:$A$133,0))</f>
        <v>Karkas</v>
      </c>
      <c r="E570" s="53" t="str">
        <f aca="false">INDEX(I_Items!$F$5:$F$133,MATCH($B570,I_Items!$A$5:$A$133,0))</f>
        <v>Frozen</v>
      </c>
      <c r="F570" s="53" t="str">
        <f aca="false">IF(INDEX(I_Items!$E$5:$E$133,MATCH($B570,I_Items!$A$5:$A$133,0))="","",INDEX(I_Items!$E$5:$E$133,MATCH($B570,I_Items!$A$5:$A$133,0)))</f>
        <v>Uk 1.5</v>
      </c>
      <c r="G570" s="76" t="n">
        <v>46263</v>
      </c>
      <c r="H570" s="23" t="n">
        <f aca="false">MONTH(G570)</f>
        <v>8</v>
      </c>
      <c r="I570" s="74" t="s">
        <v>2075</v>
      </c>
      <c r="J570" s="74" t="s">
        <v>2132</v>
      </c>
      <c r="K570" s="10" t="n">
        <v>0</v>
      </c>
      <c r="L570" s="8" t="n">
        <v>0</v>
      </c>
      <c r="M570" s="10" t="n">
        <v>430.25</v>
      </c>
      <c r="N570" s="8" t="n">
        <v>15429583.55</v>
      </c>
      <c r="O570" s="74" t="s">
        <v>2077</v>
      </c>
      <c r="P570" s="74"/>
      <c r="Q570" s="74"/>
      <c r="R570" s="14" t="n">
        <f aca="false">IF(I570="Unbilled",0,M570)</f>
        <v>430.25</v>
      </c>
      <c r="S570" s="9" t="n">
        <f aca="false">IF(R570=0,0,IF(O570="Booked",N570,R570*V569))</f>
        <v>15429583.543316</v>
      </c>
      <c r="T570" s="14" t="n">
        <f aca="false">IF(I570="Opening",K570,T569+K570-R570)</f>
        <v>739.7</v>
      </c>
      <c r="U570" s="9" t="n">
        <f aca="false">IF(I570="Opening",L570,U569+L570-S570)</f>
        <v>26527049.266684</v>
      </c>
      <c r="V570" s="9" t="n">
        <f aca="false">IF(T570&gt;0,U570/T570,IF(I570="Opening",0,V569))</f>
        <v>35861.9024830121</v>
      </c>
      <c r="W570" s="14" t="n">
        <f aca="false">M570</f>
        <v>430.25</v>
      </c>
      <c r="X570" s="9" t="n">
        <f aca="false">IF(W570=0,0,IF(O570="Booked",N570,W570*AA569))</f>
        <v>15429583.543316</v>
      </c>
      <c r="Y570" s="14" t="n">
        <f aca="false">IF(I570="Opening",K570,Y569+K570-W570)</f>
        <v>739.7</v>
      </c>
      <c r="Z570" s="9" t="n">
        <f aca="false">IF(I570="Opening",L570,Z569+L570-X570)</f>
        <v>26527049.266684</v>
      </c>
      <c r="AA570" s="9" t="n">
        <f aca="false">IF(Y570&gt;0,Z570/Y570,IF(I570="Opening",0,AA569))</f>
        <v>35861.9024830121</v>
      </c>
      <c r="AB570" s="9" t="n">
        <f aca="false">IF(AND(I570="DO",O570="MA"),S570-N570,0)</f>
        <v>-0.00668404623866081</v>
      </c>
      <c r="AC570" s="9" t="n">
        <f aca="false">IF(I570="DO",X570-S570,0)</f>
        <v>0</v>
      </c>
      <c r="AD570" s="23" t="n">
        <f aca="false">IF(B571&lt;&gt;B570,1,0)</f>
        <v>0</v>
      </c>
      <c r="AE570" s="14" t="n">
        <f aca="false">IF(I570="Opening",0,AE569+W570)</f>
        <v>430.25</v>
      </c>
      <c r="AF570" s="14" t="n">
        <f aca="false">IF(I570="Opening",K570,AF569)</f>
        <v>189.25</v>
      </c>
      <c r="AG570" s="14" t="n">
        <f aca="false">AG569</f>
        <v>0</v>
      </c>
      <c r="AH570" s="14" t="n">
        <f aca="false">IF(W570=0,0,MAX(0,MIN(AE570,AF570)-MIN(AE570-W570,AF570)))</f>
        <v>189.25</v>
      </c>
      <c r="AI570" s="14" t="n">
        <f aca="false">IF(W570=0,0,MAX(0,MIN(AE570,AF570+AG570)-MAX(AE570-W570,AF570)))</f>
        <v>0</v>
      </c>
      <c r="AJ570" s="14" t="n">
        <f aca="false">W570-AH570-AI570</f>
        <v>241</v>
      </c>
      <c r="AK570" s="9" t="n">
        <f aca="false">IF(W570=0,0,X570*AH570/W570)</f>
        <v>6786865.04491004</v>
      </c>
      <c r="AL570" s="9" t="n">
        <f aca="false">IF(W570=0,0,X570*AI570/W570)</f>
        <v>0</v>
      </c>
      <c r="AM570" s="9" t="n">
        <f aca="false">X570-AK570-AL570</f>
        <v>8642718.49840592</v>
      </c>
    </row>
    <row r="571" customFormat="false" ht="15" hidden="false" customHeight="false" outlineLevel="0" collapsed="false">
      <c r="A571" s="6" t="n">
        <v>566</v>
      </c>
      <c r="B571" s="74" t="s">
        <v>998</v>
      </c>
      <c r="C571" s="53" t="str">
        <f aca="false">INDEX(I_Items!$C$5:$C$133,MATCH($B571,I_Items!$A$5:$A$133,0))</f>
        <v>RPA</v>
      </c>
      <c r="D571" s="53" t="str">
        <f aca="false">INDEX(I_Items!$D$5:$D$133,MATCH($B571,I_Items!$A$5:$A$133,0))</f>
        <v>Karkas</v>
      </c>
      <c r="E571" s="53" t="str">
        <f aca="false">INDEX(I_Items!$F$5:$F$133,MATCH($B571,I_Items!$A$5:$A$133,0))</f>
        <v>Frozen</v>
      </c>
      <c r="F571" s="53" t="str">
        <f aca="false">IF(INDEX(I_Items!$E$5:$E$133,MATCH($B571,I_Items!$A$5:$A$133,0))="","",INDEX(I_Items!$E$5:$E$133,MATCH($B571,I_Items!$A$5:$A$133,0)))</f>
        <v>Uk 1.5</v>
      </c>
      <c r="G571" s="76" t="n">
        <v>46265</v>
      </c>
      <c r="H571" s="23" t="n">
        <f aca="false">MONTH(G571)</f>
        <v>8</v>
      </c>
      <c r="I571" s="74" t="s">
        <v>2074</v>
      </c>
      <c r="J571" s="74" t="s">
        <v>1326</v>
      </c>
      <c r="K571" s="10" t="n">
        <v>1479.9</v>
      </c>
      <c r="L571" s="8" t="n">
        <v>54528982.62</v>
      </c>
      <c r="M571" s="10" t="n">
        <v>0</v>
      </c>
      <c r="N571" s="8" t="n">
        <v>0</v>
      </c>
      <c r="O571" s="74"/>
      <c r="P571" s="74"/>
      <c r="Q571" s="74"/>
      <c r="R571" s="14" t="n">
        <f aca="false">IF(I571="Unbilled",0,M571)</f>
        <v>0</v>
      </c>
      <c r="S571" s="9" t="n">
        <f aca="false">IF(R571=0,0,IF(O571="Booked",N571,R571*V570))</f>
        <v>0</v>
      </c>
      <c r="T571" s="14" t="n">
        <f aca="false">IF(I571="Opening",K571,T570+K571-R571)</f>
        <v>2219.6</v>
      </c>
      <c r="U571" s="9" t="n">
        <f aca="false">IF(I571="Opening",L571,U570+L571-S571)</f>
        <v>81056031.8866841</v>
      </c>
      <c r="V571" s="9" t="n">
        <f aca="false">IF(T571&gt;0,U571/T571,IF(I571="Opening",0,V570))</f>
        <v>36518.3059500289</v>
      </c>
      <c r="W571" s="14" t="n">
        <f aca="false">M571</f>
        <v>0</v>
      </c>
      <c r="X571" s="9" t="n">
        <f aca="false">IF(W571=0,0,IF(O571="Booked",N571,W571*AA570))</f>
        <v>0</v>
      </c>
      <c r="Y571" s="14" t="n">
        <f aca="false">IF(I571="Opening",K571,Y570+K571-W571)</f>
        <v>2219.6</v>
      </c>
      <c r="Z571" s="9" t="n">
        <f aca="false">IF(I571="Opening",L571,Z570+L571-X571)</f>
        <v>81056031.8866841</v>
      </c>
      <c r="AA571" s="9" t="n">
        <f aca="false">IF(Y571&gt;0,Z571/Y571,IF(I571="Opening",0,AA570))</f>
        <v>36518.3059500289</v>
      </c>
      <c r="AB571" s="9" t="n">
        <f aca="false">IF(AND(I571="DO",O571="MA"),S571-N571,0)</f>
        <v>0</v>
      </c>
      <c r="AC571" s="9" t="n">
        <f aca="false">IF(I571="DO",X571-S571,0)</f>
        <v>0</v>
      </c>
      <c r="AD571" s="23" t="n">
        <f aca="false">IF(B572&lt;&gt;B571,1,0)</f>
        <v>1</v>
      </c>
      <c r="AE571" s="14" t="n">
        <f aca="false">IF(I571="Opening",0,AE570+W571)</f>
        <v>430.25</v>
      </c>
      <c r="AF571" s="14" t="n">
        <f aca="false">IF(I571="Opening",K571,AF570)</f>
        <v>189.25</v>
      </c>
      <c r="AG571" s="14" t="n">
        <f aca="false">AG570</f>
        <v>0</v>
      </c>
      <c r="AH571" s="14" t="n">
        <f aca="false">IF(W571=0,0,MAX(0,MIN(AE571,AF571)-MIN(AE571-W571,AF571)))</f>
        <v>0</v>
      </c>
      <c r="AI571" s="14" t="n">
        <f aca="false">IF(W571=0,0,MAX(0,MIN(AE571,AF571+AG571)-MAX(AE571-W571,AF571)))</f>
        <v>0</v>
      </c>
      <c r="AJ571" s="14" t="n">
        <f aca="false">W571-AH571-AI571</f>
        <v>0</v>
      </c>
      <c r="AK571" s="9" t="n">
        <f aca="false">IF(W571=0,0,X571*AH571/W571)</f>
        <v>0</v>
      </c>
      <c r="AL571" s="9" t="n">
        <f aca="false">IF(W571=0,0,X571*AI571/W571)</f>
        <v>0</v>
      </c>
      <c r="AM571" s="9" t="n">
        <f aca="false">X571-AK571-AL571</f>
        <v>0</v>
      </c>
    </row>
    <row r="572" customFormat="false" ht="15" hidden="false" customHeight="false" outlineLevel="0" collapsed="false">
      <c r="A572" s="6" t="n">
        <v>567</v>
      </c>
      <c r="B572" s="74" t="s">
        <v>999</v>
      </c>
      <c r="C572" s="53" t="str">
        <f aca="false">INDEX(I_Items!$C$5:$C$133,MATCH($B572,I_Items!$A$5:$A$133,0))</f>
        <v>RPA</v>
      </c>
      <c r="D572" s="53" t="str">
        <f aca="false">INDEX(I_Items!$D$5:$D$133,MATCH($B572,I_Items!$A$5:$A$133,0))</f>
        <v>Karkas</v>
      </c>
      <c r="E572" s="53" t="str">
        <f aca="false">INDEX(I_Items!$F$5:$F$133,MATCH($B572,I_Items!$A$5:$A$133,0))</f>
        <v>Fresh</v>
      </c>
      <c r="F572" s="53" t="str">
        <f aca="false">IF(INDEX(I_Items!$E$5:$E$133,MATCH($B572,I_Items!$A$5:$A$133,0))="","",INDEX(I_Items!$E$5:$E$133,MATCH($B572,I_Items!$A$5:$A$133,0)))</f>
        <v>Uk 1.6</v>
      </c>
      <c r="G572" s="76" t="n">
        <v>46204</v>
      </c>
      <c r="H572" s="23" t="n">
        <f aca="false">MONTH(G572)</f>
        <v>7</v>
      </c>
      <c r="I572" s="74" t="s">
        <v>2072</v>
      </c>
      <c r="J572" s="74" t="s">
        <v>2073</v>
      </c>
      <c r="K572" s="10" t="n">
        <v>0</v>
      </c>
      <c r="L572" s="8" t="n">
        <v>0</v>
      </c>
      <c r="M572" s="10" t="n">
        <v>0</v>
      </c>
      <c r="N572" s="8" t="n">
        <v>0</v>
      </c>
      <c r="O572" s="74"/>
      <c r="P572" s="74"/>
      <c r="Q572" s="74"/>
      <c r="R572" s="14" t="n">
        <f aca="false">IF(I572="Unbilled",0,M572)</f>
        <v>0</v>
      </c>
      <c r="S572" s="9" t="n">
        <f aca="false">IF(R572=0,0,IF(O572="Booked",N572,R572*V571))</f>
        <v>0</v>
      </c>
      <c r="T572" s="14" t="n">
        <f aca="false">IF(I572="Opening",K572,T571+K572-R572)</f>
        <v>0</v>
      </c>
      <c r="U572" s="9" t="n">
        <f aca="false">IF(I572="Opening",L572,U571+L572-S572)</f>
        <v>0</v>
      </c>
      <c r="V572" s="9" t="n">
        <f aca="false">IF(T572&gt;0,U572/T572,IF(I572="Opening",0,V571))</f>
        <v>0</v>
      </c>
      <c r="W572" s="14" t="n">
        <f aca="false">M572</f>
        <v>0</v>
      </c>
      <c r="X572" s="9" t="n">
        <f aca="false">IF(W572=0,0,IF(O572="Booked",N572,W572*AA571))</f>
        <v>0</v>
      </c>
      <c r="Y572" s="14" t="n">
        <f aca="false">IF(I572="Opening",K572,Y571+K572-W572)</f>
        <v>0</v>
      </c>
      <c r="Z572" s="9" t="n">
        <f aca="false">IF(I572="Opening",L572,Z571+L572-X572)</f>
        <v>0</v>
      </c>
      <c r="AA572" s="9" t="n">
        <f aca="false">IF(Y572&gt;0,Z572/Y572,IF(I572="Opening",0,AA571))</f>
        <v>0</v>
      </c>
      <c r="AB572" s="9" t="n">
        <f aca="false">IF(AND(I572="DO",O572="MA"),S572-N572,0)</f>
        <v>0</v>
      </c>
      <c r="AC572" s="9" t="n">
        <f aca="false">IF(I572="DO",X572-S572,0)</f>
        <v>0</v>
      </c>
      <c r="AD572" s="23" t="n">
        <f aca="false">IF(B573&lt;&gt;B572,1,0)</f>
        <v>0</v>
      </c>
      <c r="AE572" s="14" t="n">
        <f aca="false">IF(I572="Opening",0,AE571+W572)</f>
        <v>0</v>
      </c>
      <c r="AF572" s="14" t="n">
        <f aca="false">IF(I572="Opening",K572,AF571)</f>
        <v>0</v>
      </c>
      <c r="AG572" s="14" t="n">
        <f aca="false">SUMIFS($K$6:$K$1110,$B$6:$B$1110,B572,$H$6:$H$1110,7,$I$6:$I$1110,"&lt;&gt;Opening")</f>
        <v>0</v>
      </c>
      <c r="AH572" s="14" t="n">
        <f aca="false">IF(W572=0,0,MAX(0,MIN(AE572,AF572)-MIN(AE572-W572,AF572)))</f>
        <v>0</v>
      </c>
      <c r="AI572" s="14" t="n">
        <f aca="false">IF(W572=0,0,MAX(0,MIN(AE572,AF572+AG572)-MAX(AE572-W572,AF572)))</f>
        <v>0</v>
      </c>
      <c r="AJ572" s="14" t="n">
        <f aca="false">W572-AH572-AI572</f>
        <v>0</v>
      </c>
      <c r="AK572" s="9" t="n">
        <f aca="false">IF(W572=0,0,X572*AH572/W572)</f>
        <v>0</v>
      </c>
      <c r="AL572" s="9" t="n">
        <f aca="false">IF(W572=0,0,X572*AI572/W572)</f>
        <v>0</v>
      </c>
      <c r="AM572" s="9" t="n">
        <f aca="false">X572-AK572-AL572</f>
        <v>0</v>
      </c>
    </row>
    <row r="573" customFormat="false" ht="15" hidden="false" customHeight="false" outlineLevel="0" collapsed="false">
      <c r="A573" s="6" t="n">
        <v>568</v>
      </c>
      <c r="B573" s="74" t="s">
        <v>999</v>
      </c>
      <c r="C573" s="53" t="str">
        <f aca="false">INDEX(I_Items!$C$5:$C$133,MATCH($B573,I_Items!$A$5:$A$133,0))</f>
        <v>RPA</v>
      </c>
      <c r="D573" s="53" t="str">
        <f aca="false">INDEX(I_Items!$D$5:$D$133,MATCH($B573,I_Items!$A$5:$A$133,0))</f>
        <v>Karkas</v>
      </c>
      <c r="E573" s="53" t="str">
        <f aca="false">INDEX(I_Items!$F$5:$F$133,MATCH($B573,I_Items!$A$5:$A$133,0))</f>
        <v>Fresh</v>
      </c>
      <c r="F573" s="53" t="str">
        <f aca="false">IF(INDEX(I_Items!$E$5:$E$133,MATCH($B573,I_Items!$A$5:$A$133,0))="","",INDEX(I_Items!$E$5:$E$133,MATCH($B573,I_Items!$A$5:$A$133,0)))</f>
        <v>Uk 1.6</v>
      </c>
      <c r="G573" s="76" t="n">
        <v>46244</v>
      </c>
      <c r="H573" s="23" t="n">
        <f aca="false">MONTH(G573)</f>
        <v>8</v>
      </c>
      <c r="I573" s="74" t="s">
        <v>2074</v>
      </c>
      <c r="J573" s="74" t="s">
        <v>1298</v>
      </c>
      <c r="K573" s="10" t="n">
        <v>807.1</v>
      </c>
      <c r="L573" s="8" t="n">
        <v>30616720.02</v>
      </c>
      <c r="M573" s="10" t="n">
        <v>0</v>
      </c>
      <c r="N573" s="8" t="n">
        <v>0</v>
      </c>
      <c r="O573" s="74"/>
      <c r="P573" s="74"/>
      <c r="Q573" s="74"/>
      <c r="R573" s="14" t="n">
        <f aca="false">IF(I573="Unbilled",0,M573)</f>
        <v>0</v>
      </c>
      <c r="S573" s="9" t="n">
        <f aca="false">IF(R573=0,0,IF(O573="Booked",N573,R573*V572))</f>
        <v>0</v>
      </c>
      <c r="T573" s="14" t="n">
        <f aca="false">IF(I573="Opening",K573,T572+K573-R573)</f>
        <v>807.1</v>
      </c>
      <c r="U573" s="9" t="n">
        <f aca="false">IF(I573="Opening",L573,U572+L573-S573)</f>
        <v>30616720.02</v>
      </c>
      <c r="V573" s="9" t="n">
        <f aca="false">IF(T573&gt;0,U573/T573,IF(I573="Opening",0,V572))</f>
        <v>37934.2337009045</v>
      </c>
      <c r="W573" s="14" t="n">
        <f aca="false">M573</f>
        <v>0</v>
      </c>
      <c r="X573" s="9" t="n">
        <f aca="false">IF(W573=0,0,IF(O573="Booked",N573,W573*AA572))</f>
        <v>0</v>
      </c>
      <c r="Y573" s="14" t="n">
        <f aca="false">IF(I573="Opening",K573,Y572+K573-W573)</f>
        <v>807.1</v>
      </c>
      <c r="Z573" s="9" t="n">
        <f aca="false">IF(I573="Opening",L573,Z572+L573-X573)</f>
        <v>30616720.02</v>
      </c>
      <c r="AA573" s="9" t="n">
        <f aca="false">IF(Y573&gt;0,Z573/Y573,IF(I573="Opening",0,AA572))</f>
        <v>37934.2337009045</v>
      </c>
      <c r="AB573" s="9" t="n">
        <f aca="false">IF(AND(I573="DO",O573="MA"),S573-N573,0)</f>
        <v>0</v>
      </c>
      <c r="AC573" s="9" t="n">
        <f aca="false">IF(I573="DO",X573-S573,0)</f>
        <v>0</v>
      </c>
      <c r="AD573" s="23" t="n">
        <f aca="false">IF(B574&lt;&gt;B573,1,0)</f>
        <v>0</v>
      </c>
      <c r="AE573" s="14" t="n">
        <f aca="false">IF(I573="Opening",0,AE572+W573)</f>
        <v>0</v>
      </c>
      <c r="AF573" s="14" t="n">
        <f aca="false">IF(I573="Opening",K573,AF572)</f>
        <v>0</v>
      </c>
      <c r="AG573" s="14" t="n">
        <f aca="false">AG572</f>
        <v>0</v>
      </c>
      <c r="AH573" s="14" t="n">
        <f aca="false">IF(W573=0,0,MAX(0,MIN(AE573,AF573)-MIN(AE573-W573,AF573)))</f>
        <v>0</v>
      </c>
      <c r="AI573" s="14" t="n">
        <f aca="false">IF(W573=0,0,MAX(0,MIN(AE573,AF573+AG573)-MAX(AE573-W573,AF573)))</f>
        <v>0</v>
      </c>
      <c r="AJ573" s="14" t="n">
        <f aca="false">W573-AH573-AI573</f>
        <v>0</v>
      </c>
      <c r="AK573" s="9" t="n">
        <f aca="false">IF(W573=0,0,X573*AH573/W573)</f>
        <v>0</v>
      </c>
      <c r="AL573" s="9" t="n">
        <f aca="false">IF(W573=0,0,X573*AI573/W573)</f>
        <v>0</v>
      </c>
      <c r="AM573" s="9" t="n">
        <f aca="false">X573-AK573-AL573</f>
        <v>0</v>
      </c>
    </row>
    <row r="574" customFormat="false" ht="15" hidden="false" customHeight="false" outlineLevel="0" collapsed="false">
      <c r="A574" s="6" t="n">
        <v>569</v>
      </c>
      <c r="B574" s="74" t="s">
        <v>999</v>
      </c>
      <c r="C574" s="53" t="str">
        <f aca="false">INDEX(I_Items!$C$5:$C$133,MATCH($B574,I_Items!$A$5:$A$133,0))</f>
        <v>RPA</v>
      </c>
      <c r="D574" s="53" t="str">
        <f aca="false">INDEX(I_Items!$D$5:$D$133,MATCH($B574,I_Items!$A$5:$A$133,0))</f>
        <v>Karkas</v>
      </c>
      <c r="E574" s="53" t="str">
        <f aca="false">INDEX(I_Items!$F$5:$F$133,MATCH($B574,I_Items!$A$5:$A$133,0))</f>
        <v>Fresh</v>
      </c>
      <c r="F574" s="53" t="str">
        <f aca="false">IF(INDEX(I_Items!$E$5:$E$133,MATCH($B574,I_Items!$A$5:$A$133,0))="","",INDEX(I_Items!$E$5:$E$133,MATCH($B574,I_Items!$A$5:$A$133,0)))</f>
        <v>Uk 1.6</v>
      </c>
      <c r="G574" s="76" t="n">
        <v>46246</v>
      </c>
      <c r="H574" s="23" t="n">
        <f aca="false">MONTH(G574)</f>
        <v>8</v>
      </c>
      <c r="I574" s="74" t="s">
        <v>2117</v>
      </c>
      <c r="J574" s="74" t="s">
        <v>2160</v>
      </c>
      <c r="K574" s="10" t="n">
        <v>0</v>
      </c>
      <c r="L574" s="8" t="n">
        <v>0</v>
      </c>
      <c r="M574" s="10" t="n">
        <v>807.1</v>
      </c>
      <c r="N574" s="8" t="n">
        <v>30616720.02</v>
      </c>
      <c r="O574" s="74" t="s">
        <v>2119</v>
      </c>
      <c r="P574" s="74"/>
      <c r="Q574" s="74"/>
      <c r="R574" s="14" t="n">
        <f aca="false">IF(I574="Unbilled",0,M574)</f>
        <v>807.1</v>
      </c>
      <c r="S574" s="9" t="n">
        <f aca="false">IF(R574=0,0,IF(O574="Booked",N574,R574*V573))</f>
        <v>30616720.02</v>
      </c>
      <c r="T574" s="14" t="n">
        <f aca="false">IF(I574="Opening",K574,T573+K574-R574)</f>
        <v>0</v>
      </c>
      <c r="U574" s="9" t="n">
        <f aca="false">IF(I574="Opening",L574,U573+L574-S574)</f>
        <v>0</v>
      </c>
      <c r="V574" s="9" t="n">
        <f aca="false">IF(T574&gt;0,U574/T574,IF(I574="Opening",0,V573))</f>
        <v>37934.2337009045</v>
      </c>
      <c r="W574" s="14" t="n">
        <f aca="false">M574</f>
        <v>807.1</v>
      </c>
      <c r="X574" s="9" t="n">
        <f aca="false">IF(W574=0,0,IF(O574="Booked",N574,W574*AA573))</f>
        <v>30616720.02</v>
      </c>
      <c r="Y574" s="14" t="n">
        <f aca="false">IF(I574="Opening",K574,Y573+K574-W574)</f>
        <v>0</v>
      </c>
      <c r="Z574" s="9" t="n">
        <f aca="false">IF(I574="Opening",L574,Z573+L574-X574)</f>
        <v>0</v>
      </c>
      <c r="AA574" s="9" t="n">
        <f aca="false">IF(Y574&gt;0,Z574/Y574,IF(I574="Opening",0,AA573))</f>
        <v>37934.2337009045</v>
      </c>
      <c r="AB574" s="9" t="n">
        <f aca="false">IF(AND(I574="DO",O574="MA"),S574-N574,0)</f>
        <v>0</v>
      </c>
      <c r="AC574" s="9" t="n">
        <f aca="false">IF(I574="DO",X574-S574,0)</f>
        <v>0</v>
      </c>
      <c r="AD574" s="23" t="n">
        <f aca="false">IF(B575&lt;&gt;B574,1,0)</f>
        <v>0</v>
      </c>
      <c r="AE574" s="14" t="n">
        <f aca="false">IF(I574="Opening",0,AE573+W574)</f>
        <v>807.1</v>
      </c>
      <c r="AF574" s="14" t="n">
        <f aca="false">IF(I574="Opening",K574,AF573)</f>
        <v>0</v>
      </c>
      <c r="AG574" s="14" t="n">
        <f aca="false">AG573</f>
        <v>0</v>
      </c>
      <c r="AH574" s="14" t="n">
        <f aca="false">IF(W574=0,0,MAX(0,MIN(AE574,AF574)-MIN(AE574-W574,AF574)))</f>
        <v>0</v>
      </c>
      <c r="AI574" s="14" t="n">
        <f aca="false">IF(W574=0,0,MAX(0,MIN(AE574,AF574+AG574)-MAX(AE574-W574,AF574)))</f>
        <v>0</v>
      </c>
      <c r="AJ574" s="14" t="n">
        <f aca="false">W574-AH574-AI574</f>
        <v>807.1</v>
      </c>
      <c r="AK574" s="9" t="n">
        <f aca="false">IF(W574=0,0,X574*AH574/W574)</f>
        <v>0</v>
      </c>
      <c r="AL574" s="9" t="n">
        <f aca="false">IF(W574=0,0,X574*AI574/W574)</f>
        <v>0</v>
      </c>
      <c r="AM574" s="9" t="n">
        <f aca="false">X574-AK574-AL574</f>
        <v>30616720.02</v>
      </c>
    </row>
    <row r="575" customFormat="false" ht="15" hidden="false" customHeight="false" outlineLevel="0" collapsed="false">
      <c r="A575" s="6" t="n">
        <v>570</v>
      </c>
      <c r="B575" s="74" t="s">
        <v>999</v>
      </c>
      <c r="C575" s="53" t="str">
        <f aca="false">INDEX(I_Items!$C$5:$C$133,MATCH($B575,I_Items!$A$5:$A$133,0))</f>
        <v>RPA</v>
      </c>
      <c r="D575" s="53" t="str">
        <f aca="false">INDEX(I_Items!$D$5:$D$133,MATCH($B575,I_Items!$A$5:$A$133,0))</f>
        <v>Karkas</v>
      </c>
      <c r="E575" s="53" t="str">
        <f aca="false">INDEX(I_Items!$F$5:$F$133,MATCH($B575,I_Items!$A$5:$A$133,0))</f>
        <v>Fresh</v>
      </c>
      <c r="F575" s="53" t="str">
        <f aca="false">IF(INDEX(I_Items!$E$5:$E$133,MATCH($B575,I_Items!$A$5:$A$133,0))="","",INDEX(I_Items!$E$5:$E$133,MATCH($B575,I_Items!$A$5:$A$133,0)))</f>
        <v>Uk 1.6</v>
      </c>
      <c r="G575" s="76" t="n">
        <v>46248</v>
      </c>
      <c r="H575" s="23" t="n">
        <f aca="false">MONTH(G575)</f>
        <v>8</v>
      </c>
      <c r="I575" s="74" t="s">
        <v>2074</v>
      </c>
      <c r="J575" s="74" t="s">
        <v>1302</v>
      </c>
      <c r="K575" s="10" t="n">
        <v>495.3</v>
      </c>
      <c r="L575" s="8" t="n">
        <v>18962976.16</v>
      </c>
      <c r="M575" s="10" t="n">
        <v>0</v>
      </c>
      <c r="N575" s="8" t="n">
        <v>0</v>
      </c>
      <c r="O575" s="74"/>
      <c r="P575" s="74"/>
      <c r="Q575" s="74"/>
      <c r="R575" s="14" t="n">
        <f aca="false">IF(I575="Unbilled",0,M575)</f>
        <v>0</v>
      </c>
      <c r="S575" s="9" t="n">
        <f aca="false">IF(R575=0,0,IF(O575="Booked",N575,R575*V574))</f>
        <v>0</v>
      </c>
      <c r="T575" s="14" t="n">
        <f aca="false">IF(I575="Opening",K575,T574+K575-R575)</f>
        <v>495.3</v>
      </c>
      <c r="U575" s="9" t="n">
        <f aca="false">IF(I575="Opening",L575,U574+L575-S575)</f>
        <v>18962976.16</v>
      </c>
      <c r="V575" s="9" t="n">
        <f aca="false">IF(T575&gt;0,U575/T575,IF(I575="Opening",0,V574))</f>
        <v>38285.8392085605</v>
      </c>
      <c r="W575" s="14" t="n">
        <f aca="false">M575</f>
        <v>0</v>
      </c>
      <c r="X575" s="9" t="n">
        <f aca="false">IF(W575=0,0,IF(O575="Booked",N575,W575*AA574))</f>
        <v>0</v>
      </c>
      <c r="Y575" s="14" t="n">
        <f aca="false">IF(I575="Opening",K575,Y574+K575-W575)</f>
        <v>495.3</v>
      </c>
      <c r="Z575" s="9" t="n">
        <f aca="false">IF(I575="Opening",L575,Z574+L575-X575)</f>
        <v>18962976.16</v>
      </c>
      <c r="AA575" s="9" t="n">
        <f aca="false">IF(Y575&gt;0,Z575/Y575,IF(I575="Opening",0,AA574))</f>
        <v>38285.8392085605</v>
      </c>
      <c r="AB575" s="9" t="n">
        <f aca="false">IF(AND(I575="DO",O575="MA"),S575-N575,0)</f>
        <v>0</v>
      </c>
      <c r="AC575" s="9" t="n">
        <f aca="false">IF(I575="DO",X575-S575,0)</f>
        <v>0</v>
      </c>
      <c r="AD575" s="23" t="n">
        <f aca="false">IF(B576&lt;&gt;B575,1,0)</f>
        <v>0</v>
      </c>
      <c r="AE575" s="14" t="n">
        <f aca="false">IF(I575="Opening",0,AE574+W575)</f>
        <v>807.1</v>
      </c>
      <c r="AF575" s="14" t="n">
        <f aca="false">IF(I575="Opening",K575,AF574)</f>
        <v>0</v>
      </c>
      <c r="AG575" s="14" t="n">
        <f aca="false">AG574</f>
        <v>0</v>
      </c>
      <c r="AH575" s="14" t="n">
        <f aca="false">IF(W575=0,0,MAX(0,MIN(AE575,AF575)-MIN(AE575-W575,AF575)))</f>
        <v>0</v>
      </c>
      <c r="AI575" s="14" t="n">
        <f aca="false">IF(W575=0,0,MAX(0,MIN(AE575,AF575+AG575)-MAX(AE575-W575,AF575)))</f>
        <v>0</v>
      </c>
      <c r="AJ575" s="14" t="n">
        <f aca="false">W575-AH575-AI575</f>
        <v>0</v>
      </c>
      <c r="AK575" s="9" t="n">
        <f aca="false">IF(W575=0,0,X575*AH575/W575)</f>
        <v>0</v>
      </c>
      <c r="AL575" s="9" t="n">
        <f aca="false">IF(W575=0,0,X575*AI575/W575)</f>
        <v>0</v>
      </c>
      <c r="AM575" s="9" t="n">
        <f aca="false">X575-AK575-AL575</f>
        <v>0</v>
      </c>
    </row>
    <row r="576" customFormat="false" ht="15" hidden="false" customHeight="false" outlineLevel="0" collapsed="false">
      <c r="A576" s="6" t="n">
        <v>571</v>
      </c>
      <c r="B576" s="74" t="s">
        <v>999</v>
      </c>
      <c r="C576" s="53" t="str">
        <f aca="false">INDEX(I_Items!$C$5:$C$133,MATCH($B576,I_Items!$A$5:$A$133,0))</f>
        <v>RPA</v>
      </c>
      <c r="D576" s="53" t="str">
        <f aca="false">INDEX(I_Items!$D$5:$D$133,MATCH($B576,I_Items!$A$5:$A$133,0))</f>
        <v>Karkas</v>
      </c>
      <c r="E576" s="53" t="str">
        <f aca="false">INDEX(I_Items!$F$5:$F$133,MATCH($B576,I_Items!$A$5:$A$133,0))</f>
        <v>Fresh</v>
      </c>
      <c r="F576" s="53" t="str">
        <f aca="false">IF(INDEX(I_Items!$E$5:$E$133,MATCH($B576,I_Items!$A$5:$A$133,0))="","",INDEX(I_Items!$E$5:$E$133,MATCH($B576,I_Items!$A$5:$A$133,0)))</f>
        <v>Uk 1.6</v>
      </c>
      <c r="G576" s="76" t="n">
        <v>46249</v>
      </c>
      <c r="H576" s="23" t="n">
        <f aca="false">MONTH(G576)</f>
        <v>8</v>
      </c>
      <c r="I576" s="74" t="s">
        <v>89</v>
      </c>
      <c r="J576" s="74" t="s">
        <v>2152</v>
      </c>
      <c r="K576" s="10" t="n">
        <v>0</v>
      </c>
      <c r="L576" s="8" t="n">
        <v>0</v>
      </c>
      <c r="M576" s="13" t="n">
        <f aca="false">INDEX(Unbilled!$K$22:$K$38,MATCH($Q576,Unbilled!$B$22:$B$38,0))</f>
        <v>495.3</v>
      </c>
      <c r="N576" s="8" t="n">
        <v>0</v>
      </c>
      <c r="O576" s="74" t="s">
        <v>2077</v>
      </c>
      <c r="P576" s="74"/>
      <c r="Q576" s="74" t="s">
        <v>1127</v>
      </c>
      <c r="R576" s="14" t="n">
        <f aca="false">IF(I576="Unbilled",0,M576)</f>
        <v>0</v>
      </c>
      <c r="S576" s="9" t="n">
        <f aca="false">IF(R576=0,0,IF(O576="Booked",N576,R576*V575))</f>
        <v>0</v>
      </c>
      <c r="T576" s="14" t="n">
        <f aca="false">IF(I576="Opening",K576,T575+K576-R576)</f>
        <v>495.3</v>
      </c>
      <c r="U576" s="9" t="n">
        <f aca="false">IF(I576="Opening",L576,U575+L576-S576)</f>
        <v>18962976.16</v>
      </c>
      <c r="V576" s="9" t="n">
        <f aca="false">IF(T576&gt;0,U576/T576,IF(I576="Opening",0,V575))</f>
        <v>38285.8392085605</v>
      </c>
      <c r="W576" s="14" t="n">
        <f aca="false">M576</f>
        <v>495.3</v>
      </c>
      <c r="X576" s="9" t="n">
        <f aca="false">IF(W576=0,0,IF(O576="Booked",N576,W576*AA575))</f>
        <v>18962976.16</v>
      </c>
      <c r="Y576" s="14" t="n">
        <f aca="false">IF(I576="Opening",K576,Y575+K576-W576)</f>
        <v>0</v>
      </c>
      <c r="Z576" s="9" t="n">
        <f aca="false">IF(I576="Opening",L576,Z575+L576-X576)</f>
        <v>0</v>
      </c>
      <c r="AA576" s="9" t="n">
        <f aca="false">IF(Y576&gt;0,Z576/Y576,IF(I576="Opening",0,AA575))</f>
        <v>38285.8392085605</v>
      </c>
      <c r="AB576" s="9" t="n">
        <f aca="false">IF(AND(I576="DO",O576="MA"),S576-N576,0)</f>
        <v>0</v>
      </c>
      <c r="AC576" s="9" t="n">
        <f aca="false">IF(I576="DO",X576-S576,0)</f>
        <v>0</v>
      </c>
      <c r="AD576" s="23" t="n">
        <f aca="false">IF(B577&lt;&gt;B576,1,0)</f>
        <v>0</v>
      </c>
      <c r="AE576" s="14" t="n">
        <f aca="false">IF(I576="Opening",0,AE575+W576)</f>
        <v>1302.4</v>
      </c>
      <c r="AF576" s="14" t="n">
        <f aca="false">IF(I576="Opening",K576,AF575)</f>
        <v>0</v>
      </c>
      <c r="AG576" s="14" t="n">
        <f aca="false">AG575</f>
        <v>0</v>
      </c>
      <c r="AH576" s="14" t="n">
        <f aca="false">IF(W576=0,0,MAX(0,MIN(AE576,AF576)-MIN(AE576-W576,AF576)))</f>
        <v>0</v>
      </c>
      <c r="AI576" s="14" t="n">
        <f aca="false">IF(W576=0,0,MAX(0,MIN(AE576,AF576+AG576)-MAX(AE576-W576,AF576)))</f>
        <v>0</v>
      </c>
      <c r="AJ576" s="14" t="n">
        <f aca="false">W576-AH576-AI576</f>
        <v>495.3</v>
      </c>
      <c r="AK576" s="9" t="n">
        <f aca="false">IF(W576=0,0,X576*AH576/W576)</f>
        <v>0</v>
      </c>
      <c r="AL576" s="9" t="n">
        <f aca="false">IF(W576=0,0,X576*AI576/W576)</f>
        <v>0</v>
      </c>
      <c r="AM576" s="9" t="n">
        <f aca="false">X576-AK576-AL576</f>
        <v>18962976.16</v>
      </c>
    </row>
    <row r="577" customFormat="false" ht="15" hidden="false" customHeight="false" outlineLevel="0" collapsed="false">
      <c r="A577" s="6" t="n">
        <v>572</v>
      </c>
      <c r="B577" s="74" t="s">
        <v>999</v>
      </c>
      <c r="C577" s="53" t="str">
        <f aca="false">INDEX(I_Items!$C$5:$C$133,MATCH($B577,I_Items!$A$5:$A$133,0))</f>
        <v>RPA</v>
      </c>
      <c r="D577" s="53" t="str">
        <f aca="false">INDEX(I_Items!$D$5:$D$133,MATCH($B577,I_Items!$A$5:$A$133,0))</f>
        <v>Karkas</v>
      </c>
      <c r="E577" s="53" t="str">
        <f aca="false">INDEX(I_Items!$F$5:$F$133,MATCH($B577,I_Items!$A$5:$A$133,0))</f>
        <v>Fresh</v>
      </c>
      <c r="F577" s="53" t="str">
        <f aca="false">IF(INDEX(I_Items!$E$5:$E$133,MATCH($B577,I_Items!$A$5:$A$133,0))="","",INDEX(I_Items!$E$5:$E$133,MATCH($B577,I_Items!$A$5:$A$133,0)))</f>
        <v>Uk 1.6</v>
      </c>
      <c r="G577" s="76" t="n">
        <v>46252</v>
      </c>
      <c r="H577" s="23" t="n">
        <f aca="false">MONTH(G577)</f>
        <v>8</v>
      </c>
      <c r="I577" s="74" t="s">
        <v>2075</v>
      </c>
      <c r="J577" s="74" t="s">
        <v>2163</v>
      </c>
      <c r="K577" s="10" t="n">
        <v>0</v>
      </c>
      <c r="L577" s="8" t="n">
        <v>0</v>
      </c>
      <c r="M577" s="10" t="n">
        <v>5.1</v>
      </c>
      <c r="N577" s="8" t="n">
        <v>195257.78</v>
      </c>
      <c r="O577" s="74" t="s">
        <v>2077</v>
      </c>
      <c r="P577" s="74"/>
      <c r="Q577" s="74"/>
      <c r="R577" s="14" t="n">
        <f aca="false">IF(I577="Unbilled",0,M577)</f>
        <v>5.1</v>
      </c>
      <c r="S577" s="9" t="n">
        <f aca="false">IF(R577=0,0,IF(O577="Booked",N577,R577*V576))</f>
        <v>195257.779963658</v>
      </c>
      <c r="T577" s="14" t="n">
        <f aca="false">IF(I577="Opening",K577,T576+K577-R577)</f>
        <v>490.2</v>
      </c>
      <c r="U577" s="9" t="n">
        <f aca="false">IF(I577="Opening",L577,U576+L577-S577)</f>
        <v>18767718.3800363</v>
      </c>
      <c r="V577" s="9" t="n">
        <f aca="false">IF(T577&gt;0,U577/T577,IF(I577="Opening",0,V576))</f>
        <v>38285.8392085605</v>
      </c>
      <c r="W577" s="14" t="n">
        <f aca="false">M577</f>
        <v>5.1</v>
      </c>
      <c r="X577" s="9" t="n">
        <f aca="false">IF(W577=0,0,IF(O577="Booked",N577,W577*AA576))</f>
        <v>195257.779963658</v>
      </c>
      <c r="Y577" s="14" t="n">
        <f aca="false">IF(I577="Opening",K577,Y576+K577-W577)</f>
        <v>-5.1</v>
      </c>
      <c r="Z577" s="9" t="n">
        <f aca="false">IF(I577="Opening",L577,Z576+L577-X577)</f>
        <v>-195257.779963658</v>
      </c>
      <c r="AA577" s="9" t="n">
        <f aca="false">IF(Y577&gt;0,Z577/Y577,IF(I577="Opening",0,AA576))</f>
        <v>38285.8392085605</v>
      </c>
      <c r="AB577" s="9" t="n">
        <f aca="false">IF(AND(I577="DO",O577="MA"),S577-N577,0)</f>
        <v>-3.63416329491884E-005</v>
      </c>
      <c r="AC577" s="9" t="n">
        <f aca="false">IF(I577="DO",X577-S577,0)</f>
        <v>0</v>
      </c>
      <c r="AD577" s="23" t="n">
        <f aca="false">IF(B578&lt;&gt;B577,1,0)</f>
        <v>0</v>
      </c>
      <c r="AE577" s="14" t="n">
        <f aca="false">IF(I577="Opening",0,AE576+W577)</f>
        <v>1307.5</v>
      </c>
      <c r="AF577" s="14" t="n">
        <f aca="false">IF(I577="Opening",K577,AF576)</f>
        <v>0</v>
      </c>
      <c r="AG577" s="14" t="n">
        <f aca="false">AG576</f>
        <v>0</v>
      </c>
      <c r="AH577" s="14" t="n">
        <f aca="false">IF(W577=0,0,MAX(0,MIN(AE577,AF577)-MIN(AE577-W577,AF577)))</f>
        <v>0</v>
      </c>
      <c r="AI577" s="14" t="n">
        <f aca="false">IF(W577=0,0,MAX(0,MIN(AE577,AF577+AG577)-MAX(AE577-W577,AF577)))</f>
        <v>0</v>
      </c>
      <c r="AJ577" s="14" t="n">
        <f aca="false">W577-AH577-AI577</f>
        <v>5.1</v>
      </c>
      <c r="AK577" s="9" t="n">
        <f aca="false">IF(W577=0,0,X577*AH577/W577)</f>
        <v>0</v>
      </c>
      <c r="AL577" s="9" t="n">
        <f aca="false">IF(W577=0,0,X577*AI577/W577)</f>
        <v>0</v>
      </c>
      <c r="AM577" s="9" t="n">
        <f aca="false">X577-AK577-AL577</f>
        <v>195257.779963658</v>
      </c>
    </row>
    <row r="578" customFormat="false" ht="15" hidden="false" customHeight="false" outlineLevel="0" collapsed="false">
      <c r="A578" s="6" t="n">
        <v>573</v>
      </c>
      <c r="B578" s="74" t="s">
        <v>999</v>
      </c>
      <c r="C578" s="53" t="str">
        <f aca="false">INDEX(I_Items!$C$5:$C$133,MATCH($B578,I_Items!$A$5:$A$133,0))</f>
        <v>RPA</v>
      </c>
      <c r="D578" s="53" t="str">
        <f aca="false">INDEX(I_Items!$D$5:$D$133,MATCH($B578,I_Items!$A$5:$A$133,0))</f>
        <v>Karkas</v>
      </c>
      <c r="E578" s="53" t="str">
        <f aca="false">INDEX(I_Items!$F$5:$F$133,MATCH($B578,I_Items!$A$5:$A$133,0))</f>
        <v>Fresh</v>
      </c>
      <c r="F578" s="53" t="str">
        <f aca="false">IF(INDEX(I_Items!$E$5:$E$133,MATCH($B578,I_Items!$A$5:$A$133,0))="","",INDEX(I_Items!$E$5:$E$133,MATCH($B578,I_Items!$A$5:$A$133,0)))</f>
        <v>Uk 1.6</v>
      </c>
      <c r="G578" s="76" t="n">
        <v>46253</v>
      </c>
      <c r="H578" s="23" t="n">
        <f aca="false">MONTH(G578)</f>
        <v>8</v>
      </c>
      <c r="I578" s="74" t="s">
        <v>2074</v>
      </c>
      <c r="J578" s="74" t="s">
        <v>1305</v>
      </c>
      <c r="K578" s="10" t="n">
        <v>630</v>
      </c>
      <c r="L578" s="8" t="n">
        <v>23805614.32</v>
      </c>
      <c r="M578" s="10" t="n">
        <v>0</v>
      </c>
      <c r="N578" s="8" t="n">
        <v>0</v>
      </c>
      <c r="O578" s="74"/>
      <c r="P578" s="74"/>
      <c r="Q578" s="74"/>
      <c r="R578" s="14" t="n">
        <f aca="false">IF(I578="Unbilled",0,M578)</f>
        <v>0</v>
      </c>
      <c r="S578" s="9" t="n">
        <f aca="false">IF(R578=0,0,IF(O578="Booked",N578,R578*V577))</f>
        <v>0</v>
      </c>
      <c r="T578" s="14" t="n">
        <f aca="false">IF(I578="Opening",K578,T577+K578-R578)</f>
        <v>1120.2</v>
      </c>
      <c r="U578" s="9" t="n">
        <f aca="false">IF(I578="Opening",L578,U577+L578-S578)</f>
        <v>42573332.7000364</v>
      </c>
      <c r="V578" s="9" t="n">
        <f aca="false">IF(T578&gt;0,U578/T578,IF(I578="Opening",0,V577))</f>
        <v>38005.1175683238</v>
      </c>
      <c r="W578" s="14" t="n">
        <f aca="false">M578</f>
        <v>0</v>
      </c>
      <c r="X578" s="9" t="n">
        <f aca="false">IF(W578=0,0,IF(O578="Booked",N578,W578*AA577))</f>
        <v>0</v>
      </c>
      <c r="Y578" s="14" t="n">
        <f aca="false">IF(I578="Opening",K578,Y577+K578-W578)</f>
        <v>624.9</v>
      </c>
      <c r="Z578" s="9" t="n">
        <f aca="false">IF(I578="Opening",L578,Z577+L578-X578)</f>
        <v>23610356.5400363</v>
      </c>
      <c r="AA578" s="9" t="n">
        <f aca="false">IF(Y578&gt;0,Z578/Y578,IF(I578="Opening",0,AA577))</f>
        <v>37782.6156825674</v>
      </c>
      <c r="AB578" s="9" t="n">
        <f aca="false">IF(AND(I578="DO",O578="MA"),S578-N578,0)</f>
        <v>0</v>
      </c>
      <c r="AC578" s="9" t="n">
        <f aca="false">IF(I578="DO",X578-S578,0)</f>
        <v>0</v>
      </c>
      <c r="AD578" s="23" t="n">
        <f aca="false">IF(B579&lt;&gt;B578,1,0)</f>
        <v>0</v>
      </c>
      <c r="AE578" s="14" t="n">
        <f aca="false">IF(I578="Opening",0,AE577+W578)</f>
        <v>1307.5</v>
      </c>
      <c r="AF578" s="14" t="n">
        <f aca="false">IF(I578="Opening",K578,AF577)</f>
        <v>0</v>
      </c>
      <c r="AG578" s="14" t="n">
        <f aca="false">AG577</f>
        <v>0</v>
      </c>
      <c r="AH578" s="14" t="n">
        <f aca="false">IF(W578=0,0,MAX(0,MIN(AE578,AF578)-MIN(AE578-W578,AF578)))</f>
        <v>0</v>
      </c>
      <c r="AI578" s="14" t="n">
        <f aca="false">IF(W578=0,0,MAX(0,MIN(AE578,AF578+AG578)-MAX(AE578-W578,AF578)))</f>
        <v>0</v>
      </c>
      <c r="AJ578" s="14" t="n">
        <f aca="false">W578-AH578-AI578</f>
        <v>0</v>
      </c>
      <c r="AK578" s="9" t="n">
        <f aca="false">IF(W578=0,0,X578*AH578/W578)</f>
        <v>0</v>
      </c>
      <c r="AL578" s="9" t="n">
        <f aca="false">IF(W578=0,0,X578*AI578/W578)</f>
        <v>0</v>
      </c>
      <c r="AM578" s="9" t="n">
        <f aca="false">X578-AK578-AL578</f>
        <v>0</v>
      </c>
    </row>
    <row r="579" customFormat="false" ht="15" hidden="false" customHeight="false" outlineLevel="0" collapsed="false">
      <c r="A579" s="6" t="n">
        <v>574</v>
      </c>
      <c r="B579" s="74" t="s">
        <v>999</v>
      </c>
      <c r="C579" s="53" t="str">
        <f aca="false">INDEX(I_Items!$C$5:$C$133,MATCH($B579,I_Items!$A$5:$A$133,0))</f>
        <v>RPA</v>
      </c>
      <c r="D579" s="53" t="str">
        <f aca="false">INDEX(I_Items!$D$5:$D$133,MATCH($B579,I_Items!$A$5:$A$133,0))</f>
        <v>Karkas</v>
      </c>
      <c r="E579" s="53" t="str">
        <f aca="false">INDEX(I_Items!$F$5:$F$133,MATCH($B579,I_Items!$A$5:$A$133,0))</f>
        <v>Fresh</v>
      </c>
      <c r="F579" s="53" t="str">
        <f aca="false">IF(INDEX(I_Items!$E$5:$E$133,MATCH($B579,I_Items!$A$5:$A$133,0))="","",INDEX(I_Items!$E$5:$E$133,MATCH($B579,I_Items!$A$5:$A$133,0)))</f>
        <v>Uk 1.6</v>
      </c>
      <c r="G579" s="76" t="n">
        <v>46255</v>
      </c>
      <c r="H579" s="23" t="n">
        <f aca="false">MONTH(G579)</f>
        <v>8</v>
      </c>
      <c r="I579" s="74" t="s">
        <v>2075</v>
      </c>
      <c r="J579" s="74" t="s">
        <v>2153</v>
      </c>
      <c r="K579" s="10" t="n">
        <v>0</v>
      </c>
      <c r="L579" s="8" t="n">
        <v>0</v>
      </c>
      <c r="M579" s="10" t="n">
        <v>57.1</v>
      </c>
      <c r="N579" s="8" t="n">
        <v>2170092.21</v>
      </c>
      <c r="O579" s="74" t="s">
        <v>2077</v>
      </c>
      <c r="P579" s="74"/>
      <c r="Q579" s="74"/>
      <c r="R579" s="14" t="n">
        <f aca="false">IF(I579="Unbilled",0,M579)</f>
        <v>57.1</v>
      </c>
      <c r="S579" s="9" t="n">
        <f aca="false">IF(R579=0,0,IF(O579="Booked",N579,R579*V578))</f>
        <v>2170092.21315129</v>
      </c>
      <c r="T579" s="14" t="n">
        <f aca="false">IF(I579="Opening",K579,T578+K579-R579)</f>
        <v>1063.1</v>
      </c>
      <c r="U579" s="9" t="n">
        <f aca="false">IF(I579="Opening",L579,U578+L579-S579)</f>
        <v>40403240.4868851</v>
      </c>
      <c r="V579" s="9" t="n">
        <f aca="false">IF(T579&gt;0,U579/T579,IF(I579="Opening",0,V578))</f>
        <v>38005.1175683238</v>
      </c>
      <c r="W579" s="14" t="n">
        <f aca="false">M579</f>
        <v>57.1</v>
      </c>
      <c r="X579" s="9" t="n">
        <f aca="false">IF(W579=0,0,IF(O579="Booked",N579,W579*AA578))</f>
        <v>2157387.3554746</v>
      </c>
      <c r="Y579" s="14" t="n">
        <f aca="false">IF(I579="Opening",K579,Y578+K579-W579)</f>
        <v>567.8</v>
      </c>
      <c r="Z579" s="9" t="n">
        <f aca="false">IF(I579="Opening",L579,Z578+L579-X579)</f>
        <v>21452969.1845617</v>
      </c>
      <c r="AA579" s="9" t="n">
        <f aca="false">IF(Y579&gt;0,Z579/Y579,IF(I579="Opening",0,AA578))</f>
        <v>37782.6156825674</v>
      </c>
      <c r="AB579" s="9" t="n">
        <f aca="false">IF(AND(I579="DO",O579="MA"),S579-N579,0)</f>
        <v>0.00315129058435559</v>
      </c>
      <c r="AC579" s="9" t="n">
        <f aca="false">IF(I579="DO",X579-S579,0)</f>
        <v>-12704.8576766942</v>
      </c>
      <c r="AD579" s="23" t="n">
        <f aca="false">IF(B580&lt;&gt;B579,1,0)</f>
        <v>0</v>
      </c>
      <c r="AE579" s="14" t="n">
        <f aca="false">IF(I579="Opening",0,AE578+W579)</f>
        <v>1364.6</v>
      </c>
      <c r="AF579" s="14" t="n">
        <f aca="false">IF(I579="Opening",K579,AF578)</f>
        <v>0</v>
      </c>
      <c r="AG579" s="14" t="n">
        <f aca="false">AG578</f>
        <v>0</v>
      </c>
      <c r="AH579" s="14" t="n">
        <f aca="false">IF(W579=0,0,MAX(0,MIN(AE579,AF579)-MIN(AE579-W579,AF579)))</f>
        <v>0</v>
      </c>
      <c r="AI579" s="14" t="n">
        <f aca="false">IF(W579=0,0,MAX(0,MIN(AE579,AF579+AG579)-MAX(AE579-W579,AF579)))</f>
        <v>0</v>
      </c>
      <c r="AJ579" s="14" t="n">
        <f aca="false">W579-AH579-AI579</f>
        <v>57.1</v>
      </c>
      <c r="AK579" s="9" t="n">
        <f aca="false">IF(W579=0,0,X579*AH579/W579)</f>
        <v>0</v>
      </c>
      <c r="AL579" s="9" t="n">
        <f aca="false">IF(W579=0,0,X579*AI579/W579)</f>
        <v>0</v>
      </c>
      <c r="AM579" s="9" t="n">
        <f aca="false">X579-AK579-AL579</f>
        <v>2157387.3554746</v>
      </c>
    </row>
    <row r="580" customFormat="false" ht="15" hidden="false" customHeight="false" outlineLevel="0" collapsed="false">
      <c r="A580" s="6" t="n">
        <v>575</v>
      </c>
      <c r="B580" s="74" t="s">
        <v>999</v>
      </c>
      <c r="C580" s="53" t="str">
        <f aca="false">INDEX(I_Items!$C$5:$C$133,MATCH($B580,I_Items!$A$5:$A$133,0))</f>
        <v>RPA</v>
      </c>
      <c r="D580" s="53" t="str">
        <f aca="false">INDEX(I_Items!$D$5:$D$133,MATCH($B580,I_Items!$A$5:$A$133,0))</f>
        <v>Karkas</v>
      </c>
      <c r="E580" s="53" t="str">
        <f aca="false">INDEX(I_Items!$F$5:$F$133,MATCH($B580,I_Items!$A$5:$A$133,0))</f>
        <v>Fresh</v>
      </c>
      <c r="F580" s="53" t="str">
        <f aca="false">IF(INDEX(I_Items!$E$5:$E$133,MATCH($B580,I_Items!$A$5:$A$133,0))="","",INDEX(I_Items!$E$5:$E$133,MATCH($B580,I_Items!$A$5:$A$133,0)))</f>
        <v>Uk 1.6</v>
      </c>
      <c r="G580" s="76" t="n">
        <v>46255</v>
      </c>
      <c r="H580" s="23" t="n">
        <f aca="false">MONTH(G580)</f>
        <v>8</v>
      </c>
      <c r="I580" s="74" t="s">
        <v>2075</v>
      </c>
      <c r="J580" s="74" t="s">
        <v>2153</v>
      </c>
      <c r="K580" s="10" t="n">
        <v>0</v>
      </c>
      <c r="L580" s="8" t="n">
        <v>0</v>
      </c>
      <c r="M580" s="10" t="n">
        <v>501.65</v>
      </c>
      <c r="N580" s="8" t="n">
        <v>19065267.24</v>
      </c>
      <c r="O580" s="74" t="s">
        <v>2077</v>
      </c>
      <c r="P580" s="74"/>
      <c r="Q580" s="74"/>
      <c r="R580" s="14" t="n">
        <f aca="false">IF(I580="Unbilled",0,M580)</f>
        <v>501.65</v>
      </c>
      <c r="S580" s="9" t="n">
        <f aca="false">IF(R580=0,0,IF(O580="Booked",N580,R580*V579))</f>
        <v>19065267.2281496</v>
      </c>
      <c r="T580" s="14" t="n">
        <f aca="false">IF(I580="Opening",K580,T579+K580-R580)</f>
        <v>561.45</v>
      </c>
      <c r="U580" s="9" t="n">
        <f aca="false">IF(I580="Opening",L580,U579+L580-S580)</f>
        <v>21337973.2587354</v>
      </c>
      <c r="V580" s="9" t="n">
        <f aca="false">IF(T580&gt;0,U580/T580,IF(I580="Opening",0,V579))</f>
        <v>38005.1175683238</v>
      </c>
      <c r="W580" s="14" t="n">
        <f aca="false">M580</f>
        <v>501.65</v>
      </c>
      <c r="X580" s="9" t="n">
        <f aca="false">IF(W580=0,0,IF(O580="Booked",N580,W580*AA579))</f>
        <v>18953649.1571599</v>
      </c>
      <c r="Y580" s="14" t="n">
        <f aca="false">IF(I580="Opening",K580,Y579+K580-W580)</f>
        <v>66.15</v>
      </c>
      <c r="Z580" s="9" t="n">
        <f aca="false">IF(I580="Opening",L580,Z579+L580-X580)</f>
        <v>2499320.02740183</v>
      </c>
      <c r="AA580" s="9" t="n">
        <f aca="false">IF(Y580&gt;0,Z580/Y580,IF(I580="Opening",0,AA579))</f>
        <v>37782.6156825673</v>
      </c>
      <c r="AB580" s="9" t="n">
        <f aca="false">IF(AND(I580="DO",O580="MA"),S580-N580,0)</f>
        <v>-0.0118503570556641</v>
      </c>
      <c r="AC580" s="9" t="n">
        <f aca="false">IF(I580="DO",X580-S580,0)</f>
        <v>-111618.070989721</v>
      </c>
      <c r="AD580" s="23" t="n">
        <f aca="false">IF(B581&lt;&gt;B580,1,0)</f>
        <v>0</v>
      </c>
      <c r="AE580" s="14" t="n">
        <f aca="false">IF(I580="Opening",0,AE579+W580)</f>
        <v>1866.25</v>
      </c>
      <c r="AF580" s="14" t="n">
        <f aca="false">IF(I580="Opening",K580,AF579)</f>
        <v>0</v>
      </c>
      <c r="AG580" s="14" t="n">
        <f aca="false">AG579</f>
        <v>0</v>
      </c>
      <c r="AH580" s="14" t="n">
        <f aca="false">IF(W580=0,0,MAX(0,MIN(AE580,AF580)-MIN(AE580-W580,AF580)))</f>
        <v>0</v>
      </c>
      <c r="AI580" s="14" t="n">
        <f aca="false">IF(W580=0,0,MAX(0,MIN(AE580,AF580+AG580)-MAX(AE580-W580,AF580)))</f>
        <v>0</v>
      </c>
      <c r="AJ580" s="14" t="n">
        <f aca="false">W580-AH580-AI580</f>
        <v>501.65</v>
      </c>
      <c r="AK580" s="9" t="n">
        <f aca="false">IF(W580=0,0,X580*AH580/W580)</f>
        <v>0</v>
      </c>
      <c r="AL580" s="9" t="n">
        <f aca="false">IF(W580=0,0,X580*AI580/W580)</f>
        <v>0</v>
      </c>
      <c r="AM580" s="9" t="n">
        <f aca="false">X580-AK580-AL580</f>
        <v>18953649.1571599</v>
      </c>
    </row>
    <row r="581" customFormat="false" ht="15" hidden="false" customHeight="false" outlineLevel="0" collapsed="false">
      <c r="A581" s="6" t="n">
        <v>576</v>
      </c>
      <c r="B581" s="74" t="s">
        <v>999</v>
      </c>
      <c r="C581" s="53" t="str">
        <f aca="false">INDEX(I_Items!$C$5:$C$133,MATCH($B581,I_Items!$A$5:$A$133,0))</f>
        <v>RPA</v>
      </c>
      <c r="D581" s="53" t="str">
        <f aca="false">INDEX(I_Items!$D$5:$D$133,MATCH($B581,I_Items!$A$5:$A$133,0))</f>
        <v>Karkas</v>
      </c>
      <c r="E581" s="53" t="str">
        <f aca="false">INDEX(I_Items!$F$5:$F$133,MATCH($B581,I_Items!$A$5:$A$133,0))</f>
        <v>Fresh</v>
      </c>
      <c r="F581" s="53" t="str">
        <f aca="false">IF(INDEX(I_Items!$E$5:$E$133,MATCH($B581,I_Items!$A$5:$A$133,0))="","",INDEX(I_Items!$E$5:$E$133,MATCH($B581,I_Items!$A$5:$A$133,0)))</f>
        <v>Uk 1.6</v>
      </c>
      <c r="G581" s="76" t="n">
        <v>46259</v>
      </c>
      <c r="H581" s="23" t="n">
        <f aca="false">MONTH(G581)</f>
        <v>8</v>
      </c>
      <c r="I581" s="74" t="s">
        <v>2074</v>
      </c>
      <c r="J581" s="74" t="s">
        <v>1314</v>
      </c>
      <c r="K581" s="10" t="n">
        <v>289.2</v>
      </c>
      <c r="L581" s="8" t="n">
        <v>10665578.38</v>
      </c>
      <c r="M581" s="10" t="n">
        <v>0</v>
      </c>
      <c r="N581" s="8" t="n">
        <v>0</v>
      </c>
      <c r="O581" s="74"/>
      <c r="P581" s="74"/>
      <c r="Q581" s="74"/>
      <c r="R581" s="14" t="n">
        <f aca="false">IF(I581="Unbilled",0,M581)</f>
        <v>0</v>
      </c>
      <c r="S581" s="9" t="n">
        <f aca="false">IF(R581=0,0,IF(O581="Booked",N581,R581*V580))</f>
        <v>0</v>
      </c>
      <c r="T581" s="14" t="n">
        <f aca="false">IF(I581="Opening",K581,T580+K581-R581)</f>
        <v>850.65</v>
      </c>
      <c r="U581" s="9" t="n">
        <f aca="false">IF(I581="Opening",L581,U580+L581-S581)</f>
        <v>32003551.6387354</v>
      </c>
      <c r="V581" s="9" t="n">
        <f aca="false">IF(T581&gt;0,U581/T581,IF(I581="Opening",0,V580))</f>
        <v>37622.4671001416</v>
      </c>
      <c r="W581" s="14" t="n">
        <f aca="false">M581</f>
        <v>0</v>
      </c>
      <c r="X581" s="9" t="n">
        <f aca="false">IF(W581=0,0,IF(O581="Booked",N581,W581*AA580))</f>
        <v>0</v>
      </c>
      <c r="Y581" s="14" t="n">
        <f aca="false">IF(I581="Opening",K581,Y580+K581-W581)</f>
        <v>355.35</v>
      </c>
      <c r="Z581" s="9" t="n">
        <f aca="false">IF(I581="Opening",L581,Z580+L581-X581)</f>
        <v>13164898.4074018</v>
      </c>
      <c r="AA581" s="9" t="n">
        <f aca="false">IF(Y581&gt;0,Z581/Y581,IF(I581="Opening",0,AA580))</f>
        <v>37047.6949694719</v>
      </c>
      <c r="AB581" s="9" t="n">
        <f aca="false">IF(AND(I581="DO",O581="MA"),S581-N581,0)</f>
        <v>0</v>
      </c>
      <c r="AC581" s="9" t="n">
        <f aca="false">IF(I581="DO",X581-S581,0)</f>
        <v>0</v>
      </c>
      <c r="AD581" s="23" t="n">
        <f aca="false">IF(B582&lt;&gt;B581,1,0)</f>
        <v>1</v>
      </c>
      <c r="AE581" s="14" t="n">
        <f aca="false">IF(I581="Opening",0,AE580+W581)</f>
        <v>1866.25</v>
      </c>
      <c r="AF581" s="14" t="n">
        <f aca="false">IF(I581="Opening",K581,AF580)</f>
        <v>0</v>
      </c>
      <c r="AG581" s="14" t="n">
        <f aca="false">AG580</f>
        <v>0</v>
      </c>
      <c r="AH581" s="14" t="n">
        <f aca="false">IF(W581=0,0,MAX(0,MIN(AE581,AF581)-MIN(AE581-W581,AF581)))</f>
        <v>0</v>
      </c>
      <c r="AI581" s="14" t="n">
        <f aca="false">IF(W581=0,0,MAX(0,MIN(AE581,AF581+AG581)-MAX(AE581-W581,AF581)))</f>
        <v>0</v>
      </c>
      <c r="AJ581" s="14" t="n">
        <f aca="false">W581-AH581-AI581</f>
        <v>0</v>
      </c>
      <c r="AK581" s="9" t="n">
        <f aca="false">IF(W581=0,0,X581*AH581/W581)</f>
        <v>0</v>
      </c>
      <c r="AL581" s="9" t="n">
        <f aca="false">IF(W581=0,0,X581*AI581/W581)</f>
        <v>0</v>
      </c>
      <c r="AM581" s="9" t="n">
        <f aca="false">X581-AK581-AL581</f>
        <v>0</v>
      </c>
    </row>
    <row r="582" customFormat="false" ht="15" hidden="false" customHeight="false" outlineLevel="0" collapsed="false">
      <c r="A582" s="6" t="n">
        <v>577</v>
      </c>
      <c r="B582" s="74" t="s">
        <v>1000</v>
      </c>
      <c r="C582" s="53" t="str">
        <f aca="false">INDEX(I_Items!$C$5:$C$133,MATCH($B582,I_Items!$A$5:$A$133,0))</f>
        <v>RPA</v>
      </c>
      <c r="D582" s="53" t="str">
        <f aca="false">INDEX(I_Items!$D$5:$D$133,MATCH($B582,I_Items!$A$5:$A$133,0))</f>
        <v>Karkas</v>
      </c>
      <c r="E582" s="53" t="str">
        <f aca="false">INDEX(I_Items!$F$5:$F$133,MATCH($B582,I_Items!$A$5:$A$133,0))</f>
        <v>Frozen</v>
      </c>
      <c r="F582" s="53" t="str">
        <f aca="false">IF(INDEX(I_Items!$E$5:$E$133,MATCH($B582,I_Items!$A$5:$A$133,0))="","",INDEX(I_Items!$E$5:$E$133,MATCH($B582,I_Items!$A$5:$A$133,0)))</f>
        <v>Uk 1.6</v>
      </c>
      <c r="G582" s="76" t="n">
        <v>46204</v>
      </c>
      <c r="H582" s="23" t="n">
        <f aca="false">MONTH(G582)</f>
        <v>7</v>
      </c>
      <c r="I582" s="74" t="s">
        <v>2072</v>
      </c>
      <c r="J582" s="74" t="s">
        <v>2073</v>
      </c>
      <c r="K582" s="10" t="n">
        <v>77.1</v>
      </c>
      <c r="L582" s="8" t="n">
        <v>1931811.46</v>
      </c>
      <c r="M582" s="10" t="n">
        <v>0</v>
      </c>
      <c r="N582" s="8" t="n">
        <v>0</v>
      </c>
      <c r="O582" s="74"/>
      <c r="P582" s="74"/>
      <c r="Q582" s="74"/>
      <c r="R582" s="14" t="n">
        <f aca="false">IF(I582="Unbilled",0,M582)</f>
        <v>0</v>
      </c>
      <c r="S582" s="9" t="n">
        <f aca="false">IF(R582=0,0,IF(O582="Booked",N582,R582*V581))</f>
        <v>0</v>
      </c>
      <c r="T582" s="14" t="n">
        <f aca="false">IF(I582="Opening",K582,T581+K582-R582)</f>
        <v>77.1</v>
      </c>
      <c r="U582" s="9" t="n">
        <f aca="false">IF(I582="Opening",L582,U581+L582-S582)</f>
        <v>1931811.46</v>
      </c>
      <c r="V582" s="9" t="n">
        <f aca="false">IF(T582&gt;0,U582/T582,IF(I582="Opening",0,V581))</f>
        <v>25055.9203631647</v>
      </c>
      <c r="W582" s="14" t="n">
        <f aca="false">M582</f>
        <v>0</v>
      </c>
      <c r="X582" s="9" t="n">
        <f aca="false">IF(W582=0,0,IF(O582="Booked",N582,W582*AA581))</f>
        <v>0</v>
      </c>
      <c r="Y582" s="14" t="n">
        <f aca="false">IF(I582="Opening",K582,Y581+K582-W582)</f>
        <v>77.1</v>
      </c>
      <c r="Z582" s="9" t="n">
        <f aca="false">IF(I582="Opening",L582,Z581+L582-X582)</f>
        <v>1931811.46</v>
      </c>
      <c r="AA582" s="9" t="n">
        <f aca="false">IF(Y582&gt;0,Z582/Y582,IF(I582="Opening",0,AA581))</f>
        <v>25055.9203631647</v>
      </c>
      <c r="AB582" s="9" t="n">
        <f aca="false">IF(AND(I582="DO",O582="MA"),S582-N582,0)</f>
        <v>0</v>
      </c>
      <c r="AC582" s="9" t="n">
        <f aca="false">IF(I582="DO",X582-S582,0)</f>
        <v>0</v>
      </c>
      <c r="AD582" s="23" t="n">
        <f aca="false">IF(B583&lt;&gt;B582,1,0)</f>
        <v>0</v>
      </c>
      <c r="AE582" s="14" t="n">
        <f aca="false">IF(I582="Opening",0,AE581+W582)</f>
        <v>0</v>
      </c>
      <c r="AF582" s="14" t="n">
        <f aca="false">IF(I582="Opening",K582,AF581)</f>
        <v>77.1</v>
      </c>
      <c r="AG582" s="14" t="n">
        <f aca="false">SUMIFS($K$6:$K$1110,$B$6:$B$1110,B582,$H$6:$H$1110,7,$I$6:$I$1110,"&lt;&gt;Opening")</f>
        <v>52.1</v>
      </c>
      <c r="AH582" s="14" t="n">
        <f aca="false">IF(W582=0,0,MAX(0,MIN(AE582,AF582)-MIN(AE582-W582,AF582)))</f>
        <v>0</v>
      </c>
      <c r="AI582" s="14" t="n">
        <f aca="false">IF(W582=0,0,MAX(0,MIN(AE582,AF582+AG582)-MAX(AE582-W582,AF582)))</f>
        <v>0</v>
      </c>
      <c r="AJ582" s="14" t="n">
        <f aca="false">W582-AH582-AI582</f>
        <v>0</v>
      </c>
      <c r="AK582" s="9" t="n">
        <f aca="false">IF(W582=0,0,X582*AH582/W582)</f>
        <v>0</v>
      </c>
      <c r="AL582" s="9" t="n">
        <f aca="false">IF(W582=0,0,X582*AI582/W582)</f>
        <v>0</v>
      </c>
      <c r="AM582" s="9" t="n">
        <f aca="false">X582-AK582-AL582</f>
        <v>0</v>
      </c>
    </row>
    <row r="583" customFormat="false" ht="15" hidden="false" customHeight="false" outlineLevel="0" collapsed="false">
      <c r="A583" s="6" t="n">
        <v>578</v>
      </c>
      <c r="B583" s="74" t="s">
        <v>1000</v>
      </c>
      <c r="C583" s="53" t="str">
        <f aca="false">INDEX(I_Items!$C$5:$C$133,MATCH($B583,I_Items!$A$5:$A$133,0))</f>
        <v>RPA</v>
      </c>
      <c r="D583" s="53" t="str">
        <f aca="false">INDEX(I_Items!$D$5:$D$133,MATCH($B583,I_Items!$A$5:$A$133,0))</f>
        <v>Karkas</v>
      </c>
      <c r="E583" s="53" t="str">
        <f aca="false">INDEX(I_Items!$F$5:$F$133,MATCH($B583,I_Items!$A$5:$A$133,0))</f>
        <v>Frozen</v>
      </c>
      <c r="F583" s="53" t="str">
        <f aca="false">IF(INDEX(I_Items!$E$5:$E$133,MATCH($B583,I_Items!$A$5:$A$133,0))="","",INDEX(I_Items!$E$5:$E$133,MATCH($B583,I_Items!$A$5:$A$133,0)))</f>
        <v>Uk 1.6</v>
      </c>
      <c r="G583" s="76" t="n">
        <v>46204</v>
      </c>
      <c r="H583" s="23" t="n">
        <f aca="false">MONTH(G583)</f>
        <v>7</v>
      </c>
      <c r="I583" s="74" t="s">
        <v>2117</v>
      </c>
      <c r="J583" s="74" t="s">
        <v>2168</v>
      </c>
      <c r="K583" s="10" t="n">
        <v>0</v>
      </c>
      <c r="L583" s="8" t="n">
        <v>0</v>
      </c>
      <c r="M583" s="10" t="n">
        <v>129.2</v>
      </c>
      <c r="N583" s="8" t="n">
        <v>3345741.24</v>
      </c>
      <c r="O583" s="74" t="s">
        <v>2119</v>
      </c>
      <c r="P583" s="74"/>
      <c r="Q583" s="74"/>
      <c r="R583" s="14" t="n">
        <f aca="false">IF(I583="Unbilled",0,M583)</f>
        <v>129.2</v>
      </c>
      <c r="S583" s="9" t="n">
        <f aca="false">IF(R583=0,0,IF(O583="Booked",N583,R583*V582))</f>
        <v>3345741.24</v>
      </c>
      <c r="T583" s="14" t="n">
        <f aca="false">IF(I583="Opening",K583,T582+K583-R583)</f>
        <v>-52.1</v>
      </c>
      <c r="U583" s="9" t="n">
        <f aca="false">IF(I583="Opening",L583,U582+L583-S583)</f>
        <v>-1413929.78</v>
      </c>
      <c r="V583" s="9" t="n">
        <f aca="false">IF(T583&gt;0,U583/T583,IF(I583="Opening",0,V582))</f>
        <v>25055.9203631647</v>
      </c>
      <c r="W583" s="14" t="n">
        <f aca="false">M583</f>
        <v>129.2</v>
      </c>
      <c r="X583" s="9" t="n">
        <f aca="false">IF(W583=0,0,IF(O583="Booked",N583,W583*AA582))</f>
        <v>3345741.24</v>
      </c>
      <c r="Y583" s="14" t="n">
        <f aca="false">IF(I583="Opening",K583,Y582+K583-W583)</f>
        <v>-52.1</v>
      </c>
      <c r="Z583" s="9" t="n">
        <f aca="false">IF(I583="Opening",L583,Z582+L583-X583)</f>
        <v>-1413929.78</v>
      </c>
      <c r="AA583" s="9" t="n">
        <f aca="false">IF(Y583&gt;0,Z583/Y583,IF(I583="Opening",0,AA582))</f>
        <v>25055.9203631647</v>
      </c>
      <c r="AB583" s="9" t="n">
        <f aca="false">IF(AND(I583="DO",O583="MA"),S583-N583,0)</f>
        <v>0</v>
      </c>
      <c r="AC583" s="9" t="n">
        <f aca="false">IF(I583="DO",X583-S583,0)</f>
        <v>0</v>
      </c>
      <c r="AD583" s="23" t="n">
        <f aca="false">IF(B584&lt;&gt;B583,1,0)</f>
        <v>0</v>
      </c>
      <c r="AE583" s="14" t="n">
        <f aca="false">IF(I583="Opening",0,AE582+W583)</f>
        <v>129.2</v>
      </c>
      <c r="AF583" s="14" t="n">
        <f aca="false">IF(I583="Opening",K583,AF582)</f>
        <v>77.1</v>
      </c>
      <c r="AG583" s="14" t="n">
        <f aca="false">AG582</f>
        <v>52.1</v>
      </c>
      <c r="AH583" s="14" t="n">
        <f aca="false">IF(W583=0,0,MAX(0,MIN(AE583,AF583)-MIN(AE583-W583,AF583)))</f>
        <v>77.1</v>
      </c>
      <c r="AI583" s="14" t="n">
        <f aca="false">IF(W583=0,0,MAX(0,MIN(AE583,AF583+AG583)-MAX(AE583-W583,AF583)))</f>
        <v>52.1</v>
      </c>
      <c r="AJ583" s="14" t="n">
        <f aca="false">W583-AH583-AI583</f>
        <v>0</v>
      </c>
      <c r="AK583" s="9" t="n">
        <f aca="false">IF(W583=0,0,X583*AH583/W583)</f>
        <v>1996568.495387</v>
      </c>
      <c r="AL583" s="9" t="n">
        <f aca="false">IF(W583=0,0,X583*AI583/W583)</f>
        <v>1349172.744613</v>
      </c>
      <c r="AM583" s="9" t="n">
        <f aca="false">X583-AK583-AL583</f>
        <v>0</v>
      </c>
    </row>
    <row r="584" customFormat="false" ht="15" hidden="false" customHeight="false" outlineLevel="0" collapsed="false">
      <c r="A584" s="6" t="n">
        <v>579</v>
      </c>
      <c r="B584" s="74" t="s">
        <v>1000</v>
      </c>
      <c r="C584" s="53" t="str">
        <f aca="false">INDEX(I_Items!$C$5:$C$133,MATCH($B584,I_Items!$A$5:$A$133,0))</f>
        <v>RPA</v>
      </c>
      <c r="D584" s="53" t="str">
        <f aca="false">INDEX(I_Items!$D$5:$D$133,MATCH($B584,I_Items!$A$5:$A$133,0))</f>
        <v>Karkas</v>
      </c>
      <c r="E584" s="53" t="str">
        <f aca="false">INDEX(I_Items!$F$5:$F$133,MATCH($B584,I_Items!$A$5:$A$133,0))</f>
        <v>Frozen</v>
      </c>
      <c r="F584" s="53" t="str">
        <f aca="false">IF(INDEX(I_Items!$E$5:$E$133,MATCH($B584,I_Items!$A$5:$A$133,0))="","",INDEX(I_Items!$E$5:$E$133,MATCH($B584,I_Items!$A$5:$A$133,0)))</f>
        <v>Uk 1.6</v>
      </c>
      <c r="G584" s="76" t="n">
        <v>46204</v>
      </c>
      <c r="H584" s="23" t="n">
        <f aca="false">MONTH(G584)</f>
        <v>7</v>
      </c>
      <c r="I584" s="74" t="s">
        <v>2117</v>
      </c>
      <c r="J584" s="74" t="s">
        <v>2169</v>
      </c>
      <c r="K584" s="10" t="n">
        <v>52.1</v>
      </c>
      <c r="L584" s="8" t="n">
        <v>1349172.74</v>
      </c>
      <c r="M584" s="10" t="n">
        <v>0</v>
      </c>
      <c r="N584" s="8" t="n">
        <v>0</v>
      </c>
      <c r="O584" s="74" t="s">
        <v>2119</v>
      </c>
      <c r="P584" s="74"/>
      <c r="Q584" s="74"/>
      <c r="R584" s="14" t="n">
        <f aca="false">IF(I584="Unbilled",0,M584)</f>
        <v>0</v>
      </c>
      <c r="S584" s="9" t="n">
        <f aca="false">IF(R584=0,0,IF(O584="Booked",N584,R584*V583))</f>
        <v>0</v>
      </c>
      <c r="T584" s="14" t="n">
        <f aca="false">IF(I584="Opening",K584,T583+K584-R584)</f>
        <v>0</v>
      </c>
      <c r="U584" s="9" t="n">
        <f aca="false">IF(I584="Opening",L584,U583+L584-S584)</f>
        <v>-64757.0400000003</v>
      </c>
      <c r="V584" s="9" t="n">
        <f aca="false">IF(T584&gt;0,U584/T584,IF(I584="Opening",0,V583))</f>
        <v>25055.9203631647</v>
      </c>
      <c r="W584" s="14" t="n">
        <f aca="false">M584</f>
        <v>0</v>
      </c>
      <c r="X584" s="9" t="n">
        <f aca="false">IF(W584=0,0,IF(O584="Booked",N584,W584*AA583))</f>
        <v>0</v>
      </c>
      <c r="Y584" s="14" t="n">
        <f aca="false">IF(I584="Opening",K584,Y583+K584-W584)</f>
        <v>0</v>
      </c>
      <c r="Z584" s="9" t="n">
        <f aca="false">IF(I584="Opening",L584,Z583+L584-X584)</f>
        <v>-64757.0400000003</v>
      </c>
      <c r="AA584" s="9" t="n">
        <f aca="false">IF(Y584&gt;0,Z584/Y584,IF(I584="Opening",0,AA583))</f>
        <v>25055.9203631647</v>
      </c>
      <c r="AB584" s="9" t="n">
        <f aca="false">IF(AND(I584="DO",O584="MA"),S584-N584,0)</f>
        <v>0</v>
      </c>
      <c r="AC584" s="9" t="n">
        <f aca="false">IF(I584="DO",X584-S584,0)</f>
        <v>0</v>
      </c>
      <c r="AD584" s="23" t="n">
        <f aca="false">IF(B585&lt;&gt;B584,1,0)</f>
        <v>0</v>
      </c>
      <c r="AE584" s="14" t="n">
        <f aca="false">IF(I584="Opening",0,AE583+W584)</f>
        <v>129.2</v>
      </c>
      <c r="AF584" s="14" t="n">
        <f aca="false">IF(I584="Opening",K584,AF583)</f>
        <v>77.1</v>
      </c>
      <c r="AG584" s="14" t="n">
        <f aca="false">AG583</f>
        <v>52.1</v>
      </c>
      <c r="AH584" s="14" t="n">
        <f aca="false">IF(W584=0,0,MAX(0,MIN(AE584,AF584)-MIN(AE584-W584,AF584)))</f>
        <v>0</v>
      </c>
      <c r="AI584" s="14" t="n">
        <f aca="false">IF(W584=0,0,MAX(0,MIN(AE584,AF584+AG584)-MAX(AE584-W584,AF584)))</f>
        <v>0</v>
      </c>
      <c r="AJ584" s="14" t="n">
        <f aca="false">W584-AH584-AI584</f>
        <v>0</v>
      </c>
      <c r="AK584" s="9" t="n">
        <f aca="false">IF(W584=0,0,X584*AH584/W584)</f>
        <v>0</v>
      </c>
      <c r="AL584" s="9" t="n">
        <f aca="false">IF(W584=0,0,X584*AI584/W584)</f>
        <v>0</v>
      </c>
      <c r="AM584" s="9" t="n">
        <f aca="false">X584-AK584-AL584</f>
        <v>0</v>
      </c>
    </row>
    <row r="585" customFormat="false" ht="15" hidden="false" customHeight="false" outlineLevel="0" collapsed="false">
      <c r="A585" s="6" t="n">
        <v>580</v>
      </c>
      <c r="B585" s="74" t="s">
        <v>1000</v>
      </c>
      <c r="C585" s="53" t="str">
        <f aca="false">INDEX(I_Items!$C$5:$C$133,MATCH($B585,I_Items!$A$5:$A$133,0))</f>
        <v>RPA</v>
      </c>
      <c r="D585" s="53" t="str">
        <f aca="false">INDEX(I_Items!$D$5:$D$133,MATCH($B585,I_Items!$A$5:$A$133,0))</f>
        <v>Karkas</v>
      </c>
      <c r="E585" s="53" t="str">
        <f aca="false">INDEX(I_Items!$F$5:$F$133,MATCH($B585,I_Items!$A$5:$A$133,0))</f>
        <v>Frozen</v>
      </c>
      <c r="F585" s="53" t="str">
        <f aca="false">IF(INDEX(I_Items!$E$5:$E$133,MATCH($B585,I_Items!$A$5:$A$133,0))="","",INDEX(I_Items!$E$5:$E$133,MATCH($B585,I_Items!$A$5:$A$133,0)))</f>
        <v>Uk 1.6</v>
      </c>
      <c r="G585" s="76" t="n">
        <v>46244</v>
      </c>
      <c r="H585" s="23" t="n">
        <f aca="false">MONTH(G585)</f>
        <v>8</v>
      </c>
      <c r="I585" s="74" t="s">
        <v>2074</v>
      </c>
      <c r="J585" s="74" t="s">
        <v>1298</v>
      </c>
      <c r="K585" s="10" t="n">
        <v>55.7</v>
      </c>
      <c r="L585" s="8" t="n">
        <v>1920851.65</v>
      </c>
      <c r="M585" s="10" t="n">
        <v>0</v>
      </c>
      <c r="N585" s="8" t="n">
        <v>0</v>
      </c>
      <c r="O585" s="74"/>
      <c r="P585" s="74"/>
      <c r="Q585" s="74"/>
      <c r="R585" s="14" t="n">
        <f aca="false">IF(I585="Unbilled",0,M585)</f>
        <v>0</v>
      </c>
      <c r="S585" s="9" t="n">
        <f aca="false">IF(R585=0,0,IF(O585="Booked",N585,R585*V584))</f>
        <v>0</v>
      </c>
      <c r="T585" s="14" t="n">
        <f aca="false">IF(I585="Opening",K585,T584+K585-R585)</f>
        <v>55.7</v>
      </c>
      <c r="U585" s="9" t="n">
        <f aca="false">IF(I585="Opening",L585,U584+L585-S585)</f>
        <v>1856094.61</v>
      </c>
      <c r="V585" s="9" t="n">
        <f aca="false">IF(T585&gt;0,U585/T585,IF(I585="Opening",0,V584))</f>
        <v>33323.063016158</v>
      </c>
      <c r="W585" s="14" t="n">
        <f aca="false">M585</f>
        <v>0</v>
      </c>
      <c r="X585" s="9" t="n">
        <f aca="false">IF(W585=0,0,IF(O585="Booked",N585,W585*AA584))</f>
        <v>0</v>
      </c>
      <c r="Y585" s="14" t="n">
        <f aca="false">IF(I585="Opening",K585,Y584+K585-W585)</f>
        <v>55.7</v>
      </c>
      <c r="Z585" s="9" t="n">
        <f aca="false">IF(I585="Opening",L585,Z584+L585-X585)</f>
        <v>1856094.61</v>
      </c>
      <c r="AA585" s="9" t="n">
        <f aca="false">IF(Y585&gt;0,Z585/Y585,IF(I585="Opening",0,AA584))</f>
        <v>33323.063016158</v>
      </c>
      <c r="AB585" s="9" t="n">
        <f aca="false">IF(AND(I585="DO",O585="MA"),S585-N585,0)</f>
        <v>0</v>
      </c>
      <c r="AC585" s="9" t="n">
        <f aca="false">IF(I585="DO",X585-S585,0)</f>
        <v>0</v>
      </c>
      <c r="AD585" s="23" t="n">
        <f aca="false">IF(B586&lt;&gt;B585,1,0)</f>
        <v>0</v>
      </c>
      <c r="AE585" s="14" t="n">
        <f aca="false">IF(I585="Opening",0,AE584+W585)</f>
        <v>129.2</v>
      </c>
      <c r="AF585" s="14" t="n">
        <f aca="false">IF(I585="Opening",K585,AF584)</f>
        <v>77.1</v>
      </c>
      <c r="AG585" s="14" t="n">
        <f aca="false">AG584</f>
        <v>52.1</v>
      </c>
      <c r="AH585" s="14" t="n">
        <f aca="false">IF(W585=0,0,MAX(0,MIN(AE585,AF585)-MIN(AE585-W585,AF585)))</f>
        <v>0</v>
      </c>
      <c r="AI585" s="14" t="n">
        <f aca="false">IF(W585=0,0,MAX(0,MIN(AE585,AF585+AG585)-MAX(AE585-W585,AF585)))</f>
        <v>0</v>
      </c>
      <c r="AJ585" s="14" t="n">
        <f aca="false">W585-AH585-AI585</f>
        <v>0</v>
      </c>
      <c r="AK585" s="9" t="n">
        <f aca="false">IF(W585=0,0,X585*AH585/W585)</f>
        <v>0</v>
      </c>
      <c r="AL585" s="9" t="n">
        <f aca="false">IF(W585=0,0,X585*AI585/W585)</f>
        <v>0</v>
      </c>
      <c r="AM585" s="9" t="n">
        <f aca="false">X585-AK585-AL585</f>
        <v>0</v>
      </c>
    </row>
    <row r="586" customFormat="false" ht="15" hidden="false" customHeight="false" outlineLevel="0" collapsed="false">
      <c r="A586" s="6" t="n">
        <v>581</v>
      </c>
      <c r="B586" s="74" t="s">
        <v>1000</v>
      </c>
      <c r="C586" s="53" t="str">
        <f aca="false">INDEX(I_Items!$C$5:$C$133,MATCH($B586,I_Items!$A$5:$A$133,0))</f>
        <v>RPA</v>
      </c>
      <c r="D586" s="53" t="str">
        <f aca="false">INDEX(I_Items!$D$5:$D$133,MATCH($B586,I_Items!$A$5:$A$133,0))</f>
        <v>Karkas</v>
      </c>
      <c r="E586" s="53" t="str">
        <f aca="false">INDEX(I_Items!$F$5:$F$133,MATCH($B586,I_Items!$A$5:$A$133,0))</f>
        <v>Frozen</v>
      </c>
      <c r="F586" s="53" t="str">
        <f aca="false">IF(INDEX(I_Items!$E$5:$E$133,MATCH($B586,I_Items!$A$5:$A$133,0))="","",INDEX(I_Items!$E$5:$E$133,MATCH($B586,I_Items!$A$5:$A$133,0)))</f>
        <v>Uk 1.6</v>
      </c>
      <c r="G586" s="76" t="n">
        <v>46248</v>
      </c>
      <c r="H586" s="23" t="n">
        <f aca="false">MONTH(G586)</f>
        <v>8</v>
      </c>
      <c r="I586" s="74" t="s">
        <v>2074</v>
      </c>
      <c r="J586" s="74" t="s">
        <v>1302</v>
      </c>
      <c r="K586" s="10" t="n">
        <v>24.9</v>
      </c>
      <c r="L586" s="8" t="n">
        <v>866652.18</v>
      </c>
      <c r="M586" s="10" t="n">
        <v>0</v>
      </c>
      <c r="N586" s="8" t="n">
        <v>0</v>
      </c>
      <c r="O586" s="74"/>
      <c r="P586" s="74"/>
      <c r="Q586" s="74"/>
      <c r="R586" s="14" t="n">
        <f aca="false">IF(I586="Unbilled",0,M586)</f>
        <v>0</v>
      </c>
      <c r="S586" s="9" t="n">
        <f aca="false">IF(R586=0,0,IF(O586="Booked",N586,R586*V585))</f>
        <v>0</v>
      </c>
      <c r="T586" s="14" t="n">
        <f aca="false">IF(I586="Opening",K586,T585+K586-R586)</f>
        <v>80.6</v>
      </c>
      <c r="U586" s="9" t="n">
        <f aca="false">IF(I586="Opening",L586,U585+L586-S586)</f>
        <v>2722746.79</v>
      </c>
      <c r="V586" s="9" t="n">
        <f aca="false">IF(T586&gt;0,U586/T586,IF(I586="Opening",0,V585))</f>
        <v>33780.9775434243</v>
      </c>
      <c r="W586" s="14" t="n">
        <f aca="false">M586</f>
        <v>0</v>
      </c>
      <c r="X586" s="9" t="n">
        <f aca="false">IF(W586=0,0,IF(O586="Booked",N586,W586*AA585))</f>
        <v>0</v>
      </c>
      <c r="Y586" s="14" t="n">
        <f aca="false">IF(I586="Opening",K586,Y585+K586-W586)</f>
        <v>80.6</v>
      </c>
      <c r="Z586" s="9" t="n">
        <f aca="false">IF(I586="Opening",L586,Z585+L586-X586)</f>
        <v>2722746.79</v>
      </c>
      <c r="AA586" s="9" t="n">
        <f aca="false">IF(Y586&gt;0,Z586/Y586,IF(I586="Opening",0,AA585))</f>
        <v>33780.9775434243</v>
      </c>
      <c r="AB586" s="9" t="n">
        <f aca="false">IF(AND(I586="DO",O586="MA"),S586-N586,0)</f>
        <v>0</v>
      </c>
      <c r="AC586" s="9" t="n">
        <f aca="false">IF(I586="DO",X586-S586,0)</f>
        <v>0</v>
      </c>
      <c r="AD586" s="23" t="n">
        <f aca="false">IF(B587&lt;&gt;B586,1,0)</f>
        <v>0</v>
      </c>
      <c r="AE586" s="14" t="n">
        <f aca="false">IF(I586="Opening",0,AE585+W586)</f>
        <v>129.2</v>
      </c>
      <c r="AF586" s="14" t="n">
        <f aca="false">IF(I586="Opening",K586,AF585)</f>
        <v>77.1</v>
      </c>
      <c r="AG586" s="14" t="n">
        <f aca="false">AG585</f>
        <v>52.1</v>
      </c>
      <c r="AH586" s="14" t="n">
        <f aca="false">IF(W586=0,0,MAX(0,MIN(AE586,AF586)-MIN(AE586-W586,AF586)))</f>
        <v>0</v>
      </c>
      <c r="AI586" s="14" t="n">
        <f aca="false">IF(W586=0,0,MAX(0,MIN(AE586,AF586+AG586)-MAX(AE586-W586,AF586)))</f>
        <v>0</v>
      </c>
      <c r="AJ586" s="14" t="n">
        <f aca="false">W586-AH586-AI586</f>
        <v>0</v>
      </c>
      <c r="AK586" s="9" t="n">
        <f aca="false">IF(W586=0,0,X586*AH586/W586)</f>
        <v>0</v>
      </c>
      <c r="AL586" s="9" t="n">
        <f aca="false">IF(W586=0,0,X586*AI586/W586)</f>
        <v>0</v>
      </c>
      <c r="AM586" s="9" t="n">
        <f aca="false">X586-AK586-AL586</f>
        <v>0</v>
      </c>
    </row>
    <row r="587" customFormat="false" ht="15" hidden="false" customHeight="false" outlineLevel="0" collapsed="false">
      <c r="A587" s="6" t="n">
        <v>582</v>
      </c>
      <c r="B587" s="74" t="s">
        <v>1000</v>
      </c>
      <c r="C587" s="53" t="str">
        <f aca="false">INDEX(I_Items!$C$5:$C$133,MATCH($B587,I_Items!$A$5:$A$133,0))</f>
        <v>RPA</v>
      </c>
      <c r="D587" s="53" t="str">
        <f aca="false">INDEX(I_Items!$D$5:$D$133,MATCH($B587,I_Items!$A$5:$A$133,0))</f>
        <v>Karkas</v>
      </c>
      <c r="E587" s="53" t="str">
        <f aca="false">INDEX(I_Items!$F$5:$F$133,MATCH($B587,I_Items!$A$5:$A$133,0))</f>
        <v>Frozen</v>
      </c>
      <c r="F587" s="53" t="str">
        <f aca="false">IF(INDEX(I_Items!$E$5:$E$133,MATCH($B587,I_Items!$A$5:$A$133,0))="","",INDEX(I_Items!$E$5:$E$133,MATCH($B587,I_Items!$A$5:$A$133,0)))</f>
        <v>Uk 1.6</v>
      </c>
      <c r="G587" s="76" t="n">
        <v>46253</v>
      </c>
      <c r="H587" s="23" t="n">
        <f aca="false">MONTH(G587)</f>
        <v>8</v>
      </c>
      <c r="I587" s="74" t="s">
        <v>2074</v>
      </c>
      <c r="J587" s="74" t="s">
        <v>1305</v>
      </c>
      <c r="K587" s="10" t="n">
        <v>18.4</v>
      </c>
      <c r="L587" s="8" t="n">
        <v>632068.26</v>
      </c>
      <c r="M587" s="10" t="n">
        <v>0</v>
      </c>
      <c r="N587" s="8" t="n">
        <v>0</v>
      </c>
      <c r="O587" s="74"/>
      <c r="P587" s="74"/>
      <c r="Q587" s="74"/>
      <c r="R587" s="14" t="n">
        <f aca="false">IF(I587="Unbilled",0,M587)</f>
        <v>0</v>
      </c>
      <c r="S587" s="9" t="n">
        <f aca="false">IF(R587=0,0,IF(O587="Booked",N587,R587*V586))</f>
        <v>0</v>
      </c>
      <c r="T587" s="14" t="n">
        <f aca="false">IF(I587="Opening",K587,T586+K587-R587)</f>
        <v>99</v>
      </c>
      <c r="U587" s="9" t="n">
        <f aca="false">IF(I587="Opening",L587,U586+L587-S587)</f>
        <v>3354815.05</v>
      </c>
      <c r="V587" s="9" t="n">
        <f aca="false">IF(T587&gt;0,U587/T587,IF(I587="Opening",0,V586))</f>
        <v>33887.0207070707</v>
      </c>
      <c r="W587" s="14" t="n">
        <f aca="false">M587</f>
        <v>0</v>
      </c>
      <c r="X587" s="9" t="n">
        <f aca="false">IF(W587=0,0,IF(O587="Booked",N587,W587*AA586))</f>
        <v>0</v>
      </c>
      <c r="Y587" s="14" t="n">
        <f aca="false">IF(I587="Opening",K587,Y586+K587-W587)</f>
        <v>99</v>
      </c>
      <c r="Z587" s="9" t="n">
        <f aca="false">IF(I587="Opening",L587,Z586+L587-X587)</f>
        <v>3354815.05</v>
      </c>
      <c r="AA587" s="9" t="n">
        <f aca="false">IF(Y587&gt;0,Z587/Y587,IF(I587="Opening",0,AA586))</f>
        <v>33887.0207070707</v>
      </c>
      <c r="AB587" s="9" t="n">
        <f aca="false">IF(AND(I587="DO",O587="MA"),S587-N587,0)</f>
        <v>0</v>
      </c>
      <c r="AC587" s="9" t="n">
        <f aca="false">IF(I587="DO",X587-S587,0)</f>
        <v>0</v>
      </c>
      <c r="AD587" s="23" t="n">
        <f aca="false">IF(B588&lt;&gt;B587,1,0)</f>
        <v>0</v>
      </c>
      <c r="AE587" s="14" t="n">
        <f aca="false">IF(I587="Opening",0,AE586+W587)</f>
        <v>129.2</v>
      </c>
      <c r="AF587" s="14" t="n">
        <f aca="false">IF(I587="Opening",K587,AF586)</f>
        <v>77.1</v>
      </c>
      <c r="AG587" s="14" t="n">
        <f aca="false">AG586</f>
        <v>52.1</v>
      </c>
      <c r="AH587" s="14" t="n">
        <f aca="false">IF(W587=0,0,MAX(0,MIN(AE587,AF587)-MIN(AE587-W587,AF587)))</f>
        <v>0</v>
      </c>
      <c r="AI587" s="14" t="n">
        <f aca="false">IF(W587=0,0,MAX(0,MIN(AE587,AF587+AG587)-MAX(AE587-W587,AF587)))</f>
        <v>0</v>
      </c>
      <c r="AJ587" s="14" t="n">
        <f aca="false">W587-AH587-AI587</f>
        <v>0</v>
      </c>
      <c r="AK587" s="9" t="n">
        <f aca="false">IF(W587=0,0,X587*AH587/W587)</f>
        <v>0</v>
      </c>
      <c r="AL587" s="9" t="n">
        <f aca="false">IF(W587=0,0,X587*AI587/W587)</f>
        <v>0</v>
      </c>
      <c r="AM587" s="9" t="n">
        <f aca="false">X587-AK587-AL587</f>
        <v>0</v>
      </c>
    </row>
    <row r="588" customFormat="false" ht="15" hidden="false" customHeight="false" outlineLevel="0" collapsed="false">
      <c r="A588" s="6" t="n">
        <v>583</v>
      </c>
      <c r="B588" s="74" t="s">
        <v>1000</v>
      </c>
      <c r="C588" s="53" t="str">
        <f aca="false">INDEX(I_Items!$C$5:$C$133,MATCH($B588,I_Items!$A$5:$A$133,0))</f>
        <v>RPA</v>
      </c>
      <c r="D588" s="53" t="str">
        <f aca="false">INDEX(I_Items!$D$5:$D$133,MATCH($B588,I_Items!$A$5:$A$133,0))</f>
        <v>Karkas</v>
      </c>
      <c r="E588" s="53" t="str">
        <f aca="false">INDEX(I_Items!$F$5:$F$133,MATCH($B588,I_Items!$A$5:$A$133,0))</f>
        <v>Frozen</v>
      </c>
      <c r="F588" s="53" t="str">
        <f aca="false">IF(INDEX(I_Items!$E$5:$E$133,MATCH($B588,I_Items!$A$5:$A$133,0))="","",INDEX(I_Items!$E$5:$E$133,MATCH($B588,I_Items!$A$5:$A$133,0)))</f>
        <v>Uk 1.6</v>
      </c>
      <c r="G588" s="76" t="n">
        <v>46259</v>
      </c>
      <c r="H588" s="23" t="n">
        <f aca="false">MONTH(G588)</f>
        <v>8</v>
      </c>
      <c r="I588" s="74" t="s">
        <v>2074</v>
      </c>
      <c r="J588" s="74" t="s">
        <v>1314</v>
      </c>
      <c r="K588" s="10" t="n">
        <v>46.5</v>
      </c>
      <c r="L588" s="8" t="n">
        <v>1559001.08</v>
      </c>
      <c r="M588" s="10" t="n">
        <v>0</v>
      </c>
      <c r="N588" s="8" t="n">
        <v>0</v>
      </c>
      <c r="O588" s="74"/>
      <c r="P588" s="74"/>
      <c r="Q588" s="74"/>
      <c r="R588" s="14" t="n">
        <f aca="false">IF(I588="Unbilled",0,M588)</f>
        <v>0</v>
      </c>
      <c r="S588" s="9" t="n">
        <f aca="false">IF(R588=0,0,IF(O588="Booked",N588,R588*V587))</f>
        <v>0</v>
      </c>
      <c r="T588" s="14" t="n">
        <f aca="false">IF(I588="Opening",K588,T587+K588-R588)</f>
        <v>145.5</v>
      </c>
      <c r="U588" s="9" t="n">
        <f aca="false">IF(I588="Opening",L588,U587+L588-S588)</f>
        <v>4913816.13</v>
      </c>
      <c r="V588" s="9" t="n">
        <f aca="false">IF(T588&gt;0,U588/T588,IF(I588="Opening",0,V587))</f>
        <v>33771.9321649485</v>
      </c>
      <c r="W588" s="14" t="n">
        <f aca="false">M588</f>
        <v>0</v>
      </c>
      <c r="X588" s="9" t="n">
        <f aca="false">IF(W588=0,0,IF(O588="Booked",N588,W588*AA587))</f>
        <v>0</v>
      </c>
      <c r="Y588" s="14" t="n">
        <f aca="false">IF(I588="Opening",K588,Y587+K588-W588)</f>
        <v>145.5</v>
      </c>
      <c r="Z588" s="9" t="n">
        <f aca="false">IF(I588="Opening",L588,Z587+L588-X588)</f>
        <v>4913816.13</v>
      </c>
      <c r="AA588" s="9" t="n">
        <f aca="false">IF(Y588&gt;0,Z588/Y588,IF(I588="Opening",0,AA587))</f>
        <v>33771.9321649485</v>
      </c>
      <c r="AB588" s="9" t="n">
        <f aca="false">IF(AND(I588="DO",O588="MA"),S588-N588,0)</f>
        <v>0</v>
      </c>
      <c r="AC588" s="9" t="n">
        <f aca="false">IF(I588="DO",X588-S588,0)</f>
        <v>0</v>
      </c>
      <c r="AD588" s="23" t="n">
        <f aca="false">IF(B589&lt;&gt;B588,1,0)</f>
        <v>0</v>
      </c>
      <c r="AE588" s="14" t="n">
        <f aca="false">IF(I588="Opening",0,AE587+W588)</f>
        <v>129.2</v>
      </c>
      <c r="AF588" s="14" t="n">
        <f aca="false">IF(I588="Opening",K588,AF587)</f>
        <v>77.1</v>
      </c>
      <c r="AG588" s="14" t="n">
        <f aca="false">AG587</f>
        <v>52.1</v>
      </c>
      <c r="AH588" s="14" t="n">
        <f aca="false">IF(W588=0,0,MAX(0,MIN(AE588,AF588)-MIN(AE588-W588,AF588)))</f>
        <v>0</v>
      </c>
      <c r="AI588" s="14" t="n">
        <f aca="false">IF(W588=0,0,MAX(0,MIN(AE588,AF588+AG588)-MAX(AE588-W588,AF588)))</f>
        <v>0</v>
      </c>
      <c r="AJ588" s="14" t="n">
        <f aca="false">W588-AH588-AI588</f>
        <v>0</v>
      </c>
      <c r="AK588" s="9" t="n">
        <f aca="false">IF(W588=0,0,X588*AH588/W588)</f>
        <v>0</v>
      </c>
      <c r="AL588" s="9" t="n">
        <f aca="false">IF(W588=0,0,X588*AI588/W588)</f>
        <v>0</v>
      </c>
      <c r="AM588" s="9" t="n">
        <f aca="false">X588-AK588-AL588</f>
        <v>0</v>
      </c>
    </row>
    <row r="589" customFormat="false" ht="15" hidden="false" customHeight="false" outlineLevel="0" collapsed="false">
      <c r="A589" s="6" t="n">
        <v>584</v>
      </c>
      <c r="B589" s="74" t="s">
        <v>1000</v>
      </c>
      <c r="C589" s="53" t="str">
        <f aca="false">INDEX(I_Items!$C$5:$C$133,MATCH($B589,I_Items!$A$5:$A$133,0))</f>
        <v>RPA</v>
      </c>
      <c r="D589" s="53" t="str">
        <f aca="false">INDEX(I_Items!$D$5:$D$133,MATCH($B589,I_Items!$A$5:$A$133,0))</f>
        <v>Karkas</v>
      </c>
      <c r="E589" s="53" t="str">
        <f aca="false">INDEX(I_Items!$F$5:$F$133,MATCH($B589,I_Items!$A$5:$A$133,0))</f>
        <v>Frozen</v>
      </c>
      <c r="F589" s="53" t="str">
        <f aca="false">IF(INDEX(I_Items!$E$5:$E$133,MATCH($B589,I_Items!$A$5:$A$133,0))="","",INDEX(I_Items!$E$5:$E$133,MATCH($B589,I_Items!$A$5:$A$133,0)))</f>
        <v>Uk 1.6</v>
      </c>
      <c r="G589" s="76" t="n">
        <v>46260</v>
      </c>
      <c r="H589" s="23" t="n">
        <f aca="false">MONTH(G589)</f>
        <v>8</v>
      </c>
      <c r="I589" s="74" t="s">
        <v>2074</v>
      </c>
      <c r="J589" s="74" t="s">
        <v>1317</v>
      </c>
      <c r="K589" s="10" t="n">
        <v>21.5</v>
      </c>
      <c r="L589" s="8" t="n">
        <v>736265.44</v>
      </c>
      <c r="M589" s="10" t="n">
        <v>0</v>
      </c>
      <c r="N589" s="8" t="n">
        <v>0</v>
      </c>
      <c r="O589" s="74"/>
      <c r="P589" s="74"/>
      <c r="Q589" s="74"/>
      <c r="R589" s="14" t="n">
        <f aca="false">IF(I589="Unbilled",0,M589)</f>
        <v>0</v>
      </c>
      <c r="S589" s="9" t="n">
        <f aca="false">IF(R589=0,0,IF(O589="Booked",N589,R589*V588))</f>
        <v>0</v>
      </c>
      <c r="T589" s="14" t="n">
        <f aca="false">IF(I589="Opening",K589,T588+K589-R589)</f>
        <v>167</v>
      </c>
      <c r="U589" s="9" t="n">
        <f aca="false">IF(I589="Opening",L589,U588+L589-S589)</f>
        <v>5650081.57</v>
      </c>
      <c r="V589" s="9" t="n">
        <f aca="false">IF(T589&gt;0,U589/T589,IF(I589="Opening",0,V588))</f>
        <v>33832.8237724551</v>
      </c>
      <c r="W589" s="14" t="n">
        <f aca="false">M589</f>
        <v>0</v>
      </c>
      <c r="X589" s="9" t="n">
        <f aca="false">IF(W589=0,0,IF(O589="Booked",N589,W589*AA588))</f>
        <v>0</v>
      </c>
      <c r="Y589" s="14" t="n">
        <f aca="false">IF(I589="Opening",K589,Y588+K589-W589)</f>
        <v>167</v>
      </c>
      <c r="Z589" s="9" t="n">
        <f aca="false">IF(I589="Opening",L589,Z588+L589-X589)</f>
        <v>5650081.57</v>
      </c>
      <c r="AA589" s="9" t="n">
        <f aca="false">IF(Y589&gt;0,Z589/Y589,IF(I589="Opening",0,AA588))</f>
        <v>33832.8237724551</v>
      </c>
      <c r="AB589" s="9" t="n">
        <f aca="false">IF(AND(I589="DO",O589="MA"),S589-N589,0)</f>
        <v>0</v>
      </c>
      <c r="AC589" s="9" t="n">
        <f aca="false">IF(I589="DO",X589-S589,0)</f>
        <v>0</v>
      </c>
      <c r="AD589" s="23" t="n">
        <f aca="false">IF(B590&lt;&gt;B589,1,0)</f>
        <v>0</v>
      </c>
      <c r="AE589" s="14" t="n">
        <f aca="false">IF(I589="Opening",0,AE588+W589)</f>
        <v>129.2</v>
      </c>
      <c r="AF589" s="14" t="n">
        <f aca="false">IF(I589="Opening",K589,AF588)</f>
        <v>77.1</v>
      </c>
      <c r="AG589" s="14" t="n">
        <f aca="false">AG588</f>
        <v>52.1</v>
      </c>
      <c r="AH589" s="14" t="n">
        <f aca="false">IF(W589=0,0,MAX(0,MIN(AE589,AF589)-MIN(AE589-W589,AF589)))</f>
        <v>0</v>
      </c>
      <c r="AI589" s="14" t="n">
        <f aca="false">IF(W589=0,0,MAX(0,MIN(AE589,AF589+AG589)-MAX(AE589-W589,AF589)))</f>
        <v>0</v>
      </c>
      <c r="AJ589" s="14" t="n">
        <f aca="false">W589-AH589-AI589</f>
        <v>0</v>
      </c>
      <c r="AK589" s="9" t="n">
        <f aca="false">IF(W589=0,0,X589*AH589/W589)</f>
        <v>0</v>
      </c>
      <c r="AL589" s="9" t="n">
        <f aca="false">IF(W589=0,0,X589*AI589/W589)</f>
        <v>0</v>
      </c>
      <c r="AM589" s="9" t="n">
        <f aca="false">X589-AK589-AL589</f>
        <v>0</v>
      </c>
    </row>
    <row r="590" customFormat="false" ht="15" hidden="false" customHeight="false" outlineLevel="0" collapsed="false">
      <c r="A590" s="6" t="n">
        <v>585</v>
      </c>
      <c r="B590" s="74" t="s">
        <v>1000</v>
      </c>
      <c r="C590" s="53" t="str">
        <f aca="false">INDEX(I_Items!$C$5:$C$133,MATCH($B590,I_Items!$A$5:$A$133,0))</f>
        <v>RPA</v>
      </c>
      <c r="D590" s="53" t="str">
        <f aca="false">INDEX(I_Items!$D$5:$D$133,MATCH($B590,I_Items!$A$5:$A$133,0))</f>
        <v>Karkas</v>
      </c>
      <c r="E590" s="53" t="str">
        <f aca="false">INDEX(I_Items!$F$5:$F$133,MATCH($B590,I_Items!$A$5:$A$133,0))</f>
        <v>Frozen</v>
      </c>
      <c r="F590" s="53" t="str">
        <f aca="false">IF(INDEX(I_Items!$E$5:$E$133,MATCH($B590,I_Items!$A$5:$A$133,0))="","",INDEX(I_Items!$E$5:$E$133,MATCH($B590,I_Items!$A$5:$A$133,0)))</f>
        <v>Uk 1.6</v>
      </c>
      <c r="G590" s="76" t="n">
        <v>46261</v>
      </c>
      <c r="H590" s="23" t="n">
        <f aca="false">MONTH(G590)</f>
        <v>8</v>
      </c>
      <c r="I590" s="74" t="s">
        <v>2074</v>
      </c>
      <c r="J590" s="74" t="s">
        <v>1320</v>
      </c>
      <c r="K590" s="10" t="n">
        <v>13.3</v>
      </c>
      <c r="L590" s="8" t="n">
        <v>449592.52</v>
      </c>
      <c r="M590" s="10" t="n">
        <v>0</v>
      </c>
      <c r="N590" s="8" t="n">
        <v>0</v>
      </c>
      <c r="O590" s="74"/>
      <c r="P590" s="74"/>
      <c r="Q590" s="74"/>
      <c r="R590" s="14" t="n">
        <f aca="false">IF(I590="Unbilled",0,M590)</f>
        <v>0</v>
      </c>
      <c r="S590" s="9" t="n">
        <f aca="false">IF(R590=0,0,IF(O590="Booked",N590,R590*V589))</f>
        <v>0</v>
      </c>
      <c r="T590" s="14" t="n">
        <f aca="false">IF(I590="Opening",K590,T589+K590-R590)</f>
        <v>180.3</v>
      </c>
      <c r="U590" s="9" t="n">
        <f aca="false">IF(I590="Opening",L590,U589+L590-S590)</f>
        <v>6099674.09</v>
      </c>
      <c r="V590" s="9" t="n">
        <f aca="false">IF(T590&gt;0,U590/T590,IF(I590="Opening",0,V589))</f>
        <v>33830.6937881309</v>
      </c>
      <c r="W590" s="14" t="n">
        <f aca="false">M590</f>
        <v>0</v>
      </c>
      <c r="X590" s="9" t="n">
        <f aca="false">IF(W590=0,0,IF(O590="Booked",N590,W590*AA589))</f>
        <v>0</v>
      </c>
      <c r="Y590" s="14" t="n">
        <f aca="false">IF(I590="Opening",K590,Y589+K590-W590)</f>
        <v>180.3</v>
      </c>
      <c r="Z590" s="9" t="n">
        <f aca="false">IF(I590="Opening",L590,Z589+L590-X590)</f>
        <v>6099674.09</v>
      </c>
      <c r="AA590" s="9" t="n">
        <f aca="false">IF(Y590&gt;0,Z590/Y590,IF(I590="Opening",0,AA589))</f>
        <v>33830.6937881309</v>
      </c>
      <c r="AB590" s="9" t="n">
        <f aca="false">IF(AND(I590="DO",O590="MA"),S590-N590,0)</f>
        <v>0</v>
      </c>
      <c r="AC590" s="9" t="n">
        <f aca="false">IF(I590="DO",X590-S590,0)</f>
        <v>0</v>
      </c>
      <c r="AD590" s="23" t="n">
        <f aca="false">IF(B591&lt;&gt;B590,1,0)</f>
        <v>0</v>
      </c>
      <c r="AE590" s="14" t="n">
        <f aca="false">IF(I590="Opening",0,AE589+W590)</f>
        <v>129.2</v>
      </c>
      <c r="AF590" s="14" t="n">
        <f aca="false">IF(I590="Opening",K590,AF589)</f>
        <v>77.1</v>
      </c>
      <c r="AG590" s="14" t="n">
        <f aca="false">AG589</f>
        <v>52.1</v>
      </c>
      <c r="AH590" s="14" t="n">
        <f aca="false">IF(W590=0,0,MAX(0,MIN(AE590,AF590)-MIN(AE590-W590,AF590)))</f>
        <v>0</v>
      </c>
      <c r="AI590" s="14" t="n">
        <f aca="false">IF(W590=0,0,MAX(0,MIN(AE590,AF590+AG590)-MAX(AE590-W590,AF590)))</f>
        <v>0</v>
      </c>
      <c r="AJ590" s="14" t="n">
        <f aca="false">W590-AH590-AI590</f>
        <v>0</v>
      </c>
      <c r="AK590" s="9" t="n">
        <f aca="false">IF(W590=0,0,X590*AH590/W590)</f>
        <v>0</v>
      </c>
      <c r="AL590" s="9" t="n">
        <f aca="false">IF(W590=0,0,X590*AI590/W590)</f>
        <v>0</v>
      </c>
      <c r="AM590" s="9" t="n">
        <f aca="false">X590-AK590-AL590</f>
        <v>0</v>
      </c>
    </row>
    <row r="591" customFormat="false" ht="15" hidden="false" customHeight="false" outlineLevel="0" collapsed="false">
      <c r="A591" s="6" t="n">
        <v>586</v>
      </c>
      <c r="B591" s="74" t="s">
        <v>1000</v>
      </c>
      <c r="C591" s="53" t="str">
        <f aca="false">INDEX(I_Items!$C$5:$C$133,MATCH($B591,I_Items!$A$5:$A$133,0))</f>
        <v>RPA</v>
      </c>
      <c r="D591" s="53" t="str">
        <f aca="false">INDEX(I_Items!$D$5:$D$133,MATCH($B591,I_Items!$A$5:$A$133,0))</f>
        <v>Karkas</v>
      </c>
      <c r="E591" s="53" t="str">
        <f aca="false">INDEX(I_Items!$F$5:$F$133,MATCH($B591,I_Items!$A$5:$A$133,0))</f>
        <v>Frozen</v>
      </c>
      <c r="F591" s="53" t="str">
        <f aca="false">IF(INDEX(I_Items!$E$5:$E$133,MATCH($B591,I_Items!$A$5:$A$133,0))="","",INDEX(I_Items!$E$5:$E$133,MATCH($B591,I_Items!$A$5:$A$133,0)))</f>
        <v>Uk 1.6</v>
      </c>
      <c r="G591" s="76" t="n">
        <v>46262</v>
      </c>
      <c r="H591" s="23" t="n">
        <f aca="false">MONTH(G591)</f>
        <v>8</v>
      </c>
      <c r="I591" s="74" t="s">
        <v>2074</v>
      </c>
      <c r="J591" s="74" t="s">
        <v>1323</v>
      </c>
      <c r="K591" s="10" t="n">
        <v>31.7</v>
      </c>
      <c r="L591" s="8" t="n">
        <v>1080447.04</v>
      </c>
      <c r="M591" s="10" t="n">
        <v>0</v>
      </c>
      <c r="N591" s="8" t="n">
        <v>0</v>
      </c>
      <c r="O591" s="74"/>
      <c r="P591" s="74"/>
      <c r="Q591" s="74"/>
      <c r="R591" s="14" t="n">
        <f aca="false">IF(I591="Unbilled",0,M591)</f>
        <v>0</v>
      </c>
      <c r="S591" s="9" t="n">
        <f aca="false">IF(R591=0,0,IF(O591="Booked",N591,R591*V590))</f>
        <v>0</v>
      </c>
      <c r="T591" s="14" t="n">
        <f aca="false">IF(I591="Opening",K591,T590+K591-R591)</f>
        <v>212</v>
      </c>
      <c r="U591" s="9" t="n">
        <f aca="false">IF(I591="Opening",L591,U590+L591-S591)</f>
        <v>7180121.13</v>
      </c>
      <c r="V591" s="9" t="n">
        <f aca="false">IF(T591&gt;0,U591/T591,IF(I591="Opening",0,V590))</f>
        <v>33868.4958962264</v>
      </c>
      <c r="W591" s="14" t="n">
        <f aca="false">M591</f>
        <v>0</v>
      </c>
      <c r="X591" s="9" t="n">
        <f aca="false">IF(W591=0,0,IF(O591="Booked",N591,W591*AA590))</f>
        <v>0</v>
      </c>
      <c r="Y591" s="14" t="n">
        <f aca="false">IF(I591="Opening",K591,Y590+K591-W591)</f>
        <v>212</v>
      </c>
      <c r="Z591" s="9" t="n">
        <f aca="false">IF(I591="Opening",L591,Z590+L591-X591)</f>
        <v>7180121.13</v>
      </c>
      <c r="AA591" s="9" t="n">
        <f aca="false">IF(Y591&gt;0,Z591/Y591,IF(I591="Opening",0,AA590))</f>
        <v>33868.4958962264</v>
      </c>
      <c r="AB591" s="9" t="n">
        <f aca="false">IF(AND(I591="DO",O591="MA"),S591-N591,0)</f>
        <v>0</v>
      </c>
      <c r="AC591" s="9" t="n">
        <f aca="false">IF(I591="DO",X591-S591,0)</f>
        <v>0</v>
      </c>
      <c r="AD591" s="23" t="n">
        <f aca="false">IF(B592&lt;&gt;B591,1,0)</f>
        <v>0</v>
      </c>
      <c r="AE591" s="14" t="n">
        <f aca="false">IF(I591="Opening",0,AE590+W591)</f>
        <v>129.2</v>
      </c>
      <c r="AF591" s="14" t="n">
        <f aca="false">IF(I591="Opening",K591,AF590)</f>
        <v>77.1</v>
      </c>
      <c r="AG591" s="14" t="n">
        <f aca="false">AG590</f>
        <v>52.1</v>
      </c>
      <c r="AH591" s="14" t="n">
        <f aca="false">IF(W591=0,0,MAX(0,MIN(AE591,AF591)-MIN(AE591-W591,AF591)))</f>
        <v>0</v>
      </c>
      <c r="AI591" s="14" t="n">
        <f aca="false">IF(W591=0,0,MAX(0,MIN(AE591,AF591+AG591)-MAX(AE591-W591,AF591)))</f>
        <v>0</v>
      </c>
      <c r="AJ591" s="14" t="n">
        <f aca="false">W591-AH591-AI591</f>
        <v>0</v>
      </c>
      <c r="AK591" s="9" t="n">
        <f aca="false">IF(W591=0,0,X591*AH591/W591)</f>
        <v>0</v>
      </c>
      <c r="AL591" s="9" t="n">
        <f aca="false">IF(W591=0,0,X591*AI591/W591)</f>
        <v>0</v>
      </c>
      <c r="AM591" s="9" t="n">
        <f aca="false">X591-AK591-AL591</f>
        <v>0</v>
      </c>
    </row>
    <row r="592" customFormat="false" ht="15" hidden="false" customHeight="false" outlineLevel="0" collapsed="false">
      <c r="A592" s="6" t="n">
        <v>587</v>
      </c>
      <c r="B592" s="74" t="s">
        <v>1000</v>
      </c>
      <c r="C592" s="53" t="str">
        <f aca="false">INDEX(I_Items!$C$5:$C$133,MATCH($B592,I_Items!$A$5:$A$133,0))</f>
        <v>RPA</v>
      </c>
      <c r="D592" s="53" t="str">
        <f aca="false">INDEX(I_Items!$D$5:$D$133,MATCH($B592,I_Items!$A$5:$A$133,0))</f>
        <v>Karkas</v>
      </c>
      <c r="E592" s="53" t="str">
        <f aca="false">INDEX(I_Items!$F$5:$F$133,MATCH($B592,I_Items!$A$5:$A$133,0))</f>
        <v>Frozen</v>
      </c>
      <c r="F592" s="53" t="str">
        <f aca="false">IF(INDEX(I_Items!$E$5:$E$133,MATCH($B592,I_Items!$A$5:$A$133,0))="","",INDEX(I_Items!$E$5:$E$133,MATCH($B592,I_Items!$A$5:$A$133,0)))</f>
        <v>Uk 1.6</v>
      </c>
      <c r="G592" s="76" t="n">
        <v>46265</v>
      </c>
      <c r="H592" s="23" t="n">
        <f aca="false">MONTH(G592)</f>
        <v>8</v>
      </c>
      <c r="I592" s="74" t="s">
        <v>2074</v>
      </c>
      <c r="J592" s="74" t="s">
        <v>1326</v>
      </c>
      <c r="K592" s="10" t="n">
        <v>111.6</v>
      </c>
      <c r="L592" s="8" t="n">
        <v>3738234.44</v>
      </c>
      <c r="M592" s="10" t="n">
        <v>0</v>
      </c>
      <c r="N592" s="8" t="n">
        <v>0</v>
      </c>
      <c r="O592" s="74"/>
      <c r="P592" s="74"/>
      <c r="Q592" s="74"/>
      <c r="R592" s="14" t="n">
        <f aca="false">IF(I592="Unbilled",0,M592)</f>
        <v>0</v>
      </c>
      <c r="S592" s="9" t="n">
        <f aca="false">IF(R592=0,0,IF(O592="Booked",N592,R592*V591))</f>
        <v>0</v>
      </c>
      <c r="T592" s="14" t="n">
        <f aca="false">IF(I592="Opening",K592,T591+K592-R592)</f>
        <v>323.6</v>
      </c>
      <c r="U592" s="9" t="n">
        <f aca="false">IF(I592="Opening",L592,U591+L592-S592)</f>
        <v>10918355.57</v>
      </c>
      <c r="V592" s="9" t="n">
        <f aca="false">IF(T592&gt;0,U592/T592,IF(I592="Opening",0,V591))</f>
        <v>33740.2829728059</v>
      </c>
      <c r="W592" s="14" t="n">
        <f aca="false">M592</f>
        <v>0</v>
      </c>
      <c r="X592" s="9" t="n">
        <f aca="false">IF(W592=0,0,IF(O592="Booked",N592,W592*AA591))</f>
        <v>0</v>
      </c>
      <c r="Y592" s="14" t="n">
        <f aca="false">IF(I592="Opening",K592,Y591+K592-W592)</f>
        <v>323.6</v>
      </c>
      <c r="Z592" s="9" t="n">
        <f aca="false">IF(I592="Opening",L592,Z591+L592-X592)</f>
        <v>10918355.57</v>
      </c>
      <c r="AA592" s="9" t="n">
        <f aca="false">IF(Y592&gt;0,Z592/Y592,IF(I592="Opening",0,AA591))</f>
        <v>33740.2829728059</v>
      </c>
      <c r="AB592" s="9" t="n">
        <f aca="false">IF(AND(I592="DO",O592="MA"),S592-N592,0)</f>
        <v>0</v>
      </c>
      <c r="AC592" s="9" t="n">
        <f aca="false">IF(I592="DO",X592-S592,0)</f>
        <v>0</v>
      </c>
      <c r="AD592" s="23" t="n">
        <f aca="false">IF(B593&lt;&gt;B592,1,0)</f>
        <v>1</v>
      </c>
      <c r="AE592" s="14" t="n">
        <f aca="false">IF(I592="Opening",0,AE591+W592)</f>
        <v>129.2</v>
      </c>
      <c r="AF592" s="14" t="n">
        <f aca="false">IF(I592="Opening",K592,AF591)</f>
        <v>77.1</v>
      </c>
      <c r="AG592" s="14" t="n">
        <f aca="false">AG591</f>
        <v>52.1</v>
      </c>
      <c r="AH592" s="14" t="n">
        <f aca="false">IF(W592=0,0,MAX(0,MIN(AE592,AF592)-MIN(AE592-W592,AF592)))</f>
        <v>0</v>
      </c>
      <c r="AI592" s="14" t="n">
        <f aca="false">IF(W592=0,0,MAX(0,MIN(AE592,AF592+AG592)-MAX(AE592-W592,AF592)))</f>
        <v>0</v>
      </c>
      <c r="AJ592" s="14" t="n">
        <f aca="false">W592-AH592-AI592</f>
        <v>0</v>
      </c>
      <c r="AK592" s="9" t="n">
        <f aca="false">IF(W592=0,0,X592*AH592/W592)</f>
        <v>0</v>
      </c>
      <c r="AL592" s="9" t="n">
        <f aca="false">IF(W592=0,0,X592*AI592/W592)</f>
        <v>0</v>
      </c>
      <c r="AM592" s="9" t="n">
        <f aca="false">X592-AK592-AL592</f>
        <v>0</v>
      </c>
    </row>
    <row r="593" customFormat="false" ht="15" hidden="false" customHeight="false" outlineLevel="0" collapsed="false">
      <c r="A593" s="6" t="n">
        <v>588</v>
      </c>
      <c r="B593" s="74" t="s">
        <v>1001</v>
      </c>
      <c r="C593" s="53" t="str">
        <f aca="false">INDEX(I_Items!$C$5:$C$133,MATCH($B593,I_Items!$A$5:$A$133,0))</f>
        <v>RPA</v>
      </c>
      <c r="D593" s="53" t="str">
        <f aca="false">INDEX(I_Items!$D$5:$D$133,MATCH($B593,I_Items!$A$5:$A$133,0))</f>
        <v>Karkas</v>
      </c>
      <c r="E593" s="53" t="str">
        <f aca="false">INDEX(I_Items!$F$5:$F$133,MATCH($B593,I_Items!$A$5:$A$133,0))</f>
        <v>Frozen</v>
      </c>
      <c r="F593" s="53" t="str">
        <f aca="false">IF(INDEX(I_Items!$E$5:$E$133,MATCH($B593,I_Items!$A$5:$A$133,0))="","",INDEX(I_Items!$E$5:$E$133,MATCH($B593,I_Items!$A$5:$A$133,0)))</f>
        <v>Uk 1.6</v>
      </c>
      <c r="G593" s="76" t="n">
        <v>46204</v>
      </c>
      <c r="H593" s="23" t="n">
        <f aca="false">MONTH(G593)</f>
        <v>7</v>
      </c>
      <c r="I593" s="74" t="s">
        <v>2072</v>
      </c>
      <c r="J593" s="74" t="s">
        <v>2073</v>
      </c>
      <c r="K593" s="10" t="n">
        <v>0</v>
      </c>
      <c r="L593" s="8" t="n">
        <v>0</v>
      </c>
      <c r="M593" s="10" t="n">
        <v>0</v>
      </c>
      <c r="N593" s="8" t="n">
        <v>0</v>
      </c>
      <c r="O593" s="74"/>
      <c r="P593" s="74"/>
      <c r="Q593" s="74"/>
      <c r="R593" s="14" t="n">
        <f aca="false">IF(I593="Unbilled",0,M593)</f>
        <v>0</v>
      </c>
      <c r="S593" s="9" t="n">
        <f aca="false">IF(R593=0,0,IF(O593="Booked",N593,R593*V592))</f>
        <v>0</v>
      </c>
      <c r="T593" s="14" t="n">
        <f aca="false">IF(I593="Opening",K593,T592+K593-R593)</f>
        <v>0</v>
      </c>
      <c r="U593" s="9" t="n">
        <f aca="false">IF(I593="Opening",L593,U592+L593-S593)</f>
        <v>0</v>
      </c>
      <c r="V593" s="9" t="n">
        <f aca="false">IF(T593&gt;0,U593/T593,IF(I593="Opening",0,V592))</f>
        <v>0</v>
      </c>
      <c r="W593" s="14" t="n">
        <f aca="false">M593</f>
        <v>0</v>
      </c>
      <c r="X593" s="9" t="n">
        <f aca="false">IF(W593=0,0,IF(O593="Booked",N593,W593*AA592))</f>
        <v>0</v>
      </c>
      <c r="Y593" s="14" t="n">
        <f aca="false">IF(I593="Opening",K593,Y592+K593-W593)</f>
        <v>0</v>
      </c>
      <c r="Z593" s="9" t="n">
        <f aca="false">IF(I593="Opening",L593,Z592+L593-X593)</f>
        <v>0</v>
      </c>
      <c r="AA593" s="9" t="n">
        <f aca="false">IF(Y593&gt;0,Z593/Y593,IF(I593="Opening",0,AA592))</f>
        <v>0</v>
      </c>
      <c r="AB593" s="9" t="n">
        <f aca="false">IF(AND(I593="DO",O593="MA"),S593-N593,0)</f>
        <v>0</v>
      </c>
      <c r="AC593" s="9" t="n">
        <f aca="false">IF(I593="DO",X593-S593,0)</f>
        <v>0</v>
      </c>
      <c r="AD593" s="23" t="n">
        <f aca="false">IF(B594&lt;&gt;B593,1,0)</f>
        <v>0</v>
      </c>
      <c r="AE593" s="14" t="n">
        <f aca="false">IF(I593="Opening",0,AE592+W593)</f>
        <v>0</v>
      </c>
      <c r="AF593" s="14" t="n">
        <f aca="false">IF(I593="Opening",K593,AF592)</f>
        <v>0</v>
      </c>
      <c r="AG593" s="14" t="n">
        <f aca="false">SUMIFS($K$6:$K$1110,$B$6:$B$1110,B593,$H$6:$H$1110,7,$I$6:$I$1110,"&lt;&gt;Opening")</f>
        <v>0</v>
      </c>
      <c r="AH593" s="14" t="n">
        <f aca="false">IF(W593=0,0,MAX(0,MIN(AE593,AF593)-MIN(AE593-W593,AF593)))</f>
        <v>0</v>
      </c>
      <c r="AI593" s="14" t="n">
        <f aca="false">IF(W593=0,0,MAX(0,MIN(AE593,AF593+AG593)-MAX(AE593-W593,AF593)))</f>
        <v>0</v>
      </c>
      <c r="AJ593" s="14" t="n">
        <f aca="false">W593-AH593-AI593</f>
        <v>0</v>
      </c>
      <c r="AK593" s="9" t="n">
        <f aca="false">IF(W593=0,0,X593*AH593/W593)</f>
        <v>0</v>
      </c>
      <c r="AL593" s="9" t="n">
        <f aca="false">IF(W593=0,0,X593*AI593/W593)</f>
        <v>0</v>
      </c>
      <c r="AM593" s="9" t="n">
        <f aca="false">X593-AK593-AL593</f>
        <v>0</v>
      </c>
    </row>
    <row r="594" customFormat="false" ht="15" hidden="false" customHeight="false" outlineLevel="0" collapsed="false">
      <c r="A594" s="6" t="n">
        <v>589</v>
      </c>
      <c r="B594" s="74" t="s">
        <v>1001</v>
      </c>
      <c r="C594" s="53" t="str">
        <f aca="false">INDEX(I_Items!$C$5:$C$133,MATCH($B594,I_Items!$A$5:$A$133,0))</f>
        <v>RPA</v>
      </c>
      <c r="D594" s="53" t="str">
        <f aca="false">INDEX(I_Items!$D$5:$D$133,MATCH($B594,I_Items!$A$5:$A$133,0))</f>
        <v>Karkas</v>
      </c>
      <c r="E594" s="53" t="str">
        <f aca="false">INDEX(I_Items!$F$5:$F$133,MATCH($B594,I_Items!$A$5:$A$133,0))</f>
        <v>Frozen</v>
      </c>
      <c r="F594" s="53" t="str">
        <f aca="false">IF(INDEX(I_Items!$E$5:$E$133,MATCH($B594,I_Items!$A$5:$A$133,0))="","",INDEX(I_Items!$E$5:$E$133,MATCH($B594,I_Items!$A$5:$A$133,0)))</f>
        <v>Uk 1.6</v>
      </c>
      <c r="G594" s="76" t="n">
        <v>46260</v>
      </c>
      <c r="H594" s="23" t="n">
        <f aca="false">MONTH(G594)</f>
        <v>8</v>
      </c>
      <c r="I594" s="74" t="s">
        <v>2074</v>
      </c>
      <c r="J594" s="74" t="s">
        <v>1317</v>
      </c>
      <c r="K594" s="10" t="n">
        <v>267</v>
      </c>
      <c r="L594" s="8" t="n">
        <v>10057728.38</v>
      </c>
      <c r="M594" s="10" t="n">
        <v>0</v>
      </c>
      <c r="N594" s="8" t="n">
        <v>0</v>
      </c>
      <c r="O594" s="74"/>
      <c r="P594" s="74"/>
      <c r="Q594" s="74"/>
      <c r="R594" s="14" t="n">
        <f aca="false">IF(I594="Unbilled",0,M594)</f>
        <v>0</v>
      </c>
      <c r="S594" s="9" t="n">
        <f aca="false">IF(R594=0,0,IF(O594="Booked",N594,R594*V593))</f>
        <v>0</v>
      </c>
      <c r="T594" s="14" t="n">
        <f aca="false">IF(I594="Opening",K594,T593+K594-R594)</f>
        <v>267</v>
      </c>
      <c r="U594" s="9" t="n">
        <f aca="false">IF(I594="Opening",L594,U593+L594-S594)</f>
        <v>10057728.38</v>
      </c>
      <c r="V594" s="9" t="n">
        <f aca="false">IF(T594&gt;0,U594/T594,IF(I594="Opening",0,V593))</f>
        <v>37669.3946816479</v>
      </c>
      <c r="W594" s="14" t="n">
        <f aca="false">M594</f>
        <v>0</v>
      </c>
      <c r="X594" s="9" t="n">
        <f aca="false">IF(W594=0,0,IF(O594="Booked",N594,W594*AA593))</f>
        <v>0</v>
      </c>
      <c r="Y594" s="14" t="n">
        <f aca="false">IF(I594="Opening",K594,Y593+K594-W594)</f>
        <v>267</v>
      </c>
      <c r="Z594" s="9" t="n">
        <f aca="false">IF(I594="Opening",L594,Z593+L594-X594)</f>
        <v>10057728.38</v>
      </c>
      <c r="AA594" s="9" t="n">
        <f aca="false">IF(Y594&gt;0,Z594/Y594,IF(I594="Opening",0,AA593))</f>
        <v>37669.3946816479</v>
      </c>
      <c r="AB594" s="9" t="n">
        <f aca="false">IF(AND(I594="DO",O594="MA"),S594-N594,0)</f>
        <v>0</v>
      </c>
      <c r="AC594" s="9" t="n">
        <f aca="false">IF(I594="DO",X594-S594,0)</f>
        <v>0</v>
      </c>
      <c r="AD594" s="23" t="n">
        <f aca="false">IF(B595&lt;&gt;B594,1,0)</f>
        <v>0</v>
      </c>
      <c r="AE594" s="14" t="n">
        <f aca="false">IF(I594="Opening",0,AE593+W594)</f>
        <v>0</v>
      </c>
      <c r="AF594" s="14" t="n">
        <f aca="false">IF(I594="Opening",K594,AF593)</f>
        <v>0</v>
      </c>
      <c r="AG594" s="14" t="n">
        <f aca="false">AG593</f>
        <v>0</v>
      </c>
      <c r="AH594" s="14" t="n">
        <f aca="false">IF(W594=0,0,MAX(0,MIN(AE594,AF594)-MIN(AE594-W594,AF594)))</f>
        <v>0</v>
      </c>
      <c r="AI594" s="14" t="n">
        <f aca="false">IF(W594=0,0,MAX(0,MIN(AE594,AF594+AG594)-MAX(AE594-W594,AF594)))</f>
        <v>0</v>
      </c>
      <c r="AJ594" s="14" t="n">
        <f aca="false">W594-AH594-AI594</f>
        <v>0</v>
      </c>
      <c r="AK594" s="9" t="n">
        <f aca="false">IF(W594=0,0,X594*AH594/W594)</f>
        <v>0</v>
      </c>
      <c r="AL594" s="9" t="n">
        <f aca="false">IF(W594=0,0,X594*AI594/W594)</f>
        <v>0</v>
      </c>
      <c r="AM594" s="9" t="n">
        <f aca="false">X594-AK594-AL594</f>
        <v>0</v>
      </c>
    </row>
    <row r="595" customFormat="false" ht="15" hidden="false" customHeight="false" outlineLevel="0" collapsed="false">
      <c r="A595" s="6" t="n">
        <v>590</v>
      </c>
      <c r="B595" s="74" t="s">
        <v>1001</v>
      </c>
      <c r="C595" s="53" t="str">
        <f aca="false">INDEX(I_Items!$C$5:$C$133,MATCH($B595,I_Items!$A$5:$A$133,0))</f>
        <v>RPA</v>
      </c>
      <c r="D595" s="53" t="str">
        <f aca="false">INDEX(I_Items!$D$5:$D$133,MATCH($B595,I_Items!$A$5:$A$133,0))</f>
        <v>Karkas</v>
      </c>
      <c r="E595" s="53" t="str">
        <f aca="false">INDEX(I_Items!$F$5:$F$133,MATCH($B595,I_Items!$A$5:$A$133,0))</f>
        <v>Frozen</v>
      </c>
      <c r="F595" s="53" t="str">
        <f aca="false">IF(INDEX(I_Items!$E$5:$E$133,MATCH($B595,I_Items!$A$5:$A$133,0))="","",INDEX(I_Items!$E$5:$E$133,MATCH($B595,I_Items!$A$5:$A$133,0)))</f>
        <v>Uk 1.6</v>
      </c>
      <c r="G595" s="76" t="n">
        <v>46261</v>
      </c>
      <c r="H595" s="23" t="n">
        <f aca="false">MONTH(G595)</f>
        <v>8</v>
      </c>
      <c r="I595" s="74" t="s">
        <v>2074</v>
      </c>
      <c r="J595" s="74" t="s">
        <v>1320</v>
      </c>
      <c r="K595" s="10" t="n">
        <v>138.4</v>
      </c>
      <c r="L595" s="8" t="n">
        <v>5146313.13</v>
      </c>
      <c r="M595" s="10" t="n">
        <v>0</v>
      </c>
      <c r="N595" s="8" t="n">
        <v>0</v>
      </c>
      <c r="O595" s="74"/>
      <c r="P595" s="74"/>
      <c r="Q595" s="74"/>
      <c r="R595" s="14" t="n">
        <f aca="false">IF(I595="Unbilled",0,M595)</f>
        <v>0</v>
      </c>
      <c r="S595" s="9" t="n">
        <f aca="false">IF(R595=0,0,IF(O595="Booked",N595,R595*V594))</f>
        <v>0</v>
      </c>
      <c r="T595" s="14" t="n">
        <f aca="false">IF(I595="Opening",K595,T594+K595-R595)</f>
        <v>405.4</v>
      </c>
      <c r="U595" s="9" t="n">
        <f aca="false">IF(I595="Opening",L595,U594+L595-S595)</f>
        <v>15204041.51</v>
      </c>
      <c r="V595" s="9" t="n">
        <f aca="false">IF(T595&gt;0,U595/T595,IF(I595="Opening",0,V594))</f>
        <v>37503.8024420326</v>
      </c>
      <c r="W595" s="14" t="n">
        <f aca="false">M595</f>
        <v>0</v>
      </c>
      <c r="X595" s="9" t="n">
        <f aca="false">IF(W595=0,0,IF(O595="Booked",N595,W595*AA594))</f>
        <v>0</v>
      </c>
      <c r="Y595" s="14" t="n">
        <f aca="false">IF(I595="Opening",K595,Y594+K595-W595)</f>
        <v>405.4</v>
      </c>
      <c r="Z595" s="9" t="n">
        <f aca="false">IF(I595="Opening",L595,Z594+L595-X595)</f>
        <v>15204041.51</v>
      </c>
      <c r="AA595" s="9" t="n">
        <f aca="false">IF(Y595&gt;0,Z595/Y595,IF(I595="Opening",0,AA594))</f>
        <v>37503.8024420326</v>
      </c>
      <c r="AB595" s="9" t="n">
        <f aca="false">IF(AND(I595="DO",O595="MA"),S595-N595,0)</f>
        <v>0</v>
      </c>
      <c r="AC595" s="9" t="n">
        <f aca="false">IF(I595="DO",X595-S595,0)</f>
        <v>0</v>
      </c>
      <c r="AD595" s="23" t="n">
        <f aca="false">IF(B596&lt;&gt;B595,1,0)</f>
        <v>0</v>
      </c>
      <c r="AE595" s="14" t="n">
        <f aca="false">IF(I595="Opening",0,AE594+W595)</f>
        <v>0</v>
      </c>
      <c r="AF595" s="14" t="n">
        <f aca="false">IF(I595="Opening",K595,AF594)</f>
        <v>0</v>
      </c>
      <c r="AG595" s="14" t="n">
        <f aca="false">AG594</f>
        <v>0</v>
      </c>
      <c r="AH595" s="14" t="n">
        <f aca="false">IF(W595=0,0,MAX(0,MIN(AE595,AF595)-MIN(AE595-W595,AF595)))</f>
        <v>0</v>
      </c>
      <c r="AI595" s="14" t="n">
        <f aca="false">IF(W595=0,0,MAX(0,MIN(AE595,AF595+AG595)-MAX(AE595-W595,AF595)))</f>
        <v>0</v>
      </c>
      <c r="AJ595" s="14" t="n">
        <f aca="false">W595-AH595-AI595</f>
        <v>0</v>
      </c>
      <c r="AK595" s="9" t="n">
        <f aca="false">IF(W595=0,0,X595*AH595/W595)</f>
        <v>0</v>
      </c>
      <c r="AL595" s="9" t="n">
        <f aca="false">IF(W595=0,0,X595*AI595/W595)</f>
        <v>0</v>
      </c>
      <c r="AM595" s="9" t="n">
        <f aca="false">X595-AK595-AL595</f>
        <v>0</v>
      </c>
    </row>
    <row r="596" customFormat="false" ht="15" hidden="false" customHeight="false" outlineLevel="0" collapsed="false">
      <c r="A596" s="6" t="n">
        <v>591</v>
      </c>
      <c r="B596" s="74" t="s">
        <v>1001</v>
      </c>
      <c r="C596" s="53" t="str">
        <f aca="false">INDEX(I_Items!$C$5:$C$133,MATCH($B596,I_Items!$A$5:$A$133,0))</f>
        <v>RPA</v>
      </c>
      <c r="D596" s="53" t="str">
        <f aca="false">INDEX(I_Items!$D$5:$D$133,MATCH($B596,I_Items!$A$5:$A$133,0))</f>
        <v>Karkas</v>
      </c>
      <c r="E596" s="53" t="str">
        <f aca="false">INDEX(I_Items!$F$5:$F$133,MATCH($B596,I_Items!$A$5:$A$133,0))</f>
        <v>Frozen</v>
      </c>
      <c r="F596" s="53" t="str">
        <f aca="false">IF(INDEX(I_Items!$E$5:$E$133,MATCH($B596,I_Items!$A$5:$A$133,0))="","",INDEX(I_Items!$E$5:$E$133,MATCH($B596,I_Items!$A$5:$A$133,0)))</f>
        <v>Uk 1.6</v>
      </c>
      <c r="G596" s="76" t="n">
        <v>46262</v>
      </c>
      <c r="H596" s="23" t="n">
        <f aca="false">MONTH(G596)</f>
        <v>8</v>
      </c>
      <c r="I596" s="74" t="s">
        <v>2074</v>
      </c>
      <c r="J596" s="74" t="s">
        <v>1323</v>
      </c>
      <c r="K596" s="10" t="n">
        <v>263.3</v>
      </c>
      <c r="L596" s="8" t="n">
        <v>9871604.92</v>
      </c>
      <c r="M596" s="10" t="n">
        <v>0</v>
      </c>
      <c r="N596" s="8" t="n">
        <v>0</v>
      </c>
      <c r="O596" s="74"/>
      <c r="P596" s="74"/>
      <c r="Q596" s="74"/>
      <c r="R596" s="14" t="n">
        <f aca="false">IF(I596="Unbilled",0,M596)</f>
        <v>0</v>
      </c>
      <c r="S596" s="9" t="n">
        <f aca="false">IF(R596=0,0,IF(O596="Booked",N596,R596*V595))</f>
        <v>0</v>
      </c>
      <c r="T596" s="14" t="n">
        <f aca="false">IF(I596="Opening",K596,T595+K596-R596)</f>
        <v>668.7</v>
      </c>
      <c r="U596" s="9" t="n">
        <f aca="false">IF(I596="Opening",L596,U595+L596-S596)</f>
        <v>25075646.43</v>
      </c>
      <c r="V596" s="9" t="n">
        <f aca="false">IF(T596&gt;0,U596/T596,IF(I596="Opening",0,V595))</f>
        <v>37499.0973979363</v>
      </c>
      <c r="W596" s="14" t="n">
        <f aca="false">M596</f>
        <v>0</v>
      </c>
      <c r="X596" s="9" t="n">
        <f aca="false">IF(W596=0,0,IF(O596="Booked",N596,W596*AA595))</f>
        <v>0</v>
      </c>
      <c r="Y596" s="14" t="n">
        <f aca="false">IF(I596="Opening",K596,Y595+K596-W596)</f>
        <v>668.7</v>
      </c>
      <c r="Z596" s="9" t="n">
        <f aca="false">IF(I596="Opening",L596,Z595+L596-X596)</f>
        <v>25075646.43</v>
      </c>
      <c r="AA596" s="9" t="n">
        <f aca="false">IF(Y596&gt;0,Z596/Y596,IF(I596="Opening",0,AA595))</f>
        <v>37499.0973979363</v>
      </c>
      <c r="AB596" s="9" t="n">
        <f aca="false">IF(AND(I596="DO",O596="MA"),S596-N596,0)</f>
        <v>0</v>
      </c>
      <c r="AC596" s="9" t="n">
        <f aca="false">IF(I596="DO",X596-S596,0)</f>
        <v>0</v>
      </c>
      <c r="AD596" s="23" t="n">
        <f aca="false">IF(B597&lt;&gt;B596,1,0)</f>
        <v>0</v>
      </c>
      <c r="AE596" s="14" t="n">
        <f aca="false">IF(I596="Opening",0,AE595+W596)</f>
        <v>0</v>
      </c>
      <c r="AF596" s="14" t="n">
        <f aca="false">IF(I596="Opening",K596,AF595)</f>
        <v>0</v>
      </c>
      <c r="AG596" s="14" t="n">
        <f aca="false">AG595</f>
        <v>0</v>
      </c>
      <c r="AH596" s="14" t="n">
        <f aca="false">IF(W596=0,0,MAX(0,MIN(AE596,AF596)-MIN(AE596-W596,AF596)))</f>
        <v>0</v>
      </c>
      <c r="AI596" s="14" t="n">
        <f aca="false">IF(W596=0,0,MAX(0,MIN(AE596,AF596+AG596)-MAX(AE596-W596,AF596)))</f>
        <v>0</v>
      </c>
      <c r="AJ596" s="14" t="n">
        <f aca="false">W596-AH596-AI596</f>
        <v>0</v>
      </c>
      <c r="AK596" s="9" t="n">
        <f aca="false">IF(W596=0,0,X596*AH596/W596)</f>
        <v>0</v>
      </c>
      <c r="AL596" s="9" t="n">
        <f aca="false">IF(W596=0,0,X596*AI596/W596)</f>
        <v>0</v>
      </c>
      <c r="AM596" s="9" t="n">
        <f aca="false">X596-AK596-AL596</f>
        <v>0</v>
      </c>
    </row>
    <row r="597" customFormat="false" ht="15" hidden="false" customHeight="false" outlineLevel="0" collapsed="false">
      <c r="A597" s="6" t="n">
        <v>592</v>
      </c>
      <c r="B597" s="74" t="s">
        <v>1001</v>
      </c>
      <c r="C597" s="53" t="str">
        <f aca="false">INDEX(I_Items!$C$5:$C$133,MATCH($B597,I_Items!$A$5:$A$133,0))</f>
        <v>RPA</v>
      </c>
      <c r="D597" s="53" t="str">
        <f aca="false">INDEX(I_Items!$D$5:$D$133,MATCH($B597,I_Items!$A$5:$A$133,0))</f>
        <v>Karkas</v>
      </c>
      <c r="E597" s="53" t="str">
        <f aca="false">INDEX(I_Items!$F$5:$F$133,MATCH($B597,I_Items!$A$5:$A$133,0))</f>
        <v>Frozen</v>
      </c>
      <c r="F597" s="53" t="str">
        <f aca="false">IF(INDEX(I_Items!$E$5:$E$133,MATCH($B597,I_Items!$A$5:$A$133,0))="","",INDEX(I_Items!$E$5:$E$133,MATCH($B597,I_Items!$A$5:$A$133,0)))</f>
        <v>Uk 1.6</v>
      </c>
      <c r="G597" s="76" t="n">
        <v>46265</v>
      </c>
      <c r="H597" s="23" t="n">
        <f aca="false">MONTH(G597)</f>
        <v>8</v>
      </c>
      <c r="I597" s="74" t="s">
        <v>2074</v>
      </c>
      <c r="J597" s="74" t="s">
        <v>1326</v>
      </c>
      <c r="K597" s="10" t="n">
        <v>1098.7</v>
      </c>
      <c r="L597" s="8" t="n">
        <v>40483136.16</v>
      </c>
      <c r="M597" s="10" t="n">
        <v>0</v>
      </c>
      <c r="N597" s="8" t="n">
        <v>0</v>
      </c>
      <c r="O597" s="74"/>
      <c r="P597" s="74"/>
      <c r="Q597" s="74"/>
      <c r="R597" s="14" t="n">
        <f aca="false">IF(I597="Unbilled",0,M597)</f>
        <v>0</v>
      </c>
      <c r="S597" s="9" t="n">
        <f aca="false">IF(R597=0,0,IF(O597="Booked",N597,R597*V596))</f>
        <v>0</v>
      </c>
      <c r="T597" s="14" t="n">
        <f aca="false">IF(I597="Opening",K597,T596+K597-R597)</f>
        <v>1767.4</v>
      </c>
      <c r="U597" s="9" t="n">
        <f aca="false">IF(I597="Opening",L597,U596+L597-S597)</f>
        <v>65558782.59</v>
      </c>
      <c r="V597" s="9" t="n">
        <f aca="false">IF(T597&gt;0,U597/T597,IF(I597="Opening",0,V596))</f>
        <v>37093.3476236279</v>
      </c>
      <c r="W597" s="14" t="n">
        <f aca="false">M597</f>
        <v>0</v>
      </c>
      <c r="X597" s="9" t="n">
        <f aca="false">IF(W597=0,0,IF(O597="Booked",N597,W597*AA596))</f>
        <v>0</v>
      </c>
      <c r="Y597" s="14" t="n">
        <f aca="false">IF(I597="Opening",K597,Y596+K597-W597)</f>
        <v>1767.4</v>
      </c>
      <c r="Z597" s="9" t="n">
        <f aca="false">IF(I597="Opening",L597,Z596+L597-X597)</f>
        <v>65558782.59</v>
      </c>
      <c r="AA597" s="9" t="n">
        <f aca="false">IF(Y597&gt;0,Z597/Y597,IF(I597="Opening",0,AA596))</f>
        <v>37093.3476236279</v>
      </c>
      <c r="AB597" s="9" t="n">
        <f aca="false">IF(AND(I597="DO",O597="MA"),S597-N597,0)</f>
        <v>0</v>
      </c>
      <c r="AC597" s="9" t="n">
        <f aca="false">IF(I597="DO",X597-S597,0)</f>
        <v>0</v>
      </c>
      <c r="AD597" s="23" t="n">
        <f aca="false">IF(B598&lt;&gt;B597,1,0)</f>
        <v>1</v>
      </c>
      <c r="AE597" s="14" t="n">
        <f aca="false">IF(I597="Opening",0,AE596+W597)</f>
        <v>0</v>
      </c>
      <c r="AF597" s="14" t="n">
        <f aca="false">IF(I597="Opening",K597,AF596)</f>
        <v>0</v>
      </c>
      <c r="AG597" s="14" t="n">
        <f aca="false">AG596</f>
        <v>0</v>
      </c>
      <c r="AH597" s="14" t="n">
        <f aca="false">IF(W597=0,0,MAX(0,MIN(AE597,AF597)-MIN(AE597-W597,AF597)))</f>
        <v>0</v>
      </c>
      <c r="AI597" s="14" t="n">
        <f aca="false">IF(W597=0,0,MAX(0,MIN(AE597,AF597+AG597)-MAX(AE597-W597,AF597)))</f>
        <v>0</v>
      </c>
      <c r="AJ597" s="14" t="n">
        <f aca="false">W597-AH597-AI597</f>
        <v>0</v>
      </c>
      <c r="AK597" s="9" t="n">
        <f aca="false">IF(W597=0,0,X597*AH597/W597)</f>
        <v>0</v>
      </c>
      <c r="AL597" s="9" t="n">
        <f aca="false">IF(W597=0,0,X597*AI597/W597)</f>
        <v>0</v>
      </c>
      <c r="AM597" s="9" t="n">
        <f aca="false">X597-AK597-AL597</f>
        <v>0</v>
      </c>
    </row>
    <row r="598" customFormat="false" ht="15" hidden="false" customHeight="false" outlineLevel="0" collapsed="false">
      <c r="A598" s="6" t="n">
        <v>593</v>
      </c>
      <c r="B598" s="74" t="s">
        <v>1002</v>
      </c>
      <c r="C598" s="53" t="str">
        <f aca="false">INDEX(I_Items!$C$5:$C$133,MATCH($B598,I_Items!$A$5:$A$133,0))</f>
        <v>RPA</v>
      </c>
      <c r="D598" s="53" t="str">
        <f aca="false">INDEX(I_Items!$D$5:$D$133,MATCH($B598,I_Items!$A$5:$A$133,0))</f>
        <v>Karkas</v>
      </c>
      <c r="E598" s="53" t="str">
        <f aca="false">INDEX(I_Items!$F$5:$F$133,MATCH($B598,I_Items!$A$5:$A$133,0))</f>
        <v>Fresh</v>
      </c>
      <c r="F598" s="53" t="str">
        <f aca="false">IF(INDEX(I_Items!$E$5:$E$133,MATCH($B598,I_Items!$A$5:$A$133,0))="","",INDEX(I_Items!$E$5:$E$133,MATCH($B598,I_Items!$A$5:$A$133,0)))</f>
        <v>Uk 1.7</v>
      </c>
      <c r="G598" s="76" t="n">
        <v>46204</v>
      </c>
      <c r="H598" s="23" t="n">
        <f aca="false">MONTH(G598)</f>
        <v>7</v>
      </c>
      <c r="I598" s="74" t="s">
        <v>2072</v>
      </c>
      <c r="J598" s="74" t="s">
        <v>2073</v>
      </c>
      <c r="K598" s="10" t="n">
        <v>0</v>
      </c>
      <c r="L598" s="8" t="n">
        <v>0</v>
      </c>
      <c r="M598" s="10" t="n">
        <v>0</v>
      </c>
      <c r="N598" s="8" t="n">
        <v>0</v>
      </c>
      <c r="O598" s="74"/>
      <c r="P598" s="74"/>
      <c r="Q598" s="74"/>
      <c r="R598" s="14" t="n">
        <f aca="false">IF(I598="Unbilled",0,M598)</f>
        <v>0</v>
      </c>
      <c r="S598" s="9" t="n">
        <f aca="false">IF(R598=0,0,IF(O598="Booked",N598,R598*V597))</f>
        <v>0</v>
      </c>
      <c r="T598" s="14" t="n">
        <f aca="false">IF(I598="Opening",K598,T597+K598-R598)</f>
        <v>0</v>
      </c>
      <c r="U598" s="9" t="n">
        <f aca="false">IF(I598="Opening",L598,U597+L598-S598)</f>
        <v>0</v>
      </c>
      <c r="V598" s="9" t="n">
        <f aca="false">IF(T598&gt;0,U598/T598,IF(I598="Opening",0,V597))</f>
        <v>0</v>
      </c>
      <c r="W598" s="14" t="n">
        <f aca="false">M598</f>
        <v>0</v>
      </c>
      <c r="X598" s="9" t="n">
        <f aca="false">IF(W598=0,0,IF(O598="Booked",N598,W598*AA597))</f>
        <v>0</v>
      </c>
      <c r="Y598" s="14" t="n">
        <f aca="false">IF(I598="Opening",K598,Y597+K598-W598)</f>
        <v>0</v>
      </c>
      <c r="Z598" s="9" t="n">
        <f aca="false">IF(I598="Opening",L598,Z597+L598-X598)</f>
        <v>0</v>
      </c>
      <c r="AA598" s="9" t="n">
        <f aca="false">IF(Y598&gt;0,Z598/Y598,IF(I598="Opening",0,AA597))</f>
        <v>0</v>
      </c>
      <c r="AB598" s="9" t="n">
        <f aca="false">IF(AND(I598="DO",O598="MA"),S598-N598,0)</f>
        <v>0</v>
      </c>
      <c r="AC598" s="9" t="n">
        <f aca="false">IF(I598="DO",X598-S598,0)</f>
        <v>0</v>
      </c>
      <c r="AD598" s="23" t="n">
        <f aca="false">IF(B599&lt;&gt;B598,1,0)</f>
        <v>0</v>
      </c>
      <c r="AE598" s="14" t="n">
        <f aca="false">IF(I598="Opening",0,AE597+W598)</f>
        <v>0</v>
      </c>
      <c r="AF598" s="14" t="n">
        <f aca="false">IF(I598="Opening",K598,AF597)</f>
        <v>0</v>
      </c>
      <c r="AG598" s="14" t="n">
        <f aca="false">SUMIFS($K$6:$K$1110,$B$6:$B$1110,B598,$H$6:$H$1110,7,$I$6:$I$1110,"&lt;&gt;Opening")</f>
        <v>0</v>
      </c>
      <c r="AH598" s="14" t="n">
        <f aca="false">IF(W598=0,0,MAX(0,MIN(AE598,AF598)-MIN(AE598-W598,AF598)))</f>
        <v>0</v>
      </c>
      <c r="AI598" s="14" t="n">
        <f aca="false">IF(W598=0,0,MAX(0,MIN(AE598,AF598+AG598)-MAX(AE598-W598,AF598)))</f>
        <v>0</v>
      </c>
      <c r="AJ598" s="14" t="n">
        <f aca="false">W598-AH598-AI598</f>
        <v>0</v>
      </c>
      <c r="AK598" s="9" t="n">
        <f aca="false">IF(W598=0,0,X598*AH598/W598)</f>
        <v>0</v>
      </c>
      <c r="AL598" s="9" t="n">
        <f aca="false">IF(W598=0,0,X598*AI598/W598)</f>
        <v>0</v>
      </c>
      <c r="AM598" s="9" t="n">
        <f aca="false">X598-AK598-AL598</f>
        <v>0</v>
      </c>
    </row>
    <row r="599" customFormat="false" ht="15" hidden="false" customHeight="false" outlineLevel="0" collapsed="false">
      <c r="A599" s="6" t="n">
        <v>594</v>
      </c>
      <c r="B599" s="74" t="s">
        <v>1002</v>
      </c>
      <c r="C599" s="53" t="str">
        <f aca="false">INDEX(I_Items!$C$5:$C$133,MATCH($B599,I_Items!$A$5:$A$133,0))</f>
        <v>RPA</v>
      </c>
      <c r="D599" s="53" t="str">
        <f aca="false">INDEX(I_Items!$D$5:$D$133,MATCH($B599,I_Items!$A$5:$A$133,0))</f>
        <v>Karkas</v>
      </c>
      <c r="E599" s="53" t="str">
        <f aca="false">INDEX(I_Items!$F$5:$F$133,MATCH($B599,I_Items!$A$5:$A$133,0))</f>
        <v>Fresh</v>
      </c>
      <c r="F599" s="53" t="str">
        <f aca="false">IF(INDEX(I_Items!$E$5:$E$133,MATCH($B599,I_Items!$A$5:$A$133,0))="","",INDEX(I_Items!$E$5:$E$133,MATCH($B599,I_Items!$A$5:$A$133,0)))</f>
        <v>Uk 1.7</v>
      </c>
      <c r="G599" s="76" t="n">
        <v>46253</v>
      </c>
      <c r="H599" s="23" t="n">
        <f aca="false">MONTH(G599)</f>
        <v>8</v>
      </c>
      <c r="I599" s="74" t="s">
        <v>2074</v>
      </c>
      <c r="J599" s="74" t="s">
        <v>1305</v>
      </c>
      <c r="K599" s="10" t="n">
        <v>241.6</v>
      </c>
      <c r="L599" s="8" t="n">
        <v>9129264.16</v>
      </c>
      <c r="M599" s="10" t="n">
        <v>0</v>
      </c>
      <c r="N599" s="8" t="n">
        <v>0</v>
      </c>
      <c r="O599" s="74"/>
      <c r="P599" s="74"/>
      <c r="Q599" s="74"/>
      <c r="R599" s="14" t="n">
        <f aca="false">IF(I599="Unbilled",0,M599)</f>
        <v>0</v>
      </c>
      <c r="S599" s="9" t="n">
        <f aca="false">IF(R599=0,0,IF(O599="Booked",N599,R599*V598))</f>
        <v>0</v>
      </c>
      <c r="T599" s="14" t="n">
        <f aca="false">IF(I599="Opening",K599,T598+K599-R599)</f>
        <v>241.6</v>
      </c>
      <c r="U599" s="9" t="n">
        <f aca="false">IF(I599="Opening",L599,U598+L599-S599)</f>
        <v>9129264.16</v>
      </c>
      <c r="V599" s="9" t="n">
        <f aca="false">IF(T599&gt;0,U599/T599,IF(I599="Opening",0,V598))</f>
        <v>37786.6894039735</v>
      </c>
      <c r="W599" s="14" t="n">
        <f aca="false">M599</f>
        <v>0</v>
      </c>
      <c r="X599" s="9" t="n">
        <f aca="false">IF(W599=0,0,IF(O599="Booked",N599,W599*AA598))</f>
        <v>0</v>
      </c>
      <c r="Y599" s="14" t="n">
        <f aca="false">IF(I599="Opening",K599,Y598+K599-W599)</f>
        <v>241.6</v>
      </c>
      <c r="Z599" s="9" t="n">
        <f aca="false">IF(I599="Opening",L599,Z598+L599-X599)</f>
        <v>9129264.16</v>
      </c>
      <c r="AA599" s="9" t="n">
        <f aca="false">IF(Y599&gt;0,Z599/Y599,IF(I599="Opening",0,AA598))</f>
        <v>37786.6894039735</v>
      </c>
      <c r="AB599" s="9" t="n">
        <f aca="false">IF(AND(I599="DO",O599="MA"),S599-N599,0)</f>
        <v>0</v>
      </c>
      <c r="AC599" s="9" t="n">
        <f aca="false">IF(I599="DO",X599-S599,0)</f>
        <v>0</v>
      </c>
      <c r="AD599" s="23" t="n">
        <f aca="false">IF(B600&lt;&gt;B599,1,0)</f>
        <v>0</v>
      </c>
      <c r="AE599" s="14" t="n">
        <f aca="false">IF(I599="Opening",0,AE598+W599)</f>
        <v>0</v>
      </c>
      <c r="AF599" s="14" t="n">
        <f aca="false">IF(I599="Opening",K599,AF598)</f>
        <v>0</v>
      </c>
      <c r="AG599" s="14" t="n">
        <f aca="false">AG598</f>
        <v>0</v>
      </c>
      <c r="AH599" s="14" t="n">
        <f aca="false">IF(W599=0,0,MAX(0,MIN(AE599,AF599)-MIN(AE599-W599,AF599)))</f>
        <v>0</v>
      </c>
      <c r="AI599" s="14" t="n">
        <f aca="false">IF(W599=0,0,MAX(0,MIN(AE599,AF599+AG599)-MAX(AE599-W599,AF599)))</f>
        <v>0</v>
      </c>
      <c r="AJ599" s="14" t="n">
        <f aca="false">W599-AH599-AI599</f>
        <v>0</v>
      </c>
      <c r="AK599" s="9" t="n">
        <f aca="false">IF(W599=0,0,X599*AH599/W599)</f>
        <v>0</v>
      </c>
      <c r="AL599" s="9" t="n">
        <f aca="false">IF(W599=0,0,X599*AI599/W599)</f>
        <v>0</v>
      </c>
      <c r="AM599" s="9" t="n">
        <f aca="false">X599-AK599-AL599</f>
        <v>0</v>
      </c>
    </row>
    <row r="600" customFormat="false" ht="15" hidden="false" customHeight="false" outlineLevel="0" collapsed="false">
      <c r="A600" s="6" t="n">
        <v>595</v>
      </c>
      <c r="B600" s="74" t="s">
        <v>1002</v>
      </c>
      <c r="C600" s="53" t="str">
        <f aca="false">INDEX(I_Items!$C$5:$C$133,MATCH($B600,I_Items!$A$5:$A$133,0))</f>
        <v>RPA</v>
      </c>
      <c r="D600" s="53" t="str">
        <f aca="false">INDEX(I_Items!$D$5:$D$133,MATCH($B600,I_Items!$A$5:$A$133,0))</f>
        <v>Karkas</v>
      </c>
      <c r="E600" s="53" t="str">
        <f aca="false">INDEX(I_Items!$F$5:$F$133,MATCH($B600,I_Items!$A$5:$A$133,0))</f>
        <v>Fresh</v>
      </c>
      <c r="F600" s="53" t="str">
        <f aca="false">IF(INDEX(I_Items!$E$5:$E$133,MATCH($B600,I_Items!$A$5:$A$133,0))="","",INDEX(I_Items!$E$5:$E$133,MATCH($B600,I_Items!$A$5:$A$133,0)))</f>
        <v>Uk 1.7</v>
      </c>
      <c r="G600" s="76" t="n">
        <v>46255</v>
      </c>
      <c r="H600" s="23" t="n">
        <f aca="false">MONTH(G600)</f>
        <v>8</v>
      </c>
      <c r="I600" s="74" t="s">
        <v>2075</v>
      </c>
      <c r="J600" s="74" t="s">
        <v>2153</v>
      </c>
      <c r="K600" s="10" t="n">
        <v>0</v>
      </c>
      <c r="L600" s="8" t="n">
        <v>0</v>
      </c>
      <c r="M600" s="10" t="n">
        <v>231</v>
      </c>
      <c r="N600" s="8" t="n">
        <v>8728725.25</v>
      </c>
      <c r="O600" s="74" t="s">
        <v>2077</v>
      </c>
      <c r="P600" s="74"/>
      <c r="Q600" s="74"/>
      <c r="R600" s="14" t="n">
        <f aca="false">IF(I600="Unbilled",0,M600)</f>
        <v>231</v>
      </c>
      <c r="S600" s="9" t="n">
        <f aca="false">IF(R600=0,0,IF(O600="Booked",N600,R600*V599))</f>
        <v>8728725.25231788</v>
      </c>
      <c r="T600" s="14" t="n">
        <f aca="false">IF(I600="Opening",K600,T599+K600-R600)</f>
        <v>10.6</v>
      </c>
      <c r="U600" s="9" t="n">
        <f aca="false">IF(I600="Opening",L600,U599+L600-S600)</f>
        <v>400538.907682119</v>
      </c>
      <c r="V600" s="9" t="n">
        <f aca="false">IF(T600&gt;0,U600/T600,IF(I600="Opening",0,V599))</f>
        <v>37786.6894039735</v>
      </c>
      <c r="W600" s="14" t="n">
        <f aca="false">M600</f>
        <v>231</v>
      </c>
      <c r="X600" s="9" t="n">
        <f aca="false">IF(W600=0,0,IF(O600="Booked",N600,W600*AA599))</f>
        <v>8728725.25231788</v>
      </c>
      <c r="Y600" s="14" t="n">
        <f aca="false">IF(I600="Opening",K600,Y599+K600-W600)</f>
        <v>10.6</v>
      </c>
      <c r="Z600" s="9" t="n">
        <f aca="false">IF(I600="Opening",L600,Z599+L600-X600)</f>
        <v>400538.907682119</v>
      </c>
      <c r="AA600" s="9" t="n">
        <f aca="false">IF(Y600&gt;0,Z600/Y600,IF(I600="Opening",0,AA599))</f>
        <v>37786.6894039735</v>
      </c>
      <c r="AB600" s="9" t="n">
        <f aca="false">IF(AND(I600="DO",O600="MA"),S600-N600,0)</f>
        <v>0.00231788121163845</v>
      </c>
      <c r="AC600" s="9" t="n">
        <f aca="false">IF(I600="DO",X600-S600,0)</f>
        <v>0</v>
      </c>
      <c r="AD600" s="23" t="n">
        <f aca="false">IF(B601&lt;&gt;B600,1,0)</f>
        <v>1</v>
      </c>
      <c r="AE600" s="14" t="n">
        <f aca="false">IF(I600="Opening",0,AE599+W600)</f>
        <v>231</v>
      </c>
      <c r="AF600" s="14" t="n">
        <f aca="false">IF(I600="Opening",K600,AF599)</f>
        <v>0</v>
      </c>
      <c r="AG600" s="14" t="n">
        <f aca="false">AG599</f>
        <v>0</v>
      </c>
      <c r="AH600" s="14" t="n">
        <f aca="false">IF(W600=0,0,MAX(0,MIN(AE600,AF600)-MIN(AE600-W600,AF600)))</f>
        <v>0</v>
      </c>
      <c r="AI600" s="14" t="n">
        <f aca="false">IF(W600=0,0,MAX(0,MIN(AE600,AF600+AG600)-MAX(AE600-W600,AF600)))</f>
        <v>0</v>
      </c>
      <c r="AJ600" s="14" t="n">
        <f aca="false">W600-AH600-AI600</f>
        <v>231</v>
      </c>
      <c r="AK600" s="9" t="n">
        <f aca="false">IF(W600=0,0,X600*AH600/W600)</f>
        <v>0</v>
      </c>
      <c r="AL600" s="9" t="n">
        <f aca="false">IF(W600=0,0,X600*AI600/W600)</f>
        <v>0</v>
      </c>
      <c r="AM600" s="9" t="n">
        <f aca="false">X600-AK600-AL600</f>
        <v>8728725.25231788</v>
      </c>
    </row>
    <row r="601" customFormat="false" ht="15" hidden="false" customHeight="false" outlineLevel="0" collapsed="false">
      <c r="A601" s="6" t="n">
        <v>596</v>
      </c>
      <c r="B601" s="74" t="s">
        <v>1003</v>
      </c>
      <c r="C601" s="53" t="str">
        <f aca="false">INDEX(I_Items!$C$5:$C$133,MATCH($B601,I_Items!$A$5:$A$133,0))</f>
        <v>RPA</v>
      </c>
      <c r="D601" s="53" t="str">
        <f aca="false">INDEX(I_Items!$D$5:$D$133,MATCH($B601,I_Items!$A$5:$A$133,0))</f>
        <v>Karkas</v>
      </c>
      <c r="E601" s="53" t="str">
        <f aca="false">INDEX(I_Items!$F$5:$F$133,MATCH($B601,I_Items!$A$5:$A$133,0))</f>
        <v>Frozen</v>
      </c>
      <c r="F601" s="53" t="str">
        <f aca="false">IF(INDEX(I_Items!$E$5:$E$133,MATCH($B601,I_Items!$A$5:$A$133,0))="","",INDEX(I_Items!$E$5:$E$133,MATCH($B601,I_Items!$A$5:$A$133,0)))</f>
        <v>Uk 1.7</v>
      </c>
      <c r="G601" s="76" t="n">
        <v>46204</v>
      </c>
      <c r="H601" s="23" t="n">
        <f aca="false">MONTH(G601)</f>
        <v>7</v>
      </c>
      <c r="I601" s="74" t="s">
        <v>2072</v>
      </c>
      <c r="J601" s="74" t="s">
        <v>2073</v>
      </c>
      <c r="K601" s="10" t="n">
        <v>22.44</v>
      </c>
      <c r="L601" s="8" t="n">
        <v>564501.37</v>
      </c>
      <c r="M601" s="10" t="n">
        <v>0</v>
      </c>
      <c r="N601" s="8" t="n">
        <v>0</v>
      </c>
      <c r="O601" s="74"/>
      <c r="P601" s="74"/>
      <c r="Q601" s="74"/>
      <c r="R601" s="14" t="n">
        <f aca="false">IF(I601="Unbilled",0,M601)</f>
        <v>0</v>
      </c>
      <c r="S601" s="9" t="n">
        <f aca="false">IF(R601=0,0,IF(O601="Booked",N601,R601*V600))</f>
        <v>0</v>
      </c>
      <c r="T601" s="14" t="n">
        <f aca="false">IF(I601="Opening",K601,T600+K601-R601)</f>
        <v>22.44</v>
      </c>
      <c r="U601" s="9" t="n">
        <f aca="false">IF(I601="Opening",L601,U600+L601-S601)</f>
        <v>564501.37</v>
      </c>
      <c r="V601" s="9" t="n">
        <f aca="false">IF(T601&gt;0,U601/T601,IF(I601="Opening",0,V600))</f>
        <v>25156.0325311943</v>
      </c>
      <c r="W601" s="14" t="n">
        <f aca="false">M601</f>
        <v>0</v>
      </c>
      <c r="X601" s="9" t="n">
        <f aca="false">IF(W601=0,0,IF(O601="Booked",N601,W601*AA600))</f>
        <v>0</v>
      </c>
      <c r="Y601" s="14" t="n">
        <f aca="false">IF(I601="Opening",K601,Y600+K601-W601)</f>
        <v>22.44</v>
      </c>
      <c r="Z601" s="9" t="n">
        <f aca="false">IF(I601="Opening",L601,Z600+L601-X601)</f>
        <v>564501.37</v>
      </c>
      <c r="AA601" s="9" t="n">
        <f aca="false">IF(Y601&gt;0,Z601/Y601,IF(I601="Opening",0,AA600))</f>
        <v>25156.0325311943</v>
      </c>
      <c r="AB601" s="9" t="n">
        <f aca="false">IF(AND(I601="DO",O601="MA"),S601-N601,0)</f>
        <v>0</v>
      </c>
      <c r="AC601" s="9" t="n">
        <f aca="false">IF(I601="DO",X601-S601,0)</f>
        <v>0</v>
      </c>
      <c r="AD601" s="23" t="n">
        <f aca="false">IF(B602&lt;&gt;B601,1,0)</f>
        <v>0</v>
      </c>
      <c r="AE601" s="14" t="n">
        <f aca="false">IF(I601="Opening",0,AE600+W601)</f>
        <v>0</v>
      </c>
      <c r="AF601" s="14" t="n">
        <f aca="false">IF(I601="Opening",K601,AF600)</f>
        <v>22.44</v>
      </c>
      <c r="AG601" s="14" t="n">
        <f aca="false">SUMIFS($K$6:$K$1110,$B$6:$B$1110,B601,$H$6:$H$1110,7,$I$6:$I$1110,"&lt;&gt;Opening")</f>
        <v>35.7</v>
      </c>
      <c r="AH601" s="14" t="n">
        <f aca="false">IF(W601=0,0,MAX(0,MIN(AE601,AF601)-MIN(AE601-W601,AF601)))</f>
        <v>0</v>
      </c>
      <c r="AI601" s="14" t="n">
        <f aca="false">IF(W601=0,0,MAX(0,MIN(AE601,AF601+AG601)-MAX(AE601-W601,AF601)))</f>
        <v>0</v>
      </c>
      <c r="AJ601" s="14" t="n">
        <f aca="false">W601-AH601-AI601</f>
        <v>0</v>
      </c>
      <c r="AK601" s="9" t="n">
        <f aca="false">IF(W601=0,0,X601*AH601/W601)</f>
        <v>0</v>
      </c>
      <c r="AL601" s="9" t="n">
        <f aca="false">IF(W601=0,0,X601*AI601/W601)</f>
        <v>0</v>
      </c>
      <c r="AM601" s="9" t="n">
        <f aca="false">X601-AK601-AL601</f>
        <v>0</v>
      </c>
    </row>
    <row r="602" customFormat="false" ht="15" hidden="false" customHeight="false" outlineLevel="0" collapsed="false">
      <c r="A602" s="6" t="n">
        <v>597</v>
      </c>
      <c r="B602" s="74" t="s">
        <v>1003</v>
      </c>
      <c r="C602" s="53" t="str">
        <f aca="false">INDEX(I_Items!$C$5:$C$133,MATCH($B602,I_Items!$A$5:$A$133,0))</f>
        <v>RPA</v>
      </c>
      <c r="D602" s="53" t="str">
        <f aca="false">INDEX(I_Items!$D$5:$D$133,MATCH($B602,I_Items!$A$5:$A$133,0))</f>
        <v>Karkas</v>
      </c>
      <c r="E602" s="53" t="str">
        <f aca="false">INDEX(I_Items!$F$5:$F$133,MATCH($B602,I_Items!$A$5:$A$133,0))</f>
        <v>Frozen</v>
      </c>
      <c r="F602" s="53" t="str">
        <f aca="false">IF(INDEX(I_Items!$E$5:$E$133,MATCH($B602,I_Items!$A$5:$A$133,0))="","",INDEX(I_Items!$E$5:$E$133,MATCH($B602,I_Items!$A$5:$A$133,0)))</f>
        <v>Uk 1.7</v>
      </c>
      <c r="G602" s="76" t="n">
        <v>46204</v>
      </c>
      <c r="H602" s="23" t="n">
        <f aca="false">MONTH(G602)</f>
        <v>7</v>
      </c>
      <c r="I602" s="74" t="s">
        <v>2117</v>
      </c>
      <c r="J602" s="74" t="s">
        <v>2169</v>
      </c>
      <c r="K602" s="10" t="n">
        <v>0</v>
      </c>
      <c r="L602" s="8" t="n">
        <v>0</v>
      </c>
      <c r="M602" s="10" t="n">
        <v>52.1</v>
      </c>
      <c r="N602" s="8" t="n">
        <v>1349172.73</v>
      </c>
      <c r="O602" s="74" t="s">
        <v>2119</v>
      </c>
      <c r="P602" s="74"/>
      <c r="Q602" s="74"/>
      <c r="R602" s="14" t="n">
        <f aca="false">IF(I602="Unbilled",0,M602)</f>
        <v>52.1</v>
      </c>
      <c r="S602" s="9" t="n">
        <f aca="false">IF(R602=0,0,IF(O602="Booked",N602,R602*V601))</f>
        <v>1349172.73</v>
      </c>
      <c r="T602" s="14" t="n">
        <f aca="false">IF(I602="Opening",K602,T601+K602-R602)</f>
        <v>-29.66</v>
      </c>
      <c r="U602" s="9" t="n">
        <f aca="false">IF(I602="Opening",L602,U601+L602-S602)</f>
        <v>-784671.36</v>
      </c>
      <c r="V602" s="9" t="n">
        <f aca="false">IF(T602&gt;0,U602/T602,IF(I602="Opening",0,V601))</f>
        <v>25156.0325311943</v>
      </c>
      <c r="W602" s="14" t="n">
        <f aca="false">M602</f>
        <v>52.1</v>
      </c>
      <c r="X602" s="9" t="n">
        <f aca="false">IF(W602=0,0,IF(O602="Booked",N602,W602*AA601))</f>
        <v>1349172.73</v>
      </c>
      <c r="Y602" s="14" t="n">
        <f aca="false">IF(I602="Opening",K602,Y601+K602-W602)</f>
        <v>-29.66</v>
      </c>
      <c r="Z602" s="9" t="n">
        <f aca="false">IF(I602="Opening",L602,Z601+L602-X602)</f>
        <v>-784671.36</v>
      </c>
      <c r="AA602" s="9" t="n">
        <f aca="false">IF(Y602&gt;0,Z602/Y602,IF(I602="Opening",0,AA601))</f>
        <v>25156.0325311943</v>
      </c>
      <c r="AB602" s="9" t="n">
        <f aca="false">IF(AND(I602="DO",O602="MA"),S602-N602,0)</f>
        <v>0</v>
      </c>
      <c r="AC602" s="9" t="n">
        <f aca="false">IF(I602="DO",X602-S602,0)</f>
        <v>0</v>
      </c>
      <c r="AD602" s="23" t="n">
        <f aca="false">IF(B603&lt;&gt;B602,1,0)</f>
        <v>0</v>
      </c>
      <c r="AE602" s="14" t="n">
        <f aca="false">IF(I602="Opening",0,AE601+W602)</f>
        <v>52.1</v>
      </c>
      <c r="AF602" s="14" t="n">
        <f aca="false">IF(I602="Opening",K602,AF601)</f>
        <v>22.44</v>
      </c>
      <c r="AG602" s="14" t="n">
        <f aca="false">AG601</f>
        <v>35.7</v>
      </c>
      <c r="AH602" s="14" t="n">
        <f aca="false">IF(W602=0,0,MAX(0,MIN(AE602,AF602)-MIN(AE602-W602,AF602)))</f>
        <v>22.44</v>
      </c>
      <c r="AI602" s="14" t="n">
        <f aca="false">IF(W602=0,0,MAX(0,MIN(AE602,AF602+AG602)-MAX(AE602-W602,AF602)))</f>
        <v>29.66</v>
      </c>
      <c r="AJ602" s="14" t="n">
        <f aca="false">W602-AH602-AI602</f>
        <v>0</v>
      </c>
      <c r="AK602" s="9" t="n">
        <f aca="false">IF(W602=0,0,X602*AH602/W602)</f>
        <v>581102.419600768</v>
      </c>
      <c r="AL602" s="9" t="n">
        <f aca="false">IF(W602=0,0,X602*AI602/W602)</f>
        <v>768070.310399232</v>
      </c>
      <c r="AM602" s="9" t="n">
        <f aca="false">X602-AK602-AL602</f>
        <v>0</v>
      </c>
    </row>
    <row r="603" customFormat="false" ht="15" hidden="false" customHeight="false" outlineLevel="0" collapsed="false">
      <c r="A603" s="6" t="n">
        <v>598</v>
      </c>
      <c r="B603" s="74" t="s">
        <v>1003</v>
      </c>
      <c r="C603" s="53" t="str">
        <f aca="false">INDEX(I_Items!$C$5:$C$133,MATCH($B603,I_Items!$A$5:$A$133,0))</f>
        <v>RPA</v>
      </c>
      <c r="D603" s="53" t="str">
        <f aca="false">INDEX(I_Items!$D$5:$D$133,MATCH($B603,I_Items!$A$5:$A$133,0))</f>
        <v>Karkas</v>
      </c>
      <c r="E603" s="53" t="str">
        <f aca="false">INDEX(I_Items!$F$5:$F$133,MATCH($B603,I_Items!$A$5:$A$133,0))</f>
        <v>Frozen</v>
      </c>
      <c r="F603" s="53" t="str">
        <f aca="false">IF(INDEX(I_Items!$E$5:$E$133,MATCH($B603,I_Items!$A$5:$A$133,0))="","",INDEX(I_Items!$E$5:$E$133,MATCH($B603,I_Items!$A$5:$A$133,0)))</f>
        <v>Uk 1.7</v>
      </c>
      <c r="G603" s="76" t="n">
        <v>46204</v>
      </c>
      <c r="H603" s="23" t="n">
        <f aca="false">MONTH(G603)</f>
        <v>7</v>
      </c>
      <c r="I603" s="74" t="s">
        <v>2117</v>
      </c>
      <c r="J603" s="74" t="s">
        <v>2170</v>
      </c>
      <c r="K603" s="10" t="n">
        <v>35.7</v>
      </c>
      <c r="L603" s="8" t="n">
        <v>924481.13</v>
      </c>
      <c r="M603" s="10" t="n">
        <v>0</v>
      </c>
      <c r="N603" s="8" t="n">
        <v>0</v>
      </c>
      <c r="O603" s="74" t="s">
        <v>2119</v>
      </c>
      <c r="P603" s="74"/>
      <c r="Q603" s="74"/>
      <c r="R603" s="14" t="n">
        <f aca="false">IF(I603="Unbilled",0,M603)</f>
        <v>0</v>
      </c>
      <c r="S603" s="9" t="n">
        <f aca="false">IF(R603=0,0,IF(O603="Booked",N603,R603*V602))</f>
        <v>0</v>
      </c>
      <c r="T603" s="14" t="n">
        <f aca="false">IF(I603="Opening",K603,T602+K603-R603)</f>
        <v>6.04</v>
      </c>
      <c r="U603" s="9" t="n">
        <f aca="false">IF(I603="Opening",L603,U602+L603-S603)</f>
        <v>139809.77</v>
      </c>
      <c r="V603" s="9" t="n">
        <f aca="false">IF(T603&gt;0,U603/T603,IF(I603="Opening",0,V602))</f>
        <v>23147.3129139073</v>
      </c>
      <c r="W603" s="14" t="n">
        <f aca="false">M603</f>
        <v>0</v>
      </c>
      <c r="X603" s="9" t="n">
        <f aca="false">IF(W603=0,0,IF(O603="Booked",N603,W603*AA602))</f>
        <v>0</v>
      </c>
      <c r="Y603" s="14" t="n">
        <f aca="false">IF(I603="Opening",K603,Y602+K603-W603)</f>
        <v>6.04</v>
      </c>
      <c r="Z603" s="9" t="n">
        <f aca="false">IF(I603="Opening",L603,Z602+L603-X603)</f>
        <v>139809.77</v>
      </c>
      <c r="AA603" s="9" t="n">
        <f aca="false">IF(Y603&gt;0,Z603/Y603,IF(I603="Opening",0,AA602))</f>
        <v>23147.3129139073</v>
      </c>
      <c r="AB603" s="9" t="n">
        <f aca="false">IF(AND(I603="DO",O603="MA"),S603-N603,0)</f>
        <v>0</v>
      </c>
      <c r="AC603" s="9" t="n">
        <f aca="false">IF(I603="DO",X603-S603,0)</f>
        <v>0</v>
      </c>
      <c r="AD603" s="23" t="n">
        <f aca="false">IF(B604&lt;&gt;B603,1,0)</f>
        <v>0</v>
      </c>
      <c r="AE603" s="14" t="n">
        <f aca="false">IF(I603="Opening",0,AE602+W603)</f>
        <v>52.1</v>
      </c>
      <c r="AF603" s="14" t="n">
        <f aca="false">IF(I603="Opening",K603,AF602)</f>
        <v>22.44</v>
      </c>
      <c r="AG603" s="14" t="n">
        <f aca="false">AG602</f>
        <v>35.7</v>
      </c>
      <c r="AH603" s="14" t="n">
        <f aca="false">IF(W603=0,0,MAX(0,MIN(AE603,AF603)-MIN(AE603-W603,AF603)))</f>
        <v>0</v>
      </c>
      <c r="AI603" s="14" t="n">
        <f aca="false">IF(W603=0,0,MAX(0,MIN(AE603,AF603+AG603)-MAX(AE603-W603,AF603)))</f>
        <v>0</v>
      </c>
      <c r="AJ603" s="14" t="n">
        <f aca="false">W603-AH603-AI603</f>
        <v>0</v>
      </c>
      <c r="AK603" s="9" t="n">
        <f aca="false">IF(W603=0,0,X603*AH603/W603)</f>
        <v>0</v>
      </c>
      <c r="AL603" s="9" t="n">
        <f aca="false">IF(W603=0,0,X603*AI603/W603)</f>
        <v>0</v>
      </c>
      <c r="AM603" s="9" t="n">
        <f aca="false">X603-AK603-AL603</f>
        <v>0</v>
      </c>
    </row>
    <row r="604" customFormat="false" ht="15" hidden="false" customHeight="false" outlineLevel="0" collapsed="false">
      <c r="A604" s="6" t="n">
        <v>599</v>
      </c>
      <c r="B604" s="74" t="s">
        <v>1003</v>
      </c>
      <c r="C604" s="53" t="str">
        <f aca="false">INDEX(I_Items!$C$5:$C$133,MATCH($B604,I_Items!$A$5:$A$133,0))</f>
        <v>RPA</v>
      </c>
      <c r="D604" s="53" t="str">
        <f aca="false">INDEX(I_Items!$D$5:$D$133,MATCH($B604,I_Items!$A$5:$A$133,0))</f>
        <v>Karkas</v>
      </c>
      <c r="E604" s="53" t="str">
        <f aca="false">INDEX(I_Items!$F$5:$F$133,MATCH($B604,I_Items!$A$5:$A$133,0))</f>
        <v>Frozen</v>
      </c>
      <c r="F604" s="53" t="str">
        <f aca="false">IF(INDEX(I_Items!$E$5:$E$133,MATCH($B604,I_Items!$A$5:$A$133,0))="","",INDEX(I_Items!$E$5:$E$133,MATCH($B604,I_Items!$A$5:$A$133,0)))</f>
        <v>Uk 1.7</v>
      </c>
      <c r="G604" s="76" t="n">
        <v>46244</v>
      </c>
      <c r="H604" s="23" t="n">
        <f aca="false">MONTH(G604)</f>
        <v>8</v>
      </c>
      <c r="I604" s="74" t="s">
        <v>2074</v>
      </c>
      <c r="J604" s="74" t="s">
        <v>1298</v>
      </c>
      <c r="K604" s="10" t="n">
        <v>45.7</v>
      </c>
      <c r="L604" s="8" t="n">
        <v>1575994.98</v>
      </c>
      <c r="M604" s="10" t="n">
        <v>0</v>
      </c>
      <c r="N604" s="8" t="n">
        <v>0</v>
      </c>
      <c r="O604" s="74"/>
      <c r="P604" s="74"/>
      <c r="Q604" s="74"/>
      <c r="R604" s="14" t="n">
        <f aca="false">IF(I604="Unbilled",0,M604)</f>
        <v>0</v>
      </c>
      <c r="S604" s="9" t="n">
        <f aca="false">IF(R604=0,0,IF(O604="Booked",N604,R604*V603))</f>
        <v>0</v>
      </c>
      <c r="T604" s="14" t="n">
        <f aca="false">IF(I604="Opening",K604,T603+K604-R604)</f>
        <v>51.74</v>
      </c>
      <c r="U604" s="9" t="n">
        <f aca="false">IF(I604="Opening",L604,U603+L604-S604)</f>
        <v>1715804.75</v>
      </c>
      <c r="V604" s="9" t="n">
        <f aca="false">IF(T604&gt;0,U604/T604,IF(I604="Opening",0,V603))</f>
        <v>33162.055469656</v>
      </c>
      <c r="W604" s="14" t="n">
        <f aca="false">M604</f>
        <v>0</v>
      </c>
      <c r="X604" s="9" t="n">
        <f aca="false">IF(W604=0,0,IF(O604="Booked",N604,W604*AA603))</f>
        <v>0</v>
      </c>
      <c r="Y604" s="14" t="n">
        <f aca="false">IF(I604="Opening",K604,Y603+K604-W604)</f>
        <v>51.74</v>
      </c>
      <c r="Z604" s="9" t="n">
        <f aca="false">IF(I604="Opening",L604,Z603+L604-X604)</f>
        <v>1715804.75</v>
      </c>
      <c r="AA604" s="9" t="n">
        <f aca="false">IF(Y604&gt;0,Z604/Y604,IF(I604="Opening",0,AA603))</f>
        <v>33162.055469656</v>
      </c>
      <c r="AB604" s="9" t="n">
        <f aca="false">IF(AND(I604="DO",O604="MA"),S604-N604,0)</f>
        <v>0</v>
      </c>
      <c r="AC604" s="9" t="n">
        <f aca="false">IF(I604="DO",X604-S604,0)</f>
        <v>0</v>
      </c>
      <c r="AD604" s="23" t="n">
        <f aca="false">IF(B605&lt;&gt;B604,1,0)</f>
        <v>0</v>
      </c>
      <c r="AE604" s="14" t="n">
        <f aca="false">IF(I604="Opening",0,AE603+W604)</f>
        <v>52.1</v>
      </c>
      <c r="AF604" s="14" t="n">
        <f aca="false">IF(I604="Opening",K604,AF603)</f>
        <v>22.44</v>
      </c>
      <c r="AG604" s="14" t="n">
        <f aca="false">AG603</f>
        <v>35.7</v>
      </c>
      <c r="AH604" s="14" t="n">
        <f aca="false">IF(W604=0,0,MAX(0,MIN(AE604,AF604)-MIN(AE604-W604,AF604)))</f>
        <v>0</v>
      </c>
      <c r="AI604" s="14" t="n">
        <f aca="false">IF(W604=0,0,MAX(0,MIN(AE604,AF604+AG604)-MAX(AE604-W604,AF604)))</f>
        <v>0</v>
      </c>
      <c r="AJ604" s="14" t="n">
        <f aca="false">W604-AH604-AI604</f>
        <v>0</v>
      </c>
      <c r="AK604" s="9" t="n">
        <f aca="false">IF(W604=0,0,X604*AH604/W604)</f>
        <v>0</v>
      </c>
      <c r="AL604" s="9" t="n">
        <f aca="false">IF(W604=0,0,X604*AI604/W604)</f>
        <v>0</v>
      </c>
      <c r="AM604" s="9" t="n">
        <f aca="false">X604-AK604-AL604</f>
        <v>0</v>
      </c>
    </row>
    <row r="605" customFormat="false" ht="15" hidden="false" customHeight="false" outlineLevel="0" collapsed="false">
      <c r="A605" s="6" t="n">
        <v>600</v>
      </c>
      <c r="B605" s="74" t="s">
        <v>1003</v>
      </c>
      <c r="C605" s="53" t="str">
        <f aca="false">INDEX(I_Items!$C$5:$C$133,MATCH($B605,I_Items!$A$5:$A$133,0))</f>
        <v>RPA</v>
      </c>
      <c r="D605" s="53" t="str">
        <f aca="false">INDEX(I_Items!$D$5:$D$133,MATCH($B605,I_Items!$A$5:$A$133,0))</f>
        <v>Karkas</v>
      </c>
      <c r="E605" s="53" t="str">
        <f aca="false">INDEX(I_Items!$F$5:$F$133,MATCH($B605,I_Items!$A$5:$A$133,0))</f>
        <v>Frozen</v>
      </c>
      <c r="F605" s="53" t="str">
        <f aca="false">IF(INDEX(I_Items!$E$5:$E$133,MATCH($B605,I_Items!$A$5:$A$133,0))="","",INDEX(I_Items!$E$5:$E$133,MATCH($B605,I_Items!$A$5:$A$133,0)))</f>
        <v>Uk 1.7</v>
      </c>
      <c r="G605" s="76" t="n">
        <v>46248</v>
      </c>
      <c r="H605" s="23" t="n">
        <f aca="false">MONTH(G605)</f>
        <v>8</v>
      </c>
      <c r="I605" s="74" t="s">
        <v>2074</v>
      </c>
      <c r="J605" s="74" t="s">
        <v>1302</v>
      </c>
      <c r="K605" s="10" t="n">
        <v>12.4</v>
      </c>
      <c r="L605" s="8" t="n">
        <v>431585.82</v>
      </c>
      <c r="M605" s="10" t="n">
        <v>0</v>
      </c>
      <c r="N605" s="8" t="n">
        <v>0</v>
      </c>
      <c r="O605" s="74"/>
      <c r="P605" s="74"/>
      <c r="Q605" s="74"/>
      <c r="R605" s="14" t="n">
        <f aca="false">IF(I605="Unbilled",0,M605)</f>
        <v>0</v>
      </c>
      <c r="S605" s="9" t="n">
        <f aca="false">IF(R605=0,0,IF(O605="Booked",N605,R605*V604))</f>
        <v>0</v>
      </c>
      <c r="T605" s="14" t="n">
        <f aca="false">IF(I605="Opening",K605,T604+K605-R605)</f>
        <v>64.14</v>
      </c>
      <c r="U605" s="9" t="n">
        <f aca="false">IF(I605="Opening",L605,U604+L605-S605)</f>
        <v>2147390.57</v>
      </c>
      <c r="V605" s="9" t="n">
        <f aca="false">IF(T605&gt;0,U605/T605,IF(I605="Opening",0,V604))</f>
        <v>33479.7407234175</v>
      </c>
      <c r="W605" s="14" t="n">
        <f aca="false">M605</f>
        <v>0</v>
      </c>
      <c r="X605" s="9" t="n">
        <f aca="false">IF(W605=0,0,IF(O605="Booked",N605,W605*AA604))</f>
        <v>0</v>
      </c>
      <c r="Y605" s="14" t="n">
        <f aca="false">IF(I605="Opening",K605,Y604+K605-W605)</f>
        <v>64.14</v>
      </c>
      <c r="Z605" s="9" t="n">
        <f aca="false">IF(I605="Opening",L605,Z604+L605-X605)</f>
        <v>2147390.57</v>
      </c>
      <c r="AA605" s="9" t="n">
        <f aca="false">IF(Y605&gt;0,Z605/Y605,IF(I605="Opening",0,AA604))</f>
        <v>33479.7407234175</v>
      </c>
      <c r="AB605" s="9" t="n">
        <f aca="false">IF(AND(I605="DO",O605="MA"),S605-N605,0)</f>
        <v>0</v>
      </c>
      <c r="AC605" s="9" t="n">
        <f aca="false">IF(I605="DO",X605-S605,0)</f>
        <v>0</v>
      </c>
      <c r="AD605" s="23" t="n">
        <f aca="false">IF(B606&lt;&gt;B605,1,0)</f>
        <v>0</v>
      </c>
      <c r="AE605" s="14" t="n">
        <f aca="false">IF(I605="Opening",0,AE604+W605)</f>
        <v>52.1</v>
      </c>
      <c r="AF605" s="14" t="n">
        <f aca="false">IF(I605="Opening",K605,AF604)</f>
        <v>22.44</v>
      </c>
      <c r="AG605" s="14" t="n">
        <f aca="false">AG604</f>
        <v>35.7</v>
      </c>
      <c r="AH605" s="14" t="n">
        <f aca="false">IF(W605=0,0,MAX(0,MIN(AE605,AF605)-MIN(AE605-W605,AF605)))</f>
        <v>0</v>
      </c>
      <c r="AI605" s="14" t="n">
        <f aca="false">IF(W605=0,0,MAX(0,MIN(AE605,AF605+AG605)-MAX(AE605-W605,AF605)))</f>
        <v>0</v>
      </c>
      <c r="AJ605" s="14" t="n">
        <f aca="false">W605-AH605-AI605</f>
        <v>0</v>
      </c>
      <c r="AK605" s="9" t="n">
        <f aca="false">IF(W605=0,0,X605*AH605/W605)</f>
        <v>0</v>
      </c>
      <c r="AL605" s="9" t="n">
        <f aca="false">IF(W605=0,0,X605*AI605/W605)</f>
        <v>0</v>
      </c>
      <c r="AM605" s="9" t="n">
        <f aca="false">X605-AK605-AL605</f>
        <v>0</v>
      </c>
    </row>
    <row r="606" customFormat="false" ht="15" hidden="false" customHeight="false" outlineLevel="0" collapsed="false">
      <c r="A606" s="6" t="n">
        <v>601</v>
      </c>
      <c r="B606" s="74" t="s">
        <v>1003</v>
      </c>
      <c r="C606" s="53" t="str">
        <f aca="false">INDEX(I_Items!$C$5:$C$133,MATCH($B606,I_Items!$A$5:$A$133,0))</f>
        <v>RPA</v>
      </c>
      <c r="D606" s="53" t="str">
        <f aca="false">INDEX(I_Items!$D$5:$D$133,MATCH($B606,I_Items!$A$5:$A$133,0))</f>
        <v>Karkas</v>
      </c>
      <c r="E606" s="53" t="str">
        <f aca="false">INDEX(I_Items!$F$5:$F$133,MATCH($B606,I_Items!$A$5:$A$133,0))</f>
        <v>Frozen</v>
      </c>
      <c r="F606" s="53" t="str">
        <f aca="false">IF(INDEX(I_Items!$E$5:$E$133,MATCH($B606,I_Items!$A$5:$A$133,0))="","",INDEX(I_Items!$E$5:$E$133,MATCH($B606,I_Items!$A$5:$A$133,0)))</f>
        <v>Uk 1.7</v>
      </c>
      <c r="G606" s="76" t="n">
        <v>46253</v>
      </c>
      <c r="H606" s="23" t="n">
        <f aca="false">MONTH(G606)</f>
        <v>8</v>
      </c>
      <c r="I606" s="74" t="s">
        <v>2074</v>
      </c>
      <c r="J606" s="74" t="s">
        <v>1305</v>
      </c>
      <c r="K606" s="10" t="n">
        <v>14.3</v>
      </c>
      <c r="L606" s="8" t="n">
        <v>491226.96</v>
      </c>
      <c r="M606" s="10" t="n">
        <v>0</v>
      </c>
      <c r="N606" s="8" t="n">
        <v>0</v>
      </c>
      <c r="O606" s="74"/>
      <c r="P606" s="74"/>
      <c r="Q606" s="74"/>
      <c r="R606" s="14" t="n">
        <f aca="false">IF(I606="Unbilled",0,M606)</f>
        <v>0</v>
      </c>
      <c r="S606" s="9" t="n">
        <f aca="false">IF(R606=0,0,IF(O606="Booked",N606,R606*V605))</f>
        <v>0</v>
      </c>
      <c r="T606" s="14" t="n">
        <f aca="false">IF(I606="Opening",K606,T605+K606-R606)</f>
        <v>78.44</v>
      </c>
      <c r="U606" s="9" t="n">
        <f aca="false">IF(I606="Opening",L606,U605+L606-S606)</f>
        <v>2638617.53</v>
      </c>
      <c r="V606" s="9" t="n">
        <f aca="false">IF(T606&gt;0,U606/T606,IF(I606="Opening",0,V605))</f>
        <v>33638.6732534421</v>
      </c>
      <c r="W606" s="14" t="n">
        <f aca="false">M606</f>
        <v>0</v>
      </c>
      <c r="X606" s="9" t="n">
        <f aca="false">IF(W606=0,0,IF(O606="Booked",N606,W606*AA605))</f>
        <v>0</v>
      </c>
      <c r="Y606" s="14" t="n">
        <f aca="false">IF(I606="Opening",K606,Y605+K606-W606)</f>
        <v>78.44</v>
      </c>
      <c r="Z606" s="9" t="n">
        <f aca="false">IF(I606="Opening",L606,Z605+L606-X606)</f>
        <v>2638617.53</v>
      </c>
      <c r="AA606" s="9" t="n">
        <f aca="false">IF(Y606&gt;0,Z606/Y606,IF(I606="Opening",0,AA605))</f>
        <v>33638.6732534421</v>
      </c>
      <c r="AB606" s="9" t="n">
        <f aca="false">IF(AND(I606="DO",O606="MA"),S606-N606,0)</f>
        <v>0</v>
      </c>
      <c r="AC606" s="9" t="n">
        <f aca="false">IF(I606="DO",X606-S606,0)</f>
        <v>0</v>
      </c>
      <c r="AD606" s="23" t="n">
        <f aca="false">IF(B607&lt;&gt;B606,1,0)</f>
        <v>0</v>
      </c>
      <c r="AE606" s="14" t="n">
        <f aca="false">IF(I606="Opening",0,AE605+W606)</f>
        <v>52.1</v>
      </c>
      <c r="AF606" s="14" t="n">
        <f aca="false">IF(I606="Opening",K606,AF605)</f>
        <v>22.44</v>
      </c>
      <c r="AG606" s="14" t="n">
        <f aca="false">AG605</f>
        <v>35.7</v>
      </c>
      <c r="AH606" s="14" t="n">
        <f aca="false">IF(W606=0,0,MAX(0,MIN(AE606,AF606)-MIN(AE606-W606,AF606)))</f>
        <v>0</v>
      </c>
      <c r="AI606" s="14" t="n">
        <f aca="false">IF(W606=0,0,MAX(0,MIN(AE606,AF606+AG606)-MAX(AE606-W606,AF606)))</f>
        <v>0</v>
      </c>
      <c r="AJ606" s="14" t="n">
        <f aca="false">W606-AH606-AI606</f>
        <v>0</v>
      </c>
      <c r="AK606" s="9" t="n">
        <f aca="false">IF(W606=0,0,X606*AH606/W606)</f>
        <v>0</v>
      </c>
      <c r="AL606" s="9" t="n">
        <f aca="false">IF(W606=0,0,X606*AI606/W606)</f>
        <v>0</v>
      </c>
      <c r="AM606" s="9" t="n">
        <f aca="false">X606-AK606-AL606</f>
        <v>0</v>
      </c>
    </row>
    <row r="607" customFormat="false" ht="15" hidden="false" customHeight="false" outlineLevel="0" collapsed="false">
      <c r="A607" s="6" t="n">
        <v>602</v>
      </c>
      <c r="B607" s="74" t="s">
        <v>1003</v>
      </c>
      <c r="C607" s="53" t="str">
        <f aca="false">INDEX(I_Items!$C$5:$C$133,MATCH($B607,I_Items!$A$5:$A$133,0))</f>
        <v>RPA</v>
      </c>
      <c r="D607" s="53" t="str">
        <f aca="false">INDEX(I_Items!$D$5:$D$133,MATCH($B607,I_Items!$A$5:$A$133,0))</f>
        <v>Karkas</v>
      </c>
      <c r="E607" s="53" t="str">
        <f aca="false">INDEX(I_Items!$F$5:$F$133,MATCH($B607,I_Items!$A$5:$A$133,0))</f>
        <v>Frozen</v>
      </c>
      <c r="F607" s="53" t="str">
        <f aca="false">IF(INDEX(I_Items!$E$5:$E$133,MATCH($B607,I_Items!$A$5:$A$133,0))="","",INDEX(I_Items!$E$5:$E$133,MATCH($B607,I_Items!$A$5:$A$133,0)))</f>
        <v>Uk 1.7</v>
      </c>
      <c r="G607" s="76" t="n">
        <v>46259</v>
      </c>
      <c r="H607" s="23" t="n">
        <f aca="false">MONTH(G607)</f>
        <v>8</v>
      </c>
      <c r="I607" s="74" t="s">
        <v>2074</v>
      </c>
      <c r="J607" s="74" t="s">
        <v>1314</v>
      </c>
      <c r="K607" s="10" t="n">
        <v>3.5</v>
      </c>
      <c r="L607" s="8" t="n">
        <v>117344.18</v>
      </c>
      <c r="M607" s="10" t="n">
        <v>0</v>
      </c>
      <c r="N607" s="8" t="n">
        <v>0</v>
      </c>
      <c r="O607" s="74"/>
      <c r="P607" s="74"/>
      <c r="Q607" s="74"/>
      <c r="R607" s="14" t="n">
        <f aca="false">IF(I607="Unbilled",0,M607)</f>
        <v>0</v>
      </c>
      <c r="S607" s="9" t="n">
        <f aca="false">IF(R607=0,0,IF(O607="Booked",N607,R607*V606))</f>
        <v>0</v>
      </c>
      <c r="T607" s="14" t="n">
        <f aca="false">IF(I607="Opening",K607,T606+K607-R607)</f>
        <v>81.94</v>
      </c>
      <c r="U607" s="9" t="n">
        <f aca="false">IF(I607="Opening",L607,U606+L607-S607)</f>
        <v>2755961.71</v>
      </c>
      <c r="V607" s="9" t="n">
        <f aca="false">IF(T607&gt;0,U607/T607,IF(I607="Opening",0,V606))</f>
        <v>33633.8993165731</v>
      </c>
      <c r="W607" s="14" t="n">
        <f aca="false">M607</f>
        <v>0</v>
      </c>
      <c r="X607" s="9" t="n">
        <f aca="false">IF(W607=0,0,IF(O607="Booked",N607,W607*AA606))</f>
        <v>0</v>
      </c>
      <c r="Y607" s="14" t="n">
        <f aca="false">IF(I607="Opening",K607,Y606+K607-W607)</f>
        <v>81.94</v>
      </c>
      <c r="Z607" s="9" t="n">
        <f aca="false">IF(I607="Opening",L607,Z606+L607-X607)</f>
        <v>2755961.71</v>
      </c>
      <c r="AA607" s="9" t="n">
        <f aca="false">IF(Y607&gt;0,Z607/Y607,IF(I607="Opening",0,AA606))</f>
        <v>33633.8993165731</v>
      </c>
      <c r="AB607" s="9" t="n">
        <f aca="false">IF(AND(I607="DO",O607="MA"),S607-N607,0)</f>
        <v>0</v>
      </c>
      <c r="AC607" s="9" t="n">
        <f aca="false">IF(I607="DO",X607-S607,0)</f>
        <v>0</v>
      </c>
      <c r="AD607" s="23" t="n">
        <f aca="false">IF(B608&lt;&gt;B607,1,0)</f>
        <v>0</v>
      </c>
      <c r="AE607" s="14" t="n">
        <f aca="false">IF(I607="Opening",0,AE606+W607)</f>
        <v>52.1</v>
      </c>
      <c r="AF607" s="14" t="n">
        <f aca="false">IF(I607="Opening",K607,AF606)</f>
        <v>22.44</v>
      </c>
      <c r="AG607" s="14" t="n">
        <f aca="false">AG606</f>
        <v>35.7</v>
      </c>
      <c r="AH607" s="14" t="n">
        <f aca="false">IF(W607=0,0,MAX(0,MIN(AE607,AF607)-MIN(AE607-W607,AF607)))</f>
        <v>0</v>
      </c>
      <c r="AI607" s="14" t="n">
        <f aca="false">IF(W607=0,0,MAX(0,MIN(AE607,AF607+AG607)-MAX(AE607-W607,AF607)))</f>
        <v>0</v>
      </c>
      <c r="AJ607" s="14" t="n">
        <f aca="false">W607-AH607-AI607</f>
        <v>0</v>
      </c>
      <c r="AK607" s="9" t="n">
        <f aca="false">IF(W607=0,0,X607*AH607/W607)</f>
        <v>0</v>
      </c>
      <c r="AL607" s="9" t="n">
        <f aca="false">IF(W607=0,0,X607*AI607/W607)</f>
        <v>0</v>
      </c>
      <c r="AM607" s="9" t="n">
        <f aca="false">X607-AK607-AL607</f>
        <v>0</v>
      </c>
    </row>
    <row r="608" customFormat="false" ht="15" hidden="false" customHeight="false" outlineLevel="0" collapsed="false">
      <c r="A608" s="6" t="n">
        <v>603</v>
      </c>
      <c r="B608" s="74" t="s">
        <v>1003</v>
      </c>
      <c r="C608" s="53" t="str">
        <f aca="false">INDEX(I_Items!$C$5:$C$133,MATCH($B608,I_Items!$A$5:$A$133,0))</f>
        <v>RPA</v>
      </c>
      <c r="D608" s="53" t="str">
        <f aca="false">INDEX(I_Items!$D$5:$D$133,MATCH($B608,I_Items!$A$5:$A$133,0))</f>
        <v>Karkas</v>
      </c>
      <c r="E608" s="53" t="str">
        <f aca="false">INDEX(I_Items!$F$5:$F$133,MATCH($B608,I_Items!$A$5:$A$133,0))</f>
        <v>Frozen</v>
      </c>
      <c r="F608" s="53" t="str">
        <f aca="false">IF(INDEX(I_Items!$E$5:$E$133,MATCH($B608,I_Items!$A$5:$A$133,0))="","",INDEX(I_Items!$E$5:$E$133,MATCH($B608,I_Items!$A$5:$A$133,0)))</f>
        <v>Uk 1.7</v>
      </c>
      <c r="G608" s="76" t="n">
        <v>46260</v>
      </c>
      <c r="H608" s="23" t="n">
        <f aca="false">MONTH(G608)</f>
        <v>8</v>
      </c>
      <c r="I608" s="74" t="s">
        <v>2074</v>
      </c>
      <c r="J608" s="74" t="s">
        <v>1317</v>
      </c>
      <c r="K608" s="10" t="n">
        <v>3.5</v>
      </c>
      <c r="L608" s="8" t="n">
        <v>119857.17</v>
      </c>
      <c r="M608" s="10" t="n">
        <v>0</v>
      </c>
      <c r="N608" s="8" t="n">
        <v>0</v>
      </c>
      <c r="O608" s="74"/>
      <c r="P608" s="74"/>
      <c r="Q608" s="74"/>
      <c r="R608" s="14" t="n">
        <f aca="false">IF(I608="Unbilled",0,M608)</f>
        <v>0</v>
      </c>
      <c r="S608" s="9" t="n">
        <f aca="false">IF(R608=0,0,IF(O608="Booked",N608,R608*V607))</f>
        <v>0</v>
      </c>
      <c r="T608" s="14" t="n">
        <f aca="false">IF(I608="Opening",K608,T607+K608-R608)</f>
        <v>85.44</v>
      </c>
      <c r="U608" s="9" t="n">
        <f aca="false">IF(I608="Opening",L608,U607+L608-S608)</f>
        <v>2875818.88</v>
      </c>
      <c r="V608" s="9" t="n">
        <f aca="false">IF(T608&gt;0,U608/T608,IF(I608="Opening",0,V607))</f>
        <v>33658.9288389513</v>
      </c>
      <c r="W608" s="14" t="n">
        <f aca="false">M608</f>
        <v>0</v>
      </c>
      <c r="X608" s="9" t="n">
        <f aca="false">IF(W608=0,0,IF(O608="Booked",N608,W608*AA607))</f>
        <v>0</v>
      </c>
      <c r="Y608" s="14" t="n">
        <f aca="false">IF(I608="Opening",K608,Y607+K608-W608)</f>
        <v>85.44</v>
      </c>
      <c r="Z608" s="9" t="n">
        <f aca="false">IF(I608="Opening",L608,Z607+L608-X608)</f>
        <v>2875818.88</v>
      </c>
      <c r="AA608" s="9" t="n">
        <f aca="false">IF(Y608&gt;0,Z608/Y608,IF(I608="Opening",0,AA607))</f>
        <v>33658.9288389513</v>
      </c>
      <c r="AB608" s="9" t="n">
        <f aca="false">IF(AND(I608="DO",O608="MA"),S608-N608,0)</f>
        <v>0</v>
      </c>
      <c r="AC608" s="9" t="n">
        <f aca="false">IF(I608="DO",X608-S608,0)</f>
        <v>0</v>
      </c>
      <c r="AD608" s="23" t="n">
        <f aca="false">IF(B609&lt;&gt;B608,1,0)</f>
        <v>0</v>
      </c>
      <c r="AE608" s="14" t="n">
        <f aca="false">IF(I608="Opening",0,AE607+W608)</f>
        <v>52.1</v>
      </c>
      <c r="AF608" s="14" t="n">
        <f aca="false">IF(I608="Opening",K608,AF607)</f>
        <v>22.44</v>
      </c>
      <c r="AG608" s="14" t="n">
        <f aca="false">AG607</f>
        <v>35.7</v>
      </c>
      <c r="AH608" s="14" t="n">
        <f aca="false">IF(W608=0,0,MAX(0,MIN(AE608,AF608)-MIN(AE608-W608,AF608)))</f>
        <v>0</v>
      </c>
      <c r="AI608" s="14" t="n">
        <f aca="false">IF(W608=0,0,MAX(0,MIN(AE608,AF608+AG608)-MAX(AE608-W608,AF608)))</f>
        <v>0</v>
      </c>
      <c r="AJ608" s="14" t="n">
        <f aca="false">W608-AH608-AI608</f>
        <v>0</v>
      </c>
      <c r="AK608" s="9" t="n">
        <f aca="false">IF(W608=0,0,X608*AH608/W608)</f>
        <v>0</v>
      </c>
      <c r="AL608" s="9" t="n">
        <f aca="false">IF(W608=0,0,X608*AI608/W608)</f>
        <v>0</v>
      </c>
      <c r="AM608" s="9" t="n">
        <f aca="false">X608-AK608-AL608</f>
        <v>0</v>
      </c>
    </row>
    <row r="609" customFormat="false" ht="15" hidden="false" customHeight="false" outlineLevel="0" collapsed="false">
      <c r="A609" s="6" t="n">
        <v>604</v>
      </c>
      <c r="B609" s="74" t="s">
        <v>1003</v>
      </c>
      <c r="C609" s="53" t="str">
        <f aca="false">INDEX(I_Items!$C$5:$C$133,MATCH($B609,I_Items!$A$5:$A$133,0))</f>
        <v>RPA</v>
      </c>
      <c r="D609" s="53" t="str">
        <f aca="false">INDEX(I_Items!$D$5:$D$133,MATCH($B609,I_Items!$A$5:$A$133,0))</f>
        <v>Karkas</v>
      </c>
      <c r="E609" s="53" t="str">
        <f aca="false">INDEX(I_Items!$F$5:$F$133,MATCH($B609,I_Items!$A$5:$A$133,0))</f>
        <v>Frozen</v>
      </c>
      <c r="F609" s="53" t="str">
        <f aca="false">IF(INDEX(I_Items!$E$5:$E$133,MATCH($B609,I_Items!$A$5:$A$133,0))="","",INDEX(I_Items!$E$5:$E$133,MATCH($B609,I_Items!$A$5:$A$133,0)))</f>
        <v>Uk 1.7</v>
      </c>
      <c r="G609" s="76" t="n">
        <v>46265</v>
      </c>
      <c r="H609" s="23" t="n">
        <f aca="false">MONTH(G609)</f>
        <v>8</v>
      </c>
      <c r="I609" s="74" t="s">
        <v>2074</v>
      </c>
      <c r="J609" s="74" t="s">
        <v>1326</v>
      </c>
      <c r="K609" s="10" t="n">
        <v>63.4</v>
      </c>
      <c r="L609" s="8" t="n">
        <v>2123692.33</v>
      </c>
      <c r="M609" s="10" t="n">
        <v>0</v>
      </c>
      <c r="N609" s="8" t="n">
        <v>0</v>
      </c>
      <c r="O609" s="74"/>
      <c r="P609" s="74"/>
      <c r="Q609" s="74"/>
      <c r="R609" s="14" t="n">
        <f aca="false">IF(I609="Unbilled",0,M609)</f>
        <v>0</v>
      </c>
      <c r="S609" s="9" t="n">
        <f aca="false">IF(R609=0,0,IF(O609="Booked",N609,R609*V608))</f>
        <v>0</v>
      </c>
      <c r="T609" s="14" t="n">
        <f aca="false">IF(I609="Opening",K609,T608+K609-R609)</f>
        <v>148.84</v>
      </c>
      <c r="U609" s="9" t="n">
        <f aca="false">IF(I609="Opening",L609,U608+L609-S609)</f>
        <v>4999511.21</v>
      </c>
      <c r="V609" s="9" t="n">
        <f aca="false">IF(T609&gt;0,U609/T609,IF(I609="Opening",0,V608))</f>
        <v>33589.83613276</v>
      </c>
      <c r="W609" s="14" t="n">
        <f aca="false">M609</f>
        <v>0</v>
      </c>
      <c r="X609" s="9" t="n">
        <f aca="false">IF(W609=0,0,IF(O609="Booked",N609,W609*AA608))</f>
        <v>0</v>
      </c>
      <c r="Y609" s="14" t="n">
        <f aca="false">IF(I609="Opening",K609,Y608+K609-W609)</f>
        <v>148.84</v>
      </c>
      <c r="Z609" s="9" t="n">
        <f aca="false">IF(I609="Opening",L609,Z608+L609-X609)</f>
        <v>4999511.21</v>
      </c>
      <c r="AA609" s="9" t="n">
        <f aca="false">IF(Y609&gt;0,Z609/Y609,IF(I609="Opening",0,AA608))</f>
        <v>33589.83613276</v>
      </c>
      <c r="AB609" s="9" t="n">
        <f aca="false">IF(AND(I609="DO",O609="MA"),S609-N609,0)</f>
        <v>0</v>
      </c>
      <c r="AC609" s="9" t="n">
        <f aca="false">IF(I609="DO",X609-S609,0)</f>
        <v>0</v>
      </c>
      <c r="AD609" s="23" t="n">
        <f aca="false">IF(B610&lt;&gt;B609,1,0)</f>
        <v>1</v>
      </c>
      <c r="AE609" s="14" t="n">
        <f aca="false">IF(I609="Opening",0,AE608+W609)</f>
        <v>52.1</v>
      </c>
      <c r="AF609" s="14" t="n">
        <f aca="false">IF(I609="Opening",K609,AF608)</f>
        <v>22.44</v>
      </c>
      <c r="AG609" s="14" t="n">
        <f aca="false">AG608</f>
        <v>35.7</v>
      </c>
      <c r="AH609" s="14" t="n">
        <f aca="false">IF(W609=0,0,MAX(0,MIN(AE609,AF609)-MIN(AE609-W609,AF609)))</f>
        <v>0</v>
      </c>
      <c r="AI609" s="14" t="n">
        <f aca="false">IF(W609=0,0,MAX(0,MIN(AE609,AF609+AG609)-MAX(AE609-W609,AF609)))</f>
        <v>0</v>
      </c>
      <c r="AJ609" s="14" t="n">
        <f aca="false">W609-AH609-AI609</f>
        <v>0</v>
      </c>
      <c r="AK609" s="9" t="n">
        <f aca="false">IF(W609=0,0,X609*AH609/W609)</f>
        <v>0</v>
      </c>
      <c r="AL609" s="9" t="n">
        <f aca="false">IF(W609=0,0,X609*AI609/W609)</f>
        <v>0</v>
      </c>
      <c r="AM609" s="9" t="n">
        <f aca="false">X609-AK609-AL609</f>
        <v>0</v>
      </c>
    </row>
    <row r="610" customFormat="false" ht="15" hidden="false" customHeight="false" outlineLevel="0" collapsed="false">
      <c r="A610" s="6" t="n">
        <v>605</v>
      </c>
      <c r="B610" s="74" t="s">
        <v>1004</v>
      </c>
      <c r="C610" s="53" t="str">
        <f aca="false">INDEX(I_Items!$C$5:$C$133,MATCH($B610,I_Items!$A$5:$A$133,0))</f>
        <v>RPA</v>
      </c>
      <c r="D610" s="53" t="str">
        <f aca="false">INDEX(I_Items!$D$5:$D$133,MATCH($B610,I_Items!$A$5:$A$133,0))</f>
        <v>Karkas</v>
      </c>
      <c r="E610" s="53" t="str">
        <f aca="false">INDEX(I_Items!$F$5:$F$133,MATCH($B610,I_Items!$A$5:$A$133,0))</f>
        <v>Frozen</v>
      </c>
      <c r="F610" s="53" t="str">
        <f aca="false">IF(INDEX(I_Items!$E$5:$E$133,MATCH($B610,I_Items!$A$5:$A$133,0))="","",INDEX(I_Items!$E$5:$E$133,MATCH($B610,I_Items!$A$5:$A$133,0)))</f>
        <v>Uk 1.7</v>
      </c>
      <c r="G610" s="76" t="n">
        <v>46204</v>
      </c>
      <c r="H610" s="23" t="n">
        <f aca="false">MONTH(G610)</f>
        <v>7</v>
      </c>
      <c r="I610" s="74" t="s">
        <v>2072</v>
      </c>
      <c r="J610" s="74" t="s">
        <v>2073</v>
      </c>
      <c r="K610" s="10" t="n">
        <v>258.62</v>
      </c>
      <c r="L610" s="8" t="n">
        <v>6970269.11</v>
      </c>
      <c r="M610" s="10" t="n">
        <v>0</v>
      </c>
      <c r="N610" s="8" t="n">
        <v>0</v>
      </c>
      <c r="O610" s="74"/>
      <c r="P610" s="74"/>
      <c r="Q610" s="74"/>
      <c r="R610" s="14" t="n">
        <f aca="false">IF(I610="Unbilled",0,M610)</f>
        <v>0</v>
      </c>
      <c r="S610" s="9" t="n">
        <f aca="false">IF(R610=0,0,IF(O610="Booked",N610,R610*V609))</f>
        <v>0</v>
      </c>
      <c r="T610" s="14" t="n">
        <f aca="false">IF(I610="Opening",K610,T609+K610-R610)</f>
        <v>258.62</v>
      </c>
      <c r="U610" s="9" t="n">
        <f aca="false">IF(I610="Opening",L610,U609+L610-S610)</f>
        <v>6970269.11</v>
      </c>
      <c r="V610" s="9" t="n">
        <f aca="false">IF(T610&gt;0,U610/T610,IF(I610="Opening",0,V609))</f>
        <v>26951.7790967443</v>
      </c>
      <c r="W610" s="14" t="n">
        <f aca="false">M610</f>
        <v>0</v>
      </c>
      <c r="X610" s="9" t="n">
        <f aca="false">IF(W610=0,0,IF(O610="Booked",N610,W610*AA609))</f>
        <v>0</v>
      </c>
      <c r="Y610" s="14" t="n">
        <f aca="false">IF(I610="Opening",K610,Y609+K610-W610)</f>
        <v>258.62</v>
      </c>
      <c r="Z610" s="9" t="n">
        <f aca="false">IF(I610="Opening",L610,Z609+L610-X610)</f>
        <v>6970269.11</v>
      </c>
      <c r="AA610" s="9" t="n">
        <f aca="false">IF(Y610&gt;0,Z610/Y610,IF(I610="Opening",0,AA609))</f>
        <v>26951.7790967443</v>
      </c>
      <c r="AB610" s="9" t="n">
        <f aca="false">IF(AND(I610="DO",O610="MA"),S610-N610,0)</f>
        <v>0</v>
      </c>
      <c r="AC610" s="9" t="n">
        <f aca="false">IF(I610="DO",X610-S610,0)</f>
        <v>0</v>
      </c>
      <c r="AD610" s="23" t="n">
        <f aca="false">IF(B611&lt;&gt;B610,1,0)</f>
        <v>0</v>
      </c>
      <c r="AE610" s="14" t="n">
        <f aca="false">IF(I610="Opening",0,AE609+W610)</f>
        <v>0</v>
      </c>
      <c r="AF610" s="14" t="n">
        <f aca="false">IF(I610="Opening",K610,AF609)</f>
        <v>258.62</v>
      </c>
      <c r="AG610" s="14" t="n">
        <f aca="false">SUMIFS($K$6:$K$1110,$B$6:$B$1110,B610,$H$6:$H$1110,7,$I$6:$I$1110,"&lt;&gt;Opening")</f>
        <v>0</v>
      </c>
      <c r="AH610" s="14" t="n">
        <f aca="false">IF(W610=0,0,MAX(0,MIN(AE610,AF610)-MIN(AE610-W610,AF610)))</f>
        <v>0</v>
      </c>
      <c r="AI610" s="14" t="n">
        <f aca="false">IF(W610=0,0,MAX(0,MIN(AE610,AF610+AG610)-MAX(AE610-W610,AF610)))</f>
        <v>0</v>
      </c>
      <c r="AJ610" s="14" t="n">
        <f aca="false">W610-AH610-AI610</f>
        <v>0</v>
      </c>
      <c r="AK610" s="9" t="n">
        <f aca="false">IF(W610=0,0,X610*AH610/W610)</f>
        <v>0</v>
      </c>
      <c r="AL610" s="9" t="n">
        <f aca="false">IF(W610=0,0,X610*AI610/W610)</f>
        <v>0</v>
      </c>
      <c r="AM610" s="9" t="n">
        <f aca="false">X610-AK610-AL610</f>
        <v>0</v>
      </c>
    </row>
    <row r="611" customFormat="false" ht="15" hidden="false" customHeight="false" outlineLevel="0" collapsed="false">
      <c r="A611" s="6" t="n">
        <v>606</v>
      </c>
      <c r="B611" s="74" t="s">
        <v>1004</v>
      </c>
      <c r="C611" s="53" t="str">
        <f aca="false">INDEX(I_Items!$C$5:$C$133,MATCH($B611,I_Items!$A$5:$A$133,0))</f>
        <v>RPA</v>
      </c>
      <c r="D611" s="53" t="str">
        <f aca="false">INDEX(I_Items!$D$5:$D$133,MATCH($B611,I_Items!$A$5:$A$133,0))</f>
        <v>Karkas</v>
      </c>
      <c r="E611" s="53" t="str">
        <f aca="false">INDEX(I_Items!$F$5:$F$133,MATCH($B611,I_Items!$A$5:$A$133,0))</f>
        <v>Frozen</v>
      </c>
      <c r="F611" s="53" t="str">
        <f aca="false">IF(INDEX(I_Items!$E$5:$E$133,MATCH($B611,I_Items!$A$5:$A$133,0))="","",INDEX(I_Items!$E$5:$E$133,MATCH($B611,I_Items!$A$5:$A$133,0)))</f>
        <v>Uk 1.7</v>
      </c>
      <c r="G611" s="76" t="n">
        <v>46244</v>
      </c>
      <c r="H611" s="23" t="n">
        <f aca="false">MONTH(G611)</f>
        <v>8</v>
      </c>
      <c r="I611" s="74" t="s">
        <v>2074</v>
      </c>
      <c r="J611" s="74" t="s">
        <v>1298</v>
      </c>
      <c r="K611" s="10" t="n">
        <v>638.7</v>
      </c>
      <c r="L611" s="8" t="n">
        <v>24228595.06</v>
      </c>
      <c r="M611" s="10" t="n">
        <v>0</v>
      </c>
      <c r="N611" s="8" t="n">
        <v>0</v>
      </c>
      <c r="O611" s="74"/>
      <c r="P611" s="74"/>
      <c r="Q611" s="74"/>
      <c r="R611" s="14" t="n">
        <f aca="false">IF(I611="Unbilled",0,M611)</f>
        <v>0</v>
      </c>
      <c r="S611" s="9" t="n">
        <f aca="false">IF(R611=0,0,IF(O611="Booked",N611,R611*V610))</f>
        <v>0</v>
      </c>
      <c r="T611" s="14" t="n">
        <f aca="false">IF(I611="Opening",K611,T610+K611-R611)</f>
        <v>897.32</v>
      </c>
      <c r="U611" s="9" t="n">
        <f aca="false">IF(I611="Opening",L611,U610+L611-S611)</f>
        <v>31198864.17</v>
      </c>
      <c r="V611" s="9" t="n">
        <f aca="false">IF(T611&gt;0,U611/T611,IF(I611="Opening",0,V610))</f>
        <v>34768.9388066687</v>
      </c>
      <c r="W611" s="14" t="n">
        <f aca="false">M611</f>
        <v>0</v>
      </c>
      <c r="X611" s="9" t="n">
        <f aca="false">IF(W611=0,0,IF(O611="Booked",N611,W611*AA610))</f>
        <v>0</v>
      </c>
      <c r="Y611" s="14" t="n">
        <f aca="false">IF(I611="Opening",K611,Y610+K611-W611)</f>
        <v>897.32</v>
      </c>
      <c r="Z611" s="9" t="n">
        <f aca="false">IF(I611="Opening",L611,Z610+L611-X611)</f>
        <v>31198864.17</v>
      </c>
      <c r="AA611" s="9" t="n">
        <f aca="false">IF(Y611&gt;0,Z611/Y611,IF(I611="Opening",0,AA610))</f>
        <v>34768.9388066687</v>
      </c>
      <c r="AB611" s="9" t="n">
        <f aca="false">IF(AND(I611="DO",O611="MA"),S611-N611,0)</f>
        <v>0</v>
      </c>
      <c r="AC611" s="9" t="n">
        <f aca="false">IF(I611="DO",X611-S611,0)</f>
        <v>0</v>
      </c>
      <c r="AD611" s="23" t="n">
        <f aca="false">IF(B612&lt;&gt;B611,1,0)</f>
        <v>0</v>
      </c>
      <c r="AE611" s="14" t="n">
        <f aca="false">IF(I611="Opening",0,AE610+W611)</f>
        <v>0</v>
      </c>
      <c r="AF611" s="14" t="n">
        <f aca="false">IF(I611="Opening",K611,AF610)</f>
        <v>258.62</v>
      </c>
      <c r="AG611" s="14" t="n">
        <f aca="false">AG610</f>
        <v>0</v>
      </c>
      <c r="AH611" s="14" t="n">
        <f aca="false">IF(W611=0,0,MAX(0,MIN(AE611,AF611)-MIN(AE611-W611,AF611)))</f>
        <v>0</v>
      </c>
      <c r="AI611" s="14" t="n">
        <f aca="false">IF(W611=0,0,MAX(0,MIN(AE611,AF611+AG611)-MAX(AE611-W611,AF611)))</f>
        <v>0</v>
      </c>
      <c r="AJ611" s="14" t="n">
        <f aca="false">W611-AH611-AI611</f>
        <v>0</v>
      </c>
      <c r="AK611" s="9" t="n">
        <f aca="false">IF(W611=0,0,X611*AH611/W611)</f>
        <v>0</v>
      </c>
      <c r="AL611" s="9" t="n">
        <f aca="false">IF(W611=0,0,X611*AI611/W611)</f>
        <v>0</v>
      </c>
      <c r="AM611" s="9" t="n">
        <f aca="false">X611-AK611-AL611</f>
        <v>0</v>
      </c>
    </row>
    <row r="612" customFormat="false" ht="15" hidden="false" customHeight="false" outlineLevel="0" collapsed="false">
      <c r="A612" s="6" t="n">
        <v>607</v>
      </c>
      <c r="B612" s="74" t="s">
        <v>1004</v>
      </c>
      <c r="C612" s="53" t="str">
        <f aca="false">INDEX(I_Items!$C$5:$C$133,MATCH($B612,I_Items!$A$5:$A$133,0))</f>
        <v>RPA</v>
      </c>
      <c r="D612" s="53" t="str">
        <f aca="false">INDEX(I_Items!$D$5:$D$133,MATCH($B612,I_Items!$A$5:$A$133,0))</f>
        <v>Karkas</v>
      </c>
      <c r="E612" s="53" t="str">
        <f aca="false">INDEX(I_Items!$F$5:$F$133,MATCH($B612,I_Items!$A$5:$A$133,0))</f>
        <v>Frozen</v>
      </c>
      <c r="F612" s="53" t="str">
        <f aca="false">IF(INDEX(I_Items!$E$5:$E$133,MATCH($B612,I_Items!$A$5:$A$133,0))="","",INDEX(I_Items!$E$5:$E$133,MATCH($B612,I_Items!$A$5:$A$133,0)))</f>
        <v>Uk 1.7</v>
      </c>
      <c r="G612" s="76" t="n">
        <v>46248</v>
      </c>
      <c r="H612" s="23" t="n">
        <f aca="false">MONTH(G612)</f>
        <v>8</v>
      </c>
      <c r="I612" s="74" t="s">
        <v>2074</v>
      </c>
      <c r="J612" s="74" t="s">
        <v>1302</v>
      </c>
      <c r="K612" s="10" t="n">
        <v>238.7</v>
      </c>
      <c r="L612" s="8" t="n">
        <v>9138829.82</v>
      </c>
      <c r="M612" s="10" t="n">
        <v>0</v>
      </c>
      <c r="N612" s="8" t="n">
        <v>0</v>
      </c>
      <c r="O612" s="74"/>
      <c r="P612" s="74"/>
      <c r="Q612" s="74"/>
      <c r="R612" s="14" t="n">
        <f aca="false">IF(I612="Unbilled",0,M612)</f>
        <v>0</v>
      </c>
      <c r="S612" s="9" t="n">
        <f aca="false">IF(R612=0,0,IF(O612="Booked",N612,R612*V611))</f>
        <v>0</v>
      </c>
      <c r="T612" s="14" t="n">
        <f aca="false">IF(I612="Opening",K612,T611+K612-R612)</f>
        <v>1136.02</v>
      </c>
      <c r="U612" s="9" t="n">
        <f aca="false">IF(I612="Opening",L612,U611+L612-S612)</f>
        <v>40337693.99</v>
      </c>
      <c r="V612" s="9" t="n">
        <f aca="false">IF(T612&gt;0,U612/T612,IF(I612="Opening",0,V611))</f>
        <v>35507.9083026707</v>
      </c>
      <c r="W612" s="14" t="n">
        <f aca="false">M612</f>
        <v>0</v>
      </c>
      <c r="X612" s="9" t="n">
        <f aca="false">IF(W612=0,0,IF(O612="Booked",N612,W612*AA611))</f>
        <v>0</v>
      </c>
      <c r="Y612" s="14" t="n">
        <f aca="false">IF(I612="Opening",K612,Y611+K612-W612)</f>
        <v>1136.02</v>
      </c>
      <c r="Z612" s="9" t="n">
        <f aca="false">IF(I612="Opening",L612,Z611+L612-X612)</f>
        <v>40337693.99</v>
      </c>
      <c r="AA612" s="9" t="n">
        <f aca="false">IF(Y612&gt;0,Z612/Y612,IF(I612="Opening",0,AA611))</f>
        <v>35507.9083026707</v>
      </c>
      <c r="AB612" s="9" t="n">
        <f aca="false">IF(AND(I612="DO",O612="MA"),S612-N612,0)</f>
        <v>0</v>
      </c>
      <c r="AC612" s="9" t="n">
        <f aca="false">IF(I612="DO",X612-S612,0)</f>
        <v>0</v>
      </c>
      <c r="AD612" s="23" t="n">
        <f aca="false">IF(B613&lt;&gt;B612,1,0)</f>
        <v>0</v>
      </c>
      <c r="AE612" s="14" t="n">
        <f aca="false">IF(I612="Opening",0,AE611+W612)</f>
        <v>0</v>
      </c>
      <c r="AF612" s="14" t="n">
        <f aca="false">IF(I612="Opening",K612,AF611)</f>
        <v>258.62</v>
      </c>
      <c r="AG612" s="14" t="n">
        <f aca="false">AG611</f>
        <v>0</v>
      </c>
      <c r="AH612" s="14" t="n">
        <f aca="false">IF(W612=0,0,MAX(0,MIN(AE612,AF612)-MIN(AE612-W612,AF612)))</f>
        <v>0</v>
      </c>
      <c r="AI612" s="14" t="n">
        <f aca="false">IF(W612=0,0,MAX(0,MIN(AE612,AF612+AG612)-MAX(AE612-W612,AF612)))</f>
        <v>0</v>
      </c>
      <c r="AJ612" s="14" t="n">
        <f aca="false">W612-AH612-AI612</f>
        <v>0</v>
      </c>
      <c r="AK612" s="9" t="n">
        <f aca="false">IF(W612=0,0,X612*AH612/W612)</f>
        <v>0</v>
      </c>
      <c r="AL612" s="9" t="n">
        <f aca="false">IF(W612=0,0,X612*AI612/W612)</f>
        <v>0</v>
      </c>
      <c r="AM612" s="9" t="n">
        <f aca="false">X612-AK612-AL612</f>
        <v>0</v>
      </c>
    </row>
    <row r="613" customFormat="false" ht="15" hidden="false" customHeight="false" outlineLevel="0" collapsed="false">
      <c r="A613" s="6" t="n">
        <v>608</v>
      </c>
      <c r="B613" s="74" t="s">
        <v>1004</v>
      </c>
      <c r="C613" s="53" t="str">
        <f aca="false">INDEX(I_Items!$C$5:$C$133,MATCH($B613,I_Items!$A$5:$A$133,0))</f>
        <v>RPA</v>
      </c>
      <c r="D613" s="53" t="str">
        <f aca="false">INDEX(I_Items!$D$5:$D$133,MATCH($B613,I_Items!$A$5:$A$133,0))</f>
        <v>Karkas</v>
      </c>
      <c r="E613" s="53" t="str">
        <f aca="false">INDEX(I_Items!$F$5:$F$133,MATCH($B613,I_Items!$A$5:$A$133,0))</f>
        <v>Frozen</v>
      </c>
      <c r="F613" s="53" t="str">
        <f aca="false">IF(INDEX(I_Items!$E$5:$E$133,MATCH($B613,I_Items!$A$5:$A$133,0))="","",INDEX(I_Items!$E$5:$E$133,MATCH($B613,I_Items!$A$5:$A$133,0)))</f>
        <v>Uk 1.7</v>
      </c>
      <c r="G613" s="76" t="n">
        <v>46259</v>
      </c>
      <c r="H613" s="23" t="n">
        <f aca="false">MONTH(G613)</f>
        <v>8</v>
      </c>
      <c r="I613" s="74" t="s">
        <v>2074</v>
      </c>
      <c r="J613" s="74" t="s">
        <v>1314</v>
      </c>
      <c r="K613" s="10" t="n">
        <v>110.6</v>
      </c>
      <c r="L613" s="8" t="n">
        <v>4078883.02</v>
      </c>
      <c r="M613" s="10" t="n">
        <v>0</v>
      </c>
      <c r="N613" s="8" t="n">
        <v>0</v>
      </c>
      <c r="O613" s="74"/>
      <c r="P613" s="74"/>
      <c r="Q613" s="74"/>
      <c r="R613" s="14" t="n">
        <f aca="false">IF(I613="Unbilled",0,M613)</f>
        <v>0</v>
      </c>
      <c r="S613" s="9" t="n">
        <f aca="false">IF(R613=0,0,IF(O613="Booked",N613,R613*V612))</f>
        <v>0</v>
      </c>
      <c r="T613" s="14" t="n">
        <f aca="false">IF(I613="Opening",K613,T612+K613-R613)</f>
        <v>1246.62</v>
      </c>
      <c r="U613" s="9" t="n">
        <f aca="false">IF(I613="Opening",L613,U612+L613-S613)</f>
        <v>44416577.01</v>
      </c>
      <c r="V613" s="9" t="n">
        <f aca="false">IF(T613&gt;0,U613/T613,IF(I613="Opening",0,V612))</f>
        <v>35629.6040573711</v>
      </c>
      <c r="W613" s="14" t="n">
        <f aca="false">M613</f>
        <v>0</v>
      </c>
      <c r="X613" s="9" t="n">
        <f aca="false">IF(W613=0,0,IF(O613="Booked",N613,W613*AA612))</f>
        <v>0</v>
      </c>
      <c r="Y613" s="14" t="n">
        <f aca="false">IF(I613="Opening",K613,Y612+K613-W613)</f>
        <v>1246.62</v>
      </c>
      <c r="Z613" s="9" t="n">
        <f aca="false">IF(I613="Opening",L613,Z612+L613-X613)</f>
        <v>44416577.01</v>
      </c>
      <c r="AA613" s="9" t="n">
        <f aca="false">IF(Y613&gt;0,Z613/Y613,IF(I613="Opening",0,AA612))</f>
        <v>35629.6040573711</v>
      </c>
      <c r="AB613" s="9" t="n">
        <f aca="false">IF(AND(I613="DO",O613="MA"),S613-N613,0)</f>
        <v>0</v>
      </c>
      <c r="AC613" s="9" t="n">
        <f aca="false">IF(I613="DO",X613-S613,0)</f>
        <v>0</v>
      </c>
      <c r="AD613" s="23" t="n">
        <f aca="false">IF(B614&lt;&gt;B613,1,0)</f>
        <v>0</v>
      </c>
      <c r="AE613" s="14" t="n">
        <f aca="false">IF(I613="Opening",0,AE612+W613)</f>
        <v>0</v>
      </c>
      <c r="AF613" s="14" t="n">
        <f aca="false">IF(I613="Opening",K613,AF612)</f>
        <v>258.62</v>
      </c>
      <c r="AG613" s="14" t="n">
        <f aca="false">AG612</f>
        <v>0</v>
      </c>
      <c r="AH613" s="14" t="n">
        <f aca="false">IF(W613=0,0,MAX(0,MIN(AE613,AF613)-MIN(AE613-W613,AF613)))</f>
        <v>0</v>
      </c>
      <c r="AI613" s="14" t="n">
        <f aca="false">IF(W613=0,0,MAX(0,MIN(AE613,AF613+AG613)-MAX(AE613-W613,AF613)))</f>
        <v>0</v>
      </c>
      <c r="AJ613" s="14" t="n">
        <f aca="false">W613-AH613-AI613</f>
        <v>0</v>
      </c>
      <c r="AK613" s="9" t="n">
        <f aca="false">IF(W613=0,0,X613*AH613/W613)</f>
        <v>0</v>
      </c>
      <c r="AL613" s="9" t="n">
        <f aca="false">IF(W613=0,0,X613*AI613/W613)</f>
        <v>0</v>
      </c>
      <c r="AM613" s="9" t="n">
        <f aca="false">X613-AK613-AL613</f>
        <v>0</v>
      </c>
    </row>
    <row r="614" customFormat="false" ht="15" hidden="false" customHeight="false" outlineLevel="0" collapsed="false">
      <c r="A614" s="6" t="n">
        <v>609</v>
      </c>
      <c r="B614" s="74" t="s">
        <v>1004</v>
      </c>
      <c r="C614" s="53" t="str">
        <f aca="false">INDEX(I_Items!$C$5:$C$133,MATCH($B614,I_Items!$A$5:$A$133,0))</f>
        <v>RPA</v>
      </c>
      <c r="D614" s="53" t="str">
        <f aca="false">INDEX(I_Items!$D$5:$D$133,MATCH($B614,I_Items!$A$5:$A$133,0))</f>
        <v>Karkas</v>
      </c>
      <c r="E614" s="53" t="str">
        <f aca="false">INDEX(I_Items!$F$5:$F$133,MATCH($B614,I_Items!$A$5:$A$133,0))</f>
        <v>Frozen</v>
      </c>
      <c r="F614" s="53" t="str">
        <f aca="false">IF(INDEX(I_Items!$E$5:$E$133,MATCH($B614,I_Items!$A$5:$A$133,0))="","",INDEX(I_Items!$E$5:$E$133,MATCH($B614,I_Items!$A$5:$A$133,0)))</f>
        <v>Uk 1.7</v>
      </c>
      <c r="G614" s="76" t="n">
        <v>46260</v>
      </c>
      <c r="H614" s="23" t="n">
        <f aca="false">MONTH(G614)</f>
        <v>8</v>
      </c>
      <c r="I614" s="74" t="s">
        <v>2074</v>
      </c>
      <c r="J614" s="74" t="s">
        <v>1317</v>
      </c>
      <c r="K614" s="10" t="n">
        <v>97.8</v>
      </c>
      <c r="L614" s="8" t="n">
        <v>3684066.8</v>
      </c>
      <c r="M614" s="10" t="n">
        <v>0</v>
      </c>
      <c r="N614" s="8" t="n">
        <v>0</v>
      </c>
      <c r="O614" s="74"/>
      <c r="P614" s="74"/>
      <c r="Q614" s="74"/>
      <c r="R614" s="14" t="n">
        <f aca="false">IF(I614="Unbilled",0,M614)</f>
        <v>0</v>
      </c>
      <c r="S614" s="9" t="n">
        <f aca="false">IF(R614=0,0,IF(O614="Booked",N614,R614*V613))</f>
        <v>0</v>
      </c>
      <c r="T614" s="14" t="n">
        <f aca="false">IF(I614="Opening",K614,T613+K614-R614)</f>
        <v>1344.42</v>
      </c>
      <c r="U614" s="9" t="n">
        <f aca="false">IF(I614="Opening",L614,U613+L614-S614)</f>
        <v>48100643.81</v>
      </c>
      <c r="V614" s="9" t="n">
        <f aca="false">IF(T614&gt;0,U614/T614,IF(I614="Opening",0,V613))</f>
        <v>35777.9888799631</v>
      </c>
      <c r="W614" s="14" t="n">
        <f aca="false">M614</f>
        <v>0</v>
      </c>
      <c r="X614" s="9" t="n">
        <f aca="false">IF(W614=0,0,IF(O614="Booked",N614,W614*AA613))</f>
        <v>0</v>
      </c>
      <c r="Y614" s="14" t="n">
        <f aca="false">IF(I614="Opening",K614,Y613+K614-W614)</f>
        <v>1344.42</v>
      </c>
      <c r="Z614" s="9" t="n">
        <f aca="false">IF(I614="Opening",L614,Z613+L614-X614)</f>
        <v>48100643.81</v>
      </c>
      <c r="AA614" s="9" t="n">
        <f aca="false">IF(Y614&gt;0,Z614/Y614,IF(I614="Opening",0,AA613))</f>
        <v>35777.9888799631</v>
      </c>
      <c r="AB614" s="9" t="n">
        <f aca="false">IF(AND(I614="DO",O614="MA"),S614-N614,0)</f>
        <v>0</v>
      </c>
      <c r="AC614" s="9" t="n">
        <f aca="false">IF(I614="DO",X614-S614,0)</f>
        <v>0</v>
      </c>
      <c r="AD614" s="23" t="n">
        <f aca="false">IF(B615&lt;&gt;B614,1,0)</f>
        <v>0</v>
      </c>
      <c r="AE614" s="14" t="n">
        <f aca="false">IF(I614="Opening",0,AE613+W614)</f>
        <v>0</v>
      </c>
      <c r="AF614" s="14" t="n">
        <f aca="false">IF(I614="Opening",K614,AF613)</f>
        <v>258.62</v>
      </c>
      <c r="AG614" s="14" t="n">
        <f aca="false">AG613</f>
        <v>0</v>
      </c>
      <c r="AH614" s="14" t="n">
        <f aca="false">IF(W614=0,0,MAX(0,MIN(AE614,AF614)-MIN(AE614-W614,AF614)))</f>
        <v>0</v>
      </c>
      <c r="AI614" s="14" t="n">
        <f aca="false">IF(W614=0,0,MAX(0,MIN(AE614,AF614+AG614)-MAX(AE614-W614,AF614)))</f>
        <v>0</v>
      </c>
      <c r="AJ614" s="14" t="n">
        <f aca="false">W614-AH614-AI614</f>
        <v>0</v>
      </c>
      <c r="AK614" s="9" t="n">
        <f aca="false">IF(W614=0,0,X614*AH614/W614)</f>
        <v>0</v>
      </c>
      <c r="AL614" s="9" t="n">
        <f aca="false">IF(W614=0,0,X614*AI614/W614)</f>
        <v>0</v>
      </c>
      <c r="AM614" s="9" t="n">
        <f aca="false">X614-AK614-AL614</f>
        <v>0</v>
      </c>
    </row>
    <row r="615" customFormat="false" ht="15" hidden="false" customHeight="false" outlineLevel="0" collapsed="false">
      <c r="A615" s="6" t="n">
        <v>610</v>
      </c>
      <c r="B615" s="74" t="s">
        <v>1004</v>
      </c>
      <c r="C615" s="53" t="str">
        <f aca="false">INDEX(I_Items!$C$5:$C$133,MATCH($B615,I_Items!$A$5:$A$133,0))</f>
        <v>RPA</v>
      </c>
      <c r="D615" s="53" t="str">
        <f aca="false">INDEX(I_Items!$D$5:$D$133,MATCH($B615,I_Items!$A$5:$A$133,0))</f>
        <v>Karkas</v>
      </c>
      <c r="E615" s="53" t="str">
        <f aca="false">INDEX(I_Items!$F$5:$F$133,MATCH($B615,I_Items!$A$5:$A$133,0))</f>
        <v>Frozen</v>
      </c>
      <c r="F615" s="53" t="str">
        <f aca="false">IF(INDEX(I_Items!$E$5:$E$133,MATCH($B615,I_Items!$A$5:$A$133,0))="","",INDEX(I_Items!$E$5:$E$133,MATCH($B615,I_Items!$A$5:$A$133,0)))</f>
        <v>Uk 1.7</v>
      </c>
      <c r="G615" s="76" t="n">
        <v>46261</v>
      </c>
      <c r="H615" s="23" t="n">
        <f aca="false">MONTH(G615)</f>
        <v>8</v>
      </c>
      <c r="I615" s="74" t="s">
        <v>2074</v>
      </c>
      <c r="J615" s="74" t="s">
        <v>1320</v>
      </c>
      <c r="K615" s="10" t="n">
        <v>17.9</v>
      </c>
      <c r="L615" s="8" t="n">
        <v>665599.75</v>
      </c>
      <c r="M615" s="10" t="n">
        <v>0</v>
      </c>
      <c r="N615" s="8" t="n">
        <v>0</v>
      </c>
      <c r="O615" s="74"/>
      <c r="P615" s="74"/>
      <c r="Q615" s="74"/>
      <c r="R615" s="14" t="n">
        <f aca="false">IF(I615="Unbilled",0,M615)</f>
        <v>0</v>
      </c>
      <c r="S615" s="9" t="n">
        <f aca="false">IF(R615=0,0,IF(O615="Booked",N615,R615*V614))</f>
        <v>0</v>
      </c>
      <c r="T615" s="14" t="n">
        <f aca="false">IF(I615="Opening",K615,T614+K615-R615)</f>
        <v>1362.32</v>
      </c>
      <c r="U615" s="9" t="n">
        <f aca="false">IF(I615="Opening",L615,U614+L615-S615)</f>
        <v>48766243.56</v>
      </c>
      <c r="V615" s="9" t="n">
        <f aca="false">IF(T615&gt;0,U615/T615,IF(I615="Opening",0,V614))</f>
        <v>35796.4674672617</v>
      </c>
      <c r="W615" s="14" t="n">
        <f aca="false">M615</f>
        <v>0</v>
      </c>
      <c r="X615" s="9" t="n">
        <f aca="false">IF(W615=0,0,IF(O615="Booked",N615,W615*AA614))</f>
        <v>0</v>
      </c>
      <c r="Y615" s="14" t="n">
        <f aca="false">IF(I615="Opening",K615,Y614+K615-W615)</f>
        <v>1362.32</v>
      </c>
      <c r="Z615" s="9" t="n">
        <f aca="false">IF(I615="Opening",L615,Z614+L615-X615)</f>
        <v>48766243.56</v>
      </c>
      <c r="AA615" s="9" t="n">
        <f aca="false">IF(Y615&gt;0,Z615/Y615,IF(I615="Opening",0,AA614))</f>
        <v>35796.4674672617</v>
      </c>
      <c r="AB615" s="9" t="n">
        <f aca="false">IF(AND(I615="DO",O615="MA"),S615-N615,0)</f>
        <v>0</v>
      </c>
      <c r="AC615" s="9" t="n">
        <f aca="false">IF(I615="DO",X615-S615,0)</f>
        <v>0</v>
      </c>
      <c r="AD615" s="23" t="n">
        <f aca="false">IF(B616&lt;&gt;B615,1,0)</f>
        <v>0</v>
      </c>
      <c r="AE615" s="14" t="n">
        <f aca="false">IF(I615="Opening",0,AE614+W615)</f>
        <v>0</v>
      </c>
      <c r="AF615" s="14" t="n">
        <f aca="false">IF(I615="Opening",K615,AF614)</f>
        <v>258.62</v>
      </c>
      <c r="AG615" s="14" t="n">
        <f aca="false">AG614</f>
        <v>0</v>
      </c>
      <c r="AH615" s="14" t="n">
        <f aca="false">IF(W615=0,0,MAX(0,MIN(AE615,AF615)-MIN(AE615-W615,AF615)))</f>
        <v>0</v>
      </c>
      <c r="AI615" s="14" t="n">
        <f aca="false">IF(W615=0,0,MAX(0,MIN(AE615,AF615+AG615)-MAX(AE615-W615,AF615)))</f>
        <v>0</v>
      </c>
      <c r="AJ615" s="14" t="n">
        <f aca="false">W615-AH615-AI615</f>
        <v>0</v>
      </c>
      <c r="AK615" s="9" t="n">
        <f aca="false">IF(W615=0,0,X615*AH615/W615)</f>
        <v>0</v>
      </c>
      <c r="AL615" s="9" t="n">
        <f aca="false">IF(W615=0,0,X615*AI615/W615)</f>
        <v>0</v>
      </c>
      <c r="AM615" s="9" t="n">
        <f aca="false">X615-AK615-AL615</f>
        <v>0</v>
      </c>
    </row>
    <row r="616" customFormat="false" ht="15" hidden="false" customHeight="false" outlineLevel="0" collapsed="false">
      <c r="A616" s="6" t="n">
        <v>611</v>
      </c>
      <c r="B616" s="74" t="s">
        <v>1004</v>
      </c>
      <c r="C616" s="53" t="str">
        <f aca="false">INDEX(I_Items!$C$5:$C$133,MATCH($B616,I_Items!$A$5:$A$133,0))</f>
        <v>RPA</v>
      </c>
      <c r="D616" s="53" t="str">
        <f aca="false">INDEX(I_Items!$D$5:$D$133,MATCH($B616,I_Items!$A$5:$A$133,0))</f>
        <v>Karkas</v>
      </c>
      <c r="E616" s="53" t="str">
        <f aca="false">INDEX(I_Items!$F$5:$F$133,MATCH($B616,I_Items!$A$5:$A$133,0))</f>
        <v>Frozen</v>
      </c>
      <c r="F616" s="53" t="str">
        <f aca="false">IF(INDEX(I_Items!$E$5:$E$133,MATCH($B616,I_Items!$A$5:$A$133,0))="","",INDEX(I_Items!$E$5:$E$133,MATCH($B616,I_Items!$A$5:$A$133,0)))</f>
        <v>Uk 1.7</v>
      </c>
      <c r="G616" s="76" t="n">
        <v>46262</v>
      </c>
      <c r="H616" s="23" t="n">
        <f aca="false">MONTH(G616)</f>
        <v>8</v>
      </c>
      <c r="I616" s="74" t="s">
        <v>2074</v>
      </c>
      <c r="J616" s="74" t="s">
        <v>1323</v>
      </c>
      <c r="K616" s="10" t="n">
        <v>56.4</v>
      </c>
      <c r="L616" s="8" t="n">
        <v>2114540.51</v>
      </c>
      <c r="M616" s="10" t="n">
        <v>0</v>
      </c>
      <c r="N616" s="8" t="n">
        <v>0</v>
      </c>
      <c r="O616" s="74"/>
      <c r="P616" s="74"/>
      <c r="Q616" s="74"/>
      <c r="R616" s="14" t="n">
        <f aca="false">IF(I616="Unbilled",0,M616)</f>
        <v>0</v>
      </c>
      <c r="S616" s="9" t="n">
        <f aca="false">IF(R616=0,0,IF(O616="Booked",N616,R616*V615))</f>
        <v>0</v>
      </c>
      <c r="T616" s="14" t="n">
        <f aca="false">IF(I616="Opening",K616,T615+K616-R616)</f>
        <v>1418.72</v>
      </c>
      <c r="U616" s="9" t="n">
        <f aca="false">IF(I616="Opening",L616,U615+L616-S616)</f>
        <v>50880784.07</v>
      </c>
      <c r="V616" s="9" t="n">
        <f aca="false">IF(T616&gt;0,U616/T616,IF(I616="Opening",0,V615))</f>
        <v>35863.8660694147</v>
      </c>
      <c r="W616" s="14" t="n">
        <f aca="false">M616</f>
        <v>0</v>
      </c>
      <c r="X616" s="9" t="n">
        <f aca="false">IF(W616=0,0,IF(O616="Booked",N616,W616*AA615))</f>
        <v>0</v>
      </c>
      <c r="Y616" s="14" t="n">
        <f aca="false">IF(I616="Opening",K616,Y615+K616-W616)</f>
        <v>1418.72</v>
      </c>
      <c r="Z616" s="9" t="n">
        <f aca="false">IF(I616="Opening",L616,Z615+L616-X616)</f>
        <v>50880784.07</v>
      </c>
      <c r="AA616" s="9" t="n">
        <f aca="false">IF(Y616&gt;0,Z616/Y616,IF(I616="Opening",0,AA615))</f>
        <v>35863.8660694147</v>
      </c>
      <c r="AB616" s="9" t="n">
        <f aca="false">IF(AND(I616="DO",O616="MA"),S616-N616,0)</f>
        <v>0</v>
      </c>
      <c r="AC616" s="9" t="n">
        <f aca="false">IF(I616="DO",X616-S616,0)</f>
        <v>0</v>
      </c>
      <c r="AD616" s="23" t="n">
        <f aca="false">IF(B617&lt;&gt;B616,1,0)</f>
        <v>0</v>
      </c>
      <c r="AE616" s="14" t="n">
        <f aca="false">IF(I616="Opening",0,AE615+W616)</f>
        <v>0</v>
      </c>
      <c r="AF616" s="14" t="n">
        <f aca="false">IF(I616="Opening",K616,AF615)</f>
        <v>258.62</v>
      </c>
      <c r="AG616" s="14" t="n">
        <f aca="false">AG615</f>
        <v>0</v>
      </c>
      <c r="AH616" s="14" t="n">
        <f aca="false">IF(W616=0,0,MAX(0,MIN(AE616,AF616)-MIN(AE616-W616,AF616)))</f>
        <v>0</v>
      </c>
      <c r="AI616" s="14" t="n">
        <f aca="false">IF(W616=0,0,MAX(0,MIN(AE616,AF616+AG616)-MAX(AE616-W616,AF616)))</f>
        <v>0</v>
      </c>
      <c r="AJ616" s="14" t="n">
        <f aca="false">W616-AH616-AI616</f>
        <v>0</v>
      </c>
      <c r="AK616" s="9" t="n">
        <f aca="false">IF(W616=0,0,X616*AH616/W616)</f>
        <v>0</v>
      </c>
      <c r="AL616" s="9" t="n">
        <f aca="false">IF(W616=0,0,X616*AI616/W616)</f>
        <v>0</v>
      </c>
      <c r="AM616" s="9" t="n">
        <f aca="false">X616-AK616-AL616</f>
        <v>0</v>
      </c>
    </row>
    <row r="617" customFormat="false" ht="15" hidden="false" customHeight="false" outlineLevel="0" collapsed="false">
      <c r="A617" s="6" t="n">
        <v>612</v>
      </c>
      <c r="B617" s="74" t="s">
        <v>1004</v>
      </c>
      <c r="C617" s="53" t="str">
        <f aca="false">INDEX(I_Items!$C$5:$C$133,MATCH($B617,I_Items!$A$5:$A$133,0))</f>
        <v>RPA</v>
      </c>
      <c r="D617" s="53" t="str">
        <f aca="false">INDEX(I_Items!$D$5:$D$133,MATCH($B617,I_Items!$A$5:$A$133,0))</f>
        <v>Karkas</v>
      </c>
      <c r="E617" s="53" t="str">
        <f aca="false">INDEX(I_Items!$F$5:$F$133,MATCH($B617,I_Items!$A$5:$A$133,0))</f>
        <v>Frozen</v>
      </c>
      <c r="F617" s="53" t="str">
        <f aca="false">IF(INDEX(I_Items!$E$5:$E$133,MATCH($B617,I_Items!$A$5:$A$133,0))="","",INDEX(I_Items!$E$5:$E$133,MATCH($B617,I_Items!$A$5:$A$133,0)))</f>
        <v>Uk 1.7</v>
      </c>
      <c r="G617" s="76" t="n">
        <v>46265</v>
      </c>
      <c r="H617" s="23" t="n">
        <f aca="false">MONTH(G617)</f>
        <v>8</v>
      </c>
      <c r="I617" s="74" t="s">
        <v>2074</v>
      </c>
      <c r="J617" s="74" t="s">
        <v>1326</v>
      </c>
      <c r="K617" s="10" t="n">
        <v>621.8</v>
      </c>
      <c r="L617" s="8" t="n">
        <v>22911089.53</v>
      </c>
      <c r="M617" s="10" t="n">
        <v>0</v>
      </c>
      <c r="N617" s="8" t="n">
        <v>0</v>
      </c>
      <c r="O617" s="74"/>
      <c r="P617" s="74"/>
      <c r="Q617" s="74"/>
      <c r="R617" s="14" t="n">
        <f aca="false">IF(I617="Unbilled",0,M617)</f>
        <v>0</v>
      </c>
      <c r="S617" s="9" t="n">
        <f aca="false">IF(R617=0,0,IF(O617="Booked",N617,R617*V616))</f>
        <v>0</v>
      </c>
      <c r="T617" s="14" t="n">
        <f aca="false">IF(I617="Opening",K617,T616+K617-R617)</f>
        <v>2040.52</v>
      </c>
      <c r="U617" s="9" t="n">
        <f aca="false">IF(I617="Opening",L617,U616+L617-S617)</f>
        <v>73791873.6</v>
      </c>
      <c r="V617" s="9" t="n">
        <f aca="false">IF(T617&gt;0,U617/T617,IF(I617="Opening",0,V616))</f>
        <v>36163.2689706545</v>
      </c>
      <c r="W617" s="14" t="n">
        <f aca="false">M617</f>
        <v>0</v>
      </c>
      <c r="X617" s="9" t="n">
        <f aca="false">IF(W617=0,0,IF(O617="Booked",N617,W617*AA616))</f>
        <v>0</v>
      </c>
      <c r="Y617" s="14" t="n">
        <f aca="false">IF(I617="Opening",K617,Y616+K617-W617)</f>
        <v>2040.52</v>
      </c>
      <c r="Z617" s="9" t="n">
        <f aca="false">IF(I617="Opening",L617,Z616+L617-X617)</f>
        <v>73791873.6</v>
      </c>
      <c r="AA617" s="9" t="n">
        <f aca="false">IF(Y617&gt;0,Z617/Y617,IF(I617="Opening",0,AA616))</f>
        <v>36163.2689706545</v>
      </c>
      <c r="AB617" s="9" t="n">
        <f aca="false">IF(AND(I617="DO",O617="MA"),S617-N617,0)</f>
        <v>0</v>
      </c>
      <c r="AC617" s="9" t="n">
        <f aca="false">IF(I617="DO",X617-S617,0)</f>
        <v>0</v>
      </c>
      <c r="AD617" s="23" t="n">
        <f aca="false">IF(B618&lt;&gt;B617,1,0)</f>
        <v>1</v>
      </c>
      <c r="AE617" s="14" t="n">
        <f aca="false">IF(I617="Opening",0,AE616+W617)</f>
        <v>0</v>
      </c>
      <c r="AF617" s="14" t="n">
        <f aca="false">IF(I617="Opening",K617,AF616)</f>
        <v>258.62</v>
      </c>
      <c r="AG617" s="14" t="n">
        <f aca="false">AG616</f>
        <v>0</v>
      </c>
      <c r="AH617" s="14" t="n">
        <f aca="false">IF(W617=0,0,MAX(0,MIN(AE617,AF617)-MIN(AE617-W617,AF617)))</f>
        <v>0</v>
      </c>
      <c r="AI617" s="14" t="n">
        <f aca="false">IF(W617=0,0,MAX(0,MIN(AE617,AF617+AG617)-MAX(AE617-W617,AF617)))</f>
        <v>0</v>
      </c>
      <c r="AJ617" s="14" t="n">
        <f aca="false">W617-AH617-AI617</f>
        <v>0</v>
      </c>
      <c r="AK617" s="9" t="n">
        <f aca="false">IF(W617=0,0,X617*AH617/W617)</f>
        <v>0</v>
      </c>
      <c r="AL617" s="9" t="n">
        <f aca="false">IF(W617=0,0,X617*AI617/W617)</f>
        <v>0</v>
      </c>
      <c r="AM617" s="9" t="n">
        <f aca="false">X617-AK617-AL617</f>
        <v>0</v>
      </c>
    </row>
    <row r="618" customFormat="false" ht="15" hidden="false" customHeight="false" outlineLevel="0" collapsed="false">
      <c r="A618" s="6" t="n">
        <v>613</v>
      </c>
      <c r="B618" s="74" t="s">
        <v>1005</v>
      </c>
      <c r="C618" s="53" t="str">
        <f aca="false">INDEX(I_Items!$C$5:$C$133,MATCH($B618,I_Items!$A$5:$A$133,0))</f>
        <v>RPA</v>
      </c>
      <c r="D618" s="53" t="str">
        <f aca="false">INDEX(I_Items!$D$5:$D$133,MATCH($B618,I_Items!$A$5:$A$133,0))</f>
        <v>Karkas</v>
      </c>
      <c r="E618" s="53" t="str">
        <f aca="false">INDEX(I_Items!$F$5:$F$133,MATCH($B618,I_Items!$A$5:$A$133,0))</f>
        <v>Frozen</v>
      </c>
      <c r="F618" s="53" t="str">
        <f aca="false">IF(INDEX(I_Items!$E$5:$E$133,MATCH($B618,I_Items!$A$5:$A$133,0))="","",INDEX(I_Items!$E$5:$E$133,MATCH($B618,I_Items!$A$5:$A$133,0)))</f>
        <v>Uk 1.8</v>
      </c>
      <c r="G618" s="76" t="n">
        <v>46204</v>
      </c>
      <c r="H618" s="23" t="n">
        <f aca="false">MONTH(G618)</f>
        <v>7</v>
      </c>
      <c r="I618" s="74" t="s">
        <v>2072</v>
      </c>
      <c r="J618" s="74" t="s">
        <v>2073</v>
      </c>
      <c r="K618" s="10" t="n">
        <v>46.9</v>
      </c>
      <c r="L618" s="8" t="n">
        <v>1168742.04</v>
      </c>
      <c r="M618" s="10" t="n">
        <v>0</v>
      </c>
      <c r="N618" s="8" t="n">
        <v>0</v>
      </c>
      <c r="O618" s="74"/>
      <c r="P618" s="74"/>
      <c r="Q618" s="74"/>
      <c r="R618" s="14" t="n">
        <f aca="false">IF(I618="Unbilled",0,M618)</f>
        <v>0</v>
      </c>
      <c r="S618" s="9" t="n">
        <f aca="false">IF(R618=0,0,IF(O618="Booked",N618,R618*V617))</f>
        <v>0</v>
      </c>
      <c r="T618" s="14" t="n">
        <f aca="false">IF(I618="Opening",K618,T617+K618-R618)</f>
        <v>46.9</v>
      </c>
      <c r="U618" s="9" t="n">
        <f aca="false">IF(I618="Opening",L618,U617+L618-S618)</f>
        <v>1168742.04</v>
      </c>
      <c r="V618" s="9" t="n">
        <f aca="false">IF(T618&gt;0,U618/T618,IF(I618="Opening",0,V617))</f>
        <v>24919.8729211087</v>
      </c>
      <c r="W618" s="14" t="n">
        <f aca="false">M618</f>
        <v>0</v>
      </c>
      <c r="X618" s="9" t="n">
        <f aca="false">IF(W618=0,0,IF(O618="Booked",N618,W618*AA617))</f>
        <v>0</v>
      </c>
      <c r="Y618" s="14" t="n">
        <f aca="false">IF(I618="Opening",K618,Y617+K618-W618)</f>
        <v>46.9</v>
      </c>
      <c r="Z618" s="9" t="n">
        <f aca="false">IF(I618="Opening",L618,Z617+L618-X618)</f>
        <v>1168742.04</v>
      </c>
      <c r="AA618" s="9" t="n">
        <f aca="false">IF(Y618&gt;0,Z618/Y618,IF(I618="Opening",0,AA617))</f>
        <v>24919.8729211087</v>
      </c>
      <c r="AB618" s="9" t="n">
        <f aca="false">IF(AND(I618="DO",O618="MA"),S618-N618,0)</f>
        <v>0</v>
      </c>
      <c r="AC618" s="9" t="n">
        <f aca="false">IF(I618="DO",X618-S618,0)</f>
        <v>0</v>
      </c>
      <c r="AD618" s="23" t="n">
        <f aca="false">IF(B619&lt;&gt;B618,1,0)</f>
        <v>0</v>
      </c>
      <c r="AE618" s="14" t="n">
        <f aca="false">IF(I618="Opening",0,AE617+W618)</f>
        <v>0</v>
      </c>
      <c r="AF618" s="14" t="n">
        <f aca="false">IF(I618="Opening",K618,AF617)</f>
        <v>46.9</v>
      </c>
      <c r="AG618" s="14" t="n">
        <f aca="false">SUMIFS($K$6:$K$1110,$B$6:$B$1110,B618,$H$6:$H$1110,7,$I$6:$I$1110,"&lt;&gt;Opening")</f>
        <v>0</v>
      </c>
      <c r="AH618" s="14" t="n">
        <f aca="false">IF(W618=0,0,MAX(0,MIN(AE618,AF618)-MIN(AE618-W618,AF618)))</f>
        <v>0</v>
      </c>
      <c r="AI618" s="14" t="n">
        <f aca="false">IF(W618=0,0,MAX(0,MIN(AE618,AF618+AG618)-MAX(AE618-W618,AF618)))</f>
        <v>0</v>
      </c>
      <c r="AJ618" s="14" t="n">
        <f aca="false">W618-AH618-AI618</f>
        <v>0</v>
      </c>
      <c r="AK618" s="9" t="n">
        <f aca="false">IF(W618=0,0,X618*AH618/W618)</f>
        <v>0</v>
      </c>
      <c r="AL618" s="9" t="n">
        <f aca="false">IF(W618=0,0,X618*AI618/W618)</f>
        <v>0</v>
      </c>
      <c r="AM618" s="9" t="n">
        <f aca="false">X618-AK618-AL618</f>
        <v>0</v>
      </c>
    </row>
    <row r="619" customFormat="false" ht="15" hidden="false" customHeight="false" outlineLevel="0" collapsed="false">
      <c r="A619" s="6" t="n">
        <v>614</v>
      </c>
      <c r="B619" s="74" t="s">
        <v>1005</v>
      </c>
      <c r="C619" s="53" t="str">
        <f aca="false">INDEX(I_Items!$C$5:$C$133,MATCH($B619,I_Items!$A$5:$A$133,0))</f>
        <v>RPA</v>
      </c>
      <c r="D619" s="53" t="str">
        <f aca="false">INDEX(I_Items!$D$5:$D$133,MATCH($B619,I_Items!$A$5:$A$133,0))</f>
        <v>Karkas</v>
      </c>
      <c r="E619" s="53" t="str">
        <f aca="false">INDEX(I_Items!$F$5:$F$133,MATCH($B619,I_Items!$A$5:$A$133,0))</f>
        <v>Frozen</v>
      </c>
      <c r="F619" s="53" t="str">
        <f aca="false">IF(INDEX(I_Items!$E$5:$E$133,MATCH($B619,I_Items!$A$5:$A$133,0))="","",INDEX(I_Items!$E$5:$E$133,MATCH($B619,I_Items!$A$5:$A$133,0)))</f>
        <v>Uk 1.8</v>
      </c>
      <c r="G619" s="76" t="n">
        <v>46204</v>
      </c>
      <c r="H619" s="23" t="n">
        <f aca="false">MONTH(G619)</f>
        <v>7</v>
      </c>
      <c r="I619" s="74" t="s">
        <v>2117</v>
      </c>
      <c r="J619" s="74" t="s">
        <v>2170</v>
      </c>
      <c r="K619" s="10" t="n">
        <v>0</v>
      </c>
      <c r="L619" s="8" t="n">
        <v>0</v>
      </c>
      <c r="M619" s="10" t="n">
        <v>35.7</v>
      </c>
      <c r="N619" s="8" t="n">
        <v>924481.13</v>
      </c>
      <c r="O619" s="74" t="s">
        <v>2119</v>
      </c>
      <c r="P619" s="74"/>
      <c r="Q619" s="74"/>
      <c r="R619" s="14" t="n">
        <f aca="false">IF(I619="Unbilled",0,M619)</f>
        <v>35.7</v>
      </c>
      <c r="S619" s="9" t="n">
        <f aca="false">IF(R619=0,0,IF(O619="Booked",N619,R619*V618))</f>
        <v>924481.13</v>
      </c>
      <c r="T619" s="14" t="n">
        <f aca="false">IF(I619="Opening",K619,T618+K619-R619)</f>
        <v>11.2</v>
      </c>
      <c r="U619" s="9" t="n">
        <f aca="false">IF(I619="Opening",L619,U618+L619-S619)</f>
        <v>244260.91</v>
      </c>
      <c r="V619" s="9" t="n">
        <f aca="false">IF(T619&gt;0,U619/T619,IF(I619="Opening",0,V618))</f>
        <v>21809.0098214286</v>
      </c>
      <c r="W619" s="14" t="n">
        <f aca="false">M619</f>
        <v>35.7</v>
      </c>
      <c r="X619" s="9" t="n">
        <f aca="false">IF(W619=0,0,IF(O619="Booked",N619,W619*AA618))</f>
        <v>924481.13</v>
      </c>
      <c r="Y619" s="14" t="n">
        <f aca="false">IF(I619="Opening",K619,Y618+K619-W619)</f>
        <v>11.2</v>
      </c>
      <c r="Z619" s="9" t="n">
        <f aca="false">IF(I619="Opening",L619,Z618+L619-X619)</f>
        <v>244260.91</v>
      </c>
      <c r="AA619" s="9" t="n">
        <f aca="false">IF(Y619&gt;0,Z619/Y619,IF(I619="Opening",0,AA618))</f>
        <v>21809.0098214286</v>
      </c>
      <c r="AB619" s="9" t="n">
        <f aca="false">IF(AND(I619="DO",O619="MA"),S619-N619,0)</f>
        <v>0</v>
      </c>
      <c r="AC619" s="9" t="n">
        <f aca="false">IF(I619="DO",X619-S619,0)</f>
        <v>0</v>
      </c>
      <c r="AD619" s="23" t="n">
        <f aca="false">IF(B620&lt;&gt;B619,1,0)</f>
        <v>0</v>
      </c>
      <c r="AE619" s="14" t="n">
        <f aca="false">IF(I619="Opening",0,AE618+W619)</f>
        <v>35.7</v>
      </c>
      <c r="AF619" s="14" t="n">
        <f aca="false">IF(I619="Opening",K619,AF618)</f>
        <v>46.9</v>
      </c>
      <c r="AG619" s="14" t="n">
        <f aca="false">AG618</f>
        <v>0</v>
      </c>
      <c r="AH619" s="14" t="n">
        <f aca="false">IF(W619=0,0,MAX(0,MIN(AE619,AF619)-MIN(AE619-W619,AF619)))</f>
        <v>35.7</v>
      </c>
      <c r="AI619" s="14" t="n">
        <f aca="false">IF(W619=0,0,MAX(0,MIN(AE619,AF619+AG619)-MAX(AE619-W619,AF619)))</f>
        <v>0</v>
      </c>
      <c r="AJ619" s="14" t="n">
        <f aca="false">W619-AH619-AI619</f>
        <v>0</v>
      </c>
      <c r="AK619" s="9" t="n">
        <f aca="false">IF(W619=0,0,X619*AH619/W619)</f>
        <v>924481.13</v>
      </c>
      <c r="AL619" s="9" t="n">
        <f aca="false">IF(W619=0,0,X619*AI619/W619)</f>
        <v>0</v>
      </c>
      <c r="AM619" s="9" t="n">
        <f aca="false">X619-AK619-AL619</f>
        <v>0</v>
      </c>
    </row>
    <row r="620" customFormat="false" ht="15" hidden="false" customHeight="false" outlineLevel="0" collapsed="false">
      <c r="A620" s="6" t="n">
        <v>615</v>
      </c>
      <c r="B620" s="74" t="s">
        <v>1005</v>
      </c>
      <c r="C620" s="53" t="str">
        <f aca="false">INDEX(I_Items!$C$5:$C$133,MATCH($B620,I_Items!$A$5:$A$133,0))</f>
        <v>RPA</v>
      </c>
      <c r="D620" s="53" t="str">
        <f aca="false">INDEX(I_Items!$D$5:$D$133,MATCH($B620,I_Items!$A$5:$A$133,0))</f>
        <v>Karkas</v>
      </c>
      <c r="E620" s="53" t="str">
        <f aca="false">INDEX(I_Items!$F$5:$F$133,MATCH($B620,I_Items!$A$5:$A$133,0))</f>
        <v>Frozen</v>
      </c>
      <c r="F620" s="53" t="str">
        <f aca="false">IF(INDEX(I_Items!$E$5:$E$133,MATCH($B620,I_Items!$A$5:$A$133,0))="","",INDEX(I_Items!$E$5:$E$133,MATCH($B620,I_Items!$A$5:$A$133,0)))</f>
        <v>Uk 1.8</v>
      </c>
      <c r="G620" s="76" t="n">
        <v>46244</v>
      </c>
      <c r="H620" s="23" t="n">
        <f aca="false">MONTH(G620)</f>
        <v>8</v>
      </c>
      <c r="I620" s="74" t="s">
        <v>2074</v>
      </c>
      <c r="J620" s="74" t="s">
        <v>1298</v>
      </c>
      <c r="K620" s="10" t="n">
        <v>20.8</v>
      </c>
      <c r="L620" s="8" t="n">
        <v>717301.87</v>
      </c>
      <c r="M620" s="10" t="n">
        <v>0</v>
      </c>
      <c r="N620" s="8" t="n">
        <v>0</v>
      </c>
      <c r="O620" s="74"/>
      <c r="P620" s="74"/>
      <c r="Q620" s="74"/>
      <c r="R620" s="14" t="n">
        <f aca="false">IF(I620="Unbilled",0,M620)</f>
        <v>0</v>
      </c>
      <c r="S620" s="9" t="n">
        <f aca="false">IF(R620=0,0,IF(O620="Booked",N620,R620*V619))</f>
        <v>0</v>
      </c>
      <c r="T620" s="14" t="n">
        <f aca="false">IF(I620="Opening",K620,T619+K620-R620)</f>
        <v>32</v>
      </c>
      <c r="U620" s="9" t="n">
        <f aca="false">IF(I620="Opening",L620,U619+L620-S620)</f>
        <v>961562.78</v>
      </c>
      <c r="V620" s="9" t="n">
        <f aca="false">IF(T620&gt;0,U620/T620,IF(I620="Opening",0,V619))</f>
        <v>30048.836875</v>
      </c>
      <c r="W620" s="14" t="n">
        <f aca="false">M620</f>
        <v>0</v>
      </c>
      <c r="X620" s="9" t="n">
        <f aca="false">IF(W620=0,0,IF(O620="Booked",N620,W620*AA619))</f>
        <v>0</v>
      </c>
      <c r="Y620" s="14" t="n">
        <f aca="false">IF(I620="Opening",K620,Y619+K620-W620)</f>
        <v>32</v>
      </c>
      <c r="Z620" s="9" t="n">
        <f aca="false">IF(I620="Opening",L620,Z619+L620-X620)</f>
        <v>961562.78</v>
      </c>
      <c r="AA620" s="9" t="n">
        <f aca="false">IF(Y620&gt;0,Z620/Y620,IF(I620="Opening",0,AA619))</f>
        <v>30048.836875</v>
      </c>
      <c r="AB620" s="9" t="n">
        <f aca="false">IF(AND(I620="DO",O620="MA"),S620-N620,0)</f>
        <v>0</v>
      </c>
      <c r="AC620" s="9" t="n">
        <f aca="false">IF(I620="DO",X620-S620,0)</f>
        <v>0</v>
      </c>
      <c r="AD620" s="23" t="n">
        <f aca="false">IF(B621&lt;&gt;B620,1,0)</f>
        <v>0</v>
      </c>
      <c r="AE620" s="14" t="n">
        <f aca="false">IF(I620="Opening",0,AE619+W620)</f>
        <v>35.7</v>
      </c>
      <c r="AF620" s="14" t="n">
        <f aca="false">IF(I620="Opening",K620,AF619)</f>
        <v>46.9</v>
      </c>
      <c r="AG620" s="14" t="n">
        <f aca="false">AG619</f>
        <v>0</v>
      </c>
      <c r="AH620" s="14" t="n">
        <f aca="false">IF(W620=0,0,MAX(0,MIN(AE620,AF620)-MIN(AE620-W620,AF620)))</f>
        <v>0</v>
      </c>
      <c r="AI620" s="14" t="n">
        <f aca="false">IF(W620=0,0,MAX(0,MIN(AE620,AF620+AG620)-MAX(AE620-W620,AF620)))</f>
        <v>0</v>
      </c>
      <c r="AJ620" s="14" t="n">
        <f aca="false">W620-AH620-AI620</f>
        <v>0</v>
      </c>
      <c r="AK620" s="9" t="n">
        <f aca="false">IF(W620=0,0,X620*AH620/W620)</f>
        <v>0</v>
      </c>
      <c r="AL620" s="9" t="n">
        <f aca="false">IF(W620=0,0,X620*AI620/W620)</f>
        <v>0</v>
      </c>
      <c r="AM620" s="9" t="n">
        <f aca="false">X620-AK620-AL620</f>
        <v>0</v>
      </c>
    </row>
    <row r="621" customFormat="false" ht="15" hidden="false" customHeight="false" outlineLevel="0" collapsed="false">
      <c r="A621" s="6" t="n">
        <v>616</v>
      </c>
      <c r="B621" s="74" t="s">
        <v>1005</v>
      </c>
      <c r="C621" s="53" t="str">
        <f aca="false">INDEX(I_Items!$C$5:$C$133,MATCH($B621,I_Items!$A$5:$A$133,0))</f>
        <v>RPA</v>
      </c>
      <c r="D621" s="53" t="str">
        <f aca="false">INDEX(I_Items!$D$5:$D$133,MATCH($B621,I_Items!$A$5:$A$133,0))</f>
        <v>Karkas</v>
      </c>
      <c r="E621" s="53" t="str">
        <f aca="false">INDEX(I_Items!$F$5:$F$133,MATCH($B621,I_Items!$A$5:$A$133,0))</f>
        <v>Frozen</v>
      </c>
      <c r="F621" s="53" t="str">
        <f aca="false">IF(INDEX(I_Items!$E$5:$E$133,MATCH($B621,I_Items!$A$5:$A$133,0))="","",INDEX(I_Items!$E$5:$E$133,MATCH($B621,I_Items!$A$5:$A$133,0)))</f>
        <v>Uk 1.8</v>
      </c>
      <c r="G621" s="76" t="n">
        <v>46248</v>
      </c>
      <c r="H621" s="23" t="n">
        <f aca="false">MONTH(G621)</f>
        <v>8</v>
      </c>
      <c r="I621" s="74" t="s">
        <v>2074</v>
      </c>
      <c r="J621" s="74" t="s">
        <v>1302</v>
      </c>
      <c r="K621" s="10" t="n">
        <v>13.1</v>
      </c>
      <c r="L621" s="8" t="n">
        <v>455949.54</v>
      </c>
      <c r="M621" s="10" t="n">
        <v>0</v>
      </c>
      <c r="N621" s="8" t="n">
        <v>0</v>
      </c>
      <c r="O621" s="74"/>
      <c r="P621" s="74"/>
      <c r="Q621" s="74"/>
      <c r="R621" s="14" t="n">
        <f aca="false">IF(I621="Unbilled",0,M621)</f>
        <v>0</v>
      </c>
      <c r="S621" s="9" t="n">
        <f aca="false">IF(R621=0,0,IF(O621="Booked",N621,R621*V620))</f>
        <v>0</v>
      </c>
      <c r="T621" s="14" t="n">
        <f aca="false">IF(I621="Opening",K621,T620+K621-R621)</f>
        <v>45.1</v>
      </c>
      <c r="U621" s="9" t="n">
        <f aca="false">IF(I621="Opening",L621,U620+L621-S621)</f>
        <v>1417512.32</v>
      </c>
      <c r="V621" s="9" t="n">
        <f aca="false">IF(T621&gt;0,U621/T621,IF(I621="Opening",0,V620))</f>
        <v>31430.4283813747</v>
      </c>
      <c r="W621" s="14" t="n">
        <f aca="false">M621</f>
        <v>0</v>
      </c>
      <c r="X621" s="9" t="n">
        <f aca="false">IF(W621=0,0,IF(O621="Booked",N621,W621*AA620))</f>
        <v>0</v>
      </c>
      <c r="Y621" s="14" t="n">
        <f aca="false">IF(I621="Opening",K621,Y620+K621-W621)</f>
        <v>45.1</v>
      </c>
      <c r="Z621" s="9" t="n">
        <f aca="false">IF(I621="Opening",L621,Z620+L621-X621)</f>
        <v>1417512.32</v>
      </c>
      <c r="AA621" s="9" t="n">
        <f aca="false">IF(Y621&gt;0,Z621/Y621,IF(I621="Opening",0,AA620))</f>
        <v>31430.4283813747</v>
      </c>
      <c r="AB621" s="9" t="n">
        <f aca="false">IF(AND(I621="DO",O621="MA"),S621-N621,0)</f>
        <v>0</v>
      </c>
      <c r="AC621" s="9" t="n">
        <f aca="false">IF(I621="DO",X621-S621,0)</f>
        <v>0</v>
      </c>
      <c r="AD621" s="23" t="n">
        <f aca="false">IF(B622&lt;&gt;B621,1,0)</f>
        <v>0</v>
      </c>
      <c r="AE621" s="14" t="n">
        <f aca="false">IF(I621="Opening",0,AE620+W621)</f>
        <v>35.7</v>
      </c>
      <c r="AF621" s="14" t="n">
        <f aca="false">IF(I621="Opening",K621,AF620)</f>
        <v>46.9</v>
      </c>
      <c r="AG621" s="14" t="n">
        <f aca="false">AG620</f>
        <v>0</v>
      </c>
      <c r="AH621" s="14" t="n">
        <f aca="false">IF(W621=0,0,MAX(0,MIN(AE621,AF621)-MIN(AE621-W621,AF621)))</f>
        <v>0</v>
      </c>
      <c r="AI621" s="14" t="n">
        <f aca="false">IF(W621=0,0,MAX(0,MIN(AE621,AF621+AG621)-MAX(AE621-W621,AF621)))</f>
        <v>0</v>
      </c>
      <c r="AJ621" s="14" t="n">
        <f aca="false">W621-AH621-AI621</f>
        <v>0</v>
      </c>
      <c r="AK621" s="9" t="n">
        <f aca="false">IF(W621=0,0,X621*AH621/W621)</f>
        <v>0</v>
      </c>
      <c r="AL621" s="9" t="n">
        <f aca="false">IF(W621=0,0,X621*AI621/W621)</f>
        <v>0</v>
      </c>
      <c r="AM621" s="9" t="n">
        <f aca="false">X621-AK621-AL621</f>
        <v>0</v>
      </c>
    </row>
    <row r="622" customFormat="false" ht="15" hidden="false" customHeight="false" outlineLevel="0" collapsed="false">
      <c r="A622" s="6" t="n">
        <v>617</v>
      </c>
      <c r="B622" s="74" t="s">
        <v>1005</v>
      </c>
      <c r="C622" s="53" t="str">
        <f aca="false">INDEX(I_Items!$C$5:$C$133,MATCH($B622,I_Items!$A$5:$A$133,0))</f>
        <v>RPA</v>
      </c>
      <c r="D622" s="53" t="str">
        <f aca="false">INDEX(I_Items!$D$5:$D$133,MATCH($B622,I_Items!$A$5:$A$133,0))</f>
        <v>Karkas</v>
      </c>
      <c r="E622" s="53" t="str">
        <f aca="false">INDEX(I_Items!$F$5:$F$133,MATCH($B622,I_Items!$A$5:$A$133,0))</f>
        <v>Frozen</v>
      </c>
      <c r="F622" s="53" t="str">
        <f aca="false">IF(INDEX(I_Items!$E$5:$E$133,MATCH($B622,I_Items!$A$5:$A$133,0))="","",INDEX(I_Items!$E$5:$E$133,MATCH($B622,I_Items!$A$5:$A$133,0)))</f>
        <v>Uk 1.8</v>
      </c>
      <c r="G622" s="76" t="n">
        <v>46265</v>
      </c>
      <c r="H622" s="23" t="n">
        <f aca="false">MONTH(G622)</f>
        <v>8</v>
      </c>
      <c r="I622" s="74" t="s">
        <v>2074</v>
      </c>
      <c r="J622" s="74" t="s">
        <v>1326</v>
      </c>
      <c r="K622" s="10" t="n">
        <v>26.1</v>
      </c>
      <c r="L622" s="8" t="n">
        <v>874264.51</v>
      </c>
      <c r="M622" s="10" t="n">
        <v>0</v>
      </c>
      <c r="N622" s="8" t="n">
        <v>0</v>
      </c>
      <c r="O622" s="74"/>
      <c r="P622" s="74"/>
      <c r="Q622" s="74"/>
      <c r="R622" s="14" t="n">
        <f aca="false">IF(I622="Unbilled",0,M622)</f>
        <v>0</v>
      </c>
      <c r="S622" s="9" t="n">
        <f aca="false">IF(R622=0,0,IF(O622="Booked",N622,R622*V621))</f>
        <v>0</v>
      </c>
      <c r="T622" s="14" t="n">
        <f aca="false">IF(I622="Opening",K622,T621+K622-R622)</f>
        <v>71.2</v>
      </c>
      <c r="U622" s="9" t="n">
        <f aca="false">IF(I622="Opening",L622,U621+L622-S622)</f>
        <v>2291776.83</v>
      </c>
      <c r="V622" s="9" t="n">
        <f aca="false">IF(T622&gt;0,U622/T622,IF(I622="Opening",0,V621))</f>
        <v>32187.8768258427</v>
      </c>
      <c r="W622" s="14" t="n">
        <f aca="false">M622</f>
        <v>0</v>
      </c>
      <c r="X622" s="9" t="n">
        <f aca="false">IF(W622=0,0,IF(O622="Booked",N622,W622*AA621))</f>
        <v>0</v>
      </c>
      <c r="Y622" s="14" t="n">
        <f aca="false">IF(I622="Opening",K622,Y621+K622-W622)</f>
        <v>71.2</v>
      </c>
      <c r="Z622" s="9" t="n">
        <f aca="false">IF(I622="Opening",L622,Z621+L622-X622)</f>
        <v>2291776.83</v>
      </c>
      <c r="AA622" s="9" t="n">
        <f aca="false">IF(Y622&gt;0,Z622/Y622,IF(I622="Opening",0,AA621))</f>
        <v>32187.8768258427</v>
      </c>
      <c r="AB622" s="9" t="n">
        <f aca="false">IF(AND(I622="DO",O622="MA"),S622-N622,0)</f>
        <v>0</v>
      </c>
      <c r="AC622" s="9" t="n">
        <f aca="false">IF(I622="DO",X622-S622,0)</f>
        <v>0</v>
      </c>
      <c r="AD622" s="23" t="n">
        <f aca="false">IF(B623&lt;&gt;B622,1,0)</f>
        <v>1</v>
      </c>
      <c r="AE622" s="14" t="n">
        <f aca="false">IF(I622="Opening",0,AE621+W622)</f>
        <v>35.7</v>
      </c>
      <c r="AF622" s="14" t="n">
        <f aca="false">IF(I622="Opening",K622,AF621)</f>
        <v>46.9</v>
      </c>
      <c r="AG622" s="14" t="n">
        <f aca="false">AG621</f>
        <v>0</v>
      </c>
      <c r="AH622" s="14" t="n">
        <f aca="false">IF(W622=0,0,MAX(0,MIN(AE622,AF622)-MIN(AE622-W622,AF622)))</f>
        <v>0</v>
      </c>
      <c r="AI622" s="14" t="n">
        <f aca="false">IF(W622=0,0,MAX(0,MIN(AE622,AF622+AG622)-MAX(AE622-W622,AF622)))</f>
        <v>0</v>
      </c>
      <c r="AJ622" s="14" t="n">
        <f aca="false">W622-AH622-AI622</f>
        <v>0</v>
      </c>
      <c r="AK622" s="9" t="n">
        <f aca="false">IF(W622=0,0,X622*AH622/W622)</f>
        <v>0</v>
      </c>
      <c r="AL622" s="9" t="n">
        <f aca="false">IF(W622=0,0,X622*AI622/W622)</f>
        <v>0</v>
      </c>
      <c r="AM622" s="9" t="n">
        <f aca="false">X622-AK622-AL622</f>
        <v>0</v>
      </c>
    </row>
    <row r="623" customFormat="false" ht="15" hidden="false" customHeight="false" outlineLevel="0" collapsed="false">
      <c r="A623" s="6" t="n">
        <v>618</v>
      </c>
      <c r="B623" s="74" t="s">
        <v>1006</v>
      </c>
      <c r="C623" s="53" t="str">
        <f aca="false">INDEX(I_Items!$C$5:$C$133,MATCH($B623,I_Items!$A$5:$A$133,0))</f>
        <v>RPA</v>
      </c>
      <c r="D623" s="53" t="str">
        <f aca="false">INDEX(I_Items!$D$5:$D$133,MATCH($B623,I_Items!$A$5:$A$133,0))</f>
        <v>Karkas</v>
      </c>
      <c r="E623" s="53" t="str">
        <f aca="false">INDEX(I_Items!$F$5:$F$133,MATCH($B623,I_Items!$A$5:$A$133,0))</f>
        <v>Frozen</v>
      </c>
      <c r="F623" s="53" t="str">
        <f aca="false">IF(INDEX(I_Items!$E$5:$E$133,MATCH($B623,I_Items!$A$5:$A$133,0))="","",INDEX(I_Items!$E$5:$E$133,MATCH($B623,I_Items!$A$5:$A$133,0)))</f>
        <v>Uk 1.8</v>
      </c>
      <c r="G623" s="76" t="n">
        <v>46204</v>
      </c>
      <c r="H623" s="23" t="n">
        <f aca="false">MONTH(G623)</f>
        <v>7</v>
      </c>
      <c r="I623" s="74" t="s">
        <v>2072</v>
      </c>
      <c r="J623" s="74" t="s">
        <v>2073</v>
      </c>
      <c r="K623" s="10" t="n">
        <v>121.61</v>
      </c>
      <c r="L623" s="8" t="n">
        <v>3231798.72</v>
      </c>
      <c r="M623" s="10" t="n">
        <v>0</v>
      </c>
      <c r="N623" s="8" t="n">
        <v>0</v>
      </c>
      <c r="O623" s="74"/>
      <c r="P623" s="74"/>
      <c r="Q623" s="74"/>
      <c r="R623" s="14" t="n">
        <f aca="false">IF(I623="Unbilled",0,M623)</f>
        <v>0</v>
      </c>
      <c r="S623" s="9" t="n">
        <f aca="false">IF(R623=0,0,IF(O623="Booked",N623,R623*V622))</f>
        <v>0</v>
      </c>
      <c r="T623" s="14" t="n">
        <f aca="false">IF(I623="Opening",K623,T622+K623-R623)</f>
        <v>121.61</v>
      </c>
      <c r="U623" s="9" t="n">
        <f aca="false">IF(I623="Opening",L623,U622+L623-S623)</f>
        <v>3231798.72</v>
      </c>
      <c r="V623" s="9" t="n">
        <f aca="false">IF(T623&gt;0,U623/T623,IF(I623="Opening",0,V622))</f>
        <v>26575.1066524135</v>
      </c>
      <c r="W623" s="14" t="n">
        <f aca="false">M623</f>
        <v>0</v>
      </c>
      <c r="X623" s="9" t="n">
        <f aca="false">IF(W623=0,0,IF(O623="Booked",N623,W623*AA622))</f>
        <v>0</v>
      </c>
      <c r="Y623" s="14" t="n">
        <f aca="false">IF(I623="Opening",K623,Y622+K623-W623)</f>
        <v>121.61</v>
      </c>
      <c r="Z623" s="9" t="n">
        <f aca="false">IF(I623="Opening",L623,Z622+L623-X623)</f>
        <v>3231798.72</v>
      </c>
      <c r="AA623" s="9" t="n">
        <f aca="false">IF(Y623&gt;0,Z623/Y623,IF(I623="Opening",0,AA622))</f>
        <v>26575.1066524135</v>
      </c>
      <c r="AB623" s="9" t="n">
        <f aca="false">IF(AND(I623="DO",O623="MA"),S623-N623,0)</f>
        <v>0</v>
      </c>
      <c r="AC623" s="9" t="n">
        <f aca="false">IF(I623="DO",X623-S623,0)</f>
        <v>0</v>
      </c>
      <c r="AD623" s="23" t="n">
        <f aca="false">IF(B624&lt;&gt;B623,1,0)</f>
        <v>0</v>
      </c>
      <c r="AE623" s="14" t="n">
        <f aca="false">IF(I623="Opening",0,AE622+W623)</f>
        <v>0</v>
      </c>
      <c r="AF623" s="14" t="n">
        <f aca="false">IF(I623="Opening",K623,AF622)</f>
        <v>121.61</v>
      </c>
      <c r="AG623" s="14" t="n">
        <f aca="false">SUMIFS($K$6:$K$1110,$B$6:$B$1110,B623,$H$6:$H$1110,7,$I$6:$I$1110,"&lt;&gt;Opening")</f>
        <v>0</v>
      </c>
      <c r="AH623" s="14" t="n">
        <f aca="false">IF(W623=0,0,MAX(0,MIN(AE623,AF623)-MIN(AE623-W623,AF623)))</f>
        <v>0</v>
      </c>
      <c r="AI623" s="14" t="n">
        <f aca="false">IF(W623=0,0,MAX(0,MIN(AE623,AF623+AG623)-MAX(AE623-W623,AF623)))</f>
        <v>0</v>
      </c>
      <c r="AJ623" s="14" t="n">
        <f aca="false">W623-AH623-AI623</f>
        <v>0</v>
      </c>
      <c r="AK623" s="9" t="n">
        <f aca="false">IF(W623=0,0,X623*AH623/W623)</f>
        <v>0</v>
      </c>
      <c r="AL623" s="9" t="n">
        <f aca="false">IF(W623=0,0,X623*AI623/W623)</f>
        <v>0</v>
      </c>
      <c r="AM623" s="9" t="n">
        <f aca="false">X623-AK623-AL623</f>
        <v>0</v>
      </c>
    </row>
    <row r="624" customFormat="false" ht="15" hidden="false" customHeight="false" outlineLevel="0" collapsed="false">
      <c r="A624" s="6" t="n">
        <v>619</v>
      </c>
      <c r="B624" s="74" t="s">
        <v>1006</v>
      </c>
      <c r="C624" s="53" t="str">
        <f aca="false">INDEX(I_Items!$C$5:$C$133,MATCH($B624,I_Items!$A$5:$A$133,0))</f>
        <v>RPA</v>
      </c>
      <c r="D624" s="53" t="str">
        <f aca="false">INDEX(I_Items!$D$5:$D$133,MATCH($B624,I_Items!$A$5:$A$133,0))</f>
        <v>Karkas</v>
      </c>
      <c r="E624" s="53" t="str">
        <f aca="false">INDEX(I_Items!$F$5:$F$133,MATCH($B624,I_Items!$A$5:$A$133,0))</f>
        <v>Frozen</v>
      </c>
      <c r="F624" s="53" t="str">
        <f aca="false">IF(INDEX(I_Items!$E$5:$E$133,MATCH($B624,I_Items!$A$5:$A$133,0))="","",INDEX(I_Items!$E$5:$E$133,MATCH($B624,I_Items!$A$5:$A$133,0)))</f>
        <v>Uk 1.8</v>
      </c>
      <c r="G624" s="76" t="n">
        <v>46244</v>
      </c>
      <c r="H624" s="23" t="n">
        <f aca="false">MONTH(G624)</f>
        <v>8</v>
      </c>
      <c r="I624" s="74" t="s">
        <v>2074</v>
      </c>
      <c r="J624" s="74" t="s">
        <v>1298</v>
      </c>
      <c r="K624" s="10" t="n">
        <v>553.1</v>
      </c>
      <c r="L624" s="8" t="n">
        <v>20981424.66</v>
      </c>
      <c r="M624" s="10" t="n">
        <v>0</v>
      </c>
      <c r="N624" s="8" t="n">
        <v>0</v>
      </c>
      <c r="O624" s="74"/>
      <c r="P624" s="74"/>
      <c r="Q624" s="74"/>
      <c r="R624" s="14" t="n">
        <f aca="false">IF(I624="Unbilled",0,M624)</f>
        <v>0</v>
      </c>
      <c r="S624" s="9" t="n">
        <f aca="false">IF(R624=0,0,IF(O624="Booked",N624,R624*V623))</f>
        <v>0</v>
      </c>
      <c r="T624" s="14" t="n">
        <f aca="false">IF(I624="Opening",K624,T623+K624-R624)</f>
        <v>674.71</v>
      </c>
      <c r="U624" s="9" t="n">
        <f aca="false">IF(I624="Opening",L624,U623+L624-S624)</f>
        <v>24213223.38</v>
      </c>
      <c r="V624" s="9" t="n">
        <f aca="false">IF(T624&gt;0,U624/T624,IF(I624="Opening",0,V623))</f>
        <v>35886.860102859</v>
      </c>
      <c r="W624" s="14" t="n">
        <f aca="false">M624</f>
        <v>0</v>
      </c>
      <c r="X624" s="9" t="n">
        <f aca="false">IF(W624=0,0,IF(O624="Booked",N624,W624*AA623))</f>
        <v>0</v>
      </c>
      <c r="Y624" s="14" t="n">
        <f aca="false">IF(I624="Opening",K624,Y623+K624-W624)</f>
        <v>674.71</v>
      </c>
      <c r="Z624" s="9" t="n">
        <f aca="false">IF(I624="Opening",L624,Z623+L624-X624)</f>
        <v>24213223.38</v>
      </c>
      <c r="AA624" s="9" t="n">
        <f aca="false">IF(Y624&gt;0,Z624/Y624,IF(I624="Opening",0,AA623))</f>
        <v>35886.860102859</v>
      </c>
      <c r="AB624" s="9" t="n">
        <f aca="false">IF(AND(I624="DO",O624="MA"),S624-N624,0)</f>
        <v>0</v>
      </c>
      <c r="AC624" s="9" t="n">
        <f aca="false">IF(I624="DO",X624-S624,0)</f>
        <v>0</v>
      </c>
      <c r="AD624" s="23" t="n">
        <f aca="false">IF(B625&lt;&gt;B624,1,0)</f>
        <v>0</v>
      </c>
      <c r="AE624" s="14" t="n">
        <f aca="false">IF(I624="Opening",0,AE623+W624)</f>
        <v>0</v>
      </c>
      <c r="AF624" s="14" t="n">
        <f aca="false">IF(I624="Opening",K624,AF623)</f>
        <v>121.61</v>
      </c>
      <c r="AG624" s="14" t="n">
        <f aca="false">AG623</f>
        <v>0</v>
      </c>
      <c r="AH624" s="14" t="n">
        <f aca="false">IF(W624=0,0,MAX(0,MIN(AE624,AF624)-MIN(AE624-W624,AF624)))</f>
        <v>0</v>
      </c>
      <c r="AI624" s="14" t="n">
        <f aca="false">IF(W624=0,0,MAX(0,MIN(AE624,AF624+AG624)-MAX(AE624-W624,AF624)))</f>
        <v>0</v>
      </c>
      <c r="AJ624" s="14" t="n">
        <f aca="false">W624-AH624-AI624</f>
        <v>0</v>
      </c>
      <c r="AK624" s="9" t="n">
        <f aca="false">IF(W624=0,0,X624*AH624/W624)</f>
        <v>0</v>
      </c>
      <c r="AL624" s="9" t="n">
        <f aca="false">IF(W624=0,0,X624*AI624/W624)</f>
        <v>0</v>
      </c>
      <c r="AM624" s="9" t="n">
        <f aca="false">X624-AK624-AL624</f>
        <v>0</v>
      </c>
    </row>
    <row r="625" customFormat="false" ht="15" hidden="false" customHeight="false" outlineLevel="0" collapsed="false">
      <c r="A625" s="6" t="n">
        <v>620</v>
      </c>
      <c r="B625" s="74" t="s">
        <v>1006</v>
      </c>
      <c r="C625" s="53" t="str">
        <f aca="false">INDEX(I_Items!$C$5:$C$133,MATCH($B625,I_Items!$A$5:$A$133,0))</f>
        <v>RPA</v>
      </c>
      <c r="D625" s="53" t="str">
        <f aca="false">INDEX(I_Items!$D$5:$D$133,MATCH($B625,I_Items!$A$5:$A$133,0))</f>
        <v>Karkas</v>
      </c>
      <c r="E625" s="53" t="str">
        <f aca="false">INDEX(I_Items!$F$5:$F$133,MATCH($B625,I_Items!$A$5:$A$133,0))</f>
        <v>Frozen</v>
      </c>
      <c r="F625" s="53" t="str">
        <f aca="false">IF(INDEX(I_Items!$E$5:$E$133,MATCH($B625,I_Items!$A$5:$A$133,0))="","",INDEX(I_Items!$E$5:$E$133,MATCH($B625,I_Items!$A$5:$A$133,0)))</f>
        <v>Uk 1.8</v>
      </c>
      <c r="G625" s="76" t="n">
        <v>46248</v>
      </c>
      <c r="H625" s="23" t="n">
        <f aca="false">MONTH(G625)</f>
        <v>8</v>
      </c>
      <c r="I625" s="74" t="s">
        <v>2074</v>
      </c>
      <c r="J625" s="74" t="s">
        <v>1302</v>
      </c>
      <c r="K625" s="10" t="n">
        <v>99.6</v>
      </c>
      <c r="L625" s="8" t="n">
        <v>3813269.58</v>
      </c>
      <c r="M625" s="10" t="n">
        <v>0</v>
      </c>
      <c r="N625" s="8" t="n">
        <v>0</v>
      </c>
      <c r="O625" s="74"/>
      <c r="P625" s="74"/>
      <c r="Q625" s="74"/>
      <c r="R625" s="14" t="n">
        <f aca="false">IF(I625="Unbilled",0,M625)</f>
        <v>0</v>
      </c>
      <c r="S625" s="9" t="n">
        <f aca="false">IF(R625=0,0,IF(O625="Booked",N625,R625*V624))</f>
        <v>0</v>
      </c>
      <c r="T625" s="14" t="n">
        <f aca="false">IF(I625="Opening",K625,T624+K625-R625)</f>
        <v>774.31</v>
      </c>
      <c r="U625" s="9" t="n">
        <f aca="false">IF(I625="Opening",L625,U624+L625-S625)</f>
        <v>28026492.96</v>
      </c>
      <c r="V625" s="9" t="n">
        <f aca="false">IF(T625&gt;0,U625/T625,IF(I625="Opening",0,V624))</f>
        <v>36195.4423422144</v>
      </c>
      <c r="W625" s="14" t="n">
        <f aca="false">M625</f>
        <v>0</v>
      </c>
      <c r="X625" s="9" t="n">
        <f aca="false">IF(W625=0,0,IF(O625="Booked",N625,W625*AA624))</f>
        <v>0</v>
      </c>
      <c r="Y625" s="14" t="n">
        <f aca="false">IF(I625="Opening",K625,Y624+K625-W625)</f>
        <v>774.31</v>
      </c>
      <c r="Z625" s="9" t="n">
        <f aca="false">IF(I625="Opening",L625,Z624+L625-X625)</f>
        <v>28026492.96</v>
      </c>
      <c r="AA625" s="9" t="n">
        <f aca="false">IF(Y625&gt;0,Z625/Y625,IF(I625="Opening",0,AA624))</f>
        <v>36195.4423422144</v>
      </c>
      <c r="AB625" s="9" t="n">
        <f aca="false">IF(AND(I625="DO",O625="MA"),S625-N625,0)</f>
        <v>0</v>
      </c>
      <c r="AC625" s="9" t="n">
        <f aca="false">IF(I625="DO",X625-S625,0)</f>
        <v>0</v>
      </c>
      <c r="AD625" s="23" t="n">
        <f aca="false">IF(B626&lt;&gt;B625,1,0)</f>
        <v>0</v>
      </c>
      <c r="AE625" s="14" t="n">
        <f aca="false">IF(I625="Opening",0,AE624+W625)</f>
        <v>0</v>
      </c>
      <c r="AF625" s="14" t="n">
        <f aca="false">IF(I625="Opening",K625,AF624)</f>
        <v>121.61</v>
      </c>
      <c r="AG625" s="14" t="n">
        <f aca="false">AG624</f>
        <v>0</v>
      </c>
      <c r="AH625" s="14" t="n">
        <f aca="false">IF(W625=0,0,MAX(0,MIN(AE625,AF625)-MIN(AE625-W625,AF625)))</f>
        <v>0</v>
      </c>
      <c r="AI625" s="14" t="n">
        <f aca="false">IF(W625=0,0,MAX(0,MIN(AE625,AF625+AG625)-MAX(AE625-W625,AF625)))</f>
        <v>0</v>
      </c>
      <c r="AJ625" s="14" t="n">
        <f aca="false">W625-AH625-AI625</f>
        <v>0</v>
      </c>
      <c r="AK625" s="9" t="n">
        <f aca="false">IF(W625=0,0,X625*AH625/W625)</f>
        <v>0</v>
      </c>
      <c r="AL625" s="9" t="n">
        <f aca="false">IF(W625=0,0,X625*AI625/W625)</f>
        <v>0</v>
      </c>
      <c r="AM625" s="9" t="n">
        <f aca="false">X625-AK625-AL625</f>
        <v>0</v>
      </c>
    </row>
    <row r="626" customFormat="false" ht="15" hidden="false" customHeight="false" outlineLevel="0" collapsed="false">
      <c r="A626" s="6" t="n">
        <v>621</v>
      </c>
      <c r="B626" s="74" t="s">
        <v>1006</v>
      </c>
      <c r="C626" s="53" t="str">
        <f aca="false">INDEX(I_Items!$C$5:$C$133,MATCH($B626,I_Items!$A$5:$A$133,0))</f>
        <v>RPA</v>
      </c>
      <c r="D626" s="53" t="str">
        <f aca="false">INDEX(I_Items!$D$5:$D$133,MATCH($B626,I_Items!$A$5:$A$133,0))</f>
        <v>Karkas</v>
      </c>
      <c r="E626" s="53" t="str">
        <f aca="false">INDEX(I_Items!$F$5:$F$133,MATCH($B626,I_Items!$A$5:$A$133,0))</f>
        <v>Frozen</v>
      </c>
      <c r="F626" s="53" t="str">
        <f aca="false">IF(INDEX(I_Items!$E$5:$E$133,MATCH($B626,I_Items!$A$5:$A$133,0))="","",INDEX(I_Items!$E$5:$E$133,MATCH($B626,I_Items!$A$5:$A$133,0)))</f>
        <v>Uk 1.8</v>
      </c>
      <c r="G626" s="76" t="n">
        <v>46253</v>
      </c>
      <c r="H626" s="23" t="n">
        <f aca="false">MONTH(G626)</f>
        <v>8</v>
      </c>
      <c r="I626" s="74" t="s">
        <v>2074</v>
      </c>
      <c r="J626" s="74" t="s">
        <v>1305</v>
      </c>
      <c r="K626" s="10" t="n">
        <v>16.7</v>
      </c>
      <c r="L626" s="8" t="n">
        <v>631037.71</v>
      </c>
      <c r="M626" s="10" t="n">
        <v>0</v>
      </c>
      <c r="N626" s="8" t="n">
        <v>0</v>
      </c>
      <c r="O626" s="74"/>
      <c r="P626" s="74"/>
      <c r="Q626" s="74"/>
      <c r="R626" s="14" t="n">
        <f aca="false">IF(I626="Unbilled",0,M626)</f>
        <v>0</v>
      </c>
      <c r="S626" s="9" t="n">
        <f aca="false">IF(R626=0,0,IF(O626="Booked",N626,R626*V625))</f>
        <v>0</v>
      </c>
      <c r="T626" s="14" t="n">
        <f aca="false">IF(I626="Opening",K626,T625+K626-R626)</f>
        <v>791.01</v>
      </c>
      <c r="U626" s="9" t="n">
        <f aca="false">IF(I626="Opening",L626,U625+L626-S626)</f>
        <v>28657530.67</v>
      </c>
      <c r="V626" s="9" t="n">
        <f aca="false">IF(T626&gt;0,U626/T626,IF(I626="Opening",0,V625))</f>
        <v>36229.0371423876</v>
      </c>
      <c r="W626" s="14" t="n">
        <f aca="false">M626</f>
        <v>0</v>
      </c>
      <c r="X626" s="9" t="n">
        <f aca="false">IF(W626=0,0,IF(O626="Booked",N626,W626*AA625))</f>
        <v>0</v>
      </c>
      <c r="Y626" s="14" t="n">
        <f aca="false">IF(I626="Opening",K626,Y625+K626-W626)</f>
        <v>791.01</v>
      </c>
      <c r="Z626" s="9" t="n">
        <f aca="false">IF(I626="Opening",L626,Z625+L626-X626)</f>
        <v>28657530.67</v>
      </c>
      <c r="AA626" s="9" t="n">
        <f aca="false">IF(Y626&gt;0,Z626/Y626,IF(I626="Opening",0,AA625))</f>
        <v>36229.0371423876</v>
      </c>
      <c r="AB626" s="9" t="n">
        <f aca="false">IF(AND(I626="DO",O626="MA"),S626-N626,0)</f>
        <v>0</v>
      </c>
      <c r="AC626" s="9" t="n">
        <f aca="false">IF(I626="DO",X626-S626,0)</f>
        <v>0</v>
      </c>
      <c r="AD626" s="23" t="n">
        <f aca="false">IF(B627&lt;&gt;B626,1,0)</f>
        <v>0</v>
      </c>
      <c r="AE626" s="14" t="n">
        <f aca="false">IF(I626="Opening",0,AE625+W626)</f>
        <v>0</v>
      </c>
      <c r="AF626" s="14" t="n">
        <f aca="false">IF(I626="Opening",K626,AF625)</f>
        <v>121.61</v>
      </c>
      <c r="AG626" s="14" t="n">
        <f aca="false">AG625</f>
        <v>0</v>
      </c>
      <c r="AH626" s="14" t="n">
        <f aca="false">IF(W626=0,0,MAX(0,MIN(AE626,AF626)-MIN(AE626-W626,AF626)))</f>
        <v>0</v>
      </c>
      <c r="AI626" s="14" t="n">
        <f aca="false">IF(W626=0,0,MAX(0,MIN(AE626,AF626+AG626)-MAX(AE626-W626,AF626)))</f>
        <v>0</v>
      </c>
      <c r="AJ626" s="14" t="n">
        <f aca="false">W626-AH626-AI626</f>
        <v>0</v>
      </c>
      <c r="AK626" s="9" t="n">
        <f aca="false">IF(W626=0,0,X626*AH626/W626)</f>
        <v>0</v>
      </c>
      <c r="AL626" s="9" t="n">
        <f aca="false">IF(W626=0,0,X626*AI626/W626)</f>
        <v>0</v>
      </c>
      <c r="AM626" s="9" t="n">
        <f aca="false">X626-AK626-AL626</f>
        <v>0</v>
      </c>
    </row>
    <row r="627" customFormat="false" ht="15" hidden="false" customHeight="false" outlineLevel="0" collapsed="false">
      <c r="A627" s="6" t="n">
        <v>622</v>
      </c>
      <c r="B627" s="74" t="s">
        <v>1006</v>
      </c>
      <c r="C627" s="53" t="str">
        <f aca="false">INDEX(I_Items!$C$5:$C$133,MATCH($B627,I_Items!$A$5:$A$133,0))</f>
        <v>RPA</v>
      </c>
      <c r="D627" s="53" t="str">
        <f aca="false">INDEX(I_Items!$D$5:$D$133,MATCH($B627,I_Items!$A$5:$A$133,0))</f>
        <v>Karkas</v>
      </c>
      <c r="E627" s="53" t="str">
        <f aca="false">INDEX(I_Items!$F$5:$F$133,MATCH($B627,I_Items!$A$5:$A$133,0))</f>
        <v>Frozen</v>
      </c>
      <c r="F627" s="53" t="str">
        <f aca="false">IF(INDEX(I_Items!$E$5:$E$133,MATCH($B627,I_Items!$A$5:$A$133,0))="","",INDEX(I_Items!$E$5:$E$133,MATCH($B627,I_Items!$A$5:$A$133,0)))</f>
        <v>Uk 1.8</v>
      </c>
      <c r="G627" s="76" t="n">
        <v>46260</v>
      </c>
      <c r="H627" s="23" t="n">
        <f aca="false">MONTH(G627)</f>
        <v>8</v>
      </c>
      <c r="I627" s="74" t="s">
        <v>2074</v>
      </c>
      <c r="J627" s="74" t="s">
        <v>1317</v>
      </c>
      <c r="K627" s="10" t="n">
        <v>22.4</v>
      </c>
      <c r="L627" s="8" t="n">
        <v>843794.44</v>
      </c>
      <c r="M627" s="10" t="n">
        <v>0</v>
      </c>
      <c r="N627" s="8" t="n">
        <v>0</v>
      </c>
      <c r="O627" s="74"/>
      <c r="P627" s="74"/>
      <c r="Q627" s="74"/>
      <c r="R627" s="14" t="n">
        <f aca="false">IF(I627="Unbilled",0,M627)</f>
        <v>0</v>
      </c>
      <c r="S627" s="9" t="n">
        <f aca="false">IF(R627=0,0,IF(O627="Booked",N627,R627*V626))</f>
        <v>0</v>
      </c>
      <c r="T627" s="14" t="n">
        <f aca="false">IF(I627="Opening",K627,T626+K627-R627)</f>
        <v>813.41</v>
      </c>
      <c r="U627" s="9" t="n">
        <f aca="false">IF(I627="Opening",L627,U626+L627-S627)</f>
        <v>29501325.11</v>
      </c>
      <c r="V627" s="9" t="n">
        <f aca="false">IF(T627&gt;0,U627/T627,IF(I627="Opening",0,V626))</f>
        <v>36268.70226577</v>
      </c>
      <c r="W627" s="14" t="n">
        <f aca="false">M627</f>
        <v>0</v>
      </c>
      <c r="X627" s="9" t="n">
        <f aca="false">IF(W627=0,0,IF(O627="Booked",N627,W627*AA626))</f>
        <v>0</v>
      </c>
      <c r="Y627" s="14" t="n">
        <f aca="false">IF(I627="Opening",K627,Y626+K627-W627)</f>
        <v>813.41</v>
      </c>
      <c r="Z627" s="9" t="n">
        <f aca="false">IF(I627="Opening",L627,Z626+L627-X627)</f>
        <v>29501325.11</v>
      </c>
      <c r="AA627" s="9" t="n">
        <f aca="false">IF(Y627&gt;0,Z627/Y627,IF(I627="Opening",0,AA626))</f>
        <v>36268.70226577</v>
      </c>
      <c r="AB627" s="9" t="n">
        <f aca="false">IF(AND(I627="DO",O627="MA"),S627-N627,0)</f>
        <v>0</v>
      </c>
      <c r="AC627" s="9" t="n">
        <f aca="false">IF(I627="DO",X627-S627,0)</f>
        <v>0</v>
      </c>
      <c r="AD627" s="23" t="n">
        <f aca="false">IF(B628&lt;&gt;B627,1,0)</f>
        <v>0</v>
      </c>
      <c r="AE627" s="14" t="n">
        <f aca="false">IF(I627="Opening",0,AE626+W627)</f>
        <v>0</v>
      </c>
      <c r="AF627" s="14" t="n">
        <f aca="false">IF(I627="Opening",K627,AF626)</f>
        <v>121.61</v>
      </c>
      <c r="AG627" s="14" t="n">
        <f aca="false">AG626</f>
        <v>0</v>
      </c>
      <c r="AH627" s="14" t="n">
        <f aca="false">IF(W627=0,0,MAX(0,MIN(AE627,AF627)-MIN(AE627-W627,AF627)))</f>
        <v>0</v>
      </c>
      <c r="AI627" s="14" t="n">
        <f aca="false">IF(W627=0,0,MAX(0,MIN(AE627,AF627+AG627)-MAX(AE627-W627,AF627)))</f>
        <v>0</v>
      </c>
      <c r="AJ627" s="14" t="n">
        <f aca="false">W627-AH627-AI627</f>
        <v>0</v>
      </c>
      <c r="AK627" s="9" t="n">
        <f aca="false">IF(W627=0,0,X627*AH627/W627)</f>
        <v>0</v>
      </c>
      <c r="AL627" s="9" t="n">
        <f aca="false">IF(W627=0,0,X627*AI627/W627)</f>
        <v>0</v>
      </c>
      <c r="AM627" s="9" t="n">
        <f aca="false">X627-AK627-AL627</f>
        <v>0</v>
      </c>
    </row>
    <row r="628" customFormat="false" ht="15" hidden="false" customHeight="false" outlineLevel="0" collapsed="false">
      <c r="A628" s="6" t="n">
        <v>623</v>
      </c>
      <c r="B628" s="74" t="s">
        <v>1006</v>
      </c>
      <c r="C628" s="53" t="str">
        <f aca="false">INDEX(I_Items!$C$5:$C$133,MATCH($B628,I_Items!$A$5:$A$133,0))</f>
        <v>RPA</v>
      </c>
      <c r="D628" s="53" t="str">
        <f aca="false">INDEX(I_Items!$D$5:$D$133,MATCH($B628,I_Items!$A$5:$A$133,0))</f>
        <v>Karkas</v>
      </c>
      <c r="E628" s="53" t="str">
        <f aca="false">INDEX(I_Items!$F$5:$F$133,MATCH($B628,I_Items!$A$5:$A$133,0))</f>
        <v>Frozen</v>
      </c>
      <c r="F628" s="53" t="str">
        <f aca="false">IF(INDEX(I_Items!$E$5:$E$133,MATCH($B628,I_Items!$A$5:$A$133,0))="","",INDEX(I_Items!$E$5:$E$133,MATCH($B628,I_Items!$A$5:$A$133,0)))</f>
        <v>Uk 1.8</v>
      </c>
      <c r="G628" s="76" t="n">
        <v>46261</v>
      </c>
      <c r="H628" s="23" t="n">
        <f aca="false">MONTH(G628)</f>
        <v>8</v>
      </c>
      <c r="I628" s="74" t="s">
        <v>2074</v>
      </c>
      <c r="J628" s="74" t="s">
        <v>1320</v>
      </c>
      <c r="K628" s="10" t="n">
        <v>5.6</v>
      </c>
      <c r="L628" s="8" t="n">
        <v>208232.32</v>
      </c>
      <c r="M628" s="10" t="n">
        <v>0</v>
      </c>
      <c r="N628" s="8" t="n">
        <v>0</v>
      </c>
      <c r="O628" s="74"/>
      <c r="P628" s="74"/>
      <c r="Q628" s="74"/>
      <c r="R628" s="14" t="n">
        <f aca="false">IF(I628="Unbilled",0,M628)</f>
        <v>0</v>
      </c>
      <c r="S628" s="9" t="n">
        <f aca="false">IF(R628=0,0,IF(O628="Booked",N628,R628*V627))</f>
        <v>0</v>
      </c>
      <c r="T628" s="14" t="n">
        <f aca="false">IF(I628="Opening",K628,T627+K628-R628)</f>
        <v>819.01</v>
      </c>
      <c r="U628" s="9" t="n">
        <f aca="false">IF(I628="Opening",L628,U627+L628-S628)</f>
        <v>29709557.43</v>
      </c>
      <c r="V628" s="9" t="n">
        <f aca="false">IF(T628&gt;0,U628/T628,IF(I628="Opening",0,V627))</f>
        <v>36274.962979695</v>
      </c>
      <c r="W628" s="14" t="n">
        <f aca="false">M628</f>
        <v>0</v>
      </c>
      <c r="X628" s="9" t="n">
        <f aca="false">IF(W628=0,0,IF(O628="Booked",N628,W628*AA627))</f>
        <v>0</v>
      </c>
      <c r="Y628" s="14" t="n">
        <f aca="false">IF(I628="Opening",K628,Y627+K628-W628)</f>
        <v>819.01</v>
      </c>
      <c r="Z628" s="9" t="n">
        <f aca="false">IF(I628="Opening",L628,Z627+L628-X628)</f>
        <v>29709557.43</v>
      </c>
      <c r="AA628" s="9" t="n">
        <f aca="false">IF(Y628&gt;0,Z628/Y628,IF(I628="Opening",0,AA627))</f>
        <v>36274.962979695</v>
      </c>
      <c r="AB628" s="9" t="n">
        <f aca="false">IF(AND(I628="DO",O628="MA"),S628-N628,0)</f>
        <v>0</v>
      </c>
      <c r="AC628" s="9" t="n">
        <f aca="false">IF(I628="DO",X628-S628,0)</f>
        <v>0</v>
      </c>
      <c r="AD628" s="23" t="n">
        <f aca="false">IF(B629&lt;&gt;B628,1,0)</f>
        <v>0</v>
      </c>
      <c r="AE628" s="14" t="n">
        <f aca="false">IF(I628="Opening",0,AE627+W628)</f>
        <v>0</v>
      </c>
      <c r="AF628" s="14" t="n">
        <f aca="false">IF(I628="Opening",K628,AF627)</f>
        <v>121.61</v>
      </c>
      <c r="AG628" s="14" t="n">
        <f aca="false">AG627</f>
        <v>0</v>
      </c>
      <c r="AH628" s="14" t="n">
        <f aca="false">IF(W628=0,0,MAX(0,MIN(AE628,AF628)-MIN(AE628-W628,AF628)))</f>
        <v>0</v>
      </c>
      <c r="AI628" s="14" t="n">
        <f aca="false">IF(W628=0,0,MAX(0,MIN(AE628,AF628+AG628)-MAX(AE628-W628,AF628)))</f>
        <v>0</v>
      </c>
      <c r="AJ628" s="14" t="n">
        <f aca="false">W628-AH628-AI628</f>
        <v>0</v>
      </c>
      <c r="AK628" s="9" t="n">
        <f aca="false">IF(W628=0,0,X628*AH628/W628)</f>
        <v>0</v>
      </c>
      <c r="AL628" s="9" t="n">
        <f aca="false">IF(W628=0,0,X628*AI628/W628)</f>
        <v>0</v>
      </c>
      <c r="AM628" s="9" t="n">
        <f aca="false">X628-AK628-AL628</f>
        <v>0</v>
      </c>
    </row>
    <row r="629" customFormat="false" ht="15" hidden="false" customHeight="false" outlineLevel="0" collapsed="false">
      <c r="A629" s="6" t="n">
        <v>624</v>
      </c>
      <c r="B629" s="74" t="s">
        <v>1006</v>
      </c>
      <c r="C629" s="53" t="str">
        <f aca="false">INDEX(I_Items!$C$5:$C$133,MATCH($B629,I_Items!$A$5:$A$133,0))</f>
        <v>RPA</v>
      </c>
      <c r="D629" s="53" t="str">
        <f aca="false">INDEX(I_Items!$D$5:$D$133,MATCH($B629,I_Items!$A$5:$A$133,0))</f>
        <v>Karkas</v>
      </c>
      <c r="E629" s="53" t="str">
        <f aca="false">INDEX(I_Items!$F$5:$F$133,MATCH($B629,I_Items!$A$5:$A$133,0))</f>
        <v>Frozen</v>
      </c>
      <c r="F629" s="53" t="str">
        <f aca="false">IF(INDEX(I_Items!$E$5:$E$133,MATCH($B629,I_Items!$A$5:$A$133,0))="","",INDEX(I_Items!$E$5:$E$133,MATCH($B629,I_Items!$A$5:$A$133,0)))</f>
        <v>Uk 1.8</v>
      </c>
      <c r="G629" s="76" t="n">
        <v>46262</v>
      </c>
      <c r="H629" s="23" t="n">
        <f aca="false">MONTH(G629)</f>
        <v>8</v>
      </c>
      <c r="I629" s="74" t="s">
        <v>2074</v>
      </c>
      <c r="J629" s="74" t="s">
        <v>1323</v>
      </c>
      <c r="K629" s="10" t="n">
        <v>22.5</v>
      </c>
      <c r="L629" s="8" t="n">
        <v>843566.69</v>
      </c>
      <c r="M629" s="10" t="n">
        <v>0</v>
      </c>
      <c r="N629" s="8" t="n">
        <v>0</v>
      </c>
      <c r="O629" s="74"/>
      <c r="P629" s="74"/>
      <c r="Q629" s="74"/>
      <c r="R629" s="14" t="n">
        <f aca="false">IF(I629="Unbilled",0,M629)</f>
        <v>0</v>
      </c>
      <c r="S629" s="9" t="n">
        <f aca="false">IF(R629=0,0,IF(O629="Booked",N629,R629*V628))</f>
        <v>0</v>
      </c>
      <c r="T629" s="14" t="n">
        <f aca="false">IF(I629="Opening",K629,T628+K629-R629)</f>
        <v>841.51</v>
      </c>
      <c r="U629" s="9" t="n">
        <f aca="false">IF(I629="Opening",L629,U628+L629-S629)</f>
        <v>30553124.12</v>
      </c>
      <c r="V629" s="9" t="n">
        <f aca="false">IF(T629&gt;0,U629/T629,IF(I629="Opening",0,V628))</f>
        <v>36307.4997563903</v>
      </c>
      <c r="W629" s="14" t="n">
        <f aca="false">M629</f>
        <v>0</v>
      </c>
      <c r="X629" s="9" t="n">
        <f aca="false">IF(W629=0,0,IF(O629="Booked",N629,W629*AA628))</f>
        <v>0</v>
      </c>
      <c r="Y629" s="14" t="n">
        <f aca="false">IF(I629="Opening",K629,Y628+K629-W629)</f>
        <v>841.51</v>
      </c>
      <c r="Z629" s="9" t="n">
        <f aca="false">IF(I629="Opening",L629,Z628+L629-X629)</f>
        <v>30553124.12</v>
      </c>
      <c r="AA629" s="9" t="n">
        <f aca="false">IF(Y629&gt;0,Z629/Y629,IF(I629="Opening",0,AA628))</f>
        <v>36307.4997563903</v>
      </c>
      <c r="AB629" s="9" t="n">
        <f aca="false">IF(AND(I629="DO",O629="MA"),S629-N629,0)</f>
        <v>0</v>
      </c>
      <c r="AC629" s="9" t="n">
        <f aca="false">IF(I629="DO",X629-S629,0)</f>
        <v>0</v>
      </c>
      <c r="AD629" s="23" t="n">
        <f aca="false">IF(B630&lt;&gt;B629,1,0)</f>
        <v>0</v>
      </c>
      <c r="AE629" s="14" t="n">
        <f aca="false">IF(I629="Opening",0,AE628+W629)</f>
        <v>0</v>
      </c>
      <c r="AF629" s="14" t="n">
        <f aca="false">IF(I629="Opening",K629,AF628)</f>
        <v>121.61</v>
      </c>
      <c r="AG629" s="14" t="n">
        <f aca="false">AG628</f>
        <v>0</v>
      </c>
      <c r="AH629" s="14" t="n">
        <f aca="false">IF(W629=0,0,MAX(0,MIN(AE629,AF629)-MIN(AE629-W629,AF629)))</f>
        <v>0</v>
      </c>
      <c r="AI629" s="14" t="n">
        <f aca="false">IF(W629=0,0,MAX(0,MIN(AE629,AF629+AG629)-MAX(AE629-W629,AF629)))</f>
        <v>0</v>
      </c>
      <c r="AJ629" s="14" t="n">
        <f aca="false">W629-AH629-AI629</f>
        <v>0</v>
      </c>
      <c r="AK629" s="9" t="n">
        <f aca="false">IF(W629=0,0,X629*AH629/W629)</f>
        <v>0</v>
      </c>
      <c r="AL629" s="9" t="n">
        <f aca="false">IF(W629=0,0,X629*AI629/W629)</f>
        <v>0</v>
      </c>
      <c r="AM629" s="9" t="n">
        <f aca="false">X629-AK629-AL629</f>
        <v>0</v>
      </c>
    </row>
    <row r="630" customFormat="false" ht="15" hidden="false" customHeight="false" outlineLevel="0" collapsed="false">
      <c r="A630" s="6" t="n">
        <v>625</v>
      </c>
      <c r="B630" s="74" t="s">
        <v>1006</v>
      </c>
      <c r="C630" s="53" t="str">
        <f aca="false">INDEX(I_Items!$C$5:$C$133,MATCH($B630,I_Items!$A$5:$A$133,0))</f>
        <v>RPA</v>
      </c>
      <c r="D630" s="53" t="str">
        <f aca="false">INDEX(I_Items!$D$5:$D$133,MATCH($B630,I_Items!$A$5:$A$133,0))</f>
        <v>Karkas</v>
      </c>
      <c r="E630" s="53" t="str">
        <f aca="false">INDEX(I_Items!$F$5:$F$133,MATCH($B630,I_Items!$A$5:$A$133,0))</f>
        <v>Frozen</v>
      </c>
      <c r="F630" s="53" t="str">
        <f aca="false">IF(INDEX(I_Items!$E$5:$E$133,MATCH($B630,I_Items!$A$5:$A$133,0))="","",INDEX(I_Items!$E$5:$E$133,MATCH($B630,I_Items!$A$5:$A$133,0)))</f>
        <v>Uk 1.8</v>
      </c>
      <c r="G630" s="76" t="n">
        <v>46265</v>
      </c>
      <c r="H630" s="23" t="n">
        <f aca="false">MONTH(G630)</f>
        <v>8</v>
      </c>
      <c r="I630" s="74" t="s">
        <v>2074</v>
      </c>
      <c r="J630" s="74" t="s">
        <v>1326</v>
      </c>
      <c r="K630" s="10" t="n">
        <v>227.9</v>
      </c>
      <c r="L630" s="8" t="n">
        <v>8397293.83</v>
      </c>
      <c r="M630" s="10" t="n">
        <v>0</v>
      </c>
      <c r="N630" s="8" t="n">
        <v>0</v>
      </c>
      <c r="O630" s="74"/>
      <c r="P630" s="74"/>
      <c r="Q630" s="74"/>
      <c r="R630" s="14" t="n">
        <f aca="false">IF(I630="Unbilled",0,M630)</f>
        <v>0</v>
      </c>
      <c r="S630" s="9" t="n">
        <f aca="false">IF(R630=0,0,IF(O630="Booked",N630,R630*V629))</f>
        <v>0</v>
      </c>
      <c r="T630" s="14" t="n">
        <f aca="false">IF(I630="Opening",K630,T629+K630-R630)</f>
        <v>1069.41</v>
      </c>
      <c r="U630" s="9" t="n">
        <f aca="false">IF(I630="Opening",L630,U629+L630-S630)</f>
        <v>38950417.95</v>
      </c>
      <c r="V630" s="9" t="n">
        <f aca="false">IF(T630&gt;0,U630/T630,IF(I630="Opening",0,V629))</f>
        <v>36422.3431144276</v>
      </c>
      <c r="W630" s="14" t="n">
        <f aca="false">M630</f>
        <v>0</v>
      </c>
      <c r="X630" s="9" t="n">
        <f aca="false">IF(W630=0,0,IF(O630="Booked",N630,W630*AA629))</f>
        <v>0</v>
      </c>
      <c r="Y630" s="14" t="n">
        <f aca="false">IF(I630="Opening",K630,Y629+K630-W630)</f>
        <v>1069.41</v>
      </c>
      <c r="Z630" s="9" t="n">
        <f aca="false">IF(I630="Opening",L630,Z629+L630-X630)</f>
        <v>38950417.95</v>
      </c>
      <c r="AA630" s="9" t="n">
        <f aca="false">IF(Y630&gt;0,Z630/Y630,IF(I630="Opening",0,AA629))</f>
        <v>36422.3431144276</v>
      </c>
      <c r="AB630" s="9" t="n">
        <f aca="false">IF(AND(I630="DO",O630="MA"),S630-N630,0)</f>
        <v>0</v>
      </c>
      <c r="AC630" s="9" t="n">
        <f aca="false">IF(I630="DO",X630-S630,0)</f>
        <v>0</v>
      </c>
      <c r="AD630" s="23" t="n">
        <f aca="false">IF(B631&lt;&gt;B630,1,0)</f>
        <v>1</v>
      </c>
      <c r="AE630" s="14" t="n">
        <f aca="false">IF(I630="Opening",0,AE629+W630)</f>
        <v>0</v>
      </c>
      <c r="AF630" s="14" t="n">
        <f aca="false">IF(I630="Opening",K630,AF629)</f>
        <v>121.61</v>
      </c>
      <c r="AG630" s="14" t="n">
        <f aca="false">AG629</f>
        <v>0</v>
      </c>
      <c r="AH630" s="14" t="n">
        <f aca="false">IF(W630=0,0,MAX(0,MIN(AE630,AF630)-MIN(AE630-W630,AF630)))</f>
        <v>0</v>
      </c>
      <c r="AI630" s="14" t="n">
        <f aca="false">IF(W630=0,0,MAX(0,MIN(AE630,AF630+AG630)-MAX(AE630-W630,AF630)))</f>
        <v>0</v>
      </c>
      <c r="AJ630" s="14" t="n">
        <f aca="false">W630-AH630-AI630</f>
        <v>0</v>
      </c>
      <c r="AK630" s="9" t="n">
        <f aca="false">IF(W630=0,0,X630*AH630/W630)</f>
        <v>0</v>
      </c>
      <c r="AL630" s="9" t="n">
        <f aca="false">IF(W630=0,0,X630*AI630/W630)</f>
        <v>0</v>
      </c>
      <c r="AM630" s="9" t="n">
        <f aca="false">X630-AK630-AL630</f>
        <v>0</v>
      </c>
    </row>
    <row r="631" customFormat="false" ht="15" hidden="false" customHeight="false" outlineLevel="0" collapsed="false">
      <c r="A631" s="6" t="n">
        <v>626</v>
      </c>
      <c r="B631" s="74" t="s">
        <v>1007</v>
      </c>
      <c r="C631" s="53" t="str">
        <f aca="false">INDEX(I_Items!$C$5:$C$133,MATCH($B631,I_Items!$A$5:$A$133,0))</f>
        <v>RPA</v>
      </c>
      <c r="D631" s="53" t="str">
        <f aca="false">INDEX(I_Items!$D$5:$D$133,MATCH($B631,I_Items!$A$5:$A$133,0))</f>
        <v>Karkas</v>
      </c>
      <c r="E631" s="53" t="str">
        <f aca="false">INDEX(I_Items!$F$5:$F$133,MATCH($B631,I_Items!$A$5:$A$133,0))</f>
        <v>Frozen</v>
      </c>
      <c r="F631" s="53" t="str">
        <f aca="false">IF(INDEX(I_Items!$E$5:$E$133,MATCH($B631,I_Items!$A$5:$A$133,0))="","",INDEX(I_Items!$E$5:$E$133,MATCH($B631,I_Items!$A$5:$A$133,0)))</f>
        <v>Uk 1.9</v>
      </c>
      <c r="G631" s="76" t="n">
        <v>46204</v>
      </c>
      <c r="H631" s="23" t="n">
        <f aca="false">MONTH(G631)</f>
        <v>7</v>
      </c>
      <c r="I631" s="74" t="s">
        <v>2072</v>
      </c>
      <c r="J631" s="74" t="s">
        <v>2073</v>
      </c>
      <c r="K631" s="10" t="n">
        <v>0</v>
      </c>
      <c r="L631" s="8" t="n">
        <v>-0.01</v>
      </c>
      <c r="M631" s="10" t="n">
        <v>0</v>
      </c>
      <c r="N631" s="8" t="n">
        <v>0</v>
      </c>
      <c r="O631" s="74"/>
      <c r="P631" s="74"/>
      <c r="Q631" s="74"/>
      <c r="R631" s="14" t="n">
        <f aca="false">IF(I631="Unbilled",0,M631)</f>
        <v>0</v>
      </c>
      <c r="S631" s="9" t="n">
        <f aca="false">IF(R631=0,0,IF(O631="Booked",N631,R631*V630))</f>
        <v>0</v>
      </c>
      <c r="T631" s="14" t="n">
        <f aca="false">IF(I631="Opening",K631,T630+K631-R631)</f>
        <v>0</v>
      </c>
      <c r="U631" s="9" t="n">
        <f aca="false">IF(I631="Opening",L631,U630+L631-S631)</f>
        <v>-0.01</v>
      </c>
      <c r="V631" s="9" t="n">
        <f aca="false">IF(T631&gt;0,U631/T631,IF(I631="Opening",0,V630))</f>
        <v>0</v>
      </c>
      <c r="W631" s="14" t="n">
        <f aca="false">M631</f>
        <v>0</v>
      </c>
      <c r="X631" s="9" t="n">
        <f aca="false">IF(W631=0,0,IF(O631="Booked",N631,W631*AA630))</f>
        <v>0</v>
      </c>
      <c r="Y631" s="14" t="n">
        <f aca="false">IF(I631="Opening",K631,Y630+K631-W631)</f>
        <v>0</v>
      </c>
      <c r="Z631" s="9" t="n">
        <f aca="false">IF(I631="Opening",L631,Z630+L631-X631)</f>
        <v>-0.01</v>
      </c>
      <c r="AA631" s="9" t="n">
        <f aca="false">IF(Y631&gt;0,Z631/Y631,IF(I631="Opening",0,AA630))</f>
        <v>0</v>
      </c>
      <c r="AB631" s="9" t="n">
        <f aca="false">IF(AND(I631="DO",O631="MA"),S631-N631,0)</f>
        <v>0</v>
      </c>
      <c r="AC631" s="9" t="n">
        <f aca="false">IF(I631="DO",X631-S631,0)</f>
        <v>0</v>
      </c>
      <c r="AD631" s="23" t="n">
        <f aca="false">IF(B632&lt;&gt;B631,1,0)</f>
        <v>0</v>
      </c>
      <c r="AE631" s="14" t="n">
        <f aca="false">IF(I631="Opening",0,AE630+W631)</f>
        <v>0</v>
      </c>
      <c r="AF631" s="14" t="n">
        <f aca="false">IF(I631="Opening",K631,AF630)</f>
        <v>0</v>
      </c>
      <c r="AG631" s="14" t="n">
        <f aca="false">SUMIFS($K$6:$K$1110,$B$6:$B$1110,B631,$H$6:$H$1110,7,$I$6:$I$1110,"&lt;&gt;Opening")</f>
        <v>0</v>
      </c>
      <c r="AH631" s="14" t="n">
        <f aca="false">IF(W631=0,0,MAX(0,MIN(AE631,AF631)-MIN(AE631-W631,AF631)))</f>
        <v>0</v>
      </c>
      <c r="AI631" s="14" t="n">
        <f aca="false">IF(W631=0,0,MAX(0,MIN(AE631,AF631+AG631)-MAX(AE631-W631,AF631)))</f>
        <v>0</v>
      </c>
      <c r="AJ631" s="14" t="n">
        <f aca="false">W631-AH631-AI631</f>
        <v>0</v>
      </c>
      <c r="AK631" s="9" t="n">
        <f aca="false">IF(W631=0,0,X631*AH631/W631)</f>
        <v>0</v>
      </c>
      <c r="AL631" s="9" t="n">
        <f aca="false">IF(W631=0,0,X631*AI631/W631)</f>
        <v>0</v>
      </c>
      <c r="AM631" s="9" t="n">
        <f aca="false">X631-AK631-AL631</f>
        <v>0</v>
      </c>
    </row>
    <row r="632" customFormat="false" ht="15" hidden="false" customHeight="false" outlineLevel="0" collapsed="false">
      <c r="A632" s="6" t="n">
        <v>627</v>
      </c>
      <c r="B632" s="74" t="s">
        <v>1007</v>
      </c>
      <c r="C632" s="53" t="str">
        <f aca="false">INDEX(I_Items!$C$5:$C$133,MATCH($B632,I_Items!$A$5:$A$133,0))</f>
        <v>RPA</v>
      </c>
      <c r="D632" s="53" t="str">
        <f aca="false">INDEX(I_Items!$D$5:$D$133,MATCH($B632,I_Items!$A$5:$A$133,0))</f>
        <v>Karkas</v>
      </c>
      <c r="E632" s="53" t="str">
        <f aca="false">INDEX(I_Items!$F$5:$F$133,MATCH($B632,I_Items!$A$5:$A$133,0))</f>
        <v>Frozen</v>
      </c>
      <c r="F632" s="53" t="str">
        <f aca="false">IF(INDEX(I_Items!$E$5:$E$133,MATCH($B632,I_Items!$A$5:$A$133,0))="","",INDEX(I_Items!$E$5:$E$133,MATCH($B632,I_Items!$A$5:$A$133,0)))</f>
        <v>Uk 1.9</v>
      </c>
      <c r="G632" s="76" t="n">
        <v>46244</v>
      </c>
      <c r="H632" s="23" t="n">
        <f aca="false">MONTH(G632)</f>
        <v>8</v>
      </c>
      <c r="I632" s="74" t="s">
        <v>2074</v>
      </c>
      <c r="J632" s="74" t="s">
        <v>1298</v>
      </c>
      <c r="K632" s="10" t="n">
        <v>17.8</v>
      </c>
      <c r="L632" s="8" t="n">
        <v>613844.87</v>
      </c>
      <c r="M632" s="10" t="n">
        <v>0</v>
      </c>
      <c r="N632" s="8" t="n">
        <v>0</v>
      </c>
      <c r="O632" s="74"/>
      <c r="P632" s="74"/>
      <c r="Q632" s="74"/>
      <c r="R632" s="14" t="n">
        <f aca="false">IF(I632="Unbilled",0,M632)</f>
        <v>0</v>
      </c>
      <c r="S632" s="9" t="n">
        <f aca="false">IF(R632=0,0,IF(O632="Booked",N632,R632*V631))</f>
        <v>0</v>
      </c>
      <c r="T632" s="14" t="n">
        <f aca="false">IF(I632="Opening",K632,T631+K632-R632)</f>
        <v>17.8</v>
      </c>
      <c r="U632" s="9" t="n">
        <f aca="false">IF(I632="Opening",L632,U631+L632-S632)</f>
        <v>613844.86</v>
      </c>
      <c r="V632" s="9" t="n">
        <f aca="false">IF(T632&gt;0,U632/T632,IF(I632="Opening",0,V631))</f>
        <v>34485.6662921348</v>
      </c>
      <c r="W632" s="14" t="n">
        <f aca="false">M632</f>
        <v>0</v>
      </c>
      <c r="X632" s="9" t="n">
        <f aca="false">IF(W632=0,0,IF(O632="Booked",N632,W632*AA631))</f>
        <v>0</v>
      </c>
      <c r="Y632" s="14" t="n">
        <f aca="false">IF(I632="Opening",K632,Y631+K632-W632)</f>
        <v>17.8</v>
      </c>
      <c r="Z632" s="9" t="n">
        <f aca="false">IF(I632="Opening",L632,Z631+L632-X632)</f>
        <v>613844.86</v>
      </c>
      <c r="AA632" s="9" t="n">
        <f aca="false">IF(Y632&gt;0,Z632/Y632,IF(I632="Opening",0,AA631))</f>
        <v>34485.6662921348</v>
      </c>
      <c r="AB632" s="9" t="n">
        <f aca="false">IF(AND(I632="DO",O632="MA"),S632-N632,0)</f>
        <v>0</v>
      </c>
      <c r="AC632" s="9" t="n">
        <f aca="false">IF(I632="DO",X632-S632,0)</f>
        <v>0</v>
      </c>
      <c r="AD632" s="23" t="n">
        <f aca="false">IF(B633&lt;&gt;B632,1,0)</f>
        <v>0</v>
      </c>
      <c r="AE632" s="14" t="n">
        <f aca="false">IF(I632="Opening",0,AE631+W632)</f>
        <v>0</v>
      </c>
      <c r="AF632" s="14" t="n">
        <f aca="false">IF(I632="Opening",K632,AF631)</f>
        <v>0</v>
      </c>
      <c r="AG632" s="14" t="n">
        <f aca="false">AG631</f>
        <v>0</v>
      </c>
      <c r="AH632" s="14" t="n">
        <f aca="false">IF(W632=0,0,MAX(0,MIN(AE632,AF632)-MIN(AE632-W632,AF632)))</f>
        <v>0</v>
      </c>
      <c r="AI632" s="14" t="n">
        <f aca="false">IF(W632=0,0,MAX(0,MIN(AE632,AF632+AG632)-MAX(AE632-W632,AF632)))</f>
        <v>0</v>
      </c>
      <c r="AJ632" s="14" t="n">
        <f aca="false">W632-AH632-AI632</f>
        <v>0</v>
      </c>
      <c r="AK632" s="9" t="n">
        <f aca="false">IF(W632=0,0,X632*AH632/W632)</f>
        <v>0</v>
      </c>
      <c r="AL632" s="9" t="n">
        <f aca="false">IF(W632=0,0,X632*AI632/W632)</f>
        <v>0</v>
      </c>
      <c r="AM632" s="9" t="n">
        <f aca="false">X632-AK632-AL632</f>
        <v>0</v>
      </c>
    </row>
    <row r="633" customFormat="false" ht="15" hidden="false" customHeight="false" outlineLevel="0" collapsed="false">
      <c r="A633" s="6" t="n">
        <v>628</v>
      </c>
      <c r="B633" s="74" t="s">
        <v>1007</v>
      </c>
      <c r="C633" s="53" t="str">
        <f aca="false">INDEX(I_Items!$C$5:$C$133,MATCH($B633,I_Items!$A$5:$A$133,0))</f>
        <v>RPA</v>
      </c>
      <c r="D633" s="53" t="str">
        <f aca="false">INDEX(I_Items!$D$5:$D$133,MATCH($B633,I_Items!$A$5:$A$133,0))</f>
        <v>Karkas</v>
      </c>
      <c r="E633" s="53" t="str">
        <f aca="false">INDEX(I_Items!$F$5:$F$133,MATCH($B633,I_Items!$A$5:$A$133,0))</f>
        <v>Frozen</v>
      </c>
      <c r="F633" s="53" t="str">
        <f aca="false">IF(INDEX(I_Items!$E$5:$E$133,MATCH($B633,I_Items!$A$5:$A$133,0))="","",INDEX(I_Items!$E$5:$E$133,MATCH($B633,I_Items!$A$5:$A$133,0)))</f>
        <v>Uk 1.9</v>
      </c>
      <c r="G633" s="76" t="n">
        <v>46248</v>
      </c>
      <c r="H633" s="23" t="n">
        <f aca="false">MONTH(G633)</f>
        <v>8</v>
      </c>
      <c r="I633" s="74" t="s">
        <v>2074</v>
      </c>
      <c r="J633" s="74" t="s">
        <v>1302</v>
      </c>
      <c r="K633" s="10" t="n">
        <v>3.9</v>
      </c>
      <c r="L633" s="8" t="n">
        <v>135740.7</v>
      </c>
      <c r="M633" s="10" t="n">
        <v>0</v>
      </c>
      <c r="N633" s="8" t="n">
        <v>0</v>
      </c>
      <c r="O633" s="74"/>
      <c r="P633" s="74"/>
      <c r="Q633" s="74"/>
      <c r="R633" s="14" t="n">
        <f aca="false">IF(I633="Unbilled",0,M633)</f>
        <v>0</v>
      </c>
      <c r="S633" s="9" t="n">
        <f aca="false">IF(R633=0,0,IF(O633="Booked",N633,R633*V632))</f>
        <v>0</v>
      </c>
      <c r="T633" s="14" t="n">
        <f aca="false">IF(I633="Opening",K633,T632+K633-R633)</f>
        <v>21.7</v>
      </c>
      <c r="U633" s="9" t="n">
        <f aca="false">IF(I633="Opening",L633,U632+L633-S633)</f>
        <v>749585.56</v>
      </c>
      <c r="V633" s="9" t="n">
        <f aca="false">IF(T633&gt;0,U633/T633,IF(I633="Opening",0,V632))</f>
        <v>34543.1133640553</v>
      </c>
      <c r="W633" s="14" t="n">
        <f aca="false">M633</f>
        <v>0</v>
      </c>
      <c r="X633" s="9" t="n">
        <f aca="false">IF(W633=0,0,IF(O633="Booked",N633,W633*AA632))</f>
        <v>0</v>
      </c>
      <c r="Y633" s="14" t="n">
        <f aca="false">IF(I633="Opening",K633,Y632+K633-W633)</f>
        <v>21.7</v>
      </c>
      <c r="Z633" s="9" t="n">
        <f aca="false">IF(I633="Opening",L633,Z632+L633-X633)</f>
        <v>749585.56</v>
      </c>
      <c r="AA633" s="9" t="n">
        <f aca="false">IF(Y633&gt;0,Z633/Y633,IF(I633="Opening",0,AA632))</f>
        <v>34543.1133640553</v>
      </c>
      <c r="AB633" s="9" t="n">
        <f aca="false">IF(AND(I633="DO",O633="MA"),S633-N633,0)</f>
        <v>0</v>
      </c>
      <c r="AC633" s="9" t="n">
        <f aca="false">IF(I633="DO",X633-S633,0)</f>
        <v>0</v>
      </c>
      <c r="AD633" s="23" t="n">
        <f aca="false">IF(B634&lt;&gt;B633,1,0)</f>
        <v>1</v>
      </c>
      <c r="AE633" s="14" t="n">
        <f aca="false">IF(I633="Opening",0,AE632+W633)</f>
        <v>0</v>
      </c>
      <c r="AF633" s="14" t="n">
        <f aca="false">IF(I633="Opening",K633,AF632)</f>
        <v>0</v>
      </c>
      <c r="AG633" s="14" t="n">
        <f aca="false">AG632</f>
        <v>0</v>
      </c>
      <c r="AH633" s="14" t="n">
        <f aca="false">IF(W633=0,0,MAX(0,MIN(AE633,AF633)-MIN(AE633-W633,AF633)))</f>
        <v>0</v>
      </c>
      <c r="AI633" s="14" t="n">
        <f aca="false">IF(W633=0,0,MAX(0,MIN(AE633,AF633+AG633)-MAX(AE633-W633,AF633)))</f>
        <v>0</v>
      </c>
      <c r="AJ633" s="14" t="n">
        <f aca="false">W633-AH633-AI633</f>
        <v>0</v>
      </c>
      <c r="AK633" s="9" t="n">
        <f aca="false">IF(W633=0,0,X633*AH633/W633)</f>
        <v>0</v>
      </c>
      <c r="AL633" s="9" t="n">
        <f aca="false">IF(W633=0,0,X633*AI633/W633)</f>
        <v>0</v>
      </c>
      <c r="AM633" s="9" t="n">
        <f aca="false">X633-AK633-AL633</f>
        <v>0</v>
      </c>
    </row>
    <row r="634" customFormat="false" ht="15" hidden="false" customHeight="false" outlineLevel="0" collapsed="false">
      <c r="A634" s="6" t="n">
        <v>629</v>
      </c>
      <c r="B634" s="74" t="s">
        <v>1008</v>
      </c>
      <c r="C634" s="53" t="str">
        <f aca="false">INDEX(I_Items!$C$5:$C$133,MATCH($B634,I_Items!$A$5:$A$133,0))</f>
        <v>RPA</v>
      </c>
      <c r="D634" s="53" t="str">
        <f aca="false">INDEX(I_Items!$D$5:$D$133,MATCH($B634,I_Items!$A$5:$A$133,0))</f>
        <v>Karkas</v>
      </c>
      <c r="E634" s="53" t="str">
        <f aca="false">INDEX(I_Items!$F$5:$F$133,MATCH($B634,I_Items!$A$5:$A$133,0))</f>
        <v>Frozen</v>
      </c>
      <c r="F634" s="53" t="str">
        <f aca="false">IF(INDEX(I_Items!$E$5:$E$133,MATCH($B634,I_Items!$A$5:$A$133,0))="","",INDEX(I_Items!$E$5:$E$133,MATCH($B634,I_Items!$A$5:$A$133,0)))</f>
        <v>Uk 1.9</v>
      </c>
      <c r="G634" s="76" t="n">
        <v>46204</v>
      </c>
      <c r="H634" s="23" t="n">
        <f aca="false">MONTH(G634)</f>
        <v>7</v>
      </c>
      <c r="I634" s="74" t="s">
        <v>2072</v>
      </c>
      <c r="J634" s="74" t="s">
        <v>2073</v>
      </c>
      <c r="K634" s="10" t="n">
        <v>44.66</v>
      </c>
      <c r="L634" s="8" t="n">
        <v>1182112.12</v>
      </c>
      <c r="M634" s="10" t="n">
        <v>0</v>
      </c>
      <c r="N634" s="8" t="n">
        <v>0</v>
      </c>
      <c r="O634" s="74"/>
      <c r="P634" s="74"/>
      <c r="Q634" s="74"/>
      <c r="R634" s="14" t="n">
        <f aca="false">IF(I634="Unbilled",0,M634)</f>
        <v>0</v>
      </c>
      <c r="S634" s="9" t="n">
        <f aca="false">IF(R634=0,0,IF(O634="Booked",N634,R634*V633))</f>
        <v>0</v>
      </c>
      <c r="T634" s="14" t="n">
        <f aca="false">IF(I634="Opening",K634,T633+K634-R634)</f>
        <v>44.66</v>
      </c>
      <c r="U634" s="9" t="n">
        <f aca="false">IF(I634="Opening",L634,U633+L634-S634)</f>
        <v>1182112.12</v>
      </c>
      <c r="V634" s="9" t="n">
        <f aca="false">IF(T634&gt;0,U634/T634,IF(I634="Opening",0,V633))</f>
        <v>26469.1473354232</v>
      </c>
      <c r="W634" s="14" t="n">
        <f aca="false">M634</f>
        <v>0</v>
      </c>
      <c r="X634" s="9" t="n">
        <f aca="false">IF(W634=0,0,IF(O634="Booked",N634,W634*AA633))</f>
        <v>0</v>
      </c>
      <c r="Y634" s="14" t="n">
        <f aca="false">IF(I634="Opening",K634,Y633+K634-W634)</f>
        <v>44.66</v>
      </c>
      <c r="Z634" s="9" t="n">
        <f aca="false">IF(I634="Opening",L634,Z633+L634-X634)</f>
        <v>1182112.12</v>
      </c>
      <c r="AA634" s="9" t="n">
        <f aca="false">IF(Y634&gt;0,Z634/Y634,IF(I634="Opening",0,AA633))</f>
        <v>26469.1473354232</v>
      </c>
      <c r="AB634" s="9" t="n">
        <f aca="false">IF(AND(I634="DO",O634="MA"),S634-N634,0)</f>
        <v>0</v>
      </c>
      <c r="AC634" s="9" t="n">
        <f aca="false">IF(I634="DO",X634-S634,0)</f>
        <v>0</v>
      </c>
      <c r="AD634" s="23" t="n">
        <f aca="false">IF(B635&lt;&gt;B634,1,0)</f>
        <v>0</v>
      </c>
      <c r="AE634" s="14" t="n">
        <f aca="false">IF(I634="Opening",0,AE633+W634)</f>
        <v>0</v>
      </c>
      <c r="AF634" s="14" t="n">
        <f aca="false">IF(I634="Opening",K634,AF633)</f>
        <v>44.66</v>
      </c>
      <c r="AG634" s="14" t="n">
        <f aca="false">SUMIFS($K$6:$K$1110,$B$6:$B$1110,B634,$H$6:$H$1110,7,$I$6:$I$1110,"&lt;&gt;Opening")</f>
        <v>0</v>
      </c>
      <c r="AH634" s="14" t="n">
        <f aca="false">IF(W634=0,0,MAX(0,MIN(AE634,AF634)-MIN(AE634-W634,AF634)))</f>
        <v>0</v>
      </c>
      <c r="AI634" s="14" t="n">
        <f aca="false">IF(W634=0,0,MAX(0,MIN(AE634,AF634+AG634)-MAX(AE634-W634,AF634)))</f>
        <v>0</v>
      </c>
      <c r="AJ634" s="14" t="n">
        <f aca="false">W634-AH634-AI634</f>
        <v>0</v>
      </c>
      <c r="AK634" s="9" t="n">
        <f aca="false">IF(W634=0,0,X634*AH634/W634)</f>
        <v>0</v>
      </c>
      <c r="AL634" s="9" t="n">
        <f aca="false">IF(W634=0,0,X634*AI634/W634)</f>
        <v>0</v>
      </c>
      <c r="AM634" s="9" t="n">
        <f aca="false">X634-AK634-AL634</f>
        <v>0</v>
      </c>
    </row>
    <row r="635" customFormat="false" ht="15" hidden="false" customHeight="false" outlineLevel="0" collapsed="false">
      <c r="A635" s="6" t="n">
        <v>630</v>
      </c>
      <c r="B635" s="74" t="s">
        <v>1008</v>
      </c>
      <c r="C635" s="53" t="str">
        <f aca="false">INDEX(I_Items!$C$5:$C$133,MATCH($B635,I_Items!$A$5:$A$133,0))</f>
        <v>RPA</v>
      </c>
      <c r="D635" s="53" t="str">
        <f aca="false">INDEX(I_Items!$D$5:$D$133,MATCH($B635,I_Items!$A$5:$A$133,0))</f>
        <v>Karkas</v>
      </c>
      <c r="E635" s="53" t="str">
        <f aca="false">INDEX(I_Items!$F$5:$F$133,MATCH($B635,I_Items!$A$5:$A$133,0))</f>
        <v>Frozen</v>
      </c>
      <c r="F635" s="53" t="str">
        <f aca="false">IF(INDEX(I_Items!$E$5:$E$133,MATCH($B635,I_Items!$A$5:$A$133,0))="","",INDEX(I_Items!$E$5:$E$133,MATCH($B635,I_Items!$A$5:$A$133,0)))</f>
        <v>Uk 1.9</v>
      </c>
      <c r="G635" s="76" t="n">
        <v>46265</v>
      </c>
      <c r="H635" s="23" t="n">
        <f aca="false">MONTH(G635)</f>
        <v>8</v>
      </c>
      <c r="I635" s="74" t="s">
        <v>2074</v>
      </c>
      <c r="J635" s="74" t="s">
        <v>1326</v>
      </c>
      <c r="K635" s="10" t="n">
        <v>77.7</v>
      </c>
      <c r="L635" s="8" t="n">
        <v>2862965.03</v>
      </c>
      <c r="M635" s="10" t="n">
        <v>0</v>
      </c>
      <c r="N635" s="8" t="n">
        <v>0</v>
      </c>
      <c r="O635" s="74"/>
      <c r="P635" s="74"/>
      <c r="Q635" s="74"/>
      <c r="R635" s="14" t="n">
        <f aca="false">IF(I635="Unbilled",0,M635)</f>
        <v>0</v>
      </c>
      <c r="S635" s="9" t="n">
        <f aca="false">IF(R635=0,0,IF(O635="Booked",N635,R635*V634))</f>
        <v>0</v>
      </c>
      <c r="T635" s="14" t="n">
        <f aca="false">IF(I635="Opening",K635,T634+K635-R635)</f>
        <v>122.36</v>
      </c>
      <c r="U635" s="9" t="n">
        <f aca="false">IF(I635="Opening",L635,U634+L635-S635)</f>
        <v>4045077.15</v>
      </c>
      <c r="V635" s="9" t="n">
        <f aca="false">IF(T635&gt;0,U635/T635,IF(I635="Opening",0,V634))</f>
        <v>33058.8194671461</v>
      </c>
      <c r="W635" s="14" t="n">
        <f aca="false">M635</f>
        <v>0</v>
      </c>
      <c r="X635" s="9" t="n">
        <f aca="false">IF(W635=0,0,IF(O635="Booked",N635,W635*AA634))</f>
        <v>0</v>
      </c>
      <c r="Y635" s="14" t="n">
        <f aca="false">IF(I635="Opening",K635,Y634+K635-W635)</f>
        <v>122.36</v>
      </c>
      <c r="Z635" s="9" t="n">
        <f aca="false">IF(I635="Opening",L635,Z634+L635-X635)</f>
        <v>4045077.15</v>
      </c>
      <c r="AA635" s="9" t="n">
        <f aca="false">IF(Y635&gt;0,Z635/Y635,IF(I635="Opening",0,AA634))</f>
        <v>33058.8194671461</v>
      </c>
      <c r="AB635" s="9" t="n">
        <f aca="false">IF(AND(I635="DO",O635="MA"),S635-N635,0)</f>
        <v>0</v>
      </c>
      <c r="AC635" s="9" t="n">
        <f aca="false">IF(I635="DO",X635-S635,0)</f>
        <v>0</v>
      </c>
      <c r="AD635" s="23" t="n">
        <f aca="false">IF(B636&lt;&gt;B635,1,0)</f>
        <v>1</v>
      </c>
      <c r="AE635" s="14" t="n">
        <f aca="false">IF(I635="Opening",0,AE634+W635)</f>
        <v>0</v>
      </c>
      <c r="AF635" s="14" t="n">
        <f aca="false">IF(I635="Opening",K635,AF634)</f>
        <v>44.66</v>
      </c>
      <c r="AG635" s="14" t="n">
        <f aca="false">AG634</f>
        <v>0</v>
      </c>
      <c r="AH635" s="14" t="n">
        <f aca="false">IF(W635=0,0,MAX(0,MIN(AE635,AF635)-MIN(AE635-W635,AF635)))</f>
        <v>0</v>
      </c>
      <c r="AI635" s="14" t="n">
        <f aca="false">IF(W635=0,0,MAX(0,MIN(AE635,AF635+AG635)-MAX(AE635-W635,AF635)))</f>
        <v>0</v>
      </c>
      <c r="AJ635" s="14" t="n">
        <f aca="false">W635-AH635-AI635</f>
        <v>0</v>
      </c>
      <c r="AK635" s="9" t="n">
        <f aca="false">IF(W635=0,0,X635*AH635/W635)</f>
        <v>0</v>
      </c>
      <c r="AL635" s="9" t="n">
        <f aca="false">IF(W635=0,0,X635*AI635/W635)</f>
        <v>0</v>
      </c>
      <c r="AM635" s="9" t="n">
        <f aca="false">X635-AK635-AL635</f>
        <v>0</v>
      </c>
    </row>
    <row r="636" customFormat="false" ht="15" hidden="false" customHeight="false" outlineLevel="0" collapsed="false">
      <c r="A636" s="6" t="n">
        <v>631</v>
      </c>
      <c r="B636" s="74" t="s">
        <v>1009</v>
      </c>
      <c r="C636" s="53" t="str">
        <f aca="false">INDEX(I_Items!$C$5:$C$133,MATCH($B636,I_Items!$A$5:$A$133,0))</f>
        <v>RPA</v>
      </c>
      <c r="D636" s="53" t="str">
        <f aca="false">INDEX(I_Items!$D$5:$D$133,MATCH($B636,I_Items!$A$5:$A$133,0))</f>
        <v>Karkas</v>
      </c>
      <c r="E636" s="53" t="str">
        <f aca="false">INDEX(I_Items!$F$5:$F$133,MATCH($B636,I_Items!$A$5:$A$133,0))</f>
        <v>Frozen</v>
      </c>
      <c r="F636" s="53" t="str">
        <f aca="false">IF(INDEX(I_Items!$E$5:$E$133,MATCH($B636,I_Items!$A$5:$A$133,0))="","",INDEX(I_Items!$E$5:$E$133,MATCH($B636,I_Items!$A$5:$A$133,0)))</f>
        <v>Uk 2.0</v>
      </c>
      <c r="G636" s="76" t="n">
        <v>46204</v>
      </c>
      <c r="H636" s="23" t="n">
        <f aca="false">MONTH(G636)</f>
        <v>7</v>
      </c>
      <c r="I636" s="74" t="s">
        <v>2072</v>
      </c>
      <c r="J636" s="74" t="s">
        <v>2073</v>
      </c>
      <c r="K636" s="10" t="n">
        <v>5.1</v>
      </c>
      <c r="L636" s="8" t="n">
        <v>127524.36</v>
      </c>
      <c r="M636" s="10" t="n">
        <v>0</v>
      </c>
      <c r="N636" s="8" t="n">
        <v>0</v>
      </c>
      <c r="O636" s="74"/>
      <c r="P636" s="74"/>
      <c r="Q636" s="74"/>
      <c r="R636" s="14" t="n">
        <f aca="false">IF(I636="Unbilled",0,M636)</f>
        <v>0</v>
      </c>
      <c r="S636" s="9" t="n">
        <f aca="false">IF(R636=0,0,IF(O636="Booked",N636,R636*V635))</f>
        <v>0</v>
      </c>
      <c r="T636" s="14" t="n">
        <f aca="false">IF(I636="Opening",K636,T635+K636-R636)</f>
        <v>5.1</v>
      </c>
      <c r="U636" s="9" t="n">
        <f aca="false">IF(I636="Opening",L636,U635+L636-S636)</f>
        <v>127524.36</v>
      </c>
      <c r="V636" s="9" t="n">
        <f aca="false">IF(T636&gt;0,U636/T636,IF(I636="Opening",0,V635))</f>
        <v>25004.7764705882</v>
      </c>
      <c r="W636" s="14" t="n">
        <f aca="false">M636</f>
        <v>0</v>
      </c>
      <c r="X636" s="9" t="n">
        <f aca="false">IF(W636=0,0,IF(O636="Booked",N636,W636*AA635))</f>
        <v>0</v>
      </c>
      <c r="Y636" s="14" t="n">
        <f aca="false">IF(I636="Opening",K636,Y635+K636-W636)</f>
        <v>5.1</v>
      </c>
      <c r="Z636" s="9" t="n">
        <f aca="false">IF(I636="Opening",L636,Z635+L636-X636)</f>
        <v>127524.36</v>
      </c>
      <c r="AA636" s="9" t="n">
        <f aca="false">IF(Y636&gt;0,Z636/Y636,IF(I636="Opening",0,AA635))</f>
        <v>25004.7764705882</v>
      </c>
      <c r="AB636" s="9" t="n">
        <f aca="false">IF(AND(I636="DO",O636="MA"),S636-N636,0)</f>
        <v>0</v>
      </c>
      <c r="AC636" s="9" t="n">
        <f aca="false">IF(I636="DO",X636-S636,0)</f>
        <v>0</v>
      </c>
      <c r="AD636" s="23" t="n">
        <f aca="false">IF(B637&lt;&gt;B636,1,0)</f>
        <v>0</v>
      </c>
      <c r="AE636" s="14" t="n">
        <f aca="false">IF(I636="Opening",0,AE635+W636)</f>
        <v>0</v>
      </c>
      <c r="AF636" s="14" t="n">
        <f aca="false">IF(I636="Opening",K636,AF635)</f>
        <v>5.1</v>
      </c>
      <c r="AG636" s="14" t="n">
        <f aca="false">SUMIFS($K$6:$K$1110,$B$6:$B$1110,B636,$H$6:$H$1110,7,$I$6:$I$1110,"&lt;&gt;Opening")</f>
        <v>0</v>
      </c>
      <c r="AH636" s="14" t="n">
        <f aca="false">IF(W636=0,0,MAX(0,MIN(AE636,AF636)-MIN(AE636-W636,AF636)))</f>
        <v>0</v>
      </c>
      <c r="AI636" s="14" t="n">
        <f aca="false">IF(W636=0,0,MAX(0,MIN(AE636,AF636+AG636)-MAX(AE636-W636,AF636)))</f>
        <v>0</v>
      </c>
      <c r="AJ636" s="14" t="n">
        <f aca="false">W636-AH636-AI636</f>
        <v>0</v>
      </c>
      <c r="AK636" s="9" t="n">
        <f aca="false">IF(W636=0,0,X636*AH636/W636)</f>
        <v>0</v>
      </c>
      <c r="AL636" s="9" t="n">
        <f aca="false">IF(W636=0,0,X636*AI636/W636)</f>
        <v>0</v>
      </c>
      <c r="AM636" s="9" t="n">
        <f aca="false">X636-AK636-AL636</f>
        <v>0</v>
      </c>
    </row>
    <row r="637" customFormat="false" ht="15" hidden="false" customHeight="false" outlineLevel="0" collapsed="false">
      <c r="A637" s="6" t="n">
        <v>632</v>
      </c>
      <c r="B637" s="74" t="s">
        <v>1009</v>
      </c>
      <c r="C637" s="53" t="str">
        <f aca="false">INDEX(I_Items!$C$5:$C$133,MATCH($B637,I_Items!$A$5:$A$133,0))</f>
        <v>RPA</v>
      </c>
      <c r="D637" s="53" t="str">
        <f aca="false">INDEX(I_Items!$D$5:$D$133,MATCH($B637,I_Items!$A$5:$A$133,0))</f>
        <v>Karkas</v>
      </c>
      <c r="E637" s="53" t="str">
        <f aca="false">INDEX(I_Items!$F$5:$F$133,MATCH($B637,I_Items!$A$5:$A$133,0))</f>
        <v>Frozen</v>
      </c>
      <c r="F637" s="53" t="str">
        <f aca="false">IF(INDEX(I_Items!$E$5:$E$133,MATCH($B637,I_Items!$A$5:$A$133,0))="","",INDEX(I_Items!$E$5:$E$133,MATCH($B637,I_Items!$A$5:$A$133,0)))</f>
        <v>Uk 2.0</v>
      </c>
      <c r="G637" s="76" t="n">
        <v>46265</v>
      </c>
      <c r="H637" s="23" t="n">
        <f aca="false">MONTH(G637)</f>
        <v>8</v>
      </c>
      <c r="I637" s="74" t="s">
        <v>2074</v>
      </c>
      <c r="J637" s="74" t="s">
        <v>1326</v>
      </c>
      <c r="K637" s="10" t="n">
        <v>16.2</v>
      </c>
      <c r="L637" s="8" t="n">
        <v>542646.94</v>
      </c>
      <c r="M637" s="10" t="n">
        <v>0</v>
      </c>
      <c r="N637" s="8" t="n">
        <v>0</v>
      </c>
      <c r="O637" s="74"/>
      <c r="P637" s="74"/>
      <c r="Q637" s="74"/>
      <c r="R637" s="14" t="n">
        <f aca="false">IF(I637="Unbilled",0,M637)</f>
        <v>0</v>
      </c>
      <c r="S637" s="9" t="n">
        <f aca="false">IF(R637=0,0,IF(O637="Booked",N637,R637*V636))</f>
        <v>0</v>
      </c>
      <c r="T637" s="14" t="n">
        <f aca="false">IF(I637="Opening",K637,T636+K637-R637)</f>
        <v>21.3</v>
      </c>
      <c r="U637" s="9" t="n">
        <f aca="false">IF(I637="Opening",L637,U636+L637-S637)</f>
        <v>670171.3</v>
      </c>
      <c r="V637" s="9" t="n">
        <f aca="false">IF(T637&gt;0,U637/T637,IF(I637="Opening",0,V636))</f>
        <v>31463.441314554</v>
      </c>
      <c r="W637" s="14" t="n">
        <f aca="false">M637</f>
        <v>0</v>
      </c>
      <c r="X637" s="9" t="n">
        <f aca="false">IF(W637=0,0,IF(O637="Booked",N637,W637*AA636))</f>
        <v>0</v>
      </c>
      <c r="Y637" s="14" t="n">
        <f aca="false">IF(I637="Opening",K637,Y636+K637-W637)</f>
        <v>21.3</v>
      </c>
      <c r="Z637" s="9" t="n">
        <f aca="false">IF(I637="Opening",L637,Z636+L637-X637)</f>
        <v>670171.3</v>
      </c>
      <c r="AA637" s="9" t="n">
        <f aca="false">IF(Y637&gt;0,Z637/Y637,IF(I637="Opening",0,AA636))</f>
        <v>31463.441314554</v>
      </c>
      <c r="AB637" s="9" t="n">
        <f aca="false">IF(AND(I637="DO",O637="MA"),S637-N637,0)</f>
        <v>0</v>
      </c>
      <c r="AC637" s="9" t="n">
        <f aca="false">IF(I637="DO",X637-S637,0)</f>
        <v>0</v>
      </c>
      <c r="AD637" s="23" t="n">
        <f aca="false">IF(B638&lt;&gt;B637,1,0)</f>
        <v>1</v>
      </c>
      <c r="AE637" s="14" t="n">
        <f aca="false">IF(I637="Opening",0,AE636+W637)</f>
        <v>0</v>
      </c>
      <c r="AF637" s="14" t="n">
        <f aca="false">IF(I637="Opening",K637,AF636)</f>
        <v>5.1</v>
      </c>
      <c r="AG637" s="14" t="n">
        <f aca="false">AG636</f>
        <v>0</v>
      </c>
      <c r="AH637" s="14" t="n">
        <f aca="false">IF(W637=0,0,MAX(0,MIN(AE637,AF637)-MIN(AE637-W637,AF637)))</f>
        <v>0</v>
      </c>
      <c r="AI637" s="14" t="n">
        <f aca="false">IF(W637=0,0,MAX(0,MIN(AE637,AF637+AG637)-MAX(AE637-W637,AF637)))</f>
        <v>0</v>
      </c>
      <c r="AJ637" s="14" t="n">
        <f aca="false">W637-AH637-AI637</f>
        <v>0</v>
      </c>
      <c r="AK637" s="9" t="n">
        <f aca="false">IF(W637=0,0,X637*AH637/W637)</f>
        <v>0</v>
      </c>
      <c r="AL637" s="9" t="n">
        <f aca="false">IF(W637=0,0,X637*AI637/W637)</f>
        <v>0</v>
      </c>
      <c r="AM637" s="9" t="n">
        <f aca="false">X637-AK637-AL637</f>
        <v>0</v>
      </c>
    </row>
    <row r="638" customFormat="false" ht="15" hidden="false" customHeight="false" outlineLevel="0" collapsed="false">
      <c r="A638" s="6" t="n">
        <v>633</v>
      </c>
      <c r="B638" s="74" t="s">
        <v>1010</v>
      </c>
      <c r="C638" s="53" t="str">
        <f aca="false">INDEX(I_Items!$C$5:$C$133,MATCH($B638,I_Items!$A$5:$A$133,0))</f>
        <v>RPA</v>
      </c>
      <c r="D638" s="53" t="str">
        <f aca="false">INDEX(I_Items!$D$5:$D$133,MATCH($B638,I_Items!$A$5:$A$133,0))</f>
        <v>Karkas</v>
      </c>
      <c r="E638" s="53" t="str">
        <f aca="false">INDEX(I_Items!$F$5:$F$133,MATCH($B638,I_Items!$A$5:$A$133,0))</f>
        <v>Frozen</v>
      </c>
      <c r="F638" s="53" t="str">
        <f aca="false">IF(INDEX(I_Items!$E$5:$E$133,MATCH($B638,I_Items!$A$5:$A$133,0))="","",INDEX(I_Items!$E$5:$E$133,MATCH($B638,I_Items!$A$5:$A$133,0)))</f>
        <v>Uk 2.0</v>
      </c>
      <c r="G638" s="76" t="n">
        <v>46204</v>
      </c>
      <c r="H638" s="23" t="n">
        <f aca="false">MONTH(G638)</f>
        <v>7</v>
      </c>
      <c r="I638" s="74" t="s">
        <v>2072</v>
      </c>
      <c r="J638" s="74" t="s">
        <v>2073</v>
      </c>
      <c r="K638" s="10" t="n">
        <v>0</v>
      </c>
      <c r="L638" s="8" t="n">
        <v>-0.01</v>
      </c>
      <c r="M638" s="10" t="n">
        <v>0</v>
      </c>
      <c r="N638" s="8" t="n">
        <v>0</v>
      </c>
      <c r="O638" s="74"/>
      <c r="P638" s="74"/>
      <c r="Q638" s="74"/>
      <c r="R638" s="14" t="n">
        <f aca="false">IF(I638="Unbilled",0,M638)</f>
        <v>0</v>
      </c>
      <c r="S638" s="9" t="n">
        <f aca="false">IF(R638=0,0,IF(O638="Booked",N638,R638*V637))</f>
        <v>0</v>
      </c>
      <c r="T638" s="14" t="n">
        <f aca="false">IF(I638="Opening",K638,T637+K638-R638)</f>
        <v>0</v>
      </c>
      <c r="U638" s="9" t="n">
        <f aca="false">IF(I638="Opening",L638,U637+L638-S638)</f>
        <v>-0.01</v>
      </c>
      <c r="V638" s="9" t="n">
        <f aca="false">IF(T638&gt;0,U638/T638,IF(I638="Opening",0,V637))</f>
        <v>0</v>
      </c>
      <c r="W638" s="14" t="n">
        <f aca="false">M638</f>
        <v>0</v>
      </c>
      <c r="X638" s="9" t="n">
        <f aca="false">IF(W638=0,0,IF(O638="Booked",N638,W638*AA637))</f>
        <v>0</v>
      </c>
      <c r="Y638" s="14" t="n">
        <f aca="false">IF(I638="Opening",K638,Y637+K638-W638)</f>
        <v>0</v>
      </c>
      <c r="Z638" s="9" t="n">
        <f aca="false">IF(I638="Opening",L638,Z637+L638-X638)</f>
        <v>-0.01</v>
      </c>
      <c r="AA638" s="9" t="n">
        <f aca="false">IF(Y638&gt;0,Z638/Y638,IF(I638="Opening",0,AA637))</f>
        <v>0</v>
      </c>
      <c r="AB638" s="9" t="n">
        <f aca="false">IF(AND(I638="DO",O638="MA"),S638-N638,0)</f>
        <v>0</v>
      </c>
      <c r="AC638" s="9" t="n">
        <f aca="false">IF(I638="DO",X638-S638,0)</f>
        <v>0</v>
      </c>
      <c r="AD638" s="23" t="n">
        <f aca="false">IF(B639&lt;&gt;B638,1,0)</f>
        <v>0</v>
      </c>
      <c r="AE638" s="14" t="n">
        <f aca="false">IF(I638="Opening",0,AE637+W638)</f>
        <v>0</v>
      </c>
      <c r="AF638" s="14" t="n">
        <f aca="false">IF(I638="Opening",K638,AF637)</f>
        <v>0</v>
      </c>
      <c r="AG638" s="14" t="n">
        <f aca="false">SUMIFS($K$6:$K$1110,$B$6:$B$1110,B638,$H$6:$H$1110,7,$I$6:$I$1110,"&lt;&gt;Opening")</f>
        <v>0</v>
      </c>
      <c r="AH638" s="14" t="n">
        <f aca="false">IF(W638=0,0,MAX(0,MIN(AE638,AF638)-MIN(AE638-W638,AF638)))</f>
        <v>0</v>
      </c>
      <c r="AI638" s="14" t="n">
        <f aca="false">IF(W638=0,0,MAX(0,MIN(AE638,AF638+AG638)-MAX(AE638-W638,AF638)))</f>
        <v>0</v>
      </c>
      <c r="AJ638" s="14" t="n">
        <f aca="false">W638-AH638-AI638</f>
        <v>0</v>
      </c>
      <c r="AK638" s="9" t="n">
        <f aca="false">IF(W638=0,0,X638*AH638/W638)</f>
        <v>0</v>
      </c>
      <c r="AL638" s="9" t="n">
        <f aca="false">IF(W638=0,0,X638*AI638/W638)</f>
        <v>0</v>
      </c>
      <c r="AM638" s="9" t="n">
        <f aca="false">X638-AK638-AL638</f>
        <v>0</v>
      </c>
    </row>
    <row r="639" customFormat="false" ht="15" hidden="false" customHeight="false" outlineLevel="0" collapsed="false">
      <c r="A639" s="6" t="n">
        <v>634</v>
      </c>
      <c r="B639" s="74" t="s">
        <v>1010</v>
      </c>
      <c r="C639" s="53" t="str">
        <f aca="false">INDEX(I_Items!$C$5:$C$133,MATCH($B639,I_Items!$A$5:$A$133,0))</f>
        <v>RPA</v>
      </c>
      <c r="D639" s="53" t="str">
        <f aca="false">INDEX(I_Items!$D$5:$D$133,MATCH($B639,I_Items!$A$5:$A$133,0))</f>
        <v>Karkas</v>
      </c>
      <c r="E639" s="53" t="str">
        <f aca="false">INDEX(I_Items!$F$5:$F$133,MATCH($B639,I_Items!$A$5:$A$133,0))</f>
        <v>Frozen</v>
      </c>
      <c r="F639" s="53" t="str">
        <f aca="false">IF(INDEX(I_Items!$E$5:$E$133,MATCH($B639,I_Items!$A$5:$A$133,0))="","",INDEX(I_Items!$E$5:$E$133,MATCH($B639,I_Items!$A$5:$A$133,0)))</f>
        <v>Uk 2.0</v>
      </c>
      <c r="G639" s="76" t="n">
        <v>46244</v>
      </c>
      <c r="H639" s="23" t="n">
        <f aca="false">MONTH(G639)</f>
        <v>8</v>
      </c>
      <c r="I639" s="74" t="s">
        <v>2074</v>
      </c>
      <c r="J639" s="74" t="s">
        <v>1298</v>
      </c>
      <c r="K639" s="10" t="n">
        <v>192.2</v>
      </c>
      <c r="L639" s="8" t="n">
        <v>7290959.72</v>
      </c>
      <c r="M639" s="10" t="n">
        <v>0</v>
      </c>
      <c r="N639" s="8" t="n">
        <v>0</v>
      </c>
      <c r="O639" s="74"/>
      <c r="P639" s="74"/>
      <c r="Q639" s="74"/>
      <c r="R639" s="14" t="n">
        <f aca="false">IF(I639="Unbilled",0,M639)</f>
        <v>0</v>
      </c>
      <c r="S639" s="9" t="n">
        <f aca="false">IF(R639=0,0,IF(O639="Booked",N639,R639*V638))</f>
        <v>0</v>
      </c>
      <c r="T639" s="14" t="n">
        <f aca="false">IF(I639="Opening",K639,T638+K639-R639)</f>
        <v>192.2</v>
      </c>
      <c r="U639" s="9" t="n">
        <f aca="false">IF(I639="Opening",L639,U638+L639-S639)</f>
        <v>7290959.71</v>
      </c>
      <c r="V639" s="9" t="n">
        <f aca="false">IF(T639&gt;0,U639/T639,IF(I639="Opening",0,V638))</f>
        <v>37934.2336628512</v>
      </c>
      <c r="W639" s="14" t="n">
        <f aca="false">M639</f>
        <v>0</v>
      </c>
      <c r="X639" s="9" t="n">
        <f aca="false">IF(W639=0,0,IF(O639="Booked",N639,W639*AA638))</f>
        <v>0</v>
      </c>
      <c r="Y639" s="14" t="n">
        <f aca="false">IF(I639="Opening",K639,Y638+K639-W639)</f>
        <v>192.2</v>
      </c>
      <c r="Z639" s="9" t="n">
        <f aca="false">IF(I639="Opening",L639,Z638+L639-X639)</f>
        <v>7290959.71</v>
      </c>
      <c r="AA639" s="9" t="n">
        <f aca="false">IF(Y639&gt;0,Z639/Y639,IF(I639="Opening",0,AA638))</f>
        <v>37934.2336628512</v>
      </c>
      <c r="AB639" s="9" t="n">
        <f aca="false">IF(AND(I639="DO",O639="MA"),S639-N639,0)</f>
        <v>0</v>
      </c>
      <c r="AC639" s="9" t="n">
        <f aca="false">IF(I639="DO",X639-S639,0)</f>
        <v>0</v>
      </c>
      <c r="AD639" s="23" t="n">
        <f aca="false">IF(B640&lt;&gt;B639,1,0)</f>
        <v>0</v>
      </c>
      <c r="AE639" s="14" t="n">
        <f aca="false">IF(I639="Opening",0,AE638+W639)</f>
        <v>0</v>
      </c>
      <c r="AF639" s="14" t="n">
        <f aca="false">IF(I639="Opening",K639,AF638)</f>
        <v>0</v>
      </c>
      <c r="AG639" s="14" t="n">
        <f aca="false">AG638</f>
        <v>0</v>
      </c>
      <c r="AH639" s="14" t="n">
        <f aca="false">IF(W639=0,0,MAX(0,MIN(AE639,AF639)-MIN(AE639-W639,AF639)))</f>
        <v>0</v>
      </c>
      <c r="AI639" s="14" t="n">
        <f aca="false">IF(W639=0,0,MAX(0,MIN(AE639,AF639+AG639)-MAX(AE639-W639,AF639)))</f>
        <v>0</v>
      </c>
      <c r="AJ639" s="14" t="n">
        <f aca="false">W639-AH639-AI639</f>
        <v>0</v>
      </c>
      <c r="AK639" s="9" t="n">
        <f aca="false">IF(W639=0,0,X639*AH639/W639)</f>
        <v>0</v>
      </c>
      <c r="AL639" s="9" t="n">
        <f aca="false">IF(W639=0,0,X639*AI639/W639)</f>
        <v>0</v>
      </c>
      <c r="AM639" s="9" t="n">
        <f aca="false">X639-AK639-AL639</f>
        <v>0</v>
      </c>
    </row>
    <row r="640" customFormat="false" ht="15" hidden="false" customHeight="false" outlineLevel="0" collapsed="false">
      <c r="A640" s="6" t="n">
        <v>635</v>
      </c>
      <c r="B640" s="74" t="s">
        <v>1010</v>
      </c>
      <c r="C640" s="53" t="str">
        <f aca="false">INDEX(I_Items!$C$5:$C$133,MATCH($B640,I_Items!$A$5:$A$133,0))</f>
        <v>RPA</v>
      </c>
      <c r="D640" s="53" t="str">
        <f aca="false">INDEX(I_Items!$D$5:$D$133,MATCH($B640,I_Items!$A$5:$A$133,0))</f>
        <v>Karkas</v>
      </c>
      <c r="E640" s="53" t="str">
        <f aca="false">INDEX(I_Items!$F$5:$F$133,MATCH($B640,I_Items!$A$5:$A$133,0))</f>
        <v>Frozen</v>
      </c>
      <c r="F640" s="53" t="str">
        <f aca="false">IF(INDEX(I_Items!$E$5:$E$133,MATCH($B640,I_Items!$A$5:$A$133,0))="","",INDEX(I_Items!$E$5:$E$133,MATCH($B640,I_Items!$A$5:$A$133,0)))</f>
        <v>Uk 2.0</v>
      </c>
      <c r="G640" s="76" t="n">
        <v>46248</v>
      </c>
      <c r="H640" s="23" t="n">
        <f aca="false">MONTH(G640)</f>
        <v>8</v>
      </c>
      <c r="I640" s="74" t="s">
        <v>2074</v>
      </c>
      <c r="J640" s="74" t="s">
        <v>1302</v>
      </c>
      <c r="K640" s="10" t="n">
        <v>13.7</v>
      </c>
      <c r="L640" s="8" t="n">
        <v>524516</v>
      </c>
      <c r="M640" s="10" t="n">
        <v>0</v>
      </c>
      <c r="N640" s="8" t="n">
        <v>0</v>
      </c>
      <c r="O640" s="74"/>
      <c r="P640" s="74"/>
      <c r="Q640" s="74"/>
      <c r="R640" s="14" t="n">
        <f aca="false">IF(I640="Unbilled",0,M640)</f>
        <v>0</v>
      </c>
      <c r="S640" s="9" t="n">
        <f aca="false">IF(R640=0,0,IF(O640="Booked",N640,R640*V639))</f>
        <v>0</v>
      </c>
      <c r="T640" s="14" t="n">
        <f aca="false">IF(I640="Opening",K640,T639+K640-R640)</f>
        <v>205.9</v>
      </c>
      <c r="U640" s="9" t="n">
        <f aca="false">IF(I640="Opening",L640,U639+L640-S640)</f>
        <v>7815475.71</v>
      </c>
      <c r="V640" s="9" t="n">
        <f aca="false">IF(T640&gt;0,U640/T640,IF(I640="Opening",0,V639))</f>
        <v>37957.628508985</v>
      </c>
      <c r="W640" s="14" t="n">
        <f aca="false">M640</f>
        <v>0</v>
      </c>
      <c r="X640" s="9" t="n">
        <f aca="false">IF(W640=0,0,IF(O640="Booked",N640,W640*AA639))</f>
        <v>0</v>
      </c>
      <c r="Y640" s="14" t="n">
        <f aca="false">IF(I640="Opening",K640,Y639+K640-W640)</f>
        <v>205.9</v>
      </c>
      <c r="Z640" s="9" t="n">
        <f aca="false">IF(I640="Opening",L640,Z639+L640-X640)</f>
        <v>7815475.71</v>
      </c>
      <c r="AA640" s="9" t="n">
        <f aca="false">IF(Y640&gt;0,Z640/Y640,IF(I640="Opening",0,AA639))</f>
        <v>37957.628508985</v>
      </c>
      <c r="AB640" s="9" t="n">
        <f aca="false">IF(AND(I640="DO",O640="MA"),S640-N640,0)</f>
        <v>0</v>
      </c>
      <c r="AC640" s="9" t="n">
        <f aca="false">IF(I640="DO",X640-S640,0)</f>
        <v>0</v>
      </c>
      <c r="AD640" s="23" t="n">
        <f aca="false">IF(B641&lt;&gt;B640,1,0)</f>
        <v>0</v>
      </c>
      <c r="AE640" s="14" t="n">
        <f aca="false">IF(I640="Opening",0,AE639+W640)</f>
        <v>0</v>
      </c>
      <c r="AF640" s="14" t="n">
        <f aca="false">IF(I640="Opening",K640,AF639)</f>
        <v>0</v>
      </c>
      <c r="AG640" s="14" t="n">
        <f aca="false">AG639</f>
        <v>0</v>
      </c>
      <c r="AH640" s="14" t="n">
        <f aca="false">IF(W640=0,0,MAX(0,MIN(AE640,AF640)-MIN(AE640-W640,AF640)))</f>
        <v>0</v>
      </c>
      <c r="AI640" s="14" t="n">
        <f aca="false">IF(W640=0,0,MAX(0,MIN(AE640,AF640+AG640)-MAX(AE640-W640,AF640)))</f>
        <v>0</v>
      </c>
      <c r="AJ640" s="14" t="n">
        <f aca="false">W640-AH640-AI640</f>
        <v>0</v>
      </c>
      <c r="AK640" s="9" t="n">
        <f aca="false">IF(W640=0,0,X640*AH640/W640)</f>
        <v>0</v>
      </c>
      <c r="AL640" s="9" t="n">
        <f aca="false">IF(W640=0,0,X640*AI640/W640)</f>
        <v>0</v>
      </c>
      <c r="AM640" s="9" t="n">
        <f aca="false">X640-AK640-AL640</f>
        <v>0</v>
      </c>
    </row>
    <row r="641" customFormat="false" ht="15" hidden="false" customHeight="false" outlineLevel="0" collapsed="false">
      <c r="A641" s="6" t="n">
        <v>636</v>
      </c>
      <c r="B641" s="74" t="s">
        <v>1010</v>
      </c>
      <c r="C641" s="53" t="str">
        <f aca="false">INDEX(I_Items!$C$5:$C$133,MATCH($B641,I_Items!$A$5:$A$133,0))</f>
        <v>RPA</v>
      </c>
      <c r="D641" s="53" t="str">
        <f aca="false">INDEX(I_Items!$D$5:$D$133,MATCH($B641,I_Items!$A$5:$A$133,0))</f>
        <v>Karkas</v>
      </c>
      <c r="E641" s="53" t="str">
        <f aca="false">INDEX(I_Items!$F$5:$F$133,MATCH($B641,I_Items!$A$5:$A$133,0))</f>
        <v>Frozen</v>
      </c>
      <c r="F641" s="53" t="str">
        <f aca="false">IF(INDEX(I_Items!$E$5:$E$133,MATCH($B641,I_Items!$A$5:$A$133,0))="","",INDEX(I_Items!$E$5:$E$133,MATCH($B641,I_Items!$A$5:$A$133,0)))</f>
        <v>Uk 2.0</v>
      </c>
      <c r="G641" s="76" t="n">
        <v>46253</v>
      </c>
      <c r="H641" s="23" t="n">
        <f aca="false">MONTH(G641)</f>
        <v>8</v>
      </c>
      <c r="I641" s="74" t="s">
        <v>2074</v>
      </c>
      <c r="J641" s="74" t="s">
        <v>1305</v>
      </c>
      <c r="K641" s="10" t="n">
        <v>19.7</v>
      </c>
      <c r="L641" s="8" t="n">
        <v>744397.78</v>
      </c>
      <c r="M641" s="10" t="n">
        <v>0</v>
      </c>
      <c r="N641" s="8" t="n">
        <v>0</v>
      </c>
      <c r="O641" s="74"/>
      <c r="P641" s="74"/>
      <c r="Q641" s="74"/>
      <c r="R641" s="14" t="n">
        <f aca="false">IF(I641="Unbilled",0,M641)</f>
        <v>0</v>
      </c>
      <c r="S641" s="9" t="n">
        <f aca="false">IF(R641=0,0,IF(O641="Booked",N641,R641*V640))</f>
        <v>0</v>
      </c>
      <c r="T641" s="14" t="n">
        <f aca="false">IF(I641="Opening",K641,T640+K641-R641)</f>
        <v>225.6</v>
      </c>
      <c r="U641" s="9" t="n">
        <f aca="false">IF(I641="Opening",L641,U640+L641-S641)</f>
        <v>8559873.49</v>
      </c>
      <c r="V641" s="9" t="n">
        <f aca="false">IF(T641&gt;0,U641/T641,IF(I641="Opening",0,V640))</f>
        <v>37942.7016400709</v>
      </c>
      <c r="W641" s="14" t="n">
        <f aca="false">M641</f>
        <v>0</v>
      </c>
      <c r="X641" s="9" t="n">
        <f aca="false">IF(W641=0,0,IF(O641="Booked",N641,W641*AA640))</f>
        <v>0</v>
      </c>
      <c r="Y641" s="14" t="n">
        <f aca="false">IF(I641="Opening",K641,Y640+K641-W641)</f>
        <v>225.6</v>
      </c>
      <c r="Z641" s="9" t="n">
        <f aca="false">IF(I641="Opening",L641,Z640+L641-X641)</f>
        <v>8559873.49</v>
      </c>
      <c r="AA641" s="9" t="n">
        <f aca="false">IF(Y641&gt;0,Z641/Y641,IF(I641="Opening",0,AA640))</f>
        <v>37942.7016400709</v>
      </c>
      <c r="AB641" s="9" t="n">
        <f aca="false">IF(AND(I641="DO",O641="MA"),S641-N641,0)</f>
        <v>0</v>
      </c>
      <c r="AC641" s="9" t="n">
        <f aca="false">IF(I641="DO",X641-S641,0)</f>
        <v>0</v>
      </c>
      <c r="AD641" s="23" t="n">
        <f aca="false">IF(B642&lt;&gt;B641,1,0)</f>
        <v>1</v>
      </c>
      <c r="AE641" s="14" t="n">
        <f aca="false">IF(I641="Opening",0,AE640+W641)</f>
        <v>0</v>
      </c>
      <c r="AF641" s="14" t="n">
        <f aca="false">IF(I641="Opening",K641,AF640)</f>
        <v>0</v>
      </c>
      <c r="AG641" s="14" t="n">
        <f aca="false">AG640</f>
        <v>0</v>
      </c>
      <c r="AH641" s="14" t="n">
        <f aca="false">IF(W641=0,0,MAX(0,MIN(AE641,AF641)-MIN(AE641-W641,AF641)))</f>
        <v>0</v>
      </c>
      <c r="AI641" s="14" t="n">
        <f aca="false">IF(W641=0,0,MAX(0,MIN(AE641,AF641+AG641)-MAX(AE641-W641,AF641)))</f>
        <v>0</v>
      </c>
      <c r="AJ641" s="14" t="n">
        <f aca="false">W641-AH641-AI641</f>
        <v>0</v>
      </c>
      <c r="AK641" s="9" t="n">
        <f aca="false">IF(W641=0,0,X641*AH641/W641)</f>
        <v>0</v>
      </c>
      <c r="AL641" s="9" t="n">
        <f aca="false">IF(W641=0,0,X641*AI641/W641)</f>
        <v>0</v>
      </c>
      <c r="AM641" s="9" t="n">
        <f aca="false">X641-AK641-AL641</f>
        <v>0</v>
      </c>
    </row>
    <row r="642" customFormat="false" ht="15" hidden="false" customHeight="false" outlineLevel="0" collapsed="false">
      <c r="A642" s="6" t="n">
        <v>637</v>
      </c>
      <c r="B642" s="74" t="s">
        <v>1011</v>
      </c>
      <c r="C642" s="53" t="str">
        <f aca="false">INDEX(I_Items!$C$5:$C$133,MATCH($B642,I_Items!$A$5:$A$133,0))</f>
        <v>RPA</v>
      </c>
      <c r="D642" s="53" t="str">
        <f aca="false">INDEX(I_Items!$D$5:$D$133,MATCH($B642,I_Items!$A$5:$A$133,0))</f>
        <v>Paha (parting)</v>
      </c>
      <c r="E642" s="53" t="str">
        <f aca="false">INDEX(I_Items!$F$5:$F$133,MATCH($B642,I_Items!$A$5:$A$133,0))</f>
        <v>Frozen</v>
      </c>
      <c r="F642" s="53" t="str">
        <f aca="false">IF(INDEX(I_Items!$E$5:$E$133,MATCH($B642,I_Items!$A$5:$A$133,0))="","",INDEX(I_Items!$E$5:$E$133,MATCH($B642,I_Items!$A$5:$A$133,0)))</f>
        <v/>
      </c>
      <c r="G642" s="76" t="n">
        <v>46204</v>
      </c>
      <c r="H642" s="23" t="n">
        <f aca="false">MONTH(G642)</f>
        <v>7</v>
      </c>
      <c r="I642" s="74" t="s">
        <v>2072</v>
      </c>
      <c r="J642" s="74" t="s">
        <v>2073</v>
      </c>
      <c r="K642" s="10" t="n">
        <v>1083.21</v>
      </c>
      <c r="L642" s="8" t="n">
        <v>34175453.13</v>
      </c>
      <c r="M642" s="10" t="n">
        <v>0</v>
      </c>
      <c r="N642" s="8" t="n">
        <v>0</v>
      </c>
      <c r="O642" s="74"/>
      <c r="P642" s="74"/>
      <c r="Q642" s="74"/>
      <c r="R642" s="14" t="n">
        <f aca="false">IF(I642="Unbilled",0,M642)</f>
        <v>0</v>
      </c>
      <c r="S642" s="9" t="n">
        <f aca="false">IF(R642=0,0,IF(O642="Booked",N642,R642*V641))</f>
        <v>0</v>
      </c>
      <c r="T642" s="14" t="n">
        <f aca="false">IF(I642="Opening",K642,T641+K642-R642)</f>
        <v>1083.21</v>
      </c>
      <c r="U642" s="9" t="n">
        <f aca="false">IF(I642="Opening",L642,U641+L642-S642)</f>
        <v>34175453.13</v>
      </c>
      <c r="V642" s="9" t="n">
        <f aca="false">IF(T642&gt;0,U642/T642,IF(I642="Opening",0,V641))</f>
        <v>31550.1639848229</v>
      </c>
      <c r="W642" s="14" t="n">
        <f aca="false">M642</f>
        <v>0</v>
      </c>
      <c r="X642" s="9" t="n">
        <f aca="false">IF(W642=0,0,IF(O642="Booked",N642,W642*AA641))</f>
        <v>0</v>
      </c>
      <c r="Y642" s="14" t="n">
        <f aca="false">IF(I642="Opening",K642,Y641+K642-W642)</f>
        <v>1083.21</v>
      </c>
      <c r="Z642" s="9" t="n">
        <f aca="false">IF(I642="Opening",L642,Z641+L642-X642)</f>
        <v>34175453.13</v>
      </c>
      <c r="AA642" s="9" t="n">
        <f aca="false">IF(Y642&gt;0,Z642/Y642,IF(I642="Opening",0,AA641))</f>
        <v>31550.1639848229</v>
      </c>
      <c r="AB642" s="9" t="n">
        <f aca="false">IF(AND(I642="DO",O642="MA"),S642-N642,0)</f>
        <v>0</v>
      </c>
      <c r="AC642" s="9" t="n">
        <f aca="false">IF(I642="DO",X642-S642,0)</f>
        <v>0</v>
      </c>
      <c r="AD642" s="23" t="n">
        <f aca="false">IF(B643&lt;&gt;B642,1,0)</f>
        <v>0</v>
      </c>
      <c r="AE642" s="14" t="n">
        <f aca="false">IF(I642="Opening",0,AE641+W642)</f>
        <v>0</v>
      </c>
      <c r="AF642" s="14" t="n">
        <f aca="false">IF(I642="Opening",K642,AF641)</f>
        <v>1083.21</v>
      </c>
      <c r="AG642" s="14" t="n">
        <f aca="false">SUMIFS($K$6:$K$1110,$B$6:$B$1110,B642,$H$6:$H$1110,7,$I$6:$I$1110,"&lt;&gt;Opening")</f>
        <v>0</v>
      </c>
      <c r="AH642" s="14" t="n">
        <f aca="false">IF(W642=0,0,MAX(0,MIN(AE642,AF642)-MIN(AE642-W642,AF642)))</f>
        <v>0</v>
      </c>
      <c r="AI642" s="14" t="n">
        <f aca="false">IF(W642=0,0,MAX(0,MIN(AE642,AF642+AG642)-MAX(AE642-W642,AF642)))</f>
        <v>0</v>
      </c>
      <c r="AJ642" s="14" t="n">
        <f aca="false">W642-AH642-AI642</f>
        <v>0</v>
      </c>
      <c r="AK642" s="9" t="n">
        <f aca="false">IF(W642=0,0,X642*AH642/W642)</f>
        <v>0</v>
      </c>
      <c r="AL642" s="9" t="n">
        <f aca="false">IF(W642=0,0,X642*AI642/W642)</f>
        <v>0</v>
      </c>
      <c r="AM642" s="9" t="n">
        <f aca="false">X642-AK642-AL642</f>
        <v>0</v>
      </c>
    </row>
    <row r="643" customFormat="false" ht="15" hidden="false" customHeight="false" outlineLevel="0" collapsed="false">
      <c r="A643" s="6" t="n">
        <v>638</v>
      </c>
      <c r="B643" s="74" t="s">
        <v>1011</v>
      </c>
      <c r="C643" s="53" t="str">
        <f aca="false">INDEX(I_Items!$C$5:$C$133,MATCH($B643,I_Items!$A$5:$A$133,0))</f>
        <v>RPA</v>
      </c>
      <c r="D643" s="53" t="str">
        <f aca="false">INDEX(I_Items!$D$5:$D$133,MATCH($B643,I_Items!$A$5:$A$133,0))</f>
        <v>Paha (parting)</v>
      </c>
      <c r="E643" s="53" t="str">
        <f aca="false">INDEX(I_Items!$F$5:$F$133,MATCH($B643,I_Items!$A$5:$A$133,0))</f>
        <v>Frozen</v>
      </c>
      <c r="F643" s="53" t="str">
        <f aca="false">IF(INDEX(I_Items!$E$5:$E$133,MATCH($B643,I_Items!$A$5:$A$133,0))="","",INDEX(I_Items!$E$5:$E$133,MATCH($B643,I_Items!$A$5:$A$133,0)))</f>
        <v/>
      </c>
      <c r="G643" s="76" t="n">
        <v>46247</v>
      </c>
      <c r="H643" s="23" t="n">
        <f aca="false">MONTH(G643)</f>
        <v>8</v>
      </c>
      <c r="I643" s="74" t="s">
        <v>2075</v>
      </c>
      <c r="J643" s="74" t="s">
        <v>2171</v>
      </c>
      <c r="K643" s="10" t="n">
        <v>0</v>
      </c>
      <c r="L643" s="8" t="n">
        <v>0</v>
      </c>
      <c r="M643" s="10" t="n">
        <v>19.8</v>
      </c>
      <c r="N643" s="8" t="n">
        <v>624693.25</v>
      </c>
      <c r="O643" s="74" t="s">
        <v>2077</v>
      </c>
      <c r="P643" s="74"/>
      <c r="Q643" s="74"/>
      <c r="R643" s="14" t="n">
        <f aca="false">IF(I643="Unbilled",0,M643)</f>
        <v>19.8</v>
      </c>
      <c r="S643" s="9" t="n">
        <f aca="false">IF(R643=0,0,IF(O643="Booked",N643,R643*V642))</f>
        <v>624693.246899493</v>
      </c>
      <c r="T643" s="14" t="n">
        <f aca="false">IF(I643="Opening",K643,T642+K643-R643)</f>
        <v>1063.41</v>
      </c>
      <c r="U643" s="9" t="n">
        <f aca="false">IF(I643="Opening",L643,U642+L643-S643)</f>
        <v>33550759.8831005</v>
      </c>
      <c r="V643" s="9" t="n">
        <f aca="false">IF(T643&gt;0,U643/T643,IF(I643="Opening",0,V642))</f>
        <v>31550.1639848229</v>
      </c>
      <c r="W643" s="14" t="n">
        <f aca="false">M643</f>
        <v>19.8</v>
      </c>
      <c r="X643" s="9" t="n">
        <f aca="false">IF(W643=0,0,IF(O643="Booked",N643,W643*AA642))</f>
        <v>624693.246899493</v>
      </c>
      <c r="Y643" s="14" t="n">
        <f aca="false">IF(I643="Opening",K643,Y642+K643-W643)</f>
        <v>1063.41</v>
      </c>
      <c r="Z643" s="9" t="n">
        <f aca="false">IF(I643="Opening",L643,Z642+L643-X643)</f>
        <v>33550759.8831005</v>
      </c>
      <c r="AA643" s="9" t="n">
        <f aca="false">IF(Y643&gt;0,Z643/Y643,IF(I643="Opening",0,AA642))</f>
        <v>31550.1639848229</v>
      </c>
      <c r="AB643" s="9" t="n">
        <f aca="false">IF(AND(I643="DO",O643="MA"),S643-N643,0)</f>
        <v>-0.00310050684493035</v>
      </c>
      <c r="AC643" s="9" t="n">
        <f aca="false">IF(I643="DO",X643-S643,0)</f>
        <v>0</v>
      </c>
      <c r="AD643" s="23" t="n">
        <f aca="false">IF(B644&lt;&gt;B643,1,0)</f>
        <v>0</v>
      </c>
      <c r="AE643" s="14" t="n">
        <f aca="false">IF(I643="Opening",0,AE642+W643)</f>
        <v>19.8</v>
      </c>
      <c r="AF643" s="14" t="n">
        <f aca="false">IF(I643="Opening",K643,AF642)</f>
        <v>1083.21</v>
      </c>
      <c r="AG643" s="14" t="n">
        <f aca="false">AG642</f>
        <v>0</v>
      </c>
      <c r="AH643" s="14" t="n">
        <f aca="false">IF(W643=0,0,MAX(0,MIN(AE643,AF643)-MIN(AE643-W643,AF643)))</f>
        <v>19.8</v>
      </c>
      <c r="AI643" s="14" t="n">
        <f aca="false">IF(W643=0,0,MAX(0,MIN(AE643,AF643+AG643)-MAX(AE643-W643,AF643)))</f>
        <v>0</v>
      </c>
      <c r="AJ643" s="14" t="n">
        <f aca="false">W643-AH643-AI643</f>
        <v>0</v>
      </c>
      <c r="AK643" s="9" t="n">
        <f aca="false">IF(W643=0,0,X643*AH643/W643)</f>
        <v>624693.246899493</v>
      </c>
      <c r="AL643" s="9" t="n">
        <f aca="false">IF(W643=0,0,X643*AI643/W643)</f>
        <v>0</v>
      </c>
      <c r="AM643" s="9" t="n">
        <f aca="false">X643-AK643-AL643</f>
        <v>0</v>
      </c>
    </row>
    <row r="644" customFormat="false" ht="15" hidden="false" customHeight="false" outlineLevel="0" collapsed="false">
      <c r="A644" s="6" t="n">
        <v>639</v>
      </c>
      <c r="B644" s="74" t="s">
        <v>1011</v>
      </c>
      <c r="C644" s="53" t="str">
        <f aca="false">INDEX(I_Items!$C$5:$C$133,MATCH($B644,I_Items!$A$5:$A$133,0))</f>
        <v>RPA</v>
      </c>
      <c r="D644" s="53" t="str">
        <f aca="false">INDEX(I_Items!$D$5:$D$133,MATCH($B644,I_Items!$A$5:$A$133,0))</f>
        <v>Paha (parting)</v>
      </c>
      <c r="E644" s="53" t="str">
        <f aca="false">INDEX(I_Items!$F$5:$F$133,MATCH($B644,I_Items!$A$5:$A$133,0))</f>
        <v>Frozen</v>
      </c>
      <c r="F644" s="53" t="str">
        <f aca="false">IF(INDEX(I_Items!$E$5:$E$133,MATCH($B644,I_Items!$A$5:$A$133,0))="","",INDEX(I_Items!$E$5:$E$133,MATCH($B644,I_Items!$A$5:$A$133,0)))</f>
        <v/>
      </c>
      <c r="G644" s="76" t="n">
        <v>46248</v>
      </c>
      <c r="H644" s="23" t="n">
        <f aca="false">MONTH(G644)</f>
        <v>8</v>
      </c>
      <c r="I644" s="74" t="s">
        <v>2075</v>
      </c>
      <c r="J644" s="74" t="s">
        <v>2172</v>
      </c>
      <c r="K644" s="10" t="n">
        <v>0</v>
      </c>
      <c r="L644" s="8" t="n">
        <v>0</v>
      </c>
      <c r="M644" s="10" t="n">
        <v>165.5</v>
      </c>
      <c r="N644" s="8" t="n">
        <v>5221552.13</v>
      </c>
      <c r="O644" s="74" t="s">
        <v>2077</v>
      </c>
      <c r="P644" s="74"/>
      <c r="Q644" s="74"/>
      <c r="R644" s="14" t="n">
        <f aca="false">IF(I644="Unbilled",0,M644)</f>
        <v>165.5</v>
      </c>
      <c r="S644" s="9" t="n">
        <f aca="false">IF(R644=0,0,IF(O644="Booked",N644,R644*V643))</f>
        <v>5221552.13948819</v>
      </c>
      <c r="T644" s="14" t="n">
        <f aca="false">IF(I644="Opening",K644,T643+K644-R644)</f>
        <v>897.91</v>
      </c>
      <c r="U644" s="9" t="n">
        <f aca="false">IF(I644="Opening",L644,U643+L644-S644)</f>
        <v>28329207.7436123</v>
      </c>
      <c r="V644" s="9" t="n">
        <f aca="false">IF(T644&gt;0,U644/T644,IF(I644="Opening",0,V643))</f>
        <v>31550.1639848229</v>
      </c>
      <c r="W644" s="14" t="n">
        <f aca="false">M644</f>
        <v>165.5</v>
      </c>
      <c r="X644" s="9" t="n">
        <f aca="false">IF(W644=0,0,IF(O644="Booked",N644,W644*AA643))</f>
        <v>5221552.13948819</v>
      </c>
      <c r="Y644" s="14" t="n">
        <f aca="false">IF(I644="Opening",K644,Y643+K644-W644)</f>
        <v>897.91</v>
      </c>
      <c r="Z644" s="9" t="n">
        <f aca="false">IF(I644="Opening",L644,Z643+L644-X644)</f>
        <v>28329207.7436123</v>
      </c>
      <c r="AA644" s="9" t="n">
        <f aca="false">IF(Y644&gt;0,Z644/Y644,IF(I644="Opening",0,AA643))</f>
        <v>31550.1639848229</v>
      </c>
      <c r="AB644" s="9" t="n">
        <f aca="false">IF(AND(I644="DO",O644="MA"),S644-N644,0)</f>
        <v>0.00948818773031235</v>
      </c>
      <c r="AC644" s="9" t="n">
        <f aca="false">IF(I644="DO",X644-S644,0)</f>
        <v>0</v>
      </c>
      <c r="AD644" s="23" t="n">
        <f aca="false">IF(B645&lt;&gt;B644,1,0)</f>
        <v>0</v>
      </c>
      <c r="AE644" s="14" t="n">
        <f aca="false">IF(I644="Opening",0,AE643+W644)</f>
        <v>185.3</v>
      </c>
      <c r="AF644" s="14" t="n">
        <f aca="false">IF(I644="Opening",K644,AF643)</f>
        <v>1083.21</v>
      </c>
      <c r="AG644" s="14" t="n">
        <f aca="false">AG643</f>
        <v>0</v>
      </c>
      <c r="AH644" s="14" t="n">
        <f aca="false">IF(W644=0,0,MAX(0,MIN(AE644,AF644)-MIN(AE644-W644,AF644)))</f>
        <v>165.5</v>
      </c>
      <c r="AI644" s="14" t="n">
        <f aca="false">IF(W644=0,0,MAX(0,MIN(AE644,AF644+AG644)-MAX(AE644-W644,AF644)))</f>
        <v>0</v>
      </c>
      <c r="AJ644" s="14" t="n">
        <f aca="false">W644-AH644-AI644</f>
        <v>0</v>
      </c>
      <c r="AK644" s="9" t="n">
        <f aca="false">IF(W644=0,0,X644*AH644/W644)</f>
        <v>5221552.13948819</v>
      </c>
      <c r="AL644" s="9" t="n">
        <f aca="false">IF(W644=0,0,X644*AI644/W644)</f>
        <v>0</v>
      </c>
      <c r="AM644" s="9" t="n">
        <f aca="false">X644-AK644-AL644</f>
        <v>0</v>
      </c>
    </row>
    <row r="645" customFormat="false" ht="15" hidden="false" customHeight="false" outlineLevel="0" collapsed="false">
      <c r="A645" s="6" t="n">
        <v>640</v>
      </c>
      <c r="B645" s="74" t="s">
        <v>1011</v>
      </c>
      <c r="C645" s="53" t="str">
        <f aca="false">INDEX(I_Items!$C$5:$C$133,MATCH($B645,I_Items!$A$5:$A$133,0))</f>
        <v>RPA</v>
      </c>
      <c r="D645" s="53" t="str">
        <f aca="false">INDEX(I_Items!$D$5:$D$133,MATCH($B645,I_Items!$A$5:$A$133,0))</f>
        <v>Paha (parting)</v>
      </c>
      <c r="E645" s="53" t="str">
        <f aca="false">INDEX(I_Items!$F$5:$F$133,MATCH($B645,I_Items!$A$5:$A$133,0))</f>
        <v>Frozen</v>
      </c>
      <c r="F645" s="53" t="str">
        <f aca="false">IF(INDEX(I_Items!$E$5:$E$133,MATCH($B645,I_Items!$A$5:$A$133,0))="","",INDEX(I_Items!$E$5:$E$133,MATCH($B645,I_Items!$A$5:$A$133,0)))</f>
        <v/>
      </c>
      <c r="G645" s="76" t="n">
        <v>46248</v>
      </c>
      <c r="H645" s="23" t="n">
        <f aca="false">MONTH(G645)</f>
        <v>8</v>
      </c>
      <c r="I645" s="74" t="s">
        <v>2075</v>
      </c>
      <c r="J645" s="74" t="s">
        <v>2173</v>
      </c>
      <c r="K645" s="10" t="n">
        <v>0</v>
      </c>
      <c r="L645" s="8" t="n">
        <v>0</v>
      </c>
      <c r="M645" s="10" t="n">
        <v>630.2</v>
      </c>
      <c r="N645" s="8" t="n">
        <v>19882913.29</v>
      </c>
      <c r="O645" s="74" t="s">
        <v>2077</v>
      </c>
      <c r="P645" s="74"/>
      <c r="Q645" s="74"/>
      <c r="R645" s="14" t="n">
        <f aca="false">IF(I645="Unbilled",0,M645)</f>
        <v>630.2</v>
      </c>
      <c r="S645" s="9" t="n">
        <f aca="false">IF(R645=0,0,IF(O645="Booked",N645,R645*V644))</f>
        <v>19882913.3432354</v>
      </c>
      <c r="T645" s="14" t="n">
        <f aca="false">IF(I645="Opening",K645,T644+K645-R645)</f>
        <v>267.71</v>
      </c>
      <c r="U645" s="9" t="n">
        <f aca="false">IF(I645="Opening",L645,U644+L645-S645)</f>
        <v>8446294.40037694</v>
      </c>
      <c r="V645" s="9" t="n">
        <f aca="false">IF(T645&gt;0,U645/T645,IF(I645="Opening",0,V644))</f>
        <v>31550.1639848229</v>
      </c>
      <c r="W645" s="14" t="n">
        <f aca="false">M645</f>
        <v>630.2</v>
      </c>
      <c r="X645" s="9" t="n">
        <f aca="false">IF(W645=0,0,IF(O645="Booked",N645,W645*AA644))</f>
        <v>19882913.3432354</v>
      </c>
      <c r="Y645" s="14" t="n">
        <f aca="false">IF(I645="Opening",K645,Y644+K645-W645)</f>
        <v>267.71</v>
      </c>
      <c r="Z645" s="9" t="n">
        <f aca="false">IF(I645="Opening",L645,Z644+L645-X645)</f>
        <v>8446294.40037694</v>
      </c>
      <c r="AA645" s="9" t="n">
        <f aca="false">IF(Y645&gt;0,Z645/Y645,IF(I645="Opening",0,AA644))</f>
        <v>31550.1639848229</v>
      </c>
      <c r="AB645" s="9" t="n">
        <f aca="false">IF(AND(I645="DO",O645="MA"),S645-N645,0)</f>
        <v>0.0532353855669498</v>
      </c>
      <c r="AC645" s="9" t="n">
        <f aca="false">IF(I645="DO",X645-S645,0)</f>
        <v>0</v>
      </c>
      <c r="AD645" s="23" t="n">
        <f aca="false">IF(B646&lt;&gt;B645,1,0)</f>
        <v>0</v>
      </c>
      <c r="AE645" s="14" t="n">
        <f aca="false">IF(I645="Opening",0,AE644+W645)</f>
        <v>815.5</v>
      </c>
      <c r="AF645" s="14" t="n">
        <f aca="false">IF(I645="Opening",K645,AF644)</f>
        <v>1083.21</v>
      </c>
      <c r="AG645" s="14" t="n">
        <f aca="false">AG644</f>
        <v>0</v>
      </c>
      <c r="AH645" s="14" t="n">
        <f aca="false">IF(W645=0,0,MAX(0,MIN(AE645,AF645)-MIN(AE645-W645,AF645)))</f>
        <v>630.2</v>
      </c>
      <c r="AI645" s="14" t="n">
        <f aca="false">IF(W645=0,0,MAX(0,MIN(AE645,AF645+AG645)-MAX(AE645-W645,AF645)))</f>
        <v>0</v>
      </c>
      <c r="AJ645" s="14" t="n">
        <f aca="false">W645-AH645-AI645</f>
        <v>0</v>
      </c>
      <c r="AK645" s="9" t="n">
        <f aca="false">IF(W645=0,0,X645*AH645/W645)</f>
        <v>19882913.3432354</v>
      </c>
      <c r="AL645" s="9" t="n">
        <f aca="false">IF(W645=0,0,X645*AI645/W645)</f>
        <v>0</v>
      </c>
      <c r="AM645" s="9" t="n">
        <f aca="false">X645-AK645-AL645</f>
        <v>0</v>
      </c>
    </row>
    <row r="646" customFormat="false" ht="15" hidden="false" customHeight="false" outlineLevel="0" collapsed="false">
      <c r="A646" s="6" t="n">
        <v>641</v>
      </c>
      <c r="B646" s="74" t="s">
        <v>1011</v>
      </c>
      <c r="C646" s="53" t="str">
        <f aca="false">INDEX(I_Items!$C$5:$C$133,MATCH($B646,I_Items!$A$5:$A$133,0))</f>
        <v>RPA</v>
      </c>
      <c r="D646" s="53" t="str">
        <f aca="false">INDEX(I_Items!$D$5:$D$133,MATCH($B646,I_Items!$A$5:$A$133,0))</f>
        <v>Paha (parting)</v>
      </c>
      <c r="E646" s="53" t="str">
        <f aca="false">INDEX(I_Items!$F$5:$F$133,MATCH($B646,I_Items!$A$5:$A$133,0))</f>
        <v>Frozen</v>
      </c>
      <c r="F646" s="53" t="str">
        <f aca="false">IF(INDEX(I_Items!$E$5:$E$133,MATCH($B646,I_Items!$A$5:$A$133,0))="","",INDEX(I_Items!$E$5:$E$133,MATCH($B646,I_Items!$A$5:$A$133,0)))</f>
        <v/>
      </c>
      <c r="G646" s="76" t="n">
        <v>46248</v>
      </c>
      <c r="H646" s="23" t="n">
        <f aca="false">MONTH(G646)</f>
        <v>8</v>
      </c>
      <c r="I646" s="74" t="s">
        <v>2075</v>
      </c>
      <c r="J646" s="74" t="s">
        <v>2173</v>
      </c>
      <c r="K646" s="10" t="n">
        <v>0</v>
      </c>
      <c r="L646" s="8" t="n">
        <v>0</v>
      </c>
      <c r="M646" s="10" t="n">
        <v>226.9</v>
      </c>
      <c r="N646" s="8" t="n">
        <v>7158732.19</v>
      </c>
      <c r="O646" s="74" t="s">
        <v>2077</v>
      </c>
      <c r="P646" s="74"/>
      <c r="Q646" s="74"/>
      <c r="R646" s="14" t="n">
        <f aca="false">IF(I646="Unbilled",0,M646)</f>
        <v>226.9</v>
      </c>
      <c r="S646" s="9" t="n">
        <f aca="false">IF(R646=0,0,IF(O646="Booked",N646,R646*V645))</f>
        <v>7158732.20815632</v>
      </c>
      <c r="T646" s="14" t="n">
        <f aca="false">IF(I646="Opening",K646,T645+K646-R646)</f>
        <v>40.81</v>
      </c>
      <c r="U646" s="9" t="n">
        <f aca="false">IF(I646="Opening",L646,U645+L646-S646)</f>
        <v>1287562.19222062</v>
      </c>
      <c r="V646" s="9" t="n">
        <f aca="false">IF(T646&gt;0,U646/T646,IF(I646="Opening",0,V645))</f>
        <v>31550.1639848229</v>
      </c>
      <c r="W646" s="14" t="n">
        <f aca="false">M646</f>
        <v>226.9</v>
      </c>
      <c r="X646" s="9" t="n">
        <f aca="false">IF(W646=0,0,IF(O646="Booked",N646,W646*AA645))</f>
        <v>7158732.20815632</v>
      </c>
      <c r="Y646" s="14" t="n">
        <f aca="false">IF(I646="Opening",K646,Y645+K646-W646)</f>
        <v>40.81</v>
      </c>
      <c r="Z646" s="9" t="n">
        <f aca="false">IF(I646="Opening",L646,Z645+L646-X646)</f>
        <v>1287562.19222062</v>
      </c>
      <c r="AA646" s="9" t="n">
        <f aca="false">IF(Y646&gt;0,Z646/Y646,IF(I646="Opening",0,AA645))</f>
        <v>31550.1639848229</v>
      </c>
      <c r="AB646" s="9" t="n">
        <f aca="false">IF(AND(I646="DO",O646="MA"),S646-N646,0)</f>
        <v>0.0181563142687082</v>
      </c>
      <c r="AC646" s="9" t="n">
        <f aca="false">IF(I646="DO",X646-S646,0)</f>
        <v>0</v>
      </c>
      <c r="AD646" s="23" t="n">
        <f aca="false">IF(B647&lt;&gt;B646,1,0)</f>
        <v>1</v>
      </c>
      <c r="AE646" s="14" t="n">
        <f aca="false">IF(I646="Opening",0,AE645+W646)</f>
        <v>1042.4</v>
      </c>
      <c r="AF646" s="14" t="n">
        <f aca="false">IF(I646="Opening",K646,AF645)</f>
        <v>1083.21</v>
      </c>
      <c r="AG646" s="14" t="n">
        <f aca="false">AG645</f>
        <v>0</v>
      </c>
      <c r="AH646" s="14" t="n">
        <f aca="false">IF(W646=0,0,MAX(0,MIN(AE646,AF646)-MIN(AE646-W646,AF646)))</f>
        <v>226.9</v>
      </c>
      <c r="AI646" s="14" t="n">
        <f aca="false">IF(W646=0,0,MAX(0,MIN(AE646,AF646+AG646)-MAX(AE646-W646,AF646)))</f>
        <v>0</v>
      </c>
      <c r="AJ646" s="14" t="n">
        <f aca="false">W646-AH646-AI646</f>
        <v>0</v>
      </c>
      <c r="AK646" s="9" t="n">
        <f aca="false">IF(W646=0,0,X646*AH646/W646)</f>
        <v>7158732.20815631</v>
      </c>
      <c r="AL646" s="9" t="n">
        <f aca="false">IF(W646=0,0,X646*AI646/W646)</f>
        <v>0</v>
      </c>
      <c r="AM646" s="9" t="n">
        <f aca="false">X646-AK646-AL646</f>
        <v>0</v>
      </c>
    </row>
    <row r="647" customFormat="false" ht="15" hidden="false" customHeight="false" outlineLevel="0" collapsed="false">
      <c r="A647" s="6" t="n">
        <v>642</v>
      </c>
      <c r="B647" s="74" t="s">
        <v>1012</v>
      </c>
      <c r="C647" s="53" t="str">
        <f aca="false">INDEX(I_Items!$C$5:$C$133,MATCH($B647,I_Items!$A$5:$A$133,0))</f>
        <v>RPA</v>
      </c>
      <c r="D647" s="53" t="str">
        <f aca="false">INDEX(I_Items!$D$5:$D$133,MATCH($B647,I_Items!$A$5:$A$133,0))</f>
        <v>Karkas</v>
      </c>
      <c r="E647" s="53" t="str">
        <f aca="false">INDEX(I_Items!$F$5:$F$133,MATCH($B647,I_Items!$A$5:$A$133,0))</f>
        <v>Not stated in item master</v>
      </c>
      <c r="F647" s="53" t="str">
        <f aca="false">IF(INDEX(I_Items!$E$5:$E$133,MATCH($B647,I_Items!$A$5:$A$133,0))="","",INDEX(I_Items!$E$5:$E$133,MATCH($B647,I_Items!$A$5:$A$133,0)))</f>
        <v>Mix</v>
      </c>
      <c r="G647" s="76" t="n">
        <v>46204</v>
      </c>
      <c r="H647" s="23" t="n">
        <f aca="false">MONTH(G647)</f>
        <v>7</v>
      </c>
      <c r="I647" s="74" t="s">
        <v>2072</v>
      </c>
      <c r="J647" s="74" t="s">
        <v>2073</v>
      </c>
      <c r="K647" s="10" t="n">
        <v>1212.8</v>
      </c>
      <c r="L647" s="8" t="n">
        <v>32864528.99</v>
      </c>
      <c r="M647" s="10" t="n">
        <v>0</v>
      </c>
      <c r="N647" s="8" t="n">
        <v>0</v>
      </c>
      <c r="O647" s="74"/>
      <c r="P647" s="74"/>
      <c r="Q647" s="74"/>
      <c r="R647" s="14" t="n">
        <f aca="false">IF(I647="Unbilled",0,M647)</f>
        <v>0</v>
      </c>
      <c r="S647" s="9" t="n">
        <f aca="false">IF(R647=0,0,IF(O647="Booked",N647,R647*V646))</f>
        <v>0</v>
      </c>
      <c r="T647" s="14" t="n">
        <f aca="false">IF(I647="Opening",K647,T646+K647-R647)</f>
        <v>1212.8</v>
      </c>
      <c r="U647" s="9" t="n">
        <f aca="false">IF(I647="Opening",L647,U646+L647-S647)</f>
        <v>32864528.99</v>
      </c>
      <c r="V647" s="9" t="n">
        <f aca="false">IF(T647&gt;0,U647/T647,IF(I647="Opening",0,V646))</f>
        <v>27098.0615023087</v>
      </c>
      <c r="W647" s="14" t="n">
        <f aca="false">M647</f>
        <v>0</v>
      </c>
      <c r="X647" s="9" t="n">
        <f aca="false">IF(W647=0,0,IF(O647="Booked",N647,W647*AA646))</f>
        <v>0</v>
      </c>
      <c r="Y647" s="14" t="n">
        <f aca="false">IF(I647="Opening",K647,Y646+K647-W647)</f>
        <v>1212.8</v>
      </c>
      <c r="Z647" s="9" t="n">
        <f aca="false">IF(I647="Opening",L647,Z646+L647-X647)</f>
        <v>32864528.99</v>
      </c>
      <c r="AA647" s="9" t="n">
        <f aca="false">IF(Y647&gt;0,Z647/Y647,IF(I647="Opening",0,AA646))</f>
        <v>27098.0615023087</v>
      </c>
      <c r="AB647" s="9" t="n">
        <f aca="false">IF(AND(I647="DO",O647="MA"),S647-N647,0)</f>
        <v>0</v>
      </c>
      <c r="AC647" s="9" t="n">
        <f aca="false">IF(I647="DO",X647-S647,0)</f>
        <v>0</v>
      </c>
      <c r="AD647" s="23" t="n">
        <f aca="false">IF(B648&lt;&gt;B647,1,0)</f>
        <v>0</v>
      </c>
      <c r="AE647" s="14" t="n">
        <f aca="false">IF(I647="Opening",0,AE646+W647)</f>
        <v>0</v>
      </c>
      <c r="AF647" s="14" t="n">
        <f aca="false">IF(I647="Opening",K647,AF646)</f>
        <v>1212.8</v>
      </c>
      <c r="AG647" s="14" t="n">
        <f aca="false">SUMIFS($K$6:$K$1110,$B$6:$B$1110,B647,$H$6:$H$1110,7,$I$6:$I$1110,"&lt;&gt;Opening")</f>
        <v>0</v>
      </c>
      <c r="AH647" s="14" t="n">
        <f aca="false">IF(W647=0,0,MAX(0,MIN(AE647,AF647)-MIN(AE647-W647,AF647)))</f>
        <v>0</v>
      </c>
      <c r="AI647" s="14" t="n">
        <f aca="false">IF(W647=0,0,MAX(0,MIN(AE647,AF647+AG647)-MAX(AE647-W647,AF647)))</f>
        <v>0</v>
      </c>
      <c r="AJ647" s="14" t="n">
        <f aca="false">W647-AH647-AI647</f>
        <v>0</v>
      </c>
      <c r="AK647" s="9" t="n">
        <f aca="false">IF(W647=0,0,X647*AH647/W647)</f>
        <v>0</v>
      </c>
      <c r="AL647" s="9" t="n">
        <f aca="false">IF(W647=0,0,X647*AI647/W647)</f>
        <v>0</v>
      </c>
      <c r="AM647" s="9" t="n">
        <f aca="false">X647-AK647-AL647</f>
        <v>0</v>
      </c>
    </row>
    <row r="648" customFormat="false" ht="15" hidden="false" customHeight="false" outlineLevel="0" collapsed="false">
      <c r="A648" s="6" t="n">
        <v>643</v>
      </c>
      <c r="B648" s="74" t="s">
        <v>1012</v>
      </c>
      <c r="C648" s="53" t="str">
        <f aca="false">INDEX(I_Items!$C$5:$C$133,MATCH($B648,I_Items!$A$5:$A$133,0))</f>
        <v>RPA</v>
      </c>
      <c r="D648" s="53" t="str">
        <f aca="false">INDEX(I_Items!$D$5:$D$133,MATCH($B648,I_Items!$A$5:$A$133,0))</f>
        <v>Karkas</v>
      </c>
      <c r="E648" s="53" t="str">
        <f aca="false">INDEX(I_Items!$F$5:$F$133,MATCH($B648,I_Items!$A$5:$A$133,0))</f>
        <v>Not stated in item master</v>
      </c>
      <c r="F648" s="53" t="str">
        <f aca="false">IF(INDEX(I_Items!$E$5:$E$133,MATCH($B648,I_Items!$A$5:$A$133,0))="","",INDEX(I_Items!$E$5:$E$133,MATCH($B648,I_Items!$A$5:$A$133,0)))</f>
        <v>Mix</v>
      </c>
      <c r="G648" s="76" t="n">
        <v>46261</v>
      </c>
      <c r="H648" s="23" t="n">
        <f aca="false">MONTH(G648)</f>
        <v>8</v>
      </c>
      <c r="I648" s="74" t="s">
        <v>2075</v>
      </c>
      <c r="J648" s="74" t="s">
        <v>2174</v>
      </c>
      <c r="K648" s="10" t="n">
        <v>0</v>
      </c>
      <c r="L648" s="8" t="n">
        <v>0</v>
      </c>
      <c r="M648" s="10" t="n">
        <v>811.29</v>
      </c>
      <c r="N648" s="8" t="n">
        <v>21984386.23</v>
      </c>
      <c r="O648" s="74" t="s">
        <v>2077</v>
      </c>
      <c r="P648" s="74"/>
      <c r="Q648" s="74"/>
      <c r="R648" s="14" t="n">
        <f aca="false">IF(I648="Unbilled",0,M648)</f>
        <v>811.29</v>
      </c>
      <c r="S648" s="9" t="n">
        <f aca="false">IF(R648=0,0,IF(O648="Booked",N648,R648*V647))</f>
        <v>21984386.316208</v>
      </c>
      <c r="T648" s="14" t="n">
        <f aca="false">IF(I648="Opening",K648,T647+K648-R648)</f>
        <v>401.51</v>
      </c>
      <c r="U648" s="9" t="n">
        <f aca="false">IF(I648="Opening",L648,U647+L648-S648)</f>
        <v>10880142.673792</v>
      </c>
      <c r="V648" s="9" t="n">
        <f aca="false">IF(T648&gt;0,U648/T648,IF(I648="Opening",0,V647))</f>
        <v>27098.0615023087</v>
      </c>
      <c r="W648" s="14" t="n">
        <f aca="false">M648</f>
        <v>811.29</v>
      </c>
      <c r="X648" s="9" t="n">
        <f aca="false">IF(W648=0,0,IF(O648="Booked",N648,W648*AA647))</f>
        <v>21984386.316208</v>
      </c>
      <c r="Y648" s="14" t="n">
        <f aca="false">IF(I648="Opening",K648,Y647+K648-W648)</f>
        <v>401.51</v>
      </c>
      <c r="Z648" s="9" t="n">
        <f aca="false">IF(I648="Opening",L648,Z647+L648-X648)</f>
        <v>10880142.673792</v>
      </c>
      <c r="AA648" s="9" t="n">
        <f aca="false">IF(Y648&gt;0,Z648/Y648,IF(I648="Opening",0,AA647))</f>
        <v>27098.0615023087</v>
      </c>
      <c r="AB648" s="9" t="n">
        <f aca="false">IF(AND(I648="DO",O648="MA"),S648-N648,0)</f>
        <v>0.0862080305814743</v>
      </c>
      <c r="AC648" s="9" t="n">
        <f aca="false">IF(I648="DO",X648-S648,0)</f>
        <v>0</v>
      </c>
      <c r="AD648" s="23" t="n">
        <f aca="false">IF(B649&lt;&gt;B648,1,0)</f>
        <v>0</v>
      </c>
      <c r="AE648" s="14" t="n">
        <f aca="false">IF(I648="Opening",0,AE647+W648)</f>
        <v>811.29</v>
      </c>
      <c r="AF648" s="14" t="n">
        <f aca="false">IF(I648="Opening",K648,AF647)</f>
        <v>1212.8</v>
      </c>
      <c r="AG648" s="14" t="n">
        <f aca="false">AG647</f>
        <v>0</v>
      </c>
      <c r="AH648" s="14" t="n">
        <f aca="false">IF(W648=0,0,MAX(0,MIN(AE648,AF648)-MIN(AE648-W648,AF648)))</f>
        <v>811.29</v>
      </c>
      <c r="AI648" s="14" t="n">
        <f aca="false">IF(W648=0,0,MAX(0,MIN(AE648,AF648+AG648)-MAX(AE648-W648,AF648)))</f>
        <v>0</v>
      </c>
      <c r="AJ648" s="14" t="n">
        <f aca="false">W648-AH648-AI648</f>
        <v>0</v>
      </c>
      <c r="AK648" s="9" t="n">
        <f aca="false">IF(W648=0,0,X648*AH648/W648)</f>
        <v>21984386.316208</v>
      </c>
      <c r="AL648" s="9" t="n">
        <f aca="false">IF(W648=0,0,X648*AI648/W648)</f>
        <v>0</v>
      </c>
      <c r="AM648" s="9" t="n">
        <f aca="false">X648-AK648-AL648</f>
        <v>0</v>
      </c>
    </row>
    <row r="649" customFormat="false" ht="15" hidden="false" customHeight="false" outlineLevel="0" collapsed="false">
      <c r="A649" s="6" t="n">
        <v>644</v>
      </c>
      <c r="B649" s="74" t="s">
        <v>1012</v>
      </c>
      <c r="C649" s="53" t="str">
        <f aca="false">INDEX(I_Items!$C$5:$C$133,MATCH($B649,I_Items!$A$5:$A$133,0))</f>
        <v>RPA</v>
      </c>
      <c r="D649" s="53" t="str">
        <f aca="false">INDEX(I_Items!$D$5:$D$133,MATCH($B649,I_Items!$A$5:$A$133,0))</f>
        <v>Karkas</v>
      </c>
      <c r="E649" s="53" t="str">
        <f aca="false">INDEX(I_Items!$F$5:$F$133,MATCH($B649,I_Items!$A$5:$A$133,0))</f>
        <v>Not stated in item master</v>
      </c>
      <c r="F649" s="53" t="str">
        <f aca="false">IF(INDEX(I_Items!$E$5:$E$133,MATCH($B649,I_Items!$A$5:$A$133,0))="","",INDEX(I_Items!$E$5:$E$133,MATCH($B649,I_Items!$A$5:$A$133,0)))</f>
        <v>Mix</v>
      </c>
      <c r="G649" s="76" t="n">
        <v>46265</v>
      </c>
      <c r="H649" s="23" t="n">
        <f aca="false">MONTH(G649)</f>
        <v>8</v>
      </c>
      <c r="I649" s="74" t="s">
        <v>89</v>
      </c>
      <c r="J649" s="74" t="s">
        <v>2175</v>
      </c>
      <c r="K649" s="10" t="n">
        <v>0</v>
      </c>
      <c r="L649" s="8" t="n">
        <v>0</v>
      </c>
      <c r="M649" s="13" t="n">
        <f aca="false">INDEX(Unbilled!$K$22:$K$38,MATCH($Q649,Unbilled!$B$22:$B$38,0))</f>
        <v>601.35</v>
      </c>
      <c r="N649" s="8" t="n">
        <v>0</v>
      </c>
      <c r="O649" s="74" t="s">
        <v>2077</v>
      </c>
      <c r="P649" s="74"/>
      <c r="Q649" s="74" t="s">
        <v>1114</v>
      </c>
      <c r="R649" s="14" t="n">
        <f aca="false">IF(I649="Unbilled",0,M649)</f>
        <v>0</v>
      </c>
      <c r="S649" s="9" t="n">
        <f aca="false">IF(R649=0,0,IF(O649="Booked",N649,R649*V648))</f>
        <v>0</v>
      </c>
      <c r="T649" s="14" t="n">
        <f aca="false">IF(I649="Opening",K649,T648+K649-R649)</f>
        <v>401.51</v>
      </c>
      <c r="U649" s="9" t="n">
        <f aca="false">IF(I649="Opening",L649,U648+L649-S649)</f>
        <v>10880142.673792</v>
      </c>
      <c r="V649" s="9" t="n">
        <f aca="false">IF(T649&gt;0,U649/T649,IF(I649="Opening",0,V648))</f>
        <v>27098.0615023087</v>
      </c>
      <c r="W649" s="14" t="n">
        <f aca="false">M649</f>
        <v>601.35</v>
      </c>
      <c r="X649" s="9" t="n">
        <f aca="false">IF(W649=0,0,IF(O649="Booked",N649,W649*AA648))</f>
        <v>16295419.2844133</v>
      </c>
      <c r="Y649" s="14" t="n">
        <f aca="false">IF(I649="Opening",K649,Y648+K649-W649)</f>
        <v>-199.84</v>
      </c>
      <c r="Z649" s="9" t="n">
        <f aca="false">IF(I649="Opening",L649,Z648+L649-X649)</f>
        <v>-5415276.61062137</v>
      </c>
      <c r="AA649" s="9" t="n">
        <f aca="false">IF(Y649&gt;0,Z649/Y649,IF(I649="Opening",0,AA648))</f>
        <v>27098.0615023087</v>
      </c>
      <c r="AB649" s="9" t="n">
        <f aca="false">IF(AND(I649="DO",O649="MA"),S649-N649,0)</f>
        <v>0</v>
      </c>
      <c r="AC649" s="9" t="n">
        <f aca="false">IF(I649="DO",X649-S649,0)</f>
        <v>0</v>
      </c>
      <c r="AD649" s="23" t="n">
        <f aca="false">IF(B650&lt;&gt;B649,1,0)</f>
        <v>1</v>
      </c>
      <c r="AE649" s="14" t="n">
        <f aca="false">IF(I649="Opening",0,AE648+W649)</f>
        <v>1412.64</v>
      </c>
      <c r="AF649" s="14" t="n">
        <f aca="false">IF(I649="Opening",K649,AF648)</f>
        <v>1212.8</v>
      </c>
      <c r="AG649" s="14" t="n">
        <f aca="false">AG648</f>
        <v>0</v>
      </c>
      <c r="AH649" s="14" t="n">
        <f aca="false">IF(W649=0,0,MAX(0,MIN(AE649,AF649)-MIN(AE649-W649,AF649)))</f>
        <v>401.51</v>
      </c>
      <c r="AI649" s="14" t="n">
        <f aca="false">IF(W649=0,0,MAX(0,MIN(AE649,AF649+AG649)-MAX(AE649-W649,AF649)))</f>
        <v>0</v>
      </c>
      <c r="AJ649" s="14" t="n">
        <f aca="false">W649-AH649-AI649</f>
        <v>199.84</v>
      </c>
      <c r="AK649" s="9" t="n">
        <f aca="false">IF(W649=0,0,X649*AH649/W649)</f>
        <v>10880142.673792</v>
      </c>
      <c r="AL649" s="9" t="n">
        <f aca="false">IF(W649=0,0,X649*AI649/W649)</f>
        <v>0</v>
      </c>
      <c r="AM649" s="9" t="n">
        <f aca="false">X649-AK649-AL649</f>
        <v>5415276.61062137</v>
      </c>
    </row>
    <row r="650" customFormat="false" ht="15" hidden="false" customHeight="false" outlineLevel="0" collapsed="false">
      <c r="A650" s="6" t="n">
        <v>645</v>
      </c>
      <c r="B650" s="74" t="s">
        <v>1013</v>
      </c>
      <c r="C650" s="53" t="str">
        <f aca="false">INDEX(I_Items!$C$5:$C$133,MATCH($B650,I_Items!$A$5:$A$133,0))</f>
        <v>RPA</v>
      </c>
      <c r="D650" s="53" t="str">
        <f aca="false">INDEX(I_Items!$D$5:$D$133,MATCH($B650,I_Items!$A$5:$A$133,0))</f>
        <v>Karkas</v>
      </c>
      <c r="E650" s="53" t="str">
        <f aca="false">INDEX(I_Items!$F$5:$F$133,MATCH($B650,I_Items!$A$5:$A$133,0))</f>
        <v>Frozen</v>
      </c>
      <c r="F650" s="53" t="str">
        <f aca="false">IF(INDEX(I_Items!$E$5:$E$133,MATCH($B650,I_Items!$A$5:$A$133,0))="","",INDEX(I_Items!$E$5:$E$133,MATCH($B650,I_Items!$A$5:$A$133,0)))</f>
        <v>Uk 0.9</v>
      </c>
      <c r="G650" s="76" t="n">
        <v>46204</v>
      </c>
      <c r="H650" s="23" t="n">
        <f aca="false">MONTH(G650)</f>
        <v>7</v>
      </c>
      <c r="I650" s="74" t="s">
        <v>2072</v>
      </c>
      <c r="J650" s="74" t="s">
        <v>2073</v>
      </c>
      <c r="K650" s="10" t="n">
        <v>182.92</v>
      </c>
      <c r="L650" s="8" t="n">
        <v>13048038.45</v>
      </c>
      <c r="M650" s="10" t="n">
        <v>0</v>
      </c>
      <c r="N650" s="8" t="n">
        <v>0</v>
      </c>
      <c r="O650" s="74"/>
      <c r="P650" s="74"/>
      <c r="Q650" s="74"/>
      <c r="R650" s="14" t="n">
        <f aca="false">IF(I650="Unbilled",0,M650)</f>
        <v>0</v>
      </c>
      <c r="S650" s="9" t="n">
        <f aca="false">IF(R650=0,0,IF(O650="Booked",N650,R650*V649))</f>
        <v>0</v>
      </c>
      <c r="T650" s="14" t="n">
        <f aca="false">IF(I650="Opening",K650,T649+K650-R650)</f>
        <v>182.92</v>
      </c>
      <c r="U650" s="9" t="n">
        <f aca="false">IF(I650="Opening",L650,U649+L650-S650)</f>
        <v>13048038.45</v>
      </c>
      <c r="V650" s="9" t="n">
        <f aca="false">IF(T650&gt;0,U650/T650,IF(I650="Opening",0,V649))</f>
        <v>71331.9399190903</v>
      </c>
      <c r="W650" s="14" t="n">
        <f aca="false">M650</f>
        <v>0</v>
      </c>
      <c r="X650" s="9" t="n">
        <f aca="false">IF(W650=0,0,IF(O650="Booked",N650,W650*AA649))</f>
        <v>0</v>
      </c>
      <c r="Y650" s="14" t="n">
        <f aca="false">IF(I650="Opening",K650,Y649+K650-W650)</f>
        <v>182.92</v>
      </c>
      <c r="Z650" s="9" t="n">
        <f aca="false">IF(I650="Opening",L650,Z649+L650-X650)</f>
        <v>13048038.45</v>
      </c>
      <c r="AA650" s="9" t="n">
        <f aca="false">IF(Y650&gt;0,Z650/Y650,IF(I650="Opening",0,AA649))</f>
        <v>71331.9399190903</v>
      </c>
      <c r="AB650" s="9" t="n">
        <f aca="false">IF(AND(I650="DO",O650="MA"),S650-N650,0)</f>
        <v>0</v>
      </c>
      <c r="AC650" s="9" t="n">
        <f aca="false">IF(I650="DO",X650-S650,0)</f>
        <v>0</v>
      </c>
      <c r="AD650" s="23" t="n">
        <f aca="false">IF(B651&lt;&gt;B650,1,0)</f>
        <v>0</v>
      </c>
      <c r="AE650" s="14" t="n">
        <f aca="false">IF(I650="Opening",0,AE649+W650)</f>
        <v>0</v>
      </c>
      <c r="AF650" s="14" t="n">
        <f aca="false">IF(I650="Opening",K650,AF649)</f>
        <v>182.92</v>
      </c>
      <c r="AG650" s="14" t="n">
        <f aca="false">SUMIFS($K$6:$K$1110,$B$6:$B$1110,B650,$H$6:$H$1110,7,$I$6:$I$1110,"&lt;&gt;Opening")</f>
        <v>51.54</v>
      </c>
      <c r="AH650" s="14" t="n">
        <f aca="false">IF(W650=0,0,MAX(0,MIN(AE650,AF650)-MIN(AE650-W650,AF650)))</f>
        <v>0</v>
      </c>
      <c r="AI650" s="14" t="n">
        <f aca="false">IF(W650=0,0,MAX(0,MIN(AE650,AF650+AG650)-MAX(AE650-W650,AF650)))</f>
        <v>0</v>
      </c>
      <c r="AJ650" s="14" t="n">
        <f aca="false">W650-AH650-AI650</f>
        <v>0</v>
      </c>
      <c r="AK650" s="9" t="n">
        <f aca="false">IF(W650=0,0,X650*AH650/W650)</f>
        <v>0</v>
      </c>
      <c r="AL650" s="9" t="n">
        <f aca="false">IF(W650=0,0,X650*AI650/W650)</f>
        <v>0</v>
      </c>
      <c r="AM650" s="9" t="n">
        <f aca="false">X650-AK650-AL650</f>
        <v>0</v>
      </c>
    </row>
    <row r="651" customFormat="false" ht="15" hidden="false" customHeight="false" outlineLevel="0" collapsed="false">
      <c r="A651" s="6" t="n">
        <v>646</v>
      </c>
      <c r="B651" s="74" t="s">
        <v>1013</v>
      </c>
      <c r="C651" s="53" t="str">
        <f aca="false">INDEX(I_Items!$C$5:$C$133,MATCH($B651,I_Items!$A$5:$A$133,0))</f>
        <v>RPA</v>
      </c>
      <c r="D651" s="53" t="str">
        <f aca="false">INDEX(I_Items!$D$5:$D$133,MATCH($B651,I_Items!$A$5:$A$133,0))</f>
        <v>Karkas</v>
      </c>
      <c r="E651" s="53" t="str">
        <f aca="false">INDEX(I_Items!$F$5:$F$133,MATCH($B651,I_Items!$A$5:$A$133,0))</f>
        <v>Frozen</v>
      </c>
      <c r="F651" s="53" t="str">
        <f aca="false">IF(INDEX(I_Items!$E$5:$E$133,MATCH($B651,I_Items!$A$5:$A$133,0))="","",INDEX(I_Items!$E$5:$E$133,MATCH($B651,I_Items!$A$5:$A$133,0)))</f>
        <v>Uk 0.9</v>
      </c>
      <c r="G651" s="76" t="n">
        <v>46204</v>
      </c>
      <c r="H651" s="23" t="n">
        <f aca="false">MONTH(G651)</f>
        <v>7</v>
      </c>
      <c r="I651" s="74" t="s">
        <v>2117</v>
      </c>
      <c r="J651" s="74" t="s">
        <v>2133</v>
      </c>
      <c r="K651" s="10" t="n">
        <v>51.54</v>
      </c>
      <c r="L651" s="8" t="n">
        <v>1447045.08</v>
      </c>
      <c r="M651" s="10" t="n">
        <v>0</v>
      </c>
      <c r="N651" s="8" t="n">
        <v>0</v>
      </c>
      <c r="O651" s="74" t="s">
        <v>2119</v>
      </c>
      <c r="P651" s="74"/>
      <c r="Q651" s="74"/>
      <c r="R651" s="14" t="n">
        <f aca="false">IF(I651="Unbilled",0,M651)</f>
        <v>0</v>
      </c>
      <c r="S651" s="9" t="n">
        <f aca="false">IF(R651=0,0,IF(O651="Booked",N651,R651*V650))</f>
        <v>0</v>
      </c>
      <c r="T651" s="14" t="n">
        <f aca="false">IF(I651="Opening",K651,T650+K651-R651)</f>
        <v>234.46</v>
      </c>
      <c r="U651" s="9" t="n">
        <f aca="false">IF(I651="Opening",L651,U650+L651-S651)</f>
        <v>14495083.53</v>
      </c>
      <c r="V651" s="9" t="n">
        <f aca="false">IF(T651&gt;0,U651/T651,IF(I651="Opening",0,V650))</f>
        <v>61823.2684892946</v>
      </c>
      <c r="W651" s="14" t="n">
        <f aca="false">M651</f>
        <v>0</v>
      </c>
      <c r="X651" s="9" t="n">
        <f aca="false">IF(W651=0,0,IF(O651="Booked",N651,W651*AA650))</f>
        <v>0</v>
      </c>
      <c r="Y651" s="14" t="n">
        <f aca="false">IF(I651="Opening",K651,Y650+K651-W651)</f>
        <v>234.46</v>
      </c>
      <c r="Z651" s="9" t="n">
        <f aca="false">IF(I651="Opening",L651,Z650+L651-X651)</f>
        <v>14495083.53</v>
      </c>
      <c r="AA651" s="9" t="n">
        <f aca="false">IF(Y651&gt;0,Z651/Y651,IF(I651="Opening",0,AA650))</f>
        <v>61823.2684892946</v>
      </c>
      <c r="AB651" s="9" t="n">
        <f aca="false">IF(AND(I651="DO",O651="MA"),S651-N651,0)</f>
        <v>0</v>
      </c>
      <c r="AC651" s="9" t="n">
        <f aca="false">IF(I651="DO",X651-S651,0)</f>
        <v>0</v>
      </c>
      <c r="AD651" s="23" t="n">
        <f aca="false">IF(B652&lt;&gt;B651,1,0)</f>
        <v>0</v>
      </c>
      <c r="AE651" s="14" t="n">
        <f aca="false">IF(I651="Opening",0,AE650+W651)</f>
        <v>0</v>
      </c>
      <c r="AF651" s="14" t="n">
        <f aca="false">IF(I651="Opening",K651,AF650)</f>
        <v>182.92</v>
      </c>
      <c r="AG651" s="14" t="n">
        <f aca="false">AG650</f>
        <v>51.54</v>
      </c>
      <c r="AH651" s="14" t="n">
        <f aca="false">IF(W651=0,0,MAX(0,MIN(AE651,AF651)-MIN(AE651-W651,AF651)))</f>
        <v>0</v>
      </c>
      <c r="AI651" s="14" t="n">
        <f aca="false">IF(W651=0,0,MAX(0,MIN(AE651,AF651+AG651)-MAX(AE651-W651,AF651)))</f>
        <v>0</v>
      </c>
      <c r="AJ651" s="14" t="n">
        <f aca="false">W651-AH651-AI651</f>
        <v>0</v>
      </c>
      <c r="AK651" s="9" t="n">
        <f aca="false">IF(W651=0,0,X651*AH651/W651)</f>
        <v>0</v>
      </c>
      <c r="AL651" s="9" t="n">
        <f aca="false">IF(W651=0,0,X651*AI651/W651)</f>
        <v>0</v>
      </c>
      <c r="AM651" s="9" t="n">
        <f aca="false">X651-AK651-AL651</f>
        <v>0</v>
      </c>
    </row>
    <row r="652" customFormat="false" ht="15" hidden="false" customHeight="false" outlineLevel="0" collapsed="false">
      <c r="A652" s="6" t="n">
        <v>647</v>
      </c>
      <c r="B652" s="74" t="s">
        <v>1013</v>
      </c>
      <c r="C652" s="53" t="str">
        <f aca="false">INDEX(I_Items!$C$5:$C$133,MATCH($B652,I_Items!$A$5:$A$133,0))</f>
        <v>RPA</v>
      </c>
      <c r="D652" s="53" t="str">
        <f aca="false">INDEX(I_Items!$D$5:$D$133,MATCH($B652,I_Items!$A$5:$A$133,0))</f>
        <v>Karkas</v>
      </c>
      <c r="E652" s="53" t="str">
        <f aca="false">INDEX(I_Items!$F$5:$F$133,MATCH($B652,I_Items!$A$5:$A$133,0))</f>
        <v>Frozen</v>
      </c>
      <c r="F652" s="53" t="str">
        <f aca="false">IF(INDEX(I_Items!$E$5:$E$133,MATCH($B652,I_Items!$A$5:$A$133,0))="","",INDEX(I_Items!$E$5:$E$133,MATCH($B652,I_Items!$A$5:$A$133,0)))</f>
        <v>Uk 0.9</v>
      </c>
      <c r="G652" s="76" t="n">
        <v>46255</v>
      </c>
      <c r="H652" s="23" t="n">
        <f aca="false">MONTH(G652)</f>
        <v>8</v>
      </c>
      <c r="I652" s="74" t="s">
        <v>2074</v>
      </c>
      <c r="J652" s="74" t="s">
        <v>1311</v>
      </c>
      <c r="K652" s="10" t="n">
        <v>806.6</v>
      </c>
      <c r="L652" s="8" t="n">
        <v>30824719.25</v>
      </c>
      <c r="M652" s="10" t="n">
        <v>0</v>
      </c>
      <c r="N652" s="8" t="n">
        <v>0</v>
      </c>
      <c r="O652" s="74"/>
      <c r="P652" s="74"/>
      <c r="Q652" s="74"/>
      <c r="R652" s="14" t="n">
        <f aca="false">IF(I652="Unbilled",0,M652)</f>
        <v>0</v>
      </c>
      <c r="S652" s="9" t="n">
        <f aca="false">IF(R652=0,0,IF(O652="Booked",N652,R652*V651))</f>
        <v>0</v>
      </c>
      <c r="T652" s="14" t="n">
        <f aca="false">IF(I652="Opening",K652,T651+K652-R652)</f>
        <v>1041.06</v>
      </c>
      <c r="U652" s="9" t="n">
        <f aca="false">IF(I652="Opening",L652,U651+L652-S652)</f>
        <v>45319802.78</v>
      </c>
      <c r="V652" s="9" t="n">
        <f aca="false">IF(T652&gt;0,U652/T652,IF(I652="Opening",0,V651))</f>
        <v>43532.3639175456</v>
      </c>
      <c r="W652" s="14" t="n">
        <f aca="false">M652</f>
        <v>0</v>
      </c>
      <c r="X652" s="9" t="n">
        <f aca="false">IF(W652=0,0,IF(O652="Booked",N652,W652*AA651))</f>
        <v>0</v>
      </c>
      <c r="Y652" s="14" t="n">
        <f aca="false">IF(I652="Opening",K652,Y651+K652-W652)</f>
        <v>1041.06</v>
      </c>
      <c r="Z652" s="9" t="n">
        <f aca="false">IF(I652="Opening",L652,Z651+L652-X652)</f>
        <v>45319802.78</v>
      </c>
      <c r="AA652" s="9" t="n">
        <f aca="false">IF(Y652&gt;0,Z652/Y652,IF(I652="Opening",0,AA651))</f>
        <v>43532.3639175456</v>
      </c>
      <c r="AB652" s="9" t="n">
        <f aca="false">IF(AND(I652="DO",O652="MA"),S652-N652,0)</f>
        <v>0</v>
      </c>
      <c r="AC652" s="9" t="n">
        <f aca="false">IF(I652="DO",X652-S652,0)</f>
        <v>0</v>
      </c>
      <c r="AD652" s="23" t="n">
        <f aca="false">IF(B653&lt;&gt;B652,1,0)</f>
        <v>0</v>
      </c>
      <c r="AE652" s="14" t="n">
        <f aca="false">IF(I652="Opening",0,AE651+W652)</f>
        <v>0</v>
      </c>
      <c r="AF652" s="14" t="n">
        <f aca="false">IF(I652="Opening",K652,AF651)</f>
        <v>182.92</v>
      </c>
      <c r="AG652" s="14" t="n">
        <f aca="false">AG651</f>
        <v>51.54</v>
      </c>
      <c r="AH652" s="14" t="n">
        <f aca="false">IF(W652=0,0,MAX(0,MIN(AE652,AF652)-MIN(AE652-W652,AF652)))</f>
        <v>0</v>
      </c>
      <c r="AI652" s="14" t="n">
        <f aca="false">IF(W652=0,0,MAX(0,MIN(AE652,AF652+AG652)-MAX(AE652-W652,AF652)))</f>
        <v>0</v>
      </c>
      <c r="AJ652" s="14" t="n">
        <f aca="false">W652-AH652-AI652</f>
        <v>0</v>
      </c>
      <c r="AK652" s="9" t="n">
        <f aca="false">IF(W652=0,0,X652*AH652/W652)</f>
        <v>0</v>
      </c>
      <c r="AL652" s="9" t="n">
        <f aca="false">IF(W652=0,0,X652*AI652/W652)</f>
        <v>0</v>
      </c>
      <c r="AM652" s="9" t="n">
        <f aca="false">X652-AK652-AL652</f>
        <v>0</v>
      </c>
    </row>
    <row r="653" customFormat="false" ht="15" hidden="false" customHeight="false" outlineLevel="0" collapsed="false">
      <c r="A653" s="6" t="n">
        <v>648</v>
      </c>
      <c r="B653" s="74" t="s">
        <v>1013</v>
      </c>
      <c r="C653" s="53" t="str">
        <f aca="false">INDEX(I_Items!$C$5:$C$133,MATCH($B653,I_Items!$A$5:$A$133,0))</f>
        <v>RPA</v>
      </c>
      <c r="D653" s="53" t="str">
        <f aca="false">INDEX(I_Items!$D$5:$D$133,MATCH($B653,I_Items!$A$5:$A$133,0))</f>
        <v>Karkas</v>
      </c>
      <c r="E653" s="53" t="str">
        <f aca="false">INDEX(I_Items!$F$5:$F$133,MATCH($B653,I_Items!$A$5:$A$133,0))</f>
        <v>Frozen</v>
      </c>
      <c r="F653" s="53" t="str">
        <f aca="false">IF(INDEX(I_Items!$E$5:$E$133,MATCH($B653,I_Items!$A$5:$A$133,0))="","",INDEX(I_Items!$E$5:$E$133,MATCH($B653,I_Items!$A$5:$A$133,0)))</f>
        <v>Uk 0.9</v>
      </c>
      <c r="G653" s="76" t="n">
        <v>46259</v>
      </c>
      <c r="H653" s="23" t="n">
        <f aca="false">MONTH(G653)</f>
        <v>8</v>
      </c>
      <c r="I653" s="74" t="s">
        <v>2074</v>
      </c>
      <c r="J653" s="74" t="s">
        <v>1314</v>
      </c>
      <c r="K653" s="10" t="n">
        <v>81.2</v>
      </c>
      <c r="L653" s="8" t="n">
        <v>2994622.98</v>
      </c>
      <c r="M653" s="10" t="n">
        <v>0</v>
      </c>
      <c r="N653" s="8" t="n">
        <v>0</v>
      </c>
      <c r="O653" s="74"/>
      <c r="P653" s="74"/>
      <c r="Q653" s="74"/>
      <c r="R653" s="14" t="n">
        <f aca="false">IF(I653="Unbilled",0,M653)</f>
        <v>0</v>
      </c>
      <c r="S653" s="9" t="n">
        <f aca="false">IF(R653=0,0,IF(O653="Booked",N653,R653*V652))</f>
        <v>0</v>
      </c>
      <c r="T653" s="14" t="n">
        <f aca="false">IF(I653="Opening",K653,T652+K653-R653)</f>
        <v>1122.26</v>
      </c>
      <c r="U653" s="9" t="n">
        <f aca="false">IF(I653="Opening",L653,U652+L653-S653)</f>
        <v>48314425.76</v>
      </c>
      <c r="V653" s="9" t="n">
        <f aca="false">IF(T653&gt;0,U653/T653,IF(I653="Opening",0,V652))</f>
        <v>43051.0093561207</v>
      </c>
      <c r="W653" s="14" t="n">
        <f aca="false">M653</f>
        <v>0</v>
      </c>
      <c r="X653" s="9" t="n">
        <f aca="false">IF(W653=0,0,IF(O653="Booked",N653,W653*AA652))</f>
        <v>0</v>
      </c>
      <c r="Y653" s="14" t="n">
        <f aca="false">IF(I653="Opening",K653,Y652+K653-W653)</f>
        <v>1122.26</v>
      </c>
      <c r="Z653" s="9" t="n">
        <f aca="false">IF(I653="Opening",L653,Z652+L653-X653)</f>
        <v>48314425.76</v>
      </c>
      <c r="AA653" s="9" t="n">
        <f aca="false">IF(Y653&gt;0,Z653/Y653,IF(I653="Opening",0,AA652))</f>
        <v>43051.0093561207</v>
      </c>
      <c r="AB653" s="9" t="n">
        <f aca="false">IF(AND(I653="DO",O653="MA"),S653-N653,0)</f>
        <v>0</v>
      </c>
      <c r="AC653" s="9" t="n">
        <f aca="false">IF(I653="DO",X653-S653,0)</f>
        <v>0</v>
      </c>
      <c r="AD653" s="23" t="n">
        <f aca="false">IF(B654&lt;&gt;B653,1,0)</f>
        <v>0</v>
      </c>
      <c r="AE653" s="14" t="n">
        <f aca="false">IF(I653="Opening",0,AE652+W653)</f>
        <v>0</v>
      </c>
      <c r="AF653" s="14" t="n">
        <f aca="false">IF(I653="Opening",K653,AF652)</f>
        <v>182.92</v>
      </c>
      <c r="AG653" s="14" t="n">
        <f aca="false">AG652</f>
        <v>51.54</v>
      </c>
      <c r="AH653" s="14" t="n">
        <f aca="false">IF(W653=0,0,MAX(0,MIN(AE653,AF653)-MIN(AE653-W653,AF653)))</f>
        <v>0</v>
      </c>
      <c r="AI653" s="14" t="n">
        <f aca="false">IF(W653=0,0,MAX(0,MIN(AE653,AF653+AG653)-MAX(AE653-W653,AF653)))</f>
        <v>0</v>
      </c>
      <c r="AJ653" s="14" t="n">
        <f aca="false">W653-AH653-AI653</f>
        <v>0</v>
      </c>
      <c r="AK653" s="9" t="n">
        <f aca="false">IF(W653=0,0,X653*AH653/W653)</f>
        <v>0</v>
      </c>
      <c r="AL653" s="9" t="n">
        <f aca="false">IF(W653=0,0,X653*AI653/W653)</f>
        <v>0</v>
      </c>
      <c r="AM653" s="9" t="n">
        <f aca="false">X653-AK653-AL653</f>
        <v>0</v>
      </c>
    </row>
    <row r="654" customFormat="false" ht="15" hidden="false" customHeight="false" outlineLevel="0" collapsed="false">
      <c r="A654" s="6" t="n">
        <v>649</v>
      </c>
      <c r="B654" s="74" t="s">
        <v>1013</v>
      </c>
      <c r="C654" s="53" t="str">
        <f aca="false">INDEX(I_Items!$C$5:$C$133,MATCH($B654,I_Items!$A$5:$A$133,0))</f>
        <v>RPA</v>
      </c>
      <c r="D654" s="53" t="str">
        <f aca="false">INDEX(I_Items!$D$5:$D$133,MATCH($B654,I_Items!$A$5:$A$133,0))</f>
        <v>Karkas</v>
      </c>
      <c r="E654" s="53" t="str">
        <f aca="false">INDEX(I_Items!$F$5:$F$133,MATCH($B654,I_Items!$A$5:$A$133,0))</f>
        <v>Frozen</v>
      </c>
      <c r="F654" s="53" t="str">
        <f aca="false">IF(INDEX(I_Items!$E$5:$E$133,MATCH($B654,I_Items!$A$5:$A$133,0))="","",INDEX(I_Items!$E$5:$E$133,MATCH($B654,I_Items!$A$5:$A$133,0)))</f>
        <v>Uk 0.9</v>
      </c>
      <c r="G654" s="76" t="n">
        <v>46260</v>
      </c>
      <c r="H654" s="23" t="n">
        <f aca="false">MONTH(G654)</f>
        <v>8</v>
      </c>
      <c r="I654" s="74" t="s">
        <v>2074</v>
      </c>
      <c r="J654" s="74" t="s">
        <v>1317</v>
      </c>
      <c r="K654" s="10" t="n">
        <v>230</v>
      </c>
      <c r="L654" s="8" t="n">
        <v>8663960.78</v>
      </c>
      <c r="M654" s="10" t="n">
        <v>0</v>
      </c>
      <c r="N654" s="8" t="n">
        <v>0</v>
      </c>
      <c r="O654" s="74"/>
      <c r="P654" s="74"/>
      <c r="Q654" s="74"/>
      <c r="R654" s="14" t="n">
        <f aca="false">IF(I654="Unbilled",0,M654)</f>
        <v>0</v>
      </c>
      <c r="S654" s="9" t="n">
        <f aca="false">IF(R654=0,0,IF(O654="Booked",N654,R654*V653))</f>
        <v>0</v>
      </c>
      <c r="T654" s="14" t="n">
        <f aca="false">IF(I654="Opening",K654,T653+K654-R654)</f>
        <v>1352.26</v>
      </c>
      <c r="U654" s="9" t="n">
        <f aca="false">IF(I654="Opening",L654,U653+L654-S654)</f>
        <v>56978386.54</v>
      </c>
      <c r="V654" s="9" t="n">
        <f aca="false">IF(T654&gt;0,U654/T654,IF(I654="Opening",0,V653))</f>
        <v>42135.6740123941</v>
      </c>
      <c r="W654" s="14" t="n">
        <f aca="false">M654</f>
        <v>0</v>
      </c>
      <c r="X654" s="9" t="n">
        <f aca="false">IF(W654=0,0,IF(O654="Booked",N654,W654*AA653))</f>
        <v>0</v>
      </c>
      <c r="Y654" s="14" t="n">
        <f aca="false">IF(I654="Opening",K654,Y653+K654-W654)</f>
        <v>1352.26</v>
      </c>
      <c r="Z654" s="9" t="n">
        <f aca="false">IF(I654="Opening",L654,Z653+L654-X654)</f>
        <v>56978386.54</v>
      </c>
      <c r="AA654" s="9" t="n">
        <f aca="false">IF(Y654&gt;0,Z654/Y654,IF(I654="Opening",0,AA653))</f>
        <v>42135.6740123941</v>
      </c>
      <c r="AB654" s="9" t="n">
        <f aca="false">IF(AND(I654="DO",O654="MA"),S654-N654,0)</f>
        <v>0</v>
      </c>
      <c r="AC654" s="9" t="n">
        <f aca="false">IF(I654="DO",X654-S654,0)</f>
        <v>0</v>
      </c>
      <c r="AD654" s="23" t="n">
        <f aca="false">IF(B655&lt;&gt;B654,1,0)</f>
        <v>0</v>
      </c>
      <c r="AE654" s="14" t="n">
        <f aca="false">IF(I654="Opening",0,AE653+W654)</f>
        <v>0</v>
      </c>
      <c r="AF654" s="14" t="n">
        <f aca="false">IF(I654="Opening",K654,AF653)</f>
        <v>182.92</v>
      </c>
      <c r="AG654" s="14" t="n">
        <f aca="false">AG653</f>
        <v>51.54</v>
      </c>
      <c r="AH654" s="14" t="n">
        <f aca="false">IF(W654=0,0,MAX(0,MIN(AE654,AF654)-MIN(AE654-W654,AF654)))</f>
        <v>0</v>
      </c>
      <c r="AI654" s="14" t="n">
        <f aca="false">IF(W654=0,0,MAX(0,MIN(AE654,AF654+AG654)-MAX(AE654-W654,AF654)))</f>
        <v>0</v>
      </c>
      <c r="AJ654" s="14" t="n">
        <f aca="false">W654-AH654-AI654</f>
        <v>0</v>
      </c>
      <c r="AK654" s="9" t="n">
        <f aca="false">IF(W654=0,0,X654*AH654/W654)</f>
        <v>0</v>
      </c>
      <c r="AL654" s="9" t="n">
        <f aca="false">IF(W654=0,0,X654*AI654/W654)</f>
        <v>0</v>
      </c>
      <c r="AM654" s="9" t="n">
        <f aca="false">X654-AK654-AL654</f>
        <v>0</v>
      </c>
    </row>
    <row r="655" customFormat="false" ht="15" hidden="false" customHeight="false" outlineLevel="0" collapsed="false">
      <c r="A655" s="6" t="n">
        <v>650</v>
      </c>
      <c r="B655" s="74" t="s">
        <v>1013</v>
      </c>
      <c r="C655" s="53" t="str">
        <f aca="false">INDEX(I_Items!$C$5:$C$133,MATCH($B655,I_Items!$A$5:$A$133,0))</f>
        <v>RPA</v>
      </c>
      <c r="D655" s="53" t="str">
        <f aca="false">INDEX(I_Items!$D$5:$D$133,MATCH($B655,I_Items!$A$5:$A$133,0))</f>
        <v>Karkas</v>
      </c>
      <c r="E655" s="53" t="str">
        <f aca="false">INDEX(I_Items!$F$5:$F$133,MATCH($B655,I_Items!$A$5:$A$133,0))</f>
        <v>Frozen</v>
      </c>
      <c r="F655" s="53" t="str">
        <f aca="false">IF(INDEX(I_Items!$E$5:$E$133,MATCH($B655,I_Items!$A$5:$A$133,0))="","",INDEX(I_Items!$E$5:$E$133,MATCH($B655,I_Items!$A$5:$A$133,0)))</f>
        <v>Uk 0.9</v>
      </c>
      <c r="G655" s="76" t="n">
        <v>46261</v>
      </c>
      <c r="H655" s="23" t="n">
        <f aca="false">MONTH(G655)</f>
        <v>8</v>
      </c>
      <c r="I655" s="74" t="s">
        <v>2074</v>
      </c>
      <c r="J655" s="74" t="s">
        <v>1320</v>
      </c>
      <c r="K655" s="10" t="n">
        <v>293.2</v>
      </c>
      <c r="L655" s="8" t="n">
        <v>10902449.48</v>
      </c>
      <c r="M655" s="10" t="n">
        <v>0</v>
      </c>
      <c r="N655" s="8" t="n">
        <v>0</v>
      </c>
      <c r="O655" s="74"/>
      <c r="P655" s="74"/>
      <c r="Q655" s="74"/>
      <c r="R655" s="14" t="n">
        <f aca="false">IF(I655="Unbilled",0,M655)</f>
        <v>0</v>
      </c>
      <c r="S655" s="9" t="n">
        <f aca="false">IF(R655=0,0,IF(O655="Booked",N655,R655*V654))</f>
        <v>0</v>
      </c>
      <c r="T655" s="14" t="n">
        <f aca="false">IF(I655="Opening",K655,T654+K655-R655)</f>
        <v>1645.46</v>
      </c>
      <c r="U655" s="9" t="n">
        <f aca="false">IF(I655="Opening",L655,U654+L655-S655)</f>
        <v>67880836.02</v>
      </c>
      <c r="V655" s="9" t="n">
        <f aca="false">IF(T655&gt;0,U655/T655,IF(I655="Opening",0,V654))</f>
        <v>41253.4100008508</v>
      </c>
      <c r="W655" s="14" t="n">
        <f aca="false">M655</f>
        <v>0</v>
      </c>
      <c r="X655" s="9" t="n">
        <f aca="false">IF(W655=0,0,IF(O655="Booked",N655,W655*AA654))</f>
        <v>0</v>
      </c>
      <c r="Y655" s="14" t="n">
        <f aca="false">IF(I655="Opening",K655,Y654+K655-W655)</f>
        <v>1645.46</v>
      </c>
      <c r="Z655" s="9" t="n">
        <f aca="false">IF(I655="Opening",L655,Z654+L655-X655)</f>
        <v>67880836.02</v>
      </c>
      <c r="AA655" s="9" t="n">
        <f aca="false">IF(Y655&gt;0,Z655/Y655,IF(I655="Opening",0,AA654))</f>
        <v>41253.4100008508</v>
      </c>
      <c r="AB655" s="9" t="n">
        <f aca="false">IF(AND(I655="DO",O655="MA"),S655-N655,0)</f>
        <v>0</v>
      </c>
      <c r="AC655" s="9" t="n">
        <f aca="false">IF(I655="DO",X655-S655,0)</f>
        <v>0</v>
      </c>
      <c r="AD655" s="23" t="n">
        <f aca="false">IF(B656&lt;&gt;B655,1,0)</f>
        <v>0</v>
      </c>
      <c r="AE655" s="14" t="n">
        <f aca="false">IF(I655="Opening",0,AE654+W655)</f>
        <v>0</v>
      </c>
      <c r="AF655" s="14" t="n">
        <f aca="false">IF(I655="Opening",K655,AF654)</f>
        <v>182.92</v>
      </c>
      <c r="AG655" s="14" t="n">
        <f aca="false">AG654</f>
        <v>51.54</v>
      </c>
      <c r="AH655" s="14" t="n">
        <f aca="false">IF(W655=0,0,MAX(0,MIN(AE655,AF655)-MIN(AE655-W655,AF655)))</f>
        <v>0</v>
      </c>
      <c r="AI655" s="14" t="n">
        <f aca="false">IF(W655=0,0,MAX(0,MIN(AE655,AF655+AG655)-MAX(AE655-W655,AF655)))</f>
        <v>0</v>
      </c>
      <c r="AJ655" s="14" t="n">
        <f aca="false">W655-AH655-AI655</f>
        <v>0</v>
      </c>
      <c r="AK655" s="9" t="n">
        <f aca="false">IF(W655=0,0,X655*AH655/W655)</f>
        <v>0</v>
      </c>
      <c r="AL655" s="9" t="n">
        <f aca="false">IF(W655=0,0,X655*AI655/W655)</f>
        <v>0</v>
      </c>
      <c r="AM655" s="9" t="n">
        <f aca="false">X655-AK655-AL655</f>
        <v>0</v>
      </c>
    </row>
    <row r="656" customFormat="false" ht="15" hidden="false" customHeight="false" outlineLevel="0" collapsed="false">
      <c r="A656" s="6" t="n">
        <v>651</v>
      </c>
      <c r="B656" s="74" t="s">
        <v>1013</v>
      </c>
      <c r="C656" s="53" t="str">
        <f aca="false">INDEX(I_Items!$C$5:$C$133,MATCH($B656,I_Items!$A$5:$A$133,0))</f>
        <v>RPA</v>
      </c>
      <c r="D656" s="53" t="str">
        <f aca="false">INDEX(I_Items!$D$5:$D$133,MATCH($B656,I_Items!$A$5:$A$133,0))</f>
        <v>Karkas</v>
      </c>
      <c r="E656" s="53" t="str">
        <f aca="false">INDEX(I_Items!$F$5:$F$133,MATCH($B656,I_Items!$A$5:$A$133,0))</f>
        <v>Frozen</v>
      </c>
      <c r="F656" s="53" t="str">
        <f aca="false">IF(INDEX(I_Items!$E$5:$E$133,MATCH($B656,I_Items!$A$5:$A$133,0))="","",INDEX(I_Items!$E$5:$E$133,MATCH($B656,I_Items!$A$5:$A$133,0)))</f>
        <v>Uk 0.9</v>
      </c>
      <c r="G656" s="76" t="n">
        <v>46261</v>
      </c>
      <c r="H656" s="23" t="n">
        <f aca="false">MONTH(G656)</f>
        <v>8</v>
      </c>
      <c r="I656" s="74" t="s">
        <v>2075</v>
      </c>
      <c r="J656" s="74" t="s">
        <v>2147</v>
      </c>
      <c r="K656" s="10" t="n">
        <v>0</v>
      </c>
      <c r="L656" s="8" t="n">
        <v>0</v>
      </c>
      <c r="M656" s="10" t="n">
        <v>189.35</v>
      </c>
      <c r="N656" s="8" t="n">
        <v>7811333.18</v>
      </c>
      <c r="O656" s="74" t="s">
        <v>2077</v>
      </c>
      <c r="P656" s="74"/>
      <c r="Q656" s="74"/>
      <c r="R656" s="14" t="n">
        <f aca="false">IF(I656="Unbilled",0,M656)</f>
        <v>189.35</v>
      </c>
      <c r="S656" s="9" t="n">
        <f aca="false">IF(R656=0,0,IF(O656="Booked",N656,R656*V655))</f>
        <v>7811333.1836611</v>
      </c>
      <c r="T656" s="14" t="n">
        <f aca="false">IF(I656="Opening",K656,T655+K656-R656)</f>
        <v>1456.11</v>
      </c>
      <c r="U656" s="9" t="n">
        <f aca="false">IF(I656="Opening",L656,U655+L656-S656)</f>
        <v>60069502.8363389</v>
      </c>
      <c r="V656" s="9" t="n">
        <f aca="false">IF(T656&gt;0,U656/T656,IF(I656="Opening",0,V655))</f>
        <v>41253.4100008508</v>
      </c>
      <c r="W656" s="14" t="n">
        <f aca="false">M656</f>
        <v>189.35</v>
      </c>
      <c r="X656" s="9" t="n">
        <f aca="false">IF(W656=0,0,IF(O656="Booked",N656,W656*AA655))</f>
        <v>7811333.1836611</v>
      </c>
      <c r="Y656" s="14" t="n">
        <f aca="false">IF(I656="Opening",K656,Y655+K656-W656)</f>
        <v>1456.11</v>
      </c>
      <c r="Z656" s="9" t="n">
        <f aca="false">IF(I656="Opening",L656,Z655+L656-X656)</f>
        <v>60069502.8363389</v>
      </c>
      <c r="AA656" s="9" t="n">
        <f aca="false">IF(Y656&gt;0,Z656/Y656,IF(I656="Opening",0,AA655))</f>
        <v>41253.4100008508</v>
      </c>
      <c r="AB656" s="9" t="n">
        <f aca="false">IF(AND(I656="DO",O656="MA"),S656-N656,0)</f>
        <v>0.00366110354661942</v>
      </c>
      <c r="AC656" s="9" t="n">
        <f aca="false">IF(I656="DO",X656-S656,0)</f>
        <v>0</v>
      </c>
      <c r="AD656" s="23" t="n">
        <f aca="false">IF(B657&lt;&gt;B656,1,0)</f>
        <v>0</v>
      </c>
      <c r="AE656" s="14" t="n">
        <f aca="false">IF(I656="Opening",0,AE655+W656)</f>
        <v>189.35</v>
      </c>
      <c r="AF656" s="14" t="n">
        <f aca="false">IF(I656="Opening",K656,AF655)</f>
        <v>182.92</v>
      </c>
      <c r="AG656" s="14" t="n">
        <f aca="false">AG655</f>
        <v>51.54</v>
      </c>
      <c r="AH656" s="14" t="n">
        <f aca="false">IF(W656=0,0,MAX(0,MIN(AE656,AF656)-MIN(AE656-W656,AF656)))</f>
        <v>182.92</v>
      </c>
      <c r="AI656" s="14" t="n">
        <f aca="false">IF(W656=0,0,MAX(0,MIN(AE656,AF656+AG656)-MAX(AE656-W656,AF656)))</f>
        <v>6.43000000000001</v>
      </c>
      <c r="AJ656" s="14" t="n">
        <f aca="false">W656-AH656-AI656</f>
        <v>0</v>
      </c>
      <c r="AK656" s="9" t="n">
        <f aca="false">IF(W656=0,0,X656*AH656/W656)</f>
        <v>7546073.75735563</v>
      </c>
      <c r="AL656" s="9" t="n">
        <f aca="false">IF(W656=0,0,X656*AI656/W656)</f>
        <v>265259.426305471</v>
      </c>
      <c r="AM656" s="9" t="n">
        <f aca="false">X656-AK656-AL656</f>
        <v>0</v>
      </c>
    </row>
    <row r="657" customFormat="false" ht="15" hidden="false" customHeight="false" outlineLevel="0" collapsed="false">
      <c r="A657" s="6" t="n">
        <v>652</v>
      </c>
      <c r="B657" s="74" t="s">
        <v>1013</v>
      </c>
      <c r="C657" s="53" t="str">
        <f aca="false">INDEX(I_Items!$C$5:$C$133,MATCH($B657,I_Items!$A$5:$A$133,0))</f>
        <v>RPA</v>
      </c>
      <c r="D657" s="53" t="str">
        <f aca="false">INDEX(I_Items!$D$5:$D$133,MATCH($B657,I_Items!$A$5:$A$133,0))</f>
        <v>Karkas</v>
      </c>
      <c r="E657" s="53" t="str">
        <f aca="false">INDEX(I_Items!$F$5:$F$133,MATCH($B657,I_Items!$A$5:$A$133,0))</f>
        <v>Frozen</v>
      </c>
      <c r="F657" s="53" t="str">
        <f aca="false">IF(INDEX(I_Items!$E$5:$E$133,MATCH($B657,I_Items!$A$5:$A$133,0))="","",INDEX(I_Items!$E$5:$E$133,MATCH($B657,I_Items!$A$5:$A$133,0)))</f>
        <v>Uk 0.9</v>
      </c>
      <c r="G657" s="76" t="n">
        <v>46261</v>
      </c>
      <c r="H657" s="23" t="n">
        <f aca="false">MONTH(G657)</f>
        <v>8</v>
      </c>
      <c r="I657" s="74" t="s">
        <v>2075</v>
      </c>
      <c r="J657" s="74" t="s">
        <v>2147</v>
      </c>
      <c r="K657" s="10" t="n">
        <v>0</v>
      </c>
      <c r="L657" s="8" t="n">
        <v>0</v>
      </c>
      <c r="M657" s="10" t="n">
        <v>472.02</v>
      </c>
      <c r="N657" s="8" t="n">
        <v>19472434.59</v>
      </c>
      <c r="O657" s="74" t="s">
        <v>2077</v>
      </c>
      <c r="P657" s="74"/>
      <c r="Q657" s="74"/>
      <c r="R657" s="14" t="n">
        <f aca="false">IF(I657="Unbilled",0,M657)</f>
        <v>472.02</v>
      </c>
      <c r="S657" s="9" t="n">
        <f aca="false">IF(R657=0,0,IF(O657="Booked",N657,R657*V656))</f>
        <v>19472434.5886016</v>
      </c>
      <c r="T657" s="14" t="n">
        <f aca="false">IF(I657="Opening",K657,T656+K657-R657)</f>
        <v>984.09</v>
      </c>
      <c r="U657" s="9" t="n">
        <f aca="false">IF(I657="Opening",L657,U656+L657-S657)</f>
        <v>40597068.2477373</v>
      </c>
      <c r="V657" s="9" t="n">
        <f aca="false">IF(T657&gt;0,U657/T657,IF(I657="Opening",0,V656))</f>
        <v>41253.4100008508</v>
      </c>
      <c r="W657" s="14" t="n">
        <f aca="false">M657</f>
        <v>472.02</v>
      </c>
      <c r="X657" s="9" t="n">
        <f aca="false">IF(W657=0,0,IF(O657="Booked",N657,W657*AA656))</f>
        <v>19472434.5886016</v>
      </c>
      <c r="Y657" s="14" t="n">
        <f aca="false">IF(I657="Opening",K657,Y656+K657-W657)</f>
        <v>984.09</v>
      </c>
      <c r="Z657" s="9" t="n">
        <f aca="false">IF(I657="Opening",L657,Z656+L657-X657)</f>
        <v>40597068.2477373</v>
      </c>
      <c r="AA657" s="9" t="n">
        <f aca="false">IF(Y657&gt;0,Z657/Y657,IF(I657="Opening",0,AA656))</f>
        <v>41253.4100008508</v>
      </c>
      <c r="AB657" s="9" t="n">
        <f aca="false">IF(AND(I657="DO",O657="MA"),S657-N657,0)</f>
        <v>-0.00139839947223663</v>
      </c>
      <c r="AC657" s="9" t="n">
        <f aca="false">IF(I657="DO",X657-S657,0)</f>
        <v>0</v>
      </c>
      <c r="AD657" s="23" t="n">
        <f aca="false">IF(B658&lt;&gt;B657,1,0)</f>
        <v>0</v>
      </c>
      <c r="AE657" s="14" t="n">
        <f aca="false">IF(I657="Opening",0,AE656+W657)</f>
        <v>661.37</v>
      </c>
      <c r="AF657" s="14" t="n">
        <f aca="false">IF(I657="Opening",K657,AF656)</f>
        <v>182.92</v>
      </c>
      <c r="AG657" s="14" t="n">
        <f aca="false">AG656</f>
        <v>51.54</v>
      </c>
      <c r="AH657" s="14" t="n">
        <f aca="false">IF(W657=0,0,MAX(0,MIN(AE657,AF657)-MIN(AE657-W657,AF657)))</f>
        <v>0</v>
      </c>
      <c r="AI657" s="14" t="n">
        <f aca="false">IF(W657=0,0,MAX(0,MIN(AE657,AF657+AG657)-MAX(AE657-W657,AF657)))</f>
        <v>45.11</v>
      </c>
      <c r="AJ657" s="14" t="n">
        <f aca="false">W657-AH657-AI657</f>
        <v>426.91</v>
      </c>
      <c r="AK657" s="9" t="n">
        <f aca="false">IF(W657=0,0,X657*AH657/W657)</f>
        <v>0</v>
      </c>
      <c r="AL657" s="9" t="n">
        <f aca="false">IF(W657=0,0,X657*AI657/W657)</f>
        <v>1860941.32513838</v>
      </c>
      <c r="AM657" s="9" t="n">
        <f aca="false">X657-AK657-AL657</f>
        <v>17611493.2634632</v>
      </c>
    </row>
    <row r="658" customFormat="false" ht="15" hidden="false" customHeight="false" outlineLevel="0" collapsed="false">
      <c r="A658" s="6" t="n">
        <v>653</v>
      </c>
      <c r="B658" s="74" t="s">
        <v>1013</v>
      </c>
      <c r="C658" s="53" t="str">
        <f aca="false">INDEX(I_Items!$C$5:$C$133,MATCH($B658,I_Items!$A$5:$A$133,0))</f>
        <v>RPA</v>
      </c>
      <c r="D658" s="53" t="str">
        <f aca="false">INDEX(I_Items!$D$5:$D$133,MATCH($B658,I_Items!$A$5:$A$133,0))</f>
        <v>Karkas</v>
      </c>
      <c r="E658" s="53" t="str">
        <f aca="false">INDEX(I_Items!$F$5:$F$133,MATCH($B658,I_Items!$A$5:$A$133,0))</f>
        <v>Frozen</v>
      </c>
      <c r="F658" s="53" t="str">
        <f aca="false">IF(INDEX(I_Items!$E$5:$E$133,MATCH($B658,I_Items!$A$5:$A$133,0))="","",INDEX(I_Items!$E$5:$E$133,MATCH($B658,I_Items!$A$5:$A$133,0)))</f>
        <v>Uk 0.9</v>
      </c>
      <c r="G658" s="76" t="n">
        <v>46261</v>
      </c>
      <c r="H658" s="23" t="n">
        <f aca="false">MONTH(G658)</f>
        <v>8</v>
      </c>
      <c r="I658" s="74" t="s">
        <v>2075</v>
      </c>
      <c r="J658" s="74" t="s">
        <v>2147</v>
      </c>
      <c r="K658" s="10" t="n">
        <v>0</v>
      </c>
      <c r="L658" s="8" t="n">
        <v>0</v>
      </c>
      <c r="M658" s="10" t="n">
        <v>351.2</v>
      </c>
      <c r="N658" s="8" t="n">
        <v>14488197.59</v>
      </c>
      <c r="O658" s="74" t="s">
        <v>2077</v>
      </c>
      <c r="P658" s="74"/>
      <c r="Q658" s="74"/>
      <c r="R658" s="14" t="n">
        <f aca="false">IF(I658="Unbilled",0,M658)</f>
        <v>351.2</v>
      </c>
      <c r="S658" s="9" t="n">
        <f aca="false">IF(R658=0,0,IF(O658="Booked",N658,R658*V657))</f>
        <v>14488197.5922988</v>
      </c>
      <c r="T658" s="14" t="n">
        <f aca="false">IF(I658="Opening",K658,T657+K658-R658)</f>
        <v>632.89</v>
      </c>
      <c r="U658" s="9" t="n">
        <f aca="false">IF(I658="Opening",L658,U657+L658-S658)</f>
        <v>26108870.6554385</v>
      </c>
      <c r="V658" s="9" t="n">
        <f aca="false">IF(T658&gt;0,U658/T658,IF(I658="Opening",0,V657))</f>
        <v>41253.4100008508</v>
      </c>
      <c r="W658" s="14" t="n">
        <f aca="false">M658</f>
        <v>351.2</v>
      </c>
      <c r="X658" s="9" t="n">
        <f aca="false">IF(W658=0,0,IF(O658="Booked",N658,W658*AA657))</f>
        <v>14488197.5922988</v>
      </c>
      <c r="Y658" s="14" t="n">
        <f aca="false">IF(I658="Opening",K658,Y657+K658-W658)</f>
        <v>632.89</v>
      </c>
      <c r="Z658" s="9" t="n">
        <f aca="false">IF(I658="Opening",L658,Z657+L658-X658)</f>
        <v>26108870.6554385</v>
      </c>
      <c r="AA658" s="9" t="n">
        <f aca="false">IF(Y658&gt;0,Z658/Y658,IF(I658="Opening",0,AA657))</f>
        <v>41253.4100008508</v>
      </c>
      <c r="AB658" s="9" t="n">
        <f aca="false">IF(AND(I658="DO",O658="MA"),S658-N658,0)</f>
        <v>0.00229880772531033</v>
      </c>
      <c r="AC658" s="9" t="n">
        <f aca="false">IF(I658="DO",X658-S658,0)</f>
        <v>0</v>
      </c>
      <c r="AD658" s="23" t="n">
        <f aca="false">IF(B659&lt;&gt;B658,1,0)</f>
        <v>0</v>
      </c>
      <c r="AE658" s="14" t="n">
        <f aca="false">IF(I658="Opening",0,AE657+W658)</f>
        <v>1012.57</v>
      </c>
      <c r="AF658" s="14" t="n">
        <f aca="false">IF(I658="Opening",K658,AF657)</f>
        <v>182.92</v>
      </c>
      <c r="AG658" s="14" t="n">
        <f aca="false">AG657</f>
        <v>51.54</v>
      </c>
      <c r="AH658" s="14" t="n">
        <f aca="false">IF(W658=0,0,MAX(0,MIN(AE658,AF658)-MIN(AE658-W658,AF658)))</f>
        <v>0</v>
      </c>
      <c r="AI658" s="14" t="n">
        <f aca="false">IF(W658=0,0,MAX(0,MIN(AE658,AF658+AG658)-MAX(AE658-W658,AF658)))</f>
        <v>0</v>
      </c>
      <c r="AJ658" s="14" t="n">
        <f aca="false">W658-AH658-AI658</f>
        <v>351.2</v>
      </c>
      <c r="AK658" s="9" t="n">
        <f aca="false">IF(W658=0,0,X658*AH658/W658)</f>
        <v>0</v>
      </c>
      <c r="AL658" s="9" t="n">
        <f aca="false">IF(W658=0,0,X658*AI658/W658)</f>
        <v>0</v>
      </c>
      <c r="AM658" s="9" t="n">
        <f aca="false">X658-AK658-AL658</f>
        <v>14488197.5922988</v>
      </c>
    </row>
    <row r="659" customFormat="false" ht="15" hidden="false" customHeight="false" outlineLevel="0" collapsed="false">
      <c r="A659" s="6" t="n">
        <v>654</v>
      </c>
      <c r="B659" s="74" t="s">
        <v>1013</v>
      </c>
      <c r="C659" s="53" t="str">
        <f aca="false">INDEX(I_Items!$C$5:$C$133,MATCH($B659,I_Items!$A$5:$A$133,0))</f>
        <v>RPA</v>
      </c>
      <c r="D659" s="53" t="str">
        <f aca="false">INDEX(I_Items!$D$5:$D$133,MATCH($B659,I_Items!$A$5:$A$133,0))</f>
        <v>Karkas</v>
      </c>
      <c r="E659" s="53" t="str">
        <f aca="false">INDEX(I_Items!$F$5:$F$133,MATCH($B659,I_Items!$A$5:$A$133,0))</f>
        <v>Frozen</v>
      </c>
      <c r="F659" s="53" t="str">
        <f aca="false">IF(INDEX(I_Items!$E$5:$E$133,MATCH($B659,I_Items!$A$5:$A$133,0))="","",INDEX(I_Items!$E$5:$E$133,MATCH($B659,I_Items!$A$5:$A$133,0)))</f>
        <v>Uk 0.9</v>
      </c>
      <c r="G659" s="76" t="n">
        <v>46262</v>
      </c>
      <c r="H659" s="23" t="n">
        <f aca="false">MONTH(G659)</f>
        <v>8</v>
      </c>
      <c r="I659" s="74" t="s">
        <v>2074</v>
      </c>
      <c r="J659" s="74" t="s">
        <v>1323</v>
      </c>
      <c r="K659" s="10" t="n">
        <v>578.7</v>
      </c>
      <c r="L659" s="8" t="n">
        <v>21696535.39</v>
      </c>
      <c r="M659" s="10" t="n">
        <v>0</v>
      </c>
      <c r="N659" s="8" t="n">
        <v>0</v>
      </c>
      <c r="O659" s="74"/>
      <c r="P659" s="74"/>
      <c r="Q659" s="74"/>
      <c r="R659" s="14" t="n">
        <f aca="false">IF(I659="Unbilled",0,M659)</f>
        <v>0</v>
      </c>
      <c r="S659" s="9" t="n">
        <f aca="false">IF(R659=0,0,IF(O659="Booked",N659,R659*V658))</f>
        <v>0</v>
      </c>
      <c r="T659" s="14" t="n">
        <f aca="false">IF(I659="Opening",K659,T658+K659-R659)</f>
        <v>1211.59</v>
      </c>
      <c r="U659" s="9" t="n">
        <f aca="false">IF(I659="Opening",L659,U658+L659-S659)</f>
        <v>47805406.0454385</v>
      </c>
      <c r="V659" s="9" t="n">
        <f aca="false">IF(T659&gt;0,U659/T659,IF(I659="Opening",0,V658))</f>
        <v>39456.7519090109</v>
      </c>
      <c r="W659" s="14" t="n">
        <f aca="false">M659</f>
        <v>0</v>
      </c>
      <c r="X659" s="9" t="n">
        <f aca="false">IF(W659=0,0,IF(O659="Booked",N659,W659*AA658))</f>
        <v>0</v>
      </c>
      <c r="Y659" s="14" t="n">
        <f aca="false">IF(I659="Opening",K659,Y658+K659-W659)</f>
        <v>1211.59</v>
      </c>
      <c r="Z659" s="9" t="n">
        <f aca="false">IF(I659="Opening",L659,Z658+L659-X659)</f>
        <v>47805406.0454385</v>
      </c>
      <c r="AA659" s="9" t="n">
        <f aca="false">IF(Y659&gt;0,Z659/Y659,IF(I659="Opening",0,AA658))</f>
        <v>39456.7519090109</v>
      </c>
      <c r="AB659" s="9" t="n">
        <f aca="false">IF(AND(I659="DO",O659="MA"),S659-N659,0)</f>
        <v>0</v>
      </c>
      <c r="AC659" s="9" t="n">
        <f aca="false">IF(I659="DO",X659-S659,0)</f>
        <v>0</v>
      </c>
      <c r="AD659" s="23" t="n">
        <f aca="false">IF(B660&lt;&gt;B659,1,0)</f>
        <v>0</v>
      </c>
      <c r="AE659" s="14" t="n">
        <f aca="false">IF(I659="Opening",0,AE658+W659)</f>
        <v>1012.57</v>
      </c>
      <c r="AF659" s="14" t="n">
        <f aca="false">IF(I659="Opening",K659,AF658)</f>
        <v>182.92</v>
      </c>
      <c r="AG659" s="14" t="n">
        <f aca="false">AG658</f>
        <v>51.54</v>
      </c>
      <c r="AH659" s="14" t="n">
        <f aca="false">IF(W659=0,0,MAX(0,MIN(AE659,AF659)-MIN(AE659-W659,AF659)))</f>
        <v>0</v>
      </c>
      <c r="AI659" s="14" t="n">
        <f aca="false">IF(W659=0,0,MAX(0,MIN(AE659,AF659+AG659)-MAX(AE659-W659,AF659)))</f>
        <v>0</v>
      </c>
      <c r="AJ659" s="14" t="n">
        <f aca="false">W659-AH659-AI659</f>
        <v>0</v>
      </c>
      <c r="AK659" s="9" t="n">
        <f aca="false">IF(W659=0,0,X659*AH659/W659)</f>
        <v>0</v>
      </c>
      <c r="AL659" s="9" t="n">
        <f aca="false">IF(W659=0,0,X659*AI659/W659)</f>
        <v>0</v>
      </c>
      <c r="AM659" s="9" t="n">
        <f aca="false">X659-AK659-AL659</f>
        <v>0</v>
      </c>
    </row>
    <row r="660" customFormat="false" ht="15" hidden="false" customHeight="false" outlineLevel="0" collapsed="false">
      <c r="A660" s="6" t="n">
        <v>655</v>
      </c>
      <c r="B660" s="74" t="s">
        <v>1013</v>
      </c>
      <c r="C660" s="53" t="str">
        <f aca="false">INDEX(I_Items!$C$5:$C$133,MATCH($B660,I_Items!$A$5:$A$133,0))</f>
        <v>RPA</v>
      </c>
      <c r="D660" s="53" t="str">
        <f aca="false">INDEX(I_Items!$D$5:$D$133,MATCH($B660,I_Items!$A$5:$A$133,0))</f>
        <v>Karkas</v>
      </c>
      <c r="E660" s="53" t="str">
        <f aca="false">INDEX(I_Items!$F$5:$F$133,MATCH($B660,I_Items!$A$5:$A$133,0))</f>
        <v>Frozen</v>
      </c>
      <c r="F660" s="53" t="str">
        <f aca="false">IF(INDEX(I_Items!$E$5:$E$133,MATCH($B660,I_Items!$A$5:$A$133,0))="","",INDEX(I_Items!$E$5:$E$133,MATCH($B660,I_Items!$A$5:$A$133,0)))</f>
        <v>Uk 0.9</v>
      </c>
      <c r="G660" s="76" t="n">
        <v>46265</v>
      </c>
      <c r="H660" s="23" t="n">
        <f aca="false">MONTH(G660)</f>
        <v>8</v>
      </c>
      <c r="I660" s="74" t="s">
        <v>2074</v>
      </c>
      <c r="J660" s="74" t="s">
        <v>1326</v>
      </c>
      <c r="K660" s="10" t="n">
        <v>226.8</v>
      </c>
      <c r="L660" s="8" t="n">
        <v>8356762.79</v>
      </c>
      <c r="M660" s="10" t="n">
        <v>0</v>
      </c>
      <c r="N660" s="8" t="n">
        <v>0</v>
      </c>
      <c r="O660" s="74"/>
      <c r="P660" s="74"/>
      <c r="Q660" s="74"/>
      <c r="R660" s="14" t="n">
        <f aca="false">IF(I660="Unbilled",0,M660)</f>
        <v>0</v>
      </c>
      <c r="S660" s="9" t="n">
        <f aca="false">IF(R660=0,0,IF(O660="Booked",N660,R660*V659))</f>
        <v>0</v>
      </c>
      <c r="T660" s="14" t="n">
        <f aca="false">IF(I660="Opening",K660,T659+K660-R660)</f>
        <v>1438.39</v>
      </c>
      <c r="U660" s="9" t="n">
        <f aca="false">IF(I660="Opening",L660,U659+L660-S660)</f>
        <v>56162168.8354385</v>
      </c>
      <c r="V660" s="9" t="n">
        <f aca="false">IF(T660&gt;0,U660/T660,IF(I660="Opening",0,V659))</f>
        <v>39045.1607946652</v>
      </c>
      <c r="W660" s="14" t="n">
        <f aca="false">M660</f>
        <v>0</v>
      </c>
      <c r="X660" s="9" t="n">
        <f aca="false">IF(W660=0,0,IF(O660="Booked",N660,W660*AA659))</f>
        <v>0</v>
      </c>
      <c r="Y660" s="14" t="n">
        <f aca="false">IF(I660="Opening",K660,Y659+K660-W660)</f>
        <v>1438.39</v>
      </c>
      <c r="Z660" s="9" t="n">
        <f aca="false">IF(I660="Opening",L660,Z659+L660-X660)</f>
        <v>56162168.8354385</v>
      </c>
      <c r="AA660" s="9" t="n">
        <f aca="false">IF(Y660&gt;0,Z660/Y660,IF(I660="Opening",0,AA659))</f>
        <v>39045.1607946652</v>
      </c>
      <c r="AB660" s="9" t="n">
        <f aca="false">IF(AND(I660="DO",O660="MA"),S660-N660,0)</f>
        <v>0</v>
      </c>
      <c r="AC660" s="9" t="n">
        <f aca="false">IF(I660="DO",X660-S660,0)</f>
        <v>0</v>
      </c>
      <c r="AD660" s="23" t="n">
        <f aca="false">IF(B661&lt;&gt;B660,1,0)</f>
        <v>1</v>
      </c>
      <c r="AE660" s="14" t="n">
        <f aca="false">IF(I660="Opening",0,AE659+W660)</f>
        <v>1012.57</v>
      </c>
      <c r="AF660" s="14" t="n">
        <f aca="false">IF(I660="Opening",K660,AF659)</f>
        <v>182.92</v>
      </c>
      <c r="AG660" s="14" t="n">
        <f aca="false">AG659</f>
        <v>51.54</v>
      </c>
      <c r="AH660" s="14" t="n">
        <f aca="false">IF(W660=0,0,MAX(0,MIN(AE660,AF660)-MIN(AE660-W660,AF660)))</f>
        <v>0</v>
      </c>
      <c r="AI660" s="14" t="n">
        <f aca="false">IF(W660=0,0,MAX(0,MIN(AE660,AF660+AG660)-MAX(AE660-W660,AF660)))</f>
        <v>0</v>
      </c>
      <c r="AJ660" s="14" t="n">
        <f aca="false">W660-AH660-AI660</f>
        <v>0</v>
      </c>
      <c r="AK660" s="9" t="n">
        <f aca="false">IF(W660=0,0,X660*AH660/W660)</f>
        <v>0</v>
      </c>
      <c r="AL660" s="9" t="n">
        <f aca="false">IF(W660=0,0,X660*AI660/W660)</f>
        <v>0</v>
      </c>
      <c r="AM660" s="9" t="n">
        <f aca="false">X660-AK660-AL660</f>
        <v>0</v>
      </c>
    </row>
    <row r="661" customFormat="false" ht="15" hidden="false" customHeight="false" outlineLevel="0" collapsed="false">
      <c r="A661" s="6" t="n">
        <v>656</v>
      </c>
      <c r="B661" s="74" t="s">
        <v>1014</v>
      </c>
      <c r="C661" s="53" t="str">
        <f aca="false">INDEX(I_Items!$C$5:$C$133,MATCH($B661,I_Items!$A$5:$A$133,0))</f>
        <v>RPA</v>
      </c>
      <c r="D661" s="53" t="str">
        <f aca="false">INDEX(I_Items!$D$5:$D$133,MATCH($B661,I_Items!$A$5:$A$133,0))</f>
        <v>Karkas</v>
      </c>
      <c r="E661" s="53" t="str">
        <f aca="false">INDEX(I_Items!$F$5:$F$133,MATCH($B661,I_Items!$A$5:$A$133,0))</f>
        <v>Frozen</v>
      </c>
      <c r="F661" s="53" t="str">
        <f aca="false">IF(INDEX(I_Items!$E$5:$E$133,MATCH($B661,I_Items!$A$5:$A$133,0))="","",INDEX(I_Items!$E$5:$E$133,MATCH($B661,I_Items!$A$5:$A$133,0)))</f>
        <v>Uk 0.8</v>
      </c>
      <c r="G661" s="76" t="n">
        <v>46204</v>
      </c>
      <c r="H661" s="23" t="n">
        <f aca="false">MONTH(G661)</f>
        <v>7</v>
      </c>
      <c r="I661" s="74" t="s">
        <v>2072</v>
      </c>
      <c r="J661" s="74" t="s">
        <v>2073</v>
      </c>
      <c r="K661" s="10" t="n">
        <v>4953</v>
      </c>
      <c r="L661" s="8" t="n">
        <v>127129531.58</v>
      </c>
      <c r="M661" s="10" t="n">
        <v>0</v>
      </c>
      <c r="N661" s="8" t="n">
        <v>0</v>
      </c>
      <c r="O661" s="74"/>
      <c r="P661" s="74"/>
      <c r="Q661" s="74"/>
      <c r="R661" s="14" t="n">
        <f aca="false">IF(I661="Unbilled",0,M661)</f>
        <v>0</v>
      </c>
      <c r="S661" s="9" t="n">
        <f aca="false">IF(R661=0,0,IF(O661="Booked",N661,R661*V660))</f>
        <v>0</v>
      </c>
      <c r="T661" s="14" t="n">
        <f aca="false">IF(I661="Opening",K661,T660+K661-R661)</f>
        <v>4953</v>
      </c>
      <c r="U661" s="9" t="n">
        <f aca="false">IF(I661="Opening",L661,U660+L661-S661)</f>
        <v>127129531.58</v>
      </c>
      <c r="V661" s="9" t="n">
        <f aca="false">IF(T661&gt;0,U661/T661,IF(I661="Opening",0,V660))</f>
        <v>25667.1777871997</v>
      </c>
      <c r="W661" s="14" t="n">
        <f aca="false">M661</f>
        <v>0</v>
      </c>
      <c r="X661" s="9" t="n">
        <f aca="false">IF(W661=0,0,IF(O661="Booked",N661,W661*AA660))</f>
        <v>0</v>
      </c>
      <c r="Y661" s="14" t="n">
        <f aca="false">IF(I661="Opening",K661,Y660+K661-W661)</f>
        <v>4953</v>
      </c>
      <c r="Z661" s="9" t="n">
        <f aca="false">IF(I661="Opening",L661,Z660+L661-X661)</f>
        <v>127129531.58</v>
      </c>
      <c r="AA661" s="9" t="n">
        <f aca="false">IF(Y661&gt;0,Z661/Y661,IF(I661="Opening",0,AA660))</f>
        <v>25667.1777871997</v>
      </c>
      <c r="AB661" s="9" t="n">
        <f aca="false">IF(AND(I661="DO",O661="MA"),S661-N661,0)</f>
        <v>0</v>
      </c>
      <c r="AC661" s="9" t="n">
        <f aca="false">IF(I661="DO",X661-S661,0)</f>
        <v>0</v>
      </c>
      <c r="AD661" s="23" t="n">
        <f aca="false">IF(B662&lt;&gt;B661,1,0)</f>
        <v>0</v>
      </c>
      <c r="AE661" s="14" t="n">
        <f aca="false">IF(I661="Opening",0,AE660+W661)</f>
        <v>0</v>
      </c>
      <c r="AF661" s="14" t="n">
        <f aca="false">IF(I661="Opening",K661,AF660)</f>
        <v>4953</v>
      </c>
      <c r="AG661" s="14" t="n">
        <f aca="false">SUMIFS($K$6:$K$1110,$B$6:$B$1110,B661,$H$6:$H$1110,7,$I$6:$I$1110,"&lt;&gt;Opening")</f>
        <v>11.7</v>
      </c>
      <c r="AH661" s="14" t="n">
        <f aca="false">IF(W661=0,0,MAX(0,MIN(AE661,AF661)-MIN(AE661-W661,AF661)))</f>
        <v>0</v>
      </c>
      <c r="AI661" s="14" t="n">
        <f aca="false">IF(W661=0,0,MAX(0,MIN(AE661,AF661+AG661)-MAX(AE661-W661,AF661)))</f>
        <v>0</v>
      </c>
      <c r="AJ661" s="14" t="n">
        <f aca="false">W661-AH661-AI661</f>
        <v>0</v>
      </c>
      <c r="AK661" s="9" t="n">
        <f aca="false">IF(W661=0,0,X661*AH661/W661)</f>
        <v>0</v>
      </c>
      <c r="AL661" s="9" t="n">
        <f aca="false">IF(W661=0,0,X661*AI661/W661)</f>
        <v>0</v>
      </c>
      <c r="AM661" s="9" t="n">
        <f aca="false">X661-AK661-AL661</f>
        <v>0</v>
      </c>
    </row>
    <row r="662" customFormat="false" ht="15" hidden="false" customHeight="false" outlineLevel="0" collapsed="false">
      <c r="A662" s="6" t="n">
        <v>657</v>
      </c>
      <c r="B662" s="74" t="s">
        <v>1014</v>
      </c>
      <c r="C662" s="53" t="str">
        <f aca="false">INDEX(I_Items!$C$5:$C$133,MATCH($B662,I_Items!$A$5:$A$133,0))</f>
        <v>RPA</v>
      </c>
      <c r="D662" s="53" t="str">
        <f aca="false">INDEX(I_Items!$D$5:$D$133,MATCH($B662,I_Items!$A$5:$A$133,0))</f>
        <v>Karkas</v>
      </c>
      <c r="E662" s="53" t="str">
        <f aca="false">INDEX(I_Items!$F$5:$F$133,MATCH($B662,I_Items!$A$5:$A$133,0))</f>
        <v>Frozen</v>
      </c>
      <c r="F662" s="53" t="str">
        <f aca="false">IF(INDEX(I_Items!$E$5:$E$133,MATCH($B662,I_Items!$A$5:$A$133,0))="","",INDEX(I_Items!$E$5:$E$133,MATCH($B662,I_Items!$A$5:$A$133,0)))</f>
        <v>Uk 0.8</v>
      </c>
      <c r="G662" s="76" t="n">
        <v>46204</v>
      </c>
      <c r="H662" s="23" t="n">
        <f aca="false">MONTH(G662)</f>
        <v>7</v>
      </c>
      <c r="I662" s="74" t="s">
        <v>2117</v>
      </c>
      <c r="J662" s="74" t="s">
        <v>2130</v>
      </c>
      <c r="K662" s="10" t="n">
        <v>11.7</v>
      </c>
      <c r="L662" s="8" t="n">
        <v>301617.69</v>
      </c>
      <c r="M662" s="10" t="n">
        <v>0</v>
      </c>
      <c r="N662" s="8" t="n">
        <v>0</v>
      </c>
      <c r="O662" s="74" t="s">
        <v>2119</v>
      </c>
      <c r="P662" s="74"/>
      <c r="Q662" s="74"/>
      <c r="R662" s="14" t="n">
        <f aca="false">IF(I662="Unbilled",0,M662)</f>
        <v>0</v>
      </c>
      <c r="S662" s="9" t="n">
        <f aca="false">IF(R662=0,0,IF(O662="Booked",N662,R662*V661))</f>
        <v>0</v>
      </c>
      <c r="T662" s="14" t="n">
        <f aca="false">IF(I662="Opening",K662,T661+K662-R662)</f>
        <v>4964.7</v>
      </c>
      <c r="U662" s="9" t="n">
        <f aca="false">IF(I662="Opening",L662,U661+L662-S662)</f>
        <v>127431149.27</v>
      </c>
      <c r="V662" s="9" t="n">
        <f aca="false">IF(T662&gt;0,U662/T662,IF(I662="Opening",0,V661))</f>
        <v>25667.441994481</v>
      </c>
      <c r="W662" s="14" t="n">
        <f aca="false">M662</f>
        <v>0</v>
      </c>
      <c r="X662" s="9" t="n">
        <f aca="false">IF(W662=0,0,IF(O662="Booked",N662,W662*AA661))</f>
        <v>0</v>
      </c>
      <c r="Y662" s="14" t="n">
        <f aca="false">IF(I662="Opening",K662,Y661+K662-W662)</f>
        <v>4964.7</v>
      </c>
      <c r="Z662" s="9" t="n">
        <f aca="false">IF(I662="Opening",L662,Z661+L662-X662)</f>
        <v>127431149.27</v>
      </c>
      <c r="AA662" s="9" t="n">
        <f aca="false">IF(Y662&gt;0,Z662/Y662,IF(I662="Opening",0,AA661))</f>
        <v>25667.441994481</v>
      </c>
      <c r="AB662" s="9" t="n">
        <f aca="false">IF(AND(I662="DO",O662="MA"),S662-N662,0)</f>
        <v>0</v>
      </c>
      <c r="AC662" s="9" t="n">
        <f aca="false">IF(I662="DO",X662-S662,0)</f>
        <v>0</v>
      </c>
      <c r="AD662" s="23" t="n">
        <f aca="false">IF(B663&lt;&gt;B662,1,0)</f>
        <v>0</v>
      </c>
      <c r="AE662" s="14" t="n">
        <f aca="false">IF(I662="Opening",0,AE661+W662)</f>
        <v>0</v>
      </c>
      <c r="AF662" s="14" t="n">
        <f aca="false">IF(I662="Opening",K662,AF661)</f>
        <v>4953</v>
      </c>
      <c r="AG662" s="14" t="n">
        <f aca="false">AG661</f>
        <v>11.7</v>
      </c>
      <c r="AH662" s="14" t="n">
        <f aca="false">IF(W662=0,0,MAX(0,MIN(AE662,AF662)-MIN(AE662-W662,AF662)))</f>
        <v>0</v>
      </c>
      <c r="AI662" s="14" t="n">
        <f aca="false">IF(W662=0,0,MAX(0,MIN(AE662,AF662+AG662)-MAX(AE662-W662,AF662)))</f>
        <v>0</v>
      </c>
      <c r="AJ662" s="14" t="n">
        <f aca="false">W662-AH662-AI662</f>
        <v>0</v>
      </c>
      <c r="AK662" s="9" t="n">
        <f aca="false">IF(W662=0,0,X662*AH662/W662)</f>
        <v>0</v>
      </c>
      <c r="AL662" s="9" t="n">
        <f aca="false">IF(W662=0,0,X662*AI662/W662)</f>
        <v>0</v>
      </c>
      <c r="AM662" s="9" t="n">
        <f aca="false">X662-AK662-AL662</f>
        <v>0</v>
      </c>
    </row>
    <row r="663" customFormat="false" ht="15" hidden="false" customHeight="false" outlineLevel="0" collapsed="false">
      <c r="A663" s="6" t="n">
        <v>658</v>
      </c>
      <c r="B663" s="74" t="s">
        <v>1014</v>
      </c>
      <c r="C663" s="53" t="str">
        <f aca="false">INDEX(I_Items!$C$5:$C$133,MATCH($B663,I_Items!$A$5:$A$133,0))</f>
        <v>RPA</v>
      </c>
      <c r="D663" s="53" t="str">
        <f aca="false">INDEX(I_Items!$D$5:$D$133,MATCH($B663,I_Items!$A$5:$A$133,0))</f>
        <v>Karkas</v>
      </c>
      <c r="E663" s="53" t="str">
        <f aca="false">INDEX(I_Items!$F$5:$F$133,MATCH($B663,I_Items!$A$5:$A$133,0))</f>
        <v>Frozen</v>
      </c>
      <c r="F663" s="53" t="str">
        <f aca="false">IF(INDEX(I_Items!$E$5:$E$133,MATCH($B663,I_Items!$A$5:$A$133,0))="","",INDEX(I_Items!$E$5:$E$133,MATCH($B663,I_Items!$A$5:$A$133,0)))</f>
        <v>Uk 0.8</v>
      </c>
      <c r="G663" s="76" t="n">
        <v>46225</v>
      </c>
      <c r="H663" s="23" t="n">
        <f aca="false">MONTH(G663)</f>
        <v>7</v>
      </c>
      <c r="I663" s="74" t="s">
        <v>2075</v>
      </c>
      <c r="J663" s="74" t="s">
        <v>2145</v>
      </c>
      <c r="K663" s="10" t="n">
        <v>0</v>
      </c>
      <c r="L663" s="8" t="n">
        <v>0</v>
      </c>
      <c r="M663" s="10" t="n">
        <v>120.61</v>
      </c>
      <c r="N663" s="8" t="n">
        <v>3095750.18</v>
      </c>
      <c r="O663" s="74" t="s">
        <v>2077</v>
      </c>
      <c r="P663" s="74"/>
      <c r="Q663" s="74"/>
      <c r="R663" s="14" t="n">
        <f aca="false">IF(I663="Unbilled",0,M663)</f>
        <v>120.61</v>
      </c>
      <c r="S663" s="9" t="n">
        <f aca="false">IF(R663=0,0,IF(O663="Booked",N663,R663*V662))</f>
        <v>3095750.17895436</v>
      </c>
      <c r="T663" s="14" t="n">
        <f aca="false">IF(I663="Opening",K663,T662+K663-R663)</f>
        <v>4844.09</v>
      </c>
      <c r="U663" s="9" t="n">
        <f aca="false">IF(I663="Opening",L663,U662+L663-S663)</f>
        <v>124335399.091046</v>
      </c>
      <c r="V663" s="9" t="n">
        <f aca="false">IF(T663&gt;0,U663/T663,IF(I663="Opening",0,V662))</f>
        <v>25667.441994481</v>
      </c>
      <c r="W663" s="14" t="n">
        <f aca="false">M663</f>
        <v>120.61</v>
      </c>
      <c r="X663" s="9" t="n">
        <f aca="false">IF(W663=0,0,IF(O663="Booked",N663,W663*AA662))</f>
        <v>3095750.17895436</v>
      </c>
      <c r="Y663" s="14" t="n">
        <f aca="false">IF(I663="Opening",K663,Y662+K663-W663)</f>
        <v>4844.09</v>
      </c>
      <c r="Z663" s="9" t="n">
        <f aca="false">IF(I663="Opening",L663,Z662+L663-X663)</f>
        <v>124335399.091046</v>
      </c>
      <c r="AA663" s="9" t="n">
        <f aca="false">IF(Y663&gt;0,Z663/Y663,IF(I663="Opening",0,AA662))</f>
        <v>25667.441994481</v>
      </c>
      <c r="AB663" s="9" t="n">
        <f aca="false">IF(AND(I663="DO",O663="MA"),S663-N663,0)</f>
        <v>-0.00104564242064953</v>
      </c>
      <c r="AC663" s="9" t="n">
        <f aca="false">IF(I663="DO",X663-S663,0)</f>
        <v>0</v>
      </c>
      <c r="AD663" s="23" t="n">
        <f aca="false">IF(B664&lt;&gt;B663,1,0)</f>
        <v>0</v>
      </c>
      <c r="AE663" s="14" t="n">
        <f aca="false">IF(I663="Opening",0,AE662+W663)</f>
        <v>120.61</v>
      </c>
      <c r="AF663" s="14" t="n">
        <f aca="false">IF(I663="Opening",K663,AF662)</f>
        <v>4953</v>
      </c>
      <c r="AG663" s="14" t="n">
        <f aca="false">AG662</f>
        <v>11.7</v>
      </c>
      <c r="AH663" s="14" t="n">
        <f aca="false">IF(W663=0,0,MAX(0,MIN(AE663,AF663)-MIN(AE663-W663,AF663)))</f>
        <v>120.61</v>
      </c>
      <c r="AI663" s="14" t="n">
        <f aca="false">IF(W663=0,0,MAX(0,MIN(AE663,AF663+AG663)-MAX(AE663-W663,AF663)))</f>
        <v>0</v>
      </c>
      <c r="AJ663" s="14" t="n">
        <f aca="false">W663-AH663-AI663</f>
        <v>0</v>
      </c>
      <c r="AK663" s="9" t="n">
        <f aca="false">IF(W663=0,0,X663*AH663/W663)</f>
        <v>3095750.17895436</v>
      </c>
      <c r="AL663" s="9" t="n">
        <f aca="false">IF(W663=0,0,X663*AI663/W663)</f>
        <v>0</v>
      </c>
      <c r="AM663" s="9" t="n">
        <f aca="false">X663-AK663-AL663</f>
        <v>0</v>
      </c>
    </row>
    <row r="664" customFormat="false" ht="15" hidden="false" customHeight="false" outlineLevel="0" collapsed="false">
      <c r="A664" s="6" t="n">
        <v>659</v>
      </c>
      <c r="B664" s="74" t="s">
        <v>1014</v>
      </c>
      <c r="C664" s="53" t="str">
        <f aca="false">INDEX(I_Items!$C$5:$C$133,MATCH($B664,I_Items!$A$5:$A$133,0))</f>
        <v>RPA</v>
      </c>
      <c r="D664" s="53" t="str">
        <f aca="false">INDEX(I_Items!$D$5:$D$133,MATCH($B664,I_Items!$A$5:$A$133,0))</f>
        <v>Karkas</v>
      </c>
      <c r="E664" s="53" t="str">
        <f aca="false">INDEX(I_Items!$F$5:$F$133,MATCH($B664,I_Items!$A$5:$A$133,0))</f>
        <v>Frozen</v>
      </c>
      <c r="F664" s="53" t="str">
        <f aca="false">IF(INDEX(I_Items!$E$5:$E$133,MATCH($B664,I_Items!$A$5:$A$133,0))="","",INDEX(I_Items!$E$5:$E$133,MATCH($B664,I_Items!$A$5:$A$133,0)))</f>
        <v>Uk 0.8</v>
      </c>
      <c r="G664" s="76" t="n">
        <v>46241</v>
      </c>
      <c r="H664" s="23" t="n">
        <f aca="false">MONTH(G664)</f>
        <v>8</v>
      </c>
      <c r="I664" s="74" t="s">
        <v>2074</v>
      </c>
      <c r="J664" s="74" t="s">
        <v>1290</v>
      </c>
      <c r="K664" s="10" t="n">
        <v>130</v>
      </c>
      <c r="L664" s="8" t="n">
        <v>4955260.66</v>
      </c>
      <c r="M664" s="10" t="n">
        <v>0</v>
      </c>
      <c r="N664" s="8" t="n">
        <v>0</v>
      </c>
      <c r="O664" s="74"/>
      <c r="P664" s="74"/>
      <c r="Q664" s="74"/>
      <c r="R664" s="14" t="n">
        <f aca="false">IF(I664="Unbilled",0,M664)</f>
        <v>0</v>
      </c>
      <c r="S664" s="9" t="n">
        <f aca="false">IF(R664=0,0,IF(O664="Booked",N664,R664*V663))</f>
        <v>0</v>
      </c>
      <c r="T664" s="14" t="n">
        <f aca="false">IF(I664="Opening",K664,T663+K664-R664)</f>
        <v>4974.09</v>
      </c>
      <c r="U664" s="9" t="n">
        <f aca="false">IF(I664="Opening",L664,U663+L664-S664)</f>
        <v>129290659.751046</v>
      </c>
      <c r="V664" s="9" t="n">
        <f aca="false">IF(T664&gt;0,U664/T664,IF(I664="Opening",0,V663))</f>
        <v>25992.8267785757</v>
      </c>
      <c r="W664" s="14" t="n">
        <f aca="false">M664</f>
        <v>0</v>
      </c>
      <c r="X664" s="9" t="n">
        <f aca="false">IF(W664=0,0,IF(O664="Booked",N664,W664*AA663))</f>
        <v>0</v>
      </c>
      <c r="Y664" s="14" t="n">
        <f aca="false">IF(I664="Opening",K664,Y663+K664-W664)</f>
        <v>4974.09</v>
      </c>
      <c r="Z664" s="9" t="n">
        <f aca="false">IF(I664="Opening",L664,Z663+L664-X664)</f>
        <v>129290659.751046</v>
      </c>
      <c r="AA664" s="9" t="n">
        <f aca="false">IF(Y664&gt;0,Z664/Y664,IF(I664="Opening",0,AA663))</f>
        <v>25992.8267785757</v>
      </c>
      <c r="AB664" s="9" t="n">
        <f aca="false">IF(AND(I664="DO",O664="MA"),S664-N664,0)</f>
        <v>0</v>
      </c>
      <c r="AC664" s="9" t="n">
        <f aca="false">IF(I664="DO",X664-S664,0)</f>
        <v>0</v>
      </c>
      <c r="AD664" s="23" t="n">
        <f aca="false">IF(B665&lt;&gt;B664,1,0)</f>
        <v>0</v>
      </c>
      <c r="AE664" s="14" t="n">
        <f aca="false">IF(I664="Opening",0,AE663+W664)</f>
        <v>120.61</v>
      </c>
      <c r="AF664" s="14" t="n">
        <f aca="false">IF(I664="Opening",K664,AF663)</f>
        <v>4953</v>
      </c>
      <c r="AG664" s="14" t="n">
        <f aca="false">AG663</f>
        <v>11.7</v>
      </c>
      <c r="AH664" s="14" t="n">
        <f aca="false">IF(W664=0,0,MAX(0,MIN(AE664,AF664)-MIN(AE664-W664,AF664)))</f>
        <v>0</v>
      </c>
      <c r="AI664" s="14" t="n">
        <f aca="false">IF(W664=0,0,MAX(0,MIN(AE664,AF664+AG664)-MAX(AE664-W664,AF664)))</f>
        <v>0</v>
      </c>
      <c r="AJ664" s="14" t="n">
        <f aca="false">W664-AH664-AI664</f>
        <v>0</v>
      </c>
      <c r="AK664" s="9" t="n">
        <f aca="false">IF(W664=0,0,X664*AH664/W664)</f>
        <v>0</v>
      </c>
      <c r="AL664" s="9" t="n">
        <f aca="false">IF(W664=0,0,X664*AI664/W664)</f>
        <v>0</v>
      </c>
      <c r="AM664" s="9" t="n">
        <f aca="false">X664-AK664-AL664</f>
        <v>0</v>
      </c>
    </row>
    <row r="665" customFormat="false" ht="15" hidden="false" customHeight="false" outlineLevel="0" collapsed="false">
      <c r="A665" s="6" t="n">
        <v>660</v>
      </c>
      <c r="B665" s="74" t="s">
        <v>1014</v>
      </c>
      <c r="C665" s="53" t="str">
        <f aca="false">INDEX(I_Items!$C$5:$C$133,MATCH($B665,I_Items!$A$5:$A$133,0))</f>
        <v>RPA</v>
      </c>
      <c r="D665" s="53" t="str">
        <f aca="false">INDEX(I_Items!$D$5:$D$133,MATCH($B665,I_Items!$A$5:$A$133,0))</f>
        <v>Karkas</v>
      </c>
      <c r="E665" s="53" t="str">
        <f aca="false">INDEX(I_Items!$F$5:$F$133,MATCH($B665,I_Items!$A$5:$A$133,0))</f>
        <v>Frozen</v>
      </c>
      <c r="F665" s="53" t="str">
        <f aca="false">IF(INDEX(I_Items!$E$5:$E$133,MATCH($B665,I_Items!$A$5:$A$133,0))="","",INDEX(I_Items!$E$5:$E$133,MATCH($B665,I_Items!$A$5:$A$133,0)))</f>
        <v>Uk 0.8</v>
      </c>
      <c r="G665" s="76" t="n">
        <v>46244</v>
      </c>
      <c r="H665" s="23" t="n">
        <f aca="false">MONTH(G665)</f>
        <v>8</v>
      </c>
      <c r="I665" s="74" t="s">
        <v>2074</v>
      </c>
      <c r="J665" s="74" t="s">
        <v>1294</v>
      </c>
      <c r="K665" s="10" t="n">
        <v>352.2</v>
      </c>
      <c r="L665" s="8" t="n">
        <v>12636311.09</v>
      </c>
      <c r="M665" s="10" t="n">
        <v>0</v>
      </c>
      <c r="N665" s="8" t="n">
        <v>0</v>
      </c>
      <c r="O665" s="74"/>
      <c r="P665" s="74"/>
      <c r="Q665" s="74"/>
      <c r="R665" s="14" t="n">
        <f aca="false">IF(I665="Unbilled",0,M665)</f>
        <v>0</v>
      </c>
      <c r="S665" s="9" t="n">
        <f aca="false">IF(R665=0,0,IF(O665="Booked",N665,R665*V664))</f>
        <v>0</v>
      </c>
      <c r="T665" s="14" t="n">
        <f aca="false">IF(I665="Opening",K665,T664+K665-R665)</f>
        <v>5326.29</v>
      </c>
      <c r="U665" s="9" t="n">
        <f aca="false">IF(I665="Opening",L665,U664+L665-S665)</f>
        <v>141926970.841046</v>
      </c>
      <c r="V665" s="9" t="n">
        <f aca="false">IF(T665&gt;0,U665/T665,IF(I665="Opening",0,V664))</f>
        <v>26646.4970628797</v>
      </c>
      <c r="W665" s="14" t="n">
        <f aca="false">M665</f>
        <v>0</v>
      </c>
      <c r="X665" s="9" t="n">
        <f aca="false">IF(W665=0,0,IF(O665="Booked",N665,W665*AA664))</f>
        <v>0</v>
      </c>
      <c r="Y665" s="14" t="n">
        <f aca="false">IF(I665="Opening",K665,Y664+K665-W665)</f>
        <v>5326.29</v>
      </c>
      <c r="Z665" s="9" t="n">
        <f aca="false">IF(I665="Opening",L665,Z664+L665-X665)</f>
        <v>141926970.841046</v>
      </c>
      <c r="AA665" s="9" t="n">
        <f aca="false">IF(Y665&gt;0,Z665/Y665,IF(I665="Opening",0,AA664))</f>
        <v>26646.4970628797</v>
      </c>
      <c r="AB665" s="9" t="n">
        <f aca="false">IF(AND(I665="DO",O665="MA"),S665-N665,0)</f>
        <v>0</v>
      </c>
      <c r="AC665" s="9" t="n">
        <f aca="false">IF(I665="DO",X665-S665,0)</f>
        <v>0</v>
      </c>
      <c r="AD665" s="23" t="n">
        <f aca="false">IF(B666&lt;&gt;B665,1,0)</f>
        <v>0</v>
      </c>
      <c r="AE665" s="14" t="n">
        <f aca="false">IF(I665="Opening",0,AE664+W665)</f>
        <v>120.61</v>
      </c>
      <c r="AF665" s="14" t="n">
        <f aca="false">IF(I665="Opening",K665,AF664)</f>
        <v>4953</v>
      </c>
      <c r="AG665" s="14" t="n">
        <f aca="false">AG664</f>
        <v>11.7</v>
      </c>
      <c r="AH665" s="14" t="n">
        <f aca="false">IF(W665=0,0,MAX(0,MIN(AE665,AF665)-MIN(AE665-W665,AF665)))</f>
        <v>0</v>
      </c>
      <c r="AI665" s="14" t="n">
        <f aca="false">IF(W665=0,0,MAX(0,MIN(AE665,AF665+AG665)-MAX(AE665-W665,AF665)))</f>
        <v>0</v>
      </c>
      <c r="AJ665" s="14" t="n">
        <f aca="false">W665-AH665-AI665</f>
        <v>0</v>
      </c>
      <c r="AK665" s="9" t="n">
        <f aca="false">IF(W665=0,0,X665*AH665/W665)</f>
        <v>0</v>
      </c>
      <c r="AL665" s="9" t="n">
        <f aca="false">IF(W665=0,0,X665*AI665/W665)</f>
        <v>0</v>
      </c>
      <c r="AM665" s="9" t="n">
        <f aca="false">X665-AK665-AL665</f>
        <v>0</v>
      </c>
    </row>
    <row r="666" customFormat="false" ht="15" hidden="false" customHeight="false" outlineLevel="0" collapsed="false">
      <c r="A666" s="6" t="n">
        <v>661</v>
      </c>
      <c r="B666" s="74" t="s">
        <v>1014</v>
      </c>
      <c r="C666" s="53" t="str">
        <f aca="false">INDEX(I_Items!$C$5:$C$133,MATCH($B666,I_Items!$A$5:$A$133,0))</f>
        <v>RPA</v>
      </c>
      <c r="D666" s="53" t="str">
        <f aca="false">INDEX(I_Items!$D$5:$D$133,MATCH($B666,I_Items!$A$5:$A$133,0))</f>
        <v>Karkas</v>
      </c>
      <c r="E666" s="53" t="str">
        <f aca="false">INDEX(I_Items!$F$5:$F$133,MATCH($B666,I_Items!$A$5:$A$133,0))</f>
        <v>Frozen</v>
      </c>
      <c r="F666" s="53" t="str">
        <f aca="false">IF(INDEX(I_Items!$E$5:$E$133,MATCH($B666,I_Items!$A$5:$A$133,0))="","",INDEX(I_Items!$E$5:$E$133,MATCH($B666,I_Items!$A$5:$A$133,0)))</f>
        <v>Uk 0.8</v>
      </c>
      <c r="G666" s="76" t="n">
        <v>46244</v>
      </c>
      <c r="H666" s="23" t="n">
        <f aca="false">MONTH(G666)</f>
        <v>8</v>
      </c>
      <c r="I666" s="74" t="s">
        <v>2074</v>
      </c>
      <c r="J666" s="74" t="s">
        <v>1298</v>
      </c>
      <c r="K666" s="10" t="n">
        <v>9.7</v>
      </c>
      <c r="L666" s="8" t="n">
        <v>367962.07</v>
      </c>
      <c r="M666" s="10" t="n">
        <v>0</v>
      </c>
      <c r="N666" s="8" t="n">
        <v>0</v>
      </c>
      <c r="O666" s="74"/>
      <c r="P666" s="74"/>
      <c r="Q666" s="74"/>
      <c r="R666" s="14" t="n">
        <f aca="false">IF(I666="Unbilled",0,M666)</f>
        <v>0</v>
      </c>
      <c r="S666" s="9" t="n">
        <f aca="false">IF(R666=0,0,IF(O666="Booked",N666,R666*V665))</f>
        <v>0</v>
      </c>
      <c r="T666" s="14" t="n">
        <f aca="false">IF(I666="Opening",K666,T665+K666-R666)</f>
        <v>5335.99</v>
      </c>
      <c r="U666" s="9" t="n">
        <f aca="false">IF(I666="Opening",L666,U665+L666-S666)</f>
        <v>142294932.911046</v>
      </c>
      <c r="V666" s="9" t="n">
        <f aca="false">IF(T666&gt;0,U666/T666,IF(I666="Opening",0,V665))</f>
        <v>26667.0164132702</v>
      </c>
      <c r="W666" s="14" t="n">
        <f aca="false">M666</f>
        <v>0</v>
      </c>
      <c r="X666" s="9" t="n">
        <f aca="false">IF(W666=0,0,IF(O666="Booked",N666,W666*AA665))</f>
        <v>0</v>
      </c>
      <c r="Y666" s="14" t="n">
        <f aca="false">IF(I666="Opening",K666,Y665+K666-W666)</f>
        <v>5335.99</v>
      </c>
      <c r="Z666" s="9" t="n">
        <f aca="false">IF(I666="Opening",L666,Z665+L666-X666)</f>
        <v>142294932.911046</v>
      </c>
      <c r="AA666" s="9" t="n">
        <f aca="false">IF(Y666&gt;0,Z666/Y666,IF(I666="Opening",0,AA665))</f>
        <v>26667.0164132702</v>
      </c>
      <c r="AB666" s="9" t="n">
        <f aca="false">IF(AND(I666="DO",O666="MA"),S666-N666,0)</f>
        <v>0</v>
      </c>
      <c r="AC666" s="9" t="n">
        <f aca="false">IF(I666="DO",X666-S666,0)</f>
        <v>0</v>
      </c>
      <c r="AD666" s="23" t="n">
        <f aca="false">IF(B667&lt;&gt;B666,1,0)</f>
        <v>0</v>
      </c>
      <c r="AE666" s="14" t="n">
        <f aca="false">IF(I666="Opening",0,AE665+W666)</f>
        <v>120.61</v>
      </c>
      <c r="AF666" s="14" t="n">
        <f aca="false">IF(I666="Opening",K666,AF665)</f>
        <v>4953</v>
      </c>
      <c r="AG666" s="14" t="n">
        <f aca="false">AG665</f>
        <v>11.7</v>
      </c>
      <c r="AH666" s="14" t="n">
        <f aca="false">IF(W666=0,0,MAX(0,MIN(AE666,AF666)-MIN(AE666-W666,AF666)))</f>
        <v>0</v>
      </c>
      <c r="AI666" s="14" t="n">
        <f aca="false">IF(W666=0,0,MAX(0,MIN(AE666,AF666+AG666)-MAX(AE666-W666,AF666)))</f>
        <v>0</v>
      </c>
      <c r="AJ666" s="14" t="n">
        <f aca="false">W666-AH666-AI666</f>
        <v>0</v>
      </c>
      <c r="AK666" s="9" t="n">
        <f aca="false">IF(W666=0,0,X666*AH666/W666)</f>
        <v>0</v>
      </c>
      <c r="AL666" s="9" t="n">
        <f aca="false">IF(W666=0,0,X666*AI666/W666)</f>
        <v>0</v>
      </c>
      <c r="AM666" s="9" t="n">
        <f aca="false">X666-AK666-AL666</f>
        <v>0</v>
      </c>
    </row>
    <row r="667" customFormat="false" ht="15" hidden="false" customHeight="false" outlineLevel="0" collapsed="false">
      <c r="A667" s="6" t="n">
        <v>662</v>
      </c>
      <c r="B667" s="74" t="s">
        <v>1014</v>
      </c>
      <c r="C667" s="53" t="str">
        <f aca="false">INDEX(I_Items!$C$5:$C$133,MATCH($B667,I_Items!$A$5:$A$133,0))</f>
        <v>RPA</v>
      </c>
      <c r="D667" s="53" t="str">
        <f aca="false">INDEX(I_Items!$D$5:$D$133,MATCH($B667,I_Items!$A$5:$A$133,0))</f>
        <v>Karkas</v>
      </c>
      <c r="E667" s="53" t="str">
        <f aca="false">INDEX(I_Items!$F$5:$F$133,MATCH($B667,I_Items!$A$5:$A$133,0))</f>
        <v>Frozen</v>
      </c>
      <c r="F667" s="53" t="str">
        <f aca="false">IF(INDEX(I_Items!$E$5:$E$133,MATCH($B667,I_Items!$A$5:$A$133,0))="","",INDEX(I_Items!$E$5:$E$133,MATCH($B667,I_Items!$A$5:$A$133,0)))</f>
        <v>Uk 0.8</v>
      </c>
      <c r="G667" s="76" t="n">
        <v>46244</v>
      </c>
      <c r="H667" s="23" t="n">
        <f aca="false">MONTH(G667)</f>
        <v>8</v>
      </c>
      <c r="I667" s="74" t="s">
        <v>2117</v>
      </c>
      <c r="J667" s="74" t="s">
        <v>2176</v>
      </c>
      <c r="K667" s="10" t="n">
        <v>0</v>
      </c>
      <c r="L667" s="8" t="n">
        <v>0</v>
      </c>
      <c r="M667" s="10" t="n">
        <v>429.88</v>
      </c>
      <c r="N667" s="8" t="n">
        <v>11463617.01</v>
      </c>
      <c r="O667" s="74" t="s">
        <v>2119</v>
      </c>
      <c r="P667" s="74"/>
      <c r="Q667" s="74"/>
      <c r="R667" s="14" t="n">
        <f aca="false">IF(I667="Unbilled",0,M667)</f>
        <v>429.88</v>
      </c>
      <c r="S667" s="9" t="n">
        <f aca="false">IF(R667=0,0,IF(O667="Booked",N667,R667*V666))</f>
        <v>11463617.01</v>
      </c>
      <c r="T667" s="14" t="n">
        <f aca="false">IF(I667="Opening",K667,T666+K667-R667)</f>
        <v>4906.11</v>
      </c>
      <c r="U667" s="9" t="n">
        <f aca="false">IF(I667="Opening",L667,U666+L667-S667)</f>
        <v>130831315.901046</v>
      </c>
      <c r="V667" s="9" t="n">
        <f aca="false">IF(T667&gt;0,U667/T667,IF(I667="Opening",0,V666))</f>
        <v>26667.0164144395</v>
      </c>
      <c r="W667" s="14" t="n">
        <f aca="false">M667</f>
        <v>429.88</v>
      </c>
      <c r="X667" s="9" t="n">
        <f aca="false">IF(W667=0,0,IF(O667="Booked",N667,W667*AA666))</f>
        <v>11463617.01</v>
      </c>
      <c r="Y667" s="14" t="n">
        <f aca="false">IF(I667="Opening",K667,Y666+K667-W667)</f>
        <v>4906.11</v>
      </c>
      <c r="Z667" s="9" t="n">
        <f aca="false">IF(I667="Opening",L667,Z666+L667-X667)</f>
        <v>130831315.901046</v>
      </c>
      <c r="AA667" s="9" t="n">
        <f aca="false">IF(Y667&gt;0,Z667/Y667,IF(I667="Opening",0,AA666))</f>
        <v>26667.0164144395</v>
      </c>
      <c r="AB667" s="9" t="n">
        <f aca="false">IF(AND(I667="DO",O667="MA"),S667-N667,0)</f>
        <v>0</v>
      </c>
      <c r="AC667" s="9" t="n">
        <f aca="false">IF(I667="DO",X667-S667,0)</f>
        <v>0</v>
      </c>
      <c r="AD667" s="23" t="n">
        <f aca="false">IF(B668&lt;&gt;B667,1,0)</f>
        <v>0</v>
      </c>
      <c r="AE667" s="14" t="n">
        <f aca="false">IF(I667="Opening",0,AE666+W667)</f>
        <v>550.49</v>
      </c>
      <c r="AF667" s="14" t="n">
        <f aca="false">IF(I667="Opening",K667,AF666)</f>
        <v>4953</v>
      </c>
      <c r="AG667" s="14" t="n">
        <f aca="false">AG666</f>
        <v>11.7</v>
      </c>
      <c r="AH667" s="14" t="n">
        <f aca="false">IF(W667=0,0,MAX(0,MIN(AE667,AF667)-MIN(AE667-W667,AF667)))</f>
        <v>429.88</v>
      </c>
      <c r="AI667" s="14" t="n">
        <f aca="false">IF(W667=0,0,MAX(0,MIN(AE667,AF667+AG667)-MAX(AE667-W667,AF667)))</f>
        <v>0</v>
      </c>
      <c r="AJ667" s="14" t="n">
        <f aca="false">W667-AH667-AI667</f>
        <v>0</v>
      </c>
      <c r="AK667" s="9" t="n">
        <f aca="false">IF(W667=0,0,X667*AH667/W667)</f>
        <v>11463617.01</v>
      </c>
      <c r="AL667" s="9" t="n">
        <f aca="false">IF(W667=0,0,X667*AI667/W667)</f>
        <v>0</v>
      </c>
      <c r="AM667" s="9" t="n">
        <f aca="false">X667-AK667-AL667</f>
        <v>0</v>
      </c>
    </row>
    <row r="668" customFormat="false" ht="15" hidden="false" customHeight="false" outlineLevel="0" collapsed="false">
      <c r="A668" s="6" t="n">
        <v>663</v>
      </c>
      <c r="B668" s="74" t="s">
        <v>1014</v>
      </c>
      <c r="C668" s="53" t="str">
        <f aca="false">INDEX(I_Items!$C$5:$C$133,MATCH($B668,I_Items!$A$5:$A$133,0))</f>
        <v>RPA</v>
      </c>
      <c r="D668" s="53" t="str">
        <f aca="false">INDEX(I_Items!$D$5:$D$133,MATCH($B668,I_Items!$A$5:$A$133,0))</f>
        <v>Karkas</v>
      </c>
      <c r="E668" s="53" t="str">
        <f aca="false">INDEX(I_Items!$F$5:$F$133,MATCH($B668,I_Items!$A$5:$A$133,0))</f>
        <v>Frozen</v>
      </c>
      <c r="F668" s="53" t="str">
        <f aca="false">IF(INDEX(I_Items!$E$5:$E$133,MATCH($B668,I_Items!$A$5:$A$133,0))="","",INDEX(I_Items!$E$5:$E$133,MATCH($B668,I_Items!$A$5:$A$133,0)))</f>
        <v>Uk 0.8</v>
      </c>
      <c r="G668" s="76" t="n">
        <v>46247</v>
      </c>
      <c r="H668" s="23" t="n">
        <f aca="false">MONTH(G668)</f>
        <v>8</v>
      </c>
      <c r="I668" s="74" t="s">
        <v>2075</v>
      </c>
      <c r="J668" s="74" t="s">
        <v>2171</v>
      </c>
      <c r="K668" s="10" t="n">
        <v>0</v>
      </c>
      <c r="L668" s="8" t="n">
        <v>0</v>
      </c>
      <c r="M668" s="10" t="n">
        <v>210.05</v>
      </c>
      <c r="N668" s="8" t="n">
        <v>5601406.79</v>
      </c>
      <c r="O668" s="74" t="s">
        <v>2077</v>
      </c>
      <c r="P668" s="74"/>
      <c r="Q668" s="74"/>
      <c r="R668" s="14" t="n">
        <f aca="false">IF(I668="Unbilled",0,M668)</f>
        <v>210.05</v>
      </c>
      <c r="S668" s="9" t="n">
        <f aca="false">IF(R668=0,0,IF(O668="Booked",N668,R668*V667))</f>
        <v>5601406.79785301</v>
      </c>
      <c r="T668" s="14" t="n">
        <f aca="false">IF(I668="Opening",K668,T667+K668-R668)</f>
        <v>4696.06</v>
      </c>
      <c r="U668" s="9" t="n">
        <f aca="false">IF(I668="Opening",L668,U667+L668-S668)</f>
        <v>125229909.103193</v>
      </c>
      <c r="V668" s="9" t="n">
        <f aca="false">IF(T668&gt;0,U668/T668,IF(I668="Opening",0,V667))</f>
        <v>26667.0164144395</v>
      </c>
      <c r="W668" s="14" t="n">
        <f aca="false">M668</f>
        <v>210.05</v>
      </c>
      <c r="X668" s="9" t="n">
        <f aca="false">IF(W668=0,0,IF(O668="Booked",N668,W668*AA667))</f>
        <v>5601406.79785301</v>
      </c>
      <c r="Y668" s="14" t="n">
        <f aca="false">IF(I668="Opening",K668,Y667+K668-W668)</f>
        <v>4696.06</v>
      </c>
      <c r="Z668" s="9" t="n">
        <f aca="false">IF(I668="Opening",L668,Z667+L668-X668)</f>
        <v>125229909.103193</v>
      </c>
      <c r="AA668" s="9" t="n">
        <f aca="false">IF(Y668&gt;0,Z668/Y668,IF(I668="Opening",0,AA667))</f>
        <v>26667.0164144395</v>
      </c>
      <c r="AB668" s="9" t="n">
        <f aca="false">IF(AND(I668="DO",O668="MA"),S668-N668,0)</f>
        <v>0.00785300973802805</v>
      </c>
      <c r="AC668" s="9" t="n">
        <f aca="false">IF(I668="DO",X668-S668,0)</f>
        <v>0</v>
      </c>
      <c r="AD668" s="23" t="n">
        <f aca="false">IF(B669&lt;&gt;B668,1,0)</f>
        <v>0</v>
      </c>
      <c r="AE668" s="14" t="n">
        <f aca="false">IF(I668="Opening",0,AE667+W668)</f>
        <v>760.54</v>
      </c>
      <c r="AF668" s="14" t="n">
        <f aca="false">IF(I668="Opening",K668,AF667)</f>
        <v>4953</v>
      </c>
      <c r="AG668" s="14" t="n">
        <f aca="false">AG667</f>
        <v>11.7</v>
      </c>
      <c r="AH668" s="14" t="n">
        <f aca="false">IF(W668=0,0,MAX(0,MIN(AE668,AF668)-MIN(AE668-W668,AF668)))</f>
        <v>210.05</v>
      </c>
      <c r="AI668" s="14" t="n">
        <f aca="false">IF(W668=0,0,MAX(0,MIN(AE668,AF668+AG668)-MAX(AE668-W668,AF668)))</f>
        <v>0</v>
      </c>
      <c r="AJ668" s="14" t="n">
        <f aca="false">W668-AH668-AI668</f>
        <v>0</v>
      </c>
      <c r="AK668" s="9" t="n">
        <f aca="false">IF(W668=0,0,X668*AH668/W668)</f>
        <v>5601406.79785301</v>
      </c>
      <c r="AL668" s="9" t="n">
        <f aca="false">IF(W668=0,0,X668*AI668/W668)</f>
        <v>0</v>
      </c>
      <c r="AM668" s="9" t="n">
        <f aca="false">X668-AK668-AL668</f>
        <v>0</v>
      </c>
    </row>
    <row r="669" customFormat="false" ht="15" hidden="false" customHeight="false" outlineLevel="0" collapsed="false">
      <c r="A669" s="6" t="n">
        <v>664</v>
      </c>
      <c r="B669" s="74" t="s">
        <v>1014</v>
      </c>
      <c r="C669" s="53" t="str">
        <f aca="false">INDEX(I_Items!$C$5:$C$133,MATCH($B669,I_Items!$A$5:$A$133,0))</f>
        <v>RPA</v>
      </c>
      <c r="D669" s="53" t="str">
        <f aca="false">INDEX(I_Items!$D$5:$D$133,MATCH($B669,I_Items!$A$5:$A$133,0))</f>
        <v>Karkas</v>
      </c>
      <c r="E669" s="53" t="str">
        <f aca="false">INDEX(I_Items!$F$5:$F$133,MATCH($B669,I_Items!$A$5:$A$133,0))</f>
        <v>Frozen</v>
      </c>
      <c r="F669" s="53" t="str">
        <f aca="false">IF(INDEX(I_Items!$E$5:$E$133,MATCH($B669,I_Items!$A$5:$A$133,0))="","",INDEX(I_Items!$E$5:$E$133,MATCH($B669,I_Items!$A$5:$A$133,0)))</f>
        <v>Uk 0.8</v>
      </c>
      <c r="G669" s="76" t="n">
        <v>46248</v>
      </c>
      <c r="H669" s="23" t="n">
        <f aca="false">MONTH(G669)</f>
        <v>8</v>
      </c>
      <c r="I669" s="74" t="s">
        <v>2074</v>
      </c>
      <c r="J669" s="74" t="s">
        <v>1302</v>
      </c>
      <c r="K669" s="10" t="n">
        <v>215.1</v>
      </c>
      <c r="L669" s="8" t="n">
        <v>8235284.01</v>
      </c>
      <c r="M669" s="10" t="n">
        <v>0</v>
      </c>
      <c r="N669" s="8" t="n">
        <v>0</v>
      </c>
      <c r="O669" s="74"/>
      <c r="P669" s="74"/>
      <c r="Q669" s="74"/>
      <c r="R669" s="14" t="n">
        <f aca="false">IF(I669="Unbilled",0,M669)</f>
        <v>0</v>
      </c>
      <c r="S669" s="9" t="n">
        <f aca="false">IF(R669=0,0,IF(O669="Booked",N669,R669*V668))</f>
        <v>0</v>
      </c>
      <c r="T669" s="14" t="n">
        <f aca="false">IF(I669="Opening",K669,T668+K669-R669)</f>
        <v>4911.16</v>
      </c>
      <c r="U669" s="9" t="n">
        <f aca="false">IF(I669="Opening",L669,U668+L669-S669)</f>
        <v>133465193.113193</v>
      </c>
      <c r="V669" s="9" t="n">
        <f aca="false">IF(T669&gt;0,U669/T669,IF(I669="Opening",0,V668))</f>
        <v>27175.9000140889</v>
      </c>
      <c r="W669" s="14" t="n">
        <f aca="false">M669</f>
        <v>0</v>
      </c>
      <c r="X669" s="9" t="n">
        <f aca="false">IF(W669=0,0,IF(O669="Booked",N669,W669*AA668))</f>
        <v>0</v>
      </c>
      <c r="Y669" s="14" t="n">
        <f aca="false">IF(I669="Opening",K669,Y668+K669-W669)</f>
        <v>4911.16</v>
      </c>
      <c r="Z669" s="9" t="n">
        <f aca="false">IF(I669="Opening",L669,Z668+L669-X669)</f>
        <v>133465193.113193</v>
      </c>
      <c r="AA669" s="9" t="n">
        <f aca="false">IF(Y669&gt;0,Z669/Y669,IF(I669="Opening",0,AA668))</f>
        <v>27175.9000140889</v>
      </c>
      <c r="AB669" s="9" t="n">
        <f aca="false">IF(AND(I669="DO",O669="MA"),S669-N669,0)</f>
        <v>0</v>
      </c>
      <c r="AC669" s="9" t="n">
        <f aca="false">IF(I669="DO",X669-S669,0)</f>
        <v>0</v>
      </c>
      <c r="AD669" s="23" t="n">
        <f aca="false">IF(B670&lt;&gt;B669,1,0)</f>
        <v>0</v>
      </c>
      <c r="AE669" s="14" t="n">
        <f aca="false">IF(I669="Opening",0,AE668+W669)</f>
        <v>760.54</v>
      </c>
      <c r="AF669" s="14" t="n">
        <f aca="false">IF(I669="Opening",K669,AF668)</f>
        <v>4953</v>
      </c>
      <c r="AG669" s="14" t="n">
        <f aca="false">AG668</f>
        <v>11.7</v>
      </c>
      <c r="AH669" s="14" t="n">
        <f aca="false">IF(W669=0,0,MAX(0,MIN(AE669,AF669)-MIN(AE669-W669,AF669)))</f>
        <v>0</v>
      </c>
      <c r="AI669" s="14" t="n">
        <f aca="false">IF(W669=0,0,MAX(0,MIN(AE669,AF669+AG669)-MAX(AE669-W669,AF669)))</f>
        <v>0</v>
      </c>
      <c r="AJ669" s="14" t="n">
        <f aca="false">W669-AH669-AI669</f>
        <v>0</v>
      </c>
      <c r="AK669" s="9" t="n">
        <f aca="false">IF(W669=0,0,X669*AH669/W669)</f>
        <v>0</v>
      </c>
      <c r="AL669" s="9" t="n">
        <f aca="false">IF(W669=0,0,X669*AI669/W669)</f>
        <v>0</v>
      </c>
      <c r="AM669" s="9" t="n">
        <f aca="false">X669-AK669-AL669</f>
        <v>0</v>
      </c>
    </row>
    <row r="670" customFormat="false" ht="15" hidden="false" customHeight="false" outlineLevel="0" collapsed="false">
      <c r="A670" s="6" t="n">
        <v>665</v>
      </c>
      <c r="B670" s="74" t="s">
        <v>1014</v>
      </c>
      <c r="C670" s="53" t="str">
        <f aca="false">INDEX(I_Items!$C$5:$C$133,MATCH($B670,I_Items!$A$5:$A$133,0))</f>
        <v>RPA</v>
      </c>
      <c r="D670" s="53" t="str">
        <f aca="false">INDEX(I_Items!$D$5:$D$133,MATCH($B670,I_Items!$A$5:$A$133,0))</f>
        <v>Karkas</v>
      </c>
      <c r="E670" s="53" t="str">
        <f aca="false">INDEX(I_Items!$F$5:$F$133,MATCH($B670,I_Items!$A$5:$A$133,0))</f>
        <v>Frozen</v>
      </c>
      <c r="F670" s="53" t="str">
        <f aca="false">IF(INDEX(I_Items!$E$5:$E$133,MATCH($B670,I_Items!$A$5:$A$133,0))="","",INDEX(I_Items!$E$5:$E$133,MATCH($B670,I_Items!$A$5:$A$133,0)))</f>
        <v>Uk 0.8</v>
      </c>
      <c r="G670" s="76" t="n">
        <v>46252</v>
      </c>
      <c r="H670" s="23" t="n">
        <f aca="false">MONTH(G670)</f>
        <v>8</v>
      </c>
      <c r="I670" s="74" t="s">
        <v>2075</v>
      </c>
      <c r="J670" s="74" t="s">
        <v>2177</v>
      </c>
      <c r="K670" s="10" t="n">
        <v>0</v>
      </c>
      <c r="L670" s="8" t="n">
        <v>0</v>
      </c>
      <c r="M670" s="10" t="n">
        <v>1223.5</v>
      </c>
      <c r="N670" s="8" t="n">
        <v>33249713.65</v>
      </c>
      <c r="O670" s="74" t="s">
        <v>2077</v>
      </c>
      <c r="P670" s="74"/>
      <c r="Q670" s="74"/>
      <c r="R670" s="14" t="n">
        <f aca="false">IF(I670="Unbilled",0,M670)</f>
        <v>1223.5</v>
      </c>
      <c r="S670" s="9" t="n">
        <f aca="false">IF(R670=0,0,IF(O670="Booked",N670,R670*V669))</f>
        <v>33249713.6672377</v>
      </c>
      <c r="T670" s="14" t="n">
        <f aca="false">IF(I670="Opening",K670,T669+K670-R670)</f>
        <v>3687.66</v>
      </c>
      <c r="U670" s="9" t="n">
        <f aca="false">IF(I670="Opening",L670,U669+L670-S670)</f>
        <v>100215479.445955</v>
      </c>
      <c r="V670" s="9" t="n">
        <f aca="false">IF(T670&gt;0,U670/T670,IF(I670="Opening",0,V669))</f>
        <v>27175.9000140889</v>
      </c>
      <c r="W670" s="14" t="n">
        <f aca="false">M670</f>
        <v>1223.5</v>
      </c>
      <c r="X670" s="9" t="n">
        <f aca="false">IF(W670=0,0,IF(O670="Booked",N670,W670*AA669))</f>
        <v>33249713.6672377</v>
      </c>
      <c r="Y670" s="14" t="n">
        <f aca="false">IF(I670="Opening",K670,Y669+K670-W670)</f>
        <v>3687.66</v>
      </c>
      <c r="Z670" s="9" t="n">
        <f aca="false">IF(I670="Opening",L670,Z669+L670-X670)</f>
        <v>100215479.445955</v>
      </c>
      <c r="AA670" s="9" t="n">
        <f aca="false">IF(Y670&gt;0,Z670/Y670,IF(I670="Opening",0,AA669))</f>
        <v>27175.9000140889</v>
      </c>
      <c r="AB670" s="9" t="n">
        <f aca="false">IF(AND(I670="DO",O670="MA"),S670-N670,0)</f>
        <v>0.0172377116978169</v>
      </c>
      <c r="AC670" s="9" t="n">
        <f aca="false">IF(I670="DO",X670-S670,0)</f>
        <v>0</v>
      </c>
      <c r="AD670" s="23" t="n">
        <f aca="false">IF(B671&lt;&gt;B670,1,0)</f>
        <v>0</v>
      </c>
      <c r="AE670" s="14" t="n">
        <f aca="false">IF(I670="Opening",0,AE669+W670)</f>
        <v>1984.04</v>
      </c>
      <c r="AF670" s="14" t="n">
        <f aca="false">IF(I670="Opening",K670,AF669)</f>
        <v>4953</v>
      </c>
      <c r="AG670" s="14" t="n">
        <f aca="false">AG669</f>
        <v>11.7</v>
      </c>
      <c r="AH670" s="14" t="n">
        <f aca="false">IF(W670=0,0,MAX(0,MIN(AE670,AF670)-MIN(AE670-W670,AF670)))</f>
        <v>1223.5</v>
      </c>
      <c r="AI670" s="14" t="n">
        <f aca="false">IF(W670=0,0,MAX(0,MIN(AE670,AF670+AG670)-MAX(AE670-W670,AF670)))</f>
        <v>0</v>
      </c>
      <c r="AJ670" s="14" t="n">
        <f aca="false">W670-AH670-AI670</f>
        <v>0</v>
      </c>
      <c r="AK670" s="9" t="n">
        <f aca="false">IF(W670=0,0,X670*AH670/W670)</f>
        <v>33249713.6672377</v>
      </c>
      <c r="AL670" s="9" t="n">
        <f aca="false">IF(W670=0,0,X670*AI670/W670)</f>
        <v>0</v>
      </c>
      <c r="AM670" s="9" t="n">
        <f aca="false">X670-AK670-AL670</f>
        <v>0</v>
      </c>
    </row>
    <row r="671" customFormat="false" ht="15" hidden="false" customHeight="false" outlineLevel="0" collapsed="false">
      <c r="A671" s="6" t="n">
        <v>666</v>
      </c>
      <c r="B671" s="74" t="s">
        <v>1014</v>
      </c>
      <c r="C671" s="53" t="str">
        <f aca="false">INDEX(I_Items!$C$5:$C$133,MATCH($B671,I_Items!$A$5:$A$133,0))</f>
        <v>RPA</v>
      </c>
      <c r="D671" s="53" t="str">
        <f aca="false">INDEX(I_Items!$D$5:$D$133,MATCH($B671,I_Items!$A$5:$A$133,0))</f>
        <v>Karkas</v>
      </c>
      <c r="E671" s="53" t="str">
        <f aca="false">INDEX(I_Items!$F$5:$F$133,MATCH($B671,I_Items!$A$5:$A$133,0))</f>
        <v>Frozen</v>
      </c>
      <c r="F671" s="53" t="str">
        <f aca="false">IF(INDEX(I_Items!$E$5:$E$133,MATCH($B671,I_Items!$A$5:$A$133,0))="","",INDEX(I_Items!$E$5:$E$133,MATCH($B671,I_Items!$A$5:$A$133,0)))</f>
        <v>Uk 0.8</v>
      </c>
      <c r="G671" s="76" t="n">
        <v>46252</v>
      </c>
      <c r="H671" s="23" t="n">
        <f aca="false">MONTH(G671)</f>
        <v>8</v>
      </c>
      <c r="I671" s="74" t="s">
        <v>2075</v>
      </c>
      <c r="J671" s="74" t="s">
        <v>2178</v>
      </c>
      <c r="K671" s="10" t="n">
        <v>0</v>
      </c>
      <c r="L671" s="8" t="n">
        <v>0</v>
      </c>
      <c r="M671" s="10" t="n">
        <v>20.9</v>
      </c>
      <c r="N671" s="8" t="n">
        <v>567976.31</v>
      </c>
      <c r="O671" s="74" t="s">
        <v>2077</v>
      </c>
      <c r="P671" s="74"/>
      <c r="Q671" s="74"/>
      <c r="R671" s="14" t="n">
        <f aca="false">IF(I671="Unbilled",0,M671)</f>
        <v>20.9</v>
      </c>
      <c r="S671" s="9" t="n">
        <f aca="false">IF(R671=0,0,IF(O671="Booked",N671,R671*V670))</f>
        <v>567976.310294457</v>
      </c>
      <c r="T671" s="14" t="n">
        <f aca="false">IF(I671="Opening",K671,T670+K671-R671)</f>
        <v>3666.76</v>
      </c>
      <c r="U671" s="9" t="n">
        <f aca="false">IF(I671="Opening",L671,U670+L671-S671)</f>
        <v>99647503.1356604</v>
      </c>
      <c r="V671" s="9" t="n">
        <f aca="false">IF(T671&gt;0,U671/T671,IF(I671="Opening",0,V670))</f>
        <v>27175.9000140889</v>
      </c>
      <c r="W671" s="14" t="n">
        <f aca="false">M671</f>
        <v>20.9</v>
      </c>
      <c r="X671" s="9" t="n">
        <f aca="false">IF(W671=0,0,IF(O671="Booked",N671,W671*AA670))</f>
        <v>567976.310294457</v>
      </c>
      <c r="Y671" s="14" t="n">
        <f aca="false">IF(I671="Opening",K671,Y670+K671-W671)</f>
        <v>3666.76</v>
      </c>
      <c r="Z671" s="9" t="n">
        <f aca="false">IF(I671="Opening",L671,Z670+L671-X671)</f>
        <v>99647503.1356604</v>
      </c>
      <c r="AA671" s="9" t="n">
        <f aca="false">IF(Y671&gt;0,Z671/Y671,IF(I671="Opening",0,AA670))</f>
        <v>27175.9000140889</v>
      </c>
      <c r="AB671" s="9" t="n">
        <f aca="false">IF(AND(I671="DO",O671="MA"),S671-N671,0)</f>
        <v>0.000294456956908107</v>
      </c>
      <c r="AC671" s="9" t="n">
        <f aca="false">IF(I671="DO",X671-S671,0)</f>
        <v>0</v>
      </c>
      <c r="AD671" s="23" t="n">
        <f aca="false">IF(B672&lt;&gt;B671,1,0)</f>
        <v>0</v>
      </c>
      <c r="AE671" s="14" t="n">
        <f aca="false">IF(I671="Opening",0,AE670+W671)</f>
        <v>2004.94</v>
      </c>
      <c r="AF671" s="14" t="n">
        <f aca="false">IF(I671="Opening",K671,AF670)</f>
        <v>4953</v>
      </c>
      <c r="AG671" s="14" t="n">
        <f aca="false">AG670</f>
        <v>11.7</v>
      </c>
      <c r="AH671" s="14" t="n">
        <f aca="false">IF(W671=0,0,MAX(0,MIN(AE671,AF671)-MIN(AE671-W671,AF671)))</f>
        <v>20.9000000000001</v>
      </c>
      <c r="AI671" s="14" t="n">
        <f aca="false">IF(W671=0,0,MAX(0,MIN(AE671,AF671+AG671)-MAX(AE671-W671,AF671)))</f>
        <v>0</v>
      </c>
      <c r="AJ671" s="14" t="n">
        <f aca="false">W671-AH671-AI671</f>
        <v>-9.2370555648813E-014</v>
      </c>
      <c r="AK671" s="9" t="n">
        <f aca="false">IF(W671=0,0,X671*AH671/W671)</f>
        <v>567976.31029446</v>
      </c>
      <c r="AL671" s="9" t="n">
        <f aca="false">IF(W671=0,0,X671*AI671/W671)</f>
        <v>0</v>
      </c>
      <c r="AM671" s="9" t="n">
        <f aca="false">X671-AK671-AL671</f>
        <v>-2.44472175836563E-009</v>
      </c>
    </row>
    <row r="672" customFormat="false" ht="15" hidden="false" customHeight="false" outlineLevel="0" collapsed="false">
      <c r="A672" s="6" t="n">
        <v>667</v>
      </c>
      <c r="B672" s="74" t="s">
        <v>1014</v>
      </c>
      <c r="C672" s="53" t="str">
        <f aca="false">INDEX(I_Items!$C$5:$C$133,MATCH($B672,I_Items!$A$5:$A$133,0))</f>
        <v>RPA</v>
      </c>
      <c r="D672" s="53" t="str">
        <f aca="false">INDEX(I_Items!$D$5:$D$133,MATCH($B672,I_Items!$A$5:$A$133,0))</f>
        <v>Karkas</v>
      </c>
      <c r="E672" s="53" t="str">
        <f aca="false">INDEX(I_Items!$F$5:$F$133,MATCH($B672,I_Items!$A$5:$A$133,0))</f>
        <v>Frozen</v>
      </c>
      <c r="F672" s="53" t="str">
        <f aca="false">IF(INDEX(I_Items!$E$5:$E$133,MATCH($B672,I_Items!$A$5:$A$133,0))="","",INDEX(I_Items!$E$5:$E$133,MATCH($B672,I_Items!$A$5:$A$133,0)))</f>
        <v>Uk 0.8</v>
      </c>
      <c r="G672" s="76" t="n">
        <v>46253</v>
      </c>
      <c r="H672" s="23" t="n">
        <f aca="false">MONTH(G672)</f>
        <v>8</v>
      </c>
      <c r="I672" s="74" t="s">
        <v>2074</v>
      </c>
      <c r="J672" s="74" t="s">
        <v>1305</v>
      </c>
      <c r="K672" s="10" t="n">
        <v>452.7</v>
      </c>
      <c r="L672" s="8" t="n">
        <v>17106034.29</v>
      </c>
      <c r="M672" s="10" t="n">
        <v>0</v>
      </c>
      <c r="N672" s="8" t="n">
        <v>0</v>
      </c>
      <c r="O672" s="74"/>
      <c r="P672" s="74"/>
      <c r="Q672" s="74"/>
      <c r="R672" s="14" t="n">
        <f aca="false">IF(I672="Unbilled",0,M672)</f>
        <v>0</v>
      </c>
      <c r="S672" s="9" t="n">
        <f aca="false">IF(R672=0,0,IF(O672="Booked",N672,R672*V671))</f>
        <v>0</v>
      </c>
      <c r="T672" s="14" t="n">
        <f aca="false">IF(I672="Opening",K672,T671+K672-R672)</f>
        <v>4119.46</v>
      </c>
      <c r="U672" s="9" t="n">
        <f aca="false">IF(I672="Opening",L672,U671+L672-S672)</f>
        <v>116753537.42566</v>
      </c>
      <c r="V672" s="9" t="n">
        <f aca="false">IF(T672&gt;0,U672/T672,IF(I672="Opening",0,V671))</f>
        <v>28341.9519610969</v>
      </c>
      <c r="W672" s="14" t="n">
        <f aca="false">M672</f>
        <v>0</v>
      </c>
      <c r="X672" s="9" t="n">
        <f aca="false">IF(W672=0,0,IF(O672="Booked",N672,W672*AA671))</f>
        <v>0</v>
      </c>
      <c r="Y672" s="14" t="n">
        <f aca="false">IF(I672="Opening",K672,Y671+K672-W672)</f>
        <v>4119.46</v>
      </c>
      <c r="Z672" s="9" t="n">
        <f aca="false">IF(I672="Opening",L672,Z671+L672-X672)</f>
        <v>116753537.42566</v>
      </c>
      <c r="AA672" s="9" t="n">
        <f aca="false">IF(Y672&gt;0,Z672/Y672,IF(I672="Opening",0,AA671))</f>
        <v>28341.9519610969</v>
      </c>
      <c r="AB672" s="9" t="n">
        <f aca="false">IF(AND(I672="DO",O672="MA"),S672-N672,0)</f>
        <v>0</v>
      </c>
      <c r="AC672" s="9" t="n">
        <f aca="false">IF(I672="DO",X672-S672,0)</f>
        <v>0</v>
      </c>
      <c r="AD672" s="23" t="n">
        <f aca="false">IF(B673&lt;&gt;B672,1,0)</f>
        <v>0</v>
      </c>
      <c r="AE672" s="14" t="n">
        <f aca="false">IF(I672="Opening",0,AE671+W672)</f>
        <v>2004.94</v>
      </c>
      <c r="AF672" s="14" t="n">
        <f aca="false">IF(I672="Opening",K672,AF671)</f>
        <v>4953</v>
      </c>
      <c r="AG672" s="14" t="n">
        <f aca="false">AG671</f>
        <v>11.7</v>
      </c>
      <c r="AH672" s="14" t="n">
        <f aca="false">IF(W672=0,0,MAX(0,MIN(AE672,AF672)-MIN(AE672-W672,AF672)))</f>
        <v>0</v>
      </c>
      <c r="AI672" s="14" t="n">
        <f aca="false">IF(W672=0,0,MAX(0,MIN(AE672,AF672+AG672)-MAX(AE672-W672,AF672)))</f>
        <v>0</v>
      </c>
      <c r="AJ672" s="14" t="n">
        <f aca="false">W672-AH672-AI672</f>
        <v>0</v>
      </c>
      <c r="AK672" s="9" t="n">
        <f aca="false">IF(W672=0,0,X672*AH672/W672)</f>
        <v>0</v>
      </c>
      <c r="AL672" s="9" t="n">
        <f aca="false">IF(W672=0,0,X672*AI672/W672)</f>
        <v>0</v>
      </c>
      <c r="AM672" s="9" t="n">
        <f aca="false">X672-AK672-AL672</f>
        <v>0</v>
      </c>
    </row>
    <row r="673" customFormat="false" ht="15" hidden="false" customHeight="false" outlineLevel="0" collapsed="false">
      <c r="A673" s="6" t="n">
        <v>668</v>
      </c>
      <c r="B673" s="74" t="s">
        <v>1014</v>
      </c>
      <c r="C673" s="53" t="str">
        <f aca="false">INDEX(I_Items!$C$5:$C$133,MATCH($B673,I_Items!$A$5:$A$133,0))</f>
        <v>RPA</v>
      </c>
      <c r="D673" s="53" t="str">
        <f aca="false">INDEX(I_Items!$D$5:$D$133,MATCH($B673,I_Items!$A$5:$A$133,0))</f>
        <v>Karkas</v>
      </c>
      <c r="E673" s="53" t="str">
        <f aca="false">INDEX(I_Items!$F$5:$F$133,MATCH($B673,I_Items!$A$5:$A$133,0))</f>
        <v>Frozen</v>
      </c>
      <c r="F673" s="53" t="str">
        <f aca="false">IF(INDEX(I_Items!$E$5:$E$133,MATCH($B673,I_Items!$A$5:$A$133,0))="","",INDEX(I_Items!$E$5:$E$133,MATCH($B673,I_Items!$A$5:$A$133,0)))</f>
        <v>Uk 0.8</v>
      </c>
      <c r="G673" s="76" t="n">
        <v>46253</v>
      </c>
      <c r="H673" s="23" t="n">
        <f aca="false">MONTH(G673)</f>
        <v>8</v>
      </c>
      <c r="I673" s="74" t="s">
        <v>2075</v>
      </c>
      <c r="J673" s="74" t="s">
        <v>2179</v>
      </c>
      <c r="K673" s="10" t="n">
        <v>0</v>
      </c>
      <c r="L673" s="8" t="n">
        <v>0</v>
      </c>
      <c r="M673" s="10" t="n">
        <v>354.1</v>
      </c>
      <c r="N673" s="8" t="n">
        <v>10035885.17</v>
      </c>
      <c r="O673" s="74" t="s">
        <v>2077</v>
      </c>
      <c r="P673" s="74"/>
      <c r="Q673" s="74"/>
      <c r="R673" s="14" t="n">
        <f aca="false">IF(I673="Unbilled",0,M673)</f>
        <v>354.1</v>
      </c>
      <c r="S673" s="9" t="n">
        <f aca="false">IF(R673=0,0,IF(O673="Booked",N673,R673*V672))</f>
        <v>10035885.1894244</v>
      </c>
      <c r="T673" s="14" t="n">
        <f aca="false">IF(I673="Opening",K673,T672+K673-R673)</f>
        <v>3765.36</v>
      </c>
      <c r="U673" s="9" t="n">
        <f aca="false">IF(I673="Opening",L673,U672+L673-S673)</f>
        <v>106717652.236236</v>
      </c>
      <c r="V673" s="9" t="n">
        <f aca="false">IF(T673&gt;0,U673/T673,IF(I673="Opening",0,V672))</f>
        <v>28341.9519610969</v>
      </c>
      <c r="W673" s="14" t="n">
        <f aca="false">M673</f>
        <v>354.1</v>
      </c>
      <c r="X673" s="9" t="n">
        <f aca="false">IF(W673=0,0,IF(O673="Booked",N673,W673*AA672))</f>
        <v>10035885.1894244</v>
      </c>
      <c r="Y673" s="14" t="n">
        <f aca="false">IF(I673="Opening",K673,Y672+K673-W673)</f>
        <v>3765.36</v>
      </c>
      <c r="Z673" s="9" t="n">
        <f aca="false">IF(I673="Opening",L673,Z672+L673-X673)</f>
        <v>106717652.236236</v>
      </c>
      <c r="AA673" s="9" t="n">
        <f aca="false">IF(Y673&gt;0,Z673/Y673,IF(I673="Opening",0,AA672))</f>
        <v>28341.9519610969</v>
      </c>
      <c r="AB673" s="9" t="n">
        <f aca="false">IF(AND(I673="DO",O673="MA"),S673-N673,0)</f>
        <v>0.0194244291633368</v>
      </c>
      <c r="AC673" s="9" t="n">
        <f aca="false">IF(I673="DO",X673-S673,0)</f>
        <v>0</v>
      </c>
      <c r="AD673" s="23" t="n">
        <f aca="false">IF(B674&lt;&gt;B673,1,0)</f>
        <v>0</v>
      </c>
      <c r="AE673" s="14" t="n">
        <f aca="false">IF(I673="Opening",0,AE672+W673)</f>
        <v>2359.04</v>
      </c>
      <c r="AF673" s="14" t="n">
        <f aca="false">IF(I673="Opening",K673,AF672)</f>
        <v>4953</v>
      </c>
      <c r="AG673" s="14" t="n">
        <f aca="false">AG672</f>
        <v>11.7</v>
      </c>
      <c r="AH673" s="14" t="n">
        <f aca="false">IF(W673=0,0,MAX(0,MIN(AE673,AF673)-MIN(AE673-W673,AF673)))</f>
        <v>354.1</v>
      </c>
      <c r="AI673" s="14" t="n">
        <f aca="false">IF(W673=0,0,MAX(0,MIN(AE673,AF673+AG673)-MAX(AE673-W673,AF673)))</f>
        <v>0</v>
      </c>
      <c r="AJ673" s="14" t="n">
        <f aca="false">W673-AH673-AI673</f>
        <v>0</v>
      </c>
      <c r="AK673" s="9" t="n">
        <f aca="false">IF(W673=0,0,X673*AH673/W673)</f>
        <v>10035885.1894244</v>
      </c>
      <c r="AL673" s="9" t="n">
        <f aca="false">IF(W673=0,0,X673*AI673/W673)</f>
        <v>0</v>
      </c>
      <c r="AM673" s="9" t="n">
        <f aca="false">X673-AK673-AL673</f>
        <v>0</v>
      </c>
    </row>
    <row r="674" customFormat="false" ht="15" hidden="false" customHeight="false" outlineLevel="0" collapsed="false">
      <c r="A674" s="6" t="n">
        <v>669</v>
      </c>
      <c r="B674" s="74" t="s">
        <v>1014</v>
      </c>
      <c r="C674" s="53" t="str">
        <f aca="false">INDEX(I_Items!$C$5:$C$133,MATCH($B674,I_Items!$A$5:$A$133,0))</f>
        <v>RPA</v>
      </c>
      <c r="D674" s="53" t="str">
        <f aca="false">INDEX(I_Items!$D$5:$D$133,MATCH($B674,I_Items!$A$5:$A$133,0))</f>
        <v>Karkas</v>
      </c>
      <c r="E674" s="53" t="str">
        <f aca="false">INDEX(I_Items!$F$5:$F$133,MATCH($B674,I_Items!$A$5:$A$133,0))</f>
        <v>Frozen</v>
      </c>
      <c r="F674" s="53" t="str">
        <f aca="false">IF(INDEX(I_Items!$E$5:$E$133,MATCH($B674,I_Items!$A$5:$A$133,0))="","",INDEX(I_Items!$E$5:$E$133,MATCH($B674,I_Items!$A$5:$A$133,0)))</f>
        <v>Uk 0.8</v>
      </c>
      <c r="G674" s="76" t="n">
        <v>46253</v>
      </c>
      <c r="H674" s="23" t="n">
        <f aca="false">MONTH(G674)</f>
        <v>8</v>
      </c>
      <c r="I674" s="74" t="s">
        <v>2075</v>
      </c>
      <c r="J674" s="74" t="s">
        <v>2180</v>
      </c>
      <c r="K674" s="10" t="n">
        <v>0</v>
      </c>
      <c r="L674" s="8" t="n">
        <v>0</v>
      </c>
      <c r="M674" s="10" t="n">
        <v>1001.99</v>
      </c>
      <c r="N674" s="8" t="n">
        <v>28398352.38</v>
      </c>
      <c r="O674" s="74" t="s">
        <v>2077</v>
      </c>
      <c r="P674" s="74"/>
      <c r="Q674" s="74"/>
      <c r="R674" s="14" t="n">
        <f aca="false">IF(I674="Unbilled",0,M674)</f>
        <v>1001.99</v>
      </c>
      <c r="S674" s="9" t="n">
        <f aca="false">IF(R674=0,0,IF(O674="Booked",N674,R674*V673))</f>
        <v>28398352.4454995</v>
      </c>
      <c r="T674" s="14" t="n">
        <f aca="false">IF(I674="Opening",K674,T673+K674-R674)</f>
        <v>2763.37</v>
      </c>
      <c r="U674" s="9" t="n">
        <f aca="false">IF(I674="Opening",L674,U673+L674-S674)</f>
        <v>78319299.7907365</v>
      </c>
      <c r="V674" s="9" t="n">
        <f aca="false">IF(T674&gt;0,U674/T674,IF(I674="Opening",0,V673))</f>
        <v>28341.9519610969</v>
      </c>
      <c r="W674" s="14" t="n">
        <f aca="false">M674</f>
        <v>1001.99</v>
      </c>
      <c r="X674" s="9" t="n">
        <f aca="false">IF(W674=0,0,IF(O674="Booked",N674,W674*AA673))</f>
        <v>28398352.4454995</v>
      </c>
      <c r="Y674" s="14" t="n">
        <f aca="false">IF(I674="Opening",K674,Y673+K674-W674)</f>
        <v>2763.37</v>
      </c>
      <c r="Z674" s="9" t="n">
        <f aca="false">IF(I674="Opening",L674,Z673+L674-X674)</f>
        <v>78319299.7907365</v>
      </c>
      <c r="AA674" s="9" t="n">
        <f aca="false">IF(Y674&gt;0,Z674/Y674,IF(I674="Opening",0,AA673))</f>
        <v>28341.9519610969</v>
      </c>
      <c r="AB674" s="9" t="n">
        <f aca="false">IF(AND(I674="DO",O674="MA"),S674-N674,0)</f>
        <v>0.0654995329678059</v>
      </c>
      <c r="AC674" s="9" t="n">
        <f aca="false">IF(I674="DO",X674-S674,0)</f>
        <v>0</v>
      </c>
      <c r="AD674" s="23" t="n">
        <f aca="false">IF(B675&lt;&gt;B674,1,0)</f>
        <v>0</v>
      </c>
      <c r="AE674" s="14" t="n">
        <f aca="false">IF(I674="Opening",0,AE673+W674)</f>
        <v>3361.03</v>
      </c>
      <c r="AF674" s="14" t="n">
        <f aca="false">IF(I674="Opening",K674,AF673)</f>
        <v>4953</v>
      </c>
      <c r="AG674" s="14" t="n">
        <f aca="false">AG673</f>
        <v>11.7</v>
      </c>
      <c r="AH674" s="14" t="n">
        <f aca="false">IF(W674=0,0,MAX(0,MIN(AE674,AF674)-MIN(AE674-W674,AF674)))</f>
        <v>1001.99</v>
      </c>
      <c r="AI674" s="14" t="n">
        <f aca="false">IF(W674=0,0,MAX(0,MIN(AE674,AF674+AG674)-MAX(AE674-W674,AF674)))</f>
        <v>0</v>
      </c>
      <c r="AJ674" s="14" t="n">
        <f aca="false">W674-AH674-AI674</f>
        <v>0</v>
      </c>
      <c r="AK674" s="9" t="n">
        <f aca="false">IF(W674=0,0,X674*AH674/W674)</f>
        <v>28398352.4454995</v>
      </c>
      <c r="AL674" s="9" t="n">
        <f aca="false">IF(W674=0,0,X674*AI674/W674)</f>
        <v>0</v>
      </c>
      <c r="AM674" s="9" t="n">
        <f aca="false">X674-AK674-AL674</f>
        <v>0</v>
      </c>
    </row>
    <row r="675" customFormat="false" ht="15" hidden="false" customHeight="false" outlineLevel="0" collapsed="false">
      <c r="A675" s="6" t="n">
        <v>670</v>
      </c>
      <c r="B675" s="74" t="s">
        <v>1014</v>
      </c>
      <c r="C675" s="53" t="str">
        <f aca="false">INDEX(I_Items!$C$5:$C$133,MATCH($B675,I_Items!$A$5:$A$133,0))</f>
        <v>RPA</v>
      </c>
      <c r="D675" s="53" t="str">
        <f aca="false">INDEX(I_Items!$D$5:$D$133,MATCH($B675,I_Items!$A$5:$A$133,0))</f>
        <v>Karkas</v>
      </c>
      <c r="E675" s="53" t="str">
        <f aca="false">INDEX(I_Items!$F$5:$F$133,MATCH($B675,I_Items!$A$5:$A$133,0))</f>
        <v>Frozen</v>
      </c>
      <c r="F675" s="53" t="str">
        <f aca="false">IF(INDEX(I_Items!$E$5:$E$133,MATCH($B675,I_Items!$A$5:$A$133,0))="","",INDEX(I_Items!$E$5:$E$133,MATCH($B675,I_Items!$A$5:$A$133,0)))</f>
        <v>Uk 0.8</v>
      </c>
      <c r="G675" s="76" t="n">
        <v>46253</v>
      </c>
      <c r="H675" s="23" t="n">
        <f aca="false">MONTH(G675)</f>
        <v>8</v>
      </c>
      <c r="I675" s="74" t="s">
        <v>2075</v>
      </c>
      <c r="J675" s="74" t="s">
        <v>2181</v>
      </c>
      <c r="K675" s="10" t="n">
        <v>0</v>
      </c>
      <c r="L675" s="8" t="n">
        <v>0</v>
      </c>
      <c r="M675" s="10" t="n">
        <v>1005.1</v>
      </c>
      <c r="N675" s="8" t="n">
        <v>28486495.85</v>
      </c>
      <c r="O675" s="74" t="s">
        <v>2077</v>
      </c>
      <c r="P675" s="74"/>
      <c r="Q675" s="74"/>
      <c r="R675" s="14" t="n">
        <f aca="false">IF(I675="Unbilled",0,M675)</f>
        <v>1005.1</v>
      </c>
      <c r="S675" s="9" t="n">
        <f aca="false">IF(R675=0,0,IF(O675="Booked",N675,R675*V674))</f>
        <v>28486495.9160985</v>
      </c>
      <c r="T675" s="14" t="n">
        <f aca="false">IF(I675="Opening",K675,T674+K675-R675)</f>
        <v>1758.27</v>
      </c>
      <c r="U675" s="9" t="n">
        <f aca="false">IF(I675="Opening",L675,U674+L675-S675)</f>
        <v>49832803.8746379</v>
      </c>
      <c r="V675" s="9" t="n">
        <f aca="false">IF(T675&gt;0,U675/T675,IF(I675="Opening",0,V674))</f>
        <v>28341.9519610969</v>
      </c>
      <c r="W675" s="14" t="n">
        <f aca="false">M675</f>
        <v>1005.1</v>
      </c>
      <c r="X675" s="9" t="n">
        <f aca="false">IF(W675=0,0,IF(O675="Booked",N675,W675*AA674))</f>
        <v>28486495.9160985</v>
      </c>
      <c r="Y675" s="14" t="n">
        <f aca="false">IF(I675="Opening",K675,Y674+K675-W675)</f>
        <v>1758.27</v>
      </c>
      <c r="Z675" s="9" t="n">
        <f aca="false">IF(I675="Opening",L675,Z674+L675-X675)</f>
        <v>49832803.8746379</v>
      </c>
      <c r="AA675" s="9" t="n">
        <f aca="false">IF(Y675&gt;0,Z675/Y675,IF(I675="Opening",0,AA674))</f>
        <v>28341.9519610969</v>
      </c>
      <c r="AB675" s="9" t="n">
        <f aca="false">IF(AND(I675="DO",O675="MA"),S675-N675,0)</f>
        <v>0.0660985410213471</v>
      </c>
      <c r="AC675" s="9" t="n">
        <f aca="false">IF(I675="DO",X675-S675,0)</f>
        <v>0</v>
      </c>
      <c r="AD675" s="23" t="n">
        <f aca="false">IF(B676&lt;&gt;B675,1,0)</f>
        <v>0</v>
      </c>
      <c r="AE675" s="14" t="n">
        <f aca="false">IF(I675="Opening",0,AE674+W675)</f>
        <v>4366.13</v>
      </c>
      <c r="AF675" s="14" t="n">
        <f aca="false">IF(I675="Opening",K675,AF674)</f>
        <v>4953</v>
      </c>
      <c r="AG675" s="14" t="n">
        <f aca="false">AG674</f>
        <v>11.7</v>
      </c>
      <c r="AH675" s="14" t="n">
        <f aca="false">IF(W675=0,0,MAX(0,MIN(AE675,AF675)-MIN(AE675-W675,AF675)))</f>
        <v>1005.1</v>
      </c>
      <c r="AI675" s="14" t="n">
        <f aca="false">IF(W675=0,0,MAX(0,MIN(AE675,AF675+AG675)-MAX(AE675-W675,AF675)))</f>
        <v>0</v>
      </c>
      <c r="AJ675" s="14" t="n">
        <f aca="false">W675-AH675-AI675</f>
        <v>0</v>
      </c>
      <c r="AK675" s="9" t="n">
        <f aca="false">IF(W675=0,0,X675*AH675/W675)</f>
        <v>28486495.9160985</v>
      </c>
      <c r="AL675" s="9" t="n">
        <f aca="false">IF(W675=0,0,X675*AI675/W675)</f>
        <v>0</v>
      </c>
      <c r="AM675" s="9" t="n">
        <f aca="false">X675-AK675-AL675</f>
        <v>0</v>
      </c>
    </row>
    <row r="676" customFormat="false" ht="15" hidden="false" customHeight="false" outlineLevel="0" collapsed="false">
      <c r="A676" s="6" t="n">
        <v>671</v>
      </c>
      <c r="B676" s="74" t="s">
        <v>1014</v>
      </c>
      <c r="C676" s="53" t="str">
        <f aca="false">INDEX(I_Items!$C$5:$C$133,MATCH($B676,I_Items!$A$5:$A$133,0))</f>
        <v>RPA</v>
      </c>
      <c r="D676" s="53" t="str">
        <f aca="false">INDEX(I_Items!$D$5:$D$133,MATCH($B676,I_Items!$A$5:$A$133,0))</f>
        <v>Karkas</v>
      </c>
      <c r="E676" s="53" t="str">
        <f aca="false">INDEX(I_Items!$F$5:$F$133,MATCH($B676,I_Items!$A$5:$A$133,0))</f>
        <v>Frozen</v>
      </c>
      <c r="F676" s="53" t="str">
        <f aca="false">IF(INDEX(I_Items!$E$5:$E$133,MATCH($B676,I_Items!$A$5:$A$133,0))="","",INDEX(I_Items!$E$5:$E$133,MATCH($B676,I_Items!$A$5:$A$133,0)))</f>
        <v>Uk 0.8</v>
      </c>
      <c r="G676" s="76" t="n">
        <v>46254</v>
      </c>
      <c r="H676" s="23" t="n">
        <f aca="false">MONTH(G676)</f>
        <v>8</v>
      </c>
      <c r="I676" s="74" t="s">
        <v>2075</v>
      </c>
      <c r="J676" s="74" t="s">
        <v>2182</v>
      </c>
      <c r="K676" s="10" t="n">
        <v>0</v>
      </c>
      <c r="L676" s="8" t="n">
        <v>0</v>
      </c>
      <c r="M676" s="10" t="n">
        <v>278.97</v>
      </c>
      <c r="N676" s="8" t="n">
        <v>7906554.32</v>
      </c>
      <c r="O676" s="74" t="s">
        <v>2077</v>
      </c>
      <c r="P676" s="74"/>
      <c r="Q676" s="74"/>
      <c r="R676" s="14" t="n">
        <f aca="false">IF(I676="Unbilled",0,M676)</f>
        <v>278.97</v>
      </c>
      <c r="S676" s="9" t="n">
        <f aca="false">IF(R676=0,0,IF(O676="Booked",N676,R676*V675))</f>
        <v>7906554.33858722</v>
      </c>
      <c r="T676" s="14" t="n">
        <f aca="false">IF(I676="Opening",K676,T675+K676-R676)</f>
        <v>1479.3</v>
      </c>
      <c r="U676" s="9" t="n">
        <f aca="false">IF(I676="Opening",L676,U675+L676-S676)</f>
        <v>41926249.5360507</v>
      </c>
      <c r="V676" s="9" t="n">
        <f aca="false">IF(T676&gt;0,U676/T676,IF(I676="Opening",0,V675))</f>
        <v>28341.9519610969</v>
      </c>
      <c r="W676" s="14" t="n">
        <f aca="false">M676</f>
        <v>278.97</v>
      </c>
      <c r="X676" s="9" t="n">
        <f aca="false">IF(W676=0,0,IF(O676="Booked",N676,W676*AA675))</f>
        <v>7906554.33858722</v>
      </c>
      <c r="Y676" s="14" t="n">
        <f aca="false">IF(I676="Opening",K676,Y675+K676-W676)</f>
        <v>1479.3</v>
      </c>
      <c r="Z676" s="9" t="n">
        <f aca="false">IF(I676="Opening",L676,Z675+L676-X676)</f>
        <v>41926249.5360507</v>
      </c>
      <c r="AA676" s="9" t="n">
        <f aca="false">IF(Y676&gt;0,Z676/Y676,IF(I676="Opening",0,AA675))</f>
        <v>28341.9519610969</v>
      </c>
      <c r="AB676" s="9" t="n">
        <f aca="false">IF(AND(I676="DO",O676="MA"),S676-N676,0)</f>
        <v>0.018587214872241</v>
      </c>
      <c r="AC676" s="9" t="n">
        <f aca="false">IF(I676="DO",X676-S676,0)</f>
        <v>0</v>
      </c>
      <c r="AD676" s="23" t="n">
        <f aca="false">IF(B677&lt;&gt;B676,1,0)</f>
        <v>0</v>
      </c>
      <c r="AE676" s="14" t="n">
        <f aca="false">IF(I676="Opening",0,AE675+W676)</f>
        <v>4645.1</v>
      </c>
      <c r="AF676" s="14" t="n">
        <f aca="false">IF(I676="Opening",K676,AF675)</f>
        <v>4953</v>
      </c>
      <c r="AG676" s="14" t="n">
        <f aca="false">AG675</f>
        <v>11.7</v>
      </c>
      <c r="AH676" s="14" t="n">
        <f aca="false">IF(W676=0,0,MAX(0,MIN(AE676,AF676)-MIN(AE676-W676,AF676)))</f>
        <v>278.97</v>
      </c>
      <c r="AI676" s="14" t="n">
        <f aca="false">IF(W676=0,0,MAX(0,MIN(AE676,AF676+AG676)-MAX(AE676-W676,AF676)))</f>
        <v>0</v>
      </c>
      <c r="AJ676" s="14" t="n">
        <f aca="false">W676-AH676-AI676</f>
        <v>0</v>
      </c>
      <c r="AK676" s="9" t="n">
        <f aca="false">IF(W676=0,0,X676*AH676/W676)</f>
        <v>7906554.33858722</v>
      </c>
      <c r="AL676" s="9" t="n">
        <f aca="false">IF(W676=0,0,X676*AI676/W676)</f>
        <v>0</v>
      </c>
      <c r="AM676" s="9" t="n">
        <f aca="false">X676-AK676-AL676</f>
        <v>0</v>
      </c>
    </row>
    <row r="677" customFormat="false" ht="15" hidden="false" customHeight="false" outlineLevel="0" collapsed="false">
      <c r="A677" s="6" t="n">
        <v>672</v>
      </c>
      <c r="B677" s="74" t="s">
        <v>1014</v>
      </c>
      <c r="C677" s="53" t="str">
        <f aca="false">INDEX(I_Items!$C$5:$C$133,MATCH($B677,I_Items!$A$5:$A$133,0))</f>
        <v>RPA</v>
      </c>
      <c r="D677" s="53" t="str">
        <f aca="false">INDEX(I_Items!$D$5:$D$133,MATCH($B677,I_Items!$A$5:$A$133,0))</f>
        <v>Karkas</v>
      </c>
      <c r="E677" s="53" t="str">
        <f aca="false">INDEX(I_Items!$F$5:$F$133,MATCH($B677,I_Items!$A$5:$A$133,0))</f>
        <v>Frozen</v>
      </c>
      <c r="F677" s="53" t="str">
        <f aca="false">IF(INDEX(I_Items!$E$5:$E$133,MATCH($B677,I_Items!$A$5:$A$133,0))="","",INDEX(I_Items!$E$5:$E$133,MATCH($B677,I_Items!$A$5:$A$133,0)))</f>
        <v>Uk 0.8</v>
      </c>
      <c r="G677" s="76" t="n">
        <v>46254</v>
      </c>
      <c r="H677" s="23" t="n">
        <f aca="false">MONTH(G677)</f>
        <v>8</v>
      </c>
      <c r="I677" s="74" t="s">
        <v>2074</v>
      </c>
      <c r="J677" s="74" t="s">
        <v>1308</v>
      </c>
      <c r="K677" s="10" t="n">
        <v>1061.7</v>
      </c>
      <c r="L677" s="8" t="n">
        <v>40208222.19</v>
      </c>
      <c r="M677" s="10" t="n">
        <v>0</v>
      </c>
      <c r="N677" s="8" t="n">
        <v>0</v>
      </c>
      <c r="O677" s="74"/>
      <c r="P677" s="74"/>
      <c r="Q677" s="74"/>
      <c r="R677" s="14" t="n">
        <f aca="false">IF(I677="Unbilled",0,M677)</f>
        <v>0</v>
      </c>
      <c r="S677" s="9" t="n">
        <f aca="false">IF(R677=0,0,IF(O677="Booked",N677,R677*V676))</f>
        <v>0</v>
      </c>
      <c r="T677" s="14" t="n">
        <f aca="false">IF(I677="Opening",K677,T676+K677-R677)</f>
        <v>2541</v>
      </c>
      <c r="U677" s="9" t="n">
        <f aca="false">IF(I677="Opening",L677,U676+L677-S677)</f>
        <v>82134471.7260507</v>
      </c>
      <c r="V677" s="9" t="n">
        <f aca="false">IF(T677&gt;0,U677/T677,IF(I677="Opening",0,V676))</f>
        <v>32323.6803329597</v>
      </c>
      <c r="W677" s="14" t="n">
        <f aca="false">M677</f>
        <v>0</v>
      </c>
      <c r="X677" s="9" t="n">
        <f aca="false">IF(W677=0,0,IF(O677="Booked",N677,W677*AA676))</f>
        <v>0</v>
      </c>
      <c r="Y677" s="14" t="n">
        <f aca="false">IF(I677="Opening",K677,Y676+K677-W677)</f>
        <v>2541</v>
      </c>
      <c r="Z677" s="9" t="n">
        <f aca="false">IF(I677="Opening",L677,Z676+L677-X677)</f>
        <v>82134471.7260507</v>
      </c>
      <c r="AA677" s="9" t="n">
        <f aca="false">IF(Y677&gt;0,Z677/Y677,IF(I677="Opening",0,AA676))</f>
        <v>32323.6803329597</v>
      </c>
      <c r="AB677" s="9" t="n">
        <f aca="false">IF(AND(I677="DO",O677="MA"),S677-N677,0)</f>
        <v>0</v>
      </c>
      <c r="AC677" s="9" t="n">
        <f aca="false">IF(I677="DO",X677-S677,0)</f>
        <v>0</v>
      </c>
      <c r="AD677" s="23" t="n">
        <f aca="false">IF(B678&lt;&gt;B677,1,0)</f>
        <v>0</v>
      </c>
      <c r="AE677" s="14" t="n">
        <f aca="false">IF(I677="Opening",0,AE676+W677)</f>
        <v>4645.1</v>
      </c>
      <c r="AF677" s="14" t="n">
        <f aca="false">IF(I677="Opening",K677,AF676)</f>
        <v>4953</v>
      </c>
      <c r="AG677" s="14" t="n">
        <f aca="false">AG676</f>
        <v>11.7</v>
      </c>
      <c r="AH677" s="14" t="n">
        <f aca="false">IF(W677=0,0,MAX(0,MIN(AE677,AF677)-MIN(AE677-W677,AF677)))</f>
        <v>0</v>
      </c>
      <c r="AI677" s="14" t="n">
        <f aca="false">IF(W677=0,0,MAX(0,MIN(AE677,AF677+AG677)-MAX(AE677-W677,AF677)))</f>
        <v>0</v>
      </c>
      <c r="AJ677" s="14" t="n">
        <f aca="false">W677-AH677-AI677</f>
        <v>0</v>
      </c>
      <c r="AK677" s="9" t="n">
        <f aca="false">IF(W677=0,0,X677*AH677/W677)</f>
        <v>0</v>
      </c>
      <c r="AL677" s="9" t="n">
        <f aca="false">IF(W677=0,0,X677*AI677/W677)</f>
        <v>0</v>
      </c>
      <c r="AM677" s="9" t="n">
        <f aca="false">X677-AK677-AL677</f>
        <v>0</v>
      </c>
    </row>
    <row r="678" customFormat="false" ht="15" hidden="false" customHeight="false" outlineLevel="0" collapsed="false">
      <c r="A678" s="6" t="n">
        <v>673</v>
      </c>
      <c r="B678" s="74" t="s">
        <v>1014</v>
      </c>
      <c r="C678" s="53" t="str">
        <f aca="false">INDEX(I_Items!$C$5:$C$133,MATCH($B678,I_Items!$A$5:$A$133,0))</f>
        <v>RPA</v>
      </c>
      <c r="D678" s="53" t="str">
        <f aca="false">INDEX(I_Items!$D$5:$D$133,MATCH($B678,I_Items!$A$5:$A$133,0))</f>
        <v>Karkas</v>
      </c>
      <c r="E678" s="53" t="str">
        <f aca="false">INDEX(I_Items!$F$5:$F$133,MATCH($B678,I_Items!$A$5:$A$133,0))</f>
        <v>Frozen</v>
      </c>
      <c r="F678" s="53" t="str">
        <f aca="false">IF(INDEX(I_Items!$E$5:$E$133,MATCH($B678,I_Items!$A$5:$A$133,0))="","",INDEX(I_Items!$E$5:$E$133,MATCH($B678,I_Items!$A$5:$A$133,0)))</f>
        <v>Uk 0.8</v>
      </c>
      <c r="G678" s="76" t="n">
        <v>46255</v>
      </c>
      <c r="H678" s="23" t="n">
        <f aca="false">MONTH(G678)</f>
        <v>8</v>
      </c>
      <c r="I678" s="74" t="s">
        <v>2075</v>
      </c>
      <c r="J678" s="74" t="s">
        <v>2183</v>
      </c>
      <c r="K678" s="10" t="n">
        <v>0</v>
      </c>
      <c r="L678" s="8" t="n">
        <v>0</v>
      </c>
      <c r="M678" s="10" t="n">
        <v>1649.12</v>
      </c>
      <c r="N678" s="8" t="n">
        <v>53305627.66</v>
      </c>
      <c r="O678" s="74" t="s">
        <v>2077</v>
      </c>
      <c r="P678" s="74"/>
      <c r="Q678" s="74"/>
      <c r="R678" s="14" t="n">
        <f aca="false">IF(I678="Unbilled",0,M678)</f>
        <v>1649.12</v>
      </c>
      <c r="S678" s="9" t="n">
        <f aca="false">IF(R678=0,0,IF(O678="Booked",N678,R678*V677))</f>
        <v>53305627.7106906</v>
      </c>
      <c r="T678" s="14" t="n">
        <f aca="false">IF(I678="Opening",K678,T677+K678-R678)</f>
        <v>891.88</v>
      </c>
      <c r="U678" s="9" t="n">
        <f aca="false">IF(I678="Opening",L678,U677+L678-S678)</f>
        <v>28828844.0153601</v>
      </c>
      <c r="V678" s="9" t="n">
        <f aca="false">IF(T678&gt;0,U678/T678,IF(I678="Opening",0,V677))</f>
        <v>32323.6803329597</v>
      </c>
      <c r="W678" s="14" t="n">
        <f aca="false">M678</f>
        <v>1649.12</v>
      </c>
      <c r="X678" s="9" t="n">
        <f aca="false">IF(W678=0,0,IF(O678="Booked",N678,W678*AA677))</f>
        <v>53305627.7106906</v>
      </c>
      <c r="Y678" s="14" t="n">
        <f aca="false">IF(I678="Opening",K678,Y677+K678-W678)</f>
        <v>891.88</v>
      </c>
      <c r="Z678" s="9" t="n">
        <f aca="false">IF(I678="Opening",L678,Z677+L678-X678)</f>
        <v>28828844.0153601</v>
      </c>
      <c r="AA678" s="9" t="n">
        <f aca="false">IF(Y678&gt;0,Z678/Y678,IF(I678="Opening",0,AA677))</f>
        <v>32323.6803329597</v>
      </c>
      <c r="AB678" s="9" t="n">
        <f aca="false">IF(AND(I678="DO",O678="MA"),S678-N678,0)</f>
        <v>0.0506905689835548</v>
      </c>
      <c r="AC678" s="9" t="n">
        <f aca="false">IF(I678="DO",X678-S678,0)</f>
        <v>0</v>
      </c>
      <c r="AD678" s="23" t="n">
        <f aca="false">IF(B679&lt;&gt;B678,1,0)</f>
        <v>0</v>
      </c>
      <c r="AE678" s="14" t="n">
        <f aca="false">IF(I678="Opening",0,AE677+W678)</f>
        <v>6294.22</v>
      </c>
      <c r="AF678" s="14" t="n">
        <f aca="false">IF(I678="Opening",K678,AF677)</f>
        <v>4953</v>
      </c>
      <c r="AG678" s="14" t="n">
        <f aca="false">AG677</f>
        <v>11.7</v>
      </c>
      <c r="AH678" s="14" t="n">
        <f aca="false">IF(W678=0,0,MAX(0,MIN(AE678,AF678)-MIN(AE678-W678,AF678)))</f>
        <v>307.9</v>
      </c>
      <c r="AI678" s="14" t="n">
        <f aca="false">IF(W678=0,0,MAX(0,MIN(AE678,AF678+AG678)-MAX(AE678-W678,AF678)))</f>
        <v>11.6999999999998</v>
      </c>
      <c r="AJ678" s="14" t="n">
        <f aca="false">W678-AH678-AI678</f>
        <v>1329.52</v>
      </c>
      <c r="AK678" s="9" t="n">
        <f aca="false">IF(W678=0,0,X678*AH678/W678)</f>
        <v>9952461.17451829</v>
      </c>
      <c r="AL678" s="9" t="n">
        <f aca="false">IF(W678=0,0,X678*AI678/W678)</f>
        <v>378187.059895623</v>
      </c>
      <c r="AM678" s="9" t="n">
        <f aca="false">X678-AK678-AL678</f>
        <v>42974979.4762767</v>
      </c>
    </row>
    <row r="679" customFormat="false" ht="15" hidden="false" customHeight="false" outlineLevel="0" collapsed="false">
      <c r="A679" s="6" t="n">
        <v>674</v>
      </c>
      <c r="B679" s="74" t="s">
        <v>1014</v>
      </c>
      <c r="C679" s="53" t="str">
        <f aca="false">INDEX(I_Items!$C$5:$C$133,MATCH($B679,I_Items!$A$5:$A$133,0))</f>
        <v>RPA</v>
      </c>
      <c r="D679" s="53" t="str">
        <f aca="false">INDEX(I_Items!$D$5:$D$133,MATCH($B679,I_Items!$A$5:$A$133,0))</f>
        <v>Karkas</v>
      </c>
      <c r="E679" s="53" t="str">
        <f aca="false">INDEX(I_Items!$F$5:$F$133,MATCH($B679,I_Items!$A$5:$A$133,0))</f>
        <v>Frozen</v>
      </c>
      <c r="F679" s="53" t="str">
        <f aca="false">IF(INDEX(I_Items!$E$5:$E$133,MATCH($B679,I_Items!$A$5:$A$133,0))="","",INDEX(I_Items!$E$5:$E$133,MATCH($B679,I_Items!$A$5:$A$133,0)))</f>
        <v>Uk 0.8</v>
      </c>
      <c r="G679" s="76" t="n">
        <v>46255</v>
      </c>
      <c r="H679" s="23" t="n">
        <f aca="false">MONTH(G679)</f>
        <v>8</v>
      </c>
      <c r="I679" s="74" t="s">
        <v>2074</v>
      </c>
      <c r="J679" s="74" t="s">
        <v>1311</v>
      </c>
      <c r="K679" s="10" t="n">
        <v>380.9</v>
      </c>
      <c r="L679" s="8" t="n">
        <v>14556329.73</v>
      </c>
      <c r="M679" s="10" t="n">
        <v>0</v>
      </c>
      <c r="N679" s="8" t="n">
        <v>0</v>
      </c>
      <c r="O679" s="74"/>
      <c r="P679" s="74"/>
      <c r="Q679" s="74"/>
      <c r="R679" s="14" t="n">
        <f aca="false">IF(I679="Unbilled",0,M679)</f>
        <v>0</v>
      </c>
      <c r="S679" s="9" t="n">
        <f aca="false">IF(R679=0,0,IF(O679="Booked",N679,R679*V678))</f>
        <v>0</v>
      </c>
      <c r="T679" s="14" t="n">
        <f aca="false">IF(I679="Opening",K679,T678+K679-R679)</f>
        <v>1272.78</v>
      </c>
      <c r="U679" s="9" t="n">
        <f aca="false">IF(I679="Opening",L679,U678+L679-S679)</f>
        <v>43385173.7453601</v>
      </c>
      <c r="V679" s="9" t="n">
        <f aca="false">IF(T679&gt;0,U679/T679,IF(I679="Opening",0,V678))</f>
        <v>34086.9386267541</v>
      </c>
      <c r="W679" s="14" t="n">
        <f aca="false">M679</f>
        <v>0</v>
      </c>
      <c r="X679" s="9" t="n">
        <f aca="false">IF(W679=0,0,IF(O679="Booked",N679,W679*AA678))</f>
        <v>0</v>
      </c>
      <c r="Y679" s="14" t="n">
        <f aca="false">IF(I679="Opening",K679,Y678+K679-W679)</f>
        <v>1272.78</v>
      </c>
      <c r="Z679" s="9" t="n">
        <f aca="false">IF(I679="Opening",L679,Z678+L679-X679)</f>
        <v>43385173.7453601</v>
      </c>
      <c r="AA679" s="9" t="n">
        <f aca="false">IF(Y679&gt;0,Z679/Y679,IF(I679="Opening",0,AA678))</f>
        <v>34086.9386267541</v>
      </c>
      <c r="AB679" s="9" t="n">
        <f aca="false">IF(AND(I679="DO",O679="MA"),S679-N679,0)</f>
        <v>0</v>
      </c>
      <c r="AC679" s="9" t="n">
        <f aca="false">IF(I679="DO",X679-S679,0)</f>
        <v>0</v>
      </c>
      <c r="AD679" s="23" t="n">
        <f aca="false">IF(B680&lt;&gt;B679,1,0)</f>
        <v>0</v>
      </c>
      <c r="AE679" s="14" t="n">
        <f aca="false">IF(I679="Opening",0,AE678+W679)</f>
        <v>6294.22</v>
      </c>
      <c r="AF679" s="14" t="n">
        <f aca="false">IF(I679="Opening",K679,AF678)</f>
        <v>4953</v>
      </c>
      <c r="AG679" s="14" t="n">
        <f aca="false">AG678</f>
        <v>11.7</v>
      </c>
      <c r="AH679" s="14" t="n">
        <f aca="false">IF(W679=0,0,MAX(0,MIN(AE679,AF679)-MIN(AE679-W679,AF679)))</f>
        <v>0</v>
      </c>
      <c r="AI679" s="14" t="n">
        <f aca="false">IF(W679=0,0,MAX(0,MIN(AE679,AF679+AG679)-MAX(AE679-W679,AF679)))</f>
        <v>0</v>
      </c>
      <c r="AJ679" s="14" t="n">
        <f aca="false">W679-AH679-AI679</f>
        <v>0</v>
      </c>
      <c r="AK679" s="9" t="n">
        <f aca="false">IF(W679=0,0,X679*AH679/W679)</f>
        <v>0</v>
      </c>
      <c r="AL679" s="9" t="n">
        <f aca="false">IF(W679=0,0,X679*AI679/W679)</f>
        <v>0</v>
      </c>
      <c r="AM679" s="9" t="n">
        <f aca="false">X679-AK679-AL679</f>
        <v>0</v>
      </c>
    </row>
    <row r="680" customFormat="false" ht="15" hidden="false" customHeight="false" outlineLevel="0" collapsed="false">
      <c r="A680" s="6" t="n">
        <v>675</v>
      </c>
      <c r="B680" s="74" t="s">
        <v>1014</v>
      </c>
      <c r="C680" s="53" t="str">
        <f aca="false">INDEX(I_Items!$C$5:$C$133,MATCH($B680,I_Items!$A$5:$A$133,0))</f>
        <v>RPA</v>
      </c>
      <c r="D680" s="53" t="str">
        <f aca="false">INDEX(I_Items!$D$5:$D$133,MATCH($B680,I_Items!$A$5:$A$133,0))</f>
        <v>Karkas</v>
      </c>
      <c r="E680" s="53" t="str">
        <f aca="false">INDEX(I_Items!$F$5:$F$133,MATCH($B680,I_Items!$A$5:$A$133,0))</f>
        <v>Frozen</v>
      </c>
      <c r="F680" s="53" t="str">
        <f aca="false">IF(INDEX(I_Items!$E$5:$E$133,MATCH($B680,I_Items!$A$5:$A$133,0))="","",INDEX(I_Items!$E$5:$E$133,MATCH($B680,I_Items!$A$5:$A$133,0)))</f>
        <v>Uk 0.8</v>
      </c>
      <c r="G680" s="76" t="n">
        <v>46259</v>
      </c>
      <c r="H680" s="23" t="n">
        <f aca="false">MONTH(G680)</f>
        <v>8</v>
      </c>
      <c r="I680" s="74" t="s">
        <v>2074</v>
      </c>
      <c r="J680" s="74" t="s">
        <v>1314</v>
      </c>
      <c r="K680" s="10" t="n">
        <v>8</v>
      </c>
      <c r="L680" s="8" t="n">
        <v>295036.75</v>
      </c>
      <c r="M680" s="10" t="n">
        <v>0</v>
      </c>
      <c r="N680" s="8" t="n">
        <v>0</v>
      </c>
      <c r="O680" s="74"/>
      <c r="P680" s="74"/>
      <c r="Q680" s="74"/>
      <c r="R680" s="14" t="n">
        <f aca="false">IF(I680="Unbilled",0,M680)</f>
        <v>0</v>
      </c>
      <c r="S680" s="9" t="n">
        <f aca="false">IF(R680=0,0,IF(O680="Booked",N680,R680*V679))</f>
        <v>0</v>
      </c>
      <c r="T680" s="14" t="n">
        <f aca="false">IF(I680="Opening",K680,T679+K680-R680)</f>
        <v>1280.78</v>
      </c>
      <c r="U680" s="9" t="n">
        <f aca="false">IF(I680="Opening",L680,U679+L680-S680)</f>
        <v>43680210.4953601</v>
      </c>
      <c r="V680" s="9" t="n">
        <f aca="false">IF(T680&gt;0,U680/T680,IF(I680="Opening",0,V679))</f>
        <v>34104.382091663</v>
      </c>
      <c r="W680" s="14" t="n">
        <f aca="false">M680</f>
        <v>0</v>
      </c>
      <c r="X680" s="9" t="n">
        <f aca="false">IF(W680=0,0,IF(O680="Booked",N680,W680*AA679))</f>
        <v>0</v>
      </c>
      <c r="Y680" s="14" t="n">
        <f aca="false">IF(I680="Opening",K680,Y679+K680-W680)</f>
        <v>1280.78</v>
      </c>
      <c r="Z680" s="9" t="n">
        <f aca="false">IF(I680="Opening",L680,Z679+L680-X680)</f>
        <v>43680210.4953601</v>
      </c>
      <c r="AA680" s="9" t="n">
        <f aca="false">IF(Y680&gt;0,Z680/Y680,IF(I680="Opening",0,AA679))</f>
        <v>34104.382091663</v>
      </c>
      <c r="AB680" s="9" t="n">
        <f aca="false">IF(AND(I680="DO",O680="MA"),S680-N680,0)</f>
        <v>0</v>
      </c>
      <c r="AC680" s="9" t="n">
        <f aca="false">IF(I680="DO",X680-S680,0)</f>
        <v>0</v>
      </c>
      <c r="AD680" s="23" t="n">
        <f aca="false">IF(B681&lt;&gt;B680,1,0)</f>
        <v>0</v>
      </c>
      <c r="AE680" s="14" t="n">
        <f aca="false">IF(I680="Opening",0,AE679+W680)</f>
        <v>6294.22</v>
      </c>
      <c r="AF680" s="14" t="n">
        <f aca="false">IF(I680="Opening",K680,AF679)</f>
        <v>4953</v>
      </c>
      <c r="AG680" s="14" t="n">
        <f aca="false">AG679</f>
        <v>11.7</v>
      </c>
      <c r="AH680" s="14" t="n">
        <f aca="false">IF(W680=0,0,MAX(0,MIN(AE680,AF680)-MIN(AE680-W680,AF680)))</f>
        <v>0</v>
      </c>
      <c r="AI680" s="14" t="n">
        <f aca="false">IF(W680=0,0,MAX(0,MIN(AE680,AF680+AG680)-MAX(AE680-W680,AF680)))</f>
        <v>0</v>
      </c>
      <c r="AJ680" s="14" t="n">
        <f aca="false">W680-AH680-AI680</f>
        <v>0</v>
      </c>
      <c r="AK680" s="9" t="n">
        <f aca="false">IF(W680=0,0,X680*AH680/W680)</f>
        <v>0</v>
      </c>
      <c r="AL680" s="9" t="n">
        <f aca="false">IF(W680=0,0,X680*AI680/W680)</f>
        <v>0</v>
      </c>
      <c r="AM680" s="9" t="n">
        <f aca="false">X680-AK680-AL680</f>
        <v>0</v>
      </c>
    </row>
    <row r="681" customFormat="false" ht="15" hidden="false" customHeight="false" outlineLevel="0" collapsed="false">
      <c r="A681" s="6" t="n">
        <v>676</v>
      </c>
      <c r="B681" s="74" t="s">
        <v>1014</v>
      </c>
      <c r="C681" s="53" t="str">
        <f aca="false">INDEX(I_Items!$C$5:$C$133,MATCH($B681,I_Items!$A$5:$A$133,0))</f>
        <v>RPA</v>
      </c>
      <c r="D681" s="53" t="str">
        <f aca="false">INDEX(I_Items!$D$5:$D$133,MATCH($B681,I_Items!$A$5:$A$133,0))</f>
        <v>Karkas</v>
      </c>
      <c r="E681" s="53" t="str">
        <f aca="false">INDEX(I_Items!$F$5:$F$133,MATCH($B681,I_Items!$A$5:$A$133,0))</f>
        <v>Frozen</v>
      </c>
      <c r="F681" s="53" t="str">
        <f aca="false">IF(INDEX(I_Items!$E$5:$E$133,MATCH($B681,I_Items!$A$5:$A$133,0))="","",INDEX(I_Items!$E$5:$E$133,MATCH($B681,I_Items!$A$5:$A$133,0)))</f>
        <v>Uk 0.8</v>
      </c>
      <c r="G681" s="76" t="n">
        <v>46260</v>
      </c>
      <c r="H681" s="23" t="n">
        <f aca="false">MONTH(G681)</f>
        <v>8</v>
      </c>
      <c r="I681" s="74" t="s">
        <v>2074</v>
      </c>
      <c r="J681" s="74" t="s">
        <v>1317</v>
      </c>
      <c r="K681" s="10" t="n">
        <v>86.3</v>
      </c>
      <c r="L681" s="8" t="n">
        <v>3250868.76</v>
      </c>
      <c r="M681" s="10" t="n">
        <v>0</v>
      </c>
      <c r="N681" s="8" t="n">
        <v>0</v>
      </c>
      <c r="O681" s="74"/>
      <c r="P681" s="74"/>
      <c r="Q681" s="74"/>
      <c r="R681" s="14" t="n">
        <f aca="false">IF(I681="Unbilled",0,M681)</f>
        <v>0</v>
      </c>
      <c r="S681" s="9" t="n">
        <f aca="false">IF(R681=0,0,IF(O681="Booked",N681,R681*V680))</f>
        <v>0</v>
      </c>
      <c r="T681" s="14" t="n">
        <f aca="false">IF(I681="Opening",K681,T680+K681-R681)</f>
        <v>1367.08</v>
      </c>
      <c r="U681" s="9" t="n">
        <f aca="false">IF(I681="Opening",L681,U680+L681-S681)</f>
        <v>46931079.2553601</v>
      </c>
      <c r="V681" s="9" t="n">
        <f aca="false">IF(T681&gt;0,U681/T681,IF(I681="Opening",0,V680))</f>
        <v>34329.4315295082</v>
      </c>
      <c r="W681" s="14" t="n">
        <f aca="false">M681</f>
        <v>0</v>
      </c>
      <c r="X681" s="9" t="n">
        <f aca="false">IF(W681=0,0,IF(O681="Booked",N681,W681*AA680))</f>
        <v>0</v>
      </c>
      <c r="Y681" s="14" t="n">
        <f aca="false">IF(I681="Opening",K681,Y680+K681-W681)</f>
        <v>1367.08</v>
      </c>
      <c r="Z681" s="9" t="n">
        <f aca="false">IF(I681="Opening",L681,Z680+L681-X681)</f>
        <v>46931079.2553601</v>
      </c>
      <c r="AA681" s="9" t="n">
        <f aca="false">IF(Y681&gt;0,Z681/Y681,IF(I681="Opening",0,AA680))</f>
        <v>34329.4315295082</v>
      </c>
      <c r="AB681" s="9" t="n">
        <f aca="false">IF(AND(I681="DO",O681="MA"),S681-N681,0)</f>
        <v>0</v>
      </c>
      <c r="AC681" s="9" t="n">
        <f aca="false">IF(I681="DO",X681-S681,0)</f>
        <v>0</v>
      </c>
      <c r="AD681" s="23" t="n">
        <f aca="false">IF(B682&lt;&gt;B681,1,0)</f>
        <v>0</v>
      </c>
      <c r="AE681" s="14" t="n">
        <f aca="false">IF(I681="Opening",0,AE680+W681)</f>
        <v>6294.22</v>
      </c>
      <c r="AF681" s="14" t="n">
        <f aca="false">IF(I681="Opening",K681,AF680)</f>
        <v>4953</v>
      </c>
      <c r="AG681" s="14" t="n">
        <f aca="false">AG680</f>
        <v>11.7</v>
      </c>
      <c r="AH681" s="14" t="n">
        <f aca="false">IF(W681=0,0,MAX(0,MIN(AE681,AF681)-MIN(AE681-W681,AF681)))</f>
        <v>0</v>
      </c>
      <c r="AI681" s="14" t="n">
        <f aca="false">IF(W681=0,0,MAX(0,MIN(AE681,AF681+AG681)-MAX(AE681-W681,AF681)))</f>
        <v>0</v>
      </c>
      <c r="AJ681" s="14" t="n">
        <f aca="false">W681-AH681-AI681</f>
        <v>0</v>
      </c>
      <c r="AK681" s="9" t="n">
        <f aca="false">IF(W681=0,0,X681*AH681/W681)</f>
        <v>0</v>
      </c>
      <c r="AL681" s="9" t="n">
        <f aca="false">IF(W681=0,0,X681*AI681/W681)</f>
        <v>0</v>
      </c>
      <c r="AM681" s="9" t="n">
        <f aca="false">X681-AK681-AL681</f>
        <v>0</v>
      </c>
    </row>
    <row r="682" customFormat="false" ht="15" hidden="false" customHeight="false" outlineLevel="0" collapsed="false">
      <c r="A682" s="6" t="n">
        <v>677</v>
      </c>
      <c r="B682" s="74" t="s">
        <v>1014</v>
      </c>
      <c r="C682" s="53" t="str">
        <f aca="false">INDEX(I_Items!$C$5:$C$133,MATCH($B682,I_Items!$A$5:$A$133,0))</f>
        <v>RPA</v>
      </c>
      <c r="D682" s="53" t="str">
        <f aca="false">INDEX(I_Items!$D$5:$D$133,MATCH($B682,I_Items!$A$5:$A$133,0))</f>
        <v>Karkas</v>
      </c>
      <c r="E682" s="53" t="str">
        <f aca="false">INDEX(I_Items!$F$5:$F$133,MATCH($B682,I_Items!$A$5:$A$133,0))</f>
        <v>Frozen</v>
      </c>
      <c r="F682" s="53" t="str">
        <f aca="false">IF(INDEX(I_Items!$E$5:$E$133,MATCH($B682,I_Items!$A$5:$A$133,0))="","",INDEX(I_Items!$E$5:$E$133,MATCH($B682,I_Items!$A$5:$A$133,0)))</f>
        <v>Uk 0.8</v>
      </c>
      <c r="G682" s="76" t="n">
        <v>46261</v>
      </c>
      <c r="H682" s="23" t="n">
        <f aca="false">MONTH(G682)</f>
        <v>8</v>
      </c>
      <c r="I682" s="74" t="s">
        <v>2074</v>
      </c>
      <c r="J682" s="74" t="s">
        <v>1320</v>
      </c>
      <c r="K682" s="10" t="n">
        <v>100.1</v>
      </c>
      <c r="L682" s="8" t="n">
        <v>3722152.77</v>
      </c>
      <c r="M682" s="10" t="n">
        <v>0</v>
      </c>
      <c r="N682" s="8" t="n">
        <v>0</v>
      </c>
      <c r="O682" s="74"/>
      <c r="P682" s="74"/>
      <c r="Q682" s="74"/>
      <c r="R682" s="14" t="n">
        <f aca="false">IF(I682="Unbilled",0,M682)</f>
        <v>0</v>
      </c>
      <c r="S682" s="9" t="n">
        <f aca="false">IF(R682=0,0,IF(O682="Booked",N682,R682*V681))</f>
        <v>0</v>
      </c>
      <c r="T682" s="14" t="n">
        <f aca="false">IF(I682="Opening",K682,T681+K682-R682)</f>
        <v>1467.18</v>
      </c>
      <c r="U682" s="9" t="n">
        <f aca="false">IF(I682="Opening",L682,U681+L682-S682)</f>
        <v>50653232.0253601</v>
      </c>
      <c r="V682" s="9" t="n">
        <f aca="false">IF(T682&gt;0,U682/T682,IF(I682="Opening",0,V681))</f>
        <v>34524.2110888644</v>
      </c>
      <c r="W682" s="14" t="n">
        <f aca="false">M682</f>
        <v>0</v>
      </c>
      <c r="X682" s="9" t="n">
        <f aca="false">IF(W682=0,0,IF(O682="Booked",N682,W682*AA681))</f>
        <v>0</v>
      </c>
      <c r="Y682" s="14" t="n">
        <f aca="false">IF(I682="Opening",K682,Y681+K682-W682)</f>
        <v>1467.18</v>
      </c>
      <c r="Z682" s="9" t="n">
        <f aca="false">IF(I682="Opening",L682,Z681+L682-X682)</f>
        <v>50653232.0253601</v>
      </c>
      <c r="AA682" s="9" t="n">
        <f aca="false">IF(Y682&gt;0,Z682/Y682,IF(I682="Opening",0,AA681))</f>
        <v>34524.2110888644</v>
      </c>
      <c r="AB682" s="9" t="n">
        <f aca="false">IF(AND(I682="DO",O682="MA"),S682-N682,0)</f>
        <v>0</v>
      </c>
      <c r="AC682" s="9" t="n">
        <f aca="false">IF(I682="DO",X682-S682,0)</f>
        <v>0</v>
      </c>
      <c r="AD682" s="23" t="n">
        <f aca="false">IF(B683&lt;&gt;B682,1,0)</f>
        <v>0</v>
      </c>
      <c r="AE682" s="14" t="n">
        <f aca="false">IF(I682="Opening",0,AE681+W682)</f>
        <v>6294.22</v>
      </c>
      <c r="AF682" s="14" t="n">
        <f aca="false">IF(I682="Opening",K682,AF681)</f>
        <v>4953</v>
      </c>
      <c r="AG682" s="14" t="n">
        <f aca="false">AG681</f>
        <v>11.7</v>
      </c>
      <c r="AH682" s="14" t="n">
        <f aca="false">IF(W682=0,0,MAX(0,MIN(AE682,AF682)-MIN(AE682-W682,AF682)))</f>
        <v>0</v>
      </c>
      <c r="AI682" s="14" t="n">
        <f aca="false">IF(W682=0,0,MAX(0,MIN(AE682,AF682+AG682)-MAX(AE682-W682,AF682)))</f>
        <v>0</v>
      </c>
      <c r="AJ682" s="14" t="n">
        <f aca="false">W682-AH682-AI682</f>
        <v>0</v>
      </c>
      <c r="AK682" s="9" t="n">
        <f aca="false">IF(W682=0,0,X682*AH682/W682)</f>
        <v>0</v>
      </c>
      <c r="AL682" s="9" t="n">
        <f aca="false">IF(W682=0,0,X682*AI682/W682)</f>
        <v>0</v>
      </c>
      <c r="AM682" s="9" t="n">
        <f aca="false">X682-AK682-AL682</f>
        <v>0</v>
      </c>
    </row>
    <row r="683" customFormat="false" ht="15" hidden="false" customHeight="false" outlineLevel="0" collapsed="false">
      <c r="A683" s="6" t="n">
        <v>678</v>
      </c>
      <c r="B683" s="74" t="s">
        <v>1014</v>
      </c>
      <c r="C683" s="53" t="str">
        <f aca="false">INDEX(I_Items!$C$5:$C$133,MATCH($B683,I_Items!$A$5:$A$133,0))</f>
        <v>RPA</v>
      </c>
      <c r="D683" s="53" t="str">
        <f aca="false">INDEX(I_Items!$D$5:$D$133,MATCH($B683,I_Items!$A$5:$A$133,0))</f>
        <v>Karkas</v>
      </c>
      <c r="E683" s="53" t="str">
        <f aca="false">INDEX(I_Items!$F$5:$F$133,MATCH($B683,I_Items!$A$5:$A$133,0))</f>
        <v>Frozen</v>
      </c>
      <c r="F683" s="53" t="str">
        <f aca="false">IF(INDEX(I_Items!$E$5:$E$133,MATCH($B683,I_Items!$A$5:$A$133,0))="","",INDEX(I_Items!$E$5:$E$133,MATCH($B683,I_Items!$A$5:$A$133,0)))</f>
        <v>Uk 0.8</v>
      </c>
      <c r="G683" s="76" t="n">
        <v>46261</v>
      </c>
      <c r="H683" s="23" t="n">
        <f aca="false">MONTH(G683)</f>
        <v>8</v>
      </c>
      <c r="I683" s="74" t="s">
        <v>2075</v>
      </c>
      <c r="J683" s="74" t="s">
        <v>2174</v>
      </c>
      <c r="K683" s="10" t="n">
        <v>0</v>
      </c>
      <c r="L683" s="8" t="n">
        <v>0</v>
      </c>
      <c r="M683" s="10" t="n">
        <v>34.6</v>
      </c>
      <c r="N683" s="8" t="n">
        <v>1194537.7</v>
      </c>
      <c r="O683" s="74" t="s">
        <v>2077</v>
      </c>
      <c r="P683" s="74"/>
      <c r="Q683" s="74"/>
      <c r="R683" s="14" t="n">
        <f aca="false">IF(I683="Unbilled",0,M683)</f>
        <v>34.6</v>
      </c>
      <c r="S683" s="9" t="n">
        <f aca="false">IF(R683=0,0,IF(O683="Booked",N683,R683*V682))</f>
        <v>1194537.70367471</v>
      </c>
      <c r="T683" s="14" t="n">
        <f aca="false">IF(I683="Opening",K683,T682+K683-R683)</f>
        <v>1432.58</v>
      </c>
      <c r="U683" s="9" t="n">
        <f aca="false">IF(I683="Opening",L683,U682+L683-S683)</f>
        <v>49458694.3216854</v>
      </c>
      <c r="V683" s="9" t="n">
        <f aca="false">IF(T683&gt;0,U683/T683,IF(I683="Opening",0,V682))</f>
        <v>34524.2110888644</v>
      </c>
      <c r="W683" s="14" t="n">
        <f aca="false">M683</f>
        <v>34.6</v>
      </c>
      <c r="X683" s="9" t="n">
        <f aca="false">IF(W683=0,0,IF(O683="Booked",N683,W683*AA682))</f>
        <v>1194537.70367471</v>
      </c>
      <c r="Y683" s="14" t="n">
        <f aca="false">IF(I683="Opening",K683,Y682+K683-W683)</f>
        <v>1432.58</v>
      </c>
      <c r="Z683" s="9" t="n">
        <f aca="false">IF(I683="Opening",L683,Z682+L683-X683)</f>
        <v>49458694.3216854</v>
      </c>
      <c r="AA683" s="9" t="n">
        <f aca="false">IF(Y683&gt;0,Z683/Y683,IF(I683="Opening",0,AA682))</f>
        <v>34524.2110888644</v>
      </c>
      <c r="AB683" s="9" t="n">
        <f aca="false">IF(AND(I683="DO",O683="MA"),S683-N683,0)</f>
        <v>0.0036747099366039</v>
      </c>
      <c r="AC683" s="9" t="n">
        <f aca="false">IF(I683="DO",X683-S683,0)</f>
        <v>0</v>
      </c>
      <c r="AD683" s="23" t="n">
        <f aca="false">IF(B684&lt;&gt;B683,1,0)</f>
        <v>0</v>
      </c>
      <c r="AE683" s="14" t="n">
        <f aca="false">IF(I683="Opening",0,AE682+W683)</f>
        <v>6328.82</v>
      </c>
      <c r="AF683" s="14" t="n">
        <f aca="false">IF(I683="Opening",K683,AF682)</f>
        <v>4953</v>
      </c>
      <c r="AG683" s="14" t="n">
        <f aca="false">AG682</f>
        <v>11.7</v>
      </c>
      <c r="AH683" s="14" t="n">
        <f aca="false">IF(W683=0,0,MAX(0,MIN(AE683,AF683)-MIN(AE683-W683,AF683)))</f>
        <v>0</v>
      </c>
      <c r="AI683" s="14" t="n">
        <f aca="false">IF(W683=0,0,MAX(0,MIN(AE683,AF683+AG683)-MAX(AE683-W683,AF683)))</f>
        <v>0</v>
      </c>
      <c r="AJ683" s="14" t="n">
        <f aca="false">W683-AH683-AI683</f>
        <v>34.6</v>
      </c>
      <c r="AK683" s="9" t="n">
        <f aca="false">IF(W683=0,0,X683*AH683/W683)</f>
        <v>0</v>
      </c>
      <c r="AL683" s="9" t="n">
        <f aca="false">IF(W683=0,0,X683*AI683/W683)</f>
        <v>0</v>
      </c>
      <c r="AM683" s="9" t="n">
        <f aca="false">X683-AK683-AL683</f>
        <v>1194537.70367471</v>
      </c>
    </row>
    <row r="684" customFormat="false" ht="15" hidden="false" customHeight="false" outlineLevel="0" collapsed="false">
      <c r="A684" s="6" t="n">
        <v>679</v>
      </c>
      <c r="B684" s="74" t="s">
        <v>1014</v>
      </c>
      <c r="C684" s="53" t="str">
        <f aca="false">INDEX(I_Items!$C$5:$C$133,MATCH($B684,I_Items!$A$5:$A$133,0))</f>
        <v>RPA</v>
      </c>
      <c r="D684" s="53" t="str">
        <f aca="false">INDEX(I_Items!$D$5:$D$133,MATCH($B684,I_Items!$A$5:$A$133,0))</f>
        <v>Karkas</v>
      </c>
      <c r="E684" s="53" t="str">
        <f aca="false">INDEX(I_Items!$F$5:$F$133,MATCH($B684,I_Items!$A$5:$A$133,0))</f>
        <v>Frozen</v>
      </c>
      <c r="F684" s="53" t="str">
        <f aca="false">IF(INDEX(I_Items!$E$5:$E$133,MATCH($B684,I_Items!$A$5:$A$133,0))="","",INDEX(I_Items!$E$5:$E$133,MATCH($B684,I_Items!$A$5:$A$133,0)))</f>
        <v>Uk 0.8</v>
      </c>
      <c r="G684" s="76" t="n">
        <v>46261</v>
      </c>
      <c r="H684" s="23" t="n">
        <f aca="false">MONTH(G684)</f>
        <v>8</v>
      </c>
      <c r="I684" s="74" t="s">
        <v>2075</v>
      </c>
      <c r="J684" s="74" t="s">
        <v>2174</v>
      </c>
      <c r="K684" s="10" t="n">
        <v>0</v>
      </c>
      <c r="L684" s="8" t="n">
        <v>0</v>
      </c>
      <c r="M684" s="10" t="n">
        <v>169.69</v>
      </c>
      <c r="N684" s="8" t="n">
        <v>5858413.38</v>
      </c>
      <c r="O684" s="74" t="s">
        <v>2077</v>
      </c>
      <c r="P684" s="74"/>
      <c r="Q684" s="74"/>
      <c r="R684" s="14" t="n">
        <f aca="false">IF(I684="Unbilled",0,M684)</f>
        <v>169.69</v>
      </c>
      <c r="S684" s="9" t="n">
        <f aca="false">IF(R684=0,0,IF(O684="Booked",N684,R684*V683))</f>
        <v>5858413.37966941</v>
      </c>
      <c r="T684" s="14" t="n">
        <f aca="false">IF(I684="Opening",K684,T683+K684-R684)</f>
        <v>1262.89</v>
      </c>
      <c r="U684" s="9" t="n">
        <f aca="false">IF(I684="Opening",L684,U683+L684-S684)</f>
        <v>43600280.942016</v>
      </c>
      <c r="V684" s="9" t="n">
        <f aca="false">IF(T684&gt;0,U684/T684,IF(I684="Opening",0,V683))</f>
        <v>34524.2110888644</v>
      </c>
      <c r="W684" s="14" t="n">
        <f aca="false">M684</f>
        <v>169.69</v>
      </c>
      <c r="X684" s="9" t="n">
        <f aca="false">IF(W684=0,0,IF(O684="Booked",N684,W684*AA683))</f>
        <v>5858413.37966941</v>
      </c>
      <c r="Y684" s="14" t="n">
        <f aca="false">IF(I684="Opening",K684,Y683+K684-W684)</f>
        <v>1262.89</v>
      </c>
      <c r="Z684" s="9" t="n">
        <f aca="false">IF(I684="Opening",L684,Z683+L684-X684)</f>
        <v>43600280.942016</v>
      </c>
      <c r="AA684" s="9" t="n">
        <f aca="false">IF(Y684&gt;0,Z684/Y684,IF(I684="Opening",0,AA683))</f>
        <v>34524.2110888644</v>
      </c>
      <c r="AB684" s="9" t="n">
        <f aca="false">IF(AND(I684="DO",O684="MA"),S684-N684,0)</f>
        <v>-0.000330593436956406</v>
      </c>
      <c r="AC684" s="9" t="n">
        <f aca="false">IF(I684="DO",X684-S684,0)</f>
        <v>0</v>
      </c>
      <c r="AD684" s="23" t="n">
        <f aca="false">IF(B685&lt;&gt;B684,1,0)</f>
        <v>0</v>
      </c>
      <c r="AE684" s="14" t="n">
        <f aca="false">IF(I684="Opening",0,AE683+W684)</f>
        <v>6498.51</v>
      </c>
      <c r="AF684" s="14" t="n">
        <f aca="false">IF(I684="Opening",K684,AF683)</f>
        <v>4953</v>
      </c>
      <c r="AG684" s="14" t="n">
        <f aca="false">AG683</f>
        <v>11.7</v>
      </c>
      <c r="AH684" s="14" t="n">
        <f aca="false">IF(W684=0,0,MAX(0,MIN(AE684,AF684)-MIN(AE684-W684,AF684)))</f>
        <v>0</v>
      </c>
      <c r="AI684" s="14" t="n">
        <f aca="false">IF(W684=0,0,MAX(0,MIN(AE684,AF684+AG684)-MAX(AE684-W684,AF684)))</f>
        <v>0</v>
      </c>
      <c r="AJ684" s="14" t="n">
        <f aca="false">W684-AH684-AI684</f>
        <v>169.69</v>
      </c>
      <c r="AK684" s="9" t="n">
        <f aca="false">IF(W684=0,0,X684*AH684/W684)</f>
        <v>0</v>
      </c>
      <c r="AL684" s="9" t="n">
        <f aca="false">IF(W684=0,0,X684*AI684/W684)</f>
        <v>0</v>
      </c>
      <c r="AM684" s="9" t="n">
        <f aca="false">X684-AK684-AL684</f>
        <v>5858413.37966941</v>
      </c>
    </row>
    <row r="685" customFormat="false" ht="15" hidden="false" customHeight="false" outlineLevel="0" collapsed="false">
      <c r="A685" s="6" t="n">
        <v>680</v>
      </c>
      <c r="B685" s="74" t="s">
        <v>1014</v>
      </c>
      <c r="C685" s="53" t="str">
        <f aca="false">INDEX(I_Items!$C$5:$C$133,MATCH($B685,I_Items!$A$5:$A$133,0))</f>
        <v>RPA</v>
      </c>
      <c r="D685" s="53" t="str">
        <f aca="false">INDEX(I_Items!$D$5:$D$133,MATCH($B685,I_Items!$A$5:$A$133,0))</f>
        <v>Karkas</v>
      </c>
      <c r="E685" s="53" t="str">
        <f aca="false">INDEX(I_Items!$F$5:$F$133,MATCH($B685,I_Items!$A$5:$A$133,0))</f>
        <v>Frozen</v>
      </c>
      <c r="F685" s="53" t="str">
        <f aca="false">IF(INDEX(I_Items!$E$5:$E$133,MATCH($B685,I_Items!$A$5:$A$133,0))="","",INDEX(I_Items!$E$5:$E$133,MATCH($B685,I_Items!$A$5:$A$133,0)))</f>
        <v>Uk 0.8</v>
      </c>
      <c r="G685" s="76" t="n">
        <v>46262</v>
      </c>
      <c r="H685" s="23" t="n">
        <f aca="false">MONTH(G685)</f>
        <v>8</v>
      </c>
      <c r="I685" s="74" t="s">
        <v>2074</v>
      </c>
      <c r="J685" s="74" t="s">
        <v>1323</v>
      </c>
      <c r="K685" s="10" t="n">
        <v>194.4</v>
      </c>
      <c r="L685" s="8" t="n">
        <v>7288416.24</v>
      </c>
      <c r="M685" s="10" t="n">
        <v>0</v>
      </c>
      <c r="N685" s="8" t="n">
        <v>0</v>
      </c>
      <c r="O685" s="74"/>
      <c r="P685" s="74"/>
      <c r="Q685" s="74"/>
      <c r="R685" s="14" t="n">
        <f aca="false">IF(I685="Unbilled",0,M685)</f>
        <v>0</v>
      </c>
      <c r="S685" s="9" t="n">
        <f aca="false">IF(R685=0,0,IF(O685="Booked",N685,R685*V684))</f>
        <v>0</v>
      </c>
      <c r="T685" s="14" t="n">
        <f aca="false">IF(I685="Opening",K685,T684+K685-R685)</f>
        <v>1457.29</v>
      </c>
      <c r="U685" s="9" t="n">
        <f aca="false">IF(I685="Opening",L685,U684+L685-S685)</f>
        <v>50888697.182016</v>
      </c>
      <c r="V685" s="9" t="n">
        <f aca="false">IF(T685&gt;0,U685/T685,IF(I685="Opening",0,V684))</f>
        <v>34920.0894688195</v>
      </c>
      <c r="W685" s="14" t="n">
        <f aca="false">M685</f>
        <v>0</v>
      </c>
      <c r="X685" s="9" t="n">
        <f aca="false">IF(W685=0,0,IF(O685="Booked",N685,W685*AA684))</f>
        <v>0</v>
      </c>
      <c r="Y685" s="14" t="n">
        <f aca="false">IF(I685="Opening",K685,Y684+K685-W685)</f>
        <v>1457.29</v>
      </c>
      <c r="Z685" s="9" t="n">
        <f aca="false">IF(I685="Opening",L685,Z684+L685-X685)</f>
        <v>50888697.182016</v>
      </c>
      <c r="AA685" s="9" t="n">
        <f aca="false">IF(Y685&gt;0,Z685/Y685,IF(I685="Opening",0,AA684))</f>
        <v>34920.0894688195</v>
      </c>
      <c r="AB685" s="9" t="n">
        <f aca="false">IF(AND(I685="DO",O685="MA"),S685-N685,0)</f>
        <v>0</v>
      </c>
      <c r="AC685" s="9" t="n">
        <f aca="false">IF(I685="DO",X685-S685,0)</f>
        <v>0</v>
      </c>
      <c r="AD685" s="23" t="n">
        <f aca="false">IF(B686&lt;&gt;B685,1,0)</f>
        <v>0</v>
      </c>
      <c r="AE685" s="14" t="n">
        <f aca="false">IF(I685="Opening",0,AE684+W685)</f>
        <v>6498.51</v>
      </c>
      <c r="AF685" s="14" t="n">
        <f aca="false">IF(I685="Opening",K685,AF684)</f>
        <v>4953</v>
      </c>
      <c r="AG685" s="14" t="n">
        <f aca="false">AG684</f>
        <v>11.7</v>
      </c>
      <c r="AH685" s="14" t="n">
        <f aca="false">IF(W685=0,0,MAX(0,MIN(AE685,AF685)-MIN(AE685-W685,AF685)))</f>
        <v>0</v>
      </c>
      <c r="AI685" s="14" t="n">
        <f aca="false">IF(W685=0,0,MAX(0,MIN(AE685,AF685+AG685)-MAX(AE685-W685,AF685)))</f>
        <v>0</v>
      </c>
      <c r="AJ685" s="14" t="n">
        <f aca="false">W685-AH685-AI685</f>
        <v>0</v>
      </c>
      <c r="AK685" s="9" t="n">
        <f aca="false">IF(W685=0,0,X685*AH685/W685)</f>
        <v>0</v>
      </c>
      <c r="AL685" s="9" t="n">
        <f aca="false">IF(W685=0,0,X685*AI685/W685)</f>
        <v>0</v>
      </c>
      <c r="AM685" s="9" t="n">
        <f aca="false">X685-AK685-AL685</f>
        <v>0</v>
      </c>
    </row>
    <row r="686" customFormat="false" ht="15" hidden="false" customHeight="false" outlineLevel="0" collapsed="false">
      <c r="A686" s="6" t="n">
        <v>681</v>
      </c>
      <c r="B686" s="74" t="s">
        <v>1014</v>
      </c>
      <c r="C686" s="53" t="str">
        <f aca="false">INDEX(I_Items!$C$5:$C$133,MATCH($B686,I_Items!$A$5:$A$133,0))</f>
        <v>RPA</v>
      </c>
      <c r="D686" s="53" t="str">
        <f aca="false">INDEX(I_Items!$D$5:$D$133,MATCH($B686,I_Items!$A$5:$A$133,0))</f>
        <v>Karkas</v>
      </c>
      <c r="E686" s="53" t="str">
        <f aca="false">INDEX(I_Items!$F$5:$F$133,MATCH($B686,I_Items!$A$5:$A$133,0))</f>
        <v>Frozen</v>
      </c>
      <c r="F686" s="53" t="str">
        <f aca="false">IF(INDEX(I_Items!$E$5:$E$133,MATCH($B686,I_Items!$A$5:$A$133,0))="","",INDEX(I_Items!$E$5:$E$133,MATCH($B686,I_Items!$A$5:$A$133,0)))</f>
        <v>Uk 0.8</v>
      </c>
      <c r="G686" s="76" t="n">
        <v>46263</v>
      </c>
      <c r="H686" s="23" t="n">
        <f aca="false">MONTH(G686)</f>
        <v>8</v>
      </c>
      <c r="I686" s="74" t="s">
        <v>2075</v>
      </c>
      <c r="J686" s="74" t="s">
        <v>2148</v>
      </c>
      <c r="K686" s="10" t="n">
        <v>0</v>
      </c>
      <c r="L686" s="8" t="n">
        <v>0</v>
      </c>
      <c r="M686" s="10" t="n">
        <v>441.06</v>
      </c>
      <c r="N686" s="8" t="n">
        <v>15401854.67</v>
      </c>
      <c r="O686" s="74" t="s">
        <v>2077</v>
      </c>
      <c r="P686" s="74"/>
      <c r="Q686" s="74"/>
      <c r="R686" s="14" t="n">
        <f aca="false">IF(I686="Unbilled",0,M686)</f>
        <v>441.06</v>
      </c>
      <c r="S686" s="9" t="n">
        <f aca="false">IF(R686=0,0,IF(O686="Booked",N686,R686*V685))</f>
        <v>15401854.6611175</v>
      </c>
      <c r="T686" s="14" t="n">
        <f aca="false">IF(I686="Opening",K686,T685+K686-R686)</f>
        <v>1016.23</v>
      </c>
      <c r="U686" s="9" t="n">
        <f aca="false">IF(I686="Opening",L686,U685+L686-S686)</f>
        <v>35486842.5208985</v>
      </c>
      <c r="V686" s="9" t="n">
        <f aca="false">IF(T686&gt;0,U686/T686,IF(I686="Opening",0,V685))</f>
        <v>34920.0894688195</v>
      </c>
      <c r="W686" s="14" t="n">
        <f aca="false">M686</f>
        <v>441.06</v>
      </c>
      <c r="X686" s="9" t="n">
        <f aca="false">IF(W686=0,0,IF(O686="Booked",N686,W686*AA685))</f>
        <v>15401854.6611175</v>
      </c>
      <c r="Y686" s="14" t="n">
        <f aca="false">IF(I686="Opening",K686,Y685+K686-W686)</f>
        <v>1016.23</v>
      </c>
      <c r="Z686" s="9" t="n">
        <f aca="false">IF(I686="Opening",L686,Z685+L686-X686)</f>
        <v>35486842.5208985</v>
      </c>
      <c r="AA686" s="9" t="n">
        <f aca="false">IF(Y686&gt;0,Z686/Y686,IF(I686="Opening",0,AA685))</f>
        <v>34920.0894688195</v>
      </c>
      <c r="AB686" s="9" t="n">
        <f aca="false">IF(AND(I686="DO",O686="MA"),S686-N686,0)</f>
        <v>-0.00888245739042759</v>
      </c>
      <c r="AC686" s="9" t="n">
        <f aca="false">IF(I686="DO",X686-S686,0)</f>
        <v>0</v>
      </c>
      <c r="AD686" s="23" t="n">
        <f aca="false">IF(B687&lt;&gt;B686,1,0)</f>
        <v>0</v>
      </c>
      <c r="AE686" s="14" t="n">
        <f aca="false">IF(I686="Opening",0,AE685+W686)</f>
        <v>6939.57</v>
      </c>
      <c r="AF686" s="14" t="n">
        <f aca="false">IF(I686="Opening",K686,AF685)</f>
        <v>4953</v>
      </c>
      <c r="AG686" s="14" t="n">
        <f aca="false">AG685</f>
        <v>11.7</v>
      </c>
      <c r="AH686" s="14" t="n">
        <f aca="false">IF(W686=0,0,MAX(0,MIN(AE686,AF686)-MIN(AE686-W686,AF686)))</f>
        <v>0</v>
      </c>
      <c r="AI686" s="14" t="n">
        <f aca="false">IF(W686=0,0,MAX(0,MIN(AE686,AF686+AG686)-MAX(AE686-W686,AF686)))</f>
        <v>0</v>
      </c>
      <c r="AJ686" s="14" t="n">
        <f aca="false">W686-AH686-AI686</f>
        <v>441.06</v>
      </c>
      <c r="AK686" s="9" t="n">
        <f aca="false">IF(W686=0,0,X686*AH686/W686)</f>
        <v>0</v>
      </c>
      <c r="AL686" s="9" t="n">
        <f aca="false">IF(W686=0,0,X686*AI686/W686)</f>
        <v>0</v>
      </c>
      <c r="AM686" s="9" t="n">
        <f aca="false">X686-AK686-AL686</f>
        <v>15401854.6611175</v>
      </c>
    </row>
    <row r="687" customFormat="false" ht="15" hidden="false" customHeight="false" outlineLevel="0" collapsed="false">
      <c r="A687" s="6" t="n">
        <v>682</v>
      </c>
      <c r="B687" s="74" t="s">
        <v>1014</v>
      </c>
      <c r="C687" s="53" t="str">
        <f aca="false">INDEX(I_Items!$C$5:$C$133,MATCH($B687,I_Items!$A$5:$A$133,0))</f>
        <v>RPA</v>
      </c>
      <c r="D687" s="53" t="str">
        <f aca="false">INDEX(I_Items!$D$5:$D$133,MATCH($B687,I_Items!$A$5:$A$133,0))</f>
        <v>Karkas</v>
      </c>
      <c r="E687" s="53" t="str">
        <f aca="false">INDEX(I_Items!$F$5:$F$133,MATCH($B687,I_Items!$A$5:$A$133,0))</f>
        <v>Frozen</v>
      </c>
      <c r="F687" s="53" t="str">
        <f aca="false">IF(INDEX(I_Items!$E$5:$E$133,MATCH($B687,I_Items!$A$5:$A$133,0))="","",INDEX(I_Items!$E$5:$E$133,MATCH($B687,I_Items!$A$5:$A$133,0)))</f>
        <v>Uk 0.8</v>
      </c>
      <c r="G687" s="76" t="n">
        <v>46263</v>
      </c>
      <c r="H687" s="23" t="n">
        <f aca="false">MONTH(G687)</f>
        <v>8</v>
      </c>
      <c r="I687" s="74" t="s">
        <v>2075</v>
      </c>
      <c r="J687" s="74" t="s">
        <v>2148</v>
      </c>
      <c r="K687" s="10" t="n">
        <v>0</v>
      </c>
      <c r="L687" s="8" t="n">
        <v>0</v>
      </c>
      <c r="M687" s="10" t="n">
        <v>11.7</v>
      </c>
      <c r="N687" s="8" t="n">
        <v>408565.05</v>
      </c>
      <c r="O687" s="74" t="s">
        <v>2077</v>
      </c>
      <c r="P687" s="74"/>
      <c r="Q687" s="74"/>
      <c r="R687" s="14" t="n">
        <f aca="false">IF(I687="Unbilled",0,M687)</f>
        <v>11.7</v>
      </c>
      <c r="S687" s="9" t="n">
        <f aca="false">IF(R687=0,0,IF(O687="Booked",N687,R687*V686))</f>
        <v>408565.046785188</v>
      </c>
      <c r="T687" s="14" t="n">
        <f aca="false">IF(I687="Opening",K687,T686+K687-R687)</f>
        <v>1004.53</v>
      </c>
      <c r="U687" s="9" t="n">
        <f aca="false">IF(I687="Opening",L687,U686+L687-S687)</f>
        <v>35078277.4741133</v>
      </c>
      <c r="V687" s="9" t="n">
        <f aca="false">IF(T687&gt;0,U687/T687,IF(I687="Opening",0,V686))</f>
        <v>34920.0894688195</v>
      </c>
      <c r="W687" s="14" t="n">
        <f aca="false">M687</f>
        <v>11.7</v>
      </c>
      <c r="X687" s="9" t="n">
        <f aca="false">IF(W687=0,0,IF(O687="Booked",N687,W687*AA686))</f>
        <v>408565.046785188</v>
      </c>
      <c r="Y687" s="14" t="n">
        <f aca="false">IF(I687="Opening",K687,Y686+K687-W687)</f>
        <v>1004.53</v>
      </c>
      <c r="Z687" s="9" t="n">
        <f aca="false">IF(I687="Opening",L687,Z686+L687-X687)</f>
        <v>35078277.4741133</v>
      </c>
      <c r="AA687" s="9" t="n">
        <f aca="false">IF(Y687&gt;0,Z687/Y687,IF(I687="Opening",0,AA686))</f>
        <v>34920.0894688195</v>
      </c>
      <c r="AB687" s="9" t="n">
        <f aca="false">IF(AND(I687="DO",O687="MA"),S687-N687,0)</f>
        <v>-0.00321481155697256</v>
      </c>
      <c r="AC687" s="9" t="n">
        <f aca="false">IF(I687="DO",X687-S687,0)</f>
        <v>0</v>
      </c>
      <c r="AD687" s="23" t="n">
        <f aca="false">IF(B688&lt;&gt;B687,1,0)</f>
        <v>0</v>
      </c>
      <c r="AE687" s="14" t="n">
        <f aca="false">IF(I687="Opening",0,AE686+W687)</f>
        <v>6951.27</v>
      </c>
      <c r="AF687" s="14" t="n">
        <f aca="false">IF(I687="Opening",K687,AF686)</f>
        <v>4953</v>
      </c>
      <c r="AG687" s="14" t="n">
        <f aca="false">AG686</f>
        <v>11.7</v>
      </c>
      <c r="AH687" s="14" t="n">
        <f aca="false">IF(W687=0,0,MAX(0,MIN(AE687,AF687)-MIN(AE687-W687,AF687)))</f>
        <v>0</v>
      </c>
      <c r="AI687" s="14" t="n">
        <f aca="false">IF(W687=0,0,MAX(0,MIN(AE687,AF687+AG687)-MAX(AE687-W687,AF687)))</f>
        <v>0</v>
      </c>
      <c r="AJ687" s="14" t="n">
        <f aca="false">W687-AH687-AI687</f>
        <v>11.7</v>
      </c>
      <c r="AK687" s="9" t="n">
        <f aca="false">IF(W687=0,0,X687*AH687/W687)</f>
        <v>0</v>
      </c>
      <c r="AL687" s="9" t="n">
        <f aca="false">IF(W687=0,0,X687*AI687/W687)</f>
        <v>0</v>
      </c>
      <c r="AM687" s="9" t="n">
        <f aca="false">X687-AK687-AL687</f>
        <v>408565.046785188</v>
      </c>
    </row>
    <row r="688" customFormat="false" ht="15" hidden="false" customHeight="false" outlineLevel="0" collapsed="false">
      <c r="A688" s="6" t="n">
        <v>683</v>
      </c>
      <c r="B688" s="74" t="s">
        <v>1014</v>
      </c>
      <c r="C688" s="53" t="str">
        <f aca="false">INDEX(I_Items!$C$5:$C$133,MATCH($B688,I_Items!$A$5:$A$133,0))</f>
        <v>RPA</v>
      </c>
      <c r="D688" s="53" t="str">
        <f aca="false">INDEX(I_Items!$D$5:$D$133,MATCH($B688,I_Items!$A$5:$A$133,0))</f>
        <v>Karkas</v>
      </c>
      <c r="E688" s="53" t="str">
        <f aca="false">INDEX(I_Items!$F$5:$F$133,MATCH($B688,I_Items!$A$5:$A$133,0))</f>
        <v>Frozen</v>
      </c>
      <c r="F688" s="53" t="str">
        <f aca="false">IF(INDEX(I_Items!$E$5:$E$133,MATCH($B688,I_Items!$A$5:$A$133,0))="","",INDEX(I_Items!$E$5:$E$133,MATCH($B688,I_Items!$A$5:$A$133,0)))</f>
        <v>Uk 0.8</v>
      </c>
      <c r="G688" s="76" t="n">
        <v>46265</v>
      </c>
      <c r="H688" s="23" t="n">
        <f aca="false">MONTH(G688)</f>
        <v>8</v>
      </c>
      <c r="I688" s="74" t="s">
        <v>2074</v>
      </c>
      <c r="J688" s="74" t="s">
        <v>1326</v>
      </c>
      <c r="K688" s="10" t="n">
        <v>91.2</v>
      </c>
      <c r="L688" s="8" t="n">
        <v>3360391.39</v>
      </c>
      <c r="M688" s="10" t="n">
        <v>0</v>
      </c>
      <c r="N688" s="8" t="n">
        <v>0</v>
      </c>
      <c r="O688" s="74"/>
      <c r="P688" s="74"/>
      <c r="Q688" s="74"/>
      <c r="R688" s="14" t="n">
        <f aca="false">IF(I688="Unbilled",0,M688)</f>
        <v>0</v>
      </c>
      <c r="S688" s="9" t="n">
        <f aca="false">IF(R688=0,0,IF(O688="Booked",N688,R688*V687))</f>
        <v>0</v>
      </c>
      <c r="T688" s="14" t="n">
        <f aca="false">IF(I688="Opening",K688,T687+K688-R688)</f>
        <v>1095.73</v>
      </c>
      <c r="U688" s="9" t="n">
        <f aca="false">IF(I688="Opening",L688,U687+L688-S688)</f>
        <v>38438668.8641133</v>
      </c>
      <c r="V688" s="9" t="n">
        <f aca="false">IF(T688&gt;0,U688/T688,IF(I688="Opening",0,V687))</f>
        <v>35080.4202350153</v>
      </c>
      <c r="W688" s="14" t="n">
        <f aca="false">M688</f>
        <v>0</v>
      </c>
      <c r="X688" s="9" t="n">
        <f aca="false">IF(W688=0,0,IF(O688="Booked",N688,W688*AA687))</f>
        <v>0</v>
      </c>
      <c r="Y688" s="14" t="n">
        <f aca="false">IF(I688="Opening",K688,Y687+K688-W688)</f>
        <v>1095.73</v>
      </c>
      <c r="Z688" s="9" t="n">
        <f aca="false">IF(I688="Opening",L688,Z687+L688-X688)</f>
        <v>38438668.8641133</v>
      </c>
      <c r="AA688" s="9" t="n">
        <f aca="false">IF(Y688&gt;0,Z688/Y688,IF(I688="Opening",0,AA687))</f>
        <v>35080.4202350153</v>
      </c>
      <c r="AB688" s="9" t="n">
        <f aca="false">IF(AND(I688="DO",O688="MA"),S688-N688,0)</f>
        <v>0</v>
      </c>
      <c r="AC688" s="9" t="n">
        <f aca="false">IF(I688="DO",X688-S688,0)</f>
        <v>0</v>
      </c>
      <c r="AD688" s="23" t="n">
        <f aca="false">IF(B689&lt;&gt;B688,1,0)</f>
        <v>1</v>
      </c>
      <c r="AE688" s="14" t="n">
        <f aca="false">IF(I688="Opening",0,AE687+W688)</f>
        <v>6951.27</v>
      </c>
      <c r="AF688" s="14" t="n">
        <f aca="false">IF(I688="Opening",K688,AF687)</f>
        <v>4953</v>
      </c>
      <c r="AG688" s="14" t="n">
        <f aca="false">AG687</f>
        <v>11.7</v>
      </c>
      <c r="AH688" s="14" t="n">
        <f aca="false">IF(W688=0,0,MAX(0,MIN(AE688,AF688)-MIN(AE688-W688,AF688)))</f>
        <v>0</v>
      </c>
      <c r="AI688" s="14" t="n">
        <f aca="false">IF(W688=0,0,MAX(0,MIN(AE688,AF688+AG688)-MAX(AE688-W688,AF688)))</f>
        <v>0</v>
      </c>
      <c r="AJ688" s="14" t="n">
        <f aca="false">W688-AH688-AI688</f>
        <v>0</v>
      </c>
      <c r="AK688" s="9" t="n">
        <f aca="false">IF(W688=0,0,X688*AH688/W688)</f>
        <v>0</v>
      </c>
      <c r="AL688" s="9" t="n">
        <f aca="false">IF(W688=0,0,X688*AI688/W688)</f>
        <v>0</v>
      </c>
      <c r="AM688" s="9" t="n">
        <f aca="false">X688-AK688-AL688</f>
        <v>0</v>
      </c>
    </row>
    <row r="689" customFormat="false" ht="15" hidden="false" customHeight="false" outlineLevel="0" collapsed="false">
      <c r="A689" s="6" t="n">
        <v>684</v>
      </c>
      <c r="B689" s="74" t="s">
        <v>1015</v>
      </c>
      <c r="C689" s="53" t="str">
        <f aca="false">INDEX(I_Items!$C$5:$C$133,MATCH($B689,I_Items!$A$5:$A$133,0))</f>
        <v>RPA</v>
      </c>
      <c r="D689" s="53" t="str">
        <f aca="false">INDEX(I_Items!$D$5:$D$133,MATCH($B689,I_Items!$A$5:$A$133,0))</f>
        <v>Karkas</v>
      </c>
      <c r="E689" s="53" t="str">
        <f aca="false">INDEX(I_Items!$F$5:$F$133,MATCH($B689,I_Items!$A$5:$A$133,0))</f>
        <v>Frozen</v>
      </c>
      <c r="F689" s="53" t="str">
        <f aca="false">IF(INDEX(I_Items!$E$5:$E$133,MATCH($B689,I_Items!$A$5:$A$133,0))="","",INDEX(I_Items!$E$5:$E$133,MATCH($B689,I_Items!$A$5:$A$133,0)))</f>
        <v>Uk 0.5</v>
      </c>
      <c r="G689" s="76" t="n">
        <v>46204</v>
      </c>
      <c r="H689" s="23" t="n">
        <f aca="false">MONTH(G689)</f>
        <v>7</v>
      </c>
      <c r="I689" s="74" t="s">
        <v>2072</v>
      </c>
      <c r="J689" s="74" t="s">
        <v>2073</v>
      </c>
      <c r="K689" s="10" t="n">
        <v>516.1</v>
      </c>
      <c r="L689" s="8" t="n">
        <v>13148337.93</v>
      </c>
      <c r="M689" s="10" t="n">
        <v>0</v>
      </c>
      <c r="N689" s="8" t="n">
        <v>0</v>
      </c>
      <c r="O689" s="74"/>
      <c r="P689" s="74"/>
      <c r="Q689" s="74"/>
      <c r="R689" s="14" t="n">
        <f aca="false">IF(I689="Unbilled",0,M689)</f>
        <v>0</v>
      </c>
      <c r="S689" s="9" t="n">
        <f aca="false">IF(R689=0,0,IF(O689="Booked",N689,R689*V688))</f>
        <v>0</v>
      </c>
      <c r="T689" s="14" t="n">
        <f aca="false">IF(I689="Opening",K689,T688+K689-R689)</f>
        <v>516.1</v>
      </c>
      <c r="U689" s="9" t="n">
        <f aca="false">IF(I689="Opening",L689,U688+L689-S689)</f>
        <v>13148337.93</v>
      </c>
      <c r="V689" s="9" t="n">
        <f aca="false">IF(T689&gt;0,U689/T689,IF(I689="Opening",0,V688))</f>
        <v>25476.3377833753</v>
      </c>
      <c r="W689" s="14" t="n">
        <f aca="false">M689</f>
        <v>0</v>
      </c>
      <c r="X689" s="9" t="n">
        <f aca="false">IF(W689=0,0,IF(O689="Booked",N689,W689*AA688))</f>
        <v>0</v>
      </c>
      <c r="Y689" s="14" t="n">
        <f aca="false">IF(I689="Opening",K689,Y688+K689-W689)</f>
        <v>516.1</v>
      </c>
      <c r="Z689" s="9" t="n">
        <f aca="false">IF(I689="Opening",L689,Z688+L689-X689)</f>
        <v>13148337.93</v>
      </c>
      <c r="AA689" s="9" t="n">
        <f aca="false">IF(Y689&gt;0,Z689/Y689,IF(I689="Opening",0,AA688))</f>
        <v>25476.3377833753</v>
      </c>
      <c r="AB689" s="9" t="n">
        <f aca="false">IF(AND(I689="DO",O689="MA"),S689-N689,0)</f>
        <v>0</v>
      </c>
      <c r="AC689" s="9" t="n">
        <f aca="false">IF(I689="DO",X689-S689,0)</f>
        <v>0</v>
      </c>
      <c r="AD689" s="23" t="n">
        <f aca="false">IF(B690&lt;&gt;B689,1,0)</f>
        <v>0</v>
      </c>
      <c r="AE689" s="14" t="n">
        <f aca="false">IF(I689="Opening",0,AE688+W689)</f>
        <v>0</v>
      </c>
      <c r="AF689" s="14" t="n">
        <f aca="false">IF(I689="Opening",K689,AF688)</f>
        <v>516.1</v>
      </c>
      <c r="AG689" s="14" t="n">
        <f aca="false">SUMIFS($K$6:$K$1110,$B$6:$B$1110,B689,$H$6:$H$1110,7,$I$6:$I$1110,"&lt;&gt;Opening")</f>
        <v>0</v>
      </c>
      <c r="AH689" s="14" t="n">
        <f aca="false">IF(W689=0,0,MAX(0,MIN(AE689,AF689)-MIN(AE689-W689,AF689)))</f>
        <v>0</v>
      </c>
      <c r="AI689" s="14" t="n">
        <f aca="false">IF(W689=0,0,MAX(0,MIN(AE689,AF689+AG689)-MAX(AE689-W689,AF689)))</f>
        <v>0</v>
      </c>
      <c r="AJ689" s="14" t="n">
        <f aca="false">W689-AH689-AI689</f>
        <v>0</v>
      </c>
      <c r="AK689" s="9" t="n">
        <f aca="false">IF(W689=0,0,X689*AH689/W689)</f>
        <v>0</v>
      </c>
      <c r="AL689" s="9" t="n">
        <f aca="false">IF(W689=0,0,X689*AI689/W689)</f>
        <v>0</v>
      </c>
      <c r="AM689" s="9" t="n">
        <f aca="false">X689-AK689-AL689</f>
        <v>0</v>
      </c>
    </row>
    <row r="690" customFormat="false" ht="15" hidden="false" customHeight="false" outlineLevel="0" collapsed="false">
      <c r="A690" s="6" t="n">
        <v>685</v>
      </c>
      <c r="B690" s="74" t="s">
        <v>1015</v>
      </c>
      <c r="C690" s="53" t="str">
        <f aca="false">INDEX(I_Items!$C$5:$C$133,MATCH($B690,I_Items!$A$5:$A$133,0))</f>
        <v>RPA</v>
      </c>
      <c r="D690" s="53" t="str">
        <f aca="false">INDEX(I_Items!$D$5:$D$133,MATCH($B690,I_Items!$A$5:$A$133,0))</f>
        <v>Karkas</v>
      </c>
      <c r="E690" s="53" t="str">
        <f aca="false">INDEX(I_Items!$F$5:$F$133,MATCH($B690,I_Items!$A$5:$A$133,0))</f>
        <v>Frozen</v>
      </c>
      <c r="F690" s="53" t="str">
        <f aca="false">IF(INDEX(I_Items!$E$5:$E$133,MATCH($B690,I_Items!$A$5:$A$133,0))="","",INDEX(I_Items!$E$5:$E$133,MATCH($B690,I_Items!$A$5:$A$133,0)))</f>
        <v>Uk 0.5</v>
      </c>
      <c r="G690" s="76" t="n">
        <v>46225</v>
      </c>
      <c r="H690" s="23" t="n">
        <f aca="false">MONTH(G690)</f>
        <v>7</v>
      </c>
      <c r="I690" s="74" t="s">
        <v>2075</v>
      </c>
      <c r="J690" s="74" t="s">
        <v>2145</v>
      </c>
      <c r="K690" s="10" t="n">
        <v>0</v>
      </c>
      <c r="L690" s="8" t="n">
        <v>0</v>
      </c>
      <c r="M690" s="10" t="n">
        <v>181.37</v>
      </c>
      <c r="N690" s="8" t="n">
        <v>4620643.39</v>
      </c>
      <c r="O690" s="74" t="s">
        <v>2077</v>
      </c>
      <c r="P690" s="74"/>
      <c r="Q690" s="74"/>
      <c r="R690" s="14" t="n">
        <f aca="false">IF(I690="Unbilled",0,M690)</f>
        <v>181.37</v>
      </c>
      <c r="S690" s="9" t="n">
        <f aca="false">IF(R690=0,0,IF(O690="Booked",N690,R690*V689))</f>
        <v>4620643.38377078</v>
      </c>
      <c r="T690" s="14" t="n">
        <f aca="false">IF(I690="Opening",K690,T689+K690-R690)</f>
        <v>334.73</v>
      </c>
      <c r="U690" s="9" t="n">
        <f aca="false">IF(I690="Opening",L690,U689+L690-S690)</f>
        <v>8527694.54622922</v>
      </c>
      <c r="V690" s="9" t="n">
        <f aca="false">IF(T690&gt;0,U690/T690,IF(I690="Opening",0,V689))</f>
        <v>25476.3377833753</v>
      </c>
      <c r="W690" s="14" t="n">
        <f aca="false">M690</f>
        <v>181.37</v>
      </c>
      <c r="X690" s="9" t="n">
        <f aca="false">IF(W690=0,0,IF(O690="Booked",N690,W690*AA689))</f>
        <v>4620643.38377078</v>
      </c>
      <c r="Y690" s="14" t="n">
        <f aca="false">IF(I690="Opening",K690,Y689+K690-W690)</f>
        <v>334.73</v>
      </c>
      <c r="Z690" s="9" t="n">
        <f aca="false">IF(I690="Opening",L690,Z689+L690-X690)</f>
        <v>8527694.54622922</v>
      </c>
      <c r="AA690" s="9" t="n">
        <f aca="false">IF(Y690&gt;0,Z690/Y690,IF(I690="Opening",0,AA689))</f>
        <v>25476.3377833753</v>
      </c>
      <c r="AB690" s="9" t="n">
        <f aca="false">IF(AND(I690="DO",O690="MA"),S690-N690,0)</f>
        <v>-0.00622921902686358</v>
      </c>
      <c r="AC690" s="9" t="n">
        <f aca="false">IF(I690="DO",X690-S690,0)</f>
        <v>0</v>
      </c>
      <c r="AD690" s="23" t="n">
        <f aca="false">IF(B691&lt;&gt;B690,1,0)</f>
        <v>0</v>
      </c>
      <c r="AE690" s="14" t="n">
        <f aca="false">IF(I690="Opening",0,AE689+W690)</f>
        <v>181.37</v>
      </c>
      <c r="AF690" s="14" t="n">
        <f aca="false">IF(I690="Opening",K690,AF689)</f>
        <v>516.1</v>
      </c>
      <c r="AG690" s="14" t="n">
        <f aca="false">AG689</f>
        <v>0</v>
      </c>
      <c r="AH690" s="14" t="n">
        <f aca="false">IF(W690=0,0,MAX(0,MIN(AE690,AF690)-MIN(AE690-W690,AF690)))</f>
        <v>181.37</v>
      </c>
      <c r="AI690" s="14" t="n">
        <f aca="false">IF(W690=0,0,MAX(0,MIN(AE690,AF690+AG690)-MAX(AE690-W690,AF690)))</f>
        <v>0</v>
      </c>
      <c r="AJ690" s="14" t="n">
        <f aca="false">W690-AH690-AI690</f>
        <v>0</v>
      </c>
      <c r="AK690" s="9" t="n">
        <f aca="false">IF(W690=0,0,X690*AH690/W690)</f>
        <v>4620643.38377078</v>
      </c>
      <c r="AL690" s="9" t="n">
        <f aca="false">IF(W690=0,0,X690*AI690/W690)</f>
        <v>0</v>
      </c>
      <c r="AM690" s="9" t="n">
        <f aca="false">X690-AK690-AL690</f>
        <v>0</v>
      </c>
    </row>
    <row r="691" customFormat="false" ht="15" hidden="false" customHeight="false" outlineLevel="0" collapsed="false">
      <c r="A691" s="6" t="n">
        <v>686</v>
      </c>
      <c r="B691" s="74" t="s">
        <v>1015</v>
      </c>
      <c r="C691" s="53" t="str">
        <f aca="false">INDEX(I_Items!$C$5:$C$133,MATCH($B691,I_Items!$A$5:$A$133,0))</f>
        <v>RPA</v>
      </c>
      <c r="D691" s="53" t="str">
        <f aca="false">INDEX(I_Items!$D$5:$D$133,MATCH($B691,I_Items!$A$5:$A$133,0))</f>
        <v>Karkas</v>
      </c>
      <c r="E691" s="53" t="str">
        <f aca="false">INDEX(I_Items!$F$5:$F$133,MATCH($B691,I_Items!$A$5:$A$133,0))</f>
        <v>Frozen</v>
      </c>
      <c r="F691" s="53" t="str">
        <f aca="false">IF(INDEX(I_Items!$E$5:$E$133,MATCH($B691,I_Items!$A$5:$A$133,0))="","",INDEX(I_Items!$E$5:$E$133,MATCH($B691,I_Items!$A$5:$A$133,0)))</f>
        <v>Uk 0.5</v>
      </c>
      <c r="G691" s="76" t="n">
        <v>46255</v>
      </c>
      <c r="H691" s="23" t="n">
        <f aca="false">MONTH(G691)</f>
        <v>8</v>
      </c>
      <c r="I691" s="74" t="s">
        <v>2074</v>
      </c>
      <c r="J691" s="74" t="s">
        <v>1311</v>
      </c>
      <c r="K691" s="10" t="n">
        <v>7.2</v>
      </c>
      <c r="L691" s="8" t="n">
        <v>275152.47</v>
      </c>
      <c r="M691" s="10" t="n">
        <v>0</v>
      </c>
      <c r="N691" s="8" t="n">
        <v>0</v>
      </c>
      <c r="O691" s="74"/>
      <c r="P691" s="74"/>
      <c r="Q691" s="74"/>
      <c r="R691" s="14" t="n">
        <f aca="false">IF(I691="Unbilled",0,M691)</f>
        <v>0</v>
      </c>
      <c r="S691" s="9" t="n">
        <f aca="false">IF(R691=0,0,IF(O691="Booked",N691,R691*V690))</f>
        <v>0</v>
      </c>
      <c r="T691" s="14" t="n">
        <f aca="false">IF(I691="Opening",K691,T690+K691-R691)</f>
        <v>341.93</v>
      </c>
      <c r="U691" s="9" t="n">
        <f aca="false">IF(I691="Opening",L691,U690+L691-S691)</f>
        <v>8802847.01622922</v>
      </c>
      <c r="V691" s="9" t="n">
        <f aca="false">IF(T691&gt;0,U691/T691,IF(I691="Opening",0,V690))</f>
        <v>25744.5881210459</v>
      </c>
      <c r="W691" s="14" t="n">
        <f aca="false">M691</f>
        <v>0</v>
      </c>
      <c r="X691" s="9" t="n">
        <f aca="false">IF(W691=0,0,IF(O691="Booked",N691,W691*AA690))</f>
        <v>0</v>
      </c>
      <c r="Y691" s="14" t="n">
        <f aca="false">IF(I691="Opening",K691,Y690+K691-W691)</f>
        <v>341.93</v>
      </c>
      <c r="Z691" s="9" t="n">
        <f aca="false">IF(I691="Opening",L691,Z690+L691-X691)</f>
        <v>8802847.01622922</v>
      </c>
      <c r="AA691" s="9" t="n">
        <f aca="false">IF(Y691&gt;0,Z691/Y691,IF(I691="Opening",0,AA690))</f>
        <v>25744.5881210459</v>
      </c>
      <c r="AB691" s="9" t="n">
        <f aca="false">IF(AND(I691="DO",O691="MA"),S691-N691,0)</f>
        <v>0</v>
      </c>
      <c r="AC691" s="9" t="n">
        <f aca="false">IF(I691="DO",X691-S691,0)</f>
        <v>0</v>
      </c>
      <c r="AD691" s="23" t="n">
        <f aca="false">IF(B692&lt;&gt;B691,1,0)</f>
        <v>1</v>
      </c>
      <c r="AE691" s="14" t="n">
        <f aca="false">IF(I691="Opening",0,AE690+W691)</f>
        <v>181.37</v>
      </c>
      <c r="AF691" s="14" t="n">
        <f aca="false">IF(I691="Opening",K691,AF690)</f>
        <v>516.1</v>
      </c>
      <c r="AG691" s="14" t="n">
        <f aca="false">AG690</f>
        <v>0</v>
      </c>
      <c r="AH691" s="14" t="n">
        <f aca="false">IF(W691=0,0,MAX(0,MIN(AE691,AF691)-MIN(AE691-W691,AF691)))</f>
        <v>0</v>
      </c>
      <c r="AI691" s="14" t="n">
        <f aca="false">IF(W691=0,0,MAX(0,MIN(AE691,AF691+AG691)-MAX(AE691-W691,AF691)))</f>
        <v>0</v>
      </c>
      <c r="AJ691" s="14" t="n">
        <f aca="false">W691-AH691-AI691</f>
        <v>0</v>
      </c>
      <c r="AK691" s="9" t="n">
        <f aca="false">IF(W691=0,0,X691*AH691/W691)</f>
        <v>0</v>
      </c>
      <c r="AL691" s="9" t="n">
        <f aca="false">IF(W691=0,0,X691*AI691/W691)</f>
        <v>0</v>
      </c>
      <c r="AM691" s="9" t="n">
        <f aca="false">X691-AK691-AL691</f>
        <v>0</v>
      </c>
    </row>
    <row r="692" customFormat="false" ht="15" hidden="false" customHeight="false" outlineLevel="0" collapsed="false">
      <c r="A692" s="6" t="n">
        <v>687</v>
      </c>
      <c r="B692" s="74" t="s">
        <v>1016</v>
      </c>
      <c r="C692" s="53" t="str">
        <f aca="false">INDEX(I_Items!$C$5:$C$133,MATCH($B692,I_Items!$A$5:$A$133,0))</f>
        <v>RPA</v>
      </c>
      <c r="D692" s="53" t="str">
        <f aca="false">INDEX(I_Items!$D$5:$D$133,MATCH($B692,I_Items!$A$5:$A$133,0))</f>
        <v>Karkas</v>
      </c>
      <c r="E692" s="53" t="str">
        <f aca="false">INDEX(I_Items!$F$5:$F$133,MATCH($B692,I_Items!$A$5:$A$133,0))</f>
        <v>Frozen</v>
      </c>
      <c r="F692" s="53" t="str">
        <f aca="false">IF(INDEX(I_Items!$E$5:$E$133,MATCH($B692,I_Items!$A$5:$A$133,0))="","",INDEX(I_Items!$E$5:$E$133,MATCH($B692,I_Items!$A$5:$A$133,0)))</f>
        <v>Uk 0.6</v>
      </c>
      <c r="G692" s="76" t="n">
        <v>46204</v>
      </c>
      <c r="H692" s="23" t="n">
        <f aca="false">MONTH(G692)</f>
        <v>7</v>
      </c>
      <c r="I692" s="74" t="s">
        <v>2072</v>
      </c>
      <c r="J692" s="74" t="s">
        <v>2073</v>
      </c>
      <c r="K692" s="10" t="n">
        <v>1222.1</v>
      </c>
      <c r="L692" s="8" t="n">
        <v>31305514.67</v>
      </c>
      <c r="M692" s="10" t="n">
        <v>0</v>
      </c>
      <c r="N692" s="8" t="n">
        <v>0</v>
      </c>
      <c r="O692" s="74"/>
      <c r="P692" s="74"/>
      <c r="Q692" s="74"/>
      <c r="R692" s="14" t="n">
        <f aca="false">IF(I692="Unbilled",0,M692)</f>
        <v>0</v>
      </c>
      <c r="S692" s="9" t="n">
        <f aca="false">IF(R692=0,0,IF(O692="Booked",N692,R692*V691))</f>
        <v>0</v>
      </c>
      <c r="T692" s="14" t="n">
        <f aca="false">IF(I692="Opening",K692,T691+K692-R692)</f>
        <v>1222.1</v>
      </c>
      <c r="U692" s="9" t="n">
        <f aca="false">IF(I692="Opening",L692,U691+L692-S692)</f>
        <v>31305514.67</v>
      </c>
      <c r="V692" s="9" t="n">
        <f aca="false">IF(T692&gt;0,U692/T692,IF(I692="Opening",0,V691))</f>
        <v>25616.164528271</v>
      </c>
      <c r="W692" s="14" t="n">
        <f aca="false">M692</f>
        <v>0</v>
      </c>
      <c r="X692" s="9" t="n">
        <f aca="false">IF(W692=0,0,IF(O692="Booked",N692,W692*AA691))</f>
        <v>0</v>
      </c>
      <c r="Y692" s="14" t="n">
        <f aca="false">IF(I692="Opening",K692,Y691+K692-W692)</f>
        <v>1222.1</v>
      </c>
      <c r="Z692" s="9" t="n">
        <f aca="false">IF(I692="Opening",L692,Z691+L692-X692)</f>
        <v>31305514.67</v>
      </c>
      <c r="AA692" s="9" t="n">
        <f aca="false">IF(Y692&gt;0,Z692/Y692,IF(I692="Opening",0,AA691))</f>
        <v>25616.164528271</v>
      </c>
      <c r="AB692" s="9" t="n">
        <f aca="false">IF(AND(I692="DO",O692="MA"),S692-N692,0)</f>
        <v>0</v>
      </c>
      <c r="AC692" s="9" t="n">
        <f aca="false">IF(I692="DO",X692-S692,0)</f>
        <v>0</v>
      </c>
      <c r="AD692" s="23" t="n">
        <f aca="false">IF(B693&lt;&gt;B692,1,0)</f>
        <v>0</v>
      </c>
      <c r="AE692" s="14" t="n">
        <f aca="false">IF(I692="Opening",0,AE691+W692)</f>
        <v>0</v>
      </c>
      <c r="AF692" s="14" t="n">
        <f aca="false">IF(I692="Opening",K692,AF691)</f>
        <v>1222.1</v>
      </c>
      <c r="AG692" s="14" t="n">
        <f aca="false">SUMIFS($K$6:$K$1110,$B$6:$B$1110,B692,$H$6:$H$1110,7,$I$6:$I$1110,"&lt;&gt;Opening")</f>
        <v>0</v>
      </c>
      <c r="AH692" s="14" t="n">
        <f aca="false">IF(W692=0,0,MAX(0,MIN(AE692,AF692)-MIN(AE692-W692,AF692)))</f>
        <v>0</v>
      </c>
      <c r="AI692" s="14" t="n">
        <f aca="false">IF(W692=0,0,MAX(0,MIN(AE692,AF692+AG692)-MAX(AE692-W692,AF692)))</f>
        <v>0</v>
      </c>
      <c r="AJ692" s="14" t="n">
        <f aca="false">W692-AH692-AI692</f>
        <v>0</v>
      </c>
      <c r="AK692" s="9" t="n">
        <f aca="false">IF(W692=0,0,X692*AH692/W692)</f>
        <v>0</v>
      </c>
      <c r="AL692" s="9" t="n">
        <f aca="false">IF(W692=0,0,X692*AI692/W692)</f>
        <v>0</v>
      </c>
      <c r="AM692" s="9" t="n">
        <f aca="false">X692-AK692-AL692</f>
        <v>0</v>
      </c>
    </row>
    <row r="693" customFormat="false" ht="15" hidden="false" customHeight="false" outlineLevel="0" collapsed="false">
      <c r="A693" s="6" t="n">
        <v>688</v>
      </c>
      <c r="B693" s="74" t="s">
        <v>1016</v>
      </c>
      <c r="C693" s="53" t="str">
        <f aca="false">INDEX(I_Items!$C$5:$C$133,MATCH($B693,I_Items!$A$5:$A$133,0))</f>
        <v>RPA</v>
      </c>
      <c r="D693" s="53" t="str">
        <f aca="false">INDEX(I_Items!$D$5:$D$133,MATCH($B693,I_Items!$A$5:$A$133,0))</f>
        <v>Karkas</v>
      </c>
      <c r="E693" s="53" t="str">
        <f aca="false">INDEX(I_Items!$F$5:$F$133,MATCH($B693,I_Items!$A$5:$A$133,0))</f>
        <v>Frozen</v>
      </c>
      <c r="F693" s="53" t="str">
        <f aca="false">IF(INDEX(I_Items!$E$5:$E$133,MATCH($B693,I_Items!$A$5:$A$133,0))="","",INDEX(I_Items!$E$5:$E$133,MATCH($B693,I_Items!$A$5:$A$133,0)))</f>
        <v>Uk 0.6</v>
      </c>
      <c r="G693" s="76" t="n">
        <v>46241</v>
      </c>
      <c r="H693" s="23" t="n">
        <f aca="false">MONTH(G693)</f>
        <v>8</v>
      </c>
      <c r="I693" s="74" t="s">
        <v>2074</v>
      </c>
      <c r="J693" s="74" t="s">
        <v>1290</v>
      </c>
      <c r="K693" s="10" t="n">
        <v>4.6</v>
      </c>
      <c r="L693" s="8" t="n">
        <v>175339.99</v>
      </c>
      <c r="M693" s="10" t="n">
        <v>0</v>
      </c>
      <c r="N693" s="8" t="n">
        <v>0</v>
      </c>
      <c r="O693" s="74"/>
      <c r="P693" s="74"/>
      <c r="Q693" s="74"/>
      <c r="R693" s="14" t="n">
        <f aca="false">IF(I693="Unbilled",0,M693)</f>
        <v>0</v>
      </c>
      <c r="S693" s="9" t="n">
        <f aca="false">IF(R693=0,0,IF(O693="Booked",N693,R693*V692))</f>
        <v>0</v>
      </c>
      <c r="T693" s="14" t="n">
        <f aca="false">IF(I693="Opening",K693,T692+K693-R693)</f>
        <v>1226.7</v>
      </c>
      <c r="U693" s="9" t="n">
        <f aca="false">IF(I693="Opening",L693,U692+L693-S693)</f>
        <v>31480854.66</v>
      </c>
      <c r="V693" s="9" t="n">
        <f aca="false">IF(T693&gt;0,U693/T693,IF(I693="Opening",0,V692))</f>
        <v>25663.0428466618</v>
      </c>
      <c r="W693" s="14" t="n">
        <f aca="false">M693</f>
        <v>0</v>
      </c>
      <c r="X693" s="9" t="n">
        <f aca="false">IF(W693=0,0,IF(O693="Booked",N693,W693*AA692))</f>
        <v>0</v>
      </c>
      <c r="Y693" s="14" t="n">
        <f aca="false">IF(I693="Opening",K693,Y692+K693-W693)</f>
        <v>1226.7</v>
      </c>
      <c r="Z693" s="9" t="n">
        <f aca="false">IF(I693="Opening",L693,Z692+L693-X693)</f>
        <v>31480854.66</v>
      </c>
      <c r="AA693" s="9" t="n">
        <f aca="false">IF(Y693&gt;0,Z693/Y693,IF(I693="Opening",0,AA692))</f>
        <v>25663.0428466618</v>
      </c>
      <c r="AB693" s="9" t="n">
        <f aca="false">IF(AND(I693="DO",O693="MA"),S693-N693,0)</f>
        <v>0</v>
      </c>
      <c r="AC693" s="9" t="n">
        <f aca="false">IF(I693="DO",X693-S693,0)</f>
        <v>0</v>
      </c>
      <c r="AD693" s="23" t="n">
        <f aca="false">IF(B694&lt;&gt;B693,1,0)</f>
        <v>0</v>
      </c>
      <c r="AE693" s="14" t="n">
        <f aca="false">IF(I693="Opening",0,AE692+W693)</f>
        <v>0</v>
      </c>
      <c r="AF693" s="14" t="n">
        <f aca="false">IF(I693="Opening",K693,AF692)</f>
        <v>1222.1</v>
      </c>
      <c r="AG693" s="14" t="n">
        <f aca="false">AG692</f>
        <v>0</v>
      </c>
      <c r="AH693" s="14" t="n">
        <f aca="false">IF(W693=0,0,MAX(0,MIN(AE693,AF693)-MIN(AE693-W693,AF693)))</f>
        <v>0</v>
      </c>
      <c r="AI693" s="14" t="n">
        <f aca="false">IF(W693=0,0,MAX(0,MIN(AE693,AF693+AG693)-MAX(AE693-W693,AF693)))</f>
        <v>0</v>
      </c>
      <c r="AJ693" s="14" t="n">
        <f aca="false">W693-AH693-AI693</f>
        <v>0</v>
      </c>
      <c r="AK693" s="9" t="n">
        <f aca="false">IF(W693=0,0,X693*AH693/W693)</f>
        <v>0</v>
      </c>
      <c r="AL693" s="9" t="n">
        <f aca="false">IF(W693=0,0,X693*AI693/W693)</f>
        <v>0</v>
      </c>
      <c r="AM693" s="9" t="n">
        <f aca="false">X693-AK693-AL693</f>
        <v>0</v>
      </c>
    </row>
    <row r="694" customFormat="false" ht="15" hidden="false" customHeight="false" outlineLevel="0" collapsed="false">
      <c r="A694" s="6" t="n">
        <v>689</v>
      </c>
      <c r="B694" s="74" t="s">
        <v>1016</v>
      </c>
      <c r="C694" s="53" t="str">
        <f aca="false">INDEX(I_Items!$C$5:$C$133,MATCH($B694,I_Items!$A$5:$A$133,0))</f>
        <v>RPA</v>
      </c>
      <c r="D694" s="53" t="str">
        <f aca="false">INDEX(I_Items!$D$5:$D$133,MATCH($B694,I_Items!$A$5:$A$133,0))</f>
        <v>Karkas</v>
      </c>
      <c r="E694" s="53" t="str">
        <f aca="false">INDEX(I_Items!$F$5:$F$133,MATCH($B694,I_Items!$A$5:$A$133,0))</f>
        <v>Frozen</v>
      </c>
      <c r="F694" s="53" t="str">
        <f aca="false">IF(INDEX(I_Items!$E$5:$E$133,MATCH($B694,I_Items!$A$5:$A$133,0))="","",INDEX(I_Items!$E$5:$E$133,MATCH($B694,I_Items!$A$5:$A$133,0)))</f>
        <v>Uk 0.6</v>
      </c>
      <c r="G694" s="76" t="n">
        <v>46244</v>
      </c>
      <c r="H694" s="23" t="n">
        <f aca="false">MONTH(G694)</f>
        <v>8</v>
      </c>
      <c r="I694" s="74" t="s">
        <v>2074</v>
      </c>
      <c r="J694" s="74" t="s">
        <v>1294</v>
      </c>
      <c r="K694" s="10" t="n">
        <v>26.9</v>
      </c>
      <c r="L694" s="8" t="n">
        <v>965124.27</v>
      </c>
      <c r="M694" s="10" t="n">
        <v>0</v>
      </c>
      <c r="N694" s="8" t="n">
        <v>0</v>
      </c>
      <c r="O694" s="74"/>
      <c r="P694" s="74"/>
      <c r="Q694" s="74"/>
      <c r="R694" s="14" t="n">
        <f aca="false">IF(I694="Unbilled",0,M694)</f>
        <v>0</v>
      </c>
      <c r="S694" s="9" t="n">
        <f aca="false">IF(R694=0,0,IF(O694="Booked",N694,R694*V693))</f>
        <v>0</v>
      </c>
      <c r="T694" s="14" t="n">
        <f aca="false">IF(I694="Opening",K694,T693+K694-R694)</f>
        <v>1253.6</v>
      </c>
      <c r="U694" s="9" t="n">
        <f aca="false">IF(I694="Opening",L694,U693+L694-S694)</f>
        <v>32445978.93</v>
      </c>
      <c r="V694" s="9" t="n">
        <f aca="false">IF(T694&gt;0,U694/T694,IF(I694="Opening",0,V693))</f>
        <v>25882.2422862157</v>
      </c>
      <c r="W694" s="14" t="n">
        <f aca="false">M694</f>
        <v>0</v>
      </c>
      <c r="X694" s="9" t="n">
        <f aca="false">IF(W694=0,0,IF(O694="Booked",N694,W694*AA693))</f>
        <v>0</v>
      </c>
      <c r="Y694" s="14" t="n">
        <f aca="false">IF(I694="Opening",K694,Y693+K694-W694)</f>
        <v>1253.6</v>
      </c>
      <c r="Z694" s="9" t="n">
        <f aca="false">IF(I694="Opening",L694,Z693+L694-X694)</f>
        <v>32445978.93</v>
      </c>
      <c r="AA694" s="9" t="n">
        <f aca="false">IF(Y694&gt;0,Z694/Y694,IF(I694="Opening",0,AA693))</f>
        <v>25882.2422862157</v>
      </c>
      <c r="AB694" s="9" t="n">
        <f aca="false">IF(AND(I694="DO",O694="MA"),S694-N694,0)</f>
        <v>0</v>
      </c>
      <c r="AC694" s="9" t="n">
        <f aca="false">IF(I694="DO",X694-S694,0)</f>
        <v>0</v>
      </c>
      <c r="AD694" s="23" t="n">
        <f aca="false">IF(B695&lt;&gt;B694,1,0)</f>
        <v>0</v>
      </c>
      <c r="AE694" s="14" t="n">
        <f aca="false">IF(I694="Opening",0,AE693+W694)</f>
        <v>0</v>
      </c>
      <c r="AF694" s="14" t="n">
        <f aca="false">IF(I694="Opening",K694,AF693)</f>
        <v>1222.1</v>
      </c>
      <c r="AG694" s="14" t="n">
        <f aca="false">AG693</f>
        <v>0</v>
      </c>
      <c r="AH694" s="14" t="n">
        <f aca="false">IF(W694=0,0,MAX(0,MIN(AE694,AF694)-MIN(AE694-W694,AF694)))</f>
        <v>0</v>
      </c>
      <c r="AI694" s="14" t="n">
        <f aca="false">IF(W694=0,0,MAX(0,MIN(AE694,AF694+AG694)-MAX(AE694-W694,AF694)))</f>
        <v>0</v>
      </c>
      <c r="AJ694" s="14" t="n">
        <f aca="false">W694-AH694-AI694</f>
        <v>0</v>
      </c>
      <c r="AK694" s="9" t="n">
        <f aca="false">IF(W694=0,0,X694*AH694/W694)</f>
        <v>0</v>
      </c>
      <c r="AL694" s="9" t="n">
        <f aca="false">IF(W694=0,0,X694*AI694/W694)</f>
        <v>0</v>
      </c>
      <c r="AM694" s="9" t="n">
        <f aca="false">X694-AK694-AL694</f>
        <v>0</v>
      </c>
    </row>
    <row r="695" customFormat="false" ht="15" hidden="false" customHeight="false" outlineLevel="0" collapsed="false">
      <c r="A695" s="6" t="n">
        <v>690</v>
      </c>
      <c r="B695" s="74" t="s">
        <v>1016</v>
      </c>
      <c r="C695" s="53" t="str">
        <f aca="false">INDEX(I_Items!$C$5:$C$133,MATCH($B695,I_Items!$A$5:$A$133,0))</f>
        <v>RPA</v>
      </c>
      <c r="D695" s="53" t="str">
        <f aca="false">INDEX(I_Items!$D$5:$D$133,MATCH($B695,I_Items!$A$5:$A$133,0))</f>
        <v>Karkas</v>
      </c>
      <c r="E695" s="53" t="str">
        <f aca="false">INDEX(I_Items!$F$5:$F$133,MATCH($B695,I_Items!$A$5:$A$133,0))</f>
        <v>Frozen</v>
      </c>
      <c r="F695" s="53" t="str">
        <f aca="false">IF(INDEX(I_Items!$E$5:$E$133,MATCH($B695,I_Items!$A$5:$A$133,0))="","",INDEX(I_Items!$E$5:$E$133,MATCH($B695,I_Items!$A$5:$A$133,0)))</f>
        <v>Uk 0.6</v>
      </c>
      <c r="G695" s="76" t="n">
        <v>46252</v>
      </c>
      <c r="H695" s="23" t="n">
        <f aca="false">MONTH(G695)</f>
        <v>8</v>
      </c>
      <c r="I695" s="74" t="s">
        <v>2075</v>
      </c>
      <c r="J695" s="74" t="s">
        <v>2177</v>
      </c>
      <c r="K695" s="10" t="n">
        <v>0</v>
      </c>
      <c r="L695" s="8" t="n">
        <v>0</v>
      </c>
      <c r="M695" s="10" t="n">
        <v>92.2</v>
      </c>
      <c r="N695" s="8" t="n">
        <v>2386342.74</v>
      </c>
      <c r="O695" s="74" t="s">
        <v>2077</v>
      </c>
      <c r="P695" s="74"/>
      <c r="Q695" s="74"/>
      <c r="R695" s="14" t="n">
        <f aca="false">IF(I695="Unbilled",0,M695)</f>
        <v>92.2</v>
      </c>
      <c r="S695" s="9" t="n">
        <f aca="false">IF(R695=0,0,IF(O695="Booked",N695,R695*V694))</f>
        <v>2386342.73878909</v>
      </c>
      <c r="T695" s="14" t="n">
        <f aca="false">IF(I695="Opening",K695,T694+K695-R695)</f>
        <v>1161.4</v>
      </c>
      <c r="U695" s="9" t="n">
        <f aca="false">IF(I695="Opening",L695,U694+L695-S695)</f>
        <v>30059636.1912109</v>
      </c>
      <c r="V695" s="9" t="n">
        <f aca="false">IF(T695&gt;0,U695/T695,IF(I695="Opening",0,V694))</f>
        <v>25882.2422862157</v>
      </c>
      <c r="W695" s="14" t="n">
        <f aca="false">M695</f>
        <v>92.2</v>
      </c>
      <c r="X695" s="9" t="n">
        <f aca="false">IF(W695=0,0,IF(O695="Booked",N695,W695*AA694))</f>
        <v>2386342.73878909</v>
      </c>
      <c r="Y695" s="14" t="n">
        <f aca="false">IF(I695="Opening",K695,Y694+K695-W695)</f>
        <v>1161.4</v>
      </c>
      <c r="Z695" s="9" t="n">
        <f aca="false">IF(I695="Opening",L695,Z694+L695-X695)</f>
        <v>30059636.1912109</v>
      </c>
      <c r="AA695" s="9" t="n">
        <f aca="false">IF(Y695&gt;0,Z695/Y695,IF(I695="Opening",0,AA694))</f>
        <v>25882.2422862157</v>
      </c>
      <c r="AB695" s="9" t="n">
        <f aca="false">IF(AND(I695="DO",O695="MA"),S695-N695,0)</f>
        <v>-0.00121091259643435</v>
      </c>
      <c r="AC695" s="9" t="n">
        <f aca="false">IF(I695="DO",X695-S695,0)</f>
        <v>0</v>
      </c>
      <c r="AD695" s="23" t="n">
        <f aca="false">IF(B696&lt;&gt;B695,1,0)</f>
        <v>0</v>
      </c>
      <c r="AE695" s="14" t="n">
        <f aca="false">IF(I695="Opening",0,AE694+W695)</f>
        <v>92.2</v>
      </c>
      <c r="AF695" s="14" t="n">
        <f aca="false">IF(I695="Opening",K695,AF694)</f>
        <v>1222.1</v>
      </c>
      <c r="AG695" s="14" t="n">
        <f aca="false">AG694</f>
        <v>0</v>
      </c>
      <c r="AH695" s="14" t="n">
        <f aca="false">IF(W695=0,0,MAX(0,MIN(AE695,AF695)-MIN(AE695-W695,AF695)))</f>
        <v>92.2</v>
      </c>
      <c r="AI695" s="14" t="n">
        <f aca="false">IF(W695=0,0,MAX(0,MIN(AE695,AF695+AG695)-MAX(AE695-W695,AF695)))</f>
        <v>0</v>
      </c>
      <c r="AJ695" s="14" t="n">
        <f aca="false">W695-AH695-AI695</f>
        <v>0</v>
      </c>
      <c r="AK695" s="9" t="n">
        <f aca="false">IF(W695=0,0,X695*AH695/W695)</f>
        <v>2386342.73878909</v>
      </c>
      <c r="AL695" s="9" t="n">
        <f aca="false">IF(W695=0,0,X695*AI695/W695)</f>
        <v>0</v>
      </c>
      <c r="AM695" s="9" t="n">
        <f aca="false">X695-AK695-AL695</f>
        <v>0</v>
      </c>
    </row>
    <row r="696" customFormat="false" ht="15" hidden="false" customHeight="false" outlineLevel="0" collapsed="false">
      <c r="A696" s="6" t="n">
        <v>691</v>
      </c>
      <c r="B696" s="74" t="s">
        <v>1016</v>
      </c>
      <c r="C696" s="53" t="str">
        <f aca="false">INDEX(I_Items!$C$5:$C$133,MATCH($B696,I_Items!$A$5:$A$133,0))</f>
        <v>RPA</v>
      </c>
      <c r="D696" s="53" t="str">
        <f aca="false">INDEX(I_Items!$D$5:$D$133,MATCH($B696,I_Items!$A$5:$A$133,0))</f>
        <v>Karkas</v>
      </c>
      <c r="E696" s="53" t="str">
        <f aca="false">INDEX(I_Items!$F$5:$F$133,MATCH($B696,I_Items!$A$5:$A$133,0))</f>
        <v>Frozen</v>
      </c>
      <c r="F696" s="53" t="str">
        <f aca="false">IF(INDEX(I_Items!$E$5:$E$133,MATCH($B696,I_Items!$A$5:$A$133,0))="","",INDEX(I_Items!$E$5:$E$133,MATCH($B696,I_Items!$A$5:$A$133,0)))</f>
        <v>Uk 0.6</v>
      </c>
      <c r="G696" s="76" t="n">
        <v>46252</v>
      </c>
      <c r="H696" s="23" t="n">
        <f aca="false">MONTH(G696)</f>
        <v>8</v>
      </c>
      <c r="I696" s="74" t="s">
        <v>2075</v>
      </c>
      <c r="J696" s="74" t="s">
        <v>2178</v>
      </c>
      <c r="K696" s="10" t="n">
        <v>0</v>
      </c>
      <c r="L696" s="8" t="n">
        <v>0</v>
      </c>
      <c r="M696" s="10" t="n">
        <v>912.6</v>
      </c>
      <c r="N696" s="8" t="n">
        <v>23620134.32</v>
      </c>
      <c r="O696" s="74" t="s">
        <v>2077</v>
      </c>
      <c r="P696" s="74"/>
      <c r="Q696" s="74"/>
      <c r="R696" s="14" t="n">
        <f aca="false">IF(I696="Unbilled",0,M696)</f>
        <v>912.6</v>
      </c>
      <c r="S696" s="9" t="n">
        <f aca="false">IF(R696=0,0,IF(O696="Booked",N696,R696*V695))</f>
        <v>23620134.3104005</v>
      </c>
      <c r="T696" s="14" t="n">
        <f aca="false">IF(I696="Opening",K696,T695+K696-R696)</f>
        <v>248.8</v>
      </c>
      <c r="U696" s="9" t="n">
        <f aca="false">IF(I696="Opening",L696,U695+L696-S696)</f>
        <v>6439501.88081046</v>
      </c>
      <c r="V696" s="9" t="n">
        <f aca="false">IF(T696&gt;0,U696/T696,IF(I696="Opening",0,V695))</f>
        <v>25882.2422862157</v>
      </c>
      <c r="W696" s="14" t="n">
        <f aca="false">M696</f>
        <v>912.6</v>
      </c>
      <c r="X696" s="9" t="n">
        <f aca="false">IF(W696=0,0,IF(O696="Booked",N696,W696*AA695))</f>
        <v>23620134.3104005</v>
      </c>
      <c r="Y696" s="14" t="n">
        <f aca="false">IF(I696="Opening",K696,Y695+K696-W696)</f>
        <v>248.8</v>
      </c>
      <c r="Z696" s="9" t="n">
        <f aca="false">IF(I696="Opening",L696,Z695+L696-X696)</f>
        <v>6439501.88081046</v>
      </c>
      <c r="AA696" s="9" t="n">
        <f aca="false">IF(Y696&gt;0,Z696/Y696,IF(I696="Opening",0,AA695))</f>
        <v>25882.2422862157</v>
      </c>
      <c r="AB696" s="9" t="n">
        <f aca="false">IF(AND(I696="DO",O696="MA"),S696-N696,0)</f>
        <v>-0.00959955155849457</v>
      </c>
      <c r="AC696" s="9" t="n">
        <f aca="false">IF(I696="DO",X696-S696,0)</f>
        <v>0</v>
      </c>
      <c r="AD696" s="23" t="n">
        <f aca="false">IF(B697&lt;&gt;B696,1,0)</f>
        <v>0</v>
      </c>
      <c r="AE696" s="14" t="n">
        <f aca="false">IF(I696="Opening",0,AE695+W696)</f>
        <v>1004.8</v>
      </c>
      <c r="AF696" s="14" t="n">
        <f aca="false">IF(I696="Opening",K696,AF695)</f>
        <v>1222.1</v>
      </c>
      <c r="AG696" s="14" t="n">
        <f aca="false">AG695</f>
        <v>0</v>
      </c>
      <c r="AH696" s="14" t="n">
        <f aca="false">IF(W696=0,0,MAX(0,MIN(AE696,AF696)-MIN(AE696-W696,AF696)))</f>
        <v>912.6</v>
      </c>
      <c r="AI696" s="14" t="n">
        <f aca="false">IF(W696=0,0,MAX(0,MIN(AE696,AF696+AG696)-MAX(AE696-W696,AF696)))</f>
        <v>0</v>
      </c>
      <c r="AJ696" s="14" t="n">
        <f aca="false">W696-AH696-AI696</f>
        <v>0</v>
      </c>
      <c r="AK696" s="9" t="n">
        <f aca="false">IF(W696=0,0,X696*AH696/W696)</f>
        <v>23620134.3104005</v>
      </c>
      <c r="AL696" s="9" t="n">
        <f aca="false">IF(W696=0,0,X696*AI696/W696)</f>
        <v>0</v>
      </c>
      <c r="AM696" s="9" t="n">
        <f aca="false">X696-AK696-AL696</f>
        <v>0</v>
      </c>
    </row>
    <row r="697" customFormat="false" ht="15" hidden="false" customHeight="false" outlineLevel="0" collapsed="false">
      <c r="A697" s="6" t="n">
        <v>692</v>
      </c>
      <c r="B697" s="74" t="s">
        <v>1016</v>
      </c>
      <c r="C697" s="53" t="str">
        <f aca="false">INDEX(I_Items!$C$5:$C$133,MATCH($B697,I_Items!$A$5:$A$133,0))</f>
        <v>RPA</v>
      </c>
      <c r="D697" s="53" t="str">
        <f aca="false">INDEX(I_Items!$D$5:$D$133,MATCH($B697,I_Items!$A$5:$A$133,0))</f>
        <v>Karkas</v>
      </c>
      <c r="E697" s="53" t="str">
        <f aca="false">INDEX(I_Items!$F$5:$F$133,MATCH($B697,I_Items!$A$5:$A$133,0))</f>
        <v>Frozen</v>
      </c>
      <c r="F697" s="53" t="str">
        <f aca="false">IF(INDEX(I_Items!$E$5:$E$133,MATCH($B697,I_Items!$A$5:$A$133,0))="","",INDEX(I_Items!$E$5:$E$133,MATCH($B697,I_Items!$A$5:$A$133,0)))</f>
        <v>Uk 0.6</v>
      </c>
      <c r="G697" s="76" t="n">
        <v>46253</v>
      </c>
      <c r="H697" s="23" t="n">
        <f aca="false">MONTH(G697)</f>
        <v>8</v>
      </c>
      <c r="I697" s="74" t="s">
        <v>2074</v>
      </c>
      <c r="J697" s="74" t="s">
        <v>1305</v>
      </c>
      <c r="K697" s="10" t="n">
        <v>14.6</v>
      </c>
      <c r="L697" s="8" t="n">
        <v>551685.67</v>
      </c>
      <c r="M697" s="10" t="n">
        <v>0</v>
      </c>
      <c r="N697" s="8" t="n">
        <v>0</v>
      </c>
      <c r="O697" s="74"/>
      <c r="P697" s="74"/>
      <c r="Q697" s="74"/>
      <c r="R697" s="14" t="n">
        <f aca="false">IF(I697="Unbilled",0,M697)</f>
        <v>0</v>
      </c>
      <c r="S697" s="9" t="n">
        <f aca="false">IF(R697=0,0,IF(O697="Booked",N697,R697*V696))</f>
        <v>0</v>
      </c>
      <c r="T697" s="14" t="n">
        <f aca="false">IF(I697="Opening",K697,T696+K697-R697)</f>
        <v>263.4</v>
      </c>
      <c r="U697" s="9" t="n">
        <f aca="false">IF(I697="Opening",L697,U696+L697-S697)</f>
        <v>6991187.55081046</v>
      </c>
      <c r="V697" s="9" t="n">
        <f aca="false">IF(T697&gt;0,U697/T697,IF(I697="Opening",0,V696))</f>
        <v>26542.0939666305</v>
      </c>
      <c r="W697" s="14" t="n">
        <f aca="false">M697</f>
        <v>0</v>
      </c>
      <c r="X697" s="9" t="n">
        <f aca="false">IF(W697=0,0,IF(O697="Booked",N697,W697*AA696))</f>
        <v>0</v>
      </c>
      <c r="Y697" s="14" t="n">
        <f aca="false">IF(I697="Opening",K697,Y696+K697-W697)</f>
        <v>263.4</v>
      </c>
      <c r="Z697" s="9" t="n">
        <f aca="false">IF(I697="Opening",L697,Z696+L697-X697)</f>
        <v>6991187.55081046</v>
      </c>
      <c r="AA697" s="9" t="n">
        <f aca="false">IF(Y697&gt;0,Z697/Y697,IF(I697="Opening",0,AA696))</f>
        <v>26542.0939666305</v>
      </c>
      <c r="AB697" s="9" t="n">
        <f aca="false">IF(AND(I697="DO",O697="MA"),S697-N697,0)</f>
        <v>0</v>
      </c>
      <c r="AC697" s="9" t="n">
        <f aca="false">IF(I697="DO",X697-S697,0)</f>
        <v>0</v>
      </c>
      <c r="AD697" s="23" t="n">
        <f aca="false">IF(B698&lt;&gt;B697,1,0)</f>
        <v>0</v>
      </c>
      <c r="AE697" s="14" t="n">
        <f aca="false">IF(I697="Opening",0,AE696+W697)</f>
        <v>1004.8</v>
      </c>
      <c r="AF697" s="14" t="n">
        <f aca="false">IF(I697="Opening",K697,AF696)</f>
        <v>1222.1</v>
      </c>
      <c r="AG697" s="14" t="n">
        <f aca="false">AG696</f>
        <v>0</v>
      </c>
      <c r="AH697" s="14" t="n">
        <f aca="false">IF(W697=0,0,MAX(0,MIN(AE697,AF697)-MIN(AE697-W697,AF697)))</f>
        <v>0</v>
      </c>
      <c r="AI697" s="14" t="n">
        <f aca="false">IF(W697=0,0,MAX(0,MIN(AE697,AF697+AG697)-MAX(AE697-W697,AF697)))</f>
        <v>0</v>
      </c>
      <c r="AJ697" s="14" t="n">
        <f aca="false">W697-AH697-AI697</f>
        <v>0</v>
      </c>
      <c r="AK697" s="9" t="n">
        <f aca="false">IF(W697=0,0,X697*AH697/W697)</f>
        <v>0</v>
      </c>
      <c r="AL697" s="9" t="n">
        <f aca="false">IF(W697=0,0,X697*AI697/W697)</f>
        <v>0</v>
      </c>
      <c r="AM697" s="9" t="n">
        <f aca="false">X697-AK697-AL697</f>
        <v>0</v>
      </c>
    </row>
    <row r="698" customFormat="false" ht="15" hidden="false" customHeight="false" outlineLevel="0" collapsed="false">
      <c r="A698" s="6" t="n">
        <v>693</v>
      </c>
      <c r="B698" s="74" t="s">
        <v>1016</v>
      </c>
      <c r="C698" s="53" t="str">
        <f aca="false">INDEX(I_Items!$C$5:$C$133,MATCH($B698,I_Items!$A$5:$A$133,0))</f>
        <v>RPA</v>
      </c>
      <c r="D698" s="53" t="str">
        <f aca="false">INDEX(I_Items!$D$5:$D$133,MATCH($B698,I_Items!$A$5:$A$133,0))</f>
        <v>Karkas</v>
      </c>
      <c r="E698" s="53" t="str">
        <f aca="false">INDEX(I_Items!$F$5:$F$133,MATCH($B698,I_Items!$A$5:$A$133,0))</f>
        <v>Frozen</v>
      </c>
      <c r="F698" s="53" t="str">
        <f aca="false">IF(INDEX(I_Items!$E$5:$E$133,MATCH($B698,I_Items!$A$5:$A$133,0))="","",INDEX(I_Items!$E$5:$E$133,MATCH($B698,I_Items!$A$5:$A$133,0)))</f>
        <v>Uk 0.6</v>
      </c>
      <c r="G698" s="76" t="n">
        <v>46254</v>
      </c>
      <c r="H698" s="23" t="n">
        <f aca="false">MONTH(G698)</f>
        <v>8</v>
      </c>
      <c r="I698" s="74" t="s">
        <v>2074</v>
      </c>
      <c r="J698" s="74" t="s">
        <v>1308</v>
      </c>
      <c r="K698" s="10" t="n">
        <v>26</v>
      </c>
      <c r="L698" s="8" t="n">
        <v>984660.24</v>
      </c>
      <c r="M698" s="10" t="n">
        <v>0</v>
      </c>
      <c r="N698" s="8" t="n">
        <v>0</v>
      </c>
      <c r="O698" s="74"/>
      <c r="P698" s="74"/>
      <c r="Q698" s="74"/>
      <c r="R698" s="14" t="n">
        <f aca="false">IF(I698="Unbilled",0,M698)</f>
        <v>0</v>
      </c>
      <c r="S698" s="9" t="n">
        <f aca="false">IF(R698=0,0,IF(O698="Booked",N698,R698*V697))</f>
        <v>0</v>
      </c>
      <c r="T698" s="14" t="n">
        <f aca="false">IF(I698="Opening",K698,T697+K698-R698)</f>
        <v>289.4</v>
      </c>
      <c r="U698" s="9" t="n">
        <f aca="false">IF(I698="Opening",L698,U697+L698-S698)</f>
        <v>7975847.79081046</v>
      </c>
      <c r="V698" s="9" t="n">
        <f aca="false">IF(T698&gt;0,U698/T698,IF(I698="Opening",0,V697))</f>
        <v>27559.943990361</v>
      </c>
      <c r="W698" s="14" t="n">
        <f aca="false">M698</f>
        <v>0</v>
      </c>
      <c r="X698" s="9" t="n">
        <f aca="false">IF(W698=0,0,IF(O698="Booked",N698,W698*AA697))</f>
        <v>0</v>
      </c>
      <c r="Y698" s="14" t="n">
        <f aca="false">IF(I698="Opening",K698,Y697+K698-W698)</f>
        <v>289.4</v>
      </c>
      <c r="Z698" s="9" t="n">
        <f aca="false">IF(I698="Opening",L698,Z697+L698-X698)</f>
        <v>7975847.79081046</v>
      </c>
      <c r="AA698" s="9" t="n">
        <f aca="false">IF(Y698&gt;0,Z698/Y698,IF(I698="Opening",0,AA697))</f>
        <v>27559.943990361</v>
      </c>
      <c r="AB698" s="9" t="n">
        <f aca="false">IF(AND(I698="DO",O698="MA"),S698-N698,0)</f>
        <v>0</v>
      </c>
      <c r="AC698" s="9" t="n">
        <f aca="false">IF(I698="DO",X698-S698,0)</f>
        <v>0</v>
      </c>
      <c r="AD698" s="23" t="n">
        <f aca="false">IF(B699&lt;&gt;B698,1,0)</f>
        <v>0</v>
      </c>
      <c r="AE698" s="14" t="n">
        <f aca="false">IF(I698="Opening",0,AE697+W698)</f>
        <v>1004.8</v>
      </c>
      <c r="AF698" s="14" t="n">
        <f aca="false">IF(I698="Opening",K698,AF697)</f>
        <v>1222.1</v>
      </c>
      <c r="AG698" s="14" t="n">
        <f aca="false">AG697</f>
        <v>0</v>
      </c>
      <c r="AH698" s="14" t="n">
        <f aca="false">IF(W698=0,0,MAX(0,MIN(AE698,AF698)-MIN(AE698-W698,AF698)))</f>
        <v>0</v>
      </c>
      <c r="AI698" s="14" t="n">
        <f aca="false">IF(W698=0,0,MAX(0,MIN(AE698,AF698+AG698)-MAX(AE698-W698,AF698)))</f>
        <v>0</v>
      </c>
      <c r="AJ698" s="14" t="n">
        <f aca="false">W698-AH698-AI698</f>
        <v>0</v>
      </c>
      <c r="AK698" s="9" t="n">
        <f aca="false">IF(W698=0,0,X698*AH698/W698)</f>
        <v>0</v>
      </c>
      <c r="AL698" s="9" t="n">
        <f aca="false">IF(W698=0,0,X698*AI698/W698)</f>
        <v>0</v>
      </c>
      <c r="AM698" s="9" t="n">
        <f aca="false">X698-AK698-AL698</f>
        <v>0</v>
      </c>
    </row>
    <row r="699" customFormat="false" ht="15" hidden="false" customHeight="false" outlineLevel="0" collapsed="false">
      <c r="A699" s="6" t="n">
        <v>694</v>
      </c>
      <c r="B699" s="74" t="s">
        <v>1016</v>
      </c>
      <c r="C699" s="53" t="str">
        <f aca="false">INDEX(I_Items!$C$5:$C$133,MATCH($B699,I_Items!$A$5:$A$133,0))</f>
        <v>RPA</v>
      </c>
      <c r="D699" s="53" t="str">
        <f aca="false">INDEX(I_Items!$D$5:$D$133,MATCH($B699,I_Items!$A$5:$A$133,0))</f>
        <v>Karkas</v>
      </c>
      <c r="E699" s="53" t="str">
        <f aca="false">INDEX(I_Items!$F$5:$F$133,MATCH($B699,I_Items!$A$5:$A$133,0))</f>
        <v>Frozen</v>
      </c>
      <c r="F699" s="53" t="str">
        <f aca="false">IF(INDEX(I_Items!$E$5:$E$133,MATCH($B699,I_Items!$A$5:$A$133,0))="","",INDEX(I_Items!$E$5:$E$133,MATCH($B699,I_Items!$A$5:$A$133,0)))</f>
        <v>Uk 0.6</v>
      </c>
      <c r="G699" s="76" t="n">
        <v>46255</v>
      </c>
      <c r="H699" s="23" t="n">
        <f aca="false">MONTH(G699)</f>
        <v>8</v>
      </c>
      <c r="I699" s="74" t="s">
        <v>2074</v>
      </c>
      <c r="J699" s="74" t="s">
        <v>1311</v>
      </c>
      <c r="K699" s="10" t="n">
        <v>42.2</v>
      </c>
      <c r="L699" s="8" t="n">
        <v>1612699.17</v>
      </c>
      <c r="M699" s="10" t="n">
        <v>0</v>
      </c>
      <c r="N699" s="8" t="n">
        <v>0</v>
      </c>
      <c r="O699" s="74"/>
      <c r="P699" s="74"/>
      <c r="Q699" s="74"/>
      <c r="R699" s="14" t="n">
        <f aca="false">IF(I699="Unbilled",0,M699)</f>
        <v>0</v>
      </c>
      <c r="S699" s="9" t="n">
        <f aca="false">IF(R699=0,0,IF(O699="Booked",N699,R699*V698))</f>
        <v>0</v>
      </c>
      <c r="T699" s="14" t="n">
        <f aca="false">IF(I699="Opening",K699,T698+K699-R699)</f>
        <v>331.6</v>
      </c>
      <c r="U699" s="9" t="n">
        <f aca="false">IF(I699="Opening",L699,U698+L699-S699)</f>
        <v>9588546.96081046</v>
      </c>
      <c r="V699" s="9" t="n">
        <f aca="false">IF(T699&gt;0,U699/T699,IF(I699="Opening",0,V698))</f>
        <v>28916.004103771</v>
      </c>
      <c r="W699" s="14" t="n">
        <f aca="false">M699</f>
        <v>0</v>
      </c>
      <c r="X699" s="9" t="n">
        <f aca="false">IF(W699=0,0,IF(O699="Booked",N699,W699*AA698))</f>
        <v>0</v>
      </c>
      <c r="Y699" s="14" t="n">
        <f aca="false">IF(I699="Opening",K699,Y698+K699-W699)</f>
        <v>331.6</v>
      </c>
      <c r="Z699" s="9" t="n">
        <f aca="false">IF(I699="Opening",L699,Z698+L699-X699)</f>
        <v>9588546.96081046</v>
      </c>
      <c r="AA699" s="9" t="n">
        <f aca="false">IF(Y699&gt;0,Z699/Y699,IF(I699="Opening",0,AA698))</f>
        <v>28916.004103771</v>
      </c>
      <c r="AB699" s="9" t="n">
        <f aca="false">IF(AND(I699="DO",O699="MA"),S699-N699,0)</f>
        <v>0</v>
      </c>
      <c r="AC699" s="9" t="n">
        <f aca="false">IF(I699="DO",X699-S699,0)</f>
        <v>0</v>
      </c>
      <c r="AD699" s="23" t="n">
        <f aca="false">IF(B700&lt;&gt;B699,1,0)</f>
        <v>0</v>
      </c>
      <c r="AE699" s="14" t="n">
        <f aca="false">IF(I699="Opening",0,AE698+W699)</f>
        <v>1004.8</v>
      </c>
      <c r="AF699" s="14" t="n">
        <f aca="false">IF(I699="Opening",K699,AF698)</f>
        <v>1222.1</v>
      </c>
      <c r="AG699" s="14" t="n">
        <f aca="false">AG698</f>
        <v>0</v>
      </c>
      <c r="AH699" s="14" t="n">
        <f aca="false">IF(W699=0,0,MAX(0,MIN(AE699,AF699)-MIN(AE699-W699,AF699)))</f>
        <v>0</v>
      </c>
      <c r="AI699" s="14" t="n">
        <f aca="false">IF(W699=0,0,MAX(0,MIN(AE699,AF699+AG699)-MAX(AE699-W699,AF699)))</f>
        <v>0</v>
      </c>
      <c r="AJ699" s="14" t="n">
        <f aca="false">W699-AH699-AI699</f>
        <v>0</v>
      </c>
      <c r="AK699" s="9" t="n">
        <f aca="false">IF(W699=0,0,X699*AH699/W699)</f>
        <v>0</v>
      </c>
      <c r="AL699" s="9" t="n">
        <f aca="false">IF(W699=0,0,X699*AI699/W699)</f>
        <v>0</v>
      </c>
      <c r="AM699" s="9" t="n">
        <f aca="false">X699-AK699-AL699</f>
        <v>0</v>
      </c>
    </row>
    <row r="700" customFormat="false" ht="15" hidden="false" customHeight="false" outlineLevel="0" collapsed="false">
      <c r="A700" s="6" t="n">
        <v>695</v>
      </c>
      <c r="B700" s="74" t="s">
        <v>1016</v>
      </c>
      <c r="C700" s="53" t="str">
        <f aca="false">INDEX(I_Items!$C$5:$C$133,MATCH($B700,I_Items!$A$5:$A$133,0))</f>
        <v>RPA</v>
      </c>
      <c r="D700" s="53" t="str">
        <f aca="false">INDEX(I_Items!$D$5:$D$133,MATCH($B700,I_Items!$A$5:$A$133,0))</f>
        <v>Karkas</v>
      </c>
      <c r="E700" s="53" t="str">
        <f aca="false">INDEX(I_Items!$F$5:$F$133,MATCH($B700,I_Items!$A$5:$A$133,0))</f>
        <v>Frozen</v>
      </c>
      <c r="F700" s="53" t="str">
        <f aca="false">IF(INDEX(I_Items!$E$5:$E$133,MATCH($B700,I_Items!$A$5:$A$133,0))="","",INDEX(I_Items!$E$5:$E$133,MATCH($B700,I_Items!$A$5:$A$133,0)))</f>
        <v>Uk 0.6</v>
      </c>
      <c r="G700" s="76" t="n">
        <v>46256</v>
      </c>
      <c r="H700" s="23" t="n">
        <f aca="false">MONTH(G700)</f>
        <v>8</v>
      </c>
      <c r="I700" s="74" t="s">
        <v>2075</v>
      </c>
      <c r="J700" s="74" t="s">
        <v>2184</v>
      </c>
      <c r="K700" s="10" t="n">
        <v>0</v>
      </c>
      <c r="L700" s="8" t="n">
        <v>0</v>
      </c>
      <c r="M700" s="10" t="n">
        <v>100</v>
      </c>
      <c r="N700" s="8" t="n">
        <v>2891600.41</v>
      </c>
      <c r="O700" s="74" t="s">
        <v>2077</v>
      </c>
      <c r="P700" s="74"/>
      <c r="Q700" s="74"/>
      <c r="R700" s="14" t="n">
        <f aca="false">IF(I700="Unbilled",0,M700)</f>
        <v>100</v>
      </c>
      <c r="S700" s="9" t="n">
        <f aca="false">IF(R700=0,0,IF(O700="Booked",N700,R700*V699))</f>
        <v>2891600.4103771</v>
      </c>
      <c r="T700" s="14" t="n">
        <f aca="false">IF(I700="Opening",K700,T699+K700-R700)</f>
        <v>231.6</v>
      </c>
      <c r="U700" s="9" t="n">
        <f aca="false">IF(I700="Opening",L700,U699+L700-S700)</f>
        <v>6696946.55043336</v>
      </c>
      <c r="V700" s="9" t="n">
        <f aca="false">IF(T700&gt;0,U700/T700,IF(I700="Opening",0,V699))</f>
        <v>28916.004103771</v>
      </c>
      <c r="W700" s="14" t="n">
        <f aca="false">M700</f>
        <v>100</v>
      </c>
      <c r="X700" s="9" t="n">
        <f aca="false">IF(W700=0,0,IF(O700="Booked",N700,W700*AA699))</f>
        <v>2891600.4103771</v>
      </c>
      <c r="Y700" s="14" t="n">
        <f aca="false">IF(I700="Opening",K700,Y699+K700-W700)</f>
        <v>231.6</v>
      </c>
      <c r="Z700" s="9" t="n">
        <f aca="false">IF(I700="Opening",L700,Z699+L700-X700)</f>
        <v>6696946.55043336</v>
      </c>
      <c r="AA700" s="9" t="n">
        <f aca="false">IF(Y700&gt;0,Z700/Y700,IF(I700="Opening",0,AA699))</f>
        <v>28916.004103771</v>
      </c>
      <c r="AB700" s="9" t="n">
        <f aca="false">IF(AND(I700="DO",O700="MA"),S700-N700,0)</f>
        <v>0.000377100426703692</v>
      </c>
      <c r="AC700" s="9" t="n">
        <f aca="false">IF(I700="DO",X700-S700,0)</f>
        <v>0</v>
      </c>
      <c r="AD700" s="23" t="n">
        <f aca="false">IF(B701&lt;&gt;B700,1,0)</f>
        <v>0</v>
      </c>
      <c r="AE700" s="14" t="n">
        <f aca="false">IF(I700="Opening",0,AE699+W700)</f>
        <v>1104.8</v>
      </c>
      <c r="AF700" s="14" t="n">
        <f aca="false">IF(I700="Opening",K700,AF699)</f>
        <v>1222.1</v>
      </c>
      <c r="AG700" s="14" t="n">
        <f aca="false">AG699</f>
        <v>0</v>
      </c>
      <c r="AH700" s="14" t="n">
        <f aca="false">IF(W700=0,0,MAX(0,MIN(AE700,AF700)-MIN(AE700-W700,AF700)))</f>
        <v>100</v>
      </c>
      <c r="AI700" s="14" t="n">
        <f aca="false">IF(W700=0,0,MAX(0,MIN(AE700,AF700+AG700)-MAX(AE700-W700,AF700)))</f>
        <v>0</v>
      </c>
      <c r="AJ700" s="14" t="n">
        <f aca="false">W700-AH700-AI700</f>
        <v>0</v>
      </c>
      <c r="AK700" s="9" t="n">
        <f aca="false">IF(W700=0,0,X700*AH700/W700)</f>
        <v>2891600.4103771</v>
      </c>
      <c r="AL700" s="9" t="n">
        <f aca="false">IF(W700=0,0,X700*AI700/W700)</f>
        <v>0</v>
      </c>
      <c r="AM700" s="9" t="n">
        <f aca="false">X700-AK700-AL700</f>
        <v>0</v>
      </c>
    </row>
    <row r="701" customFormat="false" ht="15" hidden="false" customHeight="false" outlineLevel="0" collapsed="false">
      <c r="A701" s="6" t="n">
        <v>696</v>
      </c>
      <c r="B701" s="74" t="s">
        <v>1016</v>
      </c>
      <c r="C701" s="53" t="str">
        <f aca="false">INDEX(I_Items!$C$5:$C$133,MATCH($B701,I_Items!$A$5:$A$133,0))</f>
        <v>RPA</v>
      </c>
      <c r="D701" s="53" t="str">
        <f aca="false">INDEX(I_Items!$D$5:$D$133,MATCH($B701,I_Items!$A$5:$A$133,0))</f>
        <v>Karkas</v>
      </c>
      <c r="E701" s="53" t="str">
        <f aca="false">INDEX(I_Items!$F$5:$F$133,MATCH($B701,I_Items!$A$5:$A$133,0))</f>
        <v>Frozen</v>
      </c>
      <c r="F701" s="53" t="str">
        <f aca="false">IF(INDEX(I_Items!$E$5:$E$133,MATCH($B701,I_Items!$A$5:$A$133,0))="","",INDEX(I_Items!$E$5:$E$133,MATCH($B701,I_Items!$A$5:$A$133,0)))</f>
        <v>Uk 0.6</v>
      </c>
      <c r="G701" s="76" t="n">
        <v>46260</v>
      </c>
      <c r="H701" s="23" t="n">
        <f aca="false">MONTH(G701)</f>
        <v>8</v>
      </c>
      <c r="I701" s="74" t="s">
        <v>2074</v>
      </c>
      <c r="J701" s="74" t="s">
        <v>1317</v>
      </c>
      <c r="K701" s="10" t="n">
        <v>4.7</v>
      </c>
      <c r="L701" s="8" t="n">
        <v>177046.16</v>
      </c>
      <c r="M701" s="10" t="n">
        <v>0</v>
      </c>
      <c r="N701" s="8" t="n">
        <v>0</v>
      </c>
      <c r="O701" s="74"/>
      <c r="P701" s="74"/>
      <c r="Q701" s="74"/>
      <c r="R701" s="14" t="n">
        <f aca="false">IF(I701="Unbilled",0,M701)</f>
        <v>0</v>
      </c>
      <c r="S701" s="9" t="n">
        <f aca="false">IF(R701=0,0,IF(O701="Booked",N701,R701*V700))</f>
        <v>0</v>
      </c>
      <c r="T701" s="14" t="n">
        <f aca="false">IF(I701="Opening",K701,T700+K701-R701)</f>
        <v>236.3</v>
      </c>
      <c r="U701" s="9" t="n">
        <f aca="false">IF(I701="Opening",L701,U700+L701-S701)</f>
        <v>6873992.71043336</v>
      </c>
      <c r="V701" s="9" t="n">
        <f aca="false">IF(T701&gt;0,U701/T701,IF(I701="Opening",0,V700))</f>
        <v>29090.1088042038</v>
      </c>
      <c r="W701" s="14" t="n">
        <f aca="false">M701</f>
        <v>0</v>
      </c>
      <c r="X701" s="9" t="n">
        <f aca="false">IF(W701=0,0,IF(O701="Booked",N701,W701*AA700))</f>
        <v>0</v>
      </c>
      <c r="Y701" s="14" t="n">
        <f aca="false">IF(I701="Opening",K701,Y700+K701-W701)</f>
        <v>236.3</v>
      </c>
      <c r="Z701" s="9" t="n">
        <f aca="false">IF(I701="Opening",L701,Z700+L701-X701)</f>
        <v>6873992.71043336</v>
      </c>
      <c r="AA701" s="9" t="n">
        <f aca="false">IF(Y701&gt;0,Z701/Y701,IF(I701="Opening",0,AA700))</f>
        <v>29090.1088042038</v>
      </c>
      <c r="AB701" s="9" t="n">
        <f aca="false">IF(AND(I701="DO",O701="MA"),S701-N701,0)</f>
        <v>0</v>
      </c>
      <c r="AC701" s="9" t="n">
        <f aca="false">IF(I701="DO",X701-S701,0)</f>
        <v>0</v>
      </c>
      <c r="AD701" s="23" t="n">
        <f aca="false">IF(B702&lt;&gt;B701,1,0)</f>
        <v>0</v>
      </c>
      <c r="AE701" s="14" t="n">
        <f aca="false">IF(I701="Opening",0,AE700+W701)</f>
        <v>1104.8</v>
      </c>
      <c r="AF701" s="14" t="n">
        <f aca="false">IF(I701="Opening",K701,AF700)</f>
        <v>1222.1</v>
      </c>
      <c r="AG701" s="14" t="n">
        <f aca="false">AG700</f>
        <v>0</v>
      </c>
      <c r="AH701" s="14" t="n">
        <f aca="false">IF(W701=0,0,MAX(0,MIN(AE701,AF701)-MIN(AE701-W701,AF701)))</f>
        <v>0</v>
      </c>
      <c r="AI701" s="14" t="n">
        <f aca="false">IF(W701=0,0,MAX(0,MIN(AE701,AF701+AG701)-MAX(AE701-W701,AF701)))</f>
        <v>0</v>
      </c>
      <c r="AJ701" s="14" t="n">
        <f aca="false">W701-AH701-AI701</f>
        <v>0</v>
      </c>
      <c r="AK701" s="9" t="n">
        <f aca="false">IF(W701=0,0,X701*AH701/W701)</f>
        <v>0</v>
      </c>
      <c r="AL701" s="9" t="n">
        <f aca="false">IF(W701=0,0,X701*AI701/W701)</f>
        <v>0</v>
      </c>
      <c r="AM701" s="9" t="n">
        <f aca="false">X701-AK701-AL701</f>
        <v>0</v>
      </c>
    </row>
    <row r="702" customFormat="false" ht="15" hidden="false" customHeight="false" outlineLevel="0" collapsed="false">
      <c r="A702" s="6" t="n">
        <v>697</v>
      </c>
      <c r="B702" s="74" t="s">
        <v>1016</v>
      </c>
      <c r="C702" s="53" t="str">
        <f aca="false">INDEX(I_Items!$C$5:$C$133,MATCH($B702,I_Items!$A$5:$A$133,0))</f>
        <v>RPA</v>
      </c>
      <c r="D702" s="53" t="str">
        <f aca="false">INDEX(I_Items!$D$5:$D$133,MATCH($B702,I_Items!$A$5:$A$133,0))</f>
        <v>Karkas</v>
      </c>
      <c r="E702" s="53" t="str">
        <f aca="false">INDEX(I_Items!$F$5:$F$133,MATCH($B702,I_Items!$A$5:$A$133,0))</f>
        <v>Frozen</v>
      </c>
      <c r="F702" s="53" t="str">
        <f aca="false">IF(INDEX(I_Items!$E$5:$E$133,MATCH($B702,I_Items!$A$5:$A$133,0))="","",INDEX(I_Items!$E$5:$E$133,MATCH($B702,I_Items!$A$5:$A$133,0)))</f>
        <v>Uk 0.6</v>
      </c>
      <c r="G702" s="76" t="n">
        <v>46261</v>
      </c>
      <c r="H702" s="23" t="n">
        <f aca="false">MONTH(G702)</f>
        <v>8</v>
      </c>
      <c r="I702" s="74" t="s">
        <v>2074</v>
      </c>
      <c r="J702" s="74" t="s">
        <v>1320</v>
      </c>
      <c r="K702" s="10" t="n">
        <v>3.4</v>
      </c>
      <c r="L702" s="8" t="n">
        <v>126426.77</v>
      </c>
      <c r="M702" s="10" t="n">
        <v>0</v>
      </c>
      <c r="N702" s="8" t="n">
        <v>0</v>
      </c>
      <c r="O702" s="74"/>
      <c r="P702" s="74"/>
      <c r="Q702" s="74"/>
      <c r="R702" s="14" t="n">
        <f aca="false">IF(I702="Unbilled",0,M702)</f>
        <v>0</v>
      </c>
      <c r="S702" s="9" t="n">
        <f aca="false">IF(R702=0,0,IF(O702="Booked",N702,R702*V701))</f>
        <v>0</v>
      </c>
      <c r="T702" s="14" t="n">
        <f aca="false">IF(I702="Opening",K702,T701+K702-R702)</f>
        <v>239.7</v>
      </c>
      <c r="U702" s="9" t="n">
        <f aca="false">IF(I702="Opening",L702,U701+L702-S702)</f>
        <v>7000419.48043336</v>
      </c>
      <c r="V702" s="9" t="n">
        <f aca="false">IF(T702&gt;0,U702/T702,IF(I702="Opening",0,V701))</f>
        <v>29204.9206526215</v>
      </c>
      <c r="W702" s="14" t="n">
        <f aca="false">M702</f>
        <v>0</v>
      </c>
      <c r="X702" s="9" t="n">
        <f aca="false">IF(W702=0,0,IF(O702="Booked",N702,W702*AA701))</f>
        <v>0</v>
      </c>
      <c r="Y702" s="14" t="n">
        <f aca="false">IF(I702="Opening",K702,Y701+K702-W702)</f>
        <v>239.7</v>
      </c>
      <c r="Z702" s="9" t="n">
        <f aca="false">IF(I702="Opening",L702,Z701+L702-X702)</f>
        <v>7000419.48043336</v>
      </c>
      <c r="AA702" s="9" t="n">
        <f aca="false">IF(Y702&gt;0,Z702/Y702,IF(I702="Opening",0,AA701))</f>
        <v>29204.9206526215</v>
      </c>
      <c r="AB702" s="9" t="n">
        <f aca="false">IF(AND(I702="DO",O702="MA"),S702-N702,0)</f>
        <v>0</v>
      </c>
      <c r="AC702" s="9" t="n">
        <f aca="false">IF(I702="DO",X702-S702,0)</f>
        <v>0</v>
      </c>
      <c r="AD702" s="23" t="n">
        <f aca="false">IF(B703&lt;&gt;B702,1,0)</f>
        <v>0</v>
      </c>
      <c r="AE702" s="14" t="n">
        <f aca="false">IF(I702="Opening",0,AE701+W702)</f>
        <v>1104.8</v>
      </c>
      <c r="AF702" s="14" t="n">
        <f aca="false">IF(I702="Opening",K702,AF701)</f>
        <v>1222.1</v>
      </c>
      <c r="AG702" s="14" t="n">
        <f aca="false">AG701</f>
        <v>0</v>
      </c>
      <c r="AH702" s="14" t="n">
        <f aca="false">IF(W702=0,0,MAX(0,MIN(AE702,AF702)-MIN(AE702-W702,AF702)))</f>
        <v>0</v>
      </c>
      <c r="AI702" s="14" t="n">
        <f aca="false">IF(W702=0,0,MAX(0,MIN(AE702,AF702+AG702)-MAX(AE702-W702,AF702)))</f>
        <v>0</v>
      </c>
      <c r="AJ702" s="14" t="n">
        <f aca="false">W702-AH702-AI702</f>
        <v>0</v>
      </c>
      <c r="AK702" s="9" t="n">
        <f aca="false">IF(W702=0,0,X702*AH702/W702)</f>
        <v>0</v>
      </c>
      <c r="AL702" s="9" t="n">
        <f aca="false">IF(W702=0,0,X702*AI702/W702)</f>
        <v>0</v>
      </c>
      <c r="AM702" s="9" t="n">
        <f aca="false">X702-AK702-AL702</f>
        <v>0</v>
      </c>
    </row>
    <row r="703" customFormat="false" ht="15" hidden="false" customHeight="false" outlineLevel="0" collapsed="false">
      <c r="A703" s="6" t="n">
        <v>698</v>
      </c>
      <c r="B703" s="74" t="s">
        <v>1016</v>
      </c>
      <c r="C703" s="53" t="str">
        <f aca="false">INDEX(I_Items!$C$5:$C$133,MATCH($B703,I_Items!$A$5:$A$133,0))</f>
        <v>RPA</v>
      </c>
      <c r="D703" s="53" t="str">
        <f aca="false">INDEX(I_Items!$D$5:$D$133,MATCH($B703,I_Items!$A$5:$A$133,0))</f>
        <v>Karkas</v>
      </c>
      <c r="E703" s="53" t="str">
        <f aca="false">INDEX(I_Items!$F$5:$F$133,MATCH($B703,I_Items!$A$5:$A$133,0))</f>
        <v>Frozen</v>
      </c>
      <c r="F703" s="53" t="str">
        <f aca="false">IF(INDEX(I_Items!$E$5:$E$133,MATCH($B703,I_Items!$A$5:$A$133,0))="","",INDEX(I_Items!$E$5:$E$133,MATCH($B703,I_Items!$A$5:$A$133,0)))</f>
        <v>Uk 0.6</v>
      </c>
      <c r="G703" s="76" t="n">
        <v>46262</v>
      </c>
      <c r="H703" s="23" t="n">
        <f aca="false">MONTH(G703)</f>
        <v>8</v>
      </c>
      <c r="I703" s="74" t="s">
        <v>2074</v>
      </c>
      <c r="J703" s="74" t="s">
        <v>1323</v>
      </c>
      <c r="K703" s="10" t="n">
        <v>12.6</v>
      </c>
      <c r="L703" s="8" t="n">
        <v>472397.35</v>
      </c>
      <c r="M703" s="10" t="n">
        <v>0</v>
      </c>
      <c r="N703" s="8" t="n">
        <v>0</v>
      </c>
      <c r="O703" s="74"/>
      <c r="P703" s="74"/>
      <c r="Q703" s="74"/>
      <c r="R703" s="14" t="n">
        <f aca="false">IF(I703="Unbilled",0,M703)</f>
        <v>0</v>
      </c>
      <c r="S703" s="9" t="n">
        <f aca="false">IF(R703=0,0,IF(O703="Booked",N703,R703*V702))</f>
        <v>0</v>
      </c>
      <c r="T703" s="14" t="n">
        <f aca="false">IF(I703="Opening",K703,T702+K703-R703)</f>
        <v>252.3</v>
      </c>
      <c r="U703" s="9" t="n">
        <f aca="false">IF(I703="Opening",L703,U702+L703-S703)</f>
        <v>7472816.83043336</v>
      </c>
      <c r="V703" s="9" t="n">
        <f aca="false">IF(T703&gt;0,U703/T703,IF(I703="Opening",0,V702))</f>
        <v>29618.7745954553</v>
      </c>
      <c r="W703" s="14" t="n">
        <f aca="false">M703</f>
        <v>0</v>
      </c>
      <c r="X703" s="9" t="n">
        <f aca="false">IF(W703=0,0,IF(O703="Booked",N703,W703*AA702))</f>
        <v>0</v>
      </c>
      <c r="Y703" s="14" t="n">
        <f aca="false">IF(I703="Opening",K703,Y702+K703-W703)</f>
        <v>252.3</v>
      </c>
      <c r="Z703" s="9" t="n">
        <f aca="false">IF(I703="Opening",L703,Z702+L703-X703)</f>
        <v>7472816.83043336</v>
      </c>
      <c r="AA703" s="9" t="n">
        <f aca="false">IF(Y703&gt;0,Z703/Y703,IF(I703="Opening",0,AA702))</f>
        <v>29618.7745954553</v>
      </c>
      <c r="AB703" s="9" t="n">
        <f aca="false">IF(AND(I703="DO",O703="MA"),S703-N703,0)</f>
        <v>0</v>
      </c>
      <c r="AC703" s="9" t="n">
        <f aca="false">IF(I703="DO",X703-S703,0)</f>
        <v>0</v>
      </c>
      <c r="AD703" s="23" t="n">
        <f aca="false">IF(B704&lt;&gt;B703,1,0)</f>
        <v>0</v>
      </c>
      <c r="AE703" s="14" t="n">
        <f aca="false">IF(I703="Opening",0,AE702+W703)</f>
        <v>1104.8</v>
      </c>
      <c r="AF703" s="14" t="n">
        <f aca="false">IF(I703="Opening",K703,AF702)</f>
        <v>1222.1</v>
      </c>
      <c r="AG703" s="14" t="n">
        <f aca="false">AG702</f>
        <v>0</v>
      </c>
      <c r="AH703" s="14" t="n">
        <f aca="false">IF(W703=0,0,MAX(0,MIN(AE703,AF703)-MIN(AE703-W703,AF703)))</f>
        <v>0</v>
      </c>
      <c r="AI703" s="14" t="n">
        <f aca="false">IF(W703=0,0,MAX(0,MIN(AE703,AF703+AG703)-MAX(AE703-W703,AF703)))</f>
        <v>0</v>
      </c>
      <c r="AJ703" s="14" t="n">
        <f aca="false">W703-AH703-AI703</f>
        <v>0</v>
      </c>
      <c r="AK703" s="9" t="n">
        <f aca="false">IF(W703=0,0,X703*AH703/W703)</f>
        <v>0</v>
      </c>
      <c r="AL703" s="9" t="n">
        <f aca="false">IF(W703=0,0,X703*AI703/W703)</f>
        <v>0</v>
      </c>
      <c r="AM703" s="9" t="n">
        <f aca="false">X703-AK703-AL703</f>
        <v>0</v>
      </c>
    </row>
    <row r="704" customFormat="false" ht="15" hidden="false" customHeight="false" outlineLevel="0" collapsed="false">
      <c r="A704" s="6" t="n">
        <v>699</v>
      </c>
      <c r="B704" s="74" t="s">
        <v>1016</v>
      </c>
      <c r="C704" s="53" t="str">
        <f aca="false">INDEX(I_Items!$C$5:$C$133,MATCH($B704,I_Items!$A$5:$A$133,0))</f>
        <v>RPA</v>
      </c>
      <c r="D704" s="53" t="str">
        <f aca="false">INDEX(I_Items!$D$5:$D$133,MATCH($B704,I_Items!$A$5:$A$133,0))</f>
        <v>Karkas</v>
      </c>
      <c r="E704" s="53" t="str">
        <f aca="false">INDEX(I_Items!$F$5:$F$133,MATCH($B704,I_Items!$A$5:$A$133,0))</f>
        <v>Frozen</v>
      </c>
      <c r="F704" s="53" t="str">
        <f aca="false">IF(INDEX(I_Items!$E$5:$E$133,MATCH($B704,I_Items!$A$5:$A$133,0))="","",INDEX(I_Items!$E$5:$E$133,MATCH($B704,I_Items!$A$5:$A$133,0)))</f>
        <v>Uk 0.6</v>
      </c>
      <c r="G704" s="76" t="n">
        <v>46263</v>
      </c>
      <c r="H704" s="23" t="n">
        <f aca="false">MONTH(G704)</f>
        <v>8</v>
      </c>
      <c r="I704" s="74" t="s">
        <v>2075</v>
      </c>
      <c r="J704" s="74" t="s">
        <v>2148</v>
      </c>
      <c r="K704" s="10" t="n">
        <v>0</v>
      </c>
      <c r="L704" s="8" t="n">
        <v>0</v>
      </c>
      <c r="M704" s="10" t="n">
        <v>45.6</v>
      </c>
      <c r="N704" s="8" t="n">
        <v>1350616.12</v>
      </c>
      <c r="O704" s="74" t="s">
        <v>2077</v>
      </c>
      <c r="P704" s="74"/>
      <c r="Q704" s="74"/>
      <c r="R704" s="14" t="n">
        <f aca="false">IF(I704="Unbilled",0,M704)</f>
        <v>45.6</v>
      </c>
      <c r="S704" s="9" t="n">
        <f aca="false">IF(R704=0,0,IF(O704="Booked",N704,R704*V703))</f>
        <v>1350616.12155276</v>
      </c>
      <c r="T704" s="14" t="n">
        <f aca="false">IF(I704="Opening",K704,T703+K704-R704)</f>
        <v>206.7</v>
      </c>
      <c r="U704" s="9" t="n">
        <f aca="false">IF(I704="Opening",L704,U703+L704-S704)</f>
        <v>6122200.7088806</v>
      </c>
      <c r="V704" s="9" t="n">
        <f aca="false">IF(T704&gt;0,U704/T704,IF(I704="Opening",0,V703))</f>
        <v>29618.7745954553</v>
      </c>
      <c r="W704" s="14" t="n">
        <f aca="false">M704</f>
        <v>45.6</v>
      </c>
      <c r="X704" s="9" t="n">
        <f aca="false">IF(W704=0,0,IF(O704="Booked",N704,W704*AA703))</f>
        <v>1350616.12155276</v>
      </c>
      <c r="Y704" s="14" t="n">
        <f aca="false">IF(I704="Opening",K704,Y703+K704-W704)</f>
        <v>206.7</v>
      </c>
      <c r="Z704" s="9" t="n">
        <f aca="false">IF(I704="Opening",L704,Z703+L704-X704)</f>
        <v>6122200.7088806</v>
      </c>
      <c r="AA704" s="9" t="n">
        <f aca="false">IF(Y704&gt;0,Z704/Y704,IF(I704="Opening",0,AA703))</f>
        <v>29618.7745954553</v>
      </c>
      <c r="AB704" s="9" t="n">
        <f aca="false">IF(AND(I704="DO",O704="MA"),S704-N704,0)</f>
        <v>0.00155276036821306</v>
      </c>
      <c r="AC704" s="9" t="n">
        <f aca="false">IF(I704="DO",X704-S704,0)</f>
        <v>0</v>
      </c>
      <c r="AD704" s="23" t="n">
        <f aca="false">IF(B705&lt;&gt;B704,1,0)</f>
        <v>0</v>
      </c>
      <c r="AE704" s="14" t="n">
        <f aca="false">IF(I704="Opening",0,AE703+W704)</f>
        <v>1150.4</v>
      </c>
      <c r="AF704" s="14" t="n">
        <f aca="false">IF(I704="Opening",K704,AF703)</f>
        <v>1222.1</v>
      </c>
      <c r="AG704" s="14" t="n">
        <f aca="false">AG703</f>
        <v>0</v>
      </c>
      <c r="AH704" s="14" t="n">
        <f aca="false">IF(W704=0,0,MAX(0,MIN(AE704,AF704)-MIN(AE704-W704,AF704)))</f>
        <v>45.5999999999999</v>
      </c>
      <c r="AI704" s="14" t="n">
        <f aca="false">IF(W704=0,0,MAX(0,MIN(AE704,AF704+AG704)-MAX(AE704-W704,AF704)))</f>
        <v>0</v>
      </c>
      <c r="AJ704" s="14" t="n">
        <f aca="false">W704-AH704-AI704</f>
        <v>0</v>
      </c>
      <c r="AK704" s="9" t="n">
        <f aca="false">IF(W704=0,0,X704*AH704/W704)</f>
        <v>1350616.12155276</v>
      </c>
      <c r="AL704" s="9" t="n">
        <f aca="false">IF(W704=0,0,X704*AI704/W704)</f>
        <v>0</v>
      </c>
      <c r="AM704" s="9" t="n">
        <f aca="false">X704-AK704-AL704</f>
        <v>0</v>
      </c>
    </row>
    <row r="705" customFormat="false" ht="15" hidden="false" customHeight="false" outlineLevel="0" collapsed="false">
      <c r="A705" s="6" t="n">
        <v>700</v>
      </c>
      <c r="B705" s="74" t="s">
        <v>1016</v>
      </c>
      <c r="C705" s="53" t="str">
        <f aca="false">INDEX(I_Items!$C$5:$C$133,MATCH($B705,I_Items!$A$5:$A$133,0))</f>
        <v>RPA</v>
      </c>
      <c r="D705" s="53" t="str">
        <f aca="false">INDEX(I_Items!$D$5:$D$133,MATCH($B705,I_Items!$A$5:$A$133,0))</f>
        <v>Karkas</v>
      </c>
      <c r="E705" s="53" t="str">
        <f aca="false">INDEX(I_Items!$F$5:$F$133,MATCH($B705,I_Items!$A$5:$A$133,0))</f>
        <v>Frozen</v>
      </c>
      <c r="F705" s="53" t="str">
        <f aca="false">IF(INDEX(I_Items!$E$5:$E$133,MATCH($B705,I_Items!$A$5:$A$133,0))="","",INDEX(I_Items!$E$5:$E$133,MATCH($B705,I_Items!$A$5:$A$133,0)))</f>
        <v>Uk 0.6</v>
      </c>
      <c r="G705" s="76" t="n">
        <v>46265</v>
      </c>
      <c r="H705" s="23" t="n">
        <f aca="false">MONTH(G705)</f>
        <v>8</v>
      </c>
      <c r="I705" s="74" t="s">
        <v>2074</v>
      </c>
      <c r="J705" s="74" t="s">
        <v>1326</v>
      </c>
      <c r="K705" s="10" t="n">
        <v>1.3</v>
      </c>
      <c r="L705" s="8" t="n">
        <v>47900.32</v>
      </c>
      <c r="M705" s="10" t="n">
        <v>0</v>
      </c>
      <c r="N705" s="8" t="n">
        <v>0</v>
      </c>
      <c r="O705" s="74"/>
      <c r="P705" s="74"/>
      <c r="Q705" s="74"/>
      <c r="R705" s="14" t="n">
        <f aca="false">IF(I705="Unbilled",0,M705)</f>
        <v>0</v>
      </c>
      <c r="S705" s="9" t="n">
        <f aca="false">IF(R705=0,0,IF(O705="Booked",N705,R705*V704))</f>
        <v>0</v>
      </c>
      <c r="T705" s="14" t="n">
        <f aca="false">IF(I705="Opening",K705,T704+K705-R705)</f>
        <v>208</v>
      </c>
      <c r="U705" s="9" t="n">
        <f aca="false">IF(I705="Opening",L705,U704+L705-S705)</f>
        <v>6170101.0288806</v>
      </c>
      <c r="V705" s="9" t="n">
        <f aca="false">IF(T705&gt;0,U705/T705,IF(I705="Opening",0,V704))</f>
        <v>29663.9472542337</v>
      </c>
      <c r="W705" s="14" t="n">
        <f aca="false">M705</f>
        <v>0</v>
      </c>
      <c r="X705" s="9" t="n">
        <f aca="false">IF(W705=0,0,IF(O705="Booked",N705,W705*AA704))</f>
        <v>0</v>
      </c>
      <c r="Y705" s="14" t="n">
        <f aca="false">IF(I705="Opening",K705,Y704+K705-W705)</f>
        <v>208</v>
      </c>
      <c r="Z705" s="9" t="n">
        <f aca="false">IF(I705="Opening",L705,Z704+L705-X705)</f>
        <v>6170101.0288806</v>
      </c>
      <c r="AA705" s="9" t="n">
        <f aca="false">IF(Y705&gt;0,Z705/Y705,IF(I705="Opening",0,AA704))</f>
        <v>29663.9472542337</v>
      </c>
      <c r="AB705" s="9" t="n">
        <f aca="false">IF(AND(I705="DO",O705="MA"),S705-N705,0)</f>
        <v>0</v>
      </c>
      <c r="AC705" s="9" t="n">
        <f aca="false">IF(I705="DO",X705-S705,0)</f>
        <v>0</v>
      </c>
      <c r="AD705" s="23" t="n">
        <f aca="false">IF(B706&lt;&gt;B705,1,0)</f>
        <v>1</v>
      </c>
      <c r="AE705" s="14" t="n">
        <f aca="false">IF(I705="Opening",0,AE704+W705)</f>
        <v>1150.4</v>
      </c>
      <c r="AF705" s="14" t="n">
        <f aca="false">IF(I705="Opening",K705,AF704)</f>
        <v>1222.1</v>
      </c>
      <c r="AG705" s="14" t="n">
        <f aca="false">AG704</f>
        <v>0</v>
      </c>
      <c r="AH705" s="14" t="n">
        <f aca="false">IF(W705=0,0,MAX(0,MIN(AE705,AF705)-MIN(AE705-W705,AF705)))</f>
        <v>0</v>
      </c>
      <c r="AI705" s="14" t="n">
        <f aca="false">IF(W705=0,0,MAX(0,MIN(AE705,AF705+AG705)-MAX(AE705-W705,AF705)))</f>
        <v>0</v>
      </c>
      <c r="AJ705" s="14" t="n">
        <f aca="false">W705-AH705-AI705</f>
        <v>0</v>
      </c>
      <c r="AK705" s="9" t="n">
        <f aca="false">IF(W705=0,0,X705*AH705/W705)</f>
        <v>0</v>
      </c>
      <c r="AL705" s="9" t="n">
        <f aca="false">IF(W705=0,0,X705*AI705/W705)</f>
        <v>0</v>
      </c>
      <c r="AM705" s="9" t="n">
        <f aca="false">X705-AK705-AL705</f>
        <v>0</v>
      </c>
    </row>
    <row r="706" customFormat="false" ht="15" hidden="false" customHeight="false" outlineLevel="0" collapsed="false">
      <c r="A706" s="6" t="n">
        <v>701</v>
      </c>
      <c r="B706" s="74" t="s">
        <v>1017</v>
      </c>
      <c r="C706" s="53" t="str">
        <f aca="false">INDEX(I_Items!$C$5:$C$133,MATCH($B706,I_Items!$A$5:$A$133,0))</f>
        <v>RPA</v>
      </c>
      <c r="D706" s="53" t="str">
        <f aca="false">INDEX(I_Items!$D$5:$D$133,MATCH($B706,I_Items!$A$5:$A$133,0))</f>
        <v>Karkas</v>
      </c>
      <c r="E706" s="53" t="str">
        <f aca="false">INDEX(I_Items!$F$5:$F$133,MATCH($B706,I_Items!$A$5:$A$133,0))</f>
        <v>Frozen</v>
      </c>
      <c r="F706" s="53" t="str">
        <f aca="false">IF(INDEX(I_Items!$E$5:$E$133,MATCH($B706,I_Items!$A$5:$A$133,0))="","",INDEX(I_Items!$E$5:$E$133,MATCH($B706,I_Items!$A$5:$A$133,0)))</f>
        <v>Uk 0.7</v>
      </c>
      <c r="G706" s="76" t="n">
        <v>46204</v>
      </c>
      <c r="H706" s="23" t="n">
        <f aca="false">MONTH(G706)</f>
        <v>7</v>
      </c>
      <c r="I706" s="74" t="s">
        <v>2072</v>
      </c>
      <c r="J706" s="74" t="s">
        <v>2073</v>
      </c>
      <c r="K706" s="10" t="n">
        <v>3239.2</v>
      </c>
      <c r="L706" s="8" t="n">
        <v>83210260.91</v>
      </c>
      <c r="M706" s="10" t="n">
        <v>0</v>
      </c>
      <c r="N706" s="8" t="n">
        <v>0</v>
      </c>
      <c r="O706" s="74"/>
      <c r="P706" s="74"/>
      <c r="Q706" s="74"/>
      <c r="R706" s="14" t="n">
        <f aca="false">IF(I706="Unbilled",0,M706)</f>
        <v>0</v>
      </c>
      <c r="S706" s="9" t="n">
        <f aca="false">IF(R706=0,0,IF(O706="Booked",N706,R706*V705))</f>
        <v>0</v>
      </c>
      <c r="T706" s="14" t="n">
        <f aca="false">IF(I706="Opening",K706,T705+K706-R706)</f>
        <v>3239.2</v>
      </c>
      <c r="U706" s="9" t="n">
        <f aca="false">IF(I706="Opening",L706,U705+L706-S706)</f>
        <v>83210260.91</v>
      </c>
      <c r="V706" s="9" t="n">
        <f aca="false">IF(T706&gt;0,U706/T706,IF(I706="Opening",0,V705))</f>
        <v>25688.5221381823</v>
      </c>
      <c r="W706" s="14" t="n">
        <f aca="false">M706</f>
        <v>0</v>
      </c>
      <c r="X706" s="9" t="n">
        <f aca="false">IF(W706=0,0,IF(O706="Booked",N706,W706*AA705))</f>
        <v>0</v>
      </c>
      <c r="Y706" s="14" t="n">
        <f aca="false">IF(I706="Opening",K706,Y705+K706-W706)</f>
        <v>3239.2</v>
      </c>
      <c r="Z706" s="9" t="n">
        <f aca="false">IF(I706="Opening",L706,Z705+L706-X706)</f>
        <v>83210260.91</v>
      </c>
      <c r="AA706" s="9" t="n">
        <f aca="false">IF(Y706&gt;0,Z706/Y706,IF(I706="Opening",0,AA705))</f>
        <v>25688.5221381823</v>
      </c>
      <c r="AB706" s="9" t="n">
        <f aca="false">IF(AND(I706="DO",O706="MA"),S706-N706,0)</f>
        <v>0</v>
      </c>
      <c r="AC706" s="9" t="n">
        <f aca="false">IF(I706="DO",X706-S706,0)</f>
        <v>0</v>
      </c>
      <c r="AD706" s="23" t="n">
        <f aca="false">IF(B707&lt;&gt;B706,1,0)</f>
        <v>0</v>
      </c>
      <c r="AE706" s="14" t="n">
        <f aca="false">IF(I706="Opening",0,AE705+W706)</f>
        <v>0</v>
      </c>
      <c r="AF706" s="14" t="n">
        <f aca="false">IF(I706="Opening",K706,AF705)</f>
        <v>3239.2</v>
      </c>
      <c r="AG706" s="14" t="n">
        <f aca="false">SUMIFS($K$6:$K$1110,$B$6:$B$1110,B706,$H$6:$H$1110,7,$I$6:$I$1110,"&lt;&gt;Opening")</f>
        <v>0</v>
      </c>
      <c r="AH706" s="14" t="n">
        <f aca="false">IF(W706=0,0,MAX(0,MIN(AE706,AF706)-MIN(AE706-W706,AF706)))</f>
        <v>0</v>
      </c>
      <c r="AI706" s="14" t="n">
        <f aca="false">IF(W706=0,0,MAX(0,MIN(AE706,AF706+AG706)-MAX(AE706-W706,AF706)))</f>
        <v>0</v>
      </c>
      <c r="AJ706" s="14" t="n">
        <f aca="false">W706-AH706-AI706</f>
        <v>0</v>
      </c>
      <c r="AK706" s="9" t="n">
        <f aca="false">IF(W706=0,0,X706*AH706/W706)</f>
        <v>0</v>
      </c>
      <c r="AL706" s="9" t="n">
        <f aca="false">IF(W706=0,0,X706*AI706/W706)</f>
        <v>0</v>
      </c>
      <c r="AM706" s="9" t="n">
        <f aca="false">X706-AK706-AL706</f>
        <v>0</v>
      </c>
    </row>
    <row r="707" customFormat="false" ht="15" hidden="false" customHeight="false" outlineLevel="0" collapsed="false">
      <c r="A707" s="6" t="n">
        <v>702</v>
      </c>
      <c r="B707" s="74" t="s">
        <v>1017</v>
      </c>
      <c r="C707" s="53" t="str">
        <f aca="false">INDEX(I_Items!$C$5:$C$133,MATCH($B707,I_Items!$A$5:$A$133,0))</f>
        <v>RPA</v>
      </c>
      <c r="D707" s="53" t="str">
        <f aca="false">INDEX(I_Items!$D$5:$D$133,MATCH($B707,I_Items!$A$5:$A$133,0))</f>
        <v>Karkas</v>
      </c>
      <c r="E707" s="53" t="str">
        <f aca="false">INDEX(I_Items!$F$5:$F$133,MATCH($B707,I_Items!$A$5:$A$133,0))</f>
        <v>Frozen</v>
      </c>
      <c r="F707" s="53" t="str">
        <f aca="false">IF(INDEX(I_Items!$E$5:$E$133,MATCH($B707,I_Items!$A$5:$A$133,0))="","",INDEX(I_Items!$E$5:$E$133,MATCH($B707,I_Items!$A$5:$A$133,0)))</f>
        <v>Uk 0.7</v>
      </c>
      <c r="G707" s="76" t="n">
        <v>46225</v>
      </c>
      <c r="H707" s="23" t="n">
        <f aca="false">MONTH(G707)</f>
        <v>7</v>
      </c>
      <c r="I707" s="74" t="s">
        <v>2075</v>
      </c>
      <c r="J707" s="74" t="s">
        <v>2145</v>
      </c>
      <c r="K707" s="10" t="n">
        <v>0</v>
      </c>
      <c r="L707" s="8" t="n">
        <v>0</v>
      </c>
      <c r="M707" s="10" t="n">
        <v>96.33</v>
      </c>
      <c r="N707" s="8" t="n">
        <v>2474575.33</v>
      </c>
      <c r="O707" s="74" t="s">
        <v>2077</v>
      </c>
      <c r="P707" s="74"/>
      <c r="Q707" s="74"/>
      <c r="R707" s="14" t="n">
        <f aca="false">IF(I707="Unbilled",0,M707)</f>
        <v>96.33</v>
      </c>
      <c r="S707" s="9" t="n">
        <f aca="false">IF(R707=0,0,IF(O707="Booked",N707,R707*V706))</f>
        <v>2474575.3375711</v>
      </c>
      <c r="T707" s="14" t="n">
        <f aca="false">IF(I707="Opening",K707,T706+K707-R707)</f>
        <v>3142.87</v>
      </c>
      <c r="U707" s="9" t="n">
        <f aca="false">IF(I707="Opening",L707,U706+L707-S707)</f>
        <v>80735685.5724289</v>
      </c>
      <c r="V707" s="9" t="n">
        <f aca="false">IF(T707&gt;0,U707/T707,IF(I707="Opening",0,V706))</f>
        <v>25688.5221381823</v>
      </c>
      <c r="W707" s="14" t="n">
        <f aca="false">M707</f>
        <v>96.33</v>
      </c>
      <c r="X707" s="9" t="n">
        <f aca="false">IF(W707=0,0,IF(O707="Booked",N707,W707*AA706))</f>
        <v>2474575.3375711</v>
      </c>
      <c r="Y707" s="14" t="n">
        <f aca="false">IF(I707="Opening",K707,Y706+K707-W707)</f>
        <v>3142.87</v>
      </c>
      <c r="Z707" s="9" t="n">
        <f aca="false">IF(I707="Opening",L707,Z706+L707-X707)</f>
        <v>80735685.5724289</v>
      </c>
      <c r="AA707" s="9" t="n">
        <f aca="false">IF(Y707&gt;0,Z707/Y707,IF(I707="Opening",0,AA706))</f>
        <v>25688.5221381823</v>
      </c>
      <c r="AB707" s="9" t="n">
        <f aca="false">IF(AND(I707="DO",O707="MA"),S707-N707,0)</f>
        <v>0.00757109746336937</v>
      </c>
      <c r="AC707" s="9" t="n">
        <f aca="false">IF(I707="DO",X707-S707,0)</f>
        <v>0</v>
      </c>
      <c r="AD707" s="23" t="n">
        <f aca="false">IF(B708&lt;&gt;B707,1,0)</f>
        <v>0</v>
      </c>
      <c r="AE707" s="14" t="n">
        <f aca="false">IF(I707="Opening",0,AE706+W707)</f>
        <v>96.33</v>
      </c>
      <c r="AF707" s="14" t="n">
        <f aca="false">IF(I707="Opening",K707,AF706)</f>
        <v>3239.2</v>
      </c>
      <c r="AG707" s="14" t="n">
        <f aca="false">AG706</f>
        <v>0</v>
      </c>
      <c r="AH707" s="14" t="n">
        <f aca="false">IF(W707=0,0,MAX(0,MIN(AE707,AF707)-MIN(AE707-W707,AF707)))</f>
        <v>96.33</v>
      </c>
      <c r="AI707" s="14" t="n">
        <f aca="false">IF(W707=0,0,MAX(0,MIN(AE707,AF707+AG707)-MAX(AE707-W707,AF707)))</f>
        <v>0</v>
      </c>
      <c r="AJ707" s="14" t="n">
        <f aca="false">W707-AH707-AI707</f>
        <v>0</v>
      </c>
      <c r="AK707" s="9" t="n">
        <f aca="false">IF(W707=0,0,X707*AH707/W707)</f>
        <v>2474575.3375711</v>
      </c>
      <c r="AL707" s="9" t="n">
        <f aca="false">IF(W707=0,0,X707*AI707/W707)</f>
        <v>0</v>
      </c>
      <c r="AM707" s="9" t="n">
        <f aca="false">X707-AK707-AL707</f>
        <v>0</v>
      </c>
    </row>
    <row r="708" customFormat="false" ht="15" hidden="false" customHeight="false" outlineLevel="0" collapsed="false">
      <c r="A708" s="6" t="n">
        <v>703</v>
      </c>
      <c r="B708" s="74" t="s">
        <v>1017</v>
      </c>
      <c r="C708" s="53" t="str">
        <f aca="false">INDEX(I_Items!$C$5:$C$133,MATCH($B708,I_Items!$A$5:$A$133,0))</f>
        <v>RPA</v>
      </c>
      <c r="D708" s="53" t="str">
        <f aca="false">INDEX(I_Items!$D$5:$D$133,MATCH($B708,I_Items!$A$5:$A$133,0))</f>
        <v>Karkas</v>
      </c>
      <c r="E708" s="53" t="str">
        <f aca="false">INDEX(I_Items!$F$5:$F$133,MATCH($B708,I_Items!$A$5:$A$133,0))</f>
        <v>Frozen</v>
      </c>
      <c r="F708" s="53" t="str">
        <f aca="false">IF(INDEX(I_Items!$E$5:$E$133,MATCH($B708,I_Items!$A$5:$A$133,0))="","",INDEX(I_Items!$E$5:$E$133,MATCH($B708,I_Items!$A$5:$A$133,0)))</f>
        <v>Uk 0.7</v>
      </c>
      <c r="G708" s="76" t="n">
        <v>46241</v>
      </c>
      <c r="H708" s="23" t="n">
        <f aca="false">MONTH(G708)</f>
        <v>8</v>
      </c>
      <c r="I708" s="74" t="s">
        <v>2074</v>
      </c>
      <c r="J708" s="74" t="s">
        <v>1290</v>
      </c>
      <c r="K708" s="10" t="n">
        <v>29.5</v>
      </c>
      <c r="L708" s="8" t="n">
        <v>1124463</v>
      </c>
      <c r="M708" s="10" t="n">
        <v>0</v>
      </c>
      <c r="N708" s="8" t="n">
        <v>0</v>
      </c>
      <c r="O708" s="74"/>
      <c r="P708" s="74"/>
      <c r="Q708" s="74"/>
      <c r="R708" s="14" t="n">
        <f aca="false">IF(I708="Unbilled",0,M708)</f>
        <v>0</v>
      </c>
      <c r="S708" s="9" t="n">
        <f aca="false">IF(R708=0,0,IF(O708="Booked",N708,R708*V707))</f>
        <v>0</v>
      </c>
      <c r="T708" s="14" t="n">
        <f aca="false">IF(I708="Opening",K708,T707+K708-R708)</f>
        <v>3172.37</v>
      </c>
      <c r="U708" s="9" t="n">
        <f aca="false">IF(I708="Opening",L708,U707+L708-S708)</f>
        <v>81860148.5724289</v>
      </c>
      <c r="V708" s="9" t="n">
        <f aca="false">IF(T708&gt;0,U708/T708,IF(I708="Opening",0,V707))</f>
        <v>25804.0986935411</v>
      </c>
      <c r="W708" s="14" t="n">
        <f aca="false">M708</f>
        <v>0</v>
      </c>
      <c r="X708" s="9" t="n">
        <f aca="false">IF(W708=0,0,IF(O708="Booked",N708,W708*AA707))</f>
        <v>0</v>
      </c>
      <c r="Y708" s="14" t="n">
        <f aca="false">IF(I708="Opening",K708,Y707+K708-W708)</f>
        <v>3172.37</v>
      </c>
      <c r="Z708" s="9" t="n">
        <f aca="false">IF(I708="Opening",L708,Z707+L708-X708)</f>
        <v>81860148.5724289</v>
      </c>
      <c r="AA708" s="9" t="n">
        <f aca="false">IF(Y708&gt;0,Z708/Y708,IF(I708="Opening",0,AA707))</f>
        <v>25804.0986935411</v>
      </c>
      <c r="AB708" s="9" t="n">
        <f aca="false">IF(AND(I708="DO",O708="MA"),S708-N708,0)</f>
        <v>0</v>
      </c>
      <c r="AC708" s="9" t="n">
        <f aca="false">IF(I708="DO",X708-S708,0)</f>
        <v>0</v>
      </c>
      <c r="AD708" s="23" t="n">
        <f aca="false">IF(B709&lt;&gt;B708,1,0)</f>
        <v>0</v>
      </c>
      <c r="AE708" s="14" t="n">
        <f aca="false">IF(I708="Opening",0,AE707+W708)</f>
        <v>96.33</v>
      </c>
      <c r="AF708" s="14" t="n">
        <f aca="false">IF(I708="Opening",K708,AF707)</f>
        <v>3239.2</v>
      </c>
      <c r="AG708" s="14" t="n">
        <f aca="false">AG707</f>
        <v>0</v>
      </c>
      <c r="AH708" s="14" t="n">
        <f aca="false">IF(W708=0,0,MAX(0,MIN(AE708,AF708)-MIN(AE708-W708,AF708)))</f>
        <v>0</v>
      </c>
      <c r="AI708" s="14" t="n">
        <f aca="false">IF(W708=0,0,MAX(0,MIN(AE708,AF708+AG708)-MAX(AE708-W708,AF708)))</f>
        <v>0</v>
      </c>
      <c r="AJ708" s="14" t="n">
        <f aca="false">W708-AH708-AI708</f>
        <v>0</v>
      </c>
      <c r="AK708" s="9" t="n">
        <f aca="false">IF(W708=0,0,X708*AH708/W708)</f>
        <v>0</v>
      </c>
      <c r="AL708" s="9" t="n">
        <f aca="false">IF(W708=0,0,X708*AI708/W708)</f>
        <v>0</v>
      </c>
      <c r="AM708" s="9" t="n">
        <f aca="false">X708-AK708-AL708</f>
        <v>0</v>
      </c>
    </row>
    <row r="709" customFormat="false" ht="15" hidden="false" customHeight="false" outlineLevel="0" collapsed="false">
      <c r="A709" s="6" t="n">
        <v>704</v>
      </c>
      <c r="B709" s="74" t="s">
        <v>1017</v>
      </c>
      <c r="C709" s="53" t="str">
        <f aca="false">INDEX(I_Items!$C$5:$C$133,MATCH($B709,I_Items!$A$5:$A$133,0))</f>
        <v>RPA</v>
      </c>
      <c r="D709" s="53" t="str">
        <f aca="false">INDEX(I_Items!$D$5:$D$133,MATCH($B709,I_Items!$A$5:$A$133,0))</f>
        <v>Karkas</v>
      </c>
      <c r="E709" s="53" t="str">
        <f aca="false">INDEX(I_Items!$F$5:$F$133,MATCH($B709,I_Items!$A$5:$A$133,0))</f>
        <v>Frozen</v>
      </c>
      <c r="F709" s="53" t="str">
        <f aca="false">IF(INDEX(I_Items!$E$5:$E$133,MATCH($B709,I_Items!$A$5:$A$133,0))="","",INDEX(I_Items!$E$5:$E$133,MATCH($B709,I_Items!$A$5:$A$133,0)))</f>
        <v>Uk 0.7</v>
      </c>
      <c r="G709" s="76" t="n">
        <v>46244</v>
      </c>
      <c r="H709" s="23" t="n">
        <f aca="false">MONTH(G709)</f>
        <v>8</v>
      </c>
      <c r="I709" s="74" t="s">
        <v>2074</v>
      </c>
      <c r="J709" s="74" t="s">
        <v>1294</v>
      </c>
      <c r="K709" s="10" t="n">
        <v>101.2</v>
      </c>
      <c r="L709" s="8" t="n">
        <v>3630876.44</v>
      </c>
      <c r="M709" s="10" t="n">
        <v>0</v>
      </c>
      <c r="N709" s="8" t="n">
        <v>0</v>
      </c>
      <c r="O709" s="74"/>
      <c r="P709" s="74"/>
      <c r="Q709" s="74"/>
      <c r="R709" s="14" t="n">
        <f aca="false">IF(I709="Unbilled",0,M709)</f>
        <v>0</v>
      </c>
      <c r="S709" s="9" t="n">
        <f aca="false">IF(R709=0,0,IF(O709="Booked",N709,R709*V708))</f>
        <v>0</v>
      </c>
      <c r="T709" s="14" t="n">
        <f aca="false">IF(I709="Opening",K709,T708+K709-R709)</f>
        <v>3273.57</v>
      </c>
      <c r="U709" s="9" t="n">
        <f aca="false">IF(I709="Opening",L709,U708+L709-S709)</f>
        <v>85491025.0124289</v>
      </c>
      <c r="V709" s="9" t="n">
        <f aca="false">IF(T709&gt;0,U709/T709,IF(I709="Opening",0,V708))</f>
        <v>26115.5328929667</v>
      </c>
      <c r="W709" s="14" t="n">
        <f aca="false">M709</f>
        <v>0</v>
      </c>
      <c r="X709" s="9" t="n">
        <f aca="false">IF(W709=0,0,IF(O709="Booked",N709,W709*AA708))</f>
        <v>0</v>
      </c>
      <c r="Y709" s="14" t="n">
        <f aca="false">IF(I709="Opening",K709,Y708+K709-W709)</f>
        <v>3273.57</v>
      </c>
      <c r="Z709" s="9" t="n">
        <f aca="false">IF(I709="Opening",L709,Z708+L709-X709)</f>
        <v>85491025.0124289</v>
      </c>
      <c r="AA709" s="9" t="n">
        <f aca="false">IF(Y709&gt;0,Z709/Y709,IF(I709="Opening",0,AA708))</f>
        <v>26115.5328929667</v>
      </c>
      <c r="AB709" s="9" t="n">
        <f aca="false">IF(AND(I709="DO",O709="MA"),S709-N709,0)</f>
        <v>0</v>
      </c>
      <c r="AC709" s="9" t="n">
        <f aca="false">IF(I709="DO",X709-S709,0)</f>
        <v>0</v>
      </c>
      <c r="AD709" s="23" t="n">
        <f aca="false">IF(B710&lt;&gt;B709,1,0)</f>
        <v>0</v>
      </c>
      <c r="AE709" s="14" t="n">
        <f aca="false">IF(I709="Opening",0,AE708+W709)</f>
        <v>96.33</v>
      </c>
      <c r="AF709" s="14" t="n">
        <f aca="false">IF(I709="Opening",K709,AF708)</f>
        <v>3239.2</v>
      </c>
      <c r="AG709" s="14" t="n">
        <f aca="false">AG708</f>
        <v>0</v>
      </c>
      <c r="AH709" s="14" t="n">
        <f aca="false">IF(W709=0,0,MAX(0,MIN(AE709,AF709)-MIN(AE709-W709,AF709)))</f>
        <v>0</v>
      </c>
      <c r="AI709" s="14" t="n">
        <f aca="false">IF(W709=0,0,MAX(0,MIN(AE709,AF709+AG709)-MAX(AE709-W709,AF709)))</f>
        <v>0</v>
      </c>
      <c r="AJ709" s="14" t="n">
        <f aca="false">W709-AH709-AI709</f>
        <v>0</v>
      </c>
      <c r="AK709" s="9" t="n">
        <f aca="false">IF(W709=0,0,X709*AH709/W709)</f>
        <v>0</v>
      </c>
      <c r="AL709" s="9" t="n">
        <f aca="false">IF(W709=0,0,X709*AI709/W709)</f>
        <v>0</v>
      </c>
      <c r="AM709" s="9" t="n">
        <f aca="false">X709-AK709-AL709</f>
        <v>0</v>
      </c>
    </row>
    <row r="710" customFormat="false" ht="15" hidden="false" customHeight="false" outlineLevel="0" collapsed="false">
      <c r="A710" s="6" t="n">
        <v>705</v>
      </c>
      <c r="B710" s="74" t="s">
        <v>1017</v>
      </c>
      <c r="C710" s="53" t="str">
        <f aca="false">INDEX(I_Items!$C$5:$C$133,MATCH($B710,I_Items!$A$5:$A$133,0))</f>
        <v>RPA</v>
      </c>
      <c r="D710" s="53" t="str">
        <f aca="false">INDEX(I_Items!$D$5:$D$133,MATCH($B710,I_Items!$A$5:$A$133,0))</f>
        <v>Karkas</v>
      </c>
      <c r="E710" s="53" t="str">
        <f aca="false">INDEX(I_Items!$F$5:$F$133,MATCH($B710,I_Items!$A$5:$A$133,0))</f>
        <v>Frozen</v>
      </c>
      <c r="F710" s="53" t="str">
        <f aca="false">IF(INDEX(I_Items!$E$5:$E$133,MATCH($B710,I_Items!$A$5:$A$133,0))="","",INDEX(I_Items!$E$5:$E$133,MATCH($B710,I_Items!$A$5:$A$133,0)))</f>
        <v>Uk 0.7</v>
      </c>
      <c r="G710" s="76" t="n">
        <v>46244</v>
      </c>
      <c r="H710" s="23" t="n">
        <f aca="false">MONTH(G710)</f>
        <v>8</v>
      </c>
      <c r="I710" s="74" t="s">
        <v>2074</v>
      </c>
      <c r="J710" s="74" t="s">
        <v>1298</v>
      </c>
      <c r="K710" s="10" t="n">
        <v>7.7</v>
      </c>
      <c r="L710" s="8" t="n">
        <v>292093.6</v>
      </c>
      <c r="M710" s="10" t="n">
        <v>0</v>
      </c>
      <c r="N710" s="8" t="n">
        <v>0</v>
      </c>
      <c r="O710" s="74"/>
      <c r="P710" s="74"/>
      <c r="Q710" s="74"/>
      <c r="R710" s="14" t="n">
        <f aca="false">IF(I710="Unbilled",0,M710)</f>
        <v>0</v>
      </c>
      <c r="S710" s="9" t="n">
        <f aca="false">IF(R710=0,0,IF(O710="Booked",N710,R710*V709))</f>
        <v>0</v>
      </c>
      <c r="T710" s="14" t="n">
        <f aca="false">IF(I710="Opening",K710,T709+K710-R710)</f>
        <v>3281.27</v>
      </c>
      <c r="U710" s="9" t="n">
        <f aca="false">IF(I710="Opening",L710,U709+L710-S710)</f>
        <v>85783118.6124289</v>
      </c>
      <c r="V710" s="9" t="n">
        <f aca="false">IF(T710&gt;0,U710/T710,IF(I710="Opening",0,V709))</f>
        <v>26143.2672753016</v>
      </c>
      <c r="W710" s="14" t="n">
        <f aca="false">M710</f>
        <v>0</v>
      </c>
      <c r="X710" s="9" t="n">
        <f aca="false">IF(W710=0,0,IF(O710="Booked",N710,W710*AA709))</f>
        <v>0</v>
      </c>
      <c r="Y710" s="14" t="n">
        <f aca="false">IF(I710="Opening",K710,Y709+K710-W710)</f>
        <v>3281.27</v>
      </c>
      <c r="Z710" s="9" t="n">
        <f aca="false">IF(I710="Opening",L710,Z709+L710-X710)</f>
        <v>85783118.6124289</v>
      </c>
      <c r="AA710" s="9" t="n">
        <f aca="false">IF(Y710&gt;0,Z710/Y710,IF(I710="Opening",0,AA709))</f>
        <v>26143.2672753016</v>
      </c>
      <c r="AB710" s="9" t="n">
        <f aca="false">IF(AND(I710="DO",O710="MA"),S710-N710,0)</f>
        <v>0</v>
      </c>
      <c r="AC710" s="9" t="n">
        <f aca="false">IF(I710="DO",X710-S710,0)</f>
        <v>0</v>
      </c>
      <c r="AD710" s="23" t="n">
        <f aca="false">IF(B711&lt;&gt;B710,1,0)</f>
        <v>0</v>
      </c>
      <c r="AE710" s="14" t="n">
        <f aca="false">IF(I710="Opening",0,AE709+W710)</f>
        <v>96.33</v>
      </c>
      <c r="AF710" s="14" t="n">
        <f aca="false">IF(I710="Opening",K710,AF709)</f>
        <v>3239.2</v>
      </c>
      <c r="AG710" s="14" t="n">
        <f aca="false">AG709</f>
        <v>0</v>
      </c>
      <c r="AH710" s="14" t="n">
        <f aca="false">IF(W710=0,0,MAX(0,MIN(AE710,AF710)-MIN(AE710-W710,AF710)))</f>
        <v>0</v>
      </c>
      <c r="AI710" s="14" t="n">
        <f aca="false">IF(W710=0,0,MAX(0,MIN(AE710,AF710+AG710)-MAX(AE710-W710,AF710)))</f>
        <v>0</v>
      </c>
      <c r="AJ710" s="14" t="n">
        <f aca="false">W710-AH710-AI710</f>
        <v>0</v>
      </c>
      <c r="AK710" s="9" t="n">
        <f aca="false">IF(W710=0,0,X710*AH710/W710)</f>
        <v>0</v>
      </c>
      <c r="AL710" s="9" t="n">
        <f aca="false">IF(W710=0,0,X710*AI710/W710)</f>
        <v>0</v>
      </c>
      <c r="AM710" s="9" t="n">
        <f aca="false">X710-AK710-AL710</f>
        <v>0</v>
      </c>
    </row>
    <row r="711" customFormat="false" ht="15" hidden="false" customHeight="false" outlineLevel="0" collapsed="false">
      <c r="A711" s="6" t="n">
        <v>706</v>
      </c>
      <c r="B711" s="74" t="s">
        <v>1017</v>
      </c>
      <c r="C711" s="53" t="str">
        <f aca="false">INDEX(I_Items!$C$5:$C$133,MATCH($B711,I_Items!$A$5:$A$133,0))</f>
        <v>RPA</v>
      </c>
      <c r="D711" s="53" t="str">
        <f aca="false">INDEX(I_Items!$D$5:$D$133,MATCH($B711,I_Items!$A$5:$A$133,0))</f>
        <v>Karkas</v>
      </c>
      <c r="E711" s="53" t="str">
        <f aca="false">INDEX(I_Items!$F$5:$F$133,MATCH($B711,I_Items!$A$5:$A$133,0))</f>
        <v>Frozen</v>
      </c>
      <c r="F711" s="53" t="str">
        <f aca="false">IF(INDEX(I_Items!$E$5:$E$133,MATCH($B711,I_Items!$A$5:$A$133,0))="","",INDEX(I_Items!$E$5:$E$133,MATCH($B711,I_Items!$A$5:$A$133,0)))</f>
        <v>Uk 0.7</v>
      </c>
      <c r="G711" s="76" t="n">
        <v>46248</v>
      </c>
      <c r="H711" s="23" t="n">
        <f aca="false">MONTH(G711)</f>
        <v>8</v>
      </c>
      <c r="I711" s="74" t="s">
        <v>2074</v>
      </c>
      <c r="J711" s="74" t="s">
        <v>1302</v>
      </c>
      <c r="K711" s="10" t="n">
        <v>9.4</v>
      </c>
      <c r="L711" s="8" t="n">
        <v>359886.89</v>
      </c>
      <c r="M711" s="10" t="n">
        <v>0</v>
      </c>
      <c r="N711" s="8" t="n">
        <v>0</v>
      </c>
      <c r="O711" s="74"/>
      <c r="P711" s="74"/>
      <c r="Q711" s="74"/>
      <c r="R711" s="14" t="n">
        <f aca="false">IF(I711="Unbilled",0,M711)</f>
        <v>0</v>
      </c>
      <c r="S711" s="9" t="n">
        <f aca="false">IF(R711=0,0,IF(O711="Booked",N711,R711*V710))</f>
        <v>0</v>
      </c>
      <c r="T711" s="14" t="n">
        <f aca="false">IF(I711="Opening",K711,T710+K711-R711)</f>
        <v>3290.67</v>
      </c>
      <c r="U711" s="9" t="n">
        <f aca="false">IF(I711="Opening",L711,U710+L711-S711)</f>
        <v>86143005.5024289</v>
      </c>
      <c r="V711" s="9" t="n">
        <f aca="false">IF(T711&gt;0,U711/T711,IF(I711="Opening",0,V710))</f>
        <v>26177.9532746914</v>
      </c>
      <c r="W711" s="14" t="n">
        <f aca="false">M711</f>
        <v>0</v>
      </c>
      <c r="X711" s="9" t="n">
        <f aca="false">IF(W711=0,0,IF(O711="Booked",N711,W711*AA710))</f>
        <v>0</v>
      </c>
      <c r="Y711" s="14" t="n">
        <f aca="false">IF(I711="Opening",K711,Y710+K711-W711)</f>
        <v>3290.67</v>
      </c>
      <c r="Z711" s="9" t="n">
        <f aca="false">IF(I711="Opening",L711,Z710+L711-X711)</f>
        <v>86143005.5024289</v>
      </c>
      <c r="AA711" s="9" t="n">
        <f aca="false">IF(Y711&gt;0,Z711/Y711,IF(I711="Opening",0,AA710))</f>
        <v>26177.9532746914</v>
      </c>
      <c r="AB711" s="9" t="n">
        <f aca="false">IF(AND(I711="DO",O711="MA"),S711-N711,0)</f>
        <v>0</v>
      </c>
      <c r="AC711" s="9" t="n">
        <f aca="false">IF(I711="DO",X711-S711,0)</f>
        <v>0</v>
      </c>
      <c r="AD711" s="23" t="n">
        <f aca="false">IF(B712&lt;&gt;B711,1,0)</f>
        <v>0</v>
      </c>
      <c r="AE711" s="14" t="n">
        <f aca="false">IF(I711="Opening",0,AE710+W711)</f>
        <v>96.33</v>
      </c>
      <c r="AF711" s="14" t="n">
        <f aca="false">IF(I711="Opening",K711,AF710)</f>
        <v>3239.2</v>
      </c>
      <c r="AG711" s="14" t="n">
        <f aca="false">AG710</f>
        <v>0</v>
      </c>
      <c r="AH711" s="14" t="n">
        <f aca="false">IF(W711=0,0,MAX(0,MIN(AE711,AF711)-MIN(AE711-W711,AF711)))</f>
        <v>0</v>
      </c>
      <c r="AI711" s="14" t="n">
        <f aca="false">IF(W711=0,0,MAX(0,MIN(AE711,AF711+AG711)-MAX(AE711-W711,AF711)))</f>
        <v>0</v>
      </c>
      <c r="AJ711" s="14" t="n">
        <f aca="false">W711-AH711-AI711</f>
        <v>0</v>
      </c>
      <c r="AK711" s="9" t="n">
        <f aca="false">IF(W711=0,0,X711*AH711/W711)</f>
        <v>0</v>
      </c>
      <c r="AL711" s="9" t="n">
        <f aca="false">IF(W711=0,0,X711*AI711/W711)</f>
        <v>0</v>
      </c>
      <c r="AM711" s="9" t="n">
        <f aca="false">X711-AK711-AL711</f>
        <v>0</v>
      </c>
    </row>
    <row r="712" customFormat="false" ht="15" hidden="false" customHeight="false" outlineLevel="0" collapsed="false">
      <c r="A712" s="6" t="n">
        <v>707</v>
      </c>
      <c r="B712" s="74" t="s">
        <v>1017</v>
      </c>
      <c r="C712" s="53" t="str">
        <f aca="false">INDEX(I_Items!$C$5:$C$133,MATCH($B712,I_Items!$A$5:$A$133,0))</f>
        <v>RPA</v>
      </c>
      <c r="D712" s="53" t="str">
        <f aca="false">INDEX(I_Items!$D$5:$D$133,MATCH($B712,I_Items!$A$5:$A$133,0))</f>
        <v>Karkas</v>
      </c>
      <c r="E712" s="53" t="str">
        <f aca="false">INDEX(I_Items!$F$5:$F$133,MATCH($B712,I_Items!$A$5:$A$133,0))</f>
        <v>Frozen</v>
      </c>
      <c r="F712" s="53" t="str">
        <f aca="false">IF(INDEX(I_Items!$E$5:$E$133,MATCH($B712,I_Items!$A$5:$A$133,0))="","",INDEX(I_Items!$E$5:$E$133,MATCH($B712,I_Items!$A$5:$A$133,0)))</f>
        <v>Uk 0.7</v>
      </c>
      <c r="G712" s="76" t="n">
        <v>46248</v>
      </c>
      <c r="H712" s="23" t="n">
        <f aca="false">MONTH(G712)</f>
        <v>8</v>
      </c>
      <c r="I712" s="74" t="s">
        <v>2074</v>
      </c>
      <c r="J712" s="74" t="s">
        <v>1302</v>
      </c>
      <c r="K712" s="10" t="n">
        <v>34.6</v>
      </c>
      <c r="L712" s="8" t="n">
        <v>1324690.04</v>
      </c>
      <c r="M712" s="10" t="n">
        <v>0</v>
      </c>
      <c r="N712" s="8" t="n">
        <v>0</v>
      </c>
      <c r="O712" s="74"/>
      <c r="P712" s="74"/>
      <c r="Q712" s="74"/>
      <c r="R712" s="14" t="n">
        <f aca="false">IF(I712="Unbilled",0,M712)</f>
        <v>0</v>
      </c>
      <c r="S712" s="9" t="n">
        <f aca="false">IF(R712=0,0,IF(O712="Booked",N712,R712*V711))</f>
        <v>0</v>
      </c>
      <c r="T712" s="14" t="n">
        <f aca="false">IF(I712="Opening",K712,T711+K712-R712)</f>
        <v>3325.27</v>
      </c>
      <c r="U712" s="9" t="n">
        <f aca="false">IF(I712="Opening",L712,U711+L712-S712)</f>
        <v>87467695.5424289</v>
      </c>
      <c r="V712" s="9" t="n">
        <f aca="false">IF(T712&gt;0,U712/T712,IF(I712="Opening",0,V711))</f>
        <v>26303.9378884809</v>
      </c>
      <c r="W712" s="14" t="n">
        <f aca="false">M712</f>
        <v>0</v>
      </c>
      <c r="X712" s="9" t="n">
        <f aca="false">IF(W712=0,0,IF(O712="Booked",N712,W712*AA711))</f>
        <v>0</v>
      </c>
      <c r="Y712" s="14" t="n">
        <f aca="false">IF(I712="Opening",K712,Y711+K712-W712)</f>
        <v>3325.27</v>
      </c>
      <c r="Z712" s="9" t="n">
        <f aca="false">IF(I712="Opening",L712,Z711+L712-X712)</f>
        <v>87467695.5424289</v>
      </c>
      <c r="AA712" s="9" t="n">
        <f aca="false">IF(Y712&gt;0,Z712/Y712,IF(I712="Opening",0,AA711))</f>
        <v>26303.9378884809</v>
      </c>
      <c r="AB712" s="9" t="n">
        <f aca="false">IF(AND(I712="DO",O712="MA"),S712-N712,0)</f>
        <v>0</v>
      </c>
      <c r="AC712" s="9" t="n">
        <f aca="false">IF(I712="DO",X712-S712,0)</f>
        <v>0</v>
      </c>
      <c r="AD712" s="23" t="n">
        <f aca="false">IF(B713&lt;&gt;B712,1,0)</f>
        <v>0</v>
      </c>
      <c r="AE712" s="14" t="n">
        <f aca="false">IF(I712="Opening",0,AE711+W712)</f>
        <v>96.33</v>
      </c>
      <c r="AF712" s="14" t="n">
        <f aca="false">IF(I712="Opening",K712,AF711)</f>
        <v>3239.2</v>
      </c>
      <c r="AG712" s="14" t="n">
        <f aca="false">AG711</f>
        <v>0</v>
      </c>
      <c r="AH712" s="14" t="n">
        <f aca="false">IF(W712=0,0,MAX(0,MIN(AE712,AF712)-MIN(AE712-W712,AF712)))</f>
        <v>0</v>
      </c>
      <c r="AI712" s="14" t="n">
        <f aca="false">IF(W712=0,0,MAX(0,MIN(AE712,AF712+AG712)-MAX(AE712-W712,AF712)))</f>
        <v>0</v>
      </c>
      <c r="AJ712" s="14" t="n">
        <f aca="false">W712-AH712-AI712</f>
        <v>0</v>
      </c>
      <c r="AK712" s="9" t="n">
        <f aca="false">IF(W712=0,0,X712*AH712/W712)</f>
        <v>0</v>
      </c>
      <c r="AL712" s="9" t="n">
        <f aca="false">IF(W712=0,0,X712*AI712/W712)</f>
        <v>0</v>
      </c>
      <c r="AM712" s="9" t="n">
        <f aca="false">X712-AK712-AL712</f>
        <v>0</v>
      </c>
    </row>
    <row r="713" customFormat="false" ht="15" hidden="false" customHeight="false" outlineLevel="0" collapsed="false">
      <c r="A713" s="6" t="n">
        <v>708</v>
      </c>
      <c r="B713" s="74" t="s">
        <v>1017</v>
      </c>
      <c r="C713" s="53" t="str">
        <f aca="false">INDEX(I_Items!$C$5:$C$133,MATCH($B713,I_Items!$A$5:$A$133,0))</f>
        <v>RPA</v>
      </c>
      <c r="D713" s="53" t="str">
        <f aca="false">INDEX(I_Items!$D$5:$D$133,MATCH($B713,I_Items!$A$5:$A$133,0))</f>
        <v>Karkas</v>
      </c>
      <c r="E713" s="53" t="str">
        <f aca="false">INDEX(I_Items!$F$5:$F$133,MATCH($B713,I_Items!$A$5:$A$133,0))</f>
        <v>Frozen</v>
      </c>
      <c r="F713" s="53" t="str">
        <f aca="false">IF(INDEX(I_Items!$E$5:$E$133,MATCH($B713,I_Items!$A$5:$A$133,0))="","",INDEX(I_Items!$E$5:$E$133,MATCH($B713,I_Items!$A$5:$A$133,0)))</f>
        <v>Uk 0.7</v>
      </c>
      <c r="G713" s="76" t="n">
        <v>46252</v>
      </c>
      <c r="H713" s="23" t="n">
        <f aca="false">MONTH(G713)</f>
        <v>8</v>
      </c>
      <c r="I713" s="74" t="s">
        <v>2075</v>
      </c>
      <c r="J713" s="74" t="s">
        <v>2177</v>
      </c>
      <c r="K713" s="10" t="n">
        <v>0</v>
      </c>
      <c r="L713" s="8" t="n">
        <v>0</v>
      </c>
      <c r="M713" s="10" t="n">
        <v>1261</v>
      </c>
      <c r="N713" s="8" t="n">
        <v>33169265.69</v>
      </c>
      <c r="O713" s="74" t="s">
        <v>2077</v>
      </c>
      <c r="P713" s="74"/>
      <c r="Q713" s="74"/>
      <c r="R713" s="14" t="n">
        <f aca="false">IF(I713="Unbilled",0,M713)</f>
        <v>1261</v>
      </c>
      <c r="S713" s="9" t="n">
        <f aca="false">IF(R713=0,0,IF(O713="Booked",N713,R713*V712))</f>
        <v>33169265.6773744</v>
      </c>
      <c r="T713" s="14" t="n">
        <f aca="false">IF(I713="Opening",K713,T712+K713-R713)</f>
        <v>2064.27</v>
      </c>
      <c r="U713" s="9" t="n">
        <f aca="false">IF(I713="Opening",L713,U712+L713-S713)</f>
        <v>54298429.8650545</v>
      </c>
      <c r="V713" s="9" t="n">
        <f aca="false">IF(T713&gt;0,U713/T713,IF(I713="Opening",0,V712))</f>
        <v>26303.9378884809</v>
      </c>
      <c r="W713" s="14" t="n">
        <f aca="false">M713</f>
        <v>1261</v>
      </c>
      <c r="X713" s="9" t="n">
        <f aca="false">IF(W713=0,0,IF(O713="Booked",N713,W713*AA712))</f>
        <v>33169265.6773744</v>
      </c>
      <c r="Y713" s="14" t="n">
        <f aca="false">IF(I713="Opening",K713,Y712+K713-W713)</f>
        <v>2064.27</v>
      </c>
      <c r="Z713" s="9" t="n">
        <f aca="false">IF(I713="Opening",L713,Z712+L713-X713)</f>
        <v>54298429.8650545</v>
      </c>
      <c r="AA713" s="9" t="n">
        <f aca="false">IF(Y713&gt;0,Z713/Y713,IF(I713="Opening",0,AA712))</f>
        <v>26303.9378884809</v>
      </c>
      <c r="AB713" s="9" t="n">
        <f aca="false">IF(AND(I713="DO",O713="MA"),S713-N713,0)</f>
        <v>-0.0126255750656128</v>
      </c>
      <c r="AC713" s="9" t="n">
        <f aca="false">IF(I713="DO",X713-S713,0)</f>
        <v>0</v>
      </c>
      <c r="AD713" s="23" t="n">
        <f aca="false">IF(B714&lt;&gt;B713,1,0)</f>
        <v>0</v>
      </c>
      <c r="AE713" s="14" t="n">
        <f aca="false">IF(I713="Opening",0,AE712+W713)</f>
        <v>1357.33</v>
      </c>
      <c r="AF713" s="14" t="n">
        <f aca="false">IF(I713="Opening",K713,AF712)</f>
        <v>3239.2</v>
      </c>
      <c r="AG713" s="14" t="n">
        <f aca="false">AG712</f>
        <v>0</v>
      </c>
      <c r="AH713" s="14" t="n">
        <f aca="false">IF(W713=0,0,MAX(0,MIN(AE713,AF713)-MIN(AE713-W713,AF713)))</f>
        <v>1261</v>
      </c>
      <c r="AI713" s="14" t="n">
        <f aca="false">IF(W713=0,0,MAX(0,MIN(AE713,AF713+AG713)-MAX(AE713-W713,AF713)))</f>
        <v>0</v>
      </c>
      <c r="AJ713" s="14" t="n">
        <f aca="false">W713-AH713-AI713</f>
        <v>0</v>
      </c>
      <c r="AK713" s="9" t="n">
        <f aca="false">IF(W713=0,0,X713*AH713/W713)</f>
        <v>33169265.6773744</v>
      </c>
      <c r="AL713" s="9" t="n">
        <f aca="false">IF(W713=0,0,X713*AI713/W713)</f>
        <v>0</v>
      </c>
      <c r="AM713" s="9" t="n">
        <f aca="false">X713-AK713-AL713</f>
        <v>0</v>
      </c>
    </row>
    <row r="714" customFormat="false" ht="15" hidden="false" customHeight="false" outlineLevel="0" collapsed="false">
      <c r="A714" s="6" t="n">
        <v>709</v>
      </c>
      <c r="B714" s="74" t="s">
        <v>1017</v>
      </c>
      <c r="C714" s="53" t="str">
        <f aca="false">INDEX(I_Items!$C$5:$C$133,MATCH($B714,I_Items!$A$5:$A$133,0))</f>
        <v>RPA</v>
      </c>
      <c r="D714" s="53" t="str">
        <f aca="false">INDEX(I_Items!$D$5:$D$133,MATCH($B714,I_Items!$A$5:$A$133,0))</f>
        <v>Karkas</v>
      </c>
      <c r="E714" s="53" t="str">
        <f aca="false">INDEX(I_Items!$F$5:$F$133,MATCH($B714,I_Items!$A$5:$A$133,0))</f>
        <v>Frozen</v>
      </c>
      <c r="F714" s="53" t="str">
        <f aca="false">IF(INDEX(I_Items!$E$5:$E$133,MATCH($B714,I_Items!$A$5:$A$133,0))="","",INDEX(I_Items!$E$5:$E$133,MATCH($B714,I_Items!$A$5:$A$133,0)))</f>
        <v>Uk 0.7</v>
      </c>
      <c r="G714" s="76" t="n">
        <v>46253</v>
      </c>
      <c r="H714" s="23" t="n">
        <f aca="false">MONTH(G714)</f>
        <v>8</v>
      </c>
      <c r="I714" s="74" t="s">
        <v>2074</v>
      </c>
      <c r="J714" s="74" t="s">
        <v>1305</v>
      </c>
      <c r="K714" s="10" t="n">
        <v>55.3</v>
      </c>
      <c r="L714" s="8" t="n">
        <v>2089603.92</v>
      </c>
      <c r="M714" s="10" t="n">
        <v>0</v>
      </c>
      <c r="N714" s="8" t="n">
        <v>0</v>
      </c>
      <c r="O714" s="74"/>
      <c r="P714" s="74"/>
      <c r="Q714" s="74"/>
      <c r="R714" s="14" t="n">
        <f aca="false">IF(I714="Unbilled",0,M714)</f>
        <v>0</v>
      </c>
      <c r="S714" s="9" t="n">
        <f aca="false">IF(R714=0,0,IF(O714="Booked",N714,R714*V713))</f>
        <v>0</v>
      </c>
      <c r="T714" s="14" t="n">
        <f aca="false">IF(I714="Opening",K714,T713+K714-R714)</f>
        <v>2119.57</v>
      </c>
      <c r="U714" s="9" t="n">
        <f aca="false">IF(I714="Opening",L714,U713+L714-S714)</f>
        <v>56388033.7850545</v>
      </c>
      <c r="V714" s="9" t="n">
        <f aca="false">IF(T714&gt;0,U714/T714,IF(I714="Opening",0,V713))</f>
        <v>26603.5251419177</v>
      </c>
      <c r="W714" s="14" t="n">
        <f aca="false">M714</f>
        <v>0</v>
      </c>
      <c r="X714" s="9" t="n">
        <f aca="false">IF(W714=0,0,IF(O714="Booked",N714,W714*AA713))</f>
        <v>0</v>
      </c>
      <c r="Y714" s="14" t="n">
        <f aca="false">IF(I714="Opening",K714,Y713+K714-W714)</f>
        <v>2119.57</v>
      </c>
      <c r="Z714" s="9" t="n">
        <f aca="false">IF(I714="Opening",L714,Z713+L714-X714)</f>
        <v>56388033.7850545</v>
      </c>
      <c r="AA714" s="9" t="n">
        <f aca="false">IF(Y714&gt;0,Z714/Y714,IF(I714="Opening",0,AA713))</f>
        <v>26603.5251419177</v>
      </c>
      <c r="AB714" s="9" t="n">
        <f aca="false">IF(AND(I714="DO",O714="MA"),S714-N714,0)</f>
        <v>0</v>
      </c>
      <c r="AC714" s="9" t="n">
        <f aca="false">IF(I714="DO",X714-S714,0)</f>
        <v>0</v>
      </c>
      <c r="AD714" s="23" t="n">
        <f aca="false">IF(B715&lt;&gt;B714,1,0)</f>
        <v>0</v>
      </c>
      <c r="AE714" s="14" t="n">
        <f aca="false">IF(I714="Opening",0,AE713+W714)</f>
        <v>1357.33</v>
      </c>
      <c r="AF714" s="14" t="n">
        <f aca="false">IF(I714="Opening",K714,AF713)</f>
        <v>3239.2</v>
      </c>
      <c r="AG714" s="14" t="n">
        <f aca="false">AG713</f>
        <v>0</v>
      </c>
      <c r="AH714" s="14" t="n">
        <f aca="false">IF(W714=0,0,MAX(0,MIN(AE714,AF714)-MIN(AE714-W714,AF714)))</f>
        <v>0</v>
      </c>
      <c r="AI714" s="14" t="n">
        <f aca="false">IF(W714=0,0,MAX(0,MIN(AE714,AF714+AG714)-MAX(AE714-W714,AF714)))</f>
        <v>0</v>
      </c>
      <c r="AJ714" s="14" t="n">
        <f aca="false">W714-AH714-AI714</f>
        <v>0</v>
      </c>
      <c r="AK714" s="9" t="n">
        <f aca="false">IF(W714=0,0,X714*AH714/W714)</f>
        <v>0</v>
      </c>
      <c r="AL714" s="9" t="n">
        <f aca="false">IF(W714=0,0,X714*AI714/W714)</f>
        <v>0</v>
      </c>
      <c r="AM714" s="9" t="n">
        <f aca="false">X714-AK714-AL714</f>
        <v>0</v>
      </c>
    </row>
    <row r="715" customFormat="false" ht="15" hidden="false" customHeight="false" outlineLevel="0" collapsed="false">
      <c r="A715" s="6" t="n">
        <v>710</v>
      </c>
      <c r="B715" s="74" t="s">
        <v>1017</v>
      </c>
      <c r="C715" s="53" t="str">
        <f aca="false">INDEX(I_Items!$C$5:$C$133,MATCH($B715,I_Items!$A$5:$A$133,0))</f>
        <v>RPA</v>
      </c>
      <c r="D715" s="53" t="str">
        <f aca="false">INDEX(I_Items!$D$5:$D$133,MATCH($B715,I_Items!$A$5:$A$133,0))</f>
        <v>Karkas</v>
      </c>
      <c r="E715" s="53" t="str">
        <f aca="false">INDEX(I_Items!$F$5:$F$133,MATCH($B715,I_Items!$A$5:$A$133,0))</f>
        <v>Frozen</v>
      </c>
      <c r="F715" s="53" t="str">
        <f aca="false">IF(INDEX(I_Items!$E$5:$E$133,MATCH($B715,I_Items!$A$5:$A$133,0))="","",INDEX(I_Items!$E$5:$E$133,MATCH($B715,I_Items!$A$5:$A$133,0)))</f>
        <v>Uk 0.7</v>
      </c>
      <c r="G715" s="76" t="n">
        <v>46253</v>
      </c>
      <c r="H715" s="23" t="n">
        <f aca="false">MONTH(G715)</f>
        <v>8</v>
      </c>
      <c r="I715" s="74" t="s">
        <v>2074</v>
      </c>
      <c r="J715" s="74" t="s">
        <v>1305</v>
      </c>
      <c r="K715" s="10" t="n">
        <v>161.7</v>
      </c>
      <c r="L715" s="8" t="n">
        <v>6110107.68</v>
      </c>
      <c r="M715" s="10" t="n">
        <v>0</v>
      </c>
      <c r="N715" s="8" t="n">
        <v>0</v>
      </c>
      <c r="O715" s="74"/>
      <c r="P715" s="74"/>
      <c r="Q715" s="74"/>
      <c r="R715" s="14" t="n">
        <f aca="false">IF(I715="Unbilled",0,M715)</f>
        <v>0</v>
      </c>
      <c r="S715" s="9" t="n">
        <f aca="false">IF(R715=0,0,IF(O715="Booked",N715,R715*V714))</f>
        <v>0</v>
      </c>
      <c r="T715" s="14" t="n">
        <f aca="false">IF(I715="Opening",K715,T714+K715-R715)</f>
        <v>2281.27</v>
      </c>
      <c r="U715" s="9" t="n">
        <f aca="false">IF(I715="Opening",L715,U714+L715-S715)</f>
        <v>62498141.4650545</v>
      </c>
      <c r="V715" s="9" t="n">
        <f aca="false">IF(T715&gt;0,U715/T715,IF(I715="Opening",0,V714))</f>
        <v>27396.2053878123</v>
      </c>
      <c r="W715" s="14" t="n">
        <f aca="false">M715</f>
        <v>0</v>
      </c>
      <c r="X715" s="9" t="n">
        <f aca="false">IF(W715=0,0,IF(O715="Booked",N715,W715*AA714))</f>
        <v>0</v>
      </c>
      <c r="Y715" s="14" t="n">
        <f aca="false">IF(I715="Opening",K715,Y714+K715-W715)</f>
        <v>2281.27</v>
      </c>
      <c r="Z715" s="9" t="n">
        <f aca="false">IF(I715="Opening",L715,Z714+L715-X715)</f>
        <v>62498141.4650545</v>
      </c>
      <c r="AA715" s="9" t="n">
        <f aca="false">IF(Y715&gt;0,Z715/Y715,IF(I715="Opening",0,AA714))</f>
        <v>27396.2053878123</v>
      </c>
      <c r="AB715" s="9" t="n">
        <f aca="false">IF(AND(I715="DO",O715="MA"),S715-N715,0)</f>
        <v>0</v>
      </c>
      <c r="AC715" s="9" t="n">
        <f aca="false">IF(I715="DO",X715-S715,0)</f>
        <v>0</v>
      </c>
      <c r="AD715" s="23" t="n">
        <f aca="false">IF(B716&lt;&gt;B715,1,0)</f>
        <v>0</v>
      </c>
      <c r="AE715" s="14" t="n">
        <f aca="false">IF(I715="Opening",0,AE714+W715)</f>
        <v>1357.33</v>
      </c>
      <c r="AF715" s="14" t="n">
        <f aca="false">IF(I715="Opening",K715,AF714)</f>
        <v>3239.2</v>
      </c>
      <c r="AG715" s="14" t="n">
        <f aca="false">AG714</f>
        <v>0</v>
      </c>
      <c r="AH715" s="14" t="n">
        <f aca="false">IF(W715=0,0,MAX(0,MIN(AE715,AF715)-MIN(AE715-W715,AF715)))</f>
        <v>0</v>
      </c>
      <c r="AI715" s="14" t="n">
        <f aca="false">IF(W715=0,0,MAX(0,MIN(AE715,AF715+AG715)-MAX(AE715-W715,AF715)))</f>
        <v>0</v>
      </c>
      <c r="AJ715" s="14" t="n">
        <f aca="false">W715-AH715-AI715</f>
        <v>0</v>
      </c>
      <c r="AK715" s="9" t="n">
        <f aca="false">IF(W715=0,0,X715*AH715/W715)</f>
        <v>0</v>
      </c>
      <c r="AL715" s="9" t="n">
        <f aca="false">IF(W715=0,0,X715*AI715/W715)</f>
        <v>0</v>
      </c>
      <c r="AM715" s="9" t="n">
        <f aca="false">X715-AK715-AL715</f>
        <v>0</v>
      </c>
    </row>
    <row r="716" customFormat="false" ht="15" hidden="false" customHeight="false" outlineLevel="0" collapsed="false">
      <c r="A716" s="6" t="n">
        <v>711</v>
      </c>
      <c r="B716" s="74" t="s">
        <v>1017</v>
      </c>
      <c r="C716" s="53" t="str">
        <f aca="false">INDEX(I_Items!$C$5:$C$133,MATCH($B716,I_Items!$A$5:$A$133,0))</f>
        <v>RPA</v>
      </c>
      <c r="D716" s="53" t="str">
        <f aca="false">INDEX(I_Items!$D$5:$D$133,MATCH($B716,I_Items!$A$5:$A$133,0))</f>
        <v>Karkas</v>
      </c>
      <c r="E716" s="53" t="str">
        <f aca="false">INDEX(I_Items!$F$5:$F$133,MATCH($B716,I_Items!$A$5:$A$133,0))</f>
        <v>Frozen</v>
      </c>
      <c r="F716" s="53" t="str">
        <f aca="false">IF(INDEX(I_Items!$E$5:$E$133,MATCH($B716,I_Items!$A$5:$A$133,0))="","",INDEX(I_Items!$E$5:$E$133,MATCH($B716,I_Items!$A$5:$A$133,0)))</f>
        <v>Uk 0.7</v>
      </c>
      <c r="G716" s="76" t="n">
        <v>46254</v>
      </c>
      <c r="H716" s="23" t="n">
        <f aca="false">MONTH(G716)</f>
        <v>8</v>
      </c>
      <c r="I716" s="74" t="s">
        <v>2074</v>
      </c>
      <c r="J716" s="74" t="s">
        <v>1308</v>
      </c>
      <c r="K716" s="10" t="n">
        <v>155.3</v>
      </c>
      <c r="L716" s="8" t="n">
        <v>5881451.36</v>
      </c>
      <c r="M716" s="10" t="n">
        <v>0</v>
      </c>
      <c r="N716" s="8" t="n">
        <v>0</v>
      </c>
      <c r="O716" s="74"/>
      <c r="P716" s="74"/>
      <c r="Q716" s="74"/>
      <c r="R716" s="14" t="n">
        <f aca="false">IF(I716="Unbilled",0,M716)</f>
        <v>0</v>
      </c>
      <c r="S716" s="9" t="n">
        <f aca="false">IF(R716=0,0,IF(O716="Booked",N716,R716*V715))</f>
        <v>0</v>
      </c>
      <c r="T716" s="14" t="n">
        <f aca="false">IF(I716="Opening",K716,T715+K716-R716)</f>
        <v>2436.57</v>
      </c>
      <c r="U716" s="9" t="n">
        <f aca="false">IF(I716="Opening",L716,U715+L716-S716)</f>
        <v>68379592.8250545</v>
      </c>
      <c r="V716" s="9" t="n">
        <f aca="false">IF(T716&gt;0,U716/T716,IF(I716="Opening",0,V715))</f>
        <v>28063.8737344113</v>
      </c>
      <c r="W716" s="14" t="n">
        <f aca="false">M716</f>
        <v>0</v>
      </c>
      <c r="X716" s="9" t="n">
        <f aca="false">IF(W716=0,0,IF(O716="Booked",N716,W716*AA715))</f>
        <v>0</v>
      </c>
      <c r="Y716" s="14" t="n">
        <f aca="false">IF(I716="Opening",K716,Y715+K716-W716)</f>
        <v>2436.57</v>
      </c>
      <c r="Z716" s="9" t="n">
        <f aca="false">IF(I716="Opening",L716,Z715+L716-X716)</f>
        <v>68379592.8250545</v>
      </c>
      <c r="AA716" s="9" t="n">
        <f aca="false">IF(Y716&gt;0,Z716/Y716,IF(I716="Opening",0,AA715))</f>
        <v>28063.8737344113</v>
      </c>
      <c r="AB716" s="9" t="n">
        <f aca="false">IF(AND(I716="DO",O716="MA"),S716-N716,0)</f>
        <v>0</v>
      </c>
      <c r="AC716" s="9" t="n">
        <f aca="false">IF(I716="DO",X716-S716,0)</f>
        <v>0</v>
      </c>
      <c r="AD716" s="23" t="n">
        <f aca="false">IF(B717&lt;&gt;B716,1,0)</f>
        <v>0</v>
      </c>
      <c r="AE716" s="14" t="n">
        <f aca="false">IF(I716="Opening",0,AE715+W716)</f>
        <v>1357.33</v>
      </c>
      <c r="AF716" s="14" t="n">
        <f aca="false">IF(I716="Opening",K716,AF715)</f>
        <v>3239.2</v>
      </c>
      <c r="AG716" s="14" t="n">
        <f aca="false">AG715</f>
        <v>0</v>
      </c>
      <c r="AH716" s="14" t="n">
        <f aca="false">IF(W716=0,0,MAX(0,MIN(AE716,AF716)-MIN(AE716-W716,AF716)))</f>
        <v>0</v>
      </c>
      <c r="AI716" s="14" t="n">
        <f aca="false">IF(W716=0,0,MAX(0,MIN(AE716,AF716+AG716)-MAX(AE716-W716,AF716)))</f>
        <v>0</v>
      </c>
      <c r="AJ716" s="14" t="n">
        <f aca="false">W716-AH716-AI716</f>
        <v>0</v>
      </c>
      <c r="AK716" s="9" t="n">
        <f aca="false">IF(W716=0,0,X716*AH716/W716)</f>
        <v>0</v>
      </c>
      <c r="AL716" s="9" t="n">
        <f aca="false">IF(W716=0,0,X716*AI716/W716)</f>
        <v>0</v>
      </c>
      <c r="AM716" s="9" t="n">
        <f aca="false">X716-AK716-AL716</f>
        <v>0</v>
      </c>
    </row>
    <row r="717" customFormat="false" ht="15" hidden="false" customHeight="false" outlineLevel="0" collapsed="false">
      <c r="A717" s="6" t="n">
        <v>712</v>
      </c>
      <c r="B717" s="74" t="s">
        <v>1017</v>
      </c>
      <c r="C717" s="53" t="str">
        <f aca="false">INDEX(I_Items!$C$5:$C$133,MATCH($B717,I_Items!$A$5:$A$133,0))</f>
        <v>RPA</v>
      </c>
      <c r="D717" s="53" t="str">
        <f aca="false">INDEX(I_Items!$D$5:$D$133,MATCH($B717,I_Items!$A$5:$A$133,0))</f>
        <v>Karkas</v>
      </c>
      <c r="E717" s="53" t="str">
        <f aca="false">INDEX(I_Items!$F$5:$F$133,MATCH($B717,I_Items!$A$5:$A$133,0))</f>
        <v>Frozen</v>
      </c>
      <c r="F717" s="53" t="str">
        <f aca="false">IF(INDEX(I_Items!$E$5:$E$133,MATCH($B717,I_Items!$A$5:$A$133,0))="","",INDEX(I_Items!$E$5:$E$133,MATCH($B717,I_Items!$A$5:$A$133,0)))</f>
        <v>Uk 0.7</v>
      </c>
      <c r="G717" s="76" t="n">
        <v>46254</v>
      </c>
      <c r="H717" s="23" t="n">
        <f aca="false">MONTH(G717)</f>
        <v>8</v>
      </c>
      <c r="I717" s="74" t="s">
        <v>2074</v>
      </c>
      <c r="J717" s="74" t="s">
        <v>1308</v>
      </c>
      <c r="K717" s="10" t="n">
        <v>497</v>
      </c>
      <c r="L717" s="8" t="n">
        <v>18822159.21</v>
      </c>
      <c r="M717" s="10" t="n">
        <v>0</v>
      </c>
      <c r="N717" s="8" t="n">
        <v>0</v>
      </c>
      <c r="O717" s="74"/>
      <c r="P717" s="74"/>
      <c r="Q717" s="74"/>
      <c r="R717" s="14" t="n">
        <f aca="false">IF(I717="Unbilled",0,M717)</f>
        <v>0</v>
      </c>
      <c r="S717" s="9" t="n">
        <f aca="false">IF(R717=0,0,IF(O717="Booked",N717,R717*V716))</f>
        <v>0</v>
      </c>
      <c r="T717" s="14" t="n">
        <f aca="false">IF(I717="Opening",K717,T716+K717-R717)</f>
        <v>2933.57</v>
      </c>
      <c r="U717" s="9" t="n">
        <f aca="false">IF(I717="Opening",L717,U716+L717-S717)</f>
        <v>87201752.0350545</v>
      </c>
      <c r="V717" s="9" t="n">
        <f aca="false">IF(T717&gt;0,U717/T717,IF(I717="Opening",0,V716))</f>
        <v>29725.4717068468</v>
      </c>
      <c r="W717" s="14" t="n">
        <f aca="false">M717</f>
        <v>0</v>
      </c>
      <c r="X717" s="9" t="n">
        <f aca="false">IF(W717=0,0,IF(O717="Booked",N717,W717*AA716))</f>
        <v>0</v>
      </c>
      <c r="Y717" s="14" t="n">
        <f aca="false">IF(I717="Opening",K717,Y716+K717-W717)</f>
        <v>2933.57</v>
      </c>
      <c r="Z717" s="9" t="n">
        <f aca="false">IF(I717="Opening",L717,Z716+L717-X717)</f>
        <v>87201752.0350545</v>
      </c>
      <c r="AA717" s="9" t="n">
        <f aca="false">IF(Y717&gt;0,Z717/Y717,IF(I717="Opening",0,AA716))</f>
        <v>29725.4717068468</v>
      </c>
      <c r="AB717" s="9" t="n">
        <f aca="false">IF(AND(I717="DO",O717="MA"),S717-N717,0)</f>
        <v>0</v>
      </c>
      <c r="AC717" s="9" t="n">
        <f aca="false">IF(I717="DO",X717-S717,0)</f>
        <v>0</v>
      </c>
      <c r="AD717" s="23" t="n">
        <f aca="false">IF(B718&lt;&gt;B717,1,0)</f>
        <v>0</v>
      </c>
      <c r="AE717" s="14" t="n">
        <f aca="false">IF(I717="Opening",0,AE716+W717)</f>
        <v>1357.33</v>
      </c>
      <c r="AF717" s="14" t="n">
        <f aca="false">IF(I717="Opening",K717,AF716)</f>
        <v>3239.2</v>
      </c>
      <c r="AG717" s="14" t="n">
        <f aca="false">AG716</f>
        <v>0</v>
      </c>
      <c r="AH717" s="14" t="n">
        <f aca="false">IF(W717=0,0,MAX(0,MIN(AE717,AF717)-MIN(AE717-W717,AF717)))</f>
        <v>0</v>
      </c>
      <c r="AI717" s="14" t="n">
        <f aca="false">IF(W717=0,0,MAX(0,MIN(AE717,AF717+AG717)-MAX(AE717-W717,AF717)))</f>
        <v>0</v>
      </c>
      <c r="AJ717" s="14" t="n">
        <f aca="false">W717-AH717-AI717</f>
        <v>0</v>
      </c>
      <c r="AK717" s="9" t="n">
        <f aca="false">IF(W717=0,0,X717*AH717/W717)</f>
        <v>0</v>
      </c>
      <c r="AL717" s="9" t="n">
        <f aca="false">IF(W717=0,0,X717*AI717/W717)</f>
        <v>0</v>
      </c>
      <c r="AM717" s="9" t="n">
        <f aca="false">X717-AK717-AL717</f>
        <v>0</v>
      </c>
    </row>
    <row r="718" customFormat="false" ht="15" hidden="false" customHeight="false" outlineLevel="0" collapsed="false">
      <c r="A718" s="6" t="n">
        <v>713</v>
      </c>
      <c r="B718" s="74" t="s">
        <v>1017</v>
      </c>
      <c r="C718" s="53" t="str">
        <f aca="false">INDEX(I_Items!$C$5:$C$133,MATCH($B718,I_Items!$A$5:$A$133,0))</f>
        <v>RPA</v>
      </c>
      <c r="D718" s="53" t="str">
        <f aca="false">INDEX(I_Items!$D$5:$D$133,MATCH($B718,I_Items!$A$5:$A$133,0))</f>
        <v>Karkas</v>
      </c>
      <c r="E718" s="53" t="str">
        <f aca="false">INDEX(I_Items!$F$5:$F$133,MATCH($B718,I_Items!$A$5:$A$133,0))</f>
        <v>Frozen</v>
      </c>
      <c r="F718" s="53" t="str">
        <f aca="false">IF(INDEX(I_Items!$E$5:$E$133,MATCH($B718,I_Items!$A$5:$A$133,0))="","",INDEX(I_Items!$E$5:$E$133,MATCH($B718,I_Items!$A$5:$A$133,0)))</f>
        <v>Uk 0.7</v>
      </c>
      <c r="G718" s="76" t="n">
        <v>46255</v>
      </c>
      <c r="H718" s="23" t="n">
        <f aca="false">MONTH(G718)</f>
        <v>8</v>
      </c>
      <c r="I718" s="74" t="s">
        <v>2074</v>
      </c>
      <c r="J718" s="74" t="s">
        <v>1311</v>
      </c>
      <c r="K718" s="10" t="n">
        <v>152.5</v>
      </c>
      <c r="L718" s="8" t="n">
        <v>5827882.08</v>
      </c>
      <c r="M718" s="10" t="n">
        <v>0</v>
      </c>
      <c r="N718" s="8" t="n">
        <v>0</v>
      </c>
      <c r="O718" s="74"/>
      <c r="P718" s="74"/>
      <c r="Q718" s="74"/>
      <c r="R718" s="14" t="n">
        <f aca="false">IF(I718="Unbilled",0,M718)</f>
        <v>0</v>
      </c>
      <c r="S718" s="9" t="n">
        <f aca="false">IF(R718=0,0,IF(O718="Booked",N718,R718*V717))</f>
        <v>0</v>
      </c>
      <c r="T718" s="14" t="n">
        <f aca="false">IF(I718="Opening",K718,T717+K718-R718)</f>
        <v>3086.07</v>
      </c>
      <c r="U718" s="9" t="n">
        <f aca="false">IF(I718="Opening",L718,U717+L718-S718)</f>
        <v>93029634.1150545</v>
      </c>
      <c r="V718" s="9" t="n">
        <f aca="false">IF(T718&gt;0,U718/T718,IF(I718="Opening",0,V717))</f>
        <v>30145.0174866592</v>
      </c>
      <c r="W718" s="14" t="n">
        <f aca="false">M718</f>
        <v>0</v>
      </c>
      <c r="X718" s="9" t="n">
        <f aca="false">IF(W718=0,0,IF(O718="Booked",N718,W718*AA717))</f>
        <v>0</v>
      </c>
      <c r="Y718" s="14" t="n">
        <f aca="false">IF(I718="Opening",K718,Y717+K718-W718)</f>
        <v>3086.07</v>
      </c>
      <c r="Z718" s="9" t="n">
        <f aca="false">IF(I718="Opening",L718,Z717+L718-X718)</f>
        <v>93029634.1150545</v>
      </c>
      <c r="AA718" s="9" t="n">
        <f aca="false">IF(Y718&gt;0,Z718/Y718,IF(I718="Opening",0,AA717))</f>
        <v>30145.0174866592</v>
      </c>
      <c r="AB718" s="9" t="n">
        <f aca="false">IF(AND(I718="DO",O718="MA"),S718-N718,0)</f>
        <v>0</v>
      </c>
      <c r="AC718" s="9" t="n">
        <f aca="false">IF(I718="DO",X718-S718,0)</f>
        <v>0</v>
      </c>
      <c r="AD718" s="23" t="n">
        <f aca="false">IF(B719&lt;&gt;B718,1,0)</f>
        <v>0</v>
      </c>
      <c r="AE718" s="14" t="n">
        <f aca="false">IF(I718="Opening",0,AE717+W718)</f>
        <v>1357.33</v>
      </c>
      <c r="AF718" s="14" t="n">
        <f aca="false">IF(I718="Opening",K718,AF717)</f>
        <v>3239.2</v>
      </c>
      <c r="AG718" s="14" t="n">
        <f aca="false">AG717</f>
        <v>0</v>
      </c>
      <c r="AH718" s="14" t="n">
        <f aca="false">IF(W718=0,0,MAX(0,MIN(AE718,AF718)-MIN(AE718-W718,AF718)))</f>
        <v>0</v>
      </c>
      <c r="AI718" s="14" t="n">
        <f aca="false">IF(W718=0,0,MAX(0,MIN(AE718,AF718+AG718)-MAX(AE718-W718,AF718)))</f>
        <v>0</v>
      </c>
      <c r="AJ718" s="14" t="n">
        <f aca="false">W718-AH718-AI718</f>
        <v>0</v>
      </c>
      <c r="AK718" s="9" t="n">
        <f aca="false">IF(W718=0,0,X718*AH718/W718)</f>
        <v>0</v>
      </c>
      <c r="AL718" s="9" t="n">
        <f aca="false">IF(W718=0,0,X718*AI718/W718)</f>
        <v>0</v>
      </c>
      <c r="AM718" s="9" t="n">
        <f aca="false">X718-AK718-AL718</f>
        <v>0</v>
      </c>
    </row>
    <row r="719" customFormat="false" ht="15" hidden="false" customHeight="false" outlineLevel="0" collapsed="false">
      <c r="A719" s="6" t="n">
        <v>714</v>
      </c>
      <c r="B719" s="74" t="s">
        <v>1017</v>
      </c>
      <c r="C719" s="53" t="str">
        <f aca="false">INDEX(I_Items!$C$5:$C$133,MATCH($B719,I_Items!$A$5:$A$133,0))</f>
        <v>RPA</v>
      </c>
      <c r="D719" s="53" t="str">
        <f aca="false">INDEX(I_Items!$D$5:$D$133,MATCH($B719,I_Items!$A$5:$A$133,0))</f>
        <v>Karkas</v>
      </c>
      <c r="E719" s="53" t="str">
        <f aca="false">INDEX(I_Items!$F$5:$F$133,MATCH($B719,I_Items!$A$5:$A$133,0))</f>
        <v>Frozen</v>
      </c>
      <c r="F719" s="53" t="str">
        <f aca="false">IF(INDEX(I_Items!$E$5:$E$133,MATCH($B719,I_Items!$A$5:$A$133,0))="","",INDEX(I_Items!$E$5:$E$133,MATCH($B719,I_Items!$A$5:$A$133,0)))</f>
        <v>Uk 0.7</v>
      </c>
      <c r="G719" s="76" t="n">
        <v>46255</v>
      </c>
      <c r="H719" s="23" t="n">
        <f aca="false">MONTH(G719)</f>
        <v>8</v>
      </c>
      <c r="I719" s="74" t="s">
        <v>2075</v>
      </c>
      <c r="J719" s="74" t="s">
        <v>2185</v>
      </c>
      <c r="K719" s="10" t="n">
        <v>0</v>
      </c>
      <c r="L719" s="8" t="n">
        <v>0</v>
      </c>
      <c r="M719" s="10" t="n">
        <v>116</v>
      </c>
      <c r="N719" s="8" t="n">
        <v>3496822.03</v>
      </c>
      <c r="O719" s="74" t="s">
        <v>2077</v>
      </c>
      <c r="P719" s="74"/>
      <c r="Q719" s="74"/>
      <c r="R719" s="14" t="n">
        <f aca="false">IF(I719="Unbilled",0,M719)</f>
        <v>116</v>
      </c>
      <c r="S719" s="9" t="n">
        <f aca="false">IF(R719=0,0,IF(O719="Booked",N719,R719*V718))</f>
        <v>3496822.02845247</v>
      </c>
      <c r="T719" s="14" t="n">
        <f aca="false">IF(I719="Opening",K719,T718+K719-R719)</f>
        <v>2970.07</v>
      </c>
      <c r="U719" s="9" t="n">
        <f aca="false">IF(I719="Opening",L719,U718+L719-S719)</f>
        <v>89532812.086602</v>
      </c>
      <c r="V719" s="9" t="n">
        <f aca="false">IF(T719&gt;0,U719/T719,IF(I719="Opening",0,V718))</f>
        <v>30145.0174866592</v>
      </c>
      <c r="W719" s="14" t="n">
        <f aca="false">M719</f>
        <v>116</v>
      </c>
      <c r="X719" s="9" t="n">
        <f aca="false">IF(W719=0,0,IF(O719="Booked",N719,W719*AA718))</f>
        <v>3496822.02845247</v>
      </c>
      <c r="Y719" s="14" t="n">
        <f aca="false">IF(I719="Opening",K719,Y718+K719-W719)</f>
        <v>2970.07</v>
      </c>
      <c r="Z719" s="9" t="n">
        <f aca="false">IF(I719="Opening",L719,Z718+L719-X719)</f>
        <v>89532812.086602</v>
      </c>
      <c r="AA719" s="9" t="n">
        <f aca="false">IF(Y719&gt;0,Z719/Y719,IF(I719="Opening",0,AA718))</f>
        <v>30145.0174866592</v>
      </c>
      <c r="AB719" s="9" t="n">
        <f aca="false">IF(AND(I719="DO",O719="MA"),S719-N719,0)</f>
        <v>-0.00154752796515822</v>
      </c>
      <c r="AC719" s="9" t="n">
        <f aca="false">IF(I719="DO",X719-S719,0)</f>
        <v>0</v>
      </c>
      <c r="AD719" s="23" t="n">
        <f aca="false">IF(B720&lt;&gt;B719,1,0)</f>
        <v>0</v>
      </c>
      <c r="AE719" s="14" t="n">
        <f aca="false">IF(I719="Opening",0,AE718+W719)</f>
        <v>1473.33</v>
      </c>
      <c r="AF719" s="14" t="n">
        <f aca="false">IF(I719="Opening",K719,AF718)</f>
        <v>3239.2</v>
      </c>
      <c r="AG719" s="14" t="n">
        <f aca="false">AG718</f>
        <v>0</v>
      </c>
      <c r="AH719" s="14" t="n">
        <f aca="false">IF(W719=0,0,MAX(0,MIN(AE719,AF719)-MIN(AE719-W719,AF719)))</f>
        <v>116</v>
      </c>
      <c r="AI719" s="14" t="n">
        <f aca="false">IF(W719=0,0,MAX(0,MIN(AE719,AF719+AG719)-MAX(AE719-W719,AF719)))</f>
        <v>0</v>
      </c>
      <c r="AJ719" s="14" t="n">
        <f aca="false">W719-AH719-AI719</f>
        <v>0</v>
      </c>
      <c r="AK719" s="9" t="n">
        <f aca="false">IF(W719=0,0,X719*AH719/W719)</f>
        <v>3496822.02845247</v>
      </c>
      <c r="AL719" s="9" t="n">
        <f aca="false">IF(W719=0,0,X719*AI719/W719)</f>
        <v>0</v>
      </c>
      <c r="AM719" s="9" t="n">
        <f aca="false">X719-AK719-AL719</f>
        <v>0</v>
      </c>
    </row>
    <row r="720" customFormat="false" ht="15" hidden="false" customHeight="false" outlineLevel="0" collapsed="false">
      <c r="A720" s="6" t="n">
        <v>715</v>
      </c>
      <c r="B720" s="74" t="s">
        <v>1017</v>
      </c>
      <c r="C720" s="53" t="str">
        <f aca="false">INDEX(I_Items!$C$5:$C$133,MATCH($B720,I_Items!$A$5:$A$133,0))</f>
        <v>RPA</v>
      </c>
      <c r="D720" s="53" t="str">
        <f aca="false">INDEX(I_Items!$D$5:$D$133,MATCH($B720,I_Items!$A$5:$A$133,0))</f>
        <v>Karkas</v>
      </c>
      <c r="E720" s="53" t="str">
        <f aca="false">INDEX(I_Items!$F$5:$F$133,MATCH($B720,I_Items!$A$5:$A$133,0))</f>
        <v>Frozen</v>
      </c>
      <c r="F720" s="53" t="str">
        <f aca="false">IF(INDEX(I_Items!$E$5:$E$133,MATCH($B720,I_Items!$A$5:$A$133,0))="","",INDEX(I_Items!$E$5:$E$133,MATCH($B720,I_Items!$A$5:$A$133,0)))</f>
        <v>Uk 0.7</v>
      </c>
      <c r="G720" s="76" t="n">
        <v>46255</v>
      </c>
      <c r="H720" s="23" t="n">
        <f aca="false">MONTH(G720)</f>
        <v>8</v>
      </c>
      <c r="I720" s="74" t="s">
        <v>2075</v>
      </c>
      <c r="J720" s="74" t="s">
        <v>2185</v>
      </c>
      <c r="K720" s="10" t="n">
        <v>0</v>
      </c>
      <c r="L720" s="8" t="n">
        <v>0</v>
      </c>
      <c r="M720" s="10" t="n">
        <v>120.31</v>
      </c>
      <c r="N720" s="8" t="n">
        <v>3626747.06</v>
      </c>
      <c r="O720" s="74" t="s">
        <v>2077</v>
      </c>
      <c r="P720" s="74"/>
      <c r="Q720" s="74"/>
      <c r="R720" s="14" t="n">
        <f aca="false">IF(I720="Unbilled",0,M720)</f>
        <v>120.31</v>
      </c>
      <c r="S720" s="9" t="n">
        <f aca="false">IF(R720=0,0,IF(O720="Booked",N720,R720*V719))</f>
        <v>3626747.05381997</v>
      </c>
      <c r="T720" s="14" t="n">
        <f aca="false">IF(I720="Opening",K720,T719+K720-R720)</f>
        <v>2849.76</v>
      </c>
      <c r="U720" s="9" t="n">
        <f aca="false">IF(I720="Opening",L720,U719+L720-S720)</f>
        <v>85906065.032782</v>
      </c>
      <c r="V720" s="9" t="n">
        <f aca="false">IF(T720&gt;0,U720/T720,IF(I720="Opening",0,V719))</f>
        <v>30145.0174866592</v>
      </c>
      <c r="W720" s="14" t="n">
        <f aca="false">M720</f>
        <v>120.31</v>
      </c>
      <c r="X720" s="9" t="n">
        <f aca="false">IF(W720=0,0,IF(O720="Booked",N720,W720*AA719))</f>
        <v>3626747.05381997</v>
      </c>
      <c r="Y720" s="14" t="n">
        <f aca="false">IF(I720="Opening",K720,Y719+K720-W720)</f>
        <v>2849.76</v>
      </c>
      <c r="Z720" s="9" t="n">
        <f aca="false">IF(I720="Opening",L720,Z719+L720-X720)</f>
        <v>85906065.032782</v>
      </c>
      <c r="AA720" s="9" t="n">
        <f aca="false">IF(Y720&gt;0,Z720/Y720,IF(I720="Opening",0,AA719))</f>
        <v>30145.0174866592</v>
      </c>
      <c r="AB720" s="9" t="n">
        <f aca="false">IF(AND(I720="DO",O720="MA"),S720-N720,0)</f>
        <v>-0.00618002656847239</v>
      </c>
      <c r="AC720" s="9" t="n">
        <f aca="false">IF(I720="DO",X720-S720,0)</f>
        <v>0</v>
      </c>
      <c r="AD720" s="23" t="n">
        <f aca="false">IF(B721&lt;&gt;B720,1,0)</f>
        <v>0</v>
      </c>
      <c r="AE720" s="14" t="n">
        <f aca="false">IF(I720="Opening",0,AE719+W720)</f>
        <v>1593.64</v>
      </c>
      <c r="AF720" s="14" t="n">
        <f aca="false">IF(I720="Opening",K720,AF719)</f>
        <v>3239.2</v>
      </c>
      <c r="AG720" s="14" t="n">
        <f aca="false">AG719</f>
        <v>0</v>
      </c>
      <c r="AH720" s="14" t="n">
        <f aca="false">IF(W720=0,0,MAX(0,MIN(AE720,AF720)-MIN(AE720-W720,AF720)))</f>
        <v>120.31</v>
      </c>
      <c r="AI720" s="14" t="n">
        <f aca="false">IF(W720=0,0,MAX(0,MIN(AE720,AF720+AG720)-MAX(AE720-W720,AF720)))</f>
        <v>0</v>
      </c>
      <c r="AJ720" s="14" t="n">
        <f aca="false">W720-AH720-AI720</f>
        <v>0</v>
      </c>
      <c r="AK720" s="9" t="n">
        <f aca="false">IF(W720=0,0,X720*AH720/W720)</f>
        <v>3626747.05381997</v>
      </c>
      <c r="AL720" s="9" t="n">
        <f aca="false">IF(W720=0,0,X720*AI720/W720)</f>
        <v>0</v>
      </c>
      <c r="AM720" s="9" t="n">
        <f aca="false">X720-AK720-AL720</f>
        <v>0</v>
      </c>
    </row>
    <row r="721" customFormat="false" ht="15" hidden="false" customHeight="false" outlineLevel="0" collapsed="false">
      <c r="A721" s="6" t="n">
        <v>716</v>
      </c>
      <c r="B721" s="74" t="s">
        <v>1017</v>
      </c>
      <c r="C721" s="53" t="str">
        <f aca="false">INDEX(I_Items!$C$5:$C$133,MATCH($B721,I_Items!$A$5:$A$133,0))</f>
        <v>RPA</v>
      </c>
      <c r="D721" s="53" t="str">
        <f aca="false">INDEX(I_Items!$D$5:$D$133,MATCH($B721,I_Items!$A$5:$A$133,0))</f>
        <v>Karkas</v>
      </c>
      <c r="E721" s="53" t="str">
        <f aca="false">INDEX(I_Items!$F$5:$F$133,MATCH($B721,I_Items!$A$5:$A$133,0))</f>
        <v>Frozen</v>
      </c>
      <c r="F721" s="53" t="str">
        <f aca="false">IF(INDEX(I_Items!$E$5:$E$133,MATCH($B721,I_Items!$A$5:$A$133,0))="","",INDEX(I_Items!$E$5:$E$133,MATCH($B721,I_Items!$A$5:$A$133,0)))</f>
        <v>Uk 0.7</v>
      </c>
      <c r="G721" s="76" t="n">
        <v>46256</v>
      </c>
      <c r="H721" s="23" t="n">
        <f aca="false">MONTH(G721)</f>
        <v>8</v>
      </c>
      <c r="I721" s="74" t="s">
        <v>2075</v>
      </c>
      <c r="J721" s="74" t="s">
        <v>2184</v>
      </c>
      <c r="K721" s="10" t="n">
        <v>0</v>
      </c>
      <c r="L721" s="8" t="n">
        <v>0</v>
      </c>
      <c r="M721" s="10" t="n">
        <v>1002.74</v>
      </c>
      <c r="N721" s="8" t="n">
        <v>30227614.85</v>
      </c>
      <c r="O721" s="74" t="s">
        <v>2077</v>
      </c>
      <c r="P721" s="74"/>
      <c r="Q721" s="74"/>
      <c r="R721" s="14" t="n">
        <f aca="false">IF(I721="Unbilled",0,M721)</f>
        <v>1002.74</v>
      </c>
      <c r="S721" s="9" t="n">
        <f aca="false">IF(R721=0,0,IF(O721="Booked",N721,R721*V720))</f>
        <v>30227614.8345727</v>
      </c>
      <c r="T721" s="14" t="n">
        <f aca="false">IF(I721="Opening",K721,T720+K721-R721)</f>
        <v>1847.02</v>
      </c>
      <c r="U721" s="9" t="n">
        <f aca="false">IF(I721="Opening",L721,U720+L721-S721)</f>
        <v>55678450.1982093</v>
      </c>
      <c r="V721" s="9" t="n">
        <f aca="false">IF(T721&gt;0,U721/T721,IF(I721="Opening",0,V720))</f>
        <v>30145.0174866592</v>
      </c>
      <c r="W721" s="14" t="n">
        <f aca="false">M721</f>
        <v>1002.74</v>
      </c>
      <c r="X721" s="9" t="n">
        <f aca="false">IF(W721=0,0,IF(O721="Booked",N721,W721*AA720))</f>
        <v>30227614.8345727</v>
      </c>
      <c r="Y721" s="14" t="n">
        <f aca="false">IF(I721="Opening",K721,Y720+K721-W721)</f>
        <v>1847.02</v>
      </c>
      <c r="Z721" s="9" t="n">
        <f aca="false">IF(I721="Opening",L721,Z720+L721-X721)</f>
        <v>55678450.1982093</v>
      </c>
      <c r="AA721" s="9" t="n">
        <f aca="false">IF(Y721&gt;0,Z721/Y721,IF(I721="Opening",0,AA720))</f>
        <v>30145.0174866592</v>
      </c>
      <c r="AB721" s="9" t="n">
        <f aca="false">IF(AND(I721="DO",O721="MA"),S721-N721,0)</f>
        <v>-0.0154273137450218</v>
      </c>
      <c r="AC721" s="9" t="n">
        <f aca="false">IF(I721="DO",X721-S721,0)</f>
        <v>0</v>
      </c>
      <c r="AD721" s="23" t="n">
        <f aca="false">IF(B722&lt;&gt;B721,1,0)</f>
        <v>0</v>
      </c>
      <c r="AE721" s="14" t="n">
        <f aca="false">IF(I721="Opening",0,AE720+W721)</f>
        <v>2596.38</v>
      </c>
      <c r="AF721" s="14" t="n">
        <f aca="false">IF(I721="Opening",K721,AF720)</f>
        <v>3239.2</v>
      </c>
      <c r="AG721" s="14" t="n">
        <f aca="false">AG720</f>
        <v>0</v>
      </c>
      <c r="AH721" s="14" t="n">
        <f aca="false">IF(W721=0,0,MAX(0,MIN(AE721,AF721)-MIN(AE721-W721,AF721)))</f>
        <v>1002.74</v>
      </c>
      <c r="AI721" s="14" t="n">
        <f aca="false">IF(W721=0,0,MAX(0,MIN(AE721,AF721+AG721)-MAX(AE721-W721,AF721)))</f>
        <v>0</v>
      </c>
      <c r="AJ721" s="14" t="n">
        <f aca="false">W721-AH721-AI721</f>
        <v>0</v>
      </c>
      <c r="AK721" s="9" t="n">
        <f aca="false">IF(W721=0,0,X721*AH721/W721)</f>
        <v>30227614.8345727</v>
      </c>
      <c r="AL721" s="9" t="n">
        <f aca="false">IF(W721=0,0,X721*AI721/W721)</f>
        <v>0</v>
      </c>
      <c r="AM721" s="9" t="n">
        <f aca="false">X721-AK721-AL721</f>
        <v>0</v>
      </c>
    </row>
    <row r="722" customFormat="false" ht="15" hidden="false" customHeight="false" outlineLevel="0" collapsed="false">
      <c r="A722" s="6" t="n">
        <v>717</v>
      </c>
      <c r="B722" s="74" t="s">
        <v>1017</v>
      </c>
      <c r="C722" s="53" t="str">
        <f aca="false">INDEX(I_Items!$C$5:$C$133,MATCH($B722,I_Items!$A$5:$A$133,0))</f>
        <v>RPA</v>
      </c>
      <c r="D722" s="53" t="str">
        <f aca="false">INDEX(I_Items!$D$5:$D$133,MATCH($B722,I_Items!$A$5:$A$133,0))</f>
        <v>Karkas</v>
      </c>
      <c r="E722" s="53" t="str">
        <f aca="false">INDEX(I_Items!$F$5:$F$133,MATCH($B722,I_Items!$A$5:$A$133,0))</f>
        <v>Frozen</v>
      </c>
      <c r="F722" s="53" t="str">
        <f aca="false">IF(INDEX(I_Items!$E$5:$E$133,MATCH($B722,I_Items!$A$5:$A$133,0))="","",INDEX(I_Items!$E$5:$E$133,MATCH($B722,I_Items!$A$5:$A$133,0)))</f>
        <v>Uk 0.7</v>
      </c>
      <c r="G722" s="76" t="n">
        <v>46258</v>
      </c>
      <c r="H722" s="23" t="n">
        <f aca="false">MONTH(G722)</f>
        <v>8</v>
      </c>
      <c r="I722" s="74" t="s">
        <v>2075</v>
      </c>
      <c r="J722" s="74" t="s">
        <v>2186</v>
      </c>
      <c r="K722" s="10" t="n">
        <v>0</v>
      </c>
      <c r="L722" s="8" t="n">
        <v>0</v>
      </c>
      <c r="M722" s="10" t="n">
        <v>963.84</v>
      </c>
      <c r="N722" s="8" t="n">
        <v>29054973.67</v>
      </c>
      <c r="O722" s="74" t="s">
        <v>2077</v>
      </c>
      <c r="P722" s="74"/>
      <c r="Q722" s="74"/>
      <c r="R722" s="14" t="n">
        <f aca="false">IF(I722="Unbilled",0,M722)</f>
        <v>963.84</v>
      </c>
      <c r="S722" s="9" t="n">
        <f aca="false">IF(R722=0,0,IF(O722="Booked",N722,R722*V721))</f>
        <v>29054973.6543416</v>
      </c>
      <c r="T722" s="14" t="n">
        <f aca="false">IF(I722="Opening",K722,T721+K722-R722)</f>
        <v>883.18</v>
      </c>
      <c r="U722" s="9" t="n">
        <f aca="false">IF(I722="Opening",L722,U721+L722-S722)</f>
        <v>26623476.5438677</v>
      </c>
      <c r="V722" s="9" t="n">
        <f aca="false">IF(T722&gt;0,U722/T722,IF(I722="Opening",0,V721))</f>
        <v>30145.0174866592</v>
      </c>
      <c r="W722" s="14" t="n">
        <f aca="false">M722</f>
        <v>963.84</v>
      </c>
      <c r="X722" s="9" t="n">
        <f aca="false">IF(W722=0,0,IF(O722="Booked",N722,W722*AA721))</f>
        <v>29054973.6543416</v>
      </c>
      <c r="Y722" s="14" t="n">
        <f aca="false">IF(I722="Opening",K722,Y721+K722-W722)</f>
        <v>883.18</v>
      </c>
      <c r="Z722" s="9" t="n">
        <f aca="false">IF(I722="Opening",L722,Z721+L722-X722)</f>
        <v>26623476.5438677</v>
      </c>
      <c r="AA722" s="9" t="n">
        <f aca="false">IF(Y722&gt;0,Z722/Y722,IF(I722="Opening",0,AA721))</f>
        <v>30145.0174866592</v>
      </c>
      <c r="AB722" s="9" t="n">
        <f aca="false">IF(AND(I722="DO",O722="MA"),S722-N722,0)</f>
        <v>-0.0156583562493324</v>
      </c>
      <c r="AC722" s="9" t="n">
        <f aca="false">IF(I722="DO",X722-S722,0)</f>
        <v>0</v>
      </c>
      <c r="AD722" s="23" t="n">
        <f aca="false">IF(B723&lt;&gt;B722,1,0)</f>
        <v>0</v>
      </c>
      <c r="AE722" s="14" t="n">
        <f aca="false">IF(I722="Opening",0,AE721+W722)</f>
        <v>3560.22</v>
      </c>
      <c r="AF722" s="14" t="n">
        <f aca="false">IF(I722="Opening",K722,AF721)</f>
        <v>3239.2</v>
      </c>
      <c r="AG722" s="14" t="n">
        <f aca="false">AG721</f>
        <v>0</v>
      </c>
      <c r="AH722" s="14" t="n">
        <f aca="false">IF(W722=0,0,MAX(0,MIN(AE722,AF722)-MIN(AE722-W722,AF722)))</f>
        <v>642.82</v>
      </c>
      <c r="AI722" s="14" t="n">
        <f aca="false">IF(W722=0,0,MAX(0,MIN(AE722,AF722+AG722)-MAX(AE722-W722,AF722)))</f>
        <v>0</v>
      </c>
      <c r="AJ722" s="14" t="n">
        <f aca="false">W722-AH722-AI722</f>
        <v>321.02</v>
      </c>
      <c r="AK722" s="9" t="n">
        <f aca="false">IF(W722=0,0,X722*AH722/W722)</f>
        <v>19377820.1407743</v>
      </c>
      <c r="AL722" s="9" t="n">
        <f aca="false">IF(W722=0,0,X722*AI722/W722)</f>
        <v>0</v>
      </c>
      <c r="AM722" s="9" t="n">
        <f aca="false">X722-AK722-AL722</f>
        <v>9677153.51356736</v>
      </c>
    </row>
    <row r="723" customFormat="false" ht="15" hidden="false" customHeight="false" outlineLevel="0" collapsed="false">
      <c r="A723" s="6" t="n">
        <v>718</v>
      </c>
      <c r="B723" s="74" t="s">
        <v>1017</v>
      </c>
      <c r="C723" s="53" t="str">
        <f aca="false">INDEX(I_Items!$C$5:$C$133,MATCH($B723,I_Items!$A$5:$A$133,0))</f>
        <v>RPA</v>
      </c>
      <c r="D723" s="53" t="str">
        <f aca="false">INDEX(I_Items!$D$5:$D$133,MATCH($B723,I_Items!$A$5:$A$133,0))</f>
        <v>Karkas</v>
      </c>
      <c r="E723" s="53" t="str">
        <f aca="false">INDEX(I_Items!$F$5:$F$133,MATCH($B723,I_Items!$A$5:$A$133,0))</f>
        <v>Frozen</v>
      </c>
      <c r="F723" s="53" t="str">
        <f aca="false">IF(INDEX(I_Items!$E$5:$E$133,MATCH($B723,I_Items!$A$5:$A$133,0))="","",INDEX(I_Items!$E$5:$E$133,MATCH($B723,I_Items!$A$5:$A$133,0)))</f>
        <v>Uk 0.7</v>
      </c>
      <c r="G723" s="76" t="n">
        <v>46259</v>
      </c>
      <c r="H723" s="23" t="n">
        <f aca="false">MONTH(G723)</f>
        <v>8</v>
      </c>
      <c r="I723" s="74" t="s">
        <v>2074</v>
      </c>
      <c r="J723" s="74" t="s">
        <v>1314</v>
      </c>
      <c r="K723" s="10" t="n">
        <v>2.3</v>
      </c>
      <c r="L723" s="8" t="n">
        <v>84823.06</v>
      </c>
      <c r="M723" s="10" t="n">
        <v>0</v>
      </c>
      <c r="N723" s="8" t="n">
        <v>0</v>
      </c>
      <c r="O723" s="74"/>
      <c r="P723" s="74"/>
      <c r="Q723" s="74"/>
      <c r="R723" s="14" t="n">
        <f aca="false">IF(I723="Unbilled",0,M723)</f>
        <v>0</v>
      </c>
      <c r="S723" s="9" t="n">
        <f aca="false">IF(R723=0,0,IF(O723="Booked",N723,R723*V722))</f>
        <v>0</v>
      </c>
      <c r="T723" s="14" t="n">
        <f aca="false">IF(I723="Opening",K723,T722+K723-R723)</f>
        <v>885.48</v>
      </c>
      <c r="U723" s="9" t="n">
        <f aca="false">IF(I723="Opening",L723,U722+L723-S723)</f>
        <v>26708299.6038677</v>
      </c>
      <c r="V723" s="9" t="n">
        <f aca="false">IF(T723&gt;0,U723/T723,IF(I723="Opening",0,V722))</f>
        <v>30162.5102812799</v>
      </c>
      <c r="W723" s="14" t="n">
        <f aca="false">M723</f>
        <v>0</v>
      </c>
      <c r="X723" s="9" t="n">
        <f aca="false">IF(W723=0,0,IF(O723="Booked",N723,W723*AA722))</f>
        <v>0</v>
      </c>
      <c r="Y723" s="14" t="n">
        <f aca="false">IF(I723="Opening",K723,Y722+K723-W723)</f>
        <v>885.48</v>
      </c>
      <c r="Z723" s="9" t="n">
        <f aca="false">IF(I723="Opening",L723,Z722+L723-X723)</f>
        <v>26708299.6038677</v>
      </c>
      <c r="AA723" s="9" t="n">
        <f aca="false">IF(Y723&gt;0,Z723/Y723,IF(I723="Opening",0,AA722))</f>
        <v>30162.5102812799</v>
      </c>
      <c r="AB723" s="9" t="n">
        <f aca="false">IF(AND(I723="DO",O723="MA"),S723-N723,0)</f>
        <v>0</v>
      </c>
      <c r="AC723" s="9" t="n">
        <f aca="false">IF(I723="DO",X723-S723,0)</f>
        <v>0</v>
      </c>
      <c r="AD723" s="23" t="n">
        <f aca="false">IF(B724&lt;&gt;B723,1,0)</f>
        <v>0</v>
      </c>
      <c r="AE723" s="14" t="n">
        <f aca="false">IF(I723="Opening",0,AE722+W723)</f>
        <v>3560.22</v>
      </c>
      <c r="AF723" s="14" t="n">
        <f aca="false">IF(I723="Opening",K723,AF722)</f>
        <v>3239.2</v>
      </c>
      <c r="AG723" s="14" t="n">
        <f aca="false">AG722</f>
        <v>0</v>
      </c>
      <c r="AH723" s="14" t="n">
        <f aca="false">IF(W723=0,0,MAX(0,MIN(AE723,AF723)-MIN(AE723-W723,AF723)))</f>
        <v>0</v>
      </c>
      <c r="AI723" s="14" t="n">
        <f aca="false">IF(W723=0,0,MAX(0,MIN(AE723,AF723+AG723)-MAX(AE723-W723,AF723)))</f>
        <v>0</v>
      </c>
      <c r="AJ723" s="14" t="n">
        <f aca="false">W723-AH723-AI723</f>
        <v>0</v>
      </c>
      <c r="AK723" s="9" t="n">
        <f aca="false">IF(W723=0,0,X723*AH723/W723)</f>
        <v>0</v>
      </c>
      <c r="AL723" s="9" t="n">
        <f aca="false">IF(W723=0,0,X723*AI723/W723)</f>
        <v>0</v>
      </c>
      <c r="AM723" s="9" t="n">
        <f aca="false">X723-AK723-AL723</f>
        <v>0</v>
      </c>
    </row>
    <row r="724" customFormat="false" ht="15" hidden="false" customHeight="false" outlineLevel="0" collapsed="false">
      <c r="A724" s="6" t="n">
        <v>719</v>
      </c>
      <c r="B724" s="74" t="s">
        <v>1017</v>
      </c>
      <c r="C724" s="53" t="str">
        <f aca="false">INDEX(I_Items!$C$5:$C$133,MATCH($B724,I_Items!$A$5:$A$133,0))</f>
        <v>RPA</v>
      </c>
      <c r="D724" s="53" t="str">
        <f aca="false">INDEX(I_Items!$D$5:$D$133,MATCH($B724,I_Items!$A$5:$A$133,0))</f>
        <v>Karkas</v>
      </c>
      <c r="E724" s="53" t="str">
        <f aca="false">INDEX(I_Items!$F$5:$F$133,MATCH($B724,I_Items!$A$5:$A$133,0))</f>
        <v>Frozen</v>
      </c>
      <c r="F724" s="53" t="str">
        <f aca="false">IF(INDEX(I_Items!$E$5:$E$133,MATCH($B724,I_Items!$A$5:$A$133,0))="","",INDEX(I_Items!$E$5:$E$133,MATCH($B724,I_Items!$A$5:$A$133,0)))</f>
        <v>Uk 0.7</v>
      </c>
      <c r="G724" s="76" t="n">
        <v>46260</v>
      </c>
      <c r="H724" s="23" t="n">
        <f aca="false">MONTH(G724)</f>
        <v>8</v>
      </c>
      <c r="I724" s="74" t="s">
        <v>2074</v>
      </c>
      <c r="J724" s="74" t="s">
        <v>1317</v>
      </c>
      <c r="K724" s="10" t="n">
        <v>34.7</v>
      </c>
      <c r="L724" s="8" t="n">
        <v>1307128</v>
      </c>
      <c r="M724" s="10" t="n">
        <v>0</v>
      </c>
      <c r="N724" s="8" t="n">
        <v>0</v>
      </c>
      <c r="O724" s="74"/>
      <c r="P724" s="74"/>
      <c r="Q724" s="74"/>
      <c r="R724" s="14" t="n">
        <f aca="false">IF(I724="Unbilled",0,M724)</f>
        <v>0</v>
      </c>
      <c r="S724" s="9" t="n">
        <f aca="false">IF(R724=0,0,IF(O724="Booked",N724,R724*V723))</f>
        <v>0</v>
      </c>
      <c r="T724" s="14" t="n">
        <f aca="false">IF(I724="Opening",K724,T723+K724-R724)</f>
        <v>920.18</v>
      </c>
      <c r="U724" s="9" t="n">
        <f aca="false">IF(I724="Opening",L724,U723+L724-S724)</f>
        <v>28015427.6038677</v>
      </c>
      <c r="V724" s="9" t="n">
        <f aca="false">IF(T724&gt;0,U724/T724,IF(I724="Opening",0,V723))</f>
        <v>30445.5949964873</v>
      </c>
      <c r="W724" s="14" t="n">
        <f aca="false">M724</f>
        <v>0</v>
      </c>
      <c r="X724" s="9" t="n">
        <f aca="false">IF(W724=0,0,IF(O724="Booked",N724,W724*AA723))</f>
        <v>0</v>
      </c>
      <c r="Y724" s="14" t="n">
        <f aca="false">IF(I724="Opening",K724,Y723+K724-W724)</f>
        <v>920.18</v>
      </c>
      <c r="Z724" s="9" t="n">
        <f aca="false">IF(I724="Opening",L724,Z723+L724-X724)</f>
        <v>28015427.6038677</v>
      </c>
      <c r="AA724" s="9" t="n">
        <f aca="false">IF(Y724&gt;0,Z724/Y724,IF(I724="Opening",0,AA723))</f>
        <v>30445.5949964873</v>
      </c>
      <c r="AB724" s="9" t="n">
        <f aca="false">IF(AND(I724="DO",O724="MA"),S724-N724,0)</f>
        <v>0</v>
      </c>
      <c r="AC724" s="9" t="n">
        <f aca="false">IF(I724="DO",X724-S724,0)</f>
        <v>0</v>
      </c>
      <c r="AD724" s="23" t="n">
        <f aca="false">IF(B725&lt;&gt;B724,1,0)</f>
        <v>0</v>
      </c>
      <c r="AE724" s="14" t="n">
        <f aca="false">IF(I724="Opening",0,AE723+W724)</f>
        <v>3560.22</v>
      </c>
      <c r="AF724" s="14" t="n">
        <f aca="false">IF(I724="Opening",K724,AF723)</f>
        <v>3239.2</v>
      </c>
      <c r="AG724" s="14" t="n">
        <f aca="false">AG723</f>
        <v>0</v>
      </c>
      <c r="AH724" s="14" t="n">
        <f aca="false">IF(W724=0,0,MAX(0,MIN(AE724,AF724)-MIN(AE724-W724,AF724)))</f>
        <v>0</v>
      </c>
      <c r="AI724" s="14" t="n">
        <f aca="false">IF(W724=0,0,MAX(0,MIN(AE724,AF724+AG724)-MAX(AE724-W724,AF724)))</f>
        <v>0</v>
      </c>
      <c r="AJ724" s="14" t="n">
        <f aca="false">W724-AH724-AI724</f>
        <v>0</v>
      </c>
      <c r="AK724" s="9" t="n">
        <f aca="false">IF(W724=0,0,X724*AH724/W724)</f>
        <v>0</v>
      </c>
      <c r="AL724" s="9" t="n">
        <f aca="false">IF(W724=0,0,X724*AI724/W724)</f>
        <v>0</v>
      </c>
      <c r="AM724" s="9" t="n">
        <f aca="false">X724-AK724-AL724</f>
        <v>0</v>
      </c>
    </row>
    <row r="725" customFormat="false" ht="15" hidden="false" customHeight="false" outlineLevel="0" collapsed="false">
      <c r="A725" s="6" t="n">
        <v>720</v>
      </c>
      <c r="B725" s="74" t="s">
        <v>1017</v>
      </c>
      <c r="C725" s="53" t="str">
        <f aca="false">INDEX(I_Items!$C$5:$C$133,MATCH($B725,I_Items!$A$5:$A$133,0))</f>
        <v>RPA</v>
      </c>
      <c r="D725" s="53" t="str">
        <f aca="false">INDEX(I_Items!$D$5:$D$133,MATCH($B725,I_Items!$A$5:$A$133,0))</f>
        <v>Karkas</v>
      </c>
      <c r="E725" s="53" t="str">
        <f aca="false">INDEX(I_Items!$F$5:$F$133,MATCH($B725,I_Items!$A$5:$A$133,0))</f>
        <v>Frozen</v>
      </c>
      <c r="F725" s="53" t="str">
        <f aca="false">IF(INDEX(I_Items!$E$5:$E$133,MATCH($B725,I_Items!$A$5:$A$133,0))="","",INDEX(I_Items!$E$5:$E$133,MATCH($B725,I_Items!$A$5:$A$133,0)))</f>
        <v>Uk 0.7</v>
      </c>
      <c r="G725" s="76" t="n">
        <v>46261</v>
      </c>
      <c r="H725" s="23" t="n">
        <f aca="false">MONTH(G725)</f>
        <v>8</v>
      </c>
      <c r="I725" s="74" t="s">
        <v>2074</v>
      </c>
      <c r="J725" s="74" t="s">
        <v>1320</v>
      </c>
      <c r="K725" s="10" t="n">
        <v>19.9</v>
      </c>
      <c r="L725" s="8" t="n">
        <v>739968.43</v>
      </c>
      <c r="M725" s="10" t="n">
        <v>0</v>
      </c>
      <c r="N725" s="8" t="n">
        <v>0</v>
      </c>
      <c r="O725" s="74"/>
      <c r="P725" s="74"/>
      <c r="Q725" s="74"/>
      <c r="R725" s="14" t="n">
        <f aca="false">IF(I725="Unbilled",0,M725)</f>
        <v>0</v>
      </c>
      <c r="S725" s="9" t="n">
        <f aca="false">IF(R725=0,0,IF(O725="Booked",N725,R725*V724))</f>
        <v>0</v>
      </c>
      <c r="T725" s="14" t="n">
        <f aca="false">IF(I725="Opening",K725,T724+K725-R725)</f>
        <v>940.08</v>
      </c>
      <c r="U725" s="9" t="n">
        <f aca="false">IF(I725="Opening",L725,U724+L725-S725)</f>
        <v>28755396.0338677</v>
      </c>
      <c r="V725" s="9" t="n">
        <f aca="false">IF(T725&gt;0,U725/T725,IF(I725="Opening",0,V724))</f>
        <v>30588.2435897665</v>
      </c>
      <c r="W725" s="14" t="n">
        <f aca="false">M725</f>
        <v>0</v>
      </c>
      <c r="X725" s="9" t="n">
        <f aca="false">IF(W725=0,0,IF(O725="Booked",N725,W725*AA724))</f>
        <v>0</v>
      </c>
      <c r="Y725" s="14" t="n">
        <f aca="false">IF(I725="Opening",K725,Y724+K725-W725)</f>
        <v>940.08</v>
      </c>
      <c r="Z725" s="9" t="n">
        <f aca="false">IF(I725="Opening",L725,Z724+L725-X725)</f>
        <v>28755396.0338677</v>
      </c>
      <c r="AA725" s="9" t="n">
        <f aca="false">IF(Y725&gt;0,Z725/Y725,IF(I725="Opening",0,AA724))</f>
        <v>30588.2435897665</v>
      </c>
      <c r="AB725" s="9" t="n">
        <f aca="false">IF(AND(I725="DO",O725="MA"),S725-N725,0)</f>
        <v>0</v>
      </c>
      <c r="AC725" s="9" t="n">
        <f aca="false">IF(I725="DO",X725-S725,0)</f>
        <v>0</v>
      </c>
      <c r="AD725" s="23" t="n">
        <f aca="false">IF(B726&lt;&gt;B725,1,0)</f>
        <v>0</v>
      </c>
      <c r="AE725" s="14" t="n">
        <f aca="false">IF(I725="Opening",0,AE724+W725)</f>
        <v>3560.22</v>
      </c>
      <c r="AF725" s="14" t="n">
        <f aca="false">IF(I725="Opening",K725,AF724)</f>
        <v>3239.2</v>
      </c>
      <c r="AG725" s="14" t="n">
        <f aca="false">AG724</f>
        <v>0</v>
      </c>
      <c r="AH725" s="14" t="n">
        <f aca="false">IF(W725=0,0,MAX(0,MIN(AE725,AF725)-MIN(AE725-W725,AF725)))</f>
        <v>0</v>
      </c>
      <c r="AI725" s="14" t="n">
        <f aca="false">IF(W725=0,0,MAX(0,MIN(AE725,AF725+AG725)-MAX(AE725-W725,AF725)))</f>
        <v>0</v>
      </c>
      <c r="AJ725" s="14" t="n">
        <f aca="false">W725-AH725-AI725</f>
        <v>0</v>
      </c>
      <c r="AK725" s="9" t="n">
        <f aca="false">IF(W725=0,0,X725*AH725/W725)</f>
        <v>0</v>
      </c>
      <c r="AL725" s="9" t="n">
        <f aca="false">IF(W725=0,0,X725*AI725/W725)</f>
        <v>0</v>
      </c>
      <c r="AM725" s="9" t="n">
        <f aca="false">X725-AK725-AL725</f>
        <v>0</v>
      </c>
    </row>
    <row r="726" customFormat="false" ht="15" hidden="false" customHeight="false" outlineLevel="0" collapsed="false">
      <c r="A726" s="6" t="n">
        <v>721</v>
      </c>
      <c r="B726" s="74" t="s">
        <v>1017</v>
      </c>
      <c r="C726" s="53" t="str">
        <f aca="false">INDEX(I_Items!$C$5:$C$133,MATCH($B726,I_Items!$A$5:$A$133,0))</f>
        <v>RPA</v>
      </c>
      <c r="D726" s="53" t="str">
        <f aca="false">INDEX(I_Items!$D$5:$D$133,MATCH($B726,I_Items!$A$5:$A$133,0))</f>
        <v>Karkas</v>
      </c>
      <c r="E726" s="53" t="str">
        <f aca="false">INDEX(I_Items!$F$5:$F$133,MATCH($B726,I_Items!$A$5:$A$133,0))</f>
        <v>Frozen</v>
      </c>
      <c r="F726" s="53" t="str">
        <f aca="false">IF(INDEX(I_Items!$E$5:$E$133,MATCH($B726,I_Items!$A$5:$A$133,0))="","",INDEX(I_Items!$E$5:$E$133,MATCH($B726,I_Items!$A$5:$A$133,0)))</f>
        <v>Uk 0.7</v>
      </c>
      <c r="G726" s="76" t="n">
        <v>46261</v>
      </c>
      <c r="H726" s="23" t="n">
        <f aca="false">MONTH(G726)</f>
        <v>8</v>
      </c>
      <c r="I726" s="74" t="s">
        <v>2075</v>
      </c>
      <c r="J726" s="74" t="s">
        <v>2147</v>
      </c>
      <c r="K726" s="10" t="n">
        <v>0</v>
      </c>
      <c r="L726" s="8" t="n">
        <v>0</v>
      </c>
      <c r="M726" s="10" t="n">
        <v>254.21</v>
      </c>
      <c r="N726" s="8" t="n">
        <v>7775837.41</v>
      </c>
      <c r="O726" s="74" t="s">
        <v>2077</v>
      </c>
      <c r="P726" s="74"/>
      <c r="Q726" s="74"/>
      <c r="R726" s="14" t="n">
        <f aca="false">IF(I726="Unbilled",0,M726)</f>
        <v>254.21</v>
      </c>
      <c r="S726" s="9" t="n">
        <f aca="false">IF(R726=0,0,IF(O726="Booked",N726,R726*V725))</f>
        <v>7775837.40295455</v>
      </c>
      <c r="T726" s="14" t="n">
        <f aca="false">IF(I726="Opening",K726,T725+K726-R726)</f>
        <v>685.87</v>
      </c>
      <c r="U726" s="9" t="n">
        <f aca="false">IF(I726="Opening",L726,U725+L726-S726)</f>
        <v>20979558.6309132</v>
      </c>
      <c r="V726" s="9" t="n">
        <f aca="false">IF(T726&gt;0,U726/T726,IF(I726="Opening",0,V725))</f>
        <v>30588.2435897665</v>
      </c>
      <c r="W726" s="14" t="n">
        <f aca="false">M726</f>
        <v>254.21</v>
      </c>
      <c r="X726" s="9" t="n">
        <f aca="false">IF(W726=0,0,IF(O726="Booked",N726,W726*AA725))</f>
        <v>7775837.40295455</v>
      </c>
      <c r="Y726" s="14" t="n">
        <f aca="false">IF(I726="Opening",K726,Y725+K726-W726)</f>
        <v>685.87</v>
      </c>
      <c r="Z726" s="9" t="n">
        <f aca="false">IF(I726="Opening",L726,Z725+L726-X726)</f>
        <v>20979558.6309132</v>
      </c>
      <c r="AA726" s="9" t="n">
        <f aca="false">IF(Y726&gt;0,Z726/Y726,IF(I726="Opening",0,AA725))</f>
        <v>30588.2435897665</v>
      </c>
      <c r="AB726" s="9" t="n">
        <f aca="false">IF(AND(I726="DO",O726="MA"),S726-N726,0)</f>
        <v>-0.00704545341432095</v>
      </c>
      <c r="AC726" s="9" t="n">
        <f aca="false">IF(I726="DO",X726-S726,0)</f>
        <v>0</v>
      </c>
      <c r="AD726" s="23" t="n">
        <f aca="false">IF(B727&lt;&gt;B726,1,0)</f>
        <v>0</v>
      </c>
      <c r="AE726" s="14" t="n">
        <f aca="false">IF(I726="Opening",0,AE725+W726)</f>
        <v>3814.43</v>
      </c>
      <c r="AF726" s="14" t="n">
        <f aca="false">IF(I726="Opening",K726,AF725)</f>
        <v>3239.2</v>
      </c>
      <c r="AG726" s="14" t="n">
        <f aca="false">AG725</f>
        <v>0</v>
      </c>
      <c r="AH726" s="14" t="n">
        <f aca="false">IF(W726=0,0,MAX(0,MIN(AE726,AF726)-MIN(AE726-W726,AF726)))</f>
        <v>0</v>
      </c>
      <c r="AI726" s="14" t="n">
        <f aca="false">IF(W726=0,0,MAX(0,MIN(AE726,AF726+AG726)-MAX(AE726-W726,AF726)))</f>
        <v>0</v>
      </c>
      <c r="AJ726" s="14" t="n">
        <f aca="false">W726-AH726-AI726</f>
        <v>254.21</v>
      </c>
      <c r="AK726" s="9" t="n">
        <f aca="false">IF(W726=0,0,X726*AH726/W726)</f>
        <v>0</v>
      </c>
      <c r="AL726" s="9" t="n">
        <f aca="false">IF(W726=0,0,X726*AI726/W726)</f>
        <v>0</v>
      </c>
      <c r="AM726" s="9" t="n">
        <f aca="false">X726-AK726-AL726</f>
        <v>7775837.40295455</v>
      </c>
    </row>
    <row r="727" customFormat="false" ht="15" hidden="false" customHeight="false" outlineLevel="0" collapsed="false">
      <c r="A727" s="6" t="n">
        <v>722</v>
      </c>
      <c r="B727" s="74" t="s">
        <v>1017</v>
      </c>
      <c r="C727" s="53" t="str">
        <f aca="false">INDEX(I_Items!$C$5:$C$133,MATCH($B727,I_Items!$A$5:$A$133,0))</f>
        <v>RPA</v>
      </c>
      <c r="D727" s="53" t="str">
        <f aca="false">INDEX(I_Items!$D$5:$D$133,MATCH($B727,I_Items!$A$5:$A$133,0))</f>
        <v>Karkas</v>
      </c>
      <c r="E727" s="53" t="str">
        <f aca="false">INDEX(I_Items!$F$5:$F$133,MATCH($B727,I_Items!$A$5:$A$133,0))</f>
        <v>Frozen</v>
      </c>
      <c r="F727" s="53" t="str">
        <f aca="false">IF(INDEX(I_Items!$E$5:$E$133,MATCH($B727,I_Items!$A$5:$A$133,0))="","",INDEX(I_Items!$E$5:$E$133,MATCH($B727,I_Items!$A$5:$A$133,0)))</f>
        <v>Uk 0.7</v>
      </c>
      <c r="G727" s="76" t="n">
        <v>46261</v>
      </c>
      <c r="H727" s="23" t="n">
        <f aca="false">MONTH(G727)</f>
        <v>8</v>
      </c>
      <c r="I727" s="74" t="s">
        <v>2075</v>
      </c>
      <c r="J727" s="74" t="s">
        <v>2147</v>
      </c>
      <c r="K727" s="10" t="n">
        <v>0</v>
      </c>
      <c r="L727" s="8" t="n">
        <v>0</v>
      </c>
      <c r="M727" s="10" t="n">
        <v>77.73</v>
      </c>
      <c r="N727" s="8" t="n">
        <v>2377624.17</v>
      </c>
      <c r="O727" s="74" t="s">
        <v>2077</v>
      </c>
      <c r="P727" s="74"/>
      <c r="Q727" s="74"/>
      <c r="R727" s="14" t="n">
        <f aca="false">IF(I727="Unbilled",0,M727)</f>
        <v>77.73</v>
      </c>
      <c r="S727" s="9" t="n">
        <f aca="false">IF(R727=0,0,IF(O727="Booked",N727,R727*V726))</f>
        <v>2377624.17423255</v>
      </c>
      <c r="T727" s="14" t="n">
        <f aca="false">IF(I727="Opening",K727,T726+K727-R727)</f>
        <v>608.14</v>
      </c>
      <c r="U727" s="9" t="n">
        <f aca="false">IF(I727="Opening",L727,U726+L727-S727)</f>
        <v>18601934.4566806</v>
      </c>
      <c r="V727" s="9" t="n">
        <f aca="false">IF(T727&gt;0,U727/T727,IF(I727="Opening",0,V726))</f>
        <v>30588.2435897665</v>
      </c>
      <c r="W727" s="14" t="n">
        <f aca="false">M727</f>
        <v>77.73</v>
      </c>
      <c r="X727" s="9" t="n">
        <f aca="false">IF(W727=0,0,IF(O727="Booked",N727,W727*AA726))</f>
        <v>2377624.17423255</v>
      </c>
      <c r="Y727" s="14" t="n">
        <f aca="false">IF(I727="Opening",K727,Y726+K727-W727)</f>
        <v>608.14</v>
      </c>
      <c r="Z727" s="9" t="n">
        <f aca="false">IF(I727="Opening",L727,Z726+L727-X727)</f>
        <v>18601934.4566806</v>
      </c>
      <c r="AA727" s="9" t="n">
        <f aca="false">IF(Y727&gt;0,Z727/Y727,IF(I727="Opening",0,AA726))</f>
        <v>30588.2435897665</v>
      </c>
      <c r="AB727" s="9" t="n">
        <f aca="false">IF(AND(I727="DO",O727="MA"),S727-N727,0)</f>
        <v>0.00423255190253258</v>
      </c>
      <c r="AC727" s="9" t="n">
        <f aca="false">IF(I727="DO",X727-S727,0)</f>
        <v>0</v>
      </c>
      <c r="AD727" s="23" t="n">
        <f aca="false">IF(B728&lt;&gt;B727,1,0)</f>
        <v>0</v>
      </c>
      <c r="AE727" s="14" t="n">
        <f aca="false">IF(I727="Opening",0,AE726+W727)</f>
        <v>3892.16</v>
      </c>
      <c r="AF727" s="14" t="n">
        <f aca="false">IF(I727="Opening",K727,AF726)</f>
        <v>3239.2</v>
      </c>
      <c r="AG727" s="14" t="n">
        <f aca="false">AG726</f>
        <v>0</v>
      </c>
      <c r="AH727" s="14" t="n">
        <f aca="false">IF(W727=0,0,MAX(0,MIN(AE727,AF727)-MIN(AE727-W727,AF727)))</f>
        <v>0</v>
      </c>
      <c r="AI727" s="14" t="n">
        <f aca="false">IF(W727=0,0,MAX(0,MIN(AE727,AF727+AG727)-MAX(AE727-W727,AF727)))</f>
        <v>0</v>
      </c>
      <c r="AJ727" s="14" t="n">
        <f aca="false">W727-AH727-AI727</f>
        <v>77.73</v>
      </c>
      <c r="AK727" s="9" t="n">
        <f aca="false">IF(W727=0,0,X727*AH727/W727)</f>
        <v>0</v>
      </c>
      <c r="AL727" s="9" t="n">
        <f aca="false">IF(W727=0,0,X727*AI727/W727)</f>
        <v>0</v>
      </c>
      <c r="AM727" s="9" t="n">
        <f aca="false">X727-AK727-AL727</f>
        <v>2377624.17423255</v>
      </c>
    </row>
    <row r="728" customFormat="false" ht="15" hidden="false" customHeight="false" outlineLevel="0" collapsed="false">
      <c r="A728" s="6" t="n">
        <v>723</v>
      </c>
      <c r="B728" s="74" t="s">
        <v>1017</v>
      </c>
      <c r="C728" s="53" t="str">
        <f aca="false">INDEX(I_Items!$C$5:$C$133,MATCH($B728,I_Items!$A$5:$A$133,0))</f>
        <v>RPA</v>
      </c>
      <c r="D728" s="53" t="str">
        <f aca="false">INDEX(I_Items!$D$5:$D$133,MATCH($B728,I_Items!$A$5:$A$133,0))</f>
        <v>Karkas</v>
      </c>
      <c r="E728" s="53" t="str">
        <f aca="false">INDEX(I_Items!$F$5:$F$133,MATCH($B728,I_Items!$A$5:$A$133,0))</f>
        <v>Frozen</v>
      </c>
      <c r="F728" s="53" t="str">
        <f aca="false">IF(INDEX(I_Items!$E$5:$E$133,MATCH($B728,I_Items!$A$5:$A$133,0))="","",INDEX(I_Items!$E$5:$E$133,MATCH($B728,I_Items!$A$5:$A$133,0)))</f>
        <v>Uk 0.7</v>
      </c>
      <c r="G728" s="76" t="n">
        <v>46261</v>
      </c>
      <c r="H728" s="23" t="n">
        <f aca="false">MONTH(G728)</f>
        <v>8</v>
      </c>
      <c r="I728" s="74" t="s">
        <v>2075</v>
      </c>
      <c r="J728" s="74" t="s">
        <v>2147</v>
      </c>
      <c r="K728" s="10" t="n">
        <v>0</v>
      </c>
      <c r="L728" s="8" t="n">
        <v>0</v>
      </c>
      <c r="M728" s="10" t="n">
        <v>229.8</v>
      </c>
      <c r="N728" s="8" t="n">
        <v>7029178.38</v>
      </c>
      <c r="O728" s="74" t="s">
        <v>2077</v>
      </c>
      <c r="P728" s="74"/>
      <c r="Q728" s="74"/>
      <c r="R728" s="14" t="n">
        <f aca="false">IF(I728="Unbilled",0,M728)</f>
        <v>229.8</v>
      </c>
      <c r="S728" s="9" t="n">
        <f aca="false">IF(R728=0,0,IF(O728="Booked",N728,R728*V727))</f>
        <v>7029178.37692835</v>
      </c>
      <c r="T728" s="14" t="n">
        <f aca="false">IF(I728="Opening",K728,T727+K728-R728)</f>
        <v>378.34</v>
      </c>
      <c r="U728" s="9" t="n">
        <f aca="false">IF(I728="Opening",L728,U727+L728-S728)</f>
        <v>11572756.0797523</v>
      </c>
      <c r="V728" s="9" t="n">
        <f aca="false">IF(T728&gt;0,U728/T728,IF(I728="Opening",0,V727))</f>
        <v>30588.2435897665</v>
      </c>
      <c r="W728" s="14" t="n">
        <f aca="false">M728</f>
        <v>229.8</v>
      </c>
      <c r="X728" s="9" t="n">
        <f aca="false">IF(W728=0,0,IF(O728="Booked",N728,W728*AA727))</f>
        <v>7029178.37692835</v>
      </c>
      <c r="Y728" s="14" t="n">
        <f aca="false">IF(I728="Opening",K728,Y727+K728-W728)</f>
        <v>378.34</v>
      </c>
      <c r="Z728" s="9" t="n">
        <f aca="false">IF(I728="Opening",L728,Z727+L728-X728)</f>
        <v>11572756.0797523</v>
      </c>
      <c r="AA728" s="9" t="n">
        <f aca="false">IF(Y728&gt;0,Z728/Y728,IF(I728="Opening",0,AA727))</f>
        <v>30588.2435897665</v>
      </c>
      <c r="AB728" s="9" t="n">
        <f aca="false">IF(AND(I728="DO",O728="MA"),S728-N728,0)</f>
        <v>-0.00307165272533894</v>
      </c>
      <c r="AC728" s="9" t="n">
        <f aca="false">IF(I728="DO",X728-S728,0)</f>
        <v>0</v>
      </c>
      <c r="AD728" s="23" t="n">
        <f aca="false">IF(B729&lt;&gt;B728,1,0)</f>
        <v>0</v>
      </c>
      <c r="AE728" s="14" t="n">
        <f aca="false">IF(I728="Opening",0,AE727+W728)</f>
        <v>4121.96</v>
      </c>
      <c r="AF728" s="14" t="n">
        <f aca="false">IF(I728="Opening",K728,AF727)</f>
        <v>3239.2</v>
      </c>
      <c r="AG728" s="14" t="n">
        <f aca="false">AG727</f>
        <v>0</v>
      </c>
      <c r="AH728" s="14" t="n">
        <f aca="false">IF(W728=0,0,MAX(0,MIN(AE728,AF728)-MIN(AE728-W728,AF728)))</f>
        <v>0</v>
      </c>
      <c r="AI728" s="14" t="n">
        <f aca="false">IF(W728=0,0,MAX(0,MIN(AE728,AF728+AG728)-MAX(AE728-W728,AF728)))</f>
        <v>0</v>
      </c>
      <c r="AJ728" s="14" t="n">
        <f aca="false">W728-AH728-AI728</f>
        <v>229.8</v>
      </c>
      <c r="AK728" s="9" t="n">
        <f aca="false">IF(W728=0,0,X728*AH728/W728)</f>
        <v>0</v>
      </c>
      <c r="AL728" s="9" t="n">
        <f aca="false">IF(W728=0,0,X728*AI728/W728)</f>
        <v>0</v>
      </c>
      <c r="AM728" s="9" t="n">
        <f aca="false">X728-AK728-AL728</f>
        <v>7029178.37692835</v>
      </c>
    </row>
    <row r="729" customFormat="false" ht="15" hidden="false" customHeight="false" outlineLevel="0" collapsed="false">
      <c r="A729" s="6" t="n">
        <v>724</v>
      </c>
      <c r="B729" s="74" t="s">
        <v>1017</v>
      </c>
      <c r="C729" s="53" t="str">
        <f aca="false">INDEX(I_Items!$C$5:$C$133,MATCH($B729,I_Items!$A$5:$A$133,0))</f>
        <v>RPA</v>
      </c>
      <c r="D729" s="53" t="str">
        <f aca="false">INDEX(I_Items!$D$5:$D$133,MATCH($B729,I_Items!$A$5:$A$133,0))</f>
        <v>Karkas</v>
      </c>
      <c r="E729" s="53" t="str">
        <f aca="false">INDEX(I_Items!$F$5:$F$133,MATCH($B729,I_Items!$A$5:$A$133,0))</f>
        <v>Frozen</v>
      </c>
      <c r="F729" s="53" t="str">
        <f aca="false">IF(INDEX(I_Items!$E$5:$E$133,MATCH($B729,I_Items!$A$5:$A$133,0))="","",INDEX(I_Items!$E$5:$E$133,MATCH($B729,I_Items!$A$5:$A$133,0)))</f>
        <v>Uk 0.7</v>
      </c>
      <c r="G729" s="76" t="n">
        <v>46261</v>
      </c>
      <c r="H729" s="23" t="n">
        <f aca="false">MONTH(G729)</f>
        <v>8</v>
      </c>
      <c r="I729" s="74" t="s">
        <v>2075</v>
      </c>
      <c r="J729" s="74" t="s">
        <v>2147</v>
      </c>
      <c r="K729" s="10" t="n">
        <v>0</v>
      </c>
      <c r="L729" s="8" t="n">
        <v>0</v>
      </c>
      <c r="M729" s="10" t="n">
        <v>36.75</v>
      </c>
      <c r="N729" s="8" t="n">
        <v>1124117.95</v>
      </c>
      <c r="O729" s="74" t="s">
        <v>2077</v>
      </c>
      <c r="P729" s="74"/>
      <c r="Q729" s="74"/>
      <c r="R729" s="14" t="n">
        <f aca="false">IF(I729="Unbilled",0,M729)</f>
        <v>36.75</v>
      </c>
      <c r="S729" s="9" t="n">
        <f aca="false">IF(R729=0,0,IF(O729="Booked",N729,R729*V728))</f>
        <v>1124117.95192392</v>
      </c>
      <c r="T729" s="14" t="n">
        <f aca="false">IF(I729="Opening",K729,T728+K729-R729)</f>
        <v>341.59</v>
      </c>
      <c r="U729" s="9" t="n">
        <f aca="false">IF(I729="Opening",L729,U728+L729-S729)</f>
        <v>10448638.1278283</v>
      </c>
      <c r="V729" s="9" t="n">
        <f aca="false">IF(T729&gt;0,U729/T729,IF(I729="Opening",0,V728))</f>
        <v>30588.2435897665</v>
      </c>
      <c r="W729" s="14" t="n">
        <f aca="false">M729</f>
        <v>36.75</v>
      </c>
      <c r="X729" s="9" t="n">
        <f aca="false">IF(W729=0,0,IF(O729="Booked",N729,W729*AA728))</f>
        <v>1124117.95192392</v>
      </c>
      <c r="Y729" s="14" t="n">
        <f aca="false">IF(I729="Opening",K729,Y728+K729-W729)</f>
        <v>341.59</v>
      </c>
      <c r="Z729" s="9" t="n">
        <f aca="false">IF(I729="Opening",L729,Z728+L729-X729)</f>
        <v>10448638.1278283</v>
      </c>
      <c r="AA729" s="9" t="n">
        <f aca="false">IF(Y729&gt;0,Z729/Y729,IF(I729="Opening",0,AA728))</f>
        <v>30588.2435897665</v>
      </c>
      <c r="AB729" s="9" t="n">
        <f aca="false">IF(AND(I729="DO",O729="MA"),S729-N729,0)</f>
        <v>0.00192391988821328</v>
      </c>
      <c r="AC729" s="9" t="n">
        <f aca="false">IF(I729="DO",X729-S729,0)</f>
        <v>0</v>
      </c>
      <c r="AD729" s="23" t="n">
        <f aca="false">IF(B730&lt;&gt;B729,1,0)</f>
        <v>0</v>
      </c>
      <c r="AE729" s="14" t="n">
        <f aca="false">IF(I729="Opening",0,AE728+W729)</f>
        <v>4158.71</v>
      </c>
      <c r="AF729" s="14" t="n">
        <f aca="false">IF(I729="Opening",K729,AF728)</f>
        <v>3239.2</v>
      </c>
      <c r="AG729" s="14" t="n">
        <f aca="false">AG728</f>
        <v>0</v>
      </c>
      <c r="AH729" s="14" t="n">
        <f aca="false">IF(W729=0,0,MAX(0,MIN(AE729,AF729)-MIN(AE729-W729,AF729)))</f>
        <v>0</v>
      </c>
      <c r="AI729" s="14" t="n">
        <f aca="false">IF(W729=0,0,MAX(0,MIN(AE729,AF729+AG729)-MAX(AE729-W729,AF729)))</f>
        <v>0</v>
      </c>
      <c r="AJ729" s="14" t="n">
        <f aca="false">W729-AH729-AI729</f>
        <v>36.75</v>
      </c>
      <c r="AK729" s="9" t="n">
        <f aca="false">IF(W729=0,0,X729*AH729/W729)</f>
        <v>0</v>
      </c>
      <c r="AL729" s="9" t="n">
        <f aca="false">IF(W729=0,0,X729*AI729/W729)</f>
        <v>0</v>
      </c>
      <c r="AM729" s="9" t="n">
        <f aca="false">X729-AK729-AL729</f>
        <v>1124117.95192392</v>
      </c>
    </row>
    <row r="730" customFormat="false" ht="15" hidden="false" customHeight="false" outlineLevel="0" collapsed="false">
      <c r="A730" s="6" t="n">
        <v>725</v>
      </c>
      <c r="B730" s="74" t="s">
        <v>1017</v>
      </c>
      <c r="C730" s="53" t="str">
        <f aca="false">INDEX(I_Items!$C$5:$C$133,MATCH($B730,I_Items!$A$5:$A$133,0))</f>
        <v>RPA</v>
      </c>
      <c r="D730" s="53" t="str">
        <f aca="false">INDEX(I_Items!$D$5:$D$133,MATCH($B730,I_Items!$A$5:$A$133,0))</f>
        <v>Karkas</v>
      </c>
      <c r="E730" s="53" t="str">
        <f aca="false">INDEX(I_Items!$F$5:$F$133,MATCH($B730,I_Items!$A$5:$A$133,0))</f>
        <v>Frozen</v>
      </c>
      <c r="F730" s="53" t="str">
        <f aca="false">IF(INDEX(I_Items!$E$5:$E$133,MATCH($B730,I_Items!$A$5:$A$133,0))="","",INDEX(I_Items!$E$5:$E$133,MATCH($B730,I_Items!$A$5:$A$133,0)))</f>
        <v>Uk 0.7</v>
      </c>
      <c r="G730" s="76" t="n">
        <v>46262</v>
      </c>
      <c r="H730" s="23" t="n">
        <f aca="false">MONTH(G730)</f>
        <v>8</v>
      </c>
      <c r="I730" s="74" t="s">
        <v>2074</v>
      </c>
      <c r="J730" s="74" t="s">
        <v>1323</v>
      </c>
      <c r="K730" s="10" t="n">
        <v>39.7</v>
      </c>
      <c r="L730" s="8" t="n">
        <v>1488426.57</v>
      </c>
      <c r="M730" s="10" t="n">
        <v>0</v>
      </c>
      <c r="N730" s="8" t="n">
        <v>0</v>
      </c>
      <c r="O730" s="74"/>
      <c r="P730" s="74"/>
      <c r="Q730" s="74"/>
      <c r="R730" s="14" t="n">
        <f aca="false">IF(I730="Unbilled",0,M730)</f>
        <v>0</v>
      </c>
      <c r="S730" s="9" t="n">
        <f aca="false">IF(R730=0,0,IF(O730="Booked",N730,R730*V729))</f>
        <v>0</v>
      </c>
      <c r="T730" s="14" t="n">
        <f aca="false">IF(I730="Opening",K730,T729+K730-R730)</f>
        <v>381.29</v>
      </c>
      <c r="U730" s="9" t="n">
        <f aca="false">IF(I730="Opening",L730,U729+L730-S730)</f>
        <v>11937064.6978283</v>
      </c>
      <c r="V730" s="9" t="n">
        <f aca="false">IF(T730&gt;0,U730/T730,IF(I730="Opening",0,V729))</f>
        <v>31307.0489596589</v>
      </c>
      <c r="W730" s="14" t="n">
        <f aca="false">M730</f>
        <v>0</v>
      </c>
      <c r="X730" s="9" t="n">
        <f aca="false">IF(W730=0,0,IF(O730="Booked",N730,W730*AA729))</f>
        <v>0</v>
      </c>
      <c r="Y730" s="14" t="n">
        <f aca="false">IF(I730="Opening",K730,Y729+K730-W730)</f>
        <v>381.29</v>
      </c>
      <c r="Z730" s="9" t="n">
        <f aca="false">IF(I730="Opening",L730,Z729+L730-X730)</f>
        <v>11937064.6978283</v>
      </c>
      <c r="AA730" s="9" t="n">
        <f aca="false">IF(Y730&gt;0,Z730/Y730,IF(I730="Opening",0,AA729))</f>
        <v>31307.0489596589</v>
      </c>
      <c r="AB730" s="9" t="n">
        <f aca="false">IF(AND(I730="DO",O730="MA"),S730-N730,0)</f>
        <v>0</v>
      </c>
      <c r="AC730" s="9" t="n">
        <f aca="false">IF(I730="DO",X730-S730,0)</f>
        <v>0</v>
      </c>
      <c r="AD730" s="23" t="n">
        <f aca="false">IF(B731&lt;&gt;B730,1,0)</f>
        <v>0</v>
      </c>
      <c r="AE730" s="14" t="n">
        <f aca="false">IF(I730="Opening",0,AE729+W730)</f>
        <v>4158.71</v>
      </c>
      <c r="AF730" s="14" t="n">
        <f aca="false">IF(I730="Opening",K730,AF729)</f>
        <v>3239.2</v>
      </c>
      <c r="AG730" s="14" t="n">
        <f aca="false">AG729</f>
        <v>0</v>
      </c>
      <c r="AH730" s="14" t="n">
        <f aca="false">IF(W730=0,0,MAX(0,MIN(AE730,AF730)-MIN(AE730-W730,AF730)))</f>
        <v>0</v>
      </c>
      <c r="AI730" s="14" t="n">
        <f aca="false">IF(W730=0,0,MAX(0,MIN(AE730,AF730+AG730)-MAX(AE730-W730,AF730)))</f>
        <v>0</v>
      </c>
      <c r="AJ730" s="14" t="n">
        <f aca="false">W730-AH730-AI730</f>
        <v>0</v>
      </c>
      <c r="AK730" s="9" t="n">
        <f aca="false">IF(W730=0,0,X730*AH730/W730)</f>
        <v>0</v>
      </c>
      <c r="AL730" s="9" t="n">
        <f aca="false">IF(W730=0,0,X730*AI730/W730)</f>
        <v>0</v>
      </c>
      <c r="AM730" s="9" t="n">
        <f aca="false">X730-AK730-AL730</f>
        <v>0</v>
      </c>
    </row>
    <row r="731" customFormat="false" ht="15" hidden="false" customHeight="false" outlineLevel="0" collapsed="false">
      <c r="A731" s="6" t="n">
        <v>726</v>
      </c>
      <c r="B731" s="74" t="s">
        <v>1017</v>
      </c>
      <c r="C731" s="53" t="str">
        <f aca="false">INDEX(I_Items!$C$5:$C$133,MATCH($B731,I_Items!$A$5:$A$133,0))</f>
        <v>RPA</v>
      </c>
      <c r="D731" s="53" t="str">
        <f aca="false">INDEX(I_Items!$D$5:$D$133,MATCH($B731,I_Items!$A$5:$A$133,0))</f>
        <v>Karkas</v>
      </c>
      <c r="E731" s="53" t="str">
        <f aca="false">INDEX(I_Items!$F$5:$F$133,MATCH($B731,I_Items!$A$5:$A$133,0))</f>
        <v>Frozen</v>
      </c>
      <c r="F731" s="53" t="str">
        <f aca="false">IF(INDEX(I_Items!$E$5:$E$133,MATCH($B731,I_Items!$A$5:$A$133,0))="","",INDEX(I_Items!$E$5:$E$133,MATCH($B731,I_Items!$A$5:$A$133,0)))</f>
        <v>Uk 0.7</v>
      </c>
      <c r="G731" s="76" t="n">
        <v>46263</v>
      </c>
      <c r="H731" s="23" t="n">
        <f aca="false">MONTH(G731)</f>
        <v>8</v>
      </c>
      <c r="I731" s="74" t="s">
        <v>2075</v>
      </c>
      <c r="J731" s="74" t="s">
        <v>2148</v>
      </c>
      <c r="K731" s="10" t="n">
        <v>0</v>
      </c>
      <c r="L731" s="8" t="n">
        <v>0</v>
      </c>
      <c r="M731" s="10" t="n">
        <v>173.8</v>
      </c>
      <c r="N731" s="8" t="n">
        <v>5441165.12</v>
      </c>
      <c r="O731" s="74" t="s">
        <v>2077</v>
      </c>
      <c r="P731" s="74"/>
      <c r="Q731" s="74"/>
      <c r="R731" s="14" t="n">
        <f aca="false">IF(I731="Unbilled",0,M731)</f>
        <v>173.8</v>
      </c>
      <c r="S731" s="9" t="n">
        <f aca="false">IF(R731=0,0,IF(O731="Booked",N731,R731*V730))</f>
        <v>5441165.10918872</v>
      </c>
      <c r="T731" s="14" t="n">
        <f aca="false">IF(I731="Opening",K731,T730+K731-R731)</f>
        <v>207.49</v>
      </c>
      <c r="U731" s="9" t="n">
        <f aca="false">IF(I731="Opening",L731,U730+L731-S731)</f>
        <v>6495899.58863962</v>
      </c>
      <c r="V731" s="9" t="n">
        <f aca="false">IF(T731&gt;0,U731/T731,IF(I731="Opening",0,V730))</f>
        <v>31307.0489596589</v>
      </c>
      <c r="W731" s="14" t="n">
        <f aca="false">M731</f>
        <v>173.8</v>
      </c>
      <c r="X731" s="9" t="n">
        <f aca="false">IF(W731=0,0,IF(O731="Booked",N731,W731*AA730))</f>
        <v>5441165.10918872</v>
      </c>
      <c r="Y731" s="14" t="n">
        <f aca="false">IF(I731="Opening",K731,Y730+K731-W731)</f>
        <v>207.49</v>
      </c>
      <c r="Z731" s="9" t="n">
        <f aca="false">IF(I731="Opening",L731,Z730+L731-X731)</f>
        <v>6495899.58863962</v>
      </c>
      <c r="AA731" s="9" t="n">
        <f aca="false">IF(Y731&gt;0,Z731/Y731,IF(I731="Opening",0,AA730))</f>
        <v>31307.0489596589</v>
      </c>
      <c r="AB731" s="9" t="n">
        <f aca="false">IF(AND(I731="DO",O731="MA"),S731-N731,0)</f>
        <v>-0.0108112804591656</v>
      </c>
      <c r="AC731" s="9" t="n">
        <f aca="false">IF(I731="DO",X731-S731,0)</f>
        <v>0</v>
      </c>
      <c r="AD731" s="23" t="n">
        <f aca="false">IF(B732&lt;&gt;B731,1,0)</f>
        <v>0</v>
      </c>
      <c r="AE731" s="14" t="n">
        <f aca="false">IF(I731="Opening",0,AE730+W731)</f>
        <v>4332.51</v>
      </c>
      <c r="AF731" s="14" t="n">
        <f aca="false">IF(I731="Opening",K731,AF730)</f>
        <v>3239.2</v>
      </c>
      <c r="AG731" s="14" t="n">
        <f aca="false">AG730</f>
        <v>0</v>
      </c>
      <c r="AH731" s="14" t="n">
        <f aca="false">IF(W731=0,0,MAX(0,MIN(AE731,AF731)-MIN(AE731-W731,AF731)))</f>
        <v>0</v>
      </c>
      <c r="AI731" s="14" t="n">
        <f aca="false">IF(W731=0,0,MAX(0,MIN(AE731,AF731+AG731)-MAX(AE731-W731,AF731)))</f>
        <v>0</v>
      </c>
      <c r="AJ731" s="14" t="n">
        <f aca="false">W731-AH731-AI731</f>
        <v>173.8</v>
      </c>
      <c r="AK731" s="9" t="n">
        <f aca="false">IF(W731=0,0,X731*AH731/W731)</f>
        <v>0</v>
      </c>
      <c r="AL731" s="9" t="n">
        <f aca="false">IF(W731=0,0,X731*AI731/W731)</f>
        <v>0</v>
      </c>
      <c r="AM731" s="9" t="n">
        <f aca="false">X731-AK731-AL731</f>
        <v>5441165.10918872</v>
      </c>
    </row>
    <row r="732" customFormat="false" ht="15" hidden="false" customHeight="false" outlineLevel="0" collapsed="false">
      <c r="A732" s="6" t="n">
        <v>727</v>
      </c>
      <c r="B732" s="74" t="s">
        <v>1017</v>
      </c>
      <c r="C732" s="53" t="str">
        <f aca="false">INDEX(I_Items!$C$5:$C$133,MATCH($B732,I_Items!$A$5:$A$133,0))</f>
        <v>RPA</v>
      </c>
      <c r="D732" s="53" t="str">
        <f aca="false">INDEX(I_Items!$D$5:$D$133,MATCH($B732,I_Items!$A$5:$A$133,0))</f>
        <v>Karkas</v>
      </c>
      <c r="E732" s="53" t="str">
        <f aca="false">INDEX(I_Items!$F$5:$F$133,MATCH($B732,I_Items!$A$5:$A$133,0))</f>
        <v>Frozen</v>
      </c>
      <c r="F732" s="53" t="str">
        <f aca="false">IF(INDEX(I_Items!$E$5:$E$133,MATCH($B732,I_Items!$A$5:$A$133,0))="","",INDEX(I_Items!$E$5:$E$133,MATCH($B732,I_Items!$A$5:$A$133,0)))</f>
        <v>Uk 0.7</v>
      </c>
      <c r="G732" s="76" t="n">
        <v>46265</v>
      </c>
      <c r="H732" s="23" t="n">
        <f aca="false">MONTH(G732)</f>
        <v>8</v>
      </c>
      <c r="I732" s="74" t="s">
        <v>2074</v>
      </c>
      <c r="J732" s="74" t="s">
        <v>1326</v>
      </c>
      <c r="K732" s="10" t="n">
        <v>17.1</v>
      </c>
      <c r="L732" s="8" t="n">
        <v>630073.39</v>
      </c>
      <c r="M732" s="10" t="n">
        <v>0</v>
      </c>
      <c r="N732" s="8" t="n">
        <v>0</v>
      </c>
      <c r="O732" s="74"/>
      <c r="P732" s="74"/>
      <c r="Q732" s="74"/>
      <c r="R732" s="14" t="n">
        <f aca="false">IF(I732="Unbilled",0,M732)</f>
        <v>0</v>
      </c>
      <c r="S732" s="9" t="n">
        <f aca="false">IF(R732=0,0,IF(O732="Booked",N732,R732*V731))</f>
        <v>0</v>
      </c>
      <c r="T732" s="14" t="n">
        <f aca="false">IF(I732="Opening",K732,T731+K732-R732)</f>
        <v>224.59</v>
      </c>
      <c r="U732" s="9" t="n">
        <f aca="false">IF(I732="Opening",L732,U731+L732-S732)</f>
        <v>7125972.97863962</v>
      </c>
      <c r="V732" s="9" t="n">
        <f aca="false">IF(T732&gt;0,U732/T732,IF(I732="Opening",0,V731))</f>
        <v>31728.8079551166</v>
      </c>
      <c r="W732" s="14" t="n">
        <f aca="false">M732</f>
        <v>0</v>
      </c>
      <c r="X732" s="9" t="n">
        <f aca="false">IF(W732=0,0,IF(O732="Booked",N732,W732*AA731))</f>
        <v>0</v>
      </c>
      <c r="Y732" s="14" t="n">
        <f aca="false">IF(I732="Opening",K732,Y731+K732-W732)</f>
        <v>224.59</v>
      </c>
      <c r="Z732" s="9" t="n">
        <f aca="false">IF(I732="Opening",L732,Z731+L732-X732)</f>
        <v>7125972.97863962</v>
      </c>
      <c r="AA732" s="9" t="n">
        <f aca="false">IF(Y732&gt;0,Z732/Y732,IF(I732="Opening",0,AA731))</f>
        <v>31728.8079551166</v>
      </c>
      <c r="AB732" s="9" t="n">
        <f aca="false">IF(AND(I732="DO",O732="MA"),S732-N732,0)</f>
        <v>0</v>
      </c>
      <c r="AC732" s="9" t="n">
        <f aca="false">IF(I732="DO",X732-S732,0)</f>
        <v>0</v>
      </c>
      <c r="AD732" s="23" t="n">
        <f aca="false">IF(B733&lt;&gt;B732,1,0)</f>
        <v>1</v>
      </c>
      <c r="AE732" s="14" t="n">
        <f aca="false">IF(I732="Opening",0,AE731+W732)</f>
        <v>4332.51</v>
      </c>
      <c r="AF732" s="14" t="n">
        <f aca="false">IF(I732="Opening",K732,AF731)</f>
        <v>3239.2</v>
      </c>
      <c r="AG732" s="14" t="n">
        <f aca="false">AG731</f>
        <v>0</v>
      </c>
      <c r="AH732" s="14" t="n">
        <f aca="false">IF(W732=0,0,MAX(0,MIN(AE732,AF732)-MIN(AE732-W732,AF732)))</f>
        <v>0</v>
      </c>
      <c r="AI732" s="14" t="n">
        <f aca="false">IF(W732=0,0,MAX(0,MIN(AE732,AF732+AG732)-MAX(AE732-W732,AF732)))</f>
        <v>0</v>
      </c>
      <c r="AJ732" s="14" t="n">
        <f aca="false">W732-AH732-AI732</f>
        <v>0</v>
      </c>
      <c r="AK732" s="9" t="n">
        <f aca="false">IF(W732=0,0,X732*AH732/W732)</f>
        <v>0</v>
      </c>
      <c r="AL732" s="9" t="n">
        <f aca="false">IF(W732=0,0,X732*AI732/W732)</f>
        <v>0</v>
      </c>
      <c r="AM732" s="9" t="n">
        <f aca="false">X732-AK732-AL732</f>
        <v>0</v>
      </c>
    </row>
    <row r="733" customFormat="false" ht="15" hidden="false" customHeight="false" outlineLevel="0" collapsed="false">
      <c r="A733" s="6" t="n">
        <v>728</v>
      </c>
      <c r="B733" s="74" t="s">
        <v>2187</v>
      </c>
      <c r="C733" s="53" t="str">
        <f aca="false">INDEX(I_Items!$C$5:$C$133,MATCH($B733,I_Items!$A$5:$A$133,0))</f>
        <v>Other</v>
      </c>
      <c r="D733" s="53" t="str">
        <f aca="false">INDEX(I_Items!$D$5:$D$133,MATCH($B733,I_Items!$A$5:$A$133,0))</f>
        <v>Packaging (non-sale)</v>
      </c>
      <c r="E733" s="53" t="str">
        <f aca="false">INDEX(I_Items!$F$5:$F$133,MATCH($B733,I_Items!$A$5:$A$133,0))</f>
        <v>Not stated in item master</v>
      </c>
      <c r="F733" s="53" t="str">
        <f aca="false">IF(INDEX(I_Items!$E$5:$E$133,MATCH($B733,I_Items!$A$5:$A$133,0))="","",INDEX(I_Items!$E$5:$E$133,MATCH($B733,I_Items!$A$5:$A$133,0)))</f>
        <v/>
      </c>
      <c r="G733" s="76" t="n">
        <v>46204</v>
      </c>
      <c r="H733" s="23" t="n">
        <f aca="false">MONTH(G733)</f>
        <v>7</v>
      </c>
      <c r="I733" s="74" t="s">
        <v>2072</v>
      </c>
      <c r="J733" s="74" t="s">
        <v>2073</v>
      </c>
      <c r="K733" s="10" t="n">
        <v>25.6</v>
      </c>
      <c r="L733" s="8" t="n">
        <v>857600</v>
      </c>
      <c r="M733" s="10" t="n">
        <v>0</v>
      </c>
      <c r="N733" s="8" t="n">
        <v>0</v>
      </c>
      <c r="O733" s="74"/>
      <c r="P733" s="74"/>
      <c r="Q733" s="74"/>
      <c r="R733" s="14" t="n">
        <f aca="false">IF(I733="Unbilled",0,M733)</f>
        <v>0</v>
      </c>
      <c r="S733" s="9" t="n">
        <f aca="false">IF(R733=0,0,IF(O733="Booked",N733,R733*V732))</f>
        <v>0</v>
      </c>
      <c r="T733" s="14" t="n">
        <f aca="false">IF(I733="Opening",K733,T732+K733-R733)</f>
        <v>25.6</v>
      </c>
      <c r="U733" s="9" t="n">
        <f aca="false">IF(I733="Opening",L733,U732+L733-S733)</f>
        <v>857600</v>
      </c>
      <c r="V733" s="9" t="n">
        <f aca="false">IF(T733&gt;0,U733/T733,IF(I733="Opening",0,V732))</f>
        <v>33500</v>
      </c>
      <c r="W733" s="14" t="n">
        <f aca="false">M733</f>
        <v>0</v>
      </c>
      <c r="X733" s="9" t="n">
        <f aca="false">IF(W733=0,0,IF(O733="Booked",N733,W733*AA732))</f>
        <v>0</v>
      </c>
      <c r="Y733" s="14" t="n">
        <f aca="false">IF(I733="Opening",K733,Y732+K733-W733)</f>
        <v>25.6</v>
      </c>
      <c r="Z733" s="9" t="n">
        <f aca="false">IF(I733="Opening",L733,Z732+L733-X733)</f>
        <v>857600</v>
      </c>
      <c r="AA733" s="9" t="n">
        <f aca="false">IF(Y733&gt;0,Z733/Y733,IF(I733="Opening",0,AA732))</f>
        <v>33500</v>
      </c>
      <c r="AB733" s="9" t="n">
        <f aca="false">IF(AND(I733="DO",O733="MA"),S733-N733,0)</f>
        <v>0</v>
      </c>
      <c r="AC733" s="9" t="n">
        <f aca="false">IF(I733="DO",X733-S733,0)</f>
        <v>0</v>
      </c>
      <c r="AD733" s="23" t="n">
        <f aca="false">IF(B734&lt;&gt;B733,1,0)</f>
        <v>0</v>
      </c>
      <c r="AE733" s="14" t="n">
        <f aca="false">IF(I733="Opening",0,AE732+W733)</f>
        <v>0</v>
      </c>
      <c r="AF733" s="14" t="n">
        <f aca="false">IF(I733="Opening",K733,AF732)</f>
        <v>25.6</v>
      </c>
      <c r="AG733" s="14" t="n">
        <f aca="false">SUMIFS($K$6:$K$1110,$B$6:$B$1110,B733,$H$6:$H$1110,7,$I$6:$I$1110,"&lt;&gt;Opening")</f>
        <v>0</v>
      </c>
      <c r="AH733" s="14" t="n">
        <f aca="false">IF(W733=0,0,MAX(0,MIN(AE733,AF733)-MIN(AE733-W733,AF733)))</f>
        <v>0</v>
      </c>
      <c r="AI733" s="14" t="n">
        <f aca="false">IF(W733=0,0,MAX(0,MIN(AE733,AF733+AG733)-MAX(AE733-W733,AF733)))</f>
        <v>0</v>
      </c>
      <c r="AJ733" s="14" t="n">
        <f aca="false">W733-AH733-AI733</f>
        <v>0</v>
      </c>
      <c r="AK733" s="9" t="n">
        <f aca="false">IF(W733=0,0,X733*AH733/W733)</f>
        <v>0</v>
      </c>
      <c r="AL733" s="9" t="n">
        <f aca="false">IF(W733=0,0,X733*AI733/W733)</f>
        <v>0</v>
      </c>
      <c r="AM733" s="9" t="n">
        <f aca="false">X733-AK733-AL733</f>
        <v>0</v>
      </c>
    </row>
    <row r="734" customFormat="false" ht="15" hidden="false" customHeight="false" outlineLevel="0" collapsed="false">
      <c r="A734" s="6" t="n">
        <v>729</v>
      </c>
      <c r="B734" s="74" t="s">
        <v>2187</v>
      </c>
      <c r="C734" s="53" t="str">
        <f aca="false">INDEX(I_Items!$C$5:$C$133,MATCH($B734,I_Items!$A$5:$A$133,0))</f>
        <v>Other</v>
      </c>
      <c r="D734" s="53" t="str">
        <f aca="false">INDEX(I_Items!$D$5:$D$133,MATCH($B734,I_Items!$A$5:$A$133,0))</f>
        <v>Packaging (non-sale)</v>
      </c>
      <c r="E734" s="53" t="str">
        <f aca="false">INDEX(I_Items!$F$5:$F$133,MATCH($B734,I_Items!$A$5:$A$133,0))</f>
        <v>Not stated in item master</v>
      </c>
      <c r="F734" s="53" t="str">
        <f aca="false">IF(INDEX(I_Items!$E$5:$E$133,MATCH($B734,I_Items!$A$5:$A$133,0))="","",INDEX(I_Items!$E$5:$E$133,MATCH($B734,I_Items!$A$5:$A$133,0)))</f>
        <v/>
      </c>
      <c r="G734" s="76" t="n">
        <v>46234</v>
      </c>
      <c r="H734" s="23" t="n">
        <f aca="false">MONTH(G734)</f>
        <v>7</v>
      </c>
      <c r="I734" s="74" t="s">
        <v>2188</v>
      </c>
      <c r="J734" s="74" t="s">
        <v>2189</v>
      </c>
      <c r="K734" s="10" t="n">
        <v>0</v>
      </c>
      <c r="L734" s="8" t="n">
        <v>0</v>
      </c>
      <c r="M734" s="10" t="n">
        <v>25.6</v>
      </c>
      <c r="N734" s="8" t="n">
        <v>857600</v>
      </c>
      <c r="O734" s="74" t="s">
        <v>2119</v>
      </c>
      <c r="P734" s="74"/>
      <c r="Q734" s="74"/>
      <c r="R734" s="14" t="n">
        <f aca="false">IF(I734="Unbilled",0,M734)</f>
        <v>25.6</v>
      </c>
      <c r="S734" s="9" t="n">
        <f aca="false">IF(R734=0,0,IF(O734="Booked",N734,R734*V733))</f>
        <v>857600</v>
      </c>
      <c r="T734" s="14" t="n">
        <f aca="false">IF(I734="Opening",K734,T733+K734-R734)</f>
        <v>0</v>
      </c>
      <c r="U734" s="9" t="n">
        <f aca="false">IF(I734="Opening",L734,U733+L734-S734)</f>
        <v>0</v>
      </c>
      <c r="V734" s="9" t="n">
        <f aca="false">IF(T734&gt;0,U734/T734,IF(I734="Opening",0,V733))</f>
        <v>33500</v>
      </c>
      <c r="W734" s="14" t="n">
        <f aca="false">M734</f>
        <v>25.6</v>
      </c>
      <c r="X734" s="9" t="n">
        <f aca="false">IF(W734=0,0,IF(O734="Booked",N734,W734*AA733))</f>
        <v>857600</v>
      </c>
      <c r="Y734" s="14" t="n">
        <f aca="false">IF(I734="Opening",K734,Y733+K734-W734)</f>
        <v>0</v>
      </c>
      <c r="Z734" s="9" t="n">
        <f aca="false">IF(I734="Opening",L734,Z733+L734-X734)</f>
        <v>0</v>
      </c>
      <c r="AA734" s="9" t="n">
        <f aca="false">IF(Y734&gt;0,Z734/Y734,IF(I734="Opening",0,AA733))</f>
        <v>33500</v>
      </c>
      <c r="AB734" s="9" t="n">
        <f aca="false">IF(AND(I734="DO",O734="MA"),S734-N734,0)</f>
        <v>0</v>
      </c>
      <c r="AC734" s="9" t="n">
        <f aca="false">IF(I734="DO",X734-S734,0)</f>
        <v>0</v>
      </c>
      <c r="AD734" s="23" t="n">
        <f aca="false">IF(B735&lt;&gt;B734,1,0)</f>
        <v>1</v>
      </c>
      <c r="AE734" s="14" t="n">
        <f aca="false">IF(I734="Opening",0,AE733+W734)</f>
        <v>25.6</v>
      </c>
      <c r="AF734" s="14" t="n">
        <f aca="false">IF(I734="Opening",K734,AF733)</f>
        <v>25.6</v>
      </c>
      <c r="AG734" s="14" t="n">
        <f aca="false">AG733</f>
        <v>0</v>
      </c>
      <c r="AH734" s="14" t="n">
        <f aca="false">IF(W734=0,0,MAX(0,MIN(AE734,AF734)-MIN(AE734-W734,AF734)))</f>
        <v>25.6</v>
      </c>
      <c r="AI734" s="14" t="n">
        <f aca="false">IF(W734=0,0,MAX(0,MIN(AE734,AF734+AG734)-MAX(AE734-W734,AF734)))</f>
        <v>0</v>
      </c>
      <c r="AJ734" s="14" t="n">
        <f aca="false">W734-AH734-AI734</f>
        <v>0</v>
      </c>
      <c r="AK734" s="9" t="n">
        <f aca="false">IF(W734=0,0,X734*AH734/W734)</f>
        <v>857600</v>
      </c>
      <c r="AL734" s="9" t="n">
        <f aca="false">IF(W734=0,0,X734*AI734/W734)</f>
        <v>0</v>
      </c>
      <c r="AM734" s="9" t="n">
        <f aca="false">X734-AK734-AL734</f>
        <v>0</v>
      </c>
    </row>
    <row r="735" customFormat="false" ht="15" hidden="false" customHeight="false" outlineLevel="0" collapsed="false">
      <c r="A735" s="6" t="n">
        <v>730</v>
      </c>
      <c r="B735" s="74" t="s">
        <v>2190</v>
      </c>
      <c r="C735" s="53" t="str">
        <f aca="false">INDEX(I_Items!$C$5:$C$133,MATCH($B735,I_Items!$A$5:$A$133,0))</f>
        <v>Other</v>
      </c>
      <c r="D735" s="53" t="str">
        <f aca="false">INDEX(I_Items!$D$5:$D$133,MATCH($B735,I_Items!$A$5:$A$133,0))</f>
        <v>Packaging (non-sale)</v>
      </c>
      <c r="E735" s="53" t="str">
        <f aca="false">INDEX(I_Items!$F$5:$F$133,MATCH($B735,I_Items!$A$5:$A$133,0))</f>
        <v>Not stated in item master</v>
      </c>
      <c r="F735" s="53" t="str">
        <f aca="false">IF(INDEX(I_Items!$E$5:$E$133,MATCH($B735,I_Items!$A$5:$A$133,0))="","",INDEX(I_Items!$E$5:$E$133,MATCH($B735,I_Items!$A$5:$A$133,0)))</f>
        <v/>
      </c>
      <c r="G735" s="76" t="n">
        <v>46204</v>
      </c>
      <c r="H735" s="23" t="n">
        <f aca="false">MONTH(G735)</f>
        <v>7</v>
      </c>
      <c r="I735" s="74" t="s">
        <v>2072</v>
      </c>
      <c r="J735" s="74" t="s">
        <v>2073</v>
      </c>
      <c r="K735" s="10" t="n">
        <v>0</v>
      </c>
      <c r="L735" s="8" t="n">
        <v>0</v>
      </c>
      <c r="M735" s="10" t="n">
        <v>0</v>
      </c>
      <c r="N735" s="8" t="n">
        <v>0</v>
      </c>
      <c r="O735" s="74"/>
      <c r="P735" s="74"/>
      <c r="Q735" s="74"/>
      <c r="R735" s="14" t="n">
        <f aca="false">IF(I735="Unbilled",0,M735)</f>
        <v>0</v>
      </c>
      <c r="S735" s="9" t="n">
        <f aca="false">IF(R735=0,0,IF(O735="Booked",N735,R735*V734))</f>
        <v>0</v>
      </c>
      <c r="T735" s="14" t="n">
        <f aca="false">IF(I735="Opening",K735,T734+K735-R735)</f>
        <v>0</v>
      </c>
      <c r="U735" s="9" t="n">
        <f aca="false">IF(I735="Opening",L735,U734+L735-S735)</f>
        <v>0</v>
      </c>
      <c r="V735" s="9" t="n">
        <f aca="false">IF(T735&gt;0,U735/T735,IF(I735="Opening",0,V734))</f>
        <v>0</v>
      </c>
      <c r="W735" s="14" t="n">
        <f aca="false">M735</f>
        <v>0</v>
      </c>
      <c r="X735" s="9" t="n">
        <f aca="false">IF(W735=0,0,IF(O735="Booked",N735,W735*AA734))</f>
        <v>0</v>
      </c>
      <c r="Y735" s="14" t="n">
        <f aca="false">IF(I735="Opening",K735,Y734+K735-W735)</f>
        <v>0</v>
      </c>
      <c r="Z735" s="9" t="n">
        <f aca="false">IF(I735="Opening",L735,Z734+L735-X735)</f>
        <v>0</v>
      </c>
      <c r="AA735" s="9" t="n">
        <f aca="false">IF(Y735&gt;0,Z735/Y735,IF(I735="Opening",0,AA734))</f>
        <v>0</v>
      </c>
      <c r="AB735" s="9" t="n">
        <f aca="false">IF(AND(I735="DO",O735="MA"),S735-N735,0)</f>
        <v>0</v>
      </c>
      <c r="AC735" s="9" t="n">
        <f aca="false">IF(I735="DO",X735-S735,0)</f>
        <v>0</v>
      </c>
      <c r="AD735" s="23" t="n">
        <f aca="false">IF(B736&lt;&gt;B735,1,0)</f>
        <v>0</v>
      </c>
      <c r="AE735" s="14" t="n">
        <f aca="false">IF(I735="Opening",0,AE734+W735)</f>
        <v>0</v>
      </c>
      <c r="AF735" s="14" t="n">
        <f aca="false">IF(I735="Opening",K735,AF734)</f>
        <v>0</v>
      </c>
      <c r="AG735" s="14" t="n">
        <f aca="false">SUMIFS($K$6:$K$1110,$B$6:$B$1110,B735,$H$6:$H$1110,7,$I$6:$I$1110,"&lt;&gt;Opening")</f>
        <v>0</v>
      </c>
      <c r="AH735" s="14" t="n">
        <f aca="false">IF(W735=0,0,MAX(0,MIN(AE735,AF735)-MIN(AE735-W735,AF735)))</f>
        <v>0</v>
      </c>
      <c r="AI735" s="14" t="n">
        <f aca="false">IF(W735=0,0,MAX(0,MIN(AE735,AF735+AG735)-MAX(AE735-W735,AF735)))</f>
        <v>0</v>
      </c>
      <c r="AJ735" s="14" t="n">
        <f aca="false">W735-AH735-AI735</f>
        <v>0</v>
      </c>
      <c r="AK735" s="9" t="n">
        <f aca="false">IF(W735=0,0,X735*AH735/W735)</f>
        <v>0</v>
      </c>
      <c r="AL735" s="9" t="n">
        <f aca="false">IF(W735=0,0,X735*AI735/W735)</f>
        <v>0</v>
      </c>
      <c r="AM735" s="9" t="n">
        <f aca="false">X735-AK735-AL735</f>
        <v>0</v>
      </c>
    </row>
    <row r="736" customFormat="false" ht="15" hidden="false" customHeight="false" outlineLevel="0" collapsed="false">
      <c r="A736" s="6" t="n">
        <v>731</v>
      </c>
      <c r="B736" s="74" t="s">
        <v>2190</v>
      </c>
      <c r="C736" s="53" t="str">
        <f aca="false">INDEX(I_Items!$C$5:$C$133,MATCH($B736,I_Items!$A$5:$A$133,0))</f>
        <v>Other</v>
      </c>
      <c r="D736" s="53" t="str">
        <f aca="false">INDEX(I_Items!$D$5:$D$133,MATCH($B736,I_Items!$A$5:$A$133,0))</f>
        <v>Packaging (non-sale)</v>
      </c>
      <c r="E736" s="53" t="str">
        <f aca="false">INDEX(I_Items!$F$5:$F$133,MATCH($B736,I_Items!$A$5:$A$133,0))</f>
        <v>Not stated in item master</v>
      </c>
      <c r="F736" s="53" t="str">
        <f aca="false">IF(INDEX(I_Items!$E$5:$E$133,MATCH($B736,I_Items!$A$5:$A$133,0))="","",INDEX(I_Items!$E$5:$E$133,MATCH($B736,I_Items!$A$5:$A$133,0)))</f>
        <v/>
      </c>
      <c r="G736" s="76" t="n">
        <v>46252</v>
      </c>
      <c r="H736" s="23" t="n">
        <f aca="false">MONTH(G736)</f>
        <v>8</v>
      </c>
      <c r="I736" s="74" t="s">
        <v>2074</v>
      </c>
      <c r="J736" s="74" t="s">
        <v>2191</v>
      </c>
      <c r="K736" s="10" t="n">
        <v>100</v>
      </c>
      <c r="L736" s="8" t="n">
        <v>4600000</v>
      </c>
      <c r="M736" s="10" t="n">
        <v>0</v>
      </c>
      <c r="N736" s="8" t="n">
        <v>0</v>
      </c>
      <c r="O736" s="74"/>
      <c r="P736" s="74"/>
      <c r="Q736" s="74"/>
      <c r="R736" s="14" t="n">
        <f aca="false">IF(I736="Unbilled",0,M736)</f>
        <v>0</v>
      </c>
      <c r="S736" s="9" t="n">
        <f aca="false">IF(R736=0,0,IF(O736="Booked",N736,R736*V735))</f>
        <v>0</v>
      </c>
      <c r="T736" s="14" t="n">
        <f aca="false">IF(I736="Opening",K736,T735+K736-R736)</f>
        <v>100</v>
      </c>
      <c r="U736" s="9" t="n">
        <f aca="false">IF(I736="Opening",L736,U735+L736-S736)</f>
        <v>4600000</v>
      </c>
      <c r="V736" s="9" t="n">
        <f aca="false">IF(T736&gt;0,U736/T736,IF(I736="Opening",0,V735))</f>
        <v>46000</v>
      </c>
      <c r="W736" s="14" t="n">
        <f aca="false">M736</f>
        <v>0</v>
      </c>
      <c r="X736" s="9" t="n">
        <f aca="false">IF(W736=0,0,IF(O736="Booked",N736,W736*AA735))</f>
        <v>0</v>
      </c>
      <c r="Y736" s="14" t="n">
        <f aca="false">IF(I736="Opening",K736,Y735+K736-W736)</f>
        <v>100</v>
      </c>
      <c r="Z736" s="9" t="n">
        <f aca="false">IF(I736="Opening",L736,Z735+L736-X736)</f>
        <v>4600000</v>
      </c>
      <c r="AA736" s="9" t="n">
        <f aca="false">IF(Y736&gt;0,Z736/Y736,IF(I736="Opening",0,AA735))</f>
        <v>46000</v>
      </c>
      <c r="AB736" s="9" t="n">
        <f aca="false">IF(AND(I736="DO",O736="MA"),S736-N736,0)</f>
        <v>0</v>
      </c>
      <c r="AC736" s="9" t="n">
        <f aca="false">IF(I736="DO",X736-S736,0)</f>
        <v>0</v>
      </c>
      <c r="AD736" s="23" t="n">
        <f aca="false">IF(B737&lt;&gt;B736,1,0)</f>
        <v>0</v>
      </c>
      <c r="AE736" s="14" t="n">
        <f aca="false">IF(I736="Opening",0,AE735+W736)</f>
        <v>0</v>
      </c>
      <c r="AF736" s="14" t="n">
        <f aca="false">IF(I736="Opening",K736,AF735)</f>
        <v>0</v>
      </c>
      <c r="AG736" s="14" t="n">
        <f aca="false">AG735</f>
        <v>0</v>
      </c>
      <c r="AH736" s="14" t="n">
        <f aca="false">IF(W736=0,0,MAX(0,MIN(AE736,AF736)-MIN(AE736-W736,AF736)))</f>
        <v>0</v>
      </c>
      <c r="AI736" s="14" t="n">
        <f aca="false">IF(W736=0,0,MAX(0,MIN(AE736,AF736+AG736)-MAX(AE736-W736,AF736)))</f>
        <v>0</v>
      </c>
      <c r="AJ736" s="14" t="n">
        <f aca="false">W736-AH736-AI736</f>
        <v>0</v>
      </c>
      <c r="AK736" s="9" t="n">
        <f aca="false">IF(W736=0,0,X736*AH736/W736)</f>
        <v>0</v>
      </c>
      <c r="AL736" s="9" t="n">
        <f aca="false">IF(W736=0,0,X736*AI736/W736)</f>
        <v>0</v>
      </c>
      <c r="AM736" s="9" t="n">
        <f aca="false">X736-AK736-AL736</f>
        <v>0</v>
      </c>
    </row>
    <row r="737" customFormat="false" ht="15" hidden="false" customHeight="false" outlineLevel="0" collapsed="false">
      <c r="A737" s="6" t="n">
        <v>732</v>
      </c>
      <c r="B737" s="74" t="s">
        <v>2190</v>
      </c>
      <c r="C737" s="53" t="str">
        <f aca="false">INDEX(I_Items!$C$5:$C$133,MATCH($B737,I_Items!$A$5:$A$133,0))</f>
        <v>Other</v>
      </c>
      <c r="D737" s="53" t="str">
        <f aca="false">INDEX(I_Items!$D$5:$D$133,MATCH($B737,I_Items!$A$5:$A$133,0))</f>
        <v>Packaging (non-sale)</v>
      </c>
      <c r="E737" s="53" t="str">
        <f aca="false">INDEX(I_Items!$F$5:$F$133,MATCH($B737,I_Items!$A$5:$A$133,0))</f>
        <v>Not stated in item master</v>
      </c>
      <c r="F737" s="53" t="str">
        <f aca="false">IF(INDEX(I_Items!$E$5:$E$133,MATCH($B737,I_Items!$A$5:$A$133,0))="","",INDEX(I_Items!$E$5:$E$133,MATCH($B737,I_Items!$A$5:$A$133,0)))</f>
        <v/>
      </c>
      <c r="G737" s="76" t="n">
        <v>46261</v>
      </c>
      <c r="H737" s="23" t="n">
        <f aca="false">MONTH(G737)</f>
        <v>8</v>
      </c>
      <c r="I737" s="74" t="s">
        <v>2074</v>
      </c>
      <c r="J737" s="74" t="s">
        <v>2192</v>
      </c>
      <c r="K737" s="10" t="n">
        <v>41.7</v>
      </c>
      <c r="L737" s="8" t="n">
        <v>1918200</v>
      </c>
      <c r="M737" s="10" t="n">
        <v>0</v>
      </c>
      <c r="N737" s="8" t="n">
        <v>0</v>
      </c>
      <c r="O737" s="74"/>
      <c r="P737" s="74"/>
      <c r="Q737" s="74"/>
      <c r="R737" s="14" t="n">
        <f aca="false">IF(I737="Unbilled",0,M737)</f>
        <v>0</v>
      </c>
      <c r="S737" s="9" t="n">
        <f aca="false">IF(R737=0,0,IF(O737="Booked",N737,R737*V736))</f>
        <v>0</v>
      </c>
      <c r="T737" s="14" t="n">
        <f aca="false">IF(I737="Opening",K737,T736+K737-R737)</f>
        <v>141.7</v>
      </c>
      <c r="U737" s="9" t="n">
        <f aca="false">IF(I737="Opening",L737,U736+L737-S737)</f>
        <v>6518200</v>
      </c>
      <c r="V737" s="9" t="n">
        <f aca="false">IF(T737&gt;0,U737/T737,IF(I737="Opening",0,V736))</f>
        <v>46000</v>
      </c>
      <c r="W737" s="14" t="n">
        <f aca="false">M737</f>
        <v>0</v>
      </c>
      <c r="X737" s="9" t="n">
        <f aca="false">IF(W737=0,0,IF(O737="Booked",N737,W737*AA736))</f>
        <v>0</v>
      </c>
      <c r="Y737" s="14" t="n">
        <f aca="false">IF(I737="Opening",K737,Y736+K737-W737)</f>
        <v>141.7</v>
      </c>
      <c r="Z737" s="9" t="n">
        <f aca="false">IF(I737="Opening",L737,Z736+L737-X737)</f>
        <v>6518200</v>
      </c>
      <c r="AA737" s="9" t="n">
        <f aca="false">IF(Y737&gt;0,Z737/Y737,IF(I737="Opening",0,AA736))</f>
        <v>46000</v>
      </c>
      <c r="AB737" s="9" t="n">
        <f aca="false">IF(AND(I737="DO",O737="MA"),S737-N737,0)</f>
        <v>0</v>
      </c>
      <c r="AC737" s="9" t="n">
        <f aca="false">IF(I737="DO",X737-S737,0)</f>
        <v>0</v>
      </c>
      <c r="AD737" s="23" t="n">
        <f aca="false">IF(B738&lt;&gt;B737,1,0)</f>
        <v>1</v>
      </c>
      <c r="AE737" s="14" t="n">
        <f aca="false">IF(I737="Opening",0,AE736+W737)</f>
        <v>0</v>
      </c>
      <c r="AF737" s="14" t="n">
        <f aca="false">IF(I737="Opening",K737,AF736)</f>
        <v>0</v>
      </c>
      <c r="AG737" s="14" t="n">
        <f aca="false">AG736</f>
        <v>0</v>
      </c>
      <c r="AH737" s="14" t="n">
        <f aca="false">IF(W737=0,0,MAX(0,MIN(AE737,AF737)-MIN(AE737-W737,AF737)))</f>
        <v>0</v>
      </c>
      <c r="AI737" s="14" t="n">
        <f aca="false">IF(W737=0,0,MAX(0,MIN(AE737,AF737+AG737)-MAX(AE737-W737,AF737)))</f>
        <v>0</v>
      </c>
      <c r="AJ737" s="14" t="n">
        <f aca="false">W737-AH737-AI737</f>
        <v>0</v>
      </c>
      <c r="AK737" s="9" t="n">
        <f aca="false">IF(W737=0,0,X737*AH737/W737)</f>
        <v>0</v>
      </c>
      <c r="AL737" s="9" t="n">
        <f aca="false">IF(W737=0,0,X737*AI737/W737)</f>
        <v>0</v>
      </c>
      <c r="AM737" s="9" t="n">
        <f aca="false">X737-AK737-AL737</f>
        <v>0</v>
      </c>
    </row>
    <row r="738" customFormat="false" ht="15" hidden="false" customHeight="false" outlineLevel="0" collapsed="false">
      <c r="A738" s="6" t="n">
        <v>733</v>
      </c>
      <c r="B738" s="74" t="s">
        <v>2193</v>
      </c>
      <c r="C738" s="53" t="str">
        <f aca="false">INDEX(I_Items!$C$5:$C$133,MATCH($B738,I_Items!$A$5:$A$133,0))</f>
        <v>Other</v>
      </c>
      <c r="D738" s="53" t="str">
        <f aca="false">INDEX(I_Items!$D$5:$D$133,MATCH($B738,I_Items!$A$5:$A$133,0))</f>
        <v>Packaging (non-sale)</v>
      </c>
      <c r="E738" s="53" t="str">
        <f aca="false">INDEX(I_Items!$F$5:$F$133,MATCH($B738,I_Items!$A$5:$A$133,0))</f>
        <v>Not stated in item master</v>
      </c>
      <c r="F738" s="53" t="str">
        <f aca="false">IF(INDEX(I_Items!$E$5:$E$133,MATCH($B738,I_Items!$A$5:$A$133,0))="","",INDEX(I_Items!$E$5:$E$133,MATCH($B738,I_Items!$A$5:$A$133,0)))</f>
        <v/>
      </c>
      <c r="G738" s="76" t="n">
        <v>46204</v>
      </c>
      <c r="H738" s="23" t="n">
        <f aca="false">MONTH(G738)</f>
        <v>7</v>
      </c>
      <c r="I738" s="74" t="s">
        <v>2072</v>
      </c>
      <c r="J738" s="74" t="s">
        <v>2073</v>
      </c>
      <c r="K738" s="10" t="n">
        <v>0</v>
      </c>
      <c r="L738" s="8" t="n">
        <v>0</v>
      </c>
      <c r="M738" s="10" t="n">
        <v>0</v>
      </c>
      <c r="N738" s="8" t="n">
        <v>0</v>
      </c>
      <c r="O738" s="74"/>
      <c r="P738" s="74"/>
      <c r="Q738" s="74"/>
      <c r="R738" s="14" t="n">
        <f aca="false">IF(I738="Unbilled",0,M738)</f>
        <v>0</v>
      </c>
      <c r="S738" s="9" t="n">
        <f aca="false">IF(R738=0,0,IF(O738="Booked",N738,R738*V737))</f>
        <v>0</v>
      </c>
      <c r="T738" s="14" t="n">
        <f aca="false">IF(I738="Opening",K738,T737+K738-R738)</f>
        <v>0</v>
      </c>
      <c r="U738" s="9" t="n">
        <f aca="false">IF(I738="Opening",L738,U737+L738-S738)</f>
        <v>0</v>
      </c>
      <c r="V738" s="9" t="n">
        <f aca="false">IF(T738&gt;0,U738/T738,IF(I738="Opening",0,V737))</f>
        <v>0</v>
      </c>
      <c r="W738" s="14" t="n">
        <f aca="false">M738</f>
        <v>0</v>
      </c>
      <c r="X738" s="9" t="n">
        <f aca="false">IF(W738=0,0,IF(O738="Booked",N738,W738*AA737))</f>
        <v>0</v>
      </c>
      <c r="Y738" s="14" t="n">
        <f aca="false">IF(I738="Opening",K738,Y737+K738-W738)</f>
        <v>0</v>
      </c>
      <c r="Z738" s="9" t="n">
        <f aca="false">IF(I738="Opening",L738,Z737+L738-X738)</f>
        <v>0</v>
      </c>
      <c r="AA738" s="9" t="n">
        <f aca="false">IF(Y738&gt;0,Z738/Y738,IF(I738="Opening",0,AA737))</f>
        <v>0</v>
      </c>
      <c r="AB738" s="9" t="n">
        <f aca="false">IF(AND(I738="DO",O738="MA"),S738-N738,0)</f>
        <v>0</v>
      </c>
      <c r="AC738" s="9" t="n">
        <f aca="false">IF(I738="DO",X738-S738,0)</f>
        <v>0</v>
      </c>
      <c r="AD738" s="23" t="n">
        <f aca="false">IF(B739&lt;&gt;B738,1,0)</f>
        <v>0</v>
      </c>
      <c r="AE738" s="14" t="n">
        <f aca="false">IF(I738="Opening",0,AE737+W738)</f>
        <v>0</v>
      </c>
      <c r="AF738" s="14" t="n">
        <f aca="false">IF(I738="Opening",K738,AF737)</f>
        <v>0</v>
      </c>
      <c r="AG738" s="14" t="n">
        <f aca="false">SUMIFS($K$6:$K$1110,$B$6:$B$1110,B738,$H$6:$H$1110,7,$I$6:$I$1110,"&lt;&gt;Opening")</f>
        <v>0</v>
      </c>
      <c r="AH738" s="14" t="n">
        <f aca="false">IF(W738=0,0,MAX(0,MIN(AE738,AF738)-MIN(AE738-W738,AF738)))</f>
        <v>0</v>
      </c>
      <c r="AI738" s="14" t="n">
        <f aca="false">IF(W738=0,0,MAX(0,MIN(AE738,AF738+AG738)-MAX(AE738-W738,AF738)))</f>
        <v>0</v>
      </c>
      <c r="AJ738" s="14" t="n">
        <f aca="false">W738-AH738-AI738</f>
        <v>0</v>
      </c>
      <c r="AK738" s="9" t="n">
        <f aca="false">IF(W738=0,0,X738*AH738/W738)</f>
        <v>0</v>
      </c>
      <c r="AL738" s="9" t="n">
        <f aca="false">IF(W738=0,0,X738*AI738/W738)</f>
        <v>0</v>
      </c>
      <c r="AM738" s="9" t="n">
        <f aca="false">X738-AK738-AL738</f>
        <v>0</v>
      </c>
    </row>
    <row r="739" customFormat="false" ht="15" hidden="false" customHeight="false" outlineLevel="0" collapsed="false">
      <c r="A739" s="6" t="n">
        <v>734</v>
      </c>
      <c r="B739" s="74" t="s">
        <v>2193</v>
      </c>
      <c r="C739" s="53" t="str">
        <f aca="false">INDEX(I_Items!$C$5:$C$133,MATCH($B739,I_Items!$A$5:$A$133,0))</f>
        <v>Other</v>
      </c>
      <c r="D739" s="53" t="str">
        <f aca="false">INDEX(I_Items!$D$5:$D$133,MATCH($B739,I_Items!$A$5:$A$133,0))</f>
        <v>Packaging (non-sale)</v>
      </c>
      <c r="E739" s="53" t="str">
        <f aca="false">INDEX(I_Items!$F$5:$F$133,MATCH($B739,I_Items!$A$5:$A$133,0))</f>
        <v>Not stated in item master</v>
      </c>
      <c r="F739" s="53" t="str">
        <f aca="false">IF(INDEX(I_Items!$E$5:$E$133,MATCH($B739,I_Items!$A$5:$A$133,0))="","",INDEX(I_Items!$E$5:$E$133,MATCH($B739,I_Items!$A$5:$A$133,0)))</f>
        <v/>
      </c>
      <c r="G739" s="76" t="n">
        <v>46252</v>
      </c>
      <c r="H739" s="23" t="n">
        <f aca="false">MONTH(G739)</f>
        <v>8</v>
      </c>
      <c r="I739" s="74" t="s">
        <v>2074</v>
      </c>
      <c r="J739" s="74" t="s">
        <v>2191</v>
      </c>
      <c r="K739" s="10" t="n">
        <v>200</v>
      </c>
      <c r="L739" s="8" t="n">
        <v>9200000</v>
      </c>
      <c r="M739" s="10" t="n">
        <v>0</v>
      </c>
      <c r="N739" s="8" t="n">
        <v>0</v>
      </c>
      <c r="O739" s="74"/>
      <c r="P739" s="74"/>
      <c r="Q739" s="74"/>
      <c r="R739" s="14" t="n">
        <f aca="false">IF(I739="Unbilled",0,M739)</f>
        <v>0</v>
      </c>
      <c r="S739" s="9" t="n">
        <f aca="false">IF(R739=0,0,IF(O739="Booked",N739,R739*V738))</f>
        <v>0</v>
      </c>
      <c r="T739" s="14" t="n">
        <f aca="false">IF(I739="Opening",K739,T738+K739-R739)</f>
        <v>200</v>
      </c>
      <c r="U739" s="9" t="n">
        <f aca="false">IF(I739="Opening",L739,U738+L739-S739)</f>
        <v>9200000</v>
      </c>
      <c r="V739" s="9" t="n">
        <f aca="false">IF(T739&gt;0,U739/T739,IF(I739="Opening",0,V738))</f>
        <v>46000</v>
      </c>
      <c r="W739" s="14" t="n">
        <f aca="false">M739</f>
        <v>0</v>
      </c>
      <c r="X739" s="9" t="n">
        <f aca="false">IF(W739=0,0,IF(O739="Booked",N739,W739*AA738))</f>
        <v>0</v>
      </c>
      <c r="Y739" s="14" t="n">
        <f aca="false">IF(I739="Opening",K739,Y738+K739-W739)</f>
        <v>200</v>
      </c>
      <c r="Z739" s="9" t="n">
        <f aca="false">IF(I739="Opening",L739,Z738+L739-X739)</f>
        <v>9200000</v>
      </c>
      <c r="AA739" s="9" t="n">
        <f aca="false">IF(Y739&gt;0,Z739/Y739,IF(I739="Opening",0,AA738))</f>
        <v>46000</v>
      </c>
      <c r="AB739" s="9" t="n">
        <f aca="false">IF(AND(I739="DO",O739="MA"),S739-N739,0)</f>
        <v>0</v>
      </c>
      <c r="AC739" s="9" t="n">
        <f aca="false">IF(I739="DO",X739-S739,0)</f>
        <v>0</v>
      </c>
      <c r="AD739" s="23" t="n">
        <f aca="false">IF(B740&lt;&gt;B739,1,0)</f>
        <v>0</v>
      </c>
      <c r="AE739" s="14" t="n">
        <f aca="false">IF(I739="Opening",0,AE738+W739)</f>
        <v>0</v>
      </c>
      <c r="AF739" s="14" t="n">
        <f aca="false">IF(I739="Opening",K739,AF738)</f>
        <v>0</v>
      </c>
      <c r="AG739" s="14" t="n">
        <f aca="false">AG738</f>
        <v>0</v>
      </c>
      <c r="AH739" s="14" t="n">
        <f aca="false">IF(W739=0,0,MAX(0,MIN(AE739,AF739)-MIN(AE739-W739,AF739)))</f>
        <v>0</v>
      </c>
      <c r="AI739" s="14" t="n">
        <f aca="false">IF(W739=0,0,MAX(0,MIN(AE739,AF739+AG739)-MAX(AE739-W739,AF739)))</f>
        <v>0</v>
      </c>
      <c r="AJ739" s="14" t="n">
        <f aca="false">W739-AH739-AI739</f>
        <v>0</v>
      </c>
      <c r="AK739" s="9" t="n">
        <f aca="false">IF(W739=0,0,X739*AH739/W739)</f>
        <v>0</v>
      </c>
      <c r="AL739" s="9" t="n">
        <f aca="false">IF(W739=0,0,X739*AI739/W739)</f>
        <v>0</v>
      </c>
      <c r="AM739" s="9" t="n">
        <f aca="false">X739-AK739-AL739</f>
        <v>0</v>
      </c>
    </row>
    <row r="740" customFormat="false" ht="15" hidden="false" customHeight="false" outlineLevel="0" collapsed="false">
      <c r="A740" s="6" t="n">
        <v>735</v>
      </c>
      <c r="B740" s="74" t="s">
        <v>2193</v>
      </c>
      <c r="C740" s="53" t="str">
        <f aca="false">INDEX(I_Items!$C$5:$C$133,MATCH($B740,I_Items!$A$5:$A$133,0))</f>
        <v>Other</v>
      </c>
      <c r="D740" s="53" t="str">
        <f aca="false">INDEX(I_Items!$D$5:$D$133,MATCH($B740,I_Items!$A$5:$A$133,0))</f>
        <v>Packaging (non-sale)</v>
      </c>
      <c r="E740" s="53" t="str">
        <f aca="false">INDEX(I_Items!$F$5:$F$133,MATCH($B740,I_Items!$A$5:$A$133,0))</f>
        <v>Not stated in item master</v>
      </c>
      <c r="F740" s="53" t="str">
        <f aca="false">IF(INDEX(I_Items!$E$5:$E$133,MATCH($B740,I_Items!$A$5:$A$133,0))="","",INDEX(I_Items!$E$5:$E$133,MATCH($B740,I_Items!$A$5:$A$133,0)))</f>
        <v/>
      </c>
      <c r="G740" s="76" t="n">
        <v>46261</v>
      </c>
      <c r="H740" s="23" t="n">
        <f aca="false">MONTH(G740)</f>
        <v>8</v>
      </c>
      <c r="I740" s="74" t="s">
        <v>2074</v>
      </c>
      <c r="J740" s="74" t="s">
        <v>2192</v>
      </c>
      <c r="K740" s="10" t="n">
        <v>33.2</v>
      </c>
      <c r="L740" s="8" t="n">
        <v>1527200</v>
      </c>
      <c r="M740" s="10" t="n">
        <v>0</v>
      </c>
      <c r="N740" s="8" t="n">
        <v>0</v>
      </c>
      <c r="O740" s="74"/>
      <c r="P740" s="74"/>
      <c r="Q740" s="74"/>
      <c r="R740" s="14" t="n">
        <f aca="false">IF(I740="Unbilled",0,M740)</f>
        <v>0</v>
      </c>
      <c r="S740" s="9" t="n">
        <f aca="false">IF(R740=0,0,IF(O740="Booked",N740,R740*V739))</f>
        <v>0</v>
      </c>
      <c r="T740" s="14" t="n">
        <f aca="false">IF(I740="Opening",K740,T739+K740-R740)</f>
        <v>233.2</v>
      </c>
      <c r="U740" s="9" t="n">
        <f aca="false">IF(I740="Opening",L740,U739+L740-S740)</f>
        <v>10727200</v>
      </c>
      <c r="V740" s="9" t="n">
        <f aca="false">IF(T740&gt;0,U740/T740,IF(I740="Opening",0,V739))</f>
        <v>46000</v>
      </c>
      <c r="W740" s="14" t="n">
        <f aca="false">M740</f>
        <v>0</v>
      </c>
      <c r="X740" s="9" t="n">
        <f aca="false">IF(W740=0,0,IF(O740="Booked",N740,W740*AA739))</f>
        <v>0</v>
      </c>
      <c r="Y740" s="14" t="n">
        <f aca="false">IF(I740="Opening",K740,Y739+K740-W740)</f>
        <v>233.2</v>
      </c>
      <c r="Z740" s="9" t="n">
        <f aca="false">IF(I740="Opening",L740,Z739+L740-X740)</f>
        <v>10727200</v>
      </c>
      <c r="AA740" s="9" t="n">
        <f aca="false">IF(Y740&gt;0,Z740/Y740,IF(I740="Opening",0,AA739))</f>
        <v>46000</v>
      </c>
      <c r="AB740" s="9" t="n">
        <f aca="false">IF(AND(I740="DO",O740="MA"),S740-N740,0)</f>
        <v>0</v>
      </c>
      <c r="AC740" s="9" t="n">
        <f aca="false">IF(I740="DO",X740-S740,0)</f>
        <v>0</v>
      </c>
      <c r="AD740" s="23" t="n">
        <f aca="false">IF(B741&lt;&gt;B740,1,0)</f>
        <v>1</v>
      </c>
      <c r="AE740" s="14" t="n">
        <f aca="false">IF(I740="Opening",0,AE739+W740)</f>
        <v>0</v>
      </c>
      <c r="AF740" s="14" t="n">
        <f aca="false">IF(I740="Opening",K740,AF739)</f>
        <v>0</v>
      </c>
      <c r="AG740" s="14" t="n">
        <f aca="false">AG739</f>
        <v>0</v>
      </c>
      <c r="AH740" s="14" t="n">
        <f aca="false">IF(W740=0,0,MAX(0,MIN(AE740,AF740)-MIN(AE740-W740,AF740)))</f>
        <v>0</v>
      </c>
      <c r="AI740" s="14" t="n">
        <f aca="false">IF(W740=0,0,MAX(0,MIN(AE740,AF740+AG740)-MAX(AE740-W740,AF740)))</f>
        <v>0</v>
      </c>
      <c r="AJ740" s="14" t="n">
        <f aca="false">W740-AH740-AI740</f>
        <v>0</v>
      </c>
      <c r="AK740" s="9" t="n">
        <f aca="false">IF(W740=0,0,X740*AH740/W740)</f>
        <v>0</v>
      </c>
      <c r="AL740" s="9" t="n">
        <f aca="false">IF(W740=0,0,X740*AI740/W740)</f>
        <v>0</v>
      </c>
      <c r="AM740" s="9" t="n">
        <f aca="false">X740-AK740-AL740</f>
        <v>0</v>
      </c>
    </row>
    <row r="741" customFormat="false" ht="15" hidden="false" customHeight="false" outlineLevel="0" collapsed="false">
      <c r="A741" s="6" t="n">
        <v>736</v>
      </c>
      <c r="B741" s="74" t="s">
        <v>1018</v>
      </c>
      <c r="C741" s="53" t="str">
        <f aca="false">INDEX(I_Items!$C$5:$C$133,MATCH($B741,I_Items!$A$5:$A$133,0))</f>
        <v>Trading</v>
      </c>
      <c r="D741" s="53" t="str">
        <f aca="false">INDEX(I_Items!$D$5:$D$133,MATCH($B741,I_Items!$A$5:$A$133,0))</f>
        <v>Kulit</v>
      </c>
      <c r="E741" s="53" t="str">
        <f aca="false">INDEX(I_Items!$F$5:$F$133,MATCH($B741,I_Items!$A$5:$A$133,0))</f>
        <v>Frozen</v>
      </c>
      <c r="F741" s="53" t="str">
        <f aca="false">IF(INDEX(I_Items!$E$5:$E$133,MATCH($B741,I_Items!$A$5:$A$133,0))="","",INDEX(I_Items!$E$5:$E$133,MATCH($B741,I_Items!$A$5:$A$133,0)))</f>
        <v/>
      </c>
      <c r="G741" s="76" t="n">
        <v>46204</v>
      </c>
      <c r="H741" s="23" t="n">
        <f aca="false">MONTH(G741)</f>
        <v>7</v>
      </c>
      <c r="I741" s="74" t="s">
        <v>2072</v>
      </c>
      <c r="J741" s="74" t="s">
        <v>2073</v>
      </c>
      <c r="K741" s="10" t="n">
        <v>0</v>
      </c>
      <c r="L741" s="8" t="n">
        <v>0</v>
      </c>
      <c r="M741" s="10" t="n">
        <v>0</v>
      </c>
      <c r="N741" s="8" t="n">
        <v>0</v>
      </c>
      <c r="O741" s="74"/>
      <c r="P741" s="74"/>
      <c r="Q741" s="74"/>
      <c r="R741" s="14" t="n">
        <f aca="false">IF(I741="Unbilled",0,M741)</f>
        <v>0</v>
      </c>
      <c r="S741" s="9" t="n">
        <f aca="false">IF(R741=0,0,IF(O741="Booked",N741,R741*V740))</f>
        <v>0</v>
      </c>
      <c r="T741" s="14" t="n">
        <f aca="false">IF(I741="Opening",K741,T740+K741-R741)</f>
        <v>0</v>
      </c>
      <c r="U741" s="9" t="n">
        <f aca="false">IF(I741="Opening",L741,U740+L741-S741)</f>
        <v>0</v>
      </c>
      <c r="V741" s="9" t="n">
        <f aca="false">IF(T741&gt;0,U741/T741,IF(I741="Opening",0,V740))</f>
        <v>0</v>
      </c>
      <c r="W741" s="14" t="n">
        <f aca="false">M741</f>
        <v>0</v>
      </c>
      <c r="X741" s="9" t="n">
        <f aca="false">IF(W741=0,0,IF(O741="Booked",N741,W741*AA740))</f>
        <v>0</v>
      </c>
      <c r="Y741" s="14" t="n">
        <f aca="false">IF(I741="Opening",K741,Y740+K741-W741)</f>
        <v>0</v>
      </c>
      <c r="Z741" s="9" t="n">
        <f aca="false">IF(I741="Opening",L741,Z740+L741-X741)</f>
        <v>0</v>
      </c>
      <c r="AA741" s="9" t="n">
        <f aca="false">IF(Y741&gt;0,Z741/Y741,IF(I741="Opening",0,AA740))</f>
        <v>0</v>
      </c>
      <c r="AB741" s="9" t="n">
        <f aca="false">IF(AND(I741="DO",O741="MA"),S741-N741,0)</f>
        <v>0</v>
      </c>
      <c r="AC741" s="9" t="n">
        <f aca="false">IF(I741="DO",X741-S741,0)</f>
        <v>0</v>
      </c>
      <c r="AD741" s="23" t="n">
        <f aca="false">IF(B742&lt;&gt;B741,1,0)</f>
        <v>0</v>
      </c>
      <c r="AE741" s="14" t="n">
        <f aca="false">IF(I741="Opening",0,AE740+W741)</f>
        <v>0</v>
      </c>
      <c r="AF741" s="14" t="n">
        <f aca="false">IF(I741="Opening",K741,AF740)</f>
        <v>0</v>
      </c>
      <c r="AG741" s="14" t="n">
        <f aca="false">SUMIFS($K$6:$K$1110,$B$6:$B$1110,B741,$H$6:$H$1110,7,$I$6:$I$1110,"&lt;&gt;Opening")</f>
        <v>1094.61</v>
      </c>
      <c r="AH741" s="14" t="n">
        <f aca="false">IF(W741=0,0,MAX(0,MIN(AE741,AF741)-MIN(AE741-W741,AF741)))</f>
        <v>0</v>
      </c>
      <c r="AI741" s="14" t="n">
        <f aca="false">IF(W741=0,0,MAX(0,MIN(AE741,AF741+AG741)-MAX(AE741-W741,AF741)))</f>
        <v>0</v>
      </c>
      <c r="AJ741" s="14" t="n">
        <f aca="false">W741-AH741-AI741</f>
        <v>0</v>
      </c>
      <c r="AK741" s="9" t="n">
        <f aca="false">IF(W741=0,0,X741*AH741/W741)</f>
        <v>0</v>
      </c>
      <c r="AL741" s="9" t="n">
        <f aca="false">IF(W741=0,0,X741*AI741/W741)</f>
        <v>0</v>
      </c>
      <c r="AM741" s="9" t="n">
        <f aca="false">X741-AK741-AL741</f>
        <v>0</v>
      </c>
    </row>
    <row r="742" customFormat="false" ht="15" hidden="false" customHeight="false" outlineLevel="0" collapsed="false">
      <c r="A742" s="6" t="n">
        <v>737</v>
      </c>
      <c r="B742" s="74" t="s">
        <v>1018</v>
      </c>
      <c r="C742" s="53" t="str">
        <f aca="false">INDEX(I_Items!$C$5:$C$133,MATCH($B742,I_Items!$A$5:$A$133,0))</f>
        <v>Trading</v>
      </c>
      <c r="D742" s="53" t="str">
        <f aca="false">INDEX(I_Items!$D$5:$D$133,MATCH($B742,I_Items!$A$5:$A$133,0))</f>
        <v>Kulit</v>
      </c>
      <c r="E742" s="53" t="str">
        <f aca="false">INDEX(I_Items!$F$5:$F$133,MATCH($B742,I_Items!$A$5:$A$133,0))</f>
        <v>Frozen</v>
      </c>
      <c r="F742" s="53" t="str">
        <f aca="false">IF(INDEX(I_Items!$E$5:$E$133,MATCH($B742,I_Items!$A$5:$A$133,0))="","",INDEX(I_Items!$E$5:$E$133,MATCH($B742,I_Items!$A$5:$A$133,0)))</f>
        <v/>
      </c>
      <c r="G742" s="76" t="n">
        <v>46206</v>
      </c>
      <c r="H742" s="23" t="n">
        <f aca="false">MONTH(G742)</f>
        <v>7</v>
      </c>
      <c r="I742" s="74" t="s">
        <v>2074</v>
      </c>
      <c r="J742" s="74" t="s">
        <v>2194</v>
      </c>
      <c r="K742" s="10" t="n">
        <v>81.9</v>
      </c>
      <c r="L742" s="8" t="n">
        <v>1146600</v>
      </c>
      <c r="M742" s="10" t="n">
        <v>0</v>
      </c>
      <c r="N742" s="8" t="n">
        <v>0</v>
      </c>
      <c r="O742" s="74"/>
      <c r="P742" s="74"/>
      <c r="Q742" s="74"/>
      <c r="R742" s="14" t="n">
        <f aca="false">IF(I742="Unbilled",0,M742)</f>
        <v>0</v>
      </c>
      <c r="S742" s="9" t="n">
        <f aca="false">IF(R742=0,0,IF(O742="Booked",N742,R742*V741))</f>
        <v>0</v>
      </c>
      <c r="T742" s="14" t="n">
        <f aca="false">IF(I742="Opening",K742,T741+K742-R742)</f>
        <v>81.9</v>
      </c>
      <c r="U742" s="9" t="n">
        <f aca="false">IF(I742="Opening",L742,U741+L742-S742)</f>
        <v>1146600</v>
      </c>
      <c r="V742" s="9" t="n">
        <f aca="false">IF(T742&gt;0,U742/T742,IF(I742="Opening",0,V741))</f>
        <v>14000</v>
      </c>
      <c r="W742" s="14" t="n">
        <f aca="false">M742</f>
        <v>0</v>
      </c>
      <c r="X742" s="9" t="n">
        <f aca="false">IF(W742=0,0,IF(O742="Booked",N742,W742*AA741))</f>
        <v>0</v>
      </c>
      <c r="Y742" s="14" t="n">
        <f aca="false">IF(I742="Opening",K742,Y741+K742-W742)</f>
        <v>81.9</v>
      </c>
      <c r="Z742" s="9" t="n">
        <f aca="false">IF(I742="Opening",L742,Z741+L742-X742)</f>
        <v>1146600</v>
      </c>
      <c r="AA742" s="9" t="n">
        <f aca="false">IF(Y742&gt;0,Z742/Y742,IF(I742="Opening",0,AA741))</f>
        <v>14000</v>
      </c>
      <c r="AB742" s="9" t="n">
        <f aca="false">IF(AND(I742="DO",O742="MA"),S742-N742,0)</f>
        <v>0</v>
      </c>
      <c r="AC742" s="9" t="n">
        <f aca="false">IF(I742="DO",X742-S742,0)</f>
        <v>0</v>
      </c>
      <c r="AD742" s="23" t="n">
        <f aca="false">IF(B743&lt;&gt;B742,1,0)</f>
        <v>0</v>
      </c>
      <c r="AE742" s="14" t="n">
        <f aca="false">IF(I742="Opening",0,AE741+W742)</f>
        <v>0</v>
      </c>
      <c r="AF742" s="14" t="n">
        <f aca="false">IF(I742="Opening",K742,AF741)</f>
        <v>0</v>
      </c>
      <c r="AG742" s="14" t="n">
        <f aca="false">AG741</f>
        <v>1094.61</v>
      </c>
      <c r="AH742" s="14" t="n">
        <f aca="false">IF(W742=0,0,MAX(0,MIN(AE742,AF742)-MIN(AE742-W742,AF742)))</f>
        <v>0</v>
      </c>
      <c r="AI742" s="14" t="n">
        <f aca="false">IF(W742=0,0,MAX(0,MIN(AE742,AF742+AG742)-MAX(AE742-W742,AF742)))</f>
        <v>0</v>
      </c>
      <c r="AJ742" s="14" t="n">
        <f aca="false">W742-AH742-AI742</f>
        <v>0</v>
      </c>
      <c r="AK742" s="9" t="n">
        <f aca="false">IF(W742=0,0,X742*AH742/W742)</f>
        <v>0</v>
      </c>
      <c r="AL742" s="9" t="n">
        <f aca="false">IF(W742=0,0,X742*AI742/W742)</f>
        <v>0</v>
      </c>
      <c r="AM742" s="9" t="n">
        <f aca="false">X742-AK742-AL742</f>
        <v>0</v>
      </c>
    </row>
    <row r="743" customFormat="false" ht="15" hidden="false" customHeight="false" outlineLevel="0" collapsed="false">
      <c r="A743" s="6" t="n">
        <v>738</v>
      </c>
      <c r="B743" s="74" t="s">
        <v>1018</v>
      </c>
      <c r="C743" s="53" t="str">
        <f aca="false">INDEX(I_Items!$C$5:$C$133,MATCH($B743,I_Items!$A$5:$A$133,0))</f>
        <v>Trading</v>
      </c>
      <c r="D743" s="53" t="str">
        <f aca="false">INDEX(I_Items!$D$5:$D$133,MATCH($B743,I_Items!$A$5:$A$133,0))</f>
        <v>Kulit</v>
      </c>
      <c r="E743" s="53" t="str">
        <f aca="false">INDEX(I_Items!$F$5:$F$133,MATCH($B743,I_Items!$A$5:$A$133,0))</f>
        <v>Frozen</v>
      </c>
      <c r="F743" s="53" t="str">
        <f aca="false">IF(INDEX(I_Items!$E$5:$E$133,MATCH($B743,I_Items!$A$5:$A$133,0))="","",INDEX(I_Items!$E$5:$E$133,MATCH($B743,I_Items!$A$5:$A$133,0)))</f>
        <v/>
      </c>
      <c r="G743" s="76" t="n">
        <v>46207</v>
      </c>
      <c r="H743" s="23" t="n">
        <f aca="false">MONTH(G743)</f>
        <v>7</v>
      </c>
      <c r="I743" s="74" t="s">
        <v>2074</v>
      </c>
      <c r="J743" s="74" t="s">
        <v>2195</v>
      </c>
      <c r="K743" s="10" t="n">
        <v>1012.71</v>
      </c>
      <c r="L743" s="8" t="n">
        <v>18228780</v>
      </c>
      <c r="M743" s="10" t="n">
        <v>0</v>
      </c>
      <c r="N743" s="8" t="n">
        <v>0</v>
      </c>
      <c r="O743" s="74"/>
      <c r="P743" s="74"/>
      <c r="Q743" s="74"/>
      <c r="R743" s="14" t="n">
        <f aca="false">IF(I743="Unbilled",0,M743)</f>
        <v>0</v>
      </c>
      <c r="S743" s="9" t="n">
        <f aca="false">IF(R743=0,0,IF(O743="Booked",N743,R743*V742))</f>
        <v>0</v>
      </c>
      <c r="T743" s="14" t="n">
        <f aca="false">IF(I743="Opening",K743,T742+K743-R743)</f>
        <v>1094.61</v>
      </c>
      <c r="U743" s="9" t="n">
        <f aca="false">IF(I743="Opening",L743,U742+L743-S743)</f>
        <v>19375380</v>
      </c>
      <c r="V743" s="9" t="n">
        <f aca="false">IF(T743&gt;0,U743/T743,IF(I743="Opening",0,V742))</f>
        <v>17700.7153232658</v>
      </c>
      <c r="W743" s="14" t="n">
        <f aca="false">M743</f>
        <v>0</v>
      </c>
      <c r="X743" s="9" t="n">
        <f aca="false">IF(W743=0,0,IF(O743="Booked",N743,W743*AA742))</f>
        <v>0</v>
      </c>
      <c r="Y743" s="14" t="n">
        <f aca="false">IF(I743="Opening",K743,Y742+K743-W743)</f>
        <v>1094.61</v>
      </c>
      <c r="Z743" s="9" t="n">
        <f aca="false">IF(I743="Opening",L743,Z742+L743-X743)</f>
        <v>19375380</v>
      </c>
      <c r="AA743" s="9" t="n">
        <f aca="false">IF(Y743&gt;0,Z743/Y743,IF(I743="Opening",0,AA742))</f>
        <v>17700.7153232658</v>
      </c>
      <c r="AB743" s="9" t="n">
        <f aca="false">IF(AND(I743="DO",O743="MA"),S743-N743,0)</f>
        <v>0</v>
      </c>
      <c r="AC743" s="9" t="n">
        <f aca="false">IF(I743="DO",X743-S743,0)</f>
        <v>0</v>
      </c>
      <c r="AD743" s="23" t="n">
        <f aca="false">IF(B744&lt;&gt;B743,1,0)</f>
        <v>0</v>
      </c>
      <c r="AE743" s="14" t="n">
        <f aca="false">IF(I743="Opening",0,AE742+W743)</f>
        <v>0</v>
      </c>
      <c r="AF743" s="14" t="n">
        <f aca="false">IF(I743="Opening",K743,AF742)</f>
        <v>0</v>
      </c>
      <c r="AG743" s="14" t="n">
        <f aca="false">AG742</f>
        <v>1094.61</v>
      </c>
      <c r="AH743" s="14" t="n">
        <f aca="false">IF(W743=0,0,MAX(0,MIN(AE743,AF743)-MIN(AE743-W743,AF743)))</f>
        <v>0</v>
      </c>
      <c r="AI743" s="14" t="n">
        <f aca="false">IF(W743=0,0,MAX(0,MIN(AE743,AF743+AG743)-MAX(AE743-W743,AF743)))</f>
        <v>0</v>
      </c>
      <c r="AJ743" s="14" t="n">
        <f aca="false">W743-AH743-AI743</f>
        <v>0</v>
      </c>
      <c r="AK743" s="9" t="n">
        <f aca="false">IF(W743=0,0,X743*AH743/W743)</f>
        <v>0</v>
      </c>
      <c r="AL743" s="9" t="n">
        <f aca="false">IF(W743=0,0,X743*AI743/W743)</f>
        <v>0</v>
      </c>
      <c r="AM743" s="9" t="n">
        <f aca="false">X743-AK743-AL743</f>
        <v>0</v>
      </c>
    </row>
    <row r="744" customFormat="false" ht="15" hidden="false" customHeight="false" outlineLevel="0" collapsed="false">
      <c r="A744" s="6" t="n">
        <v>739</v>
      </c>
      <c r="B744" s="74" t="s">
        <v>1018</v>
      </c>
      <c r="C744" s="53" t="str">
        <f aca="false">INDEX(I_Items!$C$5:$C$133,MATCH($B744,I_Items!$A$5:$A$133,0))</f>
        <v>Trading</v>
      </c>
      <c r="D744" s="53" t="str">
        <f aca="false">INDEX(I_Items!$D$5:$D$133,MATCH($B744,I_Items!$A$5:$A$133,0))</f>
        <v>Kulit</v>
      </c>
      <c r="E744" s="53" t="str">
        <f aca="false">INDEX(I_Items!$F$5:$F$133,MATCH($B744,I_Items!$A$5:$A$133,0))</f>
        <v>Frozen</v>
      </c>
      <c r="F744" s="53" t="str">
        <f aca="false">IF(INDEX(I_Items!$E$5:$E$133,MATCH($B744,I_Items!$A$5:$A$133,0))="","",INDEX(I_Items!$E$5:$E$133,MATCH($B744,I_Items!$A$5:$A$133,0)))</f>
        <v/>
      </c>
      <c r="G744" s="76" t="n">
        <v>46258</v>
      </c>
      <c r="H744" s="23" t="n">
        <f aca="false">MONTH(G744)</f>
        <v>8</v>
      </c>
      <c r="I744" s="74" t="s">
        <v>2074</v>
      </c>
      <c r="J744" s="74" t="s">
        <v>2196</v>
      </c>
      <c r="K744" s="10" t="n">
        <v>2972.7</v>
      </c>
      <c r="L744" s="8" t="n">
        <v>87924132.33</v>
      </c>
      <c r="M744" s="10" t="n">
        <v>0</v>
      </c>
      <c r="N744" s="8" t="n">
        <v>0</v>
      </c>
      <c r="O744" s="74"/>
      <c r="P744" s="74"/>
      <c r="Q744" s="74"/>
      <c r="R744" s="14" t="n">
        <f aca="false">IF(I744="Unbilled",0,M744)</f>
        <v>0</v>
      </c>
      <c r="S744" s="9" t="n">
        <f aca="false">IF(R744=0,0,IF(O744="Booked",N744,R744*V743))</f>
        <v>0</v>
      </c>
      <c r="T744" s="14" t="n">
        <f aca="false">IF(I744="Opening",K744,T743+K744-R744)</f>
        <v>4067.31</v>
      </c>
      <c r="U744" s="9" t="n">
        <f aca="false">IF(I744="Opening",L744,U743+L744-S744)</f>
        <v>107299512.33</v>
      </c>
      <c r="V744" s="9" t="n">
        <f aca="false">IF(T744&gt;0,U744/T744,IF(I744="Opening",0,V743))</f>
        <v>26380.9526025801</v>
      </c>
      <c r="W744" s="14" t="n">
        <f aca="false">M744</f>
        <v>0</v>
      </c>
      <c r="X744" s="9" t="n">
        <f aca="false">IF(W744=0,0,IF(O744="Booked",N744,W744*AA743))</f>
        <v>0</v>
      </c>
      <c r="Y744" s="14" t="n">
        <f aca="false">IF(I744="Opening",K744,Y743+K744-W744)</f>
        <v>4067.31</v>
      </c>
      <c r="Z744" s="9" t="n">
        <f aca="false">IF(I744="Opening",L744,Z743+L744-X744)</f>
        <v>107299512.33</v>
      </c>
      <c r="AA744" s="9" t="n">
        <f aca="false">IF(Y744&gt;0,Z744/Y744,IF(I744="Opening",0,AA743))</f>
        <v>26380.9526025801</v>
      </c>
      <c r="AB744" s="9" t="n">
        <f aca="false">IF(AND(I744="DO",O744="MA"),S744-N744,0)</f>
        <v>0</v>
      </c>
      <c r="AC744" s="9" t="n">
        <f aca="false">IF(I744="DO",X744-S744,0)</f>
        <v>0</v>
      </c>
      <c r="AD744" s="23" t="n">
        <f aca="false">IF(B745&lt;&gt;B744,1,0)</f>
        <v>0</v>
      </c>
      <c r="AE744" s="14" t="n">
        <f aca="false">IF(I744="Opening",0,AE743+W744)</f>
        <v>0</v>
      </c>
      <c r="AF744" s="14" t="n">
        <f aca="false">IF(I744="Opening",K744,AF743)</f>
        <v>0</v>
      </c>
      <c r="AG744" s="14" t="n">
        <f aca="false">AG743</f>
        <v>1094.61</v>
      </c>
      <c r="AH744" s="14" t="n">
        <f aca="false">IF(W744=0,0,MAX(0,MIN(AE744,AF744)-MIN(AE744-W744,AF744)))</f>
        <v>0</v>
      </c>
      <c r="AI744" s="14" t="n">
        <f aca="false">IF(W744=0,0,MAX(0,MIN(AE744,AF744+AG744)-MAX(AE744-W744,AF744)))</f>
        <v>0</v>
      </c>
      <c r="AJ744" s="14" t="n">
        <f aca="false">W744-AH744-AI744</f>
        <v>0</v>
      </c>
      <c r="AK744" s="9" t="n">
        <f aca="false">IF(W744=0,0,X744*AH744/W744)</f>
        <v>0</v>
      </c>
      <c r="AL744" s="9" t="n">
        <f aca="false">IF(W744=0,0,X744*AI744/W744)</f>
        <v>0</v>
      </c>
      <c r="AM744" s="9" t="n">
        <f aca="false">X744-AK744-AL744</f>
        <v>0</v>
      </c>
    </row>
    <row r="745" customFormat="false" ht="15" hidden="false" customHeight="false" outlineLevel="0" collapsed="false">
      <c r="A745" s="6" t="n">
        <v>740</v>
      </c>
      <c r="B745" s="74" t="s">
        <v>1018</v>
      </c>
      <c r="C745" s="53" t="str">
        <f aca="false">INDEX(I_Items!$C$5:$C$133,MATCH($B745,I_Items!$A$5:$A$133,0))</f>
        <v>Trading</v>
      </c>
      <c r="D745" s="53" t="str">
        <f aca="false">INDEX(I_Items!$D$5:$D$133,MATCH($B745,I_Items!$A$5:$A$133,0))</f>
        <v>Kulit</v>
      </c>
      <c r="E745" s="53" t="str">
        <f aca="false">INDEX(I_Items!$F$5:$F$133,MATCH($B745,I_Items!$A$5:$A$133,0))</f>
        <v>Frozen</v>
      </c>
      <c r="F745" s="53" t="str">
        <f aca="false">IF(INDEX(I_Items!$E$5:$E$133,MATCH($B745,I_Items!$A$5:$A$133,0))="","",INDEX(I_Items!$E$5:$E$133,MATCH($B745,I_Items!$A$5:$A$133,0)))</f>
        <v/>
      </c>
      <c r="G745" s="76" t="n">
        <v>46262</v>
      </c>
      <c r="H745" s="23" t="n">
        <f aca="false">MONTH(G745)</f>
        <v>8</v>
      </c>
      <c r="I745" s="74" t="s">
        <v>2075</v>
      </c>
      <c r="J745" s="74" t="s">
        <v>2197</v>
      </c>
      <c r="K745" s="10" t="n">
        <v>0</v>
      </c>
      <c r="L745" s="8" t="n">
        <v>0</v>
      </c>
      <c r="M745" s="10" t="n">
        <v>105.37</v>
      </c>
      <c r="N745" s="8" t="n">
        <v>2779760.98</v>
      </c>
      <c r="O745" s="74" t="s">
        <v>2077</v>
      </c>
      <c r="P745" s="74"/>
      <c r="Q745" s="74"/>
      <c r="R745" s="14" t="n">
        <f aca="false">IF(I745="Unbilled",0,M745)</f>
        <v>105.37</v>
      </c>
      <c r="S745" s="9" t="n">
        <f aca="false">IF(R745=0,0,IF(O745="Booked",N745,R745*V744))</f>
        <v>2779760.97573386</v>
      </c>
      <c r="T745" s="14" t="n">
        <f aca="false">IF(I745="Opening",K745,T744+K745-R745)</f>
        <v>3961.94</v>
      </c>
      <c r="U745" s="9" t="n">
        <f aca="false">IF(I745="Opening",L745,U744+L745-S745)</f>
        <v>104519751.354266</v>
      </c>
      <c r="V745" s="9" t="n">
        <f aca="false">IF(T745&gt;0,U745/T745,IF(I745="Opening",0,V744))</f>
        <v>26380.9526025801</v>
      </c>
      <c r="W745" s="14" t="n">
        <f aca="false">M745</f>
        <v>105.37</v>
      </c>
      <c r="X745" s="9" t="n">
        <f aca="false">IF(W745=0,0,IF(O745="Booked",N745,W745*AA744))</f>
        <v>2779760.97573386</v>
      </c>
      <c r="Y745" s="14" t="n">
        <f aca="false">IF(I745="Opening",K745,Y744+K745-W745)</f>
        <v>3961.94</v>
      </c>
      <c r="Z745" s="9" t="n">
        <f aca="false">IF(I745="Opening",L745,Z744+L745-X745)</f>
        <v>104519751.354266</v>
      </c>
      <c r="AA745" s="9" t="n">
        <f aca="false">IF(Y745&gt;0,Z745/Y745,IF(I745="Opening",0,AA744))</f>
        <v>26380.9526025801</v>
      </c>
      <c r="AB745" s="9" t="n">
        <f aca="false">IF(AND(I745="DO",O745="MA"),S745-N745,0)</f>
        <v>-0.00426613632589579</v>
      </c>
      <c r="AC745" s="9" t="n">
        <f aca="false">IF(I745="DO",X745-S745,0)</f>
        <v>0</v>
      </c>
      <c r="AD745" s="23" t="n">
        <f aca="false">IF(B746&lt;&gt;B745,1,0)</f>
        <v>1</v>
      </c>
      <c r="AE745" s="14" t="n">
        <f aca="false">IF(I745="Opening",0,AE744+W745)</f>
        <v>105.37</v>
      </c>
      <c r="AF745" s="14" t="n">
        <f aca="false">IF(I745="Opening",K745,AF744)</f>
        <v>0</v>
      </c>
      <c r="AG745" s="14" t="n">
        <f aca="false">AG744</f>
        <v>1094.61</v>
      </c>
      <c r="AH745" s="14" t="n">
        <f aca="false">IF(W745=0,0,MAX(0,MIN(AE745,AF745)-MIN(AE745-W745,AF745)))</f>
        <v>0</v>
      </c>
      <c r="AI745" s="14" t="n">
        <f aca="false">IF(W745=0,0,MAX(0,MIN(AE745,AF745+AG745)-MAX(AE745-W745,AF745)))</f>
        <v>105.37</v>
      </c>
      <c r="AJ745" s="14" t="n">
        <f aca="false">W745-AH745-AI745</f>
        <v>0</v>
      </c>
      <c r="AK745" s="9" t="n">
        <f aca="false">IF(W745=0,0,X745*AH745/W745)</f>
        <v>0</v>
      </c>
      <c r="AL745" s="9" t="n">
        <f aca="false">IF(W745=0,0,X745*AI745/W745)</f>
        <v>2779760.97573386</v>
      </c>
      <c r="AM745" s="9" t="n">
        <f aca="false">X745-AK745-AL745</f>
        <v>0</v>
      </c>
    </row>
    <row r="746" customFormat="false" ht="15" hidden="false" customHeight="false" outlineLevel="0" collapsed="false">
      <c r="A746" s="6" t="n">
        <v>741</v>
      </c>
      <c r="B746" s="74" t="s">
        <v>1019</v>
      </c>
      <c r="C746" s="53" t="str">
        <f aca="false">INDEX(I_Items!$C$5:$C$133,MATCH($B746,I_Items!$A$5:$A$133,0))</f>
        <v>Trading</v>
      </c>
      <c r="D746" s="53" t="str">
        <f aca="false">INDEX(I_Items!$D$5:$D$133,MATCH($B746,I_Items!$A$5:$A$133,0))</f>
        <v>BLD</v>
      </c>
      <c r="E746" s="53" t="str">
        <f aca="false">INDEX(I_Items!$F$5:$F$133,MATCH($B746,I_Items!$A$5:$A$133,0))</f>
        <v>Frozen</v>
      </c>
      <c r="F746" s="53" t="str">
        <f aca="false">IF(INDEX(I_Items!$E$5:$E$133,MATCH($B746,I_Items!$A$5:$A$133,0))="","",INDEX(I_Items!$E$5:$E$133,MATCH($B746,I_Items!$A$5:$A$133,0)))</f>
        <v/>
      </c>
      <c r="G746" s="76" t="n">
        <v>46204</v>
      </c>
      <c r="H746" s="23" t="n">
        <f aca="false">MONTH(G746)</f>
        <v>7</v>
      </c>
      <c r="I746" s="74" t="s">
        <v>2072</v>
      </c>
      <c r="J746" s="74" t="s">
        <v>2073</v>
      </c>
      <c r="K746" s="10" t="n">
        <v>25015.13</v>
      </c>
      <c r="L746" s="8" t="n">
        <v>821243061.75</v>
      </c>
      <c r="M746" s="10" t="n">
        <v>0</v>
      </c>
      <c r="N746" s="8" t="n">
        <v>0</v>
      </c>
      <c r="O746" s="74"/>
      <c r="P746" s="74"/>
      <c r="Q746" s="74"/>
      <c r="R746" s="14" t="n">
        <f aca="false">IF(I746="Unbilled",0,M746)</f>
        <v>0</v>
      </c>
      <c r="S746" s="9" t="n">
        <f aca="false">IF(R746=0,0,IF(O746="Booked",N746,R746*V745))</f>
        <v>0</v>
      </c>
      <c r="T746" s="14" t="n">
        <f aca="false">IF(I746="Opening",K746,T745+K746-R746)</f>
        <v>25015.13</v>
      </c>
      <c r="U746" s="9" t="n">
        <f aca="false">IF(I746="Opening",L746,U745+L746-S746)</f>
        <v>821243061.75</v>
      </c>
      <c r="V746" s="9" t="n">
        <f aca="false">IF(T746&gt;0,U746/T746,IF(I746="Opening",0,V745))</f>
        <v>32829.8538424546</v>
      </c>
      <c r="W746" s="14" t="n">
        <f aca="false">M746</f>
        <v>0</v>
      </c>
      <c r="X746" s="9" t="n">
        <f aca="false">IF(W746=0,0,IF(O746="Booked",N746,W746*AA745))</f>
        <v>0</v>
      </c>
      <c r="Y746" s="14" t="n">
        <f aca="false">IF(I746="Opening",K746,Y745+K746-W746)</f>
        <v>25015.13</v>
      </c>
      <c r="Z746" s="9" t="n">
        <f aca="false">IF(I746="Opening",L746,Z745+L746-X746)</f>
        <v>821243061.75</v>
      </c>
      <c r="AA746" s="9" t="n">
        <f aca="false">IF(Y746&gt;0,Z746/Y746,IF(I746="Opening",0,AA745))</f>
        <v>32829.8538424546</v>
      </c>
      <c r="AB746" s="9" t="n">
        <f aca="false">IF(AND(I746="DO",O746="MA"),S746-N746,0)</f>
        <v>0</v>
      </c>
      <c r="AC746" s="9" t="n">
        <f aca="false">IF(I746="DO",X746-S746,0)</f>
        <v>0</v>
      </c>
      <c r="AD746" s="23" t="n">
        <f aca="false">IF(B747&lt;&gt;B746,1,0)</f>
        <v>0</v>
      </c>
      <c r="AE746" s="14" t="n">
        <f aca="false">IF(I746="Opening",0,AE745+W746)</f>
        <v>0</v>
      </c>
      <c r="AF746" s="14" t="n">
        <f aca="false">IF(I746="Opening",K746,AF745)</f>
        <v>25015.13</v>
      </c>
      <c r="AG746" s="14" t="n">
        <f aca="false">SUMIFS($K$6:$K$1110,$B$6:$B$1110,B746,$H$6:$H$1110,7,$I$6:$I$1110,"&lt;&gt;Opening")</f>
        <v>39499.64</v>
      </c>
      <c r="AH746" s="14" t="n">
        <f aca="false">IF(W746=0,0,MAX(0,MIN(AE746,AF746)-MIN(AE746-W746,AF746)))</f>
        <v>0</v>
      </c>
      <c r="AI746" s="14" t="n">
        <f aca="false">IF(W746=0,0,MAX(0,MIN(AE746,AF746+AG746)-MAX(AE746-W746,AF746)))</f>
        <v>0</v>
      </c>
      <c r="AJ746" s="14" t="n">
        <f aca="false">W746-AH746-AI746</f>
        <v>0</v>
      </c>
      <c r="AK746" s="9" t="n">
        <f aca="false">IF(W746=0,0,X746*AH746/W746)</f>
        <v>0</v>
      </c>
      <c r="AL746" s="9" t="n">
        <f aca="false">IF(W746=0,0,X746*AI746/W746)</f>
        <v>0</v>
      </c>
      <c r="AM746" s="9" t="n">
        <f aca="false">X746-AK746-AL746</f>
        <v>0</v>
      </c>
    </row>
    <row r="747" customFormat="false" ht="15" hidden="false" customHeight="false" outlineLevel="0" collapsed="false">
      <c r="A747" s="6" t="n">
        <v>742</v>
      </c>
      <c r="B747" s="74" t="s">
        <v>1019</v>
      </c>
      <c r="C747" s="53" t="str">
        <f aca="false">INDEX(I_Items!$C$5:$C$133,MATCH($B747,I_Items!$A$5:$A$133,0))</f>
        <v>Trading</v>
      </c>
      <c r="D747" s="53" t="str">
        <f aca="false">INDEX(I_Items!$D$5:$D$133,MATCH($B747,I_Items!$A$5:$A$133,0))</f>
        <v>BLD</v>
      </c>
      <c r="E747" s="53" t="str">
        <f aca="false">INDEX(I_Items!$F$5:$F$133,MATCH($B747,I_Items!$A$5:$A$133,0))</f>
        <v>Frozen</v>
      </c>
      <c r="F747" s="53" t="str">
        <f aca="false">IF(INDEX(I_Items!$E$5:$E$133,MATCH($B747,I_Items!$A$5:$A$133,0))="","",INDEX(I_Items!$E$5:$E$133,MATCH($B747,I_Items!$A$5:$A$133,0)))</f>
        <v/>
      </c>
      <c r="G747" s="76" t="n">
        <v>46204</v>
      </c>
      <c r="H747" s="23" t="n">
        <f aca="false">MONTH(G747)</f>
        <v>7</v>
      </c>
      <c r="I747" s="74" t="s">
        <v>2074</v>
      </c>
      <c r="J747" s="74" t="s">
        <v>2198</v>
      </c>
      <c r="K747" s="10" t="n">
        <v>381.85</v>
      </c>
      <c r="L747" s="8" t="n">
        <v>10500875</v>
      </c>
      <c r="M747" s="10" t="n">
        <v>0</v>
      </c>
      <c r="N747" s="8" t="n">
        <v>0</v>
      </c>
      <c r="O747" s="74"/>
      <c r="P747" s="74"/>
      <c r="Q747" s="74"/>
      <c r="R747" s="14" t="n">
        <f aca="false">IF(I747="Unbilled",0,M747)</f>
        <v>0</v>
      </c>
      <c r="S747" s="9" t="n">
        <f aca="false">IF(R747=0,0,IF(O747="Booked",N747,R747*V746))</f>
        <v>0</v>
      </c>
      <c r="T747" s="14" t="n">
        <f aca="false">IF(I747="Opening",K747,T746+K747-R747)</f>
        <v>25396.98</v>
      </c>
      <c r="U747" s="9" t="n">
        <f aca="false">IF(I747="Opening",L747,U746+L747-S747)</f>
        <v>831743936.75</v>
      </c>
      <c r="V747" s="9" t="n">
        <f aca="false">IF(T747&gt;0,U747/T747,IF(I747="Opening",0,V746))</f>
        <v>32749.718145622</v>
      </c>
      <c r="W747" s="14" t="n">
        <f aca="false">M747</f>
        <v>0</v>
      </c>
      <c r="X747" s="9" t="n">
        <f aca="false">IF(W747=0,0,IF(O747="Booked",N747,W747*AA746))</f>
        <v>0</v>
      </c>
      <c r="Y747" s="14" t="n">
        <f aca="false">IF(I747="Opening",K747,Y746+K747-W747)</f>
        <v>25396.98</v>
      </c>
      <c r="Z747" s="9" t="n">
        <f aca="false">IF(I747="Opening",L747,Z746+L747-X747)</f>
        <v>831743936.75</v>
      </c>
      <c r="AA747" s="9" t="n">
        <f aca="false">IF(Y747&gt;0,Z747/Y747,IF(I747="Opening",0,AA746))</f>
        <v>32749.718145622</v>
      </c>
      <c r="AB747" s="9" t="n">
        <f aca="false">IF(AND(I747="DO",O747="MA"),S747-N747,0)</f>
        <v>0</v>
      </c>
      <c r="AC747" s="9" t="n">
        <f aca="false">IF(I747="DO",X747-S747,0)</f>
        <v>0</v>
      </c>
      <c r="AD747" s="23" t="n">
        <f aca="false">IF(B748&lt;&gt;B747,1,0)</f>
        <v>0</v>
      </c>
      <c r="AE747" s="14" t="n">
        <f aca="false">IF(I747="Opening",0,AE746+W747)</f>
        <v>0</v>
      </c>
      <c r="AF747" s="14" t="n">
        <f aca="false">IF(I747="Opening",K747,AF746)</f>
        <v>25015.13</v>
      </c>
      <c r="AG747" s="14" t="n">
        <f aca="false">AG746</f>
        <v>39499.64</v>
      </c>
      <c r="AH747" s="14" t="n">
        <f aca="false">IF(W747=0,0,MAX(0,MIN(AE747,AF747)-MIN(AE747-W747,AF747)))</f>
        <v>0</v>
      </c>
      <c r="AI747" s="14" t="n">
        <f aca="false">IF(W747=0,0,MAX(0,MIN(AE747,AF747+AG747)-MAX(AE747-W747,AF747)))</f>
        <v>0</v>
      </c>
      <c r="AJ747" s="14" t="n">
        <f aca="false">W747-AH747-AI747</f>
        <v>0</v>
      </c>
      <c r="AK747" s="9" t="n">
        <f aca="false">IF(W747=0,0,X747*AH747/W747)</f>
        <v>0</v>
      </c>
      <c r="AL747" s="9" t="n">
        <f aca="false">IF(W747=0,0,X747*AI747/W747)</f>
        <v>0</v>
      </c>
      <c r="AM747" s="9" t="n">
        <f aca="false">X747-AK747-AL747</f>
        <v>0</v>
      </c>
    </row>
    <row r="748" customFormat="false" ht="15" hidden="false" customHeight="false" outlineLevel="0" collapsed="false">
      <c r="A748" s="6" t="n">
        <v>743</v>
      </c>
      <c r="B748" s="74" t="s">
        <v>1019</v>
      </c>
      <c r="C748" s="53" t="str">
        <f aca="false">INDEX(I_Items!$C$5:$C$133,MATCH($B748,I_Items!$A$5:$A$133,0))</f>
        <v>Trading</v>
      </c>
      <c r="D748" s="53" t="str">
        <f aca="false">INDEX(I_Items!$D$5:$D$133,MATCH($B748,I_Items!$A$5:$A$133,0))</f>
        <v>BLD</v>
      </c>
      <c r="E748" s="53" t="str">
        <f aca="false">INDEX(I_Items!$F$5:$F$133,MATCH($B748,I_Items!$A$5:$A$133,0))</f>
        <v>Frozen</v>
      </c>
      <c r="F748" s="53" t="str">
        <f aca="false">IF(INDEX(I_Items!$E$5:$E$133,MATCH($B748,I_Items!$A$5:$A$133,0))="","",INDEX(I_Items!$E$5:$E$133,MATCH($B748,I_Items!$A$5:$A$133,0)))</f>
        <v/>
      </c>
      <c r="G748" s="76" t="n">
        <v>46204</v>
      </c>
      <c r="H748" s="23" t="n">
        <f aca="false">MONTH(G748)</f>
        <v>7</v>
      </c>
      <c r="I748" s="74" t="s">
        <v>2075</v>
      </c>
      <c r="J748" s="74" t="s">
        <v>2199</v>
      </c>
      <c r="K748" s="10" t="n">
        <v>0</v>
      </c>
      <c r="L748" s="8" t="n">
        <v>0</v>
      </c>
      <c r="M748" s="10" t="n">
        <v>5103.6</v>
      </c>
      <c r="N748" s="8" t="n">
        <v>167141461.3</v>
      </c>
      <c r="O748" s="74" t="s">
        <v>2077</v>
      </c>
      <c r="P748" s="74"/>
      <c r="Q748" s="74"/>
      <c r="R748" s="14" t="n">
        <f aca="false">IF(I748="Unbilled",0,M748)</f>
        <v>5103.6</v>
      </c>
      <c r="S748" s="9" t="n">
        <f aca="false">IF(R748=0,0,IF(O748="Booked",N748,R748*V747))</f>
        <v>167141461.527997</v>
      </c>
      <c r="T748" s="14" t="n">
        <f aca="false">IF(I748="Opening",K748,T747+K748-R748)</f>
        <v>20293.38</v>
      </c>
      <c r="U748" s="9" t="n">
        <f aca="false">IF(I748="Opening",L748,U747+L748-S748)</f>
        <v>664602475.222003</v>
      </c>
      <c r="V748" s="9" t="n">
        <f aca="false">IF(T748&gt;0,U748/T748,IF(I748="Opening",0,V747))</f>
        <v>32749.718145622</v>
      </c>
      <c r="W748" s="14" t="n">
        <f aca="false">M748</f>
        <v>5103.6</v>
      </c>
      <c r="X748" s="9" t="n">
        <f aca="false">IF(W748=0,0,IF(O748="Booked",N748,W748*AA747))</f>
        <v>167141461.527997</v>
      </c>
      <c r="Y748" s="14" t="n">
        <f aca="false">IF(I748="Opening",K748,Y747+K748-W748)</f>
        <v>20293.38</v>
      </c>
      <c r="Z748" s="9" t="n">
        <f aca="false">IF(I748="Opening",L748,Z747+L748-X748)</f>
        <v>664602475.222003</v>
      </c>
      <c r="AA748" s="9" t="n">
        <f aca="false">IF(Y748&gt;0,Z748/Y748,IF(I748="Opening",0,AA747))</f>
        <v>32749.718145622</v>
      </c>
      <c r="AB748" s="9" t="n">
        <f aca="false">IF(AND(I748="DO",O748="MA"),S748-N748,0)</f>
        <v>0.227996647357941</v>
      </c>
      <c r="AC748" s="9" t="n">
        <f aca="false">IF(I748="DO",X748-S748,0)</f>
        <v>0</v>
      </c>
      <c r="AD748" s="23" t="n">
        <f aca="false">IF(B749&lt;&gt;B748,1,0)</f>
        <v>0</v>
      </c>
      <c r="AE748" s="14" t="n">
        <f aca="false">IF(I748="Opening",0,AE747+W748)</f>
        <v>5103.6</v>
      </c>
      <c r="AF748" s="14" t="n">
        <f aca="false">IF(I748="Opening",K748,AF747)</f>
        <v>25015.13</v>
      </c>
      <c r="AG748" s="14" t="n">
        <f aca="false">AG747</f>
        <v>39499.64</v>
      </c>
      <c r="AH748" s="14" t="n">
        <f aca="false">IF(W748=0,0,MAX(0,MIN(AE748,AF748)-MIN(AE748-W748,AF748)))</f>
        <v>5103.6</v>
      </c>
      <c r="AI748" s="14" t="n">
        <f aca="false">IF(W748=0,0,MAX(0,MIN(AE748,AF748+AG748)-MAX(AE748-W748,AF748)))</f>
        <v>0</v>
      </c>
      <c r="AJ748" s="14" t="n">
        <f aca="false">W748-AH748-AI748</f>
        <v>0</v>
      </c>
      <c r="AK748" s="9" t="n">
        <f aca="false">IF(W748=0,0,X748*AH748/W748)</f>
        <v>167141461.527997</v>
      </c>
      <c r="AL748" s="9" t="n">
        <f aca="false">IF(W748=0,0,X748*AI748/W748)</f>
        <v>0</v>
      </c>
      <c r="AM748" s="9" t="n">
        <f aca="false">X748-AK748-AL748</f>
        <v>0</v>
      </c>
    </row>
    <row r="749" customFormat="false" ht="15" hidden="false" customHeight="false" outlineLevel="0" collapsed="false">
      <c r="A749" s="6" t="n">
        <v>744</v>
      </c>
      <c r="B749" s="74" t="s">
        <v>1019</v>
      </c>
      <c r="C749" s="53" t="str">
        <f aca="false">INDEX(I_Items!$C$5:$C$133,MATCH($B749,I_Items!$A$5:$A$133,0))</f>
        <v>Trading</v>
      </c>
      <c r="D749" s="53" t="str">
        <f aca="false">INDEX(I_Items!$D$5:$D$133,MATCH($B749,I_Items!$A$5:$A$133,0))</f>
        <v>BLD</v>
      </c>
      <c r="E749" s="53" t="str">
        <f aca="false">INDEX(I_Items!$F$5:$F$133,MATCH($B749,I_Items!$A$5:$A$133,0))</f>
        <v>Frozen</v>
      </c>
      <c r="F749" s="53" t="str">
        <f aca="false">IF(INDEX(I_Items!$E$5:$E$133,MATCH($B749,I_Items!$A$5:$A$133,0))="","",INDEX(I_Items!$E$5:$E$133,MATCH($B749,I_Items!$A$5:$A$133,0)))</f>
        <v/>
      </c>
      <c r="G749" s="76" t="n">
        <v>46205</v>
      </c>
      <c r="H749" s="23" t="n">
        <f aca="false">MONTH(G749)</f>
        <v>7</v>
      </c>
      <c r="I749" s="74" t="s">
        <v>2074</v>
      </c>
      <c r="J749" s="74" t="s">
        <v>2200</v>
      </c>
      <c r="K749" s="10" t="n">
        <v>1016.04</v>
      </c>
      <c r="L749" s="8" t="n">
        <v>28957140</v>
      </c>
      <c r="M749" s="10" t="n">
        <v>0</v>
      </c>
      <c r="N749" s="8" t="n">
        <v>0</v>
      </c>
      <c r="O749" s="74"/>
      <c r="P749" s="74"/>
      <c r="Q749" s="74"/>
      <c r="R749" s="14" t="n">
        <f aca="false">IF(I749="Unbilled",0,M749)</f>
        <v>0</v>
      </c>
      <c r="S749" s="9" t="n">
        <f aca="false">IF(R749=0,0,IF(O749="Booked",N749,R749*V748))</f>
        <v>0</v>
      </c>
      <c r="T749" s="14" t="n">
        <f aca="false">IF(I749="Opening",K749,T748+K749-R749)</f>
        <v>21309.42</v>
      </c>
      <c r="U749" s="9" t="n">
        <f aca="false">IF(I749="Opening",L749,U748+L749-S749)</f>
        <v>693559615.222003</v>
      </c>
      <c r="V749" s="9" t="n">
        <f aca="false">IF(T749&gt;0,U749/T749,IF(I749="Opening",0,V748))</f>
        <v>32547.0902174721</v>
      </c>
      <c r="W749" s="14" t="n">
        <f aca="false">M749</f>
        <v>0</v>
      </c>
      <c r="X749" s="9" t="n">
        <f aca="false">IF(W749=0,0,IF(O749="Booked",N749,W749*AA748))</f>
        <v>0</v>
      </c>
      <c r="Y749" s="14" t="n">
        <f aca="false">IF(I749="Opening",K749,Y748+K749-W749)</f>
        <v>21309.42</v>
      </c>
      <c r="Z749" s="9" t="n">
        <f aca="false">IF(I749="Opening",L749,Z748+L749-X749)</f>
        <v>693559615.222003</v>
      </c>
      <c r="AA749" s="9" t="n">
        <f aca="false">IF(Y749&gt;0,Z749/Y749,IF(I749="Opening",0,AA748))</f>
        <v>32547.0902174721</v>
      </c>
      <c r="AB749" s="9" t="n">
        <f aca="false">IF(AND(I749="DO",O749="MA"),S749-N749,0)</f>
        <v>0</v>
      </c>
      <c r="AC749" s="9" t="n">
        <f aca="false">IF(I749="DO",X749-S749,0)</f>
        <v>0</v>
      </c>
      <c r="AD749" s="23" t="n">
        <f aca="false">IF(B750&lt;&gt;B749,1,0)</f>
        <v>0</v>
      </c>
      <c r="AE749" s="14" t="n">
        <f aca="false">IF(I749="Opening",0,AE748+W749)</f>
        <v>5103.6</v>
      </c>
      <c r="AF749" s="14" t="n">
        <f aca="false">IF(I749="Opening",K749,AF748)</f>
        <v>25015.13</v>
      </c>
      <c r="AG749" s="14" t="n">
        <f aca="false">AG748</f>
        <v>39499.64</v>
      </c>
      <c r="AH749" s="14" t="n">
        <f aca="false">IF(W749=0,0,MAX(0,MIN(AE749,AF749)-MIN(AE749-W749,AF749)))</f>
        <v>0</v>
      </c>
      <c r="AI749" s="14" t="n">
        <f aca="false">IF(W749=0,0,MAX(0,MIN(AE749,AF749+AG749)-MAX(AE749-W749,AF749)))</f>
        <v>0</v>
      </c>
      <c r="AJ749" s="14" t="n">
        <f aca="false">W749-AH749-AI749</f>
        <v>0</v>
      </c>
      <c r="AK749" s="9" t="n">
        <f aca="false">IF(W749=0,0,X749*AH749/W749)</f>
        <v>0</v>
      </c>
      <c r="AL749" s="9" t="n">
        <f aca="false">IF(W749=0,0,X749*AI749/W749)</f>
        <v>0</v>
      </c>
      <c r="AM749" s="9" t="n">
        <f aca="false">X749-AK749-AL749</f>
        <v>0</v>
      </c>
    </row>
    <row r="750" customFormat="false" ht="15" hidden="false" customHeight="false" outlineLevel="0" collapsed="false">
      <c r="A750" s="6" t="n">
        <v>745</v>
      </c>
      <c r="B750" s="74" t="s">
        <v>1019</v>
      </c>
      <c r="C750" s="53" t="str">
        <f aca="false">INDEX(I_Items!$C$5:$C$133,MATCH($B750,I_Items!$A$5:$A$133,0))</f>
        <v>Trading</v>
      </c>
      <c r="D750" s="53" t="str">
        <f aca="false">INDEX(I_Items!$D$5:$D$133,MATCH($B750,I_Items!$A$5:$A$133,0))</f>
        <v>BLD</v>
      </c>
      <c r="E750" s="53" t="str">
        <f aca="false">INDEX(I_Items!$F$5:$F$133,MATCH($B750,I_Items!$A$5:$A$133,0))</f>
        <v>Frozen</v>
      </c>
      <c r="F750" s="53" t="str">
        <f aca="false">IF(INDEX(I_Items!$E$5:$E$133,MATCH($B750,I_Items!$A$5:$A$133,0))="","",INDEX(I_Items!$E$5:$E$133,MATCH($B750,I_Items!$A$5:$A$133,0)))</f>
        <v/>
      </c>
      <c r="G750" s="76" t="n">
        <v>46205</v>
      </c>
      <c r="H750" s="23" t="n">
        <f aca="false">MONTH(G750)</f>
        <v>7</v>
      </c>
      <c r="I750" s="74" t="s">
        <v>2075</v>
      </c>
      <c r="J750" s="74" t="s">
        <v>2201</v>
      </c>
      <c r="K750" s="10" t="n">
        <v>0</v>
      </c>
      <c r="L750" s="8" t="n">
        <v>0</v>
      </c>
      <c r="M750" s="10" t="n">
        <v>2340.6</v>
      </c>
      <c r="N750" s="8" t="n">
        <v>76179719.32</v>
      </c>
      <c r="O750" s="74" t="s">
        <v>2077</v>
      </c>
      <c r="P750" s="74"/>
      <c r="Q750" s="74"/>
      <c r="R750" s="14" t="n">
        <f aca="false">IF(I750="Unbilled",0,M750)</f>
        <v>2340.6</v>
      </c>
      <c r="S750" s="9" t="n">
        <f aca="false">IF(R750=0,0,IF(O750="Booked",N750,R750*V749))</f>
        <v>76179719.3630151</v>
      </c>
      <c r="T750" s="14" t="n">
        <f aca="false">IF(I750="Opening",K750,T749+K750-R750)</f>
        <v>18968.82</v>
      </c>
      <c r="U750" s="9" t="n">
        <f aca="false">IF(I750="Opening",L750,U749+L750-S750)</f>
        <v>617379895.858988</v>
      </c>
      <c r="V750" s="9" t="n">
        <f aca="false">IF(T750&gt;0,U750/T750,IF(I750="Opening",0,V749))</f>
        <v>32547.0902174721</v>
      </c>
      <c r="W750" s="14" t="n">
        <f aca="false">M750</f>
        <v>2340.6</v>
      </c>
      <c r="X750" s="9" t="n">
        <f aca="false">IF(W750=0,0,IF(O750="Booked",N750,W750*AA749))</f>
        <v>76179719.3630151</v>
      </c>
      <c r="Y750" s="14" t="n">
        <f aca="false">IF(I750="Opening",K750,Y749+K750-W750)</f>
        <v>18968.82</v>
      </c>
      <c r="Z750" s="9" t="n">
        <f aca="false">IF(I750="Opening",L750,Z749+L750-X750)</f>
        <v>617379895.858988</v>
      </c>
      <c r="AA750" s="9" t="n">
        <f aca="false">IF(Y750&gt;0,Z750/Y750,IF(I750="Opening",0,AA749))</f>
        <v>32547.0902174721</v>
      </c>
      <c r="AB750" s="9" t="n">
        <f aca="false">IF(AND(I750="DO",O750="MA"),S750-N750,0)</f>
        <v>0.0430151075124741</v>
      </c>
      <c r="AC750" s="9" t="n">
        <f aca="false">IF(I750="DO",X750-S750,0)</f>
        <v>0</v>
      </c>
      <c r="AD750" s="23" t="n">
        <f aca="false">IF(B751&lt;&gt;B750,1,0)</f>
        <v>0</v>
      </c>
      <c r="AE750" s="14" t="n">
        <f aca="false">IF(I750="Opening",0,AE749+W750)</f>
        <v>7444.2</v>
      </c>
      <c r="AF750" s="14" t="n">
        <f aca="false">IF(I750="Opening",K750,AF749)</f>
        <v>25015.13</v>
      </c>
      <c r="AG750" s="14" t="n">
        <f aca="false">AG749</f>
        <v>39499.64</v>
      </c>
      <c r="AH750" s="14" t="n">
        <f aca="false">IF(W750=0,0,MAX(0,MIN(AE750,AF750)-MIN(AE750-W750,AF750)))</f>
        <v>2340.6</v>
      </c>
      <c r="AI750" s="14" t="n">
        <f aca="false">IF(W750=0,0,MAX(0,MIN(AE750,AF750+AG750)-MAX(AE750-W750,AF750)))</f>
        <v>0</v>
      </c>
      <c r="AJ750" s="14" t="n">
        <f aca="false">W750-AH750-AI750</f>
        <v>0</v>
      </c>
      <c r="AK750" s="9" t="n">
        <f aca="false">IF(W750=0,0,X750*AH750/W750)</f>
        <v>76179719.3630151</v>
      </c>
      <c r="AL750" s="9" t="n">
        <f aca="false">IF(W750=0,0,X750*AI750/W750)</f>
        <v>0</v>
      </c>
      <c r="AM750" s="9" t="n">
        <f aca="false">X750-AK750-AL750</f>
        <v>0</v>
      </c>
    </row>
    <row r="751" customFormat="false" ht="15" hidden="false" customHeight="false" outlineLevel="0" collapsed="false">
      <c r="A751" s="6" t="n">
        <v>746</v>
      </c>
      <c r="B751" s="74" t="s">
        <v>1019</v>
      </c>
      <c r="C751" s="53" t="str">
        <f aca="false">INDEX(I_Items!$C$5:$C$133,MATCH($B751,I_Items!$A$5:$A$133,0))</f>
        <v>Trading</v>
      </c>
      <c r="D751" s="53" t="str">
        <f aca="false">INDEX(I_Items!$D$5:$D$133,MATCH($B751,I_Items!$A$5:$A$133,0))</f>
        <v>BLD</v>
      </c>
      <c r="E751" s="53" t="str">
        <f aca="false">INDEX(I_Items!$F$5:$F$133,MATCH($B751,I_Items!$A$5:$A$133,0))</f>
        <v>Frozen</v>
      </c>
      <c r="F751" s="53" t="str">
        <f aca="false">IF(INDEX(I_Items!$E$5:$E$133,MATCH($B751,I_Items!$A$5:$A$133,0))="","",INDEX(I_Items!$E$5:$E$133,MATCH($B751,I_Items!$A$5:$A$133,0)))</f>
        <v/>
      </c>
      <c r="G751" s="76" t="n">
        <v>46206</v>
      </c>
      <c r="H751" s="23" t="n">
        <f aca="false">MONTH(G751)</f>
        <v>7</v>
      </c>
      <c r="I751" s="74" t="s">
        <v>2074</v>
      </c>
      <c r="J751" s="74" t="s">
        <v>2202</v>
      </c>
      <c r="K751" s="10" t="n">
        <v>7605.38</v>
      </c>
      <c r="L751" s="8" t="n">
        <v>216753330</v>
      </c>
      <c r="M751" s="10" t="n">
        <v>0</v>
      </c>
      <c r="N751" s="8" t="n">
        <v>0</v>
      </c>
      <c r="O751" s="74"/>
      <c r="P751" s="74"/>
      <c r="Q751" s="74"/>
      <c r="R751" s="14" t="n">
        <f aca="false">IF(I751="Unbilled",0,M751)</f>
        <v>0</v>
      </c>
      <c r="S751" s="9" t="n">
        <f aca="false">IF(R751=0,0,IF(O751="Booked",N751,R751*V750))</f>
        <v>0</v>
      </c>
      <c r="T751" s="14" t="n">
        <f aca="false">IF(I751="Opening",K751,T750+K751-R751)</f>
        <v>26574.2</v>
      </c>
      <c r="U751" s="9" t="n">
        <f aca="false">IF(I751="Opening",L751,U750+L751-S751)</f>
        <v>834133225.858988</v>
      </c>
      <c r="V751" s="9" t="n">
        <f aca="false">IF(T751&gt;0,U751/T751,IF(I751="Opening",0,V750))</f>
        <v>31388.8367611815</v>
      </c>
      <c r="W751" s="14" t="n">
        <f aca="false">M751</f>
        <v>0</v>
      </c>
      <c r="X751" s="9" t="n">
        <f aca="false">IF(W751=0,0,IF(O751="Booked",N751,W751*AA750))</f>
        <v>0</v>
      </c>
      <c r="Y751" s="14" t="n">
        <f aca="false">IF(I751="Opening",K751,Y750+K751-W751)</f>
        <v>26574.2</v>
      </c>
      <c r="Z751" s="9" t="n">
        <f aca="false">IF(I751="Opening",L751,Z750+L751-X751)</f>
        <v>834133225.858988</v>
      </c>
      <c r="AA751" s="9" t="n">
        <f aca="false">IF(Y751&gt;0,Z751/Y751,IF(I751="Opening",0,AA750))</f>
        <v>31388.8367611815</v>
      </c>
      <c r="AB751" s="9" t="n">
        <f aca="false">IF(AND(I751="DO",O751="MA"),S751-N751,0)</f>
        <v>0</v>
      </c>
      <c r="AC751" s="9" t="n">
        <f aca="false">IF(I751="DO",X751-S751,0)</f>
        <v>0</v>
      </c>
      <c r="AD751" s="23" t="n">
        <f aca="false">IF(B752&lt;&gt;B751,1,0)</f>
        <v>0</v>
      </c>
      <c r="AE751" s="14" t="n">
        <f aca="false">IF(I751="Opening",0,AE750+W751)</f>
        <v>7444.2</v>
      </c>
      <c r="AF751" s="14" t="n">
        <f aca="false">IF(I751="Opening",K751,AF750)</f>
        <v>25015.13</v>
      </c>
      <c r="AG751" s="14" t="n">
        <f aca="false">AG750</f>
        <v>39499.64</v>
      </c>
      <c r="AH751" s="14" t="n">
        <f aca="false">IF(W751=0,0,MAX(0,MIN(AE751,AF751)-MIN(AE751-W751,AF751)))</f>
        <v>0</v>
      </c>
      <c r="AI751" s="14" t="n">
        <f aca="false">IF(W751=0,0,MAX(0,MIN(AE751,AF751+AG751)-MAX(AE751-W751,AF751)))</f>
        <v>0</v>
      </c>
      <c r="AJ751" s="14" t="n">
        <f aca="false">W751-AH751-AI751</f>
        <v>0</v>
      </c>
      <c r="AK751" s="9" t="n">
        <f aca="false">IF(W751=0,0,X751*AH751/W751)</f>
        <v>0</v>
      </c>
      <c r="AL751" s="9" t="n">
        <f aca="false">IF(W751=0,0,X751*AI751/W751)</f>
        <v>0</v>
      </c>
      <c r="AM751" s="9" t="n">
        <f aca="false">X751-AK751-AL751</f>
        <v>0</v>
      </c>
    </row>
    <row r="752" customFormat="false" ht="15" hidden="false" customHeight="false" outlineLevel="0" collapsed="false">
      <c r="A752" s="6" t="n">
        <v>747</v>
      </c>
      <c r="B752" s="74" t="s">
        <v>1019</v>
      </c>
      <c r="C752" s="53" t="str">
        <f aca="false">INDEX(I_Items!$C$5:$C$133,MATCH($B752,I_Items!$A$5:$A$133,0))</f>
        <v>Trading</v>
      </c>
      <c r="D752" s="53" t="str">
        <f aca="false">INDEX(I_Items!$D$5:$D$133,MATCH($B752,I_Items!$A$5:$A$133,0))</f>
        <v>BLD</v>
      </c>
      <c r="E752" s="53" t="str">
        <f aca="false">INDEX(I_Items!$F$5:$F$133,MATCH($B752,I_Items!$A$5:$A$133,0))</f>
        <v>Frozen</v>
      </c>
      <c r="F752" s="53" t="str">
        <f aca="false">IF(INDEX(I_Items!$E$5:$E$133,MATCH($B752,I_Items!$A$5:$A$133,0))="","",INDEX(I_Items!$E$5:$E$133,MATCH($B752,I_Items!$A$5:$A$133,0)))</f>
        <v/>
      </c>
      <c r="G752" s="76" t="n">
        <v>46206</v>
      </c>
      <c r="H752" s="23" t="n">
        <f aca="false">MONTH(G752)</f>
        <v>7</v>
      </c>
      <c r="I752" s="74" t="s">
        <v>2074</v>
      </c>
      <c r="J752" s="74" t="s">
        <v>2194</v>
      </c>
      <c r="K752" s="10" t="n">
        <v>483.1</v>
      </c>
      <c r="L752" s="8" t="n">
        <v>13285250</v>
      </c>
      <c r="M752" s="10" t="n">
        <v>0</v>
      </c>
      <c r="N752" s="8" t="n">
        <v>0</v>
      </c>
      <c r="O752" s="74"/>
      <c r="P752" s="74"/>
      <c r="Q752" s="74"/>
      <c r="R752" s="14" t="n">
        <f aca="false">IF(I752="Unbilled",0,M752)</f>
        <v>0</v>
      </c>
      <c r="S752" s="9" t="n">
        <f aca="false">IF(R752=0,0,IF(O752="Booked",N752,R752*V751))</f>
        <v>0</v>
      </c>
      <c r="T752" s="14" t="n">
        <f aca="false">IF(I752="Opening",K752,T751+K752-R752)</f>
        <v>27057.3</v>
      </c>
      <c r="U752" s="9" t="n">
        <f aca="false">IF(I752="Opening",L752,U751+L752-S752)</f>
        <v>847418475.858988</v>
      </c>
      <c r="V752" s="9" t="n">
        <f aca="false">IF(T752&gt;0,U752/T752,IF(I752="Opening",0,V751))</f>
        <v>31319.4027437693</v>
      </c>
      <c r="W752" s="14" t="n">
        <f aca="false">M752</f>
        <v>0</v>
      </c>
      <c r="X752" s="9" t="n">
        <f aca="false">IF(W752=0,0,IF(O752="Booked",N752,W752*AA751))</f>
        <v>0</v>
      </c>
      <c r="Y752" s="14" t="n">
        <f aca="false">IF(I752="Opening",K752,Y751+K752-W752)</f>
        <v>27057.3</v>
      </c>
      <c r="Z752" s="9" t="n">
        <f aca="false">IF(I752="Opening",L752,Z751+L752-X752)</f>
        <v>847418475.858988</v>
      </c>
      <c r="AA752" s="9" t="n">
        <f aca="false">IF(Y752&gt;0,Z752/Y752,IF(I752="Opening",0,AA751))</f>
        <v>31319.4027437693</v>
      </c>
      <c r="AB752" s="9" t="n">
        <f aca="false">IF(AND(I752="DO",O752="MA"),S752-N752,0)</f>
        <v>0</v>
      </c>
      <c r="AC752" s="9" t="n">
        <f aca="false">IF(I752="DO",X752-S752,0)</f>
        <v>0</v>
      </c>
      <c r="AD752" s="23" t="n">
        <f aca="false">IF(B753&lt;&gt;B752,1,0)</f>
        <v>0</v>
      </c>
      <c r="AE752" s="14" t="n">
        <f aca="false">IF(I752="Opening",0,AE751+W752)</f>
        <v>7444.2</v>
      </c>
      <c r="AF752" s="14" t="n">
        <f aca="false">IF(I752="Opening",K752,AF751)</f>
        <v>25015.13</v>
      </c>
      <c r="AG752" s="14" t="n">
        <f aca="false">AG751</f>
        <v>39499.64</v>
      </c>
      <c r="AH752" s="14" t="n">
        <f aca="false">IF(W752=0,0,MAX(0,MIN(AE752,AF752)-MIN(AE752-W752,AF752)))</f>
        <v>0</v>
      </c>
      <c r="AI752" s="14" t="n">
        <f aca="false">IF(W752=0,0,MAX(0,MIN(AE752,AF752+AG752)-MAX(AE752-W752,AF752)))</f>
        <v>0</v>
      </c>
      <c r="AJ752" s="14" t="n">
        <f aca="false">W752-AH752-AI752</f>
        <v>0</v>
      </c>
      <c r="AK752" s="9" t="n">
        <f aca="false">IF(W752=0,0,X752*AH752/W752)</f>
        <v>0</v>
      </c>
      <c r="AL752" s="9" t="n">
        <f aca="false">IF(W752=0,0,X752*AI752/W752)</f>
        <v>0</v>
      </c>
      <c r="AM752" s="9" t="n">
        <f aca="false">X752-AK752-AL752</f>
        <v>0</v>
      </c>
    </row>
    <row r="753" customFormat="false" ht="15" hidden="false" customHeight="false" outlineLevel="0" collapsed="false">
      <c r="A753" s="6" t="n">
        <v>748</v>
      </c>
      <c r="B753" s="74" t="s">
        <v>1019</v>
      </c>
      <c r="C753" s="53" t="str">
        <f aca="false">INDEX(I_Items!$C$5:$C$133,MATCH($B753,I_Items!$A$5:$A$133,0))</f>
        <v>Trading</v>
      </c>
      <c r="D753" s="53" t="str">
        <f aca="false">INDEX(I_Items!$D$5:$D$133,MATCH($B753,I_Items!$A$5:$A$133,0))</f>
        <v>BLD</v>
      </c>
      <c r="E753" s="53" t="str">
        <f aca="false">INDEX(I_Items!$F$5:$F$133,MATCH($B753,I_Items!$A$5:$A$133,0))</f>
        <v>Frozen</v>
      </c>
      <c r="F753" s="53" t="str">
        <f aca="false">IF(INDEX(I_Items!$E$5:$E$133,MATCH($B753,I_Items!$A$5:$A$133,0))="","",INDEX(I_Items!$E$5:$E$133,MATCH($B753,I_Items!$A$5:$A$133,0)))</f>
        <v/>
      </c>
      <c r="G753" s="76" t="n">
        <v>46207</v>
      </c>
      <c r="H753" s="23" t="n">
        <f aca="false">MONTH(G753)</f>
        <v>7</v>
      </c>
      <c r="I753" s="74" t="s">
        <v>2074</v>
      </c>
      <c r="J753" s="74" t="s">
        <v>2203</v>
      </c>
      <c r="K753" s="10" t="n">
        <v>843.95</v>
      </c>
      <c r="L753" s="8" t="n">
        <v>26584425</v>
      </c>
      <c r="M753" s="10" t="n">
        <v>0</v>
      </c>
      <c r="N753" s="8" t="n">
        <v>0</v>
      </c>
      <c r="O753" s="74"/>
      <c r="P753" s="74"/>
      <c r="Q753" s="74"/>
      <c r="R753" s="14" t="n">
        <f aca="false">IF(I753="Unbilled",0,M753)</f>
        <v>0</v>
      </c>
      <c r="S753" s="9" t="n">
        <f aca="false">IF(R753=0,0,IF(O753="Booked",N753,R753*V752))</f>
        <v>0</v>
      </c>
      <c r="T753" s="14" t="n">
        <f aca="false">IF(I753="Opening",K753,T752+K753-R753)</f>
        <v>27901.25</v>
      </c>
      <c r="U753" s="9" t="n">
        <f aca="false">IF(I753="Opening",L753,U752+L753-S753)</f>
        <v>874002900.858988</v>
      </c>
      <c r="V753" s="9" t="n">
        <f aca="false">IF(T753&gt;0,U753/T753,IF(I753="Opening",0,V752))</f>
        <v>31324.8654042019</v>
      </c>
      <c r="W753" s="14" t="n">
        <f aca="false">M753</f>
        <v>0</v>
      </c>
      <c r="X753" s="9" t="n">
        <f aca="false">IF(W753=0,0,IF(O753="Booked",N753,W753*AA752))</f>
        <v>0</v>
      </c>
      <c r="Y753" s="14" t="n">
        <f aca="false">IF(I753="Opening",K753,Y752+K753-W753)</f>
        <v>27901.25</v>
      </c>
      <c r="Z753" s="9" t="n">
        <f aca="false">IF(I753="Opening",L753,Z752+L753-X753)</f>
        <v>874002900.858988</v>
      </c>
      <c r="AA753" s="9" t="n">
        <f aca="false">IF(Y753&gt;0,Z753/Y753,IF(I753="Opening",0,AA752))</f>
        <v>31324.8654042019</v>
      </c>
      <c r="AB753" s="9" t="n">
        <f aca="false">IF(AND(I753="DO",O753="MA"),S753-N753,0)</f>
        <v>0</v>
      </c>
      <c r="AC753" s="9" t="n">
        <f aca="false">IF(I753="DO",X753-S753,0)</f>
        <v>0</v>
      </c>
      <c r="AD753" s="23" t="n">
        <f aca="false">IF(B754&lt;&gt;B753,1,0)</f>
        <v>0</v>
      </c>
      <c r="AE753" s="14" t="n">
        <f aca="false">IF(I753="Opening",0,AE752+W753)</f>
        <v>7444.2</v>
      </c>
      <c r="AF753" s="14" t="n">
        <f aca="false">IF(I753="Opening",K753,AF752)</f>
        <v>25015.13</v>
      </c>
      <c r="AG753" s="14" t="n">
        <f aca="false">AG752</f>
        <v>39499.64</v>
      </c>
      <c r="AH753" s="14" t="n">
        <f aca="false">IF(W753=0,0,MAX(0,MIN(AE753,AF753)-MIN(AE753-W753,AF753)))</f>
        <v>0</v>
      </c>
      <c r="AI753" s="14" t="n">
        <f aca="false">IF(W753=0,0,MAX(0,MIN(AE753,AF753+AG753)-MAX(AE753-W753,AF753)))</f>
        <v>0</v>
      </c>
      <c r="AJ753" s="14" t="n">
        <f aca="false">W753-AH753-AI753</f>
        <v>0</v>
      </c>
      <c r="AK753" s="9" t="n">
        <f aca="false">IF(W753=0,0,X753*AH753/W753)</f>
        <v>0</v>
      </c>
      <c r="AL753" s="9" t="n">
        <f aca="false">IF(W753=0,0,X753*AI753/W753)</f>
        <v>0</v>
      </c>
      <c r="AM753" s="9" t="n">
        <f aca="false">X753-AK753-AL753</f>
        <v>0</v>
      </c>
    </row>
    <row r="754" customFormat="false" ht="15" hidden="false" customHeight="false" outlineLevel="0" collapsed="false">
      <c r="A754" s="6" t="n">
        <v>749</v>
      </c>
      <c r="B754" s="74" t="s">
        <v>1019</v>
      </c>
      <c r="C754" s="53" t="str">
        <f aca="false">INDEX(I_Items!$C$5:$C$133,MATCH($B754,I_Items!$A$5:$A$133,0))</f>
        <v>Trading</v>
      </c>
      <c r="D754" s="53" t="str">
        <f aca="false">INDEX(I_Items!$D$5:$D$133,MATCH($B754,I_Items!$A$5:$A$133,0))</f>
        <v>BLD</v>
      </c>
      <c r="E754" s="53" t="str">
        <f aca="false">INDEX(I_Items!$F$5:$F$133,MATCH($B754,I_Items!$A$5:$A$133,0))</f>
        <v>Frozen</v>
      </c>
      <c r="F754" s="53" t="str">
        <f aca="false">IF(INDEX(I_Items!$E$5:$E$133,MATCH($B754,I_Items!$A$5:$A$133,0))="","",INDEX(I_Items!$E$5:$E$133,MATCH($B754,I_Items!$A$5:$A$133,0)))</f>
        <v/>
      </c>
      <c r="G754" s="76" t="n">
        <v>46207</v>
      </c>
      <c r="H754" s="23" t="n">
        <f aca="false">MONTH(G754)</f>
        <v>7</v>
      </c>
      <c r="I754" s="74" t="s">
        <v>2074</v>
      </c>
      <c r="J754" s="74" t="s">
        <v>2195</v>
      </c>
      <c r="K754" s="10" t="n">
        <v>460.25</v>
      </c>
      <c r="L754" s="8" t="n">
        <v>14958125</v>
      </c>
      <c r="M754" s="10" t="n">
        <v>0</v>
      </c>
      <c r="N754" s="8" t="n">
        <v>0</v>
      </c>
      <c r="O754" s="74"/>
      <c r="P754" s="74"/>
      <c r="Q754" s="74"/>
      <c r="R754" s="14" t="n">
        <f aca="false">IF(I754="Unbilled",0,M754)</f>
        <v>0</v>
      </c>
      <c r="S754" s="9" t="n">
        <f aca="false">IF(R754=0,0,IF(O754="Booked",N754,R754*V753))</f>
        <v>0</v>
      </c>
      <c r="T754" s="14" t="n">
        <f aca="false">IF(I754="Opening",K754,T753+K754-R754)</f>
        <v>28361.5</v>
      </c>
      <c r="U754" s="9" t="n">
        <f aca="false">IF(I754="Opening",L754,U753+L754-S754)</f>
        <v>888961025.858988</v>
      </c>
      <c r="V754" s="9" t="n">
        <f aca="false">IF(T754&gt;0,U754/T754,IF(I754="Opening",0,V753))</f>
        <v>31343.9354709373</v>
      </c>
      <c r="W754" s="14" t="n">
        <f aca="false">M754</f>
        <v>0</v>
      </c>
      <c r="X754" s="9" t="n">
        <f aca="false">IF(W754=0,0,IF(O754="Booked",N754,W754*AA753))</f>
        <v>0</v>
      </c>
      <c r="Y754" s="14" t="n">
        <f aca="false">IF(I754="Opening",K754,Y753+K754-W754)</f>
        <v>28361.5</v>
      </c>
      <c r="Z754" s="9" t="n">
        <f aca="false">IF(I754="Opening",L754,Z753+L754-X754)</f>
        <v>888961025.858988</v>
      </c>
      <c r="AA754" s="9" t="n">
        <f aca="false">IF(Y754&gt;0,Z754/Y754,IF(I754="Opening",0,AA753))</f>
        <v>31343.9354709373</v>
      </c>
      <c r="AB754" s="9" t="n">
        <f aca="false">IF(AND(I754="DO",O754="MA"),S754-N754,0)</f>
        <v>0</v>
      </c>
      <c r="AC754" s="9" t="n">
        <f aca="false">IF(I754="DO",X754-S754,0)</f>
        <v>0</v>
      </c>
      <c r="AD754" s="23" t="n">
        <f aca="false">IF(B755&lt;&gt;B754,1,0)</f>
        <v>0</v>
      </c>
      <c r="AE754" s="14" t="n">
        <f aca="false">IF(I754="Opening",0,AE753+W754)</f>
        <v>7444.2</v>
      </c>
      <c r="AF754" s="14" t="n">
        <f aca="false">IF(I754="Opening",K754,AF753)</f>
        <v>25015.13</v>
      </c>
      <c r="AG754" s="14" t="n">
        <f aca="false">AG753</f>
        <v>39499.64</v>
      </c>
      <c r="AH754" s="14" t="n">
        <f aca="false">IF(W754=0,0,MAX(0,MIN(AE754,AF754)-MIN(AE754-W754,AF754)))</f>
        <v>0</v>
      </c>
      <c r="AI754" s="14" t="n">
        <f aca="false">IF(W754=0,0,MAX(0,MIN(AE754,AF754+AG754)-MAX(AE754-W754,AF754)))</f>
        <v>0</v>
      </c>
      <c r="AJ754" s="14" t="n">
        <f aca="false">W754-AH754-AI754</f>
        <v>0</v>
      </c>
      <c r="AK754" s="9" t="n">
        <f aca="false">IF(W754=0,0,X754*AH754/W754)</f>
        <v>0</v>
      </c>
      <c r="AL754" s="9" t="n">
        <f aca="false">IF(W754=0,0,X754*AI754/W754)</f>
        <v>0</v>
      </c>
      <c r="AM754" s="9" t="n">
        <f aca="false">X754-AK754-AL754</f>
        <v>0</v>
      </c>
    </row>
    <row r="755" customFormat="false" ht="15" hidden="false" customHeight="false" outlineLevel="0" collapsed="false">
      <c r="A755" s="6" t="n">
        <v>750</v>
      </c>
      <c r="B755" s="74" t="s">
        <v>1019</v>
      </c>
      <c r="C755" s="53" t="str">
        <f aca="false">INDEX(I_Items!$C$5:$C$133,MATCH($B755,I_Items!$A$5:$A$133,0))</f>
        <v>Trading</v>
      </c>
      <c r="D755" s="53" t="str">
        <f aca="false">INDEX(I_Items!$D$5:$D$133,MATCH($B755,I_Items!$A$5:$A$133,0))</f>
        <v>BLD</v>
      </c>
      <c r="E755" s="53" t="str">
        <f aca="false">INDEX(I_Items!$F$5:$F$133,MATCH($B755,I_Items!$A$5:$A$133,0))</f>
        <v>Frozen</v>
      </c>
      <c r="F755" s="53" t="str">
        <f aca="false">IF(INDEX(I_Items!$E$5:$E$133,MATCH($B755,I_Items!$A$5:$A$133,0))="","",INDEX(I_Items!$E$5:$E$133,MATCH($B755,I_Items!$A$5:$A$133,0)))</f>
        <v/>
      </c>
      <c r="G755" s="76" t="n">
        <v>46207</v>
      </c>
      <c r="H755" s="23" t="n">
        <f aca="false">MONTH(G755)</f>
        <v>7</v>
      </c>
      <c r="I755" s="74" t="s">
        <v>2074</v>
      </c>
      <c r="J755" s="74" t="s">
        <v>2204</v>
      </c>
      <c r="K755" s="10" t="n">
        <v>664</v>
      </c>
      <c r="L755" s="8" t="n">
        <v>18260000</v>
      </c>
      <c r="M755" s="10" t="n">
        <v>0</v>
      </c>
      <c r="N755" s="8" t="n">
        <v>0</v>
      </c>
      <c r="O755" s="74"/>
      <c r="P755" s="74"/>
      <c r="Q755" s="74"/>
      <c r="R755" s="14" t="n">
        <f aca="false">IF(I755="Unbilled",0,M755)</f>
        <v>0</v>
      </c>
      <c r="S755" s="9" t="n">
        <f aca="false">IF(R755=0,0,IF(O755="Booked",N755,R755*V754))</f>
        <v>0</v>
      </c>
      <c r="T755" s="14" t="n">
        <f aca="false">IF(I755="Opening",K755,T754+K755-R755)</f>
        <v>29025.5</v>
      </c>
      <c r="U755" s="9" t="n">
        <f aca="false">IF(I755="Opening",L755,U754+L755-S755)</f>
        <v>907221025.858988</v>
      </c>
      <c r="V755" s="9" t="n">
        <f aca="false">IF(T755&gt;0,U755/T755,IF(I755="Opening",0,V754))</f>
        <v>31255.9999262369</v>
      </c>
      <c r="W755" s="14" t="n">
        <f aca="false">M755</f>
        <v>0</v>
      </c>
      <c r="X755" s="9" t="n">
        <f aca="false">IF(W755=0,0,IF(O755="Booked",N755,W755*AA754))</f>
        <v>0</v>
      </c>
      <c r="Y755" s="14" t="n">
        <f aca="false">IF(I755="Opening",K755,Y754+K755-W755)</f>
        <v>29025.5</v>
      </c>
      <c r="Z755" s="9" t="n">
        <f aca="false">IF(I755="Opening",L755,Z754+L755-X755)</f>
        <v>907221025.858988</v>
      </c>
      <c r="AA755" s="9" t="n">
        <f aca="false">IF(Y755&gt;0,Z755/Y755,IF(I755="Opening",0,AA754))</f>
        <v>31255.9999262369</v>
      </c>
      <c r="AB755" s="9" t="n">
        <f aca="false">IF(AND(I755="DO",O755="MA"),S755-N755,0)</f>
        <v>0</v>
      </c>
      <c r="AC755" s="9" t="n">
        <f aca="false">IF(I755="DO",X755-S755,0)</f>
        <v>0</v>
      </c>
      <c r="AD755" s="23" t="n">
        <f aca="false">IF(B756&lt;&gt;B755,1,0)</f>
        <v>0</v>
      </c>
      <c r="AE755" s="14" t="n">
        <f aca="false">IF(I755="Opening",0,AE754+W755)</f>
        <v>7444.2</v>
      </c>
      <c r="AF755" s="14" t="n">
        <f aca="false">IF(I755="Opening",K755,AF754)</f>
        <v>25015.13</v>
      </c>
      <c r="AG755" s="14" t="n">
        <f aca="false">AG754</f>
        <v>39499.64</v>
      </c>
      <c r="AH755" s="14" t="n">
        <f aca="false">IF(W755=0,0,MAX(0,MIN(AE755,AF755)-MIN(AE755-W755,AF755)))</f>
        <v>0</v>
      </c>
      <c r="AI755" s="14" t="n">
        <f aca="false">IF(W755=0,0,MAX(0,MIN(AE755,AF755+AG755)-MAX(AE755-W755,AF755)))</f>
        <v>0</v>
      </c>
      <c r="AJ755" s="14" t="n">
        <f aca="false">W755-AH755-AI755</f>
        <v>0</v>
      </c>
      <c r="AK755" s="9" t="n">
        <f aca="false">IF(W755=0,0,X755*AH755/W755)</f>
        <v>0</v>
      </c>
      <c r="AL755" s="9" t="n">
        <f aca="false">IF(W755=0,0,X755*AI755/W755)</f>
        <v>0</v>
      </c>
      <c r="AM755" s="9" t="n">
        <f aca="false">X755-AK755-AL755</f>
        <v>0</v>
      </c>
    </row>
    <row r="756" customFormat="false" ht="15" hidden="false" customHeight="false" outlineLevel="0" collapsed="false">
      <c r="A756" s="6" t="n">
        <v>751</v>
      </c>
      <c r="B756" s="74" t="s">
        <v>1019</v>
      </c>
      <c r="C756" s="53" t="str">
        <f aca="false">INDEX(I_Items!$C$5:$C$133,MATCH($B756,I_Items!$A$5:$A$133,0))</f>
        <v>Trading</v>
      </c>
      <c r="D756" s="53" t="str">
        <f aca="false">INDEX(I_Items!$D$5:$D$133,MATCH($B756,I_Items!$A$5:$A$133,0))</f>
        <v>BLD</v>
      </c>
      <c r="E756" s="53" t="str">
        <f aca="false">INDEX(I_Items!$F$5:$F$133,MATCH($B756,I_Items!$A$5:$A$133,0))</f>
        <v>Frozen</v>
      </c>
      <c r="F756" s="53" t="str">
        <f aca="false">IF(INDEX(I_Items!$E$5:$E$133,MATCH($B756,I_Items!$A$5:$A$133,0))="","",INDEX(I_Items!$E$5:$E$133,MATCH($B756,I_Items!$A$5:$A$133,0)))</f>
        <v/>
      </c>
      <c r="G756" s="76" t="n">
        <v>46208</v>
      </c>
      <c r="H756" s="23" t="n">
        <f aca="false">MONTH(G756)</f>
        <v>7</v>
      </c>
      <c r="I756" s="74" t="s">
        <v>2074</v>
      </c>
      <c r="J756" s="74" t="s">
        <v>2205</v>
      </c>
      <c r="K756" s="10" t="n">
        <v>234.99</v>
      </c>
      <c r="L756" s="8" t="n">
        <v>6697215</v>
      </c>
      <c r="M756" s="10" t="n">
        <v>0</v>
      </c>
      <c r="N756" s="8" t="n">
        <v>0</v>
      </c>
      <c r="O756" s="74"/>
      <c r="P756" s="74"/>
      <c r="Q756" s="74"/>
      <c r="R756" s="14" t="n">
        <f aca="false">IF(I756="Unbilled",0,M756)</f>
        <v>0</v>
      </c>
      <c r="S756" s="9" t="n">
        <f aca="false">IF(R756=0,0,IF(O756="Booked",N756,R756*V755))</f>
        <v>0</v>
      </c>
      <c r="T756" s="14" t="n">
        <f aca="false">IF(I756="Opening",K756,T755+K756-R756)</f>
        <v>29260.49</v>
      </c>
      <c r="U756" s="9" t="n">
        <f aca="false">IF(I756="Opening",L756,U755+L756-S756)</f>
        <v>913918240.858988</v>
      </c>
      <c r="V756" s="9" t="n">
        <f aca="false">IF(T756&gt;0,U756/T756,IF(I756="Opening",0,V755))</f>
        <v>31233.8665845647</v>
      </c>
      <c r="W756" s="14" t="n">
        <f aca="false">M756</f>
        <v>0</v>
      </c>
      <c r="X756" s="9" t="n">
        <f aca="false">IF(W756=0,0,IF(O756="Booked",N756,W756*AA755))</f>
        <v>0</v>
      </c>
      <c r="Y756" s="14" t="n">
        <f aca="false">IF(I756="Opening",K756,Y755+K756-W756)</f>
        <v>29260.49</v>
      </c>
      <c r="Z756" s="9" t="n">
        <f aca="false">IF(I756="Opening",L756,Z755+L756-X756)</f>
        <v>913918240.858988</v>
      </c>
      <c r="AA756" s="9" t="n">
        <f aca="false">IF(Y756&gt;0,Z756/Y756,IF(I756="Opening",0,AA755))</f>
        <v>31233.8665845647</v>
      </c>
      <c r="AB756" s="9" t="n">
        <f aca="false">IF(AND(I756="DO",O756="MA"),S756-N756,0)</f>
        <v>0</v>
      </c>
      <c r="AC756" s="9" t="n">
        <f aca="false">IF(I756="DO",X756-S756,0)</f>
        <v>0</v>
      </c>
      <c r="AD756" s="23" t="n">
        <f aca="false">IF(B757&lt;&gt;B756,1,0)</f>
        <v>0</v>
      </c>
      <c r="AE756" s="14" t="n">
        <f aca="false">IF(I756="Opening",0,AE755+W756)</f>
        <v>7444.2</v>
      </c>
      <c r="AF756" s="14" t="n">
        <f aca="false">IF(I756="Opening",K756,AF755)</f>
        <v>25015.13</v>
      </c>
      <c r="AG756" s="14" t="n">
        <f aca="false">AG755</f>
        <v>39499.64</v>
      </c>
      <c r="AH756" s="14" t="n">
        <f aca="false">IF(W756=0,0,MAX(0,MIN(AE756,AF756)-MIN(AE756-W756,AF756)))</f>
        <v>0</v>
      </c>
      <c r="AI756" s="14" t="n">
        <f aca="false">IF(W756=0,0,MAX(0,MIN(AE756,AF756+AG756)-MAX(AE756-W756,AF756)))</f>
        <v>0</v>
      </c>
      <c r="AJ756" s="14" t="n">
        <f aca="false">W756-AH756-AI756</f>
        <v>0</v>
      </c>
      <c r="AK756" s="9" t="n">
        <f aca="false">IF(W756=0,0,X756*AH756/W756)</f>
        <v>0</v>
      </c>
      <c r="AL756" s="9" t="n">
        <f aca="false">IF(W756=0,0,X756*AI756/W756)</f>
        <v>0</v>
      </c>
      <c r="AM756" s="9" t="n">
        <f aca="false">X756-AK756-AL756</f>
        <v>0</v>
      </c>
    </row>
    <row r="757" customFormat="false" ht="15" hidden="false" customHeight="false" outlineLevel="0" collapsed="false">
      <c r="A757" s="6" t="n">
        <v>752</v>
      </c>
      <c r="B757" s="74" t="s">
        <v>1019</v>
      </c>
      <c r="C757" s="53" t="str">
        <f aca="false">INDEX(I_Items!$C$5:$C$133,MATCH($B757,I_Items!$A$5:$A$133,0))</f>
        <v>Trading</v>
      </c>
      <c r="D757" s="53" t="str">
        <f aca="false">INDEX(I_Items!$D$5:$D$133,MATCH($B757,I_Items!$A$5:$A$133,0))</f>
        <v>BLD</v>
      </c>
      <c r="E757" s="53" t="str">
        <f aca="false">INDEX(I_Items!$F$5:$F$133,MATCH($B757,I_Items!$A$5:$A$133,0))</f>
        <v>Frozen</v>
      </c>
      <c r="F757" s="53" t="str">
        <f aca="false">IF(INDEX(I_Items!$E$5:$E$133,MATCH($B757,I_Items!$A$5:$A$133,0))="","",INDEX(I_Items!$E$5:$E$133,MATCH($B757,I_Items!$A$5:$A$133,0)))</f>
        <v/>
      </c>
      <c r="G757" s="76" t="n">
        <v>46208</v>
      </c>
      <c r="H757" s="23" t="n">
        <f aca="false">MONTH(G757)</f>
        <v>7</v>
      </c>
      <c r="I757" s="74" t="s">
        <v>2074</v>
      </c>
      <c r="J757" s="74" t="s">
        <v>2205</v>
      </c>
      <c r="K757" s="10" t="n">
        <v>1989.04</v>
      </c>
      <c r="L757" s="8" t="n">
        <v>56687640</v>
      </c>
      <c r="M757" s="10" t="n">
        <v>0</v>
      </c>
      <c r="N757" s="8" t="n">
        <v>0</v>
      </c>
      <c r="O757" s="74"/>
      <c r="P757" s="74"/>
      <c r="Q757" s="74"/>
      <c r="R757" s="14" t="n">
        <f aca="false">IF(I757="Unbilled",0,M757)</f>
        <v>0</v>
      </c>
      <c r="S757" s="9" t="n">
        <f aca="false">IF(R757=0,0,IF(O757="Booked",N757,R757*V756))</f>
        <v>0</v>
      </c>
      <c r="T757" s="14" t="n">
        <f aca="false">IF(I757="Opening",K757,T756+K757-R757)</f>
        <v>31249.53</v>
      </c>
      <c r="U757" s="9" t="n">
        <f aca="false">IF(I757="Opening",L757,U756+L757-S757)</f>
        <v>970605880.858988</v>
      </c>
      <c r="V757" s="9" t="n">
        <f aca="false">IF(T757&gt;0,U757/T757,IF(I757="Opening",0,V756))</f>
        <v>31059.8553277118</v>
      </c>
      <c r="W757" s="14" t="n">
        <f aca="false">M757</f>
        <v>0</v>
      </c>
      <c r="X757" s="9" t="n">
        <f aca="false">IF(W757=0,0,IF(O757="Booked",N757,W757*AA756))</f>
        <v>0</v>
      </c>
      <c r="Y757" s="14" t="n">
        <f aca="false">IF(I757="Opening",K757,Y756+K757-W757)</f>
        <v>31249.53</v>
      </c>
      <c r="Z757" s="9" t="n">
        <f aca="false">IF(I757="Opening",L757,Z756+L757-X757)</f>
        <v>970605880.858988</v>
      </c>
      <c r="AA757" s="9" t="n">
        <f aca="false">IF(Y757&gt;0,Z757/Y757,IF(I757="Opening",0,AA756))</f>
        <v>31059.8553277118</v>
      </c>
      <c r="AB757" s="9" t="n">
        <f aca="false">IF(AND(I757="DO",O757="MA"),S757-N757,0)</f>
        <v>0</v>
      </c>
      <c r="AC757" s="9" t="n">
        <f aca="false">IF(I757="DO",X757-S757,0)</f>
        <v>0</v>
      </c>
      <c r="AD757" s="23" t="n">
        <f aca="false">IF(B758&lt;&gt;B757,1,0)</f>
        <v>0</v>
      </c>
      <c r="AE757" s="14" t="n">
        <f aca="false">IF(I757="Opening",0,AE756+W757)</f>
        <v>7444.2</v>
      </c>
      <c r="AF757" s="14" t="n">
        <f aca="false">IF(I757="Opening",K757,AF756)</f>
        <v>25015.13</v>
      </c>
      <c r="AG757" s="14" t="n">
        <f aca="false">AG756</f>
        <v>39499.64</v>
      </c>
      <c r="AH757" s="14" t="n">
        <f aca="false">IF(W757=0,0,MAX(0,MIN(AE757,AF757)-MIN(AE757-W757,AF757)))</f>
        <v>0</v>
      </c>
      <c r="AI757" s="14" t="n">
        <f aca="false">IF(W757=0,0,MAX(0,MIN(AE757,AF757+AG757)-MAX(AE757-W757,AF757)))</f>
        <v>0</v>
      </c>
      <c r="AJ757" s="14" t="n">
        <f aca="false">W757-AH757-AI757</f>
        <v>0</v>
      </c>
      <c r="AK757" s="9" t="n">
        <f aca="false">IF(W757=0,0,X757*AH757/W757)</f>
        <v>0</v>
      </c>
      <c r="AL757" s="9" t="n">
        <f aca="false">IF(W757=0,0,X757*AI757/W757)</f>
        <v>0</v>
      </c>
      <c r="AM757" s="9" t="n">
        <f aca="false">X757-AK757-AL757</f>
        <v>0</v>
      </c>
    </row>
    <row r="758" customFormat="false" ht="15" hidden="false" customHeight="false" outlineLevel="0" collapsed="false">
      <c r="A758" s="6" t="n">
        <v>753</v>
      </c>
      <c r="B758" s="74" t="s">
        <v>1019</v>
      </c>
      <c r="C758" s="53" t="str">
        <f aca="false">INDEX(I_Items!$C$5:$C$133,MATCH($B758,I_Items!$A$5:$A$133,0))</f>
        <v>Trading</v>
      </c>
      <c r="D758" s="53" t="str">
        <f aca="false">INDEX(I_Items!$D$5:$D$133,MATCH($B758,I_Items!$A$5:$A$133,0))</f>
        <v>BLD</v>
      </c>
      <c r="E758" s="53" t="str">
        <f aca="false">INDEX(I_Items!$F$5:$F$133,MATCH($B758,I_Items!$A$5:$A$133,0))</f>
        <v>Frozen</v>
      </c>
      <c r="F758" s="53" t="str">
        <f aca="false">IF(INDEX(I_Items!$E$5:$E$133,MATCH($B758,I_Items!$A$5:$A$133,0))="","",INDEX(I_Items!$E$5:$E$133,MATCH($B758,I_Items!$A$5:$A$133,0)))</f>
        <v/>
      </c>
      <c r="G758" s="76" t="n">
        <v>46208</v>
      </c>
      <c r="H758" s="23" t="n">
        <f aca="false">MONTH(G758)</f>
        <v>7</v>
      </c>
      <c r="I758" s="74" t="s">
        <v>2074</v>
      </c>
      <c r="J758" s="74" t="s">
        <v>2206</v>
      </c>
      <c r="K758" s="10" t="n">
        <v>1057.92</v>
      </c>
      <c r="L758" s="8" t="n">
        <v>30150720</v>
      </c>
      <c r="M758" s="10" t="n">
        <v>0</v>
      </c>
      <c r="N758" s="8" t="n">
        <v>0</v>
      </c>
      <c r="O758" s="74"/>
      <c r="P758" s="74"/>
      <c r="Q758" s="74"/>
      <c r="R758" s="14" t="n">
        <f aca="false">IF(I758="Unbilled",0,M758)</f>
        <v>0</v>
      </c>
      <c r="S758" s="9" t="n">
        <f aca="false">IF(R758=0,0,IF(O758="Booked",N758,R758*V757))</f>
        <v>0</v>
      </c>
      <c r="T758" s="14" t="n">
        <f aca="false">IF(I758="Opening",K758,T757+K758-R758)</f>
        <v>32307.45</v>
      </c>
      <c r="U758" s="9" t="n">
        <f aca="false">IF(I758="Opening",L758,U757+L758-S758)</f>
        <v>1000756600.85899</v>
      </c>
      <c r="V758" s="9" t="n">
        <f aca="false">IF(T758&gt;0,U758/T758,IF(I758="Opening",0,V757))</f>
        <v>30976.0318706363</v>
      </c>
      <c r="W758" s="14" t="n">
        <f aca="false">M758</f>
        <v>0</v>
      </c>
      <c r="X758" s="9" t="n">
        <f aca="false">IF(W758=0,0,IF(O758="Booked",N758,W758*AA757))</f>
        <v>0</v>
      </c>
      <c r="Y758" s="14" t="n">
        <f aca="false">IF(I758="Opening",K758,Y757+K758-W758)</f>
        <v>32307.45</v>
      </c>
      <c r="Z758" s="9" t="n">
        <f aca="false">IF(I758="Opening",L758,Z757+L758-X758)</f>
        <v>1000756600.85899</v>
      </c>
      <c r="AA758" s="9" t="n">
        <f aca="false">IF(Y758&gt;0,Z758/Y758,IF(I758="Opening",0,AA757))</f>
        <v>30976.0318706363</v>
      </c>
      <c r="AB758" s="9" t="n">
        <f aca="false">IF(AND(I758="DO",O758="MA"),S758-N758,0)</f>
        <v>0</v>
      </c>
      <c r="AC758" s="9" t="n">
        <f aca="false">IF(I758="DO",X758-S758,0)</f>
        <v>0</v>
      </c>
      <c r="AD758" s="23" t="n">
        <f aca="false">IF(B759&lt;&gt;B758,1,0)</f>
        <v>0</v>
      </c>
      <c r="AE758" s="14" t="n">
        <f aca="false">IF(I758="Opening",0,AE757+W758)</f>
        <v>7444.2</v>
      </c>
      <c r="AF758" s="14" t="n">
        <f aca="false">IF(I758="Opening",K758,AF757)</f>
        <v>25015.13</v>
      </c>
      <c r="AG758" s="14" t="n">
        <f aca="false">AG757</f>
        <v>39499.64</v>
      </c>
      <c r="AH758" s="14" t="n">
        <f aca="false">IF(W758=0,0,MAX(0,MIN(AE758,AF758)-MIN(AE758-W758,AF758)))</f>
        <v>0</v>
      </c>
      <c r="AI758" s="14" t="n">
        <f aca="false">IF(W758=0,0,MAX(0,MIN(AE758,AF758+AG758)-MAX(AE758-W758,AF758)))</f>
        <v>0</v>
      </c>
      <c r="AJ758" s="14" t="n">
        <f aca="false">W758-AH758-AI758</f>
        <v>0</v>
      </c>
      <c r="AK758" s="9" t="n">
        <f aca="false">IF(W758=0,0,X758*AH758/W758)</f>
        <v>0</v>
      </c>
      <c r="AL758" s="9" t="n">
        <f aca="false">IF(W758=0,0,X758*AI758/W758)</f>
        <v>0</v>
      </c>
      <c r="AM758" s="9" t="n">
        <f aca="false">X758-AK758-AL758</f>
        <v>0</v>
      </c>
    </row>
    <row r="759" customFormat="false" ht="15" hidden="false" customHeight="false" outlineLevel="0" collapsed="false">
      <c r="A759" s="6" t="n">
        <v>754</v>
      </c>
      <c r="B759" s="74" t="s">
        <v>1019</v>
      </c>
      <c r="C759" s="53" t="str">
        <f aca="false">INDEX(I_Items!$C$5:$C$133,MATCH($B759,I_Items!$A$5:$A$133,0))</f>
        <v>Trading</v>
      </c>
      <c r="D759" s="53" t="str">
        <f aca="false">INDEX(I_Items!$D$5:$D$133,MATCH($B759,I_Items!$A$5:$A$133,0))</f>
        <v>BLD</v>
      </c>
      <c r="E759" s="53" t="str">
        <f aca="false">INDEX(I_Items!$F$5:$F$133,MATCH($B759,I_Items!$A$5:$A$133,0))</f>
        <v>Frozen</v>
      </c>
      <c r="F759" s="53" t="str">
        <f aca="false">IF(INDEX(I_Items!$E$5:$E$133,MATCH($B759,I_Items!$A$5:$A$133,0))="","",INDEX(I_Items!$E$5:$E$133,MATCH($B759,I_Items!$A$5:$A$133,0)))</f>
        <v/>
      </c>
      <c r="G759" s="76" t="n">
        <v>46209</v>
      </c>
      <c r="H759" s="23" t="n">
        <f aca="false">MONTH(G759)</f>
        <v>7</v>
      </c>
      <c r="I759" s="74" t="s">
        <v>2074</v>
      </c>
      <c r="J759" s="74" t="s">
        <v>2207</v>
      </c>
      <c r="K759" s="10" t="n">
        <v>3576.77</v>
      </c>
      <c r="L759" s="8" t="n">
        <v>103726330</v>
      </c>
      <c r="M759" s="10" t="n">
        <v>0</v>
      </c>
      <c r="N759" s="8" t="n">
        <v>0</v>
      </c>
      <c r="O759" s="74"/>
      <c r="P759" s="74"/>
      <c r="Q759" s="74"/>
      <c r="R759" s="14" t="n">
        <f aca="false">IF(I759="Unbilled",0,M759)</f>
        <v>0</v>
      </c>
      <c r="S759" s="9" t="n">
        <f aca="false">IF(R759=0,0,IF(O759="Booked",N759,R759*V758))</f>
        <v>0</v>
      </c>
      <c r="T759" s="14" t="n">
        <f aca="false">IF(I759="Opening",K759,T758+K759-R759)</f>
        <v>35884.22</v>
      </c>
      <c r="U759" s="9" t="n">
        <f aca="false">IF(I759="Opening",L759,U758+L759-S759)</f>
        <v>1104482930.85899</v>
      </c>
      <c r="V759" s="9" t="n">
        <f aca="false">IF(T759&gt;0,U759/T759,IF(I759="Opening",0,V758))</f>
        <v>30779.0703228045</v>
      </c>
      <c r="W759" s="14" t="n">
        <f aca="false">M759</f>
        <v>0</v>
      </c>
      <c r="X759" s="9" t="n">
        <f aca="false">IF(W759=0,0,IF(O759="Booked",N759,W759*AA758))</f>
        <v>0</v>
      </c>
      <c r="Y759" s="14" t="n">
        <f aca="false">IF(I759="Opening",K759,Y758+K759-W759)</f>
        <v>35884.22</v>
      </c>
      <c r="Z759" s="9" t="n">
        <f aca="false">IF(I759="Opening",L759,Z758+L759-X759)</f>
        <v>1104482930.85899</v>
      </c>
      <c r="AA759" s="9" t="n">
        <f aca="false">IF(Y759&gt;0,Z759/Y759,IF(I759="Opening",0,AA758))</f>
        <v>30779.0703228045</v>
      </c>
      <c r="AB759" s="9" t="n">
        <f aca="false">IF(AND(I759="DO",O759="MA"),S759-N759,0)</f>
        <v>0</v>
      </c>
      <c r="AC759" s="9" t="n">
        <f aca="false">IF(I759="DO",X759-S759,0)</f>
        <v>0</v>
      </c>
      <c r="AD759" s="23" t="n">
        <f aca="false">IF(B760&lt;&gt;B759,1,0)</f>
        <v>0</v>
      </c>
      <c r="AE759" s="14" t="n">
        <f aca="false">IF(I759="Opening",0,AE758+W759)</f>
        <v>7444.2</v>
      </c>
      <c r="AF759" s="14" t="n">
        <f aca="false">IF(I759="Opening",K759,AF758)</f>
        <v>25015.13</v>
      </c>
      <c r="AG759" s="14" t="n">
        <f aca="false">AG758</f>
        <v>39499.64</v>
      </c>
      <c r="AH759" s="14" t="n">
        <f aca="false">IF(W759=0,0,MAX(0,MIN(AE759,AF759)-MIN(AE759-W759,AF759)))</f>
        <v>0</v>
      </c>
      <c r="AI759" s="14" t="n">
        <f aca="false">IF(W759=0,0,MAX(0,MIN(AE759,AF759+AG759)-MAX(AE759-W759,AF759)))</f>
        <v>0</v>
      </c>
      <c r="AJ759" s="14" t="n">
        <f aca="false">W759-AH759-AI759</f>
        <v>0</v>
      </c>
      <c r="AK759" s="9" t="n">
        <f aca="false">IF(W759=0,0,X759*AH759/W759)</f>
        <v>0</v>
      </c>
      <c r="AL759" s="9" t="n">
        <f aca="false">IF(W759=0,0,X759*AI759/W759)</f>
        <v>0</v>
      </c>
      <c r="AM759" s="9" t="n">
        <f aca="false">X759-AK759-AL759</f>
        <v>0</v>
      </c>
    </row>
    <row r="760" customFormat="false" ht="15" hidden="false" customHeight="false" outlineLevel="0" collapsed="false">
      <c r="A760" s="6" t="n">
        <v>755</v>
      </c>
      <c r="B760" s="74" t="s">
        <v>1019</v>
      </c>
      <c r="C760" s="53" t="str">
        <f aca="false">INDEX(I_Items!$C$5:$C$133,MATCH($B760,I_Items!$A$5:$A$133,0))</f>
        <v>Trading</v>
      </c>
      <c r="D760" s="53" t="str">
        <f aca="false">INDEX(I_Items!$D$5:$D$133,MATCH($B760,I_Items!$A$5:$A$133,0))</f>
        <v>BLD</v>
      </c>
      <c r="E760" s="53" t="str">
        <f aca="false">INDEX(I_Items!$F$5:$F$133,MATCH($B760,I_Items!$A$5:$A$133,0))</f>
        <v>Frozen</v>
      </c>
      <c r="F760" s="53" t="str">
        <f aca="false">IF(INDEX(I_Items!$E$5:$E$133,MATCH($B760,I_Items!$A$5:$A$133,0))="","",INDEX(I_Items!$E$5:$E$133,MATCH($B760,I_Items!$A$5:$A$133,0)))</f>
        <v/>
      </c>
      <c r="G760" s="76" t="n">
        <v>46209</v>
      </c>
      <c r="H760" s="23" t="n">
        <f aca="false">MONTH(G760)</f>
        <v>7</v>
      </c>
      <c r="I760" s="74" t="s">
        <v>2074</v>
      </c>
      <c r="J760" s="74" t="s">
        <v>2208</v>
      </c>
      <c r="K760" s="10" t="n">
        <v>1840.17</v>
      </c>
      <c r="L760" s="8" t="n">
        <v>53364930</v>
      </c>
      <c r="M760" s="10" t="n">
        <v>0</v>
      </c>
      <c r="N760" s="8" t="n">
        <v>0</v>
      </c>
      <c r="O760" s="74"/>
      <c r="P760" s="74"/>
      <c r="Q760" s="74"/>
      <c r="R760" s="14" t="n">
        <f aca="false">IF(I760="Unbilled",0,M760)</f>
        <v>0</v>
      </c>
      <c r="S760" s="9" t="n">
        <f aca="false">IF(R760=0,0,IF(O760="Booked",N760,R760*V759))</f>
        <v>0</v>
      </c>
      <c r="T760" s="14" t="n">
        <f aca="false">IF(I760="Opening",K760,T759+K760-R760)</f>
        <v>37724.39</v>
      </c>
      <c r="U760" s="9" t="n">
        <f aca="false">IF(I760="Opening",L760,U759+L760-S760)</f>
        <v>1157847860.85899</v>
      </c>
      <c r="V760" s="9" t="n">
        <f aca="false">IF(T760&gt;0,U760/T760,IF(I760="Opening",0,V759))</f>
        <v>30692.2884865465</v>
      </c>
      <c r="W760" s="14" t="n">
        <f aca="false">M760</f>
        <v>0</v>
      </c>
      <c r="X760" s="9" t="n">
        <f aca="false">IF(W760=0,0,IF(O760="Booked",N760,W760*AA759))</f>
        <v>0</v>
      </c>
      <c r="Y760" s="14" t="n">
        <f aca="false">IF(I760="Opening",K760,Y759+K760-W760)</f>
        <v>37724.39</v>
      </c>
      <c r="Z760" s="9" t="n">
        <f aca="false">IF(I760="Opening",L760,Z759+L760-X760)</f>
        <v>1157847860.85899</v>
      </c>
      <c r="AA760" s="9" t="n">
        <f aca="false">IF(Y760&gt;0,Z760/Y760,IF(I760="Opening",0,AA759))</f>
        <v>30692.2884865465</v>
      </c>
      <c r="AB760" s="9" t="n">
        <f aca="false">IF(AND(I760="DO",O760="MA"),S760-N760,0)</f>
        <v>0</v>
      </c>
      <c r="AC760" s="9" t="n">
        <f aca="false">IF(I760="DO",X760-S760,0)</f>
        <v>0</v>
      </c>
      <c r="AD760" s="23" t="n">
        <f aca="false">IF(B761&lt;&gt;B760,1,0)</f>
        <v>0</v>
      </c>
      <c r="AE760" s="14" t="n">
        <f aca="false">IF(I760="Opening",0,AE759+W760)</f>
        <v>7444.2</v>
      </c>
      <c r="AF760" s="14" t="n">
        <f aca="false">IF(I760="Opening",K760,AF759)</f>
        <v>25015.13</v>
      </c>
      <c r="AG760" s="14" t="n">
        <f aca="false">AG759</f>
        <v>39499.64</v>
      </c>
      <c r="AH760" s="14" t="n">
        <f aca="false">IF(W760=0,0,MAX(0,MIN(AE760,AF760)-MIN(AE760-W760,AF760)))</f>
        <v>0</v>
      </c>
      <c r="AI760" s="14" t="n">
        <f aca="false">IF(W760=0,0,MAX(0,MIN(AE760,AF760+AG760)-MAX(AE760-W760,AF760)))</f>
        <v>0</v>
      </c>
      <c r="AJ760" s="14" t="n">
        <f aca="false">W760-AH760-AI760</f>
        <v>0</v>
      </c>
      <c r="AK760" s="9" t="n">
        <f aca="false">IF(W760=0,0,X760*AH760/W760)</f>
        <v>0</v>
      </c>
      <c r="AL760" s="9" t="n">
        <f aca="false">IF(W760=0,0,X760*AI760/W760)</f>
        <v>0</v>
      </c>
      <c r="AM760" s="9" t="n">
        <f aca="false">X760-AK760-AL760</f>
        <v>0</v>
      </c>
    </row>
    <row r="761" customFormat="false" ht="15" hidden="false" customHeight="false" outlineLevel="0" collapsed="false">
      <c r="A761" s="6" t="n">
        <v>756</v>
      </c>
      <c r="B761" s="74" t="s">
        <v>1019</v>
      </c>
      <c r="C761" s="53" t="str">
        <f aca="false">INDEX(I_Items!$C$5:$C$133,MATCH($B761,I_Items!$A$5:$A$133,0))</f>
        <v>Trading</v>
      </c>
      <c r="D761" s="53" t="str">
        <f aca="false">INDEX(I_Items!$D$5:$D$133,MATCH($B761,I_Items!$A$5:$A$133,0))</f>
        <v>BLD</v>
      </c>
      <c r="E761" s="53" t="str">
        <f aca="false">INDEX(I_Items!$F$5:$F$133,MATCH($B761,I_Items!$A$5:$A$133,0))</f>
        <v>Frozen</v>
      </c>
      <c r="F761" s="53" t="str">
        <f aca="false">IF(INDEX(I_Items!$E$5:$E$133,MATCH($B761,I_Items!$A$5:$A$133,0))="","",INDEX(I_Items!$E$5:$E$133,MATCH($B761,I_Items!$A$5:$A$133,0)))</f>
        <v/>
      </c>
      <c r="G761" s="76" t="n">
        <v>46210</v>
      </c>
      <c r="H761" s="23" t="n">
        <f aca="false">MONTH(G761)</f>
        <v>7</v>
      </c>
      <c r="I761" s="74" t="s">
        <v>2074</v>
      </c>
      <c r="J761" s="74" t="s">
        <v>2209</v>
      </c>
      <c r="K761" s="10" t="n">
        <v>1125.18</v>
      </c>
      <c r="L761" s="8" t="n">
        <v>31505040</v>
      </c>
      <c r="M761" s="10" t="n">
        <v>0</v>
      </c>
      <c r="N761" s="8" t="n">
        <v>0</v>
      </c>
      <c r="O761" s="74"/>
      <c r="P761" s="74"/>
      <c r="Q761" s="74"/>
      <c r="R761" s="14" t="n">
        <f aca="false">IF(I761="Unbilled",0,M761)</f>
        <v>0</v>
      </c>
      <c r="S761" s="9" t="n">
        <f aca="false">IF(R761=0,0,IF(O761="Booked",N761,R761*V760))</f>
        <v>0</v>
      </c>
      <c r="T761" s="14" t="n">
        <f aca="false">IF(I761="Opening",K761,T760+K761-R761)</f>
        <v>38849.57</v>
      </c>
      <c r="U761" s="9" t="n">
        <f aca="false">IF(I761="Opening",L761,U760+L761-S761)</f>
        <v>1189352900.85899</v>
      </c>
      <c r="V761" s="9" t="n">
        <f aca="false">IF(T761&gt;0,U761/T761,IF(I761="Opening",0,V760))</f>
        <v>30614.313127764</v>
      </c>
      <c r="W761" s="14" t="n">
        <f aca="false">M761</f>
        <v>0</v>
      </c>
      <c r="X761" s="9" t="n">
        <f aca="false">IF(W761=0,0,IF(O761="Booked",N761,W761*AA760))</f>
        <v>0</v>
      </c>
      <c r="Y761" s="14" t="n">
        <f aca="false">IF(I761="Opening",K761,Y760+K761-W761)</f>
        <v>38849.57</v>
      </c>
      <c r="Z761" s="9" t="n">
        <f aca="false">IF(I761="Opening",L761,Z760+L761-X761)</f>
        <v>1189352900.85899</v>
      </c>
      <c r="AA761" s="9" t="n">
        <f aca="false">IF(Y761&gt;0,Z761/Y761,IF(I761="Opening",0,AA760))</f>
        <v>30614.313127764</v>
      </c>
      <c r="AB761" s="9" t="n">
        <f aca="false">IF(AND(I761="DO",O761="MA"),S761-N761,0)</f>
        <v>0</v>
      </c>
      <c r="AC761" s="9" t="n">
        <f aca="false">IF(I761="DO",X761-S761,0)</f>
        <v>0</v>
      </c>
      <c r="AD761" s="23" t="n">
        <f aca="false">IF(B762&lt;&gt;B761,1,0)</f>
        <v>0</v>
      </c>
      <c r="AE761" s="14" t="n">
        <f aca="false">IF(I761="Opening",0,AE760+W761)</f>
        <v>7444.2</v>
      </c>
      <c r="AF761" s="14" t="n">
        <f aca="false">IF(I761="Opening",K761,AF760)</f>
        <v>25015.13</v>
      </c>
      <c r="AG761" s="14" t="n">
        <f aca="false">AG760</f>
        <v>39499.64</v>
      </c>
      <c r="AH761" s="14" t="n">
        <f aca="false">IF(W761=0,0,MAX(0,MIN(AE761,AF761)-MIN(AE761-W761,AF761)))</f>
        <v>0</v>
      </c>
      <c r="AI761" s="14" t="n">
        <f aca="false">IF(W761=0,0,MAX(0,MIN(AE761,AF761+AG761)-MAX(AE761-W761,AF761)))</f>
        <v>0</v>
      </c>
      <c r="AJ761" s="14" t="n">
        <f aca="false">W761-AH761-AI761</f>
        <v>0</v>
      </c>
      <c r="AK761" s="9" t="n">
        <f aca="false">IF(W761=0,0,X761*AH761/W761)</f>
        <v>0</v>
      </c>
      <c r="AL761" s="9" t="n">
        <f aca="false">IF(W761=0,0,X761*AI761/W761)</f>
        <v>0</v>
      </c>
      <c r="AM761" s="9" t="n">
        <f aca="false">X761-AK761-AL761</f>
        <v>0</v>
      </c>
    </row>
    <row r="762" customFormat="false" ht="15" hidden="false" customHeight="false" outlineLevel="0" collapsed="false">
      <c r="A762" s="6" t="n">
        <v>757</v>
      </c>
      <c r="B762" s="74" t="s">
        <v>1019</v>
      </c>
      <c r="C762" s="53" t="str">
        <f aca="false">INDEX(I_Items!$C$5:$C$133,MATCH($B762,I_Items!$A$5:$A$133,0))</f>
        <v>Trading</v>
      </c>
      <c r="D762" s="53" t="str">
        <f aca="false">INDEX(I_Items!$D$5:$D$133,MATCH($B762,I_Items!$A$5:$A$133,0))</f>
        <v>BLD</v>
      </c>
      <c r="E762" s="53" t="str">
        <f aca="false">INDEX(I_Items!$F$5:$F$133,MATCH($B762,I_Items!$A$5:$A$133,0))</f>
        <v>Frozen</v>
      </c>
      <c r="F762" s="53" t="str">
        <f aca="false">IF(INDEX(I_Items!$E$5:$E$133,MATCH($B762,I_Items!$A$5:$A$133,0))="","",INDEX(I_Items!$E$5:$E$133,MATCH($B762,I_Items!$A$5:$A$133,0)))</f>
        <v/>
      </c>
      <c r="G762" s="76" t="n">
        <v>46210</v>
      </c>
      <c r="H762" s="23" t="n">
        <f aca="false">MONTH(G762)</f>
        <v>7</v>
      </c>
      <c r="I762" s="74" t="s">
        <v>2074</v>
      </c>
      <c r="J762" s="74" t="s">
        <v>2210</v>
      </c>
      <c r="K762" s="10" t="n">
        <v>1635.52</v>
      </c>
      <c r="L762" s="8" t="n">
        <v>48247840</v>
      </c>
      <c r="M762" s="10" t="n">
        <v>0</v>
      </c>
      <c r="N762" s="8" t="n">
        <v>0</v>
      </c>
      <c r="O762" s="74"/>
      <c r="P762" s="74"/>
      <c r="Q762" s="74"/>
      <c r="R762" s="14" t="n">
        <f aca="false">IF(I762="Unbilled",0,M762)</f>
        <v>0</v>
      </c>
      <c r="S762" s="9" t="n">
        <f aca="false">IF(R762=0,0,IF(O762="Booked",N762,R762*V761))</f>
        <v>0</v>
      </c>
      <c r="T762" s="14" t="n">
        <f aca="false">IF(I762="Opening",K762,T761+K762-R762)</f>
        <v>40485.09</v>
      </c>
      <c r="U762" s="9" t="n">
        <f aca="false">IF(I762="Opening",L762,U761+L762-S762)</f>
        <v>1237600740.85899</v>
      </c>
      <c r="V762" s="9" t="n">
        <f aca="false">IF(T762&gt;0,U762/T762,IF(I762="Opening",0,V761))</f>
        <v>30569.2970142585</v>
      </c>
      <c r="W762" s="14" t="n">
        <f aca="false">M762</f>
        <v>0</v>
      </c>
      <c r="X762" s="9" t="n">
        <f aca="false">IF(W762=0,0,IF(O762="Booked",N762,W762*AA761))</f>
        <v>0</v>
      </c>
      <c r="Y762" s="14" t="n">
        <f aca="false">IF(I762="Opening",K762,Y761+K762-W762)</f>
        <v>40485.09</v>
      </c>
      <c r="Z762" s="9" t="n">
        <f aca="false">IF(I762="Opening",L762,Z761+L762-X762)</f>
        <v>1237600740.85899</v>
      </c>
      <c r="AA762" s="9" t="n">
        <f aca="false">IF(Y762&gt;0,Z762/Y762,IF(I762="Opening",0,AA761))</f>
        <v>30569.2970142585</v>
      </c>
      <c r="AB762" s="9" t="n">
        <f aca="false">IF(AND(I762="DO",O762="MA"),S762-N762,0)</f>
        <v>0</v>
      </c>
      <c r="AC762" s="9" t="n">
        <f aca="false">IF(I762="DO",X762-S762,0)</f>
        <v>0</v>
      </c>
      <c r="AD762" s="23" t="n">
        <f aca="false">IF(B763&lt;&gt;B762,1,0)</f>
        <v>0</v>
      </c>
      <c r="AE762" s="14" t="n">
        <f aca="false">IF(I762="Opening",0,AE761+W762)</f>
        <v>7444.2</v>
      </c>
      <c r="AF762" s="14" t="n">
        <f aca="false">IF(I762="Opening",K762,AF761)</f>
        <v>25015.13</v>
      </c>
      <c r="AG762" s="14" t="n">
        <f aca="false">AG761</f>
        <v>39499.64</v>
      </c>
      <c r="AH762" s="14" t="n">
        <f aca="false">IF(W762=0,0,MAX(0,MIN(AE762,AF762)-MIN(AE762-W762,AF762)))</f>
        <v>0</v>
      </c>
      <c r="AI762" s="14" t="n">
        <f aca="false">IF(W762=0,0,MAX(0,MIN(AE762,AF762+AG762)-MAX(AE762-W762,AF762)))</f>
        <v>0</v>
      </c>
      <c r="AJ762" s="14" t="n">
        <f aca="false">W762-AH762-AI762</f>
        <v>0</v>
      </c>
      <c r="AK762" s="9" t="n">
        <f aca="false">IF(W762=0,0,X762*AH762/W762)</f>
        <v>0</v>
      </c>
      <c r="AL762" s="9" t="n">
        <f aca="false">IF(W762=0,0,X762*AI762/W762)</f>
        <v>0</v>
      </c>
      <c r="AM762" s="9" t="n">
        <f aca="false">X762-AK762-AL762</f>
        <v>0</v>
      </c>
    </row>
    <row r="763" customFormat="false" ht="15" hidden="false" customHeight="false" outlineLevel="0" collapsed="false">
      <c r="A763" s="6" t="n">
        <v>758</v>
      </c>
      <c r="B763" s="74" t="s">
        <v>1019</v>
      </c>
      <c r="C763" s="53" t="str">
        <f aca="false">INDEX(I_Items!$C$5:$C$133,MATCH($B763,I_Items!$A$5:$A$133,0))</f>
        <v>Trading</v>
      </c>
      <c r="D763" s="53" t="str">
        <f aca="false">INDEX(I_Items!$D$5:$D$133,MATCH($B763,I_Items!$A$5:$A$133,0))</f>
        <v>BLD</v>
      </c>
      <c r="E763" s="53" t="str">
        <f aca="false">INDEX(I_Items!$F$5:$F$133,MATCH($B763,I_Items!$A$5:$A$133,0))</f>
        <v>Frozen</v>
      </c>
      <c r="F763" s="53" t="str">
        <f aca="false">IF(INDEX(I_Items!$E$5:$E$133,MATCH($B763,I_Items!$A$5:$A$133,0))="","",INDEX(I_Items!$E$5:$E$133,MATCH($B763,I_Items!$A$5:$A$133,0)))</f>
        <v/>
      </c>
      <c r="G763" s="76" t="n">
        <v>46210</v>
      </c>
      <c r="H763" s="23" t="n">
        <f aca="false">MONTH(G763)</f>
        <v>7</v>
      </c>
      <c r="I763" s="74" t="s">
        <v>2074</v>
      </c>
      <c r="J763" s="74" t="s">
        <v>2211</v>
      </c>
      <c r="K763" s="10" t="n">
        <v>2048</v>
      </c>
      <c r="L763" s="8" t="n">
        <v>62464000</v>
      </c>
      <c r="M763" s="10" t="n">
        <v>0</v>
      </c>
      <c r="N763" s="8" t="n">
        <v>0</v>
      </c>
      <c r="O763" s="74"/>
      <c r="P763" s="74"/>
      <c r="Q763" s="74"/>
      <c r="R763" s="14" t="n">
        <f aca="false">IF(I763="Unbilled",0,M763)</f>
        <v>0</v>
      </c>
      <c r="S763" s="9" t="n">
        <f aca="false">IF(R763=0,0,IF(O763="Booked",N763,R763*V762))</f>
        <v>0</v>
      </c>
      <c r="T763" s="14" t="n">
        <f aca="false">IF(I763="Opening",K763,T762+K763-R763)</f>
        <v>42533.09</v>
      </c>
      <c r="U763" s="9" t="n">
        <f aca="false">IF(I763="Opening",L763,U762+L763-S763)</f>
        <v>1300064740.85899</v>
      </c>
      <c r="V763" s="9" t="n">
        <f aca="false">IF(T763&gt;0,U763/T763,IF(I763="Opening",0,V762))</f>
        <v>30565.9603113479</v>
      </c>
      <c r="W763" s="14" t="n">
        <f aca="false">M763</f>
        <v>0</v>
      </c>
      <c r="X763" s="9" t="n">
        <f aca="false">IF(W763=0,0,IF(O763="Booked",N763,W763*AA762))</f>
        <v>0</v>
      </c>
      <c r="Y763" s="14" t="n">
        <f aca="false">IF(I763="Opening",K763,Y762+K763-W763)</f>
        <v>42533.09</v>
      </c>
      <c r="Z763" s="9" t="n">
        <f aca="false">IF(I763="Opening",L763,Z762+L763-X763)</f>
        <v>1300064740.85899</v>
      </c>
      <c r="AA763" s="9" t="n">
        <f aca="false">IF(Y763&gt;0,Z763/Y763,IF(I763="Opening",0,AA762))</f>
        <v>30565.9603113479</v>
      </c>
      <c r="AB763" s="9" t="n">
        <f aca="false">IF(AND(I763="DO",O763="MA"),S763-N763,0)</f>
        <v>0</v>
      </c>
      <c r="AC763" s="9" t="n">
        <f aca="false">IF(I763="DO",X763-S763,0)</f>
        <v>0</v>
      </c>
      <c r="AD763" s="23" t="n">
        <f aca="false">IF(B764&lt;&gt;B763,1,0)</f>
        <v>0</v>
      </c>
      <c r="AE763" s="14" t="n">
        <f aca="false">IF(I763="Opening",0,AE762+W763)</f>
        <v>7444.2</v>
      </c>
      <c r="AF763" s="14" t="n">
        <f aca="false">IF(I763="Opening",K763,AF762)</f>
        <v>25015.13</v>
      </c>
      <c r="AG763" s="14" t="n">
        <f aca="false">AG762</f>
        <v>39499.64</v>
      </c>
      <c r="AH763" s="14" t="n">
        <f aca="false">IF(W763=0,0,MAX(0,MIN(AE763,AF763)-MIN(AE763-W763,AF763)))</f>
        <v>0</v>
      </c>
      <c r="AI763" s="14" t="n">
        <f aca="false">IF(W763=0,0,MAX(0,MIN(AE763,AF763+AG763)-MAX(AE763-W763,AF763)))</f>
        <v>0</v>
      </c>
      <c r="AJ763" s="14" t="n">
        <f aca="false">W763-AH763-AI763</f>
        <v>0</v>
      </c>
      <c r="AK763" s="9" t="n">
        <f aca="false">IF(W763=0,0,X763*AH763/W763)</f>
        <v>0</v>
      </c>
      <c r="AL763" s="9" t="n">
        <f aca="false">IF(W763=0,0,X763*AI763/W763)</f>
        <v>0</v>
      </c>
      <c r="AM763" s="9" t="n">
        <f aca="false">X763-AK763-AL763</f>
        <v>0</v>
      </c>
    </row>
    <row r="764" customFormat="false" ht="15" hidden="false" customHeight="false" outlineLevel="0" collapsed="false">
      <c r="A764" s="6" t="n">
        <v>759</v>
      </c>
      <c r="B764" s="74" t="s">
        <v>1019</v>
      </c>
      <c r="C764" s="53" t="str">
        <f aca="false">INDEX(I_Items!$C$5:$C$133,MATCH($B764,I_Items!$A$5:$A$133,0))</f>
        <v>Trading</v>
      </c>
      <c r="D764" s="53" t="str">
        <f aca="false">INDEX(I_Items!$D$5:$D$133,MATCH($B764,I_Items!$A$5:$A$133,0))</f>
        <v>BLD</v>
      </c>
      <c r="E764" s="53" t="str">
        <f aca="false">INDEX(I_Items!$F$5:$F$133,MATCH($B764,I_Items!$A$5:$A$133,0))</f>
        <v>Frozen</v>
      </c>
      <c r="F764" s="53" t="str">
        <f aca="false">IF(INDEX(I_Items!$E$5:$E$133,MATCH($B764,I_Items!$A$5:$A$133,0))="","",INDEX(I_Items!$E$5:$E$133,MATCH($B764,I_Items!$A$5:$A$133,0)))</f>
        <v/>
      </c>
      <c r="G764" s="76" t="n">
        <v>46210</v>
      </c>
      <c r="H764" s="23" t="n">
        <f aca="false">MONTH(G764)</f>
        <v>7</v>
      </c>
      <c r="I764" s="74" t="s">
        <v>2074</v>
      </c>
      <c r="J764" s="74" t="s">
        <v>2212</v>
      </c>
      <c r="K764" s="10" t="n">
        <v>774.09</v>
      </c>
      <c r="L764" s="8" t="n">
        <v>22835655</v>
      </c>
      <c r="M764" s="10" t="n">
        <v>0</v>
      </c>
      <c r="N764" s="8" t="n">
        <v>0</v>
      </c>
      <c r="O764" s="74"/>
      <c r="P764" s="74"/>
      <c r="Q764" s="74"/>
      <c r="R764" s="14" t="n">
        <f aca="false">IF(I764="Unbilled",0,M764)</f>
        <v>0</v>
      </c>
      <c r="S764" s="9" t="n">
        <f aca="false">IF(R764=0,0,IF(O764="Booked",N764,R764*V763))</f>
        <v>0</v>
      </c>
      <c r="T764" s="14" t="n">
        <f aca="false">IF(I764="Opening",K764,T763+K764-R764)</f>
        <v>43307.18</v>
      </c>
      <c r="U764" s="9" t="n">
        <f aca="false">IF(I764="Opening",L764,U763+L764-S764)</f>
        <v>1322900395.85899</v>
      </c>
      <c r="V764" s="9" t="n">
        <f aca="false">IF(T764&gt;0,U764/T764,IF(I764="Opening",0,V763))</f>
        <v>30546.9069068683</v>
      </c>
      <c r="W764" s="14" t="n">
        <f aca="false">M764</f>
        <v>0</v>
      </c>
      <c r="X764" s="9" t="n">
        <f aca="false">IF(W764=0,0,IF(O764="Booked",N764,W764*AA763))</f>
        <v>0</v>
      </c>
      <c r="Y764" s="14" t="n">
        <f aca="false">IF(I764="Opening",K764,Y763+K764-W764)</f>
        <v>43307.18</v>
      </c>
      <c r="Z764" s="9" t="n">
        <f aca="false">IF(I764="Opening",L764,Z763+L764-X764)</f>
        <v>1322900395.85899</v>
      </c>
      <c r="AA764" s="9" t="n">
        <f aca="false">IF(Y764&gt;0,Z764/Y764,IF(I764="Opening",0,AA763))</f>
        <v>30546.9069068683</v>
      </c>
      <c r="AB764" s="9" t="n">
        <f aca="false">IF(AND(I764="DO",O764="MA"),S764-N764,0)</f>
        <v>0</v>
      </c>
      <c r="AC764" s="9" t="n">
        <f aca="false">IF(I764="DO",X764-S764,0)</f>
        <v>0</v>
      </c>
      <c r="AD764" s="23" t="n">
        <f aca="false">IF(B765&lt;&gt;B764,1,0)</f>
        <v>0</v>
      </c>
      <c r="AE764" s="14" t="n">
        <f aca="false">IF(I764="Opening",0,AE763+W764)</f>
        <v>7444.2</v>
      </c>
      <c r="AF764" s="14" t="n">
        <f aca="false">IF(I764="Opening",K764,AF763)</f>
        <v>25015.13</v>
      </c>
      <c r="AG764" s="14" t="n">
        <f aca="false">AG763</f>
        <v>39499.64</v>
      </c>
      <c r="AH764" s="14" t="n">
        <f aca="false">IF(W764=0,0,MAX(0,MIN(AE764,AF764)-MIN(AE764-W764,AF764)))</f>
        <v>0</v>
      </c>
      <c r="AI764" s="14" t="n">
        <f aca="false">IF(W764=0,0,MAX(0,MIN(AE764,AF764+AG764)-MAX(AE764-W764,AF764)))</f>
        <v>0</v>
      </c>
      <c r="AJ764" s="14" t="n">
        <f aca="false">W764-AH764-AI764</f>
        <v>0</v>
      </c>
      <c r="AK764" s="9" t="n">
        <f aca="false">IF(W764=0,0,X764*AH764/W764)</f>
        <v>0</v>
      </c>
      <c r="AL764" s="9" t="n">
        <f aca="false">IF(W764=0,0,X764*AI764/W764)</f>
        <v>0</v>
      </c>
      <c r="AM764" s="9" t="n">
        <f aca="false">X764-AK764-AL764</f>
        <v>0</v>
      </c>
    </row>
    <row r="765" customFormat="false" ht="15" hidden="false" customHeight="false" outlineLevel="0" collapsed="false">
      <c r="A765" s="6" t="n">
        <v>760</v>
      </c>
      <c r="B765" s="74" t="s">
        <v>1019</v>
      </c>
      <c r="C765" s="53" t="str">
        <f aca="false">INDEX(I_Items!$C$5:$C$133,MATCH($B765,I_Items!$A$5:$A$133,0))</f>
        <v>Trading</v>
      </c>
      <c r="D765" s="53" t="str">
        <f aca="false">INDEX(I_Items!$D$5:$D$133,MATCH($B765,I_Items!$A$5:$A$133,0))</f>
        <v>BLD</v>
      </c>
      <c r="E765" s="53" t="str">
        <f aca="false">INDEX(I_Items!$F$5:$F$133,MATCH($B765,I_Items!$A$5:$A$133,0))</f>
        <v>Frozen</v>
      </c>
      <c r="F765" s="53" t="str">
        <f aca="false">IF(INDEX(I_Items!$E$5:$E$133,MATCH($B765,I_Items!$A$5:$A$133,0))="","",INDEX(I_Items!$E$5:$E$133,MATCH($B765,I_Items!$A$5:$A$133,0)))</f>
        <v/>
      </c>
      <c r="G765" s="76" t="n">
        <v>46210</v>
      </c>
      <c r="H765" s="23" t="n">
        <f aca="false">MONTH(G765)</f>
        <v>7</v>
      </c>
      <c r="I765" s="74" t="s">
        <v>2074</v>
      </c>
      <c r="J765" s="74" t="s">
        <v>2213</v>
      </c>
      <c r="K765" s="10" t="n">
        <v>2487.13</v>
      </c>
      <c r="L765" s="8" t="n">
        <v>73370335</v>
      </c>
      <c r="M765" s="10" t="n">
        <v>0</v>
      </c>
      <c r="N765" s="8" t="n">
        <v>0</v>
      </c>
      <c r="O765" s="74"/>
      <c r="P765" s="74"/>
      <c r="Q765" s="74"/>
      <c r="R765" s="14" t="n">
        <f aca="false">IF(I765="Unbilled",0,M765)</f>
        <v>0</v>
      </c>
      <c r="S765" s="9" t="n">
        <f aca="false">IF(R765=0,0,IF(O765="Booked",N765,R765*V764))</f>
        <v>0</v>
      </c>
      <c r="T765" s="14" t="n">
        <f aca="false">IF(I765="Opening",K765,T764+K765-R765)</f>
        <v>45794.31</v>
      </c>
      <c r="U765" s="9" t="n">
        <f aca="false">IF(I765="Opening",L765,U764+L765-S765)</f>
        <v>1396270730.85899</v>
      </c>
      <c r="V765" s="9" t="n">
        <f aca="false">IF(T765&gt;0,U765/T765,IF(I765="Opening",0,V764))</f>
        <v>30490.0484549061</v>
      </c>
      <c r="W765" s="14" t="n">
        <f aca="false">M765</f>
        <v>0</v>
      </c>
      <c r="X765" s="9" t="n">
        <f aca="false">IF(W765=0,0,IF(O765="Booked",N765,W765*AA764))</f>
        <v>0</v>
      </c>
      <c r="Y765" s="14" t="n">
        <f aca="false">IF(I765="Opening",K765,Y764+K765-W765)</f>
        <v>45794.31</v>
      </c>
      <c r="Z765" s="9" t="n">
        <f aca="false">IF(I765="Opening",L765,Z764+L765-X765)</f>
        <v>1396270730.85899</v>
      </c>
      <c r="AA765" s="9" t="n">
        <f aca="false">IF(Y765&gt;0,Z765/Y765,IF(I765="Opening",0,AA764))</f>
        <v>30490.0484549061</v>
      </c>
      <c r="AB765" s="9" t="n">
        <f aca="false">IF(AND(I765="DO",O765="MA"),S765-N765,0)</f>
        <v>0</v>
      </c>
      <c r="AC765" s="9" t="n">
        <f aca="false">IF(I765="DO",X765-S765,0)</f>
        <v>0</v>
      </c>
      <c r="AD765" s="23" t="n">
        <f aca="false">IF(B766&lt;&gt;B765,1,0)</f>
        <v>0</v>
      </c>
      <c r="AE765" s="14" t="n">
        <f aca="false">IF(I765="Opening",0,AE764+W765)</f>
        <v>7444.2</v>
      </c>
      <c r="AF765" s="14" t="n">
        <f aca="false">IF(I765="Opening",K765,AF764)</f>
        <v>25015.13</v>
      </c>
      <c r="AG765" s="14" t="n">
        <f aca="false">AG764</f>
        <v>39499.64</v>
      </c>
      <c r="AH765" s="14" t="n">
        <f aca="false">IF(W765=0,0,MAX(0,MIN(AE765,AF765)-MIN(AE765-W765,AF765)))</f>
        <v>0</v>
      </c>
      <c r="AI765" s="14" t="n">
        <f aca="false">IF(W765=0,0,MAX(0,MIN(AE765,AF765+AG765)-MAX(AE765-W765,AF765)))</f>
        <v>0</v>
      </c>
      <c r="AJ765" s="14" t="n">
        <f aca="false">W765-AH765-AI765</f>
        <v>0</v>
      </c>
      <c r="AK765" s="9" t="n">
        <f aca="false">IF(W765=0,0,X765*AH765/W765)</f>
        <v>0</v>
      </c>
      <c r="AL765" s="9" t="n">
        <f aca="false">IF(W765=0,0,X765*AI765/W765)</f>
        <v>0</v>
      </c>
      <c r="AM765" s="9" t="n">
        <f aca="false">X765-AK765-AL765</f>
        <v>0</v>
      </c>
    </row>
    <row r="766" customFormat="false" ht="15" hidden="false" customHeight="false" outlineLevel="0" collapsed="false">
      <c r="A766" s="6" t="n">
        <v>761</v>
      </c>
      <c r="B766" s="74" t="s">
        <v>1019</v>
      </c>
      <c r="C766" s="53" t="str">
        <f aca="false">INDEX(I_Items!$C$5:$C$133,MATCH($B766,I_Items!$A$5:$A$133,0))</f>
        <v>Trading</v>
      </c>
      <c r="D766" s="53" t="str">
        <f aca="false">INDEX(I_Items!$D$5:$D$133,MATCH($B766,I_Items!$A$5:$A$133,0))</f>
        <v>BLD</v>
      </c>
      <c r="E766" s="53" t="str">
        <f aca="false">INDEX(I_Items!$F$5:$F$133,MATCH($B766,I_Items!$A$5:$A$133,0))</f>
        <v>Frozen</v>
      </c>
      <c r="F766" s="53" t="str">
        <f aca="false">IF(INDEX(I_Items!$E$5:$E$133,MATCH($B766,I_Items!$A$5:$A$133,0))="","",INDEX(I_Items!$E$5:$E$133,MATCH($B766,I_Items!$A$5:$A$133,0)))</f>
        <v/>
      </c>
      <c r="G766" s="76" t="n">
        <v>46211</v>
      </c>
      <c r="H766" s="23" t="n">
        <f aca="false">MONTH(G766)</f>
        <v>7</v>
      </c>
      <c r="I766" s="74" t="s">
        <v>2074</v>
      </c>
      <c r="J766" s="74" t="s">
        <v>2214</v>
      </c>
      <c r="K766" s="10" t="n">
        <v>1477.72</v>
      </c>
      <c r="L766" s="8" t="n">
        <v>45070460</v>
      </c>
      <c r="M766" s="10" t="n">
        <v>0</v>
      </c>
      <c r="N766" s="8" t="n">
        <v>0</v>
      </c>
      <c r="O766" s="74"/>
      <c r="P766" s="74"/>
      <c r="Q766" s="74"/>
      <c r="R766" s="14" t="n">
        <f aca="false">IF(I766="Unbilled",0,M766)</f>
        <v>0</v>
      </c>
      <c r="S766" s="9" t="n">
        <f aca="false">IF(R766=0,0,IF(O766="Booked",N766,R766*V765))</f>
        <v>0</v>
      </c>
      <c r="T766" s="14" t="n">
        <f aca="false">IF(I766="Opening",K766,T765+K766-R766)</f>
        <v>47272.03</v>
      </c>
      <c r="U766" s="9" t="n">
        <f aca="false">IF(I766="Opening",L766,U765+L766-S766)</f>
        <v>1441341190.85899</v>
      </c>
      <c r="V766" s="9" t="n">
        <f aca="false">IF(T766&gt;0,U766/T766,IF(I766="Opening",0,V765))</f>
        <v>30490.3595394357</v>
      </c>
      <c r="W766" s="14" t="n">
        <f aca="false">M766</f>
        <v>0</v>
      </c>
      <c r="X766" s="9" t="n">
        <f aca="false">IF(W766=0,0,IF(O766="Booked",N766,W766*AA765))</f>
        <v>0</v>
      </c>
      <c r="Y766" s="14" t="n">
        <f aca="false">IF(I766="Opening",K766,Y765+K766-W766)</f>
        <v>47272.03</v>
      </c>
      <c r="Z766" s="9" t="n">
        <f aca="false">IF(I766="Opening",L766,Z765+L766-X766)</f>
        <v>1441341190.85899</v>
      </c>
      <c r="AA766" s="9" t="n">
        <f aca="false">IF(Y766&gt;0,Z766/Y766,IF(I766="Opening",0,AA765))</f>
        <v>30490.3595394357</v>
      </c>
      <c r="AB766" s="9" t="n">
        <f aca="false">IF(AND(I766="DO",O766="MA"),S766-N766,0)</f>
        <v>0</v>
      </c>
      <c r="AC766" s="9" t="n">
        <f aca="false">IF(I766="DO",X766-S766,0)</f>
        <v>0</v>
      </c>
      <c r="AD766" s="23" t="n">
        <f aca="false">IF(B767&lt;&gt;B766,1,0)</f>
        <v>0</v>
      </c>
      <c r="AE766" s="14" t="n">
        <f aca="false">IF(I766="Opening",0,AE765+W766)</f>
        <v>7444.2</v>
      </c>
      <c r="AF766" s="14" t="n">
        <f aca="false">IF(I766="Opening",K766,AF765)</f>
        <v>25015.13</v>
      </c>
      <c r="AG766" s="14" t="n">
        <f aca="false">AG765</f>
        <v>39499.64</v>
      </c>
      <c r="AH766" s="14" t="n">
        <f aca="false">IF(W766=0,0,MAX(0,MIN(AE766,AF766)-MIN(AE766-W766,AF766)))</f>
        <v>0</v>
      </c>
      <c r="AI766" s="14" t="n">
        <f aca="false">IF(W766=0,0,MAX(0,MIN(AE766,AF766+AG766)-MAX(AE766-W766,AF766)))</f>
        <v>0</v>
      </c>
      <c r="AJ766" s="14" t="n">
        <f aca="false">W766-AH766-AI766</f>
        <v>0</v>
      </c>
      <c r="AK766" s="9" t="n">
        <f aca="false">IF(W766=0,0,X766*AH766/W766)</f>
        <v>0</v>
      </c>
      <c r="AL766" s="9" t="n">
        <f aca="false">IF(W766=0,0,X766*AI766/W766)</f>
        <v>0</v>
      </c>
      <c r="AM766" s="9" t="n">
        <f aca="false">X766-AK766-AL766</f>
        <v>0</v>
      </c>
    </row>
    <row r="767" customFormat="false" ht="15" hidden="false" customHeight="false" outlineLevel="0" collapsed="false">
      <c r="A767" s="6" t="n">
        <v>762</v>
      </c>
      <c r="B767" s="74" t="s">
        <v>1019</v>
      </c>
      <c r="C767" s="53" t="str">
        <f aca="false">INDEX(I_Items!$C$5:$C$133,MATCH($B767,I_Items!$A$5:$A$133,0))</f>
        <v>Trading</v>
      </c>
      <c r="D767" s="53" t="str">
        <f aca="false">INDEX(I_Items!$D$5:$D$133,MATCH($B767,I_Items!$A$5:$A$133,0))</f>
        <v>BLD</v>
      </c>
      <c r="E767" s="53" t="str">
        <f aca="false">INDEX(I_Items!$F$5:$F$133,MATCH($B767,I_Items!$A$5:$A$133,0))</f>
        <v>Frozen</v>
      </c>
      <c r="F767" s="53" t="str">
        <f aca="false">IF(INDEX(I_Items!$E$5:$E$133,MATCH($B767,I_Items!$A$5:$A$133,0))="","",INDEX(I_Items!$E$5:$E$133,MATCH($B767,I_Items!$A$5:$A$133,0)))</f>
        <v/>
      </c>
      <c r="G767" s="76" t="n">
        <v>46211</v>
      </c>
      <c r="H767" s="23" t="n">
        <f aca="false">MONTH(G767)</f>
        <v>7</v>
      </c>
      <c r="I767" s="74" t="s">
        <v>2074</v>
      </c>
      <c r="J767" s="74" t="s">
        <v>2215</v>
      </c>
      <c r="K767" s="10" t="n">
        <v>698.4</v>
      </c>
      <c r="L767" s="8" t="n">
        <v>21301200</v>
      </c>
      <c r="M767" s="10" t="n">
        <v>0</v>
      </c>
      <c r="N767" s="8" t="n">
        <v>0</v>
      </c>
      <c r="O767" s="74"/>
      <c r="P767" s="74"/>
      <c r="Q767" s="74"/>
      <c r="R767" s="14" t="n">
        <f aca="false">IF(I767="Unbilled",0,M767)</f>
        <v>0</v>
      </c>
      <c r="S767" s="9" t="n">
        <f aca="false">IF(R767=0,0,IF(O767="Booked",N767,R767*V766))</f>
        <v>0</v>
      </c>
      <c r="T767" s="14" t="n">
        <f aca="false">IF(I767="Opening",K767,T766+K767-R767)</f>
        <v>47970.43</v>
      </c>
      <c r="U767" s="9" t="n">
        <f aca="false">IF(I767="Opening",L767,U766+L767-S767)</f>
        <v>1462642390.85899</v>
      </c>
      <c r="V767" s="9" t="n">
        <f aca="false">IF(T767&gt;0,U767/T767,IF(I767="Opening",0,V766))</f>
        <v>30490.4998946015</v>
      </c>
      <c r="W767" s="14" t="n">
        <f aca="false">M767</f>
        <v>0</v>
      </c>
      <c r="X767" s="9" t="n">
        <f aca="false">IF(W767=0,0,IF(O767="Booked",N767,W767*AA766))</f>
        <v>0</v>
      </c>
      <c r="Y767" s="14" t="n">
        <f aca="false">IF(I767="Opening",K767,Y766+K767-W767)</f>
        <v>47970.43</v>
      </c>
      <c r="Z767" s="9" t="n">
        <f aca="false">IF(I767="Opening",L767,Z766+L767-X767)</f>
        <v>1462642390.85899</v>
      </c>
      <c r="AA767" s="9" t="n">
        <f aca="false">IF(Y767&gt;0,Z767/Y767,IF(I767="Opening",0,AA766))</f>
        <v>30490.4998946015</v>
      </c>
      <c r="AB767" s="9" t="n">
        <f aca="false">IF(AND(I767="DO",O767="MA"),S767-N767,0)</f>
        <v>0</v>
      </c>
      <c r="AC767" s="9" t="n">
        <f aca="false">IF(I767="DO",X767-S767,0)</f>
        <v>0</v>
      </c>
      <c r="AD767" s="23" t="n">
        <f aca="false">IF(B768&lt;&gt;B767,1,0)</f>
        <v>0</v>
      </c>
      <c r="AE767" s="14" t="n">
        <f aca="false">IF(I767="Opening",0,AE766+W767)</f>
        <v>7444.2</v>
      </c>
      <c r="AF767" s="14" t="n">
        <f aca="false">IF(I767="Opening",K767,AF766)</f>
        <v>25015.13</v>
      </c>
      <c r="AG767" s="14" t="n">
        <f aca="false">AG766</f>
        <v>39499.64</v>
      </c>
      <c r="AH767" s="14" t="n">
        <f aca="false">IF(W767=0,0,MAX(0,MIN(AE767,AF767)-MIN(AE767-W767,AF767)))</f>
        <v>0</v>
      </c>
      <c r="AI767" s="14" t="n">
        <f aca="false">IF(W767=0,0,MAX(0,MIN(AE767,AF767+AG767)-MAX(AE767-W767,AF767)))</f>
        <v>0</v>
      </c>
      <c r="AJ767" s="14" t="n">
        <f aca="false">W767-AH767-AI767</f>
        <v>0</v>
      </c>
      <c r="AK767" s="9" t="n">
        <f aca="false">IF(W767=0,0,X767*AH767/W767)</f>
        <v>0</v>
      </c>
      <c r="AL767" s="9" t="n">
        <f aca="false">IF(W767=0,0,X767*AI767/W767)</f>
        <v>0</v>
      </c>
      <c r="AM767" s="9" t="n">
        <f aca="false">X767-AK767-AL767</f>
        <v>0</v>
      </c>
    </row>
    <row r="768" customFormat="false" ht="15" hidden="false" customHeight="false" outlineLevel="0" collapsed="false">
      <c r="A768" s="6" t="n">
        <v>763</v>
      </c>
      <c r="B768" s="74" t="s">
        <v>1019</v>
      </c>
      <c r="C768" s="53" t="str">
        <f aca="false">INDEX(I_Items!$C$5:$C$133,MATCH($B768,I_Items!$A$5:$A$133,0))</f>
        <v>Trading</v>
      </c>
      <c r="D768" s="53" t="str">
        <f aca="false">INDEX(I_Items!$D$5:$D$133,MATCH($B768,I_Items!$A$5:$A$133,0))</f>
        <v>BLD</v>
      </c>
      <c r="E768" s="53" t="str">
        <f aca="false">INDEX(I_Items!$F$5:$F$133,MATCH($B768,I_Items!$A$5:$A$133,0))</f>
        <v>Frozen</v>
      </c>
      <c r="F768" s="53" t="str">
        <f aca="false">IF(INDEX(I_Items!$E$5:$E$133,MATCH($B768,I_Items!$A$5:$A$133,0))="","",INDEX(I_Items!$E$5:$E$133,MATCH($B768,I_Items!$A$5:$A$133,0)))</f>
        <v/>
      </c>
      <c r="G768" s="76" t="n">
        <v>46211</v>
      </c>
      <c r="H768" s="23" t="n">
        <f aca="false">MONTH(G768)</f>
        <v>7</v>
      </c>
      <c r="I768" s="74" t="s">
        <v>2074</v>
      </c>
      <c r="J768" s="74" t="s">
        <v>2216</v>
      </c>
      <c r="K768" s="10" t="n">
        <v>971.06</v>
      </c>
      <c r="L768" s="8" t="n">
        <v>29617330</v>
      </c>
      <c r="M768" s="10" t="n">
        <v>0</v>
      </c>
      <c r="N768" s="8" t="n">
        <v>0</v>
      </c>
      <c r="O768" s="74"/>
      <c r="P768" s="74"/>
      <c r="Q768" s="74"/>
      <c r="R768" s="14" t="n">
        <f aca="false">IF(I768="Unbilled",0,M768)</f>
        <v>0</v>
      </c>
      <c r="S768" s="9" t="n">
        <f aca="false">IF(R768=0,0,IF(O768="Booked",N768,R768*V767))</f>
        <v>0</v>
      </c>
      <c r="T768" s="14" t="n">
        <f aca="false">IF(I768="Opening",K768,T767+K768-R768)</f>
        <v>48941.49</v>
      </c>
      <c r="U768" s="9" t="n">
        <f aca="false">IF(I768="Opening",L768,U767+L768-S768)</f>
        <v>1492259720.85899</v>
      </c>
      <c r="V768" s="9" t="n">
        <f aca="false">IF(T768&gt;0,U768/T768,IF(I768="Opening",0,V767))</f>
        <v>30490.688388502</v>
      </c>
      <c r="W768" s="14" t="n">
        <f aca="false">M768</f>
        <v>0</v>
      </c>
      <c r="X768" s="9" t="n">
        <f aca="false">IF(W768=0,0,IF(O768="Booked",N768,W768*AA767))</f>
        <v>0</v>
      </c>
      <c r="Y768" s="14" t="n">
        <f aca="false">IF(I768="Opening",K768,Y767+K768-W768)</f>
        <v>48941.49</v>
      </c>
      <c r="Z768" s="9" t="n">
        <f aca="false">IF(I768="Opening",L768,Z767+L768-X768)</f>
        <v>1492259720.85899</v>
      </c>
      <c r="AA768" s="9" t="n">
        <f aca="false">IF(Y768&gt;0,Z768/Y768,IF(I768="Opening",0,AA767))</f>
        <v>30490.688388502</v>
      </c>
      <c r="AB768" s="9" t="n">
        <f aca="false">IF(AND(I768="DO",O768="MA"),S768-N768,0)</f>
        <v>0</v>
      </c>
      <c r="AC768" s="9" t="n">
        <f aca="false">IF(I768="DO",X768-S768,0)</f>
        <v>0</v>
      </c>
      <c r="AD768" s="23" t="n">
        <f aca="false">IF(B769&lt;&gt;B768,1,0)</f>
        <v>0</v>
      </c>
      <c r="AE768" s="14" t="n">
        <f aca="false">IF(I768="Opening",0,AE767+W768)</f>
        <v>7444.2</v>
      </c>
      <c r="AF768" s="14" t="n">
        <f aca="false">IF(I768="Opening",K768,AF767)</f>
        <v>25015.13</v>
      </c>
      <c r="AG768" s="14" t="n">
        <f aca="false">AG767</f>
        <v>39499.64</v>
      </c>
      <c r="AH768" s="14" t="n">
        <f aca="false">IF(W768=0,0,MAX(0,MIN(AE768,AF768)-MIN(AE768-W768,AF768)))</f>
        <v>0</v>
      </c>
      <c r="AI768" s="14" t="n">
        <f aca="false">IF(W768=0,0,MAX(0,MIN(AE768,AF768+AG768)-MAX(AE768-W768,AF768)))</f>
        <v>0</v>
      </c>
      <c r="AJ768" s="14" t="n">
        <f aca="false">W768-AH768-AI768</f>
        <v>0</v>
      </c>
      <c r="AK768" s="9" t="n">
        <f aca="false">IF(W768=0,0,X768*AH768/W768)</f>
        <v>0</v>
      </c>
      <c r="AL768" s="9" t="n">
        <f aca="false">IF(W768=0,0,X768*AI768/W768)</f>
        <v>0</v>
      </c>
      <c r="AM768" s="9" t="n">
        <f aca="false">X768-AK768-AL768</f>
        <v>0</v>
      </c>
    </row>
    <row r="769" customFormat="false" ht="15" hidden="false" customHeight="false" outlineLevel="0" collapsed="false">
      <c r="A769" s="6" t="n">
        <v>764</v>
      </c>
      <c r="B769" s="74" t="s">
        <v>1019</v>
      </c>
      <c r="C769" s="53" t="str">
        <f aca="false">INDEX(I_Items!$C$5:$C$133,MATCH($B769,I_Items!$A$5:$A$133,0))</f>
        <v>Trading</v>
      </c>
      <c r="D769" s="53" t="str">
        <f aca="false">INDEX(I_Items!$D$5:$D$133,MATCH($B769,I_Items!$A$5:$A$133,0))</f>
        <v>BLD</v>
      </c>
      <c r="E769" s="53" t="str">
        <f aca="false">INDEX(I_Items!$F$5:$F$133,MATCH($B769,I_Items!$A$5:$A$133,0))</f>
        <v>Frozen</v>
      </c>
      <c r="F769" s="53" t="str">
        <f aca="false">IF(INDEX(I_Items!$E$5:$E$133,MATCH($B769,I_Items!$A$5:$A$133,0))="","",INDEX(I_Items!$E$5:$E$133,MATCH($B769,I_Items!$A$5:$A$133,0)))</f>
        <v/>
      </c>
      <c r="G769" s="76" t="n">
        <v>46211</v>
      </c>
      <c r="H769" s="23" t="n">
        <f aca="false">MONTH(G769)</f>
        <v>7</v>
      </c>
      <c r="I769" s="74" t="s">
        <v>2074</v>
      </c>
      <c r="J769" s="74" t="s">
        <v>2217</v>
      </c>
      <c r="K769" s="10" t="n">
        <v>970.32</v>
      </c>
      <c r="L769" s="8" t="n">
        <v>29594760</v>
      </c>
      <c r="M769" s="10" t="n">
        <v>0</v>
      </c>
      <c r="N769" s="8" t="n">
        <v>0</v>
      </c>
      <c r="O769" s="74"/>
      <c r="P769" s="74"/>
      <c r="Q769" s="74"/>
      <c r="R769" s="14" t="n">
        <f aca="false">IF(I769="Unbilled",0,M769)</f>
        <v>0</v>
      </c>
      <c r="S769" s="9" t="n">
        <f aca="false">IF(R769=0,0,IF(O769="Booked",N769,R769*V768))</f>
        <v>0</v>
      </c>
      <c r="T769" s="14" t="n">
        <f aca="false">IF(I769="Opening",K769,T768+K769-R769)</f>
        <v>49911.81</v>
      </c>
      <c r="U769" s="9" t="n">
        <f aca="false">IF(I769="Opening",L769,U768+L769-S769)</f>
        <v>1521854480.85899</v>
      </c>
      <c r="V769" s="9" t="n">
        <f aca="false">IF(T769&gt;0,U769/T769,IF(I769="Opening",0,V768))</f>
        <v>30490.8694126498</v>
      </c>
      <c r="W769" s="14" t="n">
        <f aca="false">M769</f>
        <v>0</v>
      </c>
      <c r="X769" s="9" t="n">
        <f aca="false">IF(W769=0,0,IF(O769="Booked",N769,W769*AA768))</f>
        <v>0</v>
      </c>
      <c r="Y769" s="14" t="n">
        <f aca="false">IF(I769="Opening",K769,Y768+K769-W769)</f>
        <v>49911.81</v>
      </c>
      <c r="Z769" s="9" t="n">
        <f aca="false">IF(I769="Opening",L769,Z768+L769-X769)</f>
        <v>1521854480.85899</v>
      </c>
      <c r="AA769" s="9" t="n">
        <f aca="false">IF(Y769&gt;0,Z769/Y769,IF(I769="Opening",0,AA768))</f>
        <v>30490.8694126498</v>
      </c>
      <c r="AB769" s="9" t="n">
        <f aca="false">IF(AND(I769="DO",O769="MA"),S769-N769,0)</f>
        <v>0</v>
      </c>
      <c r="AC769" s="9" t="n">
        <f aca="false">IF(I769="DO",X769-S769,0)</f>
        <v>0</v>
      </c>
      <c r="AD769" s="23" t="n">
        <f aca="false">IF(B770&lt;&gt;B769,1,0)</f>
        <v>0</v>
      </c>
      <c r="AE769" s="14" t="n">
        <f aca="false">IF(I769="Opening",0,AE768+W769)</f>
        <v>7444.2</v>
      </c>
      <c r="AF769" s="14" t="n">
        <f aca="false">IF(I769="Opening",K769,AF768)</f>
        <v>25015.13</v>
      </c>
      <c r="AG769" s="14" t="n">
        <f aca="false">AG768</f>
        <v>39499.64</v>
      </c>
      <c r="AH769" s="14" t="n">
        <f aca="false">IF(W769=0,0,MAX(0,MIN(AE769,AF769)-MIN(AE769-W769,AF769)))</f>
        <v>0</v>
      </c>
      <c r="AI769" s="14" t="n">
        <f aca="false">IF(W769=0,0,MAX(0,MIN(AE769,AF769+AG769)-MAX(AE769-W769,AF769)))</f>
        <v>0</v>
      </c>
      <c r="AJ769" s="14" t="n">
        <f aca="false">W769-AH769-AI769</f>
        <v>0</v>
      </c>
      <c r="AK769" s="9" t="n">
        <f aca="false">IF(W769=0,0,X769*AH769/W769)</f>
        <v>0</v>
      </c>
      <c r="AL769" s="9" t="n">
        <f aca="false">IF(W769=0,0,X769*AI769/W769)</f>
        <v>0</v>
      </c>
      <c r="AM769" s="9" t="n">
        <f aca="false">X769-AK769-AL769</f>
        <v>0</v>
      </c>
    </row>
    <row r="770" customFormat="false" ht="15" hidden="false" customHeight="false" outlineLevel="0" collapsed="false">
      <c r="A770" s="6" t="n">
        <v>765</v>
      </c>
      <c r="B770" s="74" t="s">
        <v>1019</v>
      </c>
      <c r="C770" s="53" t="str">
        <f aca="false">INDEX(I_Items!$C$5:$C$133,MATCH($B770,I_Items!$A$5:$A$133,0))</f>
        <v>Trading</v>
      </c>
      <c r="D770" s="53" t="str">
        <f aca="false">INDEX(I_Items!$D$5:$D$133,MATCH($B770,I_Items!$A$5:$A$133,0))</f>
        <v>BLD</v>
      </c>
      <c r="E770" s="53" t="str">
        <f aca="false">INDEX(I_Items!$F$5:$F$133,MATCH($B770,I_Items!$A$5:$A$133,0))</f>
        <v>Frozen</v>
      </c>
      <c r="F770" s="53" t="str">
        <f aca="false">IF(INDEX(I_Items!$E$5:$E$133,MATCH($B770,I_Items!$A$5:$A$133,0))="","",INDEX(I_Items!$E$5:$E$133,MATCH($B770,I_Items!$A$5:$A$133,0)))</f>
        <v/>
      </c>
      <c r="G770" s="76" t="n">
        <v>46212</v>
      </c>
      <c r="H770" s="23" t="n">
        <f aca="false">MONTH(G770)</f>
        <v>7</v>
      </c>
      <c r="I770" s="74" t="s">
        <v>2074</v>
      </c>
      <c r="J770" s="74" t="s">
        <v>2218</v>
      </c>
      <c r="K770" s="10" t="n">
        <v>2985.36</v>
      </c>
      <c r="L770" s="8" t="n">
        <v>91053480</v>
      </c>
      <c r="M770" s="10" t="n">
        <v>0</v>
      </c>
      <c r="N770" s="8" t="n">
        <v>0</v>
      </c>
      <c r="O770" s="74"/>
      <c r="P770" s="74"/>
      <c r="Q770" s="74"/>
      <c r="R770" s="14" t="n">
        <f aca="false">IF(I770="Unbilled",0,M770)</f>
        <v>0</v>
      </c>
      <c r="S770" s="9" t="n">
        <f aca="false">IF(R770=0,0,IF(O770="Booked",N770,R770*V769))</f>
        <v>0</v>
      </c>
      <c r="T770" s="14" t="n">
        <f aca="false">IF(I770="Opening",K770,T769+K770-R770)</f>
        <v>52897.17</v>
      </c>
      <c r="U770" s="9" t="n">
        <f aca="false">IF(I770="Opening",L770,U769+L770-S770)</f>
        <v>1612907960.85899</v>
      </c>
      <c r="V770" s="9" t="n">
        <f aca="false">IF(T770&gt;0,U770/T770,IF(I770="Opening",0,V769))</f>
        <v>30491.3847160252</v>
      </c>
      <c r="W770" s="14" t="n">
        <f aca="false">M770</f>
        <v>0</v>
      </c>
      <c r="X770" s="9" t="n">
        <f aca="false">IF(W770=0,0,IF(O770="Booked",N770,W770*AA769))</f>
        <v>0</v>
      </c>
      <c r="Y770" s="14" t="n">
        <f aca="false">IF(I770="Opening",K770,Y769+K770-W770)</f>
        <v>52897.17</v>
      </c>
      <c r="Z770" s="9" t="n">
        <f aca="false">IF(I770="Opening",L770,Z769+L770-X770)</f>
        <v>1612907960.85899</v>
      </c>
      <c r="AA770" s="9" t="n">
        <f aca="false">IF(Y770&gt;0,Z770/Y770,IF(I770="Opening",0,AA769))</f>
        <v>30491.3847160252</v>
      </c>
      <c r="AB770" s="9" t="n">
        <f aca="false">IF(AND(I770="DO",O770="MA"),S770-N770,0)</f>
        <v>0</v>
      </c>
      <c r="AC770" s="9" t="n">
        <f aca="false">IF(I770="DO",X770-S770,0)</f>
        <v>0</v>
      </c>
      <c r="AD770" s="23" t="n">
        <f aca="false">IF(B771&lt;&gt;B770,1,0)</f>
        <v>0</v>
      </c>
      <c r="AE770" s="14" t="n">
        <f aca="false">IF(I770="Opening",0,AE769+W770)</f>
        <v>7444.2</v>
      </c>
      <c r="AF770" s="14" t="n">
        <f aca="false">IF(I770="Opening",K770,AF769)</f>
        <v>25015.13</v>
      </c>
      <c r="AG770" s="14" t="n">
        <f aca="false">AG769</f>
        <v>39499.64</v>
      </c>
      <c r="AH770" s="14" t="n">
        <f aca="false">IF(W770=0,0,MAX(0,MIN(AE770,AF770)-MIN(AE770-W770,AF770)))</f>
        <v>0</v>
      </c>
      <c r="AI770" s="14" t="n">
        <f aca="false">IF(W770=0,0,MAX(0,MIN(AE770,AF770+AG770)-MAX(AE770-W770,AF770)))</f>
        <v>0</v>
      </c>
      <c r="AJ770" s="14" t="n">
        <f aca="false">W770-AH770-AI770</f>
        <v>0</v>
      </c>
      <c r="AK770" s="9" t="n">
        <f aca="false">IF(W770=0,0,X770*AH770/W770)</f>
        <v>0</v>
      </c>
      <c r="AL770" s="9" t="n">
        <f aca="false">IF(W770=0,0,X770*AI770/W770)</f>
        <v>0</v>
      </c>
      <c r="AM770" s="9" t="n">
        <f aca="false">X770-AK770-AL770</f>
        <v>0</v>
      </c>
    </row>
    <row r="771" customFormat="false" ht="15" hidden="false" customHeight="false" outlineLevel="0" collapsed="false">
      <c r="A771" s="6" t="n">
        <v>766</v>
      </c>
      <c r="B771" s="74" t="s">
        <v>1019</v>
      </c>
      <c r="C771" s="53" t="str">
        <f aca="false">INDEX(I_Items!$C$5:$C$133,MATCH($B771,I_Items!$A$5:$A$133,0))</f>
        <v>Trading</v>
      </c>
      <c r="D771" s="53" t="str">
        <f aca="false">INDEX(I_Items!$D$5:$D$133,MATCH($B771,I_Items!$A$5:$A$133,0))</f>
        <v>BLD</v>
      </c>
      <c r="E771" s="53" t="str">
        <f aca="false">INDEX(I_Items!$F$5:$F$133,MATCH($B771,I_Items!$A$5:$A$133,0))</f>
        <v>Frozen</v>
      </c>
      <c r="F771" s="53" t="str">
        <f aca="false">IF(INDEX(I_Items!$E$5:$E$133,MATCH($B771,I_Items!$A$5:$A$133,0))="","",INDEX(I_Items!$E$5:$E$133,MATCH($B771,I_Items!$A$5:$A$133,0)))</f>
        <v/>
      </c>
      <c r="G771" s="76" t="n">
        <v>46213</v>
      </c>
      <c r="H771" s="23" t="n">
        <f aca="false">MONTH(G771)</f>
        <v>7</v>
      </c>
      <c r="I771" s="74" t="s">
        <v>2074</v>
      </c>
      <c r="J771" s="74" t="s">
        <v>2219</v>
      </c>
      <c r="K771" s="10" t="n">
        <v>580.88</v>
      </c>
      <c r="L771" s="8" t="n">
        <v>17716840</v>
      </c>
      <c r="M771" s="10" t="n">
        <v>0</v>
      </c>
      <c r="N771" s="8" t="n">
        <v>0</v>
      </c>
      <c r="O771" s="74"/>
      <c r="P771" s="74"/>
      <c r="Q771" s="74"/>
      <c r="R771" s="14" t="n">
        <f aca="false">IF(I771="Unbilled",0,M771)</f>
        <v>0</v>
      </c>
      <c r="S771" s="9" t="n">
        <f aca="false">IF(R771=0,0,IF(O771="Booked",N771,R771*V770))</f>
        <v>0</v>
      </c>
      <c r="T771" s="14" t="n">
        <f aca="false">IF(I771="Opening",K771,T770+K771-R771)</f>
        <v>53478.05</v>
      </c>
      <c r="U771" s="9" t="n">
        <f aca="false">IF(I771="Opening",L771,U770+L771-S771)</f>
        <v>1630624800.85899</v>
      </c>
      <c r="V771" s="9" t="n">
        <f aca="false">IF(T771&gt;0,U771/T771,IF(I771="Opening",0,V770))</f>
        <v>30491.4782954687</v>
      </c>
      <c r="W771" s="14" t="n">
        <f aca="false">M771</f>
        <v>0</v>
      </c>
      <c r="X771" s="9" t="n">
        <f aca="false">IF(W771=0,0,IF(O771="Booked",N771,W771*AA770))</f>
        <v>0</v>
      </c>
      <c r="Y771" s="14" t="n">
        <f aca="false">IF(I771="Opening",K771,Y770+K771-W771)</f>
        <v>53478.05</v>
      </c>
      <c r="Z771" s="9" t="n">
        <f aca="false">IF(I771="Opening",L771,Z770+L771-X771)</f>
        <v>1630624800.85899</v>
      </c>
      <c r="AA771" s="9" t="n">
        <f aca="false">IF(Y771&gt;0,Z771/Y771,IF(I771="Opening",0,AA770))</f>
        <v>30491.4782954687</v>
      </c>
      <c r="AB771" s="9" t="n">
        <f aca="false">IF(AND(I771="DO",O771="MA"),S771-N771,0)</f>
        <v>0</v>
      </c>
      <c r="AC771" s="9" t="n">
        <f aca="false">IF(I771="DO",X771-S771,0)</f>
        <v>0</v>
      </c>
      <c r="AD771" s="23" t="n">
        <f aca="false">IF(B772&lt;&gt;B771,1,0)</f>
        <v>0</v>
      </c>
      <c r="AE771" s="14" t="n">
        <f aca="false">IF(I771="Opening",0,AE770+W771)</f>
        <v>7444.2</v>
      </c>
      <c r="AF771" s="14" t="n">
        <f aca="false">IF(I771="Opening",K771,AF770)</f>
        <v>25015.13</v>
      </c>
      <c r="AG771" s="14" t="n">
        <f aca="false">AG770</f>
        <v>39499.64</v>
      </c>
      <c r="AH771" s="14" t="n">
        <f aca="false">IF(W771=0,0,MAX(0,MIN(AE771,AF771)-MIN(AE771-W771,AF771)))</f>
        <v>0</v>
      </c>
      <c r="AI771" s="14" t="n">
        <f aca="false">IF(W771=0,0,MAX(0,MIN(AE771,AF771+AG771)-MAX(AE771-W771,AF771)))</f>
        <v>0</v>
      </c>
      <c r="AJ771" s="14" t="n">
        <f aca="false">W771-AH771-AI771</f>
        <v>0</v>
      </c>
      <c r="AK771" s="9" t="n">
        <f aca="false">IF(W771=0,0,X771*AH771/W771)</f>
        <v>0</v>
      </c>
      <c r="AL771" s="9" t="n">
        <f aca="false">IF(W771=0,0,X771*AI771/W771)</f>
        <v>0</v>
      </c>
      <c r="AM771" s="9" t="n">
        <f aca="false">X771-AK771-AL771</f>
        <v>0</v>
      </c>
    </row>
    <row r="772" customFormat="false" ht="15" hidden="false" customHeight="false" outlineLevel="0" collapsed="false">
      <c r="A772" s="6" t="n">
        <v>767</v>
      </c>
      <c r="B772" s="74" t="s">
        <v>1019</v>
      </c>
      <c r="C772" s="53" t="str">
        <f aca="false">INDEX(I_Items!$C$5:$C$133,MATCH($B772,I_Items!$A$5:$A$133,0))</f>
        <v>Trading</v>
      </c>
      <c r="D772" s="53" t="str">
        <f aca="false">INDEX(I_Items!$D$5:$D$133,MATCH($B772,I_Items!$A$5:$A$133,0))</f>
        <v>BLD</v>
      </c>
      <c r="E772" s="53" t="str">
        <f aca="false">INDEX(I_Items!$F$5:$F$133,MATCH($B772,I_Items!$A$5:$A$133,0))</f>
        <v>Frozen</v>
      </c>
      <c r="F772" s="53" t="str">
        <f aca="false">IF(INDEX(I_Items!$E$5:$E$133,MATCH($B772,I_Items!$A$5:$A$133,0))="","",INDEX(I_Items!$E$5:$E$133,MATCH($B772,I_Items!$A$5:$A$133,0)))</f>
        <v/>
      </c>
      <c r="G772" s="76" t="n">
        <v>46213</v>
      </c>
      <c r="H772" s="23" t="n">
        <f aca="false">MONTH(G772)</f>
        <v>7</v>
      </c>
      <c r="I772" s="74" t="s">
        <v>2074</v>
      </c>
      <c r="J772" s="74" t="s">
        <v>2220</v>
      </c>
      <c r="K772" s="10" t="n">
        <v>1326.48</v>
      </c>
      <c r="L772" s="8" t="n">
        <v>40457640</v>
      </c>
      <c r="M772" s="10" t="n">
        <v>0</v>
      </c>
      <c r="N772" s="8" t="n">
        <v>0</v>
      </c>
      <c r="O772" s="74"/>
      <c r="P772" s="74"/>
      <c r="Q772" s="74"/>
      <c r="R772" s="14" t="n">
        <f aca="false">IF(I772="Unbilled",0,M772)</f>
        <v>0</v>
      </c>
      <c r="S772" s="9" t="n">
        <f aca="false">IF(R772=0,0,IF(O772="Booked",N772,R772*V771))</f>
        <v>0</v>
      </c>
      <c r="T772" s="14" t="n">
        <f aca="false">IF(I772="Opening",K772,T771+K772-R772)</f>
        <v>54804.53</v>
      </c>
      <c r="U772" s="9" t="n">
        <f aca="false">IF(I772="Opening",L772,U771+L772-S772)</f>
        <v>1671082440.85899</v>
      </c>
      <c r="V772" s="9" t="n">
        <f aca="false">IF(T772&gt;0,U772/T772,IF(I772="Opening",0,V771))</f>
        <v>30491.68455343</v>
      </c>
      <c r="W772" s="14" t="n">
        <f aca="false">M772</f>
        <v>0</v>
      </c>
      <c r="X772" s="9" t="n">
        <f aca="false">IF(W772=0,0,IF(O772="Booked",N772,W772*AA771))</f>
        <v>0</v>
      </c>
      <c r="Y772" s="14" t="n">
        <f aca="false">IF(I772="Opening",K772,Y771+K772-W772)</f>
        <v>54804.53</v>
      </c>
      <c r="Z772" s="9" t="n">
        <f aca="false">IF(I772="Opening",L772,Z771+L772-X772)</f>
        <v>1671082440.85899</v>
      </c>
      <c r="AA772" s="9" t="n">
        <f aca="false">IF(Y772&gt;0,Z772/Y772,IF(I772="Opening",0,AA771))</f>
        <v>30491.68455343</v>
      </c>
      <c r="AB772" s="9" t="n">
        <f aca="false">IF(AND(I772="DO",O772="MA"),S772-N772,0)</f>
        <v>0</v>
      </c>
      <c r="AC772" s="9" t="n">
        <f aca="false">IF(I772="DO",X772-S772,0)</f>
        <v>0</v>
      </c>
      <c r="AD772" s="23" t="n">
        <f aca="false">IF(B773&lt;&gt;B772,1,0)</f>
        <v>0</v>
      </c>
      <c r="AE772" s="14" t="n">
        <f aca="false">IF(I772="Opening",0,AE771+W772)</f>
        <v>7444.2</v>
      </c>
      <c r="AF772" s="14" t="n">
        <f aca="false">IF(I772="Opening",K772,AF771)</f>
        <v>25015.13</v>
      </c>
      <c r="AG772" s="14" t="n">
        <f aca="false">AG771</f>
        <v>39499.64</v>
      </c>
      <c r="AH772" s="14" t="n">
        <f aca="false">IF(W772=0,0,MAX(0,MIN(AE772,AF772)-MIN(AE772-W772,AF772)))</f>
        <v>0</v>
      </c>
      <c r="AI772" s="14" t="n">
        <f aca="false">IF(W772=0,0,MAX(0,MIN(AE772,AF772+AG772)-MAX(AE772-W772,AF772)))</f>
        <v>0</v>
      </c>
      <c r="AJ772" s="14" t="n">
        <f aca="false">W772-AH772-AI772</f>
        <v>0</v>
      </c>
      <c r="AK772" s="9" t="n">
        <f aca="false">IF(W772=0,0,X772*AH772/W772)</f>
        <v>0</v>
      </c>
      <c r="AL772" s="9" t="n">
        <f aca="false">IF(W772=0,0,X772*AI772/W772)</f>
        <v>0</v>
      </c>
      <c r="AM772" s="9" t="n">
        <f aca="false">X772-AK772-AL772</f>
        <v>0</v>
      </c>
    </row>
    <row r="773" customFormat="false" ht="15" hidden="false" customHeight="false" outlineLevel="0" collapsed="false">
      <c r="A773" s="6" t="n">
        <v>768</v>
      </c>
      <c r="B773" s="74" t="s">
        <v>1019</v>
      </c>
      <c r="C773" s="53" t="str">
        <f aca="false">INDEX(I_Items!$C$5:$C$133,MATCH($B773,I_Items!$A$5:$A$133,0))</f>
        <v>Trading</v>
      </c>
      <c r="D773" s="53" t="str">
        <f aca="false">INDEX(I_Items!$D$5:$D$133,MATCH($B773,I_Items!$A$5:$A$133,0))</f>
        <v>BLD</v>
      </c>
      <c r="E773" s="53" t="str">
        <f aca="false">INDEX(I_Items!$F$5:$F$133,MATCH($B773,I_Items!$A$5:$A$133,0))</f>
        <v>Frozen</v>
      </c>
      <c r="F773" s="53" t="str">
        <f aca="false">IF(INDEX(I_Items!$E$5:$E$133,MATCH($B773,I_Items!$A$5:$A$133,0))="","",INDEX(I_Items!$E$5:$E$133,MATCH($B773,I_Items!$A$5:$A$133,0)))</f>
        <v/>
      </c>
      <c r="G773" s="76" t="n">
        <v>46213</v>
      </c>
      <c r="H773" s="23" t="n">
        <f aca="false">MONTH(G773)</f>
        <v>7</v>
      </c>
      <c r="I773" s="74" t="s">
        <v>2074</v>
      </c>
      <c r="J773" s="74" t="s">
        <v>2221</v>
      </c>
      <c r="K773" s="10" t="n">
        <v>401.72</v>
      </c>
      <c r="L773" s="8" t="n">
        <v>12252460</v>
      </c>
      <c r="M773" s="10" t="n">
        <v>0</v>
      </c>
      <c r="N773" s="8" t="n">
        <v>0</v>
      </c>
      <c r="O773" s="74"/>
      <c r="P773" s="74"/>
      <c r="Q773" s="74"/>
      <c r="R773" s="14" t="n">
        <f aca="false">IF(I773="Unbilled",0,M773)</f>
        <v>0</v>
      </c>
      <c r="S773" s="9" t="n">
        <f aca="false">IF(R773=0,0,IF(O773="Booked",N773,R773*V772))</f>
        <v>0</v>
      </c>
      <c r="T773" s="14" t="n">
        <f aca="false">IF(I773="Opening",K773,T772+K773-R773)</f>
        <v>55206.25</v>
      </c>
      <c r="U773" s="9" t="n">
        <f aca="false">IF(I773="Opening",L773,U772+L773-S773)</f>
        <v>1683334900.85899</v>
      </c>
      <c r="V773" s="9" t="n">
        <f aca="false">IF(T773&gt;0,U773/T773,IF(I773="Opening",0,V772))</f>
        <v>30491.7450625425</v>
      </c>
      <c r="W773" s="14" t="n">
        <f aca="false">M773</f>
        <v>0</v>
      </c>
      <c r="X773" s="9" t="n">
        <f aca="false">IF(W773=0,0,IF(O773="Booked",N773,W773*AA772))</f>
        <v>0</v>
      </c>
      <c r="Y773" s="14" t="n">
        <f aca="false">IF(I773="Opening",K773,Y772+K773-W773)</f>
        <v>55206.25</v>
      </c>
      <c r="Z773" s="9" t="n">
        <f aca="false">IF(I773="Opening",L773,Z772+L773-X773)</f>
        <v>1683334900.85899</v>
      </c>
      <c r="AA773" s="9" t="n">
        <f aca="false">IF(Y773&gt;0,Z773/Y773,IF(I773="Opening",0,AA772))</f>
        <v>30491.7450625425</v>
      </c>
      <c r="AB773" s="9" t="n">
        <f aca="false">IF(AND(I773="DO",O773="MA"),S773-N773,0)</f>
        <v>0</v>
      </c>
      <c r="AC773" s="9" t="n">
        <f aca="false">IF(I773="DO",X773-S773,0)</f>
        <v>0</v>
      </c>
      <c r="AD773" s="23" t="n">
        <f aca="false">IF(B774&lt;&gt;B773,1,0)</f>
        <v>0</v>
      </c>
      <c r="AE773" s="14" t="n">
        <f aca="false">IF(I773="Opening",0,AE772+W773)</f>
        <v>7444.2</v>
      </c>
      <c r="AF773" s="14" t="n">
        <f aca="false">IF(I773="Opening",K773,AF772)</f>
        <v>25015.13</v>
      </c>
      <c r="AG773" s="14" t="n">
        <f aca="false">AG772</f>
        <v>39499.64</v>
      </c>
      <c r="AH773" s="14" t="n">
        <f aca="false">IF(W773=0,0,MAX(0,MIN(AE773,AF773)-MIN(AE773-W773,AF773)))</f>
        <v>0</v>
      </c>
      <c r="AI773" s="14" t="n">
        <f aca="false">IF(W773=0,0,MAX(0,MIN(AE773,AF773+AG773)-MAX(AE773-W773,AF773)))</f>
        <v>0</v>
      </c>
      <c r="AJ773" s="14" t="n">
        <f aca="false">W773-AH773-AI773</f>
        <v>0</v>
      </c>
      <c r="AK773" s="9" t="n">
        <f aca="false">IF(W773=0,0,X773*AH773/W773)</f>
        <v>0</v>
      </c>
      <c r="AL773" s="9" t="n">
        <f aca="false">IF(W773=0,0,X773*AI773/W773)</f>
        <v>0</v>
      </c>
      <c r="AM773" s="9" t="n">
        <f aca="false">X773-AK773-AL773</f>
        <v>0</v>
      </c>
    </row>
    <row r="774" customFormat="false" ht="15" hidden="false" customHeight="false" outlineLevel="0" collapsed="false">
      <c r="A774" s="6" t="n">
        <v>769</v>
      </c>
      <c r="B774" s="74" t="s">
        <v>1019</v>
      </c>
      <c r="C774" s="53" t="str">
        <f aca="false">INDEX(I_Items!$C$5:$C$133,MATCH($B774,I_Items!$A$5:$A$133,0))</f>
        <v>Trading</v>
      </c>
      <c r="D774" s="53" t="str">
        <f aca="false">INDEX(I_Items!$D$5:$D$133,MATCH($B774,I_Items!$A$5:$A$133,0))</f>
        <v>BLD</v>
      </c>
      <c r="E774" s="53" t="str">
        <f aca="false">INDEX(I_Items!$F$5:$F$133,MATCH($B774,I_Items!$A$5:$A$133,0))</f>
        <v>Frozen</v>
      </c>
      <c r="F774" s="53" t="str">
        <f aca="false">IF(INDEX(I_Items!$E$5:$E$133,MATCH($B774,I_Items!$A$5:$A$133,0))="","",INDEX(I_Items!$E$5:$E$133,MATCH($B774,I_Items!$A$5:$A$133,0)))</f>
        <v/>
      </c>
      <c r="G774" s="76" t="n">
        <v>46214</v>
      </c>
      <c r="H774" s="23" t="n">
        <f aca="false">MONTH(G774)</f>
        <v>7</v>
      </c>
      <c r="I774" s="74" t="s">
        <v>2075</v>
      </c>
      <c r="J774" s="74" t="s">
        <v>2222</v>
      </c>
      <c r="K774" s="10" t="n">
        <v>0</v>
      </c>
      <c r="L774" s="8" t="n">
        <v>0</v>
      </c>
      <c r="M774" s="10" t="n">
        <v>515.3</v>
      </c>
      <c r="N774" s="8" t="n">
        <v>15712396.25</v>
      </c>
      <c r="O774" s="74" t="s">
        <v>2077</v>
      </c>
      <c r="P774" s="74"/>
      <c r="Q774" s="74"/>
      <c r="R774" s="14" t="n">
        <f aca="false">IF(I774="Unbilled",0,M774)</f>
        <v>515.3</v>
      </c>
      <c r="S774" s="9" t="n">
        <f aca="false">IF(R774=0,0,IF(O774="Booked",N774,R774*V773))</f>
        <v>15712396.2307282</v>
      </c>
      <c r="T774" s="14" t="n">
        <f aca="false">IF(I774="Opening",K774,T773+K774-R774)</f>
        <v>54690.95</v>
      </c>
      <c r="U774" s="9" t="n">
        <f aca="false">IF(I774="Opening",L774,U773+L774-S774)</f>
        <v>1667622504.62826</v>
      </c>
      <c r="V774" s="9" t="n">
        <f aca="false">IF(T774&gt;0,U774/T774,IF(I774="Opening",0,V773))</f>
        <v>30491.7450625425</v>
      </c>
      <c r="W774" s="14" t="n">
        <f aca="false">M774</f>
        <v>515.3</v>
      </c>
      <c r="X774" s="9" t="n">
        <f aca="false">IF(W774=0,0,IF(O774="Booked",N774,W774*AA773))</f>
        <v>15712396.2307282</v>
      </c>
      <c r="Y774" s="14" t="n">
        <f aca="false">IF(I774="Opening",K774,Y773+K774-W774)</f>
        <v>54690.95</v>
      </c>
      <c r="Z774" s="9" t="n">
        <f aca="false">IF(I774="Opening",L774,Z773+L774-X774)</f>
        <v>1667622504.62826</v>
      </c>
      <c r="AA774" s="9" t="n">
        <f aca="false">IF(Y774&gt;0,Z774/Y774,IF(I774="Opening",0,AA773))</f>
        <v>30491.7450625425</v>
      </c>
      <c r="AB774" s="9" t="n">
        <f aca="false">IF(AND(I774="DO",O774="MA"),S774-N774,0)</f>
        <v>-0.0192718356847763</v>
      </c>
      <c r="AC774" s="9" t="n">
        <f aca="false">IF(I774="DO",X774-S774,0)</f>
        <v>0</v>
      </c>
      <c r="AD774" s="23" t="n">
        <f aca="false">IF(B775&lt;&gt;B774,1,0)</f>
        <v>0</v>
      </c>
      <c r="AE774" s="14" t="n">
        <f aca="false">IF(I774="Opening",0,AE773+W774)</f>
        <v>7959.5</v>
      </c>
      <c r="AF774" s="14" t="n">
        <f aca="false">IF(I774="Opening",K774,AF773)</f>
        <v>25015.13</v>
      </c>
      <c r="AG774" s="14" t="n">
        <f aca="false">AG773</f>
        <v>39499.64</v>
      </c>
      <c r="AH774" s="14" t="n">
        <f aca="false">IF(W774=0,0,MAX(0,MIN(AE774,AF774)-MIN(AE774-W774,AF774)))</f>
        <v>515.3</v>
      </c>
      <c r="AI774" s="14" t="n">
        <f aca="false">IF(W774=0,0,MAX(0,MIN(AE774,AF774+AG774)-MAX(AE774-W774,AF774)))</f>
        <v>0</v>
      </c>
      <c r="AJ774" s="14" t="n">
        <f aca="false">W774-AH774-AI774</f>
        <v>0</v>
      </c>
      <c r="AK774" s="9" t="n">
        <f aca="false">IF(W774=0,0,X774*AH774/W774)</f>
        <v>15712396.2307282</v>
      </c>
      <c r="AL774" s="9" t="n">
        <f aca="false">IF(W774=0,0,X774*AI774/W774)</f>
        <v>0</v>
      </c>
      <c r="AM774" s="9" t="n">
        <f aca="false">X774-AK774-AL774</f>
        <v>0</v>
      </c>
    </row>
    <row r="775" customFormat="false" ht="15" hidden="false" customHeight="false" outlineLevel="0" collapsed="false">
      <c r="A775" s="6" t="n">
        <v>770</v>
      </c>
      <c r="B775" s="74" t="s">
        <v>1019</v>
      </c>
      <c r="C775" s="53" t="str">
        <f aca="false">INDEX(I_Items!$C$5:$C$133,MATCH($B775,I_Items!$A$5:$A$133,0))</f>
        <v>Trading</v>
      </c>
      <c r="D775" s="53" t="str">
        <f aca="false">INDEX(I_Items!$D$5:$D$133,MATCH($B775,I_Items!$A$5:$A$133,0))</f>
        <v>BLD</v>
      </c>
      <c r="E775" s="53" t="str">
        <f aca="false">INDEX(I_Items!$F$5:$F$133,MATCH($B775,I_Items!$A$5:$A$133,0))</f>
        <v>Frozen</v>
      </c>
      <c r="F775" s="53" t="str">
        <f aca="false">IF(INDEX(I_Items!$E$5:$E$133,MATCH($B775,I_Items!$A$5:$A$133,0))="","",INDEX(I_Items!$E$5:$E$133,MATCH($B775,I_Items!$A$5:$A$133,0)))</f>
        <v/>
      </c>
      <c r="G775" s="76" t="n">
        <v>46216</v>
      </c>
      <c r="H775" s="23" t="n">
        <f aca="false">MONTH(G775)</f>
        <v>7</v>
      </c>
      <c r="I775" s="74" t="s">
        <v>2074</v>
      </c>
      <c r="J775" s="74" t="s">
        <v>2223</v>
      </c>
      <c r="K775" s="10" t="n">
        <v>1864.32</v>
      </c>
      <c r="L775" s="8" t="n">
        <v>64319040</v>
      </c>
      <c r="M775" s="10" t="n">
        <v>0</v>
      </c>
      <c r="N775" s="8" t="n">
        <v>0</v>
      </c>
      <c r="O775" s="74"/>
      <c r="P775" s="74"/>
      <c r="Q775" s="74"/>
      <c r="R775" s="14" t="n">
        <f aca="false">IF(I775="Unbilled",0,M775)</f>
        <v>0</v>
      </c>
      <c r="S775" s="9" t="n">
        <f aca="false">IF(R775=0,0,IF(O775="Booked",N775,R775*V774))</f>
        <v>0</v>
      </c>
      <c r="T775" s="14" t="n">
        <f aca="false">IF(I775="Opening",K775,T774+K775-R775)</f>
        <v>56555.27</v>
      </c>
      <c r="U775" s="9" t="n">
        <f aca="false">IF(I775="Opening",L775,U774+L775-S775)</f>
        <v>1731941544.62826</v>
      </c>
      <c r="V775" s="9" t="n">
        <f aca="false">IF(T775&gt;0,U775/T775,IF(I775="Opening",0,V774))</f>
        <v>30623.8754518944</v>
      </c>
      <c r="W775" s="14" t="n">
        <f aca="false">M775</f>
        <v>0</v>
      </c>
      <c r="X775" s="9" t="n">
        <f aca="false">IF(W775=0,0,IF(O775="Booked",N775,W775*AA774))</f>
        <v>0</v>
      </c>
      <c r="Y775" s="14" t="n">
        <f aca="false">IF(I775="Opening",K775,Y774+K775-W775)</f>
        <v>56555.27</v>
      </c>
      <c r="Z775" s="9" t="n">
        <f aca="false">IF(I775="Opening",L775,Z774+L775-X775)</f>
        <v>1731941544.62826</v>
      </c>
      <c r="AA775" s="9" t="n">
        <f aca="false">IF(Y775&gt;0,Z775/Y775,IF(I775="Opening",0,AA774))</f>
        <v>30623.8754518944</v>
      </c>
      <c r="AB775" s="9" t="n">
        <f aca="false">IF(AND(I775="DO",O775="MA"),S775-N775,0)</f>
        <v>0</v>
      </c>
      <c r="AC775" s="9" t="n">
        <f aca="false">IF(I775="DO",X775-S775,0)</f>
        <v>0</v>
      </c>
      <c r="AD775" s="23" t="n">
        <f aca="false">IF(B776&lt;&gt;B775,1,0)</f>
        <v>0</v>
      </c>
      <c r="AE775" s="14" t="n">
        <f aca="false">IF(I775="Opening",0,AE774+W775)</f>
        <v>7959.5</v>
      </c>
      <c r="AF775" s="14" t="n">
        <f aca="false">IF(I775="Opening",K775,AF774)</f>
        <v>25015.13</v>
      </c>
      <c r="AG775" s="14" t="n">
        <f aca="false">AG774</f>
        <v>39499.64</v>
      </c>
      <c r="AH775" s="14" t="n">
        <f aca="false">IF(W775=0,0,MAX(0,MIN(AE775,AF775)-MIN(AE775-W775,AF775)))</f>
        <v>0</v>
      </c>
      <c r="AI775" s="14" t="n">
        <f aca="false">IF(W775=0,0,MAX(0,MIN(AE775,AF775+AG775)-MAX(AE775-W775,AF775)))</f>
        <v>0</v>
      </c>
      <c r="AJ775" s="14" t="n">
        <f aca="false">W775-AH775-AI775</f>
        <v>0</v>
      </c>
      <c r="AK775" s="9" t="n">
        <f aca="false">IF(W775=0,0,X775*AH775/W775)</f>
        <v>0</v>
      </c>
      <c r="AL775" s="9" t="n">
        <f aca="false">IF(W775=0,0,X775*AI775/W775)</f>
        <v>0</v>
      </c>
      <c r="AM775" s="9" t="n">
        <f aca="false">X775-AK775-AL775</f>
        <v>0</v>
      </c>
    </row>
    <row r="776" customFormat="false" ht="15" hidden="false" customHeight="false" outlineLevel="0" collapsed="false">
      <c r="A776" s="6" t="n">
        <v>771</v>
      </c>
      <c r="B776" s="74" t="s">
        <v>1019</v>
      </c>
      <c r="C776" s="53" t="str">
        <f aca="false">INDEX(I_Items!$C$5:$C$133,MATCH($B776,I_Items!$A$5:$A$133,0))</f>
        <v>Trading</v>
      </c>
      <c r="D776" s="53" t="str">
        <f aca="false">INDEX(I_Items!$D$5:$D$133,MATCH($B776,I_Items!$A$5:$A$133,0))</f>
        <v>BLD</v>
      </c>
      <c r="E776" s="53" t="str">
        <f aca="false">INDEX(I_Items!$F$5:$F$133,MATCH($B776,I_Items!$A$5:$A$133,0))</f>
        <v>Frozen</v>
      </c>
      <c r="F776" s="53" t="str">
        <f aca="false">IF(INDEX(I_Items!$E$5:$E$133,MATCH($B776,I_Items!$A$5:$A$133,0))="","",INDEX(I_Items!$E$5:$E$133,MATCH($B776,I_Items!$A$5:$A$133,0)))</f>
        <v/>
      </c>
      <c r="G776" s="76" t="n">
        <v>46217</v>
      </c>
      <c r="H776" s="23" t="n">
        <f aca="false">MONTH(G776)</f>
        <v>7</v>
      </c>
      <c r="I776" s="74" t="s">
        <v>2075</v>
      </c>
      <c r="J776" s="74" t="s">
        <v>2224</v>
      </c>
      <c r="K776" s="10" t="n">
        <v>0</v>
      </c>
      <c r="L776" s="8" t="n">
        <v>0</v>
      </c>
      <c r="M776" s="10" t="n">
        <v>1040.35</v>
      </c>
      <c r="N776" s="8" t="n">
        <v>31859548.88</v>
      </c>
      <c r="O776" s="74" t="s">
        <v>2077</v>
      </c>
      <c r="P776" s="74"/>
      <c r="Q776" s="74"/>
      <c r="R776" s="14" t="n">
        <f aca="false">IF(I776="Unbilled",0,M776)</f>
        <v>1040.35</v>
      </c>
      <c r="S776" s="9" t="n">
        <f aca="false">IF(R776=0,0,IF(O776="Booked",N776,R776*V775))</f>
        <v>31859548.8263784</v>
      </c>
      <c r="T776" s="14" t="n">
        <f aca="false">IF(I776="Opening",K776,T775+K776-R776)</f>
        <v>55514.92</v>
      </c>
      <c r="U776" s="9" t="n">
        <f aca="false">IF(I776="Opening",L776,U775+L776-S776)</f>
        <v>1700081995.80188</v>
      </c>
      <c r="V776" s="9" t="n">
        <f aca="false">IF(T776&gt;0,U776/T776,IF(I776="Opening",0,V775))</f>
        <v>30623.8754518944</v>
      </c>
      <c r="W776" s="14" t="n">
        <f aca="false">M776</f>
        <v>1040.35</v>
      </c>
      <c r="X776" s="9" t="n">
        <f aca="false">IF(W776=0,0,IF(O776="Booked",N776,W776*AA775))</f>
        <v>31859548.8263784</v>
      </c>
      <c r="Y776" s="14" t="n">
        <f aca="false">IF(I776="Opening",K776,Y775+K776-W776)</f>
        <v>55514.92</v>
      </c>
      <c r="Z776" s="9" t="n">
        <f aca="false">IF(I776="Opening",L776,Z775+L776-X776)</f>
        <v>1700081995.80188</v>
      </c>
      <c r="AA776" s="9" t="n">
        <f aca="false">IF(Y776&gt;0,Z776/Y776,IF(I776="Opening",0,AA775))</f>
        <v>30623.8754518944</v>
      </c>
      <c r="AB776" s="9" t="n">
        <f aca="false">IF(AND(I776="DO",O776="MA"),S776-N776,0)</f>
        <v>-0.0536216497421265</v>
      </c>
      <c r="AC776" s="9" t="n">
        <f aca="false">IF(I776="DO",X776-S776,0)</f>
        <v>0</v>
      </c>
      <c r="AD776" s="23" t="n">
        <f aca="false">IF(B777&lt;&gt;B776,1,0)</f>
        <v>0</v>
      </c>
      <c r="AE776" s="14" t="n">
        <f aca="false">IF(I776="Opening",0,AE775+W776)</f>
        <v>8999.85</v>
      </c>
      <c r="AF776" s="14" t="n">
        <f aca="false">IF(I776="Opening",K776,AF775)</f>
        <v>25015.13</v>
      </c>
      <c r="AG776" s="14" t="n">
        <f aca="false">AG775</f>
        <v>39499.64</v>
      </c>
      <c r="AH776" s="14" t="n">
        <f aca="false">IF(W776=0,0,MAX(0,MIN(AE776,AF776)-MIN(AE776-W776,AF776)))</f>
        <v>1040.35</v>
      </c>
      <c r="AI776" s="14" t="n">
        <f aca="false">IF(W776=0,0,MAX(0,MIN(AE776,AF776+AG776)-MAX(AE776-W776,AF776)))</f>
        <v>0</v>
      </c>
      <c r="AJ776" s="14" t="n">
        <f aca="false">W776-AH776-AI776</f>
        <v>0</v>
      </c>
      <c r="AK776" s="9" t="n">
        <f aca="false">IF(W776=0,0,X776*AH776/W776)</f>
        <v>31859548.8263784</v>
      </c>
      <c r="AL776" s="9" t="n">
        <f aca="false">IF(W776=0,0,X776*AI776/W776)</f>
        <v>0</v>
      </c>
      <c r="AM776" s="9" t="n">
        <f aca="false">X776-AK776-AL776</f>
        <v>0</v>
      </c>
    </row>
    <row r="777" customFormat="false" ht="15" hidden="false" customHeight="false" outlineLevel="0" collapsed="false">
      <c r="A777" s="6" t="n">
        <v>772</v>
      </c>
      <c r="B777" s="74" t="s">
        <v>1019</v>
      </c>
      <c r="C777" s="53" t="str">
        <f aca="false">INDEX(I_Items!$C$5:$C$133,MATCH($B777,I_Items!$A$5:$A$133,0))</f>
        <v>Trading</v>
      </c>
      <c r="D777" s="53" t="str">
        <f aca="false">INDEX(I_Items!$D$5:$D$133,MATCH($B777,I_Items!$A$5:$A$133,0))</f>
        <v>BLD</v>
      </c>
      <c r="E777" s="53" t="str">
        <f aca="false">INDEX(I_Items!$F$5:$F$133,MATCH($B777,I_Items!$A$5:$A$133,0))</f>
        <v>Frozen</v>
      </c>
      <c r="F777" s="53" t="str">
        <f aca="false">IF(INDEX(I_Items!$E$5:$E$133,MATCH($B777,I_Items!$A$5:$A$133,0))="","",INDEX(I_Items!$E$5:$E$133,MATCH($B777,I_Items!$A$5:$A$133,0)))</f>
        <v/>
      </c>
      <c r="G777" s="76" t="n">
        <v>46218</v>
      </c>
      <c r="H777" s="23" t="n">
        <f aca="false">MONTH(G777)</f>
        <v>7</v>
      </c>
      <c r="I777" s="74" t="s">
        <v>2075</v>
      </c>
      <c r="J777" s="74" t="s">
        <v>2225</v>
      </c>
      <c r="K777" s="10" t="n">
        <v>0</v>
      </c>
      <c r="L777" s="8" t="n">
        <v>0</v>
      </c>
      <c r="M777" s="10" t="n">
        <v>6084.42</v>
      </c>
      <c r="N777" s="8" t="n">
        <v>186328520.57</v>
      </c>
      <c r="O777" s="74" t="s">
        <v>2077</v>
      </c>
      <c r="P777" s="74"/>
      <c r="Q777" s="74"/>
      <c r="R777" s="14" t="n">
        <f aca="false">IF(I777="Unbilled",0,M777)</f>
        <v>6084.42</v>
      </c>
      <c r="S777" s="9" t="n">
        <f aca="false">IF(R777=0,0,IF(O777="Booked",N777,R777*V776))</f>
        <v>186328520.277015</v>
      </c>
      <c r="T777" s="14" t="n">
        <f aca="false">IF(I777="Opening",K777,T776+K777-R777)</f>
        <v>49430.5</v>
      </c>
      <c r="U777" s="9" t="n">
        <f aca="false">IF(I777="Opening",L777,U776+L777-S777)</f>
        <v>1513753475.52487</v>
      </c>
      <c r="V777" s="9" t="n">
        <f aca="false">IF(T777&gt;0,U777/T777,IF(I777="Opening",0,V776))</f>
        <v>30623.8754518944</v>
      </c>
      <c r="W777" s="14" t="n">
        <f aca="false">M777</f>
        <v>6084.42</v>
      </c>
      <c r="X777" s="9" t="n">
        <f aca="false">IF(W777=0,0,IF(O777="Booked",N777,W777*AA776))</f>
        <v>186328520.277015</v>
      </c>
      <c r="Y777" s="14" t="n">
        <f aca="false">IF(I777="Opening",K777,Y776+K777-W777)</f>
        <v>49430.5</v>
      </c>
      <c r="Z777" s="9" t="n">
        <f aca="false">IF(I777="Opening",L777,Z776+L777-X777)</f>
        <v>1513753475.52487</v>
      </c>
      <c r="AA777" s="9" t="n">
        <f aca="false">IF(Y777&gt;0,Z777/Y777,IF(I777="Opening",0,AA776))</f>
        <v>30623.8754518944</v>
      </c>
      <c r="AB777" s="9" t="n">
        <f aca="false">IF(AND(I777="DO",O777="MA"),S777-N777,0)</f>
        <v>-0.29298460483551</v>
      </c>
      <c r="AC777" s="9" t="n">
        <f aca="false">IF(I777="DO",X777-S777,0)</f>
        <v>0</v>
      </c>
      <c r="AD777" s="23" t="n">
        <f aca="false">IF(B778&lt;&gt;B777,1,0)</f>
        <v>0</v>
      </c>
      <c r="AE777" s="14" t="n">
        <f aca="false">IF(I777="Opening",0,AE776+W777)</f>
        <v>15084.27</v>
      </c>
      <c r="AF777" s="14" t="n">
        <f aca="false">IF(I777="Opening",K777,AF776)</f>
        <v>25015.13</v>
      </c>
      <c r="AG777" s="14" t="n">
        <f aca="false">AG776</f>
        <v>39499.64</v>
      </c>
      <c r="AH777" s="14" t="n">
        <f aca="false">IF(W777=0,0,MAX(0,MIN(AE777,AF777)-MIN(AE777-W777,AF777)))</f>
        <v>6084.42</v>
      </c>
      <c r="AI777" s="14" t="n">
        <f aca="false">IF(W777=0,0,MAX(0,MIN(AE777,AF777+AG777)-MAX(AE777-W777,AF777)))</f>
        <v>0</v>
      </c>
      <c r="AJ777" s="14" t="n">
        <f aca="false">W777-AH777-AI777</f>
        <v>0</v>
      </c>
      <c r="AK777" s="9" t="n">
        <f aca="false">IF(W777=0,0,X777*AH777/W777)</f>
        <v>186328520.277015</v>
      </c>
      <c r="AL777" s="9" t="n">
        <f aca="false">IF(W777=0,0,X777*AI777/W777)</f>
        <v>0</v>
      </c>
      <c r="AM777" s="9" t="n">
        <f aca="false">X777-AK777-AL777</f>
        <v>0</v>
      </c>
    </row>
    <row r="778" customFormat="false" ht="15" hidden="false" customHeight="false" outlineLevel="0" collapsed="false">
      <c r="A778" s="6" t="n">
        <v>773</v>
      </c>
      <c r="B778" s="74" t="s">
        <v>1019</v>
      </c>
      <c r="C778" s="53" t="str">
        <f aca="false">INDEX(I_Items!$C$5:$C$133,MATCH($B778,I_Items!$A$5:$A$133,0))</f>
        <v>Trading</v>
      </c>
      <c r="D778" s="53" t="str">
        <f aca="false">INDEX(I_Items!$D$5:$D$133,MATCH($B778,I_Items!$A$5:$A$133,0))</f>
        <v>BLD</v>
      </c>
      <c r="E778" s="53" t="str">
        <f aca="false">INDEX(I_Items!$F$5:$F$133,MATCH($B778,I_Items!$A$5:$A$133,0))</f>
        <v>Frozen</v>
      </c>
      <c r="F778" s="53" t="str">
        <f aca="false">IF(INDEX(I_Items!$E$5:$E$133,MATCH($B778,I_Items!$A$5:$A$133,0))="","",INDEX(I_Items!$E$5:$E$133,MATCH($B778,I_Items!$A$5:$A$133,0)))</f>
        <v/>
      </c>
      <c r="G778" s="76" t="n">
        <v>46219</v>
      </c>
      <c r="H778" s="23" t="n">
        <f aca="false">MONTH(G778)</f>
        <v>7</v>
      </c>
      <c r="I778" s="74" t="s">
        <v>2075</v>
      </c>
      <c r="J778" s="74" t="s">
        <v>2226</v>
      </c>
      <c r="K778" s="10" t="n">
        <v>0</v>
      </c>
      <c r="L778" s="8" t="n">
        <v>0</v>
      </c>
      <c r="M778" s="10" t="n">
        <v>1523.37</v>
      </c>
      <c r="N778" s="8" t="n">
        <v>46651493.22</v>
      </c>
      <c r="O778" s="74" t="s">
        <v>2077</v>
      </c>
      <c r="P778" s="74"/>
      <c r="Q778" s="74"/>
      <c r="R778" s="14" t="n">
        <f aca="false">IF(I778="Unbilled",0,M778)</f>
        <v>1523.37</v>
      </c>
      <c r="S778" s="9" t="n">
        <f aca="false">IF(R778=0,0,IF(O778="Booked",N778,R778*V777))</f>
        <v>46651493.1471524</v>
      </c>
      <c r="T778" s="14" t="n">
        <f aca="false">IF(I778="Opening",K778,T777+K778-R778)</f>
        <v>47907.13</v>
      </c>
      <c r="U778" s="9" t="n">
        <f aca="false">IF(I778="Opening",L778,U777+L778-S778)</f>
        <v>1467101982.37771</v>
      </c>
      <c r="V778" s="9" t="n">
        <f aca="false">IF(T778&gt;0,U778/T778,IF(I778="Opening",0,V777))</f>
        <v>30623.8754518944</v>
      </c>
      <c r="W778" s="14" t="n">
        <f aca="false">M778</f>
        <v>1523.37</v>
      </c>
      <c r="X778" s="9" t="n">
        <f aca="false">IF(W778=0,0,IF(O778="Booked",N778,W778*AA777))</f>
        <v>46651493.1471524</v>
      </c>
      <c r="Y778" s="14" t="n">
        <f aca="false">IF(I778="Opening",K778,Y777+K778-W778)</f>
        <v>47907.13</v>
      </c>
      <c r="Z778" s="9" t="n">
        <f aca="false">IF(I778="Opening",L778,Z777+L778-X778)</f>
        <v>1467101982.37771</v>
      </c>
      <c r="AA778" s="9" t="n">
        <f aca="false">IF(Y778&gt;0,Z778/Y778,IF(I778="Opening",0,AA777))</f>
        <v>30623.8754518944</v>
      </c>
      <c r="AB778" s="9" t="n">
        <f aca="false">IF(AND(I778="DO",O778="MA"),S778-N778,0)</f>
        <v>-0.0728476196527481</v>
      </c>
      <c r="AC778" s="9" t="n">
        <f aca="false">IF(I778="DO",X778-S778,0)</f>
        <v>0</v>
      </c>
      <c r="AD778" s="23" t="n">
        <f aca="false">IF(B779&lt;&gt;B778,1,0)</f>
        <v>0</v>
      </c>
      <c r="AE778" s="14" t="n">
        <f aca="false">IF(I778="Opening",0,AE777+W778)</f>
        <v>16607.64</v>
      </c>
      <c r="AF778" s="14" t="n">
        <f aca="false">IF(I778="Opening",K778,AF777)</f>
        <v>25015.13</v>
      </c>
      <c r="AG778" s="14" t="n">
        <f aca="false">AG777</f>
        <v>39499.64</v>
      </c>
      <c r="AH778" s="14" t="n">
        <f aca="false">IF(W778=0,0,MAX(0,MIN(AE778,AF778)-MIN(AE778-W778,AF778)))</f>
        <v>1523.37</v>
      </c>
      <c r="AI778" s="14" t="n">
        <f aca="false">IF(W778=0,0,MAX(0,MIN(AE778,AF778+AG778)-MAX(AE778-W778,AF778)))</f>
        <v>0</v>
      </c>
      <c r="AJ778" s="14" t="n">
        <f aca="false">W778-AH778-AI778</f>
        <v>0</v>
      </c>
      <c r="AK778" s="9" t="n">
        <f aca="false">IF(W778=0,0,X778*AH778/W778)</f>
        <v>46651493.1471524</v>
      </c>
      <c r="AL778" s="9" t="n">
        <f aca="false">IF(W778=0,0,X778*AI778/W778)</f>
        <v>0</v>
      </c>
      <c r="AM778" s="9" t="n">
        <f aca="false">X778-AK778-AL778</f>
        <v>0</v>
      </c>
    </row>
    <row r="779" customFormat="false" ht="15" hidden="false" customHeight="false" outlineLevel="0" collapsed="false">
      <c r="A779" s="6" t="n">
        <v>774</v>
      </c>
      <c r="B779" s="74" t="s">
        <v>1019</v>
      </c>
      <c r="C779" s="53" t="str">
        <f aca="false">INDEX(I_Items!$C$5:$C$133,MATCH($B779,I_Items!$A$5:$A$133,0))</f>
        <v>Trading</v>
      </c>
      <c r="D779" s="53" t="str">
        <f aca="false">INDEX(I_Items!$D$5:$D$133,MATCH($B779,I_Items!$A$5:$A$133,0))</f>
        <v>BLD</v>
      </c>
      <c r="E779" s="53" t="str">
        <f aca="false">INDEX(I_Items!$F$5:$F$133,MATCH($B779,I_Items!$A$5:$A$133,0))</f>
        <v>Frozen</v>
      </c>
      <c r="F779" s="53" t="str">
        <f aca="false">IF(INDEX(I_Items!$E$5:$E$133,MATCH($B779,I_Items!$A$5:$A$133,0))="","",INDEX(I_Items!$E$5:$E$133,MATCH($B779,I_Items!$A$5:$A$133,0)))</f>
        <v/>
      </c>
      <c r="G779" s="76" t="n">
        <v>46219</v>
      </c>
      <c r="H779" s="23" t="n">
        <f aca="false">MONTH(G779)</f>
        <v>7</v>
      </c>
      <c r="I779" s="74" t="s">
        <v>2075</v>
      </c>
      <c r="J779" s="74" t="s">
        <v>2227</v>
      </c>
      <c r="K779" s="10" t="n">
        <v>0</v>
      </c>
      <c r="L779" s="8" t="n">
        <v>0</v>
      </c>
      <c r="M779" s="10" t="n">
        <v>2014.8</v>
      </c>
      <c r="N779" s="8" t="n">
        <v>61700984.36</v>
      </c>
      <c r="O779" s="74" t="s">
        <v>2077</v>
      </c>
      <c r="P779" s="74"/>
      <c r="Q779" s="74"/>
      <c r="R779" s="14" t="n">
        <f aca="false">IF(I779="Unbilled",0,M779)</f>
        <v>2014.8</v>
      </c>
      <c r="S779" s="9" t="n">
        <f aca="false">IF(R779=0,0,IF(O779="Booked",N779,R779*V778))</f>
        <v>61700984.2604769</v>
      </c>
      <c r="T779" s="14" t="n">
        <f aca="false">IF(I779="Opening",K779,T778+K779-R779)</f>
        <v>45892.33</v>
      </c>
      <c r="U779" s="9" t="n">
        <f aca="false">IF(I779="Opening",L779,U778+L779-S779)</f>
        <v>1405400998.11724</v>
      </c>
      <c r="V779" s="9" t="n">
        <f aca="false">IF(T779&gt;0,U779/T779,IF(I779="Opening",0,V778))</f>
        <v>30623.8754518944</v>
      </c>
      <c r="W779" s="14" t="n">
        <f aca="false">M779</f>
        <v>2014.8</v>
      </c>
      <c r="X779" s="9" t="n">
        <f aca="false">IF(W779=0,0,IF(O779="Booked",N779,W779*AA778))</f>
        <v>61700984.2604769</v>
      </c>
      <c r="Y779" s="14" t="n">
        <f aca="false">IF(I779="Opening",K779,Y778+K779-W779)</f>
        <v>45892.33</v>
      </c>
      <c r="Z779" s="9" t="n">
        <f aca="false">IF(I779="Opening",L779,Z778+L779-X779)</f>
        <v>1405400998.11724</v>
      </c>
      <c r="AA779" s="9" t="n">
        <f aca="false">IF(Y779&gt;0,Z779/Y779,IF(I779="Opening",0,AA778))</f>
        <v>30623.8754518944</v>
      </c>
      <c r="AB779" s="9" t="n">
        <f aca="false">IF(AND(I779="DO",O779="MA"),S779-N779,0)</f>
        <v>-0.0995231494307518</v>
      </c>
      <c r="AC779" s="9" t="n">
        <f aca="false">IF(I779="DO",X779-S779,0)</f>
        <v>0</v>
      </c>
      <c r="AD779" s="23" t="n">
        <f aca="false">IF(B780&lt;&gt;B779,1,0)</f>
        <v>0</v>
      </c>
      <c r="AE779" s="14" t="n">
        <f aca="false">IF(I779="Opening",0,AE778+W779)</f>
        <v>18622.44</v>
      </c>
      <c r="AF779" s="14" t="n">
        <f aca="false">IF(I779="Opening",K779,AF778)</f>
        <v>25015.13</v>
      </c>
      <c r="AG779" s="14" t="n">
        <f aca="false">AG778</f>
        <v>39499.64</v>
      </c>
      <c r="AH779" s="14" t="n">
        <f aca="false">IF(W779=0,0,MAX(0,MIN(AE779,AF779)-MIN(AE779-W779,AF779)))</f>
        <v>2014.8</v>
      </c>
      <c r="AI779" s="14" t="n">
        <f aca="false">IF(W779=0,0,MAX(0,MIN(AE779,AF779+AG779)-MAX(AE779-W779,AF779)))</f>
        <v>0</v>
      </c>
      <c r="AJ779" s="14" t="n">
        <f aca="false">W779-AH779-AI779</f>
        <v>0</v>
      </c>
      <c r="AK779" s="9" t="n">
        <f aca="false">IF(W779=0,0,X779*AH779/W779)</f>
        <v>61700984.2604768</v>
      </c>
      <c r="AL779" s="9" t="n">
        <f aca="false">IF(W779=0,0,X779*AI779/W779)</f>
        <v>0</v>
      </c>
      <c r="AM779" s="9" t="n">
        <f aca="false">X779-AK779-AL779</f>
        <v>0</v>
      </c>
    </row>
    <row r="780" customFormat="false" ht="15" hidden="false" customHeight="false" outlineLevel="0" collapsed="false">
      <c r="A780" s="6" t="n">
        <v>775</v>
      </c>
      <c r="B780" s="74" t="s">
        <v>1019</v>
      </c>
      <c r="C780" s="53" t="str">
        <f aca="false">INDEX(I_Items!$C$5:$C$133,MATCH($B780,I_Items!$A$5:$A$133,0))</f>
        <v>Trading</v>
      </c>
      <c r="D780" s="53" t="str">
        <f aca="false">INDEX(I_Items!$D$5:$D$133,MATCH($B780,I_Items!$A$5:$A$133,0))</f>
        <v>BLD</v>
      </c>
      <c r="E780" s="53" t="str">
        <f aca="false">INDEX(I_Items!$F$5:$F$133,MATCH($B780,I_Items!$A$5:$A$133,0))</f>
        <v>Frozen</v>
      </c>
      <c r="F780" s="53" t="str">
        <f aca="false">IF(INDEX(I_Items!$E$5:$E$133,MATCH($B780,I_Items!$A$5:$A$133,0))="","",INDEX(I_Items!$E$5:$E$133,MATCH($B780,I_Items!$A$5:$A$133,0)))</f>
        <v/>
      </c>
      <c r="G780" s="76" t="n">
        <v>46223</v>
      </c>
      <c r="H780" s="23" t="n">
        <f aca="false">MONTH(G780)</f>
        <v>7</v>
      </c>
      <c r="I780" s="74" t="s">
        <v>2075</v>
      </c>
      <c r="J780" s="74" t="s">
        <v>2228</v>
      </c>
      <c r="K780" s="10" t="n">
        <v>0</v>
      </c>
      <c r="L780" s="8" t="n">
        <v>0</v>
      </c>
      <c r="M780" s="10" t="n">
        <v>4031.5</v>
      </c>
      <c r="N780" s="8" t="n">
        <v>123460154.08</v>
      </c>
      <c r="O780" s="74" t="s">
        <v>2077</v>
      </c>
      <c r="P780" s="74"/>
      <c r="Q780" s="74"/>
      <c r="R780" s="14" t="n">
        <f aca="false">IF(I780="Unbilled",0,M780)</f>
        <v>4031.5</v>
      </c>
      <c r="S780" s="9" t="n">
        <f aca="false">IF(R780=0,0,IF(O780="Booked",N780,R780*V779))</f>
        <v>123460153.884312</v>
      </c>
      <c r="T780" s="14" t="n">
        <f aca="false">IF(I780="Opening",K780,T779+K780-R780)</f>
        <v>41860.83</v>
      </c>
      <c r="U780" s="9" t="n">
        <f aca="false">IF(I780="Opening",L780,U779+L780-S780)</f>
        <v>1281940844.23292</v>
      </c>
      <c r="V780" s="9" t="n">
        <f aca="false">IF(T780&gt;0,U780/T780,IF(I780="Opening",0,V779))</f>
        <v>30623.8754518944</v>
      </c>
      <c r="W780" s="14" t="n">
        <f aca="false">M780</f>
        <v>4031.5</v>
      </c>
      <c r="X780" s="9" t="n">
        <f aca="false">IF(W780=0,0,IF(O780="Booked",N780,W780*AA779))</f>
        <v>123460153.884312</v>
      </c>
      <c r="Y780" s="14" t="n">
        <f aca="false">IF(I780="Opening",K780,Y779+K780-W780)</f>
        <v>41860.83</v>
      </c>
      <c r="Z780" s="9" t="n">
        <f aca="false">IF(I780="Opening",L780,Z779+L780-X780)</f>
        <v>1281940844.23292</v>
      </c>
      <c r="AA780" s="9" t="n">
        <f aca="false">IF(Y780&gt;0,Z780/Y780,IF(I780="Opening",0,AA779))</f>
        <v>30623.8754518944</v>
      </c>
      <c r="AB780" s="9" t="n">
        <f aca="false">IF(AND(I780="DO",O780="MA"),S780-N780,0)</f>
        <v>-0.195687681436539</v>
      </c>
      <c r="AC780" s="9" t="n">
        <f aca="false">IF(I780="DO",X780-S780,0)</f>
        <v>0</v>
      </c>
      <c r="AD780" s="23" t="n">
        <f aca="false">IF(B781&lt;&gt;B780,1,0)</f>
        <v>0</v>
      </c>
      <c r="AE780" s="14" t="n">
        <f aca="false">IF(I780="Opening",0,AE779+W780)</f>
        <v>22653.94</v>
      </c>
      <c r="AF780" s="14" t="n">
        <f aca="false">IF(I780="Opening",K780,AF779)</f>
        <v>25015.13</v>
      </c>
      <c r="AG780" s="14" t="n">
        <f aca="false">AG779</f>
        <v>39499.64</v>
      </c>
      <c r="AH780" s="14" t="n">
        <f aca="false">IF(W780=0,0,MAX(0,MIN(AE780,AF780)-MIN(AE780-W780,AF780)))</f>
        <v>4031.5</v>
      </c>
      <c r="AI780" s="14" t="n">
        <f aca="false">IF(W780=0,0,MAX(0,MIN(AE780,AF780+AG780)-MAX(AE780-W780,AF780)))</f>
        <v>0</v>
      </c>
      <c r="AJ780" s="14" t="n">
        <f aca="false">W780-AH780-AI780</f>
        <v>0</v>
      </c>
      <c r="AK780" s="9" t="n">
        <f aca="false">IF(W780=0,0,X780*AH780/W780)</f>
        <v>123460153.884312</v>
      </c>
      <c r="AL780" s="9" t="n">
        <f aca="false">IF(W780=0,0,X780*AI780/W780)</f>
        <v>0</v>
      </c>
      <c r="AM780" s="9" t="n">
        <f aca="false">X780-AK780-AL780</f>
        <v>0</v>
      </c>
    </row>
    <row r="781" customFormat="false" ht="15" hidden="false" customHeight="false" outlineLevel="0" collapsed="false">
      <c r="A781" s="6" t="n">
        <v>776</v>
      </c>
      <c r="B781" s="74" t="s">
        <v>1019</v>
      </c>
      <c r="C781" s="53" t="str">
        <f aca="false">INDEX(I_Items!$C$5:$C$133,MATCH($B781,I_Items!$A$5:$A$133,0))</f>
        <v>Trading</v>
      </c>
      <c r="D781" s="53" t="str">
        <f aca="false">INDEX(I_Items!$D$5:$D$133,MATCH($B781,I_Items!$A$5:$A$133,0))</f>
        <v>BLD</v>
      </c>
      <c r="E781" s="53" t="str">
        <f aca="false">INDEX(I_Items!$F$5:$F$133,MATCH($B781,I_Items!$A$5:$A$133,0))</f>
        <v>Frozen</v>
      </c>
      <c r="F781" s="53" t="str">
        <f aca="false">IF(INDEX(I_Items!$E$5:$E$133,MATCH($B781,I_Items!$A$5:$A$133,0))="","",INDEX(I_Items!$E$5:$E$133,MATCH($B781,I_Items!$A$5:$A$133,0)))</f>
        <v/>
      </c>
      <c r="G781" s="76" t="n">
        <v>46224</v>
      </c>
      <c r="H781" s="23" t="n">
        <f aca="false">MONTH(G781)</f>
        <v>7</v>
      </c>
      <c r="I781" s="74" t="s">
        <v>2075</v>
      </c>
      <c r="J781" s="74" t="s">
        <v>2229</v>
      </c>
      <c r="K781" s="10" t="n">
        <v>0</v>
      </c>
      <c r="L781" s="8" t="n">
        <v>0</v>
      </c>
      <c r="M781" s="10" t="n">
        <v>2010.47</v>
      </c>
      <c r="N781" s="8" t="n">
        <v>61568382.98</v>
      </c>
      <c r="O781" s="74" t="s">
        <v>2077</v>
      </c>
      <c r="P781" s="74"/>
      <c r="Q781" s="74"/>
      <c r="R781" s="14" t="n">
        <f aca="false">IF(I781="Unbilled",0,M781)</f>
        <v>2010.47</v>
      </c>
      <c r="S781" s="9" t="n">
        <f aca="false">IF(R781=0,0,IF(O781="Booked",N781,R781*V780))</f>
        <v>61568382.8797702</v>
      </c>
      <c r="T781" s="14" t="n">
        <f aca="false">IF(I781="Opening",K781,T780+K781-R781)</f>
        <v>39850.36</v>
      </c>
      <c r="U781" s="9" t="n">
        <f aca="false">IF(I781="Opening",L781,U780+L781-S781)</f>
        <v>1220372461.35315</v>
      </c>
      <c r="V781" s="9" t="n">
        <f aca="false">IF(T781&gt;0,U781/T781,IF(I781="Opening",0,V780))</f>
        <v>30623.8754518944</v>
      </c>
      <c r="W781" s="14" t="n">
        <f aca="false">M781</f>
        <v>2010.47</v>
      </c>
      <c r="X781" s="9" t="n">
        <f aca="false">IF(W781=0,0,IF(O781="Booked",N781,W781*AA780))</f>
        <v>61568382.8797702</v>
      </c>
      <c r="Y781" s="14" t="n">
        <f aca="false">IF(I781="Opening",K781,Y780+K781-W781)</f>
        <v>39850.36</v>
      </c>
      <c r="Z781" s="9" t="n">
        <f aca="false">IF(I781="Opening",L781,Z780+L781-X781)</f>
        <v>1220372461.35315</v>
      </c>
      <c r="AA781" s="9" t="n">
        <f aca="false">IF(Y781&gt;0,Z781/Y781,IF(I781="Opening",0,AA780))</f>
        <v>30623.8754518944</v>
      </c>
      <c r="AB781" s="9" t="n">
        <f aca="false">IF(AND(I781="DO",O781="MA"),S781-N781,0)</f>
        <v>-0.10022983700037</v>
      </c>
      <c r="AC781" s="9" t="n">
        <f aca="false">IF(I781="DO",X781-S781,0)</f>
        <v>0</v>
      </c>
      <c r="AD781" s="23" t="n">
        <f aca="false">IF(B782&lt;&gt;B781,1,0)</f>
        <v>0</v>
      </c>
      <c r="AE781" s="14" t="n">
        <f aca="false">IF(I781="Opening",0,AE780+W781)</f>
        <v>24664.41</v>
      </c>
      <c r="AF781" s="14" t="n">
        <f aca="false">IF(I781="Opening",K781,AF780)</f>
        <v>25015.13</v>
      </c>
      <c r="AG781" s="14" t="n">
        <f aca="false">AG780</f>
        <v>39499.64</v>
      </c>
      <c r="AH781" s="14" t="n">
        <f aca="false">IF(W781=0,0,MAX(0,MIN(AE781,AF781)-MIN(AE781-W781,AF781)))</f>
        <v>2010.47</v>
      </c>
      <c r="AI781" s="14" t="n">
        <f aca="false">IF(W781=0,0,MAX(0,MIN(AE781,AF781+AG781)-MAX(AE781-W781,AF781)))</f>
        <v>0</v>
      </c>
      <c r="AJ781" s="14" t="n">
        <f aca="false">W781-AH781-AI781</f>
        <v>0</v>
      </c>
      <c r="AK781" s="9" t="n">
        <f aca="false">IF(W781=0,0,X781*AH781/W781)</f>
        <v>61568382.8797702</v>
      </c>
      <c r="AL781" s="9" t="n">
        <f aca="false">IF(W781=0,0,X781*AI781/W781)</f>
        <v>0</v>
      </c>
      <c r="AM781" s="9" t="n">
        <f aca="false">X781-AK781-AL781</f>
        <v>0</v>
      </c>
    </row>
    <row r="782" customFormat="false" ht="15" hidden="false" customHeight="false" outlineLevel="0" collapsed="false">
      <c r="A782" s="6" t="n">
        <v>777</v>
      </c>
      <c r="B782" s="74" t="s">
        <v>1019</v>
      </c>
      <c r="C782" s="53" t="str">
        <f aca="false">INDEX(I_Items!$C$5:$C$133,MATCH($B782,I_Items!$A$5:$A$133,0))</f>
        <v>Trading</v>
      </c>
      <c r="D782" s="53" t="str">
        <f aca="false">INDEX(I_Items!$D$5:$D$133,MATCH($B782,I_Items!$A$5:$A$133,0))</f>
        <v>BLD</v>
      </c>
      <c r="E782" s="53" t="str">
        <f aca="false">INDEX(I_Items!$F$5:$F$133,MATCH($B782,I_Items!$A$5:$A$133,0))</f>
        <v>Frozen</v>
      </c>
      <c r="F782" s="53" t="str">
        <f aca="false">IF(INDEX(I_Items!$E$5:$E$133,MATCH($B782,I_Items!$A$5:$A$133,0))="","",INDEX(I_Items!$E$5:$E$133,MATCH($B782,I_Items!$A$5:$A$133,0)))</f>
        <v/>
      </c>
      <c r="G782" s="76" t="n">
        <v>46226</v>
      </c>
      <c r="H782" s="23" t="n">
        <f aca="false">MONTH(G782)</f>
        <v>7</v>
      </c>
      <c r="I782" s="74" t="s">
        <v>2075</v>
      </c>
      <c r="J782" s="74" t="s">
        <v>2230</v>
      </c>
      <c r="K782" s="10" t="n">
        <v>0</v>
      </c>
      <c r="L782" s="8" t="n">
        <v>0</v>
      </c>
      <c r="M782" s="10" t="n">
        <v>304.11</v>
      </c>
      <c r="N782" s="8" t="n">
        <v>9313026.78</v>
      </c>
      <c r="O782" s="74" t="s">
        <v>2077</v>
      </c>
      <c r="P782" s="74"/>
      <c r="Q782" s="74"/>
      <c r="R782" s="14" t="n">
        <f aca="false">IF(I782="Unbilled",0,M782)</f>
        <v>304.11</v>
      </c>
      <c r="S782" s="9" t="n">
        <f aca="false">IF(R782=0,0,IF(O782="Booked",N782,R782*V781))</f>
        <v>9313026.76367561</v>
      </c>
      <c r="T782" s="14" t="n">
        <f aca="false">IF(I782="Opening",K782,T781+K782-R782)</f>
        <v>39546.25</v>
      </c>
      <c r="U782" s="9" t="n">
        <f aca="false">IF(I782="Opening",L782,U781+L782-S782)</f>
        <v>1211059434.58948</v>
      </c>
      <c r="V782" s="9" t="n">
        <f aca="false">IF(T782&gt;0,U782/T782,IF(I782="Opening",0,V781))</f>
        <v>30623.8754518944</v>
      </c>
      <c r="W782" s="14" t="n">
        <f aca="false">M782</f>
        <v>304.11</v>
      </c>
      <c r="X782" s="9" t="n">
        <f aca="false">IF(W782=0,0,IF(O782="Booked",N782,W782*AA781))</f>
        <v>9313026.76367561</v>
      </c>
      <c r="Y782" s="14" t="n">
        <f aca="false">IF(I782="Opening",K782,Y781+K782-W782)</f>
        <v>39546.25</v>
      </c>
      <c r="Z782" s="9" t="n">
        <f aca="false">IF(I782="Opening",L782,Z781+L782-X782)</f>
        <v>1211059434.58948</v>
      </c>
      <c r="AA782" s="9" t="n">
        <f aca="false">IF(Y782&gt;0,Z782/Y782,IF(I782="Opening",0,AA781))</f>
        <v>30623.8754518944</v>
      </c>
      <c r="AB782" s="9" t="n">
        <f aca="false">IF(AND(I782="DO",O782="MA"),S782-N782,0)</f>
        <v>-0.0163243878632784</v>
      </c>
      <c r="AC782" s="9" t="n">
        <f aca="false">IF(I782="DO",X782-S782,0)</f>
        <v>0</v>
      </c>
      <c r="AD782" s="23" t="n">
        <f aca="false">IF(B783&lt;&gt;B782,1,0)</f>
        <v>0</v>
      </c>
      <c r="AE782" s="14" t="n">
        <f aca="false">IF(I782="Opening",0,AE781+W782)</f>
        <v>24968.52</v>
      </c>
      <c r="AF782" s="14" t="n">
        <f aca="false">IF(I782="Opening",K782,AF781)</f>
        <v>25015.13</v>
      </c>
      <c r="AG782" s="14" t="n">
        <f aca="false">AG781</f>
        <v>39499.64</v>
      </c>
      <c r="AH782" s="14" t="n">
        <f aca="false">IF(W782=0,0,MAX(0,MIN(AE782,AF782)-MIN(AE782-W782,AF782)))</f>
        <v>304.110000000001</v>
      </c>
      <c r="AI782" s="14" t="n">
        <f aca="false">IF(W782=0,0,MAX(0,MIN(AE782,AF782+AG782)-MAX(AE782-W782,AF782)))</f>
        <v>0</v>
      </c>
      <c r="AJ782" s="14" t="n">
        <f aca="false">W782-AH782-AI782</f>
        <v>0</v>
      </c>
      <c r="AK782" s="9" t="n">
        <f aca="false">IF(W782=0,0,X782*AH782/W782)</f>
        <v>9313026.76367563</v>
      </c>
      <c r="AL782" s="9" t="n">
        <f aca="false">IF(W782=0,0,X782*AI782/W782)</f>
        <v>0</v>
      </c>
      <c r="AM782" s="9" t="n">
        <f aca="false">X782-AK782-AL782</f>
        <v>0</v>
      </c>
    </row>
    <row r="783" customFormat="false" ht="15" hidden="false" customHeight="false" outlineLevel="0" collapsed="false">
      <c r="A783" s="6" t="n">
        <v>778</v>
      </c>
      <c r="B783" s="74" t="s">
        <v>1019</v>
      </c>
      <c r="C783" s="53" t="str">
        <f aca="false">INDEX(I_Items!$C$5:$C$133,MATCH($B783,I_Items!$A$5:$A$133,0))</f>
        <v>Trading</v>
      </c>
      <c r="D783" s="53" t="str">
        <f aca="false">INDEX(I_Items!$D$5:$D$133,MATCH($B783,I_Items!$A$5:$A$133,0))</f>
        <v>BLD</v>
      </c>
      <c r="E783" s="53" t="str">
        <f aca="false">INDEX(I_Items!$F$5:$F$133,MATCH($B783,I_Items!$A$5:$A$133,0))</f>
        <v>Frozen</v>
      </c>
      <c r="F783" s="53" t="str">
        <f aca="false">IF(INDEX(I_Items!$E$5:$E$133,MATCH($B783,I_Items!$A$5:$A$133,0))="","",INDEX(I_Items!$E$5:$E$133,MATCH($B783,I_Items!$A$5:$A$133,0)))</f>
        <v/>
      </c>
      <c r="G783" s="76" t="n">
        <v>46227</v>
      </c>
      <c r="H783" s="23" t="n">
        <f aca="false">MONTH(G783)</f>
        <v>7</v>
      </c>
      <c r="I783" s="74" t="s">
        <v>2075</v>
      </c>
      <c r="J783" s="74" t="s">
        <v>2231</v>
      </c>
      <c r="K783" s="10" t="n">
        <v>0</v>
      </c>
      <c r="L783" s="8" t="n">
        <v>0</v>
      </c>
      <c r="M783" s="10" t="n">
        <v>1508.62</v>
      </c>
      <c r="N783" s="8" t="n">
        <v>46199791.06</v>
      </c>
      <c r="O783" s="74" t="s">
        <v>2077</v>
      </c>
      <c r="P783" s="74"/>
      <c r="Q783" s="74"/>
      <c r="R783" s="14" t="n">
        <f aca="false">IF(I783="Unbilled",0,M783)</f>
        <v>1508.62</v>
      </c>
      <c r="S783" s="9" t="n">
        <f aca="false">IF(R783=0,0,IF(O783="Booked",N783,R783*V782))</f>
        <v>46199790.9842369</v>
      </c>
      <c r="T783" s="14" t="n">
        <f aca="false">IF(I783="Opening",K783,T782+K783-R783)</f>
        <v>38037.63</v>
      </c>
      <c r="U783" s="9" t="n">
        <f aca="false">IF(I783="Opening",L783,U782+L783-S783)</f>
        <v>1164859643.60524</v>
      </c>
      <c r="V783" s="9" t="n">
        <f aca="false">IF(T783&gt;0,U783/T783,IF(I783="Opening",0,V782))</f>
        <v>30623.8754518944</v>
      </c>
      <c r="W783" s="14" t="n">
        <f aca="false">M783</f>
        <v>1508.62</v>
      </c>
      <c r="X783" s="9" t="n">
        <f aca="false">IF(W783=0,0,IF(O783="Booked",N783,W783*AA782))</f>
        <v>46199790.9842369</v>
      </c>
      <c r="Y783" s="14" t="n">
        <f aca="false">IF(I783="Opening",K783,Y782+K783-W783)</f>
        <v>38037.63</v>
      </c>
      <c r="Z783" s="9" t="n">
        <f aca="false">IF(I783="Opening",L783,Z782+L783-X783)</f>
        <v>1164859643.60524</v>
      </c>
      <c r="AA783" s="9" t="n">
        <f aca="false">IF(Y783&gt;0,Z783/Y783,IF(I783="Opening",0,AA782))</f>
        <v>30623.8754518944</v>
      </c>
      <c r="AB783" s="9" t="n">
        <f aca="false">IF(AND(I783="DO",O783="MA"),S783-N783,0)</f>
        <v>-0.0757630616426468</v>
      </c>
      <c r="AC783" s="9" t="n">
        <f aca="false">IF(I783="DO",X783-S783,0)</f>
        <v>0</v>
      </c>
      <c r="AD783" s="23" t="n">
        <f aca="false">IF(B784&lt;&gt;B783,1,0)</f>
        <v>0</v>
      </c>
      <c r="AE783" s="14" t="n">
        <f aca="false">IF(I783="Opening",0,AE782+W783)</f>
        <v>26477.14</v>
      </c>
      <c r="AF783" s="14" t="n">
        <f aca="false">IF(I783="Opening",K783,AF782)</f>
        <v>25015.13</v>
      </c>
      <c r="AG783" s="14" t="n">
        <f aca="false">AG782</f>
        <v>39499.64</v>
      </c>
      <c r="AH783" s="14" t="n">
        <f aca="false">IF(W783=0,0,MAX(0,MIN(AE783,AF783)-MIN(AE783-W783,AF783)))</f>
        <v>46.6100000000006</v>
      </c>
      <c r="AI783" s="14" t="n">
        <f aca="false">IF(W783=0,0,MAX(0,MIN(AE783,AF783+AG783)-MAX(AE783-W783,AF783)))</f>
        <v>1462.01</v>
      </c>
      <c r="AJ783" s="14" t="n">
        <f aca="false">W783-AH783-AI783</f>
        <v>0</v>
      </c>
      <c r="AK783" s="9" t="n">
        <f aca="false">IF(W783=0,0,X783*AH783/W783)</f>
        <v>1427378.83481282</v>
      </c>
      <c r="AL783" s="9" t="n">
        <f aca="false">IF(W783=0,0,X783*AI783/W783)</f>
        <v>44772412.1494241</v>
      </c>
      <c r="AM783" s="9" t="n">
        <f aca="false">X783-AK783-AL783</f>
        <v>0</v>
      </c>
    </row>
    <row r="784" customFormat="false" ht="15" hidden="false" customHeight="false" outlineLevel="0" collapsed="false">
      <c r="A784" s="6" t="n">
        <v>779</v>
      </c>
      <c r="B784" s="74" t="s">
        <v>1019</v>
      </c>
      <c r="C784" s="53" t="str">
        <f aca="false">INDEX(I_Items!$C$5:$C$133,MATCH($B784,I_Items!$A$5:$A$133,0))</f>
        <v>Trading</v>
      </c>
      <c r="D784" s="53" t="str">
        <f aca="false">INDEX(I_Items!$D$5:$D$133,MATCH($B784,I_Items!$A$5:$A$133,0))</f>
        <v>BLD</v>
      </c>
      <c r="E784" s="53" t="str">
        <f aca="false">INDEX(I_Items!$F$5:$F$133,MATCH($B784,I_Items!$A$5:$A$133,0))</f>
        <v>Frozen</v>
      </c>
      <c r="F784" s="53" t="str">
        <f aca="false">IF(INDEX(I_Items!$E$5:$E$133,MATCH($B784,I_Items!$A$5:$A$133,0))="","",INDEX(I_Items!$E$5:$E$133,MATCH($B784,I_Items!$A$5:$A$133,0)))</f>
        <v/>
      </c>
      <c r="G784" s="76" t="n">
        <v>46228</v>
      </c>
      <c r="H784" s="23" t="n">
        <f aca="false">MONTH(G784)</f>
        <v>7</v>
      </c>
      <c r="I784" s="74" t="s">
        <v>2075</v>
      </c>
      <c r="J784" s="74" t="s">
        <v>2232</v>
      </c>
      <c r="K784" s="10" t="n">
        <v>0</v>
      </c>
      <c r="L784" s="8" t="n">
        <v>0</v>
      </c>
      <c r="M784" s="10" t="n">
        <v>1867.78</v>
      </c>
      <c r="N784" s="8" t="n">
        <v>57198662.18</v>
      </c>
      <c r="O784" s="74" t="s">
        <v>2077</v>
      </c>
      <c r="P784" s="74"/>
      <c r="Q784" s="74"/>
      <c r="R784" s="14" t="n">
        <f aca="false">IF(I784="Unbilled",0,M784)</f>
        <v>1867.78</v>
      </c>
      <c r="S784" s="9" t="n">
        <f aca="false">IF(R784=0,0,IF(O784="Booked",N784,R784*V783))</f>
        <v>57198662.0915394</v>
      </c>
      <c r="T784" s="14" t="n">
        <f aca="false">IF(I784="Opening",K784,T783+K784-R784)</f>
        <v>36169.85</v>
      </c>
      <c r="U784" s="9" t="n">
        <f aca="false">IF(I784="Opening",L784,U783+L784-S784)</f>
        <v>1107660981.5137</v>
      </c>
      <c r="V784" s="9" t="n">
        <f aca="false">IF(T784&gt;0,U784/T784,IF(I784="Opening",0,V783))</f>
        <v>30623.8754518944</v>
      </c>
      <c r="W784" s="14" t="n">
        <f aca="false">M784</f>
        <v>1867.78</v>
      </c>
      <c r="X784" s="9" t="n">
        <f aca="false">IF(W784=0,0,IF(O784="Booked",N784,W784*AA783))</f>
        <v>57198662.0915394</v>
      </c>
      <c r="Y784" s="14" t="n">
        <f aca="false">IF(I784="Opening",K784,Y783+K784-W784)</f>
        <v>36169.85</v>
      </c>
      <c r="Z784" s="9" t="n">
        <f aca="false">IF(I784="Opening",L784,Z783+L784-X784)</f>
        <v>1107660981.5137</v>
      </c>
      <c r="AA784" s="9" t="n">
        <f aca="false">IF(Y784&gt;0,Z784/Y784,IF(I784="Opening",0,AA783))</f>
        <v>30623.8754518944</v>
      </c>
      <c r="AB784" s="9" t="n">
        <f aca="false">IF(AND(I784="DO",O784="MA"),S784-N784,0)</f>
        <v>-0.0884606465697289</v>
      </c>
      <c r="AC784" s="9" t="n">
        <f aca="false">IF(I784="DO",X784-S784,0)</f>
        <v>0</v>
      </c>
      <c r="AD784" s="23" t="n">
        <f aca="false">IF(B785&lt;&gt;B784,1,0)</f>
        <v>0</v>
      </c>
      <c r="AE784" s="14" t="n">
        <f aca="false">IF(I784="Opening",0,AE783+W784)</f>
        <v>28344.92</v>
      </c>
      <c r="AF784" s="14" t="n">
        <f aca="false">IF(I784="Opening",K784,AF783)</f>
        <v>25015.13</v>
      </c>
      <c r="AG784" s="14" t="n">
        <f aca="false">AG783</f>
        <v>39499.64</v>
      </c>
      <c r="AH784" s="14" t="n">
        <f aca="false">IF(W784=0,0,MAX(0,MIN(AE784,AF784)-MIN(AE784-W784,AF784)))</f>
        <v>0</v>
      </c>
      <c r="AI784" s="14" t="n">
        <f aca="false">IF(W784=0,0,MAX(0,MIN(AE784,AF784+AG784)-MAX(AE784-W784,AF784)))</f>
        <v>1867.78</v>
      </c>
      <c r="AJ784" s="14" t="n">
        <f aca="false">W784-AH784-AI784</f>
        <v>0</v>
      </c>
      <c r="AK784" s="9" t="n">
        <f aca="false">IF(W784=0,0,X784*AH784/W784)</f>
        <v>0</v>
      </c>
      <c r="AL784" s="9" t="n">
        <f aca="false">IF(W784=0,0,X784*AI784/W784)</f>
        <v>57198662.0915393</v>
      </c>
      <c r="AM784" s="9" t="n">
        <f aca="false">X784-AK784-AL784</f>
        <v>0</v>
      </c>
    </row>
    <row r="785" customFormat="false" ht="15" hidden="false" customHeight="false" outlineLevel="0" collapsed="false">
      <c r="A785" s="6" t="n">
        <v>780</v>
      </c>
      <c r="B785" s="74" t="s">
        <v>1019</v>
      </c>
      <c r="C785" s="53" t="str">
        <f aca="false">INDEX(I_Items!$C$5:$C$133,MATCH($B785,I_Items!$A$5:$A$133,0))</f>
        <v>Trading</v>
      </c>
      <c r="D785" s="53" t="str">
        <f aca="false">INDEX(I_Items!$D$5:$D$133,MATCH($B785,I_Items!$A$5:$A$133,0))</f>
        <v>BLD</v>
      </c>
      <c r="E785" s="53" t="str">
        <f aca="false">INDEX(I_Items!$F$5:$F$133,MATCH($B785,I_Items!$A$5:$A$133,0))</f>
        <v>Frozen</v>
      </c>
      <c r="F785" s="53" t="str">
        <f aca="false">IF(INDEX(I_Items!$E$5:$E$133,MATCH($B785,I_Items!$A$5:$A$133,0))="","",INDEX(I_Items!$E$5:$E$133,MATCH($B785,I_Items!$A$5:$A$133,0)))</f>
        <v/>
      </c>
      <c r="G785" s="76" t="n">
        <v>46228</v>
      </c>
      <c r="H785" s="23" t="n">
        <f aca="false">MONTH(G785)</f>
        <v>7</v>
      </c>
      <c r="I785" s="74" t="s">
        <v>2075</v>
      </c>
      <c r="J785" s="74" t="s">
        <v>2233</v>
      </c>
      <c r="K785" s="10" t="n">
        <v>0</v>
      </c>
      <c r="L785" s="8" t="n">
        <v>0</v>
      </c>
      <c r="M785" s="10" t="n">
        <v>132.5</v>
      </c>
      <c r="N785" s="8" t="n">
        <v>4057663.5</v>
      </c>
      <c r="O785" s="74" t="s">
        <v>2077</v>
      </c>
      <c r="P785" s="74"/>
      <c r="Q785" s="74"/>
      <c r="R785" s="14" t="n">
        <f aca="false">IF(I785="Unbilled",0,M785)</f>
        <v>132.5</v>
      </c>
      <c r="S785" s="9" t="n">
        <f aca="false">IF(R785=0,0,IF(O785="Booked",N785,R785*V784))</f>
        <v>4057663.49737601</v>
      </c>
      <c r="T785" s="14" t="n">
        <f aca="false">IF(I785="Opening",K785,T784+K785-R785)</f>
        <v>36037.35</v>
      </c>
      <c r="U785" s="9" t="n">
        <f aca="false">IF(I785="Opening",L785,U784+L785-S785)</f>
        <v>1103603318.01633</v>
      </c>
      <c r="V785" s="9" t="n">
        <f aca="false">IF(T785&gt;0,U785/T785,IF(I785="Opening",0,V784))</f>
        <v>30623.8754518944</v>
      </c>
      <c r="W785" s="14" t="n">
        <f aca="false">M785</f>
        <v>132.5</v>
      </c>
      <c r="X785" s="9" t="n">
        <f aca="false">IF(W785=0,0,IF(O785="Booked",N785,W785*AA784))</f>
        <v>4057663.49737601</v>
      </c>
      <c r="Y785" s="14" t="n">
        <f aca="false">IF(I785="Opening",K785,Y784+K785-W785)</f>
        <v>36037.35</v>
      </c>
      <c r="Z785" s="9" t="n">
        <f aca="false">IF(I785="Opening",L785,Z784+L785-X785)</f>
        <v>1103603318.01633</v>
      </c>
      <c r="AA785" s="9" t="n">
        <f aca="false">IF(Y785&gt;0,Z785/Y785,IF(I785="Opening",0,AA784))</f>
        <v>30623.8754518944</v>
      </c>
      <c r="AB785" s="9" t="n">
        <f aca="false">IF(AND(I785="DO",O785="MA"),S785-N785,0)</f>
        <v>-0.0026239906437695</v>
      </c>
      <c r="AC785" s="9" t="n">
        <f aca="false">IF(I785="DO",X785-S785,0)</f>
        <v>0</v>
      </c>
      <c r="AD785" s="23" t="n">
        <f aca="false">IF(B786&lt;&gt;B785,1,0)</f>
        <v>0</v>
      </c>
      <c r="AE785" s="14" t="n">
        <f aca="false">IF(I785="Opening",0,AE784+W785)</f>
        <v>28477.42</v>
      </c>
      <c r="AF785" s="14" t="n">
        <f aca="false">IF(I785="Opening",K785,AF784)</f>
        <v>25015.13</v>
      </c>
      <c r="AG785" s="14" t="n">
        <f aca="false">AG784</f>
        <v>39499.64</v>
      </c>
      <c r="AH785" s="14" t="n">
        <f aca="false">IF(W785=0,0,MAX(0,MIN(AE785,AF785)-MIN(AE785-W785,AF785)))</f>
        <v>0</v>
      </c>
      <c r="AI785" s="14" t="n">
        <f aca="false">IF(W785=0,0,MAX(0,MIN(AE785,AF785+AG785)-MAX(AE785-W785,AF785)))</f>
        <v>132.5</v>
      </c>
      <c r="AJ785" s="14" t="n">
        <f aca="false">W785-AH785-AI785</f>
        <v>0</v>
      </c>
      <c r="AK785" s="9" t="n">
        <f aca="false">IF(W785=0,0,X785*AH785/W785)</f>
        <v>0</v>
      </c>
      <c r="AL785" s="9" t="n">
        <f aca="false">IF(W785=0,0,X785*AI785/W785)</f>
        <v>4057663.49737601</v>
      </c>
      <c r="AM785" s="9" t="n">
        <f aca="false">X785-AK785-AL785</f>
        <v>0</v>
      </c>
    </row>
    <row r="786" customFormat="false" ht="15" hidden="false" customHeight="false" outlineLevel="0" collapsed="false">
      <c r="A786" s="6" t="n">
        <v>781</v>
      </c>
      <c r="B786" s="74" t="s">
        <v>1019</v>
      </c>
      <c r="C786" s="53" t="str">
        <f aca="false">INDEX(I_Items!$C$5:$C$133,MATCH($B786,I_Items!$A$5:$A$133,0))</f>
        <v>Trading</v>
      </c>
      <c r="D786" s="53" t="str">
        <f aca="false">INDEX(I_Items!$D$5:$D$133,MATCH($B786,I_Items!$A$5:$A$133,0))</f>
        <v>BLD</v>
      </c>
      <c r="E786" s="53" t="str">
        <f aca="false">INDEX(I_Items!$F$5:$F$133,MATCH($B786,I_Items!$A$5:$A$133,0))</f>
        <v>Frozen</v>
      </c>
      <c r="F786" s="53" t="str">
        <f aca="false">IF(INDEX(I_Items!$E$5:$E$133,MATCH($B786,I_Items!$A$5:$A$133,0))="","",INDEX(I_Items!$E$5:$E$133,MATCH($B786,I_Items!$A$5:$A$133,0)))</f>
        <v/>
      </c>
      <c r="G786" s="76" t="n">
        <v>46230</v>
      </c>
      <c r="H786" s="23" t="n">
        <f aca="false">MONTH(G786)</f>
        <v>7</v>
      </c>
      <c r="I786" s="74" t="s">
        <v>2075</v>
      </c>
      <c r="J786" s="74" t="s">
        <v>2234</v>
      </c>
      <c r="K786" s="10" t="n">
        <v>0</v>
      </c>
      <c r="L786" s="8" t="n">
        <v>0</v>
      </c>
      <c r="M786" s="10" t="n">
        <v>1004.46</v>
      </c>
      <c r="N786" s="8" t="n">
        <v>30760457.98</v>
      </c>
      <c r="O786" s="74" t="s">
        <v>2077</v>
      </c>
      <c r="P786" s="74"/>
      <c r="Q786" s="74"/>
      <c r="R786" s="14" t="n">
        <f aca="false">IF(I786="Unbilled",0,M786)</f>
        <v>1004.46</v>
      </c>
      <c r="S786" s="9" t="n">
        <f aca="false">IF(R786=0,0,IF(O786="Booked",N786,R786*V785))</f>
        <v>30760457.9364099</v>
      </c>
      <c r="T786" s="14" t="n">
        <f aca="false">IF(I786="Opening",K786,T785+K786-R786)</f>
        <v>35032.89</v>
      </c>
      <c r="U786" s="9" t="n">
        <f aca="false">IF(I786="Opening",L786,U785+L786-S786)</f>
        <v>1072842860.07992</v>
      </c>
      <c r="V786" s="9" t="n">
        <f aca="false">IF(T786&gt;0,U786/T786,IF(I786="Opening",0,V785))</f>
        <v>30623.8754518944</v>
      </c>
      <c r="W786" s="14" t="n">
        <f aca="false">M786</f>
        <v>1004.46</v>
      </c>
      <c r="X786" s="9" t="n">
        <f aca="false">IF(W786=0,0,IF(O786="Booked",N786,W786*AA785))</f>
        <v>30760457.9364099</v>
      </c>
      <c r="Y786" s="14" t="n">
        <f aca="false">IF(I786="Opening",K786,Y785+K786-W786)</f>
        <v>35032.89</v>
      </c>
      <c r="Z786" s="9" t="n">
        <f aca="false">IF(I786="Opening",L786,Z785+L786-X786)</f>
        <v>1072842860.07992</v>
      </c>
      <c r="AA786" s="9" t="n">
        <f aca="false">IF(Y786&gt;0,Z786/Y786,IF(I786="Opening",0,AA785))</f>
        <v>30623.8754518944</v>
      </c>
      <c r="AB786" s="9" t="n">
        <f aca="false">IF(AND(I786="DO",O786="MA"),S786-N786,0)</f>
        <v>-0.043590135872364</v>
      </c>
      <c r="AC786" s="9" t="n">
        <f aca="false">IF(I786="DO",X786-S786,0)</f>
        <v>0</v>
      </c>
      <c r="AD786" s="23" t="n">
        <f aca="false">IF(B787&lt;&gt;B786,1,0)</f>
        <v>0</v>
      </c>
      <c r="AE786" s="14" t="n">
        <f aca="false">IF(I786="Opening",0,AE785+W786)</f>
        <v>29481.88</v>
      </c>
      <c r="AF786" s="14" t="n">
        <f aca="false">IF(I786="Opening",K786,AF785)</f>
        <v>25015.13</v>
      </c>
      <c r="AG786" s="14" t="n">
        <f aca="false">AG785</f>
        <v>39499.64</v>
      </c>
      <c r="AH786" s="14" t="n">
        <f aca="false">IF(W786=0,0,MAX(0,MIN(AE786,AF786)-MIN(AE786-W786,AF786)))</f>
        <v>0</v>
      </c>
      <c r="AI786" s="14" t="n">
        <f aca="false">IF(W786=0,0,MAX(0,MIN(AE786,AF786+AG786)-MAX(AE786-W786,AF786)))</f>
        <v>1004.46</v>
      </c>
      <c r="AJ786" s="14" t="n">
        <f aca="false">W786-AH786-AI786</f>
        <v>0</v>
      </c>
      <c r="AK786" s="9" t="n">
        <f aca="false">IF(W786=0,0,X786*AH786/W786)</f>
        <v>0</v>
      </c>
      <c r="AL786" s="9" t="n">
        <f aca="false">IF(W786=0,0,X786*AI786/W786)</f>
        <v>30760457.9364098</v>
      </c>
      <c r="AM786" s="9" t="n">
        <f aca="false">X786-AK786-AL786</f>
        <v>0</v>
      </c>
    </row>
    <row r="787" customFormat="false" ht="15" hidden="false" customHeight="false" outlineLevel="0" collapsed="false">
      <c r="A787" s="6" t="n">
        <v>782</v>
      </c>
      <c r="B787" s="74" t="s">
        <v>1019</v>
      </c>
      <c r="C787" s="53" t="str">
        <f aca="false">INDEX(I_Items!$C$5:$C$133,MATCH($B787,I_Items!$A$5:$A$133,0))</f>
        <v>Trading</v>
      </c>
      <c r="D787" s="53" t="str">
        <f aca="false">INDEX(I_Items!$D$5:$D$133,MATCH($B787,I_Items!$A$5:$A$133,0))</f>
        <v>BLD</v>
      </c>
      <c r="E787" s="53" t="str">
        <f aca="false">INDEX(I_Items!$F$5:$F$133,MATCH($B787,I_Items!$A$5:$A$133,0))</f>
        <v>Frozen</v>
      </c>
      <c r="F787" s="53" t="str">
        <f aca="false">IF(INDEX(I_Items!$E$5:$E$133,MATCH($B787,I_Items!$A$5:$A$133,0))="","",INDEX(I_Items!$E$5:$E$133,MATCH($B787,I_Items!$A$5:$A$133,0)))</f>
        <v/>
      </c>
      <c r="G787" s="76" t="n">
        <v>46230</v>
      </c>
      <c r="H787" s="23" t="n">
        <f aca="false">MONTH(G787)</f>
        <v>7</v>
      </c>
      <c r="I787" s="74" t="s">
        <v>2075</v>
      </c>
      <c r="J787" s="74" t="s">
        <v>2235</v>
      </c>
      <c r="K787" s="10" t="n">
        <v>0</v>
      </c>
      <c r="L787" s="8" t="n">
        <v>0</v>
      </c>
      <c r="M787" s="10" t="n">
        <v>3003.81</v>
      </c>
      <c r="N787" s="8" t="n">
        <v>91988303.47</v>
      </c>
      <c r="O787" s="74" t="s">
        <v>2077</v>
      </c>
      <c r="P787" s="74"/>
      <c r="Q787" s="74"/>
      <c r="R787" s="14" t="n">
        <f aca="false">IF(I787="Unbilled",0,M787)</f>
        <v>3003.81</v>
      </c>
      <c r="S787" s="9" t="n">
        <f aca="false">IF(R787=0,0,IF(O787="Booked",N787,R787*V786))</f>
        <v>91988303.321155</v>
      </c>
      <c r="T787" s="14" t="n">
        <f aca="false">IF(I787="Opening",K787,T786+K787-R787)</f>
        <v>32029.08</v>
      </c>
      <c r="U787" s="9" t="n">
        <f aca="false">IF(I787="Opening",L787,U786+L787-S787)</f>
        <v>980854556.758762</v>
      </c>
      <c r="V787" s="9" t="n">
        <f aca="false">IF(T787&gt;0,U787/T787,IF(I787="Opening",0,V786))</f>
        <v>30623.8754518944</v>
      </c>
      <c r="W787" s="14" t="n">
        <f aca="false">M787</f>
        <v>3003.81</v>
      </c>
      <c r="X787" s="9" t="n">
        <f aca="false">IF(W787=0,0,IF(O787="Booked",N787,W787*AA786))</f>
        <v>91988303.321155</v>
      </c>
      <c r="Y787" s="14" t="n">
        <f aca="false">IF(I787="Opening",K787,Y786+K787-W787)</f>
        <v>32029.08</v>
      </c>
      <c r="Z787" s="9" t="n">
        <f aca="false">IF(I787="Opening",L787,Z786+L787-X787)</f>
        <v>980854556.758762</v>
      </c>
      <c r="AA787" s="9" t="n">
        <f aca="false">IF(Y787&gt;0,Z787/Y787,IF(I787="Opening",0,AA786))</f>
        <v>30623.8754518944</v>
      </c>
      <c r="AB787" s="9" t="n">
        <f aca="false">IF(AND(I787="DO",O787="MA"),S787-N787,0)</f>
        <v>-0.148845031857491</v>
      </c>
      <c r="AC787" s="9" t="n">
        <f aca="false">IF(I787="DO",X787-S787,0)</f>
        <v>0</v>
      </c>
      <c r="AD787" s="23" t="n">
        <f aca="false">IF(B788&lt;&gt;B787,1,0)</f>
        <v>0</v>
      </c>
      <c r="AE787" s="14" t="n">
        <f aca="false">IF(I787="Opening",0,AE786+W787)</f>
        <v>32485.69</v>
      </c>
      <c r="AF787" s="14" t="n">
        <f aca="false">IF(I787="Opening",K787,AF786)</f>
        <v>25015.13</v>
      </c>
      <c r="AG787" s="14" t="n">
        <f aca="false">AG786</f>
        <v>39499.64</v>
      </c>
      <c r="AH787" s="14" t="n">
        <f aca="false">IF(W787=0,0,MAX(0,MIN(AE787,AF787)-MIN(AE787-W787,AF787)))</f>
        <v>0</v>
      </c>
      <c r="AI787" s="14" t="n">
        <f aca="false">IF(W787=0,0,MAX(0,MIN(AE787,AF787+AG787)-MAX(AE787-W787,AF787)))</f>
        <v>3003.81</v>
      </c>
      <c r="AJ787" s="14" t="n">
        <f aca="false">W787-AH787-AI787</f>
        <v>0</v>
      </c>
      <c r="AK787" s="9" t="n">
        <f aca="false">IF(W787=0,0,X787*AH787/W787)</f>
        <v>0</v>
      </c>
      <c r="AL787" s="9" t="n">
        <f aca="false">IF(W787=0,0,X787*AI787/W787)</f>
        <v>91988303.321155</v>
      </c>
      <c r="AM787" s="9" t="n">
        <f aca="false">X787-AK787-AL787</f>
        <v>0</v>
      </c>
    </row>
    <row r="788" customFormat="false" ht="15" hidden="false" customHeight="false" outlineLevel="0" collapsed="false">
      <c r="A788" s="6" t="n">
        <v>783</v>
      </c>
      <c r="B788" s="74" t="s">
        <v>1019</v>
      </c>
      <c r="C788" s="53" t="str">
        <f aca="false">INDEX(I_Items!$C$5:$C$133,MATCH($B788,I_Items!$A$5:$A$133,0))</f>
        <v>Trading</v>
      </c>
      <c r="D788" s="53" t="str">
        <f aca="false">INDEX(I_Items!$D$5:$D$133,MATCH($B788,I_Items!$A$5:$A$133,0))</f>
        <v>BLD</v>
      </c>
      <c r="E788" s="53" t="str">
        <f aca="false">INDEX(I_Items!$F$5:$F$133,MATCH($B788,I_Items!$A$5:$A$133,0))</f>
        <v>Frozen</v>
      </c>
      <c r="F788" s="53" t="str">
        <f aca="false">IF(INDEX(I_Items!$E$5:$E$133,MATCH($B788,I_Items!$A$5:$A$133,0))="","",INDEX(I_Items!$E$5:$E$133,MATCH($B788,I_Items!$A$5:$A$133,0)))</f>
        <v/>
      </c>
      <c r="G788" s="76" t="n">
        <v>46231</v>
      </c>
      <c r="H788" s="23" t="n">
        <f aca="false">MONTH(G788)</f>
        <v>7</v>
      </c>
      <c r="I788" s="74" t="s">
        <v>2075</v>
      </c>
      <c r="J788" s="74" t="s">
        <v>2236</v>
      </c>
      <c r="K788" s="10" t="n">
        <v>0</v>
      </c>
      <c r="L788" s="8" t="n">
        <v>0</v>
      </c>
      <c r="M788" s="10" t="n">
        <v>1011.56</v>
      </c>
      <c r="N788" s="8" t="n">
        <v>30977887.5</v>
      </c>
      <c r="O788" s="74" t="s">
        <v>2077</v>
      </c>
      <c r="P788" s="74"/>
      <c r="Q788" s="74"/>
      <c r="R788" s="14" t="n">
        <f aca="false">IF(I788="Unbilled",0,M788)</f>
        <v>1011.56</v>
      </c>
      <c r="S788" s="9" t="n">
        <f aca="false">IF(R788=0,0,IF(O788="Booked",N788,R788*V787))</f>
        <v>30977887.4521183</v>
      </c>
      <c r="T788" s="14" t="n">
        <f aca="false">IF(I788="Opening",K788,T787+K788-R788)</f>
        <v>31017.52</v>
      </c>
      <c r="U788" s="9" t="n">
        <f aca="false">IF(I788="Opening",L788,U787+L788-S788)</f>
        <v>949876669.306644</v>
      </c>
      <c r="V788" s="9" t="n">
        <f aca="false">IF(T788&gt;0,U788/T788,IF(I788="Opening",0,V787))</f>
        <v>30623.8754518944</v>
      </c>
      <c r="W788" s="14" t="n">
        <f aca="false">M788</f>
        <v>1011.56</v>
      </c>
      <c r="X788" s="9" t="n">
        <f aca="false">IF(W788=0,0,IF(O788="Booked",N788,W788*AA787))</f>
        <v>30977887.4521183</v>
      </c>
      <c r="Y788" s="14" t="n">
        <f aca="false">IF(I788="Opening",K788,Y787+K788-W788)</f>
        <v>31017.52</v>
      </c>
      <c r="Z788" s="9" t="n">
        <f aca="false">IF(I788="Opening",L788,Z787+L788-X788)</f>
        <v>949876669.306644</v>
      </c>
      <c r="AA788" s="9" t="n">
        <f aca="false">IF(Y788&gt;0,Z788/Y788,IF(I788="Opening",0,AA787))</f>
        <v>30623.8754518944</v>
      </c>
      <c r="AB788" s="9" t="n">
        <f aca="false">IF(AND(I788="DO",O788="MA"),S788-N788,0)</f>
        <v>-0.0478816889226437</v>
      </c>
      <c r="AC788" s="9" t="n">
        <f aca="false">IF(I788="DO",X788-S788,0)</f>
        <v>0</v>
      </c>
      <c r="AD788" s="23" t="n">
        <f aca="false">IF(B789&lt;&gt;B788,1,0)</f>
        <v>0</v>
      </c>
      <c r="AE788" s="14" t="n">
        <f aca="false">IF(I788="Opening",0,AE787+W788)</f>
        <v>33497.25</v>
      </c>
      <c r="AF788" s="14" t="n">
        <f aca="false">IF(I788="Opening",K788,AF787)</f>
        <v>25015.13</v>
      </c>
      <c r="AG788" s="14" t="n">
        <f aca="false">AG787</f>
        <v>39499.64</v>
      </c>
      <c r="AH788" s="14" t="n">
        <f aca="false">IF(W788=0,0,MAX(0,MIN(AE788,AF788)-MIN(AE788-W788,AF788)))</f>
        <v>0</v>
      </c>
      <c r="AI788" s="14" t="n">
        <f aca="false">IF(W788=0,0,MAX(0,MIN(AE788,AF788+AG788)-MAX(AE788-W788,AF788)))</f>
        <v>1011.56</v>
      </c>
      <c r="AJ788" s="14" t="n">
        <f aca="false">W788-AH788-AI788</f>
        <v>0</v>
      </c>
      <c r="AK788" s="9" t="n">
        <f aca="false">IF(W788=0,0,X788*AH788/W788)</f>
        <v>0</v>
      </c>
      <c r="AL788" s="9" t="n">
        <f aca="false">IF(W788=0,0,X788*AI788/W788)</f>
        <v>30977887.4521184</v>
      </c>
      <c r="AM788" s="9" t="n">
        <f aca="false">X788-AK788-AL788</f>
        <v>0</v>
      </c>
    </row>
    <row r="789" customFormat="false" ht="15" hidden="false" customHeight="false" outlineLevel="0" collapsed="false">
      <c r="A789" s="6" t="n">
        <v>784</v>
      </c>
      <c r="B789" s="74" t="s">
        <v>1019</v>
      </c>
      <c r="C789" s="53" t="str">
        <f aca="false">INDEX(I_Items!$C$5:$C$133,MATCH($B789,I_Items!$A$5:$A$133,0))</f>
        <v>Trading</v>
      </c>
      <c r="D789" s="53" t="str">
        <f aca="false">INDEX(I_Items!$D$5:$D$133,MATCH($B789,I_Items!$A$5:$A$133,0))</f>
        <v>BLD</v>
      </c>
      <c r="E789" s="53" t="str">
        <f aca="false">INDEX(I_Items!$F$5:$F$133,MATCH($B789,I_Items!$A$5:$A$133,0))</f>
        <v>Frozen</v>
      </c>
      <c r="F789" s="53" t="str">
        <f aca="false">IF(INDEX(I_Items!$E$5:$E$133,MATCH($B789,I_Items!$A$5:$A$133,0))="","",INDEX(I_Items!$E$5:$E$133,MATCH($B789,I_Items!$A$5:$A$133,0)))</f>
        <v/>
      </c>
      <c r="G789" s="76" t="n">
        <v>46232</v>
      </c>
      <c r="H789" s="23" t="n">
        <f aca="false">MONTH(G789)</f>
        <v>7</v>
      </c>
      <c r="I789" s="74" t="s">
        <v>2075</v>
      </c>
      <c r="J789" s="74" t="s">
        <v>2237</v>
      </c>
      <c r="K789" s="10" t="n">
        <v>0</v>
      </c>
      <c r="L789" s="8" t="n">
        <v>0</v>
      </c>
      <c r="M789" s="10" t="n">
        <v>1958.6</v>
      </c>
      <c r="N789" s="8" t="n">
        <v>59979922.55</v>
      </c>
      <c r="O789" s="74" t="s">
        <v>2077</v>
      </c>
      <c r="P789" s="74"/>
      <c r="Q789" s="74"/>
      <c r="R789" s="14" t="n">
        <f aca="false">IF(I789="Unbilled",0,M789)</f>
        <v>1958.6</v>
      </c>
      <c r="S789" s="9" t="n">
        <f aca="false">IF(R789=0,0,IF(O789="Booked",N789,R789*V788))</f>
        <v>59979922.4600804</v>
      </c>
      <c r="T789" s="14" t="n">
        <f aca="false">IF(I789="Opening",K789,T788+K789-R789)</f>
        <v>29058.92</v>
      </c>
      <c r="U789" s="9" t="n">
        <f aca="false">IF(I789="Opening",L789,U788+L789-S789)</f>
        <v>889896746.846563</v>
      </c>
      <c r="V789" s="9" t="n">
        <f aca="false">IF(T789&gt;0,U789/T789,IF(I789="Opening",0,V788))</f>
        <v>30623.8754518944</v>
      </c>
      <c r="W789" s="14" t="n">
        <f aca="false">M789</f>
        <v>1958.6</v>
      </c>
      <c r="X789" s="9" t="n">
        <f aca="false">IF(W789=0,0,IF(O789="Booked",N789,W789*AA788))</f>
        <v>59979922.4600804</v>
      </c>
      <c r="Y789" s="14" t="n">
        <f aca="false">IF(I789="Opening",K789,Y788+K789-W789)</f>
        <v>29058.92</v>
      </c>
      <c r="Z789" s="9" t="n">
        <f aca="false">IF(I789="Opening",L789,Z788+L789-X789)</f>
        <v>889896746.846563</v>
      </c>
      <c r="AA789" s="9" t="n">
        <f aca="false">IF(Y789&gt;0,Z789/Y789,IF(I789="Opening",0,AA788))</f>
        <v>30623.8754518944</v>
      </c>
      <c r="AB789" s="9" t="n">
        <f aca="false">IF(AND(I789="DO",O789="MA"),S789-N789,0)</f>
        <v>-0.0899195894598961</v>
      </c>
      <c r="AC789" s="9" t="n">
        <f aca="false">IF(I789="DO",X789-S789,0)</f>
        <v>0</v>
      </c>
      <c r="AD789" s="23" t="n">
        <f aca="false">IF(B790&lt;&gt;B789,1,0)</f>
        <v>0</v>
      </c>
      <c r="AE789" s="14" t="n">
        <f aca="false">IF(I789="Opening",0,AE788+W789)</f>
        <v>35455.85</v>
      </c>
      <c r="AF789" s="14" t="n">
        <f aca="false">IF(I789="Opening",K789,AF788)</f>
        <v>25015.13</v>
      </c>
      <c r="AG789" s="14" t="n">
        <f aca="false">AG788</f>
        <v>39499.64</v>
      </c>
      <c r="AH789" s="14" t="n">
        <f aca="false">IF(W789=0,0,MAX(0,MIN(AE789,AF789)-MIN(AE789-W789,AF789)))</f>
        <v>0</v>
      </c>
      <c r="AI789" s="14" t="n">
        <f aca="false">IF(W789=0,0,MAX(0,MIN(AE789,AF789+AG789)-MAX(AE789-W789,AF789)))</f>
        <v>1958.6</v>
      </c>
      <c r="AJ789" s="14" t="n">
        <f aca="false">W789-AH789-AI789</f>
        <v>0</v>
      </c>
      <c r="AK789" s="9" t="n">
        <f aca="false">IF(W789=0,0,X789*AH789/W789)</f>
        <v>0</v>
      </c>
      <c r="AL789" s="9" t="n">
        <f aca="false">IF(W789=0,0,X789*AI789/W789)</f>
        <v>59979922.4600804</v>
      </c>
      <c r="AM789" s="9" t="n">
        <f aca="false">X789-AK789-AL789</f>
        <v>0</v>
      </c>
    </row>
    <row r="790" customFormat="false" ht="15" hidden="false" customHeight="false" outlineLevel="0" collapsed="false">
      <c r="A790" s="6" t="n">
        <v>785</v>
      </c>
      <c r="B790" s="74" t="s">
        <v>1019</v>
      </c>
      <c r="C790" s="53" t="str">
        <f aca="false">INDEX(I_Items!$C$5:$C$133,MATCH($B790,I_Items!$A$5:$A$133,0))</f>
        <v>Trading</v>
      </c>
      <c r="D790" s="53" t="str">
        <f aca="false">INDEX(I_Items!$D$5:$D$133,MATCH($B790,I_Items!$A$5:$A$133,0))</f>
        <v>BLD</v>
      </c>
      <c r="E790" s="53" t="str">
        <f aca="false">INDEX(I_Items!$F$5:$F$133,MATCH($B790,I_Items!$A$5:$A$133,0))</f>
        <v>Frozen</v>
      </c>
      <c r="F790" s="53" t="str">
        <f aca="false">IF(INDEX(I_Items!$E$5:$E$133,MATCH($B790,I_Items!$A$5:$A$133,0))="","",INDEX(I_Items!$E$5:$E$133,MATCH($B790,I_Items!$A$5:$A$133,0)))</f>
        <v/>
      </c>
      <c r="G790" s="76" t="n">
        <v>46232</v>
      </c>
      <c r="H790" s="23" t="n">
        <f aca="false">MONTH(G790)</f>
        <v>7</v>
      </c>
      <c r="I790" s="74" t="s">
        <v>2075</v>
      </c>
      <c r="J790" s="74" t="s">
        <v>2238</v>
      </c>
      <c r="K790" s="10" t="n">
        <v>0</v>
      </c>
      <c r="L790" s="8" t="n">
        <v>0</v>
      </c>
      <c r="M790" s="10" t="n">
        <v>513.22</v>
      </c>
      <c r="N790" s="8" t="n">
        <v>15716785.38</v>
      </c>
      <c r="O790" s="74" t="s">
        <v>2077</v>
      </c>
      <c r="P790" s="74"/>
      <c r="Q790" s="74"/>
      <c r="R790" s="14" t="n">
        <f aca="false">IF(I790="Unbilled",0,M790)</f>
        <v>513.22</v>
      </c>
      <c r="S790" s="9" t="n">
        <f aca="false">IF(R790=0,0,IF(O790="Booked",N790,R790*V789))</f>
        <v>15716785.3594213</v>
      </c>
      <c r="T790" s="14" t="n">
        <f aca="false">IF(I790="Opening",K790,T789+K790-R790)</f>
        <v>28545.7</v>
      </c>
      <c r="U790" s="9" t="n">
        <f aca="false">IF(I790="Opening",L790,U789+L790-S790)</f>
        <v>874179961.487142</v>
      </c>
      <c r="V790" s="9" t="n">
        <f aca="false">IF(T790&gt;0,U790/T790,IF(I790="Opening",0,V789))</f>
        <v>30623.8754518944</v>
      </c>
      <c r="W790" s="14" t="n">
        <f aca="false">M790</f>
        <v>513.22</v>
      </c>
      <c r="X790" s="9" t="n">
        <f aca="false">IF(W790=0,0,IF(O790="Booked",N790,W790*AA789))</f>
        <v>15716785.3594213</v>
      </c>
      <c r="Y790" s="14" t="n">
        <f aca="false">IF(I790="Opening",K790,Y789+K790-W790)</f>
        <v>28545.7</v>
      </c>
      <c r="Z790" s="9" t="n">
        <f aca="false">IF(I790="Opening",L790,Z789+L790-X790)</f>
        <v>874179961.487142</v>
      </c>
      <c r="AA790" s="9" t="n">
        <f aca="false">IF(Y790&gt;0,Z790/Y790,IF(I790="Opening",0,AA789))</f>
        <v>30623.8754518944</v>
      </c>
      <c r="AB790" s="9" t="n">
        <f aca="false">IF(AND(I790="DO",O790="MA"),S790-N790,0)</f>
        <v>-0.020578745752573</v>
      </c>
      <c r="AC790" s="9" t="n">
        <f aca="false">IF(I790="DO",X790-S790,0)</f>
        <v>0</v>
      </c>
      <c r="AD790" s="23" t="n">
        <f aca="false">IF(B791&lt;&gt;B790,1,0)</f>
        <v>0</v>
      </c>
      <c r="AE790" s="14" t="n">
        <f aca="false">IF(I790="Opening",0,AE789+W790)</f>
        <v>35969.07</v>
      </c>
      <c r="AF790" s="14" t="n">
        <f aca="false">IF(I790="Opening",K790,AF789)</f>
        <v>25015.13</v>
      </c>
      <c r="AG790" s="14" t="n">
        <f aca="false">AG789</f>
        <v>39499.64</v>
      </c>
      <c r="AH790" s="14" t="n">
        <f aca="false">IF(W790=0,0,MAX(0,MIN(AE790,AF790)-MIN(AE790-W790,AF790)))</f>
        <v>0</v>
      </c>
      <c r="AI790" s="14" t="n">
        <f aca="false">IF(W790=0,0,MAX(0,MIN(AE790,AF790+AG790)-MAX(AE790-W790,AF790)))</f>
        <v>513.220000000001</v>
      </c>
      <c r="AJ790" s="14" t="n">
        <f aca="false">W790-AH790-AI790</f>
        <v>0</v>
      </c>
      <c r="AK790" s="9" t="n">
        <f aca="false">IF(W790=0,0,X790*AH790/W790)</f>
        <v>0</v>
      </c>
      <c r="AL790" s="9" t="n">
        <f aca="false">IF(W790=0,0,X790*AI790/W790)</f>
        <v>15716785.3594213</v>
      </c>
      <c r="AM790" s="9" t="n">
        <f aca="false">X790-AK790-AL790</f>
        <v>0</v>
      </c>
    </row>
    <row r="791" customFormat="false" ht="15" hidden="false" customHeight="false" outlineLevel="0" collapsed="false">
      <c r="A791" s="6" t="n">
        <v>786</v>
      </c>
      <c r="B791" s="74" t="s">
        <v>1019</v>
      </c>
      <c r="C791" s="53" t="str">
        <f aca="false">INDEX(I_Items!$C$5:$C$133,MATCH($B791,I_Items!$A$5:$A$133,0))</f>
        <v>Trading</v>
      </c>
      <c r="D791" s="53" t="str">
        <f aca="false">INDEX(I_Items!$D$5:$D$133,MATCH($B791,I_Items!$A$5:$A$133,0))</f>
        <v>BLD</v>
      </c>
      <c r="E791" s="53" t="str">
        <f aca="false">INDEX(I_Items!$F$5:$F$133,MATCH($B791,I_Items!$A$5:$A$133,0))</f>
        <v>Frozen</v>
      </c>
      <c r="F791" s="53" t="str">
        <f aca="false">IF(INDEX(I_Items!$E$5:$E$133,MATCH($B791,I_Items!$A$5:$A$133,0))="","",INDEX(I_Items!$E$5:$E$133,MATCH($B791,I_Items!$A$5:$A$133,0)))</f>
        <v/>
      </c>
      <c r="G791" s="76" t="n">
        <v>46232</v>
      </c>
      <c r="H791" s="23" t="n">
        <f aca="false">MONTH(G791)</f>
        <v>7</v>
      </c>
      <c r="I791" s="74" t="s">
        <v>2075</v>
      </c>
      <c r="J791" s="74" t="s">
        <v>2239</v>
      </c>
      <c r="K791" s="10" t="n">
        <v>0</v>
      </c>
      <c r="L791" s="8" t="n">
        <v>0</v>
      </c>
      <c r="M791" s="10" t="n">
        <v>2906.79</v>
      </c>
      <c r="N791" s="8" t="n">
        <v>89017175.06</v>
      </c>
      <c r="O791" s="74" t="s">
        <v>2077</v>
      </c>
      <c r="P791" s="74"/>
      <c r="Q791" s="74"/>
      <c r="R791" s="14" t="n">
        <f aca="false">IF(I791="Unbilled",0,M791)</f>
        <v>2906.79</v>
      </c>
      <c r="S791" s="9" t="n">
        <f aca="false">IF(R791=0,0,IF(O791="Booked",N791,R791*V790))</f>
        <v>89017174.9248122</v>
      </c>
      <c r="T791" s="14" t="n">
        <f aca="false">IF(I791="Opening",K791,T790+K791-R791)</f>
        <v>25638.91</v>
      </c>
      <c r="U791" s="9" t="n">
        <f aca="false">IF(I791="Opening",L791,U790+L791-S791)</f>
        <v>785162786.56233</v>
      </c>
      <c r="V791" s="9" t="n">
        <f aca="false">IF(T791&gt;0,U791/T791,IF(I791="Opening",0,V790))</f>
        <v>30623.8754518944</v>
      </c>
      <c r="W791" s="14" t="n">
        <f aca="false">M791</f>
        <v>2906.79</v>
      </c>
      <c r="X791" s="9" t="n">
        <f aca="false">IF(W791=0,0,IF(O791="Booked",N791,W791*AA790))</f>
        <v>89017174.9248122</v>
      </c>
      <c r="Y791" s="14" t="n">
        <f aca="false">IF(I791="Opening",K791,Y790+K791-W791)</f>
        <v>25638.91</v>
      </c>
      <c r="Z791" s="9" t="n">
        <f aca="false">IF(I791="Opening",L791,Z790+L791-X791)</f>
        <v>785162786.56233</v>
      </c>
      <c r="AA791" s="9" t="n">
        <f aca="false">IF(Y791&gt;0,Z791/Y791,IF(I791="Opening",0,AA790))</f>
        <v>30623.8754518944</v>
      </c>
      <c r="AB791" s="9" t="n">
        <f aca="false">IF(AND(I791="DO",O791="MA"),S791-N791,0)</f>
        <v>-0.135187819600105</v>
      </c>
      <c r="AC791" s="9" t="n">
        <f aca="false">IF(I791="DO",X791-S791,0)</f>
        <v>0</v>
      </c>
      <c r="AD791" s="23" t="n">
        <f aca="false">IF(B792&lt;&gt;B791,1,0)</f>
        <v>0</v>
      </c>
      <c r="AE791" s="14" t="n">
        <f aca="false">IF(I791="Opening",0,AE790+W791)</f>
        <v>38875.86</v>
      </c>
      <c r="AF791" s="14" t="n">
        <f aca="false">IF(I791="Opening",K791,AF790)</f>
        <v>25015.13</v>
      </c>
      <c r="AG791" s="14" t="n">
        <f aca="false">AG790</f>
        <v>39499.64</v>
      </c>
      <c r="AH791" s="14" t="n">
        <f aca="false">IF(W791=0,0,MAX(0,MIN(AE791,AF791)-MIN(AE791-W791,AF791)))</f>
        <v>0</v>
      </c>
      <c r="AI791" s="14" t="n">
        <f aca="false">IF(W791=0,0,MAX(0,MIN(AE791,AF791+AG791)-MAX(AE791-W791,AF791)))</f>
        <v>2906.79</v>
      </c>
      <c r="AJ791" s="14" t="n">
        <f aca="false">W791-AH791-AI791</f>
        <v>0</v>
      </c>
      <c r="AK791" s="9" t="n">
        <f aca="false">IF(W791=0,0,X791*AH791/W791)</f>
        <v>0</v>
      </c>
      <c r="AL791" s="9" t="n">
        <f aca="false">IF(W791=0,0,X791*AI791/W791)</f>
        <v>89017174.9248122</v>
      </c>
      <c r="AM791" s="9" t="n">
        <f aca="false">X791-AK791-AL791</f>
        <v>0</v>
      </c>
    </row>
    <row r="792" customFormat="false" ht="15" hidden="false" customHeight="false" outlineLevel="0" collapsed="false">
      <c r="A792" s="6" t="n">
        <v>787</v>
      </c>
      <c r="B792" s="74" t="s">
        <v>1019</v>
      </c>
      <c r="C792" s="53" t="str">
        <f aca="false">INDEX(I_Items!$C$5:$C$133,MATCH($B792,I_Items!$A$5:$A$133,0))</f>
        <v>Trading</v>
      </c>
      <c r="D792" s="53" t="str">
        <f aca="false">INDEX(I_Items!$D$5:$D$133,MATCH($B792,I_Items!$A$5:$A$133,0))</f>
        <v>BLD</v>
      </c>
      <c r="E792" s="53" t="str">
        <f aca="false">INDEX(I_Items!$F$5:$F$133,MATCH($B792,I_Items!$A$5:$A$133,0))</f>
        <v>Frozen</v>
      </c>
      <c r="F792" s="53" t="str">
        <f aca="false">IF(INDEX(I_Items!$E$5:$E$133,MATCH($B792,I_Items!$A$5:$A$133,0))="","",INDEX(I_Items!$E$5:$E$133,MATCH($B792,I_Items!$A$5:$A$133,0)))</f>
        <v/>
      </c>
      <c r="G792" s="76" t="n">
        <v>46232</v>
      </c>
      <c r="H792" s="23" t="n">
        <f aca="false">MONTH(G792)</f>
        <v>7</v>
      </c>
      <c r="I792" s="74" t="s">
        <v>2075</v>
      </c>
      <c r="J792" s="74" t="s">
        <v>2240</v>
      </c>
      <c r="K792" s="10" t="n">
        <v>0</v>
      </c>
      <c r="L792" s="8" t="n">
        <v>0</v>
      </c>
      <c r="M792" s="10" t="n">
        <v>503.77</v>
      </c>
      <c r="N792" s="8" t="n">
        <v>15427389.76</v>
      </c>
      <c r="O792" s="74" t="s">
        <v>2077</v>
      </c>
      <c r="P792" s="74"/>
      <c r="Q792" s="74"/>
      <c r="R792" s="14" t="n">
        <f aca="false">IF(I792="Unbilled",0,M792)</f>
        <v>503.77</v>
      </c>
      <c r="S792" s="9" t="n">
        <f aca="false">IF(R792=0,0,IF(O792="Booked",N792,R792*V791))</f>
        <v>15427389.7364009</v>
      </c>
      <c r="T792" s="14" t="n">
        <f aca="false">IF(I792="Opening",K792,T791+K792-R792)</f>
        <v>25135.14</v>
      </c>
      <c r="U792" s="9" t="n">
        <f aca="false">IF(I792="Opening",L792,U791+L792-S792)</f>
        <v>769735396.825929</v>
      </c>
      <c r="V792" s="9" t="n">
        <f aca="false">IF(T792&gt;0,U792/T792,IF(I792="Opening",0,V791))</f>
        <v>30623.8754518944</v>
      </c>
      <c r="W792" s="14" t="n">
        <f aca="false">M792</f>
        <v>503.77</v>
      </c>
      <c r="X792" s="9" t="n">
        <f aca="false">IF(W792=0,0,IF(O792="Booked",N792,W792*AA791))</f>
        <v>15427389.7364009</v>
      </c>
      <c r="Y792" s="14" t="n">
        <f aca="false">IF(I792="Opening",K792,Y791+K792-W792)</f>
        <v>25135.14</v>
      </c>
      <c r="Z792" s="9" t="n">
        <f aca="false">IF(I792="Opening",L792,Z791+L792-X792)</f>
        <v>769735396.825929</v>
      </c>
      <c r="AA792" s="9" t="n">
        <f aca="false">IF(Y792&gt;0,Z792/Y792,IF(I792="Opening",0,AA791))</f>
        <v>30623.8754518944</v>
      </c>
      <c r="AB792" s="9" t="n">
        <f aca="false">IF(AND(I792="DO",O792="MA"),S792-N792,0)</f>
        <v>-0.023599149659276</v>
      </c>
      <c r="AC792" s="9" t="n">
        <f aca="false">IF(I792="DO",X792-S792,0)</f>
        <v>0</v>
      </c>
      <c r="AD792" s="23" t="n">
        <f aca="false">IF(B793&lt;&gt;B792,1,0)</f>
        <v>0</v>
      </c>
      <c r="AE792" s="14" t="n">
        <f aca="false">IF(I792="Opening",0,AE791+W792)</f>
        <v>39379.63</v>
      </c>
      <c r="AF792" s="14" t="n">
        <f aca="false">IF(I792="Opening",K792,AF791)</f>
        <v>25015.13</v>
      </c>
      <c r="AG792" s="14" t="n">
        <f aca="false">AG791</f>
        <v>39499.64</v>
      </c>
      <c r="AH792" s="14" t="n">
        <f aca="false">IF(W792=0,0,MAX(0,MIN(AE792,AF792)-MIN(AE792-W792,AF792)))</f>
        <v>0</v>
      </c>
      <c r="AI792" s="14" t="n">
        <f aca="false">IF(W792=0,0,MAX(0,MIN(AE792,AF792+AG792)-MAX(AE792-W792,AF792)))</f>
        <v>503.769999999997</v>
      </c>
      <c r="AJ792" s="14" t="n">
        <f aca="false">W792-AH792-AI792</f>
        <v>3.18323145620525E-012</v>
      </c>
      <c r="AK792" s="9" t="n">
        <f aca="false">IF(W792=0,0,X792*AH792/W792)</f>
        <v>0</v>
      </c>
      <c r="AL792" s="9" t="n">
        <f aca="false">IF(W792=0,0,X792*AI792/W792)</f>
        <v>15427389.7364008</v>
      </c>
      <c r="AM792" s="9" t="n">
        <f aca="false">X792-AK792-AL792</f>
        <v>9.68575477600098E-008</v>
      </c>
    </row>
    <row r="793" customFormat="false" ht="15" hidden="false" customHeight="false" outlineLevel="0" collapsed="false">
      <c r="A793" s="6" t="n">
        <v>788</v>
      </c>
      <c r="B793" s="74" t="s">
        <v>1019</v>
      </c>
      <c r="C793" s="53" t="str">
        <f aca="false">INDEX(I_Items!$C$5:$C$133,MATCH($B793,I_Items!$A$5:$A$133,0))</f>
        <v>Trading</v>
      </c>
      <c r="D793" s="53" t="str">
        <f aca="false">INDEX(I_Items!$D$5:$D$133,MATCH($B793,I_Items!$A$5:$A$133,0))</f>
        <v>BLD</v>
      </c>
      <c r="E793" s="53" t="str">
        <f aca="false">INDEX(I_Items!$F$5:$F$133,MATCH($B793,I_Items!$A$5:$A$133,0))</f>
        <v>Frozen</v>
      </c>
      <c r="F793" s="53" t="str">
        <f aca="false">IF(INDEX(I_Items!$E$5:$E$133,MATCH($B793,I_Items!$A$5:$A$133,0))="","",INDEX(I_Items!$E$5:$E$133,MATCH($B793,I_Items!$A$5:$A$133,0)))</f>
        <v/>
      </c>
      <c r="G793" s="76" t="n">
        <v>46233</v>
      </c>
      <c r="H793" s="23" t="n">
        <f aca="false">MONTH(G793)</f>
        <v>7</v>
      </c>
      <c r="I793" s="74" t="s">
        <v>2075</v>
      </c>
      <c r="J793" s="74" t="s">
        <v>2122</v>
      </c>
      <c r="K793" s="10" t="n">
        <v>0</v>
      </c>
      <c r="L793" s="8" t="n">
        <v>0</v>
      </c>
      <c r="M793" s="10" t="n">
        <v>884.31</v>
      </c>
      <c r="N793" s="8" t="n">
        <v>27080999.34</v>
      </c>
      <c r="O793" s="74" t="s">
        <v>2077</v>
      </c>
      <c r="P793" s="74"/>
      <c r="Q793" s="74"/>
      <c r="R793" s="14" t="n">
        <f aca="false">IF(I793="Unbilled",0,M793)</f>
        <v>884.31</v>
      </c>
      <c r="S793" s="9" t="n">
        <f aca="false">IF(R793=0,0,IF(O793="Booked",N793,R793*V792))</f>
        <v>27080999.3008648</v>
      </c>
      <c r="T793" s="14" t="n">
        <f aca="false">IF(I793="Opening",K793,T792+K793-R793)</f>
        <v>24250.83</v>
      </c>
      <c r="U793" s="9" t="n">
        <f aca="false">IF(I793="Opening",L793,U792+L793-S793)</f>
        <v>742654397.525064</v>
      </c>
      <c r="V793" s="9" t="n">
        <f aca="false">IF(T793&gt;0,U793/T793,IF(I793="Opening",0,V792))</f>
        <v>30623.8754518944</v>
      </c>
      <c r="W793" s="14" t="n">
        <f aca="false">M793</f>
        <v>884.31</v>
      </c>
      <c r="X793" s="9" t="n">
        <f aca="false">IF(W793=0,0,IF(O793="Booked",N793,W793*AA792))</f>
        <v>27080999.3008648</v>
      </c>
      <c r="Y793" s="14" t="n">
        <f aca="false">IF(I793="Opening",K793,Y792+K793-W793)</f>
        <v>24250.83</v>
      </c>
      <c r="Z793" s="9" t="n">
        <f aca="false">IF(I793="Opening",L793,Z792+L793-X793)</f>
        <v>742654397.525064</v>
      </c>
      <c r="AA793" s="9" t="n">
        <f aca="false">IF(Y793&gt;0,Z793/Y793,IF(I793="Opening",0,AA792))</f>
        <v>30623.8754518944</v>
      </c>
      <c r="AB793" s="9" t="n">
        <f aca="false">IF(AND(I793="DO",O793="MA"),S793-N793,0)</f>
        <v>-0.0391352474689484</v>
      </c>
      <c r="AC793" s="9" t="n">
        <f aca="false">IF(I793="DO",X793-S793,0)</f>
        <v>0</v>
      </c>
      <c r="AD793" s="23" t="n">
        <f aca="false">IF(B794&lt;&gt;B793,1,0)</f>
        <v>0</v>
      </c>
      <c r="AE793" s="14" t="n">
        <f aca="false">IF(I793="Opening",0,AE792+W793)</f>
        <v>40263.94</v>
      </c>
      <c r="AF793" s="14" t="n">
        <f aca="false">IF(I793="Opening",K793,AF792)</f>
        <v>25015.13</v>
      </c>
      <c r="AG793" s="14" t="n">
        <f aca="false">AG792</f>
        <v>39499.64</v>
      </c>
      <c r="AH793" s="14" t="n">
        <f aca="false">IF(W793=0,0,MAX(0,MIN(AE793,AF793)-MIN(AE793-W793,AF793)))</f>
        <v>0</v>
      </c>
      <c r="AI793" s="14" t="n">
        <f aca="false">IF(W793=0,0,MAX(0,MIN(AE793,AF793+AG793)-MAX(AE793-W793,AF793)))</f>
        <v>884.309999999998</v>
      </c>
      <c r="AJ793" s="14" t="n">
        <f aca="false">W793-AH793-AI793</f>
        <v>0</v>
      </c>
      <c r="AK793" s="9" t="n">
        <f aca="false">IF(W793=0,0,X793*AH793/W793)</f>
        <v>0</v>
      </c>
      <c r="AL793" s="9" t="n">
        <f aca="false">IF(W793=0,0,X793*AI793/W793)</f>
        <v>27080999.3008647</v>
      </c>
      <c r="AM793" s="9" t="n">
        <f aca="false">X793-AK793-AL793</f>
        <v>0</v>
      </c>
    </row>
    <row r="794" customFormat="false" ht="15" hidden="false" customHeight="false" outlineLevel="0" collapsed="false">
      <c r="A794" s="6" t="n">
        <v>789</v>
      </c>
      <c r="B794" s="74" t="s">
        <v>1019</v>
      </c>
      <c r="C794" s="53" t="str">
        <f aca="false">INDEX(I_Items!$C$5:$C$133,MATCH($B794,I_Items!$A$5:$A$133,0))</f>
        <v>Trading</v>
      </c>
      <c r="D794" s="53" t="str">
        <f aca="false">INDEX(I_Items!$D$5:$D$133,MATCH($B794,I_Items!$A$5:$A$133,0))</f>
        <v>BLD</v>
      </c>
      <c r="E794" s="53" t="str">
        <f aca="false">INDEX(I_Items!$F$5:$F$133,MATCH($B794,I_Items!$A$5:$A$133,0))</f>
        <v>Frozen</v>
      </c>
      <c r="F794" s="53" t="str">
        <f aca="false">IF(INDEX(I_Items!$E$5:$E$133,MATCH($B794,I_Items!$A$5:$A$133,0))="","",INDEX(I_Items!$E$5:$E$133,MATCH($B794,I_Items!$A$5:$A$133,0)))</f>
        <v/>
      </c>
      <c r="G794" s="76" t="n">
        <v>46233</v>
      </c>
      <c r="H794" s="23" t="n">
        <f aca="false">MONTH(G794)</f>
        <v>7</v>
      </c>
      <c r="I794" s="74" t="s">
        <v>2075</v>
      </c>
      <c r="J794" s="74" t="s">
        <v>2241</v>
      </c>
      <c r="K794" s="10" t="n">
        <v>0</v>
      </c>
      <c r="L794" s="8" t="n">
        <v>0</v>
      </c>
      <c r="M794" s="10" t="n">
        <v>900.07</v>
      </c>
      <c r="N794" s="8" t="n">
        <v>27563631.62</v>
      </c>
      <c r="O794" s="74" t="s">
        <v>2077</v>
      </c>
      <c r="P794" s="74"/>
      <c r="Q794" s="74"/>
      <c r="R794" s="14" t="n">
        <f aca="false">IF(I794="Unbilled",0,M794)</f>
        <v>900.07</v>
      </c>
      <c r="S794" s="9" t="n">
        <f aca="false">IF(R794=0,0,IF(O794="Booked",N794,R794*V793))</f>
        <v>27563631.5779866</v>
      </c>
      <c r="T794" s="14" t="n">
        <f aca="false">IF(I794="Opening",K794,T793+K794-R794)</f>
        <v>23350.76</v>
      </c>
      <c r="U794" s="9" t="n">
        <f aca="false">IF(I794="Opening",L794,U793+L794-S794)</f>
        <v>715090765.947078</v>
      </c>
      <c r="V794" s="9" t="n">
        <f aca="false">IF(T794&gt;0,U794/T794,IF(I794="Opening",0,V793))</f>
        <v>30623.8754518944</v>
      </c>
      <c r="W794" s="14" t="n">
        <f aca="false">M794</f>
        <v>900.07</v>
      </c>
      <c r="X794" s="9" t="n">
        <f aca="false">IF(W794=0,0,IF(O794="Booked",N794,W794*AA793))</f>
        <v>27563631.5779866</v>
      </c>
      <c r="Y794" s="14" t="n">
        <f aca="false">IF(I794="Opening",K794,Y793+K794-W794)</f>
        <v>23350.76</v>
      </c>
      <c r="Z794" s="9" t="n">
        <f aca="false">IF(I794="Opening",L794,Z793+L794-X794)</f>
        <v>715090765.947078</v>
      </c>
      <c r="AA794" s="9" t="n">
        <f aca="false">IF(Y794&gt;0,Z794/Y794,IF(I794="Opening",0,AA793))</f>
        <v>30623.8754518944</v>
      </c>
      <c r="AB794" s="9" t="n">
        <f aca="false">IF(AND(I794="DO",O794="MA"),S794-N794,0)</f>
        <v>-0.0420133881270886</v>
      </c>
      <c r="AC794" s="9" t="n">
        <f aca="false">IF(I794="DO",X794-S794,0)</f>
        <v>0</v>
      </c>
      <c r="AD794" s="23" t="n">
        <f aca="false">IF(B795&lt;&gt;B794,1,0)</f>
        <v>0</v>
      </c>
      <c r="AE794" s="14" t="n">
        <f aca="false">IF(I794="Opening",0,AE793+W794)</f>
        <v>41164.01</v>
      </c>
      <c r="AF794" s="14" t="n">
        <f aca="false">IF(I794="Opening",K794,AF793)</f>
        <v>25015.13</v>
      </c>
      <c r="AG794" s="14" t="n">
        <f aca="false">AG793</f>
        <v>39499.64</v>
      </c>
      <c r="AH794" s="14" t="n">
        <f aca="false">IF(W794=0,0,MAX(0,MIN(AE794,AF794)-MIN(AE794-W794,AF794)))</f>
        <v>0</v>
      </c>
      <c r="AI794" s="14" t="n">
        <f aca="false">IF(W794=0,0,MAX(0,MIN(AE794,AF794+AG794)-MAX(AE794-W794,AF794)))</f>
        <v>900.07</v>
      </c>
      <c r="AJ794" s="14" t="n">
        <f aca="false">W794-AH794-AI794</f>
        <v>0</v>
      </c>
      <c r="AK794" s="9" t="n">
        <f aca="false">IF(W794=0,0,X794*AH794/W794)</f>
        <v>0</v>
      </c>
      <c r="AL794" s="9" t="n">
        <f aca="false">IF(W794=0,0,X794*AI794/W794)</f>
        <v>27563631.5779866</v>
      </c>
      <c r="AM794" s="9" t="n">
        <f aca="false">X794-AK794-AL794</f>
        <v>0</v>
      </c>
    </row>
    <row r="795" customFormat="false" ht="15" hidden="false" customHeight="false" outlineLevel="0" collapsed="false">
      <c r="A795" s="6" t="n">
        <v>790</v>
      </c>
      <c r="B795" s="74" t="s">
        <v>1019</v>
      </c>
      <c r="C795" s="53" t="str">
        <f aca="false">INDEX(I_Items!$C$5:$C$133,MATCH($B795,I_Items!$A$5:$A$133,0))</f>
        <v>Trading</v>
      </c>
      <c r="D795" s="53" t="str">
        <f aca="false">INDEX(I_Items!$D$5:$D$133,MATCH($B795,I_Items!$A$5:$A$133,0))</f>
        <v>BLD</v>
      </c>
      <c r="E795" s="53" t="str">
        <f aca="false">INDEX(I_Items!$F$5:$F$133,MATCH($B795,I_Items!$A$5:$A$133,0))</f>
        <v>Frozen</v>
      </c>
      <c r="F795" s="53" t="str">
        <f aca="false">IF(INDEX(I_Items!$E$5:$E$133,MATCH($B795,I_Items!$A$5:$A$133,0))="","",INDEX(I_Items!$E$5:$E$133,MATCH($B795,I_Items!$A$5:$A$133,0)))</f>
        <v/>
      </c>
      <c r="G795" s="76" t="n">
        <v>46233</v>
      </c>
      <c r="H795" s="23" t="n">
        <f aca="false">MONTH(G795)</f>
        <v>7</v>
      </c>
      <c r="I795" s="74" t="s">
        <v>2075</v>
      </c>
      <c r="J795" s="74" t="s">
        <v>2242</v>
      </c>
      <c r="K795" s="10" t="n">
        <v>0</v>
      </c>
      <c r="L795" s="8" t="n">
        <v>0</v>
      </c>
      <c r="M795" s="10" t="n">
        <v>312.9</v>
      </c>
      <c r="N795" s="8" t="n">
        <v>9582210.64</v>
      </c>
      <c r="O795" s="74" t="s">
        <v>2077</v>
      </c>
      <c r="P795" s="74"/>
      <c r="Q795" s="74"/>
      <c r="R795" s="14" t="n">
        <f aca="false">IF(I795="Unbilled",0,M795)</f>
        <v>312.9</v>
      </c>
      <c r="S795" s="9" t="n">
        <f aca="false">IF(R795=0,0,IF(O795="Booked",N795,R795*V794))</f>
        <v>9582210.62889776</v>
      </c>
      <c r="T795" s="14" t="n">
        <f aca="false">IF(I795="Opening",K795,T794+K795-R795)</f>
        <v>23037.86</v>
      </c>
      <c r="U795" s="9" t="n">
        <f aca="false">IF(I795="Opening",L795,U794+L795-S795)</f>
        <v>705508555.31818</v>
      </c>
      <c r="V795" s="9" t="n">
        <f aca="false">IF(T795&gt;0,U795/T795,IF(I795="Opening",0,V794))</f>
        <v>30623.8754518944</v>
      </c>
      <c r="W795" s="14" t="n">
        <f aca="false">M795</f>
        <v>312.9</v>
      </c>
      <c r="X795" s="9" t="n">
        <f aca="false">IF(W795=0,0,IF(O795="Booked",N795,W795*AA794))</f>
        <v>9582210.62889776</v>
      </c>
      <c r="Y795" s="14" t="n">
        <f aca="false">IF(I795="Opening",K795,Y794+K795-W795)</f>
        <v>23037.86</v>
      </c>
      <c r="Z795" s="9" t="n">
        <f aca="false">IF(I795="Opening",L795,Z794+L795-X795)</f>
        <v>705508555.31818</v>
      </c>
      <c r="AA795" s="9" t="n">
        <f aca="false">IF(Y795&gt;0,Z795/Y795,IF(I795="Opening",0,AA794))</f>
        <v>30623.8754518944</v>
      </c>
      <c r="AB795" s="9" t="n">
        <f aca="false">IF(AND(I795="DO",O795="MA"),S795-N795,0)</f>
        <v>-0.0111022368073463</v>
      </c>
      <c r="AC795" s="9" t="n">
        <f aca="false">IF(I795="DO",X795-S795,0)</f>
        <v>0</v>
      </c>
      <c r="AD795" s="23" t="n">
        <f aca="false">IF(B796&lt;&gt;B795,1,0)</f>
        <v>0</v>
      </c>
      <c r="AE795" s="14" t="n">
        <f aca="false">IF(I795="Opening",0,AE794+W795)</f>
        <v>41476.91</v>
      </c>
      <c r="AF795" s="14" t="n">
        <f aca="false">IF(I795="Opening",K795,AF794)</f>
        <v>25015.13</v>
      </c>
      <c r="AG795" s="14" t="n">
        <f aca="false">AG794</f>
        <v>39499.64</v>
      </c>
      <c r="AH795" s="14" t="n">
        <f aca="false">IF(W795=0,0,MAX(0,MIN(AE795,AF795)-MIN(AE795-W795,AF795)))</f>
        <v>0</v>
      </c>
      <c r="AI795" s="14" t="n">
        <f aca="false">IF(W795=0,0,MAX(0,MIN(AE795,AF795+AG795)-MAX(AE795-W795,AF795)))</f>
        <v>312.900000000001</v>
      </c>
      <c r="AJ795" s="14" t="n">
        <f aca="false">W795-AH795-AI795</f>
        <v>-1.47792889038101E-012</v>
      </c>
      <c r="AK795" s="9" t="n">
        <f aca="false">IF(W795=0,0,X795*AH795/W795)</f>
        <v>0</v>
      </c>
      <c r="AL795" s="9" t="n">
        <f aca="false">IF(W795=0,0,X795*AI795/W795)</f>
        <v>9582210.62889781</v>
      </c>
      <c r="AM795" s="9" t="n">
        <f aca="false">X795-AK795-AL795</f>
        <v>-4.4703483581543E-008</v>
      </c>
    </row>
    <row r="796" customFormat="false" ht="15" hidden="false" customHeight="false" outlineLevel="0" collapsed="false">
      <c r="A796" s="6" t="n">
        <v>791</v>
      </c>
      <c r="B796" s="74" t="s">
        <v>1019</v>
      </c>
      <c r="C796" s="53" t="str">
        <f aca="false">INDEX(I_Items!$C$5:$C$133,MATCH($B796,I_Items!$A$5:$A$133,0))</f>
        <v>Trading</v>
      </c>
      <c r="D796" s="53" t="str">
        <f aca="false">INDEX(I_Items!$D$5:$D$133,MATCH($B796,I_Items!$A$5:$A$133,0))</f>
        <v>BLD</v>
      </c>
      <c r="E796" s="53" t="str">
        <f aca="false">INDEX(I_Items!$F$5:$F$133,MATCH($B796,I_Items!$A$5:$A$133,0))</f>
        <v>Frozen</v>
      </c>
      <c r="F796" s="53" t="str">
        <f aca="false">IF(INDEX(I_Items!$E$5:$E$133,MATCH($B796,I_Items!$A$5:$A$133,0))="","",INDEX(I_Items!$E$5:$E$133,MATCH($B796,I_Items!$A$5:$A$133,0)))</f>
        <v/>
      </c>
      <c r="G796" s="76" t="n">
        <v>46233</v>
      </c>
      <c r="H796" s="23" t="n">
        <f aca="false">MONTH(G796)</f>
        <v>7</v>
      </c>
      <c r="I796" s="74" t="s">
        <v>2075</v>
      </c>
      <c r="J796" s="74" t="s">
        <v>2243</v>
      </c>
      <c r="K796" s="10" t="n">
        <v>0</v>
      </c>
      <c r="L796" s="8" t="n">
        <v>0</v>
      </c>
      <c r="M796" s="10" t="n">
        <v>3315</v>
      </c>
      <c r="N796" s="8" t="n">
        <v>101518147.28</v>
      </c>
      <c r="O796" s="74" t="s">
        <v>2077</v>
      </c>
      <c r="P796" s="74"/>
      <c r="Q796" s="74"/>
      <c r="R796" s="14" t="n">
        <f aca="false">IF(I796="Unbilled",0,M796)</f>
        <v>3315</v>
      </c>
      <c r="S796" s="9" t="n">
        <f aca="false">IF(R796=0,0,IF(O796="Booked",N796,R796*V795))</f>
        <v>101518147.12303</v>
      </c>
      <c r="T796" s="14" t="n">
        <f aca="false">IF(I796="Opening",K796,T795+K796-R796)</f>
        <v>19722.86</v>
      </c>
      <c r="U796" s="9" t="n">
        <f aca="false">IF(I796="Opening",L796,U795+L796-S796)</f>
        <v>603990408.19515</v>
      </c>
      <c r="V796" s="9" t="n">
        <f aca="false">IF(T796&gt;0,U796/T796,IF(I796="Opening",0,V795))</f>
        <v>30623.8754518944</v>
      </c>
      <c r="W796" s="14" t="n">
        <f aca="false">M796</f>
        <v>3315</v>
      </c>
      <c r="X796" s="9" t="n">
        <f aca="false">IF(W796=0,0,IF(O796="Booked",N796,W796*AA795))</f>
        <v>101518147.12303</v>
      </c>
      <c r="Y796" s="14" t="n">
        <f aca="false">IF(I796="Opening",K796,Y795+K796-W796)</f>
        <v>19722.86</v>
      </c>
      <c r="Z796" s="9" t="n">
        <f aca="false">IF(I796="Opening",L796,Z795+L796-X796)</f>
        <v>603990408.19515</v>
      </c>
      <c r="AA796" s="9" t="n">
        <f aca="false">IF(Y796&gt;0,Z796/Y796,IF(I796="Opening",0,AA795))</f>
        <v>30623.8754518944</v>
      </c>
      <c r="AB796" s="9" t="n">
        <f aca="false">IF(AND(I796="DO",O796="MA"),S796-N796,0)</f>
        <v>-0.156969979405403</v>
      </c>
      <c r="AC796" s="9" t="n">
        <f aca="false">IF(I796="DO",X796-S796,0)</f>
        <v>0</v>
      </c>
      <c r="AD796" s="23" t="n">
        <f aca="false">IF(B797&lt;&gt;B796,1,0)</f>
        <v>0</v>
      </c>
      <c r="AE796" s="14" t="n">
        <f aca="false">IF(I796="Opening",0,AE795+W796)</f>
        <v>44791.91</v>
      </c>
      <c r="AF796" s="14" t="n">
        <f aca="false">IF(I796="Opening",K796,AF795)</f>
        <v>25015.13</v>
      </c>
      <c r="AG796" s="14" t="n">
        <f aca="false">AG795</f>
        <v>39499.64</v>
      </c>
      <c r="AH796" s="14" t="n">
        <f aca="false">IF(W796=0,0,MAX(0,MIN(AE796,AF796)-MIN(AE796-W796,AF796)))</f>
        <v>0</v>
      </c>
      <c r="AI796" s="14" t="n">
        <f aca="false">IF(W796=0,0,MAX(0,MIN(AE796,AF796+AG796)-MAX(AE796-W796,AF796)))</f>
        <v>3315</v>
      </c>
      <c r="AJ796" s="14" t="n">
        <f aca="false">W796-AH796-AI796</f>
        <v>0</v>
      </c>
      <c r="AK796" s="9" t="n">
        <f aca="false">IF(W796=0,0,X796*AH796/W796)</f>
        <v>0</v>
      </c>
      <c r="AL796" s="9" t="n">
        <f aca="false">IF(W796=0,0,X796*AI796/W796)</f>
        <v>101518147.12303</v>
      </c>
      <c r="AM796" s="9" t="n">
        <f aca="false">X796-AK796-AL796</f>
        <v>0</v>
      </c>
    </row>
    <row r="797" customFormat="false" ht="15" hidden="false" customHeight="false" outlineLevel="0" collapsed="false">
      <c r="A797" s="6" t="n">
        <v>792</v>
      </c>
      <c r="B797" s="74" t="s">
        <v>1019</v>
      </c>
      <c r="C797" s="53" t="str">
        <f aca="false">INDEX(I_Items!$C$5:$C$133,MATCH($B797,I_Items!$A$5:$A$133,0))</f>
        <v>Trading</v>
      </c>
      <c r="D797" s="53" t="str">
        <f aca="false">INDEX(I_Items!$D$5:$D$133,MATCH($B797,I_Items!$A$5:$A$133,0))</f>
        <v>BLD</v>
      </c>
      <c r="E797" s="53" t="str">
        <f aca="false">INDEX(I_Items!$F$5:$F$133,MATCH($B797,I_Items!$A$5:$A$133,0))</f>
        <v>Frozen</v>
      </c>
      <c r="F797" s="53" t="str">
        <f aca="false">IF(INDEX(I_Items!$E$5:$E$133,MATCH($B797,I_Items!$A$5:$A$133,0))="","",INDEX(I_Items!$E$5:$E$133,MATCH($B797,I_Items!$A$5:$A$133,0)))</f>
        <v/>
      </c>
      <c r="G797" s="76" t="n">
        <v>46233</v>
      </c>
      <c r="H797" s="23" t="n">
        <f aca="false">MONTH(G797)</f>
        <v>7</v>
      </c>
      <c r="I797" s="74" t="s">
        <v>2075</v>
      </c>
      <c r="J797" s="74" t="s">
        <v>2244</v>
      </c>
      <c r="K797" s="10" t="n">
        <v>0</v>
      </c>
      <c r="L797" s="8" t="n">
        <v>0</v>
      </c>
      <c r="M797" s="10" t="n">
        <v>176.42</v>
      </c>
      <c r="N797" s="8" t="n">
        <v>5402664.12</v>
      </c>
      <c r="O797" s="74" t="s">
        <v>2077</v>
      </c>
      <c r="P797" s="74"/>
      <c r="Q797" s="74"/>
      <c r="R797" s="14" t="n">
        <f aca="false">IF(I797="Unbilled",0,M797)</f>
        <v>176.42</v>
      </c>
      <c r="S797" s="9" t="n">
        <f aca="false">IF(R797=0,0,IF(O797="Booked",N797,R797*V796))</f>
        <v>5402664.10722321</v>
      </c>
      <c r="T797" s="14" t="n">
        <f aca="false">IF(I797="Opening",K797,T796+K797-R797)</f>
        <v>19546.44</v>
      </c>
      <c r="U797" s="9" t="n">
        <f aca="false">IF(I797="Opening",L797,U796+L797-S797)</f>
        <v>598587744.087927</v>
      </c>
      <c r="V797" s="9" t="n">
        <f aca="false">IF(T797&gt;0,U797/T797,IF(I797="Opening",0,V796))</f>
        <v>30623.8754518944</v>
      </c>
      <c r="W797" s="14" t="n">
        <f aca="false">M797</f>
        <v>176.42</v>
      </c>
      <c r="X797" s="9" t="n">
        <f aca="false">IF(W797=0,0,IF(O797="Booked",N797,W797*AA796))</f>
        <v>5402664.10722321</v>
      </c>
      <c r="Y797" s="14" t="n">
        <f aca="false">IF(I797="Opening",K797,Y796+K797-W797)</f>
        <v>19546.44</v>
      </c>
      <c r="Z797" s="9" t="n">
        <f aca="false">IF(I797="Opening",L797,Z796+L797-X797)</f>
        <v>598587744.087927</v>
      </c>
      <c r="AA797" s="9" t="n">
        <f aca="false">IF(Y797&gt;0,Z797/Y797,IF(I797="Opening",0,AA796))</f>
        <v>30623.8754518944</v>
      </c>
      <c r="AB797" s="9" t="n">
        <f aca="false">IF(AND(I797="DO",O797="MA"),S797-N797,0)</f>
        <v>-0.0127767864614725</v>
      </c>
      <c r="AC797" s="9" t="n">
        <f aca="false">IF(I797="DO",X797-S797,0)</f>
        <v>0</v>
      </c>
      <c r="AD797" s="23" t="n">
        <f aca="false">IF(B798&lt;&gt;B797,1,0)</f>
        <v>0</v>
      </c>
      <c r="AE797" s="14" t="n">
        <f aca="false">IF(I797="Opening",0,AE796+W797)</f>
        <v>44968.33</v>
      </c>
      <c r="AF797" s="14" t="n">
        <f aca="false">IF(I797="Opening",K797,AF796)</f>
        <v>25015.13</v>
      </c>
      <c r="AG797" s="14" t="n">
        <f aca="false">AG796</f>
        <v>39499.64</v>
      </c>
      <c r="AH797" s="14" t="n">
        <f aca="false">IF(W797=0,0,MAX(0,MIN(AE797,AF797)-MIN(AE797-W797,AF797)))</f>
        <v>0</v>
      </c>
      <c r="AI797" s="14" t="n">
        <f aca="false">IF(W797=0,0,MAX(0,MIN(AE797,AF797+AG797)-MAX(AE797-W797,AF797)))</f>
        <v>176.419999999998</v>
      </c>
      <c r="AJ797" s="14" t="n">
        <f aca="false">W797-AH797-AI797</f>
        <v>1.73372427525464E-012</v>
      </c>
      <c r="AK797" s="9" t="n">
        <f aca="false">IF(W797=0,0,X797*AH797/W797)</f>
        <v>0</v>
      </c>
      <c r="AL797" s="9" t="n">
        <f aca="false">IF(W797=0,0,X797*AI797/W797)</f>
        <v>5402664.10722316</v>
      </c>
      <c r="AM797" s="9" t="n">
        <f aca="false">X797-AK797-AL797</f>
        <v>5.30853867530823E-008</v>
      </c>
    </row>
    <row r="798" customFormat="false" ht="15" hidden="false" customHeight="false" outlineLevel="0" collapsed="false">
      <c r="A798" s="6" t="n">
        <v>793</v>
      </c>
      <c r="B798" s="74" t="s">
        <v>1019</v>
      </c>
      <c r="C798" s="53" t="str">
        <f aca="false">INDEX(I_Items!$C$5:$C$133,MATCH($B798,I_Items!$A$5:$A$133,0))</f>
        <v>Trading</v>
      </c>
      <c r="D798" s="53" t="str">
        <f aca="false">INDEX(I_Items!$D$5:$D$133,MATCH($B798,I_Items!$A$5:$A$133,0))</f>
        <v>BLD</v>
      </c>
      <c r="E798" s="53" t="str">
        <f aca="false">INDEX(I_Items!$F$5:$F$133,MATCH($B798,I_Items!$A$5:$A$133,0))</f>
        <v>Frozen</v>
      </c>
      <c r="F798" s="53" t="str">
        <f aca="false">IF(INDEX(I_Items!$E$5:$E$133,MATCH($B798,I_Items!$A$5:$A$133,0))="","",INDEX(I_Items!$E$5:$E$133,MATCH($B798,I_Items!$A$5:$A$133,0)))</f>
        <v/>
      </c>
      <c r="G798" s="76" t="n">
        <v>46233</v>
      </c>
      <c r="H798" s="23" t="n">
        <f aca="false">MONTH(G798)</f>
        <v>7</v>
      </c>
      <c r="I798" s="74" t="s">
        <v>2075</v>
      </c>
      <c r="J798" s="74" t="s">
        <v>2245</v>
      </c>
      <c r="K798" s="10" t="n">
        <v>0</v>
      </c>
      <c r="L798" s="8" t="n">
        <v>0</v>
      </c>
      <c r="M798" s="10" t="n">
        <v>2005.71</v>
      </c>
      <c r="N798" s="8" t="n">
        <v>61422613.33</v>
      </c>
      <c r="O798" s="74" t="s">
        <v>2077</v>
      </c>
      <c r="P798" s="74"/>
      <c r="Q798" s="74"/>
      <c r="R798" s="14" t="n">
        <f aca="false">IF(I798="Unbilled",0,M798)</f>
        <v>2005.71</v>
      </c>
      <c r="S798" s="9" t="n">
        <f aca="false">IF(R798=0,0,IF(O798="Booked",N798,R798*V797))</f>
        <v>61422613.2326192</v>
      </c>
      <c r="T798" s="14" t="n">
        <f aca="false">IF(I798="Opening",K798,T797+K798-R798)</f>
        <v>17540.73</v>
      </c>
      <c r="U798" s="9" t="n">
        <f aca="false">IF(I798="Opening",L798,U797+L798-S798)</f>
        <v>537165130.855307</v>
      </c>
      <c r="V798" s="9" t="n">
        <f aca="false">IF(T798&gt;0,U798/T798,IF(I798="Opening",0,V797))</f>
        <v>30623.8754518944</v>
      </c>
      <c r="W798" s="14" t="n">
        <f aca="false">M798</f>
        <v>2005.71</v>
      </c>
      <c r="X798" s="9" t="n">
        <f aca="false">IF(W798=0,0,IF(O798="Booked",N798,W798*AA797))</f>
        <v>61422613.2326192</v>
      </c>
      <c r="Y798" s="14" t="n">
        <f aca="false">IF(I798="Opening",K798,Y797+K798-W798)</f>
        <v>17540.73</v>
      </c>
      <c r="Z798" s="9" t="n">
        <f aca="false">IF(I798="Opening",L798,Z797+L798-X798)</f>
        <v>537165130.855307</v>
      </c>
      <c r="AA798" s="9" t="n">
        <f aca="false">IF(Y798&gt;0,Z798/Y798,IF(I798="Opening",0,AA797))</f>
        <v>30623.8754518944</v>
      </c>
      <c r="AB798" s="9" t="n">
        <f aca="false">IF(AND(I798="DO",O798="MA"),S798-N798,0)</f>
        <v>-0.0973808467388153</v>
      </c>
      <c r="AC798" s="9" t="n">
        <f aca="false">IF(I798="DO",X798-S798,0)</f>
        <v>0</v>
      </c>
      <c r="AD798" s="23" t="n">
        <f aca="false">IF(B799&lt;&gt;B798,1,0)</f>
        <v>0</v>
      </c>
      <c r="AE798" s="14" t="n">
        <f aca="false">IF(I798="Opening",0,AE797+W798)</f>
        <v>46974.04</v>
      </c>
      <c r="AF798" s="14" t="n">
        <f aca="false">IF(I798="Opening",K798,AF797)</f>
        <v>25015.13</v>
      </c>
      <c r="AG798" s="14" t="n">
        <f aca="false">AG797</f>
        <v>39499.64</v>
      </c>
      <c r="AH798" s="14" t="n">
        <f aca="false">IF(W798=0,0,MAX(0,MIN(AE798,AF798)-MIN(AE798-W798,AF798)))</f>
        <v>0</v>
      </c>
      <c r="AI798" s="14" t="n">
        <f aca="false">IF(W798=0,0,MAX(0,MIN(AE798,AF798+AG798)-MAX(AE798-W798,AF798)))</f>
        <v>2005.71</v>
      </c>
      <c r="AJ798" s="14" t="n">
        <f aca="false">W798-AH798-AI798</f>
        <v>0</v>
      </c>
      <c r="AK798" s="9" t="n">
        <f aca="false">IF(W798=0,0,X798*AH798/W798)</f>
        <v>0</v>
      </c>
      <c r="AL798" s="9" t="n">
        <f aca="false">IF(W798=0,0,X798*AI798/W798)</f>
        <v>61422613.2326191</v>
      </c>
      <c r="AM798" s="9" t="n">
        <f aca="false">X798-AK798-AL798</f>
        <v>0</v>
      </c>
    </row>
    <row r="799" customFormat="false" ht="15" hidden="false" customHeight="false" outlineLevel="0" collapsed="false">
      <c r="A799" s="6" t="n">
        <v>794</v>
      </c>
      <c r="B799" s="74" t="s">
        <v>1019</v>
      </c>
      <c r="C799" s="53" t="str">
        <f aca="false">INDEX(I_Items!$C$5:$C$133,MATCH($B799,I_Items!$A$5:$A$133,0))</f>
        <v>Trading</v>
      </c>
      <c r="D799" s="53" t="str">
        <f aca="false">INDEX(I_Items!$D$5:$D$133,MATCH($B799,I_Items!$A$5:$A$133,0))</f>
        <v>BLD</v>
      </c>
      <c r="E799" s="53" t="str">
        <f aca="false">INDEX(I_Items!$F$5:$F$133,MATCH($B799,I_Items!$A$5:$A$133,0))</f>
        <v>Frozen</v>
      </c>
      <c r="F799" s="53" t="str">
        <f aca="false">IF(INDEX(I_Items!$E$5:$E$133,MATCH($B799,I_Items!$A$5:$A$133,0))="","",INDEX(I_Items!$E$5:$E$133,MATCH($B799,I_Items!$A$5:$A$133,0)))</f>
        <v/>
      </c>
      <c r="G799" s="76" t="n">
        <v>46233</v>
      </c>
      <c r="H799" s="23" t="n">
        <f aca="false">MONTH(G799)</f>
        <v>7</v>
      </c>
      <c r="I799" s="74" t="s">
        <v>2075</v>
      </c>
      <c r="J799" s="74" t="s">
        <v>2246</v>
      </c>
      <c r="K799" s="10" t="n">
        <v>0</v>
      </c>
      <c r="L799" s="8" t="n">
        <v>0</v>
      </c>
      <c r="M799" s="10" t="n">
        <v>503.98</v>
      </c>
      <c r="N799" s="8" t="n">
        <v>15433820.77</v>
      </c>
      <c r="O799" s="74" t="s">
        <v>2077</v>
      </c>
      <c r="P799" s="74"/>
      <c r="Q799" s="74"/>
      <c r="R799" s="14" t="n">
        <f aca="false">IF(I799="Unbilled",0,M799)</f>
        <v>503.98</v>
      </c>
      <c r="S799" s="9" t="n">
        <f aca="false">IF(R799=0,0,IF(O799="Booked",N799,R799*V798))</f>
        <v>15433820.7502457</v>
      </c>
      <c r="T799" s="14" t="n">
        <f aca="false">IF(I799="Opening",K799,T798+K799-R799)</f>
        <v>17036.75</v>
      </c>
      <c r="U799" s="9" t="n">
        <f aca="false">IF(I799="Opening",L799,U798+L799-S799)</f>
        <v>521731310.105062</v>
      </c>
      <c r="V799" s="9" t="n">
        <f aca="false">IF(T799&gt;0,U799/T799,IF(I799="Opening",0,V798))</f>
        <v>30623.8754518944</v>
      </c>
      <c r="W799" s="14" t="n">
        <f aca="false">M799</f>
        <v>503.98</v>
      </c>
      <c r="X799" s="9" t="n">
        <f aca="false">IF(W799=0,0,IF(O799="Booked",N799,W799*AA798))</f>
        <v>15433820.7502457</v>
      </c>
      <c r="Y799" s="14" t="n">
        <f aca="false">IF(I799="Opening",K799,Y798+K799-W799)</f>
        <v>17036.75</v>
      </c>
      <c r="Z799" s="9" t="n">
        <f aca="false">IF(I799="Opening",L799,Z798+L799-X799)</f>
        <v>521731310.105062</v>
      </c>
      <c r="AA799" s="9" t="n">
        <f aca="false">IF(Y799&gt;0,Z799/Y799,IF(I799="Opening",0,AA798))</f>
        <v>30623.8754518944</v>
      </c>
      <c r="AB799" s="9" t="n">
        <f aca="false">IF(AND(I799="DO",O799="MA"),S799-N799,0)</f>
        <v>-0.0197542514652014</v>
      </c>
      <c r="AC799" s="9" t="n">
        <f aca="false">IF(I799="DO",X799-S799,0)</f>
        <v>0</v>
      </c>
      <c r="AD799" s="23" t="n">
        <f aca="false">IF(B800&lt;&gt;B799,1,0)</f>
        <v>0</v>
      </c>
      <c r="AE799" s="14" t="n">
        <f aca="false">IF(I799="Opening",0,AE798+W799)</f>
        <v>47478.02</v>
      </c>
      <c r="AF799" s="14" t="n">
        <f aca="false">IF(I799="Opening",K799,AF798)</f>
        <v>25015.13</v>
      </c>
      <c r="AG799" s="14" t="n">
        <f aca="false">AG798</f>
        <v>39499.64</v>
      </c>
      <c r="AH799" s="14" t="n">
        <f aca="false">IF(W799=0,0,MAX(0,MIN(AE799,AF799)-MIN(AE799-W799,AF799)))</f>
        <v>0</v>
      </c>
      <c r="AI799" s="14" t="n">
        <f aca="false">IF(W799=0,0,MAX(0,MIN(AE799,AF799+AG799)-MAX(AE799-W799,AF799)))</f>
        <v>503.980000000003</v>
      </c>
      <c r="AJ799" s="14" t="n">
        <f aca="false">W799-AH799-AI799</f>
        <v>-3.18323145620525E-012</v>
      </c>
      <c r="AK799" s="9" t="n">
        <f aca="false">IF(W799=0,0,X799*AH799/W799)</f>
        <v>0</v>
      </c>
      <c r="AL799" s="9" t="n">
        <f aca="false">IF(W799=0,0,X799*AI799/W799)</f>
        <v>15433820.7502458</v>
      </c>
      <c r="AM799" s="9" t="n">
        <f aca="false">X799-AK799-AL799</f>
        <v>-9.68575477600098E-008</v>
      </c>
    </row>
    <row r="800" customFormat="false" ht="15" hidden="false" customHeight="false" outlineLevel="0" collapsed="false">
      <c r="A800" s="6" t="n">
        <v>795</v>
      </c>
      <c r="B800" s="74" t="s">
        <v>1019</v>
      </c>
      <c r="C800" s="53" t="str">
        <f aca="false">INDEX(I_Items!$C$5:$C$133,MATCH($B800,I_Items!$A$5:$A$133,0))</f>
        <v>Trading</v>
      </c>
      <c r="D800" s="53" t="str">
        <f aca="false">INDEX(I_Items!$D$5:$D$133,MATCH($B800,I_Items!$A$5:$A$133,0))</f>
        <v>BLD</v>
      </c>
      <c r="E800" s="53" t="str">
        <f aca="false">INDEX(I_Items!$F$5:$F$133,MATCH($B800,I_Items!$A$5:$A$133,0))</f>
        <v>Frozen</v>
      </c>
      <c r="F800" s="53" t="str">
        <f aca="false">IF(INDEX(I_Items!$E$5:$E$133,MATCH($B800,I_Items!$A$5:$A$133,0))="","",INDEX(I_Items!$E$5:$E$133,MATCH($B800,I_Items!$A$5:$A$133,0)))</f>
        <v/>
      </c>
      <c r="G800" s="76" t="n">
        <v>46233</v>
      </c>
      <c r="H800" s="23" t="n">
        <f aca="false">MONTH(G800)</f>
        <v>7</v>
      </c>
      <c r="I800" s="74" t="s">
        <v>2075</v>
      </c>
      <c r="J800" s="74" t="s">
        <v>2247</v>
      </c>
      <c r="K800" s="10" t="n">
        <v>0</v>
      </c>
      <c r="L800" s="8" t="n">
        <v>0</v>
      </c>
      <c r="M800" s="10" t="n">
        <v>182.87</v>
      </c>
      <c r="N800" s="8" t="n">
        <v>5600188.11</v>
      </c>
      <c r="O800" s="74" t="s">
        <v>2077</v>
      </c>
      <c r="P800" s="74"/>
      <c r="Q800" s="74"/>
      <c r="R800" s="14" t="n">
        <f aca="false">IF(I800="Unbilled",0,M800)</f>
        <v>182.87</v>
      </c>
      <c r="S800" s="9" t="n">
        <f aca="false">IF(R800=0,0,IF(O800="Booked",N800,R800*V799))</f>
        <v>5600188.10388793</v>
      </c>
      <c r="T800" s="14" t="n">
        <f aca="false">IF(I800="Opening",K800,T799+K800-R800)</f>
        <v>16853.88</v>
      </c>
      <c r="U800" s="9" t="n">
        <f aca="false">IF(I800="Opening",L800,U799+L800-S800)</f>
        <v>516131122.001174</v>
      </c>
      <c r="V800" s="9" t="n">
        <f aca="false">IF(T800&gt;0,U800/T800,IF(I800="Opening",0,V799))</f>
        <v>30623.8754518944</v>
      </c>
      <c r="W800" s="14" t="n">
        <f aca="false">M800</f>
        <v>182.87</v>
      </c>
      <c r="X800" s="9" t="n">
        <f aca="false">IF(W800=0,0,IF(O800="Booked",N800,W800*AA799))</f>
        <v>5600188.10388793</v>
      </c>
      <c r="Y800" s="14" t="n">
        <f aca="false">IF(I800="Opening",K800,Y799+K800-W800)</f>
        <v>16853.88</v>
      </c>
      <c r="Z800" s="9" t="n">
        <f aca="false">IF(I800="Opening",L800,Z799+L800-X800)</f>
        <v>516131122.001174</v>
      </c>
      <c r="AA800" s="9" t="n">
        <f aca="false">IF(Y800&gt;0,Z800/Y800,IF(I800="Opening",0,AA799))</f>
        <v>30623.8754518944</v>
      </c>
      <c r="AB800" s="9" t="n">
        <f aca="false">IF(AND(I800="DO",O800="MA"),S800-N800,0)</f>
        <v>-0.00611206889152527</v>
      </c>
      <c r="AC800" s="9" t="n">
        <f aca="false">IF(I800="DO",X800-S800,0)</f>
        <v>0</v>
      </c>
      <c r="AD800" s="23" t="n">
        <f aca="false">IF(B801&lt;&gt;B800,1,0)</f>
        <v>0</v>
      </c>
      <c r="AE800" s="14" t="n">
        <f aca="false">IF(I800="Opening",0,AE799+W800)</f>
        <v>47660.89</v>
      </c>
      <c r="AF800" s="14" t="n">
        <f aca="false">IF(I800="Opening",K800,AF799)</f>
        <v>25015.13</v>
      </c>
      <c r="AG800" s="14" t="n">
        <f aca="false">AG799</f>
        <v>39499.64</v>
      </c>
      <c r="AH800" s="14" t="n">
        <f aca="false">IF(W800=0,0,MAX(0,MIN(AE800,AF800)-MIN(AE800-W800,AF800)))</f>
        <v>0</v>
      </c>
      <c r="AI800" s="14" t="n">
        <f aca="false">IF(W800=0,0,MAX(0,MIN(AE800,AF800+AG800)-MAX(AE800-W800,AF800)))</f>
        <v>182.870000000003</v>
      </c>
      <c r="AJ800" s="14" t="n">
        <f aca="false">W800-AH800-AI800</f>
        <v>-2.61479726759717E-012</v>
      </c>
      <c r="AK800" s="9" t="n">
        <f aca="false">IF(W800=0,0,X800*AH800/W800)</f>
        <v>0</v>
      </c>
      <c r="AL800" s="9" t="n">
        <f aca="false">IF(W800=0,0,X800*AI800/W800)</f>
        <v>5600188.10388801</v>
      </c>
      <c r="AM800" s="9" t="n">
        <f aca="false">X800-AK800-AL800</f>
        <v>-8.00937414169312E-008</v>
      </c>
    </row>
    <row r="801" customFormat="false" ht="15" hidden="false" customHeight="false" outlineLevel="0" collapsed="false">
      <c r="A801" s="6" t="n">
        <v>796</v>
      </c>
      <c r="B801" s="74" t="s">
        <v>1019</v>
      </c>
      <c r="C801" s="53" t="str">
        <f aca="false">INDEX(I_Items!$C$5:$C$133,MATCH($B801,I_Items!$A$5:$A$133,0))</f>
        <v>Trading</v>
      </c>
      <c r="D801" s="53" t="str">
        <f aca="false">INDEX(I_Items!$D$5:$D$133,MATCH($B801,I_Items!$A$5:$A$133,0))</f>
        <v>BLD</v>
      </c>
      <c r="E801" s="53" t="str">
        <f aca="false">INDEX(I_Items!$F$5:$F$133,MATCH($B801,I_Items!$A$5:$A$133,0))</f>
        <v>Frozen</v>
      </c>
      <c r="F801" s="53" t="str">
        <f aca="false">IF(INDEX(I_Items!$E$5:$E$133,MATCH($B801,I_Items!$A$5:$A$133,0))="","",INDEX(I_Items!$E$5:$E$133,MATCH($B801,I_Items!$A$5:$A$133,0)))</f>
        <v/>
      </c>
      <c r="G801" s="76" t="n">
        <v>46233</v>
      </c>
      <c r="H801" s="23" t="n">
        <f aca="false">MONTH(G801)</f>
        <v>7</v>
      </c>
      <c r="I801" s="74" t="s">
        <v>2075</v>
      </c>
      <c r="J801" s="74" t="s">
        <v>2248</v>
      </c>
      <c r="K801" s="10" t="n">
        <v>0</v>
      </c>
      <c r="L801" s="8" t="n">
        <v>0</v>
      </c>
      <c r="M801" s="10" t="n">
        <v>417.96</v>
      </c>
      <c r="N801" s="8" t="n">
        <v>12799555</v>
      </c>
      <c r="O801" s="74" t="s">
        <v>2077</v>
      </c>
      <c r="P801" s="74"/>
      <c r="Q801" s="74"/>
      <c r="R801" s="14" t="n">
        <f aca="false">IF(I801="Unbilled",0,M801)</f>
        <v>417.96</v>
      </c>
      <c r="S801" s="9" t="n">
        <f aca="false">IF(R801=0,0,IF(O801="Booked",N801,R801*V800))</f>
        <v>12799554.9838738</v>
      </c>
      <c r="T801" s="14" t="n">
        <f aca="false">IF(I801="Opening",K801,T800+K801-R801)</f>
        <v>16435.92</v>
      </c>
      <c r="U801" s="9" t="n">
        <f aca="false">IF(I801="Opening",L801,U800+L801-S801)</f>
        <v>503331567.0173</v>
      </c>
      <c r="V801" s="9" t="n">
        <f aca="false">IF(T801&gt;0,U801/T801,IF(I801="Opening",0,V800))</f>
        <v>30623.8754518944</v>
      </c>
      <c r="W801" s="14" t="n">
        <f aca="false">M801</f>
        <v>417.96</v>
      </c>
      <c r="X801" s="9" t="n">
        <f aca="false">IF(W801=0,0,IF(O801="Booked",N801,W801*AA800))</f>
        <v>12799554.9838738</v>
      </c>
      <c r="Y801" s="14" t="n">
        <f aca="false">IF(I801="Opening",K801,Y800+K801-W801)</f>
        <v>16435.92</v>
      </c>
      <c r="Z801" s="9" t="n">
        <f aca="false">IF(I801="Opening",L801,Z800+L801-X801)</f>
        <v>503331567.0173</v>
      </c>
      <c r="AA801" s="9" t="n">
        <f aca="false">IF(Y801&gt;0,Z801/Y801,IF(I801="Opening",0,AA800))</f>
        <v>30623.8754518944</v>
      </c>
      <c r="AB801" s="9" t="n">
        <f aca="false">IF(AND(I801="DO",O801="MA"),S801-N801,0)</f>
        <v>-0.016126211732626</v>
      </c>
      <c r="AC801" s="9" t="n">
        <f aca="false">IF(I801="DO",X801-S801,0)</f>
        <v>0</v>
      </c>
      <c r="AD801" s="23" t="n">
        <f aca="false">IF(B802&lt;&gt;B801,1,0)</f>
        <v>0</v>
      </c>
      <c r="AE801" s="14" t="n">
        <f aca="false">IF(I801="Opening",0,AE800+W801)</f>
        <v>48078.85</v>
      </c>
      <c r="AF801" s="14" t="n">
        <f aca="false">IF(I801="Opening",K801,AF800)</f>
        <v>25015.13</v>
      </c>
      <c r="AG801" s="14" t="n">
        <f aca="false">AG800</f>
        <v>39499.64</v>
      </c>
      <c r="AH801" s="14" t="n">
        <f aca="false">IF(W801=0,0,MAX(0,MIN(AE801,AF801)-MIN(AE801-W801,AF801)))</f>
        <v>0</v>
      </c>
      <c r="AI801" s="14" t="n">
        <f aca="false">IF(W801=0,0,MAX(0,MIN(AE801,AF801+AG801)-MAX(AE801-W801,AF801)))</f>
        <v>417.959999999999</v>
      </c>
      <c r="AJ801" s="14" t="n">
        <f aca="false">W801-AH801-AI801</f>
        <v>0</v>
      </c>
      <c r="AK801" s="9" t="n">
        <f aca="false">IF(W801=0,0,X801*AH801/W801)</f>
        <v>0</v>
      </c>
      <c r="AL801" s="9" t="n">
        <f aca="false">IF(W801=0,0,X801*AI801/W801)</f>
        <v>12799554.9838738</v>
      </c>
      <c r="AM801" s="9" t="n">
        <f aca="false">X801-AK801-AL801</f>
        <v>0</v>
      </c>
    </row>
    <row r="802" customFormat="false" ht="15" hidden="false" customHeight="false" outlineLevel="0" collapsed="false">
      <c r="A802" s="6" t="n">
        <v>797</v>
      </c>
      <c r="B802" s="74" t="s">
        <v>1019</v>
      </c>
      <c r="C802" s="53" t="str">
        <f aca="false">INDEX(I_Items!$C$5:$C$133,MATCH($B802,I_Items!$A$5:$A$133,0))</f>
        <v>Trading</v>
      </c>
      <c r="D802" s="53" t="str">
        <f aca="false">INDEX(I_Items!$D$5:$D$133,MATCH($B802,I_Items!$A$5:$A$133,0))</f>
        <v>BLD</v>
      </c>
      <c r="E802" s="53" t="str">
        <f aca="false">INDEX(I_Items!$F$5:$F$133,MATCH($B802,I_Items!$A$5:$A$133,0))</f>
        <v>Frozen</v>
      </c>
      <c r="F802" s="53" t="str">
        <f aca="false">IF(INDEX(I_Items!$E$5:$E$133,MATCH($B802,I_Items!$A$5:$A$133,0))="","",INDEX(I_Items!$E$5:$E$133,MATCH($B802,I_Items!$A$5:$A$133,0)))</f>
        <v/>
      </c>
      <c r="G802" s="76" t="n">
        <v>46234</v>
      </c>
      <c r="H802" s="23" t="n">
        <f aca="false">MONTH(G802)</f>
        <v>7</v>
      </c>
      <c r="I802" s="74" t="s">
        <v>2075</v>
      </c>
      <c r="J802" s="74" t="s">
        <v>2249</v>
      </c>
      <c r="K802" s="10" t="n">
        <v>0</v>
      </c>
      <c r="L802" s="8" t="n">
        <v>0</v>
      </c>
      <c r="M802" s="10" t="n">
        <v>1305.99</v>
      </c>
      <c r="N802" s="8" t="n">
        <v>39994475.16</v>
      </c>
      <c r="O802" s="74" t="s">
        <v>2077</v>
      </c>
      <c r="P802" s="74"/>
      <c r="Q802" s="74"/>
      <c r="R802" s="14" t="n">
        <f aca="false">IF(I802="Unbilled",0,M802)</f>
        <v>1305.99</v>
      </c>
      <c r="S802" s="9" t="n">
        <f aca="false">IF(R802=0,0,IF(O802="Booked",N802,R802*V801))</f>
        <v>39994475.1014196</v>
      </c>
      <c r="T802" s="14" t="n">
        <f aca="false">IF(I802="Opening",K802,T801+K802-R802)</f>
        <v>15129.93</v>
      </c>
      <c r="U802" s="9" t="n">
        <f aca="false">IF(I802="Opening",L802,U801+L802-S802)</f>
        <v>463337091.91588</v>
      </c>
      <c r="V802" s="9" t="n">
        <f aca="false">IF(T802&gt;0,U802/T802,IF(I802="Opening",0,V801))</f>
        <v>30623.8754518944</v>
      </c>
      <c r="W802" s="14" t="n">
        <f aca="false">M802</f>
        <v>1305.99</v>
      </c>
      <c r="X802" s="9" t="n">
        <f aca="false">IF(W802=0,0,IF(O802="Booked",N802,W802*AA801))</f>
        <v>39994475.1014196</v>
      </c>
      <c r="Y802" s="14" t="n">
        <f aca="false">IF(I802="Opening",K802,Y801+K802-W802)</f>
        <v>15129.93</v>
      </c>
      <c r="Z802" s="9" t="n">
        <f aca="false">IF(I802="Opening",L802,Z801+L802-X802)</f>
        <v>463337091.91588</v>
      </c>
      <c r="AA802" s="9" t="n">
        <f aca="false">IF(Y802&gt;0,Z802/Y802,IF(I802="Opening",0,AA801))</f>
        <v>30623.8754518944</v>
      </c>
      <c r="AB802" s="9" t="n">
        <f aca="false">IF(AND(I802="DO",O802="MA"),S802-N802,0)</f>
        <v>-0.0585804134607315</v>
      </c>
      <c r="AC802" s="9" t="n">
        <f aca="false">IF(I802="DO",X802-S802,0)</f>
        <v>0</v>
      </c>
      <c r="AD802" s="23" t="n">
        <f aca="false">IF(B803&lt;&gt;B802,1,0)</f>
        <v>0</v>
      </c>
      <c r="AE802" s="14" t="n">
        <f aca="false">IF(I802="Opening",0,AE801+W802)</f>
        <v>49384.84</v>
      </c>
      <c r="AF802" s="14" t="n">
        <f aca="false">IF(I802="Opening",K802,AF801)</f>
        <v>25015.13</v>
      </c>
      <c r="AG802" s="14" t="n">
        <f aca="false">AG801</f>
        <v>39499.64</v>
      </c>
      <c r="AH802" s="14" t="n">
        <f aca="false">IF(W802=0,0,MAX(0,MIN(AE802,AF802)-MIN(AE802-W802,AF802)))</f>
        <v>0</v>
      </c>
      <c r="AI802" s="14" t="n">
        <f aca="false">IF(W802=0,0,MAX(0,MIN(AE802,AF802+AG802)-MAX(AE802-W802,AF802)))</f>
        <v>1305.99</v>
      </c>
      <c r="AJ802" s="14" t="n">
        <f aca="false">W802-AH802-AI802</f>
        <v>0</v>
      </c>
      <c r="AK802" s="9" t="n">
        <f aca="false">IF(W802=0,0,X802*AH802/W802)</f>
        <v>0</v>
      </c>
      <c r="AL802" s="9" t="n">
        <f aca="false">IF(W802=0,0,X802*AI802/W802)</f>
        <v>39994475.1014195</v>
      </c>
      <c r="AM802" s="9" t="n">
        <f aca="false">X802-AK802-AL802</f>
        <v>0</v>
      </c>
    </row>
    <row r="803" customFormat="false" ht="15" hidden="false" customHeight="false" outlineLevel="0" collapsed="false">
      <c r="A803" s="6" t="n">
        <v>798</v>
      </c>
      <c r="B803" s="74" t="s">
        <v>1019</v>
      </c>
      <c r="C803" s="53" t="str">
        <f aca="false">INDEX(I_Items!$C$5:$C$133,MATCH($B803,I_Items!$A$5:$A$133,0))</f>
        <v>Trading</v>
      </c>
      <c r="D803" s="53" t="str">
        <f aca="false">INDEX(I_Items!$D$5:$D$133,MATCH($B803,I_Items!$A$5:$A$133,0))</f>
        <v>BLD</v>
      </c>
      <c r="E803" s="53" t="str">
        <f aca="false">INDEX(I_Items!$F$5:$F$133,MATCH($B803,I_Items!$A$5:$A$133,0))</f>
        <v>Frozen</v>
      </c>
      <c r="F803" s="53" t="str">
        <f aca="false">IF(INDEX(I_Items!$E$5:$E$133,MATCH($B803,I_Items!$A$5:$A$133,0))="","",INDEX(I_Items!$E$5:$E$133,MATCH($B803,I_Items!$A$5:$A$133,0)))</f>
        <v/>
      </c>
      <c r="G803" s="76" t="n">
        <v>46234</v>
      </c>
      <c r="H803" s="23" t="n">
        <f aca="false">MONTH(G803)</f>
        <v>7</v>
      </c>
      <c r="I803" s="74" t="s">
        <v>2075</v>
      </c>
      <c r="J803" s="74" t="s">
        <v>2250</v>
      </c>
      <c r="K803" s="10" t="n">
        <v>0</v>
      </c>
      <c r="L803" s="8" t="n">
        <v>0</v>
      </c>
      <c r="M803" s="10" t="n">
        <v>705.77</v>
      </c>
      <c r="N803" s="8" t="n">
        <v>21613412.61</v>
      </c>
      <c r="O803" s="74" t="s">
        <v>2077</v>
      </c>
      <c r="P803" s="74"/>
      <c r="Q803" s="74"/>
      <c r="R803" s="14" t="n">
        <f aca="false">IF(I803="Unbilled",0,M803)</f>
        <v>705.77</v>
      </c>
      <c r="S803" s="9" t="n">
        <f aca="false">IF(R803=0,0,IF(O803="Booked",N803,R803*V802))</f>
        <v>21613412.5776835</v>
      </c>
      <c r="T803" s="14" t="n">
        <f aca="false">IF(I803="Opening",K803,T802+K803-R803)</f>
        <v>14424.16</v>
      </c>
      <c r="U803" s="9" t="n">
        <f aca="false">IF(I803="Opening",L803,U802+L803-S803)</f>
        <v>441723679.338197</v>
      </c>
      <c r="V803" s="9" t="n">
        <f aca="false">IF(T803&gt;0,U803/T803,IF(I803="Opening",0,V802))</f>
        <v>30623.8754518944</v>
      </c>
      <c r="W803" s="14" t="n">
        <f aca="false">M803</f>
        <v>705.77</v>
      </c>
      <c r="X803" s="9" t="n">
        <f aca="false">IF(W803=0,0,IF(O803="Booked",N803,W803*AA802))</f>
        <v>21613412.5776835</v>
      </c>
      <c r="Y803" s="14" t="n">
        <f aca="false">IF(I803="Opening",K803,Y802+K803-W803)</f>
        <v>14424.16</v>
      </c>
      <c r="Z803" s="9" t="n">
        <f aca="false">IF(I803="Opening",L803,Z802+L803-X803)</f>
        <v>441723679.338197</v>
      </c>
      <c r="AA803" s="9" t="n">
        <f aca="false">IF(Y803&gt;0,Z803/Y803,IF(I803="Opening",0,AA802))</f>
        <v>30623.8754518944</v>
      </c>
      <c r="AB803" s="9" t="n">
        <f aca="false">IF(AND(I803="DO",O803="MA"),S803-N803,0)</f>
        <v>-0.032316479831934</v>
      </c>
      <c r="AC803" s="9" t="n">
        <f aca="false">IF(I803="DO",X803-S803,0)</f>
        <v>0</v>
      </c>
      <c r="AD803" s="23" t="n">
        <f aca="false">IF(B804&lt;&gt;B803,1,0)</f>
        <v>0</v>
      </c>
      <c r="AE803" s="14" t="n">
        <f aca="false">IF(I803="Opening",0,AE802+W803)</f>
        <v>50090.61</v>
      </c>
      <c r="AF803" s="14" t="n">
        <f aca="false">IF(I803="Opening",K803,AF802)</f>
        <v>25015.13</v>
      </c>
      <c r="AG803" s="14" t="n">
        <f aca="false">AG802</f>
        <v>39499.64</v>
      </c>
      <c r="AH803" s="14" t="n">
        <f aca="false">IF(W803=0,0,MAX(0,MIN(AE803,AF803)-MIN(AE803-W803,AF803)))</f>
        <v>0</v>
      </c>
      <c r="AI803" s="14" t="n">
        <f aca="false">IF(W803=0,0,MAX(0,MIN(AE803,AF803+AG803)-MAX(AE803-W803,AF803)))</f>
        <v>705.769999999997</v>
      </c>
      <c r="AJ803" s="14" t="n">
        <f aca="false">W803-AH803-AI803</f>
        <v>3.18323145620525E-012</v>
      </c>
      <c r="AK803" s="9" t="n">
        <f aca="false">IF(W803=0,0,X803*AH803/W803)</f>
        <v>0</v>
      </c>
      <c r="AL803" s="9" t="n">
        <f aca="false">IF(W803=0,0,X803*AI803/W803)</f>
        <v>21613412.5776834</v>
      </c>
      <c r="AM803" s="9" t="n">
        <f aca="false">X803-AK803-AL803</f>
        <v>9.68575477600098E-008</v>
      </c>
    </row>
    <row r="804" customFormat="false" ht="15" hidden="false" customHeight="false" outlineLevel="0" collapsed="false">
      <c r="A804" s="6" t="n">
        <v>799</v>
      </c>
      <c r="B804" s="74" t="s">
        <v>1019</v>
      </c>
      <c r="C804" s="53" t="str">
        <f aca="false">INDEX(I_Items!$C$5:$C$133,MATCH($B804,I_Items!$A$5:$A$133,0))</f>
        <v>Trading</v>
      </c>
      <c r="D804" s="53" t="str">
        <f aca="false">INDEX(I_Items!$D$5:$D$133,MATCH($B804,I_Items!$A$5:$A$133,0))</f>
        <v>BLD</v>
      </c>
      <c r="E804" s="53" t="str">
        <f aca="false">INDEX(I_Items!$F$5:$F$133,MATCH($B804,I_Items!$A$5:$A$133,0))</f>
        <v>Frozen</v>
      </c>
      <c r="F804" s="53" t="str">
        <f aca="false">IF(INDEX(I_Items!$E$5:$E$133,MATCH($B804,I_Items!$A$5:$A$133,0))="","",INDEX(I_Items!$E$5:$E$133,MATCH($B804,I_Items!$A$5:$A$133,0)))</f>
        <v/>
      </c>
      <c r="G804" s="76" t="n">
        <v>46234</v>
      </c>
      <c r="H804" s="23" t="n">
        <f aca="false">MONTH(G804)</f>
        <v>7</v>
      </c>
      <c r="I804" s="74" t="s">
        <v>2075</v>
      </c>
      <c r="J804" s="74" t="s">
        <v>2251</v>
      </c>
      <c r="K804" s="10" t="n">
        <v>0</v>
      </c>
      <c r="L804" s="8" t="n">
        <v>0</v>
      </c>
      <c r="M804" s="10" t="n">
        <v>1000.46</v>
      </c>
      <c r="N804" s="8" t="n">
        <v>30637962.48</v>
      </c>
      <c r="O804" s="74" t="s">
        <v>2077</v>
      </c>
      <c r="P804" s="74"/>
      <c r="Q804" s="74"/>
      <c r="R804" s="14" t="n">
        <f aca="false">IF(I804="Unbilled",0,M804)</f>
        <v>1000.46</v>
      </c>
      <c r="S804" s="9" t="n">
        <f aca="false">IF(R804=0,0,IF(O804="Booked",N804,R804*V803))</f>
        <v>30637962.4346023</v>
      </c>
      <c r="T804" s="14" t="n">
        <f aca="false">IF(I804="Opening",K804,T803+K804-R804)</f>
        <v>13423.7</v>
      </c>
      <c r="U804" s="9" t="n">
        <f aca="false">IF(I804="Opening",L804,U803+L804-S804)</f>
        <v>411085716.903595</v>
      </c>
      <c r="V804" s="9" t="n">
        <f aca="false">IF(T804&gt;0,U804/T804,IF(I804="Opening",0,V803))</f>
        <v>30623.8754518944</v>
      </c>
      <c r="W804" s="14" t="n">
        <f aca="false">M804</f>
        <v>1000.46</v>
      </c>
      <c r="X804" s="9" t="n">
        <f aca="false">IF(W804=0,0,IF(O804="Booked",N804,W804*AA803))</f>
        <v>30637962.4346023</v>
      </c>
      <c r="Y804" s="14" t="n">
        <f aca="false">IF(I804="Opening",K804,Y803+K804-W804)</f>
        <v>13423.7</v>
      </c>
      <c r="Z804" s="9" t="n">
        <f aca="false">IF(I804="Opening",L804,Z803+L804-X804)</f>
        <v>411085716.903595</v>
      </c>
      <c r="AA804" s="9" t="n">
        <f aca="false">IF(Y804&gt;0,Z804/Y804,IF(I804="Opening",0,AA803))</f>
        <v>30623.8754518944</v>
      </c>
      <c r="AB804" s="9" t="n">
        <f aca="false">IF(AND(I804="DO",O804="MA"),S804-N804,0)</f>
        <v>-0.0453977175056934</v>
      </c>
      <c r="AC804" s="9" t="n">
        <f aca="false">IF(I804="DO",X804-S804,0)</f>
        <v>0</v>
      </c>
      <c r="AD804" s="23" t="n">
        <f aca="false">IF(B805&lt;&gt;B804,1,0)</f>
        <v>0</v>
      </c>
      <c r="AE804" s="14" t="n">
        <f aca="false">IF(I804="Opening",0,AE803+W804)</f>
        <v>51091.07</v>
      </c>
      <c r="AF804" s="14" t="n">
        <f aca="false">IF(I804="Opening",K804,AF803)</f>
        <v>25015.13</v>
      </c>
      <c r="AG804" s="14" t="n">
        <f aca="false">AG803</f>
        <v>39499.64</v>
      </c>
      <c r="AH804" s="14" t="n">
        <f aca="false">IF(W804=0,0,MAX(0,MIN(AE804,AF804)-MIN(AE804-W804,AF804)))</f>
        <v>0</v>
      </c>
      <c r="AI804" s="14" t="n">
        <f aca="false">IF(W804=0,0,MAX(0,MIN(AE804,AF804+AG804)-MAX(AE804-W804,AF804)))</f>
        <v>1000.46</v>
      </c>
      <c r="AJ804" s="14" t="n">
        <f aca="false">W804-AH804-AI804</f>
        <v>0</v>
      </c>
      <c r="AK804" s="9" t="n">
        <f aca="false">IF(W804=0,0,X804*AH804/W804)</f>
        <v>0</v>
      </c>
      <c r="AL804" s="9" t="n">
        <f aca="false">IF(W804=0,0,X804*AI804/W804)</f>
        <v>30637962.4346023</v>
      </c>
      <c r="AM804" s="9" t="n">
        <f aca="false">X804-AK804-AL804</f>
        <v>0</v>
      </c>
    </row>
    <row r="805" customFormat="false" ht="15" hidden="false" customHeight="false" outlineLevel="0" collapsed="false">
      <c r="A805" s="6" t="n">
        <v>800</v>
      </c>
      <c r="B805" s="74" t="s">
        <v>1019</v>
      </c>
      <c r="C805" s="53" t="str">
        <f aca="false">INDEX(I_Items!$C$5:$C$133,MATCH($B805,I_Items!$A$5:$A$133,0))</f>
        <v>Trading</v>
      </c>
      <c r="D805" s="53" t="str">
        <f aca="false">INDEX(I_Items!$D$5:$D$133,MATCH($B805,I_Items!$A$5:$A$133,0))</f>
        <v>BLD</v>
      </c>
      <c r="E805" s="53" t="str">
        <f aca="false">INDEX(I_Items!$F$5:$F$133,MATCH($B805,I_Items!$A$5:$A$133,0))</f>
        <v>Frozen</v>
      </c>
      <c r="F805" s="53" t="str">
        <f aca="false">IF(INDEX(I_Items!$E$5:$E$133,MATCH($B805,I_Items!$A$5:$A$133,0))="","",INDEX(I_Items!$E$5:$E$133,MATCH($B805,I_Items!$A$5:$A$133,0)))</f>
        <v/>
      </c>
      <c r="G805" s="76" t="n">
        <v>46235</v>
      </c>
      <c r="H805" s="23" t="n">
        <f aca="false">MONTH(G805)</f>
        <v>8</v>
      </c>
      <c r="I805" s="74" t="s">
        <v>2075</v>
      </c>
      <c r="J805" s="74" t="s">
        <v>2252</v>
      </c>
      <c r="K805" s="10" t="n">
        <v>0</v>
      </c>
      <c r="L805" s="8" t="n">
        <v>0</v>
      </c>
      <c r="M805" s="10" t="n">
        <v>1015.13</v>
      </c>
      <c r="N805" s="8" t="n">
        <v>31087214.74</v>
      </c>
      <c r="O805" s="74" t="s">
        <v>2077</v>
      </c>
      <c r="P805" s="74"/>
      <c r="Q805" s="74"/>
      <c r="R805" s="14" t="n">
        <f aca="false">IF(I805="Unbilled",0,M805)</f>
        <v>1015.13</v>
      </c>
      <c r="S805" s="9" t="n">
        <f aca="false">IF(R805=0,0,IF(O805="Booked",N805,R805*V804))</f>
        <v>31087214.6874816</v>
      </c>
      <c r="T805" s="14" t="n">
        <f aca="false">IF(I805="Opening",K805,T804+K805-R805)</f>
        <v>12408.57</v>
      </c>
      <c r="U805" s="9" t="n">
        <f aca="false">IF(I805="Opening",L805,U804+L805-S805)</f>
        <v>379998502.216113</v>
      </c>
      <c r="V805" s="9" t="n">
        <f aca="false">IF(T805&gt;0,U805/T805,IF(I805="Opening",0,V804))</f>
        <v>30623.8754518944</v>
      </c>
      <c r="W805" s="14" t="n">
        <f aca="false">M805</f>
        <v>1015.13</v>
      </c>
      <c r="X805" s="9" t="n">
        <f aca="false">IF(W805=0,0,IF(O805="Booked",N805,W805*AA804))</f>
        <v>31087214.6874816</v>
      </c>
      <c r="Y805" s="14" t="n">
        <f aca="false">IF(I805="Opening",K805,Y804+K805-W805)</f>
        <v>12408.57</v>
      </c>
      <c r="Z805" s="9" t="n">
        <f aca="false">IF(I805="Opening",L805,Z804+L805-X805)</f>
        <v>379998502.216113</v>
      </c>
      <c r="AA805" s="9" t="n">
        <f aca="false">IF(Y805&gt;0,Z805/Y805,IF(I805="Opening",0,AA804))</f>
        <v>30623.8754518944</v>
      </c>
      <c r="AB805" s="9" t="n">
        <f aca="false">IF(AND(I805="DO",O805="MA"),S805-N805,0)</f>
        <v>-0.0525184161961079</v>
      </c>
      <c r="AC805" s="9" t="n">
        <f aca="false">IF(I805="DO",X805-S805,0)</f>
        <v>0</v>
      </c>
      <c r="AD805" s="23" t="n">
        <f aca="false">IF(B806&lt;&gt;B805,1,0)</f>
        <v>0</v>
      </c>
      <c r="AE805" s="14" t="n">
        <f aca="false">IF(I805="Opening",0,AE804+W805)</f>
        <v>52106.2</v>
      </c>
      <c r="AF805" s="14" t="n">
        <f aca="false">IF(I805="Opening",K805,AF804)</f>
        <v>25015.13</v>
      </c>
      <c r="AG805" s="14" t="n">
        <f aca="false">AG804</f>
        <v>39499.64</v>
      </c>
      <c r="AH805" s="14" t="n">
        <f aca="false">IF(W805=0,0,MAX(0,MIN(AE805,AF805)-MIN(AE805-W805,AF805)))</f>
        <v>0</v>
      </c>
      <c r="AI805" s="14" t="n">
        <f aca="false">IF(W805=0,0,MAX(0,MIN(AE805,AF805+AG805)-MAX(AE805-W805,AF805)))</f>
        <v>1015.13</v>
      </c>
      <c r="AJ805" s="14" t="n">
        <f aca="false">W805-AH805-AI805</f>
        <v>0</v>
      </c>
      <c r="AK805" s="9" t="n">
        <f aca="false">IF(W805=0,0,X805*AH805/W805)</f>
        <v>0</v>
      </c>
      <c r="AL805" s="9" t="n">
        <f aca="false">IF(W805=0,0,X805*AI805/W805)</f>
        <v>31087214.6874815</v>
      </c>
      <c r="AM805" s="9" t="n">
        <f aca="false">X805-AK805-AL805</f>
        <v>0</v>
      </c>
    </row>
    <row r="806" customFormat="false" ht="15" hidden="false" customHeight="false" outlineLevel="0" collapsed="false">
      <c r="A806" s="6" t="n">
        <v>801</v>
      </c>
      <c r="B806" s="74" t="s">
        <v>1019</v>
      </c>
      <c r="C806" s="53" t="str">
        <f aca="false">INDEX(I_Items!$C$5:$C$133,MATCH($B806,I_Items!$A$5:$A$133,0))</f>
        <v>Trading</v>
      </c>
      <c r="D806" s="53" t="str">
        <f aca="false">INDEX(I_Items!$D$5:$D$133,MATCH($B806,I_Items!$A$5:$A$133,0))</f>
        <v>BLD</v>
      </c>
      <c r="E806" s="53" t="str">
        <f aca="false">INDEX(I_Items!$F$5:$F$133,MATCH($B806,I_Items!$A$5:$A$133,0))</f>
        <v>Frozen</v>
      </c>
      <c r="F806" s="53" t="str">
        <f aca="false">IF(INDEX(I_Items!$E$5:$E$133,MATCH($B806,I_Items!$A$5:$A$133,0))="","",INDEX(I_Items!$E$5:$E$133,MATCH($B806,I_Items!$A$5:$A$133,0)))</f>
        <v/>
      </c>
      <c r="G806" s="76" t="n">
        <v>46235</v>
      </c>
      <c r="H806" s="23" t="n">
        <f aca="false">MONTH(G806)</f>
        <v>8</v>
      </c>
      <c r="I806" s="74" t="s">
        <v>2075</v>
      </c>
      <c r="J806" s="74" t="s">
        <v>2253</v>
      </c>
      <c r="K806" s="10" t="n">
        <v>0</v>
      </c>
      <c r="L806" s="8" t="n">
        <v>0</v>
      </c>
      <c r="M806" s="10" t="n">
        <v>1716.77</v>
      </c>
      <c r="N806" s="8" t="n">
        <v>52574150.74</v>
      </c>
      <c r="O806" s="74" t="s">
        <v>2077</v>
      </c>
      <c r="P806" s="74"/>
      <c r="Q806" s="74"/>
      <c r="R806" s="14" t="n">
        <f aca="false">IF(I806="Unbilled",0,M806)</f>
        <v>1716.77</v>
      </c>
      <c r="S806" s="9" t="n">
        <f aca="false">IF(R806=0,0,IF(O806="Booked",N806,R806*V805))</f>
        <v>52574150.6595488</v>
      </c>
      <c r="T806" s="14" t="n">
        <f aca="false">IF(I806="Opening",K806,T805+K806-R806)</f>
        <v>10691.8</v>
      </c>
      <c r="U806" s="9" t="n">
        <f aca="false">IF(I806="Opening",L806,U805+L806-S806)</f>
        <v>327424351.556564</v>
      </c>
      <c r="V806" s="9" t="n">
        <f aca="false">IF(T806&gt;0,U806/T806,IF(I806="Opening",0,V805))</f>
        <v>30623.8754518944</v>
      </c>
      <c r="W806" s="14" t="n">
        <f aca="false">M806</f>
        <v>1716.77</v>
      </c>
      <c r="X806" s="9" t="n">
        <f aca="false">IF(W806=0,0,IF(O806="Booked",N806,W806*AA805))</f>
        <v>52574150.6595488</v>
      </c>
      <c r="Y806" s="14" t="n">
        <f aca="false">IF(I806="Opening",K806,Y805+K806-W806)</f>
        <v>10691.8</v>
      </c>
      <c r="Z806" s="9" t="n">
        <f aca="false">IF(I806="Opening",L806,Z805+L806-X806)</f>
        <v>327424351.556564</v>
      </c>
      <c r="AA806" s="9" t="n">
        <f aca="false">IF(Y806&gt;0,Z806/Y806,IF(I806="Opening",0,AA805))</f>
        <v>30623.8754518944</v>
      </c>
      <c r="AB806" s="9" t="n">
        <f aca="false">IF(AND(I806="DO",O806="MA"),S806-N806,0)</f>
        <v>-0.0804512277245522</v>
      </c>
      <c r="AC806" s="9" t="n">
        <f aca="false">IF(I806="DO",X806-S806,0)</f>
        <v>0</v>
      </c>
      <c r="AD806" s="23" t="n">
        <f aca="false">IF(B807&lt;&gt;B806,1,0)</f>
        <v>0</v>
      </c>
      <c r="AE806" s="14" t="n">
        <f aca="false">IF(I806="Opening",0,AE805+W806)</f>
        <v>53822.97</v>
      </c>
      <c r="AF806" s="14" t="n">
        <f aca="false">IF(I806="Opening",K806,AF805)</f>
        <v>25015.13</v>
      </c>
      <c r="AG806" s="14" t="n">
        <f aca="false">AG805</f>
        <v>39499.64</v>
      </c>
      <c r="AH806" s="14" t="n">
        <f aca="false">IF(W806=0,0,MAX(0,MIN(AE806,AF806)-MIN(AE806-W806,AF806)))</f>
        <v>0</v>
      </c>
      <c r="AI806" s="14" t="n">
        <f aca="false">IF(W806=0,0,MAX(0,MIN(AE806,AF806+AG806)-MAX(AE806-W806,AF806)))</f>
        <v>1716.77</v>
      </c>
      <c r="AJ806" s="14" t="n">
        <f aca="false">W806-AH806-AI806</f>
        <v>0</v>
      </c>
      <c r="AK806" s="9" t="n">
        <f aca="false">IF(W806=0,0,X806*AH806/W806)</f>
        <v>0</v>
      </c>
      <c r="AL806" s="9" t="n">
        <f aca="false">IF(W806=0,0,X806*AI806/W806)</f>
        <v>52574150.6595487</v>
      </c>
      <c r="AM806" s="9" t="n">
        <f aca="false">X806-AK806-AL806</f>
        <v>0</v>
      </c>
    </row>
    <row r="807" customFormat="false" ht="15" hidden="false" customHeight="false" outlineLevel="0" collapsed="false">
      <c r="A807" s="6" t="n">
        <v>802</v>
      </c>
      <c r="B807" s="74" t="s">
        <v>1019</v>
      </c>
      <c r="C807" s="53" t="str">
        <f aca="false">INDEX(I_Items!$C$5:$C$133,MATCH($B807,I_Items!$A$5:$A$133,0))</f>
        <v>Trading</v>
      </c>
      <c r="D807" s="53" t="str">
        <f aca="false">INDEX(I_Items!$D$5:$D$133,MATCH($B807,I_Items!$A$5:$A$133,0))</f>
        <v>BLD</v>
      </c>
      <c r="E807" s="53" t="str">
        <f aca="false">INDEX(I_Items!$F$5:$F$133,MATCH($B807,I_Items!$A$5:$A$133,0))</f>
        <v>Frozen</v>
      </c>
      <c r="F807" s="53" t="str">
        <f aca="false">IF(INDEX(I_Items!$E$5:$E$133,MATCH($B807,I_Items!$A$5:$A$133,0))="","",INDEX(I_Items!$E$5:$E$133,MATCH($B807,I_Items!$A$5:$A$133,0)))</f>
        <v/>
      </c>
      <c r="G807" s="76" t="n">
        <v>46235</v>
      </c>
      <c r="H807" s="23" t="n">
        <f aca="false">MONTH(G807)</f>
        <v>8</v>
      </c>
      <c r="I807" s="74" t="s">
        <v>2075</v>
      </c>
      <c r="J807" s="74" t="s">
        <v>2121</v>
      </c>
      <c r="K807" s="10" t="n">
        <v>0</v>
      </c>
      <c r="L807" s="8" t="n">
        <v>0</v>
      </c>
      <c r="M807" s="10" t="n">
        <v>2179.93</v>
      </c>
      <c r="N807" s="8" t="n">
        <v>66757904.92</v>
      </c>
      <c r="O807" s="74" t="s">
        <v>2077</v>
      </c>
      <c r="P807" s="74"/>
      <c r="Q807" s="74"/>
      <c r="R807" s="14" t="n">
        <f aca="false">IF(I807="Unbilled",0,M807)</f>
        <v>2179.93</v>
      </c>
      <c r="S807" s="9" t="n">
        <f aca="false">IF(R807=0,0,IF(O807="Booked",N807,R807*V806))</f>
        <v>66757904.8138482</v>
      </c>
      <c r="T807" s="14" t="n">
        <f aca="false">IF(I807="Opening",K807,T806+K807-R807)</f>
        <v>8511.86999999998</v>
      </c>
      <c r="U807" s="9" t="n">
        <f aca="false">IF(I807="Opening",L807,U806+L807-S807)</f>
        <v>260666446.742716</v>
      </c>
      <c r="V807" s="9" t="n">
        <f aca="false">IF(T807&gt;0,U807/T807,IF(I807="Opening",0,V806))</f>
        <v>30623.8754518944</v>
      </c>
      <c r="W807" s="14" t="n">
        <f aca="false">M807</f>
        <v>2179.93</v>
      </c>
      <c r="X807" s="9" t="n">
        <f aca="false">IF(W807=0,0,IF(O807="Booked",N807,W807*AA806))</f>
        <v>66757904.8138482</v>
      </c>
      <c r="Y807" s="14" t="n">
        <f aca="false">IF(I807="Opening",K807,Y806+K807-W807)</f>
        <v>8511.86999999998</v>
      </c>
      <c r="Z807" s="9" t="n">
        <f aca="false">IF(I807="Opening",L807,Z806+L807-X807)</f>
        <v>260666446.742716</v>
      </c>
      <c r="AA807" s="9" t="n">
        <f aca="false">IF(Y807&gt;0,Z807/Y807,IF(I807="Opening",0,AA806))</f>
        <v>30623.8754518944</v>
      </c>
      <c r="AB807" s="9" t="n">
        <f aca="false">IF(AND(I807="DO",O807="MA"),S807-N807,0)</f>
        <v>-0.106151804327965</v>
      </c>
      <c r="AC807" s="9" t="n">
        <f aca="false">IF(I807="DO",X807-S807,0)</f>
        <v>0</v>
      </c>
      <c r="AD807" s="23" t="n">
        <f aca="false">IF(B808&lt;&gt;B807,1,0)</f>
        <v>0</v>
      </c>
      <c r="AE807" s="14" t="n">
        <f aca="false">IF(I807="Opening",0,AE806+W807)</f>
        <v>56002.9</v>
      </c>
      <c r="AF807" s="14" t="n">
        <f aca="false">IF(I807="Opening",K807,AF806)</f>
        <v>25015.13</v>
      </c>
      <c r="AG807" s="14" t="n">
        <f aca="false">AG806</f>
        <v>39499.64</v>
      </c>
      <c r="AH807" s="14" t="n">
        <f aca="false">IF(W807=0,0,MAX(0,MIN(AE807,AF807)-MIN(AE807-W807,AF807)))</f>
        <v>0</v>
      </c>
      <c r="AI807" s="14" t="n">
        <f aca="false">IF(W807=0,0,MAX(0,MIN(AE807,AF807+AG807)-MAX(AE807-W807,AF807)))</f>
        <v>2179.93</v>
      </c>
      <c r="AJ807" s="14" t="n">
        <f aca="false">W807-AH807-AI807</f>
        <v>0</v>
      </c>
      <c r="AK807" s="9" t="n">
        <f aca="false">IF(W807=0,0,X807*AH807/W807)</f>
        <v>0</v>
      </c>
      <c r="AL807" s="9" t="n">
        <f aca="false">IF(W807=0,0,X807*AI807/W807)</f>
        <v>66757904.8138482</v>
      </c>
      <c r="AM807" s="9" t="n">
        <f aca="false">X807-AK807-AL807</f>
        <v>0</v>
      </c>
    </row>
    <row r="808" customFormat="false" ht="15" hidden="false" customHeight="false" outlineLevel="0" collapsed="false">
      <c r="A808" s="6" t="n">
        <v>803</v>
      </c>
      <c r="B808" s="74" t="s">
        <v>1019</v>
      </c>
      <c r="C808" s="53" t="str">
        <f aca="false">INDEX(I_Items!$C$5:$C$133,MATCH($B808,I_Items!$A$5:$A$133,0))</f>
        <v>Trading</v>
      </c>
      <c r="D808" s="53" t="str">
        <f aca="false">INDEX(I_Items!$D$5:$D$133,MATCH($B808,I_Items!$A$5:$A$133,0))</f>
        <v>BLD</v>
      </c>
      <c r="E808" s="53" t="str">
        <f aca="false">INDEX(I_Items!$F$5:$F$133,MATCH($B808,I_Items!$A$5:$A$133,0))</f>
        <v>Frozen</v>
      </c>
      <c r="F808" s="53" t="str">
        <f aca="false">IF(INDEX(I_Items!$E$5:$E$133,MATCH($B808,I_Items!$A$5:$A$133,0))="","",INDEX(I_Items!$E$5:$E$133,MATCH($B808,I_Items!$A$5:$A$133,0)))</f>
        <v/>
      </c>
      <c r="G808" s="76" t="n">
        <v>46235</v>
      </c>
      <c r="H808" s="23" t="n">
        <f aca="false">MONTH(G808)</f>
        <v>8</v>
      </c>
      <c r="I808" s="74" t="s">
        <v>2075</v>
      </c>
      <c r="J808" s="74" t="s">
        <v>2254</v>
      </c>
      <c r="K808" s="10" t="n">
        <v>0</v>
      </c>
      <c r="L808" s="8" t="n">
        <v>0</v>
      </c>
      <c r="M808" s="10" t="n">
        <v>2012.6</v>
      </c>
      <c r="N808" s="8" t="n">
        <v>61633611.83</v>
      </c>
      <c r="O808" s="74" t="s">
        <v>2077</v>
      </c>
      <c r="P808" s="74"/>
      <c r="Q808" s="74"/>
      <c r="R808" s="14" t="n">
        <f aca="false">IF(I808="Unbilled",0,M808)</f>
        <v>2012.6</v>
      </c>
      <c r="S808" s="9" t="n">
        <f aca="false">IF(R808=0,0,IF(O808="Booked",N808,R808*V807))</f>
        <v>61633611.7344827</v>
      </c>
      <c r="T808" s="14" t="n">
        <f aca="false">IF(I808="Opening",K808,T807+K808-R808)</f>
        <v>6499.26999999998</v>
      </c>
      <c r="U808" s="9" t="n">
        <f aca="false">IF(I808="Opening",L808,U807+L808-S808)</f>
        <v>199032835.008233</v>
      </c>
      <c r="V808" s="9" t="n">
        <f aca="false">IF(T808&gt;0,U808/T808,IF(I808="Opening",0,V807))</f>
        <v>30623.8754518944</v>
      </c>
      <c r="W808" s="14" t="n">
        <f aca="false">M808</f>
        <v>2012.6</v>
      </c>
      <c r="X808" s="9" t="n">
        <f aca="false">IF(W808=0,0,IF(O808="Booked",N808,W808*AA807))</f>
        <v>61633611.7344827</v>
      </c>
      <c r="Y808" s="14" t="n">
        <f aca="false">IF(I808="Opening",K808,Y807+K808-W808)</f>
        <v>6499.26999999998</v>
      </c>
      <c r="Z808" s="9" t="n">
        <f aca="false">IF(I808="Opening",L808,Z807+L808-X808)</f>
        <v>199032835.008233</v>
      </c>
      <c r="AA808" s="9" t="n">
        <f aca="false">IF(Y808&gt;0,Z808/Y808,IF(I808="Opening",0,AA807))</f>
        <v>30623.8754518944</v>
      </c>
      <c r="AB808" s="9" t="n">
        <f aca="false">IF(AND(I808="DO",O808="MA"),S808-N808,0)</f>
        <v>-0.0955172926187515</v>
      </c>
      <c r="AC808" s="9" t="n">
        <f aca="false">IF(I808="DO",X808-S808,0)</f>
        <v>0</v>
      </c>
      <c r="AD808" s="23" t="n">
        <f aca="false">IF(B809&lt;&gt;B808,1,0)</f>
        <v>0</v>
      </c>
      <c r="AE808" s="14" t="n">
        <f aca="false">IF(I808="Opening",0,AE807+W808)</f>
        <v>58015.5</v>
      </c>
      <c r="AF808" s="14" t="n">
        <f aca="false">IF(I808="Opening",K808,AF807)</f>
        <v>25015.13</v>
      </c>
      <c r="AG808" s="14" t="n">
        <f aca="false">AG807</f>
        <v>39499.64</v>
      </c>
      <c r="AH808" s="14" t="n">
        <f aca="false">IF(W808=0,0,MAX(0,MIN(AE808,AF808)-MIN(AE808-W808,AF808)))</f>
        <v>0</v>
      </c>
      <c r="AI808" s="14" t="n">
        <f aca="false">IF(W808=0,0,MAX(0,MIN(AE808,AF808+AG808)-MAX(AE808-W808,AF808)))</f>
        <v>2012.6</v>
      </c>
      <c r="AJ808" s="14" t="n">
        <f aca="false">W808-AH808-AI808</f>
        <v>0</v>
      </c>
      <c r="AK808" s="9" t="n">
        <f aca="false">IF(W808=0,0,X808*AH808/W808)</f>
        <v>0</v>
      </c>
      <c r="AL808" s="9" t="n">
        <f aca="false">IF(W808=0,0,X808*AI808/W808)</f>
        <v>61633611.7344827</v>
      </c>
      <c r="AM808" s="9" t="n">
        <f aca="false">X808-AK808-AL808</f>
        <v>0</v>
      </c>
    </row>
    <row r="809" customFormat="false" ht="15" hidden="false" customHeight="false" outlineLevel="0" collapsed="false">
      <c r="A809" s="6" t="n">
        <v>804</v>
      </c>
      <c r="B809" s="74" t="s">
        <v>1019</v>
      </c>
      <c r="C809" s="53" t="str">
        <f aca="false">INDEX(I_Items!$C$5:$C$133,MATCH($B809,I_Items!$A$5:$A$133,0))</f>
        <v>Trading</v>
      </c>
      <c r="D809" s="53" t="str">
        <f aca="false">INDEX(I_Items!$D$5:$D$133,MATCH($B809,I_Items!$A$5:$A$133,0))</f>
        <v>BLD</v>
      </c>
      <c r="E809" s="53" t="str">
        <f aca="false">INDEX(I_Items!$F$5:$F$133,MATCH($B809,I_Items!$A$5:$A$133,0))</f>
        <v>Frozen</v>
      </c>
      <c r="F809" s="53" t="str">
        <f aca="false">IF(INDEX(I_Items!$E$5:$E$133,MATCH($B809,I_Items!$A$5:$A$133,0))="","",INDEX(I_Items!$E$5:$E$133,MATCH($B809,I_Items!$A$5:$A$133,0)))</f>
        <v/>
      </c>
      <c r="G809" s="76" t="n">
        <v>46237</v>
      </c>
      <c r="H809" s="23" t="n">
        <f aca="false">MONTH(G809)</f>
        <v>8</v>
      </c>
      <c r="I809" s="74" t="s">
        <v>2075</v>
      </c>
      <c r="J809" s="74" t="s">
        <v>2255</v>
      </c>
      <c r="K809" s="10" t="n">
        <v>0</v>
      </c>
      <c r="L809" s="8" t="n">
        <v>0</v>
      </c>
      <c r="M809" s="10" t="n">
        <v>1016.35</v>
      </c>
      <c r="N809" s="8" t="n">
        <v>31124575.86</v>
      </c>
      <c r="O809" s="74" t="s">
        <v>2077</v>
      </c>
      <c r="P809" s="74"/>
      <c r="Q809" s="74"/>
      <c r="R809" s="14" t="n">
        <f aca="false">IF(I809="Unbilled",0,M809)</f>
        <v>1016.35</v>
      </c>
      <c r="S809" s="9" t="n">
        <f aca="false">IF(R809=0,0,IF(O809="Booked",N809,R809*V808))</f>
        <v>31124575.8155329</v>
      </c>
      <c r="T809" s="14" t="n">
        <f aca="false">IF(I809="Opening",K809,T808+K809-R809)</f>
        <v>5482.91999999998</v>
      </c>
      <c r="U809" s="9" t="n">
        <f aca="false">IF(I809="Opening",L809,U808+L809-S809)</f>
        <v>167908259.1927</v>
      </c>
      <c r="V809" s="9" t="n">
        <f aca="false">IF(T809&gt;0,U809/T809,IF(I809="Opening",0,V808))</f>
        <v>30623.8754518944</v>
      </c>
      <c r="W809" s="14" t="n">
        <f aca="false">M809</f>
        <v>1016.35</v>
      </c>
      <c r="X809" s="9" t="n">
        <f aca="false">IF(W809=0,0,IF(O809="Booked",N809,W809*AA808))</f>
        <v>31124575.8155329</v>
      </c>
      <c r="Y809" s="14" t="n">
        <f aca="false">IF(I809="Opening",K809,Y808+K809-W809)</f>
        <v>5482.91999999998</v>
      </c>
      <c r="Z809" s="9" t="n">
        <f aca="false">IF(I809="Opening",L809,Z808+L809-X809)</f>
        <v>167908259.1927</v>
      </c>
      <c r="AA809" s="9" t="n">
        <f aca="false">IF(Y809&gt;0,Z809/Y809,IF(I809="Opening",0,AA808))</f>
        <v>30623.8754518944</v>
      </c>
      <c r="AB809" s="9" t="n">
        <f aca="false">IF(AND(I809="DO",O809="MA"),S809-N809,0)</f>
        <v>-0.0444671027362347</v>
      </c>
      <c r="AC809" s="9" t="n">
        <f aca="false">IF(I809="DO",X809-S809,0)</f>
        <v>0</v>
      </c>
      <c r="AD809" s="23" t="n">
        <f aca="false">IF(B810&lt;&gt;B809,1,0)</f>
        <v>0</v>
      </c>
      <c r="AE809" s="14" t="n">
        <f aca="false">IF(I809="Opening",0,AE808+W809)</f>
        <v>59031.85</v>
      </c>
      <c r="AF809" s="14" t="n">
        <f aca="false">IF(I809="Opening",K809,AF808)</f>
        <v>25015.13</v>
      </c>
      <c r="AG809" s="14" t="n">
        <f aca="false">AG808</f>
        <v>39499.64</v>
      </c>
      <c r="AH809" s="14" t="n">
        <f aca="false">IF(W809=0,0,MAX(0,MIN(AE809,AF809)-MIN(AE809-W809,AF809)))</f>
        <v>0</v>
      </c>
      <c r="AI809" s="14" t="n">
        <f aca="false">IF(W809=0,0,MAX(0,MIN(AE809,AF809+AG809)-MAX(AE809-W809,AF809)))</f>
        <v>1016.35</v>
      </c>
      <c r="AJ809" s="14" t="n">
        <f aca="false">W809-AH809-AI809</f>
        <v>0</v>
      </c>
      <c r="AK809" s="9" t="n">
        <f aca="false">IF(W809=0,0,X809*AH809/W809)</f>
        <v>0</v>
      </c>
      <c r="AL809" s="9" t="n">
        <f aca="false">IF(W809=0,0,X809*AI809/W809)</f>
        <v>31124575.8155329</v>
      </c>
      <c r="AM809" s="9" t="n">
        <f aca="false">X809-AK809-AL809</f>
        <v>0</v>
      </c>
    </row>
    <row r="810" customFormat="false" ht="15" hidden="false" customHeight="false" outlineLevel="0" collapsed="false">
      <c r="A810" s="6" t="n">
        <v>805</v>
      </c>
      <c r="B810" s="74" t="s">
        <v>1019</v>
      </c>
      <c r="C810" s="53" t="str">
        <f aca="false">INDEX(I_Items!$C$5:$C$133,MATCH($B810,I_Items!$A$5:$A$133,0))</f>
        <v>Trading</v>
      </c>
      <c r="D810" s="53" t="str">
        <f aca="false">INDEX(I_Items!$D$5:$D$133,MATCH($B810,I_Items!$A$5:$A$133,0))</f>
        <v>BLD</v>
      </c>
      <c r="E810" s="53" t="str">
        <f aca="false">INDEX(I_Items!$F$5:$F$133,MATCH($B810,I_Items!$A$5:$A$133,0))</f>
        <v>Frozen</v>
      </c>
      <c r="F810" s="53" t="str">
        <f aca="false">IF(INDEX(I_Items!$E$5:$E$133,MATCH($B810,I_Items!$A$5:$A$133,0))="","",INDEX(I_Items!$E$5:$E$133,MATCH($B810,I_Items!$A$5:$A$133,0)))</f>
        <v/>
      </c>
      <c r="G810" s="76" t="n">
        <v>46238</v>
      </c>
      <c r="H810" s="23" t="n">
        <f aca="false">MONTH(G810)</f>
        <v>8</v>
      </c>
      <c r="I810" s="74" t="s">
        <v>2074</v>
      </c>
      <c r="J810" s="74" t="s">
        <v>2256</v>
      </c>
      <c r="K810" s="10" t="n">
        <v>677.9</v>
      </c>
      <c r="L810" s="8" t="n">
        <v>29149700</v>
      </c>
      <c r="M810" s="10" t="n">
        <v>0</v>
      </c>
      <c r="N810" s="8" t="n">
        <v>0</v>
      </c>
      <c r="O810" s="74"/>
      <c r="P810" s="74"/>
      <c r="Q810" s="74"/>
      <c r="R810" s="14" t="n">
        <f aca="false">IF(I810="Unbilled",0,M810)</f>
        <v>0</v>
      </c>
      <c r="S810" s="9" t="n">
        <f aca="false">IF(R810=0,0,IF(O810="Booked",N810,R810*V809))</f>
        <v>0</v>
      </c>
      <c r="T810" s="14" t="n">
        <f aca="false">IF(I810="Opening",K810,T809+K810-R810)</f>
        <v>6160.81999999998</v>
      </c>
      <c r="U810" s="9" t="n">
        <f aca="false">IF(I810="Opening",L810,U809+L810-S810)</f>
        <v>197057959.1927</v>
      </c>
      <c r="V810" s="9" t="n">
        <f aca="false">IF(T810&gt;0,U810/T810,IF(I810="Opening",0,V809))</f>
        <v>31985.6706075979</v>
      </c>
      <c r="W810" s="14" t="n">
        <f aca="false">M810</f>
        <v>0</v>
      </c>
      <c r="X810" s="9" t="n">
        <f aca="false">IF(W810=0,0,IF(O810="Booked",N810,W810*AA809))</f>
        <v>0</v>
      </c>
      <c r="Y810" s="14" t="n">
        <f aca="false">IF(I810="Opening",K810,Y809+K810-W810)</f>
        <v>6160.81999999998</v>
      </c>
      <c r="Z810" s="9" t="n">
        <f aca="false">IF(I810="Opening",L810,Z809+L810-X810)</f>
        <v>197057959.1927</v>
      </c>
      <c r="AA810" s="9" t="n">
        <f aca="false">IF(Y810&gt;0,Z810/Y810,IF(I810="Opening",0,AA809))</f>
        <v>31985.6706075979</v>
      </c>
      <c r="AB810" s="9" t="n">
        <f aca="false">IF(AND(I810="DO",O810="MA"),S810-N810,0)</f>
        <v>0</v>
      </c>
      <c r="AC810" s="9" t="n">
        <f aca="false">IF(I810="DO",X810-S810,0)</f>
        <v>0</v>
      </c>
      <c r="AD810" s="23" t="n">
        <f aca="false">IF(B811&lt;&gt;B810,1,0)</f>
        <v>0</v>
      </c>
      <c r="AE810" s="14" t="n">
        <f aca="false">IF(I810="Opening",0,AE809+W810)</f>
        <v>59031.85</v>
      </c>
      <c r="AF810" s="14" t="n">
        <f aca="false">IF(I810="Opening",K810,AF809)</f>
        <v>25015.13</v>
      </c>
      <c r="AG810" s="14" t="n">
        <f aca="false">AG809</f>
        <v>39499.64</v>
      </c>
      <c r="AH810" s="14" t="n">
        <f aca="false">IF(W810=0,0,MAX(0,MIN(AE810,AF810)-MIN(AE810-W810,AF810)))</f>
        <v>0</v>
      </c>
      <c r="AI810" s="14" t="n">
        <f aca="false">IF(W810=0,0,MAX(0,MIN(AE810,AF810+AG810)-MAX(AE810-W810,AF810)))</f>
        <v>0</v>
      </c>
      <c r="AJ810" s="14" t="n">
        <f aca="false">W810-AH810-AI810</f>
        <v>0</v>
      </c>
      <c r="AK810" s="9" t="n">
        <f aca="false">IF(W810=0,0,X810*AH810/W810)</f>
        <v>0</v>
      </c>
      <c r="AL810" s="9" t="n">
        <f aca="false">IF(W810=0,0,X810*AI810/W810)</f>
        <v>0</v>
      </c>
      <c r="AM810" s="9" t="n">
        <f aca="false">X810-AK810-AL810</f>
        <v>0</v>
      </c>
    </row>
    <row r="811" customFormat="false" ht="15" hidden="false" customHeight="false" outlineLevel="0" collapsed="false">
      <c r="A811" s="6" t="n">
        <v>806</v>
      </c>
      <c r="B811" s="74" t="s">
        <v>1019</v>
      </c>
      <c r="C811" s="53" t="str">
        <f aca="false">INDEX(I_Items!$C$5:$C$133,MATCH($B811,I_Items!$A$5:$A$133,0))</f>
        <v>Trading</v>
      </c>
      <c r="D811" s="53" t="str">
        <f aca="false">INDEX(I_Items!$D$5:$D$133,MATCH($B811,I_Items!$A$5:$A$133,0))</f>
        <v>BLD</v>
      </c>
      <c r="E811" s="53" t="str">
        <f aca="false">INDEX(I_Items!$F$5:$F$133,MATCH($B811,I_Items!$A$5:$A$133,0))</f>
        <v>Frozen</v>
      </c>
      <c r="F811" s="53" t="str">
        <f aca="false">IF(INDEX(I_Items!$E$5:$E$133,MATCH($B811,I_Items!$A$5:$A$133,0))="","",INDEX(I_Items!$E$5:$E$133,MATCH($B811,I_Items!$A$5:$A$133,0)))</f>
        <v/>
      </c>
      <c r="G811" s="76" t="n">
        <v>46238</v>
      </c>
      <c r="H811" s="23" t="n">
        <f aca="false">MONTH(G811)</f>
        <v>8</v>
      </c>
      <c r="I811" s="74" t="s">
        <v>2075</v>
      </c>
      <c r="J811" s="74" t="s">
        <v>2257</v>
      </c>
      <c r="K811" s="10" t="n">
        <v>0</v>
      </c>
      <c r="L811" s="8" t="n">
        <v>0</v>
      </c>
      <c r="M811" s="10" t="n">
        <v>1509.4</v>
      </c>
      <c r="N811" s="8" t="n">
        <v>48279171.35</v>
      </c>
      <c r="O811" s="74" t="s">
        <v>2077</v>
      </c>
      <c r="P811" s="74"/>
      <c r="Q811" s="74"/>
      <c r="R811" s="14" t="n">
        <f aca="false">IF(I811="Unbilled",0,M811)</f>
        <v>1509.4</v>
      </c>
      <c r="S811" s="9" t="n">
        <f aca="false">IF(R811=0,0,IF(O811="Booked",N811,R811*V810))</f>
        <v>48279171.2151082</v>
      </c>
      <c r="T811" s="14" t="n">
        <f aca="false">IF(I811="Opening",K811,T810+K811-R811)</f>
        <v>4651.41999999998</v>
      </c>
      <c r="U811" s="9" t="n">
        <f aca="false">IF(I811="Opening",L811,U810+L811-S811)</f>
        <v>148778787.977592</v>
      </c>
      <c r="V811" s="9" t="n">
        <f aca="false">IF(T811&gt;0,U811/T811,IF(I811="Opening",0,V810))</f>
        <v>31985.6706075979</v>
      </c>
      <c r="W811" s="14" t="n">
        <f aca="false">M811</f>
        <v>1509.4</v>
      </c>
      <c r="X811" s="9" t="n">
        <f aca="false">IF(W811=0,0,IF(O811="Booked",N811,W811*AA810))</f>
        <v>48279171.2151082</v>
      </c>
      <c r="Y811" s="14" t="n">
        <f aca="false">IF(I811="Opening",K811,Y810+K811-W811)</f>
        <v>4651.41999999998</v>
      </c>
      <c r="Z811" s="9" t="n">
        <f aca="false">IF(I811="Opening",L811,Z810+L811-X811)</f>
        <v>148778787.977592</v>
      </c>
      <c r="AA811" s="9" t="n">
        <f aca="false">IF(Y811&gt;0,Z811/Y811,IF(I811="Opening",0,AA810))</f>
        <v>31985.6706075979</v>
      </c>
      <c r="AB811" s="9" t="n">
        <f aca="false">IF(AND(I811="DO",O811="MA"),S811-N811,0)</f>
        <v>-0.134891800582409</v>
      </c>
      <c r="AC811" s="9" t="n">
        <f aca="false">IF(I811="DO",X811-S811,0)</f>
        <v>0</v>
      </c>
      <c r="AD811" s="23" t="n">
        <f aca="false">IF(B812&lt;&gt;B811,1,0)</f>
        <v>0</v>
      </c>
      <c r="AE811" s="14" t="n">
        <f aca="false">IF(I811="Opening",0,AE810+W811)</f>
        <v>60541.25</v>
      </c>
      <c r="AF811" s="14" t="n">
        <f aca="false">IF(I811="Opening",K811,AF810)</f>
        <v>25015.13</v>
      </c>
      <c r="AG811" s="14" t="n">
        <f aca="false">AG810</f>
        <v>39499.64</v>
      </c>
      <c r="AH811" s="14" t="n">
        <f aca="false">IF(W811=0,0,MAX(0,MIN(AE811,AF811)-MIN(AE811-W811,AF811)))</f>
        <v>0</v>
      </c>
      <c r="AI811" s="14" t="n">
        <f aca="false">IF(W811=0,0,MAX(0,MIN(AE811,AF811+AG811)-MAX(AE811-W811,AF811)))</f>
        <v>1509.4</v>
      </c>
      <c r="AJ811" s="14" t="n">
        <f aca="false">W811-AH811-AI811</f>
        <v>0</v>
      </c>
      <c r="AK811" s="9" t="n">
        <f aca="false">IF(W811=0,0,X811*AH811/W811)</f>
        <v>0</v>
      </c>
      <c r="AL811" s="9" t="n">
        <f aca="false">IF(W811=0,0,X811*AI811/W811)</f>
        <v>48279171.2151082</v>
      </c>
      <c r="AM811" s="9" t="n">
        <f aca="false">X811-AK811-AL811</f>
        <v>0</v>
      </c>
    </row>
    <row r="812" customFormat="false" ht="15" hidden="false" customHeight="false" outlineLevel="0" collapsed="false">
      <c r="A812" s="6" t="n">
        <v>807</v>
      </c>
      <c r="B812" s="74" t="s">
        <v>1019</v>
      </c>
      <c r="C812" s="53" t="str">
        <f aca="false">INDEX(I_Items!$C$5:$C$133,MATCH($B812,I_Items!$A$5:$A$133,0))</f>
        <v>Trading</v>
      </c>
      <c r="D812" s="53" t="str">
        <f aca="false">INDEX(I_Items!$D$5:$D$133,MATCH($B812,I_Items!$A$5:$A$133,0))</f>
        <v>BLD</v>
      </c>
      <c r="E812" s="53" t="str">
        <f aca="false">INDEX(I_Items!$F$5:$F$133,MATCH($B812,I_Items!$A$5:$A$133,0))</f>
        <v>Frozen</v>
      </c>
      <c r="F812" s="53" t="str">
        <f aca="false">IF(INDEX(I_Items!$E$5:$E$133,MATCH($B812,I_Items!$A$5:$A$133,0))="","",INDEX(I_Items!$E$5:$E$133,MATCH($B812,I_Items!$A$5:$A$133,0)))</f>
        <v/>
      </c>
      <c r="G812" s="76" t="n">
        <v>46240</v>
      </c>
      <c r="H812" s="23" t="n">
        <f aca="false">MONTH(G812)</f>
        <v>8</v>
      </c>
      <c r="I812" s="74" t="s">
        <v>2075</v>
      </c>
      <c r="J812" s="74" t="s">
        <v>2258</v>
      </c>
      <c r="K812" s="10" t="n">
        <v>0</v>
      </c>
      <c r="L812" s="8" t="n">
        <v>0</v>
      </c>
      <c r="M812" s="10" t="n">
        <v>415.05</v>
      </c>
      <c r="N812" s="8" t="n">
        <v>13275652.62</v>
      </c>
      <c r="O812" s="74" t="s">
        <v>2077</v>
      </c>
      <c r="P812" s="74"/>
      <c r="Q812" s="74"/>
      <c r="R812" s="14" t="n">
        <f aca="false">IF(I812="Unbilled",0,M812)</f>
        <v>415.05</v>
      </c>
      <c r="S812" s="9" t="n">
        <f aca="false">IF(R812=0,0,IF(O812="Booked",N812,R812*V811))</f>
        <v>13275652.5856835</v>
      </c>
      <c r="T812" s="14" t="n">
        <f aca="false">IF(I812="Opening",K812,T811+K812-R812)</f>
        <v>4236.36999999998</v>
      </c>
      <c r="U812" s="9" t="n">
        <f aca="false">IF(I812="Opening",L812,U811+L812-S812)</f>
        <v>135503135.391909</v>
      </c>
      <c r="V812" s="9" t="n">
        <f aca="false">IF(T812&gt;0,U812/T812,IF(I812="Opening",0,V811))</f>
        <v>31985.6706075979</v>
      </c>
      <c r="W812" s="14" t="n">
        <f aca="false">M812</f>
        <v>415.05</v>
      </c>
      <c r="X812" s="9" t="n">
        <f aca="false">IF(W812=0,0,IF(O812="Booked",N812,W812*AA811))</f>
        <v>13275652.5856835</v>
      </c>
      <c r="Y812" s="14" t="n">
        <f aca="false">IF(I812="Opening",K812,Y811+K812-W812)</f>
        <v>4236.36999999998</v>
      </c>
      <c r="Z812" s="9" t="n">
        <f aca="false">IF(I812="Opening",L812,Z811+L812-X812)</f>
        <v>135503135.391909</v>
      </c>
      <c r="AA812" s="9" t="n">
        <f aca="false">IF(Y812&gt;0,Z812/Y812,IF(I812="Opening",0,AA811))</f>
        <v>31985.6706075979</v>
      </c>
      <c r="AB812" s="9" t="n">
        <f aca="false">IF(AND(I812="DO",O812="MA"),S812-N812,0)</f>
        <v>-0.0343165099620819</v>
      </c>
      <c r="AC812" s="9" t="n">
        <f aca="false">IF(I812="DO",X812-S812,0)</f>
        <v>0</v>
      </c>
      <c r="AD812" s="23" t="n">
        <f aca="false">IF(B813&lt;&gt;B812,1,0)</f>
        <v>0</v>
      </c>
      <c r="AE812" s="14" t="n">
        <f aca="false">IF(I812="Opening",0,AE811+W812)</f>
        <v>60956.3</v>
      </c>
      <c r="AF812" s="14" t="n">
        <f aca="false">IF(I812="Opening",K812,AF811)</f>
        <v>25015.13</v>
      </c>
      <c r="AG812" s="14" t="n">
        <f aca="false">AG811</f>
        <v>39499.64</v>
      </c>
      <c r="AH812" s="14" t="n">
        <f aca="false">IF(W812=0,0,MAX(0,MIN(AE812,AF812)-MIN(AE812-W812,AF812)))</f>
        <v>0</v>
      </c>
      <c r="AI812" s="14" t="n">
        <f aca="false">IF(W812=0,0,MAX(0,MIN(AE812,AF812+AG812)-MAX(AE812-W812,AF812)))</f>
        <v>415.050000000003</v>
      </c>
      <c r="AJ812" s="14" t="n">
        <f aca="false">W812-AH812-AI812</f>
        <v>-2.89901436190121E-012</v>
      </c>
      <c r="AK812" s="9" t="n">
        <f aca="false">IF(W812=0,0,X812*AH812/W812)</f>
        <v>0</v>
      </c>
      <c r="AL812" s="9" t="n">
        <f aca="false">IF(W812=0,0,X812*AI812/W812)</f>
        <v>13275652.5856836</v>
      </c>
      <c r="AM812" s="9" t="n">
        <f aca="false">X812-AK812-AL812</f>
        <v>-9.31322574615479E-008</v>
      </c>
    </row>
    <row r="813" customFormat="false" ht="15" hidden="false" customHeight="false" outlineLevel="0" collapsed="false">
      <c r="A813" s="6" t="n">
        <v>808</v>
      </c>
      <c r="B813" s="74" t="s">
        <v>1019</v>
      </c>
      <c r="C813" s="53" t="str">
        <f aca="false">INDEX(I_Items!$C$5:$C$133,MATCH($B813,I_Items!$A$5:$A$133,0))</f>
        <v>Trading</v>
      </c>
      <c r="D813" s="53" t="str">
        <f aca="false">INDEX(I_Items!$D$5:$D$133,MATCH($B813,I_Items!$A$5:$A$133,0))</f>
        <v>BLD</v>
      </c>
      <c r="E813" s="53" t="str">
        <f aca="false">INDEX(I_Items!$F$5:$F$133,MATCH($B813,I_Items!$A$5:$A$133,0))</f>
        <v>Frozen</v>
      </c>
      <c r="F813" s="53" t="str">
        <f aca="false">IF(INDEX(I_Items!$E$5:$E$133,MATCH($B813,I_Items!$A$5:$A$133,0))="","",INDEX(I_Items!$E$5:$E$133,MATCH($B813,I_Items!$A$5:$A$133,0)))</f>
        <v/>
      </c>
      <c r="G813" s="76" t="n">
        <v>46240</v>
      </c>
      <c r="H813" s="23" t="n">
        <f aca="false">MONTH(G813)</f>
        <v>8</v>
      </c>
      <c r="I813" s="74" t="s">
        <v>2075</v>
      </c>
      <c r="J813" s="74" t="s">
        <v>2259</v>
      </c>
      <c r="K813" s="10" t="n">
        <v>0</v>
      </c>
      <c r="L813" s="8" t="n">
        <v>0</v>
      </c>
      <c r="M813" s="10" t="n">
        <v>262.85</v>
      </c>
      <c r="N813" s="8" t="n">
        <v>8407433.54</v>
      </c>
      <c r="O813" s="74" t="s">
        <v>2077</v>
      </c>
      <c r="P813" s="74"/>
      <c r="Q813" s="74"/>
      <c r="R813" s="14" t="n">
        <f aca="false">IF(I813="Unbilled",0,M813)</f>
        <v>262.85</v>
      </c>
      <c r="S813" s="9" t="n">
        <f aca="false">IF(R813=0,0,IF(O813="Booked",N813,R813*V812))</f>
        <v>8407433.5192071</v>
      </c>
      <c r="T813" s="14" t="n">
        <f aca="false">IF(I813="Opening",K813,T812+K813-R813)</f>
        <v>3973.51999999998</v>
      </c>
      <c r="U813" s="9" t="n">
        <f aca="false">IF(I813="Opening",L813,U812+L813-S813)</f>
        <v>127095701.872702</v>
      </c>
      <c r="V813" s="9" t="n">
        <f aca="false">IF(T813&gt;0,U813/T813,IF(I813="Opening",0,V812))</f>
        <v>31985.6706075979</v>
      </c>
      <c r="W813" s="14" t="n">
        <f aca="false">M813</f>
        <v>262.85</v>
      </c>
      <c r="X813" s="9" t="n">
        <f aca="false">IF(W813=0,0,IF(O813="Booked",N813,W813*AA812))</f>
        <v>8407433.5192071</v>
      </c>
      <c r="Y813" s="14" t="n">
        <f aca="false">IF(I813="Opening",K813,Y812+K813-W813)</f>
        <v>3973.51999999998</v>
      </c>
      <c r="Z813" s="9" t="n">
        <f aca="false">IF(I813="Opening",L813,Z812+L813-X813)</f>
        <v>127095701.872702</v>
      </c>
      <c r="AA813" s="9" t="n">
        <f aca="false">IF(Y813&gt;0,Z813/Y813,IF(I813="Opening",0,AA812))</f>
        <v>31985.6706075979</v>
      </c>
      <c r="AB813" s="9" t="n">
        <f aca="false">IF(AND(I813="DO",O813="MA"),S813-N813,0)</f>
        <v>-0.0207929015159607</v>
      </c>
      <c r="AC813" s="9" t="n">
        <f aca="false">IF(I813="DO",X813-S813,0)</f>
        <v>0</v>
      </c>
      <c r="AD813" s="23" t="n">
        <f aca="false">IF(B814&lt;&gt;B813,1,0)</f>
        <v>0</v>
      </c>
      <c r="AE813" s="14" t="n">
        <f aca="false">IF(I813="Opening",0,AE812+W813)</f>
        <v>61219.15</v>
      </c>
      <c r="AF813" s="14" t="n">
        <f aca="false">IF(I813="Opening",K813,AF812)</f>
        <v>25015.13</v>
      </c>
      <c r="AG813" s="14" t="n">
        <f aca="false">AG812</f>
        <v>39499.64</v>
      </c>
      <c r="AH813" s="14" t="n">
        <f aca="false">IF(W813=0,0,MAX(0,MIN(AE813,AF813)-MIN(AE813-W813,AF813)))</f>
        <v>0</v>
      </c>
      <c r="AI813" s="14" t="n">
        <f aca="false">IF(W813=0,0,MAX(0,MIN(AE813,AF813+AG813)-MAX(AE813-W813,AF813)))</f>
        <v>262.849999999999</v>
      </c>
      <c r="AJ813" s="14" t="n">
        <f aca="false">W813-AH813-AI813</f>
        <v>1.47792889038101E-012</v>
      </c>
      <c r="AK813" s="9" t="n">
        <f aca="false">IF(W813=0,0,X813*AH813/W813)</f>
        <v>0</v>
      </c>
      <c r="AL813" s="9" t="n">
        <f aca="false">IF(W813=0,0,X813*AI813/W813)</f>
        <v>8407433.51920705</v>
      </c>
      <c r="AM813" s="9" t="n">
        <f aca="false">X813-AK813-AL813</f>
        <v>4.65661287307739E-008</v>
      </c>
    </row>
    <row r="814" customFormat="false" ht="15" hidden="false" customHeight="false" outlineLevel="0" collapsed="false">
      <c r="A814" s="6" t="n">
        <v>809</v>
      </c>
      <c r="B814" s="74" t="s">
        <v>1019</v>
      </c>
      <c r="C814" s="53" t="str">
        <f aca="false">INDEX(I_Items!$C$5:$C$133,MATCH($B814,I_Items!$A$5:$A$133,0))</f>
        <v>Trading</v>
      </c>
      <c r="D814" s="53" t="str">
        <f aca="false">INDEX(I_Items!$D$5:$D$133,MATCH($B814,I_Items!$A$5:$A$133,0))</f>
        <v>BLD</v>
      </c>
      <c r="E814" s="53" t="str">
        <f aca="false">INDEX(I_Items!$F$5:$F$133,MATCH($B814,I_Items!$A$5:$A$133,0))</f>
        <v>Frozen</v>
      </c>
      <c r="F814" s="53" t="str">
        <f aca="false">IF(INDEX(I_Items!$E$5:$E$133,MATCH($B814,I_Items!$A$5:$A$133,0))="","",INDEX(I_Items!$E$5:$E$133,MATCH($B814,I_Items!$A$5:$A$133,0)))</f>
        <v/>
      </c>
      <c r="G814" s="76" t="n">
        <v>46240</v>
      </c>
      <c r="H814" s="23" t="n">
        <f aca="false">MONTH(G814)</f>
        <v>8</v>
      </c>
      <c r="I814" s="74" t="s">
        <v>2075</v>
      </c>
      <c r="J814" s="74" t="s">
        <v>2259</v>
      </c>
      <c r="K814" s="10" t="n">
        <v>0</v>
      </c>
      <c r="L814" s="8" t="n">
        <v>0</v>
      </c>
      <c r="M814" s="10" t="n">
        <v>103.77</v>
      </c>
      <c r="N814" s="8" t="n">
        <v>3319153.05</v>
      </c>
      <c r="O814" s="74" t="s">
        <v>2077</v>
      </c>
      <c r="P814" s="74"/>
      <c r="Q814" s="74"/>
      <c r="R814" s="14" t="n">
        <f aca="false">IF(I814="Unbilled",0,M814)</f>
        <v>103.77</v>
      </c>
      <c r="S814" s="9" t="n">
        <f aca="false">IF(R814=0,0,IF(O814="Booked",N814,R814*V813))</f>
        <v>3319153.03895043</v>
      </c>
      <c r="T814" s="14" t="n">
        <f aca="false">IF(I814="Opening",K814,T813+K814-R814)</f>
        <v>3869.74999999998</v>
      </c>
      <c r="U814" s="9" t="n">
        <f aca="false">IF(I814="Opening",L814,U813+L814-S814)</f>
        <v>123776548.833751</v>
      </c>
      <c r="V814" s="9" t="n">
        <f aca="false">IF(T814&gt;0,U814/T814,IF(I814="Opening",0,V813))</f>
        <v>31985.6706075979</v>
      </c>
      <c r="W814" s="14" t="n">
        <f aca="false">M814</f>
        <v>103.77</v>
      </c>
      <c r="X814" s="9" t="n">
        <f aca="false">IF(W814=0,0,IF(O814="Booked",N814,W814*AA813))</f>
        <v>3319153.03895043</v>
      </c>
      <c r="Y814" s="14" t="n">
        <f aca="false">IF(I814="Opening",K814,Y813+K814-W814)</f>
        <v>3869.74999999998</v>
      </c>
      <c r="Z814" s="9" t="n">
        <f aca="false">IF(I814="Opening",L814,Z813+L814-X814)</f>
        <v>123776548.833751</v>
      </c>
      <c r="AA814" s="9" t="n">
        <f aca="false">IF(Y814&gt;0,Z814/Y814,IF(I814="Opening",0,AA813))</f>
        <v>31985.6706075979</v>
      </c>
      <c r="AB814" s="9" t="n">
        <f aca="false">IF(AND(I814="DO",O814="MA"),S814-N814,0)</f>
        <v>-0.0110495705157518</v>
      </c>
      <c r="AC814" s="9" t="n">
        <f aca="false">IF(I814="DO",X814-S814,0)</f>
        <v>0</v>
      </c>
      <c r="AD814" s="23" t="n">
        <f aca="false">IF(B815&lt;&gt;B814,1,0)</f>
        <v>0</v>
      </c>
      <c r="AE814" s="14" t="n">
        <f aca="false">IF(I814="Opening",0,AE813+W814)</f>
        <v>61322.92</v>
      </c>
      <c r="AF814" s="14" t="n">
        <f aca="false">IF(I814="Opening",K814,AF813)</f>
        <v>25015.13</v>
      </c>
      <c r="AG814" s="14" t="n">
        <f aca="false">AG813</f>
        <v>39499.64</v>
      </c>
      <c r="AH814" s="14" t="n">
        <f aca="false">IF(W814=0,0,MAX(0,MIN(AE814,AF814)-MIN(AE814-W814,AF814)))</f>
        <v>0</v>
      </c>
      <c r="AI814" s="14" t="n">
        <f aca="false">IF(W814=0,0,MAX(0,MIN(AE814,AF814+AG814)-MAX(AE814-W814,AF814)))</f>
        <v>103.769999999997</v>
      </c>
      <c r="AJ814" s="14" t="n">
        <f aca="false">W814-AH814-AI814</f>
        <v>3.19744231092045E-012</v>
      </c>
      <c r="AK814" s="9" t="n">
        <f aca="false">IF(W814=0,0,X814*AH814/W814)</f>
        <v>0</v>
      </c>
      <c r="AL814" s="9" t="n">
        <f aca="false">IF(W814=0,0,X814*AI814/W814)</f>
        <v>3319153.03895033</v>
      </c>
      <c r="AM814" s="9" t="n">
        <f aca="false">X814-AK814-AL814</f>
        <v>1.02445483207703E-007</v>
      </c>
    </row>
    <row r="815" customFormat="false" ht="15" hidden="false" customHeight="false" outlineLevel="0" collapsed="false">
      <c r="A815" s="6" t="n">
        <v>810</v>
      </c>
      <c r="B815" s="74" t="s">
        <v>1019</v>
      </c>
      <c r="C815" s="53" t="str">
        <f aca="false">INDEX(I_Items!$C$5:$C$133,MATCH($B815,I_Items!$A$5:$A$133,0))</f>
        <v>Trading</v>
      </c>
      <c r="D815" s="53" t="str">
        <f aca="false">INDEX(I_Items!$D$5:$D$133,MATCH($B815,I_Items!$A$5:$A$133,0))</f>
        <v>BLD</v>
      </c>
      <c r="E815" s="53" t="str">
        <f aca="false">INDEX(I_Items!$F$5:$F$133,MATCH($B815,I_Items!$A$5:$A$133,0))</f>
        <v>Frozen</v>
      </c>
      <c r="F815" s="53" t="str">
        <f aca="false">IF(INDEX(I_Items!$E$5:$E$133,MATCH($B815,I_Items!$A$5:$A$133,0))="","",INDEX(I_Items!$E$5:$E$133,MATCH($B815,I_Items!$A$5:$A$133,0)))</f>
        <v/>
      </c>
      <c r="G815" s="76" t="n">
        <v>46241</v>
      </c>
      <c r="H815" s="23" t="n">
        <f aca="false">MONTH(G815)</f>
        <v>8</v>
      </c>
      <c r="I815" s="74" t="s">
        <v>2075</v>
      </c>
      <c r="J815" s="74" t="s">
        <v>2260</v>
      </c>
      <c r="K815" s="10" t="n">
        <v>0</v>
      </c>
      <c r="L815" s="8" t="n">
        <v>0</v>
      </c>
      <c r="M815" s="10" t="n">
        <v>250.05</v>
      </c>
      <c r="N815" s="8" t="n">
        <v>7998016.96</v>
      </c>
      <c r="O815" s="74" t="s">
        <v>2077</v>
      </c>
      <c r="P815" s="74"/>
      <c r="Q815" s="74"/>
      <c r="R815" s="14" t="n">
        <f aca="false">IF(I815="Unbilled",0,M815)</f>
        <v>250.05</v>
      </c>
      <c r="S815" s="9" t="n">
        <f aca="false">IF(R815=0,0,IF(O815="Booked",N815,R815*V814))</f>
        <v>7998016.93542984</v>
      </c>
      <c r="T815" s="14" t="n">
        <f aca="false">IF(I815="Opening",K815,T814+K815-R815)</f>
        <v>3619.69999999998</v>
      </c>
      <c r="U815" s="9" t="n">
        <f aca="false">IF(I815="Opening",L815,U814+L815-S815)</f>
        <v>115778531.898321</v>
      </c>
      <c r="V815" s="9" t="n">
        <f aca="false">IF(T815&gt;0,U815/T815,IF(I815="Opening",0,V814))</f>
        <v>31985.6706075979</v>
      </c>
      <c r="W815" s="14" t="n">
        <f aca="false">M815</f>
        <v>250.05</v>
      </c>
      <c r="X815" s="9" t="n">
        <f aca="false">IF(W815=0,0,IF(O815="Booked",N815,W815*AA814))</f>
        <v>7998016.93542984</v>
      </c>
      <c r="Y815" s="14" t="n">
        <f aca="false">IF(I815="Opening",K815,Y814+K815-W815)</f>
        <v>3619.69999999998</v>
      </c>
      <c r="Z815" s="9" t="n">
        <f aca="false">IF(I815="Opening",L815,Z814+L815-X815)</f>
        <v>115778531.898321</v>
      </c>
      <c r="AA815" s="9" t="n">
        <f aca="false">IF(Y815&gt;0,Z815/Y815,IF(I815="Opening",0,AA814))</f>
        <v>31985.6706075979</v>
      </c>
      <c r="AB815" s="9" t="n">
        <f aca="false">IF(AND(I815="DO",O815="MA"),S815-N815,0)</f>
        <v>-0.0245701558887959</v>
      </c>
      <c r="AC815" s="9" t="n">
        <f aca="false">IF(I815="DO",X815-S815,0)</f>
        <v>0</v>
      </c>
      <c r="AD815" s="23" t="n">
        <f aca="false">IF(B816&lt;&gt;B815,1,0)</f>
        <v>0</v>
      </c>
      <c r="AE815" s="14" t="n">
        <f aca="false">IF(I815="Opening",0,AE814+W815)</f>
        <v>61572.97</v>
      </c>
      <c r="AF815" s="14" t="n">
        <f aca="false">IF(I815="Opening",K815,AF814)</f>
        <v>25015.13</v>
      </c>
      <c r="AG815" s="14" t="n">
        <f aca="false">AG814</f>
        <v>39499.64</v>
      </c>
      <c r="AH815" s="14" t="n">
        <f aca="false">IF(W815=0,0,MAX(0,MIN(AE815,AF815)-MIN(AE815-W815,AF815)))</f>
        <v>0</v>
      </c>
      <c r="AI815" s="14" t="n">
        <f aca="false">IF(W815=0,0,MAX(0,MIN(AE815,AF815+AG815)-MAX(AE815-W815,AF815)))</f>
        <v>250.050000000003</v>
      </c>
      <c r="AJ815" s="14" t="n">
        <f aca="false">W815-AH815-AI815</f>
        <v>-2.89901436190121E-012</v>
      </c>
      <c r="AK815" s="9" t="n">
        <f aca="false">IF(W815=0,0,X815*AH815/W815)</f>
        <v>0</v>
      </c>
      <c r="AL815" s="9" t="n">
        <f aca="false">IF(W815=0,0,X815*AI815/W815)</f>
        <v>7998016.93542994</v>
      </c>
      <c r="AM815" s="9" t="n">
        <f aca="false">X815-AK815-AL815</f>
        <v>-9.31322574615479E-008</v>
      </c>
    </row>
    <row r="816" customFormat="false" ht="15" hidden="false" customHeight="false" outlineLevel="0" collapsed="false">
      <c r="A816" s="6" t="n">
        <v>811</v>
      </c>
      <c r="B816" s="74" t="s">
        <v>1019</v>
      </c>
      <c r="C816" s="53" t="str">
        <f aca="false">INDEX(I_Items!$C$5:$C$133,MATCH($B816,I_Items!$A$5:$A$133,0))</f>
        <v>Trading</v>
      </c>
      <c r="D816" s="53" t="str">
        <f aca="false">INDEX(I_Items!$D$5:$D$133,MATCH($B816,I_Items!$A$5:$A$133,0))</f>
        <v>BLD</v>
      </c>
      <c r="E816" s="53" t="str">
        <f aca="false">INDEX(I_Items!$F$5:$F$133,MATCH($B816,I_Items!$A$5:$A$133,0))</f>
        <v>Frozen</v>
      </c>
      <c r="F816" s="53" t="str">
        <f aca="false">IF(INDEX(I_Items!$E$5:$E$133,MATCH($B816,I_Items!$A$5:$A$133,0))="","",INDEX(I_Items!$E$5:$E$133,MATCH($B816,I_Items!$A$5:$A$133,0)))</f>
        <v/>
      </c>
      <c r="G816" s="76" t="n">
        <v>46241</v>
      </c>
      <c r="H816" s="23" t="n">
        <f aca="false">MONTH(G816)</f>
        <v>8</v>
      </c>
      <c r="I816" s="74" t="s">
        <v>2075</v>
      </c>
      <c r="J816" s="74" t="s">
        <v>2260</v>
      </c>
      <c r="K816" s="10" t="n">
        <v>0</v>
      </c>
      <c r="L816" s="8" t="n">
        <v>0</v>
      </c>
      <c r="M816" s="10" t="n">
        <v>161.25</v>
      </c>
      <c r="N816" s="8" t="n">
        <v>5157689.4</v>
      </c>
      <c r="O816" s="74" t="s">
        <v>2077</v>
      </c>
      <c r="P816" s="74"/>
      <c r="Q816" s="74"/>
      <c r="R816" s="14" t="n">
        <f aca="false">IF(I816="Unbilled",0,M816)</f>
        <v>161.25</v>
      </c>
      <c r="S816" s="9" t="n">
        <f aca="false">IF(R816=0,0,IF(O816="Booked",N816,R816*V815))</f>
        <v>5157689.38547516</v>
      </c>
      <c r="T816" s="14" t="n">
        <f aca="false">IF(I816="Opening",K816,T815+K816-R816)</f>
        <v>3458.44999999998</v>
      </c>
      <c r="U816" s="9" t="n">
        <f aca="false">IF(I816="Opening",L816,U815+L816-S816)</f>
        <v>110620842.512846</v>
      </c>
      <c r="V816" s="9" t="n">
        <f aca="false">IF(T816&gt;0,U816/T816,IF(I816="Opening",0,V815))</f>
        <v>31985.6706075979</v>
      </c>
      <c r="W816" s="14" t="n">
        <f aca="false">M816</f>
        <v>161.25</v>
      </c>
      <c r="X816" s="9" t="n">
        <f aca="false">IF(W816=0,0,IF(O816="Booked",N816,W816*AA815))</f>
        <v>5157689.38547516</v>
      </c>
      <c r="Y816" s="14" t="n">
        <f aca="false">IF(I816="Opening",K816,Y815+K816-W816)</f>
        <v>3458.44999999998</v>
      </c>
      <c r="Z816" s="9" t="n">
        <f aca="false">IF(I816="Opening",L816,Z815+L816-X816)</f>
        <v>110620842.512846</v>
      </c>
      <c r="AA816" s="9" t="n">
        <f aca="false">IF(Y816&gt;0,Z816/Y816,IF(I816="Opening",0,AA815))</f>
        <v>31985.6706075979</v>
      </c>
      <c r="AB816" s="9" t="n">
        <f aca="false">IF(AND(I816="DO",O816="MA"),S816-N816,0)</f>
        <v>-0.0145248454064131</v>
      </c>
      <c r="AC816" s="9" t="n">
        <f aca="false">IF(I816="DO",X816-S816,0)</f>
        <v>0</v>
      </c>
      <c r="AD816" s="23" t="n">
        <f aca="false">IF(B817&lt;&gt;B816,1,0)</f>
        <v>0</v>
      </c>
      <c r="AE816" s="14" t="n">
        <f aca="false">IF(I816="Opening",0,AE815+W816)</f>
        <v>61734.22</v>
      </c>
      <c r="AF816" s="14" t="n">
        <f aca="false">IF(I816="Opening",K816,AF815)</f>
        <v>25015.13</v>
      </c>
      <c r="AG816" s="14" t="n">
        <f aca="false">AG815</f>
        <v>39499.64</v>
      </c>
      <c r="AH816" s="14" t="n">
        <f aca="false">IF(W816=0,0,MAX(0,MIN(AE816,AF816)-MIN(AE816-W816,AF816)))</f>
        <v>0</v>
      </c>
      <c r="AI816" s="14" t="n">
        <f aca="false">IF(W816=0,0,MAX(0,MIN(AE816,AF816+AG816)-MAX(AE816-W816,AF816)))</f>
        <v>161.25</v>
      </c>
      <c r="AJ816" s="14" t="n">
        <f aca="false">W816-AH816-AI816</f>
        <v>0</v>
      </c>
      <c r="AK816" s="9" t="n">
        <f aca="false">IF(W816=0,0,X816*AH816/W816)</f>
        <v>0</v>
      </c>
      <c r="AL816" s="9" t="n">
        <f aca="false">IF(W816=0,0,X816*AI816/W816)</f>
        <v>5157689.38547516</v>
      </c>
      <c r="AM816" s="9" t="n">
        <f aca="false">X816-AK816-AL816</f>
        <v>0</v>
      </c>
    </row>
    <row r="817" customFormat="false" ht="15" hidden="false" customHeight="false" outlineLevel="0" collapsed="false">
      <c r="A817" s="6" t="n">
        <v>812</v>
      </c>
      <c r="B817" s="74" t="s">
        <v>1019</v>
      </c>
      <c r="C817" s="53" t="str">
        <f aca="false">INDEX(I_Items!$C$5:$C$133,MATCH($B817,I_Items!$A$5:$A$133,0))</f>
        <v>Trading</v>
      </c>
      <c r="D817" s="53" t="str">
        <f aca="false">INDEX(I_Items!$D$5:$D$133,MATCH($B817,I_Items!$A$5:$A$133,0))</f>
        <v>BLD</v>
      </c>
      <c r="E817" s="53" t="str">
        <f aca="false">INDEX(I_Items!$F$5:$F$133,MATCH($B817,I_Items!$A$5:$A$133,0))</f>
        <v>Frozen</v>
      </c>
      <c r="F817" s="53" t="str">
        <f aca="false">IF(INDEX(I_Items!$E$5:$E$133,MATCH($B817,I_Items!$A$5:$A$133,0))="","",INDEX(I_Items!$E$5:$E$133,MATCH($B817,I_Items!$A$5:$A$133,0)))</f>
        <v/>
      </c>
      <c r="G817" s="76" t="n">
        <v>46242</v>
      </c>
      <c r="H817" s="23" t="n">
        <f aca="false">MONTH(G817)</f>
        <v>8</v>
      </c>
      <c r="I817" s="74" t="s">
        <v>2074</v>
      </c>
      <c r="J817" s="74" t="s">
        <v>2261</v>
      </c>
      <c r="K817" s="10" t="n">
        <v>9021.3</v>
      </c>
      <c r="L817" s="8" t="n">
        <v>378894600</v>
      </c>
      <c r="M817" s="10" t="n">
        <v>0</v>
      </c>
      <c r="N817" s="8" t="n">
        <v>0</v>
      </c>
      <c r="O817" s="74"/>
      <c r="P817" s="74"/>
      <c r="Q817" s="74"/>
      <c r="R817" s="14" t="n">
        <f aca="false">IF(I817="Unbilled",0,M817)</f>
        <v>0</v>
      </c>
      <c r="S817" s="9" t="n">
        <f aca="false">IF(R817=0,0,IF(O817="Booked",N817,R817*V816))</f>
        <v>0</v>
      </c>
      <c r="T817" s="14" t="n">
        <f aca="false">IF(I817="Opening",K817,T816+K817-R817)</f>
        <v>12479.75</v>
      </c>
      <c r="U817" s="9" t="n">
        <f aca="false">IF(I817="Opening",L817,U816+L817-S817)</f>
        <v>489515442.512846</v>
      </c>
      <c r="V817" s="9" t="n">
        <f aca="false">IF(T817&gt;0,U817/T817,IF(I817="Opening",0,V816))</f>
        <v>39224.7795438889</v>
      </c>
      <c r="W817" s="14" t="n">
        <f aca="false">M817</f>
        <v>0</v>
      </c>
      <c r="X817" s="9" t="n">
        <f aca="false">IF(W817=0,0,IF(O817="Booked",N817,W817*AA816))</f>
        <v>0</v>
      </c>
      <c r="Y817" s="14" t="n">
        <f aca="false">IF(I817="Opening",K817,Y816+K817-W817)</f>
        <v>12479.75</v>
      </c>
      <c r="Z817" s="9" t="n">
        <f aca="false">IF(I817="Opening",L817,Z816+L817-X817)</f>
        <v>489515442.512846</v>
      </c>
      <c r="AA817" s="9" t="n">
        <f aca="false">IF(Y817&gt;0,Z817/Y817,IF(I817="Opening",0,AA816))</f>
        <v>39224.7795438889</v>
      </c>
      <c r="AB817" s="9" t="n">
        <f aca="false">IF(AND(I817="DO",O817="MA"),S817-N817,0)</f>
        <v>0</v>
      </c>
      <c r="AC817" s="9" t="n">
        <f aca="false">IF(I817="DO",X817-S817,0)</f>
        <v>0</v>
      </c>
      <c r="AD817" s="23" t="n">
        <f aca="false">IF(B818&lt;&gt;B817,1,0)</f>
        <v>0</v>
      </c>
      <c r="AE817" s="14" t="n">
        <f aca="false">IF(I817="Opening",0,AE816+W817)</f>
        <v>61734.22</v>
      </c>
      <c r="AF817" s="14" t="n">
        <f aca="false">IF(I817="Opening",K817,AF816)</f>
        <v>25015.13</v>
      </c>
      <c r="AG817" s="14" t="n">
        <f aca="false">AG816</f>
        <v>39499.64</v>
      </c>
      <c r="AH817" s="14" t="n">
        <f aca="false">IF(W817=0,0,MAX(0,MIN(AE817,AF817)-MIN(AE817-W817,AF817)))</f>
        <v>0</v>
      </c>
      <c r="AI817" s="14" t="n">
        <f aca="false">IF(W817=0,0,MAX(0,MIN(AE817,AF817+AG817)-MAX(AE817-W817,AF817)))</f>
        <v>0</v>
      </c>
      <c r="AJ817" s="14" t="n">
        <f aca="false">W817-AH817-AI817</f>
        <v>0</v>
      </c>
      <c r="AK817" s="9" t="n">
        <f aca="false">IF(W817=0,0,X817*AH817/W817)</f>
        <v>0</v>
      </c>
      <c r="AL817" s="9" t="n">
        <f aca="false">IF(W817=0,0,X817*AI817/W817)</f>
        <v>0</v>
      </c>
      <c r="AM817" s="9" t="n">
        <f aca="false">X817-AK817-AL817</f>
        <v>0</v>
      </c>
    </row>
    <row r="818" customFormat="false" ht="15" hidden="false" customHeight="false" outlineLevel="0" collapsed="false">
      <c r="A818" s="6" t="n">
        <v>813</v>
      </c>
      <c r="B818" s="74" t="s">
        <v>1019</v>
      </c>
      <c r="C818" s="53" t="str">
        <f aca="false">INDEX(I_Items!$C$5:$C$133,MATCH($B818,I_Items!$A$5:$A$133,0))</f>
        <v>Trading</v>
      </c>
      <c r="D818" s="53" t="str">
        <f aca="false">INDEX(I_Items!$D$5:$D$133,MATCH($B818,I_Items!$A$5:$A$133,0))</f>
        <v>BLD</v>
      </c>
      <c r="E818" s="53" t="str">
        <f aca="false">INDEX(I_Items!$F$5:$F$133,MATCH($B818,I_Items!$A$5:$A$133,0))</f>
        <v>Frozen</v>
      </c>
      <c r="F818" s="53" t="str">
        <f aca="false">IF(INDEX(I_Items!$E$5:$E$133,MATCH($B818,I_Items!$A$5:$A$133,0))="","",INDEX(I_Items!$E$5:$E$133,MATCH($B818,I_Items!$A$5:$A$133,0)))</f>
        <v/>
      </c>
      <c r="G818" s="76" t="n">
        <v>46242</v>
      </c>
      <c r="H818" s="23" t="n">
        <f aca="false">MONTH(G818)</f>
        <v>8</v>
      </c>
      <c r="I818" s="74" t="s">
        <v>2075</v>
      </c>
      <c r="J818" s="74" t="s">
        <v>2262</v>
      </c>
      <c r="K818" s="10" t="n">
        <v>0</v>
      </c>
      <c r="L818" s="8" t="n">
        <v>0</v>
      </c>
      <c r="M818" s="10" t="n">
        <v>1019.3</v>
      </c>
      <c r="N818" s="8" t="n">
        <v>39981817.85</v>
      </c>
      <c r="O818" s="74" t="s">
        <v>2077</v>
      </c>
      <c r="P818" s="74"/>
      <c r="Q818" s="74"/>
      <c r="R818" s="14" t="n">
        <f aca="false">IF(I818="Unbilled",0,M818)</f>
        <v>1019.3</v>
      </c>
      <c r="S818" s="9" t="n">
        <f aca="false">IF(R818=0,0,IF(O818="Booked",N818,R818*V817))</f>
        <v>39981817.7890859</v>
      </c>
      <c r="T818" s="14" t="n">
        <f aca="false">IF(I818="Opening",K818,T817+K818-R818)</f>
        <v>11460.45</v>
      </c>
      <c r="U818" s="9" t="n">
        <f aca="false">IF(I818="Opening",L818,U817+L818-S818)</f>
        <v>449533624.72376</v>
      </c>
      <c r="V818" s="9" t="n">
        <f aca="false">IF(T818&gt;0,U818/T818,IF(I818="Opening",0,V817))</f>
        <v>39224.7795438889</v>
      </c>
      <c r="W818" s="14" t="n">
        <f aca="false">M818</f>
        <v>1019.3</v>
      </c>
      <c r="X818" s="9" t="n">
        <f aca="false">IF(W818=0,0,IF(O818="Booked",N818,W818*AA817))</f>
        <v>39981817.7890859</v>
      </c>
      <c r="Y818" s="14" t="n">
        <f aca="false">IF(I818="Opening",K818,Y817+K818-W818)</f>
        <v>11460.45</v>
      </c>
      <c r="Z818" s="9" t="n">
        <f aca="false">IF(I818="Opening",L818,Z817+L818-X818)</f>
        <v>449533624.72376</v>
      </c>
      <c r="AA818" s="9" t="n">
        <f aca="false">IF(Y818&gt;0,Z818/Y818,IF(I818="Opening",0,AA817))</f>
        <v>39224.7795438889</v>
      </c>
      <c r="AB818" s="9" t="n">
        <f aca="false">IF(AND(I818="DO",O818="MA"),S818-N818,0)</f>
        <v>-0.0609140917658806</v>
      </c>
      <c r="AC818" s="9" t="n">
        <f aca="false">IF(I818="DO",X818-S818,0)</f>
        <v>0</v>
      </c>
      <c r="AD818" s="23" t="n">
        <f aca="false">IF(B819&lt;&gt;B818,1,0)</f>
        <v>0</v>
      </c>
      <c r="AE818" s="14" t="n">
        <f aca="false">IF(I818="Opening",0,AE817+W818)</f>
        <v>62753.52</v>
      </c>
      <c r="AF818" s="14" t="n">
        <f aca="false">IF(I818="Opening",K818,AF817)</f>
        <v>25015.13</v>
      </c>
      <c r="AG818" s="14" t="n">
        <f aca="false">AG817</f>
        <v>39499.64</v>
      </c>
      <c r="AH818" s="14" t="n">
        <f aca="false">IF(W818=0,0,MAX(0,MIN(AE818,AF818)-MIN(AE818-W818,AF818)))</f>
        <v>0</v>
      </c>
      <c r="AI818" s="14" t="n">
        <f aca="false">IF(W818=0,0,MAX(0,MIN(AE818,AF818+AG818)-MAX(AE818-W818,AF818)))</f>
        <v>1019.3</v>
      </c>
      <c r="AJ818" s="14" t="n">
        <f aca="false">W818-AH818-AI818</f>
        <v>0</v>
      </c>
      <c r="AK818" s="9" t="n">
        <f aca="false">IF(W818=0,0,X818*AH818/W818)</f>
        <v>0</v>
      </c>
      <c r="AL818" s="9" t="n">
        <f aca="false">IF(W818=0,0,X818*AI818/W818)</f>
        <v>39981817.789086</v>
      </c>
      <c r="AM818" s="9" t="n">
        <f aca="false">X818-AK818-AL818</f>
        <v>0</v>
      </c>
    </row>
    <row r="819" customFormat="false" ht="15" hidden="false" customHeight="false" outlineLevel="0" collapsed="false">
      <c r="A819" s="6" t="n">
        <v>814</v>
      </c>
      <c r="B819" s="74" t="s">
        <v>1019</v>
      </c>
      <c r="C819" s="53" t="str">
        <f aca="false">INDEX(I_Items!$C$5:$C$133,MATCH($B819,I_Items!$A$5:$A$133,0))</f>
        <v>Trading</v>
      </c>
      <c r="D819" s="53" t="str">
        <f aca="false">INDEX(I_Items!$D$5:$D$133,MATCH($B819,I_Items!$A$5:$A$133,0))</f>
        <v>BLD</v>
      </c>
      <c r="E819" s="53" t="str">
        <f aca="false">INDEX(I_Items!$F$5:$F$133,MATCH($B819,I_Items!$A$5:$A$133,0))</f>
        <v>Frozen</v>
      </c>
      <c r="F819" s="53" t="str">
        <f aca="false">IF(INDEX(I_Items!$E$5:$E$133,MATCH($B819,I_Items!$A$5:$A$133,0))="","",INDEX(I_Items!$E$5:$E$133,MATCH($B819,I_Items!$A$5:$A$133,0)))</f>
        <v/>
      </c>
      <c r="G819" s="76" t="n">
        <v>46242</v>
      </c>
      <c r="H819" s="23" t="n">
        <f aca="false">MONTH(G819)</f>
        <v>8</v>
      </c>
      <c r="I819" s="74" t="s">
        <v>2075</v>
      </c>
      <c r="J819" s="74" t="s">
        <v>2263</v>
      </c>
      <c r="K819" s="10" t="n">
        <v>0</v>
      </c>
      <c r="L819" s="8" t="n">
        <v>0</v>
      </c>
      <c r="M819" s="10" t="n">
        <v>22.1</v>
      </c>
      <c r="N819" s="8" t="n">
        <v>866867.63</v>
      </c>
      <c r="O819" s="74" t="s">
        <v>2077</v>
      </c>
      <c r="P819" s="74"/>
      <c r="Q819" s="74"/>
      <c r="R819" s="14" t="n">
        <f aca="false">IF(I819="Unbilled",0,M819)</f>
        <v>22.1</v>
      </c>
      <c r="S819" s="9" t="n">
        <f aca="false">IF(R819=0,0,IF(O819="Booked",N819,R819*V818))</f>
        <v>866867.627919944</v>
      </c>
      <c r="T819" s="14" t="n">
        <f aca="false">IF(I819="Opening",K819,T818+K819-R819)</f>
        <v>11438.35</v>
      </c>
      <c r="U819" s="9" t="n">
        <f aca="false">IF(I819="Opening",L819,U818+L819-S819)</f>
        <v>448666757.09584</v>
      </c>
      <c r="V819" s="9" t="n">
        <f aca="false">IF(T819&gt;0,U819/T819,IF(I819="Opening",0,V818))</f>
        <v>39224.7795438889</v>
      </c>
      <c r="W819" s="14" t="n">
        <f aca="false">M819</f>
        <v>22.1</v>
      </c>
      <c r="X819" s="9" t="n">
        <f aca="false">IF(W819=0,0,IF(O819="Booked",N819,W819*AA818))</f>
        <v>866867.627919944</v>
      </c>
      <c r="Y819" s="14" t="n">
        <f aca="false">IF(I819="Opening",K819,Y818+K819-W819)</f>
        <v>11438.35</v>
      </c>
      <c r="Z819" s="9" t="n">
        <f aca="false">IF(I819="Opening",L819,Z818+L819-X819)</f>
        <v>448666757.09584</v>
      </c>
      <c r="AA819" s="9" t="n">
        <f aca="false">IF(Y819&gt;0,Z819/Y819,IF(I819="Opening",0,AA818))</f>
        <v>39224.7795438889</v>
      </c>
      <c r="AB819" s="9" t="n">
        <f aca="false">IF(AND(I819="DO",O819="MA"),S819-N819,0)</f>
        <v>-0.00208005635067821</v>
      </c>
      <c r="AC819" s="9" t="n">
        <f aca="false">IF(I819="DO",X819-S819,0)</f>
        <v>0</v>
      </c>
      <c r="AD819" s="23" t="n">
        <f aca="false">IF(B820&lt;&gt;B819,1,0)</f>
        <v>0</v>
      </c>
      <c r="AE819" s="14" t="n">
        <f aca="false">IF(I819="Opening",0,AE818+W819)</f>
        <v>62775.62</v>
      </c>
      <c r="AF819" s="14" t="n">
        <f aca="false">IF(I819="Opening",K819,AF818)</f>
        <v>25015.13</v>
      </c>
      <c r="AG819" s="14" t="n">
        <f aca="false">AG818</f>
        <v>39499.64</v>
      </c>
      <c r="AH819" s="14" t="n">
        <f aca="false">IF(W819=0,0,MAX(0,MIN(AE819,AF819)-MIN(AE819-W819,AF819)))</f>
        <v>0</v>
      </c>
      <c r="AI819" s="14" t="n">
        <f aca="false">IF(W819=0,0,MAX(0,MIN(AE819,AF819+AG819)-MAX(AE819-W819,AF819)))</f>
        <v>22.0999999999985</v>
      </c>
      <c r="AJ819" s="14" t="n">
        <f aca="false">W819-AH819-AI819</f>
        <v>1.45661260830821E-012</v>
      </c>
      <c r="AK819" s="9" t="n">
        <f aca="false">IF(W819=0,0,X819*AH819/W819)</f>
        <v>0</v>
      </c>
      <c r="AL819" s="9" t="n">
        <f aca="false">IF(W819=0,0,X819*AI819/W819)</f>
        <v>866867.627919887</v>
      </c>
      <c r="AM819" s="9" t="n">
        <f aca="false">X819-AK819-AL819</f>
        <v>5.7159923017025E-008</v>
      </c>
    </row>
    <row r="820" customFormat="false" ht="15" hidden="false" customHeight="false" outlineLevel="0" collapsed="false">
      <c r="A820" s="6" t="n">
        <v>815</v>
      </c>
      <c r="B820" s="74" t="s">
        <v>1019</v>
      </c>
      <c r="C820" s="53" t="str">
        <f aca="false">INDEX(I_Items!$C$5:$C$133,MATCH($B820,I_Items!$A$5:$A$133,0))</f>
        <v>Trading</v>
      </c>
      <c r="D820" s="53" t="str">
        <f aca="false">INDEX(I_Items!$D$5:$D$133,MATCH($B820,I_Items!$A$5:$A$133,0))</f>
        <v>BLD</v>
      </c>
      <c r="E820" s="53" t="str">
        <f aca="false">INDEX(I_Items!$F$5:$F$133,MATCH($B820,I_Items!$A$5:$A$133,0))</f>
        <v>Frozen</v>
      </c>
      <c r="F820" s="53" t="str">
        <f aca="false">IF(INDEX(I_Items!$E$5:$E$133,MATCH($B820,I_Items!$A$5:$A$133,0))="","",INDEX(I_Items!$E$5:$E$133,MATCH($B820,I_Items!$A$5:$A$133,0)))</f>
        <v/>
      </c>
      <c r="G820" s="76" t="n">
        <v>46244</v>
      </c>
      <c r="H820" s="23" t="n">
        <f aca="false">MONTH(G820)</f>
        <v>8</v>
      </c>
      <c r="I820" s="74" t="s">
        <v>2075</v>
      </c>
      <c r="J820" s="74" t="s">
        <v>2264</v>
      </c>
      <c r="K820" s="10" t="n">
        <v>0</v>
      </c>
      <c r="L820" s="8" t="n">
        <v>0</v>
      </c>
      <c r="M820" s="10" t="n">
        <v>519.1</v>
      </c>
      <c r="N820" s="8" t="n">
        <v>20361583.09</v>
      </c>
      <c r="O820" s="74" t="s">
        <v>2077</v>
      </c>
      <c r="P820" s="74"/>
      <c r="Q820" s="74"/>
      <c r="R820" s="14" t="n">
        <f aca="false">IF(I820="Unbilled",0,M820)</f>
        <v>519.1</v>
      </c>
      <c r="S820" s="9" t="n">
        <f aca="false">IF(R820=0,0,IF(O820="Booked",N820,R820*V819))</f>
        <v>20361583.0612327</v>
      </c>
      <c r="T820" s="14" t="n">
        <f aca="false">IF(I820="Opening",K820,T819+K820-R820)</f>
        <v>10919.25</v>
      </c>
      <c r="U820" s="9" t="n">
        <f aca="false">IF(I820="Opening",L820,U819+L820-S820)</f>
        <v>428305174.034608</v>
      </c>
      <c r="V820" s="9" t="n">
        <f aca="false">IF(T820&gt;0,U820/T820,IF(I820="Opening",0,V819))</f>
        <v>39224.7795438889</v>
      </c>
      <c r="W820" s="14" t="n">
        <f aca="false">M820</f>
        <v>519.1</v>
      </c>
      <c r="X820" s="9" t="n">
        <f aca="false">IF(W820=0,0,IF(O820="Booked",N820,W820*AA819))</f>
        <v>20361583.0612327</v>
      </c>
      <c r="Y820" s="14" t="n">
        <f aca="false">IF(I820="Opening",K820,Y819+K820-W820)</f>
        <v>10919.25</v>
      </c>
      <c r="Z820" s="9" t="n">
        <f aca="false">IF(I820="Opening",L820,Z819+L820-X820)</f>
        <v>428305174.034608</v>
      </c>
      <c r="AA820" s="9" t="n">
        <f aca="false">IF(Y820&gt;0,Z820/Y820,IF(I820="Opening",0,AA819))</f>
        <v>39224.7795438889</v>
      </c>
      <c r="AB820" s="9" t="n">
        <f aca="false">IF(AND(I820="DO",O820="MA"),S820-N820,0)</f>
        <v>-0.0287672989070416</v>
      </c>
      <c r="AC820" s="9" t="n">
        <f aca="false">IF(I820="DO",X820-S820,0)</f>
        <v>0</v>
      </c>
      <c r="AD820" s="23" t="n">
        <f aca="false">IF(B821&lt;&gt;B820,1,0)</f>
        <v>0</v>
      </c>
      <c r="AE820" s="14" t="n">
        <f aca="false">IF(I820="Opening",0,AE819+W820)</f>
        <v>63294.72</v>
      </c>
      <c r="AF820" s="14" t="n">
        <f aca="false">IF(I820="Opening",K820,AF819)</f>
        <v>25015.13</v>
      </c>
      <c r="AG820" s="14" t="n">
        <f aca="false">AG819</f>
        <v>39499.64</v>
      </c>
      <c r="AH820" s="14" t="n">
        <f aca="false">IF(W820=0,0,MAX(0,MIN(AE820,AF820)-MIN(AE820-W820,AF820)))</f>
        <v>0</v>
      </c>
      <c r="AI820" s="14" t="n">
        <f aca="false">IF(W820=0,0,MAX(0,MIN(AE820,AF820+AG820)-MAX(AE820-W820,AF820)))</f>
        <v>519.099999999999</v>
      </c>
      <c r="AJ820" s="14" t="n">
        <f aca="false">W820-AH820-AI820</f>
        <v>0</v>
      </c>
      <c r="AK820" s="9" t="n">
        <f aca="false">IF(W820=0,0,X820*AH820/W820)</f>
        <v>0</v>
      </c>
      <c r="AL820" s="9" t="n">
        <f aca="false">IF(W820=0,0,X820*AI820/W820)</f>
        <v>20361583.0612326</v>
      </c>
      <c r="AM820" s="9" t="n">
        <f aca="false">X820-AK820-AL820</f>
        <v>0</v>
      </c>
    </row>
    <row r="821" customFormat="false" ht="15" hidden="false" customHeight="false" outlineLevel="0" collapsed="false">
      <c r="A821" s="6" t="n">
        <v>816</v>
      </c>
      <c r="B821" s="74" t="s">
        <v>1019</v>
      </c>
      <c r="C821" s="53" t="str">
        <f aca="false">INDEX(I_Items!$C$5:$C$133,MATCH($B821,I_Items!$A$5:$A$133,0))</f>
        <v>Trading</v>
      </c>
      <c r="D821" s="53" t="str">
        <f aca="false">INDEX(I_Items!$D$5:$D$133,MATCH($B821,I_Items!$A$5:$A$133,0))</f>
        <v>BLD</v>
      </c>
      <c r="E821" s="53" t="str">
        <f aca="false">INDEX(I_Items!$F$5:$F$133,MATCH($B821,I_Items!$A$5:$A$133,0))</f>
        <v>Frozen</v>
      </c>
      <c r="F821" s="53" t="str">
        <f aca="false">IF(INDEX(I_Items!$E$5:$E$133,MATCH($B821,I_Items!$A$5:$A$133,0))="","",INDEX(I_Items!$E$5:$E$133,MATCH($B821,I_Items!$A$5:$A$133,0)))</f>
        <v/>
      </c>
      <c r="G821" s="76" t="n">
        <v>46244</v>
      </c>
      <c r="H821" s="23" t="n">
        <f aca="false">MONTH(G821)</f>
        <v>8</v>
      </c>
      <c r="I821" s="74" t="s">
        <v>2075</v>
      </c>
      <c r="J821" s="74" t="s">
        <v>2265</v>
      </c>
      <c r="K821" s="10" t="n">
        <v>0</v>
      </c>
      <c r="L821" s="8" t="n">
        <v>0</v>
      </c>
      <c r="M821" s="10" t="n">
        <v>1001.8</v>
      </c>
      <c r="N821" s="8" t="n">
        <v>39295384.2</v>
      </c>
      <c r="O821" s="74" t="s">
        <v>2077</v>
      </c>
      <c r="P821" s="74"/>
      <c r="Q821" s="74"/>
      <c r="R821" s="14" t="n">
        <f aca="false">IF(I821="Unbilled",0,M821)</f>
        <v>1001.8</v>
      </c>
      <c r="S821" s="9" t="n">
        <f aca="false">IF(R821=0,0,IF(O821="Booked",N821,R821*V820))</f>
        <v>39295384.1470679</v>
      </c>
      <c r="T821" s="14" t="n">
        <f aca="false">IF(I821="Opening",K821,T820+K821-R821)</f>
        <v>9917.44999999998</v>
      </c>
      <c r="U821" s="9" t="n">
        <f aca="false">IF(I821="Opening",L821,U820+L821-S821)</f>
        <v>389009789.88754</v>
      </c>
      <c r="V821" s="9" t="n">
        <f aca="false">IF(T821&gt;0,U821/T821,IF(I821="Opening",0,V820))</f>
        <v>39224.7795438889</v>
      </c>
      <c r="W821" s="14" t="n">
        <f aca="false">M821</f>
        <v>1001.8</v>
      </c>
      <c r="X821" s="9" t="n">
        <f aca="false">IF(W821=0,0,IF(O821="Booked",N821,W821*AA820))</f>
        <v>39295384.1470679</v>
      </c>
      <c r="Y821" s="14" t="n">
        <f aca="false">IF(I821="Opening",K821,Y820+K821-W821)</f>
        <v>9917.44999999998</v>
      </c>
      <c r="Z821" s="9" t="n">
        <f aca="false">IF(I821="Opening",L821,Z820+L821-X821)</f>
        <v>389009789.88754</v>
      </c>
      <c r="AA821" s="9" t="n">
        <f aca="false">IF(Y821&gt;0,Z821/Y821,IF(I821="Opening",0,AA820))</f>
        <v>39224.7795438889</v>
      </c>
      <c r="AB821" s="9" t="n">
        <f aca="false">IF(AND(I821="DO",O821="MA"),S821-N821,0)</f>
        <v>-0.0529321506619453</v>
      </c>
      <c r="AC821" s="9" t="n">
        <f aca="false">IF(I821="DO",X821-S821,0)</f>
        <v>0</v>
      </c>
      <c r="AD821" s="23" t="n">
        <f aca="false">IF(B822&lt;&gt;B821,1,0)</f>
        <v>0</v>
      </c>
      <c r="AE821" s="14" t="n">
        <f aca="false">IF(I821="Opening",0,AE820+W821)</f>
        <v>64296.52</v>
      </c>
      <c r="AF821" s="14" t="n">
        <f aca="false">IF(I821="Opening",K821,AF820)</f>
        <v>25015.13</v>
      </c>
      <c r="AG821" s="14" t="n">
        <f aca="false">AG820</f>
        <v>39499.64</v>
      </c>
      <c r="AH821" s="14" t="n">
        <f aca="false">IF(W821=0,0,MAX(0,MIN(AE821,AF821)-MIN(AE821-W821,AF821)))</f>
        <v>0</v>
      </c>
      <c r="AI821" s="14" t="n">
        <f aca="false">IF(W821=0,0,MAX(0,MIN(AE821,AF821+AG821)-MAX(AE821-W821,AF821)))</f>
        <v>1001.8</v>
      </c>
      <c r="AJ821" s="14" t="n">
        <f aca="false">W821-AH821-AI821</f>
        <v>0</v>
      </c>
      <c r="AK821" s="9" t="n">
        <f aca="false">IF(W821=0,0,X821*AH821/W821)</f>
        <v>0</v>
      </c>
      <c r="AL821" s="9" t="n">
        <f aca="false">IF(W821=0,0,X821*AI821/W821)</f>
        <v>39295384.147068</v>
      </c>
      <c r="AM821" s="9" t="n">
        <f aca="false">X821-AK821-AL821</f>
        <v>0</v>
      </c>
    </row>
    <row r="822" customFormat="false" ht="15" hidden="false" customHeight="false" outlineLevel="0" collapsed="false">
      <c r="A822" s="6" t="n">
        <v>817</v>
      </c>
      <c r="B822" s="74" t="s">
        <v>1019</v>
      </c>
      <c r="C822" s="53" t="str">
        <f aca="false">INDEX(I_Items!$C$5:$C$133,MATCH($B822,I_Items!$A$5:$A$133,0))</f>
        <v>Trading</v>
      </c>
      <c r="D822" s="53" t="str">
        <f aca="false">INDEX(I_Items!$D$5:$D$133,MATCH($B822,I_Items!$A$5:$A$133,0))</f>
        <v>BLD</v>
      </c>
      <c r="E822" s="53" t="str">
        <f aca="false">INDEX(I_Items!$F$5:$F$133,MATCH($B822,I_Items!$A$5:$A$133,0))</f>
        <v>Frozen</v>
      </c>
      <c r="F822" s="53" t="str">
        <f aca="false">IF(INDEX(I_Items!$E$5:$E$133,MATCH($B822,I_Items!$A$5:$A$133,0))="","",INDEX(I_Items!$E$5:$E$133,MATCH($B822,I_Items!$A$5:$A$133,0)))</f>
        <v/>
      </c>
      <c r="G822" s="76" t="n">
        <v>46244</v>
      </c>
      <c r="H822" s="23" t="n">
        <f aca="false">MONTH(G822)</f>
        <v>8</v>
      </c>
      <c r="I822" s="74" t="s">
        <v>2075</v>
      </c>
      <c r="J822" s="74" t="s">
        <v>2266</v>
      </c>
      <c r="K822" s="10" t="n">
        <v>0</v>
      </c>
      <c r="L822" s="8" t="n">
        <v>0</v>
      </c>
      <c r="M822" s="10" t="n">
        <v>494.9</v>
      </c>
      <c r="N822" s="8" t="n">
        <v>19412343.42</v>
      </c>
      <c r="O822" s="74" t="s">
        <v>2077</v>
      </c>
      <c r="P822" s="74"/>
      <c r="Q822" s="74"/>
      <c r="R822" s="14" t="n">
        <f aca="false">IF(I822="Unbilled",0,M822)</f>
        <v>494.9</v>
      </c>
      <c r="S822" s="9" t="n">
        <f aca="false">IF(R822=0,0,IF(O822="Booked",N822,R822*V821))</f>
        <v>19412343.3962706</v>
      </c>
      <c r="T822" s="14" t="n">
        <f aca="false">IF(I822="Opening",K822,T821+K822-R822)</f>
        <v>9422.54999999998</v>
      </c>
      <c r="U822" s="9" t="n">
        <f aca="false">IF(I822="Opening",L822,U821+L822-S822)</f>
        <v>369597446.491269</v>
      </c>
      <c r="V822" s="9" t="n">
        <f aca="false">IF(T822&gt;0,U822/T822,IF(I822="Opening",0,V821))</f>
        <v>39224.7795438889</v>
      </c>
      <c r="W822" s="14" t="n">
        <f aca="false">M822</f>
        <v>494.9</v>
      </c>
      <c r="X822" s="9" t="n">
        <f aca="false">IF(W822=0,0,IF(O822="Booked",N822,W822*AA821))</f>
        <v>19412343.3962706</v>
      </c>
      <c r="Y822" s="14" t="n">
        <f aca="false">IF(I822="Opening",K822,Y821+K822-W822)</f>
        <v>9422.54999999998</v>
      </c>
      <c r="Z822" s="9" t="n">
        <f aca="false">IF(I822="Opening",L822,Z821+L822-X822)</f>
        <v>369597446.491269</v>
      </c>
      <c r="AA822" s="9" t="n">
        <f aca="false">IF(Y822&gt;0,Z822/Y822,IF(I822="Opening",0,AA821))</f>
        <v>39224.7795438889</v>
      </c>
      <c r="AB822" s="9" t="n">
        <f aca="false">IF(AND(I822="DO",O822="MA"),S822-N822,0)</f>
        <v>-0.0237294100224972</v>
      </c>
      <c r="AC822" s="9" t="n">
        <f aca="false">IF(I822="DO",X822-S822,0)</f>
        <v>0</v>
      </c>
      <c r="AD822" s="23" t="n">
        <f aca="false">IF(B823&lt;&gt;B822,1,0)</f>
        <v>0</v>
      </c>
      <c r="AE822" s="14" t="n">
        <f aca="false">IF(I822="Opening",0,AE821+W822)</f>
        <v>64791.42</v>
      </c>
      <c r="AF822" s="14" t="n">
        <f aca="false">IF(I822="Opening",K822,AF821)</f>
        <v>25015.13</v>
      </c>
      <c r="AG822" s="14" t="n">
        <f aca="false">AG821</f>
        <v>39499.64</v>
      </c>
      <c r="AH822" s="14" t="n">
        <f aca="false">IF(W822=0,0,MAX(0,MIN(AE822,AF822)-MIN(AE822-W822,AF822)))</f>
        <v>0</v>
      </c>
      <c r="AI822" s="14" t="n">
        <f aca="false">IF(W822=0,0,MAX(0,MIN(AE822,AF822+AG822)-MAX(AE822-W822,AF822)))</f>
        <v>218.250000000015</v>
      </c>
      <c r="AJ822" s="14" t="n">
        <f aca="false">W822-AH822-AI822</f>
        <v>276.649999999985</v>
      </c>
      <c r="AK822" s="9" t="n">
        <f aca="false">IF(W822=0,0,X822*AH822/W822)</f>
        <v>0</v>
      </c>
      <c r="AL822" s="9" t="n">
        <f aca="false">IF(W822=0,0,X822*AI822/W822)</f>
        <v>8560808.13545431</v>
      </c>
      <c r="AM822" s="9" t="n">
        <f aca="false">X822-AK822-AL822</f>
        <v>10851535.2608163</v>
      </c>
    </row>
    <row r="823" customFormat="false" ht="15" hidden="false" customHeight="false" outlineLevel="0" collapsed="false">
      <c r="A823" s="6" t="n">
        <v>818</v>
      </c>
      <c r="B823" s="74" t="s">
        <v>1019</v>
      </c>
      <c r="C823" s="53" t="str">
        <f aca="false">INDEX(I_Items!$C$5:$C$133,MATCH($B823,I_Items!$A$5:$A$133,0))</f>
        <v>Trading</v>
      </c>
      <c r="D823" s="53" t="str">
        <f aca="false">INDEX(I_Items!$D$5:$D$133,MATCH($B823,I_Items!$A$5:$A$133,0))</f>
        <v>BLD</v>
      </c>
      <c r="E823" s="53" t="str">
        <f aca="false">INDEX(I_Items!$F$5:$F$133,MATCH($B823,I_Items!$A$5:$A$133,0))</f>
        <v>Frozen</v>
      </c>
      <c r="F823" s="53" t="str">
        <f aca="false">IF(INDEX(I_Items!$E$5:$E$133,MATCH($B823,I_Items!$A$5:$A$133,0))="","",INDEX(I_Items!$E$5:$E$133,MATCH($B823,I_Items!$A$5:$A$133,0)))</f>
        <v/>
      </c>
      <c r="G823" s="76" t="n">
        <v>46244</v>
      </c>
      <c r="H823" s="23" t="n">
        <f aca="false">MONTH(G823)</f>
        <v>8</v>
      </c>
      <c r="I823" s="74" t="s">
        <v>2075</v>
      </c>
      <c r="J823" s="74" t="s">
        <v>2267</v>
      </c>
      <c r="K823" s="10" t="n">
        <v>0</v>
      </c>
      <c r="L823" s="8" t="n">
        <v>0</v>
      </c>
      <c r="M823" s="10" t="n">
        <v>1515.3</v>
      </c>
      <c r="N823" s="8" t="n">
        <v>59437308.53</v>
      </c>
      <c r="O823" s="74" t="s">
        <v>2077</v>
      </c>
      <c r="P823" s="74"/>
      <c r="Q823" s="74"/>
      <c r="R823" s="14" t="n">
        <f aca="false">IF(I823="Unbilled",0,M823)</f>
        <v>1515.3</v>
      </c>
      <c r="S823" s="9" t="n">
        <f aca="false">IF(R823=0,0,IF(O823="Booked",N823,R823*V822))</f>
        <v>59437308.4428548</v>
      </c>
      <c r="T823" s="14" t="n">
        <f aca="false">IF(I823="Opening",K823,T822+K823-R823)</f>
        <v>7907.24999999998</v>
      </c>
      <c r="U823" s="9" t="n">
        <f aca="false">IF(I823="Opening",L823,U822+L823-S823)</f>
        <v>310160138.048414</v>
      </c>
      <c r="V823" s="9" t="n">
        <f aca="false">IF(T823&gt;0,U823/T823,IF(I823="Opening",0,V822))</f>
        <v>39224.7795438889</v>
      </c>
      <c r="W823" s="14" t="n">
        <f aca="false">M823</f>
        <v>1515.3</v>
      </c>
      <c r="X823" s="9" t="n">
        <f aca="false">IF(W823=0,0,IF(O823="Booked",N823,W823*AA822))</f>
        <v>59437308.4428548</v>
      </c>
      <c r="Y823" s="14" t="n">
        <f aca="false">IF(I823="Opening",K823,Y822+K823-W823)</f>
        <v>7907.24999999998</v>
      </c>
      <c r="Z823" s="9" t="n">
        <f aca="false">IF(I823="Opening",L823,Z822+L823-X823)</f>
        <v>310160138.048414</v>
      </c>
      <c r="AA823" s="9" t="n">
        <f aca="false">IF(Y823&gt;0,Z823/Y823,IF(I823="Opening",0,AA822))</f>
        <v>39224.7795438889</v>
      </c>
      <c r="AB823" s="9" t="n">
        <f aca="false">IF(AND(I823="DO",O823="MA"),S823-N823,0)</f>
        <v>-0.0871452316641808</v>
      </c>
      <c r="AC823" s="9" t="n">
        <f aca="false">IF(I823="DO",X823-S823,0)</f>
        <v>0</v>
      </c>
      <c r="AD823" s="23" t="n">
        <f aca="false">IF(B824&lt;&gt;B823,1,0)</f>
        <v>0</v>
      </c>
      <c r="AE823" s="14" t="n">
        <f aca="false">IF(I823="Opening",0,AE822+W823)</f>
        <v>66306.72</v>
      </c>
      <c r="AF823" s="14" t="n">
        <f aca="false">IF(I823="Opening",K823,AF822)</f>
        <v>25015.13</v>
      </c>
      <c r="AG823" s="14" t="n">
        <f aca="false">AG822</f>
        <v>39499.64</v>
      </c>
      <c r="AH823" s="14" t="n">
        <f aca="false">IF(W823=0,0,MAX(0,MIN(AE823,AF823)-MIN(AE823-W823,AF823)))</f>
        <v>0</v>
      </c>
      <c r="AI823" s="14" t="n">
        <f aca="false">IF(W823=0,0,MAX(0,MIN(AE823,AF823+AG823)-MAX(AE823-W823,AF823)))</f>
        <v>0</v>
      </c>
      <c r="AJ823" s="14" t="n">
        <f aca="false">W823-AH823-AI823</f>
        <v>1515.3</v>
      </c>
      <c r="AK823" s="9" t="n">
        <f aca="false">IF(W823=0,0,X823*AH823/W823)</f>
        <v>0</v>
      </c>
      <c r="AL823" s="9" t="n">
        <f aca="false">IF(W823=0,0,X823*AI823/W823)</f>
        <v>0</v>
      </c>
      <c r="AM823" s="9" t="n">
        <f aca="false">X823-AK823-AL823</f>
        <v>59437308.4428548</v>
      </c>
    </row>
    <row r="824" customFormat="false" ht="15" hidden="false" customHeight="false" outlineLevel="0" collapsed="false">
      <c r="A824" s="6" t="n">
        <v>819</v>
      </c>
      <c r="B824" s="74" t="s">
        <v>1019</v>
      </c>
      <c r="C824" s="53" t="str">
        <f aca="false">INDEX(I_Items!$C$5:$C$133,MATCH($B824,I_Items!$A$5:$A$133,0))</f>
        <v>Trading</v>
      </c>
      <c r="D824" s="53" t="str">
        <f aca="false">INDEX(I_Items!$D$5:$D$133,MATCH($B824,I_Items!$A$5:$A$133,0))</f>
        <v>BLD</v>
      </c>
      <c r="E824" s="53" t="str">
        <f aca="false">INDEX(I_Items!$F$5:$F$133,MATCH($B824,I_Items!$A$5:$A$133,0))</f>
        <v>Frozen</v>
      </c>
      <c r="F824" s="53" t="str">
        <f aca="false">IF(INDEX(I_Items!$E$5:$E$133,MATCH($B824,I_Items!$A$5:$A$133,0))="","",INDEX(I_Items!$E$5:$E$133,MATCH($B824,I_Items!$A$5:$A$133,0)))</f>
        <v/>
      </c>
      <c r="G824" s="76" t="n">
        <v>46244</v>
      </c>
      <c r="H824" s="23" t="n">
        <f aca="false">MONTH(G824)</f>
        <v>8</v>
      </c>
      <c r="I824" s="74" t="s">
        <v>2075</v>
      </c>
      <c r="J824" s="74" t="s">
        <v>2268</v>
      </c>
      <c r="K824" s="10" t="n">
        <v>0</v>
      </c>
      <c r="L824" s="8" t="n">
        <v>0</v>
      </c>
      <c r="M824" s="10" t="n">
        <v>1011</v>
      </c>
      <c r="N824" s="8" t="n">
        <v>39656252.18</v>
      </c>
      <c r="O824" s="74" t="s">
        <v>2077</v>
      </c>
      <c r="P824" s="74"/>
      <c r="Q824" s="74"/>
      <c r="R824" s="14" t="n">
        <f aca="false">IF(I824="Unbilled",0,M824)</f>
        <v>1011</v>
      </c>
      <c r="S824" s="9" t="n">
        <f aca="false">IF(R824=0,0,IF(O824="Booked",N824,R824*V823))</f>
        <v>39656252.1188716</v>
      </c>
      <c r="T824" s="14" t="n">
        <f aca="false">IF(I824="Opening",K824,T823+K824-R824)</f>
        <v>6896.24999999998</v>
      </c>
      <c r="U824" s="9" t="n">
        <f aca="false">IF(I824="Opening",L824,U823+L824-S824)</f>
        <v>270503885.929543</v>
      </c>
      <c r="V824" s="9" t="n">
        <f aca="false">IF(T824&gt;0,U824/T824,IF(I824="Opening",0,V823))</f>
        <v>39224.7795438889</v>
      </c>
      <c r="W824" s="14" t="n">
        <f aca="false">M824</f>
        <v>1011</v>
      </c>
      <c r="X824" s="9" t="n">
        <f aca="false">IF(W824=0,0,IF(O824="Booked",N824,W824*AA823))</f>
        <v>39656252.1188716</v>
      </c>
      <c r="Y824" s="14" t="n">
        <f aca="false">IF(I824="Opening",K824,Y823+K824-W824)</f>
        <v>6896.24999999998</v>
      </c>
      <c r="Z824" s="9" t="n">
        <f aca="false">IF(I824="Opening",L824,Z823+L824-X824)</f>
        <v>270503885.929543</v>
      </c>
      <c r="AA824" s="9" t="n">
        <f aca="false">IF(Y824&gt;0,Z824/Y824,IF(I824="Opening",0,AA823))</f>
        <v>39224.7795438889</v>
      </c>
      <c r="AB824" s="9" t="n">
        <f aca="false">IF(AND(I824="DO",O824="MA"),S824-N824,0)</f>
        <v>-0.0611283630132675</v>
      </c>
      <c r="AC824" s="9" t="n">
        <f aca="false">IF(I824="DO",X824-S824,0)</f>
        <v>0</v>
      </c>
      <c r="AD824" s="23" t="n">
        <f aca="false">IF(B825&lt;&gt;B824,1,0)</f>
        <v>0</v>
      </c>
      <c r="AE824" s="14" t="n">
        <f aca="false">IF(I824="Opening",0,AE823+W824)</f>
        <v>67317.72</v>
      </c>
      <c r="AF824" s="14" t="n">
        <f aca="false">IF(I824="Opening",K824,AF823)</f>
        <v>25015.13</v>
      </c>
      <c r="AG824" s="14" t="n">
        <f aca="false">AG823</f>
        <v>39499.64</v>
      </c>
      <c r="AH824" s="14" t="n">
        <f aca="false">IF(W824=0,0,MAX(0,MIN(AE824,AF824)-MIN(AE824-W824,AF824)))</f>
        <v>0</v>
      </c>
      <c r="AI824" s="14" t="n">
        <f aca="false">IF(W824=0,0,MAX(0,MIN(AE824,AF824+AG824)-MAX(AE824-W824,AF824)))</f>
        <v>0</v>
      </c>
      <c r="AJ824" s="14" t="n">
        <f aca="false">W824-AH824-AI824</f>
        <v>1011</v>
      </c>
      <c r="AK824" s="9" t="n">
        <f aca="false">IF(W824=0,0,X824*AH824/W824)</f>
        <v>0</v>
      </c>
      <c r="AL824" s="9" t="n">
        <f aca="false">IF(W824=0,0,X824*AI824/W824)</f>
        <v>0</v>
      </c>
      <c r="AM824" s="9" t="n">
        <f aca="false">X824-AK824-AL824</f>
        <v>39656252.1188716</v>
      </c>
    </row>
    <row r="825" customFormat="false" ht="15" hidden="false" customHeight="false" outlineLevel="0" collapsed="false">
      <c r="A825" s="6" t="n">
        <v>820</v>
      </c>
      <c r="B825" s="74" t="s">
        <v>1019</v>
      </c>
      <c r="C825" s="53" t="str">
        <f aca="false">INDEX(I_Items!$C$5:$C$133,MATCH($B825,I_Items!$A$5:$A$133,0))</f>
        <v>Trading</v>
      </c>
      <c r="D825" s="53" t="str">
        <f aca="false">INDEX(I_Items!$D$5:$D$133,MATCH($B825,I_Items!$A$5:$A$133,0))</f>
        <v>BLD</v>
      </c>
      <c r="E825" s="53" t="str">
        <f aca="false">INDEX(I_Items!$F$5:$F$133,MATCH($B825,I_Items!$A$5:$A$133,0))</f>
        <v>Frozen</v>
      </c>
      <c r="F825" s="53" t="str">
        <f aca="false">IF(INDEX(I_Items!$E$5:$E$133,MATCH($B825,I_Items!$A$5:$A$133,0))="","",INDEX(I_Items!$E$5:$E$133,MATCH($B825,I_Items!$A$5:$A$133,0)))</f>
        <v/>
      </c>
      <c r="G825" s="76" t="n">
        <v>46245</v>
      </c>
      <c r="H825" s="23" t="n">
        <f aca="false">MONTH(G825)</f>
        <v>8</v>
      </c>
      <c r="I825" s="74" t="s">
        <v>2075</v>
      </c>
      <c r="J825" s="74" t="s">
        <v>2269</v>
      </c>
      <c r="K825" s="10" t="n">
        <v>0</v>
      </c>
      <c r="L825" s="8" t="n">
        <v>0</v>
      </c>
      <c r="M825" s="10" t="n">
        <v>270.1</v>
      </c>
      <c r="N825" s="8" t="n">
        <v>10594612.97</v>
      </c>
      <c r="O825" s="74" t="s">
        <v>2077</v>
      </c>
      <c r="P825" s="74"/>
      <c r="Q825" s="74"/>
      <c r="R825" s="14" t="n">
        <f aca="false">IF(I825="Unbilled",0,M825)</f>
        <v>270.1</v>
      </c>
      <c r="S825" s="9" t="n">
        <f aca="false">IF(R825=0,0,IF(O825="Booked",N825,R825*V824))</f>
        <v>10594612.9548044</v>
      </c>
      <c r="T825" s="14" t="n">
        <f aca="false">IF(I825="Opening",K825,T824+K825-R825)</f>
        <v>6626.14999999998</v>
      </c>
      <c r="U825" s="9" t="n">
        <f aca="false">IF(I825="Opening",L825,U824+L825-S825)</f>
        <v>259909272.974738</v>
      </c>
      <c r="V825" s="9" t="n">
        <f aca="false">IF(T825&gt;0,U825/T825,IF(I825="Opening",0,V824))</f>
        <v>39224.7795438889</v>
      </c>
      <c r="W825" s="14" t="n">
        <f aca="false">M825</f>
        <v>270.1</v>
      </c>
      <c r="X825" s="9" t="n">
        <f aca="false">IF(W825=0,0,IF(O825="Booked",N825,W825*AA824))</f>
        <v>10594612.9548044</v>
      </c>
      <c r="Y825" s="14" t="n">
        <f aca="false">IF(I825="Opening",K825,Y824+K825-W825)</f>
        <v>6626.14999999998</v>
      </c>
      <c r="Z825" s="9" t="n">
        <f aca="false">IF(I825="Opening",L825,Z824+L825-X825)</f>
        <v>259909272.974738</v>
      </c>
      <c r="AA825" s="9" t="n">
        <f aca="false">IF(Y825&gt;0,Z825/Y825,IF(I825="Opening",0,AA824))</f>
        <v>39224.7795438889</v>
      </c>
      <c r="AB825" s="9" t="n">
        <f aca="false">IF(AND(I825="DO",O825="MA"),S825-N825,0)</f>
        <v>-0.015195619314909</v>
      </c>
      <c r="AC825" s="9" t="n">
        <f aca="false">IF(I825="DO",X825-S825,0)</f>
        <v>0</v>
      </c>
      <c r="AD825" s="23" t="n">
        <f aca="false">IF(B826&lt;&gt;B825,1,0)</f>
        <v>0</v>
      </c>
      <c r="AE825" s="14" t="n">
        <f aca="false">IF(I825="Opening",0,AE824+W825)</f>
        <v>67587.82</v>
      </c>
      <c r="AF825" s="14" t="n">
        <f aca="false">IF(I825="Opening",K825,AF824)</f>
        <v>25015.13</v>
      </c>
      <c r="AG825" s="14" t="n">
        <f aca="false">AG824</f>
        <v>39499.64</v>
      </c>
      <c r="AH825" s="14" t="n">
        <f aca="false">IF(W825=0,0,MAX(0,MIN(AE825,AF825)-MIN(AE825-W825,AF825)))</f>
        <v>0</v>
      </c>
      <c r="AI825" s="14" t="n">
        <f aca="false">IF(W825=0,0,MAX(0,MIN(AE825,AF825+AG825)-MAX(AE825-W825,AF825)))</f>
        <v>0</v>
      </c>
      <c r="AJ825" s="14" t="n">
        <f aca="false">W825-AH825-AI825</f>
        <v>270.1</v>
      </c>
      <c r="AK825" s="9" t="n">
        <f aca="false">IF(W825=0,0,X825*AH825/W825)</f>
        <v>0</v>
      </c>
      <c r="AL825" s="9" t="n">
        <f aca="false">IF(W825=0,0,X825*AI825/W825)</f>
        <v>0</v>
      </c>
      <c r="AM825" s="9" t="n">
        <f aca="false">X825-AK825-AL825</f>
        <v>10594612.9548044</v>
      </c>
    </row>
    <row r="826" customFormat="false" ht="15" hidden="false" customHeight="false" outlineLevel="0" collapsed="false">
      <c r="A826" s="6" t="n">
        <v>821</v>
      </c>
      <c r="B826" s="74" t="s">
        <v>1019</v>
      </c>
      <c r="C826" s="53" t="str">
        <f aca="false">INDEX(I_Items!$C$5:$C$133,MATCH($B826,I_Items!$A$5:$A$133,0))</f>
        <v>Trading</v>
      </c>
      <c r="D826" s="53" t="str">
        <f aca="false">INDEX(I_Items!$D$5:$D$133,MATCH($B826,I_Items!$A$5:$A$133,0))</f>
        <v>BLD</v>
      </c>
      <c r="E826" s="53" t="str">
        <f aca="false">INDEX(I_Items!$F$5:$F$133,MATCH($B826,I_Items!$A$5:$A$133,0))</f>
        <v>Frozen</v>
      </c>
      <c r="F826" s="53" t="str">
        <f aca="false">IF(INDEX(I_Items!$E$5:$E$133,MATCH($B826,I_Items!$A$5:$A$133,0))="","",INDEX(I_Items!$E$5:$E$133,MATCH($B826,I_Items!$A$5:$A$133,0)))</f>
        <v/>
      </c>
      <c r="G826" s="76" t="n">
        <v>46245</v>
      </c>
      <c r="H826" s="23" t="n">
        <f aca="false">MONTH(G826)</f>
        <v>8</v>
      </c>
      <c r="I826" s="74" t="s">
        <v>2075</v>
      </c>
      <c r="J826" s="74" t="s">
        <v>2269</v>
      </c>
      <c r="K826" s="10" t="n">
        <v>0</v>
      </c>
      <c r="L826" s="8" t="n">
        <v>0</v>
      </c>
      <c r="M826" s="10" t="n">
        <v>369</v>
      </c>
      <c r="N826" s="8" t="n">
        <v>14473943.67</v>
      </c>
      <c r="O826" s="74" t="s">
        <v>2077</v>
      </c>
      <c r="P826" s="74"/>
      <c r="Q826" s="74"/>
      <c r="R826" s="14" t="n">
        <f aca="false">IF(I826="Unbilled",0,M826)</f>
        <v>369</v>
      </c>
      <c r="S826" s="9" t="n">
        <f aca="false">IF(R826=0,0,IF(O826="Booked",N826,R826*V825))</f>
        <v>14473943.651695</v>
      </c>
      <c r="T826" s="14" t="n">
        <f aca="false">IF(I826="Opening",K826,T825+K826-R826)</f>
        <v>6257.14999999998</v>
      </c>
      <c r="U826" s="9" t="n">
        <f aca="false">IF(I826="Opening",L826,U825+L826-S826)</f>
        <v>245435329.323043</v>
      </c>
      <c r="V826" s="9" t="n">
        <f aca="false">IF(T826&gt;0,U826/T826,IF(I826="Opening",0,V825))</f>
        <v>39224.7795438889</v>
      </c>
      <c r="W826" s="14" t="n">
        <f aca="false">M826</f>
        <v>369</v>
      </c>
      <c r="X826" s="9" t="n">
        <f aca="false">IF(W826=0,0,IF(O826="Booked",N826,W826*AA825))</f>
        <v>14473943.651695</v>
      </c>
      <c r="Y826" s="14" t="n">
        <f aca="false">IF(I826="Opening",K826,Y825+K826-W826)</f>
        <v>6257.14999999998</v>
      </c>
      <c r="Z826" s="9" t="n">
        <f aca="false">IF(I826="Opening",L826,Z825+L826-X826)</f>
        <v>245435329.323043</v>
      </c>
      <c r="AA826" s="9" t="n">
        <f aca="false">IF(Y826&gt;0,Z826/Y826,IF(I826="Opening",0,AA825))</f>
        <v>39224.7795438889</v>
      </c>
      <c r="AB826" s="9" t="n">
        <f aca="false">IF(AND(I826="DO",O826="MA"),S826-N826,0)</f>
        <v>-0.0183050110936165</v>
      </c>
      <c r="AC826" s="9" t="n">
        <f aca="false">IF(I826="DO",X826-S826,0)</f>
        <v>0</v>
      </c>
      <c r="AD826" s="23" t="n">
        <f aca="false">IF(B827&lt;&gt;B826,1,0)</f>
        <v>0</v>
      </c>
      <c r="AE826" s="14" t="n">
        <f aca="false">IF(I826="Opening",0,AE825+W826)</f>
        <v>67956.82</v>
      </c>
      <c r="AF826" s="14" t="n">
        <f aca="false">IF(I826="Opening",K826,AF825)</f>
        <v>25015.13</v>
      </c>
      <c r="AG826" s="14" t="n">
        <f aca="false">AG825</f>
        <v>39499.64</v>
      </c>
      <c r="AH826" s="14" t="n">
        <f aca="false">IF(W826=0,0,MAX(0,MIN(AE826,AF826)-MIN(AE826-W826,AF826)))</f>
        <v>0</v>
      </c>
      <c r="AI826" s="14" t="n">
        <f aca="false">IF(W826=0,0,MAX(0,MIN(AE826,AF826+AG826)-MAX(AE826-W826,AF826)))</f>
        <v>0</v>
      </c>
      <c r="AJ826" s="14" t="n">
        <f aca="false">W826-AH826-AI826</f>
        <v>369</v>
      </c>
      <c r="AK826" s="9" t="n">
        <f aca="false">IF(W826=0,0,X826*AH826/W826)</f>
        <v>0</v>
      </c>
      <c r="AL826" s="9" t="n">
        <f aca="false">IF(W826=0,0,X826*AI826/W826)</f>
        <v>0</v>
      </c>
      <c r="AM826" s="9" t="n">
        <f aca="false">X826-AK826-AL826</f>
        <v>14473943.651695</v>
      </c>
    </row>
    <row r="827" customFormat="false" ht="15" hidden="false" customHeight="false" outlineLevel="0" collapsed="false">
      <c r="A827" s="6" t="n">
        <v>822</v>
      </c>
      <c r="B827" s="74" t="s">
        <v>1019</v>
      </c>
      <c r="C827" s="53" t="str">
        <f aca="false">INDEX(I_Items!$C$5:$C$133,MATCH($B827,I_Items!$A$5:$A$133,0))</f>
        <v>Trading</v>
      </c>
      <c r="D827" s="53" t="str">
        <f aca="false">INDEX(I_Items!$D$5:$D$133,MATCH($B827,I_Items!$A$5:$A$133,0))</f>
        <v>BLD</v>
      </c>
      <c r="E827" s="53" t="str">
        <f aca="false">INDEX(I_Items!$F$5:$F$133,MATCH($B827,I_Items!$A$5:$A$133,0))</f>
        <v>Frozen</v>
      </c>
      <c r="F827" s="53" t="str">
        <f aca="false">IF(INDEX(I_Items!$E$5:$E$133,MATCH($B827,I_Items!$A$5:$A$133,0))="","",INDEX(I_Items!$E$5:$E$133,MATCH($B827,I_Items!$A$5:$A$133,0)))</f>
        <v/>
      </c>
      <c r="G827" s="76" t="n">
        <v>46245</v>
      </c>
      <c r="H827" s="23" t="n">
        <f aca="false">MONTH(G827)</f>
        <v>8</v>
      </c>
      <c r="I827" s="74" t="s">
        <v>2075</v>
      </c>
      <c r="J827" s="74" t="s">
        <v>2270</v>
      </c>
      <c r="K827" s="10" t="n">
        <v>0</v>
      </c>
      <c r="L827" s="8" t="n">
        <v>0</v>
      </c>
      <c r="M827" s="10" t="n">
        <v>1215</v>
      </c>
      <c r="N827" s="8" t="n">
        <v>47658107.21</v>
      </c>
      <c r="O827" s="74" t="s">
        <v>2077</v>
      </c>
      <c r="P827" s="74"/>
      <c r="Q827" s="74"/>
      <c r="R827" s="14" t="n">
        <f aca="false">IF(I827="Unbilled",0,M827)</f>
        <v>1215</v>
      </c>
      <c r="S827" s="9" t="n">
        <f aca="false">IF(R827=0,0,IF(O827="Booked",N827,R827*V826))</f>
        <v>47658107.145825</v>
      </c>
      <c r="T827" s="14" t="n">
        <f aca="false">IF(I827="Opening",K827,T826+K827-R827)</f>
        <v>5042.14999999998</v>
      </c>
      <c r="U827" s="9" t="n">
        <f aca="false">IF(I827="Opening",L827,U826+L827-S827)</f>
        <v>197777222.177219</v>
      </c>
      <c r="V827" s="9" t="n">
        <f aca="false">IF(T827&gt;0,U827/T827,IF(I827="Opening",0,V826))</f>
        <v>39224.7795438889</v>
      </c>
      <c r="W827" s="14" t="n">
        <f aca="false">M827</f>
        <v>1215</v>
      </c>
      <c r="X827" s="9" t="n">
        <f aca="false">IF(W827=0,0,IF(O827="Booked",N827,W827*AA826))</f>
        <v>47658107.145825</v>
      </c>
      <c r="Y827" s="14" t="n">
        <f aca="false">IF(I827="Opening",K827,Y826+K827-W827)</f>
        <v>5042.14999999998</v>
      </c>
      <c r="Z827" s="9" t="n">
        <f aca="false">IF(I827="Opening",L827,Z826+L827-X827)</f>
        <v>197777222.177219</v>
      </c>
      <c r="AA827" s="9" t="n">
        <f aca="false">IF(Y827&gt;0,Z827/Y827,IF(I827="Opening",0,AA826))</f>
        <v>39224.7795438889</v>
      </c>
      <c r="AB827" s="9" t="n">
        <f aca="false">IF(AND(I827="DO",O827="MA"),S827-N827,0)</f>
        <v>-0.0641750395298004</v>
      </c>
      <c r="AC827" s="9" t="n">
        <f aca="false">IF(I827="DO",X827-S827,0)</f>
        <v>0</v>
      </c>
      <c r="AD827" s="23" t="n">
        <f aca="false">IF(B828&lt;&gt;B827,1,0)</f>
        <v>0</v>
      </c>
      <c r="AE827" s="14" t="n">
        <f aca="false">IF(I827="Opening",0,AE826+W827)</f>
        <v>69171.82</v>
      </c>
      <c r="AF827" s="14" t="n">
        <f aca="false">IF(I827="Opening",K827,AF826)</f>
        <v>25015.13</v>
      </c>
      <c r="AG827" s="14" t="n">
        <f aca="false">AG826</f>
        <v>39499.64</v>
      </c>
      <c r="AH827" s="14" t="n">
        <f aca="false">IF(W827=0,0,MAX(0,MIN(AE827,AF827)-MIN(AE827-W827,AF827)))</f>
        <v>0</v>
      </c>
      <c r="AI827" s="14" t="n">
        <f aca="false">IF(W827=0,0,MAX(0,MIN(AE827,AF827+AG827)-MAX(AE827-W827,AF827)))</f>
        <v>0</v>
      </c>
      <c r="AJ827" s="14" t="n">
        <f aca="false">W827-AH827-AI827</f>
        <v>1215</v>
      </c>
      <c r="AK827" s="9" t="n">
        <f aca="false">IF(W827=0,0,X827*AH827/W827)</f>
        <v>0</v>
      </c>
      <c r="AL827" s="9" t="n">
        <f aca="false">IF(W827=0,0,X827*AI827/W827)</f>
        <v>0</v>
      </c>
      <c r="AM827" s="9" t="n">
        <f aca="false">X827-AK827-AL827</f>
        <v>47658107.145825</v>
      </c>
    </row>
    <row r="828" customFormat="false" ht="15" hidden="false" customHeight="false" outlineLevel="0" collapsed="false">
      <c r="A828" s="6" t="n">
        <v>823</v>
      </c>
      <c r="B828" s="74" t="s">
        <v>1019</v>
      </c>
      <c r="C828" s="53" t="str">
        <f aca="false">INDEX(I_Items!$C$5:$C$133,MATCH($B828,I_Items!$A$5:$A$133,0))</f>
        <v>Trading</v>
      </c>
      <c r="D828" s="53" t="str">
        <f aca="false">INDEX(I_Items!$D$5:$D$133,MATCH($B828,I_Items!$A$5:$A$133,0))</f>
        <v>BLD</v>
      </c>
      <c r="E828" s="53" t="str">
        <f aca="false">INDEX(I_Items!$F$5:$F$133,MATCH($B828,I_Items!$A$5:$A$133,0))</f>
        <v>Frozen</v>
      </c>
      <c r="F828" s="53" t="str">
        <f aca="false">IF(INDEX(I_Items!$E$5:$E$133,MATCH($B828,I_Items!$A$5:$A$133,0))="","",INDEX(I_Items!$E$5:$E$133,MATCH($B828,I_Items!$A$5:$A$133,0)))</f>
        <v/>
      </c>
      <c r="G828" s="76" t="n">
        <v>46245</v>
      </c>
      <c r="H828" s="23" t="n">
        <f aca="false">MONTH(G828)</f>
        <v>8</v>
      </c>
      <c r="I828" s="74" t="s">
        <v>2075</v>
      </c>
      <c r="J828" s="74" t="s">
        <v>2271</v>
      </c>
      <c r="K828" s="10" t="n">
        <v>0</v>
      </c>
      <c r="L828" s="8" t="n">
        <v>0</v>
      </c>
      <c r="M828" s="10" t="n">
        <v>1608.2</v>
      </c>
      <c r="N828" s="8" t="n">
        <v>63081290.55</v>
      </c>
      <c r="O828" s="74" t="s">
        <v>2077</v>
      </c>
      <c r="P828" s="74"/>
      <c r="Q828" s="74"/>
      <c r="R828" s="14" t="n">
        <f aca="false">IF(I828="Unbilled",0,M828)</f>
        <v>1608.2</v>
      </c>
      <c r="S828" s="9" t="n">
        <f aca="false">IF(R828=0,0,IF(O828="Booked",N828,R828*V827))</f>
        <v>63081290.4624821</v>
      </c>
      <c r="T828" s="14" t="n">
        <f aca="false">IF(I828="Opening",K828,T827+K828-R828)</f>
        <v>3433.94999999998</v>
      </c>
      <c r="U828" s="9" t="n">
        <f aca="false">IF(I828="Opening",L828,U827+L828-S828)</f>
        <v>134695931.714736</v>
      </c>
      <c r="V828" s="9" t="n">
        <f aca="false">IF(T828&gt;0,U828/T828,IF(I828="Opening",0,V827))</f>
        <v>39224.7795438889</v>
      </c>
      <c r="W828" s="14" t="n">
        <f aca="false">M828</f>
        <v>1608.2</v>
      </c>
      <c r="X828" s="9" t="n">
        <f aca="false">IF(W828=0,0,IF(O828="Booked",N828,W828*AA827))</f>
        <v>63081290.4624821</v>
      </c>
      <c r="Y828" s="14" t="n">
        <f aca="false">IF(I828="Opening",K828,Y827+K828-W828)</f>
        <v>3433.94999999998</v>
      </c>
      <c r="Z828" s="9" t="n">
        <f aca="false">IF(I828="Opening",L828,Z827+L828-X828)</f>
        <v>134695931.714736</v>
      </c>
      <c r="AA828" s="9" t="n">
        <f aca="false">IF(Y828&gt;0,Z828/Y828,IF(I828="Opening",0,AA827))</f>
        <v>39224.7795438889</v>
      </c>
      <c r="AB828" s="9" t="n">
        <f aca="false">IF(AND(I828="DO",O828="MA"),S828-N828,0)</f>
        <v>-0.0875179320573807</v>
      </c>
      <c r="AC828" s="9" t="n">
        <f aca="false">IF(I828="DO",X828-S828,0)</f>
        <v>0</v>
      </c>
      <c r="AD828" s="23" t="n">
        <f aca="false">IF(B829&lt;&gt;B828,1,0)</f>
        <v>0</v>
      </c>
      <c r="AE828" s="14" t="n">
        <f aca="false">IF(I828="Opening",0,AE827+W828)</f>
        <v>70780.02</v>
      </c>
      <c r="AF828" s="14" t="n">
        <f aca="false">IF(I828="Opening",K828,AF827)</f>
        <v>25015.13</v>
      </c>
      <c r="AG828" s="14" t="n">
        <f aca="false">AG827</f>
        <v>39499.64</v>
      </c>
      <c r="AH828" s="14" t="n">
        <f aca="false">IF(W828=0,0,MAX(0,MIN(AE828,AF828)-MIN(AE828-W828,AF828)))</f>
        <v>0</v>
      </c>
      <c r="AI828" s="14" t="n">
        <f aca="false">IF(W828=0,0,MAX(0,MIN(AE828,AF828+AG828)-MAX(AE828-W828,AF828)))</f>
        <v>0</v>
      </c>
      <c r="AJ828" s="14" t="n">
        <f aca="false">W828-AH828-AI828</f>
        <v>1608.2</v>
      </c>
      <c r="AK828" s="9" t="n">
        <f aca="false">IF(W828=0,0,X828*AH828/W828)</f>
        <v>0</v>
      </c>
      <c r="AL828" s="9" t="n">
        <f aca="false">IF(W828=0,0,X828*AI828/W828)</f>
        <v>0</v>
      </c>
      <c r="AM828" s="9" t="n">
        <f aca="false">X828-AK828-AL828</f>
        <v>63081290.4624821</v>
      </c>
    </row>
    <row r="829" customFormat="false" ht="15" hidden="false" customHeight="false" outlineLevel="0" collapsed="false">
      <c r="A829" s="6" t="n">
        <v>824</v>
      </c>
      <c r="B829" s="74" t="s">
        <v>1019</v>
      </c>
      <c r="C829" s="53" t="str">
        <f aca="false">INDEX(I_Items!$C$5:$C$133,MATCH($B829,I_Items!$A$5:$A$133,0))</f>
        <v>Trading</v>
      </c>
      <c r="D829" s="53" t="str">
        <f aca="false">INDEX(I_Items!$D$5:$D$133,MATCH($B829,I_Items!$A$5:$A$133,0))</f>
        <v>BLD</v>
      </c>
      <c r="E829" s="53" t="str">
        <f aca="false">INDEX(I_Items!$F$5:$F$133,MATCH($B829,I_Items!$A$5:$A$133,0))</f>
        <v>Frozen</v>
      </c>
      <c r="F829" s="53" t="str">
        <f aca="false">IF(INDEX(I_Items!$E$5:$E$133,MATCH($B829,I_Items!$A$5:$A$133,0))="","",INDEX(I_Items!$E$5:$E$133,MATCH($B829,I_Items!$A$5:$A$133,0)))</f>
        <v/>
      </c>
      <c r="G829" s="76" t="n">
        <v>46245</v>
      </c>
      <c r="H829" s="23" t="n">
        <f aca="false">MONTH(G829)</f>
        <v>8</v>
      </c>
      <c r="I829" s="74" t="s">
        <v>2075</v>
      </c>
      <c r="J829" s="74" t="s">
        <v>2272</v>
      </c>
      <c r="K829" s="10" t="n">
        <v>0</v>
      </c>
      <c r="L829" s="8" t="n">
        <v>0</v>
      </c>
      <c r="M829" s="10" t="n">
        <v>344.5</v>
      </c>
      <c r="N829" s="8" t="n">
        <v>13512936.57</v>
      </c>
      <c r="O829" s="74" t="s">
        <v>2077</v>
      </c>
      <c r="P829" s="74"/>
      <c r="Q829" s="74"/>
      <c r="R829" s="14" t="n">
        <f aca="false">IF(I829="Unbilled",0,M829)</f>
        <v>344.5</v>
      </c>
      <c r="S829" s="9" t="n">
        <f aca="false">IF(R829=0,0,IF(O829="Booked",N829,R829*V828))</f>
        <v>13512936.5528697</v>
      </c>
      <c r="T829" s="14" t="n">
        <f aca="false">IF(I829="Opening",K829,T828+K829-R829)</f>
        <v>3089.44999999998</v>
      </c>
      <c r="U829" s="9" t="n">
        <f aca="false">IF(I829="Opening",L829,U828+L829-S829)</f>
        <v>121182995.161867</v>
      </c>
      <c r="V829" s="9" t="n">
        <f aca="false">IF(T829&gt;0,U829/T829,IF(I829="Opening",0,V828))</f>
        <v>39224.7795438889</v>
      </c>
      <c r="W829" s="14" t="n">
        <f aca="false">M829</f>
        <v>344.5</v>
      </c>
      <c r="X829" s="9" t="n">
        <f aca="false">IF(W829=0,0,IF(O829="Booked",N829,W829*AA828))</f>
        <v>13512936.5528697</v>
      </c>
      <c r="Y829" s="14" t="n">
        <f aca="false">IF(I829="Opening",K829,Y828+K829-W829)</f>
        <v>3089.44999999998</v>
      </c>
      <c r="Z829" s="9" t="n">
        <f aca="false">IF(I829="Opening",L829,Z828+L829-X829)</f>
        <v>121182995.161867</v>
      </c>
      <c r="AA829" s="9" t="n">
        <f aca="false">IF(Y829&gt;0,Z829/Y829,IF(I829="Opening",0,AA828))</f>
        <v>39224.7795438889</v>
      </c>
      <c r="AB829" s="9" t="n">
        <f aca="false">IF(AND(I829="DO",O829="MA"),S829-N829,0)</f>
        <v>-0.0171302910894156</v>
      </c>
      <c r="AC829" s="9" t="n">
        <f aca="false">IF(I829="DO",X829-S829,0)</f>
        <v>0</v>
      </c>
      <c r="AD829" s="23" t="n">
        <f aca="false">IF(B830&lt;&gt;B829,1,0)</f>
        <v>0</v>
      </c>
      <c r="AE829" s="14" t="n">
        <f aca="false">IF(I829="Opening",0,AE828+W829)</f>
        <v>71124.52</v>
      </c>
      <c r="AF829" s="14" t="n">
        <f aca="false">IF(I829="Opening",K829,AF828)</f>
        <v>25015.13</v>
      </c>
      <c r="AG829" s="14" t="n">
        <f aca="false">AG828</f>
        <v>39499.64</v>
      </c>
      <c r="AH829" s="14" t="n">
        <f aca="false">IF(W829=0,0,MAX(0,MIN(AE829,AF829)-MIN(AE829-W829,AF829)))</f>
        <v>0</v>
      </c>
      <c r="AI829" s="14" t="n">
        <f aca="false">IF(W829=0,0,MAX(0,MIN(AE829,AF829+AG829)-MAX(AE829-W829,AF829)))</f>
        <v>0</v>
      </c>
      <c r="AJ829" s="14" t="n">
        <f aca="false">W829-AH829-AI829</f>
        <v>344.5</v>
      </c>
      <c r="AK829" s="9" t="n">
        <f aca="false">IF(W829=0,0,X829*AH829/W829)</f>
        <v>0</v>
      </c>
      <c r="AL829" s="9" t="n">
        <f aca="false">IF(W829=0,0,X829*AI829/W829)</f>
        <v>0</v>
      </c>
      <c r="AM829" s="9" t="n">
        <f aca="false">X829-AK829-AL829</f>
        <v>13512936.5528697</v>
      </c>
    </row>
    <row r="830" customFormat="false" ht="15" hidden="false" customHeight="false" outlineLevel="0" collapsed="false">
      <c r="A830" s="6" t="n">
        <v>825</v>
      </c>
      <c r="B830" s="74" t="s">
        <v>1019</v>
      </c>
      <c r="C830" s="53" t="str">
        <f aca="false">INDEX(I_Items!$C$5:$C$133,MATCH($B830,I_Items!$A$5:$A$133,0))</f>
        <v>Trading</v>
      </c>
      <c r="D830" s="53" t="str">
        <f aca="false">INDEX(I_Items!$D$5:$D$133,MATCH($B830,I_Items!$A$5:$A$133,0))</f>
        <v>BLD</v>
      </c>
      <c r="E830" s="53" t="str">
        <f aca="false">INDEX(I_Items!$F$5:$F$133,MATCH($B830,I_Items!$A$5:$A$133,0))</f>
        <v>Frozen</v>
      </c>
      <c r="F830" s="53" t="str">
        <f aca="false">IF(INDEX(I_Items!$E$5:$E$133,MATCH($B830,I_Items!$A$5:$A$133,0))="","",INDEX(I_Items!$E$5:$E$133,MATCH($B830,I_Items!$A$5:$A$133,0)))</f>
        <v/>
      </c>
      <c r="G830" s="76" t="n">
        <v>46247</v>
      </c>
      <c r="H830" s="23" t="n">
        <f aca="false">MONTH(G830)</f>
        <v>8</v>
      </c>
      <c r="I830" s="74" t="s">
        <v>2075</v>
      </c>
      <c r="J830" s="74" t="s">
        <v>2273</v>
      </c>
      <c r="K830" s="10" t="n">
        <v>0</v>
      </c>
      <c r="L830" s="8" t="n">
        <v>0</v>
      </c>
      <c r="M830" s="10" t="n">
        <v>236.11</v>
      </c>
      <c r="N830" s="8" t="n">
        <v>9261362.71</v>
      </c>
      <c r="O830" s="74" t="s">
        <v>2077</v>
      </c>
      <c r="P830" s="74"/>
      <c r="Q830" s="74"/>
      <c r="R830" s="14" t="n">
        <f aca="false">IF(I830="Unbilled",0,M830)</f>
        <v>236.11</v>
      </c>
      <c r="S830" s="9" t="n">
        <f aca="false">IF(R830=0,0,IF(O830="Booked",N830,R830*V829))</f>
        <v>9261362.6981076</v>
      </c>
      <c r="T830" s="14" t="n">
        <f aca="false">IF(I830="Opening",K830,T829+K830-R830)</f>
        <v>2853.33999999998</v>
      </c>
      <c r="U830" s="9" t="n">
        <f aca="false">IF(I830="Opening",L830,U829+L830-S830)</f>
        <v>111921632.463759</v>
      </c>
      <c r="V830" s="9" t="n">
        <f aca="false">IF(T830&gt;0,U830/T830,IF(I830="Opening",0,V829))</f>
        <v>39224.7795438889</v>
      </c>
      <c r="W830" s="14" t="n">
        <f aca="false">M830</f>
        <v>236.11</v>
      </c>
      <c r="X830" s="9" t="n">
        <f aca="false">IF(W830=0,0,IF(O830="Booked",N830,W830*AA829))</f>
        <v>9261362.6981076</v>
      </c>
      <c r="Y830" s="14" t="n">
        <f aca="false">IF(I830="Opening",K830,Y829+K830-W830)</f>
        <v>2853.33999999998</v>
      </c>
      <c r="Z830" s="9" t="n">
        <f aca="false">IF(I830="Opening",L830,Z829+L830-X830)</f>
        <v>111921632.463759</v>
      </c>
      <c r="AA830" s="9" t="n">
        <f aca="false">IF(Y830&gt;0,Z830/Y830,IF(I830="Opening",0,AA829))</f>
        <v>39224.7795438889</v>
      </c>
      <c r="AB830" s="9" t="n">
        <f aca="false">IF(AND(I830="DO",O830="MA"),S830-N830,0)</f>
        <v>-0.0118924044072628</v>
      </c>
      <c r="AC830" s="9" t="n">
        <f aca="false">IF(I830="DO",X830-S830,0)</f>
        <v>0</v>
      </c>
      <c r="AD830" s="23" t="n">
        <f aca="false">IF(B831&lt;&gt;B830,1,0)</f>
        <v>0</v>
      </c>
      <c r="AE830" s="14" t="n">
        <f aca="false">IF(I830="Opening",0,AE829+W830)</f>
        <v>71360.63</v>
      </c>
      <c r="AF830" s="14" t="n">
        <f aca="false">IF(I830="Opening",K830,AF829)</f>
        <v>25015.13</v>
      </c>
      <c r="AG830" s="14" t="n">
        <f aca="false">AG829</f>
        <v>39499.64</v>
      </c>
      <c r="AH830" s="14" t="n">
        <f aca="false">IF(W830=0,0,MAX(0,MIN(AE830,AF830)-MIN(AE830-W830,AF830)))</f>
        <v>0</v>
      </c>
      <c r="AI830" s="14" t="n">
        <f aca="false">IF(W830=0,0,MAX(0,MIN(AE830,AF830+AG830)-MAX(AE830-W830,AF830)))</f>
        <v>0</v>
      </c>
      <c r="AJ830" s="14" t="n">
        <f aca="false">W830-AH830-AI830</f>
        <v>236.11</v>
      </c>
      <c r="AK830" s="9" t="n">
        <f aca="false">IF(W830=0,0,X830*AH830/W830)</f>
        <v>0</v>
      </c>
      <c r="AL830" s="9" t="n">
        <f aca="false">IF(W830=0,0,X830*AI830/W830)</f>
        <v>0</v>
      </c>
      <c r="AM830" s="9" t="n">
        <f aca="false">X830-AK830-AL830</f>
        <v>9261362.6981076</v>
      </c>
    </row>
    <row r="831" customFormat="false" ht="15" hidden="false" customHeight="false" outlineLevel="0" collapsed="false">
      <c r="A831" s="6" t="n">
        <v>826</v>
      </c>
      <c r="B831" s="74" t="s">
        <v>1019</v>
      </c>
      <c r="C831" s="53" t="str">
        <f aca="false">INDEX(I_Items!$C$5:$C$133,MATCH($B831,I_Items!$A$5:$A$133,0))</f>
        <v>Trading</v>
      </c>
      <c r="D831" s="53" t="str">
        <f aca="false">INDEX(I_Items!$D$5:$D$133,MATCH($B831,I_Items!$A$5:$A$133,0))</f>
        <v>BLD</v>
      </c>
      <c r="E831" s="53" t="str">
        <f aca="false">INDEX(I_Items!$F$5:$F$133,MATCH($B831,I_Items!$A$5:$A$133,0))</f>
        <v>Frozen</v>
      </c>
      <c r="F831" s="53" t="str">
        <f aca="false">IF(INDEX(I_Items!$E$5:$E$133,MATCH($B831,I_Items!$A$5:$A$133,0))="","",INDEX(I_Items!$E$5:$E$133,MATCH($B831,I_Items!$A$5:$A$133,0)))</f>
        <v/>
      </c>
      <c r="G831" s="76" t="n">
        <v>46254</v>
      </c>
      <c r="H831" s="23" t="n">
        <f aca="false">MONTH(G831)</f>
        <v>8</v>
      </c>
      <c r="I831" s="74" t="s">
        <v>2074</v>
      </c>
      <c r="J831" s="74" t="s">
        <v>2274</v>
      </c>
      <c r="K831" s="10" t="n">
        <v>3002.7</v>
      </c>
      <c r="L831" s="8" t="n">
        <v>117611840.48</v>
      </c>
      <c r="M831" s="10" t="n">
        <v>0</v>
      </c>
      <c r="N831" s="8" t="n">
        <v>0</v>
      </c>
      <c r="O831" s="74"/>
      <c r="P831" s="74"/>
      <c r="Q831" s="74"/>
      <c r="R831" s="14" t="n">
        <f aca="false">IF(I831="Unbilled",0,M831)</f>
        <v>0</v>
      </c>
      <c r="S831" s="9" t="n">
        <f aca="false">IF(R831=0,0,IF(O831="Booked",N831,R831*V830))</f>
        <v>0</v>
      </c>
      <c r="T831" s="14" t="n">
        <f aca="false">IF(I831="Opening",K831,T830+K831-R831)</f>
        <v>5856.03999999998</v>
      </c>
      <c r="U831" s="9" t="n">
        <f aca="false">IF(I831="Opening",L831,U830+L831-S831)</f>
        <v>229533472.943759</v>
      </c>
      <c r="V831" s="9" t="n">
        <f aca="false">IF(T831&gt;0,U831/T831,IF(I831="Opening",0,V830))</f>
        <v>39196.0220462565</v>
      </c>
      <c r="W831" s="14" t="n">
        <f aca="false">M831</f>
        <v>0</v>
      </c>
      <c r="X831" s="9" t="n">
        <f aca="false">IF(W831=0,0,IF(O831="Booked",N831,W831*AA830))</f>
        <v>0</v>
      </c>
      <c r="Y831" s="14" t="n">
        <f aca="false">IF(I831="Opening",K831,Y830+K831-W831)</f>
        <v>5856.03999999998</v>
      </c>
      <c r="Z831" s="9" t="n">
        <f aca="false">IF(I831="Opening",L831,Z830+L831-X831)</f>
        <v>229533472.943759</v>
      </c>
      <c r="AA831" s="9" t="n">
        <f aca="false">IF(Y831&gt;0,Z831/Y831,IF(I831="Opening",0,AA830))</f>
        <v>39196.0220462565</v>
      </c>
      <c r="AB831" s="9" t="n">
        <f aca="false">IF(AND(I831="DO",O831="MA"),S831-N831,0)</f>
        <v>0</v>
      </c>
      <c r="AC831" s="9" t="n">
        <f aca="false">IF(I831="DO",X831-S831,0)</f>
        <v>0</v>
      </c>
      <c r="AD831" s="23" t="n">
        <f aca="false">IF(B832&lt;&gt;B831,1,0)</f>
        <v>0</v>
      </c>
      <c r="AE831" s="14" t="n">
        <f aca="false">IF(I831="Opening",0,AE830+W831)</f>
        <v>71360.63</v>
      </c>
      <c r="AF831" s="14" t="n">
        <f aca="false">IF(I831="Opening",K831,AF830)</f>
        <v>25015.13</v>
      </c>
      <c r="AG831" s="14" t="n">
        <f aca="false">AG830</f>
        <v>39499.64</v>
      </c>
      <c r="AH831" s="14" t="n">
        <f aca="false">IF(W831=0,0,MAX(0,MIN(AE831,AF831)-MIN(AE831-W831,AF831)))</f>
        <v>0</v>
      </c>
      <c r="AI831" s="14" t="n">
        <f aca="false">IF(W831=0,0,MAX(0,MIN(AE831,AF831+AG831)-MAX(AE831-W831,AF831)))</f>
        <v>0</v>
      </c>
      <c r="AJ831" s="14" t="n">
        <f aca="false">W831-AH831-AI831</f>
        <v>0</v>
      </c>
      <c r="AK831" s="9" t="n">
        <f aca="false">IF(W831=0,0,X831*AH831/W831)</f>
        <v>0</v>
      </c>
      <c r="AL831" s="9" t="n">
        <f aca="false">IF(W831=0,0,X831*AI831/W831)</f>
        <v>0</v>
      </c>
      <c r="AM831" s="9" t="n">
        <f aca="false">X831-AK831-AL831</f>
        <v>0</v>
      </c>
    </row>
    <row r="832" customFormat="false" ht="15" hidden="false" customHeight="false" outlineLevel="0" collapsed="false">
      <c r="A832" s="6" t="n">
        <v>827</v>
      </c>
      <c r="B832" s="74" t="s">
        <v>1019</v>
      </c>
      <c r="C832" s="53" t="str">
        <f aca="false">INDEX(I_Items!$C$5:$C$133,MATCH($B832,I_Items!$A$5:$A$133,0))</f>
        <v>Trading</v>
      </c>
      <c r="D832" s="53" t="str">
        <f aca="false">INDEX(I_Items!$D$5:$D$133,MATCH($B832,I_Items!$A$5:$A$133,0))</f>
        <v>BLD</v>
      </c>
      <c r="E832" s="53" t="str">
        <f aca="false">INDEX(I_Items!$F$5:$F$133,MATCH($B832,I_Items!$A$5:$A$133,0))</f>
        <v>Frozen</v>
      </c>
      <c r="F832" s="53" t="str">
        <f aca="false">IF(INDEX(I_Items!$E$5:$E$133,MATCH($B832,I_Items!$A$5:$A$133,0))="","",INDEX(I_Items!$E$5:$E$133,MATCH($B832,I_Items!$A$5:$A$133,0)))</f>
        <v/>
      </c>
      <c r="G832" s="76" t="n">
        <v>46254</v>
      </c>
      <c r="H832" s="23" t="n">
        <f aca="false">MONTH(G832)</f>
        <v>8</v>
      </c>
      <c r="I832" s="74" t="s">
        <v>2074</v>
      </c>
      <c r="J832" s="74" t="s">
        <v>2274</v>
      </c>
      <c r="K832" s="10" t="n">
        <v>624.1</v>
      </c>
      <c r="L832" s="8" t="n">
        <v>23821082.55</v>
      </c>
      <c r="M832" s="10" t="n">
        <v>0</v>
      </c>
      <c r="N832" s="8" t="n">
        <v>0</v>
      </c>
      <c r="O832" s="74"/>
      <c r="P832" s="74"/>
      <c r="Q832" s="74"/>
      <c r="R832" s="14" t="n">
        <f aca="false">IF(I832="Unbilled",0,M832)</f>
        <v>0</v>
      </c>
      <c r="S832" s="9" t="n">
        <f aca="false">IF(R832=0,0,IF(O832="Booked",N832,R832*V831))</f>
        <v>0</v>
      </c>
      <c r="T832" s="14" t="n">
        <f aca="false">IF(I832="Opening",K832,T831+K832-R832)</f>
        <v>6480.13999999998</v>
      </c>
      <c r="U832" s="9" t="n">
        <f aca="false">IF(I832="Opening",L832,U831+L832-S832)</f>
        <v>253354555.493759</v>
      </c>
      <c r="V832" s="9" t="n">
        <f aca="false">IF(T832&gt;0,U832/T832,IF(I832="Opening",0,V831))</f>
        <v>39097.0805405068</v>
      </c>
      <c r="W832" s="14" t="n">
        <f aca="false">M832</f>
        <v>0</v>
      </c>
      <c r="X832" s="9" t="n">
        <f aca="false">IF(W832=0,0,IF(O832="Booked",N832,W832*AA831))</f>
        <v>0</v>
      </c>
      <c r="Y832" s="14" t="n">
        <f aca="false">IF(I832="Opening",K832,Y831+K832-W832)</f>
        <v>6480.13999999998</v>
      </c>
      <c r="Z832" s="9" t="n">
        <f aca="false">IF(I832="Opening",L832,Z831+L832-X832)</f>
        <v>253354555.493759</v>
      </c>
      <c r="AA832" s="9" t="n">
        <f aca="false">IF(Y832&gt;0,Z832/Y832,IF(I832="Opening",0,AA831))</f>
        <v>39097.0805405068</v>
      </c>
      <c r="AB832" s="9" t="n">
        <f aca="false">IF(AND(I832="DO",O832="MA"),S832-N832,0)</f>
        <v>0</v>
      </c>
      <c r="AC832" s="9" t="n">
        <f aca="false">IF(I832="DO",X832-S832,0)</f>
        <v>0</v>
      </c>
      <c r="AD832" s="23" t="n">
        <f aca="false">IF(B833&lt;&gt;B832,1,0)</f>
        <v>0</v>
      </c>
      <c r="AE832" s="14" t="n">
        <f aca="false">IF(I832="Opening",0,AE831+W832)</f>
        <v>71360.63</v>
      </c>
      <c r="AF832" s="14" t="n">
        <f aca="false">IF(I832="Opening",K832,AF831)</f>
        <v>25015.13</v>
      </c>
      <c r="AG832" s="14" t="n">
        <f aca="false">AG831</f>
        <v>39499.64</v>
      </c>
      <c r="AH832" s="14" t="n">
        <f aca="false">IF(W832=0,0,MAX(0,MIN(AE832,AF832)-MIN(AE832-W832,AF832)))</f>
        <v>0</v>
      </c>
      <c r="AI832" s="14" t="n">
        <f aca="false">IF(W832=0,0,MAX(0,MIN(AE832,AF832+AG832)-MAX(AE832-W832,AF832)))</f>
        <v>0</v>
      </c>
      <c r="AJ832" s="14" t="n">
        <f aca="false">W832-AH832-AI832</f>
        <v>0</v>
      </c>
      <c r="AK832" s="9" t="n">
        <f aca="false">IF(W832=0,0,X832*AH832/W832)</f>
        <v>0</v>
      </c>
      <c r="AL832" s="9" t="n">
        <f aca="false">IF(W832=0,0,X832*AI832/W832)</f>
        <v>0</v>
      </c>
      <c r="AM832" s="9" t="n">
        <f aca="false">X832-AK832-AL832</f>
        <v>0</v>
      </c>
    </row>
    <row r="833" customFormat="false" ht="15" hidden="false" customHeight="false" outlineLevel="0" collapsed="false">
      <c r="A833" s="6" t="n">
        <v>828</v>
      </c>
      <c r="B833" s="74" t="s">
        <v>1019</v>
      </c>
      <c r="C833" s="53" t="str">
        <f aca="false">INDEX(I_Items!$C$5:$C$133,MATCH($B833,I_Items!$A$5:$A$133,0))</f>
        <v>Trading</v>
      </c>
      <c r="D833" s="53" t="str">
        <f aca="false">INDEX(I_Items!$D$5:$D$133,MATCH($B833,I_Items!$A$5:$A$133,0))</f>
        <v>BLD</v>
      </c>
      <c r="E833" s="53" t="str">
        <f aca="false">INDEX(I_Items!$F$5:$F$133,MATCH($B833,I_Items!$A$5:$A$133,0))</f>
        <v>Frozen</v>
      </c>
      <c r="F833" s="53" t="str">
        <f aca="false">IF(INDEX(I_Items!$E$5:$E$133,MATCH($B833,I_Items!$A$5:$A$133,0))="","",INDEX(I_Items!$E$5:$E$133,MATCH($B833,I_Items!$A$5:$A$133,0)))</f>
        <v/>
      </c>
      <c r="G833" s="76" t="n">
        <v>46255</v>
      </c>
      <c r="H833" s="23" t="n">
        <f aca="false">MONTH(G833)</f>
        <v>8</v>
      </c>
      <c r="I833" s="74" t="s">
        <v>2075</v>
      </c>
      <c r="J833" s="74" t="s">
        <v>2275</v>
      </c>
      <c r="K833" s="10" t="n">
        <v>0</v>
      </c>
      <c r="L833" s="8" t="n">
        <v>0</v>
      </c>
      <c r="M833" s="10" t="n">
        <v>624.1</v>
      </c>
      <c r="N833" s="8" t="n">
        <v>24400488</v>
      </c>
      <c r="O833" s="74" t="s">
        <v>2077</v>
      </c>
      <c r="P833" s="74"/>
      <c r="Q833" s="74"/>
      <c r="R833" s="14" t="n">
        <f aca="false">IF(I833="Unbilled",0,M833)</f>
        <v>624.1</v>
      </c>
      <c r="S833" s="9" t="n">
        <f aca="false">IF(R833=0,0,IF(O833="Booked",N833,R833*V832))</f>
        <v>24400487.9653303</v>
      </c>
      <c r="T833" s="14" t="n">
        <f aca="false">IF(I833="Opening",K833,T832+K833-R833)</f>
        <v>5856.03999999998</v>
      </c>
      <c r="U833" s="9" t="n">
        <f aca="false">IF(I833="Opening",L833,U832+L833-S833)</f>
        <v>228954067.528429</v>
      </c>
      <c r="V833" s="9" t="n">
        <f aca="false">IF(T833&gt;0,U833/T833,IF(I833="Opening",0,V832))</f>
        <v>39097.0805405068</v>
      </c>
      <c r="W833" s="14" t="n">
        <f aca="false">M833</f>
        <v>624.1</v>
      </c>
      <c r="X833" s="9" t="n">
        <f aca="false">IF(W833=0,0,IF(O833="Booked",N833,W833*AA832))</f>
        <v>24400487.9653303</v>
      </c>
      <c r="Y833" s="14" t="n">
        <f aca="false">IF(I833="Opening",K833,Y832+K833-W833)</f>
        <v>5856.03999999998</v>
      </c>
      <c r="Z833" s="9" t="n">
        <f aca="false">IF(I833="Opening",L833,Z832+L833-X833)</f>
        <v>228954067.528429</v>
      </c>
      <c r="AA833" s="9" t="n">
        <f aca="false">IF(Y833&gt;0,Z833/Y833,IF(I833="Opening",0,AA832))</f>
        <v>39097.0805405068</v>
      </c>
      <c r="AB833" s="9" t="n">
        <f aca="false">IF(AND(I833="DO",O833="MA"),S833-N833,0)</f>
        <v>-0.0346697010099888</v>
      </c>
      <c r="AC833" s="9" t="n">
        <f aca="false">IF(I833="DO",X833-S833,0)</f>
        <v>0</v>
      </c>
      <c r="AD833" s="23" t="n">
        <f aca="false">IF(B834&lt;&gt;B833,1,0)</f>
        <v>0</v>
      </c>
      <c r="AE833" s="14" t="n">
        <f aca="false">IF(I833="Opening",0,AE832+W833)</f>
        <v>71984.73</v>
      </c>
      <c r="AF833" s="14" t="n">
        <f aca="false">IF(I833="Opening",K833,AF832)</f>
        <v>25015.13</v>
      </c>
      <c r="AG833" s="14" t="n">
        <f aca="false">AG832</f>
        <v>39499.64</v>
      </c>
      <c r="AH833" s="14" t="n">
        <f aca="false">IF(W833=0,0,MAX(0,MIN(AE833,AF833)-MIN(AE833-W833,AF833)))</f>
        <v>0</v>
      </c>
      <c r="AI833" s="14" t="n">
        <f aca="false">IF(W833=0,0,MAX(0,MIN(AE833,AF833+AG833)-MAX(AE833-W833,AF833)))</f>
        <v>0</v>
      </c>
      <c r="AJ833" s="14" t="n">
        <f aca="false">W833-AH833-AI833</f>
        <v>624.1</v>
      </c>
      <c r="AK833" s="9" t="n">
        <f aca="false">IF(W833=0,0,X833*AH833/W833)</f>
        <v>0</v>
      </c>
      <c r="AL833" s="9" t="n">
        <f aca="false">IF(W833=0,0,X833*AI833/W833)</f>
        <v>0</v>
      </c>
      <c r="AM833" s="9" t="n">
        <f aca="false">X833-AK833-AL833</f>
        <v>24400487.9653303</v>
      </c>
    </row>
    <row r="834" customFormat="false" ht="15" hidden="false" customHeight="false" outlineLevel="0" collapsed="false">
      <c r="A834" s="6" t="n">
        <v>829</v>
      </c>
      <c r="B834" s="74" t="s">
        <v>1019</v>
      </c>
      <c r="C834" s="53" t="str">
        <f aca="false">INDEX(I_Items!$C$5:$C$133,MATCH($B834,I_Items!$A$5:$A$133,0))</f>
        <v>Trading</v>
      </c>
      <c r="D834" s="53" t="str">
        <f aca="false">INDEX(I_Items!$D$5:$D$133,MATCH($B834,I_Items!$A$5:$A$133,0))</f>
        <v>BLD</v>
      </c>
      <c r="E834" s="53" t="str">
        <f aca="false">INDEX(I_Items!$F$5:$F$133,MATCH($B834,I_Items!$A$5:$A$133,0))</f>
        <v>Frozen</v>
      </c>
      <c r="F834" s="53" t="str">
        <f aca="false">IF(INDEX(I_Items!$E$5:$E$133,MATCH($B834,I_Items!$A$5:$A$133,0))="","",INDEX(I_Items!$E$5:$E$133,MATCH($B834,I_Items!$A$5:$A$133,0)))</f>
        <v/>
      </c>
      <c r="G834" s="76" t="n">
        <v>46260</v>
      </c>
      <c r="H834" s="23" t="n">
        <f aca="false">MONTH(G834)</f>
        <v>8</v>
      </c>
      <c r="I834" s="74" t="s">
        <v>2075</v>
      </c>
      <c r="J834" s="74" t="s">
        <v>2276</v>
      </c>
      <c r="K834" s="10" t="n">
        <v>0</v>
      </c>
      <c r="L834" s="8" t="n">
        <v>0</v>
      </c>
      <c r="M834" s="10" t="n">
        <v>1007.6</v>
      </c>
      <c r="N834" s="8" t="n">
        <v>39394218.41</v>
      </c>
      <c r="O834" s="74" t="s">
        <v>2077</v>
      </c>
      <c r="P834" s="74"/>
      <c r="Q834" s="74"/>
      <c r="R834" s="14" t="n">
        <f aca="false">IF(I834="Unbilled",0,M834)</f>
        <v>1007.6</v>
      </c>
      <c r="S834" s="9" t="n">
        <f aca="false">IF(R834=0,0,IF(O834="Booked",N834,R834*V833))</f>
        <v>39394218.3526147</v>
      </c>
      <c r="T834" s="14" t="n">
        <f aca="false">IF(I834="Opening",K834,T833+K834-R834)</f>
        <v>4848.43999999998</v>
      </c>
      <c r="U834" s="9" t="n">
        <f aca="false">IF(I834="Opening",L834,U833+L834-S834)</f>
        <v>189559849.175814</v>
      </c>
      <c r="V834" s="9" t="n">
        <f aca="false">IF(T834&gt;0,U834/T834,IF(I834="Opening",0,V833))</f>
        <v>39097.0805405068</v>
      </c>
      <c r="W834" s="14" t="n">
        <f aca="false">M834</f>
        <v>1007.6</v>
      </c>
      <c r="X834" s="9" t="n">
        <f aca="false">IF(W834=0,0,IF(O834="Booked",N834,W834*AA833))</f>
        <v>39394218.3526147</v>
      </c>
      <c r="Y834" s="14" t="n">
        <f aca="false">IF(I834="Opening",K834,Y833+K834-W834)</f>
        <v>4848.43999999998</v>
      </c>
      <c r="Z834" s="9" t="n">
        <f aca="false">IF(I834="Opening",L834,Z833+L834-X834)</f>
        <v>189559849.175814</v>
      </c>
      <c r="AA834" s="9" t="n">
        <f aca="false">IF(Y834&gt;0,Z834/Y834,IF(I834="Opening",0,AA833))</f>
        <v>39097.0805405068</v>
      </c>
      <c r="AB834" s="9" t="n">
        <f aca="false">IF(AND(I834="DO",O834="MA"),S834-N834,0)</f>
        <v>-0.0573853254318237</v>
      </c>
      <c r="AC834" s="9" t="n">
        <f aca="false">IF(I834="DO",X834-S834,0)</f>
        <v>0</v>
      </c>
      <c r="AD834" s="23" t="n">
        <f aca="false">IF(B835&lt;&gt;B834,1,0)</f>
        <v>0</v>
      </c>
      <c r="AE834" s="14" t="n">
        <f aca="false">IF(I834="Opening",0,AE833+W834)</f>
        <v>72992.33</v>
      </c>
      <c r="AF834" s="14" t="n">
        <f aca="false">IF(I834="Opening",K834,AF833)</f>
        <v>25015.13</v>
      </c>
      <c r="AG834" s="14" t="n">
        <f aca="false">AG833</f>
        <v>39499.64</v>
      </c>
      <c r="AH834" s="14" t="n">
        <f aca="false">IF(W834=0,0,MAX(0,MIN(AE834,AF834)-MIN(AE834-W834,AF834)))</f>
        <v>0</v>
      </c>
      <c r="AI834" s="14" t="n">
        <f aca="false">IF(W834=0,0,MAX(0,MIN(AE834,AF834+AG834)-MAX(AE834-W834,AF834)))</f>
        <v>0</v>
      </c>
      <c r="AJ834" s="14" t="n">
        <f aca="false">W834-AH834-AI834</f>
        <v>1007.6</v>
      </c>
      <c r="AK834" s="9" t="n">
        <f aca="false">IF(W834=0,0,X834*AH834/W834)</f>
        <v>0</v>
      </c>
      <c r="AL834" s="9" t="n">
        <f aca="false">IF(W834=0,0,X834*AI834/W834)</f>
        <v>0</v>
      </c>
      <c r="AM834" s="9" t="n">
        <f aca="false">X834-AK834-AL834</f>
        <v>39394218.3526147</v>
      </c>
    </row>
    <row r="835" customFormat="false" ht="15" hidden="false" customHeight="false" outlineLevel="0" collapsed="false">
      <c r="A835" s="6" t="n">
        <v>830</v>
      </c>
      <c r="B835" s="74" t="s">
        <v>1019</v>
      </c>
      <c r="C835" s="53" t="str">
        <f aca="false">INDEX(I_Items!$C$5:$C$133,MATCH($B835,I_Items!$A$5:$A$133,0))</f>
        <v>Trading</v>
      </c>
      <c r="D835" s="53" t="str">
        <f aca="false">INDEX(I_Items!$D$5:$D$133,MATCH($B835,I_Items!$A$5:$A$133,0))</f>
        <v>BLD</v>
      </c>
      <c r="E835" s="53" t="str">
        <f aca="false">INDEX(I_Items!$F$5:$F$133,MATCH($B835,I_Items!$A$5:$A$133,0))</f>
        <v>Frozen</v>
      </c>
      <c r="F835" s="53" t="str">
        <f aca="false">IF(INDEX(I_Items!$E$5:$E$133,MATCH($B835,I_Items!$A$5:$A$133,0))="","",INDEX(I_Items!$E$5:$E$133,MATCH($B835,I_Items!$A$5:$A$133,0)))</f>
        <v/>
      </c>
      <c r="G835" s="76" t="n">
        <v>46265</v>
      </c>
      <c r="H835" s="23" t="n">
        <f aca="false">MONTH(G835)</f>
        <v>8</v>
      </c>
      <c r="I835" s="74" t="s">
        <v>2075</v>
      </c>
      <c r="J835" s="74" t="s">
        <v>2277</v>
      </c>
      <c r="K835" s="10" t="n">
        <v>0</v>
      </c>
      <c r="L835" s="8" t="n">
        <v>0</v>
      </c>
      <c r="M835" s="10" t="n">
        <v>1979.8</v>
      </c>
      <c r="N835" s="8" t="n">
        <v>77404400.17</v>
      </c>
      <c r="O835" s="74" t="s">
        <v>2077</v>
      </c>
      <c r="P835" s="74"/>
      <c r="Q835" s="74"/>
      <c r="R835" s="14" t="n">
        <f aca="false">IF(I835="Unbilled",0,M835)</f>
        <v>1979.8</v>
      </c>
      <c r="S835" s="9" t="n">
        <f aca="false">IF(R835=0,0,IF(O835="Booked",N835,R835*V834))</f>
        <v>77404400.0540954</v>
      </c>
      <c r="T835" s="14" t="n">
        <f aca="false">IF(I835="Opening",K835,T834+K835-R835)</f>
        <v>2868.63999999998</v>
      </c>
      <c r="U835" s="9" t="n">
        <f aca="false">IF(I835="Opening",L835,U834+L835-S835)</f>
        <v>112155449.121719</v>
      </c>
      <c r="V835" s="9" t="n">
        <f aca="false">IF(T835&gt;0,U835/T835,IF(I835="Opening",0,V834))</f>
        <v>39097.0805405068</v>
      </c>
      <c r="W835" s="14" t="n">
        <f aca="false">M835</f>
        <v>1979.8</v>
      </c>
      <c r="X835" s="9" t="n">
        <f aca="false">IF(W835=0,0,IF(O835="Booked",N835,W835*AA834))</f>
        <v>77404400.0540954</v>
      </c>
      <c r="Y835" s="14" t="n">
        <f aca="false">IF(I835="Opening",K835,Y834+K835-W835)</f>
        <v>2868.63999999998</v>
      </c>
      <c r="Z835" s="9" t="n">
        <f aca="false">IF(I835="Opening",L835,Z834+L835-X835)</f>
        <v>112155449.121719</v>
      </c>
      <c r="AA835" s="9" t="n">
        <f aca="false">IF(Y835&gt;0,Z835/Y835,IF(I835="Opening",0,AA834))</f>
        <v>39097.0805405068</v>
      </c>
      <c r="AB835" s="9" t="n">
        <f aca="false">IF(AND(I835="DO",O835="MA"),S835-N835,0)</f>
        <v>-0.115904614329338</v>
      </c>
      <c r="AC835" s="9" t="n">
        <f aca="false">IF(I835="DO",X835-S835,0)</f>
        <v>0</v>
      </c>
      <c r="AD835" s="23" t="n">
        <f aca="false">IF(B836&lt;&gt;B835,1,0)</f>
        <v>1</v>
      </c>
      <c r="AE835" s="14" t="n">
        <f aca="false">IF(I835="Opening",0,AE834+W835)</f>
        <v>74972.13</v>
      </c>
      <c r="AF835" s="14" t="n">
        <f aca="false">IF(I835="Opening",K835,AF834)</f>
        <v>25015.13</v>
      </c>
      <c r="AG835" s="14" t="n">
        <f aca="false">AG834</f>
        <v>39499.64</v>
      </c>
      <c r="AH835" s="14" t="n">
        <f aca="false">IF(W835=0,0,MAX(0,MIN(AE835,AF835)-MIN(AE835-W835,AF835)))</f>
        <v>0</v>
      </c>
      <c r="AI835" s="14" t="n">
        <f aca="false">IF(W835=0,0,MAX(0,MIN(AE835,AF835+AG835)-MAX(AE835-W835,AF835)))</f>
        <v>0</v>
      </c>
      <c r="AJ835" s="14" t="n">
        <f aca="false">W835-AH835-AI835</f>
        <v>1979.8</v>
      </c>
      <c r="AK835" s="9" t="n">
        <f aca="false">IF(W835=0,0,X835*AH835/W835)</f>
        <v>0</v>
      </c>
      <c r="AL835" s="9" t="n">
        <f aca="false">IF(W835=0,0,X835*AI835/W835)</f>
        <v>0</v>
      </c>
      <c r="AM835" s="9" t="n">
        <f aca="false">X835-AK835-AL835</f>
        <v>77404400.0540954</v>
      </c>
    </row>
    <row r="836" customFormat="false" ht="15" hidden="false" customHeight="false" outlineLevel="0" collapsed="false">
      <c r="A836" s="6" t="n">
        <v>831</v>
      </c>
      <c r="B836" s="74" t="s">
        <v>1020</v>
      </c>
      <c r="C836" s="53" t="str">
        <f aca="false">INDEX(I_Items!$C$5:$C$133,MATCH($B836,I_Items!$A$5:$A$133,0))</f>
        <v>Trading</v>
      </c>
      <c r="D836" s="53" t="str">
        <f aca="false">INDEX(I_Items!$D$5:$D$133,MATCH($B836,I_Items!$A$5:$A$133,0))</f>
        <v>BLP</v>
      </c>
      <c r="E836" s="53" t="str">
        <f aca="false">INDEX(I_Items!$F$5:$F$133,MATCH($B836,I_Items!$A$5:$A$133,0))</f>
        <v>Frozen</v>
      </c>
      <c r="F836" s="53" t="str">
        <f aca="false">IF(INDEX(I_Items!$E$5:$E$133,MATCH($B836,I_Items!$A$5:$A$133,0))="","",INDEX(I_Items!$E$5:$E$133,MATCH($B836,I_Items!$A$5:$A$133,0)))</f>
        <v/>
      </c>
      <c r="G836" s="76" t="n">
        <v>46204</v>
      </c>
      <c r="H836" s="23" t="n">
        <f aca="false">MONTH(G836)</f>
        <v>7</v>
      </c>
      <c r="I836" s="74" t="s">
        <v>2072</v>
      </c>
      <c r="J836" s="74" t="s">
        <v>2073</v>
      </c>
      <c r="K836" s="10" t="n">
        <v>6477.78</v>
      </c>
      <c r="L836" s="8" t="n">
        <v>192753265</v>
      </c>
      <c r="M836" s="10" t="n">
        <v>0</v>
      </c>
      <c r="N836" s="8" t="n">
        <v>0</v>
      </c>
      <c r="O836" s="74"/>
      <c r="P836" s="74"/>
      <c r="Q836" s="74"/>
      <c r="R836" s="14" t="n">
        <f aca="false">IF(I836="Unbilled",0,M836)</f>
        <v>0</v>
      </c>
      <c r="S836" s="9" t="n">
        <f aca="false">IF(R836=0,0,IF(O836="Booked",N836,R836*V835))</f>
        <v>0</v>
      </c>
      <c r="T836" s="14" t="n">
        <f aca="false">IF(I836="Opening",K836,T835+K836-R836)</f>
        <v>6477.78</v>
      </c>
      <c r="U836" s="9" t="n">
        <f aca="false">IF(I836="Opening",L836,U835+L836-S836)</f>
        <v>192753265</v>
      </c>
      <c r="V836" s="9" t="n">
        <f aca="false">IF(T836&gt;0,U836/T836,IF(I836="Opening",0,V835))</f>
        <v>29756.0684370263</v>
      </c>
      <c r="W836" s="14" t="n">
        <f aca="false">M836</f>
        <v>0</v>
      </c>
      <c r="X836" s="9" t="n">
        <f aca="false">IF(W836=0,0,IF(O836="Booked",N836,W836*AA835))</f>
        <v>0</v>
      </c>
      <c r="Y836" s="14" t="n">
        <f aca="false">IF(I836="Opening",K836,Y835+K836-W836)</f>
        <v>6477.78</v>
      </c>
      <c r="Z836" s="9" t="n">
        <f aca="false">IF(I836="Opening",L836,Z835+L836-X836)</f>
        <v>192753265</v>
      </c>
      <c r="AA836" s="9" t="n">
        <f aca="false">IF(Y836&gt;0,Z836/Y836,IF(I836="Opening",0,AA835))</f>
        <v>29756.0684370263</v>
      </c>
      <c r="AB836" s="9" t="n">
        <f aca="false">IF(AND(I836="DO",O836="MA"),S836-N836,0)</f>
        <v>0</v>
      </c>
      <c r="AC836" s="9" t="n">
        <f aca="false">IF(I836="DO",X836-S836,0)</f>
        <v>0</v>
      </c>
      <c r="AD836" s="23" t="n">
        <f aca="false">IF(B837&lt;&gt;B836,1,0)</f>
        <v>0</v>
      </c>
      <c r="AE836" s="14" t="n">
        <f aca="false">IF(I836="Opening",0,AE835+W836)</f>
        <v>0</v>
      </c>
      <c r="AF836" s="14" t="n">
        <f aca="false">IF(I836="Opening",K836,AF835)</f>
        <v>6477.78</v>
      </c>
      <c r="AG836" s="14" t="n">
        <f aca="false">SUMIFS($K$6:$K$1110,$B$6:$B$1110,B836,$H$6:$H$1110,7,$I$6:$I$1110,"&lt;&gt;Opening")</f>
        <v>25917.77</v>
      </c>
      <c r="AH836" s="14" t="n">
        <f aca="false">IF(W836=0,0,MAX(0,MIN(AE836,AF836)-MIN(AE836-W836,AF836)))</f>
        <v>0</v>
      </c>
      <c r="AI836" s="14" t="n">
        <f aca="false">IF(W836=0,0,MAX(0,MIN(AE836,AF836+AG836)-MAX(AE836-W836,AF836)))</f>
        <v>0</v>
      </c>
      <c r="AJ836" s="14" t="n">
        <f aca="false">W836-AH836-AI836</f>
        <v>0</v>
      </c>
      <c r="AK836" s="9" t="n">
        <f aca="false">IF(W836=0,0,X836*AH836/W836)</f>
        <v>0</v>
      </c>
      <c r="AL836" s="9" t="n">
        <f aca="false">IF(W836=0,0,X836*AI836/W836)</f>
        <v>0</v>
      </c>
      <c r="AM836" s="9" t="n">
        <f aca="false">X836-AK836-AL836</f>
        <v>0</v>
      </c>
    </row>
    <row r="837" customFormat="false" ht="15" hidden="false" customHeight="false" outlineLevel="0" collapsed="false">
      <c r="A837" s="6" t="n">
        <v>832</v>
      </c>
      <c r="B837" s="74" t="s">
        <v>1020</v>
      </c>
      <c r="C837" s="53" t="str">
        <f aca="false">INDEX(I_Items!$C$5:$C$133,MATCH($B837,I_Items!$A$5:$A$133,0))</f>
        <v>Trading</v>
      </c>
      <c r="D837" s="53" t="str">
        <f aca="false">INDEX(I_Items!$D$5:$D$133,MATCH($B837,I_Items!$A$5:$A$133,0))</f>
        <v>BLP</v>
      </c>
      <c r="E837" s="53" t="str">
        <f aca="false">INDEX(I_Items!$F$5:$F$133,MATCH($B837,I_Items!$A$5:$A$133,0))</f>
        <v>Frozen</v>
      </c>
      <c r="F837" s="53" t="str">
        <f aca="false">IF(INDEX(I_Items!$E$5:$E$133,MATCH($B837,I_Items!$A$5:$A$133,0))="","",INDEX(I_Items!$E$5:$E$133,MATCH($B837,I_Items!$A$5:$A$133,0)))</f>
        <v/>
      </c>
      <c r="G837" s="76" t="n">
        <v>46204</v>
      </c>
      <c r="H837" s="23" t="n">
        <f aca="false">MONTH(G837)</f>
        <v>7</v>
      </c>
      <c r="I837" s="74" t="s">
        <v>2074</v>
      </c>
      <c r="J837" s="74" t="s">
        <v>2198</v>
      </c>
      <c r="K837" s="10" t="n">
        <v>792.5</v>
      </c>
      <c r="L837" s="8" t="n">
        <v>20208750</v>
      </c>
      <c r="M837" s="10" t="n">
        <v>0</v>
      </c>
      <c r="N837" s="8" t="n">
        <v>0</v>
      </c>
      <c r="O837" s="74"/>
      <c r="P837" s="74"/>
      <c r="Q837" s="74"/>
      <c r="R837" s="14" t="n">
        <f aca="false">IF(I837="Unbilled",0,M837)</f>
        <v>0</v>
      </c>
      <c r="S837" s="9" t="n">
        <f aca="false">IF(R837=0,0,IF(O837="Booked",N837,R837*V836))</f>
        <v>0</v>
      </c>
      <c r="T837" s="14" t="n">
        <f aca="false">IF(I837="Opening",K837,T836+K837-R837)</f>
        <v>7270.28</v>
      </c>
      <c r="U837" s="9" t="n">
        <f aca="false">IF(I837="Opening",L837,U836+L837-S837)</f>
        <v>212962015</v>
      </c>
      <c r="V837" s="9" t="n">
        <f aca="false">IF(T837&gt;0,U837/T837,IF(I837="Opening",0,V836))</f>
        <v>29292.1338655458</v>
      </c>
      <c r="W837" s="14" t="n">
        <f aca="false">M837</f>
        <v>0</v>
      </c>
      <c r="X837" s="9" t="n">
        <f aca="false">IF(W837=0,0,IF(O837="Booked",N837,W837*AA836))</f>
        <v>0</v>
      </c>
      <c r="Y837" s="14" t="n">
        <f aca="false">IF(I837="Opening",K837,Y836+K837-W837)</f>
        <v>7270.28</v>
      </c>
      <c r="Z837" s="9" t="n">
        <f aca="false">IF(I837="Opening",L837,Z836+L837-X837)</f>
        <v>212962015</v>
      </c>
      <c r="AA837" s="9" t="n">
        <f aca="false">IF(Y837&gt;0,Z837/Y837,IF(I837="Opening",0,AA836))</f>
        <v>29292.1338655458</v>
      </c>
      <c r="AB837" s="9" t="n">
        <f aca="false">IF(AND(I837="DO",O837="MA"),S837-N837,0)</f>
        <v>0</v>
      </c>
      <c r="AC837" s="9" t="n">
        <f aca="false">IF(I837="DO",X837-S837,0)</f>
        <v>0</v>
      </c>
      <c r="AD837" s="23" t="n">
        <f aca="false">IF(B838&lt;&gt;B837,1,0)</f>
        <v>0</v>
      </c>
      <c r="AE837" s="14" t="n">
        <f aca="false">IF(I837="Opening",0,AE836+W837)</f>
        <v>0</v>
      </c>
      <c r="AF837" s="14" t="n">
        <f aca="false">IF(I837="Opening",K837,AF836)</f>
        <v>6477.78</v>
      </c>
      <c r="AG837" s="14" t="n">
        <f aca="false">AG836</f>
        <v>25917.77</v>
      </c>
      <c r="AH837" s="14" t="n">
        <f aca="false">IF(W837=0,0,MAX(0,MIN(AE837,AF837)-MIN(AE837-W837,AF837)))</f>
        <v>0</v>
      </c>
      <c r="AI837" s="14" t="n">
        <f aca="false">IF(W837=0,0,MAX(0,MIN(AE837,AF837+AG837)-MAX(AE837-W837,AF837)))</f>
        <v>0</v>
      </c>
      <c r="AJ837" s="14" t="n">
        <f aca="false">W837-AH837-AI837</f>
        <v>0</v>
      </c>
      <c r="AK837" s="9" t="n">
        <f aca="false">IF(W837=0,0,X837*AH837/W837)</f>
        <v>0</v>
      </c>
      <c r="AL837" s="9" t="n">
        <f aca="false">IF(W837=0,0,X837*AI837/W837)</f>
        <v>0</v>
      </c>
      <c r="AM837" s="9" t="n">
        <f aca="false">X837-AK837-AL837</f>
        <v>0</v>
      </c>
    </row>
    <row r="838" customFormat="false" ht="15" hidden="false" customHeight="false" outlineLevel="0" collapsed="false">
      <c r="A838" s="6" t="n">
        <v>833</v>
      </c>
      <c r="B838" s="74" t="s">
        <v>1020</v>
      </c>
      <c r="C838" s="53" t="str">
        <f aca="false">INDEX(I_Items!$C$5:$C$133,MATCH($B838,I_Items!$A$5:$A$133,0))</f>
        <v>Trading</v>
      </c>
      <c r="D838" s="53" t="str">
        <f aca="false">INDEX(I_Items!$D$5:$D$133,MATCH($B838,I_Items!$A$5:$A$133,0))</f>
        <v>BLP</v>
      </c>
      <c r="E838" s="53" t="str">
        <f aca="false">INDEX(I_Items!$F$5:$F$133,MATCH($B838,I_Items!$A$5:$A$133,0))</f>
        <v>Frozen</v>
      </c>
      <c r="F838" s="53" t="str">
        <f aca="false">IF(INDEX(I_Items!$E$5:$E$133,MATCH($B838,I_Items!$A$5:$A$133,0))="","",INDEX(I_Items!$E$5:$E$133,MATCH($B838,I_Items!$A$5:$A$133,0)))</f>
        <v/>
      </c>
      <c r="G838" s="76" t="n">
        <v>46205</v>
      </c>
      <c r="H838" s="23" t="n">
        <f aca="false">MONTH(G838)</f>
        <v>7</v>
      </c>
      <c r="I838" s="74" t="s">
        <v>2074</v>
      </c>
      <c r="J838" s="74" t="s">
        <v>2200</v>
      </c>
      <c r="K838" s="10" t="n">
        <v>1961.54</v>
      </c>
      <c r="L838" s="8" t="n">
        <v>51000040</v>
      </c>
      <c r="M838" s="10" t="n">
        <v>0</v>
      </c>
      <c r="N838" s="8" t="n">
        <v>0</v>
      </c>
      <c r="O838" s="74"/>
      <c r="P838" s="74"/>
      <c r="Q838" s="74"/>
      <c r="R838" s="14" t="n">
        <f aca="false">IF(I838="Unbilled",0,M838)</f>
        <v>0</v>
      </c>
      <c r="S838" s="9" t="n">
        <f aca="false">IF(R838=0,0,IF(O838="Booked",N838,R838*V837))</f>
        <v>0</v>
      </c>
      <c r="T838" s="14" t="n">
        <f aca="false">IF(I838="Opening",K838,T837+K838-R838)</f>
        <v>9231.82</v>
      </c>
      <c r="U838" s="9" t="n">
        <f aca="false">IF(I838="Opening",L838,U837+L838-S838)</f>
        <v>263962055</v>
      </c>
      <c r="V838" s="9" t="n">
        <f aca="false">IF(T838&gt;0,U838/T838,IF(I838="Opening",0,V837))</f>
        <v>28592.6344967731</v>
      </c>
      <c r="W838" s="14" t="n">
        <f aca="false">M838</f>
        <v>0</v>
      </c>
      <c r="X838" s="9" t="n">
        <f aca="false">IF(W838=0,0,IF(O838="Booked",N838,W838*AA837))</f>
        <v>0</v>
      </c>
      <c r="Y838" s="14" t="n">
        <f aca="false">IF(I838="Opening",K838,Y837+K838-W838)</f>
        <v>9231.82</v>
      </c>
      <c r="Z838" s="9" t="n">
        <f aca="false">IF(I838="Opening",L838,Z837+L838-X838)</f>
        <v>263962055</v>
      </c>
      <c r="AA838" s="9" t="n">
        <f aca="false">IF(Y838&gt;0,Z838/Y838,IF(I838="Opening",0,AA837))</f>
        <v>28592.6344967731</v>
      </c>
      <c r="AB838" s="9" t="n">
        <f aca="false">IF(AND(I838="DO",O838="MA"),S838-N838,0)</f>
        <v>0</v>
      </c>
      <c r="AC838" s="9" t="n">
        <f aca="false">IF(I838="DO",X838-S838,0)</f>
        <v>0</v>
      </c>
      <c r="AD838" s="23" t="n">
        <f aca="false">IF(B839&lt;&gt;B838,1,0)</f>
        <v>0</v>
      </c>
      <c r="AE838" s="14" t="n">
        <f aca="false">IF(I838="Opening",0,AE837+W838)</f>
        <v>0</v>
      </c>
      <c r="AF838" s="14" t="n">
        <f aca="false">IF(I838="Opening",K838,AF837)</f>
        <v>6477.78</v>
      </c>
      <c r="AG838" s="14" t="n">
        <f aca="false">AG837</f>
        <v>25917.77</v>
      </c>
      <c r="AH838" s="14" t="n">
        <f aca="false">IF(W838=0,0,MAX(0,MIN(AE838,AF838)-MIN(AE838-W838,AF838)))</f>
        <v>0</v>
      </c>
      <c r="AI838" s="14" t="n">
        <f aca="false">IF(W838=0,0,MAX(0,MIN(AE838,AF838+AG838)-MAX(AE838-W838,AF838)))</f>
        <v>0</v>
      </c>
      <c r="AJ838" s="14" t="n">
        <f aca="false">W838-AH838-AI838</f>
        <v>0</v>
      </c>
      <c r="AK838" s="9" t="n">
        <f aca="false">IF(W838=0,0,X838*AH838/W838)</f>
        <v>0</v>
      </c>
      <c r="AL838" s="9" t="n">
        <f aca="false">IF(W838=0,0,X838*AI838/W838)</f>
        <v>0</v>
      </c>
      <c r="AM838" s="9" t="n">
        <f aca="false">X838-AK838-AL838</f>
        <v>0</v>
      </c>
    </row>
    <row r="839" customFormat="false" ht="15" hidden="false" customHeight="false" outlineLevel="0" collapsed="false">
      <c r="A839" s="6" t="n">
        <v>834</v>
      </c>
      <c r="B839" s="74" t="s">
        <v>1020</v>
      </c>
      <c r="C839" s="53" t="str">
        <f aca="false">INDEX(I_Items!$C$5:$C$133,MATCH($B839,I_Items!$A$5:$A$133,0))</f>
        <v>Trading</v>
      </c>
      <c r="D839" s="53" t="str">
        <f aca="false">INDEX(I_Items!$D$5:$D$133,MATCH($B839,I_Items!$A$5:$A$133,0))</f>
        <v>BLP</v>
      </c>
      <c r="E839" s="53" t="str">
        <f aca="false">INDEX(I_Items!$F$5:$F$133,MATCH($B839,I_Items!$A$5:$A$133,0))</f>
        <v>Frozen</v>
      </c>
      <c r="F839" s="53" t="str">
        <f aca="false">IF(INDEX(I_Items!$E$5:$E$133,MATCH($B839,I_Items!$A$5:$A$133,0))="","",INDEX(I_Items!$E$5:$E$133,MATCH($B839,I_Items!$A$5:$A$133,0)))</f>
        <v/>
      </c>
      <c r="G839" s="76" t="n">
        <v>46205</v>
      </c>
      <c r="H839" s="23" t="n">
        <f aca="false">MONTH(G839)</f>
        <v>7</v>
      </c>
      <c r="I839" s="74" t="s">
        <v>2075</v>
      </c>
      <c r="J839" s="74" t="s">
        <v>2201</v>
      </c>
      <c r="K839" s="10" t="n">
        <v>0</v>
      </c>
      <c r="L839" s="8" t="n">
        <v>0</v>
      </c>
      <c r="M839" s="10" t="n">
        <v>791.5</v>
      </c>
      <c r="N839" s="8" t="n">
        <v>22631070.13</v>
      </c>
      <c r="O839" s="74" t="s">
        <v>2077</v>
      </c>
      <c r="P839" s="74"/>
      <c r="Q839" s="74"/>
      <c r="R839" s="14" t="n">
        <f aca="false">IF(I839="Unbilled",0,M839)</f>
        <v>791.5</v>
      </c>
      <c r="S839" s="9" t="n">
        <f aca="false">IF(R839=0,0,IF(O839="Booked",N839,R839*V838))</f>
        <v>22631070.2041959</v>
      </c>
      <c r="T839" s="14" t="n">
        <f aca="false">IF(I839="Opening",K839,T838+K839-R839)</f>
        <v>8440.32</v>
      </c>
      <c r="U839" s="9" t="n">
        <f aca="false">IF(I839="Opening",L839,U838+L839-S839)</f>
        <v>241330984.795804</v>
      </c>
      <c r="V839" s="9" t="n">
        <f aca="false">IF(T839&gt;0,U839/T839,IF(I839="Opening",0,V838))</f>
        <v>28592.6344967731</v>
      </c>
      <c r="W839" s="14" t="n">
        <f aca="false">M839</f>
        <v>791.5</v>
      </c>
      <c r="X839" s="9" t="n">
        <f aca="false">IF(W839=0,0,IF(O839="Booked",N839,W839*AA838))</f>
        <v>22631070.2041959</v>
      </c>
      <c r="Y839" s="14" t="n">
        <f aca="false">IF(I839="Opening",K839,Y838+K839-W839)</f>
        <v>8440.32</v>
      </c>
      <c r="Z839" s="9" t="n">
        <f aca="false">IF(I839="Opening",L839,Z838+L839-X839)</f>
        <v>241330984.795804</v>
      </c>
      <c r="AA839" s="9" t="n">
        <f aca="false">IF(Y839&gt;0,Z839/Y839,IF(I839="Opening",0,AA838))</f>
        <v>28592.6344967731</v>
      </c>
      <c r="AB839" s="9" t="n">
        <f aca="false">IF(AND(I839="DO",O839="MA"),S839-N839,0)</f>
        <v>0.074195921421051</v>
      </c>
      <c r="AC839" s="9" t="n">
        <f aca="false">IF(I839="DO",X839-S839,0)</f>
        <v>0</v>
      </c>
      <c r="AD839" s="23" t="n">
        <f aca="false">IF(B840&lt;&gt;B839,1,0)</f>
        <v>0</v>
      </c>
      <c r="AE839" s="14" t="n">
        <f aca="false">IF(I839="Opening",0,AE838+W839)</f>
        <v>791.5</v>
      </c>
      <c r="AF839" s="14" t="n">
        <f aca="false">IF(I839="Opening",K839,AF838)</f>
        <v>6477.78</v>
      </c>
      <c r="AG839" s="14" t="n">
        <f aca="false">AG838</f>
        <v>25917.77</v>
      </c>
      <c r="AH839" s="14" t="n">
        <f aca="false">IF(W839=0,0,MAX(0,MIN(AE839,AF839)-MIN(AE839-W839,AF839)))</f>
        <v>791.5</v>
      </c>
      <c r="AI839" s="14" t="n">
        <f aca="false">IF(W839=0,0,MAX(0,MIN(AE839,AF839+AG839)-MAX(AE839-W839,AF839)))</f>
        <v>0</v>
      </c>
      <c r="AJ839" s="14" t="n">
        <f aca="false">W839-AH839-AI839</f>
        <v>0</v>
      </c>
      <c r="AK839" s="9" t="n">
        <f aca="false">IF(W839=0,0,X839*AH839/W839)</f>
        <v>22631070.2041959</v>
      </c>
      <c r="AL839" s="9" t="n">
        <f aca="false">IF(W839=0,0,X839*AI839/W839)</f>
        <v>0</v>
      </c>
      <c r="AM839" s="9" t="n">
        <f aca="false">X839-AK839-AL839</f>
        <v>0</v>
      </c>
    </row>
    <row r="840" customFormat="false" ht="15" hidden="false" customHeight="false" outlineLevel="0" collapsed="false">
      <c r="A840" s="6" t="n">
        <v>835</v>
      </c>
      <c r="B840" s="74" t="s">
        <v>1020</v>
      </c>
      <c r="C840" s="53" t="str">
        <f aca="false">INDEX(I_Items!$C$5:$C$133,MATCH($B840,I_Items!$A$5:$A$133,0))</f>
        <v>Trading</v>
      </c>
      <c r="D840" s="53" t="str">
        <f aca="false">INDEX(I_Items!$D$5:$D$133,MATCH($B840,I_Items!$A$5:$A$133,0))</f>
        <v>BLP</v>
      </c>
      <c r="E840" s="53" t="str">
        <f aca="false">INDEX(I_Items!$F$5:$F$133,MATCH($B840,I_Items!$A$5:$A$133,0))</f>
        <v>Frozen</v>
      </c>
      <c r="F840" s="53" t="str">
        <f aca="false">IF(INDEX(I_Items!$E$5:$E$133,MATCH($B840,I_Items!$A$5:$A$133,0))="","",INDEX(I_Items!$E$5:$E$133,MATCH($B840,I_Items!$A$5:$A$133,0)))</f>
        <v/>
      </c>
      <c r="G840" s="76" t="n">
        <v>46206</v>
      </c>
      <c r="H840" s="23" t="n">
        <f aca="false">MONTH(G840)</f>
        <v>7</v>
      </c>
      <c r="I840" s="74" t="s">
        <v>2074</v>
      </c>
      <c r="J840" s="74" t="s">
        <v>2202</v>
      </c>
      <c r="K840" s="10" t="n">
        <v>3884.87</v>
      </c>
      <c r="L840" s="8" t="n">
        <v>101006620</v>
      </c>
      <c r="M840" s="10" t="n">
        <v>0</v>
      </c>
      <c r="N840" s="8" t="n">
        <v>0</v>
      </c>
      <c r="O840" s="74"/>
      <c r="P840" s="74"/>
      <c r="Q840" s="74"/>
      <c r="R840" s="14" t="n">
        <f aca="false">IF(I840="Unbilled",0,M840)</f>
        <v>0</v>
      </c>
      <c r="S840" s="9" t="n">
        <f aca="false">IF(R840=0,0,IF(O840="Booked",N840,R840*V839))</f>
        <v>0</v>
      </c>
      <c r="T840" s="14" t="n">
        <f aca="false">IF(I840="Opening",K840,T839+K840-R840)</f>
        <v>12325.19</v>
      </c>
      <c r="U840" s="9" t="n">
        <f aca="false">IF(I840="Opening",L840,U839+L840-S840)</f>
        <v>342337604.795804</v>
      </c>
      <c r="V840" s="9" t="n">
        <f aca="false">IF(T840&gt;0,U840/T840,IF(I840="Opening",0,V839))</f>
        <v>27775.4423904057</v>
      </c>
      <c r="W840" s="14" t="n">
        <f aca="false">M840</f>
        <v>0</v>
      </c>
      <c r="X840" s="9" t="n">
        <f aca="false">IF(W840=0,0,IF(O840="Booked",N840,W840*AA839))</f>
        <v>0</v>
      </c>
      <c r="Y840" s="14" t="n">
        <f aca="false">IF(I840="Opening",K840,Y839+K840-W840)</f>
        <v>12325.19</v>
      </c>
      <c r="Z840" s="9" t="n">
        <f aca="false">IF(I840="Opening",L840,Z839+L840-X840)</f>
        <v>342337604.795804</v>
      </c>
      <c r="AA840" s="9" t="n">
        <f aca="false">IF(Y840&gt;0,Z840/Y840,IF(I840="Opening",0,AA839))</f>
        <v>27775.4423904057</v>
      </c>
      <c r="AB840" s="9" t="n">
        <f aca="false">IF(AND(I840="DO",O840="MA"),S840-N840,0)</f>
        <v>0</v>
      </c>
      <c r="AC840" s="9" t="n">
        <f aca="false">IF(I840="DO",X840-S840,0)</f>
        <v>0</v>
      </c>
      <c r="AD840" s="23" t="n">
        <f aca="false">IF(B841&lt;&gt;B840,1,0)</f>
        <v>0</v>
      </c>
      <c r="AE840" s="14" t="n">
        <f aca="false">IF(I840="Opening",0,AE839+W840)</f>
        <v>791.5</v>
      </c>
      <c r="AF840" s="14" t="n">
        <f aca="false">IF(I840="Opening",K840,AF839)</f>
        <v>6477.78</v>
      </c>
      <c r="AG840" s="14" t="n">
        <f aca="false">AG839</f>
        <v>25917.77</v>
      </c>
      <c r="AH840" s="14" t="n">
        <f aca="false">IF(W840=0,0,MAX(0,MIN(AE840,AF840)-MIN(AE840-W840,AF840)))</f>
        <v>0</v>
      </c>
      <c r="AI840" s="14" t="n">
        <f aca="false">IF(W840=0,0,MAX(0,MIN(AE840,AF840+AG840)-MAX(AE840-W840,AF840)))</f>
        <v>0</v>
      </c>
      <c r="AJ840" s="14" t="n">
        <f aca="false">W840-AH840-AI840</f>
        <v>0</v>
      </c>
      <c r="AK840" s="9" t="n">
        <f aca="false">IF(W840=0,0,X840*AH840/W840)</f>
        <v>0</v>
      </c>
      <c r="AL840" s="9" t="n">
        <f aca="false">IF(W840=0,0,X840*AI840/W840)</f>
        <v>0</v>
      </c>
      <c r="AM840" s="9" t="n">
        <f aca="false">X840-AK840-AL840</f>
        <v>0</v>
      </c>
    </row>
    <row r="841" customFormat="false" ht="15" hidden="false" customHeight="false" outlineLevel="0" collapsed="false">
      <c r="A841" s="6" t="n">
        <v>836</v>
      </c>
      <c r="B841" s="74" t="s">
        <v>1020</v>
      </c>
      <c r="C841" s="53" t="str">
        <f aca="false">INDEX(I_Items!$C$5:$C$133,MATCH($B841,I_Items!$A$5:$A$133,0))</f>
        <v>Trading</v>
      </c>
      <c r="D841" s="53" t="str">
        <f aca="false">INDEX(I_Items!$D$5:$D$133,MATCH($B841,I_Items!$A$5:$A$133,0))</f>
        <v>BLP</v>
      </c>
      <c r="E841" s="53" t="str">
        <f aca="false">INDEX(I_Items!$F$5:$F$133,MATCH($B841,I_Items!$A$5:$A$133,0))</f>
        <v>Frozen</v>
      </c>
      <c r="F841" s="53" t="str">
        <f aca="false">IF(INDEX(I_Items!$E$5:$E$133,MATCH($B841,I_Items!$A$5:$A$133,0))="","",INDEX(I_Items!$E$5:$E$133,MATCH($B841,I_Items!$A$5:$A$133,0)))</f>
        <v/>
      </c>
      <c r="G841" s="76" t="n">
        <v>46206</v>
      </c>
      <c r="H841" s="23" t="n">
        <f aca="false">MONTH(G841)</f>
        <v>7</v>
      </c>
      <c r="I841" s="74" t="s">
        <v>2074</v>
      </c>
      <c r="J841" s="74" t="s">
        <v>2194</v>
      </c>
      <c r="K841" s="10" t="n">
        <v>283.2</v>
      </c>
      <c r="L841" s="8" t="n">
        <v>7221600</v>
      </c>
      <c r="M841" s="10" t="n">
        <v>0</v>
      </c>
      <c r="N841" s="8" t="n">
        <v>0</v>
      </c>
      <c r="O841" s="74"/>
      <c r="P841" s="74"/>
      <c r="Q841" s="74"/>
      <c r="R841" s="14" t="n">
        <f aca="false">IF(I841="Unbilled",0,M841)</f>
        <v>0</v>
      </c>
      <c r="S841" s="9" t="n">
        <f aca="false">IF(R841=0,0,IF(O841="Booked",N841,R841*V840))</f>
        <v>0</v>
      </c>
      <c r="T841" s="14" t="n">
        <f aca="false">IF(I841="Opening",K841,T840+K841-R841)</f>
        <v>12608.39</v>
      </c>
      <c r="U841" s="9" t="n">
        <f aca="false">IF(I841="Opening",L841,U840+L841-S841)</f>
        <v>349559204.795804</v>
      </c>
      <c r="V841" s="9" t="n">
        <f aca="false">IF(T841&gt;0,U841/T841,IF(I841="Opening",0,V840))</f>
        <v>27724.333146088</v>
      </c>
      <c r="W841" s="14" t="n">
        <f aca="false">M841</f>
        <v>0</v>
      </c>
      <c r="X841" s="9" t="n">
        <f aca="false">IF(W841=0,0,IF(O841="Booked",N841,W841*AA840))</f>
        <v>0</v>
      </c>
      <c r="Y841" s="14" t="n">
        <f aca="false">IF(I841="Opening",K841,Y840+K841-W841)</f>
        <v>12608.39</v>
      </c>
      <c r="Z841" s="9" t="n">
        <f aca="false">IF(I841="Opening",L841,Z840+L841-X841)</f>
        <v>349559204.795804</v>
      </c>
      <c r="AA841" s="9" t="n">
        <f aca="false">IF(Y841&gt;0,Z841/Y841,IF(I841="Opening",0,AA840))</f>
        <v>27724.333146088</v>
      </c>
      <c r="AB841" s="9" t="n">
        <f aca="false">IF(AND(I841="DO",O841="MA"),S841-N841,0)</f>
        <v>0</v>
      </c>
      <c r="AC841" s="9" t="n">
        <f aca="false">IF(I841="DO",X841-S841,0)</f>
        <v>0</v>
      </c>
      <c r="AD841" s="23" t="n">
        <f aca="false">IF(B842&lt;&gt;B841,1,0)</f>
        <v>0</v>
      </c>
      <c r="AE841" s="14" t="n">
        <f aca="false">IF(I841="Opening",0,AE840+W841)</f>
        <v>791.5</v>
      </c>
      <c r="AF841" s="14" t="n">
        <f aca="false">IF(I841="Opening",K841,AF840)</f>
        <v>6477.78</v>
      </c>
      <c r="AG841" s="14" t="n">
        <f aca="false">AG840</f>
        <v>25917.77</v>
      </c>
      <c r="AH841" s="14" t="n">
        <f aca="false">IF(W841=0,0,MAX(0,MIN(AE841,AF841)-MIN(AE841-W841,AF841)))</f>
        <v>0</v>
      </c>
      <c r="AI841" s="14" t="n">
        <f aca="false">IF(W841=0,0,MAX(0,MIN(AE841,AF841+AG841)-MAX(AE841-W841,AF841)))</f>
        <v>0</v>
      </c>
      <c r="AJ841" s="14" t="n">
        <f aca="false">W841-AH841-AI841</f>
        <v>0</v>
      </c>
      <c r="AK841" s="9" t="n">
        <f aca="false">IF(W841=0,0,X841*AH841/W841)</f>
        <v>0</v>
      </c>
      <c r="AL841" s="9" t="n">
        <f aca="false">IF(W841=0,0,X841*AI841/W841)</f>
        <v>0</v>
      </c>
      <c r="AM841" s="9" t="n">
        <f aca="false">X841-AK841-AL841</f>
        <v>0</v>
      </c>
    </row>
    <row r="842" customFormat="false" ht="15" hidden="false" customHeight="false" outlineLevel="0" collapsed="false">
      <c r="A842" s="6" t="n">
        <v>837</v>
      </c>
      <c r="B842" s="74" t="s">
        <v>1020</v>
      </c>
      <c r="C842" s="53" t="str">
        <f aca="false">INDEX(I_Items!$C$5:$C$133,MATCH($B842,I_Items!$A$5:$A$133,0))</f>
        <v>Trading</v>
      </c>
      <c r="D842" s="53" t="str">
        <f aca="false">INDEX(I_Items!$D$5:$D$133,MATCH($B842,I_Items!$A$5:$A$133,0))</f>
        <v>BLP</v>
      </c>
      <c r="E842" s="53" t="str">
        <f aca="false">INDEX(I_Items!$F$5:$F$133,MATCH($B842,I_Items!$A$5:$A$133,0))</f>
        <v>Frozen</v>
      </c>
      <c r="F842" s="53" t="str">
        <f aca="false">IF(INDEX(I_Items!$E$5:$E$133,MATCH($B842,I_Items!$A$5:$A$133,0))="","",INDEX(I_Items!$E$5:$E$133,MATCH($B842,I_Items!$A$5:$A$133,0)))</f>
        <v/>
      </c>
      <c r="G842" s="76" t="n">
        <v>46207</v>
      </c>
      <c r="H842" s="23" t="n">
        <f aca="false">MONTH(G842)</f>
        <v>7</v>
      </c>
      <c r="I842" s="74" t="s">
        <v>2075</v>
      </c>
      <c r="J842" s="74" t="s">
        <v>2278</v>
      </c>
      <c r="K842" s="10" t="n">
        <v>0</v>
      </c>
      <c r="L842" s="8" t="n">
        <v>0</v>
      </c>
      <c r="M842" s="10" t="n">
        <v>5112.3</v>
      </c>
      <c r="N842" s="8" t="n">
        <v>141735108.11</v>
      </c>
      <c r="O842" s="74" t="s">
        <v>2077</v>
      </c>
      <c r="P842" s="74"/>
      <c r="Q842" s="74"/>
      <c r="R842" s="14" t="n">
        <f aca="false">IF(I842="Unbilled",0,M842)</f>
        <v>5112.3</v>
      </c>
      <c r="S842" s="9" t="n">
        <f aca="false">IF(R842=0,0,IF(O842="Booked",N842,R842*V841))</f>
        <v>141735108.342746</v>
      </c>
      <c r="T842" s="14" t="n">
        <f aca="false">IF(I842="Opening",K842,T841+K842-R842)</f>
        <v>7496.09</v>
      </c>
      <c r="U842" s="9" t="n">
        <f aca="false">IF(I842="Opening",L842,U841+L842-S842)</f>
        <v>207824096.453059</v>
      </c>
      <c r="V842" s="9" t="n">
        <f aca="false">IF(T842&gt;0,U842/T842,IF(I842="Opening",0,V841))</f>
        <v>27724.333146088</v>
      </c>
      <c r="W842" s="14" t="n">
        <f aca="false">M842</f>
        <v>5112.3</v>
      </c>
      <c r="X842" s="9" t="n">
        <f aca="false">IF(W842=0,0,IF(O842="Booked",N842,W842*AA841))</f>
        <v>141735108.342746</v>
      </c>
      <c r="Y842" s="14" t="n">
        <f aca="false">IF(I842="Opening",K842,Y841+K842-W842)</f>
        <v>7496.09</v>
      </c>
      <c r="Z842" s="9" t="n">
        <f aca="false">IF(I842="Opening",L842,Z841+L842-X842)</f>
        <v>207824096.453059</v>
      </c>
      <c r="AA842" s="9" t="n">
        <f aca="false">IF(Y842&gt;0,Z842/Y842,IF(I842="Opening",0,AA841))</f>
        <v>27724.333146088</v>
      </c>
      <c r="AB842" s="9" t="n">
        <f aca="false">IF(AND(I842="DO",O842="MA"),S842-N842,0)</f>
        <v>0.23274552822113</v>
      </c>
      <c r="AC842" s="9" t="n">
        <f aca="false">IF(I842="DO",X842-S842,0)</f>
        <v>0</v>
      </c>
      <c r="AD842" s="23" t="n">
        <f aca="false">IF(B843&lt;&gt;B842,1,0)</f>
        <v>0</v>
      </c>
      <c r="AE842" s="14" t="n">
        <f aca="false">IF(I842="Opening",0,AE841+W842)</f>
        <v>5903.8</v>
      </c>
      <c r="AF842" s="14" t="n">
        <f aca="false">IF(I842="Opening",K842,AF841)</f>
        <v>6477.78</v>
      </c>
      <c r="AG842" s="14" t="n">
        <f aca="false">AG841</f>
        <v>25917.77</v>
      </c>
      <c r="AH842" s="14" t="n">
        <f aca="false">IF(W842=0,0,MAX(0,MIN(AE842,AF842)-MIN(AE842-W842,AF842)))</f>
        <v>5112.3</v>
      </c>
      <c r="AI842" s="14" t="n">
        <f aca="false">IF(W842=0,0,MAX(0,MIN(AE842,AF842+AG842)-MAX(AE842-W842,AF842)))</f>
        <v>0</v>
      </c>
      <c r="AJ842" s="14" t="n">
        <f aca="false">W842-AH842-AI842</f>
        <v>0</v>
      </c>
      <c r="AK842" s="9" t="n">
        <f aca="false">IF(W842=0,0,X842*AH842/W842)</f>
        <v>141735108.342746</v>
      </c>
      <c r="AL842" s="9" t="n">
        <f aca="false">IF(W842=0,0,X842*AI842/W842)</f>
        <v>0</v>
      </c>
      <c r="AM842" s="9" t="n">
        <f aca="false">X842-AK842-AL842</f>
        <v>0</v>
      </c>
    </row>
    <row r="843" customFormat="false" ht="15" hidden="false" customHeight="false" outlineLevel="0" collapsed="false">
      <c r="A843" s="6" t="n">
        <v>838</v>
      </c>
      <c r="B843" s="74" t="s">
        <v>1020</v>
      </c>
      <c r="C843" s="53" t="str">
        <f aca="false">INDEX(I_Items!$C$5:$C$133,MATCH($B843,I_Items!$A$5:$A$133,0))</f>
        <v>Trading</v>
      </c>
      <c r="D843" s="53" t="str">
        <f aca="false">INDEX(I_Items!$D$5:$D$133,MATCH($B843,I_Items!$A$5:$A$133,0))</f>
        <v>BLP</v>
      </c>
      <c r="E843" s="53" t="str">
        <f aca="false">INDEX(I_Items!$F$5:$F$133,MATCH($B843,I_Items!$A$5:$A$133,0))</f>
        <v>Frozen</v>
      </c>
      <c r="F843" s="53" t="str">
        <f aca="false">IF(INDEX(I_Items!$E$5:$E$133,MATCH($B843,I_Items!$A$5:$A$133,0))="","",INDEX(I_Items!$E$5:$E$133,MATCH($B843,I_Items!$A$5:$A$133,0)))</f>
        <v/>
      </c>
      <c r="G843" s="76" t="n">
        <v>46207</v>
      </c>
      <c r="H843" s="23" t="n">
        <f aca="false">MONTH(G843)</f>
        <v>7</v>
      </c>
      <c r="I843" s="74" t="s">
        <v>2074</v>
      </c>
      <c r="J843" s="74" t="s">
        <v>2203</v>
      </c>
      <c r="K843" s="10" t="n">
        <v>2003.88</v>
      </c>
      <c r="L843" s="8" t="n">
        <v>65126100</v>
      </c>
      <c r="M843" s="10" t="n">
        <v>0</v>
      </c>
      <c r="N843" s="8" t="n">
        <v>0</v>
      </c>
      <c r="O843" s="74"/>
      <c r="P843" s="74"/>
      <c r="Q843" s="74"/>
      <c r="R843" s="14" t="n">
        <f aca="false">IF(I843="Unbilled",0,M843)</f>
        <v>0</v>
      </c>
      <c r="S843" s="9" t="n">
        <f aca="false">IF(R843=0,0,IF(O843="Booked",N843,R843*V842))</f>
        <v>0</v>
      </c>
      <c r="T843" s="14" t="n">
        <f aca="false">IF(I843="Opening",K843,T842+K843-R843)</f>
        <v>9499.97</v>
      </c>
      <c r="U843" s="9" t="n">
        <f aca="false">IF(I843="Opening",L843,U842+L843-S843)</f>
        <v>272950196.453059</v>
      </c>
      <c r="V843" s="9" t="n">
        <f aca="false">IF(T843&gt;0,U843/T843,IF(I843="Opening",0,V842))</f>
        <v>28731.6903582915</v>
      </c>
      <c r="W843" s="14" t="n">
        <f aca="false">M843</f>
        <v>0</v>
      </c>
      <c r="X843" s="9" t="n">
        <f aca="false">IF(W843=0,0,IF(O843="Booked",N843,W843*AA842))</f>
        <v>0</v>
      </c>
      <c r="Y843" s="14" t="n">
        <f aca="false">IF(I843="Opening",K843,Y842+K843-W843)</f>
        <v>9499.97</v>
      </c>
      <c r="Z843" s="9" t="n">
        <f aca="false">IF(I843="Opening",L843,Z842+L843-X843)</f>
        <v>272950196.453059</v>
      </c>
      <c r="AA843" s="9" t="n">
        <f aca="false">IF(Y843&gt;0,Z843/Y843,IF(I843="Opening",0,AA842))</f>
        <v>28731.6903582915</v>
      </c>
      <c r="AB843" s="9" t="n">
        <f aca="false">IF(AND(I843="DO",O843="MA"),S843-N843,0)</f>
        <v>0</v>
      </c>
      <c r="AC843" s="9" t="n">
        <f aca="false">IF(I843="DO",X843-S843,0)</f>
        <v>0</v>
      </c>
      <c r="AD843" s="23" t="n">
        <f aca="false">IF(B844&lt;&gt;B843,1,0)</f>
        <v>0</v>
      </c>
      <c r="AE843" s="14" t="n">
        <f aca="false">IF(I843="Opening",0,AE842+W843)</f>
        <v>5903.8</v>
      </c>
      <c r="AF843" s="14" t="n">
        <f aca="false">IF(I843="Opening",K843,AF842)</f>
        <v>6477.78</v>
      </c>
      <c r="AG843" s="14" t="n">
        <f aca="false">AG842</f>
        <v>25917.77</v>
      </c>
      <c r="AH843" s="14" t="n">
        <f aca="false">IF(W843=0,0,MAX(0,MIN(AE843,AF843)-MIN(AE843-W843,AF843)))</f>
        <v>0</v>
      </c>
      <c r="AI843" s="14" t="n">
        <f aca="false">IF(W843=0,0,MAX(0,MIN(AE843,AF843+AG843)-MAX(AE843-W843,AF843)))</f>
        <v>0</v>
      </c>
      <c r="AJ843" s="14" t="n">
        <f aca="false">W843-AH843-AI843</f>
        <v>0</v>
      </c>
      <c r="AK843" s="9" t="n">
        <f aca="false">IF(W843=0,0,X843*AH843/W843)</f>
        <v>0</v>
      </c>
      <c r="AL843" s="9" t="n">
        <f aca="false">IF(W843=0,0,X843*AI843/W843)</f>
        <v>0</v>
      </c>
      <c r="AM843" s="9" t="n">
        <f aca="false">X843-AK843-AL843</f>
        <v>0</v>
      </c>
    </row>
    <row r="844" customFormat="false" ht="15" hidden="false" customHeight="false" outlineLevel="0" collapsed="false">
      <c r="A844" s="6" t="n">
        <v>839</v>
      </c>
      <c r="B844" s="74" t="s">
        <v>1020</v>
      </c>
      <c r="C844" s="53" t="str">
        <f aca="false">INDEX(I_Items!$C$5:$C$133,MATCH($B844,I_Items!$A$5:$A$133,0))</f>
        <v>Trading</v>
      </c>
      <c r="D844" s="53" t="str">
        <f aca="false">INDEX(I_Items!$D$5:$D$133,MATCH($B844,I_Items!$A$5:$A$133,0))</f>
        <v>BLP</v>
      </c>
      <c r="E844" s="53" t="str">
        <f aca="false">INDEX(I_Items!$F$5:$F$133,MATCH($B844,I_Items!$A$5:$A$133,0))</f>
        <v>Frozen</v>
      </c>
      <c r="F844" s="53" t="str">
        <f aca="false">IF(INDEX(I_Items!$E$5:$E$133,MATCH($B844,I_Items!$A$5:$A$133,0))="","",INDEX(I_Items!$E$5:$E$133,MATCH($B844,I_Items!$A$5:$A$133,0)))</f>
        <v/>
      </c>
      <c r="G844" s="76" t="n">
        <v>46207</v>
      </c>
      <c r="H844" s="23" t="n">
        <f aca="false">MONTH(G844)</f>
        <v>7</v>
      </c>
      <c r="I844" s="74" t="s">
        <v>2074</v>
      </c>
      <c r="J844" s="74" t="s">
        <v>2204</v>
      </c>
      <c r="K844" s="10" t="n">
        <v>346</v>
      </c>
      <c r="L844" s="8" t="n">
        <v>8823000</v>
      </c>
      <c r="M844" s="10" t="n">
        <v>0</v>
      </c>
      <c r="N844" s="8" t="n">
        <v>0</v>
      </c>
      <c r="O844" s="74"/>
      <c r="P844" s="74"/>
      <c r="Q844" s="74"/>
      <c r="R844" s="14" t="n">
        <f aca="false">IF(I844="Unbilled",0,M844)</f>
        <v>0</v>
      </c>
      <c r="S844" s="9" t="n">
        <f aca="false">IF(R844=0,0,IF(O844="Booked",N844,R844*V843))</f>
        <v>0</v>
      </c>
      <c r="T844" s="14" t="n">
        <f aca="false">IF(I844="Opening",K844,T843+K844-R844)</f>
        <v>9845.97</v>
      </c>
      <c r="U844" s="9" t="n">
        <f aca="false">IF(I844="Opening",L844,U843+L844-S844)</f>
        <v>281773196.453059</v>
      </c>
      <c r="V844" s="9" t="n">
        <f aca="false">IF(T844&gt;0,U844/T844,IF(I844="Opening",0,V843))</f>
        <v>28618.1246188094</v>
      </c>
      <c r="W844" s="14" t="n">
        <f aca="false">M844</f>
        <v>0</v>
      </c>
      <c r="X844" s="9" t="n">
        <f aca="false">IF(W844=0,0,IF(O844="Booked",N844,W844*AA843))</f>
        <v>0</v>
      </c>
      <c r="Y844" s="14" t="n">
        <f aca="false">IF(I844="Opening",K844,Y843+K844-W844)</f>
        <v>9845.97</v>
      </c>
      <c r="Z844" s="9" t="n">
        <f aca="false">IF(I844="Opening",L844,Z843+L844-X844)</f>
        <v>281773196.453059</v>
      </c>
      <c r="AA844" s="9" t="n">
        <f aca="false">IF(Y844&gt;0,Z844/Y844,IF(I844="Opening",0,AA843))</f>
        <v>28618.1246188094</v>
      </c>
      <c r="AB844" s="9" t="n">
        <f aca="false">IF(AND(I844="DO",O844="MA"),S844-N844,0)</f>
        <v>0</v>
      </c>
      <c r="AC844" s="9" t="n">
        <f aca="false">IF(I844="DO",X844-S844,0)</f>
        <v>0</v>
      </c>
      <c r="AD844" s="23" t="n">
        <f aca="false">IF(B845&lt;&gt;B844,1,0)</f>
        <v>0</v>
      </c>
      <c r="AE844" s="14" t="n">
        <f aca="false">IF(I844="Opening",0,AE843+W844)</f>
        <v>5903.8</v>
      </c>
      <c r="AF844" s="14" t="n">
        <f aca="false">IF(I844="Opening",K844,AF843)</f>
        <v>6477.78</v>
      </c>
      <c r="AG844" s="14" t="n">
        <f aca="false">AG843</f>
        <v>25917.77</v>
      </c>
      <c r="AH844" s="14" t="n">
        <f aca="false">IF(W844=0,0,MAX(0,MIN(AE844,AF844)-MIN(AE844-W844,AF844)))</f>
        <v>0</v>
      </c>
      <c r="AI844" s="14" t="n">
        <f aca="false">IF(W844=0,0,MAX(0,MIN(AE844,AF844+AG844)-MAX(AE844-W844,AF844)))</f>
        <v>0</v>
      </c>
      <c r="AJ844" s="14" t="n">
        <f aca="false">W844-AH844-AI844</f>
        <v>0</v>
      </c>
      <c r="AK844" s="9" t="n">
        <f aca="false">IF(W844=0,0,X844*AH844/W844)</f>
        <v>0</v>
      </c>
      <c r="AL844" s="9" t="n">
        <f aca="false">IF(W844=0,0,X844*AI844/W844)</f>
        <v>0</v>
      </c>
      <c r="AM844" s="9" t="n">
        <f aca="false">X844-AK844-AL844</f>
        <v>0</v>
      </c>
    </row>
    <row r="845" customFormat="false" ht="15" hidden="false" customHeight="false" outlineLevel="0" collapsed="false">
      <c r="A845" s="6" t="n">
        <v>840</v>
      </c>
      <c r="B845" s="74" t="s">
        <v>1020</v>
      </c>
      <c r="C845" s="53" t="str">
        <f aca="false">INDEX(I_Items!$C$5:$C$133,MATCH($B845,I_Items!$A$5:$A$133,0))</f>
        <v>Trading</v>
      </c>
      <c r="D845" s="53" t="str">
        <f aca="false">INDEX(I_Items!$D$5:$D$133,MATCH($B845,I_Items!$A$5:$A$133,0))</f>
        <v>BLP</v>
      </c>
      <c r="E845" s="53" t="str">
        <f aca="false">INDEX(I_Items!$F$5:$F$133,MATCH($B845,I_Items!$A$5:$A$133,0))</f>
        <v>Frozen</v>
      </c>
      <c r="F845" s="53" t="str">
        <f aca="false">IF(INDEX(I_Items!$E$5:$E$133,MATCH($B845,I_Items!$A$5:$A$133,0))="","",INDEX(I_Items!$E$5:$E$133,MATCH($B845,I_Items!$A$5:$A$133,0)))</f>
        <v/>
      </c>
      <c r="G845" s="76" t="n">
        <v>46208</v>
      </c>
      <c r="H845" s="23" t="n">
        <f aca="false">MONTH(G845)</f>
        <v>7</v>
      </c>
      <c r="I845" s="74" t="s">
        <v>2074</v>
      </c>
      <c r="J845" s="74" t="s">
        <v>2205</v>
      </c>
      <c r="K845" s="10" t="n">
        <v>1440.72</v>
      </c>
      <c r="L845" s="8" t="n">
        <v>38179080</v>
      </c>
      <c r="M845" s="10" t="n">
        <v>0</v>
      </c>
      <c r="N845" s="8" t="n">
        <v>0</v>
      </c>
      <c r="O845" s="74"/>
      <c r="P845" s="74"/>
      <c r="Q845" s="74"/>
      <c r="R845" s="14" t="n">
        <f aca="false">IF(I845="Unbilled",0,M845)</f>
        <v>0</v>
      </c>
      <c r="S845" s="9" t="n">
        <f aca="false">IF(R845=0,0,IF(O845="Booked",N845,R845*V844))</f>
        <v>0</v>
      </c>
      <c r="T845" s="14" t="n">
        <f aca="false">IF(I845="Opening",K845,T844+K845-R845)</f>
        <v>11286.69</v>
      </c>
      <c r="U845" s="9" t="n">
        <f aca="false">IF(I845="Opening",L845,U844+L845-S845)</f>
        <v>319952276.453059</v>
      </c>
      <c r="V845" s="9" t="n">
        <f aca="false">IF(T845&gt;0,U845/T845,IF(I845="Opening",0,V844))</f>
        <v>28347.7508864918</v>
      </c>
      <c r="W845" s="14" t="n">
        <f aca="false">M845</f>
        <v>0</v>
      </c>
      <c r="X845" s="9" t="n">
        <f aca="false">IF(W845=0,0,IF(O845="Booked",N845,W845*AA844))</f>
        <v>0</v>
      </c>
      <c r="Y845" s="14" t="n">
        <f aca="false">IF(I845="Opening",K845,Y844+K845-W845)</f>
        <v>11286.69</v>
      </c>
      <c r="Z845" s="9" t="n">
        <f aca="false">IF(I845="Opening",L845,Z844+L845-X845)</f>
        <v>319952276.453059</v>
      </c>
      <c r="AA845" s="9" t="n">
        <f aca="false">IF(Y845&gt;0,Z845/Y845,IF(I845="Opening",0,AA844))</f>
        <v>28347.7508864918</v>
      </c>
      <c r="AB845" s="9" t="n">
        <f aca="false">IF(AND(I845="DO",O845="MA"),S845-N845,0)</f>
        <v>0</v>
      </c>
      <c r="AC845" s="9" t="n">
        <f aca="false">IF(I845="DO",X845-S845,0)</f>
        <v>0</v>
      </c>
      <c r="AD845" s="23" t="n">
        <f aca="false">IF(B846&lt;&gt;B845,1,0)</f>
        <v>0</v>
      </c>
      <c r="AE845" s="14" t="n">
        <f aca="false">IF(I845="Opening",0,AE844+W845)</f>
        <v>5903.8</v>
      </c>
      <c r="AF845" s="14" t="n">
        <f aca="false">IF(I845="Opening",K845,AF844)</f>
        <v>6477.78</v>
      </c>
      <c r="AG845" s="14" t="n">
        <f aca="false">AG844</f>
        <v>25917.77</v>
      </c>
      <c r="AH845" s="14" t="n">
        <f aca="false">IF(W845=0,0,MAX(0,MIN(AE845,AF845)-MIN(AE845-W845,AF845)))</f>
        <v>0</v>
      </c>
      <c r="AI845" s="14" t="n">
        <f aca="false">IF(W845=0,0,MAX(0,MIN(AE845,AF845+AG845)-MAX(AE845-W845,AF845)))</f>
        <v>0</v>
      </c>
      <c r="AJ845" s="14" t="n">
        <f aca="false">W845-AH845-AI845</f>
        <v>0</v>
      </c>
      <c r="AK845" s="9" t="n">
        <f aca="false">IF(W845=0,0,X845*AH845/W845)</f>
        <v>0</v>
      </c>
      <c r="AL845" s="9" t="n">
        <f aca="false">IF(W845=0,0,X845*AI845/W845)</f>
        <v>0</v>
      </c>
      <c r="AM845" s="9" t="n">
        <f aca="false">X845-AK845-AL845</f>
        <v>0</v>
      </c>
    </row>
    <row r="846" customFormat="false" ht="15" hidden="false" customHeight="false" outlineLevel="0" collapsed="false">
      <c r="A846" s="6" t="n">
        <v>841</v>
      </c>
      <c r="B846" s="74" t="s">
        <v>1020</v>
      </c>
      <c r="C846" s="53" t="str">
        <f aca="false">INDEX(I_Items!$C$5:$C$133,MATCH($B846,I_Items!$A$5:$A$133,0))</f>
        <v>Trading</v>
      </c>
      <c r="D846" s="53" t="str">
        <f aca="false">INDEX(I_Items!$D$5:$D$133,MATCH($B846,I_Items!$A$5:$A$133,0))</f>
        <v>BLP</v>
      </c>
      <c r="E846" s="53" t="str">
        <f aca="false">INDEX(I_Items!$F$5:$F$133,MATCH($B846,I_Items!$A$5:$A$133,0))</f>
        <v>Frozen</v>
      </c>
      <c r="F846" s="53" t="str">
        <f aca="false">IF(INDEX(I_Items!$E$5:$E$133,MATCH($B846,I_Items!$A$5:$A$133,0))="","",INDEX(I_Items!$E$5:$E$133,MATCH($B846,I_Items!$A$5:$A$133,0)))</f>
        <v/>
      </c>
      <c r="G846" s="76" t="n">
        <v>46208</v>
      </c>
      <c r="H846" s="23" t="n">
        <f aca="false">MONTH(G846)</f>
        <v>7</v>
      </c>
      <c r="I846" s="74" t="s">
        <v>2074</v>
      </c>
      <c r="J846" s="74" t="s">
        <v>2206</v>
      </c>
      <c r="K846" s="10" t="n">
        <v>1377.04</v>
      </c>
      <c r="L846" s="8" t="n">
        <v>36491560</v>
      </c>
      <c r="M846" s="10" t="n">
        <v>0</v>
      </c>
      <c r="N846" s="8" t="n">
        <v>0</v>
      </c>
      <c r="O846" s="74"/>
      <c r="P846" s="74"/>
      <c r="Q846" s="74"/>
      <c r="R846" s="14" t="n">
        <f aca="false">IF(I846="Unbilled",0,M846)</f>
        <v>0</v>
      </c>
      <c r="S846" s="9" t="n">
        <f aca="false">IF(R846=0,0,IF(O846="Booked",N846,R846*V845))</f>
        <v>0</v>
      </c>
      <c r="T846" s="14" t="n">
        <f aca="false">IF(I846="Opening",K846,T845+K846-R846)</f>
        <v>12663.73</v>
      </c>
      <c r="U846" s="9" t="n">
        <f aca="false">IF(I846="Opening",L846,U845+L846-S846)</f>
        <v>356443836.453059</v>
      </c>
      <c r="V846" s="9" t="n">
        <f aca="false">IF(T846&gt;0,U846/T846,IF(I846="Opening",0,V845))</f>
        <v>28146.8284978485</v>
      </c>
      <c r="W846" s="14" t="n">
        <f aca="false">M846</f>
        <v>0</v>
      </c>
      <c r="X846" s="9" t="n">
        <f aca="false">IF(W846=0,0,IF(O846="Booked",N846,W846*AA845))</f>
        <v>0</v>
      </c>
      <c r="Y846" s="14" t="n">
        <f aca="false">IF(I846="Opening",K846,Y845+K846-W846)</f>
        <v>12663.73</v>
      </c>
      <c r="Z846" s="9" t="n">
        <f aca="false">IF(I846="Opening",L846,Z845+L846-X846)</f>
        <v>356443836.453059</v>
      </c>
      <c r="AA846" s="9" t="n">
        <f aca="false">IF(Y846&gt;0,Z846/Y846,IF(I846="Opening",0,AA845))</f>
        <v>28146.8284978485</v>
      </c>
      <c r="AB846" s="9" t="n">
        <f aca="false">IF(AND(I846="DO",O846="MA"),S846-N846,0)</f>
        <v>0</v>
      </c>
      <c r="AC846" s="9" t="n">
        <f aca="false">IF(I846="DO",X846-S846,0)</f>
        <v>0</v>
      </c>
      <c r="AD846" s="23" t="n">
        <f aca="false">IF(B847&lt;&gt;B846,1,0)</f>
        <v>0</v>
      </c>
      <c r="AE846" s="14" t="n">
        <f aca="false">IF(I846="Opening",0,AE845+W846)</f>
        <v>5903.8</v>
      </c>
      <c r="AF846" s="14" t="n">
        <f aca="false">IF(I846="Opening",K846,AF845)</f>
        <v>6477.78</v>
      </c>
      <c r="AG846" s="14" t="n">
        <f aca="false">AG845</f>
        <v>25917.77</v>
      </c>
      <c r="AH846" s="14" t="n">
        <f aca="false">IF(W846=0,0,MAX(0,MIN(AE846,AF846)-MIN(AE846-W846,AF846)))</f>
        <v>0</v>
      </c>
      <c r="AI846" s="14" t="n">
        <f aca="false">IF(W846=0,0,MAX(0,MIN(AE846,AF846+AG846)-MAX(AE846-W846,AF846)))</f>
        <v>0</v>
      </c>
      <c r="AJ846" s="14" t="n">
        <f aca="false">W846-AH846-AI846</f>
        <v>0</v>
      </c>
      <c r="AK846" s="9" t="n">
        <f aca="false">IF(W846=0,0,X846*AH846/W846)</f>
        <v>0</v>
      </c>
      <c r="AL846" s="9" t="n">
        <f aca="false">IF(W846=0,0,X846*AI846/W846)</f>
        <v>0</v>
      </c>
      <c r="AM846" s="9" t="n">
        <f aca="false">X846-AK846-AL846</f>
        <v>0</v>
      </c>
    </row>
    <row r="847" customFormat="false" ht="15" hidden="false" customHeight="false" outlineLevel="0" collapsed="false">
      <c r="A847" s="6" t="n">
        <v>842</v>
      </c>
      <c r="B847" s="74" t="s">
        <v>1020</v>
      </c>
      <c r="C847" s="53" t="str">
        <f aca="false">INDEX(I_Items!$C$5:$C$133,MATCH($B847,I_Items!$A$5:$A$133,0))</f>
        <v>Trading</v>
      </c>
      <c r="D847" s="53" t="str">
        <f aca="false">INDEX(I_Items!$D$5:$D$133,MATCH($B847,I_Items!$A$5:$A$133,0))</f>
        <v>BLP</v>
      </c>
      <c r="E847" s="53" t="str">
        <f aca="false">INDEX(I_Items!$F$5:$F$133,MATCH($B847,I_Items!$A$5:$A$133,0))</f>
        <v>Frozen</v>
      </c>
      <c r="F847" s="53" t="str">
        <f aca="false">IF(INDEX(I_Items!$E$5:$E$133,MATCH($B847,I_Items!$A$5:$A$133,0))="","",INDEX(I_Items!$E$5:$E$133,MATCH($B847,I_Items!$A$5:$A$133,0)))</f>
        <v/>
      </c>
      <c r="G847" s="76" t="n">
        <v>46209</v>
      </c>
      <c r="H847" s="23" t="n">
        <f aca="false">MONTH(G847)</f>
        <v>7</v>
      </c>
      <c r="I847" s="74" t="s">
        <v>2074</v>
      </c>
      <c r="J847" s="74" t="s">
        <v>2207</v>
      </c>
      <c r="K847" s="10" t="n">
        <v>2292.36</v>
      </c>
      <c r="L847" s="8" t="n">
        <v>60747540</v>
      </c>
      <c r="M847" s="10" t="n">
        <v>0</v>
      </c>
      <c r="N847" s="8" t="n">
        <v>0</v>
      </c>
      <c r="O847" s="74"/>
      <c r="P847" s="74"/>
      <c r="Q847" s="74"/>
      <c r="R847" s="14" t="n">
        <f aca="false">IF(I847="Unbilled",0,M847)</f>
        <v>0</v>
      </c>
      <c r="S847" s="9" t="n">
        <f aca="false">IF(R847=0,0,IF(O847="Booked",N847,R847*V846))</f>
        <v>0</v>
      </c>
      <c r="T847" s="14" t="n">
        <f aca="false">IF(I847="Opening",K847,T846+K847-R847)</f>
        <v>14956.09</v>
      </c>
      <c r="U847" s="9" t="n">
        <f aca="false">IF(I847="Opening",L847,U846+L847-S847)</f>
        <v>417191376.453059</v>
      </c>
      <c r="V847" s="9" t="n">
        <f aca="false">IF(T847&gt;0,U847/T847,IF(I847="Opening",0,V846))</f>
        <v>27894.4146801108</v>
      </c>
      <c r="W847" s="14" t="n">
        <f aca="false">M847</f>
        <v>0</v>
      </c>
      <c r="X847" s="9" t="n">
        <f aca="false">IF(W847=0,0,IF(O847="Booked",N847,W847*AA846))</f>
        <v>0</v>
      </c>
      <c r="Y847" s="14" t="n">
        <f aca="false">IF(I847="Opening",K847,Y846+K847-W847)</f>
        <v>14956.09</v>
      </c>
      <c r="Z847" s="9" t="n">
        <f aca="false">IF(I847="Opening",L847,Z846+L847-X847)</f>
        <v>417191376.453059</v>
      </c>
      <c r="AA847" s="9" t="n">
        <f aca="false">IF(Y847&gt;0,Z847/Y847,IF(I847="Opening",0,AA846))</f>
        <v>27894.4146801108</v>
      </c>
      <c r="AB847" s="9" t="n">
        <f aca="false">IF(AND(I847="DO",O847="MA"),S847-N847,0)</f>
        <v>0</v>
      </c>
      <c r="AC847" s="9" t="n">
        <f aca="false">IF(I847="DO",X847-S847,0)</f>
        <v>0</v>
      </c>
      <c r="AD847" s="23" t="n">
        <f aca="false">IF(B848&lt;&gt;B847,1,0)</f>
        <v>0</v>
      </c>
      <c r="AE847" s="14" t="n">
        <f aca="false">IF(I847="Opening",0,AE846+W847)</f>
        <v>5903.8</v>
      </c>
      <c r="AF847" s="14" t="n">
        <f aca="false">IF(I847="Opening",K847,AF846)</f>
        <v>6477.78</v>
      </c>
      <c r="AG847" s="14" t="n">
        <f aca="false">AG846</f>
        <v>25917.77</v>
      </c>
      <c r="AH847" s="14" t="n">
        <f aca="false">IF(W847=0,0,MAX(0,MIN(AE847,AF847)-MIN(AE847-W847,AF847)))</f>
        <v>0</v>
      </c>
      <c r="AI847" s="14" t="n">
        <f aca="false">IF(W847=0,0,MAX(0,MIN(AE847,AF847+AG847)-MAX(AE847-W847,AF847)))</f>
        <v>0</v>
      </c>
      <c r="AJ847" s="14" t="n">
        <f aca="false">W847-AH847-AI847</f>
        <v>0</v>
      </c>
      <c r="AK847" s="9" t="n">
        <f aca="false">IF(W847=0,0,X847*AH847/W847)</f>
        <v>0</v>
      </c>
      <c r="AL847" s="9" t="n">
        <f aca="false">IF(W847=0,0,X847*AI847/W847)</f>
        <v>0</v>
      </c>
      <c r="AM847" s="9" t="n">
        <f aca="false">X847-AK847-AL847</f>
        <v>0</v>
      </c>
    </row>
    <row r="848" customFormat="false" ht="15" hidden="false" customHeight="false" outlineLevel="0" collapsed="false">
      <c r="A848" s="6" t="n">
        <v>843</v>
      </c>
      <c r="B848" s="74" t="s">
        <v>1020</v>
      </c>
      <c r="C848" s="53" t="str">
        <f aca="false">INDEX(I_Items!$C$5:$C$133,MATCH($B848,I_Items!$A$5:$A$133,0))</f>
        <v>Trading</v>
      </c>
      <c r="D848" s="53" t="str">
        <f aca="false">INDEX(I_Items!$D$5:$D$133,MATCH($B848,I_Items!$A$5:$A$133,0))</f>
        <v>BLP</v>
      </c>
      <c r="E848" s="53" t="str">
        <f aca="false">INDEX(I_Items!$F$5:$F$133,MATCH($B848,I_Items!$A$5:$A$133,0))</f>
        <v>Frozen</v>
      </c>
      <c r="F848" s="53" t="str">
        <f aca="false">IF(INDEX(I_Items!$E$5:$E$133,MATCH($B848,I_Items!$A$5:$A$133,0))="","",INDEX(I_Items!$E$5:$E$133,MATCH($B848,I_Items!$A$5:$A$133,0)))</f>
        <v/>
      </c>
      <c r="G848" s="76" t="n">
        <v>46209</v>
      </c>
      <c r="H848" s="23" t="n">
        <f aca="false">MONTH(G848)</f>
        <v>7</v>
      </c>
      <c r="I848" s="74" t="s">
        <v>2074</v>
      </c>
      <c r="J848" s="74" t="s">
        <v>2208</v>
      </c>
      <c r="K848" s="10" t="n">
        <v>687.36</v>
      </c>
      <c r="L848" s="8" t="n">
        <v>18215040</v>
      </c>
      <c r="M848" s="10" t="n">
        <v>0</v>
      </c>
      <c r="N848" s="8" t="n">
        <v>0</v>
      </c>
      <c r="O848" s="74"/>
      <c r="P848" s="74"/>
      <c r="Q848" s="74"/>
      <c r="R848" s="14" t="n">
        <f aca="false">IF(I848="Unbilled",0,M848)</f>
        <v>0</v>
      </c>
      <c r="S848" s="9" t="n">
        <f aca="false">IF(R848=0,0,IF(O848="Booked",N848,R848*V847))</f>
        <v>0</v>
      </c>
      <c r="T848" s="14" t="n">
        <f aca="false">IF(I848="Opening",K848,T847+K848-R848)</f>
        <v>15643.45</v>
      </c>
      <c r="U848" s="9" t="n">
        <f aca="false">IF(I848="Opening",L848,U847+L848-S848)</f>
        <v>435406416.453059</v>
      </c>
      <c r="V848" s="9" t="n">
        <f aca="false">IF(T848&gt;0,U848/T848,IF(I848="Opening",0,V847))</f>
        <v>27833.145275055</v>
      </c>
      <c r="W848" s="14" t="n">
        <f aca="false">M848</f>
        <v>0</v>
      </c>
      <c r="X848" s="9" t="n">
        <f aca="false">IF(W848=0,0,IF(O848="Booked",N848,W848*AA847))</f>
        <v>0</v>
      </c>
      <c r="Y848" s="14" t="n">
        <f aca="false">IF(I848="Opening",K848,Y847+K848-W848)</f>
        <v>15643.45</v>
      </c>
      <c r="Z848" s="9" t="n">
        <f aca="false">IF(I848="Opening",L848,Z847+L848-X848)</f>
        <v>435406416.453059</v>
      </c>
      <c r="AA848" s="9" t="n">
        <f aca="false">IF(Y848&gt;0,Z848/Y848,IF(I848="Opening",0,AA847))</f>
        <v>27833.145275055</v>
      </c>
      <c r="AB848" s="9" t="n">
        <f aca="false">IF(AND(I848="DO",O848="MA"),S848-N848,0)</f>
        <v>0</v>
      </c>
      <c r="AC848" s="9" t="n">
        <f aca="false">IF(I848="DO",X848-S848,0)</f>
        <v>0</v>
      </c>
      <c r="AD848" s="23" t="n">
        <f aca="false">IF(B849&lt;&gt;B848,1,0)</f>
        <v>0</v>
      </c>
      <c r="AE848" s="14" t="n">
        <f aca="false">IF(I848="Opening",0,AE847+W848)</f>
        <v>5903.8</v>
      </c>
      <c r="AF848" s="14" t="n">
        <f aca="false">IF(I848="Opening",K848,AF847)</f>
        <v>6477.78</v>
      </c>
      <c r="AG848" s="14" t="n">
        <f aca="false">AG847</f>
        <v>25917.77</v>
      </c>
      <c r="AH848" s="14" t="n">
        <f aca="false">IF(W848=0,0,MAX(0,MIN(AE848,AF848)-MIN(AE848-W848,AF848)))</f>
        <v>0</v>
      </c>
      <c r="AI848" s="14" t="n">
        <f aca="false">IF(W848=0,0,MAX(0,MIN(AE848,AF848+AG848)-MAX(AE848-W848,AF848)))</f>
        <v>0</v>
      </c>
      <c r="AJ848" s="14" t="n">
        <f aca="false">W848-AH848-AI848</f>
        <v>0</v>
      </c>
      <c r="AK848" s="9" t="n">
        <f aca="false">IF(W848=0,0,X848*AH848/W848)</f>
        <v>0</v>
      </c>
      <c r="AL848" s="9" t="n">
        <f aca="false">IF(W848=0,0,X848*AI848/W848)</f>
        <v>0</v>
      </c>
      <c r="AM848" s="9" t="n">
        <f aca="false">X848-AK848-AL848</f>
        <v>0</v>
      </c>
    </row>
    <row r="849" customFormat="false" ht="15" hidden="false" customHeight="false" outlineLevel="0" collapsed="false">
      <c r="A849" s="6" t="n">
        <v>844</v>
      </c>
      <c r="B849" s="74" t="s">
        <v>1020</v>
      </c>
      <c r="C849" s="53" t="str">
        <f aca="false">INDEX(I_Items!$C$5:$C$133,MATCH($B849,I_Items!$A$5:$A$133,0))</f>
        <v>Trading</v>
      </c>
      <c r="D849" s="53" t="str">
        <f aca="false">INDEX(I_Items!$D$5:$D$133,MATCH($B849,I_Items!$A$5:$A$133,0))</f>
        <v>BLP</v>
      </c>
      <c r="E849" s="53" t="str">
        <f aca="false">INDEX(I_Items!$F$5:$F$133,MATCH($B849,I_Items!$A$5:$A$133,0))</f>
        <v>Frozen</v>
      </c>
      <c r="F849" s="53" t="str">
        <f aca="false">IF(INDEX(I_Items!$E$5:$E$133,MATCH($B849,I_Items!$A$5:$A$133,0))="","",INDEX(I_Items!$E$5:$E$133,MATCH($B849,I_Items!$A$5:$A$133,0)))</f>
        <v/>
      </c>
      <c r="G849" s="76" t="n">
        <v>46210</v>
      </c>
      <c r="H849" s="23" t="n">
        <f aca="false">MONTH(G849)</f>
        <v>7</v>
      </c>
      <c r="I849" s="74" t="s">
        <v>2074</v>
      </c>
      <c r="J849" s="74" t="s">
        <v>2209</v>
      </c>
      <c r="K849" s="10" t="n">
        <v>511.49</v>
      </c>
      <c r="L849" s="8" t="n">
        <v>13298740</v>
      </c>
      <c r="M849" s="10" t="n">
        <v>0</v>
      </c>
      <c r="N849" s="8" t="n">
        <v>0</v>
      </c>
      <c r="O849" s="74"/>
      <c r="P849" s="74"/>
      <c r="Q849" s="74"/>
      <c r="R849" s="14" t="n">
        <f aca="false">IF(I849="Unbilled",0,M849)</f>
        <v>0</v>
      </c>
      <c r="S849" s="9" t="n">
        <f aca="false">IF(R849=0,0,IF(O849="Booked",N849,R849*V848))</f>
        <v>0</v>
      </c>
      <c r="T849" s="14" t="n">
        <f aca="false">IF(I849="Opening",K849,T848+K849-R849)</f>
        <v>16154.94</v>
      </c>
      <c r="U849" s="9" t="n">
        <f aca="false">IF(I849="Opening",L849,U848+L849-S849)</f>
        <v>448705156.453059</v>
      </c>
      <c r="V849" s="9" t="n">
        <f aca="false">IF(T849&gt;0,U849/T849,IF(I849="Opening",0,V848))</f>
        <v>27775.1051042628</v>
      </c>
      <c r="W849" s="14" t="n">
        <f aca="false">M849</f>
        <v>0</v>
      </c>
      <c r="X849" s="9" t="n">
        <f aca="false">IF(W849=0,0,IF(O849="Booked",N849,W849*AA848))</f>
        <v>0</v>
      </c>
      <c r="Y849" s="14" t="n">
        <f aca="false">IF(I849="Opening",K849,Y848+K849-W849)</f>
        <v>16154.94</v>
      </c>
      <c r="Z849" s="9" t="n">
        <f aca="false">IF(I849="Opening",L849,Z848+L849-X849)</f>
        <v>448705156.453059</v>
      </c>
      <c r="AA849" s="9" t="n">
        <f aca="false">IF(Y849&gt;0,Z849/Y849,IF(I849="Opening",0,AA848))</f>
        <v>27775.1051042628</v>
      </c>
      <c r="AB849" s="9" t="n">
        <f aca="false">IF(AND(I849="DO",O849="MA"),S849-N849,0)</f>
        <v>0</v>
      </c>
      <c r="AC849" s="9" t="n">
        <f aca="false">IF(I849="DO",X849-S849,0)</f>
        <v>0</v>
      </c>
      <c r="AD849" s="23" t="n">
        <f aca="false">IF(B850&lt;&gt;B849,1,0)</f>
        <v>0</v>
      </c>
      <c r="AE849" s="14" t="n">
        <f aca="false">IF(I849="Opening",0,AE848+W849)</f>
        <v>5903.8</v>
      </c>
      <c r="AF849" s="14" t="n">
        <f aca="false">IF(I849="Opening",K849,AF848)</f>
        <v>6477.78</v>
      </c>
      <c r="AG849" s="14" t="n">
        <f aca="false">AG848</f>
        <v>25917.77</v>
      </c>
      <c r="AH849" s="14" t="n">
        <f aca="false">IF(W849=0,0,MAX(0,MIN(AE849,AF849)-MIN(AE849-W849,AF849)))</f>
        <v>0</v>
      </c>
      <c r="AI849" s="14" t="n">
        <f aca="false">IF(W849=0,0,MAX(0,MIN(AE849,AF849+AG849)-MAX(AE849-W849,AF849)))</f>
        <v>0</v>
      </c>
      <c r="AJ849" s="14" t="n">
        <f aca="false">W849-AH849-AI849</f>
        <v>0</v>
      </c>
      <c r="AK849" s="9" t="n">
        <f aca="false">IF(W849=0,0,X849*AH849/W849)</f>
        <v>0</v>
      </c>
      <c r="AL849" s="9" t="n">
        <f aca="false">IF(W849=0,0,X849*AI849/W849)</f>
        <v>0</v>
      </c>
      <c r="AM849" s="9" t="n">
        <f aca="false">X849-AK849-AL849</f>
        <v>0</v>
      </c>
    </row>
    <row r="850" customFormat="false" ht="15" hidden="false" customHeight="false" outlineLevel="0" collapsed="false">
      <c r="A850" s="6" t="n">
        <v>845</v>
      </c>
      <c r="B850" s="74" t="s">
        <v>1020</v>
      </c>
      <c r="C850" s="53" t="str">
        <f aca="false">INDEX(I_Items!$C$5:$C$133,MATCH($B850,I_Items!$A$5:$A$133,0))</f>
        <v>Trading</v>
      </c>
      <c r="D850" s="53" t="str">
        <f aca="false">INDEX(I_Items!$D$5:$D$133,MATCH($B850,I_Items!$A$5:$A$133,0))</f>
        <v>BLP</v>
      </c>
      <c r="E850" s="53" t="str">
        <f aca="false">INDEX(I_Items!$F$5:$F$133,MATCH($B850,I_Items!$A$5:$A$133,0))</f>
        <v>Frozen</v>
      </c>
      <c r="F850" s="53" t="str">
        <f aca="false">IF(INDEX(I_Items!$E$5:$E$133,MATCH($B850,I_Items!$A$5:$A$133,0))="","",INDEX(I_Items!$E$5:$E$133,MATCH($B850,I_Items!$A$5:$A$133,0)))</f>
        <v/>
      </c>
      <c r="G850" s="76" t="n">
        <v>46210</v>
      </c>
      <c r="H850" s="23" t="n">
        <f aca="false">MONTH(G850)</f>
        <v>7</v>
      </c>
      <c r="I850" s="74" t="s">
        <v>2074</v>
      </c>
      <c r="J850" s="74" t="s">
        <v>2210</v>
      </c>
      <c r="K850" s="10" t="n">
        <v>1137.32</v>
      </c>
      <c r="L850" s="8" t="n">
        <v>31276300</v>
      </c>
      <c r="M850" s="10" t="n">
        <v>0</v>
      </c>
      <c r="N850" s="8" t="n">
        <v>0</v>
      </c>
      <c r="O850" s="74"/>
      <c r="P850" s="74"/>
      <c r="Q850" s="74"/>
      <c r="R850" s="14" t="n">
        <f aca="false">IF(I850="Unbilled",0,M850)</f>
        <v>0</v>
      </c>
      <c r="S850" s="9" t="n">
        <f aca="false">IF(R850=0,0,IF(O850="Booked",N850,R850*V849))</f>
        <v>0</v>
      </c>
      <c r="T850" s="14" t="n">
        <f aca="false">IF(I850="Opening",K850,T849+K850-R850)</f>
        <v>17292.26</v>
      </c>
      <c r="U850" s="9" t="n">
        <f aca="false">IF(I850="Opening",L850,U849+L850-S850)</f>
        <v>479981456.453059</v>
      </c>
      <c r="V850" s="9" t="n">
        <f aca="false">IF(T850&gt;0,U850/T850,IF(I850="Opening",0,V849))</f>
        <v>27757.0113133308</v>
      </c>
      <c r="W850" s="14" t="n">
        <f aca="false">M850</f>
        <v>0</v>
      </c>
      <c r="X850" s="9" t="n">
        <f aca="false">IF(W850=0,0,IF(O850="Booked",N850,W850*AA849))</f>
        <v>0</v>
      </c>
      <c r="Y850" s="14" t="n">
        <f aca="false">IF(I850="Opening",K850,Y849+K850-W850)</f>
        <v>17292.26</v>
      </c>
      <c r="Z850" s="9" t="n">
        <f aca="false">IF(I850="Opening",L850,Z849+L850-X850)</f>
        <v>479981456.453059</v>
      </c>
      <c r="AA850" s="9" t="n">
        <f aca="false">IF(Y850&gt;0,Z850/Y850,IF(I850="Opening",0,AA849))</f>
        <v>27757.0113133308</v>
      </c>
      <c r="AB850" s="9" t="n">
        <f aca="false">IF(AND(I850="DO",O850="MA"),S850-N850,0)</f>
        <v>0</v>
      </c>
      <c r="AC850" s="9" t="n">
        <f aca="false">IF(I850="DO",X850-S850,0)</f>
        <v>0</v>
      </c>
      <c r="AD850" s="23" t="n">
        <f aca="false">IF(B851&lt;&gt;B850,1,0)</f>
        <v>0</v>
      </c>
      <c r="AE850" s="14" t="n">
        <f aca="false">IF(I850="Opening",0,AE849+W850)</f>
        <v>5903.8</v>
      </c>
      <c r="AF850" s="14" t="n">
        <f aca="false">IF(I850="Opening",K850,AF849)</f>
        <v>6477.78</v>
      </c>
      <c r="AG850" s="14" t="n">
        <f aca="false">AG849</f>
        <v>25917.77</v>
      </c>
      <c r="AH850" s="14" t="n">
        <f aca="false">IF(W850=0,0,MAX(0,MIN(AE850,AF850)-MIN(AE850-W850,AF850)))</f>
        <v>0</v>
      </c>
      <c r="AI850" s="14" t="n">
        <f aca="false">IF(W850=0,0,MAX(0,MIN(AE850,AF850+AG850)-MAX(AE850-W850,AF850)))</f>
        <v>0</v>
      </c>
      <c r="AJ850" s="14" t="n">
        <f aca="false">W850-AH850-AI850</f>
        <v>0</v>
      </c>
      <c r="AK850" s="9" t="n">
        <f aca="false">IF(W850=0,0,X850*AH850/W850)</f>
        <v>0</v>
      </c>
      <c r="AL850" s="9" t="n">
        <f aca="false">IF(W850=0,0,X850*AI850/W850)</f>
        <v>0</v>
      </c>
      <c r="AM850" s="9" t="n">
        <f aca="false">X850-AK850-AL850</f>
        <v>0</v>
      </c>
    </row>
    <row r="851" customFormat="false" ht="15" hidden="false" customHeight="false" outlineLevel="0" collapsed="false">
      <c r="A851" s="6" t="n">
        <v>846</v>
      </c>
      <c r="B851" s="74" t="s">
        <v>1020</v>
      </c>
      <c r="C851" s="53" t="str">
        <f aca="false">INDEX(I_Items!$C$5:$C$133,MATCH($B851,I_Items!$A$5:$A$133,0))</f>
        <v>Trading</v>
      </c>
      <c r="D851" s="53" t="str">
        <f aca="false">INDEX(I_Items!$D$5:$D$133,MATCH($B851,I_Items!$A$5:$A$133,0))</f>
        <v>BLP</v>
      </c>
      <c r="E851" s="53" t="str">
        <f aca="false">INDEX(I_Items!$F$5:$F$133,MATCH($B851,I_Items!$A$5:$A$133,0))</f>
        <v>Frozen</v>
      </c>
      <c r="F851" s="53" t="str">
        <f aca="false">IF(INDEX(I_Items!$E$5:$E$133,MATCH($B851,I_Items!$A$5:$A$133,0))="","",INDEX(I_Items!$E$5:$E$133,MATCH($B851,I_Items!$A$5:$A$133,0)))</f>
        <v/>
      </c>
      <c r="G851" s="76" t="n">
        <v>46210</v>
      </c>
      <c r="H851" s="23" t="n">
        <f aca="false">MONTH(G851)</f>
        <v>7</v>
      </c>
      <c r="I851" s="74" t="s">
        <v>2074</v>
      </c>
      <c r="J851" s="74" t="s">
        <v>2211</v>
      </c>
      <c r="K851" s="10" t="n">
        <v>589</v>
      </c>
      <c r="L851" s="8" t="n">
        <v>17670000</v>
      </c>
      <c r="M851" s="10" t="n">
        <v>0</v>
      </c>
      <c r="N851" s="8" t="n">
        <v>0</v>
      </c>
      <c r="O851" s="74"/>
      <c r="P851" s="74"/>
      <c r="Q851" s="74"/>
      <c r="R851" s="14" t="n">
        <f aca="false">IF(I851="Unbilled",0,M851)</f>
        <v>0</v>
      </c>
      <c r="S851" s="9" t="n">
        <f aca="false">IF(R851=0,0,IF(O851="Booked",N851,R851*V850))</f>
        <v>0</v>
      </c>
      <c r="T851" s="14" t="n">
        <f aca="false">IF(I851="Opening",K851,T850+K851-R851)</f>
        <v>17881.26</v>
      </c>
      <c r="U851" s="9" t="n">
        <f aca="false">IF(I851="Opening",L851,U850+L851-S851)</f>
        <v>497651456.453059</v>
      </c>
      <c r="V851" s="9" t="n">
        <f aca="false">IF(T851&gt;0,U851/T851,IF(I851="Opening",0,V850))</f>
        <v>27830.8942688076</v>
      </c>
      <c r="W851" s="14" t="n">
        <f aca="false">M851</f>
        <v>0</v>
      </c>
      <c r="X851" s="9" t="n">
        <f aca="false">IF(W851=0,0,IF(O851="Booked",N851,W851*AA850))</f>
        <v>0</v>
      </c>
      <c r="Y851" s="14" t="n">
        <f aca="false">IF(I851="Opening",K851,Y850+K851-W851)</f>
        <v>17881.26</v>
      </c>
      <c r="Z851" s="9" t="n">
        <f aca="false">IF(I851="Opening",L851,Z850+L851-X851)</f>
        <v>497651456.453059</v>
      </c>
      <c r="AA851" s="9" t="n">
        <f aca="false">IF(Y851&gt;0,Z851/Y851,IF(I851="Opening",0,AA850))</f>
        <v>27830.8942688076</v>
      </c>
      <c r="AB851" s="9" t="n">
        <f aca="false">IF(AND(I851="DO",O851="MA"),S851-N851,0)</f>
        <v>0</v>
      </c>
      <c r="AC851" s="9" t="n">
        <f aca="false">IF(I851="DO",X851-S851,0)</f>
        <v>0</v>
      </c>
      <c r="AD851" s="23" t="n">
        <f aca="false">IF(B852&lt;&gt;B851,1,0)</f>
        <v>0</v>
      </c>
      <c r="AE851" s="14" t="n">
        <f aca="false">IF(I851="Opening",0,AE850+W851)</f>
        <v>5903.8</v>
      </c>
      <c r="AF851" s="14" t="n">
        <f aca="false">IF(I851="Opening",K851,AF850)</f>
        <v>6477.78</v>
      </c>
      <c r="AG851" s="14" t="n">
        <f aca="false">AG850</f>
        <v>25917.77</v>
      </c>
      <c r="AH851" s="14" t="n">
        <f aca="false">IF(W851=0,0,MAX(0,MIN(AE851,AF851)-MIN(AE851-W851,AF851)))</f>
        <v>0</v>
      </c>
      <c r="AI851" s="14" t="n">
        <f aca="false">IF(W851=0,0,MAX(0,MIN(AE851,AF851+AG851)-MAX(AE851-W851,AF851)))</f>
        <v>0</v>
      </c>
      <c r="AJ851" s="14" t="n">
        <f aca="false">W851-AH851-AI851</f>
        <v>0</v>
      </c>
      <c r="AK851" s="9" t="n">
        <f aca="false">IF(W851=0,0,X851*AH851/W851)</f>
        <v>0</v>
      </c>
      <c r="AL851" s="9" t="n">
        <f aca="false">IF(W851=0,0,X851*AI851/W851)</f>
        <v>0</v>
      </c>
      <c r="AM851" s="9" t="n">
        <f aca="false">X851-AK851-AL851</f>
        <v>0</v>
      </c>
    </row>
    <row r="852" customFormat="false" ht="15" hidden="false" customHeight="false" outlineLevel="0" collapsed="false">
      <c r="A852" s="6" t="n">
        <v>847</v>
      </c>
      <c r="B852" s="74" t="s">
        <v>1020</v>
      </c>
      <c r="C852" s="53" t="str">
        <f aca="false">INDEX(I_Items!$C$5:$C$133,MATCH($B852,I_Items!$A$5:$A$133,0))</f>
        <v>Trading</v>
      </c>
      <c r="D852" s="53" t="str">
        <f aca="false">INDEX(I_Items!$D$5:$D$133,MATCH($B852,I_Items!$A$5:$A$133,0))</f>
        <v>BLP</v>
      </c>
      <c r="E852" s="53" t="str">
        <f aca="false">INDEX(I_Items!$F$5:$F$133,MATCH($B852,I_Items!$A$5:$A$133,0))</f>
        <v>Frozen</v>
      </c>
      <c r="F852" s="53" t="str">
        <f aca="false">IF(INDEX(I_Items!$E$5:$E$133,MATCH($B852,I_Items!$A$5:$A$133,0))="","",INDEX(I_Items!$E$5:$E$133,MATCH($B852,I_Items!$A$5:$A$133,0)))</f>
        <v/>
      </c>
      <c r="G852" s="76" t="n">
        <v>46210</v>
      </c>
      <c r="H852" s="23" t="n">
        <f aca="false">MONTH(G852)</f>
        <v>7</v>
      </c>
      <c r="I852" s="74" t="s">
        <v>2074</v>
      </c>
      <c r="J852" s="74" t="s">
        <v>2212</v>
      </c>
      <c r="K852" s="10" t="n">
        <v>359.18</v>
      </c>
      <c r="L852" s="8" t="n">
        <v>9877450</v>
      </c>
      <c r="M852" s="10" t="n">
        <v>0</v>
      </c>
      <c r="N852" s="8" t="n">
        <v>0</v>
      </c>
      <c r="O852" s="74"/>
      <c r="P852" s="74"/>
      <c r="Q852" s="74"/>
      <c r="R852" s="14" t="n">
        <f aca="false">IF(I852="Unbilled",0,M852)</f>
        <v>0</v>
      </c>
      <c r="S852" s="9" t="n">
        <f aca="false">IF(R852=0,0,IF(O852="Booked",N852,R852*V851))</f>
        <v>0</v>
      </c>
      <c r="T852" s="14" t="n">
        <f aca="false">IF(I852="Opening",K852,T851+K852-R852)</f>
        <v>18240.44</v>
      </c>
      <c r="U852" s="9" t="n">
        <f aca="false">IF(I852="Opening",L852,U851+L852-S852)</f>
        <v>507528906.453059</v>
      </c>
      <c r="V852" s="9" t="n">
        <f aca="false">IF(T852&gt;0,U852/T852,IF(I852="Opening",0,V851))</f>
        <v>27824.3784937786</v>
      </c>
      <c r="W852" s="14" t="n">
        <f aca="false">M852</f>
        <v>0</v>
      </c>
      <c r="X852" s="9" t="n">
        <f aca="false">IF(W852=0,0,IF(O852="Booked",N852,W852*AA851))</f>
        <v>0</v>
      </c>
      <c r="Y852" s="14" t="n">
        <f aca="false">IF(I852="Opening",K852,Y851+K852-W852)</f>
        <v>18240.44</v>
      </c>
      <c r="Z852" s="9" t="n">
        <f aca="false">IF(I852="Opening",L852,Z851+L852-X852)</f>
        <v>507528906.453059</v>
      </c>
      <c r="AA852" s="9" t="n">
        <f aca="false">IF(Y852&gt;0,Z852/Y852,IF(I852="Opening",0,AA851))</f>
        <v>27824.3784937786</v>
      </c>
      <c r="AB852" s="9" t="n">
        <f aca="false">IF(AND(I852="DO",O852="MA"),S852-N852,0)</f>
        <v>0</v>
      </c>
      <c r="AC852" s="9" t="n">
        <f aca="false">IF(I852="DO",X852-S852,0)</f>
        <v>0</v>
      </c>
      <c r="AD852" s="23" t="n">
        <f aca="false">IF(B853&lt;&gt;B852,1,0)</f>
        <v>0</v>
      </c>
      <c r="AE852" s="14" t="n">
        <f aca="false">IF(I852="Opening",0,AE851+W852)</f>
        <v>5903.8</v>
      </c>
      <c r="AF852" s="14" t="n">
        <f aca="false">IF(I852="Opening",K852,AF851)</f>
        <v>6477.78</v>
      </c>
      <c r="AG852" s="14" t="n">
        <f aca="false">AG851</f>
        <v>25917.77</v>
      </c>
      <c r="AH852" s="14" t="n">
        <f aca="false">IF(W852=0,0,MAX(0,MIN(AE852,AF852)-MIN(AE852-W852,AF852)))</f>
        <v>0</v>
      </c>
      <c r="AI852" s="14" t="n">
        <f aca="false">IF(W852=0,0,MAX(0,MIN(AE852,AF852+AG852)-MAX(AE852-W852,AF852)))</f>
        <v>0</v>
      </c>
      <c r="AJ852" s="14" t="n">
        <f aca="false">W852-AH852-AI852</f>
        <v>0</v>
      </c>
      <c r="AK852" s="9" t="n">
        <f aca="false">IF(W852=0,0,X852*AH852/W852)</f>
        <v>0</v>
      </c>
      <c r="AL852" s="9" t="n">
        <f aca="false">IF(W852=0,0,X852*AI852/W852)</f>
        <v>0</v>
      </c>
      <c r="AM852" s="9" t="n">
        <f aca="false">X852-AK852-AL852</f>
        <v>0</v>
      </c>
    </row>
    <row r="853" customFormat="false" ht="15" hidden="false" customHeight="false" outlineLevel="0" collapsed="false">
      <c r="A853" s="6" t="n">
        <v>848</v>
      </c>
      <c r="B853" s="74" t="s">
        <v>1020</v>
      </c>
      <c r="C853" s="53" t="str">
        <f aca="false">INDEX(I_Items!$C$5:$C$133,MATCH($B853,I_Items!$A$5:$A$133,0))</f>
        <v>Trading</v>
      </c>
      <c r="D853" s="53" t="str">
        <f aca="false">INDEX(I_Items!$D$5:$D$133,MATCH($B853,I_Items!$A$5:$A$133,0))</f>
        <v>BLP</v>
      </c>
      <c r="E853" s="53" t="str">
        <f aca="false">INDEX(I_Items!$F$5:$F$133,MATCH($B853,I_Items!$A$5:$A$133,0))</f>
        <v>Frozen</v>
      </c>
      <c r="F853" s="53" t="str">
        <f aca="false">IF(INDEX(I_Items!$E$5:$E$133,MATCH($B853,I_Items!$A$5:$A$133,0))="","",INDEX(I_Items!$E$5:$E$133,MATCH($B853,I_Items!$A$5:$A$133,0)))</f>
        <v/>
      </c>
      <c r="G853" s="76" t="n">
        <v>46210</v>
      </c>
      <c r="H853" s="23" t="n">
        <f aca="false">MONTH(G853)</f>
        <v>7</v>
      </c>
      <c r="I853" s="74" t="s">
        <v>2074</v>
      </c>
      <c r="J853" s="74" t="s">
        <v>2213</v>
      </c>
      <c r="K853" s="10" t="n">
        <v>1212.19</v>
      </c>
      <c r="L853" s="8" t="n">
        <v>33335225</v>
      </c>
      <c r="M853" s="10" t="n">
        <v>0</v>
      </c>
      <c r="N853" s="8" t="n">
        <v>0</v>
      </c>
      <c r="O853" s="74"/>
      <c r="P853" s="74"/>
      <c r="Q853" s="74"/>
      <c r="R853" s="14" t="n">
        <f aca="false">IF(I853="Unbilled",0,M853)</f>
        <v>0</v>
      </c>
      <c r="S853" s="9" t="n">
        <f aca="false">IF(R853=0,0,IF(O853="Booked",N853,R853*V852))</f>
        <v>0</v>
      </c>
      <c r="T853" s="14" t="n">
        <f aca="false">IF(I853="Opening",K853,T852+K853-R853)</f>
        <v>19452.63</v>
      </c>
      <c r="U853" s="9" t="n">
        <f aca="false">IF(I853="Opening",L853,U852+L853-S853)</f>
        <v>540864131.453059</v>
      </c>
      <c r="V853" s="9" t="n">
        <f aca="false">IF(T853&gt;0,U853/T853,IF(I853="Opening",0,V852))</f>
        <v>27804.1648585851</v>
      </c>
      <c r="W853" s="14" t="n">
        <f aca="false">M853</f>
        <v>0</v>
      </c>
      <c r="X853" s="9" t="n">
        <f aca="false">IF(W853=0,0,IF(O853="Booked",N853,W853*AA852))</f>
        <v>0</v>
      </c>
      <c r="Y853" s="14" t="n">
        <f aca="false">IF(I853="Opening",K853,Y852+K853-W853)</f>
        <v>19452.63</v>
      </c>
      <c r="Z853" s="9" t="n">
        <f aca="false">IF(I853="Opening",L853,Z852+L853-X853)</f>
        <v>540864131.453059</v>
      </c>
      <c r="AA853" s="9" t="n">
        <f aca="false">IF(Y853&gt;0,Z853/Y853,IF(I853="Opening",0,AA852))</f>
        <v>27804.1648585851</v>
      </c>
      <c r="AB853" s="9" t="n">
        <f aca="false">IF(AND(I853="DO",O853="MA"),S853-N853,0)</f>
        <v>0</v>
      </c>
      <c r="AC853" s="9" t="n">
        <f aca="false">IF(I853="DO",X853-S853,0)</f>
        <v>0</v>
      </c>
      <c r="AD853" s="23" t="n">
        <f aca="false">IF(B854&lt;&gt;B853,1,0)</f>
        <v>0</v>
      </c>
      <c r="AE853" s="14" t="n">
        <f aca="false">IF(I853="Opening",0,AE852+W853)</f>
        <v>5903.8</v>
      </c>
      <c r="AF853" s="14" t="n">
        <f aca="false">IF(I853="Opening",K853,AF852)</f>
        <v>6477.78</v>
      </c>
      <c r="AG853" s="14" t="n">
        <f aca="false">AG852</f>
        <v>25917.77</v>
      </c>
      <c r="AH853" s="14" t="n">
        <f aca="false">IF(W853=0,0,MAX(0,MIN(AE853,AF853)-MIN(AE853-W853,AF853)))</f>
        <v>0</v>
      </c>
      <c r="AI853" s="14" t="n">
        <f aca="false">IF(W853=0,0,MAX(0,MIN(AE853,AF853+AG853)-MAX(AE853-W853,AF853)))</f>
        <v>0</v>
      </c>
      <c r="AJ853" s="14" t="n">
        <f aca="false">W853-AH853-AI853</f>
        <v>0</v>
      </c>
      <c r="AK853" s="9" t="n">
        <f aca="false">IF(W853=0,0,X853*AH853/W853)</f>
        <v>0</v>
      </c>
      <c r="AL853" s="9" t="n">
        <f aca="false">IF(W853=0,0,X853*AI853/W853)</f>
        <v>0</v>
      </c>
      <c r="AM853" s="9" t="n">
        <f aca="false">X853-AK853-AL853</f>
        <v>0</v>
      </c>
    </row>
    <row r="854" customFormat="false" ht="15" hidden="false" customHeight="false" outlineLevel="0" collapsed="false">
      <c r="A854" s="6" t="n">
        <v>849</v>
      </c>
      <c r="B854" s="74" t="s">
        <v>1020</v>
      </c>
      <c r="C854" s="53" t="str">
        <f aca="false">INDEX(I_Items!$C$5:$C$133,MATCH($B854,I_Items!$A$5:$A$133,0))</f>
        <v>Trading</v>
      </c>
      <c r="D854" s="53" t="str">
        <f aca="false">INDEX(I_Items!$D$5:$D$133,MATCH($B854,I_Items!$A$5:$A$133,0))</f>
        <v>BLP</v>
      </c>
      <c r="E854" s="53" t="str">
        <f aca="false">INDEX(I_Items!$F$5:$F$133,MATCH($B854,I_Items!$A$5:$A$133,0))</f>
        <v>Frozen</v>
      </c>
      <c r="F854" s="53" t="str">
        <f aca="false">IF(INDEX(I_Items!$E$5:$E$133,MATCH($B854,I_Items!$A$5:$A$133,0))="","",INDEX(I_Items!$E$5:$E$133,MATCH($B854,I_Items!$A$5:$A$133,0)))</f>
        <v/>
      </c>
      <c r="G854" s="76" t="n">
        <v>46211</v>
      </c>
      <c r="H854" s="23" t="n">
        <f aca="false">MONTH(G854)</f>
        <v>7</v>
      </c>
      <c r="I854" s="74" t="s">
        <v>2074</v>
      </c>
      <c r="J854" s="74" t="s">
        <v>2214</v>
      </c>
      <c r="K854" s="10" t="n">
        <v>929.86</v>
      </c>
      <c r="L854" s="8" t="n">
        <v>27430870</v>
      </c>
      <c r="M854" s="10" t="n">
        <v>0</v>
      </c>
      <c r="N854" s="8" t="n">
        <v>0</v>
      </c>
      <c r="O854" s="74"/>
      <c r="P854" s="74"/>
      <c r="Q854" s="74"/>
      <c r="R854" s="14" t="n">
        <f aca="false">IF(I854="Unbilled",0,M854)</f>
        <v>0</v>
      </c>
      <c r="S854" s="9" t="n">
        <f aca="false">IF(R854=0,0,IF(O854="Booked",N854,R854*V853))</f>
        <v>0</v>
      </c>
      <c r="T854" s="14" t="n">
        <f aca="false">IF(I854="Opening",K854,T853+K854-R854)</f>
        <v>20382.49</v>
      </c>
      <c r="U854" s="9" t="n">
        <f aca="false">IF(I854="Opening",L854,U853+L854-S854)</f>
        <v>568295001.453059</v>
      </c>
      <c r="V854" s="9" t="n">
        <f aca="false">IF(T854&gt;0,U854/T854,IF(I854="Opening",0,V853))</f>
        <v>27881.5297568186</v>
      </c>
      <c r="W854" s="14" t="n">
        <f aca="false">M854</f>
        <v>0</v>
      </c>
      <c r="X854" s="9" t="n">
        <f aca="false">IF(W854=0,0,IF(O854="Booked",N854,W854*AA853))</f>
        <v>0</v>
      </c>
      <c r="Y854" s="14" t="n">
        <f aca="false">IF(I854="Opening",K854,Y853+K854-W854)</f>
        <v>20382.49</v>
      </c>
      <c r="Z854" s="9" t="n">
        <f aca="false">IF(I854="Opening",L854,Z853+L854-X854)</f>
        <v>568295001.453059</v>
      </c>
      <c r="AA854" s="9" t="n">
        <f aca="false">IF(Y854&gt;0,Z854/Y854,IF(I854="Opening",0,AA853))</f>
        <v>27881.5297568186</v>
      </c>
      <c r="AB854" s="9" t="n">
        <f aca="false">IF(AND(I854="DO",O854="MA"),S854-N854,0)</f>
        <v>0</v>
      </c>
      <c r="AC854" s="9" t="n">
        <f aca="false">IF(I854="DO",X854-S854,0)</f>
        <v>0</v>
      </c>
      <c r="AD854" s="23" t="n">
        <f aca="false">IF(B855&lt;&gt;B854,1,0)</f>
        <v>0</v>
      </c>
      <c r="AE854" s="14" t="n">
        <f aca="false">IF(I854="Opening",0,AE853+W854)</f>
        <v>5903.8</v>
      </c>
      <c r="AF854" s="14" t="n">
        <f aca="false">IF(I854="Opening",K854,AF853)</f>
        <v>6477.78</v>
      </c>
      <c r="AG854" s="14" t="n">
        <f aca="false">AG853</f>
        <v>25917.77</v>
      </c>
      <c r="AH854" s="14" t="n">
        <f aca="false">IF(W854=0,0,MAX(0,MIN(AE854,AF854)-MIN(AE854-W854,AF854)))</f>
        <v>0</v>
      </c>
      <c r="AI854" s="14" t="n">
        <f aca="false">IF(W854=0,0,MAX(0,MIN(AE854,AF854+AG854)-MAX(AE854-W854,AF854)))</f>
        <v>0</v>
      </c>
      <c r="AJ854" s="14" t="n">
        <f aca="false">W854-AH854-AI854</f>
        <v>0</v>
      </c>
      <c r="AK854" s="9" t="n">
        <f aca="false">IF(W854=0,0,X854*AH854/W854)</f>
        <v>0</v>
      </c>
      <c r="AL854" s="9" t="n">
        <f aca="false">IF(W854=0,0,X854*AI854/W854)</f>
        <v>0</v>
      </c>
      <c r="AM854" s="9" t="n">
        <f aca="false">X854-AK854-AL854</f>
        <v>0</v>
      </c>
    </row>
    <row r="855" customFormat="false" ht="15" hidden="false" customHeight="false" outlineLevel="0" collapsed="false">
      <c r="A855" s="6" t="n">
        <v>850</v>
      </c>
      <c r="B855" s="74" t="s">
        <v>1020</v>
      </c>
      <c r="C855" s="53" t="str">
        <f aca="false">INDEX(I_Items!$C$5:$C$133,MATCH($B855,I_Items!$A$5:$A$133,0))</f>
        <v>Trading</v>
      </c>
      <c r="D855" s="53" t="str">
        <f aca="false">INDEX(I_Items!$D$5:$D$133,MATCH($B855,I_Items!$A$5:$A$133,0))</f>
        <v>BLP</v>
      </c>
      <c r="E855" s="53" t="str">
        <f aca="false">INDEX(I_Items!$F$5:$F$133,MATCH($B855,I_Items!$A$5:$A$133,0))</f>
        <v>Frozen</v>
      </c>
      <c r="F855" s="53" t="str">
        <f aca="false">IF(INDEX(I_Items!$E$5:$E$133,MATCH($B855,I_Items!$A$5:$A$133,0))="","",INDEX(I_Items!$E$5:$E$133,MATCH($B855,I_Items!$A$5:$A$133,0)))</f>
        <v/>
      </c>
      <c r="G855" s="76" t="n">
        <v>46211</v>
      </c>
      <c r="H855" s="23" t="n">
        <f aca="false">MONTH(G855)</f>
        <v>7</v>
      </c>
      <c r="I855" s="74" t="s">
        <v>2074</v>
      </c>
      <c r="J855" s="74" t="s">
        <v>2215</v>
      </c>
      <c r="K855" s="10" t="n">
        <v>416.22</v>
      </c>
      <c r="L855" s="8" t="n">
        <v>12278490</v>
      </c>
      <c r="M855" s="10" t="n">
        <v>0</v>
      </c>
      <c r="N855" s="8" t="n">
        <v>0</v>
      </c>
      <c r="O855" s="74"/>
      <c r="P855" s="74"/>
      <c r="Q855" s="74"/>
      <c r="R855" s="14" t="n">
        <f aca="false">IF(I855="Unbilled",0,M855)</f>
        <v>0</v>
      </c>
      <c r="S855" s="9" t="n">
        <f aca="false">IF(R855=0,0,IF(O855="Booked",N855,R855*V854))</f>
        <v>0</v>
      </c>
      <c r="T855" s="14" t="n">
        <f aca="false">IF(I855="Opening",K855,T854+K855-R855)</f>
        <v>20798.71</v>
      </c>
      <c r="U855" s="9" t="n">
        <f aca="false">IF(I855="Opening",L855,U854+L855-S855)</f>
        <v>580573491.453059</v>
      </c>
      <c r="V855" s="9" t="n">
        <f aca="false">IF(T855&gt;0,U855/T855,IF(I855="Opening",0,V854))</f>
        <v>27913.9182888294</v>
      </c>
      <c r="W855" s="14" t="n">
        <f aca="false">M855</f>
        <v>0</v>
      </c>
      <c r="X855" s="9" t="n">
        <f aca="false">IF(W855=0,0,IF(O855="Booked",N855,W855*AA854))</f>
        <v>0</v>
      </c>
      <c r="Y855" s="14" t="n">
        <f aca="false">IF(I855="Opening",K855,Y854+K855-W855)</f>
        <v>20798.71</v>
      </c>
      <c r="Z855" s="9" t="n">
        <f aca="false">IF(I855="Opening",L855,Z854+L855-X855)</f>
        <v>580573491.453059</v>
      </c>
      <c r="AA855" s="9" t="n">
        <f aca="false">IF(Y855&gt;0,Z855/Y855,IF(I855="Opening",0,AA854))</f>
        <v>27913.9182888294</v>
      </c>
      <c r="AB855" s="9" t="n">
        <f aca="false">IF(AND(I855="DO",O855="MA"),S855-N855,0)</f>
        <v>0</v>
      </c>
      <c r="AC855" s="9" t="n">
        <f aca="false">IF(I855="DO",X855-S855,0)</f>
        <v>0</v>
      </c>
      <c r="AD855" s="23" t="n">
        <f aca="false">IF(B856&lt;&gt;B855,1,0)</f>
        <v>0</v>
      </c>
      <c r="AE855" s="14" t="n">
        <f aca="false">IF(I855="Opening",0,AE854+W855)</f>
        <v>5903.8</v>
      </c>
      <c r="AF855" s="14" t="n">
        <f aca="false">IF(I855="Opening",K855,AF854)</f>
        <v>6477.78</v>
      </c>
      <c r="AG855" s="14" t="n">
        <f aca="false">AG854</f>
        <v>25917.77</v>
      </c>
      <c r="AH855" s="14" t="n">
        <f aca="false">IF(W855=0,0,MAX(0,MIN(AE855,AF855)-MIN(AE855-W855,AF855)))</f>
        <v>0</v>
      </c>
      <c r="AI855" s="14" t="n">
        <f aca="false">IF(W855=0,0,MAX(0,MIN(AE855,AF855+AG855)-MAX(AE855-W855,AF855)))</f>
        <v>0</v>
      </c>
      <c r="AJ855" s="14" t="n">
        <f aca="false">W855-AH855-AI855</f>
        <v>0</v>
      </c>
      <c r="AK855" s="9" t="n">
        <f aca="false">IF(W855=0,0,X855*AH855/W855)</f>
        <v>0</v>
      </c>
      <c r="AL855" s="9" t="n">
        <f aca="false">IF(W855=0,0,X855*AI855/W855)</f>
        <v>0</v>
      </c>
      <c r="AM855" s="9" t="n">
        <f aca="false">X855-AK855-AL855</f>
        <v>0</v>
      </c>
    </row>
    <row r="856" customFormat="false" ht="15" hidden="false" customHeight="false" outlineLevel="0" collapsed="false">
      <c r="A856" s="6" t="n">
        <v>851</v>
      </c>
      <c r="B856" s="74" t="s">
        <v>1020</v>
      </c>
      <c r="C856" s="53" t="str">
        <f aca="false">INDEX(I_Items!$C$5:$C$133,MATCH($B856,I_Items!$A$5:$A$133,0))</f>
        <v>Trading</v>
      </c>
      <c r="D856" s="53" t="str">
        <f aca="false">INDEX(I_Items!$D$5:$D$133,MATCH($B856,I_Items!$A$5:$A$133,0))</f>
        <v>BLP</v>
      </c>
      <c r="E856" s="53" t="str">
        <f aca="false">INDEX(I_Items!$F$5:$F$133,MATCH($B856,I_Items!$A$5:$A$133,0))</f>
        <v>Frozen</v>
      </c>
      <c r="F856" s="53" t="str">
        <f aca="false">IF(INDEX(I_Items!$E$5:$E$133,MATCH($B856,I_Items!$A$5:$A$133,0))="","",INDEX(I_Items!$E$5:$E$133,MATCH($B856,I_Items!$A$5:$A$133,0)))</f>
        <v/>
      </c>
      <c r="G856" s="76" t="n">
        <v>46211</v>
      </c>
      <c r="H856" s="23" t="n">
        <f aca="false">MONTH(G856)</f>
        <v>7</v>
      </c>
      <c r="I856" s="74" t="s">
        <v>2074</v>
      </c>
      <c r="J856" s="74" t="s">
        <v>2216</v>
      </c>
      <c r="K856" s="10" t="n">
        <v>585.52</v>
      </c>
      <c r="L856" s="8" t="n">
        <v>17272840</v>
      </c>
      <c r="M856" s="10" t="n">
        <v>0</v>
      </c>
      <c r="N856" s="8" t="n">
        <v>0</v>
      </c>
      <c r="O856" s="74"/>
      <c r="P856" s="74"/>
      <c r="Q856" s="74"/>
      <c r="R856" s="14" t="n">
        <f aca="false">IF(I856="Unbilled",0,M856)</f>
        <v>0</v>
      </c>
      <c r="S856" s="9" t="n">
        <f aca="false">IF(R856=0,0,IF(O856="Booked",N856,R856*V855))</f>
        <v>0</v>
      </c>
      <c r="T856" s="14" t="n">
        <f aca="false">IF(I856="Opening",K856,T855+K856-R856)</f>
        <v>21384.23</v>
      </c>
      <c r="U856" s="9" t="n">
        <f aca="false">IF(I856="Opening",L856,U855+L856-S856)</f>
        <v>597846331.453059</v>
      </c>
      <c r="V856" s="9" t="n">
        <f aca="false">IF(T856&gt;0,U856/T856,IF(I856="Opening",0,V855))</f>
        <v>27957.346673369</v>
      </c>
      <c r="W856" s="14" t="n">
        <f aca="false">M856</f>
        <v>0</v>
      </c>
      <c r="X856" s="9" t="n">
        <f aca="false">IF(W856=0,0,IF(O856="Booked",N856,W856*AA855))</f>
        <v>0</v>
      </c>
      <c r="Y856" s="14" t="n">
        <f aca="false">IF(I856="Opening",K856,Y855+K856-W856)</f>
        <v>21384.23</v>
      </c>
      <c r="Z856" s="9" t="n">
        <f aca="false">IF(I856="Opening",L856,Z855+L856-X856)</f>
        <v>597846331.453059</v>
      </c>
      <c r="AA856" s="9" t="n">
        <f aca="false">IF(Y856&gt;0,Z856/Y856,IF(I856="Opening",0,AA855))</f>
        <v>27957.346673369</v>
      </c>
      <c r="AB856" s="9" t="n">
        <f aca="false">IF(AND(I856="DO",O856="MA"),S856-N856,0)</f>
        <v>0</v>
      </c>
      <c r="AC856" s="9" t="n">
        <f aca="false">IF(I856="DO",X856-S856,0)</f>
        <v>0</v>
      </c>
      <c r="AD856" s="23" t="n">
        <f aca="false">IF(B857&lt;&gt;B856,1,0)</f>
        <v>0</v>
      </c>
      <c r="AE856" s="14" t="n">
        <f aca="false">IF(I856="Opening",0,AE855+W856)</f>
        <v>5903.8</v>
      </c>
      <c r="AF856" s="14" t="n">
        <f aca="false">IF(I856="Opening",K856,AF855)</f>
        <v>6477.78</v>
      </c>
      <c r="AG856" s="14" t="n">
        <f aca="false">AG855</f>
        <v>25917.77</v>
      </c>
      <c r="AH856" s="14" t="n">
        <f aca="false">IF(W856=0,0,MAX(0,MIN(AE856,AF856)-MIN(AE856-W856,AF856)))</f>
        <v>0</v>
      </c>
      <c r="AI856" s="14" t="n">
        <f aca="false">IF(W856=0,0,MAX(0,MIN(AE856,AF856+AG856)-MAX(AE856-W856,AF856)))</f>
        <v>0</v>
      </c>
      <c r="AJ856" s="14" t="n">
        <f aca="false">W856-AH856-AI856</f>
        <v>0</v>
      </c>
      <c r="AK856" s="9" t="n">
        <f aca="false">IF(W856=0,0,X856*AH856/W856)</f>
        <v>0</v>
      </c>
      <c r="AL856" s="9" t="n">
        <f aca="false">IF(W856=0,0,X856*AI856/W856)</f>
        <v>0</v>
      </c>
      <c r="AM856" s="9" t="n">
        <f aca="false">X856-AK856-AL856</f>
        <v>0</v>
      </c>
    </row>
    <row r="857" customFormat="false" ht="15" hidden="false" customHeight="false" outlineLevel="0" collapsed="false">
      <c r="A857" s="6" t="n">
        <v>852</v>
      </c>
      <c r="B857" s="74" t="s">
        <v>1020</v>
      </c>
      <c r="C857" s="53" t="str">
        <f aca="false">INDEX(I_Items!$C$5:$C$133,MATCH($B857,I_Items!$A$5:$A$133,0))</f>
        <v>Trading</v>
      </c>
      <c r="D857" s="53" t="str">
        <f aca="false">INDEX(I_Items!$D$5:$D$133,MATCH($B857,I_Items!$A$5:$A$133,0))</f>
        <v>BLP</v>
      </c>
      <c r="E857" s="53" t="str">
        <f aca="false">INDEX(I_Items!$F$5:$F$133,MATCH($B857,I_Items!$A$5:$A$133,0))</f>
        <v>Frozen</v>
      </c>
      <c r="F857" s="53" t="str">
        <f aca="false">IF(INDEX(I_Items!$E$5:$E$133,MATCH($B857,I_Items!$A$5:$A$133,0))="","",INDEX(I_Items!$E$5:$E$133,MATCH($B857,I_Items!$A$5:$A$133,0)))</f>
        <v/>
      </c>
      <c r="G857" s="76" t="n">
        <v>46211</v>
      </c>
      <c r="H857" s="23" t="n">
        <f aca="false">MONTH(G857)</f>
        <v>7</v>
      </c>
      <c r="I857" s="74" t="s">
        <v>2074</v>
      </c>
      <c r="J857" s="74" t="s">
        <v>2217</v>
      </c>
      <c r="K857" s="10" t="n">
        <v>103.6</v>
      </c>
      <c r="L857" s="8" t="n">
        <v>3056200</v>
      </c>
      <c r="M857" s="10" t="n">
        <v>0</v>
      </c>
      <c r="N857" s="8" t="n">
        <v>0</v>
      </c>
      <c r="O857" s="74"/>
      <c r="P857" s="74"/>
      <c r="Q857" s="74"/>
      <c r="R857" s="14" t="n">
        <f aca="false">IF(I857="Unbilled",0,M857)</f>
        <v>0</v>
      </c>
      <c r="S857" s="9" t="n">
        <f aca="false">IF(R857=0,0,IF(O857="Booked",N857,R857*V856))</f>
        <v>0</v>
      </c>
      <c r="T857" s="14" t="n">
        <f aca="false">IF(I857="Opening",K857,T856+K857-R857)</f>
        <v>21487.83</v>
      </c>
      <c r="U857" s="9" t="n">
        <f aca="false">IF(I857="Opening",L857,U856+L857-S857)</f>
        <v>600902531.453059</v>
      </c>
      <c r="V857" s="9" t="n">
        <f aca="false">IF(T857&gt;0,U857/T857,IF(I857="Opening",0,V856))</f>
        <v>27964.7843199178</v>
      </c>
      <c r="W857" s="14" t="n">
        <f aca="false">M857</f>
        <v>0</v>
      </c>
      <c r="X857" s="9" t="n">
        <f aca="false">IF(W857=0,0,IF(O857="Booked",N857,W857*AA856))</f>
        <v>0</v>
      </c>
      <c r="Y857" s="14" t="n">
        <f aca="false">IF(I857="Opening",K857,Y856+K857-W857)</f>
        <v>21487.83</v>
      </c>
      <c r="Z857" s="9" t="n">
        <f aca="false">IF(I857="Opening",L857,Z856+L857-X857)</f>
        <v>600902531.453059</v>
      </c>
      <c r="AA857" s="9" t="n">
        <f aca="false">IF(Y857&gt;0,Z857/Y857,IF(I857="Opening",0,AA856))</f>
        <v>27964.7843199178</v>
      </c>
      <c r="AB857" s="9" t="n">
        <f aca="false">IF(AND(I857="DO",O857="MA"),S857-N857,0)</f>
        <v>0</v>
      </c>
      <c r="AC857" s="9" t="n">
        <f aca="false">IF(I857="DO",X857-S857,0)</f>
        <v>0</v>
      </c>
      <c r="AD857" s="23" t="n">
        <f aca="false">IF(B858&lt;&gt;B857,1,0)</f>
        <v>0</v>
      </c>
      <c r="AE857" s="14" t="n">
        <f aca="false">IF(I857="Opening",0,AE856+W857)</f>
        <v>5903.8</v>
      </c>
      <c r="AF857" s="14" t="n">
        <f aca="false">IF(I857="Opening",K857,AF856)</f>
        <v>6477.78</v>
      </c>
      <c r="AG857" s="14" t="n">
        <f aca="false">AG856</f>
        <v>25917.77</v>
      </c>
      <c r="AH857" s="14" t="n">
        <f aca="false">IF(W857=0,0,MAX(0,MIN(AE857,AF857)-MIN(AE857-W857,AF857)))</f>
        <v>0</v>
      </c>
      <c r="AI857" s="14" t="n">
        <f aca="false">IF(W857=0,0,MAX(0,MIN(AE857,AF857+AG857)-MAX(AE857-W857,AF857)))</f>
        <v>0</v>
      </c>
      <c r="AJ857" s="14" t="n">
        <f aca="false">W857-AH857-AI857</f>
        <v>0</v>
      </c>
      <c r="AK857" s="9" t="n">
        <f aca="false">IF(W857=0,0,X857*AH857/W857)</f>
        <v>0</v>
      </c>
      <c r="AL857" s="9" t="n">
        <f aca="false">IF(W857=0,0,X857*AI857/W857)</f>
        <v>0</v>
      </c>
      <c r="AM857" s="9" t="n">
        <f aca="false">X857-AK857-AL857</f>
        <v>0</v>
      </c>
    </row>
    <row r="858" customFormat="false" ht="15" hidden="false" customHeight="false" outlineLevel="0" collapsed="false">
      <c r="A858" s="6" t="n">
        <v>853</v>
      </c>
      <c r="B858" s="74" t="s">
        <v>1020</v>
      </c>
      <c r="C858" s="53" t="str">
        <f aca="false">INDEX(I_Items!$C$5:$C$133,MATCH($B858,I_Items!$A$5:$A$133,0))</f>
        <v>Trading</v>
      </c>
      <c r="D858" s="53" t="str">
        <f aca="false">INDEX(I_Items!$D$5:$D$133,MATCH($B858,I_Items!$A$5:$A$133,0))</f>
        <v>BLP</v>
      </c>
      <c r="E858" s="53" t="str">
        <f aca="false">INDEX(I_Items!$F$5:$F$133,MATCH($B858,I_Items!$A$5:$A$133,0))</f>
        <v>Frozen</v>
      </c>
      <c r="F858" s="53" t="str">
        <f aca="false">IF(INDEX(I_Items!$E$5:$E$133,MATCH($B858,I_Items!$A$5:$A$133,0))="","",INDEX(I_Items!$E$5:$E$133,MATCH($B858,I_Items!$A$5:$A$133,0)))</f>
        <v/>
      </c>
      <c r="G858" s="76" t="n">
        <v>46212</v>
      </c>
      <c r="H858" s="23" t="n">
        <f aca="false">MONTH(G858)</f>
        <v>7</v>
      </c>
      <c r="I858" s="74" t="s">
        <v>2074</v>
      </c>
      <c r="J858" s="74" t="s">
        <v>2218</v>
      </c>
      <c r="K858" s="10" t="n">
        <v>2338.96</v>
      </c>
      <c r="L858" s="8" t="n">
        <v>66660360</v>
      </c>
      <c r="M858" s="10" t="n">
        <v>0</v>
      </c>
      <c r="N858" s="8" t="n">
        <v>0</v>
      </c>
      <c r="O858" s="74"/>
      <c r="P858" s="74"/>
      <c r="Q858" s="74"/>
      <c r="R858" s="14" t="n">
        <f aca="false">IF(I858="Unbilled",0,M858)</f>
        <v>0</v>
      </c>
      <c r="S858" s="9" t="n">
        <f aca="false">IF(R858=0,0,IF(O858="Booked",N858,R858*V857))</f>
        <v>0</v>
      </c>
      <c r="T858" s="14" t="n">
        <f aca="false">IF(I858="Opening",K858,T857+K858-R858)</f>
        <v>23826.79</v>
      </c>
      <c r="U858" s="9" t="n">
        <f aca="false">IF(I858="Opening",L858,U857+L858-S858)</f>
        <v>667562891.453059</v>
      </c>
      <c r="V858" s="9" t="n">
        <f aca="false">IF(T858&gt;0,U858/T858,IF(I858="Opening",0,V857))</f>
        <v>28017.3238381275</v>
      </c>
      <c r="W858" s="14" t="n">
        <f aca="false">M858</f>
        <v>0</v>
      </c>
      <c r="X858" s="9" t="n">
        <f aca="false">IF(W858=0,0,IF(O858="Booked",N858,W858*AA857))</f>
        <v>0</v>
      </c>
      <c r="Y858" s="14" t="n">
        <f aca="false">IF(I858="Opening",K858,Y857+K858-W858)</f>
        <v>23826.79</v>
      </c>
      <c r="Z858" s="9" t="n">
        <f aca="false">IF(I858="Opening",L858,Z857+L858-X858)</f>
        <v>667562891.453059</v>
      </c>
      <c r="AA858" s="9" t="n">
        <f aca="false">IF(Y858&gt;0,Z858/Y858,IF(I858="Opening",0,AA857))</f>
        <v>28017.3238381275</v>
      </c>
      <c r="AB858" s="9" t="n">
        <f aca="false">IF(AND(I858="DO",O858="MA"),S858-N858,0)</f>
        <v>0</v>
      </c>
      <c r="AC858" s="9" t="n">
        <f aca="false">IF(I858="DO",X858-S858,0)</f>
        <v>0</v>
      </c>
      <c r="AD858" s="23" t="n">
        <f aca="false">IF(B859&lt;&gt;B858,1,0)</f>
        <v>0</v>
      </c>
      <c r="AE858" s="14" t="n">
        <f aca="false">IF(I858="Opening",0,AE857+W858)</f>
        <v>5903.8</v>
      </c>
      <c r="AF858" s="14" t="n">
        <f aca="false">IF(I858="Opening",K858,AF857)</f>
        <v>6477.78</v>
      </c>
      <c r="AG858" s="14" t="n">
        <f aca="false">AG857</f>
        <v>25917.77</v>
      </c>
      <c r="AH858" s="14" t="n">
        <f aca="false">IF(W858=0,0,MAX(0,MIN(AE858,AF858)-MIN(AE858-W858,AF858)))</f>
        <v>0</v>
      </c>
      <c r="AI858" s="14" t="n">
        <f aca="false">IF(W858=0,0,MAX(0,MIN(AE858,AF858+AG858)-MAX(AE858-W858,AF858)))</f>
        <v>0</v>
      </c>
      <c r="AJ858" s="14" t="n">
        <f aca="false">W858-AH858-AI858</f>
        <v>0</v>
      </c>
      <c r="AK858" s="9" t="n">
        <f aca="false">IF(W858=0,0,X858*AH858/W858)</f>
        <v>0</v>
      </c>
      <c r="AL858" s="9" t="n">
        <f aca="false">IF(W858=0,0,X858*AI858/W858)</f>
        <v>0</v>
      </c>
      <c r="AM858" s="9" t="n">
        <f aca="false">X858-AK858-AL858</f>
        <v>0</v>
      </c>
    </row>
    <row r="859" customFormat="false" ht="15" hidden="false" customHeight="false" outlineLevel="0" collapsed="false">
      <c r="A859" s="6" t="n">
        <v>854</v>
      </c>
      <c r="B859" s="74" t="s">
        <v>1020</v>
      </c>
      <c r="C859" s="53" t="str">
        <f aca="false">INDEX(I_Items!$C$5:$C$133,MATCH($B859,I_Items!$A$5:$A$133,0))</f>
        <v>Trading</v>
      </c>
      <c r="D859" s="53" t="str">
        <f aca="false">INDEX(I_Items!$D$5:$D$133,MATCH($B859,I_Items!$A$5:$A$133,0))</f>
        <v>BLP</v>
      </c>
      <c r="E859" s="53" t="str">
        <f aca="false">INDEX(I_Items!$F$5:$F$133,MATCH($B859,I_Items!$A$5:$A$133,0))</f>
        <v>Frozen</v>
      </c>
      <c r="F859" s="53" t="str">
        <f aca="false">IF(INDEX(I_Items!$E$5:$E$133,MATCH($B859,I_Items!$A$5:$A$133,0))="","",INDEX(I_Items!$E$5:$E$133,MATCH($B859,I_Items!$A$5:$A$133,0)))</f>
        <v/>
      </c>
      <c r="G859" s="76" t="n">
        <v>46213</v>
      </c>
      <c r="H859" s="23" t="n">
        <f aca="false">MONTH(G859)</f>
        <v>7</v>
      </c>
      <c r="I859" s="74" t="s">
        <v>2074</v>
      </c>
      <c r="J859" s="74" t="s">
        <v>2219</v>
      </c>
      <c r="K859" s="10" t="n">
        <v>349.39</v>
      </c>
      <c r="L859" s="8" t="n">
        <v>10307005</v>
      </c>
      <c r="M859" s="10" t="n">
        <v>0</v>
      </c>
      <c r="N859" s="8" t="n">
        <v>0</v>
      </c>
      <c r="O859" s="74"/>
      <c r="P859" s="74"/>
      <c r="Q859" s="74"/>
      <c r="R859" s="14" t="n">
        <f aca="false">IF(I859="Unbilled",0,M859)</f>
        <v>0</v>
      </c>
      <c r="S859" s="9" t="n">
        <f aca="false">IF(R859=0,0,IF(O859="Booked",N859,R859*V858))</f>
        <v>0</v>
      </c>
      <c r="T859" s="14" t="n">
        <f aca="false">IF(I859="Opening",K859,T858+K859-R859)</f>
        <v>24176.18</v>
      </c>
      <c r="U859" s="9" t="n">
        <f aca="false">IF(I859="Opening",L859,U858+L859-S859)</f>
        <v>677869896.453059</v>
      </c>
      <c r="V859" s="9" t="n">
        <f aca="false">IF(T859&gt;0,U859/T859,IF(I859="Opening",0,V858))</f>
        <v>28038.7512193017</v>
      </c>
      <c r="W859" s="14" t="n">
        <f aca="false">M859</f>
        <v>0</v>
      </c>
      <c r="X859" s="9" t="n">
        <f aca="false">IF(W859=0,0,IF(O859="Booked",N859,W859*AA858))</f>
        <v>0</v>
      </c>
      <c r="Y859" s="14" t="n">
        <f aca="false">IF(I859="Opening",K859,Y858+K859-W859)</f>
        <v>24176.18</v>
      </c>
      <c r="Z859" s="9" t="n">
        <f aca="false">IF(I859="Opening",L859,Z858+L859-X859)</f>
        <v>677869896.453059</v>
      </c>
      <c r="AA859" s="9" t="n">
        <f aca="false">IF(Y859&gt;0,Z859/Y859,IF(I859="Opening",0,AA858))</f>
        <v>28038.7512193017</v>
      </c>
      <c r="AB859" s="9" t="n">
        <f aca="false">IF(AND(I859="DO",O859="MA"),S859-N859,0)</f>
        <v>0</v>
      </c>
      <c r="AC859" s="9" t="n">
        <f aca="false">IF(I859="DO",X859-S859,0)</f>
        <v>0</v>
      </c>
      <c r="AD859" s="23" t="n">
        <f aca="false">IF(B860&lt;&gt;B859,1,0)</f>
        <v>0</v>
      </c>
      <c r="AE859" s="14" t="n">
        <f aca="false">IF(I859="Opening",0,AE858+W859)</f>
        <v>5903.8</v>
      </c>
      <c r="AF859" s="14" t="n">
        <f aca="false">IF(I859="Opening",K859,AF858)</f>
        <v>6477.78</v>
      </c>
      <c r="AG859" s="14" t="n">
        <f aca="false">AG858</f>
        <v>25917.77</v>
      </c>
      <c r="AH859" s="14" t="n">
        <f aca="false">IF(W859=0,0,MAX(0,MIN(AE859,AF859)-MIN(AE859-W859,AF859)))</f>
        <v>0</v>
      </c>
      <c r="AI859" s="14" t="n">
        <f aca="false">IF(W859=0,0,MAX(0,MIN(AE859,AF859+AG859)-MAX(AE859-W859,AF859)))</f>
        <v>0</v>
      </c>
      <c r="AJ859" s="14" t="n">
        <f aca="false">W859-AH859-AI859</f>
        <v>0</v>
      </c>
      <c r="AK859" s="9" t="n">
        <f aca="false">IF(W859=0,0,X859*AH859/W859)</f>
        <v>0</v>
      </c>
      <c r="AL859" s="9" t="n">
        <f aca="false">IF(W859=0,0,X859*AI859/W859)</f>
        <v>0</v>
      </c>
      <c r="AM859" s="9" t="n">
        <f aca="false">X859-AK859-AL859</f>
        <v>0</v>
      </c>
    </row>
    <row r="860" customFormat="false" ht="15" hidden="false" customHeight="false" outlineLevel="0" collapsed="false">
      <c r="A860" s="6" t="n">
        <v>855</v>
      </c>
      <c r="B860" s="74" t="s">
        <v>1020</v>
      </c>
      <c r="C860" s="53" t="str">
        <f aca="false">INDEX(I_Items!$C$5:$C$133,MATCH($B860,I_Items!$A$5:$A$133,0))</f>
        <v>Trading</v>
      </c>
      <c r="D860" s="53" t="str">
        <f aca="false">INDEX(I_Items!$D$5:$D$133,MATCH($B860,I_Items!$A$5:$A$133,0))</f>
        <v>BLP</v>
      </c>
      <c r="E860" s="53" t="str">
        <f aca="false">INDEX(I_Items!$F$5:$F$133,MATCH($B860,I_Items!$A$5:$A$133,0))</f>
        <v>Frozen</v>
      </c>
      <c r="F860" s="53" t="str">
        <f aca="false">IF(INDEX(I_Items!$E$5:$E$133,MATCH($B860,I_Items!$A$5:$A$133,0))="","",INDEX(I_Items!$E$5:$E$133,MATCH($B860,I_Items!$A$5:$A$133,0)))</f>
        <v/>
      </c>
      <c r="G860" s="76" t="n">
        <v>46213</v>
      </c>
      <c r="H860" s="23" t="n">
        <f aca="false">MONTH(G860)</f>
        <v>7</v>
      </c>
      <c r="I860" s="74" t="s">
        <v>2074</v>
      </c>
      <c r="J860" s="74" t="s">
        <v>2220</v>
      </c>
      <c r="K860" s="10" t="n">
        <v>919.49</v>
      </c>
      <c r="L860" s="8" t="n">
        <v>27124955</v>
      </c>
      <c r="M860" s="10" t="n">
        <v>0</v>
      </c>
      <c r="N860" s="8" t="n">
        <v>0</v>
      </c>
      <c r="O860" s="74"/>
      <c r="P860" s="74"/>
      <c r="Q860" s="74"/>
      <c r="R860" s="14" t="n">
        <f aca="false">IF(I860="Unbilled",0,M860)</f>
        <v>0</v>
      </c>
      <c r="S860" s="9" t="n">
        <f aca="false">IF(R860=0,0,IF(O860="Booked",N860,R860*V859))</f>
        <v>0</v>
      </c>
      <c r="T860" s="14" t="n">
        <f aca="false">IF(I860="Opening",K860,T859+K860-R860)</f>
        <v>25095.67</v>
      </c>
      <c r="U860" s="9" t="n">
        <f aca="false">IF(I860="Opening",L860,U859+L860-S860)</f>
        <v>704994851.453059</v>
      </c>
      <c r="V860" s="9" t="n">
        <f aca="false">IF(T860&gt;0,U860/T860,IF(I860="Opening",0,V859))</f>
        <v>28092.29048091</v>
      </c>
      <c r="W860" s="14" t="n">
        <f aca="false">M860</f>
        <v>0</v>
      </c>
      <c r="X860" s="9" t="n">
        <f aca="false">IF(W860=0,0,IF(O860="Booked",N860,W860*AA859))</f>
        <v>0</v>
      </c>
      <c r="Y860" s="14" t="n">
        <f aca="false">IF(I860="Opening",K860,Y859+K860-W860)</f>
        <v>25095.67</v>
      </c>
      <c r="Z860" s="9" t="n">
        <f aca="false">IF(I860="Opening",L860,Z859+L860-X860)</f>
        <v>704994851.453059</v>
      </c>
      <c r="AA860" s="9" t="n">
        <f aca="false">IF(Y860&gt;0,Z860/Y860,IF(I860="Opening",0,AA859))</f>
        <v>28092.29048091</v>
      </c>
      <c r="AB860" s="9" t="n">
        <f aca="false">IF(AND(I860="DO",O860="MA"),S860-N860,0)</f>
        <v>0</v>
      </c>
      <c r="AC860" s="9" t="n">
        <f aca="false">IF(I860="DO",X860-S860,0)</f>
        <v>0</v>
      </c>
      <c r="AD860" s="23" t="n">
        <f aca="false">IF(B861&lt;&gt;B860,1,0)</f>
        <v>0</v>
      </c>
      <c r="AE860" s="14" t="n">
        <f aca="false">IF(I860="Opening",0,AE859+W860)</f>
        <v>5903.8</v>
      </c>
      <c r="AF860" s="14" t="n">
        <f aca="false">IF(I860="Opening",K860,AF859)</f>
        <v>6477.78</v>
      </c>
      <c r="AG860" s="14" t="n">
        <f aca="false">AG859</f>
        <v>25917.77</v>
      </c>
      <c r="AH860" s="14" t="n">
        <f aca="false">IF(W860=0,0,MAX(0,MIN(AE860,AF860)-MIN(AE860-W860,AF860)))</f>
        <v>0</v>
      </c>
      <c r="AI860" s="14" t="n">
        <f aca="false">IF(W860=0,0,MAX(0,MIN(AE860,AF860+AG860)-MAX(AE860-W860,AF860)))</f>
        <v>0</v>
      </c>
      <c r="AJ860" s="14" t="n">
        <f aca="false">W860-AH860-AI860</f>
        <v>0</v>
      </c>
      <c r="AK860" s="9" t="n">
        <f aca="false">IF(W860=0,0,X860*AH860/W860)</f>
        <v>0</v>
      </c>
      <c r="AL860" s="9" t="n">
        <f aca="false">IF(W860=0,0,X860*AI860/W860)</f>
        <v>0</v>
      </c>
      <c r="AM860" s="9" t="n">
        <f aca="false">X860-AK860-AL860</f>
        <v>0</v>
      </c>
    </row>
    <row r="861" customFormat="false" ht="15" hidden="false" customHeight="false" outlineLevel="0" collapsed="false">
      <c r="A861" s="6" t="n">
        <v>856</v>
      </c>
      <c r="B861" s="74" t="s">
        <v>1020</v>
      </c>
      <c r="C861" s="53" t="str">
        <f aca="false">INDEX(I_Items!$C$5:$C$133,MATCH($B861,I_Items!$A$5:$A$133,0))</f>
        <v>Trading</v>
      </c>
      <c r="D861" s="53" t="str">
        <f aca="false">INDEX(I_Items!$D$5:$D$133,MATCH($B861,I_Items!$A$5:$A$133,0))</f>
        <v>BLP</v>
      </c>
      <c r="E861" s="53" t="str">
        <f aca="false">INDEX(I_Items!$F$5:$F$133,MATCH($B861,I_Items!$A$5:$A$133,0))</f>
        <v>Frozen</v>
      </c>
      <c r="F861" s="53" t="str">
        <f aca="false">IF(INDEX(I_Items!$E$5:$E$133,MATCH($B861,I_Items!$A$5:$A$133,0))="","",INDEX(I_Items!$E$5:$E$133,MATCH($B861,I_Items!$A$5:$A$133,0)))</f>
        <v/>
      </c>
      <c r="G861" s="76" t="n">
        <v>46213</v>
      </c>
      <c r="H861" s="23" t="n">
        <f aca="false">MONTH(G861)</f>
        <v>7</v>
      </c>
      <c r="I861" s="74" t="s">
        <v>2074</v>
      </c>
      <c r="J861" s="74" t="s">
        <v>2221</v>
      </c>
      <c r="K861" s="10" t="n">
        <v>267.99</v>
      </c>
      <c r="L861" s="8" t="n">
        <v>7905705</v>
      </c>
      <c r="M861" s="10" t="n">
        <v>0</v>
      </c>
      <c r="N861" s="8" t="n">
        <v>0</v>
      </c>
      <c r="O861" s="74"/>
      <c r="P861" s="74"/>
      <c r="Q861" s="74"/>
      <c r="R861" s="14" t="n">
        <f aca="false">IF(I861="Unbilled",0,M861)</f>
        <v>0</v>
      </c>
      <c r="S861" s="9" t="n">
        <f aca="false">IF(R861=0,0,IF(O861="Booked",N861,R861*V860))</f>
        <v>0</v>
      </c>
      <c r="T861" s="14" t="n">
        <f aca="false">IF(I861="Opening",K861,T860+K861-R861)</f>
        <v>25363.66</v>
      </c>
      <c r="U861" s="9" t="n">
        <f aca="false">IF(I861="Opening",L861,U860+L861-S861)</f>
        <v>712900556.453059</v>
      </c>
      <c r="V861" s="9" t="n">
        <f aca="false">IF(T861&gt;0,U861/T861,IF(I861="Opening",0,V860))</f>
        <v>28107.1642047346</v>
      </c>
      <c r="W861" s="14" t="n">
        <f aca="false">M861</f>
        <v>0</v>
      </c>
      <c r="X861" s="9" t="n">
        <f aca="false">IF(W861=0,0,IF(O861="Booked",N861,W861*AA860))</f>
        <v>0</v>
      </c>
      <c r="Y861" s="14" t="n">
        <f aca="false">IF(I861="Opening",K861,Y860+K861-W861)</f>
        <v>25363.66</v>
      </c>
      <c r="Z861" s="9" t="n">
        <f aca="false">IF(I861="Opening",L861,Z860+L861-X861)</f>
        <v>712900556.453059</v>
      </c>
      <c r="AA861" s="9" t="n">
        <f aca="false">IF(Y861&gt;0,Z861/Y861,IF(I861="Opening",0,AA860))</f>
        <v>28107.1642047346</v>
      </c>
      <c r="AB861" s="9" t="n">
        <f aca="false">IF(AND(I861="DO",O861="MA"),S861-N861,0)</f>
        <v>0</v>
      </c>
      <c r="AC861" s="9" t="n">
        <f aca="false">IF(I861="DO",X861-S861,0)</f>
        <v>0</v>
      </c>
      <c r="AD861" s="23" t="n">
        <f aca="false">IF(B862&lt;&gt;B861,1,0)</f>
        <v>0</v>
      </c>
      <c r="AE861" s="14" t="n">
        <f aca="false">IF(I861="Opening",0,AE860+W861)</f>
        <v>5903.8</v>
      </c>
      <c r="AF861" s="14" t="n">
        <f aca="false">IF(I861="Opening",K861,AF860)</f>
        <v>6477.78</v>
      </c>
      <c r="AG861" s="14" t="n">
        <f aca="false">AG860</f>
        <v>25917.77</v>
      </c>
      <c r="AH861" s="14" t="n">
        <f aca="false">IF(W861=0,0,MAX(0,MIN(AE861,AF861)-MIN(AE861-W861,AF861)))</f>
        <v>0</v>
      </c>
      <c r="AI861" s="14" t="n">
        <f aca="false">IF(W861=0,0,MAX(0,MIN(AE861,AF861+AG861)-MAX(AE861-W861,AF861)))</f>
        <v>0</v>
      </c>
      <c r="AJ861" s="14" t="n">
        <f aca="false">W861-AH861-AI861</f>
        <v>0</v>
      </c>
      <c r="AK861" s="9" t="n">
        <f aca="false">IF(W861=0,0,X861*AH861/W861)</f>
        <v>0</v>
      </c>
      <c r="AL861" s="9" t="n">
        <f aca="false">IF(W861=0,0,X861*AI861/W861)</f>
        <v>0</v>
      </c>
      <c r="AM861" s="9" t="n">
        <f aca="false">X861-AK861-AL861</f>
        <v>0</v>
      </c>
    </row>
    <row r="862" customFormat="false" ht="15" hidden="false" customHeight="false" outlineLevel="0" collapsed="false">
      <c r="A862" s="6" t="n">
        <v>857</v>
      </c>
      <c r="B862" s="74" t="s">
        <v>1020</v>
      </c>
      <c r="C862" s="53" t="str">
        <f aca="false">INDEX(I_Items!$C$5:$C$133,MATCH($B862,I_Items!$A$5:$A$133,0))</f>
        <v>Trading</v>
      </c>
      <c r="D862" s="53" t="str">
        <f aca="false">INDEX(I_Items!$D$5:$D$133,MATCH($B862,I_Items!$A$5:$A$133,0))</f>
        <v>BLP</v>
      </c>
      <c r="E862" s="53" t="str">
        <f aca="false">INDEX(I_Items!$F$5:$F$133,MATCH($B862,I_Items!$A$5:$A$133,0))</f>
        <v>Frozen</v>
      </c>
      <c r="F862" s="53" t="str">
        <f aca="false">IF(INDEX(I_Items!$E$5:$E$133,MATCH($B862,I_Items!$A$5:$A$133,0))="","",INDEX(I_Items!$E$5:$E$133,MATCH($B862,I_Items!$A$5:$A$133,0)))</f>
        <v/>
      </c>
      <c r="G862" s="76" t="n">
        <v>46216</v>
      </c>
      <c r="H862" s="23" t="n">
        <f aca="false">MONTH(G862)</f>
        <v>7</v>
      </c>
      <c r="I862" s="74" t="s">
        <v>2074</v>
      </c>
      <c r="J862" s="74" t="s">
        <v>2223</v>
      </c>
      <c r="K862" s="10" t="n">
        <v>1128.09</v>
      </c>
      <c r="L862" s="8" t="n">
        <v>37791015</v>
      </c>
      <c r="M862" s="10" t="n">
        <v>0</v>
      </c>
      <c r="N862" s="8" t="n">
        <v>0</v>
      </c>
      <c r="O862" s="74"/>
      <c r="P862" s="74"/>
      <c r="Q862" s="74"/>
      <c r="R862" s="14" t="n">
        <f aca="false">IF(I862="Unbilled",0,M862)</f>
        <v>0</v>
      </c>
      <c r="S862" s="9" t="n">
        <f aca="false">IF(R862=0,0,IF(O862="Booked",N862,R862*V861))</f>
        <v>0</v>
      </c>
      <c r="T862" s="14" t="n">
        <f aca="false">IF(I862="Opening",K862,T861+K862-R862)</f>
        <v>26491.75</v>
      </c>
      <c r="U862" s="9" t="n">
        <f aca="false">IF(I862="Opening",L862,U861+L862-S862)</f>
        <v>750691571.453059</v>
      </c>
      <c r="V862" s="9" t="n">
        <f aca="false">IF(T862&gt;0,U862/T862,IF(I862="Opening",0,V861))</f>
        <v>28336.8056641429</v>
      </c>
      <c r="W862" s="14" t="n">
        <f aca="false">M862</f>
        <v>0</v>
      </c>
      <c r="X862" s="9" t="n">
        <f aca="false">IF(W862=0,0,IF(O862="Booked",N862,W862*AA861))</f>
        <v>0</v>
      </c>
      <c r="Y862" s="14" t="n">
        <f aca="false">IF(I862="Opening",K862,Y861+K862-W862)</f>
        <v>26491.75</v>
      </c>
      <c r="Z862" s="9" t="n">
        <f aca="false">IF(I862="Opening",L862,Z861+L862-X862)</f>
        <v>750691571.453059</v>
      </c>
      <c r="AA862" s="9" t="n">
        <f aca="false">IF(Y862&gt;0,Z862/Y862,IF(I862="Opening",0,AA861))</f>
        <v>28336.8056641429</v>
      </c>
      <c r="AB862" s="9" t="n">
        <f aca="false">IF(AND(I862="DO",O862="MA"),S862-N862,0)</f>
        <v>0</v>
      </c>
      <c r="AC862" s="9" t="n">
        <f aca="false">IF(I862="DO",X862-S862,0)</f>
        <v>0</v>
      </c>
      <c r="AD862" s="23" t="n">
        <f aca="false">IF(B863&lt;&gt;B862,1,0)</f>
        <v>0</v>
      </c>
      <c r="AE862" s="14" t="n">
        <f aca="false">IF(I862="Opening",0,AE861+W862)</f>
        <v>5903.8</v>
      </c>
      <c r="AF862" s="14" t="n">
        <f aca="false">IF(I862="Opening",K862,AF861)</f>
        <v>6477.78</v>
      </c>
      <c r="AG862" s="14" t="n">
        <f aca="false">AG861</f>
        <v>25917.77</v>
      </c>
      <c r="AH862" s="14" t="n">
        <f aca="false">IF(W862=0,0,MAX(0,MIN(AE862,AF862)-MIN(AE862-W862,AF862)))</f>
        <v>0</v>
      </c>
      <c r="AI862" s="14" t="n">
        <f aca="false">IF(W862=0,0,MAX(0,MIN(AE862,AF862+AG862)-MAX(AE862-W862,AF862)))</f>
        <v>0</v>
      </c>
      <c r="AJ862" s="14" t="n">
        <f aca="false">W862-AH862-AI862</f>
        <v>0</v>
      </c>
      <c r="AK862" s="9" t="n">
        <f aca="false">IF(W862=0,0,X862*AH862/W862)</f>
        <v>0</v>
      </c>
      <c r="AL862" s="9" t="n">
        <f aca="false">IF(W862=0,0,X862*AI862/W862)</f>
        <v>0</v>
      </c>
      <c r="AM862" s="9" t="n">
        <f aca="false">X862-AK862-AL862</f>
        <v>0</v>
      </c>
    </row>
    <row r="863" customFormat="false" ht="15" hidden="false" customHeight="false" outlineLevel="0" collapsed="false">
      <c r="A863" s="6" t="n">
        <v>858</v>
      </c>
      <c r="B863" s="74" t="s">
        <v>1020</v>
      </c>
      <c r="C863" s="53" t="str">
        <f aca="false">INDEX(I_Items!$C$5:$C$133,MATCH($B863,I_Items!$A$5:$A$133,0))</f>
        <v>Trading</v>
      </c>
      <c r="D863" s="53" t="str">
        <f aca="false">INDEX(I_Items!$D$5:$D$133,MATCH($B863,I_Items!$A$5:$A$133,0))</f>
        <v>BLP</v>
      </c>
      <c r="E863" s="53" t="str">
        <f aca="false">INDEX(I_Items!$F$5:$F$133,MATCH($B863,I_Items!$A$5:$A$133,0))</f>
        <v>Frozen</v>
      </c>
      <c r="F863" s="53" t="str">
        <f aca="false">IF(INDEX(I_Items!$E$5:$E$133,MATCH($B863,I_Items!$A$5:$A$133,0))="","",INDEX(I_Items!$E$5:$E$133,MATCH($B863,I_Items!$A$5:$A$133,0)))</f>
        <v/>
      </c>
      <c r="G863" s="76" t="n">
        <v>46217</v>
      </c>
      <c r="H863" s="23" t="n">
        <f aca="false">MONTH(G863)</f>
        <v>7</v>
      </c>
      <c r="I863" s="74" t="s">
        <v>2075</v>
      </c>
      <c r="J863" s="74" t="s">
        <v>2224</v>
      </c>
      <c r="K863" s="10" t="n">
        <v>0</v>
      </c>
      <c r="L863" s="8" t="n">
        <v>0</v>
      </c>
      <c r="M863" s="10" t="n">
        <v>574.8</v>
      </c>
      <c r="N863" s="8" t="n">
        <v>16287995.92</v>
      </c>
      <c r="O863" s="74" t="s">
        <v>2077</v>
      </c>
      <c r="P863" s="74"/>
      <c r="Q863" s="74"/>
      <c r="R863" s="14" t="n">
        <f aca="false">IF(I863="Unbilled",0,M863)</f>
        <v>574.8</v>
      </c>
      <c r="S863" s="9" t="n">
        <f aca="false">IF(R863=0,0,IF(O863="Booked",N863,R863*V862))</f>
        <v>16287995.8957494</v>
      </c>
      <c r="T863" s="14" t="n">
        <f aca="false">IF(I863="Opening",K863,T862+K863-R863)</f>
        <v>25916.95</v>
      </c>
      <c r="U863" s="9" t="n">
        <f aca="false">IF(I863="Opening",L863,U862+L863-S863)</f>
        <v>734403575.557309</v>
      </c>
      <c r="V863" s="9" t="n">
        <f aca="false">IF(T863&gt;0,U863/T863,IF(I863="Opening",0,V862))</f>
        <v>28336.8056641429</v>
      </c>
      <c r="W863" s="14" t="n">
        <f aca="false">M863</f>
        <v>574.8</v>
      </c>
      <c r="X863" s="9" t="n">
        <f aca="false">IF(W863=0,0,IF(O863="Booked",N863,W863*AA862))</f>
        <v>16287995.8957494</v>
      </c>
      <c r="Y863" s="14" t="n">
        <f aca="false">IF(I863="Opening",K863,Y862+K863-W863)</f>
        <v>25916.95</v>
      </c>
      <c r="Z863" s="9" t="n">
        <f aca="false">IF(I863="Opening",L863,Z862+L863-X863)</f>
        <v>734403575.557309</v>
      </c>
      <c r="AA863" s="9" t="n">
        <f aca="false">IF(Y863&gt;0,Z863/Y863,IF(I863="Opening",0,AA862))</f>
        <v>28336.8056641429</v>
      </c>
      <c r="AB863" s="9" t="n">
        <f aca="false">IF(AND(I863="DO",O863="MA"),S863-N863,0)</f>
        <v>-0.0242506451904774</v>
      </c>
      <c r="AC863" s="9" t="n">
        <f aca="false">IF(I863="DO",X863-S863,0)</f>
        <v>0</v>
      </c>
      <c r="AD863" s="23" t="n">
        <f aca="false">IF(B864&lt;&gt;B863,1,0)</f>
        <v>0</v>
      </c>
      <c r="AE863" s="14" t="n">
        <f aca="false">IF(I863="Opening",0,AE862+W863)</f>
        <v>6478.6</v>
      </c>
      <c r="AF863" s="14" t="n">
        <f aca="false">IF(I863="Opening",K863,AF862)</f>
        <v>6477.78</v>
      </c>
      <c r="AG863" s="14" t="n">
        <f aca="false">AG862</f>
        <v>25917.77</v>
      </c>
      <c r="AH863" s="14" t="n">
        <f aca="false">IF(W863=0,0,MAX(0,MIN(AE863,AF863)-MIN(AE863-W863,AF863)))</f>
        <v>573.98</v>
      </c>
      <c r="AI863" s="14" t="n">
        <f aca="false">IF(W863=0,0,MAX(0,MIN(AE863,AF863+AG863)-MAX(AE863-W863,AF863)))</f>
        <v>0.820000000000619</v>
      </c>
      <c r="AJ863" s="14" t="n">
        <f aca="false">W863-AH863-AI863</f>
        <v>-2.27373675443232E-013</v>
      </c>
      <c r="AK863" s="9" t="n">
        <f aca="false">IF(W863=0,0,X863*AH863/W863)</f>
        <v>16264759.7151047</v>
      </c>
      <c r="AL863" s="9" t="n">
        <f aca="false">IF(W863=0,0,X863*AI863/W863)</f>
        <v>23236.1806446147</v>
      </c>
      <c r="AM863" s="9" t="n">
        <f aca="false">X863-AK863-AL863</f>
        <v>-5.69343683309853E-009</v>
      </c>
    </row>
    <row r="864" customFormat="false" ht="15" hidden="false" customHeight="false" outlineLevel="0" collapsed="false">
      <c r="A864" s="6" t="n">
        <v>859</v>
      </c>
      <c r="B864" s="74" t="s">
        <v>1020</v>
      </c>
      <c r="C864" s="53" t="str">
        <f aca="false">INDEX(I_Items!$C$5:$C$133,MATCH($B864,I_Items!$A$5:$A$133,0))</f>
        <v>Trading</v>
      </c>
      <c r="D864" s="53" t="str">
        <f aca="false">INDEX(I_Items!$D$5:$D$133,MATCH($B864,I_Items!$A$5:$A$133,0))</f>
        <v>BLP</v>
      </c>
      <c r="E864" s="53" t="str">
        <f aca="false">INDEX(I_Items!$F$5:$F$133,MATCH($B864,I_Items!$A$5:$A$133,0))</f>
        <v>Frozen</v>
      </c>
      <c r="F864" s="53" t="str">
        <f aca="false">IF(INDEX(I_Items!$E$5:$E$133,MATCH($B864,I_Items!$A$5:$A$133,0))="","",INDEX(I_Items!$E$5:$E$133,MATCH($B864,I_Items!$A$5:$A$133,0)))</f>
        <v/>
      </c>
      <c r="G864" s="76" t="n">
        <v>46223</v>
      </c>
      <c r="H864" s="23" t="n">
        <f aca="false">MONTH(G864)</f>
        <v>7</v>
      </c>
      <c r="I864" s="74" t="s">
        <v>2075</v>
      </c>
      <c r="J864" s="74" t="s">
        <v>2279</v>
      </c>
      <c r="K864" s="10" t="n">
        <v>0</v>
      </c>
      <c r="L864" s="8" t="n">
        <v>0</v>
      </c>
      <c r="M864" s="10" t="n">
        <v>3651</v>
      </c>
      <c r="N864" s="8" t="n">
        <v>103457677.61</v>
      </c>
      <c r="O864" s="74" t="s">
        <v>2077</v>
      </c>
      <c r="P864" s="74"/>
      <c r="Q864" s="74"/>
      <c r="R864" s="14" t="n">
        <f aca="false">IF(I864="Unbilled",0,M864)</f>
        <v>3651</v>
      </c>
      <c r="S864" s="9" t="n">
        <f aca="false">IF(R864=0,0,IF(O864="Booked",N864,R864*V863))</f>
        <v>103457677.479786</v>
      </c>
      <c r="T864" s="14" t="n">
        <f aca="false">IF(I864="Opening",K864,T863+K864-R864)</f>
        <v>22265.95</v>
      </c>
      <c r="U864" s="9" t="n">
        <f aca="false">IF(I864="Opening",L864,U863+L864-S864)</f>
        <v>630945898.077523</v>
      </c>
      <c r="V864" s="9" t="n">
        <f aca="false">IF(T864&gt;0,U864/T864,IF(I864="Opening",0,V863))</f>
        <v>28336.8056641429</v>
      </c>
      <c r="W864" s="14" t="n">
        <f aca="false">M864</f>
        <v>3651</v>
      </c>
      <c r="X864" s="9" t="n">
        <f aca="false">IF(W864=0,0,IF(O864="Booked",N864,W864*AA863))</f>
        <v>103457677.479786</v>
      </c>
      <c r="Y864" s="14" t="n">
        <f aca="false">IF(I864="Opening",K864,Y863+K864-W864)</f>
        <v>22265.95</v>
      </c>
      <c r="Z864" s="9" t="n">
        <f aca="false">IF(I864="Opening",L864,Z863+L864-X864)</f>
        <v>630945898.077523</v>
      </c>
      <c r="AA864" s="9" t="n">
        <f aca="false">IF(Y864&gt;0,Z864/Y864,IF(I864="Opening",0,AA863))</f>
        <v>28336.8056641429</v>
      </c>
      <c r="AB864" s="9" t="n">
        <f aca="false">IF(AND(I864="DO",O864="MA"),S864-N864,0)</f>
        <v>-0.130214169621468</v>
      </c>
      <c r="AC864" s="9" t="n">
        <f aca="false">IF(I864="DO",X864-S864,0)</f>
        <v>0</v>
      </c>
      <c r="AD864" s="23" t="n">
        <f aca="false">IF(B865&lt;&gt;B864,1,0)</f>
        <v>0</v>
      </c>
      <c r="AE864" s="14" t="n">
        <f aca="false">IF(I864="Opening",0,AE863+W864)</f>
        <v>10129.6</v>
      </c>
      <c r="AF864" s="14" t="n">
        <f aca="false">IF(I864="Opening",K864,AF863)</f>
        <v>6477.78</v>
      </c>
      <c r="AG864" s="14" t="n">
        <f aca="false">AG863</f>
        <v>25917.77</v>
      </c>
      <c r="AH864" s="14" t="n">
        <f aca="false">IF(W864=0,0,MAX(0,MIN(AE864,AF864)-MIN(AE864-W864,AF864)))</f>
        <v>0</v>
      </c>
      <c r="AI864" s="14" t="n">
        <f aca="false">IF(W864=0,0,MAX(0,MIN(AE864,AF864+AG864)-MAX(AE864-W864,AF864)))</f>
        <v>3651</v>
      </c>
      <c r="AJ864" s="14" t="n">
        <f aca="false">W864-AH864-AI864</f>
        <v>0</v>
      </c>
      <c r="AK864" s="9" t="n">
        <f aca="false">IF(W864=0,0,X864*AH864/W864)</f>
        <v>0</v>
      </c>
      <c r="AL864" s="9" t="n">
        <f aca="false">IF(W864=0,0,X864*AI864/W864)</f>
        <v>103457677.479786</v>
      </c>
      <c r="AM864" s="9" t="n">
        <f aca="false">X864-AK864-AL864</f>
        <v>0</v>
      </c>
    </row>
    <row r="865" customFormat="false" ht="15" hidden="false" customHeight="false" outlineLevel="0" collapsed="false">
      <c r="A865" s="6" t="n">
        <v>860</v>
      </c>
      <c r="B865" s="74" t="s">
        <v>1020</v>
      </c>
      <c r="C865" s="53" t="str">
        <f aca="false">INDEX(I_Items!$C$5:$C$133,MATCH($B865,I_Items!$A$5:$A$133,0))</f>
        <v>Trading</v>
      </c>
      <c r="D865" s="53" t="str">
        <f aca="false">INDEX(I_Items!$D$5:$D$133,MATCH($B865,I_Items!$A$5:$A$133,0))</f>
        <v>BLP</v>
      </c>
      <c r="E865" s="53" t="str">
        <f aca="false">INDEX(I_Items!$F$5:$F$133,MATCH($B865,I_Items!$A$5:$A$133,0))</f>
        <v>Frozen</v>
      </c>
      <c r="F865" s="53" t="str">
        <f aca="false">IF(INDEX(I_Items!$E$5:$E$133,MATCH($B865,I_Items!$A$5:$A$133,0))="","",INDEX(I_Items!$E$5:$E$133,MATCH($B865,I_Items!$A$5:$A$133,0)))</f>
        <v/>
      </c>
      <c r="G865" s="76" t="n">
        <v>46227</v>
      </c>
      <c r="H865" s="23" t="n">
        <f aca="false">MONTH(G865)</f>
        <v>7</v>
      </c>
      <c r="I865" s="74" t="s">
        <v>2075</v>
      </c>
      <c r="J865" s="74" t="s">
        <v>2231</v>
      </c>
      <c r="K865" s="10" t="n">
        <v>0</v>
      </c>
      <c r="L865" s="8" t="n">
        <v>0</v>
      </c>
      <c r="M865" s="10" t="n">
        <v>1511.99</v>
      </c>
      <c r="N865" s="8" t="n">
        <v>42844966.85</v>
      </c>
      <c r="O865" s="74" t="s">
        <v>2077</v>
      </c>
      <c r="P865" s="74"/>
      <c r="Q865" s="74"/>
      <c r="R865" s="14" t="n">
        <f aca="false">IF(I865="Unbilled",0,M865)</f>
        <v>1511.99</v>
      </c>
      <c r="S865" s="9" t="n">
        <f aca="false">IF(R865=0,0,IF(O865="Booked",N865,R865*V864))</f>
        <v>42844966.7961275</v>
      </c>
      <c r="T865" s="14" t="n">
        <f aca="false">IF(I865="Opening",K865,T864+K865-R865)</f>
        <v>20753.96</v>
      </c>
      <c r="U865" s="9" t="n">
        <f aca="false">IF(I865="Opening",L865,U864+L865-S865)</f>
        <v>588100931.281396</v>
      </c>
      <c r="V865" s="9" t="n">
        <f aca="false">IF(T865&gt;0,U865/T865,IF(I865="Opening",0,V864))</f>
        <v>28336.8056641429</v>
      </c>
      <c r="W865" s="14" t="n">
        <f aca="false">M865</f>
        <v>1511.99</v>
      </c>
      <c r="X865" s="9" t="n">
        <f aca="false">IF(W865=0,0,IF(O865="Booked",N865,W865*AA864))</f>
        <v>42844966.7961275</v>
      </c>
      <c r="Y865" s="14" t="n">
        <f aca="false">IF(I865="Opening",K865,Y864+K865-W865)</f>
        <v>20753.96</v>
      </c>
      <c r="Z865" s="9" t="n">
        <f aca="false">IF(I865="Opening",L865,Z864+L865-X865)</f>
        <v>588100931.281396</v>
      </c>
      <c r="AA865" s="9" t="n">
        <f aca="false">IF(Y865&gt;0,Z865/Y865,IF(I865="Opening",0,AA864))</f>
        <v>28336.8056641429</v>
      </c>
      <c r="AB865" s="9" t="n">
        <f aca="false">IF(AND(I865="DO",O865="MA"),S865-N865,0)</f>
        <v>-0.0538725331425667</v>
      </c>
      <c r="AC865" s="9" t="n">
        <f aca="false">IF(I865="DO",X865-S865,0)</f>
        <v>0</v>
      </c>
      <c r="AD865" s="23" t="n">
        <f aca="false">IF(B866&lt;&gt;B865,1,0)</f>
        <v>0</v>
      </c>
      <c r="AE865" s="14" t="n">
        <f aca="false">IF(I865="Opening",0,AE864+W865)</f>
        <v>11641.59</v>
      </c>
      <c r="AF865" s="14" t="n">
        <f aca="false">IF(I865="Opening",K865,AF864)</f>
        <v>6477.78</v>
      </c>
      <c r="AG865" s="14" t="n">
        <f aca="false">AG864</f>
        <v>25917.77</v>
      </c>
      <c r="AH865" s="14" t="n">
        <f aca="false">IF(W865=0,0,MAX(0,MIN(AE865,AF865)-MIN(AE865-W865,AF865)))</f>
        <v>0</v>
      </c>
      <c r="AI865" s="14" t="n">
        <f aca="false">IF(W865=0,0,MAX(0,MIN(AE865,AF865+AG865)-MAX(AE865-W865,AF865)))</f>
        <v>1511.99</v>
      </c>
      <c r="AJ865" s="14" t="n">
        <f aca="false">W865-AH865-AI865</f>
        <v>0</v>
      </c>
      <c r="AK865" s="9" t="n">
        <f aca="false">IF(W865=0,0,X865*AH865/W865)</f>
        <v>0</v>
      </c>
      <c r="AL865" s="9" t="n">
        <f aca="false">IF(W865=0,0,X865*AI865/W865)</f>
        <v>42844966.7961275</v>
      </c>
      <c r="AM865" s="9" t="n">
        <f aca="false">X865-AK865-AL865</f>
        <v>0</v>
      </c>
    </row>
    <row r="866" customFormat="false" ht="15" hidden="false" customHeight="false" outlineLevel="0" collapsed="false">
      <c r="A866" s="6" t="n">
        <v>861</v>
      </c>
      <c r="B866" s="74" t="s">
        <v>1020</v>
      </c>
      <c r="C866" s="53" t="str">
        <f aca="false">INDEX(I_Items!$C$5:$C$133,MATCH($B866,I_Items!$A$5:$A$133,0))</f>
        <v>Trading</v>
      </c>
      <c r="D866" s="53" t="str">
        <f aca="false">INDEX(I_Items!$D$5:$D$133,MATCH($B866,I_Items!$A$5:$A$133,0))</f>
        <v>BLP</v>
      </c>
      <c r="E866" s="53" t="str">
        <f aca="false">INDEX(I_Items!$F$5:$F$133,MATCH($B866,I_Items!$A$5:$A$133,0))</f>
        <v>Frozen</v>
      </c>
      <c r="F866" s="53" t="str">
        <f aca="false">IF(INDEX(I_Items!$E$5:$E$133,MATCH($B866,I_Items!$A$5:$A$133,0))="","",INDEX(I_Items!$E$5:$E$133,MATCH($B866,I_Items!$A$5:$A$133,0)))</f>
        <v/>
      </c>
      <c r="G866" s="76" t="n">
        <v>46228</v>
      </c>
      <c r="H866" s="23" t="n">
        <f aca="false">MONTH(G866)</f>
        <v>7</v>
      </c>
      <c r="I866" s="74" t="s">
        <v>2075</v>
      </c>
      <c r="J866" s="74" t="s">
        <v>2232</v>
      </c>
      <c r="K866" s="10" t="n">
        <v>0</v>
      </c>
      <c r="L866" s="8" t="n">
        <v>0</v>
      </c>
      <c r="M866" s="10" t="n">
        <v>1075.41</v>
      </c>
      <c r="N866" s="8" t="n">
        <v>30473684.22</v>
      </c>
      <c r="O866" s="74" t="s">
        <v>2077</v>
      </c>
      <c r="P866" s="74"/>
      <c r="Q866" s="74"/>
      <c r="R866" s="14" t="n">
        <f aca="false">IF(I866="Unbilled",0,M866)</f>
        <v>1075.41</v>
      </c>
      <c r="S866" s="9" t="n">
        <f aca="false">IF(R866=0,0,IF(O866="Booked",N866,R866*V865))</f>
        <v>30473684.179276</v>
      </c>
      <c r="T866" s="14" t="n">
        <f aca="false">IF(I866="Opening",K866,T865+K866-R866)</f>
        <v>19678.55</v>
      </c>
      <c r="U866" s="9" t="n">
        <f aca="false">IF(I866="Opening",L866,U865+L866-S866)</f>
        <v>557627247.10212</v>
      </c>
      <c r="V866" s="9" t="n">
        <f aca="false">IF(T866&gt;0,U866/T866,IF(I866="Opening",0,V865))</f>
        <v>28336.8056641429</v>
      </c>
      <c r="W866" s="14" t="n">
        <f aca="false">M866</f>
        <v>1075.41</v>
      </c>
      <c r="X866" s="9" t="n">
        <f aca="false">IF(W866=0,0,IF(O866="Booked",N866,W866*AA865))</f>
        <v>30473684.179276</v>
      </c>
      <c r="Y866" s="14" t="n">
        <f aca="false">IF(I866="Opening",K866,Y865+K866-W866)</f>
        <v>19678.55</v>
      </c>
      <c r="Z866" s="9" t="n">
        <f aca="false">IF(I866="Opening",L866,Z865+L866-X866)</f>
        <v>557627247.10212</v>
      </c>
      <c r="AA866" s="9" t="n">
        <f aca="false">IF(Y866&gt;0,Z866/Y866,IF(I866="Opening",0,AA865))</f>
        <v>28336.8056641429</v>
      </c>
      <c r="AB866" s="9" t="n">
        <f aca="false">IF(AND(I866="DO",O866="MA"),S866-N866,0)</f>
        <v>-0.0407240465283394</v>
      </c>
      <c r="AC866" s="9" t="n">
        <f aca="false">IF(I866="DO",X866-S866,0)</f>
        <v>0</v>
      </c>
      <c r="AD866" s="23" t="n">
        <f aca="false">IF(B867&lt;&gt;B866,1,0)</f>
        <v>0</v>
      </c>
      <c r="AE866" s="14" t="n">
        <f aca="false">IF(I866="Opening",0,AE865+W866)</f>
        <v>12717</v>
      </c>
      <c r="AF866" s="14" t="n">
        <f aca="false">IF(I866="Opening",K866,AF865)</f>
        <v>6477.78</v>
      </c>
      <c r="AG866" s="14" t="n">
        <f aca="false">AG865</f>
        <v>25917.77</v>
      </c>
      <c r="AH866" s="14" t="n">
        <f aca="false">IF(W866=0,0,MAX(0,MIN(AE866,AF866)-MIN(AE866-W866,AF866)))</f>
        <v>0</v>
      </c>
      <c r="AI866" s="14" t="n">
        <f aca="false">IF(W866=0,0,MAX(0,MIN(AE866,AF866+AG866)-MAX(AE866-W866,AF866)))</f>
        <v>1075.41</v>
      </c>
      <c r="AJ866" s="14" t="n">
        <f aca="false">W866-AH866-AI866</f>
        <v>0</v>
      </c>
      <c r="AK866" s="9" t="n">
        <f aca="false">IF(W866=0,0,X866*AH866/W866)</f>
        <v>0</v>
      </c>
      <c r="AL866" s="9" t="n">
        <f aca="false">IF(W866=0,0,X866*AI866/W866)</f>
        <v>30473684.1792759</v>
      </c>
      <c r="AM866" s="9" t="n">
        <f aca="false">X866-AK866-AL866</f>
        <v>0</v>
      </c>
    </row>
    <row r="867" customFormat="false" ht="15" hidden="false" customHeight="false" outlineLevel="0" collapsed="false">
      <c r="A867" s="6" t="n">
        <v>862</v>
      </c>
      <c r="B867" s="74" t="s">
        <v>1020</v>
      </c>
      <c r="C867" s="53" t="str">
        <f aca="false">INDEX(I_Items!$C$5:$C$133,MATCH($B867,I_Items!$A$5:$A$133,0))</f>
        <v>Trading</v>
      </c>
      <c r="D867" s="53" t="str">
        <f aca="false">INDEX(I_Items!$D$5:$D$133,MATCH($B867,I_Items!$A$5:$A$133,0))</f>
        <v>BLP</v>
      </c>
      <c r="E867" s="53" t="str">
        <f aca="false">INDEX(I_Items!$F$5:$F$133,MATCH($B867,I_Items!$A$5:$A$133,0))</f>
        <v>Frozen</v>
      </c>
      <c r="F867" s="53" t="str">
        <f aca="false">IF(INDEX(I_Items!$E$5:$E$133,MATCH($B867,I_Items!$A$5:$A$133,0))="","",INDEX(I_Items!$E$5:$E$133,MATCH($B867,I_Items!$A$5:$A$133,0)))</f>
        <v/>
      </c>
      <c r="G867" s="76" t="n">
        <v>46228</v>
      </c>
      <c r="H867" s="23" t="n">
        <f aca="false">MONTH(G867)</f>
        <v>7</v>
      </c>
      <c r="I867" s="74" t="s">
        <v>2075</v>
      </c>
      <c r="J867" s="74" t="s">
        <v>2233</v>
      </c>
      <c r="K867" s="10" t="n">
        <v>0</v>
      </c>
      <c r="L867" s="8" t="n">
        <v>0</v>
      </c>
      <c r="M867" s="10" t="n">
        <v>430.31</v>
      </c>
      <c r="N867" s="8" t="n">
        <v>12193610.86</v>
      </c>
      <c r="O867" s="74" t="s">
        <v>2077</v>
      </c>
      <c r="P867" s="74"/>
      <c r="Q867" s="74"/>
      <c r="R867" s="14" t="n">
        <f aca="false">IF(I867="Unbilled",0,M867)</f>
        <v>430.31</v>
      </c>
      <c r="S867" s="9" t="n">
        <f aca="false">IF(R867=0,0,IF(O867="Booked",N867,R867*V866))</f>
        <v>12193610.8453373</v>
      </c>
      <c r="T867" s="14" t="n">
        <f aca="false">IF(I867="Opening",K867,T866+K867-R867)</f>
        <v>19248.24</v>
      </c>
      <c r="U867" s="9" t="n">
        <f aca="false">IF(I867="Opening",L867,U866+L867-S867)</f>
        <v>545433636.256783</v>
      </c>
      <c r="V867" s="9" t="n">
        <f aca="false">IF(T867&gt;0,U867/T867,IF(I867="Opening",0,V866))</f>
        <v>28336.8056641429</v>
      </c>
      <c r="W867" s="14" t="n">
        <f aca="false">M867</f>
        <v>430.31</v>
      </c>
      <c r="X867" s="9" t="n">
        <f aca="false">IF(W867=0,0,IF(O867="Booked",N867,W867*AA866))</f>
        <v>12193610.8453373</v>
      </c>
      <c r="Y867" s="14" t="n">
        <f aca="false">IF(I867="Opening",K867,Y866+K867-W867)</f>
        <v>19248.24</v>
      </c>
      <c r="Z867" s="9" t="n">
        <f aca="false">IF(I867="Opening",L867,Z866+L867-X867)</f>
        <v>545433636.256783</v>
      </c>
      <c r="AA867" s="9" t="n">
        <f aca="false">IF(Y867&gt;0,Z867/Y867,IF(I867="Opening",0,AA866))</f>
        <v>28336.8056641429</v>
      </c>
      <c r="AB867" s="9" t="n">
        <f aca="false">IF(AND(I867="DO",O867="MA"),S867-N867,0)</f>
        <v>-0.0146626550704241</v>
      </c>
      <c r="AC867" s="9" t="n">
        <f aca="false">IF(I867="DO",X867-S867,0)</f>
        <v>0</v>
      </c>
      <c r="AD867" s="23" t="n">
        <f aca="false">IF(B868&lt;&gt;B867,1,0)</f>
        <v>0</v>
      </c>
      <c r="AE867" s="14" t="n">
        <f aca="false">IF(I867="Opening",0,AE866+W867)</f>
        <v>13147.31</v>
      </c>
      <c r="AF867" s="14" t="n">
        <f aca="false">IF(I867="Opening",K867,AF866)</f>
        <v>6477.78</v>
      </c>
      <c r="AG867" s="14" t="n">
        <f aca="false">AG866</f>
        <v>25917.77</v>
      </c>
      <c r="AH867" s="14" t="n">
        <f aca="false">IF(W867=0,0,MAX(0,MIN(AE867,AF867)-MIN(AE867-W867,AF867)))</f>
        <v>0</v>
      </c>
      <c r="AI867" s="14" t="n">
        <f aca="false">IF(W867=0,0,MAX(0,MIN(AE867,AF867+AG867)-MAX(AE867-W867,AF867)))</f>
        <v>430.31</v>
      </c>
      <c r="AJ867" s="14" t="n">
        <f aca="false">W867-AH867-AI867</f>
        <v>0</v>
      </c>
      <c r="AK867" s="9" t="n">
        <f aca="false">IF(W867=0,0,X867*AH867/W867)</f>
        <v>0</v>
      </c>
      <c r="AL867" s="9" t="n">
        <f aca="false">IF(W867=0,0,X867*AI867/W867)</f>
        <v>12193610.8453373</v>
      </c>
      <c r="AM867" s="9" t="n">
        <f aca="false">X867-AK867-AL867</f>
        <v>0</v>
      </c>
    </row>
    <row r="868" customFormat="false" ht="15" hidden="false" customHeight="false" outlineLevel="0" collapsed="false">
      <c r="A868" s="6" t="n">
        <v>863</v>
      </c>
      <c r="B868" s="74" t="s">
        <v>1020</v>
      </c>
      <c r="C868" s="53" t="str">
        <f aca="false">INDEX(I_Items!$C$5:$C$133,MATCH($B868,I_Items!$A$5:$A$133,0))</f>
        <v>Trading</v>
      </c>
      <c r="D868" s="53" t="str">
        <f aca="false">INDEX(I_Items!$D$5:$D$133,MATCH($B868,I_Items!$A$5:$A$133,0))</f>
        <v>BLP</v>
      </c>
      <c r="E868" s="53" t="str">
        <f aca="false">INDEX(I_Items!$F$5:$F$133,MATCH($B868,I_Items!$A$5:$A$133,0))</f>
        <v>Frozen</v>
      </c>
      <c r="F868" s="53" t="str">
        <f aca="false">IF(INDEX(I_Items!$E$5:$E$133,MATCH($B868,I_Items!$A$5:$A$133,0))="","",INDEX(I_Items!$E$5:$E$133,MATCH($B868,I_Items!$A$5:$A$133,0)))</f>
        <v/>
      </c>
      <c r="G868" s="76" t="n">
        <v>46232</v>
      </c>
      <c r="H868" s="23" t="n">
        <f aca="false">MONTH(G868)</f>
        <v>7</v>
      </c>
      <c r="I868" s="74" t="s">
        <v>2075</v>
      </c>
      <c r="J868" s="74" t="s">
        <v>2238</v>
      </c>
      <c r="K868" s="10" t="n">
        <v>0</v>
      </c>
      <c r="L868" s="8" t="n">
        <v>0</v>
      </c>
      <c r="M868" s="10" t="n">
        <v>159.4</v>
      </c>
      <c r="N868" s="8" t="n">
        <v>4516886.83</v>
      </c>
      <c r="O868" s="74" t="s">
        <v>2077</v>
      </c>
      <c r="P868" s="74"/>
      <c r="Q868" s="74"/>
      <c r="R868" s="14" t="n">
        <f aca="false">IF(I868="Unbilled",0,M868)</f>
        <v>159.4</v>
      </c>
      <c r="S868" s="9" t="n">
        <f aca="false">IF(R868=0,0,IF(O868="Booked",N868,R868*V867))</f>
        <v>4516886.82286438</v>
      </c>
      <c r="T868" s="14" t="n">
        <f aca="false">IF(I868="Opening",K868,T867+K868-R868)</f>
        <v>19088.84</v>
      </c>
      <c r="U868" s="9" t="n">
        <f aca="false">IF(I868="Opening",L868,U867+L868-S868)</f>
        <v>540916749.433918</v>
      </c>
      <c r="V868" s="9" t="n">
        <f aca="false">IF(T868&gt;0,U868/T868,IF(I868="Opening",0,V867))</f>
        <v>28336.8056641429</v>
      </c>
      <c r="W868" s="14" t="n">
        <f aca="false">M868</f>
        <v>159.4</v>
      </c>
      <c r="X868" s="9" t="n">
        <f aca="false">IF(W868=0,0,IF(O868="Booked",N868,W868*AA867))</f>
        <v>4516886.82286438</v>
      </c>
      <c r="Y868" s="14" t="n">
        <f aca="false">IF(I868="Opening",K868,Y867+K868-W868)</f>
        <v>19088.84</v>
      </c>
      <c r="Z868" s="9" t="n">
        <f aca="false">IF(I868="Opening",L868,Z867+L868-X868)</f>
        <v>540916749.433918</v>
      </c>
      <c r="AA868" s="9" t="n">
        <f aca="false">IF(Y868&gt;0,Z868/Y868,IF(I868="Opening",0,AA867))</f>
        <v>28336.8056641429</v>
      </c>
      <c r="AB868" s="9" t="n">
        <f aca="false">IF(AND(I868="DO",O868="MA"),S868-N868,0)</f>
        <v>-0.00713561754673719</v>
      </c>
      <c r="AC868" s="9" t="n">
        <f aca="false">IF(I868="DO",X868-S868,0)</f>
        <v>0</v>
      </c>
      <c r="AD868" s="23" t="n">
        <f aca="false">IF(B869&lt;&gt;B868,1,0)</f>
        <v>0</v>
      </c>
      <c r="AE868" s="14" t="n">
        <f aca="false">IF(I868="Opening",0,AE867+W868)</f>
        <v>13306.71</v>
      </c>
      <c r="AF868" s="14" t="n">
        <f aca="false">IF(I868="Opening",K868,AF867)</f>
        <v>6477.78</v>
      </c>
      <c r="AG868" s="14" t="n">
        <f aca="false">AG867</f>
        <v>25917.77</v>
      </c>
      <c r="AH868" s="14" t="n">
        <f aca="false">IF(W868=0,0,MAX(0,MIN(AE868,AF868)-MIN(AE868-W868,AF868)))</f>
        <v>0</v>
      </c>
      <c r="AI868" s="14" t="n">
        <f aca="false">IF(W868=0,0,MAX(0,MIN(AE868,AF868+AG868)-MAX(AE868-W868,AF868)))</f>
        <v>159.4</v>
      </c>
      <c r="AJ868" s="14" t="n">
        <f aca="false">W868-AH868-AI868</f>
        <v>0</v>
      </c>
      <c r="AK868" s="9" t="n">
        <f aca="false">IF(W868=0,0,X868*AH868/W868)</f>
        <v>0</v>
      </c>
      <c r="AL868" s="9" t="n">
        <f aca="false">IF(W868=0,0,X868*AI868/W868)</f>
        <v>4516886.82286437</v>
      </c>
      <c r="AM868" s="9" t="n">
        <f aca="false">X868-AK868-AL868</f>
        <v>0</v>
      </c>
    </row>
    <row r="869" customFormat="false" ht="15" hidden="false" customHeight="false" outlineLevel="0" collapsed="false">
      <c r="A869" s="6" t="n">
        <v>864</v>
      </c>
      <c r="B869" s="74" t="s">
        <v>1020</v>
      </c>
      <c r="C869" s="53" t="str">
        <f aca="false">INDEX(I_Items!$C$5:$C$133,MATCH($B869,I_Items!$A$5:$A$133,0))</f>
        <v>Trading</v>
      </c>
      <c r="D869" s="53" t="str">
        <f aca="false">INDEX(I_Items!$D$5:$D$133,MATCH($B869,I_Items!$A$5:$A$133,0))</f>
        <v>BLP</v>
      </c>
      <c r="E869" s="53" t="str">
        <f aca="false">INDEX(I_Items!$F$5:$F$133,MATCH($B869,I_Items!$A$5:$A$133,0))</f>
        <v>Frozen</v>
      </c>
      <c r="F869" s="53" t="str">
        <f aca="false">IF(INDEX(I_Items!$E$5:$E$133,MATCH($B869,I_Items!$A$5:$A$133,0))="","",INDEX(I_Items!$E$5:$E$133,MATCH($B869,I_Items!$A$5:$A$133,0)))</f>
        <v/>
      </c>
      <c r="G869" s="76" t="n">
        <v>46232</v>
      </c>
      <c r="H869" s="23" t="n">
        <f aca="false">MONTH(G869)</f>
        <v>7</v>
      </c>
      <c r="I869" s="74" t="s">
        <v>2075</v>
      </c>
      <c r="J869" s="74" t="s">
        <v>2239</v>
      </c>
      <c r="K869" s="10" t="n">
        <v>0</v>
      </c>
      <c r="L869" s="8" t="n">
        <v>0</v>
      </c>
      <c r="M869" s="10" t="n">
        <v>1600.22</v>
      </c>
      <c r="N869" s="8" t="n">
        <v>45345123.22</v>
      </c>
      <c r="O869" s="74" t="s">
        <v>2077</v>
      </c>
      <c r="P869" s="74"/>
      <c r="Q869" s="74"/>
      <c r="R869" s="14" t="n">
        <f aca="false">IF(I869="Unbilled",0,M869)</f>
        <v>1600.22</v>
      </c>
      <c r="S869" s="9" t="n">
        <f aca="false">IF(R869=0,0,IF(O869="Booked",N869,R869*V868))</f>
        <v>45345123.1598748</v>
      </c>
      <c r="T869" s="14" t="n">
        <f aca="false">IF(I869="Opening",K869,T868+K869-R869)</f>
        <v>17488.62</v>
      </c>
      <c r="U869" s="9" t="n">
        <f aca="false">IF(I869="Opening",L869,U868+L869-S869)</f>
        <v>495571626.274043</v>
      </c>
      <c r="V869" s="9" t="n">
        <f aca="false">IF(T869&gt;0,U869/T869,IF(I869="Opening",0,V868))</f>
        <v>28336.8056641429</v>
      </c>
      <c r="W869" s="14" t="n">
        <f aca="false">M869</f>
        <v>1600.22</v>
      </c>
      <c r="X869" s="9" t="n">
        <f aca="false">IF(W869=0,0,IF(O869="Booked",N869,W869*AA868))</f>
        <v>45345123.1598748</v>
      </c>
      <c r="Y869" s="14" t="n">
        <f aca="false">IF(I869="Opening",K869,Y868+K869-W869)</f>
        <v>17488.62</v>
      </c>
      <c r="Z869" s="9" t="n">
        <f aca="false">IF(I869="Opening",L869,Z868+L869-X869)</f>
        <v>495571626.274043</v>
      </c>
      <c r="AA869" s="9" t="n">
        <f aca="false">IF(Y869&gt;0,Z869/Y869,IF(I869="Opening",0,AA868))</f>
        <v>28336.8056641429</v>
      </c>
      <c r="AB869" s="9" t="n">
        <f aca="false">IF(AND(I869="DO",O869="MA"),S869-N869,0)</f>
        <v>-0.0601252019405365</v>
      </c>
      <c r="AC869" s="9" t="n">
        <f aca="false">IF(I869="DO",X869-S869,0)</f>
        <v>0</v>
      </c>
      <c r="AD869" s="23" t="n">
        <f aca="false">IF(B870&lt;&gt;B869,1,0)</f>
        <v>0</v>
      </c>
      <c r="AE869" s="14" t="n">
        <f aca="false">IF(I869="Opening",0,AE868+W869)</f>
        <v>14906.93</v>
      </c>
      <c r="AF869" s="14" t="n">
        <f aca="false">IF(I869="Opening",K869,AF868)</f>
        <v>6477.78</v>
      </c>
      <c r="AG869" s="14" t="n">
        <f aca="false">AG868</f>
        <v>25917.77</v>
      </c>
      <c r="AH869" s="14" t="n">
        <f aca="false">IF(W869=0,0,MAX(0,MIN(AE869,AF869)-MIN(AE869-W869,AF869)))</f>
        <v>0</v>
      </c>
      <c r="AI869" s="14" t="n">
        <f aca="false">IF(W869=0,0,MAX(0,MIN(AE869,AF869+AG869)-MAX(AE869-W869,AF869)))</f>
        <v>1600.22</v>
      </c>
      <c r="AJ869" s="14" t="n">
        <f aca="false">W869-AH869-AI869</f>
        <v>0</v>
      </c>
      <c r="AK869" s="9" t="n">
        <f aca="false">IF(W869=0,0,X869*AH869/W869)</f>
        <v>0</v>
      </c>
      <c r="AL869" s="9" t="n">
        <f aca="false">IF(W869=0,0,X869*AI869/W869)</f>
        <v>45345123.1598748</v>
      </c>
      <c r="AM869" s="9" t="n">
        <f aca="false">X869-AK869-AL869</f>
        <v>0</v>
      </c>
    </row>
    <row r="870" customFormat="false" ht="15" hidden="false" customHeight="false" outlineLevel="0" collapsed="false">
      <c r="A870" s="6" t="n">
        <v>865</v>
      </c>
      <c r="B870" s="74" t="s">
        <v>1020</v>
      </c>
      <c r="C870" s="53" t="str">
        <f aca="false">INDEX(I_Items!$C$5:$C$133,MATCH($B870,I_Items!$A$5:$A$133,0))</f>
        <v>Trading</v>
      </c>
      <c r="D870" s="53" t="str">
        <f aca="false">INDEX(I_Items!$D$5:$D$133,MATCH($B870,I_Items!$A$5:$A$133,0))</f>
        <v>BLP</v>
      </c>
      <c r="E870" s="53" t="str">
        <f aca="false">INDEX(I_Items!$F$5:$F$133,MATCH($B870,I_Items!$A$5:$A$133,0))</f>
        <v>Frozen</v>
      </c>
      <c r="F870" s="53" t="str">
        <f aca="false">IF(INDEX(I_Items!$E$5:$E$133,MATCH($B870,I_Items!$A$5:$A$133,0))="","",INDEX(I_Items!$E$5:$E$133,MATCH($B870,I_Items!$A$5:$A$133,0)))</f>
        <v/>
      </c>
      <c r="G870" s="76" t="n">
        <v>46233</v>
      </c>
      <c r="H870" s="23" t="n">
        <f aca="false">MONTH(G870)</f>
        <v>7</v>
      </c>
      <c r="I870" s="74" t="s">
        <v>2075</v>
      </c>
      <c r="J870" s="74" t="s">
        <v>2241</v>
      </c>
      <c r="K870" s="10" t="n">
        <v>0</v>
      </c>
      <c r="L870" s="8" t="n">
        <v>0</v>
      </c>
      <c r="M870" s="10" t="n">
        <v>126.58</v>
      </c>
      <c r="N870" s="8" t="n">
        <v>3586872.87</v>
      </c>
      <c r="O870" s="74" t="s">
        <v>2077</v>
      </c>
      <c r="P870" s="74"/>
      <c r="Q870" s="74"/>
      <c r="R870" s="14" t="n">
        <f aca="false">IF(I870="Unbilled",0,M870)</f>
        <v>126.58</v>
      </c>
      <c r="S870" s="9" t="n">
        <f aca="false">IF(R870=0,0,IF(O870="Booked",N870,R870*V869))</f>
        <v>3586872.86096721</v>
      </c>
      <c r="T870" s="14" t="n">
        <f aca="false">IF(I870="Opening",K870,T869+K870-R870)</f>
        <v>17362.04</v>
      </c>
      <c r="U870" s="9" t="n">
        <f aca="false">IF(I870="Opening",L870,U869+L870-S870)</f>
        <v>491984753.413076</v>
      </c>
      <c r="V870" s="9" t="n">
        <f aca="false">IF(T870&gt;0,U870/T870,IF(I870="Opening",0,V869))</f>
        <v>28336.8056641429</v>
      </c>
      <c r="W870" s="14" t="n">
        <f aca="false">M870</f>
        <v>126.58</v>
      </c>
      <c r="X870" s="9" t="n">
        <f aca="false">IF(W870=0,0,IF(O870="Booked",N870,W870*AA869))</f>
        <v>3586872.86096721</v>
      </c>
      <c r="Y870" s="14" t="n">
        <f aca="false">IF(I870="Opening",K870,Y869+K870-W870)</f>
        <v>17362.04</v>
      </c>
      <c r="Z870" s="9" t="n">
        <f aca="false">IF(I870="Opening",L870,Z869+L870-X870)</f>
        <v>491984753.413076</v>
      </c>
      <c r="AA870" s="9" t="n">
        <f aca="false">IF(Y870&gt;0,Z870/Y870,IF(I870="Opening",0,AA869))</f>
        <v>28336.8056641429</v>
      </c>
      <c r="AB870" s="9" t="n">
        <f aca="false">IF(AND(I870="DO",O870="MA"),S870-N870,0)</f>
        <v>-0.00903278775513172</v>
      </c>
      <c r="AC870" s="9" t="n">
        <f aca="false">IF(I870="DO",X870-S870,0)</f>
        <v>0</v>
      </c>
      <c r="AD870" s="23" t="n">
        <f aca="false">IF(B871&lt;&gt;B870,1,0)</f>
        <v>0</v>
      </c>
      <c r="AE870" s="14" t="n">
        <f aca="false">IF(I870="Opening",0,AE869+W870)</f>
        <v>15033.51</v>
      </c>
      <c r="AF870" s="14" t="n">
        <f aca="false">IF(I870="Opening",K870,AF869)</f>
        <v>6477.78</v>
      </c>
      <c r="AG870" s="14" t="n">
        <f aca="false">AG869</f>
        <v>25917.77</v>
      </c>
      <c r="AH870" s="14" t="n">
        <f aca="false">IF(W870=0,0,MAX(0,MIN(AE870,AF870)-MIN(AE870-W870,AF870)))</f>
        <v>0</v>
      </c>
      <c r="AI870" s="14" t="n">
        <f aca="false">IF(W870=0,0,MAX(0,MIN(AE870,AF870+AG870)-MAX(AE870-W870,AF870)))</f>
        <v>126.58</v>
      </c>
      <c r="AJ870" s="14" t="n">
        <f aca="false">W870-AH870-AI870</f>
        <v>0</v>
      </c>
      <c r="AK870" s="9" t="n">
        <f aca="false">IF(W870=0,0,X870*AH870/W870)</f>
        <v>0</v>
      </c>
      <c r="AL870" s="9" t="n">
        <f aca="false">IF(W870=0,0,X870*AI870/W870)</f>
        <v>3586872.86096721</v>
      </c>
      <c r="AM870" s="9" t="n">
        <f aca="false">X870-AK870-AL870</f>
        <v>0</v>
      </c>
    </row>
    <row r="871" customFormat="false" ht="15" hidden="false" customHeight="false" outlineLevel="0" collapsed="false">
      <c r="A871" s="6" t="n">
        <v>866</v>
      </c>
      <c r="B871" s="74" t="s">
        <v>1020</v>
      </c>
      <c r="C871" s="53" t="str">
        <f aca="false">INDEX(I_Items!$C$5:$C$133,MATCH($B871,I_Items!$A$5:$A$133,0))</f>
        <v>Trading</v>
      </c>
      <c r="D871" s="53" t="str">
        <f aca="false">INDEX(I_Items!$D$5:$D$133,MATCH($B871,I_Items!$A$5:$A$133,0))</f>
        <v>BLP</v>
      </c>
      <c r="E871" s="53" t="str">
        <f aca="false">INDEX(I_Items!$F$5:$F$133,MATCH($B871,I_Items!$A$5:$A$133,0))</f>
        <v>Frozen</v>
      </c>
      <c r="F871" s="53" t="str">
        <f aca="false">IF(INDEX(I_Items!$E$5:$E$133,MATCH($B871,I_Items!$A$5:$A$133,0))="","",INDEX(I_Items!$E$5:$E$133,MATCH($B871,I_Items!$A$5:$A$133,0)))</f>
        <v/>
      </c>
      <c r="G871" s="76" t="n">
        <v>46233</v>
      </c>
      <c r="H871" s="23" t="n">
        <f aca="false">MONTH(G871)</f>
        <v>7</v>
      </c>
      <c r="I871" s="74" t="s">
        <v>2075</v>
      </c>
      <c r="J871" s="74" t="s">
        <v>2280</v>
      </c>
      <c r="K871" s="10" t="n">
        <v>0</v>
      </c>
      <c r="L871" s="8" t="n">
        <v>0</v>
      </c>
      <c r="M871" s="10" t="n">
        <v>31.7</v>
      </c>
      <c r="N871" s="8" t="n">
        <v>898276.74</v>
      </c>
      <c r="O871" s="74" t="s">
        <v>2077</v>
      </c>
      <c r="P871" s="74"/>
      <c r="Q871" s="74"/>
      <c r="R871" s="14" t="n">
        <f aca="false">IF(I871="Unbilled",0,M871)</f>
        <v>31.7</v>
      </c>
      <c r="S871" s="9" t="n">
        <f aca="false">IF(R871=0,0,IF(O871="Booked",N871,R871*V870))</f>
        <v>898276.739553331</v>
      </c>
      <c r="T871" s="14" t="n">
        <f aca="false">IF(I871="Opening",K871,T870+K871-R871)</f>
        <v>17330.34</v>
      </c>
      <c r="U871" s="9" t="n">
        <f aca="false">IF(I871="Opening",L871,U870+L871-S871)</f>
        <v>491086476.673523</v>
      </c>
      <c r="V871" s="9" t="n">
        <f aca="false">IF(T871&gt;0,U871/T871,IF(I871="Opening",0,V870))</f>
        <v>28336.8056641429</v>
      </c>
      <c r="W871" s="14" t="n">
        <f aca="false">M871</f>
        <v>31.7</v>
      </c>
      <c r="X871" s="9" t="n">
        <f aca="false">IF(W871=0,0,IF(O871="Booked",N871,W871*AA870))</f>
        <v>898276.739553331</v>
      </c>
      <c r="Y871" s="14" t="n">
        <f aca="false">IF(I871="Opening",K871,Y870+K871-W871)</f>
        <v>17330.34</v>
      </c>
      <c r="Z871" s="9" t="n">
        <f aca="false">IF(I871="Opening",L871,Z870+L871-X871)</f>
        <v>491086476.673523</v>
      </c>
      <c r="AA871" s="9" t="n">
        <f aca="false">IF(Y871&gt;0,Z871/Y871,IF(I871="Opening",0,AA870))</f>
        <v>28336.8056641429</v>
      </c>
      <c r="AB871" s="9" t="n">
        <f aca="false">IF(AND(I871="DO",O871="MA"),S871-N871,0)</f>
        <v>-0.000446669058874249</v>
      </c>
      <c r="AC871" s="9" t="n">
        <f aca="false">IF(I871="DO",X871-S871,0)</f>
        <v>0</v>
      </c>
      <c r="AD871" s="23" t="n">
        <f aca="false">IF(B872&lt;&gt;B871,1,0)</f>
        <v>0</v>
      </c>
      <c r="AE871" s="14" t="n">
        <f aca="false">IF(I871="Opening",0,AE870+W871)</f>
        <v>15065.21</v>
      </c>
      <c r="AF871" s="14" t="n">
        <f aca="false">IF(I871="Opening",K871,AF870)</f>
        <v>6477.78</v>
      </c>
      <c r="AG871" s="14" t="n">
        <f aca="false">AG870</f>
        <v>25917.77</v>
      </c>
      <c r="AH871" s="14" t="n">
        <f aca="false">IF(W871=0,0,MAX(0,MIN(AE871,AF871)-MIN(AE871-W871,AF871)))</f>
        <v>0</v>
      </c>
      <c r="AI871" s="14" t="n">
        <f aca="false">IF(W871=0,0,MAX(0,MIN(AE871,AF871+AG871)-MAX(AE871-W871,AF871)))</f>
        <v>31.7000000000007</v>
      </c>
      <c r="AJ871" s="14" t="n">
        <f aca="false">W871-AH871-AI871</f>
        <v>-7.28306304154103E-013</v>
      </c>
      <c r="AK871" s="9" t="n">
        <f aca="false">IF(W871=0,0,X871*AH871/W871)</f>
        <v>0</v>
      </c>
      <c r="AL871" s="9" t="n">
        <f aca="false">IF(W871=0,0,X871*AI871/W871)</f>
        <v>898276.739553352</v>
      </c>
      <c r="AM871" s="9" t="n">
        <f aca="false">X871-AK871-AL871</f>
        <v>-2.06055119633675E-008</v>
      </c>
    </row>
    <row r="872" customFormat="false" ht="15" hidden="false" customHeight="false" outlineLevel="0" collapsed="false">
      <c r="A872" s="6" t="n">
        <v>867</v>
      </c>
      <c r="B872" s="74" t="s">
        <v>1020</v>
      </c>
      <c r="C872" s="53" t="str">
        <f aca="false">INDEX(I_Items!$C$5:$C$133,MATCH($B872,I_Items!$A$5:$A$133,0))</f>
        <v>Trading</v>
      </c>
      <c r="D872" s="53" t="str">
        <f aca="false">INDEX(I_Items!$D$5:$D$133,MATCH($B872,I_Items!$A$5:$A$133,0))</f>
        <v>BLP</v>
      </c>
      <c r="E872" s="53" t="str">
        <f aca="false">INDEX(I_Items!$F$5:$F$133,MATCH($B872,I_Items!$A$5:$A$133,0))</f>
        <v>Frozen</v>
      </c>
      <c r="F872" s="53" t="str">
        <f aca="false">IF(INDEX(I_Items!$E$5:$E$133,MATCH($B872,I_Items!$A$5:$A$133,0))="","",INDEX(I_Items!$E$5:$E$133,MATCH($B872,I_Items!$A$5:$A$133,0)))</f>
        <v/>
      </c>
      <c r="G872" s="76" t="n">
        <v>46234</v>
      </c>
      <c r="H872" s="23" t="n">
        <f aca="false">MONTH(G872)</f>
        <v>7</v>
      </c>
      <c r="I872" s="74" t="s">
        <v>2075</v>
      </c>
      <c r="J872" s="74" t="s">
        <v>2251</v>
      </c>
      <c r="K872" s="10" t="n">
        <v>0</v>
      </c>
      <c r="L872" s="8" t="n">
        <v>0</v>
      </c>
      <c r="M872" s="10" t="n">
        <v>671</v>
      </c>
      <c r="N872" s="8" t="n">
        <v>19013996.62</v>
      </c>
      <c r="O872" s="74" t="s">
        <v>2077</v>
      </c>
      <c r="P872" s="74"/>
      <c r="Q872" s="74"/>
      <c r="R872" s="14" t="n">
        <f aca="false">IF(I872="Unbilled",0,M872)</f>
        <v>671</v>
      </c>
      <c r="S872" s="9" t="n">
        <f aca="false">IF(R872=0,0,IF(O872="Booked",N872,R872*V871))</f>
        <v>19013996.6006399</v>
      </c>
      <c r="T872" s="14" t="n">
        <f aca="false">IF(I872="Opening",K872,T871+K872-R872)</f>
        <v>16659.34</v>
      </c>
      <c r="U872" s="9" t="n">
        <f aca="false">IF(I872="Opening",L872,U871+L872-S872)</f>
        <v>472072480.072883</v>
      </c>
      <c r="V872" s="9" t="n">
        <f aca="false">IF(T872&gt;0,U872/T872,IF(I872="Opening",0,V871))</f>
        <v>28336.8056641429</v>
      </c>
      <c r="W872" s="14" t="n">
        <f aca="false">M872</f>
        <v>671</v>
      </c>
      <c r="X872" s="9" t="n">
        <f aca="false">IF(W872=0,0,IF(O872="Booked",N872,W872*AA871))</f>
        <v>19013996.6006399</v>
      </c>
      <c r="Y872" s="14" t="n">
        <f aca="false">IF(I872="Opening",K872,Y871+K872-W872)</f>
        <v>16659.34</v>
      </c>
      <c r="Z872" s="9" t="n">
        <f aca="false">IF(I872="Opening",L872,Z871+L872-X872)</f>
        <v>472072480.072883</v>
      </c>
      <c r="AA872" s="9" t="n">
        <f aca="false">IF(Y872&gt;0,Z872/Y872,IF(I872="Opening",0,AA871))</f>
        <v>28336.8056641429</v>
      </c>
      <c r="AB872" s="9" t="n">
        <f aca="false">IF(AND(I872="DO",O872="MA"),S872-N872,0)</f>
        <v>-0.0193600915372372</v>
      </c>
      <c r="AC872" s="9" t="n">
        <f aca="false">IF(I872="DO",X872-S872,0)</f>
        <v>0</v>
      </c>
      <c r="AD872" s="23" t="n">
        <f aca="false">IF(B873&lt;&gt;B872,1,0)</f>
        <v>0</v>
      </c>
      <c r="AE872" s="14" t="n">
        <f aca="false">IF(I872="Opening",0,AE871+W872)</f>
        <v>15736.21</v>
      </c>
      <c r="AF872" s="14" t="n">
        <f aca="false">IF(I872="Opening",K872,AF871)</f>
        <v>6477.78</v>
      </c>
      <c r="AG872" s="14" t="n">
        <f aca="false">AG871</f>
        <v>25917.77</v>
      </c>
      <c r="AH872" s="14" t="n">
        <f aca="false">IF(W872=0,0,MAX(0,MIN(AE872,AF872)-MIN(AE872-W872,AF872)))</f>
        <v>0</v>
      </c>
      <c r="AI872" s="14" t="n">
        <f aca="false">IF(W872=0,0,MAX(0,MIN(AE872,AF872+AG872)-MAX(AE872-W872,AF872)))</f>
        <v>671</v>
      </c>
      <c r="AJ872" s="14" t="n">
        <f aca="false">W872-AH872-AI872</f>
        <v>0</v>
      </c>
      <c r="AK872" s="9" t="n">
        <f aca="false">IF(W872=0,0,X872*AH872/W872)</f>
        <v>0</v>
      </c>
      <c r="AL872" s="9" t="n">
        <f aca="false">IF(W872=0,0,X872*AI872/W872)</f>
        <v>19013996.6006399</v>
      </c>
      <c r="AM872" s="9" t="n">
        <f aca="false">X872-AK872-AL872</f>
        <v>0</v>
      </c>
    </row>
    <row r="873" customFormat="false" ht="15" hidden="false" customHeight="false" outlineLevel="0" collapsed="false">
      <c r="A873" s="6" t="n">
        <v>868</v>
      </c>
      <c r="B873" s="74" t="s">
        <v>1020</v>
      </c>
      <c r="C873" s="53" t="str">
        <f aca="false">INDEX(I_Items!$C$5:$C$133,MATCH($B873,I_Items!$A$5:$A$133,0))</f>
        <v>Trading</v>
      </c>
      <c r="D873" s="53" t="str">
        <f aca="false">INDEX(I_Items!$D$5:$D$133,MATCH($B873,I_Items!$A$5:$A$133,0))</f>
        <v>BLP</v>
      </c>
      <c r="E873" s="53" t="str">
        <f aca="false">INDEX(I_Items!$F$5:$F$133,MATCH($B873,I_Items!$A$5:$A$133,0))</f>
        <v>Frozen</v>
      </c>
      <c r="F873" s="53" t="str">
        <f aca="false">IF(INDEX(I_Items!$E$5:$E$133,MATCH($B873,I_Items!$A$5:$A$133,0))="","",INDEX(I_Items!$E$5:$E$133,MATCH($B873,I_Items!$A$5:$A$133,0)))</f>
        <v/>
      </c>
      <c r="G873" s="76" t="n">
        <v>46234</v>
      </c>
      <c r="H873" s="23" t="n">
        <f aca="false">MONTH(G873)</f>
        <v>7</v>
      </c>
      <c r="I873" s="74" t="s">
        <v>2075</v>
      </c>
      <c r="J873" s="74" t="s">
        <v>2251</v>
      </c>
      <c r="K873" s="10" t="n">
        <v>0</v>
      </c>
      <c r="L873" s="8" t="n">
        <v>0</v>
      </c>
      <c r="M873" s="10" t="n">
        <v>340.4</v>
      </c>
      <c r="N873" s="8" t="n">
        <v>9645848.66</v>
      </c>
      <c r="O873" s="74" t="s">
        <v>2077</v>
      </c>
      <c r="P873" s="74"/>
      <c r="Q873" s="74"/>
      <c r="R873" s="14" t="n">
        <f aca="false">IF(I873="Unbilled",0,M873)</f>
        <v>340.4</v>
      </c>
      <c r="S873" s="9" t="n">
        <f aca="false">IF(R873=0,0,IF(O873="Booked",N873,R873*V872))</f>
        <v>9645848.64807425</v>
      </c>
      <c r="T873" s="14" t="n">
        <f aca="false">IF(I873="Opening",K873,T872+K873-R873)</f>
        <v>16318.94</v>
      </c>
      <c r="U873" s="9" t="n">
        <f aca="false">IF(I873="Opening",L873,U872+L873-S873)</f>
        <v>462426631.424809</v>
      </c>
      <c r="V873" s="9" t="n">
        <f aca="false">IF(T873&gt;0,U873/T873,IF(I873="Opening",0,V872))</f>
        <v>28336.8056641429</v>
      </c>
      <c r="W873" s="14" t="n">
        <f aca="false">M873</f>
        <v>340.4</v>
      </c>
      <c r="X873" s="9" t="n">
        <f aca="false">IF(W873=0,0,IF(O873="Booked",N873,W873*AA872))</f>
        <v>9645848.64807425</v>
      </c>
      <c r="Y873" s="14" t="n">
        <f aca="false">IF(I873="Opening",K873,Y872+K873-W873)</f>
        <v>16318.94</v>
      </c>
      <c r="Z873" s="9" t="n">
        <f aca="false">IF(I873="Opening",L873,Z872+L873-X873)</f>
        <v>462426631.424809</v>
      </c>
      <c r="AA873" s="9" t="n">
        <f aca="false">IF(Y873&gt;0,Z873/Y873,IF(I873="Opening",0,AA872))</f>
        <v>28336.8056641429</v>
      </c>
      <c r="AB873" s="9" t="n">
        <f aca="false">IF(AND(I873="DO",O873="MA"),S873-N873,0)</f>
        <v>-0.011925745755434</v>
      </c>
      <c r="AC873" s="9" t="n">
        <f aca="false">IF(I873="DO",X873-S873,0)</f>
        <v>0</v>
      </c>
      <c r="AD873" s="23" t="n">
        <f aca="false">IF(B874&lt;&gt;B873,1,0)</f>
        <v>0</v>
      </c>
      <c r="AE873" s="14" t="n">
        <f aca="false">IF(I873="Opening",0,AE872+W873)</f>
        <v>16076.61</v>
      </c>
      <c r="AF873" s="14" t="n">
        <f aca="false">IF(I873="Opening",K873,AF872)</f>
        <v>6477.78</v>
      </c>
      <c r="AG873" s="14" t="n">
        <f aca="false">AG872</f>
        <v>25917.77</v>
      </c>
      <c r="AH873" s="14" t="n">
        <f aca="false">IF(W873=0,0,MAX(0,MIN(AE873,AF873)-MIN(AE873-W873,AF873)))</f>
        <v>0</v>
      </c>
      <c r="AI873" s="14" t="n">
        <f aca="false">IF(W873=0,0,MAX(0,MIN(AE873,AF873+AG873)-MAX(AE873-W873,AF873)))</f>
        <v>340.4</v>
      </c>
      <c r="AJ873" s="14" t="n">
        <f aca="false">W873-AH873-AI873</f>
        <v>0</v>
      </c>
      <c r="AK873" s="9" t="n">
        <f aca="false">IF(W873=0,0,X873*AH873/W873)</f>
        <v>0</v>
      </c>
      <c r="AL873" s="9" t="n">
        <f aca="false">IF(W873=0,0,X873*AI873/W873)</f>
        <v>9645848.64807425</v>
      </c>
      <c r="AM873" s="9" t="n">
        <f aca="false">X873-AK873-AL873</f>
        <v>0</v>
      </c>
    </row>
    <row r="874" customFormat="false" ht="15" hidden="false" customHeight="false" outlineLevel="0" collapsed="false">
      <c r="A874" s="6" t="n">
        <v>869</v>
      </c>
      <c r="B874" s="74" t="s">
        <v>1020</v>
      </c>
      <c r="C874" s="53" t="str">
        <f aca="false">INDEX(I_Items!$C$5:$C$133,MATCH($B874,I_Items!$A$5:$A$133,0))</f>
        <v>Trading</v>
      </c>
      <c r="D874" s="53" t="str">
        <f aca="false">INDEX(I_Items!$D$5:$D$133,MATCH($B874,I_Items!$A$5:$A$133,0))</f>
        <v>BLP</v>
      </c>
      <c r="E874" s="53" t="str">
        <f aca="false">INDEX(I_Items!$F$5:$F$133,MATCH($B874,I_Items!$A$5:$A$133,0))</f>
        <v>Frozen</v>
      </c>
      <c r="F874" s="53" t="str">
        <f aca="false">IF(INDEX(I_Items!$E$5:$E$133,MATCH($B874,I_Items!$A$5:$A$133,0))="","",INDEX(I_Items!$E$5:$E$133,MATCH($B874,I_Items!$A$5:$A$133,0)))</f>
        <v/>
      </c>
      <c r="G874" s="76" t="n">
        <v>46235</v>
      </c>
      <c r="H874" s="23" t="n">
        <f aca="false">MONTH(G874)</f>
        <v>8</v>
      </c>
      <c r="I874" s="74" t="s">
        <v>2075</v>
      </c>
      <c r="J874" s="74" t="s">
        <v>2253</v>
      </c>
      <c r="K874" s="10" t="n">
        <v>0</v>
      </c>
      <c r="L874" s="8" t="n">
        <v>0</v>
      </c>
      <c r="M874" s="10" t="n">
        <v>315.61</v>
      </c>
      <c r="N874" s="8" t="n">
        <v>8943379.25</v>
      </c>
      <c r="O874" s="74" t="s">
        <v>2077</v>
      </c>
      <c r="P874" s="74"/>
      <c r="Q874" s="74"/>
      <c r="R874" s="14" t="n">
        <f aca="false">IF(I874="Unbilled",0,M874)</f>
        <v>315.61</v>
      </c>
      <c r="S874" s="9" t="n">
        <f aca="false">IF(R874=0,0,IF(O874="Booked",N874,R874*V873))</f>
        <v>8943379.23566015</v>
      </c>
      <c r="T874" s="14" t="n">
        <f aca="false">IF(I874="Opening",K874,T873+K874-R874)</f>
        <v>16003.33</v>
      </c>
      <c r="U874" s="9" t="n">
        <f aca="false">IF(I874="Opening",L874,U873+L874-S874)</f>
        <v>453483252.189149</v>
      </c>
      <c r="V874" s="9" t="n">
        <f aca="false">IF(T874&gt;0,U874/T874,IF(I874="Opening",0,V873))</f>
        <v>28336.8056641429</v>
      </c>
      <c r="W874" s="14" t="n">
        <f aca="false">M874</f>
        <v>315.61</v>
      </c>
      <c r="X874" s="9" t="n">
        <f aca="false">IF(W874=0,0,IF(O874="Booked",N874,W874*AA873))</f>
        <v>8943379.23566015</v>
      </c>
      <c r="Y874" s="14" t="n">
        <f aca="false">IF(I874="Opening",K874,Y873+K874-W874)</f>
        <v>16003.33</v>
      </c>
      <c r="Z874" s="9" t="n">
        <f aca="false">IF(I874="Opening",L874,Z873+L874-X874)</f>
        <v>453483252.189149</v>
      </c>
      <c r="AA874" s="9" t="n">
        <f aca="false">IF(Y874&gt;0,Z874/Y874,IF(I874="Opening",0,AA873))</f>
        <v>28336.8056641429</v>
      </c>
      <c r="AB874" s="9" t="n">
        <f aca="false">IF(AND(I874="DO",O874="MA"),S874-N874,0)</f>
        <v>-0.0143398474901915</v>
      </c>
      <c r="AC874" s="9" t="n">
        <f aca="false">IF(I874="DO",X874-S874,0)</f>
        <v>0</v>
      </c>
      <c r="AD874" s="23" t="n">
        <f aca="false">IF(B875&lt;&gt;B874,1,0)</f>
        <v>0</v>
      </c>
      <c r="AE874" s="14" t="n">
        <f aca="false">IF(I874="Opening",0,AE873+W874)</f>
        <v>16392.22</v>
      </c>
      <c r="AF874" s="14" t="n">
        <f aca="false">IF(I874="Opening",K874,AF873)</f>
        <v>6477.78</v>
      </c>
      <c r="AG874" s="14" t="n">
        <f aca="false">AG873</f>
        <v>25917.77</v>
      </c>
      <c r="AH874" s="14" t="n">
        <f aca="false">IF(W874=0,0,MAX(0,MIN(AE874,AF874)-MIN(AE874-W874,AF874)))</f>
        <v>0</v>
      </c>
      <c r="AI874" s="14" t="n">
        <f aca="false">IF(W874=0,0,MAX(0,MIN(AE874,AF874+AG874)-MAX(AE874-W874,AF874)))</f>
        <v>315.610000000001</v>
      </c>
      <c r="AJ874" s="14" t="n">
        <f aca="false">W874-AH874-AI874</f>
        <v>0</v>
      </c>
      <c r="AK874" s="9" t="n">
        <f aca="false">IF(W874=0,0,X874*AH874/W874)</f>
        <v>0</v>
      </c>
      <c r="AL874" s="9" t="n">
        <f aca="false">IF(W874=0,0,X874*AI874/W874)</f>
        <v>8943379.23566017</v>
      </c>
      <c r="AM874" s="9" t="n">
        <f aca="false">X874-AK874-AL874</f>
        <v>0</v>
      </c>
    </row>
    <row r="875" customFormat="false" ht="15" hidden="false" customHeight="false" outlineLevel="0" collapsed="false">
      <c r="A875" s="6" t="n">
        <v>870</v>
      </c>
      <c r="B875" s="74" t="s">
        <v>1020</v>
      </c>
      <c r="C875" s="53" t="str">
        <f aca="false">INDEX(I_Items!$C$5:$C$133,MATCH($B875,I_Items!$A$5:$A$133,0))</f>
        <v>Trading</v>
      </c>
      <c r="D875" s="53" t="str">
        <f aca="false">INDEX(I_Items!$D$5:$D$133,MATCH($B875,I_Items!$A$5:$A$133,0))</f>
        <v>BLP</v>
      </c>
      <c r="E875" s="53" t="str">
        <f aca="false">INDEX(I_Items!$F$5:$F$133,MATCH($B875,I_Items!$A$5:$A$133,0))</f>
        <v>Frozen</v>
      </c>
      <c r="F875" s="53" t="str">
        <f aca="false">IF(INDEX(I_Items!$E$5:$E$133,MATCH($B875,I_Items!$A$5:$A$133,0))="","",INDEX(I_Items!$E$5:$E$133,MATCH($B875,I_Items!$A$5:$A$133,0)))</f>
        <v/>
      </c>
      <c r="G875" s="76" t="n">
        <v>46235</v>
      </c>
      <c r="H875" s="23" t="n">
        <f aca="false">MONTH(G875)</f>
        <v>8</v>
      </c>
      <c r="I875" s="74" t="s">
        <v>2075</v>
      </c>
      <c r="J875" s="74" t="s">
        <v>2121</v>
      </c>
      <c r="K875" s="10" t="n">
        <v>0</v>
      </c>
      <c r="L875" s="8" t="n">
        <v>0</v>
      </c>
      <c r="M875" s="10" t="n">
        <v>697.72</v>
      </c>
      <c r="N875" s="8" t="n">
        <v>19771156.07</v>
      </c>
      <c r="O875" s="74" t="s">
        <v>2077</v>
      </c>
      <c r="P875" s="74"/>
      <c r="Q875" s="74"/>
      <c r="R875" s="14" t="n">
        <f aca="false">IF(I875="Unbilled",0,M875)</f>
        <v>697.72</v>
      </c>
      <c r="S875" s="9" t="n">
        <f aca="false">IF(R875=0,0,IF(O875="Booked",N875,R875*V874))</f>
        <v>19771156.0479858</v>
      </c>
      <c r="T875" s="14" t="n">
        <f aca="false">IF(I875="Opening",K875,T874+K875-R875)</f>
        <v>15305.61</v>
      </c>
      <c r="U875" s="9" t="n">
        <f aca="false">IF(I875="Opening",L875,U874+L875-S875)</f>
        <v>433712096.141163</v>
      </c>
      <c r="V875" s="9" t="n">
        <f aca="false">IF(T875&gt;0,U875/T875,IF(I875="Opening",0,V874))</f>
        <v>28336.8056641429</v>
      </c>
      <c r="W875" s="14" t="n">
        <f aca="false">M875</f>
        <v>697.72</v>
      </c>
      <c r="X875" s="9" t="n">
        <f aca="false">IF(W875=0,0,IF(O875="Booked",N875,W875*AA874))</f>
        <v>19771156.0479858</v>
      </c>
      <c r="Y875" s="14" t="n">
        <f aca="false">IF(I875="Opening",K875,Y874+K875-W875)</f>
        <v>15305.61</v>
      </c>
      <c r="Z875" s="9" t="n">
        <f aca="false">IF(I875="Opening",L875,Z874+L875-X875)</f>
        <v>433712096.141163</v>
      </c>
      <c r="AA875" s="9" t="n">
        <f aca="false">IF(Y875&gt;0,Z875/Y875,IF(I875="Opening",0,AA874))</f>
        <v>28336.8056641429</v>
      </c>
      <c r="AB875" s="9" t="n">
        <f aca="false">IF(AND(I875="DO",O875="MA"),S875-N875,0)</f>
        <v>-0.0220141895115376</v>
      </c>
      <c r="AC875" s="9" t="n">
        <f aca="false">IF(I875="DO",X875-S875,0)</f>
        <v>0</v>
      </c>
      <c r="AD875" s="23" t="n">
        <f aca="false">IF(B876&lt;&gt;B875,1,0)</f>
        <v>0</v>
      </c>
      <c r="AE875" s="14" t="n">
        <f aca="false">IF(I875="Opening",0,AE874+W875)</f>
        <v>17089.94</v>
      </c>
      <c r="AF875" s="14" t="n">
        <f aca="false">IF(I875="Opening",K875,AF874)</f>
        <v>6477.78</v>
      </c>
      <c r="AG875" s="14" t="n">
        <f aca="false">AG874</f>
        <v>25917.77</v>
      </c>
      <c r="AH875" s="14" t="n">
        <f aca="false">IF(W875=0,0,MAX(0,MIN(AE875,AF875)-MIN(AE875-W875,AF875)))</f>
        <v>0</v>
      </c>
      <c r="AI875" s="14" t="n">
        <f aca="false">IF(W875=0,0,MAX(0,MIN(AE875,AF875+AG875)-MAX(AE875-W875,AF875)))</f>
        <v>697.720000000001</v>
      </c>
      <c r="AJ875" s="14" t="n">
        <f aca="false">W875-AH875-AI875</f>
        <v>0</v>
      </c>
      <c r="AK875" s="9" t="n">
        <f aca="false">IF(W875=0,0,X875*AH875/W875)</f>
        <v>0</v>
      </c>
      <c r="AL875" s="9" t="n">
        <f aca="false">IF(W875=0,0,X875*AI875/W875)</f>
        <v>19771156.0479858</v>
      </c>
      <c r="AM875" s="9" t="n">
        <f aca="false">X875-AK875-AL875</f>
        <v>0</v>
      </c>
    </row>
    <row r="876" customFormat="false" ht="15" hidden="false" customHeight="false" outlineLevel="0" collapsed="false">
      <c r="A876" s="6" t="n">
        <v>871</v>
      </c>
      <c r="B876" s="74" t="s">
        <v>1020</v>
      </c>
      <c r="C876" s="53" t="str">
        <f aca="false">INDEX(I_Items!$C$5:$C$133,MATCH($B876,I_Items!$A$5:$A$133,0))</f>
        <v>Trading</v>
      </c>
      <c r="D876" s="53" t="str">
        <f aca="false">INDEX(I_Items!$D$5:$D$133,MATCH($B876,I_Items!$A$5:$A$133,0))</f>
        <v>BLP</v>
      </c>
      <c r="E876" s="53" t="str">
        <f aca="false">INDEX(I_Items!$F$5:$F$133,MATCH($B876,I_Items!$A$5:$A$133,0))</f>
        <v>Frozen</v>
      </c>
      <c r="F876" s="53" t="str">
        <f aca="false">IF(INDEX(I_Items!$E$5:$E$133,MATCH($B876,I_Items!$A$5:$A$133,0))="","",INDEX(I_Items!$E$5:$E$133,MATCH($B876,I_Items!$A$5:$A$133,0)))</f>
        <v/>
      </c>
      <c r="G876" s="76" t="n">
        <v>46235</v>
      </c>
      <c r="H876" s="23" t="n">
        <f aca="false">MONTH(G876)</f>
        <v>8</v>
      </c>
      <c r="I876" s="74" t="s">
        <v>2075</v>
      </c>
      <c r="J876" s="74" t="s">
        <v>2254</v>
      </c>
      <c r="K876" s="10" t="n">
        <v>0</v>
      </c>
      <c r="L876" s="8" t="n">
        <v>0</v>
      </c>
      <c r="M876" s="10" t="n">
        <v>2019.7</v>
      </c>
      <c r="N876" s="8" t="n">
        <v>57231846.47</v>
      </c>
      <c r="O876" s="74" t="s">
        <v>2077</v>
      </c>
      <c r="P876" s="74"/>
      <c r="Q876" s="74"/>
      <c r="R876" s="14" t="n">
        <f aca="false">IF(I876="Unbilled",0,M876)</f>
        <v>2019.7</v>
      </c>
      <c r="S876" s="9" t="n">
        <f aca="false">IF(R876=0,0,IF(O876="Booked",N876,R876*V875))</f>
        <v>57231846.3998695</v>
      </c>
      <c r="T876" s="14" t="n">
        <f aca="false">IF(I876="Opening",K876,T875+K876-R876)</f>
        <v>13285.91</v>
      </c>
      <c r="U876" s="9" t="n">
        <f aca="false">IF(I876="Opening",L876,U875+L876-S876)</f>
        <v>376480249.741293</v>
      </c>
      <c r="V876" s="9" t="n">
        <f aca="false">IF(T876&gt;0,U876/T876,IF(I876="Opening",0,V875))</f>
        <v>28336.8056641429</v>
      </c>
      <c r="W876" s="14" t="n">
        <f aca="false">M876</f>
        <v>2019.7</v>
      </c>
      <c r="X876" s="9" t="n">
        <f aca="false">IF(W876=0,0,IF(O876="Booked",N876,W876*AA875))</f>
        <v>57231846.3998695</v>
      </c>
      <c r="Y876" s="14" t="n">
        <f aca="false">IF(I876="Opening",K876,Y875+K876-W876)</f>
        <v>13285.91</v>
      </c>
      <c r="Z876" s="9" t="n">
        <f aca="false">IF(I876="Opening",L876,Z875+L876-X876)</f>
        <v>376480249.741293</v>
      </c>
      <c r="AA876" s="9" t="n">
        <f aca="false">IF(Y876&gt;0,Z876/Y876,IF(I876="Opening",0,AA875))</f>
        <v>28336.8056641429</v>
      </c>
      <c r="AB876" s="9" t="n">
        <f aca="false">IF(AND(I876="DO",O876="MA"),S876-N876,0)</f>
        <v>-0.0701305121183395</v>
      </c>
      <c r="AC876" s="9" t="n">
        <f aca="false">IF(I876="DO",X876-S876,0)</f>
        <v>0</v>
      </c>
      <c r="AD876" s="23" t="n">
        <f aca="false">IF(B877&lt;&gt;B876,1,0)</f>
        <v>0</v>
      </c>
      <c r="AE876" s="14" t="n">
        <f aca="false">IF(I876="Opening",0,AE875+W876)</f>
        <v>19109.64</v>
      </c>
      <c r="AF876" s="14" t="n">
        <f aca="false">IF(I876="Opening",K876,AF875)</f>
        <v>6477.78</v>
      </c>
      <c r="AG876" s="14" t="n">
        <f aca="false">AG875</f>
        <v>25917.77</v>
      </c>
      <c r="AH876" s="14" t="n">
        <f aca="false">IF(W876=0,0,MAX(0,MIN(AE876,AF876)-MIN(AE876-W876,AF876)))</f>
        <v>0</v>
      </c>
      <c r="AI876" s="14" t="n">
        <f aca="false">IF(W876=0,0,MAX(0,MIN(AE876,AF876+AG876)-MAX(AE876-W876,AF876)))</f>
        <v>2019.7</v>
      </c>
      <c r="AJ876" s="14" t="n">
        <f aca="false">W876-AH876-AI876</f>
        <v>0</v>
      </c>
      <c r="AK876" s="9" t="n">
        <f aca="false">IF(W876=0,0,X876*AH876/W876)</f>
        <v>0</v>
      </c>
      <c r="AL876" s="9" t="n">
        <f aca="false">IF(W876=0,0,X876*AI876/W876)</f>
        <v>57231846.3998695</v>
      </c>
      <c r="AM876" s="9" t="n">
        <f aca="false">X876-AK876-AL876</f>
        <v>0</v>
      </c>
    </row>
    <row r="877" customFormat="false" ht="15" hidden="false" customHeight="false" outlineLevel="0" collapsed="false">
      <c r="A877" s="6" t="n">
        <v>872</v>
      </c>
      <c r="B877" s="74" t="s">
        <v>1020</v>
      </c>
      <c r="C877" s="53" t="str">
        <f aca="false">INDEX(I_Items!$C$5:$C$133,MATCH($B877,I_Items!$A$5:$A$133,0))</f>
        <v>Trading</v>
      </c>
      <c r="D877" s="53" t="str">
        <f aca="false">INDEX(I_Items!$D$5:$D$133,MATCH($B877,I_Items!$A$5:$A$133,0))</f>
        <v>BLP</v>
      </c>
      <c r="E877" s="53" t="str">
        <f aca="false">INDEX(I_Items!$F$5:$F$133,MATCH($B877,I_Items!$A$5:$A$133,0))</f>
        <v>Frozen</v>
      </c>
      <c r="F877" s="53" t="str">
        <f aca="false">IF(INDEX(I_Items!$E$5:$E$133,MATCH($B877,I_Items!$A$5:$A$133,0))="","",INDEX(I_Items!$E$5:$E$133,MATCH($B877,I_Items!$A$5:$A$133,0)))</f>
        <v/>
      </c>
      <c r="G877" s="76" t="n">
        <v>46238</v>
      </c>
      <c r="H877" s="23" t="n">
        <f aca="false">MONTH(G877)</f>
        <v>8</v>
      </c>
      <c r="I877" s="74" t="s">
        <v>2074</v>
      </c>
      <c r="J877" s="74" t="s">
        <v>2256</v>
      </c>
      <c r="K877" s="10" t="n">
        <v>221.55</v>
      </c>
      <c r="L877" s="8" t="n">
        <v>9305100</v>
      </c>
      <c r="M877" s="10" t="n">
        <v>0</v>
      </c>
      <c r="N877" s="8" t="n">
        <v>0</v>
      </c>
      <c r="O877" s="74"/>
      <c r="P877" s="74"/>
      <c r="Q877" s="74"/>
      <c r="R877" s="14" t="n">
        <f aca="false">IF(I877="Unbilled",0,M877)</f>
        <v>0</v>
      </c>
      <c r="S877" s="9" t="n">
        <f aca="false">IF(R877=0,0,IF(O877="Booked",N877,R877*V876))</f>
        <v>0</v>
      </c>
      <c r="T877" s="14" t="n">
        <f aca="false">IF(I877="Opening",K877,T876+K877-R877)</f>
        <v>13507.46</v>
      </c>
      <c r="U877" s="9" t="n">
        <f aca="false">IF(I877="Opening",L877,U876+L877-S877)</f>
        <v>385785349.741293</v>
      </c>
      <c r="V877" s="9" t="n">
        <f aca="false">IF(T877&gt;0,U877/T877,IF(I877="Opening",0,V876))</f>
        <v>28560.910026111</v>
      </c>
      <c r="W877" s="14" t="n">
        <f aca="false">M877</f>
        <v>0</v>
      </c>
      <c r="X877" s="9" t="n">
        <f aca="false">IF(W877=0,0,IF(O877="Booked",N877,W877*AA876))</f>
        <v>0</v>
      </c>
      <c r="Y877" s="14" t="n">
        <f aca="false">IF(I877="Opening",K877,Y876+K877-W877)</f>
        <v>13507.46</v>
      </c>
      <c r="Z877" s="9" t="n">
        <f aca="false">IF(I877="Opening",L877,Z876+L877-X877)</f>
        <v>385785349.741293</v>
      </c>
      <c r="AA877" s="9" t="n">
        <f aca="false">IF(Y877&gt;0,Z877/Y877,IF(I877="Opening",0,AA876))</f>
        <v>28560.910026111</v>
      </c>
      <c r="AB877" s="9" t="n">
        <f aca="false">IF(AND(I877="DO",O877="MA"),S877-N877,0)</f>
        <v>0</v>
      </c>
      <c r="AC877" s="9" t="n">
        <f aca="false">IF(I877="DO",X877-S877,0)</f>
        <v>0</v>
      </c>
      <c r="AD877" s="23" t="n">
        <f aca="false">IF(B878&lt;&gt;B877,1,0)</f>
        <v>0</v>
      </c>
      <c r="AE877" s="14" t="n">
        <f aca="false">IF(I877="Opening",0,AE876+W877)</f>
        <v>19109.64</v>
      </c>
      <c r="AF877" s="14" t="n">
        <f aca="false">IF(I877="Opening",K877,AF876)</f>
        <v>6477.78</v>
      </c>
      <c r="AG877" s="14" t="n">
        <f aca="false">AG876</f>
        <v>25917.77</v>
      </c>
      <c r="AH877" s="14" t="n">
        <f aca="false">IF(W877=0,0,MAX(0,MIN(AE877,AF877)-MIN(AE877-W877,AF877)))</f>
        <v>0</v>
      </c>
      <c r="AI877" s="14" t="n">
        <f aca="false">IF(W877=0,0,MAX(0,MIN(AE877,AF877+AG877)-MAX(AE877-W877,AF877)))</f>
        <v>0</v>
      </c>
      <c r="AJ877" s="14" t="n">
        <f aca="false">W877-AH877-AI877</f>
        <v>0</v>
      </c>
      <c r="AK877" s="9" t="n">
        <f aca="false">IF(W877=0,0,X877*AH877/W877)</f>
        <v>0</v>
      </c>
      <c r="AL877" s="9" t="n">
        <f aca="false">IF(W877=0,0,X877*AI877/W877)</f>
        <v>0</v>
      </c>
      <c r="AM877" s="9" t="n">
        <f aca="false">X877-AK877-AL877</f>
        <v>0</v>
      </c>
    </row>
    <row r="878" customFormat="false" ht="15" hidden="false" customHeight="false" outlineLevel="0" collapsed="false">
      <c r="A878" s="6" t="n">
        <v>873</v>
      </c>
      <c r="B878" s="74" t="s">
        <v>1020</v>
      </c>
      <c r="C878" s="53" t="str">
        <f aca="false">INDEX(I_Items!$C$5:$C$133,MATCH($B878,I_Items!$A$5:$A$133,0))</f>
        <v>Trading</v>
      </c>
      <c r="D878" s="53" t="str">
        <f aca="false">INDEX(I_Items!$D$5:$D$133,MATCH($B878,I_Items!$A$5:$A$133,0))</f>
        <v>BLP</v>
      </c>
      <c r="E878" s="53" t="str">
        <f aca="false">INDEX(I_Items!$F$5:$F$133,MATCH($B878,I_Items!$A$5:$A$133,0))</f>
        <v>Frozen</v>
      </c>
      <c r="F878" s="53" t="str">
        <f aca="false">IF(INDEX(I_Items!$E$5:$E$133,MATCH($B878,I_Items!$A$5:$A$133,0))="","",INDEX(I_Items!$E$5:$E$133,MATCH($B878,I_Items!$A$5:$A$133,0)))</f>
        <v/>
      </c>
      <c r="G878" s="76" t="n">
        <v>46238</v>
      </c>
      <c r="H878" s="23" t="n">
        <f aca="false">MONTH(G878)</f>
        <v>8</v>
      </c>
      <c r="I878" s="74" t="s">
        <v>2075</v>
      </c>
      <c r="J878" s="74" t="s">
        <v>2257</v>
      </c>
      <c r="K878" s="10" t="n">
        <v>0</v>
      </c>
      <c r="L878" s="8" t="n">
        <v>0</v>
      </c>
      <c r="M878" s="10" t="n">
        <v>106.12</v>
      </c>
      <c r="N878" s="8" t="n">
        <v>3030883.78</v>
      </c>
      <c r="O878" s="74" t="s">
        <v>2077</v>
      </c>
      <c r="P878" s="74"/>
      <c r="Q878" s="74"/>
      <c r="R878" s="14" t="n">
        <f aca="false">IF(I878="Unbilled",0,M878)</f>
        <v>106.12</v>
      </c>
      <c r="S878" s="9" t="n">
        <f aca="false">IF(R878=0,0,IF(O878="Booked",N878,R878*V877))</f>
        <v>3030883.7719709</v>
      </c>
      <c r="T878" s="14" t="n">
        <f aca="false">IF(I878="Opening",K878,T877+K878-R878)</f>
        <v>13401.34</v>
      </c>
      <c r="U878" s="9" t="n">
        <f aca="false">IF(I878="Opening",L878,U877+L878-S878)</f>
        <v>382754465.969322</v>
      </c>
      <c r="V878" s="9" t="n">
        <f aca="false">IF(T878&gt;0,U878/T878,IF(I878="Opening",0,V877))</f>
        <v>28560.910026111</v>
      </c>
      <c r="W878" s="14" t="n">
        <f aca="false">M878</f>
        <v>106.12</v>
      </c>
      <c r="X878" s="9" t="n">
        <f aca="false">IF(W878=0,0,IF(O878="Booked",N878,W878*AA877))</f>
        <v>3030883.7719709</v>
      </c>
      <c r="Y878" s="14" t="n">
        <f aca="false">IF(I878="Opening",K878,Y877+K878-W878)</f>
        <v>13401.34</v>
      </c>
      <c r="Z878" s="9" t="n">
        <f aca="false">IF(I878="Opening",L878,Z877+L878-X878)</f>
        <v>382754465.969322</v>
      </c>
      <c r="AA878" s="9" t="n">
        <f aca="false">IF(Y878&gt;0,Z878/Y878,IF(I878="Opening",0,AA877))</f>
        <v>28560.910026111</v>
      </c>
      <c r="AB878" s="9" t="n">
        <f aca="false">IF(AND(I878="DO",O878="MA"),S878-N878,0)</f>
        <v>-0.00802910001948476</v>
      </c>
      <c r="AC878" s="9" t="n">
        <f aca="false">IF(I878="DO",X878-S878,0)</f>
        <v>0</v>
      </c>
      <c r="AD878" s="23" t="n">
        <f aca="false">IF(B879&lt;&gt;B878,1,0)</f>
        <v>0</v>
      </c>
      <c r="AE878" s="14" t="n">
        <f aca="false">IF(I878="Opening",0,AE877+W878)</f>
        <v>19215.76</v>
      </c>
      <c r="AF878" s="14" t="n">
        <f aca="false">IF(I878="Opening",K878,AF877)</f>
        <v>6477.78</v>
      </c>
      <c r="AG878" s="14" t="n">
        <f aca="false">AG877</f>
        <v>25917.77</v>
      </c>
      <c r="AH878" s="14" t="n">
        <f aca="false">IF(W878=0,0,MAX(0,MIN(AE878,AF878)-MIN(AE878-W878,AF878)))</f>
        <v>0</v>
      </c>
      <c r="AI878" s="14" t="n">
        <f aca="false">IF(W878=0,0,MAX(0,MIN(AE878,AF878+AG878)-MAX(AE878-W878,AF878)))</f>
        <v>106.119999999999</v>
      </c>
      <c r="AJ878" s="14" t="n">
        <f aca="false">W878-AH878-AI878</f>
        <v>1.02318153949454E-012</v>
      </c>
      <c r="AK878" s="9" t="n">
        <f aca="false">IF(W878=0,0,X878*AH878/W878)</f>
        <v>0</v>
      </c>
      <c r="AL878" s="9" t="n">
        <f aca="false">IF(W878=0,0,X878*AI878/W878)</f>
        <v>3030883.77197087</v>
      </c>
      <c r="AM878" s="9" t="n">
        <f aca="false">X878-AK878-AL878</f>
        <v>2.88709998130798E-008</v>
      </c>
    </row>
    <row r="879" customFormat="false" ht="15" hidden="false" customHeight="false" outlineLevel="0" collapsed="false">
      <c r="A879" s="6" t="n">
        <v>874</v>
      </c>
      <c r="B879" s="74" t="s">
        <v>1020</v>
      </c>
      <c r="C879" s="53" t="str">
        <f aca="false">INDEX(I_Items!$C$5:$C$133,MATCH($B879,I_Items!$A$5:$A$133,0))</f>
        <v>Trading</v>
      </c>
      <c r="D879" s="53" t="str">
        <f aca="false">INDEX(I_Items!$D$5:$D$133,MATCH($B879,I_Items!$A$5:$A$133,0))</f>
        <v>BLP</v>
      </c>
      <c r="E879" s="53" t="str">
        <f aca="false">INDEX(I_Items!$F$5:$F$133,MATCH($B879,I_Items!$A$5:$A$133,0))</f>
        <v>Frozen</v>
      </c>
      <c r="F879" s="53" t="str">
        <f aca="false">IF(INDEX(I_Items!$E$5:$E$133,MATCH($B879,I_Items!$A$5:$A$133,0))="","",INDEX(I_Items!$E$5:$E$133,MATCH($B879,I_Items!$A$5:$A$133,0)))</f>
        <v/>
      </c>
      <c r="G879" s="76" t="n">
        <v>46238</v>
      </c>
      <c r="H879" s="23" t="n">
        <f aca="false">MONTH(G879)</f>
        <v>8</v>
      </c>
      <c r="I879" s="74" t="s">
        <v>2075</v>
      </c>
      <c r="J879" s="74" t="s">
        <v>2257</v>
      </c>
      <c r="K879" s="10" t="n">
        <v>0</v>
      </c>
      <c r="L879" s="8" t="n">
        <v>0</v>
      </c>
      <c r="M879" s="10" t="n">
        <v>455.45</v>
      </c>
      <c r="N879" s="8" t="n">
        <v>13008066.51</v>
      </c>
      <c r="O879" s="74" t="s">
        <v>2077</v>
      </c>
      <c r="P879" s="74"/>
      <c r="Q879" s="74"/>
      <c r="R879" s="14" t="n">
        <f aca="false">IF(I879="Unbilled",0,M879)</f>
        <v>455.45</v>
      </c>
      <c r="S879" s="9" t="n">
        <f aca="false">IF(R879=0,0,IF(O879="Booked",N879,R879*V878))</f>
        <v>13008066.4713923</v>
      </c>
      <c r="T879" s="14" t="n">
        <f aca="false">IF(I879="Opening",K879,T878+K879-R879)</f>
        <v>12945.89</v>
      </c>
      <c r="U879" s="9" t="n">
        <f aca="false">IF(I879="Opening",L879,U878+L879-S879)</f>
        <v>369746399.49793</v>
      </c>
      <c r="V879" s="9" t="n">
        <f aca="false">IF(T879&gt;0,U879/T879,IF(I879="Opening",0,V878))</f>
        <v>28560.910026111</v>
      </c>
      <c r="W879" s="14" t="n">
        <f aca="false">M879</f>
        <v>455.45</v>
      </c>
      <c r="X879" s="9" t="n">
        <f aca="false">IF(W879=0,0,IF(O879="Booked",N879,W879*AA878))</f>
        <v>13008066.4713923</v>
      </c>
      <c r="Y879" s="14" t="n">
        <f aca="false">IF(I879="Opening",K879,Y878+K879-W879)</f>
        <v>12945.89</v>
      </c>
      <c r="Z879" s="9" t="n">
        <f aca="false">IF(I879="Opening",L879,Z878+L879-X879)</f>
        <v>369746399.49793</v>
      </c>
      <c r="AA879" s="9" t="n">
        <f aca="false">IF(Y879&gt;0,Z879/Y879,IF(I879="Opening",0,AA878))</f>
        <v>28560.910026111</v>
      </c>
      <c r="AB879" s="9" t="n">
        <f aca="false">IF(AND(I879="DO",O879="MA"),S879-N879,0)</f>
        <v>-0.038607744500041</v>
      </c>
      <c r="AC879" s="9" t="n">
        <f aca="false">IF(I879="DO",X879-S879,0)</f>
        <v>0</v>
      </c>
      <c r="AD879" s="23" t="n">
        <f aca="false">IF(B880&lt;&gt;B879,1,0)</f>
        <v>0</v>
      </c>
      <c r="AE879" s="14" t="n">
        <f aca="false">IF(I879="Opening",0,AE878+W879)</f>
        <v>19671.21</v>
      </c>
      <c r="AF879" s="14" t="n">
        <f aca="false">IF(I879="Opening",K879,AF878)</f>
        <v>6477.78</v>
      </c>
      <c r="AG879" s="14" t="n">
        <f aca="false">AG878</f>
        <v>25917.77</v>
      </c>
      <c r="AH879" s="14" t="n">
        <f aca="false">IF(W879=0,0,MAX(0,MIN(AE879,AF879)-MIN(AE879-W879,AF879)))</f>
        <v>0</v>
      </c>
      <c r="AI879" s="14" t="n">
        <f aca="false">IF(W879=0,0,MAX(0,MIN(AE879,AF879+AG879)-MAX(AE879-W879,AF879)))</f>
        <v>455.450000000001</v>
      </c>
      <c r="AJ879" s="14" t="n">
        <f aca="false">W879-AH879-AI879</f>
        <v>0</v>
      </c>
      <c r="AK879" s="9" t="n">
        <f aca="false">IF(W879=0,0,X879*AH879/W879)</f>
        <v>0</v>
      </c>
      <c r="AL879" s="9" t="n">
        <f aca="false">IF(W879=0,0,X879*AI879/W879)</f>
        <v>13008066.4713923</v>
      </c>
      <c r="AM879" s="9" t="n">
        <f aca="false">X879-AK879-AL879</f>
        <v>0</v>
      </c>
    </row>
    <row r="880" customFormat="false" ht="15" hidden="false" customHeight="false" outlineLevel="0" collapsed="false">
      <c r="A880" s="6" t="n">
        <v>875</v>
      </c>
      <c r="B880" s="74" t="s">
        <v>1020</v>
      </c>
      <c r="C880" s="53" t="str">
        <f aca="false">INDEX(I_Items!$C$5:$C$133,MATCH($B880,I_Items!$A$5:$A$133,0))</f>
        <v>Trading</v>
      </c>
      <c r="D880" s="53" t="str">
        <f aca="false">INDEX(I_Items!$D$5:$D$133,MATCH($B880,I_Items!$A$5:$A$133,0))</f>
        <v>BLP</v>
      </c>
      <c r="E880" s="53" t="str">
        <f aca="false">INDEX(I_Items!$F$5:$F$133,MATCH($B880,I_Items!$A$5:$A$133,0))</f>
        <v>Frozen</v>
      </c>
      <c r="F880" s="53" t="str">
        <f aca="false">IF(INDEX(I_Items!$E$5:$E$133,MATCH($B880,I_Items!$A$5:$A$133,0))="","",INDEX(I_Items!$E$5:$E$133,MATCH($B880,I_Items!$A$5:$A$133,0)))</f>
        <v/>
      </c>
      <c r="G880" s="76" t="n">
        <v>46242</v>
      </c>
      <c r="H880" s="23" t="n">
        <f aca="false">MONTH(G880)</f>
        <v>8</v>
      </c>
      <c r="I880" s="74" t="s">
        <v>2074</v>
      </c>
      <c r="J880" s="74" t="s">
        <v>2261</v>
      </c>
      <c r="K880" s="10" t="n">
        <v>11006.2</v>
      </c>
      <c r="L880" s="8" t="n">
        <v>451254200</v>
      </c>
      <c r="M880" s="10" t="n">
        <v>0</v>
      </c>
      <c r="N880" s="8" t="n">
        <v>0</v>
      </c>
      <c r="O880" s="74"/>
      <c r="P880" s="74"/>
      <c r="Q880" s="74"/>
      <c r="R880" s="14" t="n">
        <f aca="false">IF(I880="Unbilled",0,M880)</f>
        <v>0</v>
      </c>
      <c r="S880" s="9" t="n">
        <f aca="false">IF(R880=0,0,IF(O880="Booked",N880,R880*V879))</f>
        <v>0</v>
      </c>
      <c r="T880" s="14" t="n">
        <f aca="false">IF(I880="Opening",K880,T879+K880-R880)</f>
        <v>23952.09</v>
      </c>
      <c r="U880" s="9" t="n">
        <f aca="false">IF(I880="Opening",L880,U879+L880-S880)</f>
        <v>821000599.49793</v>
      </c>
      <c r="V880" s="9" t="n">
        <f aca="false">IF(T880&gt;0,U880/T880,IF(I880="Opening",0,V879))</f>
        <v>34276.7833411585</v>
      </c>
      <c r="W880" s="14" t="n">
        <f aca="false">M880</f>
        <v>0</v>
      </c>
      <c r="X880" s="9" t="n">
        <f aca="false">IF(W880=0,0,IF(O880="Booked",N880,W880*AA879))</f>
        <v>0</v>
      </c>
      <c r="Y880" s="14" t="n">
        <f aca="false">IF(I880="Opening",K880,Y879+K880-W880)</f>
        <v>23952.09</v>
      </c>
      <c r="Z880" s="9" t="n">
        <f aca="false">IF(I880="Opening",L880,Z879+L880-X880)</f>
        <v>821000599.49793</v>
      </c>
      <c r="AA880" s="9" t="n">
        <f aca="false">IF(Y880&gt;0,Z880/Y880,IF(I880="Opening",0,AA879))</f>
        <v>34276.7833411585</v>
      </c>
      <c r="AB880" s="9" t="n">
        <f aca="false">IF(AND(I880="DO",O880="MA"),S880-N880,0)</f>
        <v>0</v>
      </c>
      <c r="AC880" s="9" t="n">
        <f aca="false">IF(I880="DO",X880-S880,0)</f>
        <v>0</v>
      </c>
      <c r="AD880" s="23" t="n">
        <f aca="false">IF(B881&lt;&gt;B880,1,0)</f>
        <v>0</v>
      </c>
      <c r="AE880" s="14" t="n">
        <f aca="false">IF(I880="Opening",0,AE879+W880)</f>
        <v>19671.21</v>
      </c>
      <c r="AF880" s="14" t="n">
        <f aca="false">IF(I880="Opening",K880,AF879)</f>
        <v>6477.78</v>
      </c>
      <c r="AG880" s="14" t="n">
        <f aca="false">AG879</f>
        <v>25917.77</v>
      </c>
      <c r="AH880" s="14" t="n">
        <f aca="false">IF(W880=0,0,MAX(0,MIN(AE880,AF880)-MIN(AE880-W880,AF880)))</f>
        <v>0</v>
      </c>
      <c r="AI880" s="14" t="n">
        <f aca="false">IF(W880=0,0,MAX(0,MIN(AE880,AF880+AG880)-MAX(AE880-W880,AF880)))</f>
        <v>0</v>
      </c>
      <c r="AJ880" s="14" t="n">
        <f aca="false">W880-AH880-AI880</f>
        <v>0</v>
      </c>
      <c r="AK880" s="9" t="n">
        <f aca="false">IF(W880=0,0,X880*AH880/W880)</f>
        <v>0</v>
      </c>
      <c r="AL880" s="9" t="n">
        <f aca="false">IF(W880=0,0,X880*AI880/W880)</f>
        <v>0</v>
      </c>
      <c r="AM880" s="9" t="n">
        <f aca="false">X880-AK880-AL880</f>
        <v>0</v>
      </c>
    </row>
    <row r="881" customFormat="false" ht="15" hidden="false" customHeight="false" outlineLevel="0" collapsed="false">
      <c r="A881" s="6" t="n">
        <v>876</v>
      </c>
      <c r="B881" s="74" t="s">
        <v>1020</v>
      </c>
      <c r="C881" s="53" t="str">
        <f aca="false">INDEX(I_Items!$C$5:$C$133,MATCH($B881,I_Items!$A$5:$A$133,0))</f>
        <v>Trading</v>
      </c>
      <c r="D881" s="53" t="str">
        <f aca="false">INDEX(I_Items!$D$5:$D$133,MATCH($B881,I_Items!$A$5:$A$133,0))</f>
        <v>BLP</v>
      </c>
      <c r="E881" s="53" t="str">
        <f aca="false">INDEX(I_Items!$F$5:$F$133,MATCH($B881,I_Items!$A$5:$A$133,0))</f>
        <v>Frozen</v>
      </c>
      <c r="F881" s="53" t="str">
        <f aca="false">IF(INDEX(I_Items!$E$5:$E$133,MATCH($B881,I_Items!$A$5:$A$133,0))="","",INDEX(I_Items!$E$5:$E$133,MATCH($B881,I_Items!$A$5:$A$133,0)))</f>
        <v/>
      </c>
      <c r="G881" s="76" t="n">
        <v>46244</v>
      </c>
      <c r="H881" s="23" t="n">
        <f aca="false">MONTH(G881)</f>
        <v>8</v>
      </c>
      <c r="I881" s="74" t="s">
        <v>2075</v>
      </c>
      <c r="J881" s="74" t="s">
        <v>2267</v>
      </c>
      <c r="K881" s="10" t="n">
        <v>0</v>
      </c>
      <c r="L881" s="8" t="n">
        <v>0</v>
      </c>
      <c r="M881" s="10" t="n">
        <v>1267</v>
      </c>
      <c r="N881" s="8" t="n">
        <v>43428684.57</v>
      </c>
      <c r="O881" s="74" t="s">
        <v>2077</v>
      </c>
      <c r="P881" s="74"/>
      <c r="Q881" s="74"/>
      <c r="R881" s="14" t="n">
        <f aca="false">IF(I881="Unbilled",0,M881)</f>
        <v>1267</v>
      </c>
      <c r="S881" s="9" t="n">
        <f aca="false">IF(R881=0,0,IF(O881="Booked",N881,R881*V880))</f>
        <v>43428684.4932479</v>
      </c>
      <c r="T881" s="14" t="n">
        <f aca="false">IF(I881="Opening",K881,T880+K881-R881)</f>
        <v>22685.09</v>
      </c>
      <c r="U881" s="9" t="n">
        <f aca="false">IF(I881="Opening",L881,U880+L881-S881)</f>
        <v>777571915.004682</v>
      </c>
      <c r="V881" s="9" t="n">
        <f aca="false">IF(T881&gt;0,U881/T881,IF(I881="Opening",0,V880))</f>
        <v>34276.7833411585</v>
      </c>
      <c r="W881" s="14" t="n">
        <f aca="false">M881</f>
        <v>1267</v>
      </c>
      <c r="X881" s="9" t="n">
        <f aca="false">IF(W881=0,0,IF(O881="Booked",N881,W881*AA880))</f>
        <v>43428684.4932479</v>
      </c>
      <c r="Y881" s="14" t="n">
        <f aca="false">IF(I881="Opening",K881,Y880+K881-W881)</f>
        <v>22685.09</v>
      </c>
      <c r="Z881" s="9" t="n">
        <f aca="false">IF(I881="Opening",L881,Z880+L881-X881)</f>
        <v>777571915.004682</v>
      </c>
      <c r="AA881" s="9" t="n">
        <f aca="false">IF(Y881&gt;0,Z881/Y881,IF(I881="Opening",0,AA880))</f>
        <v>34276.7833411585</v>
      </c>
      <c r="AB881" s="9" t="n">
        <f aca="false">IF(AND(I881="DO",O881="MA"),S881-N881,0)</f>
        <v>-0.0767521262168884</v>
      </c>
      <c r="AC881" s="9" t="n">
        <f aca="false">IF(I881="DO",X881-S881,0)</f>
        <v>0</v>
      </c>
      <c r="AD881" s="23" t="n">
        <f aca="false">IF(B882&lt;&gt;B881,1,0)</f>
        <v>0</v>
      </c>
      <c r="AE881" s="14" t="n">
        <f aca="false">IF(I881="Opening",0,AE880+W881)</f>
        <v>20938.21</v>
      </c>
      <c r="AF881" s="14" t="n">
        <f aca="false">IF(I881="Opening",K881,AF880)</f>
        <v>6477.78</v>
      </c>
      <c r="AG881" s="14" t="n">
        <f aca="false">AG880</f>
        <v>25917.77</v>
      </c>
      <c r="AH881" s="14" t="n">
        <f aca="false">IF(W881=0,0,MAX(0,MIN(AE881,AF881)-MIN(AE881-W881,AF881)))</f>
        <v>0</v>
      </c>
      <c r="AI881" s="14" t="n">
        <f aca="false">IF(W881=0,0,MAX(0,MIN(AE881,AF881+AG881)-MAX(AE881-W881,AF881)))</f>
        <v>1267</v>
      </c>
      <c r="AJ881" s="14" t="n">
        <f aca="false">W881-AH881-AI881</f>
        <v>0</v>
      </c>
      <c r="AK881" s="9" t="n">
        <f aca="false">IF(W881=0,0,X881*AH881/W881)</f>
        <v>0</v>
      </c>
      <c r="AL881" s="9" t="n">
        <f aca="false">IF(W881=0,0,X881*AI881/W881)</f>
        <v>43428684.4932479</v>
      </c>
      <c r="AM881" s="9" t="n">
        <f aca="false">X881-AK881-AL881</f>
        <v>0</v>
      </c>
    </row>
    <row r="882" customFormat="false" ht="15" hidden="false" customHeight="false" outlineLevel="0" collapsed="false">
      <c r="A882" s="6" t="n">
        <v>877</v>
      </c>
      <c r="B882" s="74" t="s">
        <v>1020</v>
      </c>
      <c r="C882" s="53" t="str">
        <f aca="false">INDEX(I_Items!$C$5:$C$133,MATCH($B882,I_Items!$A$5:$A$133,0))</f>
        <v>Trading</v>
      </c>
      <c r="D882" s="53" t="str">
        <f aca="false">INDEX(I_Items!$D$5:$D$133,MATCH($B882,I_Items!$A$5:$A$133,0))</f>
        <v>BLP</v>
      </c>
      <c r="E882" s="53" t="str">
        <f aca="false">INDEX(I_Items!$F$5:$F$133,MATCH($B882,I_Items!$A$5:$A$133,0))</f>
        <v>Frozen</v>
      </c>
      <c r="F882" s="53" t="str">
        <f aca="false">IF(INDEX(I_Items!$E$5:$E$133,MATCH($B882,I_Items!$A$5:$A$133,0))="","",INDEX(I_Items!$E$5:$E$133,MATCH($B882,I_Items!$A$5:$A$133,0)))</f>
        <v/>
      </c>
      <c r="G882" s="76" t="n">
        <v>46244</v>
      </c>
      <c r="H882" s="23" t="n">
        <f aca="false">MONTH(G882)</f>
        <v>8</v>
      </c>
      <c r="I882" s="74" t="s">
        <v>2075</v>
      </c>
      <c r="J882" s="74" t="s">
        <v>2281</v>
      </c>
      <c r="K882" s="10" t="n">
        <v>0</v>
      </c>
      <c r="L882" s="8" t="n">
        <v>0</v>
      </c>
      <c r="M882" s="10" t="n">
        <v>2518.56</v>
      </c>
      <c r="N882" s="8" t="n">
        <v>86328135.6</v>
      </c>
      <c r="O882" s="74" t="s">
        <v>2077</v>
      </c>
      <c r="P882" s="74"/>
      <c r="Q882" s="74"/>
      <c r="R882" s="14" t="n">
        <f aca="false">IF(I882="Unbilled",0,M882)</f>
        <v>2518.56</v>
      </c>
      <c r="S882" s="9" t="n">
        <f aca="false">IF(R882=0,0,IF(O882="Booked",N882,R882*V881))</f>
        <v>86328135.4517083</v>
      </c>
      <c r="T882" s="14" t="n">
        <f aca="false">IF(I882="Opening",K882,T881+K882-R882)</f>
        <v>20166.53</v>
      </c>
      <c r="U882" s="9" t="n">
        <f aca="false">IF(I882="Opening",L882,U881+L882-S882)</f>
        <v>691243779.552974</v>
      </c>
      <c r="V882" s="9" t="n">
        <f aca="false">IF(T882&gt;0,U882/T882,IF(I882="Opening",0,V881))</f>
        <v>34276.7833411586</v>
      </c>
      <c r="W882" s="14" t="n">
        <f aca="false">M882</f>
        <v>2518.56</v>
      </c>
      <c r="X882" s="9" t="n">
        <f aca="false">IF(W882=0,0,IF(O882="Booked",N882,W882*AA881))</f>
        <v>86328135.4517083</v>
      </c>
      <c r="Y882" s="14" t="n">
        <f aca="false">IF(I882="Opening",K882,Y881+K882-W882)</f>
        <v>20166.53</v>
      </c>
      <c r="Z882" s="9" t="n">
        <f aca="false">IF(I882="Opening",L882,Z881+L882-X882)</f>
        <v>691243779.552974</v>
      </c>
      <c r="AA882" s="9" t="n">
        <f aca="false">IF(Y882&gt;0,Z882/Y882,IF(I882="Opening",0,AA881))</f>
        <v>34276.7833411586</v>
      </c>
      <c r="AB882" s="9" t="n">
        <f aca="false">IF(AND(I882="DO",O882="MA"),S882-N882,0)</f>
        <v>-0.148291736841202</v>
      </c>
      <c r="AC882" s="9" t="n">
        <f aca="false">IF(I882="DO",X882-S882,0)</f>
        <v>0</v>
      </c>
      <c r="AD882" s="23" t="n">
        <f aca="false">IF(B883&lt;&gt;B882,1,0)</f>
        <v>0</v>
      </c>
      <c r="AE882" s="14" t="n">
        <f aca="false">IF(I882="Opening",0,AE881+W882)</f>
        <v>23456.77</v>
      </c>
      <c r="AF882" s="14" t="n">
        <f aca="false">IF(I882="Opening",K882,AF881)</f>
        <v>6477.78</v>
      </c>
      <c r="AG882" s="14" t="n">
        <f aca="false">AG881</f>
        <v>25917.77</v>
      </c>
      <c r="AH882" s="14" t="n">
        <f aca="false">IF(W882=0,0,MAX(0,MIN(AE882,AF882)-MIN(AE882-W882,AF882)))</f>
        <v>0</v>
      </c>
      <c r="AI882" s="14" t="n">
        <f aca="false">IF(W882=0,0,MAX(0,MIN(AE882,AF882+AG882)-MAX(AE882-W882,AF882)))</f>
        <v>2518.56</v>
      </c>
      <c r="AJ882" s="14" t="n">
        <f aca="false">W882-AH882-AI882</f>
        <v>0</v>
      </c>
      <c r="AK882" s="9" t="n">
        <f aca="false">IF(W882=0,0,X882*AH882/W882)</f>
        <v>0</v>
      </c>
      <c r="AL882" s="9" t="n">
        <f aca="false">IF(W882=0,0,X882*AI882/W882)</f>
        <v>86328135.4517083</v>
      </c>
      <c r="AM882" s="9" t="n">
        <f aca="false">X882-AK882-AL882</f>
        <v>0</v>
      </c>
    </row>
    <row r="883" customFormat="false" ht="15" hidden="false" customHeight="false" outlineLevel="0" collapsed="false">
      <c r="A883" s="6" t="n">
        <v>878</v>
      </c>
      <c r="B883" s="74" t="s">
        <v>1020</v>
      </c>
      <c r="C883" s="53" t="str">
        <f aca="false">INDEX(I_Items!$C$5:$C$133,MATCH($B883,I_Items!$A$5:$A$133,0))</f>
        <v>Trading</v>
      </c>
      <c r="D883" s="53" t="str">
        <f aca="false">INDEX(I_Items!$D$5:$D$133,MATCH($B883,I_Items!$A$5:$A$133,0))</f>
        <v>BLP</v>
      </c>
      <c r="E883" s="53" t="str">
        <f aca="false">INDEX(I_Items!$F$5:$F$133,MATCH($B883,I_Items!$A$5:$A$133,0))</f>
        <v>Frozen</v>
      </c>
      <c r="F883" s="53" t="str">
        <f aca="false">IF(INDEX(I_Items!$E$5:$E$133,MATCH($B883,I_Items!$A$5:$A$133,0))="","",INDEX(I_Items!$E$5:$E$133,MATCH($B883,I_Items!$A$5:$A$133,0)))</f>
        <v/>
      </c>
      <c r="G883" s="76" t="n">
        <v>46244</v>
      </c>
      <c r="H883" s="23" t="n">
        <f aca="false">MONTH(G883)</f>
        <v>8</v>
      </c>
      <c r="I883" s="74" t="s">
        <v>2075</v>
      </c>
      <c r="J883" s="74" t="s">
        <v>2282</v>
      </c>
      <c r="K883" s="10" t="n">
        <v>0</v>
      </c>
      <c r="L883" s="8" t="n">
        <v>0</v>
      </c>
      <c r="M883" s="10" t="n">
        <v>2569.04</v>
      </c>
      <c r="N883" s="8" t="n">
        <v>88058427.63</v>
      </c>
      <c r="O883" s="74" t="s">
        <v>2077</v>
      </c>
      <c r="P883" s="74"/>
      <c r="Q883" s="74"/>
      <c r="R883" s="14" t="n">
        <f aca="false">IF(I883="Unbilled",0,M883)</f>
        <v>2569.04</v>
      </c>
      <c r="S883" s="9" t="n">
        <f aca="false">IF(R883=0,0,IF(O883="Booked",N883,R883*V882))</f>
        <v>88058427.47477</v>
      </c>
      <c r="T883" s="14" t="n">
        <f aca="false">IF(I883="Opening",K883,T882+K883-R883)</f>
        <v>17597.49</v>
      </c>
      <c r="U883" s="9" t="n">
        <f aca="false">IF(I883="Opening",L883,U882+L883-S883)</f>
        <v>603185352.078204</v>
      </c>
      <c r="V883" s="9" t="n">
        <f aca="false">IF(T883&gt;0,U883/T883,IF(I883="Opening",0,V882))</f>
        <v>34276.7833411586</v>
      </c>
      <c r="W883" s="14" t="n">
        <f aca="false">M883</f>
        <v>2569.04</v>
      </c>
      <c r="X883" s="9" t="n">
        <f aca="false">IF(W883=0,0,IF(O883="Booked",N883,W883*AA882))</f>
        <v>88058427.47477</v>
      </c>
      <c r="Y883" s="14" t="n">
        <f aca="false">IF(I883="Opening",K883,Y882+K883-W883)</f>
        <v>17597.49</v>
      </c>
      <c r="Z883" s="9" t="n">
        <f aca="false">IF(I883="Opening",L883,Z882+L883-X883)</f>
        <v>603185352.078204</v>
      </c>
      <c r="AA883" s="9" t="n">
        <f aca="false">IF(Y883&gt;0,Z883/Y883,IF(I883="Opening",0,AA882))</f>
        <v>34276.7833411586</v>
      </c>
      <c r="AB883" s="9" t="n">
        <f aca="false">IF(AND(I883="DO",O883="MA"),S883-N883,0)</f>
        <v>-0.155230030417442</v>
      </c>
      <c r="AC883" s="9" t="n">
        <f aca="false">IF(I883="DO",X883-S883,0)</f>
        <v>0</v>
      </c>
      <c r="AD883" s="23" t="n">
        <f aca="false">IF(B884&lt;&gt;B883,1,0)</f>
        <v>0</v>
      </c>
      <c r="AE883" s="14" t="n">
        <f aca="false">IF(I883="Opening",0,AE882+W883)</f>
        <v>26025.81</v>
      </c>
      <c r="AF883" s="14" t="n">
        <f aca="false">IF(I883="Opening",K883,AF882)</f>
        <v>6477.78</v>
      </c>
      <c r="AG883" s="14" t="n">
        <f aca="false">AG882</f>
        <v>25917.77</v>
      </c>
      <c r="AH883" s="14" t="n">
        <f aca="false">IF(W883=0,0,MAX(0,MIN(AE883,AF883)-MIN(AE883-W883,AF883)))</f>
        <v>0</v>
      </c>
      <c r="AI883" s="14" t="n">
        <f aca="false">IF(W883=0,0,MAX(0,MIN(AE883,AF883+AG883)-MAX(AE883-W883,AF883)))</f>
        <v>2569.04</v>
      </c>
      <c r="AJ883" s="14" t="n">
        <f aca="false">W883-AH883-AI883</f>
        <v>0</v>
      </c>
      <c r="AK883" s="9" t="n">
        <f aca="false">IF(W883=0,0,X883*AH883/W883)</f>
        <v>0</v>
      </c>
      <c r="AL883" s="9" t="n">
        <f aca="false">IF(W883=0,0,X883*AI883/W883)</f>
        <v>88058427.47477</v>
      </c>
      <c r="AM883" s="9" t="n">
        <f aca="false">X883-AK883-AL883</f>
        <v>0</v>
      </c>
    </row>
    <row r="884" customFormat="false" ht="15" hidden="false" customHeight="false" outlineLevel="0" collapsed="false">
      <c r="A884" s="6" t="n">
        <v>879</v>
      </c>
      <c r="B884" s="74" t="s">
        <v>1020</v>
      </c>
      <c r="C884" s="53" t="str">
        <f aca="false">INDEX(I_Items!$C$5:$C$133,MATCH($B884,I_Items!$A$5:$A$133,0))</f>
        <v>Trading</v>
      </c>
      <c r="D884" s="53" t="str">
        <f aca="false">INDEX(I_Items!$D$5:$D$133,MATCH($B884,I_Items!$A$5:$A$133,0))</f>
        <v>BLP</v>
      </c>
      <c r="E884" s="53" t="str">
        <f aca="false">INDEX(I_Items!$F$5:$F$133,MATCH($B884,I_Items!$A$5:$A$133,0))</f>
        <v>Frozen</v>
      </c>
      <c r="F884" s="53" t="str">
        <f aca="false">IF(INDEX(I_Items!$E$5:$E$133,MATCH($B884,I_Items!$A$5:$A$133,0))="","",INDEX(I_Items!$E$5:$E$133,MATCH($B884,I_Items!$A$5:$A$133,0)))</f>
        <v/>
      </c>
      <c r="G884" s="76" t="n">
        <v>46244</v>
      </c>
      <c r="H884" s="23" t="n">
        <f aca="false">MONTH(G884)</f>
        <v>8</v>
      </c>
      <c r="I884" s="74" t="s">
        <v>2075</v>
      </c>
      <c r="J884" s="74" t="s">
        <v>2268</v>
      </c>
      <c r="K884" s="10" t="n">
        <v>0</v>
      </c>
      <c r="L884" s="8" t="n">
        <v>0</v>
      </c>
      <c r="M884" s="10" t="n">
        <v>504.16</v>
      </c>
      <c r="N884" s="8" t="n">
        <v>17280983.12</v>
      </c>
      <c r="O884" s="74" t="s">
        <v>2077</v>
      </c>
      <c r="P884" s="74"/>
      <c r="Q884" s="74"/>
      <c r="R884" s="14" t="n">
        <f aca="false">IF(I884="Unbilled",0,M884)</f>
        <v>504.16</v>
      </c>
      <c r="S884" s="9" t="n">
        <f aca="false">IF(R884=0,0,IF(O884="Booked",N884,R884*V883))</f>
        <v>17280983.0892785</v>
      </c>
      <c r="T884" s="14" t="n">
        <f aca="false">IF(I884="Opening",K884,T883+K884-R884)</f>
        <v>17093.33</v>
      </c>
      <c r="U884" s="9" t="n">
        <f aca="false">IF(I884="Opening",L884,U883+L884-S884)</f>
        <v>585904368.988926</v>
      </c>
      <c r="V884" s="9" t="n">
        <f aca="false">IF(T884&gt;0,U884/T884,IF(I884="Opening",0,V883))</f>
        <v>34276.7833411586</v>
      </c>
      <c r="W884" s="14" t="n">
        <f aca="false">M884</f>
        <v>504.16</v>
      </c>
      <c r="X884" s="9" t="n">
        <f aca="false">IF(W884=0,0,IF(O884="Booked",N884,W884*AA883))</f>
        <v>17280983.0892785</v>
      </c>
      <c r="Y884" s="14" t="n">
        <f aca="false">IF(I884="Opening",K884,Y883+K884-W884)</f>
        <v>17093.33</v>
      </c>
      <c r="Z884" s="9" t="n">
        <f aca="false">IF(I884="Opening",L884,Z883+L884-X884)</f>
        <v>585904368.988926</v>
      </c>
      <c r="AA884" s="9" t="n">
        <f aca="false">IF(Y884&gt;0,Z884/Y884,IF(I884="Opening",0,AA883))</f>
        <v>34276.7833411586</v>
      </c>
      <c r="AB884" s="9" t="n">
        <f aca="false">IF(AND(I884="DO",O884="MA"),S884-N884,0)</f>
        <v>-0.0307215042412281</v>
      </c>
      <c r="AC884" s="9" t="n">
        <f aca="false">IF(I884="DO",X884-S884,0)</f>
        <v>0</v>
      </c>
      <c r="AD884" s="23" t="n">
        <f aca="false">IF(B885&lt;&gt;B884,1,0)</f>
        <v>0</v>
      </c>
      <c r="AE884" s="14" t="n">
        <f aca="false">IF(I884="Opening",0,AE883+W884)</f>
        <v>26529.97</v>
      </c>
      <c r="AF884" s="14" t="n">
        <f aca="false">IF(I884="Opening",K884,AF883)</f>
        <v>6477.78</v>
      </c>
      <c r="AG884" s="14" t="n">
        <f aca="false">AG883</f>
        <v>25917.77</v>
      </c>
      <c r="AH884" s="14" t="n">
        <f aca="false">IF(W884=0,0,MAX(0,MIN(AE884,AF884)-MIN(AE884-W884,AF884)))</f>
        <v>0</v>
      </c>
      <c r="AI884" s="14" t="n">
        <f aca="false">IF(W884=0,0,MAX(0,MIN(AE884,AF884+AG884)-MAX(AE884-W884,AF884)))</f>
        <v>504.16</v>
      </c>
      <c r="AJ884" s="14" t="n">
        <f aca="false">W884-AH884-AI884</f>
        <v>0</v>
      </c>
      <c r="AK884" s="9" t="n">
        <f aca="false">IF(W884=0,0,X884*AH884/W884)</f>
        <v>0</v>
      </c>
      <c r="AL884" s="9" t="n">
        <f aca="false">IF(W884=0,0,X884*AI884/W884)</f>
        <v>17280983.0892785</v>
      </c>
      <c r="AM884" s="9" t="n">
        <f aca="false">X884-AK884-AL884</f>
        <v>0</v>
      </c>
    </row>
    <row r="885" customFormat="false" ht="15" hidden="false" customHeight="false" outlineLevel="0" collapsed="false">
      <c r="A885" s="6" t="n">
        <v>880</v>
      </c>
      <c r="B885" s="74" t="s">
        <v>1020</v>
      </c>
      <c r="C885" s="53" t="str">
        <f aca="false">INDEX(I_Items!$C$5:$C$133,MATCH($B885,I_Items!$A$5:$A$133,0))</f>
        <v>Trading</v>
      </c>
      <c r="D885" s="53" t="str">
        <f aca="false">INDEX(I_Items!$D$5:$D$133,MATCH($B885,I_Items!$A$5:$A$133,0))</f>
        <v>BLP</v>
      </c>
      <c r="E885" s="53" t="str">
        <f aca="false">INDEX(I_Items!$F$5:$F$133,MATCH($B885,I_Items!$A$5:$A$133,0))</f>
        <v>Frozen</v>
      </c>
      <c r="F885" s="53" t="str">
        <f aca="false">IF(INDEX(I_Items!$E$5:$E$133,MATCH($B885,I_Items!$A$5:$A$133,0))="","",INDEX(I_Items!$E$5:$E$133,MATCH($B885,I_Items!$A$5:$A$133,0)))</f>
        <v/>
      </c>
      <c r="G885" s="76" t="n">
        <v>46245</v>
      </c>
      <c r="H885" s="23" t="n">
        <f aca="false">MONTH(G885)</f>
        <v>8</v>
      </c>
      <c r="I885" s="74" t="s">
        <v>2075</v>
      </c>
      <c r="J885" s="74" t="s">
        <v>2271</v>
      </c>
      <c r="K885" s="10" t="n">
        <v>0</v>
      </c>
      <c r="L885" s="8" t="n">
        <v>0</v>
      </c>
      <c r="M885" s="10" t="n">
        <v>1422.57</v>
      </c>
      <c r="N885" s="8" t="n">
        <v>48761123.76</v>
      </c>
      <c r="O885" s="74" t="s">
        <v>2077</v>
      </c>
      <c r="P885" s="74"/>
      <c r="Q885" s="74"/>
      <c r="R885" s="14" t="n">
        <f aca="false">IF(I885="Unbilled",0,M885)</f>
        <v>1422.57</v>
      </c>
      <c r="S885" s="9" t="n">
        <f aca="false">IF(R885=0,0,IF(O885="Booked",N885,R885*V884))</f>
        <v>48761123.6776319</v>
      </c>
      <c r="T885" s="14" t="n">
        <f aca="false">IF(I885="Opening",K885,T884+K885-R885)</f>
        <v>15670.76</v>
      </c>
      <c r="U885" s="9" t="n">
        <f aca="false">IF(I885="Opening",L885,U884+L885-S885)</f>
        <v>537143245.311294</v>
      </c>
      <c r="V885" s="9" t="n">
        <f aca="false">IF(T885&gt;0,U885/T885,IF(I885="Opening",0,V884))</f>
        <v>34276.7833411586</v>
      </c>
      <c r="W885" s="14" t="n">
        <f aca="false">M885</f>
        <v>1422.57</v>
      </c>
      <c r="X885" s="9" t="n">
        <f aca="false">IF(W885=0,0,IF(O885="Booked",N885,W885*AA884))</f>
        <v>48761123.6776319</v>
      </c>
      <c r="Y885" s="14" t="n">
        <f aca="false">IF(I885="Opening",K885,Y884+K885-W885)</f>
        <v>15670.76</v>
      </c>
      <c r="Z885" s="9" t="n">
        <f aca="false">IF(I885="Opening",L885,Z884+L885-X885)</f>
        <v>537143245.311294</v>
      </c>
      <c r="AA885" s="9" t="n">
        <f aca="false">IF(Y885&gt;0,Z885/Y885,IF(I885="Opening",0,AA884))</f>
        <v>34276.7833411586</v>
      </c>
      <c r="AB885" s="9" t="n">
        <f aca="false">IF(AND(I885="DO",O885="MA"),S885-N885,0)</f>
        <v>-0.0823680758476257</v>
      </c>
      <c r="AC885" s="9" t="n">
        <f aca="false">IF(I885="DO",X885-S885,0)</f>
        <v>0</v>
      </c>
      <c r="AD885" s="23" t="n">
        <f aca="false">IF(B886&lt;&gt;B885,1,0)</f>
        <v>0</v>
      </c>
      <c r="AE885" s="14" t="n">
        <f aca="false">IF(I885="Opening",0,AE884+W885)</f>
        <v>27952.54</v>
      </c>
      <c r="AF885" s="14" t="n">
        <f aca="false">IF(I885="Opening",K885,AF884)</f>
        <v>6477.78</v>
      </c>
      <c r="AG885" s="14" t="n">
        <f aca="false">AG884</f>
        <v>25917.77</v>
      </c>
      <c r="AH885" s="14" t="n">
        <f aca="false">IF(W885=0,0,MAX(0,MIN(AE885,AF885)-MIN(AE885-W885,AF885)))</f>
        <v>0</v>
      </c>
      <c r="AI885" s="14" t="n">
        <f aca="false">IF(W885=0,0,MAX(0,MIN(AE885,AF885+AG885)-MAX(AE885-W885,AF885)))</f>
        <v>1422.57</v>
      </c>
      <c r="AJ885" s="14" t="n">
        <f aca="false">W885-AH885-AI885</f>
        <v>0</v>
      </c>
      <c r="AK885" s="9" t="n">
        <f aca="false">IF(W885=0,0,X885*AH885/W885)</f>
        <v>0</v>
      </c>
      <c r="AL885" s="9" t="n">
        <f aca="false">IF(W885=0,0,X885*AI885/W885)</f>
        <v>48761123.6776319</v>
      </c>
      <c r="AM885" s="9" t="n">
        <f aca="false">X885-AK885-AL885</f>
        <v>0</v>
      </c>
    </row>
    <row r="886" customFormat="false" ht="15" hidden="false" customHeight="false" outlineLevel="0" collapsed="false">
      <c r="A886" s="6" t="n">
        <v>881</v>
      </c>
      <c r="B886" s="74" t="s">
        <v>1020</v>
      </c>
      <c r="C886" s="53" t="str">
        <f aca="false">INDEX(I_Items!$C$5:$C$133,MATCH($B886,I_Items!$A$5:$A$133,0))</f>
        <v>Trading</v>
      </c>
      <c r="D886" s="53" t="str">
        <f aca="false">INDEX(I_Items!$D$5:$D$133,MATCH($B886,I_Items!$A$5:$A$133,0))</f>
        <v>BLP</v>
      </c>
      <c r="E886" s="53" t="str">
        <f aca="false">INDEX(I_Items!$F$5:$F$133,MATCH($B886,I_Items!$A$5:$A$133,0))</f>
        <v>Frozen</v>
      </c>
      <c r="F886" s="53" t="str">
        <f aca="false">IF(INDEX(I_Items!$E$5:$E$133,MATCH($B886,I_Items!$A$5:$A$133,0))="","",INDEX(I_Items!$E$5:$E$133,MATCH($B886,I_Items!$A$5:$A$133,0)))</f>
        <v/>
      </c>
      <c r="G886" s="76" t="n">
        <v>46246</v>
      </c>
      <c r="H886" s="23" t="n">
        <f aca="false">MONTH(G886)</f>
        <v>8</v>
      </c>
      <c r="I886" s="74" t="s">
        <v>2075</v>
      </c>
      <c r="J886" s="74" t="s">
        <v>2283</v>
      </c>
      <c r="K886" s="10" t="n">
        <v>0</v>
      </c>
      <c r="L886" s="8" t="n">
        <v>0</v>
      </c>
      <c r="M886" s="10" t="n">
        <v>1505.29</v>
      </c>
      <c r="N886" s="8" t="n">
        <v>51596499.28</v>
      </c>
      <c r="O886" s="74" t="s">
        <v>2077</v>
      </c>
      <c r="P886" s="74"/>
      <c r="Q886" s="74"/>
      <c r="R886" s="14" t="n">
        <f aca="false">IF(I886="Unbilled",0,M886)</f>
        <v>1505.29</v>
      </c>
      <c r="S886" s="9" t="n">
        <f aca="false">IF(R886=0,0,IF(O886="Booked",N886,R886*V885))</f>
        <v>51596499.1956126</v>
      </c>
      <c r="T886" s="14" t="n">
        <f aca="false">IF(I886="Opening",K886,T885+K886-R886)</f>
        <v>14165.47</v>
      </c>
      <c r="U886" s="9" t="n">
        <f aca="false">IF(I886="Opening",L886,U885+L886-S886)</f>
        <v>485546746.115681</v>
      </c>
      <c r="V886" s="9" t="n">
        <f aca="false">IF(T886&gt;0,U886/T886,IF(I886="Opening",0,V885))</f>
        <v>34276.7833411586</v>
      </c>
      <c r="W886" s="14" t="n">
        <f aca="false">M886</f>
        <v>1505.29</v>
      </c>
      <c r="X886" s="9" t="n">
        <f aca="false">IF(W886=0,0,IF(O886="Booked",N886,W886*AA885))</f>
        <v>51596499.1956126</v>
      </c>
      <c r="Y886" s="14" t="n">
        <f aca="false">IF(I886="Opening",K886,Y885+K886-W886)</f>
        <v>14165.47</v>
      </c>
      <c r="Z886" s="9" t="n">
        <f aca="false">IF(I886="Opening",L886,Z885+L886-X886)</f>
        <v>485546746.115681</v>
      </c>
      <c r="AA886" s="9" t="n">
        <f aca="false">IF(Y886&gt;0,Z886/Y886,IF(I886="Opening",0,AA885))</f>
        <v>34276.7833411586</v>
      </c>
      <c r="AB886" s="9" t="n">
        <f aca="false">IF(AND(I886="DO",O886="MA"),S886-N886,0)</f>
        <v>-0.084387443959713</v>
      </c>
      <c r="AC886" s="9" t="n">
        <f aca="false">IF(I886="DO",X886-S886,0)</f>
        <v>0</v>
      </c>
      <c r="AD886" s="23" t="n">
        <f aca="false">IF(B887&lt;&gt;B886,1,0)</f>
        <v>0</v>
      </c>
      <c r="AE886" s="14" t="n">
        <f aca="false">IF(I886="Opening",0,AE885+W886)</f>
        <v>29457.83</v>
      </c>
      <c r="AF886" s="14" t="n">
        <f aca="false">IF(I886="Opening",K886,AF885)</f>
        <v>6477.78</v>
      </c>
      <c r="AG886" s="14" t="n">
        <f aca="false">AG885</f>
        <v>25917.77</v>
      </c>
      <c r="AH886" s="14" t="n">
        <f aca="false">IF(W886=0,0,MAX(0,MIN(AE886,AF886)-MIN(AE886-W886,AF886)))</f>
        <v>0</v>
      </c>
      <c r="AI886" s="14" t="n">
        <f aca="false">IF(W886=0,0,MAX(0,MIN(AE886,AF886+AG886)-MAX(AE886-W886,AF886)))</f>
        <v>1505.29</v>
      </c>
      <c r="AJ886" s="14" t="n">
        <f aca="false">W886-AH886-AI886</f>
        <v>0</v>
      </c>
      <c r="AK886" s="9" t="n">
        <f aca="false">IF(W886=0,0,X886*AH886/W886)</f>
        <v>0</v>
      </c>
      <c r="AL886" s="9" t="n">
        <f aca="false">IF(W886=0,0,X886*AI886/W886)</f>
        <v>51596499.1956126</v>
      </c>
      <c r="AM886" s="9" t="n">
        <f aca="false">X886-AK886-AL886</f>
        <v>0</v>
      </c>
    </row>
    <row r="887" customFormat="false" ht="15" hidden="false" customHeight="false" outlineLevel="0" collapsed="false">
      <c r="A887" s="6" t="n">
        <v>882</v>
      </c>
      <c r="B887" s="74" t="s">
        <v>1020</v>
      </c>
      <c r="C887" s="53" t="str">
        <f aca="false">INDEX(I_Items!$C$5:$C$133,MATCH($B887,I_Items!$A$5:$A$133,0))</f>
        <v>Trading</v>
      </c>
      <c r="D887" s="53" t="str">
        <f aca="false">INDEX(I_Items!$D$5:$D$133,MATCH($B887,I_Items!$A$5:$A$133,0))</f>
        <v>BLP</v>
      </c>
      <c r="E887" s="53" t="str">
        <f aca="false">INDEX(I_Items!$F$5:$F$133,MATCH($B887,I_Items!$A$5:$A$133,0))</f>
        <v>Frozen</v>
      </c>
      <c r="F887" s="53" t="str">
        <f aca="false">IF(INDEX(I_Items!$E$5:$E$133,MATCH($B887,I_Items!$A$5:$A$133,0))="","",INDEX(I_Items!$E$5:$E$133,MATCH($B887,I_Items!$A$5:$A$133,0)))</f>
        <v/>
      </c>
      <c r="G887" s="76" t="n">
        <v>46247</v>
      </c>
      <c r="H887" s="23" t="n">
        <f aca="false">MONTH(G887)</f>
        <v>8</v>
      </c>
      <c r="I887" s="74" t="s">
        <v>2075</v>
      </c>
      <c r="J887" s="74" t="s">
        <v>2273</v>
      </c>
      <c r="K887" s="10" t="n">
        <v>0</v>
      </c>
      <c r="L887" s="8" t="n">
        <v>0</v>
      </c>
      <c r="M887" s="10" t="n">
        <v>154.87</v>
      </c>
      <c r="N887" s="8" t="n">
        <v>5308445.45</v>
      </c>
      <c r="O887" s="74" t="s">
        <v>2077</v>
      </c>
      <c r="P887" s="74"/>
      <c r="Q887" s="74"/>
      <c r="R887" s="14" t="n">
        <f aca="false">IF(I887="Unbilled",0,M887)</f>
        <v>154.87</v>
      </c>
      <c r="S887" s="9" t="n">
        <f aca="false">IF(R887=0,0,IF(O887="Booked",N887,R887*V886))</f>
        <v>5308445.43604523</v>
      </c>
      <c r="T887" s="14" t="n">
        <f aca="false">IF(I887="Opening",K887,T886+K887-R887)</f>
        <v>14010.6</v>
      </c>
      <c r="U887" s="9" t="n">
        <f aca="false">IF(I887="Opening",L887,U886+L887-S887)</f>
        <v>480238300.679636</v>
      </c>
      <c r="V887" s="9" t="n">
        <f aca="false">IF(T887&gt;0,U887/T887,IF(I887="Opening",0,V886))</f>
        <v>34276.7833411586</v>
      </c>
      <c r="W887" s="14" t="n">
        <f aca="false">M887</f>
        <v>154.87</v>
      </c>
      <c r="X887" s="9" t="n">
        <f aca="false">IF(W887=0,0,IF(O887="Booked",N887,W887*AA886))</f>
        <v>5308445.43604523</v>
      </c>
      <c r="Y887" s="14" t="n">
        <f aca="false">IF(I887="Opening",K887,Y886+K887-W887)</f>
        <v>14010.6</v>
      </c>
      <c r="Z887" s="9" t="n">
        <f aca="false">IF(I887="Opening",L887,Z886+L887-X887)</f>
        <v>480238300.679636</v>
      </c>
      <c r="AA887" s="9" t="n">
        <f aca="false">IF(Y887&gt;0,Z887/Y887,IF(I887="Opening",0,AA886))</f>
        <v>34276.7833411586</v>
      </c>
      <c r="AB887" s="9" t="n">
        <f aca="false">IF(AND(I887="DO",O887="MA"),S887-N887,0)</f>
        <v>-0.0139547754079103</v>
      </c>
      <c r="AC887" s="9" t="n">
        <f aca="false">IF(I887="DO",X887-S887,0)</f>
        <v>0</v>
      </c>
      <c r="AD887" s="23" t="n">
        <f aca="false">IF(B888&lt;&gt;B887,1,0)</f>
        <v>0</v>
      </c>
      <c r="AE887" s="14" t="n">
        <f aca="false">IF(I887="Opening",0,AE886+W887)</f>
        <v>29612.7</v>
      </c>
      <c r="AF887" s="14" t="n">
        <f aca="false">IF(I887="Opening",K887,AF886)</f>
        <v>6477.78</v>
      </c>
      <c r="AG887" s="14" t="n">
        <f aca="false">AG886</f>
        <v>25917.77</v>
      </c>
      <c r="AH887" s="14" t="n">
        <f aca="false">IF(W887=0,0,MAX(0,MIN(AE887,AF887)-MIN(AE887-W887,AF887)))</f>
        <v>0</v>
      </c>
      <c r="AI887" s="14" t="n">
        <f aca="false">IF(W887=0,0,MAX(0,MIN(AE887,AF887+AG887)-MAX(AE887-W887,AF887)))</f>
        <v>154.869999999999</v>
      </c>
      <c r="AJ887" s="14" t="n">
        <f aca="false">W887-AH887-AI887</f>
        <v>1.02318153949454E-012</v>
      </c>
      <c r="AK887" s="9" t="n">
        <f aca="false">IF(W887=0,0,X887*AH887/W887)</f>
        <v>0</v>
      </c>
      <c r="AL887" s="9" t="n">
        <f aca="false">IF(W887=0,0,X887*AI887/W887)</f>
        <v>5308445.43604519</v>
      </c>
      <c r="AM887" s="9" t="n">
        <f aca="false">X887-AK887-AL887</f>
        <v>3.44589352607727E-008</v>
      </c>
    </row>
    <row r="888" customFormat="false" ht="15" hidden="false" customHeight="false" outlineLevel="0" collapsed="false">
      <c r="A888" s="6" t="n">
        <v>883</v>
      </c>
      <c r="B888" s="74" t="s">
        <v>1020</v>
      </c>
      <c r="C888" s="53" t="str">
        <f aca="false">INDEX(I_Items!$C$5:$C$133,MATCH($B888,I_Items!$A$5:$A$133,0))</f>
        <v>Trading</v>
      </c>
      <c r="D888" s="53" t="str">
        <f aca="false">INDEX(I_Items!$D$5:$D$133,MATCH($B888,I_Items!$A$5:$A$133,0))</f>
        <v>BLP</v>
      </c>
      <c r="E888" s="53" t="str">
        <f aca="false">INDEX(I_Items!$F$5:$F$133,MATCH($B888,I_Items!$A$5:$A$133,0))</f>
        <v>Frozen</v>
      </c>
      <c r="F888" s="53" t="str">
        <f aca="false">IF(INDEX(I_Items!$E$5:$E$133,MATCH($B888,I_Items!$A$5:$A$133,0))="","",INDEX(I_Items!$E$5:$E$133,MATCH($B888,I_Items!$A$5:$A$133,0)))</f>
        <v/>
      </c>
      <c r="G888" s="76" t="n">
        <v>46247</v>
      </c>
      <c r="H888" s="23" t="n">
        <f aca="false">MONTH(G888)</f>
        <v>8</v>
      </c>
      <c r="I888" s="74" t="s">
        <v>2075</v>
      </c>
      <c r="J888" s="74" t="s">
        <v>2284</v>
      </c>
      <c r="K888" s="10" t="n">
        <v>0</v>
      </c>
      <c r="L888" s="8" t="n">
        <v>0</v>
      </c>
      <c r="M888" s="10" t="n">
        <v>1003.5</v>
      </c>
      <c r="N888" s="8" t="n">
        <v>34396752.14</v>
      </c>
      <c r="O888" s="74" t="s">
        <v>2077</v>
      </c>
      <c r="P888" s="74"/>
      <c r="Q888" s="74"/>
      <c r="R888" s="14" t="n">
        <f aca="false">IF(I888="Unbilled",0,M888)</f>
        <v>1003.5</v>
      </c>
      <c r="S888" s="9" t="n">
        <f aca="false">IF(R888=0,0,IF(O888="Booked",N888,R888*V887))</f>
        <v>34396752.0828526</v>
      </c>
      <c r="T888" s="14" t="n">
        <f aca="false">IF(I888="Opening",K888,T887+K888-R888)</f>
        <v>13007.1</v>
      </c>
      <c r="U888" s="9" t="n">
        <f aca="false">IF(I888="Opening",L888,U887+L888-S888)</f>
        <v>445841548.596783</v>
      </c>
      <c r="V888" s="9" t="n">
        <f aca="false">IF(T888&gt;0,U888/T888,IF(I888="Opening",0,V887))</f>
        <v>34276.7833411586</v>
      </c>
      <c r="W888" s="14" t="n">
        <f aca="false">M888</f>
        <v>1003.5</v>
      </c>
      <c r="X888" s="9" t="n">
        <f aca="false">IF(W888=0,0,IF(O888="Booked",N888,W888*AA887))</f>
        <v>34396752.0828526</v>
      </c>
      <c r="Y888" s="14" t="n">
        <f aca="false">IF(I888="Opening",K888,Y887+K888-W888)</f>
        <v>13007.1</v>
      </c>
      <c r="Z888" s="9" t="n">
        <f aca="false">IF(I888="Opening",L888,Z887+L888-X888)</f>
        <v>445841548.596783</v>
      </c>
      <c r="AA888" s="9" t="n">
        <f aca="false">IF(Y888&gt;0,Z888/Y888,IF(I888="Opening",0,AA887))</f>
        <v>34276.7833411586</v>
      </c>
      <c r="AB888" s="9" t="n">
        <f aca="false">IF(AND(I888="DO",O888="MA"),S888-N888,0)</f>
        <v>-0.057147391140461</v>
      </c>
      <c r="AC888" s="9" t="n">
        <f aca="false">IF(I888="DO",X888-S888,0)</f>
        <v>0</v>
      </c>
      <c r="AD888" s="23" t="n">
        <f aca="false">IF(B889&lt;&gt;B888,1,0)</f>
        <v>0</v>
      </c>
      <c r="AE888" s="14" t="n">
        <f aca="false">IF(I888="Opening",0,AE887+W888)</f>
        <v>30616.2</v>
      </c>
      <c r="AF888" s="14" t="n">
        <f aca="false">IF(I888="Opening",K888,AF887)</f>
        <v>6477.78</v>
      </c>
      <c r="AG888" s="14" t="n">
        <f aca="false">AG887</f>
        <v>25917.77</v>
      </c>
      <c r="AH888" s="14" t="n">
        <f aca="false">IF(W888=0,0,MAX(0,MIN(AE888,AF888)-MIN(AE888-W888,AF888)))</f>
        <v>0</v>
      </c>
      <c r="AI888" s="14" t="n">
        <f aca="false">IF(W888=0,0,MAX(0,MIN(AE888,AF888+AG888)-MAX(AE888-W888,AF888)))</f>
        <v>1003.5</v>
      </c>
      <c r="AJ888" s="14" t="n">
        <f aca="false">W888-AH888-AI888</f>
        <v>0</v>
      </c>
      <c r="AK888" s="9" t="n">
        <f aca="false">IF(W888=0,0,X888*AH888/W888)</f>
        <v>0</v>
      </c>
      <c r="AL888" s="9" t="n">
        <f aca="false">IF(W888=0,0,X888*AI888/W888)</f>
        <v>34396752.0828526</v>
      </c>
      <c r="AM888" s="9" t="n">
        <f aca="false">X888-AK888-AL888</f>
        <v>0</v>
      </c>
    </row>
    <row r="889" customFormat="false" ht="15" hidden="false" customHeight="false" outlineLevel="0" collapsed="false">
      <c r="A889" s="6" t="n">
        <v>884</v>
      </c>
      <c r="B889" s="74" t="s">
        <v>1020</v>
      </c>
      <c r="C889" s="53" t="str">
        <f aca="false">INDEX(I_Items!$C$5:$C$133,MATCH($B889,I_Items!$A$5:$A$133,0))</f>
        <v>Trading</v>
      </c>
      <c r="D889" s="53" t="str">
        <f aca="false">INDEX(I_Items!$D$5:$D$133,MATCH($B889,I_Items!$A$5:$A$133,0))</f>
        <v>BLP</v>
      </c>
      <c r="E889" s="53" t="str">
        <f aca="false">INDEX(I_Items!$F$5:$F$133,MATCH($B889,I_Items!$A$5:$A$133,0))</f>
        <v>Frozen</v>
      </c>
      <c r="F889" s="53" t="str">
        <f aca="false">IF(INDEX(I_Items!$E$5:$E$133,MATCH($B889,I_Items!$A$5:$A$133,0))="","",INDEX(I_Items!$E$5:$E$133,MATCH($B889,I_Items!$A$5:$A$133,0)))</f>
        <v/>
      </c>
      <c r="G889" s="76" t="n">
        <v>46247</v>
      </c>
      <c r="H889" s="23" t="n">
        <f aca="false">MONTH(G889)</f>
        <v>8</v>
      </c>
      <c r="I889" s="74" t="s">
        <v>2075</v>
      </c>
      <c r="J889" s="74" t="s">
        <v>2171</v>
      </c>
      <c r="K889" s="10" t="n">
        <v>0</v>
      </c>
      <c r="L889" s="8" t="n">
        <v>0</v>
      </c>
      <c r="M889" s="10" t="n">
        <v>111.1</v>
      </c>
      <c r="N889" s="8" t="n">
        <v>3808150.64</v>
      </c>
      <c r="O889" s="74" t="s">
        <v>2077</v>
      </c>
      <c r="P889" s="74"/>
      <c r="Q889" s="74"/>
      <c r="R889" s="14" t="n">
        <f aca="false">IF(I889="Unbilled",0,M889)</f>
        <v>111.1</v>
      </c>
      <c r="S889" s="9" t="n">
        <f aca="false">IF(R889=0,0,IF(O889="Booked",N889,R889*V888))</f>
        <v>3808150.62920272</v>
      </c>
      <c r="T889" s="14" t="n">
        <f aca="false">IF(I889="Opening",K889,T888+K889-R889)</f>
        <v>12896</v>
      </c>
      <c r="U889" s="9" t="n">
        <f aca="false">IF(I889="Opening",L889,U888+L889-S889)</f>
        <v>442033397.967581</v>
      </c>
      <c r="V889" s="9" t="n">
        <f aca="false">IF(T889&gt;0,U889/T889,IF(I889="Opening",0,V888))</f>
        <v>34276.7833411586</v>
      </c>
      <c r="W889" s="14" t="n">
        <f aca="false">M889</f>
        <v>111.1</v>
      </c>
      <c r="X889" s="9" t="n">
        <f aca="false">IF(W889=0,0,IF(O889="Booked",N889,W889*AA888))</f>
        <v>3808150.62920272</v>
      </c>
      <c r="Y889" s="14" t="n">
        <f aca="false">IF(I889="Opening",K889,Y888+K889-W889)</f>
        <v>12896</v>
      </c>
      <c r="Z889" s="9" t="n">
        <f aca="false">IF(I889="Opening",L889,Z888+L889-X889)</f>
        <v>442033397.967581</v>
      </c>
      <c r="AA889" s="9" t="n">
        <f aca="false">IF(Y889&gt;0,Z889/Y889,IF(I889="Opening",0,AA888))</f>
        <v>34276.7833411586</v>
      </c>
      <c r="AB889" s="9" t="n">
        <f aca="false">IF(AND(I889="DO",O889="MA"),S889-N889,0)</f>
        <v>-0.0107972845435143</v>
      </c>
      <c r="AC889" s="9" t="n">
        <f aca="false">IF(I889="DO",X889-S889,0)</f>
        <v>0</v>
      </c>
      <c r="AD889" s="23" t="n">
        <f aca="false">IF(B890&lt;&gt;B889,1,0)</f>
        <v>0</v>
      </c>
      <c r="AE889" s="14" t="n">
        <f aca="false">IF(I889="Opening",0,AE888+W889)</f>
        <v>30727.3</v>
      </c>
      <c r="AF889" s="14" t="n">
        <f aca="false">IF(I889="Opening",K889,AF888)</f>
        <v>6477.78</v>
      </c>
      <c r="AG889" s="14" t="n">
        <f aca="false">AG888</f>
        <v>25917.77</v>
      </c>
      <c r="AH889" s="14" t="n">
        <f aca="false">IF(W889=0,0,MAX(0,MIN(AE889,AF889)-MIN(AE889-W889,AF889)))</f>
        <v>0</v>
      </c>
      <c r="AI889" s="14" t="n">
        <f aca="false">IF(W889=0,0,MAX(0,MIN(AE889,AF889+AG889)-MAX(AE889-W889,AF889)))</f>
        <v>111.099999999999</v>
      </c>
      <c r="AJ889" s="14" t="n">
        <f aca="false">W889-AH889-AI889</f>
        <v>1.4495071809506E-012</v>
      </c>
      <c r="AK889" s="9" t="n">
        <f aca="false">IF(W889=0,0,X889*AH889/W889)</f>
        <v>0</v>
      </c>
      <c r="AL889" s="9" t="n">
        <f aca="false">IF(W889=0,0,X889*AI889/W889)</f>
        <v>3808150.62920267</v>
      </c>
      <c r="AM889" s="9" t="n">
        <f aca="false">X889-AK889-AL889</f>
        <v>4.98257577419281E-008</v>
      </c>
    </row>
    <row r="890" customFormat="false" ht="15" hidden="false" customHeight="false" outlineLevel="0" collapsed="false">
      <c r="A890" s="6" t="n">
        <v>885</v>
      </c>
      <c r="B890" s="74" t="s">
        <v>1020</v>
      </c>
      <c r="C890" s="53" t="str">
        <f aca="false">INDEX(I_Items!$C$5:$C$133,MATCH($B890,I_Items!$A$5:$A$133,0))</f>
        <v>Trading</v>
      </c>
      <c r="D890" s="53" t="str">
        <f aca="false">INDEX(I_Items!$D$5:$D$133,MATCH($B890,I_Items!$A$5:$A$133,0))</f>
        <v>BLP</v>
      </c>
      <c r="E890" s="53" t="str">
        <f aca="false">INDEX(I_Items!$F$5:$F$133,MATCH($B890,I_Items!$A$5:$A$133,0))</f>
        <v>Frozen</v>
      </c>
      <c r="F890" s="53" t="str">
        <f aca="false">IF(INDEX(I_Items!$E$5:$E$133,MATCH($B890,I_Items!$A$5:$A$133,0))="","",INDEX(I_Items!$E$5:$E$133,MATCH($B890,I_Items!$A$5:$A$133,0)))</f>
        <v/>
      </c>
      <c r="G890" s="76" t="n">
        <v>46248</v>
      </c>
      <c r="H890" s="23" t="n">
        <f aca="false">MONTH(G890)</f>
        <v>8</v>
      </c>
      <c r="I890" s="74" t="s">
        <v>2075</v>
      </c>
      <c r="J890" s="74" t="s">
        <v>2285</v>
      </c>
      <c r="K890" s="10" t="n">
        <v>0</v>
      </c>
      <c r="L890" s="8" t="n">
        <v>0</v>
      </c>
      <c r="M890" s="10" t="n">
        <v>1279.6</v>
      </c>
      <c r="N890" s="8" t="n">
        <v>43860572.04</v>
      </c>
      <c r="O890" s="74" t="s">
        <v>2077</v>
      </c>
      <c r="P890" s="74"/>
      <c r="Q890" s="74"/>
      <c r="R890" s="14" t="n">
        <f aca="false">IF(I890="Unbilled",0,M890)</f>
        <v>1279.6</v>
      </c>
      <c r="S890" s="9" t="n">
        <f aca="false">IF(R890=0,0,IF(O890="Booked",N890,R890*V889))</f>
        <v>43860571.9633465</v>
      </c>
      <c r="T890" s="14" t="n">
        <f aca="false">IF(I890="Opening",K890,T889+K890-R890)</f>
        <v>11616.4</v>
      </c>
      <c r="U890" s="9" t="n">
        <f aca="false">IF(I890="Opening",L890,U889+L890-S890)</f>
        <v>398172826.004234</v>
      </c>
      <c r="V890" s="9" t="n">
        <f aca="false">IF(T890&gt;0,U890/T890,IF(I890="Opening",0,V889))</f>
        <v>34276.7833411586</v>
      </c>
      <c r="W890" s="14" t="n">
        <f aca="false">M890</f>
        <v>1279.6</v>
      </c>
      <c r="X890" s="9" t="n">
        <f aca="false">IF(W890=0,0,IF(O890="Booked",N890,W890*AA889))</f>
        <v>43860571.9633465</v>
      </c>
      <c r="Y890" s="14" t="n">
        <f aca="false">IF(I890="Opening",K890,Y889+K890-W890)</f>
        <v>11616.4</v>
      </c>
      <c r="Z890" s="9" t="n">
        <f aca="false">IF(I890="Opening",L890,Z889+L890-X890)</f>
        <v>398172826.004234</v>
      </c>
      <c r="AA890" s="9" t="n">
        <f aca="false">IF(Y890&gt;0,Z890/Y890,IF(I890="Opening",0,AA889))</f>
        <v>34276.7833411586</v>
      </c>
      <c r="AB890" s="9" t="n">
        <f aca="false">IF(AND(I890="DO",O890="MA"),S890-N890,0)</f>
        <v>-0.0766535103321075</v>
      </c>
      <c r="AC890" s="9" t="n">
        <f aca="false">IF(I890="DO",X890-S890,0)</f>
        <v>0</v>
      </c>
      <c r="AD890" s="23" t="n">
        <f aca="false">IF(B891&lt;&gt;B890,1,0)</f>
        <v>0</v>
      </c>
      <c r="AE890" s="14" t="n">
        <f aca="false">IF(I890="Opening",0,AE889+W890)</f>
        <v>32006.9</v>
      </c>
      <c r="AF890" s="14" t="n">
        <f aca="false">IF(I890="Opening",K890,AF889)</f>
        <v>6477.78</v>
      </c>
      <c r="AG890" s="14" t="n">
        <f aca="false">AG889</f>
        <v>25917.77</v>
      </c>
      <c r="AH890" s="14" t="n">
        <f aca="false">IF(W890=0,0,MAX(0,MIN(AE890,AF890)-MIN(AE890-W890,AF890)))</f>
        <v>0</v>
      </c>
      <c r="AI890" s="14" t="n">
        <f aca="false">IF(W890=0,0,MAX(0,MIN(AE890,AF890+AG890)-MAX(AE890-W890,AF890)))</f>
        <v>1279.6</v>
      </c>
      <c r="AJ890" s="14" t="n">
        <f aca="false">W890-AH890-AI890</f>
        <v>0</v>
      </c>
      <c r="AK890" s="9" t="n">
        <f aca="false">IF(W890=0,0,X890*AH890/W890)</f>
        <v>0</v>
      </c>
      <c r="AL890" s="9" t="n">
        <f aca="false">IF(W890=0,0,X890*AI890/W890)</f>
        <v>43860571.9633464</v>
      </c>
      <c r="AM890" s="9" t="n">
        <f aca="false">X890-AK890-AL890</f>
        <v>0</v>
      </c>
    </row>
    <row r="891" customFormat="false" ht="15" hidden="false" customHeight="false" outlineLevel="0" collapsed="false">
      <c r="A891" s="6" t="n">
        <v>886</v>
      </c>
      <c r="B891" s="74" t="s">
        <v>1020</v>
      </c>
      <c r="C891" s="53" t="str">
        <f aca="false">INDEX(I_Items!$C$5:$C$133,MATCH($B891,I_Items!$A$5:$A$133,0))</f>
        <v>Trading</v>
      </c>
      <c r="D891" s="53" t="str">
        <f aca="false">INDEX(I_Items!$D$5:$D$133,MATCH($B891,I_Items!$A$5:$A$133,0))</f>
        <v>BLP</v>
      </c>
      <c r="E891" s="53" t="str">
        <f aca="false">INDEX(I_Items!$F$5:$F$133,MATCH($B891,I_Items!$A$5:$A$133,0))</f>
        <v>Frozen</v>
      </c>
      <c r="F891" s="53" t="str">
        <f aca="false">IF(INDEX(I_Items!$E$5:$E$133,MATCH($B891,I_Items!$A$5:$A$133,0))="","",INDEX(I_Items!$E$5:$E$133,MATCH($B891,I_Items!$A$5:$A$133,0)))</f>
        <v/>
      </c>
      <c r="G891" s="76" t="n">
        <v>46248</v>
      </c>
      <c r="H891" s="23" t="n">
        <f aca="false">MONTH(G891)</f>
        <v>8</v>
      </c>
      <c r="I891" s="74" t="s">
        <v>2075</v>
      </c>
      <c r="J891" s="74" t="s">
        <v>2285</v>
      </c>
      <c r="K891" s="10" t="n">
        <v>0</v>
      </c>
      <c r="L891" s="8" t="n">
        <v>0</v>
      </c>
      <c r="M891" s="10" t="n">
        <v>1220.1</v>
      </c>
      <c r="N891" s="8" t="n">
        <v>41821103.43</v>
      </c>
      <c r="O891" s="74" t="s">
        <v>2077</v>
      </c>
      <c r="P891" s="74"/>
      <c r="Q891" s="74"/>
      <c r="R891" s="14" t="n">
        <f aca="false">IF(I891="Unbilled",0,M891)</f>
        <v>1220.1</v>
      </c>
      <c r="S891" s="9" t="n">
        <f aca="false">IF(R891=0,0,IF(O891="Booked",N891,R891*V890))</f>
        <v>41821103.3545476</v>
      </c>
      <c r="T891" s="14" t="n">
        <f aca="false">IF(I891="Opening",K891,T890+K891-R891)</f>
        <v>10396.3</v>
      </c>
      <c r="U891" s="9" t="n">
        <f aca="false">IF(I891="Opening",L891,U890+L891-S891)</f>
        <v>356351722.649686</v>
      </c>
      <c r="V891" s="9" t="n">
        <f aca="false">IF(T891&gt;0,U891/T891,IF(I891="Opening",0,V890))</f>
        <v>34276.7833411586</v>
      </c>
      <c r="W891" s="14" t="n">
        <f aca="false">M891</f>
        <v>1220.1</v>
      </c>
      <c r="X891" s="9" t="n">
        <f aca="false">IF(W891=0,0,IF(O891="Booked",N891,W891*AA890))</f>
        <v>41821103.3545476</v>
      </c>
      <c r="Y891" s="14" t="n">
        <f aca="false">IF(I891="Opening",K891,Y890+K891-W891)</f>
        <v>10396.3</v>
      </c>
      <c r="Z891" s="9" t="n">
        <f aca="false">IF(I891="Opening",L891,Z890+L891-X891)</f>
        <v>356351722.649686</v>
      </c>
      <c r="AA891" s="9" t="n">
        <f aca="false">IF(Y891&gt;0,Z891/Y891,IF(I891="Opening",0,AA890))</f>
        <v>34276.7833411586</v>
      </c>
      <c r="AB891" s="9" t="n">
        <f aca="false">IF(AND(I891="DO",O891="MA"),S891-N891,0)</f>
        <v>-0.075452446937561</v>
      </c>
      <c r="AC891" s="9" t="n">
        <f aca="false">IF(I891="DO",X891-S891,0)</f>
        <v>0</v>
      </c>
      <c r="AD891" s="23" t="n">
        <f aca="false">IF(B892&lt;&gt;B891,1,0)</f>
        <v>0</v>
      </c>
      <c r="AE891" s="14" t="n">
        <f aca="false">IF(I891="Opening",0,AE890+W891)</f>
        <v>33227</v>
      </c>
      <c r="AF891" s="14" t="n">
        <f aca="false">IF(I891="Opening",K891,AF890)</f>
        <v>6477.78</v>
      </c>
      <c r="AG891" s="14" t="n">
        <f aca="false">AG890</f>
        <v>25917.77</v>
      </c>
      <c r="AH891" s="14" t="n">
        <f aca="false">IF(W891=0,0,MAX(0,MIN(AE891,AF891)-MIN(AE891-W891,AF891)))</f>
        <v>0</v>
      </c>
      <c r="AI891" s="14" t="n">
        <f aca="false">IF(W891=0,0,MAX(0,MIN(AE891,AF891+AG891)-MAX(AE891-W891,AF891)))</f>
        <v>388.649999999998</v>
      </c>
      <c r="AJ891" s="14" t="n">
        <f aca="false">W891-AH891-AI891</f>
        <v>831.450000000002</v>
      </c>
      <c r="AK891" s="9" t="n">
        <f aca="false">IF(W891=0,0,X891*AH891/W891)</f>
        <v>0</v>
      </c>
      <c r="AL891" s="9" t="n">
        <f aca="false">IF(W891=0,0,X891*AI891/W891)</f>
        <v>13321671.8455412</v>
      </c>
      <c r="AM891" s="9" t="n">
        <f aca="false">X891-AK891-AL891</f>
        <v>28499431.5090064</v>
      </c>
    </row>
    <row r="892" customFormat="false" ht="15" hidden="false" customHeight="false" outlineLevel="0" collapsed="false">
      <c r="A892" s="6" t="n">
        <v>887</v>
      </c>
      <c r="B892" s="74" t="s">
        <v>1020</v>
      </c>
      <c r="C892" s="53" t="str">
        <f aca="false">INDEX(I_Items!$C$5:$C$133,MATCH($B892,I_Items!$A$5:$A$133,0))</f>
        <v>Trading</v>
      </c>
      <c r="D892" s="53" t="str">
        <f aca="false">INDEX(I_Items!$D$5:$D$133,MATCH($B892,I_Items!$A$5:$A$133,0))</f>
        <v>BLP</v>
      </c>
      <c r="E892" s="53" t="str">
        <f aca="false">INDEX(I_Items!$F$5:$F$133,MATCH($B892,I_Items!$A$5:$A$133,0))</f>
        <v>Frozen</v>
      </c>
      <c r="F892" s="53" t="str">
        <f aca="false">IF(INDEX(I_Items!$E$5:$E$133,MATCH($B892,I_Items!$A$5:$A$133,0))="","",INDEX(I_Items!$E$5:$E$133,MATCH($B892,I_Items!$A$5:$A$133,0)))</f>
        <v/>
      </c>
      <c r="G892" s="76" t="n">
        <v>46248</v>
      </c>
      <c r="H892" s="23" t="n">
        <f aca="false">MONTH(G892)</f>
        <v>8</v>
      </c>
      <c r="I892" s="74" t="s">
        <v>2075</v>
      </c>
      <c r="J892" s="74" t="s">
        <v>2286</v>
      </c>
      <c r="K892" s="10" t="n">
        <v>0</v>
      </c>
      <c r="L892" s="8" t="n">
        <v>0</v>
      </c>
      <c r="M892" s="10" t="n">
        <v>1504.5</v>
      </c>
      <c r="N892" s="8" t="n">
        <v>51569420.63</v>
      </c>
      <c r="O892" s="74" t="s">
        <v>2077</v>
      </c>
      <c r="P892" s="74"/>
      <c r="Q892" s="74"/>
      <c r="R892" s="14" t="n">
        <f aca="false">IF(I892="Unbilled",0,M892)</f>
        <v>1504.5</v>
      </c>
      <c r="S892" s="9" t="n">
        <f aca="false">IF(R892=0,0,IF(O892="Booked",N892,R892*V891))</f>
        <v>51569420.5367731</v>
      </c>
      <c r="T892" s="14" t="n">
        <f aca="false">IF(I892="Opening",K892,T891+K892-R892)</f>
        <v>8891.79999999999</v>
      </c>
      <c r="U892" s="9" t="n">
        <f aca="false">IF(I892="Opening",L892,U891+L892-S892)</f>
        <v>304782302.112913</v>
      </c>
      <c r="V892" s="9" t="n">
        <f aca="false">IF(T892&gt;0,U892/T892,IF(I892="Opening",0,V891))</f>
        <v>34276.7833411586</v>
      </c>
      <c r="W892" s="14" t="n">
        <f aca="false">M892</f>
        <v>1504.5</v>
      </c>
      <c r="X892" s="9" t="n">
        <f aca="false">IF(W892=0,0,IF(O892="Booked",N892,W892*AA891))</f>
        <v>51569420.5367731</v>
      </c>
      <c r="Y892" s="14" t="n">
        <f aca="false">IF(I892="Opening",K892,Y891+K892-W892)</f>
        <v>8891.79999999999</v>
      </c>
      <c r="Z892" s="9" t="n">
        <f aca="false">IF(I892="Opening",L892,Z891+L892-X892)</f>
        <v>304782302.112913</v>
      </c>
      <c r="AA892" s="9" t="n">
        <f aca="false">IF(Y892&gt;0,Z892/Y892,IF(I892="Opening",0,AA891))</f>
        <v>34276.7833411586</v>
      </c>
      <c r="AB892" s="9" t="n">
        <f aca="false">IF(AND(I892="DO",O892="MA"),S892-N892,0)</f>
        <v>-0.0932269468903542</v>
      </c>
      <c r="AC892" s="9" t="n">
        <f aca="false">IF(I892="DO",X892-S892,0)</f>
        <v>0</v>
      </c>
      <c r="AD892" s="23" t="n">
        <f aca="false">IF(B893&lt;&gt;B892,1,0)</f>
        <v>0</v>
      </c>
      <c r="AE892" s="14" t="n">
        <f aca="false">IF(I892="Opening",0,AE891+W892)</f>
        <v>34731.5</v>
      </c>
      <c r="AF892" s="14" t="n">
        <f aca="false">IF(I892="Opening",K892,AF891)</f>
        <v>6477.78</v>
      </c>
      <c r="AG892" s="14" t="n">
        <f aca="false">AG891</f>
        <v>25917.77</v>
      </c>
      <c r="AH892" s="14" t="n">
        <f aca="false">IF(W892=0,0,MAX(0,MIN(AE892,AF892)-MIN(AE892-W892,AF892)))</f>
        <v>0</v>
      </c>
      <c r="AI892" s="14" t="n">
        <f aca="false">IF(W892=0,0,MAX(0,MIN(AE892,AF892+AG892)-MAX(AE892-W892,AF892)))</f>
        <v>0</v>
      </c>
      <c r="AJ892" s="14" t="n">
        <f aca="false">W892-AH892-AI892</f>
        <v>1504.5</v>
      </c>
      <c r="AK892" s="9" t="n">
        <f aca="false">IF(W892=0,0,X892*AH892/W892)</f>
        <v>0</v>
      </c>
      <c r="AL892" s="9" t="n">
        <f aca="false">IF(W892=0,0,X892*AI892/W892)</f>
        <v>0</v>
      </c>
      <c r="AM892" s="9" t="n">
        <f aca="false">X892-AK892-AL892</f>
        <v>51569420.5367731</v>
      </c>
    </row>
    <row r="893" customFormat="false" ht="15" hidden="false" customHeight="false" outlineLevel="0" collapsed="false">
      <c r="A893" s="6" t="n">
        <v>888</v>
      </c>
      <c r="B893" s="74" t="s">
        <v>1020</v>
      </c>
      <c r="C893" s="53" t="str">
        <f aca="false">INDEX(I_Items!$C$5:$C$133,MATCH($B893,I_Items!$A$5:$A$133,0))</f>
        <v>Trading</v>
      </c>
      <c r="D893" s="53" t="str">
        <f aca="false">INDEX(I_Items!$D$5:$D$133,MATCH($B893,I_Items!$A$5:$A$133,0))</f>
        <v>BLP</v>
      </c>
      <c r="E893" s="53" t="str">
        <f aca="false">INDEX(I_Items!$F$5:$F$133,MATCH($B893,I_Items!$A$5:$A$133,0))</f>
        <v>Frozen</v>
      </c>
      <c r="F893" s="53" t="str">
        <f aca="false">IF(INDEX(I_Items!$E$5:$E$133,MATCH($B893,I_Items!$A$5:$A$133,0))="","",INDEX(I_Items!$E$5:$E$133,MATCH($B893,I_Items!$A$5:$A$133,0)))</f>
        <v/>
      </c>
      <c r="G893" s="76" t="n">
        <v>46248</v>
      </c>
      <c r="H893" s="23" t="n">
        <f aca="false">MONTH(G893)</f>
        <v>8</v>
      </c>
      <c r="I893" s="74" t="s">
        <v>2075</v>
      </c>
      <c r="J893" s="74" t="s">
        <v>2287</v>
      </c>
      <c r="K893" s="10" t="n">
        <v>0</v>
      </c>
      <c r="L893" s="8" t="n">
        <v>0</v>
      </c>
      <c r="M893" s="10" t="n">
        <v>1504.9</v>
      </c>
      <c r="N893" s="8" t="n">
        <v>51583131.34</v>
      </c>
      <c r="O893" s="74" t="s">
        <v>2077</v>
      </c>
      <c r="P893" s="74"/>
      <c r="Q893" s="74"/>
      <c r="R893" s="14" t="n">
        <f aca="false">IF(I893="Unbilled",0,M893)</f>
        <v>1504.9</v>
      </c>
      <c r="S893" s="9" t="n">
        <f aca="false">IF(R893=0,0,IF(O893="Booked",N893,R893*V892))</f>
        <v>51583131.2501095</v>
      </c>
      <c r="T893" s="14" t="n">
        <f aca="false">IF(I893="Opening",K893,T892+K893-R893)</f>
        <v>7386.89999999999</v>
      </c>
      <c r="U893" s="9" t="n">
        <f aca="false">IF(I893="Opening",L893,U892+L893-S893)</f>
        <v>253199170.862804</v>
      </c>
      <c r="V893" s="9" t="n">
        <f aca="false">IF(T893&gt;0,U893/T893,IF(I893="Opening",0,V892))</f>
        <v>34276.7833411586</v>
      </c>
      <c r="W893" s="14" t="n">
        <f aca="false">M893</f>
        <v>1504.9</v>
      </c>
      <c r="X893" s="9" t="n">
        <f aca="false">IF(W893=0,0,IF(O893="Booked",N893,W893*AA892))</f>
        <v>51583131.2501095</v>
      </c>
      <c r="Y893" s="14" t="n">
        <f aca="false">IF(I893="Opening",K893,Y892+K893-W893)</f>
        <v>7386.89999999999</v>
      </c>
      <c r="Z893" s="9" t="n">
        <f aca="false">IF(I893="Opening",L893,Z892+L893-X893)</f>
        <v>253199170.862804</v>
      </c>
      <c r="AA893" s="9" t="n">
        <f aca="false">IF(Y893&gt;0,Z893/Y893,IF(I893="Opening",0,AA892))</f>
        <v>34276.7833411586</v>
      </c>
      <c r="AB893" s="9" t="n">
        <f aca="false">IF(AND(I893="DO",O893="MA"),S893-N893,0)</f>
        <v>-0.0898904949426651</v>
      </c>
      <c r="AC893" s="9" t="n">
        <f aca="false">IF(I893="DO",X893-S893,0)</f>
        <v>0</v>
      </c>
      <c r="AD893" s="23" t="n">
        <f aca="false">IF(B894&lt;&gt;B893,1,0)</f>
        <v>0</v>
      </c>
      <c r="AE893" s="14" t="n">
        <f aca="false">IF(I893="Opening",0,AE892+W893)</f>
        <v>36236.4</v>
      </c>
      <c r="AF893" s="14" t="n">
        <f aca="false">IF(I893="Opening",K893,AF892)</f>
        <v>6477.78</v>
      </c>
      <c r="AG893" s="14" t="n">
        <f aca="false">AG892</f>
        <v>25917.77</v>
      </c>
      <c r="AH893" s="14" t="n">
        <f aca="false">IF(W893=0,0,MAX(0,MIN(AE893,AF893)-MIN(AE893-W893,AF893)))</f>
        <v>0</v>
      </c>
      <c r="AI893" s="14" t="n">
        <f aca="false">IF(W893=0,0,MAX(0,MIN(AE893,AF893+AG893)-MAX(AE893-W893,AF893)))</f>
        <v>0</v>
      </c>
      <c r="AJ893" s="14" t="n">
        <f aca="false">W893-AH893-AI893</f>
        <v>1504.9</v>
      </c>
      <c r="AK893" s="9" t="n">
        <f aca="false">IF(W893=0,0,X893*AH893/W893)</f>
        <v>0</v>
      </c>
      <c r="AL893" s="9" t="n">
        <f aca="false">IF(W893=0,0,X893*AI893/W893)</f>
        <v>0</v>
      </c>
      <c r="AM893" s="9" t="n">
        <f aca="false">X893-AK893-AL893</f>
        <v>51583131.2501095</v>
      </c>
    </row>
    <row r="894" customFormat="false" ht="15" hidden="false" customHeight="false" outlineLevel="0" collapsed="false">
      <c r="A894" s="6" t="n">
        <v>889</v>
      </c>
      <c r="B894" s="74" t="s">
        <v>1020</v>
      </c>
      <c r="C894" s="53" t="str">
        <f aca="false">INDEX(I_Items!$C$5:$C$133,MATCH($B894,I_Items!$A$5:$A$133,0))</f>
        <v>Trading</v>
      </c>
      <c r="D894" s="53" t="str">
        <f aca="false">INDEX(I_Items!$D$5:$D$133,MATCH($B894,I_Items!$A$5:$A$133,0))</f>
        <v>BLP</v>
      </c>
      <c r="E894" s="53" t="str">
        <f aca="false">INDEX(I_Items!$F$5:$F$133,MATCH($B894,I_Items!$A$5:$A$133,0))</f>
        <v>Frozen</v>
      </c>
      <c r="F894" s="53" t="str">
        <f aca="false">IF(INDEX(I_Items!$E$5:$E$133,MATCH($B894,I_Items!$A$5:$A$133,0))="","",INDEX(I_Items!$E$5:$E$133,MATCH($B894,I_Items!$A$5:$A$133,0)))</f>
        <v/>
      </c>
      <c r="G894" s="76" t="n">
        <v>46249</v>
      </c>
      <c r="H894" s="23" t="n">
        <f aca="false">MONTH(G894)</f>
        <v>8</v>
      </c>
      <c r="I894" s="74" t="s">
        <v>2075</v>
      </c>
      <c r="J894" s="74" t="s">
        <v>2288</v>
      </c>
      <c r="K894" s="10" t="n">
        <v>0</v>
      </c>
      <c r="L894" s="8" t="n">
        <v>0</v>
      </c>
      <c r="M894" s="10" t="n">
        <v>1010.7</v>
      </c>
      <c r="N894" s="8" t="n">
        <v>34643544.98</v>
      </c>
      <c r="O894" s="74" t="s">
        <v>2077</v>
      </c>
      <c r="P894" s="74"/>
      <c r="Q894" s="74"/>
      <c r="R894" s="14" t="n">
        <f aca="false">IF(I894="Unbilled",0,M894)</f>
        <v>1010.7</v>
      </c>
      <c r="S894" s="9" t="n">
        <f aca="false">IF(R894=0,0,IF(O894="Booked",N894,R894*V893))</f>
        <v>34643544.922909</v>
      </c>
      <c r="T894" s="14" t="n">
        <f aca="false">IF(I894="Opening",K894,T893+K894-R894)</f>
        <v>6376.19999999999</v>
      </c>
      <c r="U894" s="9" t="n">
        <f aca="false">IF(I894="Opening",L894,U893+L894-S894)</f>
        <v>218555625.939895</v>
      </c>
      <c r="V894" s="9" t="n">
        <f aca="false">IF(T894&gt;0,U894/T894,IF(I894="Opening",0,V893))</f>
        <v>34276.7833411586</v>
      </c>
      <c r="W894" s="14" t="n">
        <f aca="false">M894</f>
        <v>1010.7</v>
      </c>
      <c r="X894" s="9" t="n">
        <f aca="false">IF(W894=0,0,IF(O894="Booked",N894,W894*AA893))</f>
        <v>34643544.922909</v>
      </c>
      <c r="Y894" s="14" t="n">
        <f aca="false">IF(I894="Opening",K894,Y893+K894-W894)</f>
        <v>6376.19999999999</v>
      </c>
      <c r="Z894" s="9" t="n">
        <f aca="false">IF(I894="Opening",L894,Z893+L894-X894)</f>
        <v>218555625.939895</v>
      </c>
      <c r="AA894" s="9" t="n">
        <f aca="false">IF(Y894&gt;0,Z894/Y894,IF(I894="Opening",0,AA893))</f>
        <v>34276.7833411586</v>
      </c>
      <c r="AB894" s="9" t="n">
        <f aca="false">IF(AND(I894="DO",O894="MA"),S894-N894,0)</f>
        <v>-0.057091049849987</v>
      </c>
      <c r="AC894" s="9" t="n">
        <f aca="false">IF(I894="DO",X894-S894,0)</f>
        <v>0</v>
      </c>
      <c r="AD894" s="23" t="n">
        <f aca="false">IF(B895&lt;&gt;B894,1,0)</f>
        <v>0</v>
      </c>
      <c r="AE894" s="14" t="n">
        <f aca="false">IF(I894="Opening",0,AE893+W894)</f>
        <v>37247.1</v>
      </c>
      <c r="AF894" s="14" t="n">
        <f aca="false">IF(I894="Opening",K894,AF893)</f>
        <v>6477.78</v>
      </c>
      <c r="AG894" s="14" t="n">
        <f aca="false">AG893</f>
        <v>25917.77</v>
      </c>
      <c r="AH894" s="14" t="n">
        <f aca="false">IF(W894=0,0,MAX(0,MIN(AE894,AF894)-MIN(AE894-W894,AF894)))</f>
        <v>0</v>
      </c>
      <c r="AI894" s="14" t="n">
        <f aca="false">IF(W894=0,0,MAX(0,MIN(AE894,AF894+AG894)-MAX(AE894-W894,AF894)))</f>
        <v>0</v>
      </c>
      <c r="AJ894" s="14" t="n">
        <f aca="false">W894-AH894-AI894</f>
        <v>1010.7</v>
      </c>
      <c r="AK894" s="9" t="n">
        <f aca="false">IF(W894=0,0,X894*AH894/W894)</f>
        <v>0</v>
      </c>
      <c r="AL894" s="9" t="n">
        <f aca="false">IF(W894=0,0,X894*AI894/W894)</f>
        <v>0</v>
      </c>
      <c r="AM894" s="9" t="n">
        <f aca="false">X894-AK894-AL894</f>
        <v>34643544.922909</v>
      </c>
    </row>
    <row r="895" customFormat="false" ht="15" hidden="false" customHeight="false" outlineLevel="0" collapsed="false">
      <c r="A895" s="6" t="n">
        <v>890</v>
      </c>
      <c r="B895" s="74" t="s">
        <v>1020</v>
      </c>
      <c r="C895" s="53" t="str">
        <f aca="false">INDEX(I_Items!$C$5:$C$133,MATCH($B895,I_Items!$A$5:$A$133,0))</f>
        <v>Trading</v>
      </c>
      <c r="D895" s="53" t="str">
        <f aca="false">INDEX(I_Items!$D$5:$D$133,MATCH($B895,I_Items!$A$5:$A$133,0))</f>
        <v>BLP</v>
      </c>
      <c r="E895" s="53" t="str">
        <f aca="false">INDEX(I_Items!$F$5:$F$133,MATCH($B895,I_Items!$A$5:$A$133,0))</f>
        <v>Frozen</v>
      </c>
      <c r="F895" s="53" t="str">
        <f aca="false">IF(INDEX(I_Items!$E$5:$E$133,MATCH($B895,I_Items!$A$5:$A$133,0))="","",INDEX(I_Items!$E$5:$E$133,MATCH($B895,I_Items!$A$5:$A$133,0)))</f>
        <v/>
      </c>
      <c r="G895" s="76" t="n">
        <v>46249</v>
      </c>
      <c r="H895" s="23" t="n">
        <f aca="false">MONTH(G895)</f>
        <v>8</v>
      </c>
      <c r="I895" s="74" t="s">
        <v>2075</v>
      </c>
      <c r="J895" s="74" t="s">
        <v>2289</v>
      </c>
      <c r="K895" s="10" t="n">
        <v>0</v>
      </c>
      <c r="L895" s="8" t="n">
        <v>0</v>
      </c>
      <c r="M895" s="10" t="n">
        <v>310.3</v>
      </c>
      <c r="N895" s="8" t="n">
        <v>10636085.89</v>
      </c>
      <c r="O895" s="74" t="s">
        <v>2077</v>
      </c>
      <c r="P895" s="74"/>
      <c r="Q895" s="74"/>
      <c r="R895" s="14" t="n">
        <f aca="false">IF(I895="Unbilled",0,M895)</f>
        <v>310.3</v>
      </c>
      <c r="S895" s="9" t="n">
        <f aca="false">IF(R895=0,0,IF(O895="Booked",N895,R895*V894))</f>
        <v>10636085.8707615</v>
      </c>
      <c r="T895" s="14" t="n">
        <f aca="false">IF(I895="Opening",K895,T894+K895-R895)</f>
        <v>6065.89999999999</v>
      </c>
      <c r="U895" s="9" t="n">
        <f aca="false">IF(I895="Opening",L895,U894+L895-S895)</f>
        <v>207919540.069133</v>
      </c>
      <c r="V895" s="9" t="n">
        <f aca="false">IF(T895&gt;0,U895/T895,IF(I895="Opening",0,V894))</f>
        <v>34276.7833411586</v>
      </c>
      <c r="W895" s="14" t="n">
        <f aca="false">M895</f>
        <v>310.3</v>
      </c>
      <c r="X895" s="9" t="n">
        <f aca="false">IF(W895=0,0,IF(O895="Booked",N895,W895*AA894))</f>
        <v>10636085.8707615</v>
      </c>
      <c r="Y895" s="14" t="n">
        <f aca="false">IF(I895="Opening",K895,Y894+K895-W895)</f>
        <v>6065.89999999999</v>
      </c>
      <c r="Z895" s="9" t="n">
        <f aca="false">IF(I895="Opening",L895,Z894+L895-X895)</f>
        <v>207919540.069133</v>
      </c>
      <c r="AA895" s="9" t="n">
        <f aca="false">IF(Y895&gt;0,Z895/Y895,IF(I895="Opening",0,AA894))</f>
        <v>34276.7833411586</v>
      </c>
      <c r="AB895" s="9" t="n">
        <f aca="false">IF(AND(I895="DO",O895="MA"),S895-N895,0)</f>
        <v>-0.0192385017871857</v>
      </c>
      <c r="AC895" s="9" t="n">
        <f aca="false">IF(I895="DO",X895-S895,0)</f>
        <v>0</v>
      </c>
      <c r="AD895" s="23" t="n">
        <f aca="false">IF(B896&lt;&gt;B895,1,0)</f>
        <v>0</v>
      </c>
      <c r="AE895" s="14" t="n">
        <f aca="false">IF(I895="Opening",0,AE894+W895)</f>
        <v>37557.4</v>
      </c>
      <c r="AF895" s="14" t="n">
        <f aca="false">IF(I895="Opening",K895,AF894)</f>
        <v>6477.78</v>
      </c>
      <c r="AG895" s="14" t="n">
        <f aca="false">AG894</f>
        <v>25917.77</v>
      </c>
      <c r="AH895" s="14" t="n">
        <f aca="false">IF(W895=0,0,MAX(0,MIN(AE895,AF895)-MIN(AE895-W895,AF895)))</f>
        <v>0</v>
      </c>
      <c r="AI895" s="14" t="n">
        <f aca="false">IF(W895=0,0,MAX(0,MIN(AE895,AF895+AG895)-MAX(AE895-W895,AF895)))</f>
        <v>0</v>
      </c>
      <c r="AJ895" s="14" t="n">
        <f aca="false">W895-AH895-AI895</f>
        <v>310.3</v>
      </c>
      <c r="AK895" s="9" t="n">
        <f aca="false">IF(W895=0,0,X895*AH895/W895)</f>
        <v>0</v>
      </c>
      <c r="AL895" s="9" t="n">
        <f aca="false">IF(W895=0,0,X895*AI895/W895)</f>
        <v>0</v>
      </c>
      <c r="AM895" s="9" t="n">
        <f aca="false">X895-AK895-AL895</f>
        <v>10636085.8707615</v>
      </c>
    </row>
    <row r="896" customFormat="false" ht="15" hidden="false" customHeight="false" outlineLevel="0" collapsed="false">
      <c r="A896" s="6" t="n">
        <v>891</v>
      </c>
      <c r="B896" s="74" t="s">
        <v>1020</v>
      </c>
      <c r="C896" s="53" t="str">
        <f aca="false">INDEX(I_Items!$C$5:$C$133,MATCH($B896,I_Items!$A$5:$A$133,0))</f>
        <v>Trading</v>
      </c>
      <c r="D896" s="53" t="str">
        <f aca="false">INDEX(I_Items!$D$5:$D$133,MATCH($B896,I_Items!$A$5:$A$133,0))</f>
        <v>BLP</v>
      </c>
      <c r="E896" s="53" t="str">
        <f aca="false">INDEX(I_Items!$F$5:$F$133,MATCH($B896,I_Items!$A$5:$A$133,0))</f>
        <v>Frozen</v>
      </c>
      <c r="F896" s="53" t="str">
        <f aca="false">IF(INDEX(I_Items!$E$5:$E$133,MATCH($B896,I_Items!$A$5:$A$133,0))="","",INDEX(I_Items!$E$5:$E$133,MATCH($B896,I_Items!$A$5:$A$133,0)))</f>
        <v/>
      </c>
      <c r="G896" s="76" t="n">
        <v>46252</v>
      </c>
      <c r="H896" s="23" t="n">
        <f aca="false">MONTH(G896)</f>
        <v>8</v>
      </c>
      <c r="I896" s="74" t="s">
        <v>2075</v>
      </c>
      <c r="J896" s="74" t="s">
        <v>2290</v>
      </c>
      <c r="K896" s="10" t="n">
        <v>0</v>
      </c>
      <c r="L896" s="8" t="n">
        <v>0</v>
      </c>
      <c r="M896" s="10" t="n">
        <v>417.9</v>
      </c>
      <c r="N896" s="8" t="n">
        <v>14324267.78</v>
      </c>
      <c r="O896" s="74" t="s">
        <v>2077</v>
      </c>
      <c r="P896" s="74"/>
      <c r="Q896" s="74"/>
      <c r="R896" s="14" t="n">
        <f aca="false">IF(I896="Unbilled",0,M896)</f>
        <v>417.9</v>
      </c>
      <c r="S896" s="9" t="n">
        <f aca="false">IF(R896=0,0,IF(O896="Booked",N896,R896*V895))</f>
        <v>14324267.7582702</v>
      </c>
      <c r="T896" s="14" t="n">
        <f aca="false">IF(I896="Opening",K896,T895+K896-R896)</f>
        <v>5647.99999999999</v>
      </c>
      <c r="U896" s="9" t="n">
        <f aca="false">IF(I896="Opening",L896,U895+L896-S896)</f>
        <v>193595272.310863</v>
      </c>
      <c r="V896" s="9" t="n">
        <f aca="false">IF(T896&gt;0,U896/T896,IF(I896="Opening",0,V895))</f>
        <v>34276.7833411586</v>
      </c>
      <c r="W896" s="14" t="n">
        <f aca="false">M896</f>
        <v>417.9</v>
      </c>
      <c r="X896" s="9" t="n">
        <f aca="false">IF(W896=0,0,IF(O896="Booked",N896,W896*AA895))</f>
        <v>14324267.7582702</v>
      </c>
      <c r="Y896" s="14" t="n">
        <f aca="false">IF(I896="Opening",K896,Y895+K896-W896)</f>
        <v>5647.99999999999</v>
      </c>
      <c r="Z896" s="9" t="n">
        <f aca="false">IF(I896="Opening",L896,Z895+L896-X896)</f>
        <v>193595272.310863</v>
      </c>
      <c r="AA896" s="9" t="n">
        <f aca="false">IF(Y896&gt;0,Z896/Y896,IF(I896="Opening",0,AA895))</f>
        <v>34276.7833411586</v>
      </c>
      <c r="AB896" s="9" t="n">
        <f aca="false">IF(AND(I896="DO",O896="MA"),S896-N896,0)</f>
        <v>-0.0217298418283463</v>
      </c>
      <c r="AC896" s="9" t="n">
        <f aca="false">IF(I896="DO",X896-S896,0)</f>
        <v>0</v>
      </c>
      <c r="AD896" s="23" t="n">
        <f aca="false">IF(B897&lt;&gt;B896,1,0)</f>
        <v>0</v>
      </c>
      <c r="AE896" s="14" t="n">
        <f aca="false">IF(I896="Opening",0,AE895+W896)</f>
        <v>37975.3</v>
      </c>
      <c r="AF896" s="14" t="n">
        <f aca="false">IF(I896="Opening",K896,AF895)</f>
        <v>6477.78</v>
      </c>
      <c r="AG896" s="14" t="n">
        <f aca="false">AG895</f>
        <v>25917.77</v>
      </c>
      <c r="AH896" s="14" t="n">
        <f aca="false">IF(W896=0,0,MAX(0,MIN(AE896,AF896)-MIN(AE896-W896,AF896)))</f>
        <v>0</v>
      </c>
      <c r="AI896" s="14" t="n">
        <f aca="false">IF(W896=0,0,MAX(0,MIN(AE896,AF896+AG896)-MAX(AE896-W896,AF896)))</f>
        <v>0</v>
      </c>
      <c r="AJ896" s="14" t="n">
        <f aca="false">W896-AH896-AI896</f>
        <v>417.9</v>
      </c>
      <c r="AK896" s="9" t="n">
        <f aca="false">IF(W896=0,0,X896*AH896/W896)</f>
        <v>0</v>
      </c>
      <c r="AL896" s="9" t="n">
        <f aca="false">IF(W896=0,0,X896*AI896/W896)</f>
        <v>0</v>
      </c>
      <c r="AM896" s="9" t="n">
        <f aca="false">X896-AK896-AL896</f>
        <v>14324267.7582702</v>
      </c>
    </row>
    <row r="897" customFormat="false" ht="15" hidden="false" customHeight="false" outlineLevel="0" collapsed="false">
      <c r="A897" s="6" t="n">
        <v>892</v>
      </c>
      <c r="B897" s="74" t="s">
        <v>1020</v>
      </c>
      <c r="C897" s="53" t="str">
        <f aca="false">INDEX(I_Items!$C$5:$C$133,MATCH($B897,I_Items!$A$5:$A$133,0))</f>
        <v>Trading</v>
      </c>
      <c r="D897" s="53" t="str">
        <f aca="false">INDEX(I_Items!$D$5:$D$133,MATCH($B897,I_Items!$A$5:$A$133,0))</f>
        <v>BLP</v>
      </c>
      <c r="E897" s="53" t="str">
        <f aca="false">INDEX(I_Items!$F$5:$F$133,MATCH($B897,I_Items!$A$5:$A$133,0))</f>
        <v>Frozen</v>
      </c>
      <c r="F897" s="53" t="str">
        <f aca="false">IF(INDEX(I_Items!$E$5:$E$133,MATCH($B897,I_Items!$A$5:$A$133,0))="","",INDEX(I_Items!$E$5:$E$133,MATCH($B897,I_Items!$A$5:$A$133,0)))</f>
        <v/>
      </c>
      <c r="G897" s="76" t="n">
        <v>46252</v>
      </c>
      <c r="H897" s="23" t="n">
        <f aca="false">MONTH(G897)</f>
        <v>8</v>
      </c>
      <c r="I897" s="74" t="s">
        <v>2075</v>
      </c>
      <c r="J897" s="74" t="s">
        <v>2291</v>
      </c>
      <c r="K897" s="10" t="n">
        <v>0</v>
      </c>
      <c r="L897" s="8" t="n">
        <v>0</v>
      </c>
      <c r="M897" s="10" t="n">
        <v>1567.8</v>
      </c>
      <c r="N897" s="8" t="n">
        <v>53739141.01</v>
      </c>
      <c r="O897" s="74" t="s">
        <v>2077</v>
      </c>
      <c r="P897" s="74"/>
      <c r="Q897" s="74"/>
      <c r="R897" s="14" t="n">
        <f aca="false">IF(I897="Unbilled",0,M897)</f>
        <v>1567.8</v>
      </c>
      <c r="S897" s="9" t="n">
        <f aca="false">IF(R897=0,0,IF(O897="Booked",N897,R897*V896))</f>
        <v>53739140.9222684</v>
      </c>
      <c r="T897" s="14" t="n">
        <f aca="false">IF(I897="Opening",K897,T896+K897-R897)</f>
        <v>4080.19999999999</v>
      </c>
      <c r="U897" s="9" t="n">
        <f aca="false">IF(I897="Opening",L897,U896+L897-S897)</f>
        <v>139856131.388595</v>
      </c>
      <c r="V897" s="9" t="n">
        <f aca="false">IF(T897&gt;0,U897/T897,IF(I897="Opening",0,V896))</f>
        <v>34276.7833411586</v>
      </c>
      <c r="W897" s="14" t="n">
        <f aca="false">M897</f>
        <v>1567.8</v>
      </c>
      <c r="X897" s="9" t="n">
        <f aca="false">IF(W897=0,0,IF(O897="Booked",N897,W897*AA896))</f>
        <v>53739140.9222684</v>
      </c>
      <c r="Y897" s="14" t="n">
        <f aca="false">IF(I897="Opening",K897,Y896+K897-W897)</f>
        <v>4080.19999999999</v>
      </c>
      <c r="Z897" s="9" t="n">
        <f aca="false">IF(I897="Opening",L897,Z896+L897-X897)</f>
        <v>139856131.388595</v>
      </c>
      <c r="AA897" s="9" t="n">
        <f aca="false">IF(Y897&gt;0,Z897/Y897,IF(I897="Opening",0,AA896))</f>
        <v>34276.7833411586</v>
      </c>
      <c r="AB897" s="9" t="n">
        <f aca="false">IF(AND(I897="DO",O897="MA"),S897-N897,0)</f>
        <v>-0.0877316221594811</v>
      </c>
      <c r="AC897" s="9" t="n">
        <f aca="false">IF(I897="DO",X897-S897,0)</f>
        <v>0</v>
      </c>
      <c r="AD897" s="23" t="n">
        <f aca="false">IF(B898&lt;&gt;B897,1,0)</f>
        <v>0</v>
      </c>
      <c r="AE897" s="14" t="n">
        <f aca="false">IF(I897="Opening",0,AE896+W897)</f>
        <v>39543.1</v>
      </c>
      <c r="AF897" s="14" t="n">
        <f aca="false">IF(I897="Opening",K897,AF896)</f>
        <v>6477.78</v>
      </c>
      <c r="AG897" s="14" t="n">
        <f aca="false">AG896</f>
        <v>25917.77</v>
      </c>
      <c r="AH897" s="14" t="n">
        <f aca="false">IF(W897=0,0,MAX(0,MIN(AE897,AF897)-MIN(AE897-W897,AF897)))</f>
        <v>0</v>
      </c>
      <c r="AI897" s="14" t="n">
        <f aca="false">IF(W897=0,0,MAX(0,MIN(AE897,AF897+AG897)-MAX(AE897-W897,AF897)))</f>
        <v>0</v>
      </c>
      <c r="AJ897" s="14" t="n">
        <f aca="false">W897-AH897-AI897</f>
        <v>1567.8</v>
      </c>
      <c r="AK897" s="9" t="n">
        <f aca="false">IF(W897=0,0,X897*AH897/W897)</f>
        <v>0</v>
      </c>
      <c r="AL897" s="9" t="n">
        <f aca="false">IF(W897=0,0,X897*AI897/W897)</f>
        <v>0</v>
      </c>
      <c r="AM897" s="9" t="n">
        <f aca="false">X897-AK897-AL897</f>
        <v>53739140.9222684</v>
      </c>
    </row>
    <row r="898" customFormat="false" ht="15" hidden="false" customHeight="false" outlineLevel="0" collapsed="false">
      <c r="A898" s="6" t="n">
        <v>893</v>
      </c>
      <c r="B898" s="74" t="s">
        <v>1020</v>
      </c>
      <c r="C898" s="53" t="str">
        <f aca="false">INDEX(I_Items!$C$5:$C$133,MATCH($B898,I_Items!$A$5:$A$133,0))</f>
        <v>Trading</v>
      </c>
      <c r="D898" s="53" t="str">
        <f aca="false">INDEX(I_Items!$D$5:$D$133,MATCH($B898,I_Items!$A$5:$A$133,0))</f>
        <v>BLP</v>
      </c>
      <c r="E898" s="53" t="str">
        <f aca="false">INDEX(I_Items!$F$5:$F$133,MATCH($B898,I_Items!$A$5:$A$133,0))</f>
        <v>Frozen</v>
      </c>
      <c r="F898" s="53" t="str">
        <f aca="false">IF(INDEX(I_Items!$E$5:$E$133,MATCH($B898,I_Items!$A$5:$A$133,0))="","",INDEX(I_Items!$E$5:$E$133,MATCH($B898,I_Items!$A$5:$A$133,0)))</f>
        <v/>
      </c>
      <c r="G898" s="76" t="n">
        <v>46253</v>
      </c>
      <c r="H898" s="23" t="n">
        <f aca="false">MONTH(G898)</f>
        <v>8</v>
      </c>
      <c r="I898" s="74" t="s">
        <v>2075</v>
      </c>
      <c r="J898" s="74" t="s">
        <v>2292</v>
      </c>
      <c r="K898" s="10" t="n">
        <v>0</v>
      </c>
      <c r="L898" s="8" t="n">
        <v>0</v>
      </c>
      <c r="M898" s="10" t="n">
        <v>1865.8</v>
      </c>
      <c r="N898" s="8" t="n">
        <v>63953622.47</v>
      </c>
      <c r="O898" s="74" t="s">
        <v>2077</v>
      </c>
      <c r="P898" s="74"/>
      <c r="Q898" s="74"/>
      <c r="R898" s="14" t="n">
        <f aca="false">IF(I898="Unbilled",0,M898)</f>
        <v>1865.8</v>
      </c>
      <c r="S898" s="9" t="n">
        <f aca="false">IF(R898=0,0,IF(O898="Booked",N898,R898*V897))</f>
        <v>63953622.3579336</v>
      </c>
      <c r="T898" s="14" t="n">
        <f aca="false">IF(I898="Opening",K898,T897+K898-R898)</f>
        <v>2214.39999999999</v>
      </c>
      <c r="U898" s="9" t="n">
        <f aca="false">IF(I898="Opening",L898,U897+L898-S898)</f>
        <v>75902509.0306612</v>
      </c>
      <c r="V898" s="9" t="n">
        <f aca="false">IF(T898&gt;0,U898/T898,IF(I898="Opening",0,V897))</f>
        <v>34276.7833411586</v>
      </c>
      <c r="W898" s="14" t="n">
        <f aca="false">M898</f>
        <v>1865.8</v>
      </c>
      <c r="X898" s="9" t="n">
        <f aca="false">IF(W898=0,0,IF(O898="Booked",N898,W898*AA897))</f>
        <v>63953622.3579336</v>
      </c>
      <c r="Y898" s="14" t="n">
        <f aca="false">IF(I898="Opening",K898,Y897+K898-W898)</f>
        <v>2214.39999999999</v>
      </c>
      <c r="Z898" s="9" t="n">
        <f aca="false">IF(I898="Opening",L898,Z897+L898-X898)</f>
        <v>75902509.0306612</v>
      </c>
      <c r="AA898" s="9" t="n">
        <f aca="false">IF(Y898&gt;0,Z898/Y898,IF(I898="Opening",0,AA897))</f>
        <v>34276.7833411586</v>
      </c>
      <c r="AB898" s="9" t="n">
        <f aca="false">IF(AND(I898="DO",O898="MA"),S898-N898,0)</f>
        <v>-0.112066373229027</v>
      </c>
      <c r="AC898" s="9" t="n">
        <f aca="false">IF(I898="DO",X898-S898,0)</f>
        <v>0</v>
      </c>
      <c r="AD898" s="23" t="n">
        <f aca="false">IF(B899&lt;&gt;B898,1,0)</f>
        <v>0</v>
      </c>
      <c r="AE898" s="14" t="n">
        <f aca="false">IF(I898="Opening",0,AE897+W898)</f>
        <v>41408.9</v>
      </c>
      <c r="AF898" s="14" t="n">
        <f aca="false">IF(I898="Opening",K898,AF897)</f>
        <v>6477.78</v>
      </c>
      <c r="AG898" s="14" t="n">
        <f aca="false">AG897</f>
        <v>25917.77</v>
      </c>
      <c r="AH898" s="14" t="n">
        <f aca="false">IF(W898=0,0,MAX(0,MIN(AE898,AF898)-MIN(AE898-W898,AF898)))</f>
        <v>0</v>
      </c>
      <c r="AI898" s="14" t="n">
        <f aca="false">IF(W898=0,0,MAX(0,MIN(AE898,AF898+AG898)-MAX(AE898-W898,AF898)))</f>
        <v>0</v>
      </c>
      <c r="AJ898" s="14" t="n">
        <f aca="false">W898-AH898-AI898</f>
        <v>1865.8</v>
      </c>
      <c r="AK898" s="9" t="n">
        <f aca="false">IF(W898=0,0,X898*AH898/W898)</f>
        <v>0</v>
      </c>
      <c r="AL898" s="9" t="n">
        <f aca="false">IF(W898=0,0,X898*AI898/W898)</f>
        <v>0</v>
      </c>
      <c r="AM898" s="9" t="n">
        <f aca="false">X898-AK898-AL898</f>
        <v>63953622.3579336</v>
      </c>
    </row>
    <row r="899" customFormat="false" ht="15" hidden="false" customHeight="false" outlineLevel="0" collapsed="false">
      <c r="A899" s="6" t="n">
        <v>894</v>
      </c>
      <c r="B899" s="74" t="s">
        <v>1020</v>
      </c>
      <c r="C899" s="53" t="str">
        <f aca="false">INDEX(I_Items!$C$5:$C$133,MATCH($B899,I_Items!$A$5:$A$133,0))</f>
        <v>Trading</v>
      </c>
      <c r="D899" s="53" t="str">
        <f aca="false">INDEX(I_Items!$D$5:$D$133,MATCH($B899,I_Items!$A$5:$A$133,0))</f>
        <v>BLP</v>
      </c>
      <c r="E899" s="53" t="str">
        <f aca="false">INDEX(I_Items!$F$5:$F$133,MATCH($B899,I_Items!$A$5:$A$133,0))</f>
        <v>Frozen</v>
      </c>
      <c r="F899" s="53" t="str">
        <f aca="false">IF(INDEX(I_Items!$E$5:$E$133,MATCH($B899,I_Items!$A$5:$A$133,0))="","",INDEX(I_Items!$E$5:$E$133,MATCH($B899,I_Items!$A$5:$A$133,0)))</f>
        <v/>
      </c>
      <c r="G899" s="76" t="n">
        <v>46254</v>
      </c>
      <c r="H899" s="23" t="n">
        <f aca="false">MONTH(G899)</f>
        <v>8</v>
      </c>
      <c r="I899" s="74" t="s">
        <v>2074</v>
      </c>
      <c r="J899" s="74" t="s">
        <v>2274</v>
      </c>
      <c r="K899" s="10" t="n">
        <v>6263</v>
      </c>
      <c r="L899" s="8" t="n">
        <v>311075036.79</v>
      </c>
      <c r="M899" s="10" t="n">
        <v>0</v>
      </c>
      <c r="N899" s="8" t="n">
        <v>0</v>
      </c>
      <c r="O899" s="74"/>
      <c r="P899" s="74"/>
      <c r="Q899" s="74"/>
      <c r="R899" s="14" t="n">
        <f aca="false">IF(I899="Unbilled",0,M899)</f>
        <v>0</v>
      </c>
      <c r="S899" s="9" t="n">
        <f aca="false">IF(R899=0,0,IF(O899="Booked",N899,R899*V898))</f>
        <v>0</v>
      </c>
      <c r="T899" s="14" t="n">
        <f aca="false">IF(I899="Opening",K899,T898+K899-R899)</f>
        <v>8477.39999999999</v>
      </c>
      <c r="U899" s="9" t="n">
        <f aca="false">IF(I899="Opening",L899,U898+L899-S899)</f>
        <v>386977545.820661</v>
      </c>
      <c r="V899" s="9" t="n">
        <f aca="false">IF(T899&gt;0,U899/T899,IF(I899="Opening",0,V898))</f>
        <v>45648.1404464413</v>
      </c>
      <c r="W899" s="14" t="n">
        <f aca="false">M899</f>
        <v>0</v>
      </c>
      <c r="X899" s="9" t="n">
        <f aca="false">IF(W899=0,0,IF(O899="Booked",N899,W899*AA898))</f>
        <v>0</v>
      </c>
      <c r="Y899" s="14" t="n">
        <f aca="false">IF(I899="Opening",K899,Y898+K899-W899)</f>
        <v>8477.39999999999</v>
      </c>
      <c r="Z899" s="9" t="n">
        <f aca="false">IF(I899="Opening",L899,Z898+L899-X899)</f>
        <v>386977545.820661</v>
      </c>
      <c r="AA899" s="9" t="n">
        <f aca="false">IF(Y899&gt;0,Z899/Y899,IF(I899="Opening",0,AA898))</f>
        <v>45648.1404464413</v>
      </c>
      <c r="AB899" s="9" t="n">
        <f aca="false">IF(AND(I899="DO",O899="MA"),S899-N899,0)</f>
        <v>0</v>
      </c>
      <c r="AC899" s="9" t="n">
        <f aca="false">IF(I899="DO",X899-S899,0)</f>
        <v>0</v>
      </c>
      <c r="AD899" s="23" t="n">
        <f aca="false">IF(B900&lt;&gt;B899,1,0)</f>
        <v>0</v>
      </c>
      <c r="AE899" s="14" t="n">
        <f aca="false">IF(I899="Opening",0,AE898+W899)</f>
        <v>41408.9</v>
      </c>
      <c r="AF899" s="14" t="n">
        <f aca="false">IF(I899="Opening",K899,AF898)</f>
        <v>6477.78</v>
      </c>
      <c r="AG899" s="14" t="n">
        <f aca="false">AG898</f>
        <v>25917.77</v>
      </c>
      <c r="AH899" s="14" t="n">
        <f aca="false">IF(W899=0,0,MAX(0,MIN(AE899,AF899)-MIN(AE899-W899,AF899)))</f>
        <v>0</v>
      </c>
      <c r="AI899" s="14" t="n">
        <f aca="false">IF(W899=0,0,MAX(0,MIN(AE899,AF899+AG899)-MAX(AE899-W899,AF899)))</f>
        <v>0</v>
      </c>
      <c r="AJ899" s="14" t="n">
        <f aca="false">W899-AH899-AI899</f>
        <v>0</v>
      </c>
      <c r="AK899" s="9" t="n">
        <f aca="false">IF(W899=0,0,X899*AH899/W899)</f>
        <v>0</v>
      </c>
      <c r="AL899" s="9" t="n">
        <f aca="false">IF(W899=0,0,X899*AI899/W899)</f>
        <v>0</v>
      </c>
      <c r="AM899" s="9" t="n">
        <f aca="false">X899-AK899-AL899</f>
        <v>0</v>
      </c>
    </row>
    <row r="900" customFormat="false" ht="15" hidden="false" customHeight="false" outlineLevel="0" collapsed="false">
      <c r="A900" s="6" t="n">
        <v>895</v>
      </c>
      <c r="B900" s="74" t="s">
        <v>1020</v>
      </c>
      <c r="C900" s="53" t="str">
        <f aca="false">INDEX(I_Items!$C$5:$C$133,MATCH($B900,I_Items!$A$5:$A$133,0))</f>
        <v>Trading</v>
      </c>
      <c r="D900" s="53" t="str">
        <f aca="false">INDEX(I_Items!$D$5:$D$133,MATCH($B900,I_Items!$A$5:$A$133,0))</f>
        <v>BLP</v>
      </c>
      <c r="E900" s="53" t="str">
        <f aca="false">INDEX(I_Items!$F$5:$F$133,MATCH($B900,I_Items!$A$5:$A$133,0))</f>
        <v>Frozen</v>
      </c>
      <c r="F900" s="53" t="str">
        <f aca="false">IF(INDEX(I_Items!$E$5:$E$133,MATCH($B900,I_Items!$A$5:$A$133,0))="","",INDEX(I_Items!$E$5:$E$133,MATCH($B900,I_Items!$A$5:$A$133,0)))</f>
        <v/>
      </c>
      <c r="G900" s="76" t="n">
        <v>46254</v>
      </c>
      <c r="H900" s="23" t="n">
        <f aca="false">MONTH(G900)</f>
        <v>8</v>
      </c>
      <c r="I900" s="74" t="s">
        <v>2075</v>
      </c>
      <c r="J900" s="74" t="s">
        <v>2293</v>
      </c>
      <c r="K900" s="10" t="n">
        <v>0</v>
      </c>
      <c r="L900" s="8" t="n">
        <v>0</v>
      </c>
      <c r="M900" s="10" t="n">
        <v>2014.1</v>
      </c>
      <c r="N900" s="8" t="n">
        <v>91939919.78</v>
      </c>
      <c r="O900" s="74" t="s">
        <v>2077</v>
      </c>
      <c r="P900" s="74"/>
      <c r="Q900" s="74"/>
      <c r="R900" s="14" t="n">
        <f aca="false">IF(I900="Unbilled",0,M900)</f>
        <v>2014.1</v>
      </c>
      <c r="S900" s="9" t="n">
        <f aca="false">IF(R900=0,0,IF(O900="Booked",N900,R900*V899))</f>
        <v>91939919.6731775</v>
      </c>
      <c r="T900" s="14" t="n">
        <f aca="false">IF(I900="Opening",K900,T899+K900-R900)</f>
        <v>6463.29999999999</v>
      </c>
      <c r="U900" s="9" t="n">
        <f aca="false">IF(I900="Opening",L900,U899+L900-S900)</f>
        <v>295037626.147484</v>
      </c>
      <c r="V900" s="9" t="n">
        <f aca="false">IF(T900&gt;0,U900/T900,IF(I900="Opening",0,V899))</f>
        <v>45648.1404464413</v>
      </c>
      <c r="W900" s="14" t="n">
        <f aca="false">M900</f>
        <v>2014.1</v>
      </c>
      <c r="X900" s="9" t="n">
        <f aca="false">IF(W900=0,0,IF(O900="Booked",N900,W900*AA899))</f>
        <v>91939919.6731775</v>
      </c>
      <c r="Y900" s="14" t="n">
        <f aca="false">IF(I900="Opening",K900,Y899+K900-W900)</f>
        <v>6463.29999999999</v>
      </c>
      <c r="Z900" s="9" t="n">
        <f aca="false">IF(I900="Opening",L900,Z899+L900-X900)</f>
        <v>295037626.147484</v>
      </c>
      <c r="AA900" s="9" t="n">
        <f aca="false">IF(Y900&gt;0,Z900/Y900,IF(I900="Opening",0,AA899))</f>
        <v>45648.1404464413</v>
      </c>
      <c r="AB900" s="9" t="n">
        <f aca="false">IF(AND(I900="DO",O900="MA"),S900-N900,0)</f>
        <v>-0.106822550296783</v>
      </c>
      <c r="AC900" s="9" t="n">
        <f aca="false">IF(I900="DO",X900-S900,0)</f>
        <v>0</v>
      </c>
      <c r="AD900" s="23" t="n">
        <f aca="false">IF(B901&lt;&gt;B900,1,0)</f>
        <v>0</v>
      </c>
      <c r="AE900" s="14" t="n">
        <f aca="false">IF(I900="Opening",0,AE899+W900)</f>
        <v>43423</v>
      </c>
      <c r="AF900" s="14" t="n">
        <f aca="false">IF(I900="Opening",K900,AF899)</f>
        <v>6477.78</v>
      </c>
      <c r="AG900" s="14" t="n">
        <f aca="false">AG899</f>
        <v>25917.77</v>
      </c>
      <c r="AH900" s="14" t="n">
        <f aca="false">IF(W900=0,0,MAX(0,MIN(AE900,AF900)-MIN(AE900-W900,AF900)))</f>
        <v>0</v>
      </c>
      <c r="AI900" s="14" t="n">
        <f aca="false">IF(W900=0,0,MAX(0,MIN(AE900,AF900+AG900)-MAX(AE900-W900,AF900)))</f>
        <v>0</v>
      </c>
      <c r="AJ900" s="14" t="n">
        <f aca="false">W900-AH900-AI900</f>
        <v>2014.1</v>
      </c>
      <c r="AK900" s="9" t="n">
        <f aca="false">IF(W900=0,0,X900*AH900/W900)</f>
        <v>0</v>
      </c>
      <c r="AL900" s="9" t="n">
        <f aca="false">IF(W900=0,0,X900*AI900/W900)</f>
        <v>0</v>
      </c>
      <c r="AM900" s="9" t="n">
        <f aca="false">X900-AK900-AL900</f>
        <v>91939919.6731775</v>
      </c>
    </row>
    <row r="901" customFormat="false" ht="15" hidden="false" customHeight="false" outlineLevel="0" collapsed="false">
      <c r="A901" s="6" t="n">
        <v>896</v>
      </c>
      <c r="B901" s="74" t="s">
        <v>1020</v>
      </c>
      <c r="C901" s="53" t="str">
        <f aca="false">INDEX(I_Items!$C$5:$C$133,MATCH($B901,I_Items!$A$5:$A$133,0))</f>
        <v>Trading</v>
      </c>
      <c r="D901" s="53" t="str">
        <f aca="false">INDEX(I_Items!$D$5:$D$133,MATCH($B901,I_Items!$A$5:$A$133,0))</f>
        <v>BLP</v>
      </c>
      <c r="E901" s="53" t="str">
        <f aca="false">INDEX(I_Items!$F$5:$F$133,MATCH($B901,I_Items!$A$5:$A$133,0))</f>
        <v>Frozen</v>
      </c>
      <c r="F901" s="53" t="str">
        <f aca="false">IF(INDEX(I_Items!$E$5:$E$133,MATCH($B901,I_Items!$A$5:$A$133,0))="","",INDEX(I_Items!$E$5:$E$133,MATCH($B901,I_Items!$A$5:$A$133,0)))</f>
        <v/>
      </c>
      <c r="G901" s="76" t="n">
        <v>46255</v>
      </c>
      <c r="H901" s="23" t="n">
        <f aca="false">MONTH(G901)</f>
        <v>8</v>
      </c>
      <c r="I901" s="74" t="s">
        <v>2075</v>
      </c>
      <c r="J901" s="74" t="s">
        <v>2275</v>
      </c>
      <c r="K901" s="10" t="n">
        <v>0</v>
      </c>
      <c r="L901" s="8" t="n">
        <v>0</v>
      </c>
      <c r="M901" s="10" t="n">
        <v>303.8</v>
      </c>
      <c r="N901" s="8" t="n">
        <v>13867905.08</v>
      </c>
      <c r="O901" s="74" t="s">
        <v>2077</v>
      </c>
      <c r="P901" s="74"/>
      <c r="Q901" s="74"/>
      <c r="R901" s="14" t="n">
        <f aca="false">IF(I901="Unbilled",0,M901)</f>
        <v>303.8</v>
      </c>
      <c r="S901" s="9" t="n">
        <f aca="false">IF(R901=0,0,IF(O901="Booked",N901,R901*V900))</f>
        <v>13867905.0676289</v>
      </c>
      <c r="T901" s="14" t="n">
        <f aca="false">IF(I901="Opening",K901,T900+K901-R901)</f>
        <v>6159.49999999999</v>
      </c>
      <c r="U901" s="9" t="n">
        <f aca="false">IF(I901="Opening",L901,U900+L901-S901)</f>
        <v>281169721.079855</v>
      </c>
      <c r="V901" s="9" t="n">
        <f aca="false">IF(T901&gt;0,U901/T901,IF(I901="Opening",0,V900))</f>
        <v>45648.1404464413</v>
      </c>
      <c r="W901" s="14" t="n">
        <f aca="false">M901</f>
        <v>303.8</v>
      </c>
      <c r="X901" s="9" t="n">
        <f aca="false">IF(W901=0,0,IF(O901="Booked",N901,W901*AA900))</f>
        <v>13867905.0676289</v>
      </c>
      <c r="Y901" s="14" t="n">
        <f aca="false">IF(I901="Opening",K901,Y900+K901-W901)</f>
        <v>6159.49999999999</v>
      </c>
      <c r="Z901" s="9" t="n">
        <f aca="false">IF(I901="Opening",L901,Z900+L901-X901)</f>
        <v>281169721.079855</v>
      </c>
      <c r="AA901" s="9" t="n">
        <f aca="false">IF(Y901&gt;0,Z901/Y901,IF(I901="Opening",0,AA900))</f>
        <v>45648.1404464413</v>
      </c>
      <c r="AB901" s="9" t="n">
        <f aca="false">IF(AND(I901="DO",O901="MA"),S901-N901,0)</f>
        <v>-0.0123711265623569</v>
      </c>
      <c r="AC901" s="9" t="n">
        <f aca="false">IF(I901="DO",X901-S901,0)</f>
        <v>0</v>
      </c>
      <c r="AD901" s="23" t="n">
        <f aca="false">IF(B902&lt;&gt;B901,1,0)</f>
        <v>0</v>
      </c>
      <c r="AE901" s="14" t="n">
        <f aca="false">IF(I901="Opening",0,AE900+W901)</f>
        <v>43726.8</v>
      </c>
      <c r="AF901" s="14" t="n">
        <f aca="false">IF(I901="Opening",K901,AF900)</f>
        <v>6477.78</v>
      </c>
      <c r="AG901" s="14" t="n">
        <f aca="false">AG900</f>
        <v>25917.77</v>
      </c>
      <c r="AH901" s="14" t="n">
        <f aca="false">IF(W901=0,0,MAX(0,MIN(AE901,AF901)-MIN(AE901-W901,AF901)))</f>
        <v>0</v>
      </c>
      <c r="AI901" s="14" t="n">
        <f aca="false">IF(W901=0,0,MAX(0,MIN(AE901,AF901+AG901)-MAX(AE901-W901,AF901)))</f>
        <v>0</v>
      </c>
      <c r="AJ901" s="14" t="n">
        <f aca="false">W901-AH901-AI901</f>
        <v>303.8</v>
      </c>
      <c r="AK901" s="9" t="n">
        <f aca="false">IF(W901=0,0,X901*AH901/W901)</f>
        <v>0</v>
      </c>
      <c r="AL901" s="9" t="n">
        <f aca="false">IF(W901=0,0,X901*AI901/W901)</f>
        <v>0</v>
      </c>
      <c r="AM901" s="9" t="n">
        <f aca="false">X901-AK901-AL901</f>
        <v>13867905.0676289</v>
      </c>
    </row>
    <row r="902" customFormat="false" ht="15" hidden="false" customHeight="false" outlineLevel="0" collapsed="false">
      <c r="A902" s="6" t="n">
        <v>897</v>
      </c>
      <c r="B902" s="74" t="s">
        <v>1020</v>
      </c>
      <c r="C902" s="53" t="str">
        <f aca="false">INDEX(I_Items!$C$5:$C$133,MATCH($B902,I_Items!$A$5:$A$133,0))</f>
        <v>Trading</v>
      </c>
      <c r="D902" s="53" t="str">
        <f aca="false">INDEX(I_Items!$D$5:$D$133,MATCH($B902,I_Items!$A$5:$A$133,0))</f>
        <v>BLP</v>
      </c>
      <c r="E902" s="53" t="str">
        <f aca="false">INDEX(I_Items!$F$5:$F$133,MATCH($B902,I_Items!$A$5:$A$133,0))</f>
        <v>Frozen</v>
      </c>
      <c r="F902" s="53" t="str">
        <f aca="false">IF(INDEX(I_Items!$E$5:$E$133,MATCH($B902,I_Items!$A$5:$A$133,0))="","",INDEX(I_Items!$E$5:$E$133,MATCH($B902,I_Items!$A$5:$A$133,0)))</f>
        <v/>
      </c>
      <c r="G902" s="76" t="n">
        <v>46255</v>
      </c>
      <c r="H902" s="23" t="n">
        <f aca="false">MONTH(G902)</f>
        <v>8</v>
      </c>
      <c r="I902" s="74" t="s">
        <v>2075</v>
      </c>
      <c r="J902" s="74" t="s">
        <v>2275</v>
      </c>
      <c r="K902" s="10" t="n">
        <v>0</v>
      </c>
      <c r="L902" s="8" t="n">
        <v>0</v>
      </c>
      <c r="M902" s="10" t="n">
        <v>20.2</v>
      </c>
      <c r="N902" s="8" t="n">
        <v>922092.44</v>
      </c>
      <c r="O902" s="74" t="s">
        <v>2077</v>
      </c>
      <c r="P902" s="74"/>
      <c r="Q902" s="74"/>
      <c r="R902" s="14" t="n">
        <f aca="false">IF(I902="Unbilled",0,M902)</f>
        <v>20.2</v>
      </c>
      <c r="S902" s="9" t="n">
        <f aca="false">IF(R902=0,0,IF(O902="Booked",N902,R902*V901))</f>
        <v>922092.437018115</v>
      </c>
      <c r="T902" s="14" t="n">
        <f aca="false">IF(I902="Opening",K902,T901+K902-R902)</f>
        <v>6139.29999999999</v>
      </c>
      <c r="U902" s="9" t="n">
        <f aca="false">IF(I902="Opening",L902,U901+L902-S902)</f>
        <v>280247628.642837</v>
      </c>
      <c r="V902" s="9" t="n">
        <f aca="false">IF(T902&gt;0,U902/T902,IF(I902="Opening",0,V901))</f>
        <v>45648.1404464413</v>
      </c>
      <c r="W902" s="14" t="n">
        <f aca="false">M902</f>
        <v>20.2</v>
      </c>
      <c r="X902" s="9" t="n">
        <f aca="false">IF(W902=0,0,IF(O902="Booked",N902,W902*AA901))</f>
        <v>922092.437018115</v>
      </c>
      <c r="Y902" s="14" t="n">
        <f aca="false">IF(I902="Opening",K902,Y901+K902-W902)</f>
        <v>6139.29999999999</v>
      </c>
      <c r="Z902" s="9" t="n">
        <f aca="false">IF(I902="Opening",L902,Z901+L902-X902)</f>
        <v>280247628.642837</v>
      </c>
      <c r="AA902" s="9" t="n">
        <f aca="false">IF(Y902&gt;0,Z902/Y902,IF(I902="Opening",0,AA901))</f>
        <v>45648.1404464413</v>
      </c>
      <c r="AB902" s="9" t="n">
        <f aca="false">IF(AND(I902="DO",O902="MA"),S902-N902,0)</f>
        <v>-0.00298188510350883</v>
      </c>
      <c r="AC902" s="9" t="n">
        <f aca="false">IF(I902="DO",X902-S902,0)</f>
        <v>0</v>
      </c>
      <c r="AD902" s="23" t="n">
        <f aca="false">IF(B903&lt;&gt;B902,1,0)</f>
        <v>0</v>
      </c>
      <c r="AE902" s="14" t="n">
        <f aca="false">IF(I902="Opening",0,AE901+W902)</f>
        <v>43747</v>
      </c>
      <c r="AF902" s="14" t="n">
        <f aca="false">IF(I902="Opening",K902,AF901)</f>
        <v>6477.78</v>
      </c>
      <c r="AG902" s="14" t="n">
        <f aca="false">AG901</f>
        <v>25917.77</v>
      </c>
      <c r="AH902" s="14" t="n">
        <f aca="false">IF(W902=0,0,MAX(0,MIN(AE902,AF902)-MIN(AE902-W902,AF902)))</f>
        <v>0</v>
      </c>
      <c r="AI902" s="14" t="n">
        <f aca="false">IF(W902=0,0,MAX(0,MIN(AE902,AF902+AG902)-MAX(AE902-W902,AF902)))</f>
        <v>0</v>
      </c>
      <c r="AJ902" s="14" t="n">
        <f aca="false">W902-AH902-AI902</f>
        <v>20.2</v>
      </c>
      <c r="AK902" s="9" t="n">
        <f aca="false">IF(W902=0,0,X902*AH902/W902)</f>
        <v>0</v>
      </c>
      <c r="AL902" s="9" t="n">
        <f aca="false">IF(W902=0,0,X902*AI902/W902)</f>
        <v>0</v>
      </c>
      <c r="AM902" s="9" t="n">
        <f aca="false">X902-AK902-AL902</f>
        <v>922092.437018115</v>
      </c>
    </row>
    <row r="903" customFormat="false" ht="15" hidden="false" customHeight="false" outlineLevel="0" collapsed="false">
      <c r="A903" s="6" t="n">
        <v>898</v>
      </c>
      <c r="B903" s="74" t="s">
        <v>1020</v>
      </c>
      <c r="C903" s="53" t="str">
        <f aca="false">INDEX(I_Items!$C$5:$C$133,MATCH($B903,I_Items!$A$5:$A$133,0))</f>
        <v>Trading</v>
      </c>
      <c r="D903" s="53" t="str">
        <f aca="false">INDEX(I_Items!$D$5:$D$133,MATCH($B903,I_Items!$A$5:$A$133,0))</f>
        <v>BLP</v>
      </c>
      <c r="E903" s="53" t="str">
        <f aca="false">INDEX(I_Items!$F$5:$F$133,MATCH($B903,I_Items!$A$5:$A$133,0))</f>
        <v>Frozen</v>
      </c>
      <c r="F903" s="53" t="str">
        <f aca="false">IF(INDEX(I_Items!$E$5:$E$133,MATCH($B903,I_Items!$A$5:$A$133,0))="","",INDEX(I_Items!$E$5:$E$133,MATCH($B903,I_Items!$A$5:$A$133,0)))</f>
        <v/>
      </c>
      <c r="G903" s="76" t="n">
        <v>46258</v>
      </c>
      <c r="H903" s="23" t="n">
        <f aca="false">MONTH(G903)</f>
        <v>8</v>
      </c>
      <c r="I903" s="74" t="s">
        <v>2074</v>
      </c>
      <c r="J903" s="74" t="s">
        <v>2196</v>
      </c>
      <c r="K903" s="10" t="n">
        <v>4001.7</v>
      </c>
      <c r="L903" s="8" t="n">
        <v>198393067.63</v>
      </c>
      <c r="M903" s="10" t="n">
        <v>0</v>
      </c>
      <c r="N903" s="8" t="n">
        <v>0</v>
      </c>
      <c r="O903" s="74"/>
      <c r="P903" s="74"/>
      <c r="Q903" s="74"/>
      <c r="R903" s="14" t="n">
        <f aca="false">IF(I903="Unbilled",0,M903)</f>
        <v>0</v>
      </c>
      <c r="S903" s="9" t="n">
        <f aca="false">IF(R903=0,0,IF(O903="Booked",N903,R903*V902))</f>
        <v>0</v>
      </c>
      <c r="T903" s="14" t="n">
        <f aca="false">IF(I903="Opening",K903,T902+K903-R903)</f>
        <v>10141</v>
      </c>
      <c r="U903" s="9" t="n">
        <f aca="false">IF(I903="Opening",L903,U902+L903-S903)</f>
        <v>478640696.272837</v>
      </c>
      <c r="V903" s="9" t="n">
        <f aca="false">IF(T903&gt;0,U903/T903,IF(I903="Opening",0,V902))</f>
        <v>47198.5697931996</v>
      </c>
      <c r="W903" s="14" t="n">
        <f aca="false">M903</f>
        <v>0</v>
      </c>
      <c r="X903" s="9" t="n">
        <f aca="false">IF(W903=0,0,IF(O903="Booked",N903,W903*AA902))</f>
        <v>0</v>
      </c>
      <c r="Y903" s="14" t="n">
        <f aca="false">IF(I903="Opening",K903,Y902+K903-W903)</f>
        <v>10141</v>
      </c>
      <c r="Z903" s="9" t="n">
        <f aca="false">IF(I903="Opening",L903,Z902+L903-X903)</f>
        <v>478640696.272837</v>
      </c>
      <c r="AA903" s="9" t="n">
        <f aca="false">IF(Y903&gt;0,Z903/Y903,IF(I903="Opening",0,AA902))</f>
        <v>47198.5697931996</v>
      </c>
      <c r="AB903" s="9" t="n">
        <f aca="false">IF(AND(I903="DO",O903="MA"),S903-N903,0)</f>
        <v>0</v>
      </c>
      <c r="AC903" s="9" t="n">
        <f aca="false">IF(I903="DO",X903-S903,0)</f>
        <v>0</v>
      </c>
      <c r="AD903" s="23" t="n">
        <f aca="false">IF(B904&lt;&gt;B903,1,0)</f>
        <v>0</v>
      </c>
      <c r="AE903" s="14" t="n">
        <f aca="false">IF(I903="Opening",0,AE902+W903)</f>
        <v>43747</v>
      </c>
      <c r="AF903" s="14" t="n">
        <f aca="false">IF(I903="Opening",K903,AF902)</f>
        <v>6477.78</v>
      </c>
      <c r="AG903" s="14" t="n">
        <f aca="false">AG902</f>
        <v>25917.77</v>
      </c>
      <c r="AH903" s="14" t="n">
        <f aca="false">IF(W903=0,0,MAX(0,MIN(AE903,AF903)-MIN(AE903-W903,AF903)))</f>
        <v>0</v>
      </c>
      <c r="AI903" s="14" t="n">
        <f aca="false">IF(W903=0,0,MAX(0,MIN(AE903,AF903+AG903)-MAX(AE903-W903,AF903)))</f>
        <v>0</v>
      </c>
      <c r="AJ903" s="14" t="n">
        <f aca="false">W903-AH903-AI903</f>
        <v>0</v>
      </c>
      <c r="AK903" s="9" t="n">
        <f aca="false">IF(W903=0,0,X903*AH903/W903)</f>
        <v>0</v>
      </c>
      <c r="AL903" s="9" t="n">
        <f aca="false">IF(W903=0,0,X903*AI903/W903)</f>
        <v>0</v>
      </c>
      <c r="AM903" s="9" t="n">
        <f aca="false">X903-AK903-AL903</f>
        <v>0</v>
      </c>
    </row>
    <row r="904" customFormat="false" ht="15" hidden="false" customHeight="false" outlineLevel="0" collapsed="false">
      <c r="A904" s="6" t="n">
        <v>899</v>
      </c>
      <c r="B904" s="74" t="s">
        <v>1020</v>
      </c>
      <c r="C904" s="53" t="str">
        <f aca="false">INDEX(I_Items!$C$5:$C$133,MATCH($B904,I_Items!$A$5:$A$133,0))</f>
        <v>Trading</v>
      </c>
      <c r="D904" s="53" t="str">
        <f aca="false">INDEX(I_Items!$D$5:$D$133,MATCH($B904,I_Items!$A$5:$A$133,0))</f>
        <v>BLP</v>
      </c>
      <c r="E904" s="53" t="str">
        <f aca="false">INDEX(I_Items!$F$5:$F$133,MATCH($B904,I_Items!$A$5:$A$133,0))</f>
        <v>Frozen</v>
      </c>
      <c r="F904" s="53" t="str">
        <f aca="false">IF(INDEX(I_Items!$E$5:$E$133,MATCH($B904,I_Items!$A$5:$A$133,0))="","",INDEX(I_Items!$E$5:$E$133,MATCH($B904,I_Items!$A$5:$A$133,0)))</f>
        <v/>
      </c>
      <c r="G904" s="76" t="n">
        <v>46261</v>
      </c>
      <c r="H904" s="23" t="n">
        <f aca="false">MONTH(G904)</f>
        <v>8</v>
      </c>
      <c r="I904" s="74" t="s">
        <v>2075</v>
      </c>
      <c r="J904" s="74" t="s">
        <v>2174</v>
      </c>
      <c r="K904" s="10" t="n">
        <v>0</v>
      </c>
      <c r="L904" s="8" t="n">
        <v>0</v>
      </c>
      <c r="M904" s="10" t="n">
        <v>203.4</v>
      </c>
      <c r="N904" s="8" t="n">
        <v>9600189.1</v>
      </c>
      <c r="O904" s="74" t="s">
        <v>2077</v>
      </c>
      <c r="P904" s="74"/>
      <c r="Q904" s="74"/>
      <c r="R904" s="14" t="n">
        <f aca="false">IF(I904="Unbilled",0,M904)</f>
        <v>203.4</v>
      </c>
      <c r="S904" s="9" t="n">
        <f aca="false">IF(R904=0,0,IF(O904="Booked",N904,R904*V903))</f>
        <v>9600189.0959368</v>
      </c>
      <c r="T904" s="14" t="n">
        <f aca="false">IF(I904="Opening",K904,T903+K904-R904)</f>
        <v>9937.59999999999</v>
      </c>
      <c r="U904" s="9" t="n">
        <f aca="false">IF(I904="Opening",L904,U903+L904-S904)</f>
        <v>469040507.1769</v>
      </c>
      <c r="V904" s="9" t="n">
        <f aca="false">IF(T904&gt;0,U904/T904,IF(I904="Opening",0,V903))</f>
        <v>47198.5697931996</v>
      </c>
      <c r="W904" s="14" t="n">
        <f aca="false">M904</f>
        <v>203.4</v>
      </c>
      <c r="X904" s="9" t="n">
        <f aca="false">IF(W904=0,0,IF(O904="Booked",N904,W904*AA903))</f>
        <v>9600189.0959368</v>
      </c>
      <c r="Y904" s="14" t="n">
        <f aca="false">IF(I904="Opening",K904,Y903+K904-W904)</f>
        <v>9937.59999999999</v>
      </c>
      <c r="Z904" s="9" t="n">
        <f aca="false">IF(I904="Opening",L904,Z903+L904-X904)</f>
        <v>469040507.1769</v>
      </c>
      <c r="AA904" s="9" t="n">
        <f aca="false">IF(Y904&gt;0,Z904/Y904,IF(I904="Opening",0,AA903))</f>
        <v>47198.5697931996</v>
      </c>
      <c r="AB904" s="9" t="n">
        <f aca="false">IF(AND(I904="DO",O904="MA"),S904-N904,0)</f>
        <v>-0.0040632002055645</v>
      </c>
      <c r="AC904" s="9" t="n">
        <f aca="false">IF(I904="DO",X904-S904,0)</f>
        <v>0</v>
      </c>
      <c r="AD904" s="23" t="n">
        <f aca="false">IF(B905&lt;&gt;B904,1,0)</f>
        <v>0</v>
      </c>
      <c r="AE904" s="14" t="n">
        <f aca="false">IF(I904="Opening",0,AE903+W904)</f>
        <v>43950.4</v>
      </c>
      <c r="AF904" s="14" t="n">
        <f aca="false">IF(I904="Opening",K904,AF903)</f>
        <v>6477.78</v>
      </c>
      <c r="AG904" s="14" t="n">
        <f aca="false">AG903</f>
        <v>25917.77</v>
      </c>
      <c r="AH904" s="14" t="n">
        <f aca="false">IF(W904=0,0,MAX(0,MIN(AE904,AF904)-MIN(AE904-W904,AF904)))</f>
        <v>0</v>
      </c>
      <c r="AI904" s="14" t="n">
        <f aca="false">IF(W904=0,0,MAX(0,MIN(AE904,AF904+AG904)-MAX(AE904-W904,AF904)))</f>
        <v>0</v>
      </c>
      <c r="AJ904" s="14" t="n">
        <f aca="false">W904-AH904-AI904</f>
        <v>203.4</v>
      </c>
      <c r="AK904" s="9" t="n">
        <f aca="false">IF(W904=0,0,X904*AH904/W904)</f>
        <v>0</v>
      </c>
      <c r="AL904" s="9" t="n">
        <f aca="false">IF(W904=0,0,X904*AI904/W904)</f>
        <v>0</v>
      </c>
      <c r="AM904" s="9" t="n">
        <f aca="false">X904-AK904-AL904</f>
        <v>9600189.0959368</v>
      </c>
    </row>
    <row r="905" customFormat="false" ht="15" hidden="false" customHeight="false" outlineLevel="0" collapsed="false">
      <c r="A905" s="6" t="n">
        <v>900</v>
      </c>
      <c r="B905" s="74" t="s">
        <v>1020</v>
      </c>
      <c r="C905" s="53" t="str">
        <f aca="false">INDEX(I_Items!$C$5:$C$133,MATCH($B905,I_Items!$A$5:$A$133,0))</f>
        <v>Trading</v>
      </c>
      <c r="D905" s="53" t="str">
        <f aca="false">INDEX(I_Items!$D$5:$D$133,MATCH($B905,I_Items!$A$5:$A$133,0))</f>
        <v>BLP</v>
      </c>
      <c r="E905" s="53" t="str">
        <f aca="false">INDEX(I_Items!$F$5:$F$133,MATCH($B905,I_Items!$A$5:$A$133,0))</f>
        <v>Frozen</v>
      </c>
      <c r="F905" s="53" t="str">
        <f aca="false">IF(INDEX(I_Items!$E$5:$E$133,MATCH($B905,I_Items!$A$5:$A$133,0))="","",INDEX(I_Items!$E$5:$E$133,MATCH($B905,I_Items!$A$5:$A$133,0)))</f>
        <v/>
      </c>
      <c r="G905" s="76" t="n">
        <v>46263</v>
      </c>
      <c r="H905" s="23" t="n">
        <f aca="false">MONTH(G905)</f>
        <v>8</v>
      </c>
      <c r="I905" s="74" t="s">
        <v>2075</v>
      </c>
      <c r="J905" s="74" t="s">
        <v>2294</v>
      </c>
      <c r="K905" s="10" t="n">
        <v>0</v>
      </c>
      <c r="L905" s="8" t="n">
        <v>0</v>
      </c>
      <c r="M905" s="10" t="n">
        <v>3005.8</v>
      </c>
      <c r="N905" s="8" t="n">
        <v>141869461.1</v>
      </c>
      <c r="O905" s="74" t="s">
        <v>2077</v>
      </c>
      <c r="P905" s="74"/>
      <c r="Q905" s="74"/>
      <c r="R905" s="14" t="n">
        <f aca="false">IF(I905="Unbilled",0,M905)</f>
        <v>3005.8</v>
      </c>
      <c r="S905" s="9" t="n">
        <f aca="false">IF(R905=0,0,IF(O905="Booked",N905,R905*V904))</f>
        <v>141869461.084399</v>
      </c>
      <c r="T905" s="14" t="n">
        <f aca="false">IF(I905="Opening",K905,T904+K905-R905)</f>
        <v>6931.79999999999</v>
      </c>
      <c r="U905" s="9" t="n">
        <f aca="false">IF(I905="Opening",L905,U904+L905-S905)</f>
        <v>327171046.092501</v>
      </c>
      <c r="V905" s="9" t="n">
        <f aca="false">IF(T905&gt;0,U905/T905,IF(I905="Opening",0,V904))</f>
        <v>47198.5697931996</v>
      </c>
      <c r="W905" s="14" t="n">
        <f aca="false">M905</f>
        <v>3005.8</v>
      </c>
      <c r="X905" s="9" t="n">
        <f aca="false">IF(W905=0,0,IF(O905="Booked",N905,W905*AA904))</f>
        <v>141869461.084399</v>
      </c>
      <c r="Y905" s="14" t="n">
        <f aca="false">IF(I905="Opening",K905,Y904+K905-W905)</f>
        <v>6931.79999999999</v>
      </c>
      <c r="Z905" s="9" t="n">
        <f aca="false">IF(I905="Opening",L905,Z904+L905-X905)</f>
        <v>327171046.092501</v>
      </c>
      <c r="AA905" s="9" t="n">
        <f aca="false">IF(Y905&gt;0,Z905/Y905,IF(I905="Opening",0,AA904))</f>
        <v>47198.5697931996</v>
      </c>
      <c r="AB905" s="9" t="n">
        <f aca="false">IF(AND(I905="DO",O905="MA"),S905-N905,0)</f>
        <v>-0.0156006217002869</v>
      </c>
      <c r="AC905" s="9" t="n">
        <f aca="false">IF(I905="DO",X905-S905,0)</f>
        <v>0</v>
      </c>
      <c r="AD905" s="23" t="n">
        <f aca="false">IF(B906&lt;&gt;B905,1,0)</f>
        <v>0</v>
      </c>
      <c r="AE905" s="14" t="n">
        <f aca="false">IF(I905="Opening",0,AE904+W905)</f>
        <v>46956.2</v>
      </c>
      <c r="AF905" s="14" t="n">
        <f aca="false">IF(I905="Opening",K905,AF904)</f>
        <v>6477.78</v>
      </c>
      <c r="AG905" s="14" t="n">
        <f aca="false">AG904</f>
        <v>25917.77</v>
      </c>
      <c r="AH905" s="14" t="n">
        <f aca="false">IF(W905=0,0,MAX(0,MIN(AE905,AF905)-MIN(AE905-W905,AF905)))</f>
        <v>0</v>
      </c>
      <c r="AI905" s="14" t="n">
        <f aca="false">IF(W905=0,0,MAX(0,MIN(AE905,AF905+AG905)-MAX(AE905-W905,AF905)))</f>
        <v>0</v>
      </c>
      <c r="AJ905" s="14" t="n">
        <f aca="false">W905-AH905-AI905</f>
        <v>3005.8</v>
      </c>
      <c r="AK905" s="9" t="n">
        <f aca="false">IF(W905=0,0,X905*AH905/W905)</f>
        <v>0</v>
      </c>
      <c r="AL905" s="9" t="n">
        <f aca="false">IF(W905=0,0,X905*AI905/W905)</f>
        <v>0</v>
      </c>
      <c r="AM905" s="9" t="n">
        <f aca="false">X905-AK905-AL905</f>
        <v>141869461.084399</v>
      </c>
    </row>
    <row r="906" customFormat="false" ht="15" hidden="false" customHeight="false" outlineLevel="0" collapsed="false">
      <c r="A906" s="6" t="n">
        <v>901</v>
      </c>
      <c r="B906" s="74" t="s">
        <v>1020</v>
      </c>
      <c r="C906" s="53" t="str">
        <f aca="false">INDEX(I_Items!$C$5:$C$133,MATCH($B906,I_Items!$A$5:$A$133,0))</f>
        <v>Trading</v>
      </c>
      <c r="D906" s="53" t="str">
        <f aca="false">INDEX(I_Items!$D$5:$D$133,MATCH($B906,I_Items!$A$5:$A$133,0))</f>
        <v>BLP</v>
      </c>
      <c r="E906" s="53" t="str">
        <f aca="false">INDEX(I_Items!$F$5:$F$133,MATCH($B906,I_Items!$A$5:$A$133,0))</f>
        <v>Frozen</v>
      </c>
      <c r="F906" s="53" t="str">
        <f aca="false">IF(INDEX(I_Items!$E$5:$E$133,MATCH($B906,I_Items!$A$5:$A$133,0))="","",INDEX(I_Items!$E$5:$E$133,MATCH($B906,I_Items!$A$5:$A$133,0)))</f>
        <v/>
      </c>
      <c r="G906" s="76" t="n">
        <v>46263</v>
      </c>
      <c r="H906" s="23" t="n">
        <f aca="false">MONTH(G906)</f>
        <v>8</v>
      </c>
      <c r="I906" s="74" t="s">
        <v>2075</v>
      </c>
      <c r="J906" s="74" t="s">
        <v>2295</v>
      </c>
      <c r="K906" s="10" t="n">
        <v>0</v>
      </c>
      <c r="L906" s="8" t="n">
        <v>0</v>
      </c>
      <c r="M906" s="10" t="n">
        <v>20</v>
      </c>
      <c r="N906" s="8" t="n">
        <v>943971.4</v>
      </c>
      <c r="O906" s="74" t="s">
        <v>2077</v>
      </c>
      <c r="P906" s="74"/>
      <c r="Q906" s="74"/>
      <c r="R906" s="14" t="n">
        <f aca="false">IF(I906="Unbilled",0,M906)</f>
        <v>20</v>
      </c>
      <c r="S906" s="9" t="n">
        <f aca="false">IF(R906=0,0,IF(O906="Booked",N906,R906*V905))</f>
        <v>943971.395863992</v>
      </c>
      <c r="T906" s="14" t="n">
        <f aca="false">IF(I906="Opening",K906,T905+K906-R906)</f>
        <v>6911.79999999999</v>
      </c>
      <c r="U906" s="9" t="n">
        <f aca="false">IF(I906="Opening",L906,U905+L906-S906)</f>
        <v>326227074.696637</v>
      </c>
      <c r="V906" s="9" t="n">
        <f aca="false">IF(T906&gt;0,U906/T906,IF(I906="Opening",0,V905))</f>
        <v>47198.5697931996</v>
      </c>
      <c r="W906" s="14" t="n">
        <f aca="false">M906</f>
        <v>20</v>
      </c>
      <c r="X906" s="9" t="n">
        <f aca="false">IF(W906=0,0,IF(O906="Booked",N906,W906*AA905))</f>
        <v>943971.395863992</v>
      </c>
      <c r="Y906" s="14" t="n">
        <f aca="false">IF(I906="Opening",K906,Y905+K906-W906)</f>
        <v>6911.79999999999</v>
      </c>
      <c r="Z906" s="9" t="n">
        <f aca="false">IF(I906="Opening",L906,Z905+L906-X906)</f>
        <v>326227074.696637</v>
      </c>
      <c r="AA906" s="9" t="n">
        <f aca="false">IF(Y906&gt;0,Z906/Y906,IF(I906="Opening",0,AA905))</f>
        <v>47198.5697931996</v>
      </c>
      <c r="AB906" s="9" t="n">
        <f aca="false">IF(AND(I906="DO",O906="MA"),S906-N906,0)</f>
        <v>-0.00413600797764957</v>
      </c>
      <c r="AC906" s="9" t="n">
        <f aca="false">IF(I906="DO",X906-S906,0)</f>
        <v>0</v>
      </c>
      <c r="AD906" s="23" t="n">
        <f aca="false">IF(B907&lt;&gt;B906,1,0)</f>
        <v>0</v>
      </c>
      <c r="AE906" s="14" t="n">
        <f aca="false">IF(I906="Opening",0,AE905+W906)</f>
        <v>46976.2</v>
      </c>
      <c r="AF906" s="14" t="n">
        <f aca="false">IF(I906="Opening",K906,AF905)</f>
        <v>6477.78</v>
      </c>
      <c r="AG906" s="14" t="n">
        <f aca="false">AG905</f>
        <v>25917.77</v>
      </c>
      <c r="AH906" s="14" t="n">
        <f aca="false">IF(W906=0,0,MAX(0,MIN(AE906,AF906)-MIN(AE906-W906,AF906)))</f>
        <v>0</v>
      </c>
      <c r="AI906" s="14" t="n">
        <f aca="false">IF(W906=0,0,MAX(0,MIN(AE906,AF906+AG906)-MAX(AE906-W906,AF906)))</f>
        <v>0</v>
      </c>
      <c r="AJ906" s="14" t="n">
        <f aca="false">W906-AH906-AI906</f>
        <v>20</v>
      </c>
      <c r="AK906" s="9" t="n">
        <f aca="false">IF(W906=0,0,X906*AH906/W906)</f>
        <v>0</v>
      </c>
      <c r="AL906" s="9" t="n">
        <f aca="false">IF(W906=0,0,X906*AI906/W906)</f>
        <v>0</v>
      </c>
      <c r="AM906" s="9" t="n">
        <f aca="false">X906-AK906-AL906</f>
        <v>943971.395863992</v>
      </c>
    </row>
    <row r="907" customFormat="false" ht="15" hidden="false" customHeight="false" outlineLevel="0" collapsed="false">
      <c r="A907" s="6" t="n">
        <v>902</v>
      </c>
      <c r="B907" s="74" t="s">
        <v>1020</v>
      </c>
      <c r="C907" s="53" t="str">
        <f aca="false">INDEX(I_Items!$C$5:$C$133,MATCH($B907,I_Items!$A$5:$A$133,0))</f>
        <v>Trading</v>
      </c>
      <c r="D907" s="53" t="str">
        <f aca="false">INDEX(I_Items!$D$5:$D$133,MATCH($B907,I_Items!$A$5:$A$133,0))</f>
        <v>BLP</v>
      </c>
      <c r="E907" s="53" t="str">
        <f aca="false">INDEX(I_Items!$F$5:$F$133,MATCH($B907,I_Items!$A$5:$A$133,0))</f>
        <v>Frozen</v>
      </c>
      <c r="F907" s="53" t="str">
        <f aca="false">IF(INDEX(I_Items!$E$5:$E$133,MATCH($B907,I_Items!$A$5:$A$133,0))="","",INDEX(I_Items!$E$5:$E$133,MATCH($B907,I_Items!$A$5:$A$133,0)))</f>
        <v/>
      </c>
      <c r="G907" s="76" t="n">
        <v>46265</v>
      </c>
      <c r="H907" s="23" t="n">
        <f aca="false">MONTH(G907)</f>
        <v>8</v>
      </c>
      <c r="I907" s="74" t="s">
        <v>2075</v>
      </c>
      <c r="J907" s="74" t="s">
        <v>2277</v>
      </c>
      <c r="K907" s="10" t="n">
        <v>0</v>
      </c>
      <c r="L907" s="8" t="n">
        <v>0</v>
      </c>
      <c r="M907" s="10" t="n">
        <v>3958.7</v>
      </c>
      <c r="N907" s="8" t="n">
        <v>186844978.27</v>
      </c>
      <c r="O907" s="74" t="s">
        <v>2077</v>
      </c>
      <c r="P907" s="74"/>
      <c r="Q907" s="74"/>
      <c r="R907" s="14" t="n">
        <f aca="false">IF(I907="Unbilled",0,M907)</f>
        <v>3958.7</v>
      </c>
      <c r="S907" s="9" t="n">
        <f aca="false">IF(R907=0,0,IF(O907="Booked",N907,R907*V906))</f>
        <v>186844978.240339</v>
      </c>
      <c r="T907" s="14" t="n">
        <f aca="false">IF(I907="Opening",K907,T906+K907-R907)</f>
        <v>2953.09999999999</v>
      </c>
      <c r="U907" s="9" t="n">
        <f aca="false">IF(I907="Opening",L907,U906+L907-S907)</f>
        <v>139382096.456297</v>
      </c>
      <c r="V907" s="9" t="n">
        <f aca="false">IF(T907&gt;0,U907/T907,IF(I907="Opening",0,V906))</f>
        <v>47198.5697931996</v>
      </c>
      <c r="W907" s="14" t="n">
        <f aca="false">M907</f>
        <v>3958.7</v>
      </c>
      <c r="X907" s="9" t="n">
        <f aca="false">IF(W907=0,0,IF(O907="Booked",N907,W907*AA906))</f>
        <v>186844978.240339</v>
      </c>
      <c r="Y907" s="14" t="n">
        <f aca="false">IF(I907="Opening",K907,Y906+K907-W907)</f>
        <v>2953.09999999999</v>
      </c>
      <c r="Z907" s="9" t="n">
        <f aca="false">IF(I907="Opening",L907,Z906+L907-X907)</f>
        <v>139382096.456297</v>
      </c>
      <c r="AA907" s="9" t="n">
        <f aca="false">IF(Y907&gt;0,Z907/Y907,IF(I907="Opening",0,AA906))</f>
        <v>47198.5697931996</v>
      </c>
      <c r="AB907" s="9" t="n">
        <f aca="false">IF(AND(I907="DO",O907="MA"),S907-N907,0)</f>
        <v>-0.0296607613563538</v>
      </c>
      <c r="AC907" s="9" t="n">
        <f aca="false">IF(I907="DO",X907-S907,0)</f>
        <v>0</v>
      </c>
      <c r="AD907" s="23" t="n">
        <f aca="false">IF(B908&lt;&gt;B907,1,0)</f>
        <v>0</v>
      </c>
      <c r="AE907" s="14" t="n">
        <f aca="false">IF(I907="Opening",0,AE906+W907)</f>
        <v>50934.9</v>
      </c>
      <c r="AF907" s="14" t="n">
        <f aca="false">IF(I907="Opening",K907,AF906)</f>
        <v>6477.78</v>
      </c>
      <c r="AG907" s="14" t="n">
        <f aca="false">AG906</f>
        <v>25917.77</v>
      </c>
      <c r="AH907" s="14" t="n">
        <f aca="false">IF(W907=0,0,MAX(0,MIN(AE907,AF907)-MIN(AE907-W907,AF907)))</f>
        <v>0</v>
      </c>
      <c r="AI907" s="14" t="n">
        <f aca="false">IF(W907=0,0,MAX(0,MIN(AE907,AF907+AG907)-MAX(AE907-W907,AF907)))</f>
        <v>0</v>
      </c>
      <c r="AJ907" s="14" t="n">
        <f aca="false">W907-AH907-AI907</f>
        <v>3958.7</v>
      </c>
      <c r="AK907" s="9" t="n">
        <f aca="false">IF(W907=0,0,X907*AH907/W907)</f>
        <v>0</v>
      </c>
      <c r="AL907" s="9" t="n">
        <f aca="false">IF(W907=0,0,X907*AI907/W907)</f>
        <v>0</v>
      </c>
      <c r="AM907" s="9" t="n">
        <f aca="false">X907-AK907-AL907</f>
        <v>186844978.240339</v>
      </c>
    </row>
    <row r="908" customFormat="false" ht="15" hidden="false" customHeight="false" outlineLevel="0" collapsed="false">
      <c r="A908" s="6" t="n">
        <v>903</v>
      </c>
      <c r="B908" s="74" t="s">
        <v>1020</v>
      </c>
      <c r="C908" s="53" t="str">
        <f aca="false">INDEX(I_Items!$C$5:$C$133,MATCH($B908,I_Items!$A$5:$A$133,0))</f>
        <v>Trading</v>
      </c>
      <c r="D908" s="53" t="str">
        <f aca="false">INDEX(I_Items!$D$5:$D$133,MATCH($B908,I_Items!$A$5:$A$133,0))</f>
        <v>BLP</v>
      </c>
      <c r="E908" s="53" t="str">
        <f aca="false">INDEX(I_Items!$F$5:$F$133,MATCH($B908,I_Items!$A$5:$A$133,0))</f>
        <v>Frozen</v>
      </c>
      <c r="F908" s="53" t="str">
        <f aca="false">IF(INDEX(I_Items!$E$5:$E$133,MATCH($B908,I_Items!$A$5:$A$133,0))="","",INDEX(I_Items!$E$5:$E$133,MATCH($B908,I_Items!$A$5:$A$133,0)))</f>
        <v/>
      </c>
      <c r="G908" s="76" t="n">
        <v>46265</v>
      </c>
      <c r="H908" s="23" t="n">
        <f aca="false">MONTH(G908)</f>
        <v>8</v>
      </c>
      <c r="I908" s="74" t="s">
        <v>89</v>
      </c>
      <c r="J908" s="74" t="s">
        <v>2175</v>
      </c>
      <c r="K908" s="10" t="n">
        <v>0</v>
      </c>
      <c r="L908" s="8" t="n">
        <v>0</v>
      </c>
      <c r="M908" s="13" t="n">
        <f aca="false">INDEX(Unbilled!$K$22:$K$38,MATCH($Q908,Unbilled!$B$22:$B$38,0))</f>
        <v>104.3</v>
      </c>
      <c r="N908" s="8" t="n">
        <v>0</v>
      </c>
      <c r="O908" s="74" t="s">
        <v>2077</v>
      </c>
      <c r="P908" s="74"/>
      <c r="Q908" s="74" t="s">
        <v>1115</v>
      </c>
      <c r="R908" s="14" t="n">
        <f aca="false">IF(I908="Unbilled",0,M908)</f>
        <v>0</v>
      </c>
      <c r="S908" s="9" t="n">
        <f aca="false">IF(R908=0,0,IF(O908="Booked",N908,R908*V907))</f>
        <v>0</v>
      </c>
      <c r="T908" s="14" t="n">
        <f aca="false">IF(I908="Opening",K908,T907+K908-R908)</f>
        <v>2953.09999999999</v>
      </c>
      <c r="U908" s="9" t="n">
        <f aca="false">IF(I908="Opening",L908,U907+L908-S908)</f>
        <v>139382096.456297</v>
      </c>
      <c r="V908" s="9" t="n">
        <f aca="false">IF(T908&gt;0,U908/T908,IF(I908="Opening",0,V907))</f>
        <v>47198.5697931996</v>
      </c>
      <c r="W908" s="14" t="n">
        <f aca="false">M908</f>
        <v>104.3</v>
      </c>
      <c r="X908" s="9" t="n">
        <f aca="false">IF(W908=0,0,IF(O908="Booked",N908,W908*AA907))</f>
        <v>4922810.82943072</v>
      </c>
      <c r="Y908" s="14" t="n">
        <f aca="false">IF(I908="Opening",K908,Y907+K908-W908)</f>
        <v>2848.79999999999</v>
      </c>
      <c r="Z908" s="9" t="n">
        <f aca="false">IF(I908="Opening",L908,Z907+L908-X908)</f>
        <v>134459285.626867</v>
      </c>
      <c r="AA908" s="9" t="n">
        <f aca="false">IF(Y908&gt;0,Z908/Y908,IF(I908="Opening",0,AA907))</f>
        <v>47198.5697931996</v>
      </c>
      <c r="AB908" s="9" t="n">
        <f aca="false">IF(AND(I908="DO",O908="MA"),S908-N908,0)</f>
        <v>0</v>
      </c>
      <c r="AC908" s="9" t="n">
        <f aca="false">IF(I908="DO",X908-S908,0)</f>
        <v>0</v>
      </c>
      <c r="AD908" s="23" t="n">
        <f aca="false">IF(B909&lt;&gt;B908,1,0)</f>
        <v>1</v>
      </c>
      <c r="AE908" s="14" t="n">
        <f aca="false">IF(I908="Opening",0,AE907+W908)</f>
        <v>51039.2</v>
      </c>
      <c r="AF908" s="14" t="n">
        <f aca="false">IF(I908="Opening",K908,AF907)</f>
        <v>6477.78</v>
      </c>
      <c r="AG908" s="14" t="n">
        <f aca="false">AG907</f>
        <v>25917.77</v>
      </c>
      <c r="AH908" s="14" t="n">
        <f aca="false">IF(W908=0,0,MAX(0,MIN(AE908,AF908)-MIN(AE908-W908,AF908)))</f>
        <v>0</v>
      </c>
      <c r="AI908" s="14" t="n">
        <f aca="false">IF(W908=0,0,MAX(0,MIN(AE908,AF908+AG908)-MAX(AE908-W908,AF908)))</f>
        <v>0</v>
      </c>
      <c r="AJ908" s="14" t="n">
        <f aca="false">W908-AH908-AI908</f>
        <v>104.3</v>
      </c>
      <c r="AK908" s="9" t="n">
        <f aca="false">IF(W908=0,0,X908*AH908/W908)</f>
        <v>0</v>
      </c>
      <c r="AL908" s="9" t="n">
        <f aca="false">IF(W908=0,0,X908*AI908/W908)</f>
        <v>0</v>
      </c>
      <c r="AM908" s="9" t="n">
        <f aca="false">X908-AK908-AL908</f>
        <v>4922810.82943072</v>
      </c>
    </row>
    <row r="909" customFormat="false" ht="15" hidden="false" customHeight="false" outlineLevel="0" collapsed="false">
      <c r="A909" s="6" t="n">
        <v>904</v>
      </c>
      <c r="B909" s="74" t="s">
        <v>1021</v>
      </c>
      <c r="C909" s="53" t="str">
        <f aca="false">INDEX(I_Items!$C$5:$C$133,MATCH($B909,I_Items!$A$5:$A$133,0))</f>
        <v>Trading</v>
      </c>
      <c r="D909" s="53" t="str">
        <f aca="false">INDEX(I_Items!$D$5:$D$133,MATCH($B909,I_Items!$A$5:$A$133,0))</f>
        <v>Karkas</v>
      </c>
      <c r="E909" s="53" t="str">
        <f aca="false">INDEX(I_Items!$F$5:$F$133,MATCH($B909,I_Items!$A$5:$A$133,0))</f>
        <v>Not stated in item master</v>
      </c>
      <c r="F909" s="53" t="str">
        <f aca="false">IF(INDEX(I_Items!$E$5:$E$133,MATCH($B909,I_Items!$A$5:$A$133,0))="","",INDEX(I_Items!$E$5:$E$133,MATCH($B909,I_Items!$A$5:$A$133,0)))</f>
        <v>Uk 0.6</v>
      </c>
      <c r="G909" s="76" t="n">
        <v>46204</v>
      </c>
      <c r="H909" s="23" t="n">
        <f aca="false">MONTH(G909)</f>
        <v>7</v>
      </c>
      <c r="I909" s="74" t="s">
        <v>2072</v>
      </c>
      <c r="J909" s="74" t="s">
        <v>2073</v>
      </c>
      <c r="K909" s="10" t="n">
        <v>0.02</v>
      </c>
      <c r="L909" s="8" t="n">
        <v>460</v>
      </c>
      <c r="M909" s="10" t="n">
        <v>0</v>
      </c>
      <c r="N909" s="8" t="n">
        <v>0</v>
      </c>
      <c r="O909" s="74"/>
      <c r="P909" s="74"/>
      <c r="Q909" s="74"/>
      <c r="R909" s="14" t="n">
        <f aca="false">IF(I909="Unbilled",0,M909)</f>
        <v>0</v>
      </c>
      <c r="S909" s="9" t="n">
        <f aca="false">IF(R909=0,0,IF(O909="Booked",N909,R909*V908))</f>
        <v>0</v>
      </c>
      <c r="T909" s="14" t="n">
        <f aca="false">IF(I909="Opening",K909,T908+K909-R909)</f>
        <v>0.02</v>
      </c>
      <c r="U909" s="9" t="n">
        <f aca="false">IF(I909="Opening",L909,U908+L909-S909)</f>
        <v>460</v>
      </c>
      <c r="V909" s="9" t="n">
        <f aca="false">IF(T909&gt;0,U909/T909,IF(I909="Opening",0,V908))</f>
        <v>23000</v>
      </c>
      <c r="W909" s="14" t="n">
        <f aca="false">M909</f>
        <v>0</v>
      </c>
      <c r="X909" s="9" t="n">
        <f aca="false">IF(W909=0,0,IF(O909="Booked",N909,W909*AA908))</f>
        <v>0</v>
      </c>
      <c r="Y909" s="14" t="n">
        <f aca="false">IF(I909="Opening",K909,Y908+K909-W909)</f>
        <v>0.02</v>
      </c>
      <c r="Z909" s="9" t="n">
        <f aca="false">IF(I909="Opening",L909,Z908+L909-X909)</f>
        <v>460</v>
      </c>
      <c r="AA909" s="9" t="n">
        <f aca="false">IF(Y909&gt;0,Z909/Y909,IF(I909="Opening",0,AA908))</f>
        <v>23000</v>
      </c>
      <c r="AB909" s="9" t="n">
        <f aca="false">IF(AND(I909="DO",O909="MA"),S909-N909,0)</f>
        <v>0</v>
      </c>
      <c r="AC909" s="9" t="n">
        <f aca="false">IF(I909="DO",X909-S909,0)</f>
        <v>0</v>
      </c>
      <c r="AD909" s="23" t="n">
        <f aca="false">IF(B910&lt;&gt;B909,1,0)</f>
        <v>0</v>
      </c>
      <c r="AE909" s="14" t="n">
        <f aca="false">IF(I909="Opening",0,AE908+W909)</f>
        <v>0</v>
      </c>
      <c r="AF909" s="14" t="n">
        <f aca="false">IF(I909="Opening",K909,AF908)</f>
        <v>0.02</v>
      </c>
      <c r="AG909" s="14" t="n">
        <f aca="false">SUMIFS($K$6:$K$1110,$B$6:$B$1110,B909,$H$6:$H$1110,7,$I$6:$I$1110,"&lt;&gt;Opening")</f>
        <v>0</v>
      </c>
      <c r="AH909" s="14" t="n">
        <f aca="false">IF(W909=0,0,MAX(0,MIN(AE909,AF909)-MIN(AE909-W909,AF909)))</f>
        <v>0</v>
      </c>
      <c r="AI909" s="14" t="n">
        <f aca="false">IF(W909=0,0,MAX(0,MIN(AE909,AF909+AG909)-MAX(AE909-W909,AF909)))</f>
        <v>0</v>
      </c>
      <c r="AJ909" s="14" t="n">
        <f aca="false">W909-AH909-AI909</f>
        <v>0</v>
      </c>
      <c r="AK909" s="9" t="n">
        <f aca="false">IF(W909=0,0,X909*AH909/W909)</f>
        <v>0</v>
      </c>
      <c r="AL909" s="9" t="n">
        <f aca="false">IF(W909=0,0,X909*AI909/W909)</f>
        <v>0</v>
      </c>
      <c r="AM909" s="9" t="n">
        <f aca="false">X909-AK909-AL909</f>
        <v>0</v>
      </c>
    </row>
    <row r="910" customFormat="false" ht="15" hidden="false" customHeight="false" outlineLevel="0" collapsed="false">
      <c r="A910" s="6" t="n">
        <v>905</v>
      </c>
      <c r="B910" s="74" t="s">
        <v>1021</v>
      </c>
      <c r="C910" s="53" t="str">
        <f aca="false">INDEX(I_Items!$C$5:$C$133,MATCH($B910,I_Items!$A$5:$A$133,0))</f>
        <v>Trading</v>
      </c>
      <c r="D910" s="53" t="str">
        <f aca="false">INDEX(I_Items!$D$5:$D$133,MATCH($B910,I_Items!$A$5:$A$133,0))</f>
        <v>Karkas</v>
      </c>
      <c r="E910" s="53" t="str">
        <f aca="false">INDEX(I_Items!$F$5:$F$133,MATCH($B910,I_Items!$A$5:$A$133,0))</f>
        <v>Not stated in item master</v>
      </c>
      <c r="F910" s="53" t="str">
        <f aca="false">IF(INDEX(I_Items!$E$5:$E$133,MATCH($B910,I_Items!$A$5:$A$133,0))="","",INDEX(I_Items!$E$5:$E$133,MATCH($B910,I_Items!$A$5:$A$133,0)))</f>
        <v>Uk 0.6</v>
      </c>
      <c r="G910" s="76" t="n">
        <v>46237</v>
      </c>
      <c r="H910" s="23" t="n">
        <f aca="false">MONTH(G910)</f>
        <v>8</v>
      </c>
      <c r="I910" s="74" t="s">
        <v>2074</v>
      </c>
      <c r="J910" s="74" t="s">
        <v>2296</v>
      </c>
      <c r="K910" s="10" t="n">
        <v>644.2</v>
      </c>
      <c r="L910" s="8" t="n">
        <v>19970200</v>
      </c>
      <c r="M910" s="10" t="n">
        <v>0</v>
      </c>
      <c r="N910" s="8" t="n">
        <v>0</v>
      </c>
      <c r="O910" s="74"/>
      <c r="P910" s="74"/>
      <c r="Q910" s="74"/>
      <c r="R910" s="14" t="n">
        <f aca="false">IF(I910="Unbilled",0,M910)</f>
        <v>0</v>
      </c>
      <c r="S910" s="9" t="n">
        <f aca="false">IF(R910=0,0,IF(O910="Booked",N910,R910*V909))</f>
        <v>0</v>
      </c>
      <c r="T910" s="14" t="n">
        <f aca="false">IF(I910="Opening",K910,T909+K910-R910)</f>
        <v>644.22</v>
      </c>
      <c r="U910" s="9" t="n">
        <f aca="false">IF(I910="Opening",L910,U909+L910-S910)</f>
        <v>19970660</v>
      </c>
      <c r="V910" s="9" t="n">
        <f aca="false">IF(T910&gt;0,U910/T910,IF(I910="Opening",0,V909))</f>
        <v>30999.7516376393</v>
      </c>
      <c r="W910" s="14" t="n">
        <f aca="false">M910</f>
        <v>0</v>
      </c>
      <c r="X910" s="9" t="n">
        <f aca="false">IF(W910=0,0,IF(O910="Booked",N910,W910*AA909))</f>
        <v>0</v>
      </c>
      <c r="Y910" s="14" t="n">
        <f aca="false">IF(I910="Opening",K910,Y909+K910-W910)</f>
        <v>644.22</v>
      </c>
      <c r="Z910" s="9" t="n">
        <f aca="false">IF(I910="Opening",L910,Z909+L910-X910)</f>
        <v>19970660</v>
      </c>
      <c r="AA910" s="9" t="n">
        <f aca="false">IF(Y910&gt;0,Z910/Y910,IF(I910="Opening",0,AA909))</f>
        <v>30999.7516376393</v>
      </c>
      <c r="AB910" s="9" t="n">
        <f aca="false">IF(AND(I910="DO",O910="MA"),S910-N910,0)</f>
        <v>0</v>
      </c>
      <c r="AC910" s="9" t="n">
        <f aca="false">IF(I910="DO",X910-S910,0)</f>
        <v>0</v>
      </c>
      <c r="AD910" s="23" t="n">
        <f aca="false">IF(B911&lt;&gt;B910,1,0)</f>
        <v>0</v>
      </c>
      <c r="AE910" s="14" t="n">
        <f aca="false">IF(I910="Opening",0,AE909+W910)</f>
        <v>0</v>
      </c>
      <c r="AF910" s="14" t="n">
        <f aca="false">IF(I910="Opening",K910,AF909)</f>
        <v>0.02</v>
      </c>
      <c r="AG910" s="14" t="n">
        <f aca="false">AG909</f>
        <v>0</v>
      </c>
      <c r="AH910" s="14" t="n">
        <f aca="false">IF(W910=0,0,MAX(0,MIN(AE910,AF910)-MIN(AE910-W910,AF910)))</f>
        <v>0</v>
      </c>
      <c r="AI910" s="14" t="n">
        <f aca="false">IF(W910=0,0,MAX(0,MIN(AE910,AF910+AG910)-MAX(AE910-W910,AF910)))</f>
        <v>0</v>
      </c>
      <c r="AJ910" s="14" t="n">
        <f aca="false">W910-AH910-AI910</f>
        <v>0</v>
      </c>
      <c r="AK910" s="9" t="n">
        <f aca="false">IF(W910=0,0,X910*AH910/W910)</f>
        <v>0</v>
      </c>
      <c r="AL910" s="9" t="n">
        <f aca="false">IF(W910=0,0,X910*AI910/W910)</f>
        <v>0</v>
      </c>
      <c r="AM910" s="9" t="n">
        <f aca="false">X910-AK910-AL910</f>
        <v>0</v>
      </c>
    </row>
    <row r="911" customFormat="false" ht="15" hidden="false" customHeight="false" outlineLevel="0" collapsed="false">
      <c r="A911" s="6" t="n">
        <v>906</v>
      </c>
      <c r="B911" s="74" t="s">
        <v>1021</v>
      </c>
      <c r="C911" s="53" t="str">
        <f aca="false">INDEX(I_Items!$C$5:$C$133,MATCH($B911,I_Items!$A$5:$A$133,0))</f>
        <v>Trading</v>
      </c>
      <c r="D911" s="53" t="str">
        <f aca="false">INDEX(I_Items!$D$5:$D$133,MATCH($B911,I_Items!$A$5:$A$133,0))</f>
        <v>Karkas</v>
      </c>
      <c r="E911" s="53" t="str">
        <f aca="false">INDEX(I_Items!$F$5:$F$133,MATCH($B911,I_Items!$A$5:$A$133,0))</f>
        <v>Not stated in item master</v>
      </c>
      <c r="F911" s="53" t="str">
        <f aca="false">IF(INDEX(I_Items!$E$5:$E$133,MATCH($B911,I_Items!$A$5:$A$133,0))="","",INDEX(I_Items!$E$5:$E$133,MATCH($B911,I_Items!$A$5:$A$133,0)))</f>
        <v>Uk 0.6</v>
      </c>
      <c r="G911" s="76" t="n">
        <v>46238</v>
      </c>
      <c r="H911" s="23" t="n">
        <f aca="false">MONTH(G911)</f>
        <v>8</v>
      </c>
      <c r="I911" s="74" t="s">
        <v>2074</v>
      </c>
      <c r="J911" s="74" t="s">
        <v>2256</v>
      </c>
      <c r="K911" s="10" t="n">
        <v>4738.4</v>
      </c>
      <c r="L911" s="8" t="n">
        <v>139782800</v>
      </c>
      <c r="M911" s="10" t="n">
        <v>0</v>
      </c>
      <c r="N911" s="8" t="n">
        <v>0</v>
      </c>
      <c r="O911" s="74"/>
      <c r="P911" s="74"/>
      <c r="Q911" s="74"/>
      <c r="R911" s="14" t="n">
        <f aca="false">IF(I911="Unbilled",0,M911)</f>
        <v>0</v>
      </c>
      <c r="S911" s="9" t="n">
        <f aca="false">IF(R911=0,0,IF(O911="Booked",N911,R911*V910))</f>
        <v>0</v>
      </c>
      <c r="T911" s="14" t="n">
        <f aca="false">IF(I911="Opening",K911,T910+K911-R911)</f>
        <v>5382.62</v>
      </c>
      <c r="U911" s="9" t="n">
        <f aca="false">IF(I911="Opening",L911,U910+L911-S911)</f>
        <v>159753460</v>
      </c>
      <c r="V911" s="9" t="n">
        <f aca="false">IF(T911&gt;0,U911/T911,IF(I911="Opening",0,V910))</f>
        <v>29679.4980882916</v>
      </c>
      <c r="W911" s="14" t="n">
        <f aca="false">M911</f>
        <v>0</v>
      </c>
      <c r="X911" s="9" t="n">
        <f aca="false">IF(W911=0,0,IF(O911="Booked",N911,W911*AA910))</f>
        <v>0</v>
      </c>
      <c r="Y911" s="14" t="n">
        <f aca="false">IF(I911="Opening",K911,Y910+K911-W911)</f>
        <v>5382.62</v>
      </c>
      <c r="Z911" s="9" t="n">
        <f aca="false">IF(I911="Opening",L911,Z910+L911-X911)</f>
        <v>159753460</v>
      </c>
      <c r="AA911" s="9" t="n">
        <f aca="false">IF(Y911&gt;0,Z911/Y911,IF(I911="Opening",0,AA910))</f>
        <v>29679.4980882916</v>
      </c>
      <c r="AB911" s="9" t="n">
        <f aca="false">IF(AND(I911="DO",O911="MA"),S911-N911,0)</f>
        <v>0</v>
      </c>
      <c r="AC911" s="9" t="n">
        <f aca="false">IF(I911="DO",X911-S911,0)</f>
        <v>0</v>
      </c>
      <c r="AD911" s="23" t="n">
        <f aca="false">IF(B912&lt;&gt;B911,1,0)</f>
        <v>0</v>
      </c>
      <c r="AE911" s="14" t="n">
        <f aca="false">IF(I911="Opening",0,AE910+W911)</f>
        <v>0</v>
      </c>
      <c r="AF911" s="14" t="n">
        <f aca="false">IF(I911="Opening",K911,AF910)</f>
        <v>0.02</v>
      </c>
      <c r="AG911" s="14" t="n">
        <f aca="false">AG910</f>
        <v>0</v>
      </c>
      <c r="AH911" s="14" t="n">
        <f aca="false">IF(W911=0,0,MAX(0,MIN(AE911,AF911)-MIN(AE911-W911,AF911)))</f>
        <v>0</v>
      </c>
      <c r="AI911" s="14" t="n">
        <f aca="false">IF(W911=0,0,MAX(0,MIN(AE911,AF911+AG911)-MAX(AE911-W911,AF911)))</f>
        <v>0</v>
      </c>
      <c r="AJ911" s="14" t="n">
        <f aca="false">W911-AH911-AI911</f>
        <v>0</v>
      </c>
      <c r="AK911" s="9" t="n">
        <f aca="false">IF(W911=0,0,X911*AH911/W911)</f>
        <v>0</v>
      </c>
      <c r="AL911" s="9" t="n">
        <f aca="false">IF(W911=0,0,X911*AI911/W911)</f>
        <v>0</v>
      </c>
      <c r="AM911" s="9" t="n">
        <f aca="false">X911-AK911-AL911</f>
        <v>0</v>
      </c>
    </row>
    <row r="912" customFormat="false" ht="15" hidden="false" customHeight="false" outlineLevel="0" collapsed="false">
      <c r="A912" s="6" t="n">
        <v>907</v>
      </c>
      <c r="B912" s="74" t="s">
        <v>1021</v>
      </c>
      <c r="C912" s="53" t="str">
        <f aca="false">INDEX(I_Items!$C$5:$C$133,MATCH($B912,I_Items!$A$5:$A$133,0))</f>
        <v>Trading</v>
      </c>
      <c r="D912" s="53" t="str">
        <f aca="false">INDEX(I_Items!$D$5:$D$133,MATCH($B912,I_Items!$A$5:$A$133,0))</f>
        <v>Karkas</v>
      </c>
      <c r="E912" s="53" t="str">
        <f aca="false">INDEX(I_Items!$F$5:$F$133,MATCH($B912,I_Items!$A$5:$A$133,0))</f>
        <v>Not stated in item master</v>
      </c>
      <c r="F912" s="53" t="str">
        <f aca="false">IF(INDEX(I_Items!$E$5:$E$133,MATCH($B912,I_Items!$A$5:$A$133,0))="","",INDEX(I_Items!$E$5:$E$133,MATCH($B912,I_Items!$A$5:$A$133,0)))</f>
        <v>Uk 0.6</v>
      </c>
      <c r="G912" s="76" t="n">
        <v>46239</v>
      </c>
      <c r="H912" s="23" t="n">
        <f aca="false">MONTH(G912)</f>
        <v>8</v>
      </c>
      <c r="I912" s="74" t="s">
        <v>2075</v>
      </c>
      <c r="J912" s="74" t="s">
        <v>2297</v>
      </c>
      <c r="K912" s="10" t="n">
        <v>0</v>
      </c>
      <c r="L912" s="8" t="n">
        <v>0</v>
      </c>
      <c r="M912" s="10" t="n">
        <v>644.2</v>
      </c>
      <c r="N912" s="8" t="n">
        <v>19119532.68</v>
      </c>
      <c r="O912" s="74" t="s">
        <v>2077</v>
      </c>
      <c r="P912" s="74"/>
      <c r="Q912" s="74"/>
      <c r="R912" s="14" t="n">
        <f aca="false">IF(I912="Unbilled",0,M912)</f>
        <v>644.2</v>
      </c>
      <c r="S912" s="9" t="n">
        <f aca="false">IF(R912=0,0,IF(O912="Booked",N912,R912*V911))</f>
        <v>19119532.6684774</v>
      </c>
      <c r="T912" s="14" t="n">
        <f aca="false">IF(I912="Opening",K912,T911+K912-R912)</f>
        <v>4738.42</v>
      </c>
      <c r="U912" s="9" t="n">
        <f aca="false">IF(I912="Opening",L912,U911+L912-S912)</f>
        <v>140633927.331523</v>
      </c>
      <c r="V912" s="9" t="n">
        <f aca="false">IF(T912&gt;0,U912/T912,IF(I912="Opening",0,V911))</f>
        <v>29679.4980882916</v>
      </c>
      <c r="W912" s="14" t="n">
        <f aca="false">M912</f>
        <v>644.2</v>
      </c>
      <c r="X912" s="9" t="n">
        <f aca="false">IF(W912=0,0,IF(O912="Booked",N912,W912*AA911))</f>
        <v>19119532.6684774</v>
      </c>
      <c r="Y912" s="14" t="n">
        <f aca="false">IF(I912="Opening",K912,Y911+K912-W912)</f>
        <v>4738.42</v>
      </c>
      <c r="Z912" s="9" t="n">
        <f aca="false">IF(I912="Opening",L912,Z911+L912-X912)</f>
        <v>140633927.331523</v>
      </c>
      <c r="AA912" s="9" t="n">
        <f aca="false">IF(Y912&gt;0,Z912/Y912,IF(I912="Opening",0,AA911))</f>
        <v>29679.4980882916</v>
      </c>
      <c r="AB912" s="9" t="n">
        <f aca="false">IF(AND(I912="DO",O912="MA"),S912-N912,0)</f>
        <v>-0.0115225650370121</v>
      </c>
      <c r="AC912" s="9" t="n">
        <f aca="false">IF(I912="DO",X912-S912,0)</f>
        <v>0</v>
      </c>
      <c r="AD912" s="23" t="n">
        <f aca="false">IF(B913&lt;&gt;B912,1,0)</f>
        <v>0</v>
      </c>
      <c r="AE912" s="14" t="n">
        <f aca="false">IF(I912="Opening",0,AE911+W912)</f>
        <v>644.2</v>
      </c>
      <c r="AF912" s="14" t="n">
        <f aca="false">IF(I912="Opening",K912,AF911)</f>
        <v>0.02</v>
      </c>
      <c r="AG912" s="14" t="n">
        <f aca="false">AG911</f>
        <v>0</v>
      </c>
      <c r="AH912" s="14" t="n">
        <f aca="false">IF(W912=0,0,MAX(0,MIN(AE912,AF912)-MIN(AE912-W912,AF912)))</f>
        <v>0.02</v>
      </c>
      <c r="AI912" s="14" t="n">
        <f aca="false">IF(W912=0,0,MAX(0,MIN(AE912,AF912+AG912)-MAX(AE912-W912,AF912)))</f>
        <v>0</v>
      </c>
      <c r="AJ912" s="14" t="n">
        <f aca="false">W912-AH912-AI912</f>
        <v>644.18</v>
      </c>
      <c r="AK912" s="9" t="n">
        <f aca="false">IF(W912=0,0,X912*AH912/W912)</f>
        <v>593.589961765832</v>
      </c>
      <c r="AL912" s="9" t="n">
        <f aca="false">IF(W912=0,0,X912*AI912/W912)</f>
        <v>0</v>
      </c>
      <c r="AM912" s="9" t="n">
        <f aca="false">X912-AK912-AL912</f>
        <v>19118939.0785157</v>
      </c>
    </row>
    <row r="913" customFormat="false" ht="15" hidden="false" customHeight="false" outlineLevel="0" collapsed="false">
      <c r="A913" s="6" t="n">
        <v>908</v>
      </c>
      <c r="B913" s="74" t="s">
        <v>1021</v>
      </c>
      <c r="C913" s="53" t="str">
        <f aca="false">INDEX(I_Items!$C$5:$C$133,MATCH($B913,I_Items!$A$5:$A$133,0))</f>
        <v>Trading</v>
      </c>
      <c r="D913" s="53" t="str">
        <f aca="false">INDEX(I_Items!$D$5:$D$133,MATCH($B913,I_Items!$A$5:$A$133,0))</f>
        <v>Karkas</v>
      </c>
      <c r="E913" s="53" t="str">
        <f aca="false">INDEX(I_Items!$F$5:$F$133,MATCH($B913,I_Items!$A$5:$A$133,0))</f>
        <v>Not stated in item master</v>
      </c>
      <c r="F913" s="53" t="str">
        <f aca="false">IF(INDEX(I_Items!$E$5:$E$133,MATCH($B913,I_Items!$A$5:$A$133,0))="","",INDEX(I_Items!$E$5:$E$133,MATCH($B913,I_Items!$A$5:$A$133,0)))</f>
        <v>Uk 0.6</v>
      </c>
      <c r="G913" s="76" t="n">
        <v>46241</v>
      </c>
      <c r="H913" s="23" t="n">
        <f aca="false">MONTH(G913)</f>
        <v>8</v>
      </c>
      <c r="I913" s="74" t="s">
        <v>2075</v>
      </c>
      <c r="J913" s="74" t="s">
        <v>2298</v>
      </c>
      <c r="K913" s="10" t="n">
        <v>0</v>
      </c>
      <c r="L913" s="8" t="n">
        <v>0</v>
      </c>
      <c r="M913" s="10" t="n">
        <v>475.16</v>
      </c>
      <c r="N913" s="8" t="n">
        <v>14102510.32</v>
      </c>
      <c r="O913" s="74" t="s">
        <v>2077</v>
      </c>
      <c r="P913" s="74"/>
      <c r="Q913" s="74"/>
      <c r="R913" s="14" t="n">
        <f aca="false">IF(I913="Unbilled",0,M913)</f>
        <v>475.16</v>
      </c>
      <c r="S913" s="9" t="n">
        <f aca="false">IF(R913=0,0,IF(O913="Booked",N913,R913*V912))</f>
        <v>14102510.3116326</v>
      </c>
      <c r="T913" s="14" t="n">
        <f aca="false">IF(I913="Opening",K913,T912+K913-R913)</f>
        <v>4263.26</v>
      </c>
      <c r="U913" s="9" t="n">
        <f aca="false">IF(I913="Opening",L913,U912+L913-S913)</f>
        <v>126531417.01989</v>
      </c>
      <c r="V913" s="9" t="n">
        <f aca="false">IF(T913&gt;0,U913/T913,IF(I913="Opening",0,V912))</f>
        <v>29679.4980882916</v>
      </c>
      <c r="W913" s="14" t="n">
        <f aca="false">M913</f>
        <v>475.16</v>
      </c>
      <c r="X913" s="9" t="n">
        <f aca="false">IF(W913=0,0,IF(O913="Booked",N913,W913*AA912))</f>
        <v>14102510.3116326</v>
      </c>
      <c r="Y913" s="14" t="n">
        <f aca="false">IF(I913="Opening",K913,Y912+K913-W913)</f>
        <v>4263.26</v>
      </c>
      <c r="Z913" s="9" t="n">
        <f aca="false">IF(I913="Opening",L913,Z912+L913-X913)</f>
        <v>126531417.01989</v>
      </c>
      <c r="AA913" s="9" t="n">
        <f aca="false">IF(Y913&gt;0,Z913/Y913,IF(I913="Opening",0,AA912))</f>
        <v>29679.4980882916</v>
      </c>
      <c r="AB913" s="9" t="n">
        <f aca="false">IF(AND(I913="DO",O913="MA"),S913-N913,0)</f>
        <v>-0.00836737640202045</v>
      </c>
      <c r="AC913" s="9" t="n">
        <f aca="false">IF(I913="DO",X913-S913,0)</f>
        <v>0</v>
      </c>
      <c r="AD913" s="23" t="n">
        <f aca="false">IF(B914&lt;&gt;B913,1,0)</f>
        <v>0</v>
      </c>
      <c r="AE913" s="14" t="n">
        <f aca="false">IF(I913="Opening",0,AE912+W913)</f>
        <v>1119.36</v>
      </c>
      <c r="AF913" s="14" t="n">
        <f aca="false">IF(I913="Opening",K913,AF912)</f>
        <v>0.02</v>
      </c>
      <c r="AG913" s="14" t="n">
        <f aca="false">AG912</f>
        <v>0</v>
      </c>
      <c r="AH913" s="14" t="n">
        <f aca="false">IF(W913=0,0,MAX(0,MIN(AE913,AF913)-MIN(AE913-W913,AF913)))</f>
        <v>0</v>
      </c>
      <c r="AI913" s="14" t="n">
        <f aca="false">IF(W913=0,0,MAX(0,MIN(AE913,AF913+AG913)-MAX(AE913-W913,AF913)))</f>
        <v>0</v>
      </c>
      <c r="AJ913" s="14" t="n">
        <f aca="false">W913-AH913-AI913</f>
        <v>475.16</v>
      </c>
      <c r="AK913" s="9" t="n">
        <f aca="false">IF(W913=0,0,X913*AH913/W913)</f>
        <v>0</v>
      </c>
      <c r="AL913" s="9" t="n">
        <f aca="false">IF(W913=0,0,X913*AI913/W913)</f>
        <v>0</v>
      </c>
      <c r="AM913" s="9" t="n">
        <f aca="false">X913-AK913-AL913</f>
        <v>14102510.3116326</v>
      </c>
    </row>
    <row r="914" customFormat="false" ht="15" hidden="false" customHeight="false" outlineLevel="0" collapsed="false">
      <c r="A914" s="6" t="n">
        <v>909</v>
      </c>
      <c r="B914" s="74" t="s">
        <v>1021</v>
      </c>
      <c r="C914" s="53" t="str">
        <f aca="false">INDEX(I_Items!$C$5:$C$133,MATCH($B914,I_Items!$A$5:$A$133,0))</f>
        <v>Trading</v>
      </c>
      <c r="D914" s="53" t="str">
        <f aca="false">INDEX(I_Items!$D$5:$D$133,MATCH($B914,I_Items!$A$5:$A$133,0))</f>
        <v>Karkas</v>
      </c>
      <c r="E914" s="53" t="str">
        <f aca="false">INDEX(I_Items!$F$5:$F$133,MATCH($B914,I_Items!$A$5:$A$133,0))</f>
        <v>Not stated in item master</v>
      </c>
      <c r="F914" s="53" t="str">
        <f aca="false">IF(INDEX(I_Items!$E$5:$E$133,MATCH($B914,I_Items!$A$5:$A$133,0))="","",INDEX(I_Items!$E$5:$E$133,MATCH($B914,I_Items!$A$5:$A$133,0)))</f>
        <v>Uk 0.6</v>
      </c>
      <c r="G914" s="76" t="n">
        <v>46241</v>
      </c>
      <c r="H914" s="23" t="n">
        <f aca="false">MONTH(G914)</f>
        <v>8</v>
      </c>
      <c r="I914" s="74" t="s">
        <v>2075</v>
      </c>
      <c r="J914" s="74" t="s">
        <v>2298</v>
      </c>
      <c r="K914" s="10" t="n">
        <v>0</v>
      </c>
      <c r="L914" s="8" t="n">
        <v>0</v>
      </c>
      <c r="M914" s="10" t="n">
        <v>380.74</v>
      </c>
      <c r="N914" s="8" t="n">
        <v>11300172.11</v>
      </c>
      <c r="O914" s="74" t="s">
        <v>2077</v>
      </c>
      <c r="P914" s="74"/>
      <c r="Q914" s="74"/>
      <c r="R914" s="14" t="n">
        <f aca="false">IF(I914="Unbilled",0,M914)</f>
        <v>380.74</v>
      </c>
      <c r="S914" s="9" t="n">
        <f aca="false">IF(R914=0,0,IF(O914="Booked",N914,R914*V913))</f>
        <v>11300172.1021361</v>
      </c>
      <c r="T914" s="14" t="n">
        <f aca="false">IF(I914="Opening",K914,T913+K914-R914)</f>
        <v>3882.52</v>
      </c>
      <c r="U914" s="9" t="n">
        <f aca="false">IF(I914="Opening",L914,U913+L914-S914)</f>
        <v>115231244.917754</v>
      </c>
      <c r="V914" s="9" t="n">
        <f aca="false">IF(T914&gt;0,U914/T914,IF(I914="Opening",0,V913))</f>
        <v>29679.4980882916</v>
      </c>
      <c r="W914" s="14" t="n">
        <f aca="false">M914</f>
        <v>380.74</v>
      </c>
      <c r="X914" s="9" t="n">
        <f aca="false">IF(W914=0,0,IF(O914="Booked",N914,W914*AA913))</f>
        <v>11300172.1021361</v>
      </c>
      <c r="Y914" s="14" t="n">
        <f aca="false">IF(I914="Opening",K914,Y913+K914-W914)</f>
        <v>3882.52</v>
      </c>
      <c r="Z914" s="9" t="n">
        <f aca="false">IF(I914="Opening",L914,Z913+L914-X914)</f>
        <v>115231244.917754</v>
      </c>
      <c r="AA914" s="9" t="n">
        <f aca="false">IF(Y914&gt;0,Z914/Y914,IF(I914="Opening",0,AA913))</f>
        <v>29679.4980882916</v>
      </c>
      <c r="AB914" s="9" t="n">
        <f aca="false">IF(AND(I914="DO",O914="MA"),S914-N914,0)</f>
        <v>-0.00786386616528034</v>
      </c>
      <c r="AC914" s="9" t="n">
        <f aca="false">IF(I914="DO",X914-S914,0)</f>
        <v>0</v>
      </c>
      <c r="AD914" s="23" t="n">
        <f aca="false">IF(B915&lt;&gt;B914,1,0)</f>
        <v>0</v>
      </c>
      <c r="AE914" s="14" t="n">
        <f aca="false">IF(I914="Opening",0,AE913+W914)</f>
        <v>1500.1</v>
      </c>
      <c r="AF914" s="14" t="n">
        <f aca="false">IF(I914="Opening",K914,AF913)</f>
        <v>0.02</v>
      </c>
      <c r="AG914" s="14" t="n">
        <f aca="false">AG913</f>
        <v>0</v>
      </c>
      <c r="AH914" s="14" t="n">
        <f aca="false">IF(W914=0,0,MAX(0,MIN(AE914,AF914)-MIN(AE914-W914,AF914)))</f>
        <v>0</v>
      </c>
      <c r="AI914" s="14" t="n">
        <f aca="false">IF(W914=0,0,MAX(0,MIN(AE914,AF914+AG914)-MAX(AE914-W914,AF914)))</f>
        <v>0</v>
      </c>
      <c r="AJ914" s="14" t="n">
        <f aca="false">W914-AH914-AI914</f>
        <v>380.74</v>
      </c>
      <c r="AK914" s="9" t="n">
        <f aca="false">IF(W914=0,0,X914*AH914/W914)</f>
        <v>0</v>
      </c>
      <c r="AL914" s="9" t="n">
        <f aca="false">IF(W914=0,0,X914*AI914/W914)</f>
        <v>0</v>
      </c>
      <c r="AM914" s="9" t="n">
        <f aca="false">X914-AK914-AL914</f>
        <v>11300172.1021361</v>
      </c>
    </row>
    <row r="915" customFormat="false" ht="15" hidden="false" customHeight="false" outlineLevel="0" collapsed="false">
      <c r="A915" s="6" t="n">
        <v>910</v>
      </c>
      <c r="B915" s="74" t="s">
        <v>1021</v>
      </c>
      <c r="C915" s="53" t="str">
        <f aca="false">INDEX(I_Items!$C$5:$C$133,MATCH($B915,I_Items!$A$5:$A$133,0))</f>
        <v>Trading</v>
      </c>
      <c r="D915" s="53" t="str">
        <f aca="false">INDEX(I_Items!$D$5:$D$133,MATCH($B915,I_Items!$A$5:$A$133,0))</f>
        <v>Karkas</v>
      </c>
      <c r="E915" s="53" t="str">
        <f aca="false">INDEX(I_Items!$F$5:$F$133,MATCH($B915,I_Items!$A$5:$A$133,0))</f>
        <v>Not stated in item master</v>
      </c>
      <c r="F915" s="53" t="str">
        <f aca="false">IF(INDEX(I_Items!$E$5:$E$133,MATCH($B915,I_Items!$A$5:$A$133,0))="","",INDEX(I_Items!$E$5:$E$133,MATCH($B915,I_Items!$A$5:$A$133,0)))</f>
        <v>Uk 0.6</v>
      </c>
      <c r="G915" s="76" t="n">
        <v>46244</v>
      </c>
      <c r="H915" s="23" t="n">
        <f aca="false">MONTH(G915)</f>
        <v>8</v>
      </c>
      <c r="I915" s="74" t="s">
        <v>2074</v>
      </c>
      <c r="J915" s="74" t="s">
        <v>2299</v>
      </c>
      <c r="K915" s="10" t="n">
        <v>820.1</v>
      </c>
      <c r="L915" s="8" t="n">
        <v>26653250</v>
      </c>
      <c r="M915" s="10" t="n">
        <v>0</v>
      </c>
      <c r="N915" s="8" t="n">
        <v>0</v>
      </c>
      <c r="O915" s="74"/>
      <c r="P915" s="74"/>
      <c r="Q915" s="74"/>
      <c r="R915" s="14" t="n">
        <f aca="false">IF(I915="Unbilled",0,M915)</f>
        <v>0</v>
      </c>
      <c r="S915" s="9" t="n">
        <f aca="false">IF(R915=0,0,IF(O915="Booked",N915,R915*V914))</f>
        <v>0</v>
      </c>
      <c r="T915" s="14" t="n">
        <f aca="false">IF(I915="Opening",K915,T914+K915-R915)</f>
        <v>4702.62</v>
      </c>
      <c r="U915" s="9" t="n">
        <f aca="false">IF(I915="Opening",L915,U914+L915-S915)</f>
        <v>141884494.917754</v>
      </c>
      <c r="V915" s="9" t="n">
        <f aca="false">IF(T915&gt;0,U915/T915,IF(I915="Opening",0,V914))</f>
        <v>30171.3714732965</v>
      </c>
      <c r="W915" s="14" t="n">
        <f aca="false">M915</f>
        <v>0</v>
      </c>
      <c r="X915" s="9" t="n">
        <f aca="false">IF(W915=0,0,IF(O915="Booked",N915,W915*AA914))</f>
        <v>0</v>
      </c>
      <c r="Y915" s="14" t="n">
        <f aca="false">IF(I915="Opening",K915,Y914+K915-W915)</f>
        <v>4702.62</v>
      </c>
      <c r="Z915" s="9" t="n">
        <f aca="false">IF(I915="Opening",L915,Z914+L915-X915)</f>
        <v>141884494.917754</v>
      </c>
      <c r="AA915" s="9" t="n">
        <f aca="false">IF(Y915&gt;0,Z915/Y915,IF(I915="Opening",0,AA914))</f>
        <v>30171.3714732965</v>
      </c>
      <c r="AB915" s="9" t="n">
        <f aca="false">IF(AND(I915="DO",O915="MA"),S915-N915,0)</f>
        <v>0</v>
      </c>
      <c r="AC915" s="9" t="n">
        <f aca="false">IF(I915="DO",X915-S915,0)</f>
        <v>0</v>
      </c>
      <c r="AD915" s="23" t="n">
        <f aca="false">IF(B916&lt;&gt;B915,1,0)</f>
        <v>0</v>
      </c>
      <c r="AE915" s="14" t="n">
        <f aca="false">IF(I915="Opening",0,AE914+W915)</f>
        <v>1500.1</v>
      </c>
      <c r="AF915" s="14" t="n">
        <f aca="false">IF(I915="Opening",K915,AF914)</f>
        <v>0.02</v>
      </c>
      <c r="AG915" s="14" t="n">
        <f aca="false">AG914</f>
        <v>0</v>
      </c>
      <c r="AH915" s="14" t="n">
        <f aca="false">IF(W915=0,0,MAX(0,MIN(AE915,AF915)-MIN(AE915-W915,AF915)))</f>
        <v>0</v>
      </c>
      <c r="AI915" s="14" t="n">
        <f aca="false">IF(W915=0,0,MAX(0,MIN(AE915,AF915+AG915)-MAX(AE915-W915,AF915)))</f>
        <v>0</v>
      </c>
      <c r="AJ915" s="14" t="n">
        <f aca="false">W915-AH915-AI915</f>
        <v>0</v>
      </c>
      <c r="AK915" s="9" t="n">
        <f aca="false">IF(W915=0,0,X915*AH915/W915)</f>
        <v>0</v>
      </c>
      <c r="AL915" s="9" t="n">
        <f aca="false">IF(W915=0,0,X915*AI915/W915)</f>
        <v>0</v>
      </c>
      <c r="AM915" s="9" t="n">
        <f aca="false">X915-AK915-AL915</f>
        <v>0</v>
      </c>
    </row>
    <row r="916" customFormat="false" ht="15" hidden="false" customHeight="false" outlineLevel="0" collapsed="false">
      <c r="A916" s="6" t="n">
        <v>911</v>
      </c>
      <c r="B916" s="74" t="s">
        <v>1021</v>
      </c>
      <c r="C916" s="53" t="str">
        <f aca="false">INDEX(I_Items!$C$5:$C$133,MATCH($B916,I_Items!$A$5:$A$133,0))</f>
        <v>Trading</v>
      </c>
      <c r="D916" s="53" t="str">
        <f aca="false">INDEX(I_Items!$D$5:$D$133,MATCH($B916,I_Items!$A$5:$A$133,0))</f>
        <v>Karkas</v>
      </c>
      <c r="E916" s="53" t="str">
        <f aca="false">INDEX(I_Items!$F$5:$F$133,MATCH($B916,I_Items!$A$5:$A$133,0))</f>
        <v>Not stated in item master</v>
      </c>
      <c r="F916" s="53" t="str">
        <f aca="false">IF(INDEX(I_Items!$E$5:$E$133,MATCH($B916,I_Items!$A$5:$A$133,0))="","",INDEX(I_Items!$E$5:$E$133,MATCH($B916,I_Items!$A$5:$A$133,0)))</f>
        <v>Uk 0.6</v>
      </c>
      <c r="G916" s="76" t="n">
        <v>46249</v>
      </c>
      <c r="H916" s="23" t="n">
        <f aca="false">MONTH(G916)</f>
        <v>8</v>
      </c>
      <c r="I916" s="74" t="s">
        <v>2074</v>
      </c>
      <c r="J916" s="74" t="s">
        <v>2300</v>
      </c>
      <c r="K916" s="10" t="n">
        <v>4082.6</v>
      </c>
      <c r="L916" s="8" t="n">
        <v>122683981.46</v>
      </c>
      <c r="M916" s="10" t="n">
        <v>0</v>
      </c>
      <c r="N916" s="8" t="n">
        <v>0</v>
      </c>
      <c r="O916" s="74"/>
      <c r="P916" s="74"/>
      <c r="Q916" s="74"/>
      <c r="R916" s="14" t="n">
        <f aca="false">IF(I916="Unbilled",0,M916)</f>
        <v>0</v>
      </c>
      <c r="S916" s="9" t="n">
        <f aca="false">IF(R916=0,0,IF(O916="Booked",N916,R916*V915))</f>
        <v>0</v>
      </c>
      <c r="T916" s="14" t="n">
        <f aca="false">IF(I916="Opening",K916,T915+K916-R916)</f>
        <v>8785.22</v>
      </c>
      <c r="U916" s="9" t="n">
        <f aca="false">IF(I916="Opening",L916,U915+L916-S916)</f>
        <v>264568476.377754</v>
      </c>
      <c r="V916" s="9" t="n">
        <f aca="false">IF(T916&gt;0,U916/T916,IF(I916="Opening",0,V915))</f>
        <v>30115.179401057</v>
      </c>
      <c r="W916" s="14" t="n">
        <f aca="false">M916</f>
        <v>0</v>
      </c>
      <c r="X916" s="9" t="n">
        <f aca="false">IF(W916=0,0,IF(O916="Booked",N916,W916*AA915))</f>
        <v>0</v>
      </c>
      <c r="Y916" s="14" t="n">
        <f aca="false">IF(I916="Opening",K916,Y915+K916-W916)</f>
        <v>8785.22</v>
      </c>
      <c r="Z916" s="9" t="n">
        <f aca="false">IF(I916="Opening",L916,Z915+L916-X916)</f>
        <v>264568476.377754</v>
      </c>
      <c r="AA916" s="9" t="n">
        <f aca="false">IF(Y916&gt;0,Z916/Y916,IF(I916="Opening",0,AA915))</f>
        <v>30115.179401057</v>
      </c>
      <c r="AB916" s="9" t="n">
        <f aca="false">IF(AND(I916="DO",O916="MA"),S916-N916,0)</f>
        <v>0</v>
      </c>
      <c r="AC916" s="9" t="n">
        <f aca="false">IF(I916="DO",X916-S916,0)</f>
        <v>0</v>
      </c>
      <c r="AD916" s="23" t="n">
        <f aca="false">IF(B917&lt;&gt;B916,1,0)</f>
        <v>0</v>
      </c>
      <c r="AE916" s="14" t="n">
        <f aca="false">IF(I916="Opening",0,AE915+W916)</f>
        <v>1500.1</v>
      </c>
      <c r="AF916" s="14" t="n">
        <f aca="false">IF(I916="Opening",K916,AF915)</f>
        <v>0.02</v>
      </c>
      <c r="AG916" s="14" t="n">
        <f aca="false">AG915</f>
        <v>0</v>
      </c>
      <c r="AH916" s="14" t="n">
        <f aca="false">IF(W916=0,0,MAX(0,MIN(AE916,AF916)-MIN(AE916-W916,AF916)))</f>
        <v>0</v>
      </c>
      <c r="AI916" s="14" t="n">
        <f aca="false">IF(W916=0,0,MAX(0,MIN(AE916,AF916+AG916)-MAX(AE916-W916,AF916)))</f>
        <v>0</v>
      </c>
      <c r="AJ916" s="14" t="n">
        <f aca="false">W916-AH916-AI916</f>
        <v>0</v>
      </c>
      <c r="AK916" s="9" t="n">
        <f aca="false">IF(W916=0,0,X916*AH916/W916)</f>
        <v>0</v>
      </c>
      <c r="AL916" s="9" t="n">
        <f aca="false">IF(W916=0,0,X916*AI916/W916)</f>
        <v>0</v>
      </c>
      <c r="AM916" s="9" t="n">
        <f aca="false">X916-AK916-AL916</f>
        <v>0</v>
      </c>
    </row>
    <row r="917" customFormat="false" ht="15" hidden="false" customHeight="false" outlineLevel="0" collapsed="false">
      <c r="A917" s="6" t="n">
        <v>912</v>
      </c>
      <c r="B917" s="74" t="s">
        <v>1021</v>
      </c>
      <c r="C917" s="53" t="str">
        <f aca="false">INDEX(I_Items!$C$5:$C$133,MATCH($B917,I_Items!$A$5:$A$133,0))</f>
        <v>Trading</v>
      </c>
      <c r="D917" s="53" t="str">
        <f aca="false">INDEX(I_Items!$D$5:$D$133,MATCH($B917,I_Items!$A$5:$A$133,0))</f>
        <v>Karkas</v>
      </c>
      <c r="E917" s="53" t="str">
        <f aca="false">INDEX(I_Items!$F$5:$F$133,MATCH($B917,I_Items!$A$5:$A$133,0))</f>
        <v>Not stated in item master</v>
      </c>
      <c r="F917" s="53" t="str">
        <f aca="false">IF(INDEX(I_Items!$E$5:$E$133,MATCH($B917,I_Items!$A$5:$A$133,0))="","",INDEX(I_Items!$E$5:$E$133,MATCH($B917,I_Items!$A$5:$A$133,0)))</f>
        <v>Uk 0.6</v>
      </c>
      <c r="G917" s="76" t="n">
        <v>46253</v>
      </c>
      <c r="H917" s="23" t="n">
        <f aca="false">MONTH(G917)</f>
        <v>8</v>
      </c>
      <c r="I917" s="74" t="s">
        <v>2075</v>
      </c>
      <c r="J917" s="74" t="s">
        <v>2301</v>
      </c>
      <c r="K917" s="10" t="n">
        <v>0</v>
      </c>
      <c r="L917" s="8" t="n">
        <v>0</v>
      </c>
      <c r="M917" s="10" t="n">
        <v>1100.5</v>
      </c>
      <c r="N917" s="8" t="n">
        <v>33141754.93</v>
      </c>
      <c r="O917" s="74" t="s">
        <v>2077</v>
      </c>
      <c r="P917" s="74"/>
      <c r="Q917" s="74"/>
      <c r="R917" s="14" t="n">
        <f aca="false">IF(I917="Unbilled",0,M917)</f>
        <v>1100.5</v>
      </c>
      <c r="S917" s="9" t="n">
        <f aca="false">IF(R917=0,0,IF(O917="Booked",N917,R917*V916))</f>
        <v>33141754.9308632</v>
      </c>
      <c r="T917" s="14" t="n">
        <f aca="false">IF(I917="Opening",K917,T916+K917-R917)</f>
        <v>7684.72</v>
      </c>
      <c r="U917" s="9" t="n">
        <f aca="false">IF(I917="Opening",L917,U916+L917-S917)</f>
        <v>231426721.446891</v>
      </c>
      <c r="V917" s="9" t="n">
        <f aca="false">IF(T917&gt;0,U917/T917,IF(I917="Opening",0,V916))</f>
        <v>30115.179401057</v>
      </c>
      <c r="W917" s="14" t="n">
        <f aca="false">M917</f>
        <v>1100.5</v>
      </c>
      <c r="X917" s="9" t="n">
        <f aca="false">IF(W917=0,0,IF(O917="Booked",N917,W917*AA916))</f>
        <v>33141754.9308632</v>
      </c>
      <c r="Y917" s="14" t="n">
        <f aca="false">IF(I917="Opening",K917,Y916+K917-W917)</f>
        <v>7684.72</v>
      </c>
      <c r="Z917" s="9" t="n">
        <f aca="false">IF(I917="Opening",L917,Z916+L917-X917)</f>
        <v>231426721.446891</v>
      </c>
      <c r="AA917" s="9" t="n">
        <f aca="false">IF(Y917&gt;0,Z917/Y917,IF(I917="Opening",0,AA916))</f>
        <v>30115.179401057</v>
      </c>
      <c r="AB917" s="9" t="n">
        <f aca="false">IF(AND(I917="DO",O917="MA"),S917-N917,0)</f>
        <v>0.000863201916217804</v>
      </c>
      <c r="AC917" s="9" t="n">
        <f aca="false">IF(I917="DO",X917-S917,0)</f>
        <v>0</v>
      </c>
      <c r="AD917" s="23" t="n">
        <f aca="false">IF(B918&lt;&gt;B917,1,0)</f>
        <v>0</v>
      </c>
      <c r="AE917" s="14" t="n">
        <f aca="false">IF(I917="Opening",0,AE916+W917)</f>
        <v>2600.6</v>
      </c>
      <c r="AF917" s="14" t="n">
        <f aca="false">IF(I917="Opening",K917,AF916)</f>
        <v>0.02</v>
      </c>
      <c r="AG917" s="14" t="n">
        <f aca="false">AG916</f>
        <v>0</v>
      </c>
      <c r="AH917" s="14" t="n">
        <f aca="false">IF(W917=0,0,MAX(0,MIN(AE917,AF917)-MIN(AE917-W917,AF917)))</f>
        <v>0</v>
      </c>
      <c r="AI917" s="14" t="n">
        <f aca="false">IF(W917=0,0,MAX(0,MIN(AE917,AF917+AG917)-MAX(AE917-W917,AF917)))</f>
        <v>0</v>
      </c>
      <c r="AJ917" s="14" t="n">
        <f aca="false">W917-AH917-AI917</f>
        <v>1100.5</v>
      </c>
      <c r="AK917" s="9" t="n">
        <f aca="false">IF(W917=0,0,X917*AH917/W917)</f>
        <v>0</v>
      </c>
      <c r="AL917" s="9" t="n">
        <f aca="false">IF(W917=0,0,X917*AI917/W917)</f>
        <v>0</v>
      </c>
      <c r="AM917" s="9" t="n">
        <f aca="false">X917-AK917-AL917</f>
        <v>33141754.9308632</v>
      </c>
    </row>
    <row r="918" customFormat="false" ht="15" hidden="false" customHeight="false" outlineLevel="0" collapsed="false">
      <c r="A918" s="6" t="n">
        <v>913</v>
      </c>
      <c r="B918" s="74" t="s">
        <v>1021</v>
      </c>
      <c r="C918" s="53" t="str">
        <f aca="false">INDEX(I_Items!$C$5:$C$133,MATCH($B918,I_Items!$A$5:$A$133,0))</f>
        <v>Trading</v>
      </c>
      <c r="D918" s="53" t="str">
        <f aca="false">INDEX(I_Items!$D$5:$D$133,MATCH($B918,I_Items!$A$5:$A$133,0))</f>
        <v>Karkas</v>
      </c>
      <c r="E918" s="53" t="str">
        <f aca="false">INDEX(I_Items!$F$5:$F$133,MATCH($B918,I_Items!$A$5:$A$133,0))</f>
        <v>Not stated in item master</v>
      </c>
      <c r="F918" s="53" t="str">
        <f aca="false">IF(INDEX(I_Items!$E$5:$E$133,MATCH($B918,I_Items!$A$5:$A$133,0))="","",INDEX(I_Items!$E$5:$E$133,MATCH($B918,I_Items!$A$5:$A$133,0)))</f>
        <v>Uk 0.6</v>
      </c>
      <c r="G918" s="76" t="n">
        <v>46253</v>
      </c>
      <c r="H918" s="23" t="n">
        <f aca="false">MONTH(G918)</f>
        <v>8</v>
      </c>
      <c r="I918" s="74" t="s">
        <v>2075</v>
      </c>
      <c r="J918" s="74" t="s">
        <v>2179</v>
      </c>
      <c r="K918" s="10" t="n">
        <v>0</v>
      </c>
      <c r="L918" s="8" t="n">
        <v>0</v>
      </c>
      <c r="M918" s="10" t="n">
        <v>367</v>
      </c>
      <c r="N918" s="8" t="n">
        <v>11052270.84</v>
      </c>
      <c r="O918" s="74" t="s">
        <v>2077</v>
      </c>
      <c r="P918" s="74"/>
      <c r="Q918" s="74"/>
      <c r="R918" s="14" t="n">
        <f aca="false">IF(I918="Unbilled",0,M918)</f>
        <v>367</v>
      </c>
      <c r="S918" s="9" t="n">
        <f aca="false">IF(R918=0,0,IF(O918="Booked",N918,R918*V917))</f>
        <v>11052270.8401879</v>
      </c>
      <c r="T918" s="14" t="n">
        <f aca="false">IF(I918="Opening",K918,T917+K918-R918)</f>
        <v>7317.72</v>
      </c>
      <c r="U918" s="9" t="n">
        <f aca="false">IF(I918="Opening",L918,U917+L918-S918)</f>
        <v>220374450.606703</v>
      </c>
      <c r="V918" s="9" t="n">
        <f aca="false">IF(T918&gt;0,U918/T918,IF(I918="Opening",0,V917))</f>
        <v>30115.179401057</v>
      </c>
      <c r="W918" s="14" t="n">
        <f aca="false">M918</f>
        <v>367</v>
      </c>
      <c r="X918" s="9" t="n">
        <f aca="false">IF(W918=0,0,IF(O918="Booked",N918,W918*AA917))</f>
        <v>11052270.8401879</v>
      </c>
      <c r="Y918" s="14" t="n">
        <f aca="false">IF(I918="Opening",K918,Y917+K918-W918)</f>
        <v>7317.72</v>
      </c>
      <c r="Z918" s="9" t="n">
        <f aca="false">IF(I918="Opening",L918,Z917+L918-X918)</f>
        <v>220374450.606703</v>
      </c>
      <c r="AA918" s="9" t="n">
        <f aca="false">IF(Y918&gt;0,Z918/Y918,IF(I918="Opening",0,AA917))</f>
        <v>30115.179401057</v>
      </c>
      <c r="AB918" s="9" t="n">
        <f aca="false">IF(AND(I918="DO",O918="MA"),S918-N918,0)</f>
        <v>0.000187911093235016</v>
      </c>
      <c r="AC918" s="9" t="n">
        <f aca="false">IF(I918="DO",X918-S918,0)</f>
        <v>0</v>
      </c>
      <c r="AD918" s="23" t="n">
        <f aca="false">IF(B919&lt;&gt;B918,1,0)</f>
        <v>0</v>
      </c>
      <c r="AE918" s="14" t="n">
        <f aca="false">IF(I918="Opening",0,AE917+W918)</f>
        <v>2967.6</v>
      </c>
      <c r="AF918" s="14" t="n">
        <f aca="false">IF(I918="Opening",K918,AF917)</f>
        <v>0.02</v>
      </c>
      <c r="AG918" s="14" t="n">
        <f aca="false">AG917</f>
        <v>0</v>
      </c>
      <c r="AH918" s="14" t="n">
        <f aca="false">IF(W918=0,0,MAX(0,MIN(AE918,AF918)-MIN(AE918-W918,AF918)))</f>
        <v>0</v>
      </c>
      <c r="AI918" s="14" t="n">
        <f aca="false">IF(W918=0,0,MAX(0,MIN(AE918,AF918+AG918)-MAX(AE918-W918,AF918)))</f>
        <v>0</v>
      </c>
      <c r="AJ918" s="14" t="n">
        <f aca="false">W918-AH918-AI918</f>
        <v>367</v>
      </c>
      <c r="AK918" s="9" t="n">
        <f aca="false">IF(W918=0,0,X918*AH918/W918)</f>
        <v>0</v>
      </c>
      <c r="AL918" s="9" t="n">
        <f aca="false">IF(W918=0,0,X918*AI918/W918)</f>
        <v>0</v>
      </c>
      <c r="AM918" s="9" t="n">
        <f aca="false">X918-AK918-AL918</f>
        <v>11052270.8401879</v>
      </c>
    </row>
    <row r="919" customFormat="false" ht="15" hidden="false" customHeight="false" outlineLevel="0" collapsed="false">
      <c r="A919" s="6" t="n">
        <v>914</v>
      </c>
      <c r="B919" s="74" t="s">
        <v>1021</v>
      </c>
      <c r="C919" s="53" t="str">
        <f aca="false">INDEX(I_Items!$C$5:$C$133,MATCH($B919,I_Items!$A$5:$A$133,0))</f>
        <v>Trading</v>
      </c>
      <c r="D919" s="53" t="str">
        <f aca="false">INDEX(I_Items!$D$5:$D$133,MATCH($B919,I_Items!$A$5:$A$133,0))</f>
        <v>Karkas</v>
      </c>
      <c r="E919" s="53" t="str">
        <f aca="false">INDEX(I_Items!$F$5:$F$133,MATCH($B919,I_Items!$A$5:$A$133,0))</f>
        <v>Not stated in item master</v>
      </c>
      <c r="F919" s="53" t="str">
        <f aca="false">IF(INDEX(I_Items!$E$5:$E$133,MATCH($B919,I_Items!$A$5:$A$133,0))="","",INDEX(I_Items!$E$5:$E$133,MATCH($B919,I_Items!$A$5:$A$133,0)))</f>
        <v>Uk 0.6</v>
      </c>
      <c r="G919" s="76" t="n">
        <v>46253</v>
      </c>
      <c r="H919" s="23" t="n">
        <f aca="false">MONTH(G919)</f>
        <v>8</v>
      </c>
      <c r="I919" s="74" t="s">
        <v>2075</v>
      </c>
      <c r="J919" s="74" t="s">
        <v>2180</v>
      </c>
      <c r="K919" s="10" t="n">
        <v>0</v>
      </c>
      <c r="L919" s="8" t="n">
        <v>0</v>
      </c>
      <c r="M919" s="10" t="n">
        <v>1214.7</v>
      </c>
      <c r="N919" s="8" t="n">
        <v>36580908.42</v>
      </c>
      <c r="O919" s="74" t="s">
        <v>2077</v>
      </c>
      <c r="P919" s="74"/>
      <c r="Q919" s="74"/>
      <c r="R919" s="14" t="n">
        <f aca="false">IF(I919="Unbilled",0,M919)</f>
        <v>1214.7</v>
      </c>
      <c r="S919" s="9" t="n">
        <f aca="false">IF(R919=0,0,IF(O919="Booked",N919,R919*V918))</f>
        <v>36580908.4184639</v>
      </c>
      <c r="T919" s="14" t="n">
        <f aca="false">IF(I919="Opening",K919,T918+K919-R919)</f>
        <v>6103.02</v>
      </c>
      <c r="U919" s="9" t="n">
        <f aca="false">IF(I919="Opening",L919,U918+L919-S919)</f>
        <v>183793542.188239</v>
      </c>
      <c r="V919" s="9" t="n">
        <f aca="false">IF(T919&gt;0,U919/T919,IF(I919="Opening",0,V918))</f>
        <v>30115.179401057</v>
      </c>
      <c r="W919" s="14" t="n">
        <f aca="false">M919</f>
        <v>1214.7</v>
      </c>
      <c r="X919" s="9" t="n">
        <f aca="false">IF(W919=0,0,IF(O919="Booked",N919,W919*AA918))</f>
        <v>36580908.4184639</v>
      </c>
      <c r="Y919" s="14" t="n">
        <f aca="false">IF(I919="Opening",K919,Y918+K919-W919)</f>
        <v>6103.02</v>
      </c>
      <c r="Z919" s="9" t="n">
        <f aca="false">IF(I919="Opening",L919,Z918+L919-X919)</f>
        <v>183793542.188239</v>
      </c>
      <c r="AA919" s="9" t="n">
        <f aca="false">IF(Y919&gt;0,Z919/Y919,IF(I919="Opening",0,AA918))</f>
        <v>30115.179401057</v>
      </c>
      <c r="AB919" s="9" t="n">
        <f aca="false">IF(AND(I919="DO",O919="MA"),S919-N919,0)</f>
        <v>-0.00153609365224838</v>
      </c>
      <c r="AC919" s="9" t="n">
        <f aca="false">IF(I919="DO",X919-S919,0)</f>
        <v>0</v>
      </c>
      <c r="AD919" s="23" t="n">
        <f aca="false">IF(B920&lt;&gt;B919,1,0)</f>
        <v>0</v>
      </c>
      <c r="AE919" s="14" t="n">
        <f aca="false">IF(I919="Opening",0,AE918+W919)</f>
        <v>4182.3</v>
      </c>
      <c r="AF919" s="14" t="n">
        <f aca="false">IF(I919="Opening",K919,AF918)</f>
        <v>0.02</v>
      </c>
      <c r="AG919" s="14" t="n">
        <f aca="false">AG918</f>
        <v>0</v>
      </c>
      <c r="AH919" s="14" t="n">
        <f aca="false">IF(W919=0,0,MAX(0,MIN(AE919,AF919)-MIN(AE919-W919,AF919)))</f>
        <v>0</v>
      </c>
      <c r="AI919" s="14" t="n">
        <f aca="false">IF(W919=0,0,MAX(0,MIN(AE919,AF919+AG919)-MAX(AE919-W919,AF919)))</f>
        <v>0</v>
      </c>
      <c r="AJ919" s="14" t="n">
        <f aca="false">W919-AH919-AI919</f>
        <v>1214.7</v>
      </c>
      <c r="AK919" s="9" t="n">
        <f aca="false">IF(W919=0,0,X919*AH919/W919)</f>
        <v>0</v>
      </c>
      <c r="AL919" s="9" t="n">
        <f aca="false">IF(W919=0,0,X919*AI919/W919)</f>
        <v>0</v>
      </c>
      <c r="AM919" s="9" t="n">
        <f aca="false">X919-AK919-AL919</f>
        <v>36580908.4184639</v>
      </c>
    </row>
    <row r="920" customFormat="false" ht="15" hidden="false" customHeight="false" outlineLevel="0" collapsed="false">
      <c r="A920" s="6" t="n">
        <v>915</v>
      </c>
      <c r="B920" s="74" t="s">
        <v>1021</v>
      </c>
      <c r="C920" s="53" t="str">
        <f aca="false">INDEX(I_Items!$C$5:$C$133,MATCH($B920,I_Items!$A$5:$A$133,0))</f>
        <v>Trading</v>
      </c>
      <c r="D920" s="53" t="str">
        <f aca="false">INDEX(I_Items!$D$5:$D$133,MATCH($B920,I_Items!$A$5:$A$133,0))</f>
        <v>Karkas</v>
      </c>
      <c r="E920" s="53" t="str">
        <f aca="false">INDEX(I_Items!$F$5:$F$133,MATCH($B920,I_Items!$A$5:$A$133,0))</f>
        <v>Not stated in item master</v>
      </c>
      <c r="F920" s="53" t="str">
        <f aca="false">IF(INDEX(I_Items!$E$5:$E$133,MATCH($B920,I_Items!$A$5:$A$133,0))="","",INDEX(I_Items!$E$5:$E$133,MATCH($B920,I_Items!$A$5:$A$133,0)))</f>
        <v>Uk 0.6</v>
      </c>
      <c r="G920" s="76" t="n">
        <v>46253</v>
      </c>
      <c r="H920" s="23" t="n">
        <f aca="false">MONTH(G920)</f>
        <v>8</v>
      </c>
      <c r="I920" s="74" t="s">
        <v>2075</v>
      </c>
      <c r="J920" s="74" t="s">
        <v>2181</v>
      </c>
      <c r="K920" s="10" t="n">
        <v>0</v>
      </c>
      <c r="L920" s="8" t="n">
        <v>0</v>
      </c>
      <c r="M920" s="10" t="n">
        <v>1005.8</v>
      </c>
      <c r="N920" s="8" t="n">
        <v>30289847.44</v>
      </c>
      <c r="O920" s="74" t="s">
        <v>2077</v>
      </c>
      <c r="P920" s="74"/>
      <c r="Q920" s="74"/>
      <c r="R920" s="14" t="n">
        <f aca="false">IF(I920="Unbilled",0,M920)</f>
        <v>1005.8</v>
      </c>
      <c r="S920" s="9" t="n">
        <f aca="false">IF(R920=0,0,IF(O920="Booked",N920,R920*V919))</f>
        <v>30289847.4415831</v>
      </c>
      <c r="T920" s="14" t="n">
        <f aca="false">IF(I920="Opening",K920,T919+K920-R920)</f>
        <v>5097.22</v>
      </c>
      <c r="U920" s="9" t="n">
        <f aca="false">IF(I920="Opening",L920,U919+L920-S920)</f>
        <v>153503694.746656</v>
      </c>
      <c r="V920" s="9" t="n">
        <f aca="false">IF(T920&gt;0,U920/T920,IF(I920="Opening",0,V919))</f>
        <v>30115.179401057</v>
      </c>
      <c r="W920" s="14" t="n">
        <f aca="false">M920</f>
        <v>1005.8</v>
      </c>
      <c r="X920" s="9" t="n">
        <f aca="false">IF(W920=0,0,IF(O920="Booked",N920,W920*AA919))</f>
        <v>30289847.4415831</v>
      </c>
      <c r="Y920" s="14" t="n">
        <f aca="false">IF(I920="Opening",K920,Y919+K920-W920)</f>
        <v>5097.22</v>
      </c>
      <c r="Z920" s="9" t="n">
        <f aca="false">IF(I920="Opening",L920,Z919+L920-X920)</f>
        <v>153503694.746656</v>
      </c>
      <c r="AA920" s="9" t="n">
        <f aca="false">IF(Y920&gt;0,Z920/Y920,IF(I920="Opening",0,AA919))</f>
        <v>30115.179401057</v>
      </c>
      <c r="AB920" s="9" t="n">
        <f aca="false">IF(AND(I920="DO",O920="MA"),S920-N920,0)</f>
        <v>0.00158309936523438</v>
      </c>
      <c r="AC920" s="9" t="n">
        <f aca="false">IF(I920="DO",X920-S920,0)</f>
        <v>0</v>
      </c>
      <c r="AD920" s="23" t="n">
        <f aca="false">IF(B921&lt;&gt;B920,1,0)</f>
        <v>0</v>
      </c>
      <c r="AE920" s="14" t="n">
        <f aca="false">IF(I920="Opening",0,AE919+W920)</f>
        <v>5188.1</v>
      </c>
      <c r="AF920" s="14" t="n">
        <f aca="false">IF(I920="Opening",K920,AF919)</f>
        <v>0.02</v>
      </c>
      <c r="AG920" s="14" t="n">
        <f aca="false">AG919</f>
        <v>0</v>
      </c>
      <c r="AH920" s="14" t="n">
        <f aca="false">IF(W920=0,0,MAX(0,MIN(AE920,AF920)-MIN(AE920-W920,AF920)))</f>
        <v>0</v>
      </c>
      <c r="AI920" s="14" t="n">
        <f aca="false">IF(W920=0,0,MAX(0,MIN(AE920,AF920+AG920)-MAX(AE920-W920,AF920)))</f>
        <v>0</v>
      </c>
      <c r="AJ920" s="14" t="n">
        <f aca="false">W920-AH920-AI920</f>
        <v>1005.8</v>
      </c>
      <c r="AK920" s="9" t="n">
        <f aca="false">IF(W920=0,0,X920*AH920/W920)</f>
        <v>0</v>
      </c>
      <c r="AL920" s="9" t="n">
        <f aca="false">IF(W920=0,0,X920*AI920/W920)</f>
        <v>0</v>
      </c>
      <c r="AM920" s="9" t="n">
        <f aca="false">X920-AK920-AL920</f>
        <v>30289847.4415831</v>
      </c>
    </row>
    <row r="921" customFormat="false" ht="15" hidden="false" customHeight="false" outlineLevel="0" collapsed="false">
      <c r="A921" s="6" t="n">
        <v>916</v>
      </c>
      <c r="B921" s="74" t="s">
        <v>1021</v>
      </c>
      <c r="C921" s="53" t="str">
        <f aca="false">INDEX(I_Items!$C$5:$C$133,MATCH($B921,I_Items!$A$5:$A$133,0))</f>
        <v>Trading</v>
      </c>
      <c r="D921" s="53" t="str">
        <f aca="false">INDEX(I_Items!$D$5:$D$133,MATCH($B921,I_Items!$A$5:$A$133,0))</f>
        <v>Karkas</v>
      </c>
      <c r="E921" s="53" t="str">
        <f aca="false">INDEX(I_Items!$F$5:$F$133,MATCH($B921,I_Items!$A$5:$A$133,0))</f>
        <v>Not stated in item master</v>
      </c>
      <c r="F921" s="53" t="str">
        <f aca="false">IF(INDEX(I_Items!$E$5:$E$133,MATCH($B921,I_Items!$A$5:$A$133,0))="","",INDEX(I_Items!$E$5:$E$133,MATCH($B921,I_Items!$A$5:$A$133,0)))</f>
        <v>Uk 0.6</v>
      </c>
      <c r="G921" s="76" t="n">
        <v>46258</v>
      </c>
      <c r="H921" s="23" t="n">
        <f aca="false">MONTH(G921)</f>
        <v>8</v>
      </c>
      <c r="I921" s="74" t="s">
        <v>2075</v>
      </c>
      <c r="J921" s="74" t="s">
        <v>2302</v>
      </c>
      <c r="K921" s="10" t="n">
        <v>0</v>
      </c>
      <c r="L921" s="8" t="n">
        <v>0</v>
      </c>
      <c r="M921" s="10" t="n">
        <v>209.73</v>
      </c>
      <c r="N921" s="8" t="n">
        <v>6316056.58</v>
      </c>
      <c r="O921" s="74" t="s">
        <v>2077</v>
      </c>
      <c r="P921" s="74"/>
      <c r="Q921" s="74"/>
      <c r="R921" s="14" t="n">
        <f aca="false">IF(I921="Unbilled",0,M921)</f>
        <v>209.73</v>
      </c>
      <c r="S921" s="9" t="n">
        <f aca="false">IF(R921=0,0,IF(O921="Booked",N921,R921*V920))</f>
        <v>6316056.57578368</v>
      </c>
      <c r="T921" s="14" t="n">
        <f aca="false">IF(I921="Opening",K921,T920+K921-R921)</f>
        <v>4887.49</v>
      </c>
      <c r="U921" s="9" t="n">
        <f aca="false">IF(I921="Opening",L921,U920+L921-S921)</f>
        <v>147187638.170872</v>
      </c>
      <c r="V921" s="9" t="n">
        <f aca="false">IF(T921&gt;0,U921/T921,IF(I921="Opening",0,V920))</f>
        <v>30115.179401057</v>
      </c>
      <c r="W921" s="14" t="n">
        <f aca="false">M921</f>
        <v>209.73</v>
      </c>
      <c r="X921" s="9" t="n">
        <f aca="false">IF(W921=0,0,IF(O921="Booked",N921,W921*AA920))</f>
        <v>6316056.57578368</v>
      </c>
      <c r="Y921" s="14" t="n">
        <f aca="false">IF(I921="Opening",K921,Y920+K921-W921)</f>
        <v>4887.49</v>
      </c>
      <c r="Z921" s="9" t="n">
        <f aca="false">IF(I921="Opening",L921,Z920+L921-X921)</f>
        <v>147187638.170872</v>
      </c>
      <c r="AA921" s="9" t="n">
        <f aca="false">IF(Y921&gt;0,Z921/Y921,IF(I921="Opening",0,AA920))</f>
        <v>30115.179401057</v>
      </c>
      <c r="AB921" s="9" t="n">
        <f aca="false">IF(AND(I921="DO",O921="MA"),S921-N921,0)</f>
        <v>-0.00421632081270218</v>
      </c>
      <c r="AC921" s="9" t="n">
        <f aca="false">IF(I921="DO",X921-S921,0)</f>
        <v>0</v>
      </c>
      <c r="AD921" s="23" t="n">
        <f aca="false">IF(B922&lt;&gt;B921,1,0)</f>
        <v>0</v>
      </c>
      <c r="AE921" s="14" t="n">
        <f aca="false">IF(I921="Opening",0,AE920+W921)</f>
        <v>5397.83</v>
      </c>
      <c r="AF921" s="14" t="n">
        <f aca="false">IF(I921="Opening",K921,AF920)</f>
        <v>0.02</v>
      </c>
      <c r="AG921" s="14" t="n">
        <f aca="false">AG920</f>
        <v>0</v>
      </c>
      <c r="AH921" s="14" t="n">
        <f aca="false">IF(W921=0,0,MAX(0,MIN(AE921,AF921)-MIN(AE921-W921,AF921)))</f>
        <v>0</v>
      </c>
      <c r="AI921" s="14" t="n">
        <f aca="false">IF(W921=0,0,MAX(0,MIN(AE921,AF921+AG921)-MAX(AE921-W921,AF921)))</f>
        <v>0</v>
      </c>
      <c r="AJ921" s="14" t="n">
        <f aca="false">W921-AH921-AI921</f>
        <v>209.73</v>
      </c>
      <c r="AK921" s="9" t="n">
        <f aca="false">IF(W921=0,0,X921*AH921/W921)</f>
        <v>0</v>
      </c>
      <c r="AL921" s="9" t="n">
        <f aca="false">IF(W921=0,0,X921*AI921/W921)</f>
        <v>0</v>
      </c>
      <c r="AM921" s="9" t="n">
        <f aca="false">X921-AK921-AL921</f>
        <v>6316056.57578368</v>
      </c>
    </row>
    <row r="922" customFormat="false" ht="15" hidden="false" customHeight="false" outlineLevel="0" collapsed="false">
      <c r="A922" s="6" t="n">
        <v>917</v>
      </c>
      <c r="B922" s="74" t="s">
        <v>1021</v>
      </c>
      <c r="C922" s="53" t="str">
        <f aca="false">INDEX(I_Items!$C$5:$C$133,MATCH($B922,I_Items!$A$5:$A$133,0))</f>
        <v>Trading</v>
      </c>
      <c r="D922" s="53" t="str">
        <f aca="false">INDEX(I_Items!$D$5:$D$133,MATCH($B922,I_Items!$A$5:$A$133,0))</f>
        <v>Karkas</v>
      </c>
      <c r="E922" s="53" t="str">
        <f aca="false">INDEX(I_Items!$F$5:$F$133,MATCH($B922,I_Items!$A$5:$A$133,0))</f>
        <v>Not stated in item master</v>
      </c>
      <c r="F922" s="53" t="str">
        <f aca="false">IF(INDEX(I_Items!$E$5:$E$133,MATCH($B922,I_Items!$A$5:$A$133,0))="","",INDEX(I_Items!$E$5:$E$133,MATCH($B922,I_Items!$A$5:$A$133,0)))</f>
        <v>Uk 0.6</v>
      </c>
      <c r="G922" s="76" t="n">
        <v>46258</v>
      </c>
      <c r="H922" s="23" t="n">
        <f aca="false">MONTH(G922)</f>
        <v>8</v>
      </c>
      <c r="I922" s="74" t="s">
        <v>2075</v>
      </c>
      <c r="J922" s="74" t="s">
        <v>2186</v>
      </c>
      <c r="K922" s="10" t="n">
        <v>0</v>
      </c>
      <c r="L922" s="8" t="n">
        <v>0</v>
      </c>
      <c r="M922" s="10" t="n">
        <v>800.2</v>
      </c>
      <c r="N922" s="8" t="n">
        <v>24098166.56</v>
      </c>
      <c r="O922" s="74" t="s">
        <v>2077</v>
      </c>
      <c r="P922" s="74"/>
      <c r="Q922" s="74"/>
      <c r="R922" s="14" t="n">
        <f aca="false">IF(I922="Unbilled",0,M922)</f>
        <v>800.2</v>
      </c>
      <c r="S922" s="9" t="n">
        <f aca="false">IF(R922=0,0,IF(O922="Booked",N922,R922*V921))</f>
        <v>24098166.5567258</v>
      </c>
      <c r="T922" s="14" t="n">
        <f aca="false">IF(I922="Opening",K922,T921+K922-R922)</f>
        <v>4087.29</v>
      </c>
      <c r="U922" s="9" t="n">
        <f aca="false">IF(I922="Opening",L922,U921+L922-S922)</f>
        <v>123089471.614146</v>
      </c>
      <c r="V922" s="9" t="n">
        <f aca="false">IF(T922&gt;0,U922/T922,IF(I922="Opening",0,V921))</f>
        <v>30115.179401057</v>
      </c>
      <c r="W922" s="14" t="n">
        <f aca="false">M922</f>
        <v>800.2</v>
      </c>
      <c r="X922" s="9" t="n">
        <f aca="false">IF(W922=0,0,IF(O922="Booked",N922,W922*AA921))</f>
        <v>24098166.5567258</v>
      </c>
      <c r="Y922" s="14" t="n">
        <f aca="false">IF(I922="Opening",K922,Y921+K922-W922)</f>
        <v>4087.29</v>
      </c>
      <c r="Z922" s="9" t="n">
        <f aca="false">IF(I922="Opening",L922,Z921+L922-X922)</f>
        <v>123089471.614146</v>
      </c>
      <c r="AA922" s="9" t="n">
        <f aca="false">IF(Y922&gt;0,Z922/Y922,IF(I922="Opening",0,AA921))</f>
        <v>30115.179401057</v>
      </c>
      <c r="AB922" s="9" t="n">
        <f aca="false">IF(AND(I922="DO",O922="MA"),S922-N922,0)</f>
        <v>-0.00327420607209206</v>
      </c>
      <c r="AC922" s="9" t="n">
        <f aca="false">IF(I922="DO",X922-S922,0)</f>
        <v>0</v>
      </c>
      <c r="AD922" s="23" t="n">
        <f aca="false">IF(B923&lt;&gt;B922,1,0)</f>
        <v>0</v>
      </c>
      <c r="AE922" s="14" t="n">
        <f aca="false">IF(I922="Opening",0,AE921+W922)</f>
        <v>6198.03</v>
      </c>
      <c r="AF922" s="14" t="n">
        <f aca="false">IF(I922="Opening",K922,AF921)</f>
        <v>0.02</v>
      </c>
      <c r="AG922" s="14" t="n">
        <f aca="false">AG921</f>
        <v>0</v>
      </c>
      <c r="AH922" s="14" t="n">
        <f aca="false">IF(W922=0,0,MAX(0,MIN(AE922,AF922)-MIN(AE922-W922,AF922)))</f>
        <v>0</v>
      </c>
      <c r="AI922" s="14" t="n">
        <f aca="false">IF(W922=0,0,MAX(0,MIN(AE922,AF922+AG922)-MAX(AE922-W922,AF922)))</f>
        <v>0</v>
      </c>
      <c r="AJ922" s="14" t="n">
        <f aca="false">W922-AH922-AI922</f>
        <v>800.2</v>
      </c>
      <c r="AK922" s="9" t="n">
        <f aca="false">IF(W922=0,0,X922*AH922/W922)</f>
        <v>0</v>
      </c>
      <c r="AL922" s="9" t="n">
        <f aca="false">IF(W922=0,0,X922*AI922/W922)</f>
        <v>0</v>
      </c>
      <c r="AM922" s="9" t="n">
        <f aca="false">X922-AK922-AL922</f>
        <v>24098166.5567258</v>
      </c>
    </row>
    <row r="923" customFormat="false" ht="15" hidden="false" customHeight="false" outlineLevel="0" collapsed="false">
      <c r="A923" s="6" t="n">
        <v>918</v>
      </c>
      <c r="B923" s="74" t="s">
        <v>1021</v>
      </c>
      <c r="C923" s="53" t="str">
        <f aca="false">INDEX(I_Items!$C$5:$C$133,MATCH($B923,I_Items!$A$5:$A$133,0))</f>
        <v>Trading</v>
      </c>
      <c r="D923" s="53" t="str">
        <f aca="false">INDEX(I_Items!$D$5:$D$133,MATCH($B923,I_Items!$A$5:$A$133,0))</f>
        <v>Karkas</v>
      </c>
      <c r="E923" s="53" t="str">
        <f aca="false">INDEX(I_Items!$F$5:$F$133,MATCH($B923,I_Items!$A$5:$A$133,0))</f>
        <v>Not stated in item master</v>
      </c>
      <c r="F923" s="53" t="str">
        <f aca="false">IF(INDEX(I_Items!$E$5:$E$133,MATCH($B923,I_Items!$A$5:$A$133,0))="","",INDEX(I_Items!$E$5:$E$133,MATCH($B923,I_Items!$A$5:$A$133,0)))</f>
        <v>Uk 0.6</v>
      </c>
      <c r="G923" s="76" t="n">
        <v>46261</v>
      </c>
      <c r="H923" s="23" t="n">
        <f aca="false">MONTH(G923)</f>
        <v>8</v>
      </c>
      <c r="I923" s="74" t="s">
        <v>2075</v>
      </c>
      <c r="J923" s="74" t="s">
        <v>2174</v>
      </c>
      <c r="K923" s="10" t="n">
        <v>0</v>
      </c>
      <c r="L923" s="8" t="n">
        <v>0</v>
      </c>
      <c r="M923" s="10" t="n">
        <v>1015.51</v>
      </c>
      <c r="N923" s="8" t="n">
        <v>30582265.83</v>
      </c>
      <c r="O923" s="74" t="s">
        <v>2077</v>
      </c>
      <c r="P923" s="74"/>
      <c r="Q923" s="74"/>
      <c r="R923" s="14" t="n">
        <f aca="false">IF(I923="Unbilled",0,M923)</f>
        <v>1015.51</v>
      </c>
      <c r="S923" s="9" t="n">
        <f aca="false">IF(R923=0,0,IF(O923="Booked",N923,R923*V922))</f>
        <v>30582265.8335674</v>
      </c>
      <c r="T923" s="14" t="n">
        <f aca="false">IF(I923="Opening",K923,T922+K923-R923)</f>
        <v>3071.78</v>
      </c>
      <c r="U923" s="9" t="n">
        <f aca="false">IF(I923="Opening",L923,U922+L923-S923)</f>
        <v>92507205.7805788</v>
      </c>
      <c r="V923" s="9" t="n">
        <f aca="false">IF(T923&gt;0,U923/T923,IF(I923="Opening",0,V922))</f>
        <v>30115.179401057</v>
      </c>
      <c r="W923" s="14" t="n">
        <f aca="false">M923</f>
        <v>1015.51</v>
      </c>
      <c r="X923" s="9" t="n">
        <f aca="false">IF(W923=0,0,IF(O923="Booked",N923,W923*AA922))</f>
        <v>30582265.8335674</v>
      </c>
      <c r="Y923" s="14" t="n">
        <f aca="false">IF(I923="Opening",K923,Y922+K923-W923)</f>
        <v>3071.78</v>
      </c>
      <c r="Z923" s="9" t="n">
        <f aca="false">IF(I923="Opening",L923,Z922+L923-X923)</f>
        <v>92507205.7805788</v>
      </c>
      <c r="AA923" s="9" t="n">
        <f aca="false">IF(Y923&gt;0,Z923/Y923,IF(I923="Opening",0,AA922))</f>
        <v>30115.179401057</v>
      </c>
      <c r="AB923" s="9" t="n">
        <f aca="false">IF(AND(I923="DO",O923="MA"),S923-N923,0)</f>
        <v>0.00356736779212952</v>
      </c>
      <c r="AC923" s="9" t="n">
        <f aca="false">IF(I923="DO",X923-S923,0)</f>
        <v>0</v>
      </c>
      <c r="AD923" s="23" t="n">
        <f aca="false">IF(B924&lt;&gt;B923,1,0)</f>
        <v>0</v>
      </c>
      <c r="AE923" s="14" t="n">
        <f aca="false">IF(I923="Opening",0,AE922+W923)</f>
        <v>7213.54</v>
      </c>
      <c r="AF923" s="14" t="n">
        <f aca="false">IF(I923="Opening",K923,AF922)</f>
        <v>0.02</v>
      </c>
      <c r="AG923" s="14" t="n">
        <f aca="false">AG922</f>
        <v>0</v>
      </c>
      <c r="AH923" s="14" t="n">
        <f aca="false">IF(W923=0,0,MAX(0,MIN(AE923,AF923)-MIN(AE923-W923,AF923)))</f>
        <v>0</v>
      </c>
      <c r="AI923" s="14" t="n">
        <f aca="false">IF(W923=0,0,MAX(0,MIN(AE923,AF923+AG923)-MAX(AE923-W923,AF923)))</f>
        <v>0</v>
      </c>
      <c r="AJ923" s="14" t="n">
        <f aca="false">W923-AH923-AI923</f>
        <v>1015.51</v>
      </c>
      <c r="AK923" s="9" t="n">
        <f aca="false">IF(W923=0,0,X923*AH923/W923)</f>
        <v>0</v>
      </c>
      <c r="AL923" s="9" t="n">
        <f aca="false">IF(W923=0,0,X923*AI923/W923)</f>
        <v>0</v>
      </c>
      <c r="AM923" s="9" t="n">
        <f aca="false">X923-AK923-AL923</f>
        <v>30582265.8335674</v>
      </c>
    </row>
    <row r="924" customFormat="false" ht="15" hidden="false" customHeight="false" outlineLevel="0" collapsed="false">
      <c r="A924" s="6" t="n">
        <v>919</v>
      </c>
      <c r="B924" s="74" t="s">
        <v>1021</v>
      </c>
      <c r="C924" s="53" t="str">
        <f aca="false">INDEX(I_Items!$C$5:$C$133,MATCH($B924,I_Items!$A$5:$A$133,0))</f>
        <v>Trading</v>
      </c>
      <c r="D924" s="53" t="str">
        <f aca="false">INDEX(I_Items!$D$5:$D$133,MATCH($B924,I_Items!$A$5:$A$133,0))</f>
        <v>Karkas</v>
      </c>
      <c r="E924" s="53" t="str">
        <f aca="false">INDEX(I_Items!$F$5:$F$133,MATCH($B924,I_Items!$A$5:$A$133,0))</f>
        <v>Not stated in item master</v>
      </c>
      <c r="F924" s="53" t="str">
        <f aca="false">IF(INDEX(I_Items!$E$5:$E$133,MATCH($B924,I_Items!$A$5:$A$133,0))="","",INDEX(I_Items!$E$5:$E$133,MATCH($B924,I_Items!$A$5:$A$133,0)))</f>
        <v>Uk 0.6</v>
      </c>
      <c r="G924" s="76" t="n">
        <v>46263</v>
      </c>
      <c r="H924" s="23" t="n">
        <f aca="false">MONTH(G924)</f>
        <v>8</v>
      </c>
      <c r="I924" s="74" t="s">
        <v>2075</v>
      </c>
      <c r="J924" s="74" t="s">
        <v>2148</v>
      </c>
      <c r="K924" s="10" t="n">
        <v>0</v>
      </c>
      <c r="L924" s="8" t="n">
        <v>0</v>
      </c>
      <c r="M924" s="10" t="n">
        <v>323.76</v>
      </c>
      <c r="N924" s="8" t="n">
        <v>9750090.48</v>
      </c>
      <c r="O924" s="74" t="s">
        <v>2077</v>
      </c>
      <c r="P924" s="74"/>
      <c r="Q924" s="74"/>
      <c r="R924" s="14" t="n">
        <f aca="false">IF(I924="Unbilled",0,M924)</f>
        <v>323.76</v>
      </c>
      <c r="S924" s="9" t="n">
        <f aca="false">IF(R924=0,0,IF(O924="Booked",N924,R924*V923))</f>
        <v>9750090.4828862</v>
      </c>
      <c r="T924" s="14" t="n">
        <f aca="false">IF(I924="Opening",K924,T923+K924-R924)</f>
        <v>2748.02</v>
      </c>
      <c r="U924" s="9" t="n">
        <f aca="false">IF(I924="Opening",L924,U923+L924-S924)</f>
        <v>82757115.2976926</v>
      </c>
      <c r="V924" s="9" t="n">
        <f aca="false">IF(T924&gt;0,U924/T924,IF(I924="Opening",0,V923))</f>
        <v>30115.179401057</v>
      </c>
      <c r="W924" s="14" t="n">
        <f aca="false">M924</f>
        <v>323.76</v>
      </c>
      <c r="X924" s="9" t="n">
        <f aca="false">IF(W924=0,0,IF(O924="Booked",N924,W924*AA923))</f>
        <v>9750090.4828862</v>
      </c>
      <c r="Y924" s="14" t="n">
        <f aca="false">IF(I924="Opening",K924,Y923+K924-W924)</f>
        <v>2748.02</v>
      </c>
      <c r="Z924" s="9" t="n">
        <f aca="false">IF(I924="Opening",L924,Z923+L924-X924)</f>
        <v>82757115.2976926</v>
      </c>
      <c r="AA924" s="9" t="n">
        <f aca="false">IF(Y924&gt;0,Z924/Y924,IF(I924="Opening",0,AA923))</f>
        <v>30115.179401057</v>
      </c>
      <c r="AB924" s="9" t="n">
        <f aca="false">IF(AND(I924="DO",O924="MA"),S924-N924,0)</f>
        <v>0.0028862040489912</v>
      </c>
      <c r="AC924" s="9" t="n">
        <f aca="false">IF(I924="DO",X924-S924,0)</f>
        <v>0</v>
      </c>
      <c r="AD924" s="23" t="n">
        <f aca="false">IF(B925&lt;&gt;B924,1,0)</f>
        <v>0</v>
      </c>
      <c r="AE924" s="14" t="n">
        <f aca="false">IF(I924="Opening",0,AE923+W924)</f>
        <v>7537.3</v>
      </c>
      <c r="AF924" s="14" t="n">
        <f aca="false">IF(I924="Opening",K924,AF923)</f>
        <v>0.02</v>
      </c>
      <c r="AG924" s="14" t="n">
        <f aca="false">AG923</f>
        <v>0</v>
      </c>
      <c r="AH924" s="14" t="n">
        <f aca="false">IF(W924=0,0,MAX(0,MIN(AE924,AF924)-MIN(AE924-W924,AF924)))</f>
        <v>0</v>
      </c>
      <c r="AI924" s="14" t="n">
        <f aca="false">IF(W924=0,0,MAX(0,MIN(AE924,AF924+AG924)-MAX(AE924-W924,AF924)))</f>
        <v>0</v>
      </c>
      <c r="AJ924" s="14" t="n">
        <f aca="false">W924-AH924-AI924</f>
        <v>323.76</v>
      </c>
      <c r="AK924" s="9" t="n">
        <f aca="false">IF(W924=0,0,X924*AH924/W924)</f>
        <v>0</v>
      </c>
      <c r="AL924" s="9" t="n">
        <f aca="false">IF(W924=0,0,X924*AI924/W924)</f>
        <v>0</v>
      </c>
      <c r="AM924" s="9" t="n">
        <f aca="false">X924-AK924-AL924</f>
        <v>9750090.4828862</v>
      </c>
    </row>
    <row r="925" customFormat="false" ht="15" hidden="false" customHeight="false" outlineLevel="0" collapsed="false">
      <c r="A925" s="6" t="n">
        <v>920</v>
      </c>
      <c r="B925" s="74" t="s">
        <v>1021</v>
      </c>
      <c r="C925" s="53" t="str">
        <f aca="false">INDEX(I_Items!$C$5:$C$133,MATCH($B925,I_Items!$A$5:$A$133,0))</f>
        <v>Trading</v>
      </c>
      <c r="D925" s="53" t="str">
        <f aca="false">INDEX(I_Items!$D$5:$D$133,MATCH($B925,I_Items!$A$5:$A$133,0))</f>
        <v>Karkas</v>
      </c>
      <c r="E925" s="53" t="str">
        <f aca="false">INDEX(I_Items!$F$5:$F$133,MATCH($B925,I_Items!$A$5:$A$133,0))</f>
        <v>Not stated in item master</v>
      </c>
      <c r="F925" s="53" t="str">
        <f aca="false">IF(INDEX(I_Items!$E$5:$E$133,MATCH($B925,I_Items!$A$5:$A$133,0))="","",INDEX(I_Items!$E$5:$E$133,MATCH($B925,I_Items!$A$5:$A$133,0)))</f>
        <v>Uk 0.6</v>
      </c>
      <c r="G925" s="76" t="n">
        <v>46265</v>
      </c>
      <c r="H925" s="23" t="n">
        <f aca="false">MONTH(G925)</f>
        <v>8</v>
      </c>
      <c r="I925" s="74" t="s">
        <v>89</v>
      </c>
      <c r="J925" s="74" t="s">
        <v>2175</v>
      </c>
      <c r="K925" s="10" t="n">
        <v>0</v>
      </c>
      <c r="L925" s="8" t="n">
        <v>0</v>
      </c>
      <c r="M925" s="13" t="n">
        <f aca="false">INDEX(Unbilled!$K$22:$K$38,MATCH($Q925,Unbilled!$B$22:$B$38,0))</f>
        <v>518.22</v>
      </c>
      <c r="N925" s="8" t="n">
        <v>0</v>
      </c>
      <c r="O925" s="74" t="s">
        <v>2077</v>
      </c>
      <c r="P925" s="74"/>
      <c r="Q925" s="74" t="s">
        <v>1111</v>
      </c>
      <c r="R925" s="14" t="n">
        <f aca="false">IF(I925="Unbilled",0,M925)</f>
        <v>0</v>
      </c>
      <c r="S925" s="9" t="n">
        <f aca="false">IF(R925=0,0,IF(O925="Booked",N925,R925*V924))</f>
        <v>0</v>
      </c>
      <c r="T925" s="14" t="n">
        <f aca="false">IF(I925="Opening",K925,T924+K925-R925)</f>
        <v>2748.02</v>
      </c>
      <c r="U925" s="9" t="n">
        <f aca="false">IF(I925="Opening",L925,U924+L925-S925)</f>
        <v>82757115.2976926</v>
      </c>
      <c r="V925" s="9" t="n">
        <f aca="false">IF(T925&gt;0,U925/T925,IF(I925="Opening",0,V924))</f>
        <v>30115.179401057</v>
      </c>
      <c r="W925" s="14" t="n">
        <f aca="false">M925</f>
        <v>518.22</v>
      </c>
      <c r="X925" s="9" t="n">
        <f aca="false">IF(W925=0,0,IF(O925="Booked",N925,W925*AA924))</f>
        <v>15606288.2692157</v>
      </c>
      <c r="Y925" s="14" t="n">
        <f aca="false">IF(I925="Opening",K925,Y924+K925-W925)</f>
        <v>2229.8</v>
      </c>
      <c r="Z925" s="9" t="n">
        <f aca="false">IF(I925="Opening",L925,Z924+L925-X925)</f>
        <v>67150827.0284769</v>
      </c>
      <c r="AA925" s="9" t="n">
        <f aca="false">IF(Y925&gt;0,Z925/Y925,IF(I925="Opening",0,AA924))</f>
        <v>30115.179401057</v>
      </c>
      <c r="AB925" s="9" t="n">
        <f aca="false">IF(AND(I925="DO",O925="MA"),S925-N925,0)</f>
        <v>0</v>
      </c>
      <c r="AC925" s="9" t="n">
        <f aca="false">IF(I925="DO",X925-S925,0)</f>
        <v>0</v>
      </c>
      <c r="AD925" s="23" t="n">
        <f aca="false">IF(B926&lt;&gt;B925,1,0)</f>
        <v>1</v>
      </c>
      <c r="AE925" s="14" t="n">
        <f aca="false">IF(I925="Opening",0,AE924+W925)</f>
        <v>8055.52</v>
      </c>
      <c r="AF925" s="14" t="n">
        <f aca="false">IF(I925="Opening",K925,AF924)</f>
        <v>0.02</v>
      </c>
      <c r="AG925" s="14" t="n">
        <f aca="false">AG924</f>
        <v>0</v>
      </c>
      <c r="AH925" s="14" t="n">
        <f aca="false">IF(W925=0,0,MAX(0,MIN(AE925,AF925)-MIN(AE925-W925,AF925)))</f>
        <v>0</v>
      </c>
      <c r="AI925" s="14" t="n">
        <f aca="false">IF(W925=0,0,MAX(0,MIN(AE925,AF925+AG925)-MAX(AE925-W925,AF925)))</f>
        <v>0</v>
      </c>
      <c r="AJ925" s="14" t="n">
        <f aca="false">W925-AH925-AI925</f>
        <v>518.22</v>
      </c>
      <c r="AK925" s="9" t="n">
        <f aca="false">IF(W925=0,0,X925*AH925/W925)</f>
        <v>0</v>
      </c>
      <c r="AL925" s="9" t="n">
        <f aca="false">IF(W925=0,0,X925*AI925/W925)</f>
        <v>0</v>
      </c>
      <c r="AM925" s="9" t="n">
        <f aca="false">X925-AK925-AL925</f>
        <v>15606288.2692157</v>
      </c>
    </row>
    <row r="926" customFormat="false" ht="15" hidden="false" customHeight="false" outlineLevel="0" collapsed="false">
      <c r="A926" s="6" t="n">
        <v>921</v>
      </c>
      <c r="B926" s="74" t="s">
        <v>1022</v>
      </c>
      <c r="C926" s="53" t="str">
        <f aca="false">INDEX(I_Items!$C$5:$C$133,MATCH($B926,I_Items!$A$5:$A$133,0))</f>
        <v>Trading</v>
      </c>
      <c r="D926" s="53" t="str">
        <f aca="false">INDEX(I_Items!$D$5:$D$133,MATCH($B926,I_Items!$A$5:$A$133,0))</f>
        <v>Karkas</v>
      </c>
      <c r="E926" s="53" t="str">
        <f aca="false">INDEX(I_Items!$F$5:$F$133,MATCH($B926,I_Items!$A$5:$A$133,0))</f>
        <v>Not stated in item master</v>
      </c>
      <c r="F926" s="53" t="str">
        <f aca="false">IF(INDEX(I_Items!$E$5:$E$133,MATCH($B926,I_Items!$A$5:$A$133,0))="","",INDEX(I_Items!$E$5:$E$133,MATCH($B926,I_Items!$A$5:$A$133,0)))</f>
        <v>Uk 0.7</v>
      </c>
      <c r="G926" s="76" t="n">
        <v>46204</v>
      </c>
      <c r="H926" s="23" t="n">
        <f aca="false">MONTH(G926)</f>
        <v>7</v>
      </c>
      <c r="I926" s="74" t="s">
        <v>2072</v>
      </c>
      <c r="J926" s="74" t="s">
        <v>2073</v>
      </c>
      <c r="K926" s="10" t="n">
        <v>0</v>
      </c>
      <c r="L926" s="8" t="n">
        <v>0</v>
      </c>
      <c r="M926" s="10" t="n">
        <v>0</v>
      </c>
      <c r="N926" s="8" t="n">
        <v>0</v>
      </c>
      <c r="O926" s="74"/>
      <c r="P926" s="74"/>
      <c r="Q926" s="74"/>
      <c r="R926" s="14" t="n">
        <f aca="false">IF(I926="Unbilled",0,M926)</f>
        <v>0</v>
      </c>
      <c r="S926" s="9" t="n">
        <f aca="false">IF(R926=0,0,IF(O926="Booked",N926,R926*V925))</f>
        <v>0</v>
      </c>
      <c r="T926" s="14" t="n">
        <f aca="false">IF(I926="Opening",K926,T925+K926-R926)</f>
        <v>0</v>
      </c>
      <c r="U926" s="9" t="n">
        <f aca="false">IF(I926="Opening",L926,U925+L926-S926)</f>
        <v>0</v>
      </c>
      <c r="V926" s="9" t="n">
        <f aca="false">IF(T926&gt;0,U926/T926,IF(I926="Opening",0,V925))</f>
        <v>0</v>
      </c>
      <c r="W926" s="14" t="n">
        <f aca="false">M926</f>
        <v>0</v>
      </c>
      <c r="X926" s="9" t="n">
        <f aca="false">IF(W926=0,0,IF(O926="Booked",N926,W926*AA925))</f>
        <v>0</v>
      </c>
      <c r="Y926" s="14" t="n">
        <f aca="false">IF(I926="Opening",K926,Y925+K926-W926)</f>
        <v>0</v>
      </c>
      <c r="Z926" s="9" t="n">
        <f aca="false">IF(I926="Opening",L926,Z925+L926-X926)</f>
        <v>0</v>
      </c>
      <c r="AA926" s="9" t="n">
        <f aca="false">IF(Y926&gt;0,Z926/Y926,IF(I926="Opening",0,AA925))</f>
        <v>0</v>
      </c>
      <c r="AB926" s="9" t="n">
        <f aca="false">IF(AND(I926="DO",O926="MA"),S926-N926,0)</f>
        <v>0</v>
      </c>
      <c r="AC926" s="9" t="n">
        <f aca="false">IF(I926="DO",X926-S926,0)</f>
        <v>0</v>
      </c>
      <c r="AD926" s="23" t="n">
        <f aca="false">IF(B927&lt;&gt;B926,1,0)</f>
        <v>0</v>
      </c>
      <c r="AE926" s="14" t="n">
        <f aca="false">IF(I926="Opening",0,AE925+W926)</f>
        <v>0</v>
      </c>
      <c r="AF926" s="14" t="n">
        <f aca="false">IF(I926="Opening",K926,AF925)</f>
        <v>0</v>
      </c>
      <c r="AG926" s="14" t="n">
        <f aca="false">SUMIFS($K$6:$K$1110,$B$6:$B$1110,B926,$H$6:$H$1110,7,$I$6:$I$1110,"&lt;&gt;Opening")</f>
        <v>0</v>
      </c>
      <c r="AH926" s="14" t="n">
        <f aca="false">IF(W926=0,0,MAX(0,MIN(AE926,AF926)-MIN(AE926-W926,AF926)))</f>
        <v>0</v>
      </c>
      <c r="AI926" s="14" t="n">
        <f aca="false">IF(W926=0,0,MAX(0,MIN(AE926,AF926+AG926)-MAX(AE926-W926,AF926)))</f>
        <v>0</v>
      </c>
      <c r="AJ926" s="14" t="n">
        <f aca="false">W926-AH926-AI926</f>
        <v>0</v>
      </c>
      <c r="AK926" s="9" t="n">
        <f aca="false">IF(W926=0,0,X926*AH926/W926)</f>
        <v>0</v>
      </c>
      <c r="AL926" s="9" t="n">
        <f aca="false">IF(W926=0,0,X926*AI926/W926)</f>
        <v>0</v>
      </c>
      <c r="AM926" s="9" t="n">
        <f aca="false">X926-AK926-AL926</f>
        <v>0</v>
      </c>
    </row>
    <row r="927" customFormat="false" ht="15" hidden="false" customHeight="false" outlineLevel="0" collapsed="false">
      <c r="A927" s="6" t="n">
        <v>922</v>
      </c>
      <c r="B927" s="74" t="s">
        <v>1022</v>
      </c>
      <c r="C927" s="53" t="str">
        <f aca="false">INDEX(I_Items!$C$5:$C$133,MATCH($B927,I_Items!$A$5:$A$133,0))</f>
        <v>Trading</v>
      </c>
      <c r="D927" s="53" t="str">
        <f aca="false">INDEX(I_Items!$D$5:$D$133,MATCH($B927,I_Items!$A$5:$A$133,0))</f>
        <v>Karkas</v>
      </c>
      <c r="E927" s="53" t="str">
        <f aca="false">INDEX(I_Items!$F$5:$F$133,MATCH($B927,I_Items!$A$5:$A$133,0))</f>
        <v>Not stated in item master</v>
      </c>
      <c r="F927" s="53" t="str">
        <f aca="false">IF(INDEX(I_Items!$E$5:$E$133,MATCH($B927,I_Items!$A$5:$A$133,0))="","",INDEX(I_Items!$E$5:$E$133,MATCH($B927,I_Items!$A$5:$A$133,0)))</f>
        <v>Uk 0.7</v>
      </c>
      <c r="G927" s="76" t="n">
        <v>46237</v>
      </c>
      <c r="H927" s="23" t="n">
        <f aca="false">MONTH(G927)</f>
        <v>8</v>
      </c>
      <c r="I927" s="74" t="s">
        <v>2074</v>
      </c>
      <c r="J927" s="74" t="s">
        <v>2296</v>
      </c>
      <c r="K927" s="10" t="n">
        <v>1557.2</v>
      </c>
      <c r="L927" s="8" t="n">
        <v>48273200</v>
      </c>
      <c r="M927" s="10" t="n">
        <v>0</v>
      </c>
      <c r="N927" s="8" t="n">
        <v>0</v>
      </c>
      <c r="O927" s="74"/>
      <c r="P927" s="74"/>
      <c r="Q927" s="74"/>
      <c r="R927" s="14" t="n">
        <f aca="false">IF(I927="Unbilled",0,M927)</f>
        <v>0</v>
      </c>
      <c r="S927" s="9" t="n">
        <f aca="false">IF(R927=0,0,IF(O927="Booked",N927,R927*V926))</f>
        <v>0</v>
      </c>
      <c r="T927" s="14" t="n">
        <f aca="false">IF(I927="Opening",K927,T926+K927-R927)</f>
        <v>1557.2</v>
      </c>
      <c r="U927" s="9" t="n">
        <f aca="false">IF(I927="Opening",L927,U926+L927-S927)</f>
        <v>48273200</v>
      </c>
      <c r="V927" s="9" t="n">
        <f aca="false">IF(T927&gt;0,U927/T927,IF(I927="Opening",0,V926))</f>
        <v>31000</v>
      </c>
      <c r="W927" s="14" t="n">
        <f aca="false">M927</f>
        <v>0</v>
      </c>
      <c r="X927" s="9" t="n">
        <f aca="false">IF(W927=0,0,IF(O927="Booked",N927,W927*AA926))</f>
        <v>0</v>
      </c>
      <c r="Y927" s="14" t="n">
        <f aca="false">IF(I927="Opening",K927,Y926+K927-W927)</f>
        <v>1557.2</v>
      </c>
      <c r="Z927" s="9" t="n">
        <f aca="false">IF(I927="Opening",L927,Z926+L927-X927)</f>
        <v>48273200</v>
      </c>
      <c r="AA927" s="9" t="n">
        <f aca="false">IF(Y927&gt;0,Z927/Y927,IF(I927="Opening",0,AA926))</f>
        <v>31000</v>
      </c>
      <c r="AB927" s="9" t="n">
        <f aca="false">IF(AND(I927="DO",O927="MA"),S927-N927,0)</f>
        <v>0</v>
      </c>
      <c r="AC927" s="9" t="n">
        <f aca="false">IF(I927="DO",X927-S927,0)</f>
        <v>0</v>
      </c>
      <c r="AD927" s="23" t="n">
        <f aca="false">IF(B928&lt;&gt;B927,1,0)</f>
        <v>0</v>
      </c>
      <c r="AE927" s="14" t="n">
        <f aca="false">IF(I927="Opening",0,AE926+W927)</f>
        <v>0</v>
      </c>
      <c r="AF927" s="14" t="n">
        <f aca="false">IF(I927="Opening",K927,AF926)</f>
        <v>0</v>
      </c>
      <c r="AG927" s="14" t="n">
        <f aca="false">AG926</f>
        <v>0</v>
      </c>
      <c r="AH927" s="14" t="n">
        <f aca="false">IF(W927=0,0,MAX(0,MIN(AE927,AF927)-MIN(AE927-W927,AF927)))</f>
        <v>0</v>
      </c>
      <c r="AI927" s="14" t="n">
        <f aca="false">IF(W927=0,0,MAX(0,MIN(AE927,AF927+AG927)-MAX(AE927-W927,AF927)))</f>
        <v>0</v>
      </c>
      <c r="AJ927" s="14" t="n">
        <f aca="false">W927-AH927-AI927</f>
        <v>0</v>
      </c>
      <c r="AK927" s="9" t="n">
        <f aca="false">IF(W927=0,0,X927*AH927/W927)</f>
        <v>0</v>
      </c>
      <c r="AL927" s="9" t="n">
        <f aca="false">IF(W927=0,0,X927*AI927/W927)</f>
        <v>0</v>
      </c>
      <c r="AM927" s="9" t="n">
        <f aca="false">X927-AK927-AL927</f>
        <v>0</v>
      </c>
    </row>
    <row r="928" customFormat="false" ht="15" hidden="false" customHeight="false" outlineLevel="0" collapsed="false">
      <c r="A928" s="6" t="n">
        <v>923</v>
      </c>
      <c r="B928" s="74" t="s">
        <v>1022</v>
      </c>
      <c r="C928" s="53" t="str">
        <f aca="false">INDEX(I_Items!$C$5:$C$133,MATCH($B928,I_Items!$A$5:$A$133,0))</f>
        <v>Trading</v>
      </c>
      <c r="D928" s="53" t="str">
        <f aca="false">INDEX(I_Items!$D$5:$D$133,MATCH($B928,I_Items!$A$5:$A$133,0))</f>
        <v>Karkas</v>
      </c>
      <c r="E928" s="53" t="str">
        <f aca="false">INDEX(I_Items!$F$5:$F$133,MATCH($B928,I_Items!$A$5:$A$133,0))</f>
        <v>Not stated in item master</v>
      </c>
      <c r="F928" s="53" t="str">
        <f aca="false">IF(INDEX(I_Items!$E$5:$E$133,MATCH($B928,I_Items!$A$5:$A$133,0))="","",INDEX(I_Items!$E$5:$E$133,MATCH($B928,I_Items!$A$5:$A$133,0)))</f>
        <v>Uk 0.7</v>
      </c>
      <c r="G928" s="76" t="n">
        <v>46238</v>
      </c>
      <c r="H928" s="23" t="n">
        <f aca="false">MONTH(G928)</f>
        <v>8</v>
      </c>
      <c r="I928" s="74" t="s">
        <v>2074</v>
      </c>
      <c r="J928" s="74" t="s">
        <v>2256</v>
      </c>
      <c r="K928" s="10" t="n">
        <v>4441.8</v>
      </c>
      <c r="L928" s="8" t="n">
        <v>131033100</v>
      </c>
      <c r="M928" s="10" t="n">
        <v>0</v>
      </c>
      <c r="N928" s="8" t="n">
        <v>0</v>
      </c>
      <c r="O928" s="74"/>
      <c r="P928" s="74"/>
      <c r="Q928" s="74"/>
      <c r="R928" s="14" t="n">
        <f aca="false">IF(I928="Unbilled",0,M928)</f>
        <v>0</v>
      </c>
      <c r="S928" s="9" t="n">
        <f aca="false">IF(R928=0,0,IF(O928="Booked",N928,R928*V927))</f>
        <v>0</v>
      </c>
      <c r="T928" s="14" t="n">
        <f aca="false">IF(I928="Opening",K928,T927+K928-R928)</f>
        <v>5999</v>
      </c>
      <c r="U928" s="9" t="n">
        <f aca="false">IF(I928="Opening",L928,U927+L928-S928)</f>
        <v>179306300</v>
      </c>
      <c r="V928" s="9" t="n">
        <f aca="false">IF(T928&gt;0,U928/T928,IF(I928="Opening",0,V927))</f>
        <v>29889.364894149</v>
      </c>
      <c r="W928" s="14" t="n">
        <f aca="false">M928</f>
        <v>0</v>
      </c>
      <c r="X928" s="9" t="n">
        <f aca="false">IF(W928=0,0,IF(O928="Booked",N928,W928*AA927))</f>
        <v>0</v>
      </c>
      <c r="Y928" s="14" t="n">
        <f aca="false">IF(I928="Opening",K928,Y927+K928-W928)</f>
        <v>5999</v>
      </c>
      <c r="Z928" s="9" t="n">
        <f aca="false">IF(I928="Opening",L928,Z927+L928-X928)</f>
        <v>179306300</v>
      </c>
      <c r="AA928" s="9" t="n">
        <f aca="false">IF(Y928&gt;0,Z928/Y928,IF(I928="Opening",0,AA927))</f>
        <v>29889.364894149</v>
      </c>
      <c r="AB928" s="9" t="n">
        <f aca="false">IF(AND(I928="DO",O928="MA"),S928-N928,0)</f>
        <v>0</v>
      </c>
      <c r="AC928" s="9" t="n">
        <f aca="false">IF(I928="DO",X928-S928,0)</f>
        <v>0</v>
      </c>
      <c r="AD928" s="23" t="n">
        <f aca="false">IF(B929&lt;&gt;B928,1,0)</f>
        <v>0</v>
      </c>
      <c r="AE928" s="14" t="n">
        <f aca="false">IF(I928="Opening",0,AE927+W928)</f>
        <v>0</v>
      </c>
      <c r="AF928" s="14" t="n">
        <f aca="false">IF(I928="Opening",K928,AF927)</f>
        <v>0</v>
      </c>
      <c r="AG928" s="14" t="n">
        <f aca="false">AG927</f>
        <v>0</v>
      </c>
      <c r="AH928" s="14" t="n">
        <f aca="false">IF(W928=0,0,MAX(0,MIN(AE928,AF928)-MIN(AE928-W928,AF928)))</f>
        <v>0</v>
      </c>
      <c r="AI928" s="14" t="n">
        <f aca="false">IF(W928=0,0,MAX(0,MIN(AE928,AF928+AG928)-MAX(AE928-W928,AF928)))</f>
        <v>0</v>
      </c>
      <c r="AJ928" s="14" t="n">
        <f aca="false">W928-AH928-AI928</f>
        <v>0</v>
      </c>
      <c r="AK928" s="9" t="n">
        <f aca="false">IF(W928=0,0,X928*AH928/W928)</f>
        <v>0</v>
      </c>
      <c r="AL928" s="9" t="n">
        <f aca="false">IF(W928=0,0,X928*AI928/W928)</f>
        <v>0</v>
      </c>
      <c r="AM928" s="9" t="n">
        <f aca="false">X928-AK928-AL928</f>
        <v>0</v>
      </c>
    </row>
    <row r="929" customFormat="false" ht="15" hidden="false" customHeight="false" outlineLevel="0" collapsed="false">
      <c r="A929" s="6" t="n">
        <v>924</v>
      </c>
      <c r="B929" s="74" t="s">
        <v>1022</v>
      </c>
      <c r="C929" s="53" t="str">
        <f aca="false">INDEX(I_Items!$C$5:$C$133,MATCH($B929,I_Items!$A$5:$A$133,0))</f>
        <v>Trading</v>
      </c>
      <c r="D929" s="53" t="str">
        <f aca="false">INDEX(I_Items!$D$5:$D$133,MATCH($B929,I_Items!$A$5:$A$133,0))</f>
        <v>Karkas</v>
      </c>
      <c r="E929" s="53" t="str">
        <f aca="false">INDEX(I_Items!$F$5:$F$133,MATCH($B929,I_Items!$A$5:$A$133,0))</f>
        <v>Not stated in item master</v>
      </c>
      <c r="F929" s="53" t="str">
        <f aca="false">IF(INDEX(I_Items!$E$5:$E$133,MATCH($B929,I_Items!$A$5:$A$133,0))="","",INDEX(I_Items!$E$5:$E$133,MATCH($B929,I_Items!$A$5:$A$133,0)))</f>
        <v>Uk 0.7</v>
      </c>
      <c r="G929" s="76" t="n">
        <v>46240</v>
      </c>
      <c r="H929" s="23" t="n">
        <f aca="false">MONTH(G929)</f>
        <v>8</v>
      </c>
      <c r="I929" s="74" t="s">
        <v>2075</v>
      </c>
      <c r="J929" s="74" t="s">
        <v>2303</v>
      </c>
      <c r="K929" s="10" t="n">
        <v>0</v>
      </c>
      <c r="L929" s="8" t="n">
        <v>0</v>
      </c>
      <c r="M929" s="10" t="n">
        <v>19.2</v>
      </c>
      <c r="N929" s="8" t="n">
        <v>573875.81</v>
      </c>
      <c r="O929" s="74" t="s">
        <v>2077</v>
      </c>
      <c r="P929" s="74"/>
      <c r="Q929" s="74"/>
      <c r="R929" s="14" t="n">
        <f aca="false">IF(I929="Unbilled",0,M929)</f>
        <v>19.2</v>
      </c>
      <c r="S929" s="9" t="n">
        <f aca="false">IF(R929=0,0,IF(O929="Booked",N929,R929*V928))</f>
        <v>573875.805967661</v>
      </c>
      <c r="T929" s="14" t="n">
        <f aca="false">IF(I929="Opening",K929,T928+K929-R929)</f>
        <v>5979.8</v>
      </c>
      <c r="U929" s="9" t="n">
        <f aca="false">IF(I929="Opening",L929,U928+L929-S929)</f>
        <v>178732424.194032</v>
      </c>
      <c r="V929" s="9" t="n">
        <f aca="false">IF(T929&gt;0,U929/T929,IF(I929="Opening",0,V928))</f>
        <v>29889.364894149</v>
      </c>
      <c r="W929" s="14" t="n">
        <f aca="false">M929</f>
        <v>19.2</v>
      </c>
      <c r="X929" s="9" t="n">
        <f aca="false">IF(W929=0,0,IF(O929="Booked",N929,W929*AA928))</f>
        <v>573875.805967661</v>
      </c>
      <c r="Y929" s="14" t="n">
        <f aca="false">IF(I929="Opening",K929,Y928+K929-W929)</f>
        <v>5979.8</v>
      </c>
      <c r="Z929" s="9" t="n">
        <f aca="false">IF(I929="Opening",L929,Z928+L929-X929)</f>
        <v>178732424.194032</v>
      </c>
      <c r="AA929" s="9" t="n">
        <f aca="false">IF(Y929&gt;0,Z929/Y929,IF(I929="Opening",0,AA928))</f>
        <v>29889.364894149</v>
      </c>
      <c r="AB929" s="9" t="n">
        <f aca="false">IF(AND(I929="DO",O929="MA"),S929-N929,0)</f>
        <v>-0.00403233885299414</v>
      </c>
      <c r="AC929" s="9" t="n">
        <f aca="false">IF(I929="DO",X929-S929,0)</f>
        <v>0</v>
      </c>
      <c r="AD929" s="23" t="n">
        <f aca="false">IF(B930&lt;&gt;B929,1,0)</f>
        <v>0</v>
      </c>
      <c r="AE929" s="14" t="n">
        <f aca="false">IF(I929="Opening",0,AE928+W929)</f>
        <v>19.2</v>
      </c>
      <c r="AF929" s="14" t="n">
        <f aca="false">IF(I929="Opening",K929,AF928)</f>
        <v>0</v>
      </c>
      <c r="AG929" s="14" t="n">
        <f aca="false">AG928</f>
        <v>0</v>
      </c>
      <c r="AH929" s="14" t="n">
        <f aca="false">IF(W929=0,0,MAX(0,MIN(AE929,AF929)-MIN(AE929-W929,AF929)))</f>
        <v>0</v>
      </c>
      <c r="AI929" s="14" t="n">
        <f aca="false">IF(W929=0,0,MAX(0,MIN(AE929,AF929+AG929)-MAX(AE929-W929,AF929)))</f>
        <v>0</v>
      </c>
      <c r="AJ929" s="14" t="n">
        <f aca="false">W929-AH929-AI929</f>
        <v>19.2</v>
      </c>
      <c r="AK929" s="9" t="n">
        <f aca="false">IF(W929=0,0,X929*AH929/W929)</f>
        <v>0</v>
      </c>
      <c r="AL929" s="9" t="n">
        <f aca="false">IF(W929=0,0,X929*AI929/W929)</f>
        <v>0</v>
      </c>
      <c r="AM929" s="9" t="n">
        <f aca="false">X929-AK929-AL929</f>
        <v>573875.805967661</v>
      </c>
    </row>
    <row r="930" customFormat="false" ht="15" hidden="false" customHeight="false" outlineLevel="0" collapsed="false">
      <c r="A930" s="6" t="n">
        <v>925</v>
      </c>
      <c r="B930" s="74" t="s">
        <v>1022</v>
      </c>
      <c r="C930" s="53" t="str">
        <f aca="false">INDEX(I_Items!$C$5:$C$133,MATCH($B930,I_Items!$A$5:$A$133,0))</f>
        <v>Trading</v>
      </c>
      <c r="D930" s="53" t="str">
        <f aca="false">INDEX(I_Items!$D$5:$D$133,MATCH($B930,I_Items!$A$5:$A$133,0))</f>
        <v>Karkas</v>
      </c>
      <c r="E930" s="53" t="str">
        <f aca="false">INDEX(I_Items!$F$5:$F$133,MATCH($B930,I_Items!$A$5:$A$133,0))</f>
        <v>Not stated in item master</v>
      </c>
      <c r="F930" s="53" t="str">
        <f aca="false">IF(INDEX(I_Items!$E$5:$E$133,MATCH($B930,I_Items!$A$5:$A$133,0))="","",INDEX(I_Items!$E$5:$E$133,MATCH($B930,I_Items!$A$5:$A$133,0)))</f>
        <v>Uk 0.7</v>
      </c>
      <c r="G930" s="76" t="n">
        <v>46241</v>
      </c>
      <c r="H930" s="23" t="n">
        <f aca="false">MONTH(G930)</f>
        <v>8</v>
      </c>
      <c r="I930" s="74" t="s">
        <v>2075</v>
      </c>
      <c r="J930" s="74" t="s">
        <v>2304</v>
      </c>
      <c r="K930" s="10" t="n">
        <v>0</v>
      </c>
      <c r="L930" s="8" t="n">
        <v>0</v>
      </c>
      <c r="M930" s="10" t="n">
        <v>1557.2</v>
      </c>
      <c r="N930" s="8" t="n">
        <v>46543719.02</v>
      </c>
      <c r="O930" s="74" t="s">
        <v>2077</v>
      </c>
      <c r="P930" s="74"/>
      <c r="Q930" s="74"/>
      <c r="R930" s="14" t="n">
        <f aca="false">IF(I930="Unbilled",0,M930)</f>
        <v>1557.2</v>
      </c>
      <c r="S930" s="9" t="n">
        <f aca="false">IF(R930=0,0,IF(O930="Booked",N930,R930*V929))</f>
        <v>46543719.0131689</v>
      </c>
      <c r="T930" s="14" t="n">
        <f aca="false">IF(I930="Opening",K930,T929+K930-R930)</f>
        <v>4422.6</v>
      </c>
      <c r="U930" s="9" t="n">
        <f aca="false">IF(I930="Opening",L930,U929+L930-S930)</f>
        <v>132188705.180863</v>
      </c>
      <c r="V930" s="9" t="n">
        <f aca="false">IF(T930&gt;0,U930/T930,IF(I930="Opening",0,V929))</f>
        <v>29889.364894149</v>
      </c>
      <c r="W930" s="14" t="n">
        <f aca="false">M930</f>
        <v>1557.2</v>
      </c>
      <c r="X930" s="9" t="n">
        <f aca="false">IF(W930=0,0,IF(O930="Booked",N930,W930*AA929))</f>
        <v>46543719.0131689</v>
      </c>
      <c r="Y930" s="14" t="n">
        <f aca="false">IF(I930="Opening",K930,Y929+K930-W930)</f>
        <v>4422.6</v>
      </c>
      <c r="Z930" s="9" t="n">
        <f aca="false">IF(I930="Opening",L930,Z929+L930-X930)</f>
        <v>132188705.180863</v>
      </c>
      <c r="AA930" s="9" t="n">
        <f aca="false">IF(Y930&gt;0,Z930/Y930,IF(I930="Opening",0,AA929))</f>
        <v>29889.364894149</v>
      </c>
      <c r="AB930" s="9" t="n">
        <f aca="false">IF(AND(I930="DO",O930="MA"),S930-N930,0)</f>
        <v>-0.00683113932609558</v>
      </c>
      <c r="AC930" s="9" t="n">
        <f aca="false">IF(I930="DO",X930-S930,0)</f>
        <v>0</v>
      </c>
      <c r="AD930" s="23" t="n">
        <f aca="false">IF(B931&lt;&gt;B930,1,0)</f>
        <v>0</v>
      </c>
      <c r="AE930" s="14" t="n">
        <f aca="false">IF(I930="Opening",0,AE929+W930)</f>
        <v>1576.4</v>
      </c>
      <c r="AF930" s="14" t="n">
        <f aca="false">IF(I930="Opening",K930,AF929)</f>
        <v>0</v>
      </c>
      <c r="AG930" s="14" t="n">
        <f aca="false">AG929</f>
        <v>0</v>
      </c>
      <c r="AH930" s="14" t="n">
        <f aca="false">IF(W930=0,0,MAX(0,MIN(AE930,AF930)-MIN(AE930-W930,AF930)))</f>
        <v>0</v>
      </c>
      <c r="AI930" s="14" t="n">
        <f aca="false">IF(W930=0,0,MAX(0,MIN(AE930,AF930+AG930)-MAX(AE930-W930,AF930)))</f>
        <v>0</v>
      </c>
      <c r="AJ930" s="14" t="n">
        <f aca="false">W930-AH930-AI930</f>
        <v>1557.2</v>
      </c>
      <c r="AK930" s="9" t="n">
        <f aca="false">IF(W930=0,0,X930*AH930/W930)</f>
        <v>0</v>
      </c>
      <c r="AL930" s="9" t="n">
        <f aca="false">IF(W930=0,0,X930*AI930/W930)</f>
        <v>0</v>
      </c>
      <c r="AM930" s="9" t="n">
        <f aca="false">X930-AK930-AL930</f>
        <v>46543719.0131689</v>
      </c>
    </row>
    <row r="931" customFormat="false" ht="15" hidden="false" customHeight="false" outlineLevel="0" collapsed="false">
      <c r="A931" s="6" t="n">
        <v>926</v>
      </c>
      <c r="B931" s="74" t="s">
        <v>1022</v>
      </c>
      <c r="C931" s="53" t="str">
        <f aca="false">INDEX(I_Items!$C$5:$C$133,MATCH($B931,I_Items!$A$5:$A$133,0))</f>
        <v>Trading</v>
      </c>
      <c r="D931" s="53" t="str">
        <f aca="false">INDEX(I_Items!$D$5:$D$133,MATCH($B931,I_Items!$A$5:$A$133,0))</f>
        <v>Karkas</v>
      </c>
      <c r="E931" s="53" t="str">
        <f aca="false">INDEX(I_Items!$F$5:$F$133,MATCH($B931,I_Items!$A$5:$A$133,0))</f>
        <v>Not stated in item master</v>
      </c>
      <c r="F931" s="53" t="str">
        <f aca="false">IF(INDEX(I_Items!$E$5:$E$133,MATCH($B931,I_Items!$A$5:$A$133,0))="","",INDEX(I_Items!$E$5:$E$133,MATCH($B931,I_Items!$A$5:$A$133,0)))</f>
        <v>Uk 0.7</v>
      </c>
      <c r="G931" s="76" t="n">
        <v>46241</v>
      </c>
      <c r="H931" s="23" t="n">
        <f aca="false">MONTH(G931)</f>
        <v>8</v>
      </c>
      <c r="I931" s="74" t="s">
        <v>2075</v>
      </c>
      <c r="J931" s="74" t="s">
        <v>2298</v>
      </c>
      <c r="K931" s="10" t="n">
        <v>0</v>
      </c>
      <c r="L931" s="8" t="n">
        <v>0</v>
      </c>
      <c r="M931" s="10" t="n">
        <v>517.71</v>
      </c>
      <c r="N931" s="8" t="n">
        <v>15474023.1</v>
      </c>
      <c r="O931" s="74" t="s">
        <v>2077</v>
      </c>
      <c r="P931" s="74"/>
      <c r="Q931" s="74"/>
      <c r="R931" s="14" t="n">
        <f aca="false">IF(I931="Unbilled",0,M931)</f>
        <v>517.71</v>
      </c>
      <c r="S931" s="9" t="n">
        <f aca="false">IF(R931=0,0,IF(O931="Booked",N931,R931*V930))</f>
        <v>15474023.0993499</v>
      </c>
      <c r="T931" s="14" t="n">
        <f aca="false">IF(I931="Opening",K931,T930+K931-R931)</f>
        <v>3904.89</v>
      </c>
      <c r="U931" s="9" t="n">
        <f aca="false">IF(I931="Opening",L931,U930+L931-S931)</f>
        <v>116714682.081514</v>
      </c>
      <c r="V931" s="9" t="n">
        <f aca="false">IF(T931&gt;0,U931/T931,IF(I931="Opening",0,V930))</f>
        <v>29889.364894149</v>
      </c>
      <c r="W931" s="14" t="n">
        <f aca="false">M931</f>
        <v>517.71</v>
      </c>
      <c r="X931" s="9" t="n">
        <f aca="false">IF(W931=0,0,IF(O931="Booked",N931,W931*AA930))</f>
        <v>15474023.0993499</v>
      </c>
      <c r="Y931" s="14" t="n">
        <f aca="false">IF(I931="Opening",K931,Y930+K931-W931)</f>
        <v>3904.89</v>
      </c>
      <c r="Z931" s="9" t="n">
        <f aca="false">IF(I931="Opening",L931,Z930+L931-X931)</f>
        <v>116714682.081514</v>
      </c>
      <c r="AA931" s="9" t="n">
        <f aca="false">IF(Y931&gt;0,Z931/Y931,IF(I931="Opening",0,AA930))</f>
        <v>29889.364894149</v>
      </c>
      <c r="AB931" s="9" t="n">
        <f aca="false">IF(AND(I931="DO",O931="MA"),S931-N931,0)</f>
        <v>-0.000650109723210335</v>
      </c>
      <c r="AC931" s="9" t="n">
        <f aca="false">IF(I931="DO",X931-S931,0)</f>
        <v>0</v>
      </c>
      <c r="AD931" s="23" t="n">
        <f aca="false">IF(B932&lt;&gt;B931,1,0)</f>
        <v>0</v>
      </c>
      <c r="AE931" s="14" t="n">
        <f aca="false">IF(I931="Opening",0,AE930+W931)</f>
        <v>2094.11</v>
      </c>
      <c r="AF931" s="14" t="n">
        <f aca="false">IF(I931="Opening",K931,AF930)</f>
        <v>0</v>
      </c>
      <c r="AG931" s="14" t="n">
        <f aca="false">AG930</f>
        <v>0</v>
      </c>
      <c r="AH931" s="14" t="n">
        <f aca="false">IF(W931=0,0,MAX(0,MIN(AE931,AF931)-MIN(AE931-W931,AF931)))</f>
        <v>0</v>
      </c>
      <c r="AI931" s="14" t="n">
        <f aca="false">IF(W931=0,0,MAX(0,MIN(AE931,AF931+AG931)-MAX(AE931-W931,AF931)))</f>
        <v>0</v>
      </c>
      <c r="AJ931" s="14" t="n">
        <f aca="false">W931-AH931-AI931</f>
        <v>517.71</v>
      </c>
      <c r="AK931" s="9" t="n">
        <f aca="false">IF(W931=0,0,X931*AH931/W931)</f>
        <v>0</v>
      </c>
      <c r="AL931" s="9" t="n">
        <f aca="false">IF(W931=0,0,X931*AI931/W931)</f>
        <v>0</v>
      </c>
      <c r="AM931" s="9" t="n">
        <f aca="false">X931-AK931-AL931</f>
        <v>15474023.0993499</v>
      </c>
    </row>
    <row r="932" customFormat="false" ht="15" hidden="false" customHeight="false" outlineLevel="0" collapsed="false">
      <c r="A932" s="6" t="n">
        <v>927</v>
      </c>
      <c r="B932" s="74" t="s">
        <v>1022</v>
      </c>
      <c r="C932" s="53" t="str">
        <f aca="false">INDEX(I_Items!$C$5:$C$133,MATCH($B932,I_Items!$A$5:$A$133,0))</f>
        <v>Trading</v>
      </c>
      <c r="D932" s="53" t="str">
        <f aca="false">INDEX(I_Items!$D$5:$D$133,MATCH($B932,I_Items!$A$5:$A$133,0))</f>
        <v>Karkas</v>
      </c>
      <c r="E932" s="53" t="str">
        <f aca="false">INDEX(I_Items!$F$5:$F$133,MATCH($B932,I_Items!$A$5:$A$133,0))</f>
        <v>Not stated in item master</v>
      </c>
      <c r="F932" s="53" t="str">
        <f aca="false">IF(INDEX(I_Items!$E$5:$E$133,MATCH($B932,I_Items!$A$5:$A$133,0))="","",INDEX(I_Items!$E$5:$E$133,MATCH($B932,I_Items!$A$5:$A$133,0)))</f>
        <v>Uk 0.7</v>
      </c>
      <c r="G932" s="76" t="n">
        <v>46244</v>
      </c>
      <c r="H932" s="23" t="n">
        <f aca="false">MONTH(G932)</f>
        <v>8</v>
      </c>
      <c r="I932" s="74" t="s">
        <v>2074</v>
      </c>
      <c r="J932" s="74" t="s">
        <v>2299</v>
      </c>
      <c r="K932" s="10" t="n">
        <v>1472.3</v>
      </c>
      <c r="L932" s="8" t="n">
        <v>47849750</v>
      </c>
      <c r="M932" s="10" t="n">
        <v>0</v>
      </c>
      <c r="N932" s="8" t="n">
        <v>0</v>
      </c>
      <c r="O932" s="74"/>
      <c r="P932" s="74"/>
      <c r="Q932" s="74"/>
      <c r="R932" s="14" t="n">
        <f aca="false">IF(I932="Unbilled",0,M932)</f>
        <v>0</v>
      </c>
      <c r="S932" s="9" t="n">
        <f aca="false">IF(R932=0,0,IF(O932="Booked",N932,R932*V931))</f>
        <v>0</v>
      </c>
      <c r="T932" s="14" t="n">
        <f aca="false">IF(I932="Opening",K932,T931+K932-R932)</f>
        <v>5377.19</v>
      </c>
      <c r="U932" s="9" t="n">
        <f aca="false">IF(I932="Opening",L932,U931+L932-S932)</f>
        <v>164564432.081514</v>
      </c>
      <c r="V932" s="9" t="n">
        <f aca="false">IF(T932&gt;0,U932/T932,IF(I932="Opening",0,V931))</f>
        <v>30604.1691071942</v>
      </c>
      <c r="W932" s="14" t="n">
        <f aca="false">M932</f>
        <v>0</v>
      </c>
      <c r="X932" s="9" t="n">
        <f aca="false">IF(W932=0,0,IF(O932="Booked",N932,W932*AA931))</f>
        <v>0</v>
      </c>
      <c r="Y932" s="14" t="n">
        <f aca="false">IF(I932="Opening",K932,Y931+K932-W932)</f>
        <v>5377.19</v>
      </c>
      <c r="Z932" s="9" t="n">
        <f aca="false">IF(I932="Opening",L932,Z931+L932-X932)</f>
        <v>164564432.081514</v>
      </c>
      <c r="AA932" s="9" t="n">
        <f aca="false">IF(Y932&gt;0,Z932/Y932,IF(I932="Opening",0,AA931))</f>
        <v>30604.1691071942</v>
      </c>
      <c r="AB932" s="9" t="n">
        <f aca="false">IF(AND(I932="DO",O932="MA"),S932-N932,0)</f>
        <v>0</v>
      </c>
      <c r="AC932" s="9" t="n">
        <f aca="false">IF(I932="DO",X932-S932,0)</f>
        <v>0</v>
      </c>
      <c r="AD932" s="23" t="n">
        <f aca="false">IF(B933&lt;&gt;B932,1,0)</f>
        <v>0</v>
      </c>
      <c r="AE932" s="14" t="n">
        <f aca="false">IF(I932="Opening",0,AE931+W932)</f>
        <v>2094.11</v>
      </c>
      <c r="AF932" s="14" t="n">
        <f aca="false">IF(I932="Opening",K932,AF931)</f>
        <v>0</v>
      </c>
      <c r="AG932" s="14" t="n">
        <f aca="false">AG931</f>
        <v>0</v>
      </c>
      <c r="AH932" s="14" t="n">
        <f aca="false">IF(W932=0,0,MAX(0,MIN(AE932,AF932)-MIN(AE932-W932,AF932)))</f>
        <v>0</v>
      </c>
      <c r="AI932" s="14" t="n">
        <f aca="false">IF(W932=0,0,MAX(0,MIN(AE932,AF932+AG932)-MAX(AE932-W932,AF932)))</f>
        <v>0</v>
      </c>
      <c r="AJ932" s="14" t="n">
        <f aca="false">W932-AH932-AI932</f>
        <v>0</v>
      </c>
      <c r="AK932" s="9" t="n">
        <f aca="false">IF(W932=0,0,X932*AH932/W932)</f>
        <v>0</v>
      </c>
      <c r="AL932" s="9" t="n">
        <f aca="false">IF(W932=0,0,X932*AI932/W932)</f>
        <v>0</v>
      </c>
      <c r="AM932" s="9" t="n">
        <f aca="false">X932-AK932-AL932</f>
        <v>0</v>
      </c>
    </row>
    <row r="933" customFormat="false" ht="15" hidden="false" customHeight="false" outlineLevel="0" collapsed="false">
      <c r="A933" s="6" t="n">
        <v>928</v>
      </c>
      <c r="B933" s="74" t="s">
        <v>1022</v>
      </c>
      <c r="C933" s="53" t="str">
        <f aca="false">INDEX(I_Items!$C$5:$C$133,MATCH($B933,I_Items!$A$5:$A$133,0))</f>
        <v>Trading</v>
      </c>
      <c r="D933" s="53" t="str">
        <f aca="false">INDEX(I_Items!$D$5:$D$133,MATCH($B933,I_Items!$A$5:$A$133,0))</f>
        <v>Karkas</v>
      </c>
      <c r="E933" s="53" t="str">
        <f aca="false">INDEX(I_Items!$F$5:$F$133,MATCH($B933,I_Items!$A$5:$A$133,0))</f>
        <v>Not stated in item master</v>
      </c>
      <c r="F933" s="53" t="str">
        <f aca="false">IF(INDEX(I_Items!$E$5:$E$133,MATCH($B933,I_Items!$A$5:$A$133,0))="","",INDEX(I_Items!$E$5:$E$133,MATCH($B933,I_Items!$A$5:$A$133,0)))</f>
        <v>Uk 0.7</v>
      </c>
      <c r="G933" s="76" t="n">
        <v>46244</v>
      </c>
      <c r="H933" s="23" t="n">
        <f aca="false">MONTH(G933)</f>
        <v>8</v>
      </c>
      <c r="I933" s="74" t="s">
        <v>2075</v>
      </c>
      <c r="J933" s="74" t="s">
        <v>2305</v>
      </c>
      <c r="K933" s="10" t="n">
        <v>0</v>
      </c>
      <c r="L933" s="8" t="n">
        <v>0</v>
      </c>
      <c r="M933" s="10" t="n">
        <v>308.7</v>
      </c>
      <c r="N933" s="8" t="n">
        <v>9447507</v>
      </c>
      <c r="O933" s="74" t="s">
        <v>2077</v>
      </c>
      <c r="P933" s="74"/>
      <c r="Q933" s="74"/>
      <c r="R933" s="14" t="n">
        <f aca="false">IF(I933="Unbilled",0,M933)</f>
        <v>308.7</v>
      </c>
      <c r="S933" s="9" t="n">
        <f aca="false">IF(R933=0,0,IF(O933="Booked",N933,R933*V932))</f>
        <v>9447507.00339085</v>
      </c>
      <c r="T933" s="14" t="n">
        <f aca="false">IF(I933="Opening",K933,T932+K933-R933)</f>
        <v>5068.49</v>
      </c>
      <c r="U933" s="9" t="n">
        <f aca="false">IF(I933="Opening",L933,U932+L933-S933)</f>
        <v>155116925.078123</v>
      </c>
      <c r="V933" s="9" t="n">
        <f aca="false">IF(T933&gt;0,U933/T933,IF(I933="Opening",0,V932))</f>
        <v>30604.1691071942</v>
      </c>
      <c r="W933" s="14" t="n">
        <f aca="false">M933</f>
        <v>308.7</v>
      </c>
      <c r="X933" s="9" t="n">
        <f aca="false">IF(W933=0,0,IF(O933="Booked",N933,W933*AA932))</f>
        <v>9447507.00339085</v>
      </c>
      <c r="Y933" s="14" t="n">
        <f aca="false">IF(I933="Opening",K933,Y932+K933-W933)</f>
        <v>5068.49</v>
      </c>
      <c r="Z933" s="9" t="n">
        <f aca="false">IF(I933="Opening",L933,Z932+L933-X933)</f>
        <v>155116925.078123</v>
      </c>
      <c r="AA933" s="9" t="n">
        <f aca="false">IF(Y933&gt;0,Z933/Y933,IF(I933="Opening",0,AA932))</f>
        <v>30604.1691071942</v>
      </c>
      <c r="AB933" s="9" t="n">
        <f aca="false">IF(AND(I933="DO",O933="MA"),S933-N933,0)</f>
        <v>0.0033908486366272</v>
      </c>
      <c r="AC933" s="9" t="n">
        <f aca="false">IF(I933="DO",X933-S933,0)</f>
        <v>0</v>
      </c>
      <c r="AD933" s="23" t="n">
        <f aca="false">IF(B934&lt;&gt;B933,1,0)</f>
        <v>0</v>
      </c>
      <c r="AE933" s="14" t="n">
        <f aca="false">IF(I933="Opening",0,AE932+W933)</f>
        <v>2402.81</v>
      </c>
      <c r="AF933" s="14" t="n">
        <f aca="false">IF(I933="Opening",K933,AF932)</f>
        <v>0</v>
      </c>
      <c r="AG933" s="14" t="n">
        <f aca="false">AG932</f>
        <v>0</v>
      </c>
      <c r="AH933" s="14" t="n">
        <f aca="false">IF(W933=0,0,MAX(0,MIN(AE933,AF933)-MIN(AE933-W933,AF933)))</f>
        <v>0</v>
      </c>
      <c r="AI933" s="14" t="n">
        <f aca="false">IF(W933=0,0,MAX(0,MIN(AE933,AF933+AG933)-MAX(AE933-W933,AF933)))</f>
        <v>0</v>
      </c>
      <c r="AJ933" s="14" t="n">
        <f aca="false">W933-AH933-AI933</f>
        <v>308.7</v>
      </c>
      <c r="AK933" s="9" t="n">
        <f aca="false">IF(W933=0,0,X933*AH933/W933)</f>
        <v>0</v>
      </c>
      <c r="AL933" s="9" t="n">
        <f aca="false">IF(W933=0,0,X933*AI933/W933)</f>
        <v>0</v>
      </c>
      <c r="AM933" s="9" t="n">
        <f aca="false">X933-AK933-AL933</f>
        <v>9447507.00339085</v>
      </c>
    </row>
    <row r="934" customFormat="false" ht="15" hidden="false" customHeight="false" outlineLevel="0" collapsed="false">
      <c r="A934" s="6" t="n">
        <v>929</v>
      </c>
      <c r="B934" s="74" t="s">
        <v>1022</v>
      </c>
      <c r="C934" s="53" t="str">
        <f aca="false">INDEX(I_Items!$C$5:$C$133,MATCH($B934,I_Items!$A$5:$A$133,0))</f>
        <v>Trading</v>
      </c>
      <c r="D934" s="53" t="str">
        <f aca="false">INDEX(I_Items!$D$5:$D$133,MATCH($B934,I_Items!$A$5:$A$133,0))</f>
        <v>Karkas</v>
      </c>
      <c r="E934" s="53" t="str">
        <f aca="false">INDEX(I_Items!$F$5:$F$133,MATCH($B934,I_Items!$A$5:$A$133,0))</f>
        <v>Not stated in item master</v>
      </c>
      <c r="F934" s="53" t="str">
        <f aca="false">IF(INDEX(I_Items!$E$5:$E$133,MATCH($B934,I_Items!$A$5:$A$133,0))="","",INDEX(I_Items!$E$5:$E$133,MATCH($B934,I_Items!$A$5:$A$133,0)))</f>
        <v>Uk 0.7</v>
      </c>
      <c r="G934" s="76" t="n">
        <v>46249</v>
      </c>
      <c r="H934" s="23" t="n">
        <f aca="false">MONTH(G934)</f>
        <v>8</v>
      </c>
      <c r="I934" s="74" t="s">
        <v>2074</v>
      </c>
      <c r="J934" s="74" t="s">
        <v>2300</v>
      </c>
      <c r="K934" s="10" t="n">
        <v>5908.05</v>
      </c>
      <c r="L934" s="8" t="n">
        <v>177539581.8</v>
      </c>
      <c r="M934" s="10" t="n">
        <v>0</v>
      </c>
      <c r="N934" s="8" t="n">
        <v>0</v>
      </c>
      <c r="O934" s="74"/>
      <c r="P934" s="74"/>
      <c r="Q934" s="74"/>
      <c r="R934" s="14" t="n">
        <f aca="false">IF(I934="Unbilled",0,M934)</f>
        <v>0</v>
      </c>
      <c r="S934" s="9" t="n">
        <f aca="false">IF(R934=0,0,IF(O934="Booked",N934,R934*V933))</f>
        <v>0</v>
      </c>
      <c r="T934" s="14" t="n">
        <f aca="false">IF(I934="Opening",K934,T933+K934-R934)</f>
        <v>10976.54</v>
      </c>
      <c r="U934" s="9" t="n">
        <f aca="false">IF(I934="Opening",L934,U933+L934-S934)</f>
        <v>332656506.878123</v>
      </c>
      <c r="V934" s="9" t="n">
        <f aca="false">IF(T934&gt;0,U934/T934,IF(I934="Opening",0,V933))</f>
        <v>30306.1353466687</v>
      </c>
      <c r="W934" s="14" t="n">
        <f aca="false">M934</f>
        <v>0</v>
      </c>
      <c r="X934" s="9" t="n">
        <f aca="false">IF(W934=0,0,IF(O934="Booked",N934,W934*AA933))</f>
        <v>0</v>
      </c>
      <c r="Y934" s="14" t="n">
        <f aca="false">IF(I934="Opening",K934,Y933+K934-W934)</f>
        <v>10976.54</v>
      </c>
      <c r="Z934" s="9" t="n">
        <f aca="false">IF(I934="Opening",L934,Z933+L934-X934)</f>
        <v>332656506.878123</v>
      </c>
      <c r="AA934" s="9" t="n">
        <f aca="false">IF(Y934&gt;0,Z934/Y934,IF(I934="Opening",0,AA933))</f>
        <v>30306.1353466687</v>
      </c>
      <c r="AB934" s="9" t="n">
        <f aca="false">IF(AND(I934="DO",O934="MA"),S934-N934,0)</f>
        <v>0</v>
      </c>
      <c r="AC934" s="9" t="n">
        <f aca="false">IF(I934="DO",X934-S934,0)</f>
        <v>0</v>
      </c>
      <c r="AD934" s="23" t="n">
        <f aca="false">IF(B935&lt;&gt;B934,1,0)</f>
        <v>0</v>
      </c>
      <c r="AE934" s="14" t="n">
        <f aca="false">IF(I934="Opening",0,AE933+W934)</f>
        <v>2402.81</v>
      </c>
      <c r="AF934" s="14" t="n">
        <f aca="false">IF(I934="Opening",K934,AF933)</f>
        <v>0</v>
      </c>
      <c r="AG934" s="14" t="n">
        <f aca="false">AG933</f>
        <v>0</v>
      </c>
      <c r="AH934" s="14" t="n">
        <f aca="false">IF(W934=0,0,MAX(0,MIN(AE934,AF934)-MIN(AE934-W934,AF934)))</f>
        <v>0</v>
      </c>
      <c r="AI934" s="14" t="n">
        <f aca="false">IF(W934=0,0,MAX(0,MIN(AE934,AF934+AG934)-MAX(AE934-W934,AF934)))</f>
        <v>0</v>
      </c>
      <c r="AJ934" s="14" t="n">
        <f aca="false">W934-AH934-AI934</f>
        <v>0</v>
      </c>
      <c r="AK934" s="9" t="n">
        <f aca="false">IF(W934=0,0,X934*AH934/W934)</f>
        <v>0</v>
      </c>
      <c r="AL934" s="9" t="n">
        <f aca="false">IF(W934=0,0,X934*AI934/W934)</f>
        <v>0</v>
      </c>
      <c r="AM934" s="9" t="n">
        <f aca="false">X934-AK934-AL934</f>
        <v>0</v>
      </c>
    </row>
    <row r="935" customFormat="false" ht="15" hidden="false" customHeight="false" outlineLevel="0" collapsed="false">
      <c r="A935" s="6" t="n">
        <v>930</v>
      </c>
      <c r="B935" s="74" t="s">
        <v>1022</v>
      </c>
      <c r="C935" s="53" t="str">
        <f aca="false">INDEX(I_Items!$C$5:$C$133,MATCH($B935,I_Items!$A$5:$A$133,0))</f>
        <v>Trading</v>
      </c>
      <c r="D935" s="53" t="str">
        <f aca="false">INDEX(I_Items!$D$5:$D$133,MATCH($B935,I_Items!$A$5:$A$133,0))</f>
        <v>Karkas</v>
      </c>
      <c r="E935" s="53" t="str">
        <f aca="false">INDEX(I_Items!$F$5:$F$133,MATCH($B935,I_Items!$A$5:$A$133,0))</f>
        <v>Not stated in item master</v>
      </c>
      <c r="F935" s="53" t="str">
        <f aca="false">IF(INDEX(I_Items!$E$5:$E$133,MATCH($B935,I_Items!$A$5:$A$133,0))="","",INDEX(I_Items!$E$5:$E$133,MATCH($B935,I_Items!$A$5:$A$133,0)))</f>
        <v>Uk 0.7</v>
      </c>
      <c r="G935" s="76" t="n">
        <v>46249</v>
      </c>
      <c r="H935" s="23" t="n">
        <f aca="false">MONTH(G935)</f>
        <v>8</v>
      </c>
      <c r="I935" s="74" t="s">
        <v>2074</v>
      </c>
      <c r="J935" s="74" t="s">
        <v>2300</v>
      </c>
      <c r="K935" s="10" t="n">
        <v>612.77</v>
      </c>
      <c r="L935" s="8" t="n">
        <v>18414016.39</v>
      </c>
      <c r="M935" s="10" t="n">
        <v>0</v>
      </c>
      <c r="N935" s="8" t="n">
        <v>0</v>
      </c>
      <c r="O935" s="74"/>
      <c r="P935" s="74"/>
      <c r="Q935" s="74"/>
      <c r="R935" s="14" t="n">
        <f aca="false">IF(I935="Unbilled",0,M935)</f>
        <v>0</v>
      </c>
      <c r="S935" s="9" t="n">
        <f aca="false">IF(R935=0,0,IF(O935="Booked",N935,R935*V934))</f>
        <v>0</v>
      </c>
      <c r="T935" s="14" t="n">
        <f aca="false">IF(I935="Opening",K935,T934+K935-R935)</f>
        <v>11589.31</v>
      </c>
      <c r="U935" s="9" t="n">
        <f aca="false">IF(I935="Opening",L935,U934+L935-S935)</f>
        <v>351070523.268123</v>
      </c>
      <c r="V935" s="9" t="n">
        <f aca="false">IF(T935&gt;0,U935/T935,IF(I935="Opening",0,V934))</f>
        <v>30292.616494694</v>
      </c>
      <c r="W935" s="14" t="n">
        <f aca="false">M935</f>
        <v>0</v>
      </c>
      <c r="X935" s="9" t="n">
        <f aca="false">IF(W935=0,0,IF(O935="Booked",N935,W935*AA934))</f>
        <v>0</v>
      </c>
      <c r="Y935" s="14" t="n">
        <f aca="false">IF(I935="Opening",K935,Y934+K935-W935)</f>
        <v>11589.31</v>
      </c>
      <c r="Z935" s="9" t="n">
        <f aca="false">IF(I935="Opening",L935,Z934+L935-X935)</f>
        <v>351070523.268123</v>
      </c>
      <c r="AA935" s="9" t="n">
        <f aca="false">IF(Y935&gt;0,Z935/Y935,IF(I935="Opening",0,AA934))</f>
        <v>30292.616494694</v>
      </c>
      <c r="AB935" s="9" t="n">
        <f aca="false">IF(AND(I935="DO",O935="MA"),S935-N935,0)</f>
        <v>0</v>
      </c>
      <c r="AC935" s="9" t="n">
        <f aca="false">IF(I935="DO",X935-S935,0)</f>
        <v>0</v>
      </c>
      <c r="AD935" s="23" t="n">
        <f aca="false">IF(B936&lt;&gt;B935,1,0)</f>
        <v>0</v>
      </c>
      <c r="AE935" s="14" t="n">
        <f aca="false">IF(I935="Opening",0,AE934+W935)</f>
        <v>2402.81</v>
      </c>
      <c r="AF935" s="14" t="n">
        <f aca="false">IF(I935="Opening",K935,AF934)</f>
        <v>0</v>
      </c>
      <c r="AG935" s="14" t="n">
        <f aca="false">AG934</f>
        <v>0</v>
      </c>
      <c r="AH935" s="14" t="n">
        <f aca="false">IF(W935=0,0,MAX(0,MIN(AE935,AF935)-MIN(AE935-W935,AF935)))</f>
        <v>0</v>
      </c>
      <c r="AI935" s="14" t="n">
        <f aca="false">IF(W935=0,0,MAX(0,MIN(AE935,AF935+AG935)-MAX(AE935-W935,AF935)))</f>
        <v>0</v>
      </c>
      <c r="AJ935" s="14" t="n">
        <f aca="false">W935-AH935-AI935</f>
        <v>0</v>
      </c>
      <c r="AK935" s="9" t="n">
        <f aca="false">IF(W935=0,0,X935*AH935/W935)</f>
        <v>0</v>
      </c>
      <c r="AL935" s="9" t="n">
        <f aca="false">IF(W935=0,0,X935*AI935/W935)</f>
        <v>0</v>
      </c>
      <c r="AM935" s="9" t="n">
        <f aca="false">X935-AK935-AL935</f>
        <v>0</v>
      </c>
    </row>
    <row r="936" customFormat="false" ht="15" hidden="false" customHeight="false" outlineLevel="0" collapsed="false">
      <c r="A936" s="6" t="n">
        <v>931</v>
      </c>
      <c r="B936" s="74" t="s">
        <v>1022</v>
      </c>
      <c r="C936" s="53" t="str">
        <f aca="false">INDEX(I_Items!$C$5:$C$133,MATCH($B936,I_Items!$A$5:$A$133,0))</f>
        <v>Trading</v>
      </c>
      <c r="D936" s="53" t="str">
        <f aca="false">INDEX(I_Items!$D$5:$D$133,MATCH($B936,I_Items!$A$5:$A$133,0))</f>
        <v>Karkas</v>
      </c>
      <c r="E936" s="53" t="str">
        <f aca="false">INDEX(I_Items!$F$5:$F$133,MATCH($B936,I_Items!$A$5:$A$133,0))</f>
        <v>Not stated in item master</v>
      </c>
      <c r="F936" s="53" t="str">
        <f aca="false">IF(INDEX(I_Items!$E$5:$E$133,MATCH($B936,I_Items!$A$5:$A$133,0))="","",INDEX(I_Items!$E$5:$E$133,MATCH($B936,I_Items!$A$5:$A$133,0)))</f>
        <v>Uk 0.7</v>
      </c>
      <c r="G936" s="76" t="n">
        <v>46253</v>
      </c>
      <c r="H936" s="23" t="n">
        <f aca="false">MONTH(G936)</f>
        <v>8</v>
      </c>
      <c r="I936" s="74" t="s">
        <v>2075</v>
      </c>
      <c r="J936" s="74" t="s">
        <v>2301</v>
      </c>
      <c r="K936" s="10" t="n">
        <v>0</v>
      </c>
      <c r="L936" s="8" t="n">
        <v>0</v>
      </c>
      <c r="M936" s="10" t="n">
        <v>158.1</v>
      </c>
      <c r="N936" s="8" t="n">
        <v>4789262.67</v>
      </c>
      <c r="O936" s="74" t="s">
        <v>2077</v>
      </c>
      <c r="P936" s="74"/>
      <c r="Q936" s="74"/>
      <c r="R936" s="14" t="n">
        <f aca="false">IF(I936="Unbilled",0,M936)</f>
        <v>158.1</v>
      </c>
      <c r="S936" s="9" t="n">
        <f aca="false">IF(R936=0,0,IF(O936="Booked",N936,R936*V935))</f>
        <v>4789262.66781113</v>
      </c>
      <c r="T936" s="14" t="n">
        <f aca="false">IF(I936="Opening",K936,T935+K936-R936)</f>
        <v>11431.21</v>
      </c>
      <c r="U936" s="9" t="n">
        <f aca="false">IF(I936="Opening",L936,U935+L936-S936)</f>
        <v>346281260.600312</v>
      </c>
      <c r="V936" s="9" t="n">
        <f aca="false">IF(T936&gt;0,U936/T936,IF(I936="Opening",0,V935))</f>
        <v>30292.616494694</v>
      </c>
      <c r="W936" s="14" t="n">
        <f aca="false">M936</f>
        <v>158.1</v>
      </c>
      <c r="X936" s="9" t="n">
        <f aca="false">IF(W936=0,0,IF(O936="Booked",N936,W936*AA935))</f>
        <v>4789262.66781113</v>
      </c>
      <c r="Y936" s="14" t="n">
        <f aca="false">IF(I936="Opening",K936,Y935+K936-W936)</f>
        <v>11431.21</v>
      </c>
      <c r="Z936" s="9" t="n">
        <f aca="false">IF(I936="Opening",L936,Z935+L936-X936)</f>
        <v>346281260.600312</v>
      </c>
      <c r="AA936" s="9" t="n">
        <f aca="false">IF(Y936&gt;0,Z936/Y936,IF(I936="Opening",0,AA935))</f>
        <v>30292.616494694</v>
      </c>
      <c r="AB936" s="9" t="n">
        <f aca="false">IF(AND(I936="DO",O936="MA"),S936-N936,0)</f>
        <v>-0.00218887068331242</v>
      </c>
      <c r="AC936" s="9" t="n">
        <f aca="false">IF(I936="DO",X936-S936,0)</f>
        <v>0</v>
      </c>
      <c r="AD936" s="23" t="n">
        <f aca="false">IF(B937&lt;&gt;B936,1,0)</f>
        <v>0</v>
      </c>
      <c r="AE936" s="14" t="n">
        <f aca="false">IF(I936="Opening",0,AE935+W936)</f>
        <v>2560.91</v>
      </c>
      <c r="AF936" s="14" t="n">
        <f aca="false">IF(I936="Opening",K936,AF935)</f>
        <v>0</v>
      </c>
      <c r="AG936" s="14" t="n">
        <f aca="false">AG935</f>
        <v>0</v>
      </c>
      <c r="AH936" s="14" t="n">
        <f aca="false">IF(W936=0,0,MAX(0,MIN(AE936,AF936)-MIN(AE936-W936,AF936)))</f>
        <v>0</v>
      </c>
      <c r="AI936" s="14" t="n">
        <f aca="false">IF(W936=0,0,MAX(0,MIN(AE936,AF936+AG936)-MAX(AE936-W936,AF936)))</f>
        <v>0</v>
      </c>
      <c r="AJ936" s="14" t="n">
        <f aca="false">W936-AH936-AI936</f>
        <v>158.1</v>
      </c>
      <c r="AK936" s="9" t="n">
        <f aca="false">IF(W936=0,0,X936*AH936/W936)</f>
        <v>0</v>
      </c>
      <c r="AL936" s="9" t="n">
        <f aca="false">IF(W936=0,0,X936*AI936/W936)</f>
        <v>0</v>
      </c>
      <c r="AM936" s="9" t="n">
        <f aca="false">X936-AK936-AL936</f>
        <v>4789262.66781113</v>
      </c>
    </row>
    <row r="937" customFormat="false" ht="15" hidden="false" customHeight="false" outlineLevel="0" collapsed="false">
      <c r="A937" s="6" t="n">
        <v>932</v>
      </c>
      <c r="B937" s="74" t="s">
        <v>1022</v>
      </c>
      <c r="C937" s="53" t="str">
        <f aca="false">INDEX(I_Items!$C$5:$C$133,MATCH($B937,I_Items!$A$5:$A$133,0))</f>
        <v>Trading</v>
      </c>
      <c r="D937" s="53" t="str">
        <f aca="false">INDEX(I_Items!$D$5:$D$133,MATCH($B937,I_Items!$A$5:$A$133,0))</f>
        <v>Karkas</v>
      </c>
      <c r="E937" s="53" t="str">
        <f aca="false">INDEX(I_Items!$F$5:$F$133,MATCH($B937,I_Items!$A$5:$A$133,0))</f>
        <v>Not stated in item master</v>
      </c>
      <c r="F937" s="53" t="str">
        <f aca="false">IF(INDEX(I_Items!$E$5:$E$133,MATCH($B937,I_Items!$A$5:$A$133,0))="","",INDEX(I_Items!$E$5:$E$133,MATCH($B937,I_Items!$A$5:$A$133,0)))</f>
        <v>Uk 0.7</v>
      </c>
      <c r="G937" s="76" t="n">
        <v>46253</v>
      </c>
      <c r="H937" s="23" t="n">
        <f aca="false">MONTH(G937)</f>
        <v>8</v>
      </c>
      <c r="I937" s="74" t="s">
        <v>2075</v>
      </c>
      <c r="J937" s="74" t="s">
        <v>2179</v>
      </c>
      <c r="K937" s="10" t="n">
        <v>0</v>
      </c>
      <c r="L937" s="8" t="n">
        <v>0</v>
      </c>
      <c r="M937" s="10" t="n">
        <v>1354.8</v>
      </c>
      <c r="N937" s="8" t="n">
        <v>41040436.83</v>
      </c>
      <c r="O937" s="74" t="s">
        <v>2077</v>
      </c>
      <c r="P937" s="74"/>
      <c r="Q937" s="74"/>
      <c r="R937" s="14" t="n">
        <f aca="false">IF(I937="Unbilled",0,M937)</f>
        <v>1354.8</v>
      </c>
      <c r="S937" s="9" t="n">
        <f aca="false">IF(R937=0,0,IF(O937="Booked",N937,R937*V936))</f>
        <v>41040436.8270115</v>
      </c>
      <c r="T937" s="14" t="n">
        <f aca="false">IF(I937="Opening",K937,T936+K937-R937)</f>
        <v>10076.41</v>
      </c>
      <c r="U937" s="9" t="n">
        <f aca="false">IF(I937="Opening",L937,U936+L937-S937)</f>
        <v>305240823.7733</v>
      </c>
      <c r="V937" s="9" t="n">
        <f aca="false">IF(T937&gt;0,U937/T937,IF(I937="Opening",0,V936))</f>
        <v>30292.616494694</v>
      </c>
      <c r="W937" s="14" t="n">
        <f aca="false">M937</f>
        <v>1354.8</v>
      </c>
      <c r="X937" s="9" t="n">
        <f aca="false">IF(W937=0,0,IF(O937="Booked",N937,W937*AA936))</f>
        <v>41040436.8270115</v>
      </c>
      <c r="Y937" s="14" t="n">
        <f aca="false">IF(I937="Opening",K937,Y936+K937-W937)</f>
        <v>10076.41</v>
      </c>
      <c r="Z937" s="9" t="n">
        <f aca="false">IF(I937="Opening",L937,Z936+L937-X937)</f>
        <v>305240823.7733</v>
      </c>
      <c r="AA937" s="9" t="n">
        <f aca="false">IF(Y937&gt;0,Z937/Y937,IF(I937="Opening",0,AA936))</f>
        <v>30292.616494694</v>
      </c>
      <c r="AB937" s="9" t="n">
        <f aca="false">IF(AND(I937="DO",O937="MA"),S937-N937,0)</f>
        <v>-0.00298850238323212</v>
      </c>
      <c r="AC937" s="9" t="n">
        <f aca="false">IF(I937="DO",X937-S937,0)</f>
        <v>0</v>
      </c>
      <c r="AD937" s="23" t="n">
        <f aca="false">IF(B938&lt;&gt;B937,1,0)</f>
        <v>0</v>
      </c>
      <c r="AE937" s="14" t="n">
        <f aca="false">IF(I937="Opening",0,AE936+W937)</f>
        <v>3915.71</v>
      </c>
      <c r="AF937" s="14" t="n">
        <f aca="false">IF(I937="Opening",K937,AF936)</f>
        <v>0</v>
      </c>
      <c r="AG937" s="14" t="n">
        <f aca="false">AG936</f>
        <v>0</v>
      </c>
      <c r="AH937" s="14" t="n">
        <f aca="false">IF(W937=0,0,MAX(0,MIN(AE937,AF937)-MIN(AE937-W937,AF937)))</f>
        <v>0</v>
      </c>
      <c r="AI937" s="14" t="n">
        <f aca="false">IF(W937=0,0,MAX(0,MIN(AE937,AF937+AG937)-MAX(AE937-W937,AF937)))</f>
        <v>0</v>
      </c>
      <c r="AJ937" s="14" t="n">
        <f aca="false">W937-AH937-AI937</f>
        <v>1354.8</v>
      </c>
      <c r="AK937" s="9" t="n">
        <f aca="false">IF(W937=0,0,X937*AH937/W937)</f>
        <v>0</v>
      </c>
      <c r="AL937" s="9" t="n">
        <f aca="false">IF(W937=0,0,X937*AI937/W937)</f>
        <v>0</v>
      </c>
      <c r="AM937" s="9" t="n">
        <f aca="false">X937-AK937-AL937</f>
        <v>41040436.8270115</v>
      </c>
    </row>
    <row r="938" customFormat="false" ht="15" hidden="false" customHeight="false" outlineLevel="0" collapsed="false">
      <c r="A938" s="6" t="n">
        <v>933</v>
      </c>
      <c r="B938" s="74" t="s">
        <v>1022</v>
      </c>
      <c r="C938" s="53" t="str">
        <f aca="false">INDEX(I_Items!$C$5:$C$133,MATCH($B938,I_Items!$A$5:$A$133,0))</f>
        <v>Trading</v>
      </c>
      <c r="D938" s="53" t="str">
        <f aca="false">INDEX(I_Items!$D$5:$D$133,MATCH($B938,I_Items!$A$5:$A$133,0))</f>
        <v>Karkas</v>
      </c>
      <c r="E938" s="53" t="str">
        <f aca="false">INDEX(I_Items!$F$5:$F$133,MATCH($B938,I_Items!$A$5:$A$133,0))</f>
        <v>Not stated in item master</v>
      </c>
      <c r="F938" s="53" t="str">
        <f aca="false">IF(INDEX(I_Items!$E$5:$E$133,MATCH($B938,I_Items!$A$5:$A$133,0))="","",INDEX(I_Items!$E$5:$E$133,MATCH($B938,I_Items!$A$5:$A$133,0)))</f>
        <v>Uk 0.7</v>
      </c>
      <c r="G938" s="76" t="n">
        <v>46253</v>
      </c>
      <c r="H938" s="23" t="n">
        <f aca="false">MONTH(G938)</f>
        <v>8</v>
      </c>
      <c r="I938" s="74" t="s">
        <v>2075</v>
      </c>
      <c r="J938" s="74" t="s">
        <v>2180</v>
      </c>
      <c r="K938" s="10" t="n">
        <v>0</v>
      </c>
      <c r="L938" s="8" t="n">
        <v>0</v>
      </c>
      <c r="M938" s="10" t="n">
        <v>699</v>
      </c>
      <c r="N938" s="8" t="n">
        <v>21174538.93</v>
      </c>
      <c r="O938" s="74" t="s">
        <v>2077</v>
      </c>
      <c r="P938" s="74"/>
      <c r="Q938" s="74"/>
      <c r="R938" s="14" t="n">
        <f aca="false">IF(I938="Unbilled",0,M938)</f>
        <v>699</v>
      </c>
      <c r="S938" s="9" t="n">
        <f aca="false">IF(R938=0,0,IF(O938="Booked",N938,R938*V937))</f>
        <v>21174538.9297911</v>
      </c>
      <c r="T938" s="14" t="n">
        <f aca="false">IF(I938="Opening",K938,T937+K938-R938)</f>
        <v>9377.41</v>
      </c>
      <c r="U938" s="9" t="n">
        <f aca="false">IF(I938="Opening",L938,U937+L938-S938)</f>
        <v>284066284.843509</v>
      </c>
      <c r="V938" s="9" t="n">
        <f aca="false">IF(T938&gt;0,U938/T938,IF(I938="Opening",0,V937))</f>
        <v>30292.616494694</v>
      </c>
      <c r="W938" s="14" t="n">
        <f aca="false">M938</f>
        <v>699</v>
      </c>
      <c r="X938" s="9" t="n">
        <f aca="false">IF(W938=0,0,IF(O938="Booked",N938,W938*AA937))</f>
        <v>21174538.9297911</v>
      </c>
      <c r="Y938" s="14" t="n">
        <f aca="false">IF(I938="Opening",K938,Y937+K938-W938)</f>
        <v>9377.41</v>
      </c>
      <c r="Z938" s="9" t="n">
        <f aca="false">IF(I938="Opening",L938,Z937+L938-X938)</f>
        <v>284066284.843509</v>
      </c>
      <c r="AA938" s="9" t="n">
        <f aca="false">IF(Y938&gt;0,Z938/Y938,IF(I938="Opening",0,AA937))</f>
        <v>30292.616494694</v>
      </c>
      <c r="AB938" s="9" t="n">
        <f aca="false">IF(AND(I938="DO",O938="MA"),S938-N938,0)</f>
        <v>-0.000208862125873566</v>
      </c>
      <c r="AC938" s="9" t="n">
        <f aca="false">IF(I938="DO",X938-S938,0)</f>
        <v>0</v>
      </c>
      <c r="AD938" s="23" t="n">
        <f aca="false">IF(B939&lt;&gt;B938,1,0)</f>
        <v>0</v>
      </c>
      <c r="AE938" s="14" t="n">
        <f aca="false">IF(I938="Opening",0,AE937+W938)</f>
        <v>4614.71</v>
      </c>
      <c r="AF938" s="14" t="n">
        <f aca="false">IF(I938="Opening",K938,AF937)</f>
        <v>0</v>
      </c>
      <c r="AG938" s="14" t="n">
        <f aca="false">AG937</f>
        <v>0</v>
      </c>
      <c r="AH938" s="14" t="n">
        <f aca="false">IF(W938=0,0,MAX(0,MIN(AE938,AF938)-MIN(AE938-W938,AF938)))</f>
        <v>0</v>
      </c>
      <c r="AI938" s="14" t="n">
        <f aca="false">IF(W938=0,0,MAX(0,MIN(AE938,AF938+AG938)-MAX(AE938-W938,AF938)))</f>
        <v>0</v>
      </c>
      <c r="AJ938" s="14" t="n">
        <f aca="false">W938-AH938-AI938</f>
        <v>699</v>
      </c>
      <c r="AK938" s="9" t="n">
        <f aca="false">IF(W938=0,0,X938*AH938/W938)</f>
        <v>0</v>
      </c>
      <c r="AL938" s="9" t="n">
        <f aca="false">IF(W938=0,0,X938*AI938/W938)</f>
        <v>0</v>
      </c>
      <c r="AM938" s="9" t="n">
        <f aca="false">X938-AK938-AL938</f>
        <v>21174538.9297911</v>
      </c>
    </row>
    <row r="939" customFormat="false" ht="15" hidden="false" customHeight="false" outlineLevel="0" collapsed="false">
      <c r="A939" s="6" t="n">
        <v>934</v>
      </c>
      <c r="B939" s="74" t="s">
        <v>1022</v>
      </c>
      <c r="C939" s="53" t="str">
        <f aca="false">INDEX(I_Items!$C$5:$C$133,MATCH($B939,I_Items!$A$5:$A$133,0))</f>
        <v>Trading</v>
      </c>
      <c r="D939" s="53" t="str">
        <f aca="false">INDEX(I_Items!$D$5:$D$133,MATCH($B939,I_Items!$A$5:$A$133,0))</f>
        <v>Karkas</v>
      </c>
      <c r="E939" s="53" t="str">
        <f aca="false">INDEX(I_Items!$F$5:$F$133,MATCH($B939,I_Items!$A$5:$A$133,0))</f>
        <v>Not stated in item master</v>
      </c>
      <c r="F939" s="53" t="str">
        <f aca="false">IF(INDEX(I_Items!$E$5:$E$133,MATCH($B939,I_Items!$A$5:$A$133,0))="","",INDEX(I_Items!$E$5:$E$133,MATCH($B939,I_Items!$A$5:$A$133,0)))</f>
        <v>Uk 0.7</v>
      </c>
      <c r="G939" s="76" t="n">
        <v>46253</v>
      </c>
      <c r="H939" s="23" t="n">
        <f aca="false">MONTH(G939)</f>
        <v>8</v>
      </c>
      <c r="I939" s="74" t="s">
        <v>2075</v>
      </c>
      <c r="J939" s="74" t="s">
        <v>2181</v>
      </c>
      <c r="K939" s="10" t="n">
        <v>0</v>
      </c>
      <c r="L939" s="8" t="n">
        <v>0</v>
      </c>
      <c r="M939" s="10" t="n">
        <v>968.9</v>
      </c>
      <c r="N939" s="8" t="n">
        <v>29350516.13</v>
      </c>
      <c r="O939" s="74" t="s">
        <v>2077</v>
      </c>
      <c r="P939" s="74"/>
      <c r="Q939" s="74"/>
      <c r="R939" s="14" t="n">
        <f aca="false">IF(I939="Unbilled",0,M939)</f>
        <v>968.9</v>
      </c>
      <c r="S939" s="9" t="n">
        <f aca="false">IF(R939=0,0,IF(O939="Booked",N939,R939*V938))</f>
        <v>29350516.1217091</v>
      </c>
      <c r="T939" s="14" t="n">
        <f aca="false">IF(I939="Opening",K939,T938+K939-R939)</f>
        <v>8408.51</v>
      </c>
      <c r="U939" s="9" t="n">
        <f aca="false">IF(I939="Opening",L939,U938+L939-S939)</f>
        <v>254715768.7218</v>
      </c>
      <c r="V939" s="9" t="n">
        <f aca="false">IF(T939&gt;0,U939/T939,IF(I939="Opening",0,V938))</f>
        <v>30292.616494694</v>
      </c>
      <c r="W939" s="14" t="n">
        <f aca="false">M939</f>
        <v>968.9</v>
      </c>
      <c r="X939" s="9" t="n">
        <f aca="false">IF(W939=0,0,IF(O939="Booked",N939,W939*AA938))</f>
        <v>29350516.1217091</v>
      </c>
      <c r="Y939" s="14" t="n">
        <f aca="false">IF(I939="Opening",K939,Y938+K939-W939)</f>
        <v>8408.51</v>
      </c>
      <c r="Z939" s="9" t="n">
        <f aca="false">IF(I939="Opening",L939,Z938+L939-X939)</f>
        <v>254715768.7218</v>
      </c>
      <c r="AA939" s="9" t="n">
        <f aca="false">IF(Y939&gt;0,Z939/Y939,IF(I939="Opening",0,AA938))</f>
        <v>30292.616494694</v>
      </c>
      <c r="AB939" s="9" t="n">
        <f aca="false">IF(AND(I939="DO",O939="MA"),S939-N939,0)</f>
        <v>-0.00829094275832176</v>
      </c>
      <c r="AC939" s="9" t="n">
        <f aca="false">IF(I939="DO",X939-S939,0)</f>
        <v>0</v>
      </c>
      <c r="AD939" s="23" t="n">
        <f aca="false">IF(B940&lt;&gt;B939,1,0)</f>
        <v>0</v>
      </c>
      <c r="AE939" s="14" t="n">
        <f aca="false">IF(I939="Opening",0,AE938+W939)</f>
        <v>5583.61</v>
      </c>
      <c r="AF939" s="14" t="n">
        <f aca="false">IF(I939="Opening",K939,AF938)</f>
        <v>0</v>
      </c>
      <c r="AG939" s="14" t="n">
        <f aca="false">AG938</f>
        <v>0</v>
      </c>
      <c r="AH939" s="14" t="n">
        <f aca="false">IF(W939=0,0,MAX(0,MIN(AE939,AF939)-MIN(AE939-W939,AF939)))</f>
        <v>0</v>
      </c>
      <c r="AI939" s="14" t="n">
        <f aca="false">IF(W939=0,0,MAX(0,MIN(AE939,AF939+AG939)-MAX(AE939-W939,AF939)))</f>
        <v>0</v>
      </c>
      <c r="AJ939" s="14" t="n">
        <f aca="false">W939-AH939-AI939</f>
        <v>968.9</v>
      </c>
      <c r="AK939" s="9" t="n">
        <f aca="false">IF(W939=0,0,X939*AH939/W939)</f>
        <v>0</v>
      </c>
      <c r="AL939" s="9" t="n">
        <f aca="false">IF(W939=0,0,X939*AI939/W939)</f>
        <v>0</v>
      </c>
      <c r="AM939" s="9" t="n">
        <f aca="false">X939-AK939-AL939</f>
        <v>29350516.1217091</v>
      </c>
    </row>
    <row r="940" customFormat="false" ht="15" hidden="false" customHeight="false" outlineLevel="0" collapsed="false">
      <c r="A940" s="6" t="n">
        <v>935</v>
      </c>
      <c r="B940" s="74" t="s">
        <v>1022</v>
      </c>
      <c r="C940" s="53" t="str">
        <f aca="false">INDEX(I_Items!$C$5:$C$133,MATCH($B940,I_Items!$A$5:$A$133,0))</f>
        <v>Trading</v>
      </c>
      <c r="D940" s="53" t="str">
        <f aca="false">INDEX(I_Items!$D$5:$D$133,MATCH($B940,I_Items!$A$5:$A$133,0))</f>
        <v>Karkas</v>
      </c>
      <c r="E940" s="53" t="str">
        <f aca="false">INDEX(I_Items!$F$5:$F$133,MATCH($B940,I_Items!$A$5:$A$133,0))</f>
        <v>Not stated in item master</v>
      </c>
      <c r="F940" s="53" t="str">
        <f aca="false">IF(INDEX(I_Items!$E$5:$E$133,MATCH($B940,I_Items!$A$5:$A$133,0))="","",INDEX(I_Items!$E$5:$E$133,MATCH($B940,I_Items!$A$5:$A$133,0)))</f>
        <v>Uk 0.7</v>
      </c>
      <c r="G940" s="76" t="n">
        <v>46260</v>
      </c>
      <c r="H940" s="23" t="n">
        <f aca="false">MONTH(G940)</f>
        <v>8</v>
      </c>
      <c r="I940" s="74" t="s">
        <v>2075</v>
      </c>
      <c r="J940" s="74" t="s">
        <v>2306</v>
      </c>
      <c r="K940" s="10" t="n">
        <v>0</v>
      </c>
      <c r="L940" s="8" t="n">
        <v>0</v>
      </c>
      <c r="M940" s="10" t="n">
        <v>608.5</v>
      </c>
      <c r="N940" s="8" t="n">
        <v>18433057.14</v>
      </c>
      <c r="O940" s="74" t="s">
        <v>2077</v>
      </c>
      <c r="P940" s="74"/>
      <c r="Q940" s="74"/>
      <c r="R940" s="14" t="n">
        <f aca="false">IF(I940="Unbilled",0,M940)</f>
        <v>608.5</v>
      </c>
      <c r="S940" s="9" t="n">
        <f aca="false">IF(R940=0,0,IF(O940="Booked",N940,R940*V939))</f>
        <v>18433057.1370213</v>
      </c>
      <c r="T940" s="14" t="n">
        <f aca="false">IF(I940="Opening",K940,T939+K940-R940)</f>
        <v>7800.01</v>
      </c>
      <c r="U940" s="9" t="n">
        <f aca="false">IF(I940="Opening",L940,U939+L940-S940)</f>
        <v>236282711.584779</v>
      </c>
      <c r="V940" s="9" t="n">
        <f aca="false">IF(T940&gt;0,U940/T940,IF(I940="Opening",0,V939))</f>
        <v>30292.616494694</v>
      </c>
      <c r="W940" s="14" t="n">
        <f aca="false">M940</f>
        <v>608.5</v>
      </c>
      <c r="X940" s="9" t="n">
        <f aca="false">IF(W940=0,0,IF(O940="Booked",N940,W940*AA939))</f>
        <v>18433057.1370213</v>
      </c>
      <c r="Y940" s="14" t="n">
        <f aca="false">IF(I940="Opening",K940,Y939+K940-W940)</f>
        <v>7800.01</v>
      </c>
      <c r="Z940" s="9" t="n">
        <f aca="false">IF(I940="Opening",L940,Z939+L940-X940)</f>
        <v>236282711.584779</v>
      </c>
      <c r="AA940" s="9" t="n">
        <f aca="false">IF(Y940&gt;0,Z940/Y940,IF(I940="Opening",0,AA939))</f>
        <v>30292.616494694</v>
      </c>
      <c r="AB940" s="9" t="n">
        <f aca="false">IF(AND(I940="DO",O940="MA"),S940-N940,0)</f>
        <v>-0.00297867506742477</v>
      </c>
      <c r="AC940" s="9" t="n">
        <f aca="false">IF(I940="DO",X940-S940,0)</f>
        <v>0</v>
      </c>
      <c r="AD940" s="23" t="n">
        <f aca="false">IF(B941&lt;&gt;B940,1,0)</f>
        <v>0</v>
      </c>
      <c r="AE940" s="14" t="n">
        <f aca="false">IF(I940="Opening",0,AE939+W940)</f>
        <v>6192.11</v>
      </c>
      <c r="AF940" s="14" t="n">
        <f aca="false">IF(I940="Opening",K940,AF939)</f>
        <v>0</v>
      </c>
      <c r="AG940" s="14" t="n">
        <f aca="false">AG939</f>
        <v>0</v>
      </c>
      <c r="AH940" s="14" t="n">
        <f aca="false">IF(W940=0,0,MAX(0,MIN(AE940,AF940)-MIN(AE940-W940,AF940)))</f>
        <v>0</v>
      </c>
      <c r="AI940" s="14" t="n">
        <f aca="false">IF(W940=0,0,MAX(0,MIN(AE940,AF940+AG940)-MAX(AE940-W940,AF940)))</f>
        <v>0</v>
      </c>
      <c r="AJ940" s="14" t="n">
        <f aca="false">W940-AH940-AI940</f>
        <v>608.5</v>
      </c>
      <c r="AK940" s="9" t="n">
        <f aca="false">IF(W940=0,0,X940*AH940/W940)</f>
        <v>0</v>
      </c>
      <c r="AL940" s="9" t="n">
        <f aca="false">IF(W940=0,0,X940*AI940/W940)</f>
        <v>0</v>
      </c>
      <c r="AM940" s="9" t="n">
        <f aca="false">X940-AK940-AL940</f>
        <v>18433057.1370213</v>
      </c>
    </row>
    <row r="941" customFormat="false" ht="15" hidden="false" customHeight="false" outlineLevel="0" collapsed="false">
      <c r="A941" s="6" t="n">
        <v>936</v>
      </c>
      <c r="B941" s="74" t="s">
        <v>1022</v>
      </c>
      <c r="C941" s="53" t="str">
        <f aca="false">INDEX(I_Items!$C$5:$C$133,MATCH($B941,I_Items!$A$5:$A$133,0))</f>
        <v>Trading</v>
      </c>
      <c r="D941" s="53" t="str">
        <f aca="false">INDEX(I_Items!$D$5:$D$133,MATCH($B941,I_Items!$A$5:$A$133,0))</f>
        <v>Karkas</v>
      </c>
      <c r="E941" s="53" t="str">
        <f aca="false">INDEX(I_Items!$F$5:$F$133,MATCH($B941,I_Items!$A$5:$A$133,0))</f>
        <v>Not stated in item master</v>
      </c>
      <c r="F941" s="53" t="str">
        <f aca="false">IF(INDEX(I_Items!$E$5:$E$133,MATCH($B941,I_Items!$A$5:$A$133,0))="","",INDEX(I_Items!$E$5:$E$133,MATCH($B941,I_Items!$A$5:$A$133,0)))</f>
        <v>Uk 0.7</v>
      </c>
      <c r="G941" s="76" t="n">
        <v>46261</v>
      </c>
      <c r="H941" s="23" t="n">
        <f aca="false">MONTH(G941)</f>
        <v>8</v>
      </c>
      <c r="I941" s="74" t="s">
        <v>2075</v>
      </c>
      <c r="J941" s="74" t="s">
        <v>2174</v>
      </c>
      <c r="K941" s="10" t="n">
        <v>0</v>
      </c>
      <c r="L941" s="8" t="n">
        <v>0</v>
      </c>
      <c r="M941" s="10" t="n">
        <v>1015.4</v>
      </c>
      <c r="N941" s="8" t="n">
        <v>30759122.79</v>
      </c>
      <c r="O941" s="74" t="s">
        <v>2077</v>
      </c>
      <c r="P941" s="74"/>
      <c r="Q941" s="74"/>
      <c r="R941" s="14" t="n">
        <f aca="false">IF(I941="Unbilled",0,M941)</f>
        <v>1015.4</v>
      </c>
      <c r="S941" s="9" t="n">
        <f aca="false">IF(R941=0,0,IF(O941="Booked",N941,R941*V940))</f>
        <v>30759122.7887123</v>
      </c>
      <c r="T941" s="14" t="n">
        <f aca="false">IF(I941="Opening",K941,T940+K941-R941)</f>
        <v>6784.61</v>
      </c>
      <c r="U941" s="9" t="n">
        <f aca="false">IF(I941="Opening",L941,U940+L941-S941)</f>
        <v>205523588.796066</v>
      </c>
      <c r="V941" s="9" t="n">
        <f aca="false">IF(T941&gt;0,U941/T941,IF(I941="Opening",0,V940))</f>
        <v>30292.616494694</v>
      </c>
      <c r="W941" s="14" t="n">
        <f aca="false">M941</f>
        <v>1015.4</v>
      </c>
      <c r="X941" s="9" t="n">
        <f aca="false">IF(W941=0,0,IF(O941="Booked",N941,W941*AA940))</f>
        <v>30759122.7887123</v>
      </c>
      <c r="Y941" s="14" t="n">
        <f aca="false">IF(I941="Opening",K941,Y940+K941-W941)</f>
        <v>6784.61</v>
      </c>
      <c r="Z941" s="9" t="n">
        <f aca="false">IF(I941="Opening",L941,Z940+L941-X941)</f>
        <v>205523588.796066</v>
      </c>
      <c r="AA941" s="9" t="n">
        <f aca="false">IF(Y941&gt;0,Z941/Y941,IF(I941="Opening",0,AA940))</f>
        <v>30292.616494694</v>
      </c>
      <c r="AB941" s="9" t="n">
        <f aca="false">IF(AND(I941="DO",O941="MA"),S941-N941,0)</f>
        <v>-0.00128767266869545</v>
      </c>
      <c r="AC941" s="9" t="n">
        <f aca="false">IF(I941="DO",X941-S941,0)</f>
        <v>0</v>
      </c>
      <c r="AD941" s="23" t="n">
        <f aca="false">IF(B942&lt;&gt;B941,1,0)</f>
        <v>0</v>
      </c>
      <c r="AE941" s="14" t="n">
        <f aca="false">IF(I941="Opening",0,AE940+W941)</f>
        <v>7207.51</v>
      </c>
      <c r="AF941" s="14" t="n">
        <f aca="false">IF(I941="Opening",K941,AF940)</f>
        <v>0</v>
      </c>
      <c r="AG941" s="14" t="n">
        <f aca="false">AG940</f>
        <v>0</v>
      </c>
      <c r="AH941" s="14" t="n">
        <f aca="false">IF(W941=0,0,MAX(0,MIN(AE941,AF941)-MIN(AE941-W941,AF941)))</f>
        <v>0</v>
      </c>
      <c r="AI941" s="14" t="n">
        <f aca="false">IF(W941=0,0,MAX(0,MIN(AE941,AF941+AG941)-MAX(AE941-W941,AF941)))</f>
        <v>0</v>
      </c>
      <c r="AJ941" s="14" t="n">
        <f aca="false">W941-AH941-AI941</f>
        <v>1015.4</v>
      </c>
      <c r="AK941" s="9" t="n">
        <f aca="false">IF(W941=0,0,X941*AH941/W941)</f>
        <v>0</v>
      </c>
      <c r="AL941" s="9" t="n">
        <f aca="false">IF(W941=0,0,X941*AI941/W941)</f>
        <v>0</v>
      </c>
      <c r="AM941" s="9" t="n">
        <f aca="false">X941-AK941-AL941</f>
        <v>30759122.7887123</v>
      </c>
    </row>
    <row r="942" customFormat="false" ht="15" hidden="false" customHeight="false" outlineLevel="0" collapsed="false">
      <c r="A942" s="6" t="n">
        <v>937</v>
      </c>
      <c r="B942" s="74" t="s">
        <v>1022</v>
      </c>
      <c r="C942" s="53" t="str">
        <f aca="false">INDEX(I_Items!$C$5:$C$133,MATCH($B942,I_Items!$A$5:$A$133,0))</f>
        <v>Trading</v>
      </c>
      <c r="D942" s="53" t="str">
        <f aca="false">INDEX(I_Items!$D$5:$D$133,MATCH($B942,I_Items!$A$5:$A$133,0))</f>
        <v>Karkas</v>
      </c>
      <c r="E942" s="53" t="str">
        <f aca="false">INDEX(I_Items!$F$5:$F$133,MATCH($B942,I_Items!$A$5:$A$133,0))</f>
        <v>Not stated in item master</v>
      </c>
      <c r="F942" s="53" t="str">
        <f aca="false">IF(INDEX(I_Items!$E$5:$E$133,MATCH($B942,I_Items!$A$5:$A$133,0))="","",INDEX(I_Items!$E$5:$E$133,MATCH($B942,I_Items!$A$5:$A$133,0)))</f>
        <v>Uk 0.7</v>
      </c>
      <c r="G942" s="76" t="n">
        <v>46261</v>
      </c>
      <c r="H942" s="23" t="n">
        <f aca="false">MONTH(G942)</f>
        <v>8</v>
      </c>
      <c r="I942" s="74" t="s">
        <v>2075</v>
      </c>
      <c r="J942" s="74" t="s">
        <v>2147</v>
      </c>
      <c r="K942" s="10" t="n">
        <v>0</v>
      </c>
      <c r="L942" s="8" t="n">
        <v>0</v>
      </c>
      <c r="M942" s="10" t="n">
        <v>255.3</v>
      </c>
      <c r="N942" s="8" t="n">
        <v>7733704.99</v>
      </c>
      <c r="O942" s="74" t="s">
        <v>2077</v>
      </c>
      <c r="P942" s="74"/>
      <c r="Q942" s="74"/>
      <c r="R942" s="14" t="n">
        <f aca="false">IF(I942="Unbilled",0,M942)</f>
        <v>255.3</v>
      </c>
      <c r="S942" s="9" t="n">
        <f aca="false">IF(R942=0,0,IF(O942="Booked",N942,R942*V941))</f>
        <v>7733704.99109539</v>
      </c>
      <c r="T942" s="14" t="n">
        <f aca="false">IF(I942="Opening",K942,T941+K942-R942)</f>
        <v>6529.31</v>
      </c>
      <c r="U942" s="9" t="n">
        <f aca="false">IF(I942="Opening",L942,U941+L942-S942)</f>
        <v>197789883.804971</v>
      </c>
      <c r="V942" s="9" t="n">
        <f aca="false">IF(T942&gt;0,U942/T942,IF(I942="Opening",0,V941))</f>
        <v>30292.616494694</v>
      </c>
      <c r="W942" s="14" t="n">
        <f aca="false">M942</f>
        <v>255.3</v>
      </c>
      <c r="X942" s="9" t="n">
        <f aca="false">IF(W942=0,0,IF(O942="Booked",N942,W942*AA941))</f>
        <v>7733704.99109539</v>
      </c>
      <c r="Y942" s="14" t="n">
        <f aca="false">IF(I942="Opening",K942,Y941+K942-W942)</f>
        <v>6529.31</v>
      </c>
      <c r="Z942" s="9" t="n">
        <f aca="false">IF(I942="Opening",L942,Z941+L942-X942)</f>
        <v>197789883.804971</v>
      </c>
      <c r="AA942" s="9" t="n">
        <f aca="false">IF(Y942&gt;0,Z942/Y942,IF(I942="Opening",0,AA941))</f>
        <v>30292.616494694</v>
      </c>
      <c r="AB942" s="9" t="n">
        <f aca="false">IF(AND(I942="DO",O942="MA"),S942-N942,0)</f>
        <v>0.00109538808465004</v>
      </c>
      <c r="AC942" s="9" t="n">
        <f aca="false">IF(I942="DO",X942-S942,0)</f>
        <v>0</v>
      </c>
      <c r="AD942" s="23" t="n">
        <f aca="false">IF(B943&lt;&gt;B942,1,0)</f>
        <v>0</v>
      </c>
      <c r="AE942" s="14" t="n">
        <f aca="false">IF(I942="Opening",0,AE941+W942)</f>
        <v>7462.81</v>
      </c>
      <c r="AF942" s="14" t="n">
        <f aca="false">IF(I942="Opening",K942,AF941)</f>
        <v>0</v>
      </c>
      <c r="AG942" s="14" t="n">
        <f aca="false">AG941</f>
        <v>0</v>
      </c>
      <c r="AH942" s="14" t="n">
        <f aca="false">IF(W942=0,0,MAX(0,MIN(AE942,AF942)-MIN(AE942-W942,AF942)))</f>
        <v>0</v>
      </c>
      <c r="AI942" s="14" t="n">
        <f aca="false">IF(W942=0,0,MAX(0,MIN(AE942,AF942+AG942)-MAX(AE942-W942,AF942)))</f>
        <v>0</v>
      </c>
      <c r="AJ942" s="14" t="n">
        <f aca="false">W942-AH942-AI942</f>
        <v>255.3</v>
      </c>
      <c r="AK942" s="9" t="n">
        <f aca="false">IF(W942=0,0,X942*AH942/W942)</f>
        <v>0</v>
      </c>
      <c r="AL942" s="9" t="n">
        <f aca="false">IF(W942=0,0,X942*AI942/W942)</f>
        <v>0</v>
      </c>
      <c r="AM942" s="9" t="n">
        <f aca="false">X942-AK942-AL942</f>
        <v>7733704.99109539</v>
      </c>
    </row>
    <row r="943" customFormat="false" ht="15" hidden="false" customHeight="false" outlineLevel="0" collapsed="false">
      <c r="A943" s="6" t="n">
        <v>938</v>
      </c>
      <c r="B943" s="74" t="s">
        <v>1022</v>
      </c>
      <c r="C943" s="53" t="str">
        <f aca="false">INDEX(I_Items!$C$5:$C$133,MATCH($B943,I_Items!$A$5:$A$133,0))</f>
        <v>Trading</v>
      </c>
      <c r="D943" s="53" t="str">
        <f aca="false">INDEX(I_Items!$D$5:$D$133,MATCH($B943,I_Items!$A$5:$A$133,0))</f>
        <v>Karkas</v>
      </c>
      <c r="E943" s="53" t="str">
        <f aca="false">INDEX(I_Items!$F$5:$F$133,MATCH($B943,I_Items!$A$5:$A$133,0))</f>
        <v>Not stated in item master</v>
      </c>
      <c r="F943" s="53" t="str">
        <f aca="false">IF(INDEX(I_Items!$E$5:$E$133,MATCH($B943,I_Items!$A$5:$A$133,0))="","",INDEX(I_Items!$E$5:$E$133,MATCH($B943,I_Items!$A$5:$A$133,0)))</f>
        <v>Uk 0.7</v>
      </c>
      <c r="G943" s="76" t="n">
        <v>46261</v>
      </c>
      <c r="H943" s="23" t="n">
        <f aca="false">MONTH(G943)</f>
        <v>8</v>
      </c>
      <c r="I943" s="74" t="s">
        <v>2075</v>
      </c>
      <c r="J943" s="74" t="s">
        <v>2307</v>
      </c>
      <c r="K943" s="10" t="n">
        <v>0</v>
      </c>
      <c r="L943" s="8" t="n">
        <v>0</v>
      </c>
      <c r="M943" s="10" t="n">
        <v>1501.38</v>
      </c>
      <c r="N943" s="8" t="n">
        <v>45480728.56</v>
      </c>
      <c r="O943" s="74" t="s">
        <v>2077</v>
      </c>
      <c r="P943" s="74"/>
      <c r="Q943" s="74"/>
      <c r="R943" s="14" t="n">
        <f aca="false">IF(I943="Unbilled",0,M943)</f>
        <v>1501.38</v>
      </c>
      <c r="S943" s="9" t="n">
        <f aca="false">IF(R943=0,0,IF(O943="Booked",N943,R943*V942))</f>
        <v>45480728.5528037</v>
      </c>
      <c r="T943" s="14" t="n">
        <f aca="false">IF(I943="Opening",K943,T942+K943-R943)</f>
        <v>5027.93</v>
      </c>
      <c r="U943" s="9" t="n">
        <f aca="false">IF(I943="Opening",L943,U942+L943-S943)</f>
        <v>152309155.252167</v>
      </c>
      <c r="V943" s="9" t="n">
        <f aca="false">IF(T943&gt;0,U943/T943,IF(I943="Opening",0,V942))</f>
        <v>30292.616494694</v>
      </c>
      <c r="W943" s="14" t="n">
        <f aca="false">M943</f>
        <v>1501.38</v>
      </c>
      <c r="X943" s="9" t="n">
        <f aca="false">IF(W943=0,0,IF(O943="Booked",N943,W943*AA942))</f>
        <v>45480728.5528037</v>
      </c>
      <c r="Y943" s="14" t="n">
        <f aca="false">IF(I943="Opening",K943,Y942+K943-W943)</f>
        <v>5027.93</v>
      </c>
      <c r="Z943" s="9" t="n">
        <f aca="false">IF(I943="Opening",L943,Z942+L943-X943)</f>
        <v>152309155.252167</v>
      </c>
      <c r="AA943" s="9" t="n">
        <f aca="false">IF(Y943&gt;0,Z943/Y943,IF(I943="Opening",0,AA942))</f>
        <v>30292.616494694</v>
      </c>
      <c r="AB943" s="9" t="n">
        <f aca="false">IF(AND(I943="DO",O943="MA"),S943-N943,0)</f>
        <v>-0.00719626247882843</v>
      </c>
      <c r="AC943" s="9" t="n">
        <f aca="false">IF(I943="DO",X943-S943,0)</f>
        <v>0</v>
      </c>
      <c r="AD943" s="23" t="n">
        <f aca="false">IF(B944&lt;&gt;B943,1,0)</f>
        <v>0</v>
      </c>
      <c r="AE943" s="14" t="n">
        <f aca="false">IF(I943="Opening",0,AE942+W943)</f>
        <v>8964.19</v>
      </c>
      <c r="AF943" s="14" t="n">
        <f aca="false">IF(I943="Opening",K943,AF942)</f>
        <v>0</v>
      </c>
      <c r="AG943" s="14" t="n">
        <f aca="false">AG942</f>
        <v>0</v>
      </c>
      <c r="AH943" s="14" t="n">
        <f aca="false">IF(W943=0,0,MAX(0,MIN(AE943,AF943)-MIN(AE943-W943,AF943)))</f>
        <v>0</v>
      </c>
      <c r="AI943" s="14" t="n">
        <f aca="false">IF(W943=0,0,MAX(0,MIN(AE943,AF943+AG943)-MAX(AE943-W943,AF943)))</f>
        <v>0</v>
      </c>
      <c r="AJ943" s="14" t="n">
        <f aca="false">W943-AH943-AI943</f>
        <v>1501.38</v>
      </c>
      <c r="AK943" s="9" t="n">
        <f aca="false">IF(W943=0,0,X943*AH943/W943)</f>
        <v>0</v>
      </c>
      <c r="AL943" s="9" t="n">
        <f aca="false">IF(W943=0,0,X943*AI943/W943)</f>
        <v>0</v>
      </c>
      <c r="AM943" s="9" t="n">
        <f aca="false">X943-AK943-AL943</f>
        <v>45480728.5528037</v>
      </c>
    </row>
    <row r="944" customFormat="false" ht="15" hidden="false" customHeight="false" outlineLevel="0" collapsed="false">
      <c r="A944" s="6" t="n">
        <v>939</v>
      </c>
      <c r="B944" s="74" t="s">
        <v>1022</v>
      </c>
      <c r="C944" s="53" t="str">
        <f aca="false">INDEX(I_Items!$C$5:$C$133,MATCH($B944,I_Items!$A$5:$A$133,0))</f>
        <v>Trading</v>
      </c>
      <c r="D944" s="53" t="str">
        <f aca="false">INDEX(I_Items!$D$5:$D$133,MATCH($B944,I_Items!$A$5:$A$133,0))</f>
        <v>Karkas</v>
      </c>
      <c r="E944" s="53" t="str">
        <f aca="false">INDEX(I_Items!$F$5:$F$133,MATCH($B944,I_Items!$A$5:$A$133,0))</f>
        <v>Not stated in item master</v>
      </c>
      <c r="F944" s="53" t="str">
        <f aca="false">IF(INDEX(I_Items!$E$5:$E$133,MATCH($B944,I_Items!$A$5:$A$133,0))="","",INDEX(I_Items!$E$5:$E$133,MATCH($B944,I_Items!$A$5:$A$133,0)))</f>
        <v>Uk 0.7</v>
      </c>
      <c r="G944" s="76" t="n">
        <v>46265</v>
      </c>
      <c r="H944" s="23" t="n">
        <f aca="false">MONTH(G944)</f>
        <v>8</v>
      </c>
      <c r="I944" s="74" t="s">
        <v>89</v>
      </c>
      <c r="J944" s="74" t="s">
        <v>2175</v>
      </c>
      <c r="K944" s="10" t="n">
        <v>0</v>
      </c>
      <c r="L944" s="8" t="n">
        <v>0</v>
      </c>
      <c r="M944" s="13" t="n">
        <f aca="false">INDEX(Unbilled!$K$22:$K$38,MATCH($Q944,Unbilled!$B$22:$B$38,0))</f>
        <v>2001.88</v>
      </c>
      <c r="N944" s="8" t="n">
        <v>0</v>
      </c>
      <c r="O944" s="74" t="s">
        <v>2077</v>
      </c>
      <c r="P944" s="74"/>
      <c r="Q944" s="74" t="s">
        <v>1112</v>
      </c>
      <c r="R944" s="14" t="n">
        <f aca="false">IF(I944="Unbilled",0,M944)</f>
        <v>0</v>
      </c>
      <c r="S944" s="9" t="n">
        <f aca="false">IF(R944=0,0,IF(O944="Booked",N944,R944*V943))</f>
        <v>0</v>
      </c>
      <c r="T944" s="14" t="n">
        <f aca="false">IF(I944="Opening",K944,T943+K944-R944)</f>
        <v>5027.93</v>
      </c>
      <c r="U944" s="9" t="n">
        <f aca="false">IF(I944="Opening",L944,U943+L944-S944)</f>
        <v>152309155.252167</v>
      </c>
      <c r="V944" s="9" t="n">
        <f aca="false">IF(T944&gt;0,U944/T944,IF(I944="Opening",0,V943))</f>
        <v>30292.616494694</v>
      </c>
      <c r="W944" s="14" t="n">
        <f aca="false">M944</f>
        <v>2001.88</v>
      </c>
      <c r="X944" s="9" t="n">
        <f aca="false">IF(W944=0,0,IF(O944="Booked",N944,W944*AA943))</f>
        <v>60642183.1083981</v>
      </c>
      <c r="Y944" s="14" t="n">
        <f aca="false">IF(I944="Opening",K944,Y943+K944-W944)</f>
        <v>3026.05</v>
      </c>
      <c r="Z944" s="9" t="n">
        <f aca="false">IF(I944="Opening",L944,Z943+L944-X944)</f>
        <v>91666972.1437689</v>
      </c>
      <c r="AA944" s="9" t="n">
        <f aca="false">IF(Y944&gt;0,Z944/Y944,IF(I944="Opening",0,AA943))</f>
        <v>30292.616494694</v>
      </c>
      <c r="AB944" s="9" t="n">
        <f aca="false">IF(AND(I944="DO",O944="MA"),S944-N944,0)</f>
        <v>0</v>
      </c>
      <c r="AC944" s="9" t="n">
        <f aca="false">IF(I944="DO",X944-S944,0)</f>
        <v>0</v>
      </c>
      <c r="AD944" s="23" t="n">
        <f aca="false">IF(B945&lt;&gt;B944,1,0)</f>
        <v>1</v>
      </c>
      <c r="AE944" s="14" t="n">
        <f aca="false">IF(I944="Opening",0,AE943+W944)</f>
        <v>10966.07</v>
      </c>
      <c r="AF944" s="14" t="n">
        <f aca="false">IF(I944="Opening",K944,AF943)</f>
        <v>0</v>
      </c>
      <c r="AG944" s="14" t="n">
        <f aca="false">AG943</f>
        <v>0</v>
      </c>
      <c r="AH944" s="14" t="n">
        <f aca="false">IF(W944=0,0,MAX(0,MIN(AE944,AF944)-MIN(AE944-W944,AF944)))</f>
        <v>0</v>
      </c>
      <c r="AI944" s="14" t="n">
        <f aca="false">IF(W944=0,0,MAX(0,MIN(AE944,AF944+AG944)-MAX(AE944-W944,AF944)))</f>
        <v>0</v>
      </c>
      <c r="AJ944" s="14" t="n">
        <f aca="false">W944-AH944-AI944</f>
        <v>2001.88</v>
      </c>
      <c r="AK944" s="9" t="n">
        <f aca="false">IF(W944=0,0,X944*AH944/W944)</f>
        <v>0</v>
      </c>
      <c r="AL944" s="9" t="n">
        <f aca="false">IF(W944=0,0,X944*AI944/W944)</f>
        <v>0</v>
      </c>
      <c r="AM944" s="9" t="n">
        <f aca="false">X944-AK944-AL944</f>
        <v>60642183.1083981</v>
      </c>
    </row>
    <row r="945" customFormat="false" ht="15" hidden="false" customHeight="false" outlineLevel="0" collapsed="false">
      <c r="A945" s="6" t="n">
        <v>940</v>
      </c>
      <c r="B945" s="74" t="s">
        <v>1023</v>
      </c>
      <c r="C945" s="53" t="str">
        <f aca="false">INDEX(I_Items!$C$5:$C$133,MATCH($B945,I_Items!$A$5:$A$133,0))</f>
        <v>Trading</v>
      </c>
      <c r="D945" s="53" t="str">
        <f aca="false">INDEX(I_Items!$D$5:$D$133,MATCH($B945,I_Items!$A$5:$A$133,0))</f>
        <v>Karkas</v>
      </c>
      <c r="E945" s="53" t="str">
        <f aca="false">INDEX(I_Items!$F$5:$F$133,MATCH($B945,I_Items!$A$5:$A$133,0))</f>
        <v>Not stated in item master</v>
      </c>
      <c r="F945" s="53" t="str">
        <f aca="false">IF(INDEX(I_Items!$E$5:$E$133,MATCH($B945,I_Items!$A$5:$A$133,0))="","",INDEX(I_Items!$E$5:$E$133,MATCH($B945,I_Items!$A$5:$A$133,0)))</f>
        <v>Uk 0.8</v>
      </c>
      <c r="G945" s="76" t="n">
        <v>46204</v>
      </c>
      <c r="H945" s="23" t="n">
        <f aca="false">MONTH(G945)</f>
        <v>7</v>
      </c>
      <c r="I945" s="74" t="s">
        <v>2072</v>
      </c>
      <c r="J945" s="74" t="s">
        <v>2073</v>
      </c>
      <c r="K945" s="10" t="n">
        <v>0</v>
      </c>
      <c r="L945" s="8" t="n">
        <v>0</v>
      </c>
      <c r="M945" s="10" t="n">
        <v>0</v>
      </c>
      <c r="N945" s="8" t="n">
        <v>0</v>
      </c>
      <c r="O945" s="74"/>
      <c r="P945" s="74"/>
      <c r="Q945" s="74"/>
      <c r="R945" s="14" t="n">
        <f aca="false">IF(I945="Unbilled",0,M945)</f>
        <v>0</v>
      </c>
      <c r="S945" s="9" t="n">
        <f aca="false">IF(R945=0,0,IF(O945="Booked",N945,R945*V944))</f>
        <v>0</v>
      </c>
      <c r="T945" s="14" t="n">
        <f aca="false">IF(I945="Opening",K945,T944+K945-R945)</f>
        <v>0</v>
      </c>
      <c r="U945" s="9" t="n">
        <f aca="false">IF(I945="Opening",L945,U944+L945-S945)</f>
        <v>0</v>
      </c>
      <c r="V945" s="9" t="n">
        <f aca="false">IF(T945&gt;0,U945/T945,IF(I945="Opening",0,V944))</f>
        <v>0</v>
      </c>
      <c r="W945" s="14" t="n">
        <f aca="false">M945</f>
        <v>0</v>
      </c>
      <c r="X945" s="9" t="n">
        <f aca="false">IF(W945=0,0,IF(O945="Booked",N945,W945*AA944))</f>
        <v>0</v>
      </c>
      <c r="Y945" s="14" t="n">
        <f aca="false">IF(I945="Opening",K945,Y944+K945-W945)</f>
        <v>0</v>
      </c>
      <c r="Z945" s="9" t="n">
        <f aca="false">IF(I945="Opening",L945,Z944+L945-X945)</f>
        <v>0</v>
      </c>
      <c r="AA945" s="9" t="n">
        <f aca="false">IF(Y945&gt;0,Z945/Y945,IF(I945="Opening",0,AA944))</f>
        <v>0</v>
      </c>
      <c r="AB945" s="9" t="n">
        <f aca="false">IF(AND(I945="DO",O945="MA"),S945-N945,0)</f>
        <v>0</v>
      </c>
      <c r="AC945" s="9" t="n">
        <f aca="false">IF(I945="DO",X945-S945,0)</f>
        <v>0</v>
      </c>
      <c r="AD945" s="23" t="n">
        <f aca="false">IF(B946&lt;&gt;B945,1,0)</f>
        <v>0</v>
      </c>
      <c r="AE945" s="14" t="n">
        <f aca="false">IF(I945="Opening",0,AE944+W945)</f>
        <v>0</v>
      </c>
      <c r="AF945" s="14" t="n">
        <f aca="false">IF(I945="Opening",K945,AF944)</f>
        <v>0</v>
      </c>
      <c r="AG945" s="14" t="n">
        <f aca="false">SUMIFS($K$6:$K$1110,$B$6:$B$1110,B945,$H$6:$H$1110,7,$I$6:$I$1110,"&lt;&gt;Opening")</f>
        <v>0</v>
      </c>
      <c r="AH945" s="14" t="n">
        <f aca="false">IF(W945=0,0,MAX(0,MIN(AE945,AF945)-MIN(AE945-W945,AF945)))</f>
        <v>0</v>
      </c>
      <c r="AI945" s="14" t="n">
        <f aca="false">IF(W945=0,0,MAX(0,MIN(AE945,AF945+AG945)-MAX(AE945-W945,AF945)))</f>
        <v>0</v>
      </c>
      <c r="AJ945" s="14" t="n">
        <f aca="false">W945-AH945-AI945</f>
        <v>0</v>
      </c>
      <c r="AK945" s="9" t="n">
        <f aca="false">IF(W945=0,0,X945*AH945/W945)</f>
        <v>0</v>
      </c>
      <c r="AL945" s="9" t="n">
        <f aca="false">IF(W945=0,0,X945*AI945/W945)</f>
        <v>0</v>
      </c>
      <c r="AM945" s="9" t="n">
        <f aca="false">X945-AK945-AL945</f>
        <v>0</v>
      </c>
    </row>
    <row r="946" customFormat="false" ht="15" hidden="false" customHeight="false" outlineLevel="0" collapsed="false">
      <c r="A946" s="6" t="n">
        <v>941</v>
      </c>
      <c r="B946" s="74" t="s">
        <v>1023</v>
      </c>
      <c r="C946" s="53" t="str">
        <f aca="false">INDEX(I_Items!$C$5:$C$133,MATCH($B946,I_Items!$A$5:$A$133,0))</f>
        <v>Trading</v>
      </c>
      <c r="D946" s="53" t="str">
        <f aca="false">INDEX(I_Items!$D$5:$D$133,MATCH($B946,I_Items!$A$5:$A$133,0))</f>
        <v>Karkas</v>
      </c>
      <c r="E946" s="53" t="str">
        <f aca="false">INDEX(I_Items!$F$5:$F$133,MATCH($B946,I_Items!$A$5:$A$133,0))</f>
        <v>Not stated in item master</v>
      </c>
      <c r="F946" s="53" t="str">
        <f aca="false">IF(INDEX(I_Items!$E$5:$E$133,MATCH($B946,I_Items!$A$5:$A$133,0))="","",INDEX(I_Items!$E$5:$E$133,MATCH($B946,I_Items!$A$5:$A$133,0)))</f>
        <v>Uk 0.8</v>
      </c>
      <c r="G946" s="76" t="n">
        <v>46237</v>
      </c>
      <c r="H946" s="23" t="n">
        <f aca="false">MONTH(G946)</f>
        <v>8</v>
      </c>
      <c r="I946" s="74" t="s">
        <v>2074</v>
      </c>
      <c r="J946" s="74" t="s">
        <v>2296</v>
      </c>
      <c r="K946" s="10" t="n">
        <v>3088</v>
      </c>
      <c r="L946" s="8" t="n">
        <v>95728000</v>
      </c>
      <c r="M946" s="10" t="n">
        <v>0</v>
      </c>
      <c r="N946" s="8" t="n">
        <v>0</v>
      </c>
      <c r="O946" s="74"/>
      <c r="P946" s="74"/>
      <c r="Q946" s="74"/>
      <c r="R946" s="14" t="n">
        <f aca="false">IF(I946="Unbilled",0,M946)</f>
        <v>0</v>
      </c>
      <c r="S946" s="9" t="n">
        <f aca="false">IF(R946=0,0,IF(O946="Booked",N946,R946*V945))</f>
        <v>0</v>
      </c>
      <c r="T946" s="14" t="n">
        <f aca="false">IF(I946="Opening",K946,T945+K946-R946)</f>
        <v>3088</v>
      </c>
      <c r="U946" s="9" t="n">
        <f aca="false">IF(I946="Opening",L946,U945+L946-S946)</f>
        <v>95728000</v>
      </c>
      <c r="V946" s="9" t="n">
        <f aca="false">IF(T946&gt;0,U946/T946,IF(I946="Opening",0,V945))</f>
        <v>31000</v>
      </c>
      <c r="W946" s="14" t="n">
        <f aca="false">M946</f>
        <v>0</v>
      </c>
      <c r="X946" s="9" t="n">
        <f aca="false">IF(W946=0,0,IF(O946="Booked",N946,W946*AA945))</f>
        <v>0</v>
      </c>
      <c r="Y946" s="14" t="n">
        <f aca="false">IF(I946="Opening",K946,Y945+K946-W946)</f>
        <v>3088</v>
      </c>
      <c r="Z946" s="9" t="n">
        <f aca="false">IF(I946="Opening",L946,Z945+L946-X946)</f>
        <v>95728000</v>
      </c>
      <c r="AA946" s="9" t="n">
        <f aca="false">IF(Y946&gt;0,Z946/Y946,IF(I946="Opening",0,AA945))</f>
        <v>31000</v>
      </c>
      <c r="AB946" s="9" t="n">
        <f aca="false">IF(AND(I946="DO",O946="MA"),S946-N946,0)</f>
        <v>0</v>
      </c>
      <c r="AC946" s="9" t="n">
        <f aca="false">IF(I946="DO",X946-S946,0)</f>
        <v>0</v>
      </c>
      <c r="AD946" s="23" t="n">
        <f aca="false">IF(B947&lt;&gt;B946,1,0)</f>
        <v>0</v>
      </c>
      <c r="AE946" s="14" t="n">
        <f aca="false">IF(I946="Opening",0,AE945+W946)</f>
        <v>0</v>
      </c>
      <c r="AF946" s="14" t="n">
        <f aca="false">IF(I946="Opening",K946,AF945)</f>
        <v>0</v>
      </c>
      <c r="AG946" s="14" t="n">
        <f aca="false">AG945</f>
        <v>0</v>
      </c>
      <c r="AH946" s="14" t="n">
        <f aca="false">IF(W946=0,0,MAX(0,MIN(AE946,AF946)-MIN(AE946-W946,AF946)))</f>
        <v>0</v>
      </c>
      <c r="AI946" s="14" t="n">
        <f aca="false">IF(W946=0,0,MAX(0,MIN(AE946,AF946+AG946)-MAX(AE946-W946,AF946)))</f>
        <v>0</v>
      </c>
      <c r="AJ946" s="14" t="n">
        <f aca="false">W946-AH946-AI946</f>
        <v>0</v>
      </c>
      <c r="AK946" s="9" t="n">
        <f aca="false">IF(W946=0,0,X946*AH946/W946)</f>
        <v>0</v>
      </c>
      <c r="AL946" s="9" t="n">
        <f aca="false">IF(W946=0,0,X946*AI946/W946)</f>
        <v>0</v>
      </c>
      <c r="AM946" s="9" t="n">
        <f aca="false">X946-AK946-AL946</f>
        <v>0</v>
      </c>
    </row>
    <row r="947" customFormat="false" ht="15" hidden="false" customHeight="false" outlineLevel="0" collapsed="false">
      <c r="A947" s="6" t="n">
        <v>942</v>
      </c>
      <c r="B947" s="74" t="s">
        <v>1023</v>
      </c>
      <c r="C947" s="53" t="str">
        <f aca="false">INDEX(I_Items!$C$5:$C$133,MATCH($B947,I_Items!$A$5:$A$133,0))</f>
        <v>Trading</v>
      </c>
      <c r="D947" s="53" t="str">
        <f aca="false">INDEX(I_Items!$D$5:$D$133,MATCH($B947,I_Items!$A$5:$A$133,0))</f>
        <v>Karkas</v>
      </c>
      <c r="E947" s="53" t="str">
        <f aca="false">INDEX(I_Items!$F$5:$F$133,MATCH($B947,I_Items!$A$5:$A$133,0))</f>
        <v>Not stated in item master</v>
      </c>
      <c r="F947" s="53" t="str">
        <f aca="false">IF(INDEX(I_Items!$E$5:$E$133,MATCH($B947,I_Items!$A$5:$A$133,0))="","",INDEX(I_Items!$E$5:$E$133,MATCH($B947,I_Items!$A$5:$A$133,0)))</f>
        <v>Uk 0.8</v>
      </c>
      <c r="G947" s="76" t="n">
        <v>46240</v>
      </c>
      <c r="H947" s="23" t="n">
        <f aca="false">MONTH(G947)</f>
        <v>8</v>
      </c>
      <c r="I947" s="74" t="s">
        <v>2075</v>
      </c>
      <c r="J947" s="74" t="s">
        <v>2303</v>
      </c>
      <c r="K947" s="10" t="n">
        <v>0</v>
      </c>
      <c r="L947" s="8" t="n">
        <v>0</v>
      </c>
      <c r="M947" s="10" t="n">
        <v>26.91</v>
      </c>
      <c r="N947" s="8" t="n">
        <v>834210</v>
      </c>
      <c r="O947" s="74" t="s">
        <v>2077</v>
      </c>
      <c r="P947" s="74"/>
      <c r="Q947" s="74"/>
      <c r="R947" s="14" t="n">
        <f aca="false">IF(I947="Unbilled",0,M947)</f>
        <v>26.91</v>
      </c>
      <c r="S947" s="9" t="n">
        <f aca="false">IF(R947=0,0,IF(O947="Booked",N947,R947*V946))</f>
        <v>834210</v>
      </c>
      <c r="T947" s="14" t="n">
        <f aca="false">IF(I947="Opening",K947,T946+K947-R947)</f>
        <v>3061.09</v>
      </c>
      <c r="U947" s="9" t="n">
        <f aca="false">IF(I947="Opening",L947,U946+L947-S947)</f>
        <v>94893790</v>
      </c>
      <c r="V947" s="9" t="n">
        <f aca="false">IF(T947&gt;0,U947/T947,IF(I947="Opening",0,V946))</f>
        <v>31000</v>
      </c>
      <c r="W947" s="14" t="n">
        <f aca="false">M947</f>
        <v>26.91</v>
      </c>
      <c r="X947" s="9" t="n">
        <f aca="false">IF(W947=0,0,IF(O947="Booked",N947,W947*AA946))</f>
        <v>834210</v>
      </c>
      <c r="Y947" s="14" t="n">
        <f aca="false">IF(I947="Opening",K947,Y946+K947-W947)</f>
        <v>3061.09</v>
      </c>
      <c r="Z947" s="9" t="n">
        <f aca="false">IF(I947="Opening",L947,Z946+L947-X947)</f>
        <v>94893790</v>
      </c>
      <c r="AA947" s="9" t="n">
        <f aca="false">IF(Y947&gt;0,Z947/Y947,IF(I947="Opening",0,AA946))</f>
        <v>31000</v>
      </c>
      <c r="AB947" s="9" t="n">
        <f aca="false">IF(AND(I947="DO",O947="MA"),S947-N947,0)</f>
        <v>0</v>
      </c>
      <c r="AC947" s="9" t="n">
        <f aca="false">IF(I947="DO",X947-S947,0)</f>
        <v>0</v>
      </c>
      <c r="AD947" s="23" t="n">
        <f aca="false">IF(B948&lt;&gt;B947,1,0)</f>
        <v>0</v>
      </c>
      <c r="AE947" s="14" t="n">
        <f aca="false">IF(I947="Opening",0,AE946+W947)</f>
        <v>26.91</v>
      </c>
      <c r="AF947" s="14" t="n">
        <f aca="false">IF(I947="Opening",K947,AF946)</f>
        <v>0</v>
      </c>
      <c r="AG947" s="14" t="n">
        <f aca="false">AG946</f>
        <v>0</v>
      </c>
      <c r="AH947" s="14" t="n">
        <f aca="false">IF(W947=0,0,MAX(0,MIN(AE947,AF947)-MIN(AE947-W947,AF947)))</f>
        <v>0</v>
      </c>
      <c r="AI947" s="14" t="n">
        <f aca="false">IF(W947=0,0,MAX(0,MIN(AE947,AF947+AG947)-MAX(AE947-W947,AF947)))</f>
        <v>0</v>
      </c>
      <c r="AJ947" s="14" t="n">
        <f aca="false">W947-AH947-AI947</f>
        <v>26.91</v>
      </c>
      <c r="AK947" s="9" t="n">
        <f aca="false">IF(W947=0,0,X947*AH947/W947)</f>
        <v>0</v>
      </c>
      <c r="AL947" s="9" t="n">
        <f aca="false">IF(W947=0,0,X947*AI947/W947)</f>
        <v>0</v>
      </c>
      <c r="AM947" s="9" t="n">
        <f aca="false">X947-AK947-AL947</f>
        <v>834210</v>
      </c>
    </row>
    <row r="948" customFormat="false" ht="15" hidden="false" customHeight="false" outlineLevel="0" collapsed="false">
      <c r="A948" s="6" t="n">
        <v>943</v>
      </c>
      <c r="B948" s="74" t="s">
        <v>1023</v>
      </c>
      <c r="C948" s="53" t="str">
        <f aca="false">INDEX(I_Items!$C$5:$C$133,MATCH($B948,I_Items!$A$5:$A$133,0))</f>
        <v>Trading</v>
      </c>
      <c r="D948" s="53" t="str">
        <f aca="false">INDEX(I_Items!$D$5:$D$133,MATCH($B948,I_Items!$A$5:$A$133,0))</f>
        <v>Karkas</v>
      </c>
      <c r="E948" s="53" t="str">
        <f aca="false">INDEX(I_Items!$F$5:$F$133,MATCH($B948,I_Items!$A$5:$A$133,0))</f>
        <v>Not stated in item master</v>
      </c>
      <c r="F948" s="53" t="str">
        <f aca="false">IF(INDEX(I_Items!$E$5:$E$133,MATCH($B948,I_Items!$A$5:$A$133,0))="","",INDEX(I_Items!$E$5:$E$133,MATCH($B948,I_Items!$A$5:$A$133,0)))</f>
        <v>Uk 0.8</v>
      </c>
      <c r="G948" s="76" t="n">
        <v>46241</v>
      </c>
      <c r="H948" s="23" t="n">
        <f aca="false">MONTH(G948)</f>
        <v>8</v>
      </c>
      <c r="I948" s="74" t="s">
        <v>2075</v>
      </c>
      <c r="J948" s="74" t="s">
        <v>2298</v>
      </c>
      <c r="K948" s="10" t="n">
        <v>0</v>
      </c>
      <c r="L948" s="8" t="n">
        <v>0</v>
      </c>
      <c r="M948" s="10" t="n">
        <v>212</v>
      </c>
      <c r="N948" s="8" t="n">
        <v>6572000</v>
      </c>
      <c r="O948" s="74" t="s">
        <v>2077</v>
      </c>
      <c r="P948" s="74"/>
      <c r="Q948" s="74"/>
      <c r="R948" s="14" t="n">
        <f aca="false">IF(I948="Unbilled",0,M948)</f>
        <v>212</v>
      </c>
      <c r="S948" s="9" t="n">
        <f aca="false">IF(R948=0,0,IF(O948="Booked",N948,R948*V947))</f>
        <v>6572000</v>
      </c>
      <c r="T948" s="14" t="n">
        <f aca="false">IF(I948="Opening",K948,T947+K948-R948)</f>
        <v>2849.09</v>
      </c>
      <c r="U948" s="9" t="n">
        <f aca="false">IF(I948="Opening",L948,U947+L948-S948)</f>
        <v>88321790</v>
      </c>
      <c r="V948" s="9" t="n">
        <f aca="false">IF(T948&gt;0,U948/T948,IF(I948="Opening",0,V947))</f>
        <v>31000</v>
      </c>
      <c r="W948" s="14" t="n">
        <f aca="false">M948</f>
        <v>212</v>
      </c>
      <c r="X948" s="9" t="n">
        <f aca="false">IF(W948=0,0,IF(O948="Booked",N948,W948*AA947))</f>
        <v>6572000</v>
      </c>
      <c r="Y948" s="14" t="n">
        <f aca="false">IF(I948="Opening",K948,Y947+K948-W948)</f>
        <v>2849.09</v>
      </c>
      <c r="Z948" s="9" t="n">
        <f aca="false">IF(I948="Opening",L948,Z947+L948-X948)</f>
        <v>88321790</v>
      </c>
      <c r="AA948" s="9" t="n">
        <f aca="false">IF(Y948&gt;0,Z948/Y948,IF(I948="Opening",0,AA947))</f>
        <v>31000</v>
      </c>
      <c r="AB948" s="9" t="n">
        <f aca="false">IF(AND(I948="DO",O948="MA"),S948-N948,0)</f>
        <v>0</v>
      </c>
      <c r="AC948" s="9" t="n">
        <f aca="false">IF(I948="DO",X948-S948,0)</f>
        <v>0</v>
      </c>
      <c r="AD948" s="23" t="n">
        <f aca="false">IF(B949&lt;&gt;B948,1,0)</f>
        <v>0</v>
      </c>
      <c r="AE948" s="14" t="n">
        <f aca="false">IF(I948="Opening",0,AE947+W948)</f>
        <v>238.91</v>
      </c>
      <c r="AF948" s="14" t="n">
        <f aca="false">IF(I948="Opening",K948,AF947)</f>
        <v>0</v>
      </c>
      <c r="AG948" s="14" t="n">
        <f aca="false">AG947</f>
        <v>0</v>
      </c>
      <c r="AH948" s="14" t="n">
        <f aca="false">IF(W948=0,0,MAX(0,MIN(AE948,AF948)-MIN(AE948-W948,AF948)))</f>
        <v>0</v>
      </c>
      <c r="AI948" s="14" t="n">
        <f aca="false">IF(W948=0,0,MAX(0,MIN(AE948,AF948+AG948)-MAX(AE948-W948,AF948)))</f>
        <v>0</v>
      </c>
      <c r="AJ948" s="14" t="n">
        <f aca="false">W948-AH948-AI948</f>
        <v>212</v>
      </c>
      <c r="AK948" s="9" t="n">
        <f aca="false">IF(W948=0,0,X948*AH948/W948)</f>
        <v>0</v>
      </c>
      <c r="AL948" s="9" t="n">
        <f aca="false">IF(W948=0,0,X948*AI948/W948)</f>
        <v>0</v>
      </c>
      <c r="AM948" s="9" t="n">
        <f aca="false">X948-AK948-AL948</f>
        <v>6572000</v>
      </c>
    </row>
    <row r="949" customFormat="false" ht="15" hidden="false" customHeight="false" outlineLevel="0" collapsed="false">
      <c r="A949" s="6" t="n">
        <v>944</v>
      </c>
      <c r="B949" s="74" t="s">
        <v>1023</v>
      </c>
      <c r="C949" s="53" t="str">
        <f aca="false">INDEX(I_Items!$C$5:$C$133,MATCH($B949,I_Items!$A$5:$A$133,0))</f>
        <v>Trading</v>
      </c>
      <c r="D949" s="53" t="str">
        <f aca="false">INDEX(I_Items!$D$5:$D$133,MATCH($B949,I_Items!$A$5:$A$133,0))</f>
        <v>Karkas</v>
      </c>
      <c r="E949" s="53" t="str">
        <f aca="false">INDEX(I_Items!$F$5:$F$133,MATCH($B949,I_Items!$A$5:$A$133,0))</f>
        <v>Not stated in item master</v>
      </c>
      <c r="F949" s="53" t="str">
        <f aca="false">IF(INDEX(I_Items!$E$5:$E$133,MATCH($B949,I_Items!$A$5:$A$133,0))="","",INDEX(I_Items!$E$5:$E$133,MATCH($B949,I_Items!$A$5:$A$133,0)))</f>
        <v>Uk 0.8</v>
      </c>
      <c r="G949" s="76" t="n">
        <v>46244</v>
      </c>
      <c r="H949" s="23" t="n">
        <f aca="false">MONTH(G949)</f>
        <v>8</v>
      </c>
      <c r="I949" s="74" t="s">
        <v>2074</v>
      </c>
      <c r="J949" s="74" t="s">
        <v>2299</v>
      </c>
      <c r="K949" s="10" t="n">
        <v>3233.4</v>
      </c>
      <c r="L949" s="8" t="n">
        <v>105085500</v>
      </c>
      <c r="M949" s="10" t="n">
        <v>0</v>
      </c>
      <c r="N949" s="8" t="n">
        <v>0</v>
      </c>
      <c r="O949" s="74"/>
      <c r="P949" s="74"/>
      <c r="Q949" s="74"/>
      <c r="R949" s="14" t="n">
        <f aca="false">IF(I949="Unbilled",0,M949)</f>
        <v>0</v>
      </c>
      <c r="S949" s="9" t="n">
        <f aca="false">IF(R949=0,0,IF(O949="Booked",N949,R949*V948))</f>
        <v>0</v>
      </c>
      <c r="T949" s="14" t="n">
        <f aca="false">IF(I949="Opening",K949,T948+K949-R949)</f>
        <v>6082.49</v>
      </c>
      <c r="U949" s="9" t="n">
        <f aca="false">IF(I949="Opening",L949,U948+L949-S949)</f>
        <v>193407290</v>
      </c>
      <c r="V949" s="9" t="n">
        <f aca="false">IF(T949&gt;0,U949/T949,IF(I949="Opening",0,V948))</f>
        <v>31797.3872542331</v>
      </c>
      <c r="W949" s="14" t="n">
        <f aca="false">M949</f>
        <v>0</v>
      </c>
      <c r="X949" s="9" t="n">
        <f aca="false">IF(W949=0,0,IF(O949="Booked",N949,W949*AA948))</f>
        <v>0</v>
      </c>
      <c r="Y949" s="14" t="n">
        <f aca="false">IF(I949="Opening",K949,Y948+K949-W949)</f>
        <v>6082.49</v>
      </c>
      <c r="Z949" s="9" t="n">
        <f aca="false">IF(I949="Opening",L949,Z948+L949-X949)</f>
        <v>193407290</v>
      </c>
      <c r="AA949" s="9" t="n">
        <f aca="false">IF(Y949&gt;0,Z949/Y949,IF(I949="Opening",0,AA948))</f>
        <v>31797.3872542331</v>
      </c>
      <c r="AB949" s="9" t="n">
        <f aca="false">IF(AND(I949="DO",O949="MA"),S949-N949,0)</f>
        <v>0</v>
      </c>
      <c r="AC949" s="9" t="n">
        <f aca="false">IF(I949="DO",X949-S949,0)</f>
        <v>0</v>
      </c>
      <c r="AD949" s="23" t="n">
        <f aca="false">IF(B950&lt;&gt;B949,1,0)</f>
        <v>0</v>
      </c>
      <c r="AE949" s="14" t="n">
        <f aca="false">IF(I949="Opening",0,AE948+W949)</f>
        <v>238.91</v>
      </c>
      <c r="AF949" s="14" t="n">
        <f aca="false">IF(I949="Opening",K949,AF948)</f>
        <v>0</v>
      </c>
      <c r="AG949" s="14" t="n">
        <f aca="false">AG948</f>
        <v>0</v>
      </c>
      <c r="AH949" s="14" t="n">
        <f aca="false">IF(W949=0,0,MAX(0,MIN(AE949,AF949)-MIN(AE949-W949,AF949)))</f>
        <v>0</v>
      </c>
      <c r="AI949" s="14" t="n">
        <f aca="false">IF(W949=0,0,MAX(0,MIN(AE949,AF949+AG949)-MAX(AE949-W949,AF949)))</f>
        <v>0</v>
      </c>
      <c r="AJ949" s="14" t="n">
        <f aca="false">W949-AH949-AI949</f>
        <v>0</v>
      </c>
      <c r="AK949" s="9" t="n">
        <f aca="false">IF(W949=0,0,X949*AH949/W949)</f>
        <v>0</v>
      </c>
      <c r="AL949" s="9" t="n">
        <f aca="false">IF(W949=0,0,X949*AI949/W949)</f>
        <v>0</v>
      </c>
      <c r="AM949" s="9" t="n">
        <f aca="false">X949-AK949-AL949</f>
        <v>0</v>
      </c>
    </row>
    <row r="950" customFormat="false" ht="15" hidden="false" customHeight="false" outlineLevel="0" collapsed="false">
      <c r="A950" s="6" t="n">
        <v>945</v>
      </c>
      <c r="B950" s="74" t="s">
        <v>1023</v>
      </c>
      <c r="C950" s="53" t="str">
        <f aca="false">INDEX(I_Items!$C$5:$C$133,MATCH($B950,I_Items!$A$5:$A$133,0))</f>
        <v>Trading</v>
      </c>
      <c r="D950" s="53" t="str">
        <f aca="false">INDEX(I_Items!$D$5:$D$133,MATCH($B950,I_Items!$A$5:$A$133,0))</f>
        <v>Karkas</v>
      </c>
      <c r="E950" s="53" t="str">
        <f aca="false">INDEX(I_Items!$F$5:$F$133,MATCH($B950,I_Items!$A$5:$A$133,0))</f>
        <v>Not stated in item master</v>
      </c>
      <c r="F950" s="53" t="str">
        <f aca="false">IF(INDEX(I_Items!$E$5:$E$133,MATCH($B950,I_Items!$A$5:$A$133,0))="","",INDEX(I_Items!$E$5:$E$133,MATCH($B950,I_Items!$A$5:$A$133,0)))</f>
        <v>Uk 0.8</v>
      </c>
      <c r="G950" s="76" t="n">
        <v>46244</v>
      </c>
      <c r="H950" s="23" t="n">
        <f aca="false">MONTH(G950)</f>
        <v>8</v>
      </c>
      <c r="I950" s="74" t="s">
        <v>2075</v>
      </c>
      <c r="J950" s="74" t="s">
        <v>2305</v>
      </c>
      <c r="K950" s="10" t="n">
        <v>0</v>
      </c>
      <c r="L950" s="8" t="n">
        <v>0</v>
      </c>
      <c r="M950" s="10" t="n">
        <v>429.88</v>
      </c>
      <c r="N950" s="8" t="n">
        <v>13669060.85</v>
      </c>
      <c r="O950" s="74" t="s">
        <v>2077</v>
      </c>
      <c r="P950" s="74"/>
      <c r="Q950" s="74"/>
      <c r="R950" s="14" t="n">
        <f aca="false">IF(I950="Unbilled",0,M950)</f>
        <v>429.88</v>
      </c>
      <c r="S950" s="9" t="n">
        <f aca="false">IF(R950=0,0,IF(O950="Booked",N950,R950*V949))</f>
        <v>13669060.8328497</v>
      </c>
      <c r="T950" s="14" t="n">
        <f aca="false">IF(I950="Opening",K950,T949+K950-R950)</f>
        <v>5652.61</v>
      </c>
      <c r="U950" s="9" t="n">
        <f aca="false">IF(I950="Opening",L950,U949+L950-S950)</f>
        <v>179738229.16715</v>
      </c>
      <c r="V950" s="9" t="n">
        <f aca="false">IF(T950&gt;0,U950/T950,IF(I950="Opening",0,V949))</f>
        <v>31797.3872542331</v>
      </c>
      <c r="W950" s="14" t="n">
        <f aca="false">M950</f>
        <v>429.88</v>
      </c>
      <c r="X950" s="9" t="n">
        <f aca="false">IF(W950=0,0,IF(O950="Booked",N950,W950*AA949))</f>
        <v>13669060.8328497</v>
      </c>
      <c r="Y950" s="14" t="n">
        <f aca="false">IF(I950="Opening",K950,Y949+K950-W950)</f>
        <v>5652.61</v>
      </c>
      <c r="Z950" s="9" t="n">
        <f aca="false">IF(I950="Opening",L950,Z949+L950-X950)</f>
        <v>179738229.16715</v>
      </c>
      <c r="AA950" s="9" t="n">
        <f aca="false">IF(Y950&gt;0,Z950/Y950,IF(I950="Opening",0,AA949))</f>
        <v>31797.3872542331</v>
      </c>
      <c r="AB950" s="9" t="n">
        <f aca="false">IF(AND(I950="DO",O950="MA"),S950-N950,0)</f>
        <v>-0.0171502940356731</v>
      </c>
      <c r="AC950" s="9" t="n">
        <f aca="false">IF(I950="DO",X950-S950,0)</f>
        <v>0</v>
      </c>
      <c r="AD950" s="23" t="n">
        <f aca="false">IF(B951&lt;&gt;B950,1,0)</f>
        <v>0</v>
      </c>
      <c r="AE950" s="14" t="n">
        <f aca="false">IF(I950="Opening",0,AE949+W950)</f>
        <v>668.79</v>
      </c>
      <c r="AF950" s="14" t="n">
        <f aca="false">IF(I950="Opening",K950,AF949)</f>
        <v>0</v>
      </c>
      <c r="AG950" s="14" t="n">
        <f aca="false">AG949</f>
        <v>0</v>
      </c>
      <c r="AH950" s="14" t="n">
        <f aca="false">IF(W950=0,0,MAX(0,MIN(AE950,AF950)-MIN(AE950-W950,AF950)))</f>
        <v>0</v>
      </c>
      <c r="AI950" s="14" t="n">
        <f aca="false">IF(W950=0,0,MAX(0,MIN(AE950,AF950+AG950)-MAX(AE950-W950,AF950)))</f>
        <v>0</v>
      </c>
      <c r="AJ950" s="14" t="n">
        <f aca="false">W950-AH950-AI950</f>
        <v>429.88</v>
      </c>
      <c r="AK950" s="9" t="n">
        <f aca="false">IF(W950=0,0,X950*AH950/W950)</f>
        <v>0</v>
      </c>
      <c r="AL950" s="9" t="n">
        <f aca="false">IF(W950=0,0,X950*AI950/W950)</f>
        <v>0</v>
      </c>
      <c r="AM950" s="9" t="n">
        <f aca="false">X950-AK950-AL950</f>
        <v>13669060.8328497</v>
      </c>
    </row>
    <row r="951" customFormat="false" ht="15" hidden="false" customHeight="false" outlineLevel="0" collapsed="false">
      <c r="A951" s="6" t="n">
        <v>946</v>
      </c>
      <c r="B951" s="74" t="s">
        <v>1023</v>
      </c>
      <c r="C951" s="53" t="str">
        <f aca="false">INDEX(I_Items!$C$5:$C$133,MATCH($B951,I_Items!$A$5:$A$133,0))</f>
        <v>Trading</v>
      </c>
      <c r="D951" s="53" t="str">
        <f aca="false">INDEX(I_Items!$D$5:$D$133,MATCH($B951,I_Items!$A$5:$A$133,0))</f>
        <v>Karkas</v>
      </c>
      <c r="E951" s="53" t="str">
        <f aca="false">INDEX(I_Items!$F$5:$F$133,MATCH($B951,I_Items!$A$5:$A$133,0))</f>
        <v>Not stated in item master</v>
      </c>
      <c r="F951" s="53" t="str">
        <f aca="false">IF(INDEX(I_Items!$E$5:$E$133,MATCH($B951,I_Items!$A$5:$A$133,0))="","",INDEX(I_Items!$E$5:$E$133,MATCH($B951,I_Items!$A$5:$A$133,0)))</f>
        <v>Uk 0.8</v>
      </c>
      <c r="G951" s="76" t="n">
        <v>46244</v>
      </c>
      <c r="H951" s="23" t="n">
        <f aca="false">MONTH(G951)</f>
        <v>8</v>
      </c>
      <c r="I951" s="74" t="s">
        <v>2117</v>
      </c>
      <c r="J951" s="74" t="s">
        <v>2176</v>
      </c>
      <c r="K951" s="10" t="n">
        <v>429.88</v>
      </c>
      <c r="L951" s="8" t="n">
        <v>13669060.85</v>
      </c>
      <c r="M951" s="10" t="n">
        <v>0</v>
      </c>
      <c r="N951" s="8" t="n">
        <v>0</v>
      </c>
      <c r="O951" s="74" t="s">
        <v>2119</v>
      </c>
      <c r="P951" s="74"/>
      <c r="Q951" s="74"/>
      <c r="R951" s="14" t="n">
        <f aca="false">IF(I951="Unbilled",0,M951)</f>
        <v>0</v>
      </c>
      <c r="S951" s="9" t="n">
        <f aca="false">IF(R951=0,0,IF(O951="Booked",N951,R951*V950))</f>
        <v>0</v>
      </c>
      <c r="T951" s="14" t="n">
        <f aca="false">IF(I951="Opening",K951,T950+K951-R951)</f>
        <v>6082.49</v>
      </c>
      <c r="U951" s="9" t="n">
        <f aca="false">IF(I951="Opening",L951,U950+L951-S951)</f>
        <v>193407290.01715</v>
      </c>
      <c r="V951" s="9" t="n">
        <f aca="false">IF(T951&gt;0,U951/T951,IF(I951="Opening",0,V950))</f>
        <v>31797.3872570527</v>
      </c>
      <c r="W951" s="14" t="n">
        <f aca="false">M951</f>
        <v>0</v>
      </c>
      <c r="X951" s="9" t="n">
        <f aca="false">IF(W951=0,0,IF(O951="Booked",N951,W951*AA950))</f>
        <v>0</v>
      </c>
      <c r="Y951" s="14" t="n">
        <f aca="false">IF(I951="Opening",K951,Y950+K951-W951)</f>
        <v>6082.49</v>
      </c>
      <c r="Z951" s="9" t="n">
        <f aca="false">IF(I951="Opening",L951,Z950+L951-X951)</f>
        <v>193407290.01715</v>
      </c>
      <c r="AA951" s="9" t="n">
        <f aca="false">IF(Y951&gt;0,Z951/Y951,IF(I951="Opening",0,AA950))</f>
        <v>31797.3872570527</v>
      </c>
      <c r="AB951" s="9" t="n">
        <f aca="false">IF(AND(I951="DO",O951="MA"),S951-N951,0)</f>
        <v>0</v>
      </c>
      <c r="AC951" s="9" t="n">
        <f aca="false">IF(I951="DO",X951-S951,0)</f>
        <v>0</v>
      </c>
      <c r="AD951" s="23" t="n">
        <f aca="false">IF(B952&lt;&gt;B951,1,0)</f>
        <v>0</v>
      </c>
      <c r="AE951" s="14" t="n">
        <f aca="false">IF(I951="Opening",0,AE950+W951)</f>
        <v>668.79</v>
      </c>
      <c r="AF951" s="14" t="n">
        <f aca="false">IF(I951="Opening",K951,AF950)</f>
        <v>0</v>
      </c>
      <c r="AG951" s="14" t="n">
        <f aca="false">AG950</f>
        <v>0</v>
      </c>
      <c r="AH951" s="14" t="n">
        <f aca="false">IF(W951=0,0,MAX(0,MIN(AE951,AF951)-MIN(AE951-W951,AF951)))</f>
        <v>0</v>
      </c>
      <c r="AI951" s="14" t="n">
        <f aca="false">IF(W951=0,0,MAX(0,MIN(AE951,AF951+AG951)-MAX(AE951-W951,AF951)))</f>
        <v>0</v>
      </c>
      <c r="AJ951" s="14" t="n">
        <f aca="false">W951-AH951-AI951</f>
        <v>0</v>
      </c>
      <c r="AK951" s="9" t="n">
        <f aca="false">IF(W951=0,0,X951*AH951/W951)</f>
        <v>0</v>
      </c>
      <c r="AL951" s="9" t="n">
        <f aca="false">IF(W951=0,0,X951*AI951/W951)</f>
        <v>0</v>
      </c>
      <c r="AM951" s="9" t="n">
        <f aca="false">X951-AK951-AL951</f>
        <v>0</v>
      </c>
    </row>
    <row r="952" customFormat="false" ht="15" hidden="false" customHeight="false" outlineLevel="0" collapsed="false">
      <c r="A952" s="6" t="n">
        <v>947</v>
      </c>
      <c r="B952" s="74" t="s">
        <v>1023</v>
      </c>
      <c r="C952" s="53" t="str">
        <f aca="false">INDEX(I_Items!$C$5:$C$133,MATCH($B952,I_Items!$A$5:$A$133,0))</f>
        <v>Trading</v>
      </c>
      <c r="D952" s="53" t="str">
        <f aca="false">INDEX(I_Items!$D$5:$D$133,MATCH($B952,I_Items!$A$5:$A$133,0))</f>
        <v>Karkas</v>
      </c>
      <c r="E952" s="53" t="str">
        <f aca="false">INDEX(I_Items!$F$5:$F$133,MATCH($B952,I_Items!$A$5:$A$133,0))</f>
        <v>Not stated in item master</v>
      </c>
      <c r="F952" s="53" t="str">
        <f aca="false">IF(INDEX(I_Items!$E$5:$E$133,MATCH($B952,I_Items!$A$5:$A$133,0))="","",INDEX(I_Items!$E$5:$E$133,MATCH($B952,I_Items!$A$5:$A$133,0)))</f>
        <v>Uk 0.8</v>
      </c>
      <c r="G952" s="76" t="n">
        <v>46248</v>
      </c>
      <c r="H952" s="23" t="n">
        <f aca="false">MONTH(G952)</f>
        <v>8</v>
      </c>
      <c r="I952" s="74" t="s">
        <v>2075</v>
      </c>
      <c r="J952" s="74" t="s">
        <v>2308</v>
      </c>
      <c r="K952" s="10" t="n">
        <v>0</v>
      </c>
      <c r="L952" s="8" t="n">
        <v>0</v>
      </c>
      <c r="M952" s="10" t="n">
        <v>511.1</v>
      </c>
      <c r="N952" s="8" t="n">
        <v>16251644.65</v>
      </c>
      <c r="O952" s="74" t="s">
        <v>2077</v>
      </c>
      <c r="P952" s="74"/>
      <c r="Q952" s="74"/>
      <c r="R952" s="14" t="n">
        <f aca="false">IF(I952="Unbilled",0,M952)</f>
        <v>511.1</v>
      </c>
      <c r="S952" s="9" t="n">
        <f aca="false">IF(R952=0,0,IF(O952="Booked",N952,R952*V951))</f>
        <v>16251644.6270796</v>
      </c>
      <c r="T952" s="14" t="n">
        <f aca="false">IF(I952="Opening",K952,T951+K952-R952)</f>
        <v>5571.39</v>
      </c>
      <c r="U952" s="9" t="n">
        <f aca="false">IF(I952="Opening",L952,U951+L952-S952)</f>
        <v>177155645.390071</v>
      </c>
      <c r="V952" s="9" t="n">
        <f aca="false">IF(T952&gt;0,U952/T952,IF(I952="Opening",0,V951))</f>
        <v>31797.3872570527</v>
      </c>
      <c r="W952" s="14" t="n">
        <f aca="false">M952</f>
        <v>511.1</v>
      </c>
      <c r="X952" s="9" t="n">
        <f aca="false">IF(W952=0,0,IF(O952="Booked",N952,W952*AA951))</f>
        <v>16251644.6270796</v>
      </c>
      <c r="Y952" s="14" t="n">
        <f aca="false">IF(I952="Opening",K952,Y951+K952-W952)</f>
        <v>5571.39</v>
      </c>
      <c r="Z952" s="9" t="n">
        <f aca="false">IF(I952="Opening",L952,Z951+L952-X952)</f>
        <v>177155645.390071</v>
      </c>
      <c r="AA952" s="9" t="n">
        <f aca="false">IF(Y952&gt;0,Z952/Y952,IF(I952="Opening",0,AA951))</f>
        <v>31797.3872570527</v>
      </c>
      <c r="AB952" s="9" t="n">
        <f aca="false">IF(AND(I952="DO",O952="MA"),S952-N952,0)</f>
        <v>-0.0229203812777996</v>
      </c>
      <c r="AC952" s="9" t="n">
        <f aca="false">IF(I952="DO",X952-S952,0)</f>
        <v>0</v>
      </c>
      <c r="AD952" s="23" t="n">
        <f aca="false">IF(B953&lt;&gt;B952,1,0)</f>
        <v>0</v>
      </c>
      <c r="AE952" s="14" t="n">
        <f aca="false">IF(I952="Opening",0,AE951+W952)</f>
        <v>1179.89</v>
      </c>
      <c r="AF952" s="14" t="n">
        <f aca="false">IF(I952="Opening",K952,AF951)</f>
        <v>0</v>
      </c>
      <c r="AG952" s="14" t="n">
        <f aca="false">AG951</f>
        <v>0</v>
      </c>
      <c r="AH952" s="14" t="n">
        <f aca="false">IF(W952=0,0,MAX(0,MIN(AE952,AF952)-MIN(AE952-W952,AF952)))</f>
        <v>0</v>
      </c>
      <c r="AI952" s="14" t="n">
        <f aca="false">IF(W952=0,0,MAX(0,MIN(AE952,AF952+AG952)-MAX(AE952-W952,AF952)))</f>
        <v>0</v>
      </c>
      <c r="AJ952" s="14" t="n">
        <f aca="false">W952-AH952-AI952</f>
        <v>511.1</v>
      </c>
      <c r="AK952" s="9" t="n">
        <f aca="false">IF(W952=0,0,X952*AH952/W952)</f>
        <v>0</v>
      </c>
      <c r="AL952" s="9" t="n">
        <f aca="false">IF(W952=0,0,X952*AI952/W952)</f>
        <v>0</v>
      </c>
      <c r="AM952" s="9" t="n">
        <f aca="false">X952-AK952-AL952</f>
        <v>16251644.6270796</v>
      </c>
    </row>
    <row r="953" customFormat="false" ht="15" hidden="false" customHeight="false" outlineLevel="0" collapsed="false">
      <c r="A953" s="6" t="n">
        <v>948</v>
      </c>
      <c r="B953" s="74" t="s">
        <v>1023</v>
      </c>
      <c r="C953" s="53" t="str">
        <f aca="false">INDEX(I_Items!$C$5:$C$133,MATCH($B953,I_Items!$A$5:$A$133,0))</f>
        <v>Trading</v>
      </c>
      <c r="D953" s="53" t="str">
        <f aca="false">INDEX(I_Items!$D$5:$D$133,MATCH($B953,I_Items!$A$5:$A$133,0))</f>
        <v>Karkas</v>
      </c>
      <c r="E953" s="53" t="str">
        <f aca="false">INDEX(I_Items!$F$5:$F$133,MATCH($B953,I_Items!$A$5:$A$133,0))</f>
        <v>Not stated in item master</v>
      </c>
      <c r="F953" s="53" t="str">
        <f aca="false">IF(INDEX(I_Items!$E$5:$E$133,MATCH($B953,I_Items!$A$5:$A$133,0))="","",INDEX(I_Items!$E$5:$E$133,MATCH($B953,I_Items!$A$5:$A$133,0)))</f>
        <v>Uk 0.8</v>
      </c>
      <c r="G953" s="76" t="n">
        <v>46249</v>
      </c>
      <c r="H953" s="23" t="n">
        <f aca="false">MONTH(G953)</f>
        <v>8</v>
      </c>
      <c r="I953" s="74" t="s">
        <v>2075</v>
      </c>
      <c r="J953" s="74" t="s">
        <v>2309</v>
      </c>
      <c r="K953" s="10" t="n">
        <v>0</v>
      </c>
      <c r="L953" s="8" t="n">
        <v>0</v>
      </c>
      <c r="M953" s="10" t="n">
        <v>1148.3</v>
      </c>
      <c r="N953" s="8" t="n">
        <v>36512939.84</v>
      </c>
      <c r="O953" s="74" t="s">
        <v>2077</v>
      </c>
      <c r="P953" s="74"/>
      <c r="Q953" s="74"/>
      <c r="R953" s="14" t="n">
        <f aca="false">IF(I953="Unbilled",0,M953)</f>
        <v>1148.3</v>
      </c>
      <c r="S953" s="9" t="n">
        <f aca="false">IF(R953=0,0,IF(O953="Booked",N953,R953*V952))</f>
        <v>36512939.7872736</v>
      </c>
      <c r="T953" s="14" t="n">
        <f aca="false">IF(I953="Opening",K953,T952+K953-R953)</f>
        <v>4423.09</v>
      </c>
      <c r="U953" s="9" t="n">
        <f aca="false">IF(I953="Opening",L953,U952+L953-S953)</f>
        <v>140642705.602797</v>
      </c>
      <c r="V953" s="9" t="n">
        <f aca="false">IF(T953&gt;0,U953/T953,IF(I953="Opening",0,V952))</f>
        <v>31797.3872570527</v>
      </c>
      <c r="W953" s="14" t="n">
        <f aca="false">M953</f>
        <v>1148.3</v>
      </c>
      <c r="X953" s="9" t="n">
        <f aca="false">IF(W953=0,0,IF(O953="Booked",N953,W953*AA952))</f>
        <v>36512939.7872736</v>
      </c>
      <c r="Y953" s="14" t="n">
        <f aca="false">IF(I953="Opening",K953,Y952+K953-W953)</f>
        <v>4423.09</v>
      </c>
      <c r="Z953" s="9" t="n">
        <f aca="false">IF(I953="Opening",L953,Z952+L953-X953)</f>
        <v>140642705.602797</v>
      </c>
      <c r="AA953" s="9" t="n">
        <f aca="false">IF(Y953&gt;0,Z953/Y953,IF(I953="Opening",0,AA952))</f>
        <v>31797.3872570527</v>
      </c>
      <c r="AB953" s="9" t="n">
        <f aca="false">IF(AND(I953="DO",O953="MA"),S953-N953,0)</f>
        <v>-0.0527264177799225</v>
      </c>
      <c r="AC953" s="9" t="n">
        <f aca="false">IF(I953="DO",X953-S953,0)</f>
        <v>0</v>
      </c>
      <c r="AD953" s="23" t="n">
        <f aca="false">IF(B954&lt;&gt;B953,1,0)</f>
        <v>0</v>
      </c>
      <c r="AE953" s="14" t="n">
        <f aca="false">IF(I953="Opening",0,AE952+W953)</f>
        <v>2328.19</v>
      </c>
      <c r="AF953" s="14" t="n">
        <f aca="false">IF(I953="Opening",K953,AF952)</f>
        <v>0</v>
      </c>
      <c r="AG953" s="14" t="n">
        <f aca="false">AG952</f>
        <v>0</v>
      </c>
      <c r="AH953" s="14" t="n">
        <f aca="false">IF(W953=0,0,MAX(0,MIN(AE953,AF953)-MIN(AE953-W953,AF953)))</f>
        <v>0</v>
      </c>
      <c r="AI953" s="14" t="n">
        <f aca="false">IF(W953=0,0,MAX(0,MIN(AE953,AF953+AG953)-MAX(AE953-W953,AF953)))</f>
        <v>0</v>
      </c>
      <c r="AJ953" s="14" t="n">
        <f aca="false">W953-AH953-AI953</f>
        <v>1148.3</v>
      </c>
      <c r="AK953" s="9" t="n">
        <f aca="false">IF(W953=0,0,X953*AH953/W953)</f>
        <v>0</v>
      </c>
      <c r="AL953" s="9" t="n">
        <f aca="false">IF(W953=0,0,X953*AI953/W953)</f>
        <v>0</v>
      </c>
      <c r="AM953" s="9" t="n">
        <f aca="false">X953-AK953-AL953</f>
        <v>36512939.7872736</v>
      </c>
    </row>
    <row r="954" customFormat="false" ht="15" hidden="false" customHeight="false" outlineLevel="0" collapsed="false">
      <c r="A954" s="6" t="n">
        <v>949</v>
      </c>
      <c r="B954" s="74" t="s">
        <v>1023</v>
      </c>
      <c r="C954" s="53" t="str">
        <f aca="false">INDEX(I_Items!$C$5:$C$133,MATCH($B954,I_Items!$A$5:$A$133,0))</f>
        <v>Trading</v>
      </c>
      <c r="D954" s="53" t="str">
        <f aca="false">INDEX(I_Items!$D$5:$D$133,MATCH($B954,I_Items!$A$5:$A$133,0))</f>
        <v>Karkas</v>
      </c>
      <c r="E954" s="53" t="str">
        <f aca="false">INDEX(I_Items!$F$5:$F$133,MATCH($B954,I_Items!$A$5:$A$133,0))</f>
        <v>Not stated in item master</v>
      </c>
      <c r="F954" s="53" t="str">
        <f aca="false">IF(INDEX(I_Items!$E$5:$E$133,MATCH($B954,I_Items!$A$5:$A$133,0))="","",INDEX(I_Items!$E$5:$E$133,MATCH($B954,I_Items!$A$5:$A$133,0)))</f>
        <v>Uk 0.8</v>
      </c>
      <c r="G954" s="76" t="n">
        <v>46253</v>
      </c>
      <c r="H954" s="23" t="n">
        <f aca="false">MONTH(G954)</f>
        <v>8</v>
      </c>
      <c r="I954" s="74" t="s">
        <v>2075</v>
      </c>
      <c r="J954" s="74" t="s">
        <v>2301</v>
      </c>
      <c r="K954" s="10" t="n">
        <v>0</v>
      </c>
      <c r="L954" s="8" t="n">
        <v>0</v>
      </c>
      <c r="M954" s="10" t="n">
        <v>205.1</v>
      </c>
      <c r="N954" s="8" t="n">
        <v>6521644.14</v>
      </c>
      <c r="O954" s="74" t="s">
        <v>2077</v>
      </c>
      <c r="P954" s="74"/>
      <c r="Q954" s="74"/>
      <c r="R954" s="14" t="n">
        <f aca="false">IF(I954="Unbilled",0,M954)</f>
        <v>205.1</v>
      </c>
      <c r="S954" s="9" t="n">
        <f aca="false">IF(R954=0,0,IF(O954="Booked",N954,R954*V953))</f>
        <v>6521644.1264215</v>
      </c>
      <c r="T954" s="14" t="n">
        <f aca="false">IF(I954="Opening",K954,T953+K954-R954)</f>
        <v>4217.99</v>
      </c>
      <c r="U954" s="9" t="n">
        <f aca="false">IF(I954="Opening",L954,U953+L954-S954)</f>
        <v>134121061.476376</v>
      </c>
      <c r="V954" s="9" t="n">
        <f aca="false">IF(T954&gt;0,U954/T954,IF(I954="Opening",0,V953))</f>
        <v>31797.3872570527</v>
      </c>
      <c r="W954" s="14" t="n">
        <f aca="false">M954</f>
        <v>205.1</v>
      </c>
      <c r="X954" s="9" t="n">
        <f aca="false">IF(W954=0,0,IF(O954="Booked",N954,W954*AA953))</f>
        <v>6521644.1264215</v>
      </c>
      <c r="Y954" s="14" t="n">
        <f aca="false">IF(I954="Opening",K954,Y953+K954-W954)</f>
        <v>4217.99</v>
      </c>
      <c r="Z954" s="9" t="n">
        <f aca="false">IF(I954="Opening",L954,Z953+L954-X954)</f>
        <v>134121061.476376</v>
      </c>
      <c r="AA954" s="9" t="n">
        <f aca="false">IF(Y954&gt;0,Z954/Y954,IF(I954="Opening",0,AA953))</f>
        <v>31797.3872570527</v>
      </c>
      <c r="AB954" s="9" t="n">
        <f aca="false">IF(AND(I954="DO",O954="MA"),S954-N954,0)</f>
        <v>-0.0135784959420562</v>
      </c>
      <c r="AC954" s="9" t="n">
        <f aca="false">IF(I954="DO",X954-S954,0)</f>
        <v>0</v>
      </c>
      <c r="AD954" s="23" t="n">
        <f aca="false">IF(B955&lt;&gt;B954,1,0)</f>
        <v>0</v>
      </c>
      <c r="AE954" s="14" t="n">
        <f aca="false">IF(I954="Opening",0,AE953+W954)</f>
        <v>2533.29</v>
      </c>
      <c r="AF954" s="14" t="n">
        <f aca="false">IF(I954="Opening",K954,AF953)</f>
        <v>0</v>
      </c>
      <c r="AG954" s="14" t="n">
        <f aca="false">AG953</f>
        <v>0</v>
      </c>
      <c r="AH954" s="14" t="n">
        <f aca="false">IF(W954=0,0,MAX(0,MIN(AE954,AF954)-MIN(AE954-W954,AF954)))</f>
        <v>0</v>
      </c>
      <c r="AI954" s="14" t="n">
        <f aca="false">IF(W954=0,0,MAX(0,MIN(AE954,AF954+AG954)-MAX(AE954-W954,AF954)))</f>
        <v>0</v>
      </c>
      <c r="AJ954" s="14" t="n">
        <f aca="false">W954-AH954-AI954</f>
        <v>205.1</v>
      </c>
      <c r="AK954" s="9" t="n">
        <f aca="false">IF(W954=0,0,X954*AH954/W954)</f>
        <v>0</v>
      </c>
      <c r="AL954" s="9" t="n">
        <f aca="false">IF(W954=0,0,X954*AI954/W954)</f>
        <v>0</v>
      </c>
      <c r="AM954" s="9" t="n">
        <f aca="false">X954-AK954-AL954</f>
        <v>6521644.1264215</v>
      </c>
    </row>
    <row r="955" customFormat="false" ht="15" hidden="false" customHeight="false" outlineLevel="0" collapsed="false">
      <c r="A955" s="6" t="n">
        <v>950</v>
      </c>
      <c r="B955" s="74" t="s">
        <v>1023</v>
      </c>
      <c r="C955" s="53" t="str">
        <f aca="false">INDEX(I_Items!$C$5:$C$133,MATCH($B955,I_Items!$A$5:$A$133,0))</f>
        <v>Trading</v>
      </c>
      <c r="D955" s="53" t="str">
        <f aca="false">INDEX(I_Items!$D$5:$D$133,MATCH($B955,I_Items!$A$5:$A$133,0))</f>
        <v>Karkas</v>
      </c>
      <c r="E955" s="53" t="str">
        <f aca="false">INDEX(I_Items!$F$5:$F$133,MATCH($B955,I_Items!$A$5:$A$133,0))</f>
        <v>Not stated in item master</v>
      </c>
      <c r="F955" s="53" t="str">
        <f aca="false">IF(INDEX(I_Items!$E$5:$E$133,MATCH($B955,I_Items!$A$5:$A$133,0))="","",INDEX(I_Items!$E$5:$E$133,MATCH($B955,I_Items!$A$5:$A$133,0)))</f>
        <v>Uk 0.8</v>
      </c>
      <c r="G955" s="76" t="n">
        <v>46255</v>
      </c>
      <c r="H955" s="23" t="n">
        <f aca="false">MONTH(G955)</f>
        <v>8</v>
      </c>
      <c r="I955" s="74" t="s">
        <v>2075</v>
      </c>
      <c r="J955" s="74" t="s">
        <v>2310</v>
      </c>
      <c r="K955" s="10" t="n">
        <v>0</v>
      </c>
      <c r="L955" s="8" t="n">
        <v>0</v>
      </c>
      <c r="M955" s="10" t="n">
        <v>1107.9</v>
      </c>
      <c r="N955" s="8" t="n">
        <v>35228325.39</v>
      </c>
      <c r="O955" s="74" t="s">
        <v>2077</v>
      </c>
      <c r="P955" s="74"/>
      <c r="Q955" s="74"/>
      <c r="R955" s="14" t="n">
        <f aca="false">IF(I955="Unbilled",0,M955)</f>
        <v>1107.9</v>
      </c>
      <c r="S955" s="9" t="n">
        <f aca="false">IF(R955=0,0,IF(O955="Booked",N955,R955*V954))</f>
        <v>35228325.3420887</v>
      </c>
      <c r="T955" s="14" t="n">
        <f aca="false">IF(I955="Opening",K955,T954+K955-R955)</f>
        <v>3110.09</v>
      </c>
      <c r="U955" s="9" t="n">
        <f aca="false">IF(I955="Opening",L955,U954+L955-S955)</f>
        <v>98892736.1342869</v>
      </c>
      <c r="V955" s="9" t="n">
        <f aca="false">IF(T955&gt;0,U955/T955,IF(I955="Opening",0,V954))</f>
        <v>31797.3872570527</v>
      </c>
      <c r="W955" s="14" t="n">
        <f aca="false">M955</f>
        <v>1107.9</v>
      </c>
      <c r="X955" s="9" t="n">
        <f aca="false">IF(W955=0,0,IF(O955="Booked",N955,W955*AA954))</f>
        <v>35228325.3420887</v>
      </c>
      <c r="Y955" s="14" t="n">
        <f aca="false">IF(I955="Opening",K955,Y954+K955-W955)</f>
        <v>3110.09</v>
      </c>
      <c r="Z955" s="9" t="n">
        <f aca="false">IF(I955="Opening",L955,Z954+L955-X955)</f>
        <v>98892736.1342869</v>
      </c>
      <c r="AA955" s="9" t="n">
        <f aca="false">IF(Y955&gt;0,Z955/Y955,IF(I955="Opening",0,AA954))</f>
        <v>31797.3872570527</v>
      </c>
      <c r="AB955" s="9" t="n">
        <f aca="false">IF(AND(I955="DO",O955="MA"),S955-N955,0)</f>
        <v>-0.0479113385081291</v>
      </c>
      <c r="AC955" s="9" t="n">
        <f aca="false">IF(I955="DO",X955-S955,0)</f>
        <v>0</v>
      </c>
      <c r="AD955" s="23" t="n">
        <f aca="false">IF(B956&lt;&gt;B955,1,0)</f>
        <v>0</v>
      </c>
      <c r="AE955" s="14" t="n">
        <f aca="false">IF(I955="Opening",0,AE954+W955)</f>
        <v>3641.19</v>
      </c>
      <c r="AF955" s="14" t="n">
        <f aca="false">IF(I955="Opening",K955,AF954)</f>
        <v>0</v>
      </c>
      <c r="AG955" s="14" t="n">
        <f aca="false">AG954</f>
        <v>0</v>
      </c>
      <c r="AH955" s="14" t="n">
        <f aca="false">IF(W955=0,0,MAX(0,MIN(AE955,AF955)-MIN(AE955-W955,AF955)))</f>
        <v>0</v>
      </c>
      <c r="AI955" s="14" t="n">
        <f aca="false">IF(W955=0,0,MAX(0,MIN(AE955,AF955+AG955)-MAX(AE955-W955,AF955)))</f>
        <v>0</v>
      </c>
      <c r="AJ955" s="14" t="n">
        <f aca="false">W955-AH955-AI955</f>
        <v>1107.9</v>
      </c>
      <c r="AK955" s="9" t="n">
        <f aca="false">IF(W955=0,0,X955*AH955/W955)</f>
        <v>0</v>
      </c>
      <c r="AL955" s="9" t="n">
        <f aca="false">IF(W955=0,0,X955*AI955/W955)</f>
        <v>0</v>
      </c>
      <c r="AM955" s="9" t="n">
        <f aca="false">X955-AK955-AL955</f>
        <v>35228325.3420887</v>
      </c>
    </row>
    <row r="956" customFormat="false" ht="15" hidden="false" customHeight="false" outlineLevel="0" collapsed="false">
      <c r="A956" s="6" t="n">
        <v>951</v>
      </c>
      <c r="B956" s="74" t="s">
        <v>1023</v>
      </c>
      <c r="C956" s="53" t="str">
        <f aca="false">INDEX(I_Items!$C$5:$C$133,MATCH($B956,I_Items!$A$5:$A$133,0))</f>
        <v>Trading</v>
      </c>
      <c r="D956" s="53" t="str">
        <f aca="false">INDEX(I_Items!$D$5:$D$133,MATCH($B956,I_Items!$A$5:$A$133,0))</f>
        <v>Karkas</v>
      </c>
      <c r="E956" s="53" t="str">
        <f aca="false">INDEX(I_Items!$F$5:$F$133,MATCH($B956,I_Items!$A$5:$A$133,0))</f>
        <v>Not stated in item master</v>
      </c>
      <c r="F956" s="53" t="str">
        <f aca="false">IF(INDEX(I_Items!$E$5:$E$133,MATCH($B956,I_Items!$A$5:$A$133,0))="","",INDEX(I_Items!$E$5:$E$133,MATCH($B956,I_Items!$A$5:$A$133,0)))</f>
        <v>Uk 0.8</v>
      </c>
      <c r="G956" s="76" t="n">
        <v>46258</v>
      </c>
      <c r="H956" s="23" t="n">
        <f aca="false">MONTH(G956)</f>
        <v>8</v>
      </c>
      <c r="I956" s="74" t="s">
        <v>2075</v>
      </c>
      <c r="J956" s="74" t="s">
        <v>2186</v>
      </c>
      <c r="K956" s="10" t="n">
        <v>0</v>
      </c>
      <c r="L956" s="8" t="n">
        <v>0</v>
      </c>
      <c r="M956" s="10" t="n">
        <v>619.15</v>
      </c>
      <c r="N956" s="8" t="n">
        <v>19687352.35</v>
      </c>
      <c r="O956" s="74" t="s">
        <v>2077</v>
      </c>
      <c r="P956" s="74"/>
      <c r="Q956" s="74"/>
      <c r="R956" s="14" t="n">
        <f aca="false">IF(I956="Unbilled",0,M956)</f>
        <v>619.15</v>
      </c>
      <c r="S956" s="9" t="n">
        <f aca="false">IF(R956=0,0,IF(O956="Booked",N956,R956*V955))</f>
        <v>19687352.3202042</v>
      </c>
      <c r="T956" s="14" t="n">
        <f aca="false">IF(I956="Opening",K956,T955+K956-R956)</f>
        <v>2490.94</v>
      </c>
      <c r="U956" s="9" t="n">
        <f aca="false">IF(I956="Opening",L956,U955+L956-S956)</f>
        <v>79205383.8140827</v>
      </c>
      <c r="V956" s="9" t="n">
        <f aca="false">IF(T956&gt;0,U956/T956,IF(I956="Opening",0,V955))</f>
        <v>31797.3872570527</v>
      </c>
      <c r="W956" s="14" t="n">
        <f aca="false">M956</f>
        <v>619.15</v>
      </c>
      <c r="X956" s="9" t="n">
        <f aca="false">IF(W956=0,0,IF(O956="Booked",N956,W956*AA955))</f>
        <v>19687352.3202042</v>
      </c>
      <c r="Y956" s="14" t="n">
        <f aca="false">IF(I956="Opening",K956,Y955+K956-W956)</f>
        <v>2490.94</v>
      </c>
      <c r="Z956" s="9" t="n">
        <f aca="false">IF(I956="Opening",L956,Z955+L956-X956)</f>
        <v>79205383.8140827</v>
      </c>
      <c r="AA956" s="9" t="n">
        <f aca="false">IF(Y956&gt;0,Z956/Y956,IF(I956="Opening",0,AA955))</f>
        <v>31797.3872570527</v>
      </c>
      <c r="AB956" s="9" t="n">
        <f aca="false">IF(AND(I956="DO",O956="MA"),S956-N956,0)</f>
        <v>-0.029795840382576</v>
      </c>
      <c r="AC956" s="9" t="n">
        <f aca="false">IF(I956="DO",X956-S956,0)</f>
        <v>0</v>
      </c>
      <c r="AD956" s="23" t="n">
        <f aca="false">IF(B957&lt;&gt;B956,1,0)</f>
        <v>0</v>
      </c>
      <c r="AE956" s="14" t="n">
        <f aca="false">IF(I956="Opening",0,AE955+W956)</f>
        <v>4260.34</v>
      </c>
      <c r="AF956" s="14" t="n">
        <f aca="false">IF(I956="Opening",K956,AF955)</f>
        <v>0</v>
      </c>
      <c r="AG956" s="14" t="n">
        <f aca="false">AG955</f>
        <v>0</v>
      </c>
      <c r="AH956" s="14" t="n">
        <f aca="false">IF(W956=0,0,MAX(0,MIN(AE956,AF956)-MIN(AE956-W956,AF956)))</f>
        <v>0</v>
      </c>
      <c r="AI956" s="14" t="n">
        <f aca="false">IF(W956=0,0,MAX(0,MIN(AE956,AF956+AG956)-MAX(AE956-W956,AF956)))</f>
        <v>0</v>
      </c>
      <c r="AJ956" s="14" t="n">
        <f aca="false">W956-AH956-AI956</f>
        <v>619.15</v>
      </c>
      <c r="AK956" s="9" t="n">
        <f aca="false">IF(W956=0,0,X956*AH956/W956)</f>
        <v>0</v>
      </c>
      <c r="AL956" s="9" t="n">
        <f aca="false">IF(W956=0,0,X956*AI956/W956)</f>
        <v>0</v>
      </c>
      <c r="AM956" s="9" t="n">
        <f aca="false">X956-AK956-AL956</f>
        <v>19687352.3202042</v>
      </c>
    </row>
    <row r="957" customFormat="false" ht="15" hidden="false" customHeight="false" outlineLevel="0" collapsed="false">
      <c r="A957" s="6" t="n">
        <v>952</v>
      </c>
      <c r="B957" s="74" t="s">
        <v>1023</v>
      </c>
      <c r="C957" s="53" t="str">
        <f aca="false">INDEX(I_Items!$C$5:$C$133,MATCH($B957,I_Items!$A$5:$A$133,0))</f>
        <v>Trading</v>
      </c>
      <c r="D957" s="53" t="str">
        <f aca="false">INDEX(I_Items!$D$5:$D$133,MATCH($B957,I_Items!$A$5:$A$133,0))</f>
        <v>Karkas</v>
      </c>
      <c r="E957" s="53" t="str">
        <f aca="false">INDEX(I_Items!$F$5:$F$133,MATCH($B957,I_Items!$A$5:$A$133,0))</f>
        <v>Not stated in item master</v>
      </c>
      <c r="F957" s="53" t="str">
        <f aca="false">IF(INDEX(I_Items!$E$5:$E$133,MATCH($B957,I_Items!$A$5:$A$133,0))="","",INDEX(I_Items!$E$5:$E$133,MATCH($B957,I_Items!$A$5:$A$133,0)))</f>
        <v>Uk 0.8</v>
      </c>
      <c r="G957" s="76" t="n">
        <v>46260</v>
      </c>
      <c r="H957" s="23" t="n">
        <f aca="false">MONTH(G957)</f>
        <v>8</v>
      </c>
      <c r="I957" s="74" t="s">
        <v>2075</v>
      </c>
      <c r="J957" s="74" t="s">
        <v>2306</v>
      </c>
      <c r="K957" s="10" t="n">
        <v>0</v>
      </c>
      <c r="L957" s="8" t="n">
        <v>0</v>
      </c>
      <c r="M957" s="10" t="n">
        <v>400.1</v>
      </c>
      <c r="N957" s="8" t="n">
        <v>12722134.66</v>
      </c>
      <c r="O957" s="74" t="s">
        <v>2077</v>
      </c>
      <c r="P957" s="74"/>
      <c r="Q957" s="74"/>
      <c r="R957" s="14" t="n">
        <f aca="false">IF(I957="Unbilled",0,M957)</f>
        <v>400.1</v>
      </c>
      <c r="S957" s="9" t="n">
        <f aca="false">IF(R957=0,0,IF(O957="Booked",N957,R957*V956))</f>
        <v>12722134.6415468</v>
      </c>
      <c r="T957" s="14" t="n">
        <f aca="false">IF(I957="Opening",K957,T956+K957-R957)</f>
        <v>2090.84</v>
      </c>
      <c r="U957" s="9" t="n">
        <f aca="false">IF(I957="Opening",L957,U956+L957-S957)</f>
        <v>66483249.172536</v>
      </c>
      <c r="V957" s="9" t="n">
        <f aca="false">IF(T957&gt;0,U957/T957,IF(I957="Opening",0,V956))</f>
        <v>31797.3872570527</v>
      </c>
      <c r="W957" s="14" t="n">
        <f aca="false">M957</f>
        <v>400.1</v>
      </c>
      <c r="X957" s="9" t="n">
        <f aca="false">IF(W957=0,0,IF(O957="Booked",N957,W957*AA956))</f>
        <v>12722134.6415468</v>
      </c>
      <c r="Y957" s="14" t="n">
        <f aca="false">IF(I957="Opening",K957,Y956+K957-W957)</f>
        <v>2090.84</v>
      </c>
      <c r="Z957" s="9" t="n">
        <f aca="false">IF(I957="Opening",L957,Z956+L957-X957)</f>
        <v>66483249.172536</v>
      </c>
      <c r="AA957" s="9" t="n">
        <f aca="false">IF(Y957&gt;0,Z957/Y957,IF(I957="Opening",0,AA956))</f>
        <v>31797.3872570527</v>
      </c>
      <c r="AB957" s="9" t="n">
        <f aca="false">IF(AND(I957="DO",O957="MA"),S957-N957,0)</f>
        <v>-0.0184532254934311</v>
      </c>
      <c r="AC957" s="9" t="n">
        <f aca="false">IF(I957="DO",X957-S957,0)</f>
        <v>0</v>
      </c>
      <c r="AD957" s="23" t="n">
        <f aca="false">IF(B958&lt;&gt;B957,1,0)</f>
        <v>0</v>
      </c>
      <c r="AE957" s="14" t="n">
        <f aca="false">IF(I957="Opening",0,AE956+W957)</f>
        <v>4660.44</v>
      </c>
      <c r="AF957" s="14" t="n">
        <f aca="false">IF(I957="Opening",K957,AF956)</f>
        <v>0</v>
      </c>
      <c r="AG957" s="14" t="n">
        <f aca="false">AG956</f>
        <v>0</v>
      </c>
      <c r="AH957" s="14" t="n">
        <f aca="false">IF(W957=0,0,MAX(0,MIN(AE957,AF957)-MIN(AE957-W957,AF957)))</f>
        <v>0</v>
      </c>
      <c r="AI957" s="14" t="n">
        <f aca="false">IF(W957=0,0,MAX(0,MIN(AE957,AF957+AG957)-MAX(AE957-W957,AF957)))</f>
        <v>0</v>
      </c>
      <c r="AJ957" s="14" t="n">
        <f aca="false">W957-AH957-AI957</f>
        <v>400.1</v>
      </c>
      <c r="AK957" s="9" t="n">
        <f aca="false">IF(W957=0,0,X957*AH957/W957)</f>
        <v>0</v>
      </c>
      <c r="AL957" s="9" t="n">
        <f aca="false">IF(W957=0,0,X957*AI957/W957)</f>
        <v>0</v>
      </c>
      <c r="AM957" s="9" t="n">
        <f aca="false">X957-AK957-AL957</f>
        <v>12722134.6415468</v>
      </c>
    </row>
    <row r="958" customFormat="false" ht="15" hidden="false" customHeight="false" outlineLevel="0" collapsed="false">
      <c r="A958" s="6" t="n">
        <v>953</v>
      </c>
      <c r="B958" s="74" t="s">
        <v>1023</v>
      </c>
      <c r="C958" s="53" t="str">
        <f aca="false">INDEX(I_Items!$C$5:$C$133,MATCH($B958,I_Items!$A$5:$A$133,0))</f>
        <v>Trading</v>
      </c>
      <c r="D958" s="53" t="str">
        <f aca="false">INDEX(I_Items!$D$5:$D$133,MATCH($B958,I_Items!$A$5:$A$133,0))</f>
        <v>Karkas</v>
      </c>
      <c r="E958" s="53" t="str">
        <f aca="false">INDEX(I_Items!$F$5:$F$133,MATCH($B958,I_Items!$A$5:$A$133,0))</f>
        <v>Not stated in item master</v>
      </c>
      <c r="F958" s="53" t="str">
        <f aca="false">IF(INDEX(I_Items!$E$5:$E$133,MATCH($B958,I_Items!$A$5:$A$133,0))="","",INDEX(I_Items!$E$5:$E$133,MATCH($B958,I_Items!$A$5:$A$133,0)))</f>
        <v>Uk 0.8</v>
      </c>
      <c r="G958" s="76" t="n">
        <v>46261</v>
      </c>
      <c r="H958" s="23" t="n">
        <f aca="false">MONTH(G958)</f>
        <v>8</v>
      </c>
      <c r="I958" s="74" t="s">
        <v>2075</v>
      </c>
      <c r="J958" s="74" t="s">
        <v>2147</v>
      </c>
      <c r="K958" s="10" t="n">
        <v>0</v>
      </c>
      <c r="L958" s="8" t="n">
        <v>0</v>
      </c>
      <c r="M958" s="10" t="n">
        <v>264.31</v>
      </c>
      <c r="N958" s="8" t="n">
        <v>8404367.44</v>
      </c>
      <c r="O958" s="74" t="s">
        <v>2077</v>
      </c>
      <c r="P958" s="74"/>
      <c r="Q958" s="74"/>
      <c r="R958" s="14" t="n">
        <f aca="false">IF(I958="Unbilled",0,M958)</f>
        <v>264.31</v>
      </c>
      <c r="S958" s="9" t="n">
        <f aca="false">IF(R958=0,0,IF(O958="Booked",N958,R958*V957))</f>
        <v>8404367.42591159</v>
      </c>
      <c r="T958" s="14" t="n">
        <f aca="false">IF(I958="Opening",K958,T957+K958-R958)</f>
        <v>1826.53</v>
      </c>
      <c r="U958" s="9" t="n">
        <f aca="false">IF(I958="Opening",L958,U957+L958-S958)</f>
        <v>58078881.7466244</v>
      </c>
      <c r="V958" s="9" t="n">
        <f aca="false">IF(T958&gt;0,U958/T958,IF(I958="Opening",0,V957))</f>
        <v>31797.3872570527</v>
      </c>
      <c r="W958" s="14" t="n">
        <f aca="false">M958</f>
        <v>264.31</v>
      </c>
      <c r="X958" s="9" t="n">
        <f aca="false">IF(W958=0,0,IF(O958="Booked",N958,W958*AA957))</f>
        <v>8404367.42591159</v>
      </c>
      <c r="Y958" s="14" t="n">
        <f aca="false">IF(I958="Opening",K958,Y957+K958-W958)</f>
        <v>1826.53</v>
      </c>
      <c r="Z958" s="9" t="n">
        <f aca="false">IF(I958="Opening",L958,Z957+L958-X958)</f>
        <v>58078881.7466244</v>
      </c>
      <c r="AA958" s="9" t="n">
        <f aca="false">IF(Y958&gt;0,Z958/Y958,IF(I958="Opening",0,AA957))</f>
        <v>31797.3872570527</v>
      </c>
      <c r="AB958" s="9" t="n">
        <f aca="false">IF(AND(I958="DO",O958="MA"),S958-N958,0)</f>
        <v>-0.0140884071588516</v>
      </c>
      <c r="AC958" s="9" t="n">
        <f aca="false">IF(I958="DO",X958-S958,0)</f>
        <v>0</v>
      </c>
      <c r="AD958" s="23" t="n">
        <f aca="false">IF(B959&lt;&gt;B958,1,0)</f>
        <v>0</v>
      </c>
      <c r="AE958" s="14" t="n">
        <f aca="false">IF(I958="Opening",0,AE957+W958)</f>
        <v>4924.75</v>
      </c>
      <c r="AF958" s="14" t="n">
        <f aca="false">IF(I958="Opening",K958,AF957)</f>
        <v>0</v>
      </c>
      <c r="AG958" s="14" t="n">
        <f aca="false">AG957</f>
        <v>0</v>
      </c>
      <c r="AH958" s="14" t="n">
        <f aca="false">IF(W958=0,0,MAX(0,MIN(AE958,AF958)-MIN(AE958-W958,AF958)))</f>
        <v>0</v>
      </c>
      <c r="AI958" s="14" t="n">
        <f aca="false">IF(W958=0,0,MAX(0,MIN(AE958,AF958+AG958)-MAX(AE958-W958,AF958)))</f>
        <v>0</v>
      </c>
      <c r="AJ958" s="14" t="n">
        <f aca="false">W958-AH958-AI958</f>
        <v>264.31</v>
      </c>
      <c r="AK958" s="9" t="n">
        <f aca="false">IF(W958=0,0,X958*AH958/W958)</f>
        <v>0</v>
      </c>
      <c r="AL958" s="9" t="n">
        <f aca="false">IF(W958=0,0,X958*AI958/W958)</f>
        <v>0</v>
      </c>
      <c r="AM958" s="9" t="n">
        <f aca="false">X958-AK958-AL958</f>
        <v>8404367.42591159</v>
      </c>
    </row>
    <row r="959" customFormat="false" ht="15" hidden="false" customHeight="false" outlineLevel="0" collapsed="false">
      <c r="A959" s="6" t="n">
        <v>954</v>
      </c>
      <c r="B959" s="74" t="s">
        <v>1023</v>
      </c>
      <c r="C959" s="53" t="str">
        <f aca="false">INDEX(I_Items!$C$5:$C$133,MATCH($B959,I_Items!$A$5:$A$133,0))</f>
        <v>Trading</v>
      </c>
      <c r="D959" s="53" t="str">
        <f aca="false">INDEX(I_Items!$D$5:$D$133,MATCH($B959,I_Items!$A$5:$A$133,0))</f>
        <v>Karkas</v>
      </c>
      <c r="E959" s="53" t="str">
        <f aca="false">INDEX(I_Items!$F$5:$F$133,MATCH($B959,I_Items!$A$5:$A$133,0))</f>
        <v>Not stated in item master</v>
      </c>
      <c r="F959" s="53" t="str">
        <f aca="false">IF(INDEX(I_Items!$E$5:$E$133,MATCH($B959,I_Items!$A$5:$A$133,0))="","",INDEX(I_Items!$E$5:$E$133,MATCH($B959,I_Items!$A$5:$A$133,0)))</f>
        <v>Uk 0.8</v>
      </c>
      <c r="G959" s="76" t="n">
        <v>46262</v>
      </c>
      <c r="H959" s="23" t="n">
        <f aca="false">MONTH(G959)</f>
        <v>8</v>
      </c>
      <c r="I959" s="74" t="s">
        <v>2075</v>
      </c>
      <c r="J959" s="74" t="s">
        <v>2311</v>
      </c>
      <c r="K959" s="10" t="n">
        <v>0</v>
      </c>
      <c r="L959" s="8" t="n">
        <v>0</v>
      </c>
      <c r="M959" s="10" t="n">
        <v>1018.63</v>
      </c>
      <c r="N959" s="8" t="n">
        <v>32389772.63</v>
      </c>
      <c r="O959" s="74" t="s">
        <v>2077</v>
      </c>
      <c r="P959" s="74"/>
      <c r="Q959" s="74"/>
      <c r="R959" s="14" t="n">
        <f aca="false">IF(I959="Unbilled",0,M959)</f>
        <v>1018.63</v>
      </c>
      <c r="S959" s="9" t="n">
        <f aca="false">IF(R959=0,0,IF(O959="Booked",N959,R959*V958))</f>
        <v>32389772.5816516</v>
      </c>
      <c r="T959" s="14" t="n">
        <f aca="false">IF(I959="Opening",K959,T958+K959-R959)</f>
        <v>807.899999999999</v>
      </c>
      <c r="U959" s="9" t="n">
        <f aca="false">IF(I959="Opening",L959,U958+L959-S959)</f>
        <v>25689109.1649728</v>
      </c>
      <c r="V959" s="9" t="n">
        <f aca="false">IF(T959&gt;0,U959/T959,IF(I959="Opening",0,V958))</f>
        <v>31797.3872570527</v>
      </c>
      <c r="W959" s="14" t="n">
        <f aca="false">M959</f>
        <v>1018.63</v>
      </c>
      <c r="X959" s="9" t="n">
        <f aca="false">IF(W959=0,0,IF(O959="Booked",N959,W959*AA958))</f>
        <v>32389772.5816516</v>
      </c>
      <c r="Y959" s="14" t="n">
        <f aca="false">IF(I959="Opening",K959,Y958+K959-W959)</f>
        <v>807.899999999999</v>
      </c>
      <c r="Z959" s="9" t="n">
        <f aca="false">IF(I959="Opening",L959,Z958+L959-X959)</f>
        <v>25689109.1649728</v>
      </c>
      <c r="AA959" s="9" t="n">
        <f aca="false">IF(Y959&gt;0,Z959/Y959,IF(I959="Opening",0,AA958))</f>
        <v>31797.3872570527</v>
      </c>
      <c r="AB959" s="9" t="n">
        <f aca="false">IF(AND(I959="DO",O959="MA"),S959-N959,0)</f>
        <v>-0.0483484342694283</v>
      </c>
      <c r="AC959" s="9" t="n">
        <f aca="false">IF(I959="DO",X959-S959,0)</f>
        <v>0</v>
      </c>
      <c r="AD959" s="23" t="n">
        <f aca="false">IF(B960&lt;&gt;B959,1,0)</f>
        <v>0</v>
      </c>
      <c r="AE959" s="14" t="n">
        <f aca="false">IF(I959="Opening",0,AE958+W959)</f>
        <v>5943.38</v>
      </c>
      <c r="AF959" s="14" t="n">
        <f aca="false">IF(I959="Opening",K959,AF958)</f>
        <v>0</v>
      </c>
      <c r="AG959" s="14" t="n">
        <f aca="false">AG958</f>
        <v>0</v>
      </c>
      <c r="AH959" s="14" t="n">
        <f aca="false">IF(W959=0,0,MAX(0,MIN(AE959,AF959)-MIN(AE959-W959,AF959)))</f>
        <v>0</v>
      </c>
      <c r="AI959" s="14" t="n">
        <f aca="false">IF(W959=0,0,MAX(0,MIN(AE959,AF959+AG959)-MAX(AE959-W959,AF959)))</f>
        <v>0</v>
      </c>
      <c r="AJ959" s="14" t="n">
        <f aca="false">W959-AH959-AI959</f>
        <v>1018.63</v>
      </c>
      <c r="AK959" s="9" t="n">
        <f aca="false">IF(W959=0,0,X959*AH959/W959)</f>
        <v>0</v>
      </c>
      <c r="AL959" s="9" t="n">
        <f aca="false">IF(W959=0,0,X959*AI959/W959)</f>
        <v>0</v>
      </c>
      <c r="AM959" s="9" t="n">
        <f aca="false">X959-AK959-AL959</f>
        <v>32389772.5816516</v>
      </c>
    </row>
    <row r="960" customFormat="false" ht="15" hidden="false" customHeight="false" outlineLevel="0" collapsed="false">
      <c r="A960" s="6" t="n">
        <v>955</v>
      </c>
      <c r="B960" s="74" t="s">
        <v>1023</v>
      </c>
      <c r="C960" s="53" t="str">
        <f aca="false">INDEX(I_Items!$C$5:$C$133,MATCH($B960,I_Items!$A$5:$A$133,0))</f>
        <v>Trading</v>
      </c>
      <c r="D960" s="53" t="str">
        <f aca="false">INDEX(I_Items!$D$5:$D$133,MATCH($B960,I_Items!$A$5:$A$133,0))</f>
        <v>Karkas</v>
      </c>
      <c r="E960" s="53" t="str">
        <f aca="false">INDEX(I_Items!$F$5:$F$133,MATCH($B960,I_Items!$A$5:$A$133,0))</f>
        <v>Not stated in item master</v>
      </c>
      <c r="F960" s="53" t="str">
        <f aca="false">IF(INDEX(I_Items!$E$5:$E$133,MATCH($B960,I_Items!$A$5:$A$133,0))="","",INDEX(I_Items!$E$5:$E$133,MATCH($B960,I_Items!$A$5:$A$133,0)))</f>
        <v>Uk 0.8</v>
      </c>
      <c r="G960" s="76" t="n">
        <v>46265</v>
      </c>
      <c r="H960" s="23" t="n">
        <f aca="false">MONTH(G960)</f>
        <v>8</v>
      </c>
      <c r="I960" s="74" t="s">
        <v>89</v>
      </c>
      <c r="J960" s="74" t="s">
        <v>2175</v>
      </c>
      <c r="K960" s="10" t="n">
        <v>0</v>
      </c>
      <c r="L960" s="8" t="n">
        <v>0</v>
      </c>
      <c r="M960" s="13" t="n">
        <f aca="false">INDEX(Unbilled!$K$22:$K$38,MATCH($Q960,Unbilled!$B$22:$B$38,0))</f>
        <v>931.21</v>
      </c>
      <c r="N960" s="8" t="n">
        <v>0</v>
      </c>
      <c r="O960" s="74" t="s">
        <v>2077</v>
      </c>
      <c r="P960" s="74"/>
      <c r="Q960" s="74" t="s">
        <v>1113</v>
      </c>
      <c r="R960" s="14" t="n">
        <f aca="false">IF(I960="Unbilled",0,M960)</f>
        <v>0</v>
      </c>
      <c r="S960" s="9" t="n">
        <f aca="false">IF(R960=0,0,IF(O960="Booked",N960,R960*V959))</f>
        <v>0</v>
      </c>
      <c r="T960" s="14" t="n">
        <f aca="false">IF(I960="Opening",K960,T959+K960-R960)</f>
        <v>807.899999999999</v>
      </c>
      <c r="U960" s="9" t="n">
        <f aca="false">IF(I960="Opening",L960,U959+L960-S960)</f>
        <v>25689109.1649728</v>
      </c>
      <c r="V960" s="9" t="n">
        <f aca="false">IF(T960&gt;0,U960/T960,IF(I960="Opening",0,V959))</f>
        <v>31797.3872570527</v>
      </c>
      <c r="W960" s="14" t="n">
        <f aca="false">M960</f>
        <v>931.21</v>
      </c>
      <c r="X960" s="9" t="n">
        <f aca="false">IF(W960=0,0,IF(O960="Booked",N960,W960*AA959))</f>
        <v>29610044.98764</v>
      </c>
      <c r="Y960" s="14" t="n">
        <f aca="false">IF(I960="Opening",K960,Y959+K960-W960)</f>
        <v>-123.310000000001</v>
      </c>
      <c r="Z960" s="9" t="n">
        <f aca="false">IF(I960="Opening",L960,Z959+L960-X960)</f>
        <v>-3920935.8226672</v>
      </c>
      <c r="AA960" s="9" t="n">
        <f aca="false">IF(Y960&gt;0,Z960/Y960,IF(I960="Opening",0,AA959))</f>
        <v>31797.3872570527</v>
      </c>
      <c r="AB960" s="9" t="n">
        <f aca="false">IF(AND(I960="DO",O960="MA"),S960-N960,0)</f>
        <v>0</v>
      </c>
      <c r="AC960" s="9" t="n">
        <f aca="false">IF(I960="DO",X960-S960,0)</f>
        <v>0</v>
      </c>
      <c r="AD960" s="23" t="n">
        <f aca="false">IF(B961&lt;&gt;B960,1,0)</f>
        <v>1</v>
      </c>
      <c r="AE960" s="14" t="n">
        <f aca="false">IF(I960="Opening",0,AE959+W960)</f>
        <v>6874.59</v>
      </c>
      <c r="AF960" s="14" t="n">
        <f aca="false">IF(I960="Opening",K960,AF959)</f>
        <v>0</v>
      </c>
      <c r="AG960" s="14" t="n">
        <f aca="false">AG959</f>
        <v>0</v>
      </c>
      <c r="AH960" s="14" t="n">
        <f aca="false">IF(W960=0,0,MAX(0,MIN(AE960,AF960)-MIN(AE960-W960,AF960)))</f>
        <v>0</v>
      </c>
      <c r="AI960" s="14" t="n">
        <f aca="false">IF(W960=0,0,MAX(0,MIN(AE960,AF960+AG960)-MAX(AE960-W960,AF960)))</f>
        <v>0</v>
      </c>
      <c r="AJ960" s="14" t="n">
        <f aca="false">W960-AH960-AI960</f>
        <v>931.21</v>
      </c>
      <c r="AK960" s="9" t="n">
        <f aca="false">IF(W960=0,0,X960*AH960/W960)</f>
        <v>0</v>
      </c>
      <c r="AL960" s="9" t="n">
        <f aca="false">IF(W960=0,0,X960*AI960/W960)</f>
        <v>0</v>
      </c>
      <c r="AM960" s="9" t="n">
        <f aca="false">X960-AK960-AL960</f>
        <v>29610044.98764</v>
      </c>
    </row>
    <row r="961" customFormat="false" ht="15" hidden="false" customHeight="false" outlineLevel="0" collapsed="false">
      <c r="A961" s="6" t="n">
        <v>956</v>
      </c>
      <c r="B961" s="74" t="s">
        <v>1024</v>
      </c>
      <c r="C961" s="53" t="str">
        <f aca="false">INDEX(I_Items!$C$5:$C$133,MATCH($B961,I_Items!$A$5:$A$133,0))</f>
        <v>Trading</v>
      </c>
      <c r="D961" s="53" t="str">
        <f aca="false">INDEX(I_Items!$D$5:$D$133,MATCH($B961,I_Items!$A$5:$A$133,0))</f>
        <v>Karkas</v>
      </c>
      <c r="E961" s="53" t="str">
        <f aca="false">INDEX(I_Items!$F$5:$F$133,MATCH($B961,I_Items!$A$5:$A$133,0))</f>
        <v>Not stated in item master</v>
      </c>
      <c r="F961" s="53" t="str">
        <f aca="false">IF(INDEX(I_Items!$E$5:$E$133,MATCH($B961,I_Items!$A$5:$A$133,0))="","",INDEX(I_Items!$E$5:$E$133,MATCH($B961,I_Items!$A$5:$A$133,0)))</f>
        <v>Uk 0.9</v>
      </c>
      <c r="G961" s="76" t="n">
        <v>46204</v>
      </c>
      <c r="H961" s="23" t="n">
        <f aca="false">MONTH(G961)</f>
        <v>7</v>
      </c>
      <c r="I961" s="74" t="s">
        <v>2072</v>
      </c>
      <c r="J961" s="74" t="s">
        <v>2073</v>
      </c>
      <c r="K961" s="10" t="n">
        <v>8397.27</v>
      </c>
      <c r="L961" s="8" t="n">
        <v>241012413.34</v>
      </c>
      <c r="M961" s="10" t="n">
        <v>0</v>
      </c>
      <c r="N961" s="8" t="n">
        <v>0</v>
      </c>
      <c r="O961" s="74"/>
      <c r="P961" s="74"/>
      <c r="Q961" s="74"/>
      <c r="R961" s="14" t="n">
        <f aca="false">IF(I961="Unbilled",0,M961)</f>
        <v>0</v>
      </c>
      <c r="S961" s="9" t="n">
        <f aca="false">IF(R961=0,0,IF(O961="Booked",N961,R961*V960))</f>
        <v>0</v>
      </c>
      <c r="T961" s="14" t="n">
        <f aca="false">IF(I961="Opening",K961,T960+K961-R961)</f>
        <v>8397.27</v>
      </c>
      <c r="U961" s="9" t="n">
        <f aca="false">IF(I961="Opening",L961,U960+L961-S961)</f>
        <v>241012413.34</v>
      </c>
      <c r="V961" s="9" t="n">
        <f aca="false">IF(T961&gt;0,U961/T961,IF(I961="Opening",0,V960))</f>
        <v>28701.2818856605</v>
      </c>
      <c r="W961" s="14" t="n">
        <f aca="false">M961</f>
        <v>0</v>
      </c>
      <c r="X961" s="9" t="n">
        <f aca="false">IF(W961=0,0,IF(O961="Booked",N961,W961*AA960))</f>
        <v>0</v>
      </c>
      <c r="Y961" s="14" t="n">
        <f aca="false">IF(I961="Opening",K961,Y960+K961-W961)</f>
        <v>8397.27</v>
      </c>
      <c r="Z961" s="9" t="n">
        <f aca="false">IF(I961="Opening",L961,Z960+L961-X961)</f>
        <v>241012413.34</v>
      </c>
      <c r="AA961" s="9" t="n">
        <f aca="false">IF(Y961&gt;0,Z961/Y961,IF(I961="Opening",0,AA960))</f>
        <v>28701.2818856605</v>
      </c>
      <c r="AB961" s="9" t="n">
        <f aca="false">IF(AND(I961="DO",O961="MA"),S961-N961,0)</f>
        <v>0</v>
      </c>
      <c r="AC961" s="9" t="n">
        <f aca="false">IF(I961="DO",X961-S961,0)</f>
        <v>0</v>
      </c>
      <c r="AD961" s="23" t="n">
        <f aca="false">IF(B962&lt;&gt;B961,1,0)</f>
        <v>0</v>
      </c>
      <c r="AE961" s="14" t="n">
        <f aca="false">IF(I961="Opening",0,AE960+W961)</f>
        <v>0</v>
      </c>
      <c r="AF961" s="14" t="n">
        <f aca="false">IF(I961="Opening",K961,AF960)</f>
        <v>8397.27</v>
      </c>
      <c r="AG961" s="14" t="n">
        <f aca="false">SUMIFS($K$6:$K$1110,$B$6:$B$1110,B961,$H$6:$H$1110,7,$I$6:$I$1110,"&lt;&gt;Opening")</f>
        <v>31578.83</v>
      </c>
      <c r="AH961" s="14" t="n">
        <f aca="false">IF(W961=0,0,MAX(0,MIN(AE961,AF961)-MIN(AE961-W961,AF961)))</f>
        <v>0</v>
      </c>
      <c r="AI961" s="14" t="n">
        <f aca="false">IF(W961=0,0,MAX(0,MIN(AE961,AF961+AG961)-MAX(AE961-W961,AF961)))</f>
        <v>0</v>
      </c>
      <c r="AJ961" s="14" t="n">
        <f aca="false">W961-AH961-AI961</f>
        <v>0</v>
      </c>
      <c r="AK961" s="9" t="n">
        <f aca="false">IF(W961=0,0,X961*AH961/W961)</f>
        <v>0</v>
      </c>
      <c r="AL961" s="9" t="n">
        <f aca="false">IF(W961=0,0,X961*AI961/W961)</f>
        <v>0</v>
      </c>
      <c r="AM961" s="9" t="n">
        <f aca="false">X961-AK961-AL961</f>
        <v>0</v>
      </c>
    </row>
    <row r="962" customFormat="false" ht="15" hidden="false" customHeight="false" outlineLevel="0" collapsed="false">
      <c r="A962" s="6" t="n">
        <v>957</v>
      </c>
      <c r="B962" s="74" t="s">
        <v>1024</v>
      </c>
      <c r="C962" s="53" t="str">
        <f aca="false">INDEX(I_Items!$C$5:$C$133,MATCH($B962,I_Items!$A$5:$A$133,0))</f>
        <v>Trading</v>
      </c>
      <c r="D962" s="53" t="str">
        <f aca="false">INDEX(I_Items!$D$5:$D$133,MATCH($B962,I_Items!$A$5:$A$133,0))</f>
        <v>Karkas</v>
      </c>
      <c r="E962" s="53" t="str">
        <f aca="false">INDEX(I_Items!$F$5:$F$133,MATCH($B962,I_Items!$A$5:$A$133,0))</f>
        <v>Not stated in item master</v>
      </c>
      <c r="F962" s="53" t="str">
        <f aca="false">IF(INDEX(I_Items!$E$5:$E$133,MATCH($B962,I_Items!$A$5:$A$133,0))="","",INDEX(I_Items!$E$5:$E$133,MATCH($B962,I_Items!$A$5:$A$133,0)))</f>
        <v>Uk 0.9</v>
      </c>
      <c r="G962" s="76" t="n">
        <v>46226</v>
      </c>
      <c r="H962" s="23" t="n">
        <f aca="false">MONTH(G962)</f>
        <v>7</v>
      </c>
      <c r="I962" s="74" t="s">
        <v>2074</v>
      </c>
      <c r="J962" s="74" t="s">
        <v>2312</v>
      </c>
      <c r="K962" s="10" t="n">
        <v>9975.7</v>
      </c>
      <c r="L962" s="8" t="n">
        <v>279319600</v>
      </c>
      <c r="M962" s="10" t="n">
        <v>0</v>
      </c>
      <c r="N962" s="8" t="n">
        <v>0</v>
      </c>
      <c r="O962" s="74"/>
      <c r="P962" s="74"/>
      <c r="Q962" s="74"/>
      <c r="R962" s="14" t="n">
        <f aca="false">IF(I962="Unbilled",0,M962)</f>
        <v>0</v>
      </c>
      <c r="S962" s="9" t="n">
        <f aca="false">IF(R962=0,0,IF(O962="Booked",N962,R962*V961))</f>
        <v>0</v>
      </c>
      <c r="T962" s="14" t="n">
        <f aca="false">IF(I962="Opening",K962,T961+K962-R962)</f>
        <v>18372.97</v>
      </c>
      <c r="U962" s="9" t="n">
        <f aca="false">IF(I962="Opening",L962,U961+L962-S962)</f>
        <v>520332013.34</v>
      </c>
      <c r="V962" s="9" t="n">
        <f aca="false">IF(T962&gt;0,U962/T962,IF(I962="Opening",0,V961))</f>
        <v>28320.5172239437</v>
      </c>
      <c r="W962" s="14" t="n">
        <f aca="false">M962</f>
        <v>0</v>
      </c>
      <c r="X962" s="9" t="n">
        <f aca="false">IF(W962=0,0,IF(O962="Booked",N962,W962*AA961))</f>
        <v>0</v>
      </c>
      <c r="Y962" s="14" t="n">
        <f aca="false">IF(I962="Opening",K962,Y961+K962-W962)</f>
        <v>18372.97</v>
      </c>
      <c r="Z962" s="9" t="n">
        <f aca="false">IF(I962="Opening",L962,Z961+L962-X962)</f>
        <v>520332013.34</v>
      </c>
      <c r="AA962" s="9" t="n">
        <f aca="false">IF(Y962&gt;0,Z962/Y962,IF(I962="Opening",0,AA961))</f>
        <v>28320.5172239437</v>
      </c>
      <c r="AB962" s="9" t="n">
        <f aca="false">IF(AND(I962="DO",O962="MA"),S962-N962,0)</f>
        <v>0</v>
      </c>
      <c r="AC962" s="9" t="n">
        <f aca="false">IF(I962="DO",X962-S962,0)</f>
        <v>0</v>
      </c>
      <c r="AD962" s="23" t="n">
        <f aca="false">IF(B963&lt;&gt;B962,1,0)</f>
        <v>0</v>
      </c>
      <c r="AE962" s="14" t="n">
        <f aca="false">IF(I962="Opening",0,AE961+W962)</f>
        <v>0</v>
      </c>
      <c r="AF962" s="14" t="n">
        <f aca="false">IF(I962="Opening",K962,AF961)</f>
        <v>8397.27</v>
      </c>
      <c r="AG962" s="14" t="n">
        <f aca="false">AG961</f>
        <v>31578.83</v>
      </c>
      <c r="AH962" s="14" t="n">
        <f aca="false">IF(W962=0,0,MAX(0,MIN(AE962,AF962)-MIN(AE962-W962,AF962)))</f>
        <v>0</v>
      </c>
      <c r="AI962" s="14" t="n">
        <f aca="false">IF(W962=0,0,MAX(0,MIN(AE962,AF962+AG962)-MAX(AE962-W962,AF962)))</f>
        <v>0</v>
      </c>
      <c r="AJ962" s="14" t="n">
        <f aca="false">W962-AH962-AI962</f>
        <v>0</v>
      </c>
      <c r="AK962" s="9" t="n">
        <f aca="false">IF(W962=0,0,X962*AH962/W962)</f>
        <v>0</v>
      </c>
      <c r="AL962" s="9" t="n">
        <f aca="false">IF(W962=0,0,X962*AI962/W962)</f>
        <v>0</v>
      </c>
      <c r="AM962" s="9" t="n">
        <f aca="false">X962-AK962-AL962</f>
        <v>0</v>
      </c>
    </row>
    <row r="963" customFormat="false" ht="15" hidden="false" customHeight="false" outlineLevel="0" collapsed="false">
      <c r="A963" s="6" t="n">
        <v>958</v>
      </c>
      <c r="B963" s="74" t="s">
        <v>1024</v>
      </c>
      <c r="C963" s="53" t="str">
        <f aca="false">INDEX(I_Items!$C$5:$C$133,MATCH($B963,I_Items!$A$5:$A$133,0))</f>
        <v>Trading</v>
      </c>
      <c r="D963" s="53" t="str">
        <f aca="false">INDEX(I_Items!$D$5:$D$133,MATCH($B963,I_Items!$A$5:$A$133,0))</f>
        <v>Karkas</v>
      </c>
      <c r="E963" s="53" t="str">
        <f aca="false">INDEX(I_Items!$F$5:$F$133,MATCH($B963,I_Items!$A$5:$A$133,0))</f>
        <v>Not stated in item master</v>
      </c>
      <c r="F963" s="53" t="str">
        <f aca="false">IF(INDEX(I_Items!$E$5:$E$133,MATCH($B963,I_Items!$A$5:$A$133,0))="","",INDEX(I_Items!$E$5:$E$133,MATCH($B963,I_Items!$A$5:$A$133,0)))</f>
        <v>Uk 0.9</v>
      </c>
      <c r="G963" s="76" t="n">
        <v>46228</v>
      </c>
      <c r="H963" s="23" t="n">
        <f aca="false">MONTH(G963)</f>
        <v>7</v>
      </c>
      <c r="I963" s="74" t="s">
        <v>2074</v>
      </c>
      <c r="J963" s="74" t="s">
        <v>2313</v>
      </c>
      <c r="K963" s="10" t="n">
        <v>10008.05</v>
      </c>
      <c r="L963" s="8" t="n">
        <v>280225400</v>
      </c>
      <c r="M963" s="10" t="n">
        <v>0</v>
      </c>
      <c r="N963" s="8" t="n">
        <v>0</v>
      </c>
      <c r="O963" s="74"/>
      <c r="P963" s="74"/>
      <c r="Q963" s="74"/>
      <c r="R963" s="14" t="n">
        <f aca="false">IF(I963="Unbilled",0,M963)</f>
        <v>0</v>
      </c>
      <c r="S963" s="9" t="n">
        <f aca="false">IF(R963=0,0,IF(O963="Booked",N963,R963*V962))</f>
        <v>0</v>
      </c>
      <c r="T963" s="14" t="n">
        <f aca="false">IF(I963="Opening",K963,T962+K963-R963)</f>
        <v>28381.02</v>
      </c>
      <c r="U963" s="9" t="n">
        <f aca="false">IF(I963="Opening",L963,U962+L963-S963)</f>
        <v>800557413.34</v>
      </c>
      <c r="V963" s="9" t="n">
        <f aca="false">IF(T963&gt;0,U963/T963,IF(I963="Opening",0,V962))</f>
        <v>28207.4926602356</v>
      </c>
      <c r="W963" s="14" t="n">
        <f aca="false">M963</f>
        <v>0</v>
      </c>
      <c r="X963" s="9" t="n">
        <f aca="false">IF(W963=0,0,IF(O963="Booked",N963,W963*AA962))</f>
        <v>0</v>
      </c>
      <c r="Y963" s="14" t="n">
        <f aca="false">IF(I963="Opening",K963,Y962+K963-W963)</f>
        <v>28381.02</v>
      </c>
      <c r="Z963" s="9" t="n">
        <f aca="false">IF(I963="Opening",L963,Z962+L963-X963)</f>
        <v>800557413.34</v>
      </c>
      <c r="AA963" s="9" t="n">
        <f aca="false">IF(Y963&gt;0,Z963/Y963,IF(I963="Opening",0,AA962))</f>
        <v>28207.4926602356</v>
      </c>
      <c r="AB963" s="9" t="n">
        <f aca="false">IF(AND(I963="DO",O963="MA"),S963-N963,0)</f>
        <v>0</v>
      </c>
      <c r="AC963" s="9" t="n">
        <f aca="false">IF(I963="DO",X963-S963,0)</f>
        <v>0</v>
      </c>
      <c r="AD963" s="23" t="n">
        <f aca="false">IF(B964&lt;&gt;B963,1,0)</f>
        <v>0</v>
      </c>
      <c r="AE963" s="14" t="n">
        <f aca="false">IF(I963="Opening",0,AE962+W963)</f>
        <v>0</v>
      </c>
      <c r="AF963" s="14" t="n">
        <f aca="false">IF(I963="Opening",K963,AF962)</f>
        <v>8397.27</v>
      </c>
      <c r="AG963" s="14" t="n">
        <f aca="false">AG962</f>
        <v>31578.83</v>
      </c>
      <c r="AH963" s="14" t="n">
        <f aca="false">IF(W963=0,0,MAX(0,MIN(AE963,AF963)-MIN(AE963-W963,AF963)))</f>
        <v>0</v>
      </c>
      <c r="AI963" s="14" t="n">
        <f aca="false">IF(W963=0,0,MAX(0,MIN(AE963,AF963+AG963)-MAX(AE963-W963,AF963)))</f>
        <v>0</v>
      </c>
      <c r="AJ963" s="14" t="n">
        <f aca="false">W963-AH963-AI963</f>
        <v>0</v>
      </c>
      <c r="AK963" s="9" t="n">
        <f aca="false">IF(W963=0,0,X963*AH963/W963)</f>
        <v>0</v>
      </c>
      <c r="AL963" s="9" t="n">
        <f aca="false">IF(W963=0,0,X963*AI963/W963)</f>
        <v>0</v>
      </c>
      <c r="AM963" s="9" t="n">
        <f aca="false">X963-AK963-AL963</f>
        <v>0</v>
      </c>
    </row>
    <row r="964" customFormat="false" ht="15" hidden="false" customHeight="false" outlineLevel="0" collapsed="false">
      <c r="A964" s="6" t="n">
        <v>959</v>
      </c>
      <c r="B964" s="74" t="s">
        <v>1024</v>
      </c>
      <c r="C964" s="53" t="str">
        <f aca="false">INDEX(I_Items!$C$5:$C$133,MATCH($B964,I_Items!$A$5:$A$133,0))</f>
        <v>Trading</v>
      </c>
      <c r="D964" s="53" t="str">
        <f aca="false">INDEX(I_Items!$D$5:$D$133,MATCH($B964,I_Items!$A$5:$A$133,0))</f>
        <v>Karkas</v>
      </c>
      <c r="E964" s="53" t="str">
        <f aca="false">INDEX(I_Items!$F$5:$F$133,MATCH($B964,I_Items!$A$5:$A$133,0))</f>
        <v>Not stated in item master</v>
      </c>
      <c r="F964" s="53" t="str">
        <f aca="false">IF(INDEX(I_Items!$E$5:$E$133,MATCH($B964,I_Items!$A$5:$A$133,0))="","",INDEX(I_Items!$E$5:$E$133,MATCH($B964,I_Items!$A$5:$A$133,0)))</f>
        <v>Uk 0.9</v>
      </c>
      <c r="G964" s="76" t="n">
        <v>46231</v>
      </c>
      <c r="H964" s="23" t="n">
        <f aca="false">MONTH(G964)</f>
        <v>7</v>
      </c>
      <c r="I964" s="74" t="s">
        <v>2075</v>
      </c>
      <c r="J964" s="74" t="s">
        <v>2142</v>
      </c>
      <c r="K964" s="10" t="n">
        <v>0</v>
      </c>
      <c r="L964" s="8" t="n">
        <v>0</v>
      </c>
      <c r="M964" s="10" t="n">
        <v>563.09</v>
      </c>
      <c r="N964" s="8" t="n">
        <v>15883357.06</v>
      </c>
      <c r="O964" s="74" t="s">
        <v>2077</v>
      </c>
      <c r="P964" s="74"/>
      <c r="Q964" s="74"/>
      <c r="R964" s="14" t="n">
        <f aca="false">IF(I964="Unbilled",0,M964)</f>
        <v>563.09</v>
      </c>
      <c r="S964" s="9" t="n">
        <f aca="false">IF(R964=0,0,IF(O964="Booked",N964,R964*V963))</f>
        <v>15883357.0420521</v>
      </c>
      <c r="T964" s="14" t="n">
        <f aca="false">IF(I964="Opening",K964,T963+K964-R964)</f>
        <v>27817.93</v>
      </c>
      <c r="U964" s="9" t="n">
        <f aca="false">IF(I964="Opening",L964,U963+L964-S964)</f>
        <v>784674056.297948</v>
      </c>
      <c r="V964" s="9" t="n">
        <f aca="false">IF(T964&gt;0,U964/T964,IF(I964="Opening",0,V963))</f>
        <v>28207.4926602356</v>
      </c>
      <c r="W964" s="14" t="n">
        <f aca="false">M964</f>
        <v>563.09</v>
      </c>
      <c r="X964" s="9" t="n">
        <f aca="false">IF(W964=0,0,IF(O964="Booked",N964,W964*AA963))</f>
        <v>15883357.0420521</v>
      </c>
      <c r="Y964" s="14" t="n">
        <f aca="false">IF(I964="Opening",K964,Y963+K964-W964)</f>
        <v>27817.93</v>
      </c>
      <c r="Z964" s="9" t="n">
        <f aca="false">IF(I964="Opening",L964,Z963+L964-X964)</f>
        <v>784674056.297948</v>
      </c>
      <c r="AA964" s="9" t="n">
        <f aca="false">IF(Y964&gt;0,Z964/Y964,IF(I964="Opening",0,AA963))</f>
        <v>28207.4926602356</v>
      </c>
      <c r="AB964" s="9" t="n">
        <f aca="false">IF(AND(I964="DO",O964="MA"),S964-N964,0)</f>
        <v>-0.017947930842638</v>
      </c>
      <c r="AC964" s="9" t="n">
        <f aca="false">IF(I964="DO",X964-S964,0)</f>
        <v>0</v>
      </c>
      <c r="AD964" s="23" t="n">
        <f aca="false">IF(B965&lt;&gt;B964,1,0)</f>
        <v>0</v>
      </c>
      <c r="AE964" s="14" t="n">
        <f aca="false">IF(I964="Opening",0,AE963+W964)</f>
        <v>563.09</v>
      </c>
      <c r="AF964" s="14" t="n">
        <f aca="false">IF(I964="Opening",K964,AF963)</f>
        <v>8397.27</v>
      </c>
      <c r="AG964" s="14" t="n">
        <f aca="false">AG963</f>
        <v>31578.83</v>
      </c>
      <c r="AH964" s="14" t="n">
        <f aca="false">IF(W964=0,0,MAX(0,MIN(AE964,AF964)-MIN(AE964-W964,AF964)))</f>
        <v>563.09</v>
      </c>
      <c r="AI964" s="14" t="n">
        <f aca="false">IF(W964=0,0,MAX(0,MIN(AE964,AF964+AG964)-MAX(AE964-W964,AF964)))</f>
        <v>0</v>
      </c>
      <c r="AJ964" s="14" t="n">
        <f aca="false">W964-AH964-AI964</f>
        <v>0</v>
      </c>
      <c r="AK964" s="9" t="n">
        <f aca="false">IF(W964=0,0,X964*AH964/W964)</f>
        <v>15883357.0420521</v>
      </c>
      <c r="AL964" s="9" t="n">
        <f aca="false">IF(W964=0,0,X964*AI964/W964)</f>
        <v>0</v>
      </c>
      <c r="AM964" s="9" t="n">
        <f aca="false">X964-AK964-AL964</f>
        <v>0</v>
      </c>
    </row>
    <row r="965" customFormat="false" ht="15" hidden="false" customHeight="false" outlineLevel="0" collapsed="false">
      <c r="A965" s="6" t="n">
        <v>960</v>
      </c>
      <c r="B965" s="74" t="s">
        <v>1024</v>
      </c>
      <c r="C965" s="53" t="str">
        <f aca="false">INDEX(I_Items!$C$5:$C$133,MATCH($B965,I_Items!$A$5:$A$133,0))</f>
        <v>Trading</v>
      </c>
      <c r="D965" s="53" t="str">
        <f aca="false">INDEX(I_Items!$D$5:$D$133,MATCH($B965,I_Items!$A$5:$A$133,0))</f>
        <v>Karkas</v>
      </c>
      <c r="E965" s="53" t="str">
        <f aca="false">INDEX(I_Items!$F$5:$F$133,MATCH($B965,I_Items!$A$5:$A$133,0))</f>
        <v>Not stated in item master</v>
      </c>
      <c r="F965" s="53" t="str">
        <f aca="false">IF(INDEX(I_Items!$E$5:$E$133,MATCH($B965,I_Items!$A$5:$A$133,0))="","",INDEX(I_Items!$E$5:$E$133,MATCH($B965,I_Items!$A$5:$A$133,0)))</f>
        <v>Uk 0.9</v>
      </c>
      <c r="G965" s="76" t="n">
        <v>46233</v>
      </c>
      <c r="H965" s="23" t="n">
        <f aca="false">MONTH(G965)</f>
        <v>7</v>
      </c>
      <c r="I965" s="74" t="s">
        <v>2074</v>
      </c>
      <c r="J965" s="74" t="s">
        <v>2314</v>
      </c>
      <c r="K965" s="10" t="n">
        <v>11595.08</v>
      </c>
      <c r="L965" s="8" t="n">
        <v>342054860</v>
      </c>
      <c r="M965" s="10" t="n">
        <v>0</v>
      </c>
      <c r="N965" s="8" t="n">
        <v>0</v>
      </c>
      <c r="O965" s="74"/>
      <c r="P965" s="74"/>
      <c r="Q965" s="74"/>
      <c r="R965" s="14" t="n">
        <f aca="false">IF(I965="Unbilled",0,M965)</f>
        <v>0</v>
      </c>
      <c r="S965" s="9" t="n">
        <f aca="false">IF(R965=0,0,IF(O965="Booked",N965,R965*V964))</f>
        <v>0</v>
      </c>
      <c r="T965" s="14" t="n">
        <f aca="false">IF(I965="Opening",K965,T964+K965-R965)</f>
        <v>39413.01</v>
      </c>
      <c r="U965" s="9" t="n">
        <f aca="false">IF(I965="Opening",L965,U964+L965-S965)</f>
        <v>1126728916.29795</v>
      </c>
      <c r="V965" s="9" t="n">
        <f aca="false">IF(T965&gt;0,U965/T965,IF(I965="Opening",0,V964))</f>
        <v>28587.7408575987</v>
      </c>
      <c r="W965" s="14" t="n">
        <f aca="false">M965</f>
        <v>0</v>
      </c>
      <c r="X965" s="9" t="n">
        <f aca="false">IF(W965=0,0,IF(O965="Booked",N965,W965*AA964))</f>
        <v>0</v>
      </c>
      <c r="Y965" s="14" t="n">
        <f aca="false">IF(I965="Opening",K965,Y964+K965-W965)</f>
        <v>39413.01</v>
      </c>
      <c r="Z965" s="9" t="n">
        <f aca="false">IF(I965="Opening",L965,Z964+L965-X965)</f>
        <v>1126728916.29795</v>
      </c>
      <c r="AA965" s="9" t="n">
        <f aca="false">IF(Y965&gt;0,Z965/Y965,IF(I965="Opening",0,AA964))</f>
        <v>28587.7408575987</v>
      </c>
      <c r="AB965" s="9" t="n">
        <f aca="false">IF(AND(I965="DO",O965="MA"),S965-N965,0)</f>
        <v>0</v>
      </c>
      <c r="AC965" s="9" t="n">
        <f aca="false">IF(I965="DO",X965-S965,0)</f>
        <v>0</v>
      </c>
      <c r="AD965" s="23" t="n">
        <f aca="false">IF(B966&lt;&gt;B965,1,0)</f>
        <v>0</v>
      </c>
      <c r="AE965" s="14" t="n">
        <f aca="false">IF(I965="Opening",0,AE964+W965)</f>
        <v>563.09</v>
      </c>
      <c r="AF965" s="14" t="n">
        <f aca="false">IF(I965="Opening",K965,AF964)</f>
        <v>8397.27</v>
      </c>
      <c r="AG965" s="14" t="n">
        <f aca="false">AG964</f>
        <v>31578.83</v>
      </c>
      <c r="AH965" s="14" t="n">
        <f aca="false">IF(W965=0,0,MAX(0,MIN(AE965,AF965)-MIN(AE965-W965,AF965)))</f>
        <v>0</v>
      </c>
      <c r="AI965" s="14" t="n">
        <f aca="false">IF(W965=0,0,MAX(0,MIN(AE965,AF965+AG965)-MAX(AE965-W965,AF965)))</f>
        <v>0</v>
      </c>
      <c r="AJ965" s="14" t="n">
        <f aca="false">W965-AH965-AI965</f>
        <v>0</v>
      </c>
      <c r="AK965" s="9" t="n">
        <f aca="false">IF(W965=0,0,X965*AH965/W965)</f>
        <v>0</v>
      </c>
      <c r="AL965" s="9" t="n">
        <f aca="false">IF(W965=0,0,X965*AI965/W965)</f>
        <v>0</v>
      </c>
      <c r="AM965" s="9" t="n">
        <f aca="false">X965-AK965-AL965</f>
        <v>0</v>
      </c>
    </row>
    <row r="966" customFormat="false" ht="15" hidden="false" customHeight="false" outlineLevel="0" collapsed="false">
      <c r="A966" s="6" t="n">
        <v>961</v>
      </c>
      <c r="B966" s="74" t="s">
        <v>1024</v>
      </c>
      <c r="C966" s="53" t="str">
        <f aca="false">INDEX(I_Items!$C$5:$C$133,MATCH($B966,I_Items!$A$5:$A$133,0))</f>
        <v>Trading</v>
      </c>
      <c r="D966" s="53" t="str">
        <f aca="false">INDEX(I_Items!$D$5:$D$133,MATCH($B966,I_Items!$A$5:$A$133,0))</f>
        <v>Karkas</v>
      </c>
      <c r="E966" s="53" t="str">
        <f aca="false">INDEX(I_Items!$F$5:$F$133,MATCH($B966,I_Items!$A$5:$A$133,0))</f>
        <v>Not stated in item master</v>
      </c>
      <c r="F966" s="53" t="str">
        <f aca="false">IF(INDEX(I_Items!$E$5:$E$133,MATCH($B966,I_Items!$A$5:$A$133,0))="","",INDEX(I_Items!$E$5:$E$133,MATCH($B966,I_Items!$A$5:$A$133,0)))</f>
        <v>Uk 0.9</v>
      </c>
      <c r="G966" s="76" t="n">
        <v>46235</v>
      </c>
      <c r="H966" s="23" t="n">
        <f aca="false">MONTH(G966)</f>
        <v>8</v>
      </c>
      <c r="I966" s="74" t="s">
        <v>2075</v>
      </c>
      <c r="J966" s="74" t="s">
        <v>2315</v>
      </c>
      <c r="K966" s="10" t="n">
        <v>0</v>
      </c>
      <c r="L966" s="8" t="n">
        <v>0</v>
      </c>
      <c r="M966" s="10" t="n">
        <v>6708.21</v>
      </c>
      <c r="N966" s="8" t="n">
        <v>191772569.38</v>
      </c>
      <c r="O966" s="74" t="s">
        <v>2077</v>
      </c>
      <c r="P966" s="74"/>
      <c r="Q966" s="74"/>
      <c r="R966" s="14" t="n">
        <f aca="false">IF(I966="Unbilled",0,M966)</f>
        <v>6708.21</v>
      </c>
      <c r="S966" s="9" t="n">
        <f aca="false">IF(R966=0,0,IF(O966="Booked",N966,R966*V965))</f>
        <v>191772569.098352</v>
      </c>
      <c r="T966" s="14" t="n">
        <f aca="false">IF(I966="Opening",K966,T965+K966-R966)</f>
        <v>32704.8</v>
      </c>
      <c r="U966" s="9" t="n">
        <f aca="false">IF(I966="Opening",L966,U965+L966-S966)</f>
        <v>934956347.199596</v>
      </c>
      <c r="V966" s="9" t="n">
        <f aca="false">IF(T966&gt;0,U966/T966,IF(I966="Opening",0,V965))</f>
        <v>28587.7408575987</v>
      </c>
      <c r="W966" s="14" t="n">
        <f aca="false">M966</f>
        <v>6708.21</v>
      </c>
      <c r="X966" s="9" t="n">
        <f aca="false">IF(W966=0,0,IF(O966="Booked",N966,W966*AA965))</f>
        <v>191772569.098352</v>
      </c>
      <c r="Y966" s="14" t="n">
        <f aca="false">IF(I966="Opening",K966,Y965+K966-W966)</f>
        <v>32704.8</v>
      </c>
      <c r="Z966" s="9" t="n">
        <f aca="false">IF(I966="Opening",L966,Z965+L966-X966)</f>
        <v>934956347.199596</v>
      </c>
      <c r="AA966" s="9" t="n">
        <f aca="false">IF(Y966&gt;0,Z966/Y966,IF(I966="Opening",0,AA965))</f>
        <v>28587.7408575987</v>
      </c>
      <c r="AB966" s="9" t="n">
        <f aca="false">IF(AND(I966="DO",O966="MA"),S966-N966,0)</f>
        <v>-0.281647533178329</v>
      </c>
      <c r="AC966" s="9" t="n">
        <f aca="false">IF(I966="DO",X966-S966,0)</f>
        <v>0</v>
      </c>
      <c r="AD966" s="23" t="n">
        <f aca="false">IF(B967&lt;&gt;B966,1,0)</f>
        <v>0</v>
      </c>
      <c r="AE966" s="14" t="n">
        <f aca="false">IF(I966="Opening",0,AE965+W966)</f>
        <v>7271.3</v>
      </c>
      <c r="AF966" s="14" t="n">
        <f aca="false">IF(I966="Opening",K966,AF965)</f>
        <v>8397.27</v>
      </c>
      <c r="AG966" s="14" t="n">
        <f aca="false">AG965</f>
        <v>31578.83</v>
      </c>
      <c r="AH966" s="14" t="n">
        <f aca="false">IF(W966=0,0,MAX(0,MIN(AE966,AF966)-MIN(AE966-W966,AF966)))</f>
        <v>6708.21</v>
      </c>
      <c r="AI966" s="14" t="n">
        <f aca="false">IF(W966=0,0,MAX(0,MIN(AE966,AF966+AG966)-MAX(AE966-W966,AF966)))</f>
        <v>0</v>
      </c>
      <c r="AJ966" s="14" t="n">
        <f aca="false">W966-AH966-AI966</f>
        <v>0</v>
      </c>
      <c r="AK966" s="9" t="n">
        <f aca="false">IF(W966=0,0,X966*AH966/W966)</f>
        <v>191772569.098352</v>
      </c>
      <c r="AL966" s="9" t="n">
        <f aca="false">IF(W966=0,0,X966*AI966/W966)</f>
        <v>0</v>
      </c>
      <c r="AM966" s="9" t="n">
        <f aca="false">X966-AK966-AL966</f>
        <v>0</v>
      </c>
    </row>
    <row r="967" customFormat="false" ht="15" hidden="false" customHeight="false" outlineLevel="0" collapsed="false">
      <c r="A967" s="6" t="n">
        <v>962</v>
      </c>
      <c r="B967" s="74" t="s">
        <v>1024</v>
      </c>
      <c r="C967" s="53" t="str">
        <f aca="false">INDEX(I_Items!$C$5:$C$133,MATCH($B967,I_Items!$A$5:$A$133,0))</f>
        <v>Trading</v>
      </c>
      <c r="D967" s="53" t="str">
        <f aca="false">INDEX(I_Items!$D$5:$D$133,MATCH($B967,I_Items!$A$5:$A$133,0))</f>
        <v>Karkas</v>
      </c>
      <c r="E967" s="53" t="str">
        <f aca="false">INDEX(I_Items!$F$5:$F$133,MATCH($B967,I_Items!$A$5:$A$133,0))</f>
        <v>Not stated in item master</v>
      </c>
      <c r="F967" s="53" t="str">
        <f aca="false">IF(INDEX(I_Items!$E$5:$E$133,MATCH($B967,I_Items!$A$5:$A$133,0))="","",INDEX(I_Items!$E$5:$E$133,MATCH($B967,I_Items!$A$5:$A$133,0)))</f>
        <v>Uk 0.9</v>
      </c>
      <c r="G967" s="76" t="n">
        <v>46237</v>
      </c>
      <c r="H967" s="23" t="n">
        <f aca="false">MONTH(G967)</f>
        <v>8</v>
      </c>
      <c r="I967" s="74" t="s">
        <v>2074</v>
      </c>
      <c r="J967" s="74" t="s">
        <v>2296</v>
      </c>
      <c r="K967" s="10" t="n">
        <v>1023</v>
      </c>
      <c r="L967" s="8" t="n">
        <v>31713000</v>
      </c>
      <c r="M967" s="10" t="n">
        <v>0</v>
      </c>
      <c r="N967" s="8" t="n">
        <v>0</v>
      </c>
      <c r="O967" s="74"/>
      <c r="P967" s="74"/>
      <c r="Q967" s="74"/>
      <c r="R967" s="14" t="n">
        <f aca="false">IF(I967="Unbilled",0,M967)</f>
        <v>0</v>
      </c>
      <c r="S967" s="9" t="n">
        <f aca="false">IF(R967=0,0,IF(O967="Booked",N967,R967*V966))</f>
        <v>0</v>
      </c>
      <c r="T967" s="14" t="n">
        <f aca="false">IF(I967="Opening",K967,T966+K967-R967)</f>
        <v>33727.8</v>
      </c>
      <c r="U967" s="9" t="n">
        <f aca="false">IF(I967="Opening",L967,U966+L967-S967)</f>
        <v>966669347.199596</v>
      </c>
      <c r="V967" s="9" t="n">
        <f aca="false">IF(T967&gt;0,U967/T967,IF(I967="Opening",0,V966))</f>
        <v>28660.9072397131</v>
      </c>
      <c r="W967" s="14" t="n">
        <f aca="false">M967</f>
        <v>0</v>
      </c>
      <c r="X967" s="9" t="n">
        <f aca="false">IF(W967=0,0,IF(O967="Booked",N967,W967*AA966))</f>
        <v>0</v>
      </c>
      <c r="Y967" s="14" t="n">
        <f aca="false">IF(I967="Opening",K967,Y966+K967-W967)</f>
        <v>33727.8</v>
      </c>
      <c r="Z967" s="9" t="n">
        <f aca="false">IF(I967="Opening",L967,Z966+L967-X967)</f>
        <v>966669347.199596</v>
      </c>
      <c r="AA967" s="9" t="n">
        <f aca="false">IF(Y967&gt;0,Z967/Y967,IF(I967="Opening",0,AA966))</f>
        <v>28660.9072397131</v>
      </c>
      <c r="AB967" s="9" t="n">
        <f aca="false">IF(AND(I967="DO",O967="MA"),S967-N967,0)</f>
        <v>0</v>
      </c>
      <c r="AC967" s="9" t="n">
        <f aca="false">IF(I967="DO",X967-S967,0)</f>
        <v>0</v>
      </c>
      <c r="AD967" s="23" t="n">
        <f aca="false">IF(B968&lt;&gt;B967,1,0)</f>
        <v>0</v>
      </c>
      <c r="AE967" s="14" t="n">
        <f aca="false">IF(I967="Opening",0,AE966+W967)</f>
        <v>7271.3</v>
      </c>
      <c r="AF967" s="14" t="n">
        <f aca="false">IF(I967="Opening",K967,AF966)</f>
        <v>8397.27</v>
      </c>
      <c r="AG967" s="14" t="n">
        <f aca="false">AG966</f>
        <v>31578.83</v>
      </c>
      <c r="AH967" s="14" t="n">
        <f aca="false">IF(W967=0,0,MAX(0,MIN(AE967,AF967)-MIN(AE967-W967,AF967)))</f>
        <v>0</v>
      </c>
      <c r="AI967" s="14" t="n">
        <f aca="false">IF(W967=0,0,MAX(0,MIN(AE967,AF967+AG967)-MAX(AE967-W967,AF967)))</f>
        <v>0</v>
      </c>
      <c r="AJ967" s="14" t="n">
        <f aca="false">W967-AH967-AI967</f>
        <v>0</v>
      </c>
      <c r="AK967" s="9" t="n">
        <f aca="false">IF(W967=0,0,X967*AH967/W967)</f>
        <v>0</v>
      </c>
      <c r="AL967" s="9" t="n">
        <f aca="false">IF(W967=0,0,X967*AI967/W967)</f>
        <v>0</v>
      </c>
      <c r="AM967" s="9" t="n">
        <f aca="false">X967-AK967-AL967</f>
        <v>0</v>
      </c>
    </row>
    <row r="968" customFormat="false" ht="15" hidden="false" customHeight="false" outlineLevel="0" collapsed="false">
      <c r="A968" s="6" t="n">
        <v>963</v>
      </c>
      <c r="B968" s="74" t="s">
        <v>1024</v>
      </c>
      <c r="C968" s="53" t="str">
        <f aca="false">INDEX(I_Items!$C$5:$C$133,MATCH($B968,I_Items!$A$5:$A$133,0))</f>
        <v>Trading</v>
      </c>
      <c r="D968" s="53" t="str">
        <f aca="false">INDEX(I_Items!$D$5:$D$133,MATCH($B968,I_Items!$A$5:$A$133,0))</f>
        <v>Karkas</v>
      </c>
      <c r="E968" s="53" t="str">
        <f aca="false">INDEX(I_Items!$F$5:$F$133,MATCH($B968,I_Items!$A$5:$A$133,0))</f>
        <v>Not stated in item master</v>
      </c>
      <c r="F968" s="53" t="str">
        <f aca="false">IF(INDEX(I_Items!$E$5:$E$133,MATCH($B968,I_Items!$A$5:$A$133,0))="","",INDEX(I_Items!$E$5:$E$133,MATCH($B968,I_Items!$A$5:$A$133,0)))</f>
        <v>Uk 0.9</v>
      </c>
      <c r="G968" s="76" t="n">
        <v>46237</v>
      </c>
      <c r="H968" s="23" t="n">
        <f aca="false">MONTH(G968)</f>
        <v>8</v>
      </c>
      <c r="I968" s="74" t="s">
        <v>2075</v>
      </c>
      <c r="J968" s="74" t="s">
        <v>2316</v>
      </c>
      <c r="K968" s="10" t="n">
        <v>0</v>
      </c>
      <c r="L968" s="8" t="n">
        <v>0</v>
      </c>
      <c r="M968" s="10" t="n">
        <v>4752.37</v>
      </c>
      <c r="N968" s="8" t="n">
        <v>136207236.03</v>
      </c>
      <c r="O968" s="74" t="s">
        <v>2077</v>
      </c>
      <c r="P968" s="74"/>
      <c r="Q968" s="74"/>
      <c r="R968" s="14" t="n">
        <f aca="false">IF(I968="Unbilled",0,M968)</f>
        <v>4752.37</v>
      </c>
      <c r="S968" s="9" t="n">
        <f aca="false">IF(R968=0,0,IF(O968="Booked",N968,R968*V967))</f>
        <v>136207235.738795</v>
      </c>
      <c r="T968" s="14" t="n">
        <f aca="false">IF(I968="Opening",K968,T967+K968-R968)</f>
        <v>28975.43</v>
      </c>
      <c r="U968" s="9" t="n">
        <f aca="false">IF(I968="Opening",L968,U967+L968-S968)</f>
        <v>830462111.4608</v>
      </c>
      <c r="V968" s="9" t="n">
        <f aca="false">IF(T968&gt;0,U968/T968,IF(I968="Opening",0,V967))</f>
        <v>28660.9072397131</v>
      </c>
      <c r="W968" s="14" t="n">
        <f aca="false">M968</f>
        <v>4752.37</v>
      </c>
      <c r="X968" s="9" t="n">
        <f aca="false">IF(W968=0,0,IF(O968="Booked",N968,W968*AA967))</f>
        <v>136207235.738795</v>
      </c>
      <c r="Y968" s="14" t="n">
        <f aca="false">IF(I968="Opening",K968,Y967+K968-W968)</f>
        <v>28975.43</v>
      </c>
      <c r="Z968" s="9" t="n">
        <f aca="false">IF(I968="Opening",L968,Z967+L968-X968)</f>
        <v>830462111.4608</v>
      </c>
      <c r="AA968" s="9" t="n">
        <f aca="false">IF(Y968&gt;0,Z968/Y968,IF(I968="Opening",0,AA967))</f>
        <v>28660.9072397131</v>
      </c>
      <c r="AB968" s="9" t="n">
        <f aca="false">IF(AND(I968="DO",O968="MA"),S968-N968,0)</f>
        <v>-0.291204690933228</v>
      </c>
      <c r="AC968" s="9" t="n">
        <f aca="false">IF(I968="DO",X968-S968,0)</f>
        <v>0</v>
      </c>
      <c r="AD968" s="23" t="n">
        <f aca="false">IF(B969&lt;&gt;B968,1,0)</f>
        <v>0</v>
      </c>
      <c r="AE968" s="14" t="n">
        <f aca="false">IF(I968="Opening",0,AE967+W968)</f>
        <v>12023.67</v>
      </c>
      <c r="AF968" s="14" t="n">
        <f aca="false">IF(I968="Opening",K968,AF967)</f>
        <v>8397.27</v>
      </c>
      <c r="AG968" s="14" t="n">
        <f aca="false">AG967</f>
        <v>31578.83</v>
      </c>
      <c r="AH968" s="14" t="n">
        <f aca="false">IF(W968=0,0,MAX(0,MIN(AE968,AF968)-MIN(AE968-W968,AF968)))</f>
        <v>1125.97</v>
      </c>
      <c r="AI968" s="14" t="n">
        <f aca="false">IF(W968=0,0,MAX(0,MIN(AE968,AF968+AG968)-MAX(AE968-W968,AF968)))</f>
        <v>3626.4</v>
      </c>
      <c r="AJ968" s="14" t="n">
        <f aca="false">W968-AH968-AI968</f>
        <v>0</v>
      </c>
      <c r="AK968" s="9" t="n">
        <f aca="false">IF(W968=0,0,X968*AH968/W968)</f>
        <v>32271321.7246998</v>
      </c>
      <c r="AL968" s="9" t="n">
        <f aca="false">IF(W968=0,0,X968*AI968/W968)</f>
        <v>103935914.014096</v>
      </c>
      <c r="AM968" s="9" t="n">
        <f aca="false">X968-AK968-AL968</f>
        <v>0</v>
      </c>
    </row>
    <row r="969" customFormat="false" ht="15" hidden="false" customHeight="false" outlineLevel="0" collapsed="false">
      <c r="A969" s="6" t="n">
        <v>964</v>
      </c>
      <c r="B969" s="74" t="s">
        <v>1024</v>
      </c>
      <c r="C969" s="53" t="str">
        <f aca="false">INDEX(I_Items!$C$5:$C$133,MATCH($B969,I_Items!$A$5:$A$133,0))</f>
        <v>Trading</v>
      </c>
      <c r="D969" s="53" t="str">
        <f aca="false">INDEX(I_Items!$D$5:$D$133,MATCH($B969,I_Items!$A$5:$A$133,0))</f>
        <v>Karkas</v>
      </c>
      <c r="E969" s="53" t="str">
        <f aca="false">INDEX(I_Items!$F$5:$F$133,MATCH($B969,I_Items!$A$5:$A$133,0))</f>
        <v>Not stated in item master</v>
      </c>
      <c r="F969" s="53" t="str">
        <f aca="false">IF(INDEX(I_Items!$E$5:$E$133,MATCH($B969,I_Items!$A$5:$A$133,0))="","",INDEX(I_Items!$E$5:$E$133,MATCH($B969,I_Items!$A$5:$A$133,0)))</f>
        <v>Uk 0.9</v>
      </c>
      <c r="G969" s="76" t="n">
        <v>46238</v>
      </c>
      <c r="H969" s="23" t="n">
        <f aca="false">MONTH(G969)</f>
        <v>8</v>
      </c>
      <c r="I969" s="74" t="s">
        <v>2074</v>
      </c>
      <c r="J969" s="74" t="s">
        <v>2256</v>
      </c>
      <c r="K969" s="10" t="n">
        <v>827.7</v>
      </c>
      <c r="L969" s="8" t="n">
        <v>24417150</v>
      </c>
      <c r="M969" s="10" t="n">
        <v>0</v>
      </c>
      <c r="N969" s="8" t="n">
        <v>0</v>
      </c>
      <c r="O969" s="74"/>
      <c r="P969" s="74"/>
      <c r="Q969" s="74"/>
      <c r="R969" s="14" t="n">
        <f aca="false">IF(I969="Unbilled",0,M969)</f>
        <v>0</v>
      </c>
      <c r="S969" s="9" t="n">
        <f aca="false">IF(R969=0,0,IF(O969="Booked",N969,R969*V968))</f>
        <v>0</v>
      </c>
      <c r="T969" s="14" t="n">
        <f aca="false">IF(I969="Opening",K969,T968+K969-R969)</f>
        <v>29803.13</v>
      </c>
      <c r="U969" s="9" t="n">
        <f aca="false">IF(I969="Opening",L969,U968+L969-S969)</f>
        <v>854879261.4608</v>
      </c>
      <c r="V969" s="9" t="n">
        <f aca="false">IF(T969&gt;0,U969/T969,IF(I969="Opening",0,V968))</f>
        <v>28684.2107342685</v>
      </c>
      <c r="W969" s="14" t="n">
        <f aca="false">M969</f>
        <v>0</v>
      </c>
      <c r="X969" s="9" t="n">
        <f aca="false">IF(W969=0,0,IF(O969="Booked",N969,W969*AA968))</f>
        <v>0</v>
      </c>
      <c r="Y969" s="14" t="n">
        <f aca="false">IF(I969="Opening",K969,Y968+K969-W969)</f>
        <v>29803.13</v>
      </c>
      <c r="Z969" s="9" t="n">
        <f aca="false">IF(I969="Opening",L969,Z968+L969-X969)</f>
        <v>854879261.4608</v>
      </c>
      <c r="AA969" s="9" t="n">
        <f aca="false">IF(Y969&gt;0,Z969/Y969,IF(I969="Opening",0,AA968))</f>
        <v>28684.2107342685</v>
      </c>
      <c r="AB969" s="9" t="n">
        <f aca="false">IF(AND(I969="DO",O969="MA"),S969-N969,0)</f>
        <v>0</v>
      </c>
      <c r="AC969" s="9" t="n">
        <f aca="false">IF(I969="DO",X969-S969,0)</f>
        <v>0</v>
      </c>
      <c r="AD969" s="23" t="n">
        <f aca="false">IF(B970&lt;&gt;B969,1,0)</f>
        <v>0</v>
      </c>
      <c r="AE969" s="14" t="n">
        <f aca="false">IF(I969="Opening",0,AE968+W969)</f>
        <v>12023.67</v>
      </c>
      <c r="AF969" s="14" t="n">
        <f aca="false">IF(I969="Opening",K969,AF968)</f>
        <v>8397.27</v>
      </c>
      <c r="AG969" s="14" t="n">
        <f aca="false">AG968</f>
        <v>31578.83</v>
      </c>
      <c r="AH969" s="14" t="n">
        <f aca="false">IF(W969=0,0,MAX(0,MIN(AE969,AF969)-MIN(AE969-W969,AF969)))</f>
        <v>0</v>
      </c>
      <c r="AI969" s="14" t="n">
        <f aca="false">IF(W969=0,0,MAX(0,MIN(AE969,AF969+AG969)-MAX(AE969-W969,AF969)))</f>
        <v>0</v>
      </c>
      <c r="AJ969" s="14" t="n">
        <f aca="false">W969-AH969-AI969</f>
        <v>0</v>
      </c>
      <c r="AK969" s="9" t="n">
        <f aca="false">IF(W969=0,0,X969*AH969/W969)</f>
        <v>0</v>
      </c>
      <c r="AL969" s="9" t="n">
        <f aca="false">IF(W969=0,0,X969*AI969/W969)</f>
        <v>0</v>
      </c>
      <c r="AM969" s="9" t="n">
        <f aca="false">X969-AK969-AL969</f>
        <v>0</v>
      </c>
    </row>
    <row r="970" customFormat="false" ht="15" hidden="false" customHeight="false" outlineLevel="0" collapsed="false">
      <c r="A970" s="6" t="n">
        <v>965</v>
      </c>
      <c r="B970" s="74" t="s">
        <v>1024</v>
      </c>
      <c r="C970" s="53" t="str">
        <f aca="false">INDEX(I_Items!$C$5:$C$133,MATCH($B970,I_Items!$A$5:$A$133,0))</f>
        <v>Trading</v>
      </c>
      <c r="D970" s="53" t="str">
        <f aca="false">INDEX(I_Items!$D$5:$D$133,MATCH($B970,I_Items!$A$5:$A$133,0))</f>
        <v>Karkas</v>
      </c>
      <c r="E970" s="53" t="str">
        <f aca="false">INDEX(I_Items!$F$5:$F$133,MATCH($B970,I_Items!$A$5:$A$133,0))</f>
        <v>Not stated in item master</v>
      </c>
      <c r="F970" s="53" t="str">
        <f aca="false">IF(INDEX(I_Items!$E$5:$E$133,MATCH($B970,I_Items!$A$5:$A$133,0))="","",INDEX(I_Items!$E$5:$E$133,MATCH($B970,I_Items!$A$5:$A$133,0)))</f>
        <v>Uk 0.9</v>
      </c>
      <c r="G970" s="76" t="n">
        <v>46238</v>
      </c>
      <c r="H970" s="23" t="n">
        <f aca="false">MONTH(G970)</f>
        <v>8</v>
      </c>
      <c r="I970" s="74" t="s">
        <v>2074</v>
      </c>
      <c r="J970" s="74" t="s">
        <v>2256</v>
      </c>
      <c r="K970" s="10" t="n">
        <v>6663.4</v>
      </c>
      <c r="L970" s="8" t="n">
        <v>216560500</v>
      </c>
      <c r="M970" s="10" t="n">
        <v>0</v>
      </c>
      <c r="N970" s="8" t="n">
        <v>0</v>
      </c>
      <c r="O970" s="74"/>
      <c r="P970" s="74"/>
      <c r="Q970" s="74"/>
      <c r="R970" s="14" t="n">
        <f aca="false">IF(I970="Unbilled",0,M970)</f>
        <v>0</v>
      </c>
      <c r="S970" s="9" t="n">
        <f aca="false">IF(R970=0,0,IF(O970="Booked",N970,R970*V969))</f>
        <v>0</v>
      </c>
      <c r="T970" s="14" t="n">
        <f aca="false">IF(I970="Opening",K970,T969+K970-R970)</f>
        <v>36466.53</v>
      </c>
      <c r="U970" s="9" t="n">
        <f aca="false">IF(I970="Opening",L970,U969+L970-S970)</f>
        <v>1071439761.4608</v>
      </c>
      <c r="V970" s="9" t="n">
        <f aca="false">IF(T970&gt;0,U970/T970,IF(I970="Opening",0,V969))</f>
        <v>29381.4564056629</v>
      </c>
      <c r="W970" s="14" t="n">
        <f aca="false">M970</f>
        <v>0</v>
      </c>
      <c r="X970" s="9" t="n">
        <f aca="false">IF(W970=0,0,IF(O970="Booked",N970,W970*AA969))</f>
        <v>0</v>
      </c>
      <c r="Y970" s="14" t="n">
        <f aca="false">IF(I970="Opening",K970,Y969+K970-W970)</f>
        <v>36466.53</v>
      </c>
      <c r="Z970" s="9" t="n">
        <f aca="false">IF(I970="Opening",L970,Z969+L970-X970)</f>
        <v>1071439761.4608</v>
      </c>
      <c r="AA970" s="9" t="n">
        <f aca="false">IF(Y970&gt;0,Z970/Y970,IF(I970="Opening",0,AA969))</f>
        <v>29381.4564056629</v>
      </c>
      <c r="AB970" s="9" t="n">
        <f aca="false">IF(AND(I970="DO",O970="MA"),S970-N970,0)</f>
        <v>0</v>
      </c>
      <c r="AC970" s="9" t="n">
        <f aca="false">IF(I970="DO",X970-S970,0)</f>
        <v>0</v>
      </c>
      <c r="AD970" s="23" t="n">
        <f aca="false">IF(B971&lt;&gt;B970,1,0)</f>
        <v>0</v>
      </c>
      <c r="AE970" s="14" t="n">
        <f aca="false">IF(I970="Opening",0,AE969+W970)</f>
        <v>12023.67</v>
      </c>
      <c r="AF970" s="14" t="n">
        <f aca="false">IF(I970="Opening",K970,AF969)</f>
        <v>8397.27</v>
      </c>
      <c r="AG970" s="14" t="n">
        <f aca="false">AG969</f>
        <v>31578.83</v>
      </c>
      <c r="AH970" s="14" t="n">
        <f aca="false">IF(W970=0,0,MAX(0,MIN(AE970,AF970)-MIN(AE970-W970,AF970)))</f>
        <v>0</v>
      </c>
      <c r="AI970" s="14" t="n">
        <f aca="false">IF(W970=0,0,MAX(0,MIN(AE970,AF970+AG970)-MAX(AE970-W970,AF970)))</f>
        <v>0</v>
      </c>
      <c r="AJ970" s="14" t="n">
        <f aca="false">W970-AH970-AI970</f>
        <v>0</v>
      </c>
      <c r="AK970" s="9" t="n">
        <f aca="false">IF(W970=0,0,X970*AH970/W970)</f>
        <v>0</v>
      </c>
      <c r="AL970" s="9" t="n">
        <f aca="false">IF(W970=0,0,X970*AI970/W970)</f>
        <v>0</v>
      </c>
      <c r="AM970" s="9" t="n">
        <f aca="false">X970-AK970-AL970</f>
        <v>0</v>
      </c>
    </row>
    <row r="971" customFormat="false" ht="15" hidden="false" customHeight="false" outlineLevel="0" collapsed="false">
      <c r="A971" s="6" t="n">
        <v>966</v>
      </c>
      <c r="B971" s="74" t="s">
        <v>1024</v>
      </c>
      <c r="C971" s="53" t="str">
        <f aca="false">INDEX(I_Items!$C$5:$C$133,MATCH($B971,I_Items!$A$5:$A$133,0))</f>
        <v>Trading</v>
      </c>
      <c r="D971" s="53" t="str">
        <f aca="false">INDEX(I_Items!$D$5:$D$133,MATCH($B971,I_Items!$A$5:$A$133,0))</f>
        <v>Karkas</v>
      </c>
      <c r="E971" s="53" t="str">
        <f aca="false">INDEX(I_Items!$F$5:$F$133,MATCH($B971,I_Items!$A$5:$A$133,0))</f>
        <v>Not stated in item master</v>
      </c>
      <c r="F971" s="53" t="str">
        <f aca="false">IF(INDEX(I_Items!$E$5:$E$133,MATCH($B971,I_Items!$A$5:$A$133,0))="","",INDEX(I_Items!$E$5:$E$133,MATCH($B971,I_Items!$A$5:$A$133,0)))</f>
        <v>Uk 0.9</v>
      </c>
      <c r="G971" s="76" t="n">
        <v>46238</v>
      </c>
      <c r="H971" s="23" t="n">
        <f aca="false">MONTH(G971)</f>
        <v>8</v>
      </c>
      <c r="I971" s="74" t="s">
        <v>2075</v>
      </c>
      <c r="J971" s="74" t="s">
        <v>2317</v>
      </c>
      <c r="K971" s="10" t="n">
        <v>0</v>
      </c>
      <c r="L971" s="8" t="n">
        <v>0</v>
      </c>
      <c r="M971" s="10" t="n">
        <v>1023</v>
      </c>
      <c r="N971" s="8" t="n">
        <v>30057230</v>
      </c>
      <c r="O971" s="74" t="s">
        <v>2077</v>
      </c>
      <c r="P971" s="74"/>
      <c r="Q971" s="74"/>
      <c r="R971" s="14" t="n">
        <f aca="false">IF(I971="Unbilled",0,M971)</f>
        <v>1023</v>
      </c>
      <c r="S971" s="9" t="n">
        <f aca="false">IF(R971=0,0,IF(O971="Booked",N971,R971*V970))</f>
        <v>30057229.9029932</v>
      </c>
      <c r="T971" s="14" t="n">
        <f aca="false">IF(I971="Opening",K971,T970+K971-R971)</f>
        <v>35443.53</v>
      </c>
      <c r="U971" s="9" t="n">
        <f aca="false">IF(I971="Opening",L971,U970+L971-S971)</f>
        <v>1041382531.55781</v>
      </c>
      <c r="V971" s="9" t="n">
        <f aca="false">IF(T971&gt;0,U971/T971,IF(I971="Opening",0,V970))</f>
        <v>29381.4564056629</v>
      </c>
      <c r="W971" s="14" t="n">
        <f aca="false">M971</f>
        <v>1023</v>
      </c>
      <c r="X971" s="9" t="n">
        <f aca="false">IF(W971=0,0,IF(O971="Booked",N971,W971*AA970))</f>
        <v>30057229.9029932</v>
      </c>
      <c r="Y971" s="14" t="n">
        <f aca="false">IF(I971="Opening",K971,Y970+K971-W971)</f>
        <v>35443.53</v>
      </c>
      <c r="Z971" s="9" t="n">
        <f aca="false">IF(I971="Opening",L971,Z970+L971-X971)</f>
        <v>1041382531.55781</v>
      </c>
      <c r="AA971" s="9" t="n">
        <f aca="false">IF(Y971&gt;0,Z971/Y971,IF(I971="Opening",0,AA970))</f>
        <v>29381.4564056629</v>
      </c>
      <c r="AB971" s="9" t="n">
        <f aca="false">IF(AND(I971="DO",O971="MA"),S971-N971,0)</f>
        <v>-0.0970068052411079</v>
      </c>
      <c r="AC971" s="9" t="n">
        <f aca="false">IF(I971="DO",X971-S971,0)</f>
        <v>0</v>
      </c>
      <c r="AD971" s="23" t="n">
        <f aca="false">IF(B972&lt;&gt;B971,1,0)</f>
        <v>0</v>
      </c>
      <c r="AE971" s="14" t="n">
        <f aca="false">IF(I971="Opening",0,AE970+W971)</f>
        <v>13046.67</v>
      </c>
      <c r="AF971" s="14" t="n">
        <f aca="false">IF(I971="Opening",K971,AF970)</f>
        <v>8397.27</v>
      </c>
      <c r="AG971" s="14" t="n">
        <f aca="false">AG970</f>
        <v>31578.83</v>
      </c>
      <c r="AH971" s="14" t="n">
        <f aca="false">IF(W971=0,0,MAX(0,MIN(AE971,AF971)-MIN(AE971-W971,AF971)))</f>
        <v>0</v>
      </c>
      <c r="AI971" s="14" t="n">
        <f aca="false">IF(W971=0,0,MAX(0,MIN(AE971,AF971+AG971)-MAX(AE971-W971,AF971)))</f>
        <v>1023</v>
      </c>
      <c r="AJ971" s="14" t="n">
        <f aca="false">W971-AH971-AI971</f>
        <v>0</v>
      </c>
      <c r="AK971" s="9" t="n">
        <f aca="false">IF(W971=0,0,X971*AH971/W971)</f>
        <v>0</v>
      </c>
      <c r="AL971" s="9" t="n">
        <f aca="false">IF(W971=0,0,X971*AI971/W971)</f>
        <v>30057229.9029932</v>
      </c>
      <c r="AM971" s="9" t="n">
        <f aca="false">X971-AK971-AL971</f>
        <v>0</v>
      </c>
    </row>
    <row r="972" customFormat="false" ht="15" hidden="false" customHeight="false" outlineLevel="0" collapsed="false">
      <c r="A972" s="6" t="n">
        <v>967</v>
      </c>
      <c r="B972" s="74" t="s">
        <v>1024</v>
      </c>
      <c r="C972" s="53" t="str">
        <f aca="false">INDEX(I_Items!$C$5:$C$133,MATCH($B972,I_Items!$A$5:$A$133,0))</f>
        <v>Trading</v>
      </c>
      <c r="D972" s="53" t="str">
        <f aca="false">INDEX(I_Items!$D$5:$D$133,MATCH($B972,I_Items!$A$5:$A$133,0))</f>
        <v>Karkas</v>
      </c>
      <c r="E972" s="53" t="str">
        <f aca="false">INDEX(I_Items!$F$5:$F$133,MATCH($B972,I_Items!$A$5:$A$133,0))</f>
        <v>Not stated in item master</v>
      </c>
      <c r="F972" s="53" t="str">
        <f aca="false">IF(INDEX(I_Items!$E$5:$E$133,MATCH($B972,I_Items!$A$5:$A$133,0))="","",INDEX(I_Items!$E$5:$E$133,MATCH($B972,I_Items!$A$5:$A$133,0)))</f>
        <v>Uk 0.9</v>
      </c>
      <c r="G972" s="76" t="n">
        <v>46238</v>
      </c>
      <c r="H972" s="23" t="n">
        <f aca="false">MONTH(G972)</f>
        <v>8</v>
      </c>
      <c r="I972" s="74" t="s">
        <v>2075</v>
      </c>
      <c r="J972" s="74" t="s">
        <v>2317</v>
      </c>
      <c r="K972" s="10" t="n">
        <v>0</v>
      </c>
      <c r="L972" s="8" t="n">
        <v>0</v>
      </c>
      <c r="M972" s="10" t="n">
        <v>216.1</v>
      </c>
      <c r="N972" s="8" t="n">
        <v>6349332.75</v>
      </c>
      <c r="O972" s="74" t="s">
        <v>2077</v>
      </c>
      <c r="P972" s="74"/>
      <c r="Q972" s="74"/>
      <c r="R972" s="14" t="n">
        <f aca="false">IF(I972="Unbilled",0,M972)</f>
        <v>216.1</v>
      </c>
      <c r="S972" s="9" t="n">
        <f aca="false">IF(R972=0,0,IF(O972="Booked",N972,R972*V971))</f>
        <v>6349332.72926376</v>
      </c>
      <c r="T972" s="14" t="n">
        <f aca="false">IF(I972="Opening",K972,T971+K972-R972)</f>
        <v>35227.43</v>
      </c>
      <c r="U972" s="9" t="n">
        <f aca="false">IF(I972="Opening",L972,U971+L972-S972)</f>
        <v>1035033198.82854</v>
      </c>
      <c r="V972" s="9" t="n">
        <f aca="false">IF(T972&gt;0,U972/T972,IF(I972="Opening",0,V971))</f>
        <v>29381.4564056629</v>
      </c>
      <c r="W972" s="14" t="n">
        <f aca="false">M972</f>
        <v>216.1</v>
      </c>
      <c r="X972" s="9" t="n">
        <f aca="false">IF(W972=0,0,IF(O972="Booked",N972,W972*AA971))</f>
        <v>6349332.72926376</v>
      </c>
      <c r="Y972" s="14" t="n">
        <f aca="false">IF(I972="Opening",K972,Y971+K972-W972)</f>
        <v>35227.43</v>
      </c>
      <c r="Z972" s="9" t="n">
        <f aca="false">IF(I972="Opening",L972,Z971+L972-X972)</f>
        <v>1035033198.82854</v>
      </c>
      <c r="AA972" s="9" t="n">
        <f aca="false">IF(Y972&gt;0,Z972/Y972,IF(I972="Opening",0,AA971))</f>
        <v>29381.4564056629</v>
      </c>
      <c r="AB972" s="9" t="n">
        <f aca="false">IF(AND(I972="DO",O972="MA"),S972-N972,0)</f>
        <v>-0.0207362379878759</v>
      </c>
      <c r="AC972" s="9" t="n">
        <f aca="false">IF(I972="DO",X972-S972,0)</f>
        <v>0</v>
      </c>
      <c r="AD972" s="23" t="n">
        <f aca="false">IF(B973&lt;&gt;B972,1,0)</f>
        <v>0</v>
      </c>
      <c r="AE972" s="14" t="n">
        <f aca="false">IF(I972="Opening",0,AE971+W972)</f>
        <v>13262.77</v>
      </c>
      <c r="AF972" s="14" t="n">
        <f aca="false">IF(I972="Opening",K972,AF971)</f>
        <v>8397.27</v>
      </c>
      <c r="AG972" s="14" t="n">
        <f aca="false">AG971</f>
        <v>31578.83</v>
      </c>
      <c r="AH972" s="14" t="n">
        <f aca="false">IF(W972=0,0,MAX(0,MIN(AE972,AF972)-MIN(AE972-W972,AF972)))</f>
        <v>0</v>
      </c>
      <c r="AI972" s="14" t="n">
        <f aca="false">IF(W972=0,0,MAX(0,MIN(AE972,AF972+AG972)-MAX(AE972-W972,AF972)))</f>
        <v>216.1</v>
      </c>
      <c r="AJ972" s="14" t="n">
        <f aca="false">W972-AH972-AI972</f>
        <v>0</v>
      </c>
      <c r="AK972" s="9" t="n">
        <f aca="false">IF(W972=0,0,X972*AH972/W972)</f>
        <v>0</v>
      </c>
      <c r="AL972" s="9" t="n">
        <f aca="false">IF(W972=0,0,X972*AI972/W972)</f>
        <v>6349332.72926377</v>
      </c>
      <c r="AM972" s="9" t="n">
        <f aca="false">X972-AK972-AL972</f>
        <v>0</v>
      </c>
    </row>
    <row r="973" customFormat="false" ht="15" hidden="false" customHeight="false" outlineLevel="0" collapsed="false">
      <c r="A973" s="6" t="n">
        <v>968</v>
      </c>
      <c r="B973" s="74" t="s">
        <v>1024</v>
      </c>
      <c r="C973" s="53" t="str">
        <f aca="false">INDEX(I_Items!$C$5:$C$133,MATCH($B973,I_Items!$A$5:$A$133,0))</f>
        <v>Trading</v>
      </c>
      <c r="D973" s="53" t="str">
        <f aca="false">INDEX(I_Items!$D$5:$D$133,MATCH($B973,I_Items!$A$5:$A$133,0))</f>
        <v>Karkas</v>
      </c>
      <c r="E973" s="53" t="str">
        <f aca="false">INDEX(I_Items!$F$5:$F$133,MATCH($B973,I_Items!$A$5:$A$133,0))</f>
        <v>Not stated in item master</v>
      </c>
      <c r="F973" s="53" t="str">
        <f aca="false">IF(INDEX(I_Items!$E$5:$E$133,MATCH($B973,I_Items!$A$5:$A$133,0))="","",INDEX(I_Items!$E$5:$E$133,MATCH($B973,I_Items!$A$5:$A$133,0)))</f>
        <v>Uk 0.9</v>
      </c>
      <c r="G973" s="76" t="n">
        <v>46239</v>
      </c>
      <c r="H973" s="23" t="n">
        <f aca="false">MONTH(G973)</f>
        <v>8</v>
      </c>
      <c r="I973" s="74" t="s">
        <v>2075</v>
      </c>
      <c r="J973" s="74" t="s">
        <v>2318</v>
      </c>
      <c r="K973" s="10" t="n">
        <v>0</v>
      </c>
      <c r="L973" s="8" t="n">
        <v>0</v>
      </c>
      <c r="M973" s="10" t="n">
        <v>2599.59</v>
      </c>
      <c r="N973" s="8" t="n">
        <v>76379740.5</v>
      </c>
      <c r="O973" s="74" t="s">
        <v>2077</v>
      </c>
      <c r="P973" s="74"/>
      <c r="Q973" s="74"/>
      <c r="R973" s="14" t="n">
        <f aca="false">IF(I973="Unbilled",0,M973)</f>
        <v>2599.59</v>
      </c>
      <c r="S973" s="9" t="n">
        <f aca="false">IF(R973=0,0,IF(O973="Booked",N973,R973*V972))</f>
        <v>76379740.2575973</v>
      </c>
      <c r="T973" s="14" t="n">
        <f aca="false">IF(I973="Opening",K973,T972+K973-R973)</f>
        <v>32627.84</v>
      </c>
      <c r="U973" s="9" t="n">
        <f aca="false">IF(I973="Opening",L973,U972+L973-S973)</f>
        <v>958653458.570946</v>
      </c>
      <c r="V973" s="9" t="n">
        <f aca="false">IF(T973&gt;0,U973/T973,IF(I973="Opening",0,V972))</f>
        <v>29381.4564056629</v>
      </c>
      <c r="W973" s="14" t="n">
        <f aca="false">M973</f>
        <v>2599.59</v>
      </c>
      <c r="X973" s="9" t="n">
        <f aca="false">IF(W973=0,0,IF(O973="Booked",N973,W973*AA972))</f>
        <v>76379740.2575973</v>
      </c>
      <c r="Y973" s="14" t="n">
        <f aca="false">IF(I973="Opening",K973,Y972+K973-W973)</f>
        <v>32627.84</v>
      </c>
      <c r="Z973" s="9" t="n">
        <f aca="false">IF(I973="Opening",L973,Z972+L973-X973)</f>
        <v>958653458.570946</v>
      </c>
      <c r="AA973" s="9" t="n">
        <f aca="false">IF(Y973&gt;0,Z973/Y973,IF(I973="Opening",0,AA972))</f>
        <v>29381.4564056629</v>
      </c>
      <c r="AB973" s="9" t="n">
        <f aca="false">IF(AND(I973="DO",O973="MA"),S973-N973,0)</f>
        <v>-0.242402672767639</v>
      </c>
      <c r="AC973" s="9" t="n">
        <f aca="false">IF(I973="DO",X973-S973,0)</f>
        <v>0</v>
      </c>
      <c r="AD973" s="23" t="n">
        <f aca="false">IF(B974&lt;&gt;B973,1,0)</f>
        <v>0</v>
      </c>
      <c r="AE973" s="14" t="n">
        <f aca="false">IF(I973="Opening",0,AE972+W973)</f>
        <v>15862.36</v>
      </c>
      <c r="AF973" s="14" t="n">
        <f aca="false">IF(I973="Opening",K973,AF972)</f>
        <v>8397.27</v>
      </c>
      <c r="AG973" s="14" t="n">
        <f aca="false">AG972</f>
        <v>31578.83</v>
      </c>
      <c r="AH973" s="14" t="n">
        <f aca="false">IF(W973=0,0,MAX(0,MIN(AE973,AF973)-MIN(AE973-W973,AF973)))</f>
        <v>0</v>
      </c>
      <c r="AI973" s="14" t="n">
        <f aca="false">IF(W973=0,0,MAX(0,MIN(AE973,AF973+AG973)-MAX(AE973-W973,AF973)))</f>
        <v>2599.59</v>
      </c>
      <c r="AJ973" s="14" t="n">
        <f aca="false">W973-AH973-AI973</f>
        <v>0</v>
      </c>
      <c r="AK973" s="9" t="n">
        <f aca="false">IF(W973=0,0,X973*AH973/W973)</f>
        <v>0</v>
      </c>
      <c r="AL973" s="9" t="n">
        <f aca="false">IF(W973=0,0,X973*AI973/W973)</f>
        <v>76379740.2575973</v>
      </c>
      <c r="AM973" s="9" t="n">
        <f aca="false">X973-AK973-AL973</f>
        <v>0</v>
      </c>
    </row>
    <row r="974" customFormat="false" ht="15" hidden="false" customHeight="false" outlineLevel="0" collapsed="false">
      <c r="A974" s="6" t="n">
        <v>969</v>
      </c>
      <c r="B974" s="74" t="s">
        <v>1024</v>
      </c>
      <c r="C974" s="53" t="str">
        <f aca="false">INDEX(I_Items!$C$5:$C$133,MATCH($B974,I_Items!$A$5:$A$133,0))</f>
        <v>Trading</v>
      </c>
      <c r="D974" s="53" t="str">
        <f aca="false">INDEX(I_Items!$D$5:$D$133,MATCH($B974,I_Items!$A$5:$A$133,0))</f>
        <v>Karkas</v>
      </c>
      <c r="E974" s="53" t="str">
        <f aca="false">INDEX(I_Items!$F$5:$F$133,MATCH($B974,I_Items!$A$5:$A$133,0))</f>
        <v>Not stated in item master</v>
      </c>
      <c r="F974" s="53" t="str">
        <f aca="false">IF(INDEX(I_Items!$E$5:$E$133,MATCH($B974,I_Items!$A$5:$A$133,0))="","",INDEX(I_Items!$E$5:$E$133,MATCH($B974,I_Items!$A$5:$A$133,0)))</f>
        <v>Uk 0.9</v>
      </c>
      <c r="G974" s="76" t="n">
        <v>46239</v>
      </c>
      <c r="H974" s="23" t="n">
        <f aca="false">MONTH(G974)</f>
        <v>8</v>
      </c>
      <c r="I974" s="74" t="s">
        <v>2075</v>
      </c>
      <c r="J974" s="74" t="s">
        <v>2319</v>
      </c>
      <c r="K974" s="10" t="n">
        <v>0</v>
      </c>
      <c r="L974" s="8" t="n">
        <v>0</v>
      </c>
      <c r="M974" s="10" t="n">
        <v>3007.99</v>
      </c>
      <c r="N974" s="8" t="n">
        <v>88379127.34</v>
      </c>
      <c r="O974" s="74" t="s">
        <v>2077</v>
      </c>
      <c r="P974" s="74"/>
      <c r="Q974" s="74"/>
      <c r="R974" s="14" t="n">
        <f aca="false">IF(I974="Unbilled",0,M974)</f>
        <v>3007.99</v>
      </c>
      <c r="S974" s="9" t="n">
        <f aca="false">IF(R974=0,0,IF(O974="Booked",N974,R974*V973))</f>
        <v>88379127.0536701</v>
      </c>
      <c r="T974" s="14" t="n">
        <f aca="false">IF(I974="Opening",K974,T973+K974-R974)</f>
        <v>29619.85</v>
      </c>
      <c r="U974" s="9" t="n">
        <f aca="false">IF(I974="Opening",L974,U973+L974-S974)</f>
        <v>870274331.517276</v>
      </c>
      <c r="V974" s="9" t="n">
        <f aca="false">IF(T974&gt;0,U974/T974,IF(I974="Opening",0,V973))</f>
        <v>29381.4564056629</v>
      </c>
      <c r="W974" s="14" t="n">
        <f aca="false">M974</f>
        <v>3007.99</v>
      </c>
      <c r="X974" s="9" t="n">
        <f aca="false">IF(W974=0,0,IF(O974="Booked",N974,W974*AA973))</f>
        <v>88379127.0536701</v>
      </c>
      <c r="Y974" s="14" t="n">
        <f aca="false">IF(I974="Opening",K974,Y973+K974-W974)</f>
        <v>29619.85</v>
      </c>
      <c r="Z974" s="9" t="n">
        <f aca="false">IF(I974="Opening",L974,Z973+L974-X974)</f>
        <v>870274331.517276</v>
      </c>
      <c r="AA974" s="9" t="n">
        <f aca="false">IF(Y974&gt;0,Z974/Y974,IF(I974="Opening",0,AA973))</f>
        <v>29381.4564056629</v>
      </c>
      <c r="AB974" s="9" t="n">
        <f aca="false">IF(AND(I974="DO",O974="MA"),S974-N974,0)</f>
        <v>-0.286329925060272</v>
      </c>
      <c r="AC974" s="9" t="n">
        <f aca="false">IF(I974="DO",X974-S974,0)</f>
        <v>0</v>
      </c>
      <c r="AD974" s="23" t="n">
        <f aca="false">IF(B975&lt;&gt;B974,1,0)</f>
        <v>0</v>
      </c>
      <c r="AE974" s="14" t="n">
        <f aca="false">IF(I974="Opening",0,AE973+W974)</f>
        <v>18870.35</v>
      </c>
      <c r="AF974" s="14" t="n">
        <f aca="false">IF(I974="Opening",K974,AF973)</f>
        <v>8397.27</v>
      </c>
      <c r="AG974" s="14" t="n">
        <f aca="false">AG973</f>
        <v>31578.83</v>
      </c>
      <c r="AH974" s="14" t="n">
        <f aca="false">IF(W974=0,0,MAX(0,MIN(AE974,AF974)-MIN(AE974-W974,AF974)))</f>
        <v>0</v>
      </c>
      <c r="AI974" s="14" t="n">
        <f aca="false">IF(W974=0,0,MAX(0,MIN(AE974,AF974+AG974)-MAX(AE974-W974,AF974)))</f>
        <v>3007.99</v>
      </c>
      <c r="AJ974" s="14" t="n">
        <f aca="false">W974-AH974-AI974</f>
        <v>0</v>
      </c>
      <c r="AK974" s="9" t="n">
        <f aca="false">IF(W974=0,0,X974*AH974/W974)</f>
        <v>0</v>
      </c>
      <c r="AL974" s="9" t="n">
        <f aca="false">IF(W974=0,0,X974*AI974/W974)</f>
        <v>88379127.0536701</v>
      </c>
      <c r="AM974" s="9" t="n">
        <f aca="false">X974-AK974-AL974</f>
        <v>0</v>
      </c>
    </row>
    <row r="975" customFormat="false" ht="15" hidden="false" customHeight="false" outlineLevel="0" collapsed="false">
      <c r="A975" s="6" t="n">
        <v>970</v>
      </c>
      <c r="B975" s="74" t="s">
        <v>1024</v>
      </c>
      <c r="C975" s="53" t="str">
        <f aca="false">INDEX(I_Items!$C$5:$C$133,MATCH($B975,I_Items!$A$5:$A$133,0))</f>
        <v>Trading</v>
      </c>
      <c r="D975" s="53" t="str">
        <f aca="false">INDEX(I_Items!$D$5:$D$133,MATCH($B975,I_Items!$A$5:$A$133,0))</f>
        <v>Karkas</v>
      </c>
      <c r="E975" s="53" t="str">
        <f aca="false">INDEX(I_Items!$F$5:$F$133,MATCH($B975,I_Items!$A$5:$A$133,0))</f>
        <v>Not stated in item master</v>
      </c>
      <c r="F975" s="53" t="str">
        <f aca="false">IF(INDEX(I_Items!$E$5:$E$133,MATCH($B975,I_Items!$A$5:$A$133,0))="","",INDEX(I_Items!$E$5:$E$133,MATCH($B975,I_Items!$A$5:$A$133,0)))</f>
        <v>Uk 0.9</v>
      </c>
      <c r="G975" s="76" t="n">
        <v>46240</v>
      </c>
      <c r="H975" s="23" t="n">
        <f aca="false">MONTH(G975)</f>
        <v>8</v>
      </c>
      <c r="I975" s="74" t="s">
        <v>2075</v>
      </c>
      <c r="J975" s="74" t="s">
        <v>2320</v>
      </c>
      <c r="K975" s="10" t="n">
        <v>0</v>
      </c>
      <c r="L975" s="8" t="n">
        <v>0</v>
      </c>
      <c r="M975" s="10" t="n">
        <v>5316.04</v>
      </c>
      <c r="N975" s="8" t="n">
        <v>156192998.01</v>
      </c>
      <c r="O975" s="74" t="s">
        <v>2077</v>
      </c>
      <c r="P975" s="74"/>
      <c r="Q975" s="74"/>
      <c r="R975" s="14" t="n">
        <f aca="false">IF(I975="Unbilled",0,M975)</f>
        <v>5316.04</v>
      </c>
      <c r="S975" s="9" t="n">
        <f aca="false">IF(R975=0,0,IF(O975="Booked",N975,R975*V974))</f>
        <v>156192997.51076</v>
      </c>
      <c r="T975" s="14" t="n">
        <f aca="false">IF(I975="Opening",K975,T974+K975-R975)</f>
        <v>24303.81</v>
      </c>
      <c r="U975" s="9" t="n">
        <f aca="false">IF(I975="Opening",L975,U974+L975-S975)</f>
        <v>714081334.006515</v>
      </c>
      <c r="V975" s="9" t="n">
        <f aca="false">IF(T975&gt;0,U975/T975,IF(I975="Opening",0,V974))</f>
        <v>29381.456405663</v>
      </c>
      <c r="W975" s="14" t="n">
        <f aca="false">M975</f>
        <v>5316.04</v>
      </c>
      <c r="X975" s="9" t="n">
        <f aca="false">IF(W975=0,0,IF(O975="Booked",N975,W975*AA974))</f>
        <v>156192997.51076</v>
      </c>
      <c r="Y975" s="14" t="n">
        <f aca="false">IF(I975="Opening",K975,Y974+K975-W975)</f>
        <v>24303.81</v>
      </c>
      <c r="Z975" s="9" t="n">
        <f aca="false">IF(I975="Opening",L975,Z974+L975-X975)</f>
        <v>714081334.006515</v>
      </c>
      <c r="AA975" s="9" t="n">
        <f aca="false">IF(Y975&gt;0,Z975/Y975,IF(I975="Opening",0,AA974))</f>
        <v>29381.456405663</v>
      </c>
      <c r="AB975" s="9" t="n">
        <f aca="false">IF(AND(I975="DO",O975="MA"),S975-N975,0)</f>
        <v>-0.499239534139633</v>
      </c>
      <c r="AC975" s="9" t="n">
        <f aca="false">IF(I975="DO",X975-S975,0)</f>
        <v>0</v>
      </c>
      <c r="AD975" s="23" t="n">
        <f aca="false">IF(B976&lt;&gt;B975,1,0)</f>
        <v>0</v>
      </c>
      <c r="AE975" s="14" t="n">
        <f aca="false">IF(I975="Opening",0,AE974+W975)</f>
        <v>24186.39</v>
      </c>
      <c r="AF975" s="14" t="n">
        <f aca="false">IF(I975="Opening",K975,AF974)</f>
        <v>8397.27</v>
      </c>
      <c r="AG975" s="14" t="n">
        <f aca="false">AG974</f>
        <v>31578.83</v>
      </c>
      <c r="AH975" s="14" t="n">
        <f aca="false">IF(W975=0,0,MAX(0,MIN(AE975,AF975)-MIN(AE975-W975,AF975)))</f>
        <v>0</v>
      </c>
      <c r="AI975" s="14" t="n">
        <f aca="false">IF(W975=0,0,MAX(0,MIN(AE975,AF975+AG975)-MAX(AE975-W975,AF975)))</f>
        <v>5316.04</v>
      </c>
      <c r="AJ975" s="14" t="n">
        <f aca="false">W975-AH975-AI975</f>
        <v>0</v>
      </c>
      <c r="AK975" s="9" t="n">
        <f aca="false">IF(W975=0,0,X975*AH975/W975)</f>
        <v>0</v>
      </c>
      <c r="AL975" s="9" t="n">
        <f aca="false">IF(W975=0,0,X975*AI975/W975)</f>
        <v>156192997.510761</v>
      </c>
      <c r="AM975" s="9" t="n">
        <f aca="false">X975-AK975-AL975</f>
        <v>0</v>
      </c>
    </row>
    <row r="976" customFormat="false" ht="15" hidden="false" customHeight="false" outlineLevel="0" collapsed="false">
      <c r="A976" s="6" t="n">
        <v>971</v>
      </c>
      <c r="B976" s="74" t="s">
        <v>1024</v>
      </c>
      <c r="C976" s="53" t="str">
        <f aca="false">INDEX(I_Items!$C$5:$C$133,MATCH($B976,I_Items!$A$5:$A$133,0))</f>
        <v>Trading</v>
      </c>
      <c r="D976" s="53" t="str">
        <f aca="false">INDEX(I_Items!$D$5:$D$133,MATCH($B976,I_Items!$A$5:$A$133,0))</f>
        <v>Karkas</v>
      </c>
      <c r="E976" s="53" t="str">
        <f aca="false">INDEX(I_Items!$F$5:$F$133,MATCH($B976,I_Items!$A$5:$A$133,0))</f>
        <v>Not stated in item master</v>
      </c>
      <c r="F976" s="53" t="str">
        <f aca="false">IF(INDEX(I_Items!$E$5:$E$133,MATCH($B976,I_Items!$A$5:$A$133,0))="","",INDEX(I_Items!$E$5:$E$133,MATCH($B976,I_Items!$A$5:$A$133,0)))</f>
        <v>Uk 0.9</v>
      </c>
      <c r="G976" s="76" t="n">
        <v>46240</v>
      </c>
      <c r="H976" s="23" t="n">
        <f aca="false">MONTH(G976)</f>
        <v>8</v>
      </c>
      <c r="I976" s="74" t="s">
        <v>2075</v>
      </c>
      <c r="J976" s="74" t="s">
        <v>2303</v>
      </c>
      <c r="K976" s="10" t="n">
        <v>0</v>
      </c>
      <c r="L976" s="8" t="n">
        <v>0</v>
      </c>
      <c r="M976" s="10" t="n">
        <v>1006.2</v>
      </c>
      <c r="N976" s="8" t="n">
        <v>29563621.53</v>
      </c>
      <c r="O976" s="74" t="s">
        <v>2077</v>
      </c>
      <c r="P976" s="74"/>
      <c r="Q976" s="74"/>
      <c r="R976" s="14" t="n">
        <f aca="false">IF(I976="Unbilled",0,M976)</f>
        <v>1006.2</v>
      </c>
      <c r="S976" s="9" t="n">
        <f aca="false">IF(R976=0,0,IF(O976="Booked",N976,R976*V975))</f>
        <v>29563621.4353781</v>
      </c>
      <c r="T976" s="14" t="n">
        <f aca="false">IF(I976="Opening",K976,T975+K976-R976)</f>
        <v>23297.61</v>
      </c>
      <c r="U976" s="9" t="n">
        <f aca="false">IF(I976="Opening",L976,U975+L976-S976)</f>
        <v>684517712.571137</v>
      </c>
      <c r="V976" s="9" t="n">
        <f aca="false">IF(T976&gt;0,U976/T976,IF(I976="Opening",0,V975))</f>
        <v>29381.456405663</v>
      </c>
      <c r="W976" s="14" t="n">
        <f aca="false">M976</f>
        <v>1006.2</v>
      </c>
      <c r="X976" s="9" t="n">
        <f aca="false">IF(W976=0,0,IF(O976="Booked",N976,W976*AA975))</f>
        <v>29563621.4353781</v>
      </c>
      <c r="Y976" s="14" t="n">
        <f aca="false">IF(I976="Opening",K976,Y975+K976-W976)</f>
        <v>23297.61</v>
      </c>
      <c r="Z976" s="9" t="n">
        <f aca="false">IF(I976="Opening",L976,Z975+L976-X976)</f>
        <v>684517712.571137</v>
      </c>
      <c r="AA976" s="9" t="n">
        <f aca="false">IF(Y976&gt;0,Z976/Y976,IF(I976="Opening",0,AA975))</f>
        <v>29381.456405663</v>
      </c>
      <c r="AB976" s="9" t="n">
        <f aca="false">IF(AND(I976="DO",O976="MA"),S976-N976,0)</f>
        <v>-0.094621941447258</v>
      </c>
      <c r="AC976" s="9" t="n">
        <f aca="false">IF(I976="DO",X976-S976,0)</f>
        <v>0</v>
      </c>
      <c r="AD976" s="23" t="n">
        <f aca="false">IF(B977&lt;&gt;B976,1,0)</f>
        <v>0</v>
      </c>
      <c r="AE976" s="14" t="n">
        <f aca="false">IF(I976="Opening",0,AE975+W976)</f>
        <v>25192.59</v>
      </c>
      <c r="AF976" s="14" t="n">
        <f aca="false">IF(I976="Opening",K976,AF975)</f>
        <v>8397.27</v>
      </c>
      <c r="AG976" s="14" t="n">
        <f aca="false">AG975</f>
        <v>31578.83</v>
      </c>
      <c r="AH976" s="14" t="n">
        <f aca="false">IF(W976=0,0,MAX(0,MIN(AE976,AF976)-MIN(AE976-W976,AF976)))</f>
        <v>0</v>
      </c>
      <c r="AI976" s="14" t="n">
        <f aca="false">IF(W976=0,0,MAX(0,MIN(AE976,AF976+AG976)-MAX(AE976-W976,AF976)))</f>
        <v>1006.2</v>
      </c>
      <c r="AJ976" s="14" t="n">
        <f aca="false">W976-AH976-AI976</f>
        <v>0</v>
      </c>
      <c r="AK976" s="9" t="n">
        <f aca="false">IF(W976=0,0,X976*AH976/W976)</f>
        <v>0</v>
      </c>
      <c r="AL976" s="9" t="n">
        <f aca="false">IF(W976=0,0,X976*AI976/W976)</f>
        <v>29563621.4353781</v>
      </c>
      <c r="AM976" s="9" t="n">
        <f aca="false">X976-AK976-AL976</f>
        <v>0</v>
      </c>
    </row>
    <row r="977" customFormat="false" ht="15" hidden="false" customHeight="false" outlineLevel="0" collapsed="false">
      <c r="A977" s="6" t="n">
        <v>972</v>
      </c>
      <c r="B977" s="74" t="s">
        <v>1024</v>
      </c>
      <c r="C977" s="53" t="str">
        <f aca="false">INDEX(I_Items!$C$5:$C$133,MATCH($B977,I_Items!$A$5:$A$133,0))</f>
        <v>Trading</v>
      </c>
      <c r="D977" s="53" t="str">
        <f aca="false">INDEX(I_Items!$D$5:$D$133,MATCH($B977,I_Items!$A$5:$A$133,0))</f>
        <v>Karkas</v>
      </c>
      <c r="E977" s="53" t="str">
        <f aca="false">INDEX(I_Items!$F$5:$F$133,MATCH($B977,I_Items!$A$5:$A$133,0))</f>
        <v>Not stated in item master</v>
      </c>
      <c r="F977" s="53" t="str">
        <f aca="false">IF(INDEX(I_Items!$E$5:$E$133,MATCH($B977,I_Items!$A$5:$A$133,0))="","",INDEX(I_Items!$E$5:$E$133,MATCH($B977,I_Items!$A$5:$A$133,0)))</f>
        <v>Uk 0.9</v>
      </c>
      <c r="G977" s="76" t="n">
        <v>46240</v>
      </c>
      <c r="H977" s="23" t="n">
        <f aca="false">MONTH(G977)</f>
        <v>8</v>
      </c>
      <c r="I977" s="74" t="s">
        <v>2075</v>
      </c>
      <c r="J977" s="74" t="s">
        <v>2303</v>
      </c>
      <c r="K977" s="10" t="n">
        <v>0</v>
      </c>
      <c r="L977" s="8" t="n">
        <v>0</v>
      </c>
      <c r="M977" s="10" t="n">
        <v>24</v>
      </c>
      <c r="N977" s="8" t="n">
        <v>705154.96</v>
      </c>
      <c r="O977" s="74" t="s">
        <v>2077</v>
      </c>
      <c r="P977" s="74"/>
      <c r="Q977" s="74"/>
      <c r="R977" s="14" t="n">
        <f aca="false">IF(I977="Unbilled",0,M977)</f>
        <v>24</v>
      </c>
      <c r="S977" s="9" t="n">
        <f aca="false">IF(R977=0,0,IF(O977="Booked",N977,R977*V976))</f>
        <v>705154.953735911</v>
      </c>
      <c r="T977" s="14" t="n">
        <f aca="false">IF(I977="Opening",K977,T976+K977-R977)</f>
        <v>23273.61</v>
      </c>
      <c r="U977" s="9" t="n">
        <f aca="false">IF(I977="Opening",L977,U976+L977-S977)</f>
        <v>683812557.617401</v>
      </c>
      <c r="V977" s="9" t="n">
        <f aca="false">IF(T977&gt;0,U977/T977,IF(I977="Opening",0,V976))</f>
        <v>29381.4564056629</v>
      </c>
      <c r="W977" s="14" t="n">
        <f aca="false">M977</f>
        <v>24</v>
      </c>
      <c r="X977" s="9" t="n">
        <f aca="false">IF(W977=0,0,IF(O977="Booked",N977,W977*AA976))</f>
        <v>705154.953735911</v>
      </c>
      <c r="Y977" s="14" t="n">
        <f aca="false">IF(I977="Opening",K977,Y976+K977-W977)</f>
        <v>23273.61</v>
      </c>
      <c r="Z977" s="9" t="n">
        <f aca="false">IF(I977="Opening",L977,Z976+L977-X977)</f>
        <v>683812557.617401</v>
      </c>
      <c r="AA977" s="9" t="n">
        <f aca="false">IF(Y977&gt;0,Z977/Y977,IF(I977="Opening",0,AA976))</f>
        <v>29381.4564056629</v>
      </c>
      <c r="AB977" s="9" t="n">
        <f aca="false">IF(AND(I977="DO",O977="MA"),S977-N977,0)</f>
        <v>-0.00626408914104104</v>
      </c>
      <c r="AC977" s="9" t="n">
        <f aca="false">IF(I977="DO",X977-S977,0)</f>
        <v>0</v>
      </c>
      <c r="AD977" s="23" t="n">
        <f aca="false">IF(B978&lt;&gt;B977,1,0)</f>
        <v>0</v>
      </c>
      <c r="AE977" s="14" t="n">
        <f aca="false">IF(I977="Opening",0,AE976+W977)</f>
        <v>25216.59</v>
      </c>
      <c r="AF977" s="14" t="n">
        <f aca="false">IF(I977="Opening",K977,AF976)</f>
        <v>8397.27</v>
      </c>
      <c r="AG977" s="14" t="n">
        <f aca="false">AG976</f>
        <v>31578.83</v>
      </c>
      <c r="AH977" s="14" t="n">
        <f aca="false">IF(W977=0,0,MAX(0,MIN(AE977,AF977)-MIN(AE977-W977,AF977)))</f>
        <v>0</v>
      </c>
      <c r="AI977" s="14" t="n">
        <f aca="false">IF(W977=0,0,MAX(0,MIN(AE977,AF977+AG977)-MAX(AE977-W977,AF977)))</f>
        <v>24</v>
      </c>
      <c r="AJ977" s="14" t="n">
        <f aca="false">W977-AH977-AI977</f>
        <v>0</v>
      </c>
      <c r="AK977" s="9" t="n">
        <f aca="false">IF(W977=0,0,X977*AH977/W977)</f>
        <v>0</v>
      </c>
      <c r="AL977" s="9" t="n">
        <f aca="false">IF(W977=0,0,X977*AI977/W977)</f>
        <v>705154.953735911</v>
      </c>
      <c r="AM977" s="9" t="n">
        <f aca="false">X977-AK977-AL977</f>
        <v>0</v>
      </c>
    </row>
    <row r="978" customFormat="false" ht="15" hidden="false" customHeight="false" outlineLevel="0" collapsed="false">
      <c r="A978" s="6" t="n">
        <v>973</v>
      </c>
      <c r="B978" s="74" t="s">
        <v>1024</v>
      </c>
      <c r="C978" s="53" t="str">
        <f aca="false">INDEX(I_Items!$C$5:$C$133,MATCH($B978,I_Items!$A$5:$A$133,0))</f>
        <v>Trading</v>
      </c>
      <c r="D978" s="53" t="str">
        <f aca="false">INDEX(I_Items!$D$5:$D$133,MATCH($B978,I_Items!$A$5:$A$133,0))</f>
        <v>Karkas</v>
      </c>
      <c r="E978" s="53" t="str">
        <f aca="false">INDEX(I_Items!$F$5:$F$133,MATCH($B978,I_Items!$A$5:$A$133,0))</f>
        <v>Not stated in item master</v>
      </c>
      <c r="F978" s="53" t="str">
        <f aca="false">IF(INDEX(I_Items!$E$5:$E$133,MATCH($B978,I_Items!$A$5:$A$133,0))="","",INDEX(I_Items!$E$5:$E$133,MATCH($B978,I_Items!$A$5:$A$133,0)))</f>
        <v>Uk 0.9</v>
      </c>
      <c r="G978" s="76" t="n">
        <v>46241</v>
      </c>
      <c r="H978" s="23" t="n">
        <f aca="false">MONTH(G978)</f>
        <v>8</v>
      </c>
      <c r="I978" s="74" t="s">
        <v>2075</v>
      </c>
      <c r="J978" s="74" t="s">
        <v>2321</v>
      </c>
      <c r="K978" s="10" t="n">
        <v>0</v>
      </c>
      <c r="L978" s="8" t="n">
        <v>0</v>
      </c>
      <c r="M978" s="10" t="n">
        <v>1220</v>
      </c>
      <c r="N978" s="8" t="n">
        <v>35845376.93</v>
      </c>
      <c r="O978" s="74" t="s">
        <v>2077</v>
      </c>
      <c r="P978" s="74"/>
      <c r="Q978" s="74"/>
      <c r="R978" s="14" t="n">
        <f aca="false">IF(I978="Unbilled",0,M978)</f>
        <v>1220</v>
      </c>
      <c r="S978" s="9" t="n">
        <f aca="false">IF(R978=0,0,IF(O978="Booked",N978,R978*V977))</f>
        <v>35845376.8149088</v>
      </c>
      <c r="T978" s="14" t="n">
        <f aca="false">IF(I978="Opening",K978,T977+K978-R978)</f>
        <v>22053.61</v>
      </c>
      <c r="U978" s="9" t="n">
        <f aca="false">IF(I978="Opening",L978,U977+L978-S978)</f>
        <v>647967180.802493</v>
      </c>
      <c r="V978" s="9" t="n">
        <f aca="false">IF(T978&gt;0,U978/T978,IF(I978="Opening",0,V977))</f>
        <v>29381.456405663</v>
      </c>
      <c r="W978" s="14" t="n">
        <f aca="false">M978</f>
        <v>1220</v>
      </c>
      <c r="X978" s="9" t="n">
        <f aca="false">IF(W978=0,0,IF(O978="Booked",N978,W978*AA977))</f>
        <v>35845376.8149088</v>
      </c>
      <c r="Y978" s="14" t="n">
        <f aca="false">IF(I978="Opening",K978,Y977+K978-W978)</f>
        <v>22053.61</v>
      </c>
      <c r="Z978" s="9" t="n">
        <f aca="false">IF(I978="Opening",L978,Z977+L978-X978)</f>
        <v>647967180.802493</v>
      </c>
      <c r="AA978" s="9" t="n">
        <f aca="false">IF(Y978&gt;0,Z978/Y978,IF(I978="Opening",0,AA977))</f>
        <v>29381.456405663</v>
      </c>
      <c r="AB978" s="9" t="n">
        <f aca="false">IF(AND(I978="DO",O978="MA"),S978-N978,0)</f>
        <v>-0.11509120464325</v>
      </c>
      <c r="AC978" s="9" t="n">
        <f aca="false">IF(I978="DO",X978-S978,0)</f>
        <v>0</v>
      </c>
      <c r="AD978" s="23" t="n">
        <f aca="false">IF(B979&lt;&gt;B978,1,0)</f>
        <v>0</v>
      </c>
      <c r="AE978" s="14" t="n">
        <f aca="false">IF(I978="Opening",0,AE977+W978)</f>
        <v>26436.59</v>
      </c>
      <c r="AF978" s="14" t="n">
        <f aca="false">IF(I978="Opening",K978,AF977)</f>
        <v>8397.27</v>
      </c>
      <c r="AG978" s="14" t="n">
        <f aca="false">AG977</f>
        <v>31578.83</v>
      </c>
      <c r="AH978" s="14" t="n">
        <f aca="false">IF(W978=0,0,MAX(0,MIN(AE978,AF978)-MIN(AE978-W978,AF978)))</f>
        <v>0</v>
      </c>
      <c r="AI978" s="14" t="n">
        <f aca="false">IF(W978=0,0,MAX(0,MIN(AE978,AF978+AG978)-MAX(AE978-W978,AF978)))</f>
        <v>1220</v>
      </c>
      <c r="AJ978" s="14" t="n">
        <f aca="false">W978-AH978-AI978</f>
        <v>0</v>
      </c>
      <c r="AK978" s="9" t="n">
        <f aca="false">IF(W978=0,0,X978*AH978/W978)</f>
        <v>0</v>
      </c>
      <c r="AL978" s="9" t="n">
        <f aca="false">IF(W978=0,0,X978*AI978/W978)</f>
        <v>35845376.8149088</v>
      </c>
      <c r="AM978" s="9" t="n">
        <f aca="false">X978-AK978-AL978</f>
        <v>0</v>
      </c>
    </row>
    <row r="979" customFormat="false" ht="15" hidden="false" customHeight="false" outlineLevel="0" collapsed="false">
      <c r="A979" s="6" t="n">
        <v>974</v>
      </c>
      <c r="B979" s="74" t="s">
        <v>1024</v>
      </c>
      <c r="C979" s="53" t="str">
        <f aca="false">INDEX(I_Items!$C$5:$C$133,MATCH($B979,I_Items!$A$5:$A$133,0))</f>
        <v>Trading</v>
      </c>
      <c r="D979" s="53" t="str">
        <f aca="false">INDEX(I_Items!$D$5:$D$133,MATCH($B979,I_Items!$A$5:$A$133,0))</f>
        <v>Karkas</v>
      </c>
      <c r="E979" s="53" t="str">
        <f aca="false">INDEX(I_Items!$F$5:$F$133,MATCH($B979,I_Items!$A$5:$A$133,0))</f>
        <v>Not stated in item master</v>
      </c>
      <c r="F979" s="53" t="str">
        <f aca="false">IF(INDEX(I_Items!$E$5:$E$133,MATCH($B979,I_Items!$A$5:$A$133,0))="","",INDEX(I_Items!$E$5:$E$133,MATCH($B979,I_Items!$A$5:$A$133,0)))</f>
        <v>Uk 0.9</v>
      </c>
      <c r="G979" s="76" t="n">
        <v>46241</v>
      </c>
      <c r="H979" s="23" t="n">
        <f aca="false">MONTH(G979)</f>
        <v>8</v>
      </c>
      <c r="I979" s="74" t="s">
        <v>2075</v>
      </c>
      <c r="J979" s="74" t="s">
        <v>2298</v>
      </c>
      <c r="K979" s="10" t="n">
        <v>0</v>
      </c>
      <c r="L979" s="8" t="n">
        <v>0</v>
      </c>
      <c r="M979" s="10" t="n">
        <v>1007.3</v>
      </c>
      <c r="N979" s="8" t="n">
        <v>29595941.13</v>
      </c>
      <c r="O979" s="74" t="s">
        <v>2077</v>
      </c>
      <c r="P979" s="74"/>
      <c r="Q979" s="74"/>
      <c r="R979" s="14" t="n">
        <f aca="false">IF(I979="Unbilled",0,M979)</f>
        <v>1007.3</v>
      </c>
      <c r="S979" s="9" t="n">
        <f aca="false">IF(R979=0,0,IF(O979="Booked",N979,R979*V978))</f>
        <v>29595941.0374243</v>
      </c>
      <c r="T979" s="14" t="n">
        <f aca="false">IF(I979="Opening",K979,T978+K979-R979)</f>
        <v>21046.31</v>
      </c>
      <c r="U979" s="9" t="n">
        <f aca="false">IF(I979="Opening",L979,U978+L979-S979)</f>
        <v>618371239.765068</v>
      </c>
      <c r="V979" s="9" t="n">
        <f aca="false">IF(T979&gt;0,U979/T979,IF(I979="Opening",0,V978))</f>
        <v>29381.4564056629</v>
      </c>
      <c r="W979" s="14" t="n">
        <f aca="false">M979</f>
        <v>1007.3</v>
      </c>
      <c r="X979" s="9" t="n">
        <f aca="false">IF(W979=0,0,IF(O979="Booked",N979,W979*AA978))</f>
        <v>29595941.0374243</v>
      </c>
      <c r="Y979" s="14" t="n">
        <f aca="false">IF(I979="Opening",K979,Y978+K979-W979)</f>
        <v>21046.31</v>
      </c>
      <c r="Z979" s="9" t="n">
        <f aca="false">IF(I979="Opening",L979,Z978+L979-X979)</f>
        <v>618371239.765068</v>
      </c>
      <c r="AA979" s="9" t="n">
        <f aca="false">IF(Y979&gt;0,Z979/Y979,IF(I979="Opening",0,AA978))</f>
        <v>29381.4564056629</v>
      </c>
      <c r="AB979" s="9" t="n">
        <f aca="false">IF(AND(I979="DO",O979="MA"),S979-N979,0)</f>
        <v>-0.0925757102668285</v>
      </c>
      <c r="AC979" s="9" t="n">
        <f aca="false">IF(I979="DO",X979-S979,0)</f>
        <v>0</v>
      </c>
      <c r="AD979" s="23" t="n">
        <f aca="false">IF(B980&lt;&gt;B979,1,0)</f>
        <v>0</v>
      </c>
      <c r="AE979" s="14" t="n">
        <f aca="false">IF(I979="Opening",0,AE978+W979)</f>
        <v>27443.89</v>
      </c>
      <c r="AF979" s="14" t="n">
        <f aca="false">IF(I979="Opening",K979,AF978)</f>
        <v>8397.27</v>
      </c>
      <c r="AG979" s="14" t="n">
        <f aca="false">AG978</f>
        <v>31578.83</v>
      </c>
      <c r="AH979" s="14" t="n">
        <f aca="false">IF(W979=0,0,MAX(0,MIN(AE979,AF979)-MIN(AE979-W979,AF979)))</f>
        <v>0</v>
      </c>
      <c r="AI979" s="14" t="n">
        <f aca="false">IF(W979=0,0,MAX(0,MIN(AE979,AF979+AG979)-MAX(AE979-W979,AF979)))</f>
        <v>1007.3</v>
      </c>
      <c r="AJ979" s="14" t="n">
        <f aca="false">W979-AH979-AI979</f>
        <v>0</v>
      </c>
      <c r="AK979" s="9" t="n">
        <f aca="false">IF(W979=0,0,X979*AH979/W979)</f>
        <v>0</v>
      </c>
      <c r="AL979" s="9" t="n">
        <f aca="false">IF(W979=0,0,X979*AI979/W979)</f>
        <v>29595941.0374243</v>
      </c>
      <c r="AM979" s="9" t="n">
        <f aca="false">X979-AK979-AL979</f>
        <v>0</v>
      </c>
    </row>
    <row r="980" customFormat="false" ht="15" hidden="false" customHeight="false" outlineLevel="0" collapsed="false">
      <c r="A980" s="6" t="n">
        <v>975</v>
      </c>
      <c r="B980" s="74" t="s">
        <v>1024</v>
      </c>
      <c r="C980" s="53" t="str">
        <f aca="false">INDEX(I_Items!$C$5:$C$133,MATCH($B980,I_Items!$A$5:$A$133,0))</f>
        <v>Trading</v>
      </c>
      <c r="D980" s="53" t="str">
        <f aca="false">INDEX(I_Items!$D$5:$D$133,MATCH($B980,I_Items!$A$5:$A$133,0))</f>
        <v>Karkas</v>
      </c>
      <c r="E980" s="53" t="str">
        <f aca="false">INDEX(I_Items!$F$5:$F$133,MATCH($B980,I_Items!$A$5:$A$133,0))</f>
        <v>Not stated in item master</v>
      </c>
      <c r="F980" s="53" t="str">
        <f aca="false">IF(INDEX(I_Items!$E$5:$E$133,MATCH($B980,I_Items!$A$5:$A$133,0))="","",INDEX(I_Items!$E$5:$E$133,MATCH($B980,I_Items!$A$5:$A$133,0)))</f>
        <v>Uk 0.9</v>
      </c>
      <c r="G980" s="76" t="n">
        <v>46242</v>
      </c>
      <c r="H980" s="23" t="n">
        <f aca="false">MONTH(G980)</f>
        <v>8</v>
      </c>
      <c r="I980" s="74" t="s">
        <v>2075</v>
      </c>
      <c r="J980" s="74" t="s">
        <v>2322</v>
      </c>
      <c r="K980" s="10" t="n">
        <v>0</v>
      </c>
      <c r="L980" s="8" t="n">
        <v>0</v>
      </c>
      <c r="M980" s="10" t="n">
        <v>284.1</v>
      </c>
      <c r="N980" s="8" t="n">
        <v>8347271.79</v>
      </c>
      <c r="O980" s="74" t="s">
        <v>2077</v>
      </c>
      <c r="P980" s="74"/>
      <c r="Q980" s="74"/>
      <c r="R980" s="14" t="n">
        <f aca="false">IF(I980="Unbilled",0,M980)</f>
        <v>284.1</v>
      </c>
      <c r="S980" s="9" t="n">
        <f aca="false">IF(R980=0,0,IF(O980="Booked",N980,R980*V979))</f>
        <v>8347271.76484884</v>
      </c>
      <c r="T980" s="14" t="n">
        <f aca="false">IF(I980="Opening",K980,T979+K980-R980)</f>
        <v>20762.21</v>
      </c>
      <c r="U980" s="9" t="n">
        <f aca="false">IF(I980="Opening",L980,U979+L980-S980)</f>
        <v>610023968.00022</v>
      </c>
      <c r="V980" s="9" t="n">
        <f aca="false">IF(T980&gt;0,U980/T980,IF(I980="Opening",0,V979))</f>
        <v>29381.4564056629</v>
      </c>
      <c r="W980" s="14" t="n">
        <f aca="false">M980</f>
        <v>284.1</v>
      </c>
      <c r="X980" s="9" t="n">
        <f aca="false">IF(W980=0,0,IF(O980="Booked",N980,W980*AA979))</f>
        <v>8347271.76484884</v>
      </c>
      <c r="Y980" s="14" t="n">
        <f aca="false">IF(I980="Opening",K980,Y979+K980-W980)</f>
        <v>20762.21</v>
      </c>
      <c r="Z980" s="9" t="n">
        <f aca="false">IF(I980="Opening",L980,Z979+L980-X980)</f>
        <v>610023968.00022</v>
      </c>
      <c r="AA980" s="9" t="n">
        <f aca="false">IF(Y980&gt;0,Z980/Y980,IF(I980="Opening",0,AA979))</f>
        <v>29381.4564056629</v>
      </c>
      <c r="AB980" s="9" t="n">
        <f aca="false">IF(AND(I980="DO",O980="MA"),S980-N980,0)</f>
        <v>-0.0251511568203568</v>
      </c>
      <c r="AC980" s="9" t="n">
        <f aca="false">IF(I980="DO",X980-S980,0)</f>
        <v>0</v>
      </c>
      <c r="AD980" s="23" t="n">
        <f aca="false">IF(B981&lt;&gt;B980,1,0)</f>
        <v>0</v>
      </c>
      <c r="AE980" s="14" t="n">
        <f aca="false">IF(I980="Opening",0,AE979+W980)</f>
        <v>27727.99</v>
      </c>
      <c r="AF980" s="14" t="n">
        <f aca="false">IF(I980="Opening",K980,AF979)</f>
        <v>8397.27</v>
      </c>
      <c r="AG980" s="14" t="n">
        <f aca="false">AG979</f>
        <v>31578.83</v>
      </c>
      <c r="AH980" s="14" t="n">
        <f aca="false">IF(W980=0,0,MAX(0,MIN(AE980,AF980)-MIN(AE980-W980,AF980)))</f>
        <v>0</v>
      </c>
      <c r="AI980" s="14" t="n">
        <f aca="false">IF(W980=0,0,MAX(0,MIN(AE980,AF980+AG980)-MAX(AE980-W980,AF980)))</f>
        <v>284.099999999999</v>
      </c>
      <c r="AJ980" s="14" t="n">
        <f aca="false">W980-AH980-AI980</f>
        <v>1.47792889038101E-012</v>
      </c>
      <c r="AK980" s="9" t="n">
        <f aca="false">IF(W980=0,0,X980*AH980/W980)</f>
        <v>0</v>
      </c>
      <c r="AL980" s="9" t="n">
        <f aca="false">IF(W980=0,0,X980*AI980/W980)</f>
        <v>8347271.7648488</v>
      </c>
      <c r="AM980" s="9" t="n">
        <f aca="false">X980-AK980-AL980</f>
        <v>4.37721610069275E-008</v>
      </c>
    </row>
    <row r="981" customFormat="false" ht="15" hidden="false" customHeight="false" outlineLevel="0" collapsed="false">
      <c r="A981" s="6" t="n">
        <v>976</v>
      </c>
      <c r="B981" s="74" t="s">
        <v>1024</v>
      </c>
      <c r="C981" s="53" t="str">
        <f aca="false">INDEX(I_Items!$C$5:$C$133,MATCH($B981,I_Items!$A$5:$A$133,0))</f>
        <v>Trading</v>
      </c>
      <c r="D981" s="53" t="str">
        <f aca="false">INDEX(I_Items!$D$5:$D$133,MATCH($B981,I_Items!$A$5:$A$133,0))</f>
        <v>Karkas</v>
      </c>
      <c r="E981" s="53" t="str">
        <f aca="false">INDEX(I_Items!$F$5:$F$133,MATCH($B981,I_Items!$A$5:$A$133,0))</f>
        <v>Not stated in item master</v>
      </c>
      <c r="F981" s="53" t="str">
        <f aca="false">IF(INDEX(I_Items!$E$5:$E$133,MATCH($B981,I_Items!$A$5:$A$133,0))="","",INDEX(I_Items!$E$5:$E$133,MATCH($B981,I_Items!$A$5:$A$133,0)))</f>
        <v>Uk 0.9</v>
      </c>
      <c r="G981" s="76" t="n">
        <v>46242</v>
      </c>
      <c r="H981" s="23" t="n">
        <f aca="false">MONTH(G981)</f>
        <v>8</v>
      </c>
      <c r="I981" s="74" t="s">
        <v>2075</v>
      </c>
      <c r="J981" s="74" t="s">
        <v>2322</v>
      </c>
      <c r="K981" s="10" t="n">
        <v>0</v>
      </c>
      <c r="L981" s="8" t="n">
        <v>0</v>
      </c>
      <c r="M981" s="10" t="n">
        <v>360.5</v>
      </c>
      <c r="N981" s="8" t="n">
        <v>10592015.07</v>
      </c>
      <c r="O981" s="74" t="s">
        <v>2077</v>
      </c>
      <c r="P981" s="74"/>
      <c r="Q981" s="74"/>
      <c r="R981" s="14" t="n">
        <f aca="false">IF(I981="Unbilled",0,M981)</f>
        <v>360.5</v>
      </c>
      <c r="S981" s="9" t="n">
        <f aca="false">IF(R981=0,0,IF(O981="Booked",N981,R981*V980))</f>
        <v>10592015.0342415</v>
      </c>
      <c r="T981" s="14" t="n">
        <f aca="false">IF(I981="Opening",K981,T980+K981-R981)</f>
        <v>20401.71</v>
      </c>
      <c r="U981" s="9" t="n">
        <f aca="false">IF(I981="Opening",L981,U980+L981-S981)</f>
        <v>599431952.965978</v>
      </c>
      <c r="V981" s="9" t="n">
        <f aca="false">IF(T981&gt;0,U981/T981,IF(I981="Opening",0,V980))</f>
        <v>29381.456405663</v>
      </c>
      <c r="W981" s="14" t="n">
        <f aca="false">M981</f>
        <v>360.5</v>
      </c>
      <c r="X981" s="9" t="n">
        <f aca="false">IF(W981=0,0,IF(O981="Booked",N981,W981*AA980))</f>
        <v>10592015.0342415</v>
      </c>
      <c r="Y981" s="14" t="n">
        <f aca="false">IF(I981="Opening",K981,Y980+K981-W981)</f>
        <v>20401.71</v>
      </c>
      <c r="Z981" s="9" t="n">
        <f aca="false">IF(I981="Opening",L981,Z980+L981-X981)</f>
        <v>599431952.965978</v>
      </c>
      <c r="AA981" s="9" t="n">
        <f aca="false">IF(Y981&gt;0,Z981/Y981,IF(I981="Opening",0,AA980))</f>
        <v>29381.456405663</v>
      </c>
      <c r="AB981" s="9" t="n">
        <f aca="false">IF(AND(I981="DO",O981="MA"),S981-N981,0)</f>
        <v>-0.0357585083693266</v>
      </c>
      <c r="AC981" s="9" t="n">
        <f aca="false">IF(I981="DO",X981-S981,0)</f>
        <v>0</v>
      </c>
      <c r="AD981" s="23" t="n">
        <f aca="false">IF(B982&lt;&gt;B981,1,0)</f>
        <v>0</v>
      </c>
      <c r="AE981" s="14" t="n">
        <f aca="false">IF(I981="Opening",0,AE980+W981)</f>
        <v>28088.49</v>
      </c>
      <c r="AF981" s="14" t="n">
        <f aca="false">IF(I981="Opening",K981,AF980)</f>
        <v>8397.27</v>
      </c>
      <c r="AG981" s="14" t="n">
        <f aca="false">AG980</f>
        <v>31578.83</v>
      </c>
      <c r="AH981" s="14" t="n">
        <f aca="false">IF(W981=0,0,MAX(0,MIN(AE981,AF981)-MIN(AE981-W981,AF981)))</f>
        <v>0</v>
      </c>
      <c r="AI981" s="14" t="n">
        <f aca="false">IF(W981=0,0,MAX(0,MIN(AE981,AF981+AG981)-MAX(AE981-W981,AF981)))</f>
        <v>360.5</v>
      </c>
      <c r="AJ981" s="14" t="n">
        <f aca="false">W981-AH981-AI981</f>
        <v>0</v>
      </c>
      <c r="AK981" s="9" t="n">
        <f aca="false">IF(W981=0,0,X981*AH981/W981)</f>
        <v>0</v>
      </c>
      <c r="AL981" s="9" t="n">
        <f aca="false">IF(W981=0,0,X981*AI981/W981)</f>
        <v>10592015.0342415</v>
      </c>
      <c r="AM981" s="9" t="n">
        <f aca="false">X981-AK981-AL981</f>
        <v>0</v>
      </c>
    </row>
    <row r="982" customFormat="false" ht="15" hidden="false" customHeight="false" outlineLevel="0" collapsed="false">
      <c r="A982" s="6" t="n">
        <v>977</v>
      </c>
      <c r="B982" s="74" t="s">
        <v>1024</v>
      </c>
      <c r="C982" s="53" t="str">
        <f aca="false">INDEX(I_Items!$C$5:$C$133,MATCH($B982,I_Items!$A$5:$A$133,0))</f>
        <v>Trading</v>
      </c>
      <c r="D982" s="53" t="str">
        <f aca="false">INDEX(I_Items!$D$5:$D$133,MATCH($B982,I_Items!$A$5:$A$133,0))</f>
        <v>Karkas</v>
      </c>
      <c r="E982" s="53" t="str">
        <f aca="false">INDEX(I_Items!$F$5:$F$133,MATCH($B982,I_Items!$A$5:$A$133,0))</f>
        <v>Not stated in item master</v>
      </c>
      <c r="F982" s="53" t="str">
        <f aca="false">IF(INDEX(I_Items!$E$5:$E$133,MATCH($B982,I_Items!$A$5:$A$133,0))="","",INDEX(I_Items!$E$5:$E$133,MATCH($B982,I_Items!$A$5:$A$133,0)))</f>
        <v>Uk 0.9</v>
      </c>
      <c r="G982" s="76" t="n">
        <v>46244</v>
      </c>
      <c r="H982" s="23" t="n">
        <f aca="false">MONTH(G982)</f>
        <v>8</v>
      </c>
      <c r="I982" s="74" t="s">
        <v>2074</v>
      </c>
      <c r="J982" s="74" t="s">
        <v>2299</v>
      </c>
      <c r="K982" s="10" t="n">
        <v>1040.6</v>
      </c>
      <c r="L982" s="8" t="n">
        <v>33819500</v>
      </c>
      <c r="M982" s="10" t="n">
        <v>0</v>
      </c>
      <c r="N982" s="8" t="n">
        <v>0</v>
      </c>
      <c r="O982" s="74"/>
      <c r="P982" s="74"/>
      <c r="Q982" s="74"/>
      <c r="R982" s="14" t="n">
        <f aca="false">IF(I982="Unbilled",0,M982)</f>
        <v>0</v>
      </c>
      <c r="S982" s="9" t="n">
        <f aca="false">IF(R982=0,0,IF(O982="Booked",N982,R982*V981))</f>
        <v>0</v>
      </c>
      <c r="T982" s="14" t="n">
        <f aca="false">IF(I982="Opening",K982,T981+K982-R982)</f>
        <v>21442.31</v>
      </c>
      <c r="U982" s="9" t="n">
        <f aca="false">IF(I982="Opening",L982,U981+L982-S982)</f>
        <v>633251452.965978</v>
      </c>
      <c r="V982" s="9" t="n">
        <f aca="false">IF(T982&gt;0,U982/T982,IF(I982="Opening",0,V981))</f>
        <v>29532.800009233</v>
      </c>
      <c r="W982" s="14" t="n">
        <f aca="false">M982</f>
        <v>0</v>
      </c>
      <c r="X982" s="9" t="n">
        <f aca="false">IF(W982=0,0,IF(O982="Booked",N982,W982*AA981))</f>
        <v>0</v>
      </c>
      <c r="Y982" s="14" t="n">
        <f aca="false">IF(I982="Opening",K982,Y981+K982-W982)</f>
        <v>21442.31</v>
      </c>
      <c r="Z982" s="9" t="n">
        <f aca="false">IF(I982="Opening",L982,Z981+L982-X982)</f>
        <v>633251452.965978</v>
      </c>
      <c r="AA982" s="9" t="n">
        <f aca="false">IF(Y982&gt;0,Z982/Y982,IF(I982="Opening",0,AA981))</f>
        <v>29532.800009233</v>
      </c>
      <c r="AB982" s="9" t="n">
        <f aca="false">IF(AND(I982="DO",O982="MA"),S982-N982,0)</f>
        <v>0</v>
      </c>
      <c r="AC982" s="9" t="n">
        <f aca="false">IF(I982="DO",X982-S982,0)</f>
        <v>0</v>
      </c>
      <c r="AD982" s="23" t="n">
        <f aca="false">IF(B983&lt;&gt;B982,1,0)</f>
        <v>0</v>
      </c>
      <c r="AE982" s="14" t="n">
        <f aca="false">IF(I982="Opening",0,AE981+W982)</f>
        <v>28088.49</v>
      </c>
      <c r="AF982" s="14" t="n">
        <f aca="false">IF(I982="Opening",K982,AF981)</f>
        <v>8397.27</v>
      </c>
      <c r="AG982" s="14" t="n">
        <f aca="false">AG981</f>
        <v>31578.83</v>
      </c>
      <c r="AH982" s="14" t="n">
        <f aca="false">IF(W982=0,0,MAX(0,MIN(AE982,AF982)-MIN(AE982-W982,AF982)))</f>
        <v>0</v>
      </c>
      <c r="AI982" s="14" t="n">
        <f aca="false">IF(W982=0,0,MAX(0,MIN(AE982,AF982+AG982)-MAX(AE982-W982,AF982)))</f>
        <v>0</v>
      </c>
      <c r="AJ982" s="14" t="n">
        <f aca="false">W982-AH982-AI982</f>
        <v>0</v>
      </c>
      <c r="AK982" s="9" t="n">
        <f aca="false">IF(W982=0,0,X982*AH982/W982)</f>
        <v>0</v>
      </c>
      <c r="AL982" s="9" t="n">
        <f aca="false">IF(W982=0,0,X982*AI982/W982)</f>
        <v>0</v>
      </c>
      <c r="AM982" s="9" t="n">
        <f aca="false">X982-AK982-AL982</f>
        <v>0</v>
      </c>
    </row>
    <row r="983" customFormat="false" ht="15" hidden="false" customHeight="false" outlineLevel="0" collapsed="false">
      <c r="A983" s="6" t="n">
        <v>978</v>
      </c>
      <c r="B983" s="74" t="s">
        <v>1024</v>
      </c>
      <c r="C983" s="53" t="str">
        <f aca="false">INDEX(I_Items!$C$5:$C$133,MATCH($B983,I_Items!$A$5:$A$133,0))</f>
        <v>Trading</v>
      </c>
      <c r="D983" s="53" t="str">
        <f aca="false">INDEX(I_Items!$D$5:$D$133,MATCH($B983,I_Items!$A$5:$A$133,0))</f>
        <v>Karkas</v>
      </c>
      <c r="E983" s="53" t="str">
        <f aca="false">INDEX(I_Items!$F$5:$F$133,MATCH($B983,I_Items!$A$5:$A$133,0))</f>
        <v>Not stated in item master</v>
      </c>
      <c r="F983" s="53" t="str">
        <f aca="false">IF(INDEX(I_Items!$E$5:$E$133,MATCH($B983,I_Items!$A$5:$A$133,0))="","",INDEX(I_Items!$E$5:$E$133,MATCH($B983,I_Items!$A$5:$A$133,0)))</f>
        <v>Uk 0.9</v>
      </c>
      <c r="G983" s="76" t="n">
        <v>46244</v>
      </c>
      <c r="H983" s="23" t="n">
        <f aca="false">MONTH(G983)</f>
        <v>8</v>
      </c>
      <c r="I983" s="74" t="s">
        <v>2075</v>
      </c>
      <c r="J983" s="74" t="s">
        <v>2305</v>
      </c>
      <c r="K983" s="10" t="n">
        <v>0</v>
      </c>
      <c r="L983" s="8" t="n">
        <v>0</v>
      </c>
      <c r="M983" s="10" t="n">
        <v>320.06</v>
      </c>
      <c r="N983" s="8" t="n">
        <v>9452268</v>
      </c>
      <c r="O983" s="74" t="s">
        <v>2077</v>
      </c>
      <c r="P983" s="74"/>
      <c r="Q983" s="74"/>
      <c r="R983" s="14" t="n">
        <f aca="false">IF(I983="Unbilled",0,M983)</f>
        <v>320.06</v>
      </c>
      <c r="S983" s="9" t="n">
        <f aca="false">IF(R983=0,0,IF(O983="Booked",N983,R983*V982))</f>
        <v>9452267.97095513</v>
      </c>
      <c r="T983" s="14" t="n">
        <f aca="false">IF(I983="Opening",K983,T982+K983-R983)</f>
        <v>21122.25</v>
      </c>
      <c r="U983" s="9" t="n">
        <f aca="false">IF(I983="Opening",L983,U982+L983-S983)</f>
        <v>623799184.995023</v>
      </c>
      <c r="V983" s="9" t="n">
        <f aca="false">IF(T983&gt;0,U983/T983,IF(I983="Opening",0,V982))</f>
        <v>29532.8000092331</v>
      </c>
      <c r="W983" s="14" t="n">
        <f aca="false">M983</f>
        <v>320.06</v>
      </c>
      <c r="X983" s="9" t="n">
        <f aca="false">IF(W983=0,0,IF(O983="Booked",N983,W983*AA982))</f>
        <v>9452267.97095513</v>
      </c>
      <c r="Y983" s="14" t="n">
        <f aca="false">IF(I983="Opening",K983,Y982+K983-W983)</f>
        <v>21122.25</v>
      </c>
      <c r="Z983" s="9" t="n">
        <f aca="false">IF(I983="Opening",L983,Z982+L983-X983)</f>
        <v>623799184.995023</v>
      </c>
      <c r="AA983" s="9" t="n">
        <f aca="false">IF(Y983&gt;0,Z983/Y983,IF(I983="Opening",0,AA982))</f>
        <v>29532.8000092331</v>
      </c>
      <c r="AB983" s="9" t="n">
        <f aca="false">IF(AND(I983="DO",O983="MA"),S983-N983,0)</f>
        <v>-0.0290448702871799</v>
      </c>
      <c r="AC983" s="9" t="n">
        <f aca="false">IF(I983="DO",X983-S983,0)</f>
        <v>0</v>
      </c>
      <c r="AD983" s="23" t="n">
        <f aca="false">IF(B984&lt;&gt;B983,1,0)</f>
        <v>0</v>
      </c>
      <c r="AE983" s="14" t="n">
        <f aca="false">IF(I983="Opening",0,AE982+W983)</f>
        <v>28408.55</v>
      </c>
      <c r="AF983" s="14" t="n">
        <f aca="false">IF(I983="Opening",K983,AF982)</f>
        <v>8397.27</v>
      </c>
      <c r="AG983" s="14" t="n">
        <f aca="false">AG982</f>
        <v>31578.83</v>
      </c>
      <c r="AH983" s="14" t="n">
        <f aca="false">IF(W983=0,0,MAX(0,MIN(AE983,AF983)-MIN(AE983-W983,AF983)))</f>
        <v>0</v>
      </c>
      <c r="AI983" s="14" t="n">
        <f aca="false">IF(W983=0,0,MAX(0,MIN(AE983,AF983+AG983)-MAX(AE983-W983,AF983)))</f>
        <v>320.060000000001</v>
      </c>
      <c r="AJ983" s="14" t="n">
        <f aca="false">W983-AH983-AI983</f>
        <v>-1.30739863379858E-012</v>
      </c>
      <c r="AK983" s="9" t="n">
        <f aca="false">IF(W983=0,0,X983*AH983/W983)</f>
        <v>0</v>
      </c>
      <c r="AL983" s="9" t="n">
        <f aca="false">IF(W983=0,0,X983*AI983/W983)</f>
        <v>9452267.97095517</v>
      </c>
      <c r="AM983" s="9" t="n">
        <f aca="false">X983-AK983-AL983</f>
        <v>-3.91155481338501E-008</v>
      </c>
    </row>
    <row r="984" customFormat="false" ht="15" hidden="false" customHeight="false" outlineLevel="0" collapsed="false">
      <c r="A984" s="6" t="n">
        <v>979</v>
      </c>
      <c r="B984" s="74" t="s">
        <v>1024</v>
      </c>
      <c r="C984" s="53" t="str">
        <f aca="false">INDEX(I_Items!$C$5:$C$133,MATCH($B984,I_Items!$A$5:$A$133,0))</f>
        <v>Trading</v>
      </c>
      <c r="D984" s="53" t="str">
        <f aca="false">INDEX(I_Items!$D$5:$D$133,MATCH($B984,I_Items!$A$5:$A$133,0))</f>
        <v>Karkas</v>
      </c>
      <c r="E984" s="53" t="str">
        <f aca="false">INDEX(I_Items!$F$5:$F$133,MATCH($B984,I_Items!$A$5:$A$133,0))</f>
        <v>Not stated in item master</v>
      </c>
      <c r="F984" s="53" t="str">
        <f aca="false">IF(INDEX(I_Items!$E$5:$E$133,MATCH($B984,I_Items!$A$5:$A$133,0))="","",INDEX(I_Items!$E$5:$E$133,MATCH($B984,I_Items!$A$5:$A$133,0)))</f>
        <v>Uk 0.9</v>
      </c>
      <c r="G984" s="76" t="n">
        <v>46244</v>
      </c>
      <c r="H984" s="23" t="n">
        <f aca="false">MONTH(G984)</f>
        <v>8</v>
      </c>
      <c r="I984" s="74" t="s">
        <v>2075</v>
      </c>
      <c r="J984" s="74" t="s">
        <v>2305</v>
      </c>
      <c r="K984" s="10" t="n">
        <v>0</v>
      </c>
      <c r="L984" s="8" t="n">
        <v>0</v>
      </c>
      <c r="M984" s="10" t="n">
        <v>499.6</v>
      </c>
      <c r="N984" s="8" t="n">
        <v>14754586.93</v>
      </c>
      <c r="O984" s="74" t="s">
        <v>2077</v>
      </c>
      <c r="P984" s="74"/>
      <c r="Q984" s="74"/>
      <c r="R984" s="14" t="n">
        <f aca="false">IF(I984="Unbilled",0,M984)</f>
        <v>499.6</v>
      </c>
      <c r="S984" s="9" t="n">
        <f aca="false">IF(R984=0,0,IF(O984="Booked",N984,R984*V983))</f>
        <v>14754586.8846128</v>
      </c>
      <c r="T984" s="14" t="n">
        <f aca="false">IF(I984="Opening",K984,T983+K984-R984)</f>
        <v>20622.65</v>
      </c>
      <c r="U984" s="9" t="n">
        <f aca="false">IF(I984="Opening",L984,U983+L984-S984)</f>
        <v>609044598.11041</v>
      </c>
      <c r="V984" s="9" t="n">
        <f aca="false">IF(T984&gt;0,U984/T984,IF(I984="Opening",0,V983))</f>
        <v>29532.800009233</v>
      </c>
      <c r="W984" s="14" t="n">
        <f aca="false">M984</f>
        <v>499.6</v>
      </c>
      <c r="X984" s="9" t="n">
        <f aca="false">IF(W984=0,0,IF(O984="Booked",N984,W984*AA983))</f>
        <v>14754586.8846128</v>
      </c>
      <c r="Y984" s="14" t="n">
        <f aca="false">IF(I984="Opening",K984,Y983+K984-W984)</f>
        <v>20622.65</v>
      </c>
      <c r="Z984" s="9" t="n">
        <f aca="false">IF(I984="Opening",L984,Z983+L984-X984)</f>
        <v>609044598.11041</v>
      </c>
      <c r="AA984" s="9" t="n">
        <f aca="false">IF(Y984&gt;0,Z984/Y984,IF(I984="Opening",0,AA983))</f>
        <v>29532.800009233</v>
      </c>
      <c r="AB984" s="9" t="n">
        <f aca="false">IF(AND(I984="DO",O984="MA"),S984-N984,0)</f>
        <v>-0.0453871674835682</v>
      </c>
      <c r="AC984" s="9" t="n">
        <f aca="false">IF(I984="DO",X984-S984,0)</f>
        <v>0</v>
      </c>
      <c r="AD984" s="23" t="n">
        <f aca="false">IF(B985&lt;&gt;B984,1,0)</f>
        <v>0</v>
      </c>
      <c r="AE984" s="14" t="n">
        <f aca="false">IF(I984="Opening",0,AE983+W984)</f>
        <v>28908.15</v>
      </c>
      <c r="AF984" s="14" t="n">
        <f aca="false">IF(I984="Opening",K984,AF983)</f>
        <v>8397.27</v>
      </c>
      <c r="AG984" s="14" t="n">
        <f aca="false">AG983</f>
        <v>31578.83</v>
      </c>
      <c r="AH984" s="14" t="n">
        <f aca="false">IF(W984=0,0,MAX(0,MIN(AE984,AF984)-MIN(AE984-W984,AF984)))</f>
        <v>0</v>
      </c>
      <c r="AI984" s="14" t="n">
        <f aca="false">IF(W984=0,0,MAX(0,MIN(AE984,AF984+AG984)-MAX(AE984-W984,AF984)))</f>
        <v>499.599999999999</v>
      </c>
      <c r="AJ984" s="14" t="n">
        <f aca="false">W984-AH984-AI984</f>
        <v>0</v>
      </c>
      <c r="AK984" s="9" t="n">
        <f aca="false">IF(W984=0,0,X984*AH984/W984)</f>
        <v>0</v>
      </c>
      <c r="AL984" s="9" t="n">
        <f aca="false">IF(W984=0,0,X984*AI984/W984)</f>
        <v>14754586.8846128</v>
      </c>
      <c r="AM984" s="9" t="n">
        <f aca="false">X984-AK984-AL984</f>
        <v>0</v>
      </c>
    </row>
    <row r="985" customFormat="false" ht="15" hidden="false" customHeight="false" outlineLevel="0" collapsed="false">
      <c r="A985" s="6" t="n">
        <v>980</v>
      </c>
      <c r="B985" s="74" t="s">
        <v>1024</v>
      </c>
      <c r="C985" s="53" t="str">
        <f aca="false">INDEX(I_Items!$C$5:$C$133,MATCH($B985,I_Items!$A$5:$A$133,0))</f>
        <v>Trading</v>
      </c>
      <c r="D985" s="53" t="str">
        <f aca="false">INDEX(I_Items!$D$5:$D$133,MATCH($B985,I_Items!$A$5:$A$133,0))</f>
        <v>Karkas</v>
      </c>
      <c r="E985" s="53" t="str">
        <f aca="false">INDEX(I_Items!$F$5:$F$133,MATCH($B985,I_Items!$A$5:$A$133,0))</f>
        <v>Not stated in item master</v>
      </c>
      <c r="F985" s="53" t="str">
        <f aca="false">IF(INDEX(I_Items!$E$5:$E$133,MATCH($B985,I_Items!$A$5:$A$133,0))="","",INDEX(I_Items!$E$5:$E$133,MATCH($B985,I_Items!$A$5:$A$133,0)))</f>
        <v>Uk 0.9</v>
      </c>
      <c r="G985" s="76" t="n">
        <v>46244</v>
      </c>
      <c r="H985" s="23" t="n">
        <f aca="false">MONTH(G985)</f>
        <v>8</v>
      </c>
      <c r="I985" s="74" t="s">
        <v>2075</v>
      </c>
      <c r="J985" s="74" t="s">
        <v>2305</v>
      </c>
      <c r="K985" s="10" t="n">
        <v>0</v>
      </c>
      <c r="L985" s="8" t="n">
        <v>0</v>
      </c>
      <c r="M985" s="10" t="n">
        <v>465.2</v>
      </c>
      <c r="N985" s="8" t="n">
        <v>13738658.61</v>
      </c>
      <c r="O985" s="74" t="s">
        <v>2077</v>
      </c>
      <c r="P985" s="74"/>
      <c r="Q985" s="74"/>
      <c r="R985" s="14" t="n">
        <f aca="false">IF(I985="Unbilled",0,M985)</f>
        <v>465.2</v>
      </c>
      <c r="S985" s="9" t="n">
        <f aca="false">IF(R985=0,0,IF(O985="Booked",N985,R985*V984))</f>
        <v>13738658.5642952</v>
      </c>
      <c r="T985" s="14" t="n">
        <f aca="false">IF(I985="Opening",K985,T984+K985-R985)</f>
        <v>20157.45</v>
      </c>
      <c r="U985" s="9" t="n">
        <f aca="false">IF(I985="Opening",L985,U984+L985-S985)</f>
        <v>595305939.546115</v>
      </c>
      <c r="V985" s="9" t="n">
        <f aca="false">IF(T985&gt;0,U985/T985,IF(I985="Opening",0,V984))</f>
        <v>29532.8000092331</v>
      </c>
      <c r="W985" s="14" t="n">
        <f aca="false">M985</f>
        <v>465.2</v>
      </c>
      <c r="X985" s="9" t="n">
        <f aca="false">IF(W985=0,0,IF(O985="Booked",N985,W985*AA984))</f>
        <v>13738658.5642952</v>
      </c>
      <c r="Y985" s="14" t="n">
        <f aca="false">IF(I985="Opening",K985,Y984+K985-W985)</f>
        <v>20157.45</v>
      </c>
      <c r="Z985" s="9" t="n">
        <f aca="false">IF(I985="Opening",L985,Z984+L985-X985)</f>
        <v>595305939.546115</v>
      </c>
      <c r="AA985" s="9" t="n">
        <f aca="false">IF(Y985&gt;0,Z985/Y985,IF(I985="Opening",0,AA984))</f>
        <v>29532.8000092331</v>
      </c>
      <c r="AB985" s="9" t="n">
        <f aca="false">IF(AND(I985="DO",O985="MA"),S985-N985,0)</f>
        <v>-0.0457047857344151</v>
      </c>
      <c r="AC985" s="9" t="n">
        <f aca="false">IF(I985="DO",X985-S985,0)</f>
        <v>0</v>
      </c>
      <c r="AD985" s="23" t="n">
        <f aca="false">IF(B986&lt;&gt;B985,1,0)</f>
        <v>0</v>
      </c>
      <c r="AE985" s="14" t="n">
        <f aca="false">IF(I985="Opening",0,AE984+W985)</f>
        <v>29373.35</v>
      </c>
      <c r="AF985" s="14" t="n">
        <f aca="false">IF(I985="Opening",K985,AF984)</f>
        <v>8397.27</v>
      </c>
      <c r="AG985" s="14" t="n">
        <f aca="false">AG984</f>
        <v>31578.83</v>
      </c>
      <c r="AH985" s="14" t="n">
        <f aca="false">IF(W985=0,0,MAX(0,MIN(AE985,AF985)-MIN(AE985-W985,AF985)))</f>
        <v>0</v>
      </c>
      <c r="AI985" s="14" t="n">
        <f aca="false">IF(W985=0,0,MAX(0,MIN(AE985,AF985+AG985)-MAX(AE985-W985,AF985)))</f>
        <v>465.200000000001</v>
      </c>
      <c r="AJ985" s="14" t="n">
        <f aca="false">W985-AH985-AI985</f>
        <v>0</v>
      </c>
      <c r="AK985" s="9" t="n">
        <f aca="false">IF(W985=0,0,X985*AH985/W985)</f>
        <v>0</v>
      </c>
      <c r="AL985" s="9" t="n">
        <f aca="false">IF(W985=0,0,X985*AI985/W985)</f>
        <v>13738658.5642952</v>
      </c>
      <c r="AM985" s="9" t="n">
        <f aca="false">X985-AK985-AL985</f>
        <v>0</v>
      </c>
    </row>
    <row r="986" customFormat="false" ht="15" hidden="false" customHeight="false" outlineLevel="0" collapsed="false">
      <c r="A986" s="6" t="n">
        <v>981</v>
      </c>
      <c r="B986" s="74" t="s">
        <v>1024</v>
      </c>
      <c r="C986" s="53" t="str">
        <f aca="false">INDEX(I_Items!$C$5:$C$133,MATCH($B986,I_Items!$A$5:$A$133,0))</f>
        <v>Trading</v>
      </c>
      <c r="D986" s="53" t="str">
        <f aca="false">INDEX(I_Items!$D$5:$D$133,MATCH($B986,I_Items!$A$5:$A$133,0))</f>
        <v>Karkas</v>
      </c>
      <c r="E986" s="53" t="str">
        <f aca="false">INDEX(I_Items!$F$5:$F$133,MATCH($B986,I_Items!$A$5:$A$133,0))</f>
        <v>Not stated in item master</v>
      </c>
      <c r="F986" s="53" t="str">
        <f aca="false">IF(INDEX(I_Items!$E$5:$E$133,MATCH($B986,I_Items!$A$5:$A$133,0))="","",INDEX(I_Items!$E$5:$E$133,MATCH($B986,I_Items!$A$5:$A$133,0)))</f>
        <v>Uk 0.9</v>
      </c>
      <c r="G986" s="76" t="n">
        <v>46244</v>
      </c>
      <c r="H986" s="23" t="n">
        <f aca="false">MONTH(G986)</f>
        <v>8</v>
      </c>
      <c r="I986" s="74" t="s">
        <v>2075</v>
      </c>
      <c r="J986" s="74" t="s">
        <v>2323</v>
      </c>
      <c r="K986" s="10" t="n">
        <v>0</v>
      </c>
      <c r="L986" s="8" t="n">
        <v>0</v>
      </c>
      <c r="M986" s="10" t="n">
        <v>912.2</v>
      </c>
      <c r="N986" s="8" t="n">
        <v>26939820.25</v>
      </c>
      <c r="O986" s="74" t="s">
        <v>2077</v>
      </c>
      <c r="P986" s="74"/>
      <c r="Q986" s="74"/>
      <c r="R986" s="14" t="n">
        <f aca="false">IF(I986="Unbilled",0,M986)</f>
        <v>912.2</v>
      </c>
      <c r="S986" s="9" t="n">
        <f aca="false">IF(R986=0,0,IF(O986="Booked",N986,R986*V985))</f>
        <v>26939820.1684224</v>
      </c>
      <c r="T986" s="14" t="n">
        <f aca="false">IF(I986="Opening",K986,T985+K986-R986)</f>
        <v>19245.25</v>
      </c>
      <c r="U986" s="9" t="n">
        <f aca="false">IF(I986="Opening",L986,U985+L986-S986)</f>
        <v>568366119.377693</v>
      </c>
      <c r="V986" s="9" t="n">
        <f aca="false">IF(T986&gt;0,U986/T986,IF(I986="Opening",0,V985))</f>
        <v>29532.8000092331</v>
      </c>
      <c r="W986" s="14" t="n">
        <f aca="false">M986</f>
        <v>912.2</v>
      </c>
      <c r="X986" s="9" t="n">
        <f aca="false">IF(W986=0,0,IF(O986="Booked",N986,W986*AA985))</f>
        <v>26939820.1684224</v>
      </c>
      <c r="Y986" s="14" t="n">
        <f aca="false">IF(I986="Opening",K986,Y985+K986-W986)</f>
        <v>19245.25</v>
      </c>
      <c r="Z986" s="9" t="n">
        <f aca="false">IF(I986="Opening",L986,Z985+L986-X986)</f>
        <v>568366119.377693</v>
      </c>
      <c r="AA986" s="9" t="n">
        <f aca="false">IF(Y986&gt;0,Z986/Y986,IF(I986="Opening",0,AA985))</f>
        <v>29532.8000092331</v>
      </c>
      <c r="AB986" s="9" t="n">
        <f aca="false">IF(AND(I986="DO",O986="MA"),S986-N986,0)</f>
        <v>-0.0815776102244854</v>
      </c>
      <c r="AC986" s="9" t="n">
        <f aca="false">IF(I986="DO",X986-S986,0)</f>
        <v>0</v>
      </c>
      <c r="AD986" s="23" t="n">
        <f aca="false">IF(B987&lt;&gt;B986,1,0)</f>
        <v>0</v>
      </c>
      <c r="AE986" s="14" t="n">
        <f aca="false">IF(I986="Opening",0,AE985+W986)</f>
        <v>30285.55</v>
      </c>
      <c r="AF986" s="14" t="n">
        <f aca="false">IF(I986="Opening",K986,AF985)</f>
        <v>8397.27</v>
      </c>
      <c r="AG986" s="14" t="n">
        <f aca="false">AG985</f>
        <v>31578.83</v>
      </c>
      <c r="AH986" s="14" t="n">
        <f aca="false">IF(W986=0,0,MAX(0,MIN(AE986,AF986)-MIN(AE986-W986,AF986)))</f>
        <v>0</v>
      </c>
      <c r="AI986" s="14" t="n">
        <f aca="false">IF(W986=0,0,MAX(0,MIN(AE986,AF986+AG986)-MAX(AE986-W986,AF986)))</f>
        <v>912.200000000001</v>
      </c>
      <c r="AJ986" s="14" t="n">
        <f aca="false">W986-AH986-AI986</f>
        <v>0</v>
      </c>
      <c r="AK986" s="9" t="n">
        <f aca="false">IF(W986=0,0,X986*AH986/W986)</f>
        <v>0</v>
      </c>
      <c r="AL986" s="9" t="n">
        <f aca="false">IF(W986=0,0,X986*AI986/W986)</f>
        <v>26939820.1684224</v>
      </c>
      <c r="AM986" s="9" t="n">
        <f aca="false">X986-AK986-AL986</f>
        <v>0</v>
      </c>
    </row>
    <row r="987" customFormat="false" ht="15" hidden="false" customHeight="false" outlineLevel="0" collapsed="false">
      <c r="A987" s="6" t="n">
        <v>982</v>
      </c>
      <c r="B987" s="74" t="s">
        <v>1024</v>
      </c>
      <c r="C987" s="53" t="str">
        <f aca="false">INDEX(I_Items!$C$5:$C$133,MATCH($B987,I_Items!$A$5:$A$133,0))</f>
        <v>Trading</v>
      </c>
      <c r="D987" s="53" t="str">
        <f aca="false">INDEX(I_Items!$D$5:$D$133,MATCH($B987,I_Items!$A$5:$A$133,0))</f>
        <v>Karkas</v>
      </c>
      <c r="E987" s="53" t="str">
        <f aca="false">INDEX(I_Items!$F$5:$F$133,MATCH($B987,I_Items!$A$5:$A$133,0))</f>
        <v>Not stated in item master</v>
      </c>
      <c r="F987" s="53" t="str">
        <f aca="false">IF(INDEX(I_Items!$E$5:$E$133,MATCH($B987,I_Items!$A$5:$A$133,0))="","",INDEX(I_Items!$E$5:$E$133,MATCH($B987,I_Items!$A$5:$A$133,0)))</f>
        <v>Uk 0.9</v>
      </c>
      <c r="G987" s="76" t="n">
        <v>46247</v>
      </c>
      <c r="H987" s="23" t="n">
        <f aca="false">MONTH(G987)</f>
        <v>8</v>
      </c>
      <c r="I987" s="74" t="s">
        <v>2075</v>
      </c>
      <c r="J987" s="74" t="s">
        <v>2324</v>
      </c>
      <c r="K987" s="10" t="n">
        <v>0</v>
      </c>
      <c r="L987" s="8" t="n">
        <v>0</v>
      </c>
      <c r="M987" s="10" t="n">
        <v>466.3</v>
      </c>
      <c r="N987" s="8" t="n">
        <v>13771144.69</v>
      </c>
      <c r="O987" s="74" t="s">
        <v>2077</v>
      </c>
      <c r="P987" s="74"/>
      <c r="Q987" s="74"/>
      <c r="R987" s="14" t="n">
        <f aca="false">IF(I987="Unbilled",0,M987)</f>
        <v>466.3</v>
      </c>
      <c r="S987" s="9" t="n">
        <f aca="false">IF(R987=0,0,IF(O987="Booked",N987,R987*V986))</f>
        <v>13771144.6443054</v>
      </c>
      <c r="T987" s="14" t="n">
        <f aca="false">IF(I987="Opening",K987,T986+K987-R987)</f>
        <v>18778.95</v>
      </c>
      <c r="U987" s="9" t="n">
        <f aca="false">IF(I987="Opening",L987,U986+L987-S987)</f>
        <v>554594974.733387</v>
      </c>
      <c r="V987" s="9" t="n">
        <f aca="false">IF(T987&gt;0,U987/T987,IF(I987="Opening",0,V986))</f>
        <v>29532.8000092331</v>
      </c>
      <c r="W987" s="14" t="n">
        <f aca="false">M987</f>
        <v>466.3</v>
      </c>
      <c r="X987" s="9" t="n">
        <f aca="false">IF(W987=0,0,IF(O987="Booked",N987,W987*AA986))</f>
        <v>13771144.6443054</v>
      </c>
      <c r="Y987" s="14" t="n">
        <f aca="false">IF(I987="Opening",K987,Y986+K987-W987)</f>
        <v>18778.95</v>
      </c>
      <c r="Z987" s="9" t="n">
        <f aca="false">IF(I987="Opening",L987,Z986+L987-X987)</f>
        <v>554594974.733387</v>
      </c>
      <c r="AA987" s="9" t="n">
        <f aca="false">IF(Y987&gt;0,Z987/Y987,IF(I987="Opening",0,AA986))</f>
        <v>29532.8000092331</v>
      </c>
      <c r="AB987" s="9" t="n">
        <f aca="false">IF(AND(I987="DO",O987="MA"),S987-N987,0)</f>
        <v>-0.045694625005126</v>
      </c>
      <c r="AC987" s="9" t="n">
        <f aca="false">IF(I987="DO",X987-S987,0)</f>
        <v>0</v>
      </c>
      <c r="AD987" s="23" t="n">
        <f aca="false">IF(B988&lt;&gt;B987,1,0)</f>
        <v>0</v>
      </c>
      <c r="AE987" s="14" t="n">
        <f aca="false">IF(I987="Opening",0,AE986+W987)</f>
        <v>30751.85</v>
      </c>
      <c r="AF987" s="14" t="n">
        <f aca="false">IF(I987="Opening",K987,AF986)</f>
        <v>8397.27</v>
      </c>
      <c r="AG987" s="14" t="n">
        <f aca="false">AG986</f>
        <v>31578.83</v>
      </c>
      <c r="AH987" s="14" t="n">
        <f aca="false">IF(W987=0,0,MAX(0,MIN(AE987,AF987)-MIN(AE987-W987,AF987)))</f>
        <v>0</v>
      </c>
      <c r="AI987" s="14" t="n">
        <f aca="false">IF(W987=0,0,MAX(0,MIN(AE987,AF987+AG987)-MAX(AE987-W987,AF987)))</f>
        <v>466.299999999999</v>
      </c>
      <c r="AJ987" s="14" t="n">
        <f aca="false">W987-AH987-AI987</f>
        <v>0</v>
      </c>
      <c r="AK987" s="9" t="n">
        <f aca="false">IF(W987=0,0,X987*AH987/W987)</f>
        <v>0</v>
      </c>
      <c r="AL987" s="9" t="n">
        <f aca="false">IF(W987=0,0,X987*AI987/W987)</f>
        <v>13771144.6443054</v>
      </c>
      <c r="AM987" s="9" t="n">
        <f aca="false">X987-AK987-AL987</f>
        <v>0</v>
      </c>
    </row>
    <row r="988" customFormat="false" ht="15" hidden="false" customHeight="false" outlineLevel="0" collapsed="false">
      <c r="A988" s="6" t="n">
        <v>983</v>
      </c>
      <c r="B988" s="74" t="s">
        <v>1024</v>
      </c>
      <c r="C988" s="53" t="str">
        <f aca="false">INDEX(I_Items!$C$5:$C$133,MATCH($B988,I_Items!$A$5:$A$133,0))</f>
        <v>Trading</v>
      </c>
      <c r="D988" s="53" t="str">
        <f aca="false">INDEX(I_Items!$D$5:$D$133,MATCH($B988,I_Items!$A$5:$A$133,0))</f>
        <v>Karkas</v>
      </c>
      <c r="E988" s="53" t="str">
        <f aca="false">INDEX(I_Items!$F$5:$F$133,MATCH($B988,I_Items!$A$5:$A$133,0))</f>
        <v>Not stated in item master</v>
      </c>
      <c r="F988" s="53" t="str">
        <f aca="false">IF(INDEX(I_Items!$E$5:$E$133,MATCH($B988,I_Items!$A$5:$A$133,0))="","",INDEX(I_Items!$E$5:$E$133,MATCH($B988,I_Items!$A$5:$A$133,0)))</f>
        <v>Uk 0.9</v>
      </c>
      <c r="G988" s="76" t="n">
        <v>46247</v>
      </c>
      <c r="H988" s="23" t="n">
        <f aca="false">MONTH(G988)</f>
        <v>8</v>
      </c>
      <c r="I988" s="74" t="s">
        <v>2075</v>
      </c>
      <c r="J988" s="74" t="s">
        <v>2324</v>
      </c>
      <c r="K988" s="10" t="n">
        <v>0</v>
      </c>
      <c r="L988" s="8" t="n">
        <v>0</v>
      </c>
      <c r="M988" s="10" t="n">
        <v>763.55</v>
      </c>
      <c r="N988" s="8" t="n">
        <v>22549769.52</v>
      </c>
      <c r="O988" s="74" t="s">
        <v>2077</v>
      </c>
      <c r="P988" s="74"/>
      <c r="Q988" s="74"/>
      <c r="R988" s="14" t="n">
        <f aca="false">IF(I988="Unbilled",0,M988)</f>
        <v>763.55</v>
      </c>
      <c r="S988" s="9" t="n">
        <f aca="false">IF(R988=0,0,IF(O988="Booked",N988,R988*V987))</f>
        <v>22549769.4470499</v>
      </c>
      <c r="T988" s="14" t="n">
        <f aca="false">IF(I988="Opening",K988,T987+K988-R988)</f>
        <v>18015.4</v>
      </c>
      <c r="U988" s="9" t="n">
        <f aca="false">IF(I988="Opening",L988,U987+L988-S988)</f>
        <v>532045205.286337</v>
      </c>
      <c r="V988" s="9" t="n">
        <f aca="false">IF(T988&gt;0,U988/T988,IF(I988="Opening",0,V987))</f>
        <v>29532.8000092331</v>
      </c>
      <c r="W988" s="14" t="n">
        <f aca="false">M988</f>
        <v>763.55</v>
      </c>
      <c r="X988" s="9" t="n">
        <f aca="false">IF(W988=0,0,IF(O988="Booked",N988,W988*AA987))</f>
        <v>22549769.4470499</v>
      </c>
      <c r="Y988" s="14" t="n">
        <f aca="false">IF(I988="Opening",K988,Y987+K988-W988)</f>
        <v>18015.4</v>
      </c>
      <c r="Z988" s="9" t="n">
        <f aca="false">IF(I988="Opening",L988,Z987+L988-X988)</f>
        <v>532045205.286337</v>
      </c>
      <c r="AA988" s="9" t="n">
        <f aca="false">IF(Y988&gt;0,Z988/Y988,IF(I988="Opening",0,AA987))</f>
        <v>29532.8000092331</v>
      </c>
      <c r="AB988" s="9" t="n">
        <f aca="false">IF(AND(I988="DO",O988="MA"),S988-N988,0)</f>
        <v>-0.0729501023888588</v>
      </c>
      <c r="AC988" s="9" t="n">
        <f aca="false">IF(I988="DO",X988-S988,0)</f>
        <v>0</v>
      </c>
      <c r="AD988" s="23" t="n">
        <f aca="false">IF(B989&lt;&gt;B988,1,0)</f>
        <v>0</v>
      </c>
      <c r="AE988" s="14" t="n">
        <f aca="false">IF(I988="Opening",0,AE987+W988)</f>
        <v>31515.4</v>
      </c>
      <c r="AF988" s="14" t="n">
        <f aca="false">IF(I988="Opening",K988,AF987)</f>
        <v>8397.27</v>
      </c>
      <c r="AG988" s="14" t="n">
        <f aca="false">AG987</f>
        <v>31578.83</v>
      </c>
      <c r="AH988" s="14" t="n">
        <f aca="false">IF(W988=0,0,MAX(0,MIN(AE988,AF988)-MIN(AE988-W988,AF988)))</f>
        <v>0</v>
      </c>
      <c r="AI988" s="14" t="n">
        <f aca="false">IF(W988=0,0,MAX(0,MIN(AE988,AF988+AG988)-MAX(AE988-W988,AF988)))</f>
        <v>763.549999999999</v>
      </c>
      <c r="AJ988" s="14" t="n">
        <f aca="false">W988-AH988-AI988</f>
        <v>0</v>
      </c>
      <c r="AK988" s="9" t="n">
        <f aca="false">IF(W988=0,0,X988*AH988/W988)</f>
        <v>0</v>
      </c>
      <c r="AL988" s="9" t="n">
        <f aca="false">IF(W988=0,0,X988*AI988/W988)</f>
        <v>22549769.4470499</v>
      </c>
      <c r="AM988" s="9" t="n">
        <f aca="false">X988-AK988-AL988</f>
        <v>0</v>
      </c>
    </row>
    <row r="989" customFormat="false" ht="15" hidden="false" customHeight="false" outlineLevel="0" collapsed="false">
      <c r="A989" s="6" t="n">
        <v>984</v>
      </c>
      <c r="B989" s="74" t="s">
        <v>1024</v>
      </c>
      <c r="C989" s="53" t="str">
        <f aca="false">INDEX(I_Items!$C$5:$C$133,MATCH($B989,I_Items!$A$5:$A$133,0))</f>
        <v>Trading</v>
      </c>
      <c r="D989" s="53" t="str">
        <f aca="false">INDEX(I_Items!$D$5:$D$133,MATCH($B989,I_Items!$A$5:$A$133,0))</f>
        <v>Karkas</v>
      </c>
      <c r="E989" s="53" t="str">
        <f aca="false">INDEX(I_Items!$F$5:$F$133,MATCH($B989,I_Items!$A$5:$A$133,0))</f>
        <v>Not stated in item master</v>
      </c>
      <c r="F989" s="53" t="str">
        <f aca="false">IF(INDEX(I_Items!$E$5:$E$133,MATCH($B989,I_Items!$A$5:$A$133,0))="","",INDEX(I_Items!$E$5:$E$133,MATCH($B989,I_Items!$A$5:$A$133,0)))</f>
        <v>Uk 0.9</v>
      </c>
      <c r="G989" s="76" t="n">
        <v>46247</v>
      </c>
      <c r="H989" s="23" t="n">
        <f aca="false">MONTH(G989)</f>
        <v>8</v>
      </c>
      <c r="I989" s="74" t="s">
        <v>2075</v>
      </c>
      <c r="J989" s="74" t="s">
        <v>2284</v>
      </c>
      <c r="K989" s="10" t="n">
        <v>0</v>
      </c>
      <c r="L989" s="8" t="n">
        <v>0</v>
      </c>
      <c r="M989" s="10" t="n">
        <v>100.2</v>
      </c>
      <c r="N989" s="8" t="n">
        <v>2959186.57</v>
      </c>
      <c r="O989" s="74" t="s">
        <v>2077</v>
      </c>
      <c r="P989" s="74"/>
      <c r="Q989" s="74"/>
      <c r="R989" s="14" t="n">
        <f aca="false">IF(I989="Unbilled",0,M989)</f>
        <v>100.2</v>
      </c>
      <c r="S989" s="9" t="n">
        <f aca="false">IF(R989=0,0,IF(O989="Booked",N989,R989*V988))</f>
        <v>2959186.56092515</v>
      </c>
      <c r="T989" s="14" t="n">
        <f aca="false">IF(I989="Opening",K989,T988+K989-R989)</f>
        <v>17915.2</v>
      </c>
      <c r="U989" s="9" t="n">
        <f aca="false">IF(I989="Opening",L989,U988+L989-S989)</f>
        <v>529086018.725412</v>
      </c>
      <c r="V989" s="9" t="n">
        <f aca="false">IF(T989&gt;0,U989/T989,IF(I989="Opening",0,V988))</f>
        <v>29532.8000092331</v>
      </c>
      <c r="W989" s="14" t="n">
        <f aca="false">M989</f>
        <v>100.2</v>
      </c>
      <c r="X989" s="9" t="n">
        <f aca="false">IF(W989=0,0,IF(O989="Booked",N989,W989*AA988))</f>
        <v>2959186.56092515</v>
      </c>
      <c r="Y989" s="14" t="n">
        <f aca="false">IF(I989="Opening",K989,Y988+K989-W989)</f>
        <v>17915.2</v>
      </c>
      <c r="Z989" s="9" t="n">
        <f aca="false">IF(I989="Opening",L989,Z988+L989-X989)</f>
        <v>529086018.725412</v>
      </c>
      <c r="AA989" s="9" t="n">
        <f aca="false">IF(Y989&gt;0,Z989/Y989,IF(I989="Opening",0,AA988))</f>
        <v>29532.8000092331</v>
      </c>
      <c r="AB989" s="9" t="n">
        <f aca="false">IF(AND(I989="DO",O989="MA"),S989-N989,0)</f>
        <v>-0.00907484767958522</v>
      </c>
      <c r="AC989" s="9" t="n">
        <f aca="false">IF(I989="DO",X989-S989,0)</f>
        <v>0</v>
      </c>
      <c r="AD989" s="23" t="n">
        <f aca="false">IF(B990&lt;&gt;B989,1,0)</f>
        <v>0</v>
      </c>
      <c r="AE989" s="14" t="n">
        <f aca="false">IF(I989="Opening",0,AE988+W989)</f>
        <v>31615.6</v>
      </c>
      <c r="AF989" s="14" t="n">
        <f aca="false">IF(I989="Opening",K989,AF988)</f>
        <v>8397.27</v>
      </c>
      <c r="AG989" s="14" t="n">
        <f aca="false">AG988</f>
        <v>31578.83</v>
      </c>
      <c r="AH989" s="14" t="n">
        <f aca="false">IF(W989=0,0,MAX(0,MIN(AE989,AF989)-MIN(AE989-W989,AF989)))</f>
        <v>0</v>
      </c>
      <c r="AI989" s="14" t="n">
        <f aca="false">IF(W989=0,0,MAX(0,MIN(AE989,AF989+AG989)-MAX(AE989-W989,AF989)))</f>
        <v>100.200000000001</v>
      </c>
      <c r="AJ989" s="14" t="n">
        <f aca="false">W989-AH989-AI989</f>
        <v>-7.24753590475302E-013</v>
      </c>
      <c r="AK989" s="9" t="n">
        <f aca="false">IF(W989=0,0,X989*AH989/W989)</f>
        <v>0</v>
      </c>
      <c r="AL989" s="9" t="n">
        <f aca="false">IF(W989=0,0,X989*AI989/W989)</f>
        <v>2959186.56092517</v>
      </c>
      <c r="AM989" s="9" t="n">
        <f aca="false">X989-AK989-AL989</f>
        <v>-2.18860805034637E-008</v>
      </c>
    </row>
    <row r="990" customFormat="false" ht="15" hidden="false" customHeight="false" outlineLevel="0" collapsed="false">
      <c r="A990" s="6" t="n">
        <v>985</v>
      </c>
      <c r="B990" s="74" t="s">
        <v>1024</v>
      </c>
      <c r="C990" s="53" t="str">
        <f aca="false">INDEX(I_Items!$C$5:$C$133,MATCH($B990,I_Items!$A$5:$A$133,0))</f>
        <v>Trading</v>
      </c>
      <c r="D990" s="53" t="str">
        <f aca="false">INDEX(I_Items!$D$5:$D$133,MATCH($B990,I_Items!$A$5:$A$133,0))</f>
        <v>Karkas</v>
      </c>
      <c r="E990" s="53" t="str">
        <f aca="false">INDEX(I_Items!$F$5:$F$133,MATCH($B990,I_Items!$A$5:$A$133,0))</f>
        <v>Not stated in item master</v>
      </c>
      <c r="F990" s="53" t="str">
        <f aca="false">IF(INDEX(I_Items!$E$5:$E$133,MATCH($B990,I_Items!$A$5:$A$133,0))="","",INDEX(I_Items!$E$5:$E$133,MATCH($B990,I_Items!$A$5:$A$133,0)))</f>
        <v>Uk 0.9</v>
      </c>
      <c r="G990" s="76" t="n">
        <v>46247</v>
      </c>
      <c r="H990" s="23" t="n">
        <f aca="false">MONTH(G990)</f>
        <v>8</v>
      </c>
      <c r="I990" s="74" t="s">
        <v>2075</v>
      </c>
      <c r="J990" s="74" t="s">
        <v>2171</v>
      </c>
      <c r="K990" s="10" t="n">
        <v>0</v>
      </c>
      <c r="L990" s="8" t="n">
        <v>0</v>
      </c>
      <c r="M990" s="10" t="n">
        <v>995</v>
      </c>
      <c r="N990" s="8" t="n">
        <v>29385136.1</v>
      </c>
      <c r="O990" s="74" t="s">
        <v>2077</v>
      </c>
      <c r="P990" s="74"/>
      <c r="Q990" s="74"/>
      <c r="R990" s="14" t="n">
        <f aca="false">IF(I990="Unbilled",0,M990)</f>
        <v>995</v>
      </c>
      <c r="S990" s="9" t="n">
        <f aca="false">IF(R990=0,0,IF(O990="Booked",N990,R990*V989))</f>
        <v>29385136.0091869</v>
      </c>
      <c r="T990" s="14" t="n">
        <f aca="false">IF(I990="Opening",K990,T989+K990-R990)</f>
        <v>16920.2</v>
      </c>
      <c r="U990" s="9" t="n">
        <f aca="false">IF(I990="Opening",L990,U989+L990-S990)</f>
        <v>499700882.716225</v>
      </c>
      <c r="V990" s="9" t="n">
        <f aca="false">IF(T990&gt;0,U990/T990,IF(I990="Opening",0,V989))</f>
        <v>29532.8000092331</v>
      </c>
      <c r="W990" s="14" t="n">
        <f aca="false">M990</f>
        <v>995</v>
      </c>
      <c r="X990" s="9" t="n">
        <f aca="false">IF(W990=0,0,IF(O990="Booked",N990,W990*AA989))</f>
        <v>29385136.0091869</v>
      </c>
      <c r="Y990" s="14" t="n">
        <f aca="false">IF(I990="Opening",K990,Y989+K990-W990)</f>
        <v>16920.2</v>
      </c>
      <c r="Z990" s="9" t="n">
        <f aca="false">IF(I990="Opening",L990,Z989+L990-X990)</f>
        <v>499700882.716225</v>
      </c>
      <c r="AA990" s="9" t="n">
        <f aca="false">IF(Y990&gt;0,Z990/Y990,IF(I990="Opening",0,AA989))</f>
        <v>29532.8000092331</v>
      </c>
      <c r="AB990" s="9" t="n">
        <f aca="false">IF(AND(I990="DO",O990="MA"),S990-N990,0)</f>
        <v>-0.0908131077885628</v>
      </c>
      <c r="AC990" s="9" t="n">
        <f aca="false">IF(I990="DO",X990-S990,0)</f>
        <v>0</v>
      </c>
      <c r="AD990" s="23" t="n">
        <f aca="false">IF(B991&lt;&gt;B990,1,0)</f>
        <v>0</v>
      </c>
      <c r="AE990" s="14" t="n">
        <f aca="false">IF(I990="Opening",0,AE989+W990)</f>
        <v>32610.6</v>
      </c>
      <c r="AF990" s="14" t="n">
        <f aca="false">IF(I990="Opening",K990,AF989)</f>
        <v>8397.27</v>
      </c>
      <c r="AG990" s="14" t="n">
        <f aca="false">AG989</f>
        <v>31578.83</v>
      </c>
      <c r="AH990" s="14" t="n">
        <f aca="false">IF(W990=0,0,MAX(0,MIN(AE990,AF990)-MIN(AE990-W990,AF990)))</f>
        <v>0</v>
      </c>
      <c r="AI990" s="14" t="n">
        <f aca="false">IF(W990=0,0,MAX(0,MIN(AE990,AF990+AG990)-MAX(AE990-W990,AF990)))</f>
        <v>995</v>
      </c>
      <c r="AJ990" s="14" t="n">
        <f aca="false">W990-AH990-AI990</f>
        <v>0</v>
      </c>
      <c r="AK990" s="9" t="n">
        <f aca="false">IF(W990=0,0,X990*AH990/W990)</f>
        <v>0</v>
      </c>
      <c r="AL990" s="9" t="n">
        <f aca="false">IF(W990=0,0,X990*AI990/W990)</f>
        <v>29385136.0091869</v>
      </c>
      <c r="AM990" s="9" t="n">
        <f aca="false">X990-AK990-AL990</f>
        <v>0</v>
      </c>
    </row>
    <row r="991" customFormat="false" ht="15" hidden="false" customHeight="false" outlineLevel="0" collapsed="false">
      <c r="A991" s="6" t="n">
        <v>986</v>
      </c>
      <c r="B991" s="74" t="s">
        <v>1024</v>
      </c>
      <c r="C991" s="53" t="str">
        <f aca="false">INDEX(I_Items!$C$5:$C$133,MATCH($B991,I_Items!$A$5:$A$133,0))</f>
        <v>Trading</v>
      </c>
      <c r="D991" s="53" t="str">
        <f aca="false">INDEX(I_Items!$D$5:$D$133,MATCH($B991,I_Items!$A$5:$A$133,0))</f>
        <v>Karkas</v>
      </c>
      <c r="E991" s="53" t="str">
        <f aca="false">INDEX(I_Items!$F$5:$F$133,MATCH($B991,I_Items!$A$5:$A$133,0))</f>
        <v>Not stated in item master</v>
      </c>
      <c r="F991" s="53" t="str">
        <f aca="false">IF(INDEX(I_Items!$E$5:$E$133,MATCH($B991,I_Items!$A$5:$A$133,0))="","",INDEX(I_Items!$E$5:$E$133,MATCH($B991,I_Items!$A$5:$A$133,0)))</f>
        <v>Uk 0.9</v>
      </c>
      <c r="G991" s="76" t="n">
        <v>46249</v>
      </c>
      <c r="H991" s="23" t="n">
        <f aca="false">MONTH(G991)</f>
        <v>8</v>
      </c>
      <c r="I991" s="74" t="s">
        <v>2074</v>
      </c>
      <c r="J991" s="74" t="s">
        <v>2300</v>
      </c>
      <c r="K991" s="10" t="n">
        <v>247.71</v>
      </c>
      <c r="L991" s="8" t="n">
        <v>7443797.84</v>
      </c>
      <c r="M991" s="10" t="n">
        <v>0</v>
      </c>
      <c r="N991" s="8" t="n">
        <v>0</v>
      </c>
      <c r="O991" s="74"/>
      <c r="P991" s="74"/>
      <c r="Q991" s="74"/>
      <c r="R991" s="14" t="n">
        <f aca="false">IF(I991="Unbilled",0,M991)</f>
        <v>0</v>
      </c>
      <c r="S991" s="9" t="n">
        <f aca="false">IF(R991=0,0,IF(O991="Booked",N991,R991*V990))</f>
        <v>0</v>
      </c>
      <c r="T991" s="14" t="n">
        <f aca="false">IF(I991="Opening",K991,T990+K991-R991)</f>
        <v>17167.91</v>
      </c>
      <c r="U991" s="9" t="n">
        <f aca="false">IF(I991="Opening",L991,U990+L991-S991)</f>
        <v>507144680.556225</v>
      </c>
      <c r="V991" s="9" t="n">
        <f aca="false">IF(T991&gt;0,U991/T991,IF(I991="Opening",0,V990))</f>
        <v>29540.2690575746</v>
      </c>
      <c r="W991" s="14" t="n">
        <f aca="false">M991</f>
        <v>0</v>
      </c>
      <c r="X991" s="9" t="n">
        <f aca="false">IF(W991=0,0,IF(O991="Booked",N991,W991*AA990))</f>
        <v>0</v>
      </c>
      <c r="Y991" s="14" t="n">
        <f aca="false">IF(I991="Opening",K991,Y990+K991-W991)</f>
        <v>17167.91</v>
      </c>
      <c r="Z991" s="9" t="n">
        <f aca="false">IF(I991="Opening",L991,Z990+L991-X991)</f>
        <v>507144680.556225</v>
      </c>
      <c r="AA991" s="9" t="n">
        <f aca="false">IF(Y991&gt;0,Z991/Y991,IF(I991="Opening",0,AA990))</f>
        <v>29540.2690575746</v>
      </c>
      <c r="AB991" s="9" t="n">
        <f aca="false">IF(AND(I991="DO",O991="MA"),S991-N991,0)</f>
        <v>0</v>
      </c>
      <c r="AC991" s="9" t="n">
        <f aca="false">IF(I991="DO",X991-S991,0)</f>
        <v>0</v>
      </c>
      <c r="AD991" s="23" t="n">
        <f aca="false">IF(B992&lt;&gt;B991,1,0)</f>
        <v>0</v>
      </c>
      <c r="AE991" s="14" t="n">
        <f aca="false">IF(I991="Opening",0,AE990+W991)</f>
        <v>32610.6</v>
      </c>
      <c r="AF991" s="14" t="n">
        <f aca="false">IF(I991="Opening",K991,AF990)</f>
        <v>8397.27</v>
      </c>
      <c r="AG991" s="14" t="n">
        <f aca="false">AG990</f>
        <v>31578.83</v>
      </c>
      <c r="AH991" s="14" t="n">
        <f aca="false">IF(W991=0,0,MAX(0,MIN(AE991,AF991)-MIN(AE991-W991,AF991)))</f>
        <v>0</v>
      </c>
      <c r="AI991" s="14" t="n">
        <f aca="false">IF(W991=0,0,MAX(0,MIN(AE991,AF991+AG991)-MAX(AE991-W991,AF991)))</f>
        <v>0</v>
      </c>
      <c r="AJ991" s="14" t="n">
        <f aca="false">W991-AH991-AI991</f>
        <v>0</v>
      </c>
      <c r="AK991" s="9" t="n">
        <f aca="false">IF(W991=0,0,X991*AH991/W991)</f>
        <v>0</v>
      </c>
      <c r="AL991" s="9" t="n">
        <f aca="false">IF(W991=0,0,X991*AI991/W991)</f>
        <v>0</v>
      </c>
      <c r="AM991" s="9" t="n">
        <f aca="false">X991-AK991-AL991</f>
        <v>0</v>
      </c>
    </row>
    <row r="992" customFormat="false" ht="15" hidden="false" customHeight="false" outlineLevel="0" collapsed="false">
      <c r="A992" s="6" t="n">
        <v>987</v>
      </c>
      <c r="B992" s="74" t="s">
        <v>1024</v>
      </c>
      <c r="C992" s="53" t="str">
        <f aca="false">INDEX(I_Items!$C$5:$C$133,MATCH($B992,I_Items!$A$5:$A$133,0))</f>
        <v>Trading</v>
      </c>
      <c r="D992" s="53" t="str">
        <f aca="false">INDEX(I_Items!$D$5:$D$133,MATCH($B992,I_Items!$A$5:$A$133,0))</f>
        <v>Karkas</v>
      </c>
      <c r="E992" s="53" t="str">
        <f aca="false">INDEX(I_Items!$F$5:$F$133,MATCH($B992,I_Items!$A$5:$A$133,0))</f>
        <v>Not stated in item master</v>
      </c>
      <c r="F992" s="53" t="str">
        <f aca="false">IF(INDEX(I_Items!$E$5:$E$133,MATCH($B992,I_Items!$A$5:$A$133,0))="","",INDEX(I_Items!$E$5:$E$133,MATCH($B992,I_Items!$A$5:$A$133,0)))</f>
        <v>Uk 0.9</v>
      </c>
      <c r="G992" s="76" t="n">
        <v>46254</v>
      </c>
      <c r="H992" s="23" t="n">
        <f aca="false">MONTH(G992)</f>
        <v>8</v>
      </c>
      <c r="I992" s="74" t="s">
        <v>2075</v>
      </c>
      <c r="J992" s="74" t="s">
        <v>2325</v>
      </c>
      <c r="K992" s="10" t="n">
        <v>0</v>
      </c>
      <c r="L992" s="8" t="n">
        <v>0</v>
      </c>
      <c r="M992" s="10" t="n">
        <v>1060.6</v>
      </c>
      <c r="N992" s="8" t="n">
        <v>31330409.41</v>
      </c>
      <c r="O992" s="74" t="s">
        <v>2077</v>
      </c>
      <c r="P992" s="74"/>
      <c r="Q992" s="74"/>
      <c r="R992" s="14" t="n">
        <f aca="false">IF(I992="Unbilled",0,M992)</f>
        <v>1060.6</v>
      </c>
      <c r="S992" s="9" t="n">
        <f aca="false">IF(R992=0,0,IF(O992="Booked",N992,R992*V991))</f>
        <v>31330409.3624636</v>
      </c>
      <c r="T992" s="14" t="n">
        <f aca="false">IF(I992="Opening",K992,T991+K992-R992)</f>
        <v>16107.31</v>
      </c>
      <c r="U992" s="9" t="n">
        <f aca="false">IF(I992="Opening",L992,U991+L992-S992)</f>
        <v>475814271.193762</v>
      </c>
      <c r="V992" s="9" t="n">
        <f aca="false">IF(T992&gt;0,U992/T992,IF(I992="Opening",0,V991))</f>
        <v>29540.2690575746</v>
      </c>
      <c r="W992" s="14" t="n">
        <f aca="false">M992</f>
        <v>1060.6</v>
      </c>
      <c r="X992" s="9" t="n">
        <f aca="false">IF(W992=0,0,IF(O992="Booked",N992,W992*AA991))</f>
        <v>31330409.3624636</v>
      </c>
      <c r="Y992" s="14" t="n">
        <f aca="false">IF(I992="Opening",K992,Y991+K992-W992)</f>
        <v>16107.31</v>
      </c>
      <c r="Z992" s="9" t="n">
        <f aca="false">IF(I992="Opening",L992,Z991+L992-X992)</f>
        <v>475814271.193762</v>
      </c>
      <c r="AA992" s="9" t="n">
        <f aca="false">IF(Y992&gt;0,Z992/Y992,IF(I992="Opening",0,AA991))</f>
        <v>29540.2690575746</v>
      </c>
      <c r="AB992" s="9" t="n">
        <f aca="false">IF(AND(I992="DO",O992="MA"),S992-N992,0)</f>
        <v>-0.0475364066660404</v>
      </c>
      <c r="AC992" s="9" t="n">
        <f aca="false">IF(I992="DO",X992-S992,0)</f>
        <v>0</v>
      </c>
      <c r="AD992" s="23" t="n">
        <f aca="false">IF(B993&lt;&gt;B992,1,0)</f>
        <v>0</v>
      </c>
      <c r="AE992" s="14" t="n">
        <f aca="false">IF(I992="Opening",0,AE991+W992)</f>
        <v>33671.2</v>
      </c>
      <c r="AF992" s="14" t="n">
        <f aca="false">IF(I992="Opening",K992,AF991)</f>
        <v>8397.27</v>
      </c>
      <c r="AG992" s="14" t="n">
        <f aca="false">AG991</f>
        <v>31578.83</v>
      </c>
      <c r="AH992" s="14" t="n">
        <f aca="false">IF(W992=0,0,MAX(0,MIN(AE992,AF992)-MIN(AE992-W992,AF992)))</f>
        <v>0</v>
      </c>
      <c r="AI992" s="14" t="n">
        <f aca="false">IF(W992=0,0,MAX(0,MIN(AE992,AF992+AG992)-MAX(AE992-W992,AF992)))</f>
        <v>1060.6</v>
      </c>
      <c r="AJ992" s="14" t="n">
        <f aca="false">W992-AH992-AI992</f>
        <v>0</v>
      </c>
      <c r="AK992" s="9" t="n">
        <f aca="false">IF(W992=0,0,X992*AH992/W992)</f>
        <v>0</v>
      </c>
      <c r="AL992" s="9" t="n">
        <f aca="false">IF(W992=0,0,X992*AI992/W992)</f>
        <v>31330409.3624636</v>
      </c>
      <c r="AM992" s="9" t="n">
        <f aca="false">X992-AK992-AL992</f>
        <v>0</v>
      </c>
    </row>
    <row r="993" customFormat="false" ht="15" hidden="false" customHeight="false" outlineLevel="0" collapsed="false">
      <c r="A993" s="6" t="n">
        <v>988</v>
      </c>
      <c r="B993" s="74" t="s">
        <v>1024</v>
      </c>
      <c r="C993" s="53" t="str">
        <f aca="false">INDEX(I_Items!$C$5:$C$133,MATCH($B993,I_Items!$A$5:$A$133,0))</f>
        <v>Trading</v>
      </c>
      <c r="D993" s="53" t="str">
        <f aca="false">INDEX(I_Items!$D$5:$D$133,MATCH($B993,I_Items!$A$5:$A$133,0))</f>
        <v>Karkas</v>
      </c>
      <c r="E993" s="53" t="str">
        <f aca="false">INDEX(I_Items!$F$5:$F$133,MATCH($B993,I_Items!$A$5:$A$133,0))</f>
        <v>Not stated in item master</v>
      </c>
      <c r="F993" s="53" t="str">
        <f aca="false">IF(INDEX(I_Items!$E$5:$E$133,MATCH($B993,I_Items!$A$5:$A$133,0))="","",INDEX(I_Items!$E$5:$E$133,MATCH($B993,I_Items!$A$5:$A$133,0)))</f>
        <v>Uk 0.9</v>
      </c>
      <c r="G993" s="76" t="n">
        <v>46254</v>
      </c>
      <c r="H993" s="23" t="n">
        <f aca="false">MONTH(G993)</f>
        <v>8</v>
      </c>
      <c r="I993" s="74" t="s">
        <v>2075</v>
      </c>
      <c r="J993" s="74" t="s">
        <v>2326</v>
      </c>
      <c r="K993" s="10" t="n">
        <v>0</v>
      </c>
      <c r="L993" s="8" t="n">
        <v>0</v>
      </c>
      <c r="M993" s="10" t="n">
        <v>3626.8</v>
      </c>
      <c r="N993" s="8" t="n">
        <v>107136647.97</v>
      </c>
      <c r="O993" s="74" t="s">
        <v>2077</v>
      </c>
      <c r="P993" s="74"/>
      <c r="Q993" s="74"/>
      <c r="R993" s="14" t="n">
        <f aca="false">IF(I993="Unbilled",0,M993)</f>
        <v>3626.8</v>
      </c>
      <c r="S993" s="9" t="n">
        <f aca="false">IF(R993=0,0,IF(O993="Booked",N993,R993*V992))</f>
        <v>107136647.818011</v>
      </c>
      <c r="T993" s="14" t="n">
        <f aca="false">IF(I993="Opening",K993,T992+K993-R993)</f>
        <v>12480.51</v>
      </c>
      <c r="U993" s="9" t="n">
        <f aca="false">IF(I993="Opening",L993,U992+L993-S993)</f>
        <v>368677623.37575</v>
      </c>
      <c r="V993" s="9" t="n">
        <f aca="false">IF(T993&gt;0,U993/T993,IF(I993="Opening",0,V992))</f>
        <v>29540.2690575746</v>
      </c>
      <c r="W993" s="14" t="n">
        <f aca="false">M993</f>
        <v>3626.8</v>
      </c>
      <c r="X993" s="9" t="n">
        <f aca="false">IF(W993=0,0,IF(O993="Booked",N993,W993*AA992))</f>
        <v>107136647.818011</v>
      </c>
      <c r="Y993" s="14" t="n">
        <f aca="false">IF(I993="Opening",K993,Y992+K993-W993)</f>
        <v>12480.51</v>
      </c>
      <c r="Z993" s="9" t="n">
        <f aca="false">IF(I993="Opening",L993,Z992+L993-X993)</f>
        <v>368677623.37575</v>
      </c>
      <c r="AA993" s="9" t="n">
        <f aca="false">IF(Y993&gt;0,Z993/Y993,IF(I993="Opening",0,AA992))</f>
        <v>29540.2690575746</v>
      </c>
      <c r="AB993" s="9" t="n">
        <f aca="false">IF(AND(I993="DO",O993="MA"),S993-N993,0)</f>
        <v>-0.1519885212183</v>
      </c>
      <c r="AC993" s="9" t="n">
        <f aca="false">IF(I993="DO",X993-S993,0)</f>
        <v>0</v>
      </c>
      <c r="AD993" s="23" t="n">
        <f aca="false">IF(B994&lt;&gt;B993,1,0)</f>
        <v>0</v>
      </c>
      <c r="AE993" s="14" t="n">
        <f aca="false">IF(I993="Opening",0,AE992+W993)</f>
        <v>37298</v>
      </c>
      <c r="AF993" s="14" t="n">
        <f aca="false">IF(I993="Opening",K993,AF992)</f>
        <v>8397.27</v>
      </c>
      <c r="AG993" s="14" t="n">
        <f aca="false">AG992</f>
        <v>31578.83</v>
      </c>
      <c r="AH993" s="14" t="n">
        <f aca="false">IF(W993=0,0,MAX(0,MIN(AE993,AF993)-MIN(AE993-W993,AF993)))</f>
        <v>0</v>
      </c>
      <c r="AI993" s="14" t="n">
        <f aca="false">IF(W993=0,0,MAX(0,MIN(AE993,AF993+AG993)-MAX(AE993-W993,AF993)))</f>
        <v>3626.8</v>
      </c>
      <c r="AJ993" s="14" t="n">
        <f aca="false">W993-AH993-AI993</f>
        <v>0</v>
      </c>
      <c r="AK993" s="9" t="n">
        <f aca="false">IF(W993=0,0,X993*AH993/W993)</f>
        <v>0</v>
      </c>
      <c r="AL993" s="9" t="n">
        <f aca="false">IF(W993=0,0,X993*AI993/W993)</f>
        <v>107136647.818012</v>
      </c>
      <c r="AM993" s="9" t="n">
        <f aca="false">X993-AK993-AL993</f>
        <v>0</v>
      </c>
    </row>
    <row r="994" customFormat="false" ht="15" hidden="false" customHeight="false" outlineLevel="0" collapsed="false">
      <c r="A994" s="6" t="n">
        <v>989</v>
      </c>
      <c r="B994" s="74" t="s">
        <v>1024</v>
      </c>
      <c r="C994" s="53" t="str">
        <f aca="false">INDEX(I_Items!$C$5:$C$133,MATCH($B994,I_Items!$A$5:$A$133,0))</f>
        <v>Trading</v>
      </c>
      <c r="D994" s="53" t="str">
        <f aca="false">INDEX(I_Items!$D$5:$D$133,MATCH($B994,I_Items!$A$5:$A$133,0))</f>
        <v>Karkas</v>
      </c>
      <c r="E994" s="53" t="str">
        <f aca="false">INDEX(I_Items!$F$5:$F$133,MATCH($B994,I_Items!$A$5:$A$133,0))</f>
        <v>Not stated in item master</v>
      </c>
      <c r="F994" s="53" t="str">
        <f aca="false">IF(INDEX(I_Items!$E$5:$E$133,MATCH($B994,I_Items!$A$5:$A$133,0))="","",INDEX(I_Items!$E$5:$E$133,MATCH($B994,I_Items!$A$5:$A$133,0)))</f>
        <v>Uk 0.9</v>
      </c>
      <c r="G994" s="76" t="n">
        <v>46255</v>
      </c>
      <c r="H994" s="23" t="n">
        <f aca="false">MONTH(G994)</f>
        <v>8</v>
      </c>
      <c r="I994" s="74" t="s">
        <v>2075</v>
      </c>
      <c r="J994" s="74" t="s">
        <v>2185</v>
      </c>
      <c r="K994" s="10" t="n">
        <v>0</v>
      </c>
      <c r="L994" s="8" t="n">
        <v>0</v>
      </c>
      <c r="M994" s="10" t="n">
        <v>2111.55</v>
      </c>
      <c r="N994" s="8" t="n">
        <v>62375755.22</v>
      </c>
      <c r="O994" s="74" t="s">
        <v>2077</v>
      </c>
      <c r="P994" s="74"/>
      <c r="Q994" s="74"/>
      <c r="R994" s="14" t="n">
        <f aca="false">IF(I994="Unbilled",0,M994)</f>
        <v>2111.55</v>
      </c>
      <c r="S994" s="9" t="n">
        <f aca="false">IF(R994=0,0,IF(O994="Booked",N994,R994*V993))</f>
        <v>62375755.1285216</v>
      </c>
      <c r="T994" s="14" t="n">
        <f aca="false">IF(I994="Opening",K994,T993+K994-R994)</f>
        <v>10368.96</v>
      </c>
      <c r="U994" s="9" t="n">
        <f aca="false">IF(I994="Opening",L994,U993+L994-S994)</f>
        <v>306301868.247229</v>
      </c>
      <c r="V994" s="9" t="n">
        <f aca="false">IF(T994&gt;0,U994/T994,IF(I994="Opening",0,V993))</f>
        <v>29540.2690575746</v>
      </c>
      <c r="W994" s="14" t="n">
        <f aca="false">M994</f>
        <v>2111.55</v>
      </c>
      <c r="X994" s="9" t="n">
        <f aca="false">IF(W994=0,0,IF(O994="Booked",N994,W994*AA993))</f>
        <v>62375755.1285216</v>
      </c>
      <c r="Y994" s="14" t="n">
        <f aca="false">IF(I994="Opening",K994,Y993+K994-W994)</f>
        <v>10368.96</v>
      </c>
      <c r="Z994" s="9" t="n">
        <f aca="false">IF(I994="Opening",L994,Z993+L994-X994)</f>
        <v>306301868.247229</v>
      </c>
      <c r="AA994" s="9" t="n">
        <f aca="false">IF(Y994&gt;0,Z994/Y994,IF(I994="Opening",0,AA993))</f>
        <v>29540.2690575746</v>
      </c>
      <c r="AB994" s="9" t="n">
        <f aca="false">IF(AND(I994="DO",O994="MA"),S994-N994,0)</f>
        <v>-0.0914783924818039</v>
      </c>
      <c r="AC994" s="9" t="n">
        <f aca="false">IF(I994="DO",X994-S994,0)</f>
        <v>0</v>
      </c>
      <c r="AD994" s="23" t="n">
        <f aca="false">IF(B995&lt;&gt;B994,1,0)</f>
        <v>0</v>
      </c>
      <c r="AE994" s="14" t="n">
        <f aca="false">IF(I994="Opening",0,AE993+W994)</f>
        <v>39409.55</v>
      </c>
      <c r="AF994" s="14" t="n">
        <f aca="false">IF(I994="Opening",K994,AF993)</f>
        <v>8397.27</v>
      </c>
      <c r="AG994" s="14" t="n">
        <f aca="false">AG993</f>
        <v>31578.83</v>
      </c>
      <c r="AH994" s="14" t="n">
        <f aca="false">IF(W994=0,0,MAX(0,MIN(AE994,AF994)-MIN(AE994-W994,AF994)))</f>
        <v>0</v>
      </c>
      <c r="AI994" s="14" t="n">
        <f aca="false">IF(W994=0,0,MAX(0,MIN(AE994,AF994+AG994)-MAX(AE994-W994,AF994)))</f>
        <v>2111.55</v>
      </c>
      <c r="AJ994" s="14" t="n">
        <f aca="false">W994-AH994-AI994</f>
        <v>0</v>
      </c>
      <c r="AK994" s="9" t="n">
        <f aca="false">IF(W994=0,0,X994*AH994/W994)</f>
        <v>0</v>
      </c>
      <c r="AL994" s="9" t="n">
        <f aca="false">IF(W994=0,0,X994*AI994/W994)</f>
        <v>62375755.1285217</v>
      </c>
      <c r="AM994" s="9" t="n">
        <f aca="false">X994-AK994-AL994</f>
        <v>0</v>
      </c>
    </row>
    <row r="995" customFormat="false" ht="15" hidden="false" customHeight="false" outlineLevel="0" collapsed="false">
      <c r="A995" s="6" t="n">
        <v>990</v>
      </c>
      <c r="B995" s="74" t="s">
        <v>1024</v>
      </c>
      <c r="C995" s="53" t="str">
        <f aca="false">INDEX(I_Items!$C$5:$C$133,MATCH($B995,I_Items!$A$5:$A$133,0))</f>
        <v>Trading</v>
      </c>
      <c r="D995" s="53" t="str">
        <f aca="false">INDEX(I_Items!$D$5:$D$133,MATCH($B995,I_Items!$A$5:$A$133,0))</f>
        <v>Karkas</v>
      </c>
      <c r="E995" s="53" t="str">
        <f aca="false">INDEX(I_Items!$F$5:$F$133,MATCH($B995,I_Items!$A$5:$A$133,0))</f>
        <v>Not stated in item master</v>
      </c>
      <c r="F995" s="53" t="str">
        <f aca="false">IF(INDEX(I_Items!$E$5:$E$133,MATCH($B995,I_Items!$A$5:$A$133,0))="","",INDEX(I_Items!$E$5:$E$133,MATCH($B995,I_Items!$A$5:$A$133,0)))</f>
        <v>Uk 0.9</v>
      </c>
      <c r="G995" s="76" t="n">
        <v>46258</v>
      </c>
      <c r="H995" s="23" t="n">
        <f aca="false">MONTH(G995)</f>
        <v>8</v>
      </c>
      <c r="I995" s="74" t="s">
        <v>2075</v>
      </c>
      <c r="J995" s="74" t="s">
        <v>2186</v>
      </c>
      <c r="K995" s="10" t="n">
        <v>0</v>
      </c>
      <c r="L995" s="8" t="n">
        <v>0</v>
      </c>
      <c r="M995" s="10" t="n">
        <v>496.2</v>
      </c>
      <c r="N995" s="8" t="n">
        <v>14657881.53</v>
      </c>
      <c r="O995" s="74" t="s">
        <v>2077</v>
      </c>
      <c r="P995" s="74"/>
      <c r="Q995" s="74"/>
      <c r="R995" s="14" t="n">
        <f aca="false">IF(I995="Unbilled",0,M995)</f>
        <v>496.2</v>
      </c>
      <c r="S995" s="9" t="n">
        <f aca="false">IF(R995=0,0,IF(O995="Booked",N995,R995*V994))</f>
        <v>14657881.5063685</v>
      </c>
      <c r="T995" s="14" t="n">
        <f aca="false">IF(I995="Opening",K995,T994+K995-R995)</f>
        <v>9872.76</v>
      </c>
      <c r="U995" s="9" t="n">
        <f aca="false">IF(I995="Opening",L995,U994+L995-S995)</f>
        <v>291643986.74086</v>
      </c>
      <c r="V995" s="9" t="n">
        <f aca="false">IF(T995&gt;0,U995/T995,IF(I995="Opening",0,V994))</f>
        <v>29540.2690575746</v>
      </c>
      <c r="W995" s="14" t="n">
        <f aca="false">M995</f>
        <v>496.2</v>
      </c>
      <c r="X995" s="9" t="n">
        <f aca="false">IF(W995=0,0,IF(O995="Booked",N995,W995*AA994))</f>
        <v>14657881.5063685</v>
      </c>
      <c r="Y995" s="14" t="n">
        <f aca="false">IF(I995="Opening",K995,Y994+K995-W995)</f>
        <v>9872.76</v>
      </c>
      <c r="Z995" s="9" t="n">
        <f aca="false">IF(I995="Opening",L995,Z994+L995-X995)</f>
        <v>291643986.74086</v>
      </c>
      <c r="AA995" s="9" t="n">
        <f aca="false">IF(Y995&gt;0,Z995/Y995,IF(I995="Opening",0,AA994))</f>
        <v>29540.2690575746</v>
      </c>
      <c r="AB995" s="9" t="n">
        <f aca="false">IF(AND(I995="DO",O995="MA"),S995-N995,0)</f>
        <v>-0.0236314944922924</v>
      </c>
      <c r="AC995" s="9" t="n">
        <f aca="false">IF(I995="DO",X995-S995,0)</f>
        <v>0</v>
      </c>
      <c r="AD995" s="23" t="n">
        <f aca="false">IF(B996&lt;&gt;B995,1,0)</f>
        <v>0</v>
      </c>
      <c r="AE995" s="14" t="n">
        <f aca="false">IF(I995="Opening",0,AE994+W995)</f>
        <v>39905.75</v>
      </c>
      <c r="AF995" s="14" t="n">
        <f aca="false">IF(I995="Opening",K995,AF994)</f>
        <v>8397.27</v>
      </c>
      <c r="AG995" s="14" t="n">
        <f aca="false">AG994</f>
        <v>31578.83</v>
      </c>
      <c r="AH995" s="14" t="n">
        <f aca="false">IF(W995=0,0,MAX(0,MIN(AE995,AF995)-MIN(AE995-W995,AF995)))</f>
        <v>0</v>
      </c>
      <c r="AI995" s="14" t="n">
        <f aca="false">IF(W995=0,0,MAX(0,MIN(AE995,AF995+AG995)-MAX(AE995-W995,AF995)))</f>
        <v>496.199999999997</v>
      </c>
      <c r="AJ995" s="14" t="n">
        <f aca="false">W995-AH995-AI995</f>
        <v>2.89901436190121E-012</v>
      </c>
      <c r="AK995" s="9" t="n">
        <f aca="false">IF(W995=0,0,X995*AH995/W995)</f>
        <v>0</v>
      </c>
      <c r="AL995" s="9" t="n">
        <f aca="false">IF(W995=0,0,X995*AI995/W995)</f>
        <v>14657881.5063684</v>
      </c>
      <c r="AM995" s="9" t="n">
        <f aca="false">X995-AK995-AL995</f>
        <v>8.5681676864624E-008</v>
      </c>
    </row>
    <row r="996" customFormat="false" ht="15" hidden="false" customHeight="false" outlineLevel="0" collapsed="false">
      <c r="A996" s="6" t="n">
        <v>991</v>
      </c>
      <c r="B996" s="74" t="s">
        <v>1024</v>
      </c>
      <c r="C996" s="53" t="str">
        <f aca="false">INDEX(I_Items!$C$5:$C$133,MATCH($B996,I_Items!$A$5:$A$133,0))</f>
        <v>Trading</v>
      </c>
      <c r="D996" s="53" t="str">
        <f aca="false">INDEX(I_Items!$D$5:$D$133,MATCH($B996,I_Items!$A$5:$A$133,0))</f>
        <v>Karkas</v>
      </c>
      <c r="E996" s="53" t="str">
        <f aca="false">INDEX(I_Items!$F$5:$F$133,MATCH($B996,I_Items!$A$5:$A$133,0))</f>
        <v>Not stated in item master</v>
      </c>
      <c r="F996" s="53" t="str">
        <f aca="false">IF(INDEX(I_Items!$E$5:$E$133,MATCH($B996,I_Items!$A$5:$A$133,0))="","",INDEX(I_Items!$E$5:$E$133,MATCH($B996,I_Items!$A$5:$A$133,0)))</f>
        <v>Uk 0.9</v>
      </c>
      <c r="G996" s="76" t="n">
        <v>46261</v>
      </c>
      <c r="H996" s="23" t="n">
        <f aca="false">MONTH(G996)</f>
        <v>8</v>
      </c>
      <c r="I996" s="74" t="s">
        <v>2075</v>
      </c>
      <c r="J996" s="74" t="s">
        <v>2174</v>
      </c>
      <c r="K996" s="10" t="n">
        <v>0</v>
      </c>
      <c r="L996" s="8" t="n">
        <v>0</v>
      </c>
      <c r="M996" s="10" t="n">
        <v>507.47</v>
      </c>
      <c r="N996" s="8" t="n">
        <v>14990800.36</v>
      </c>
      <c r="O996" s="74" t="s">
        <v>2077</v>
      </c>
      <c r="P996" s="74"/>
      <c r="Q996" s="74"/>
      <c r="R996" s="14" t="n">
        <f aca="false">IF(I996="Unbilled",0,M996)</f>
        <v>507.47</v>
      </c>
      <c r="S996" s="9" t="n">
        <f aca="false">IF(R996=0,0,IF(O996="Booked",N996,R996*V995))</f>
        <v>14990800.3386474</v>
      </c>
      <c r="T996" s="14" t="n">
        <f aca="false">IF(I996="Opening",K996,T995+K996-R996)</f>
        <v>9365.29</v>
      </c>
      <c r="U996" s="9" t="n">
        <f aca="false">IF(I996="Opening",L996,U995+L996-S996)</f>
        <v>276653186.402213</v>
      </c>
      <c r="V996" s="9" t="n">
        <f aca="false">IF(T996&gt;0,U996/T996,IF(I996="Opening",0,V995))</f>
        <v>29540.2690575746</v>
      </c>
      <c r="W996" s="14" t="n">
        <f aca="false">M996</f>
        <v>507.47</v>
      </c>
      <c r="X996" s="9" t="n">
        <f aca="false">IF(W996=0,0,IF(O996="Booked",N996,W996*AA995))</f>
        <v>14990800.3386474</v>
      </c>
      <c r="Y996" s="14" t="n">
        <f aca="false">IF(I996="Opening",K996,Y995+K996-W996)</f>
        <v>9365.29</v>
      </c>
      <c r="Z996" s="9" t="n">
        <f aca="false">IF(I996="Opening",L996,Z995+L996-X996)</f>
        <v>276653186.402213</v>
      </c>
      <c r="AA996" s="9" t="n">
        <f aca="false">IF(Y996&gt;0,Z996/Y996,IF(I996="Opening",0,AA995))</f>
        <v>29540.2690575746</v>
      </c>
      <c r="AB996" s="9" t="n">
        <f aca="false">IF(AND(I996="DO",O996="MA"),S996-N996,0)</f>
        <v>-0.0213526282459497</v>
      </c>
      <c r="AC996" s="9" t="n">
        <f aca="false">IF(I996="DO",X996-S996,0)</f>
        <v>0</v>
      </c>
      <c r="AD996" s="23" t="n">
        <f aca="false">IF(B997&lt;&gt;B996,1,0)</f>
        <v>0</v>
      </c>
      <c r="AE996" s="14" t="n">
        <f aca="false">IF(I996="Opening",0,AE995+W996)</f>
        <v>40413.22</v>
      </c>
      <c r="AF996" s="14" t="n">
        <f aca="false">IF(I996="Opening",K996,AF995)</f>
        <v>8397.27</v>
      </c>
      <c r="AG996" s="14" t="n">
        <f aca="false">AG995</f>
        <v>31578.83</v>
      </c>
      <c r="AH996" s="14" t="n">
        <f aca="false">IF(W996=0,0,MAX(0,MIN(AE996,AF996)-MIN(AE996-W996,AF996)))</f>
        <v>0</v>
      </c>
      <c r="AI996" s="14" t="n">
        <f aca="false">IF(W996=0,0,MAX(0,MIN(AE996,AF996+AG996)-MAX(AE996-W996,AF996)))</f>
        <v>70.3500000000058</v>
      </c>
      <c r="AJ996" s="14" t="n">
        <f aca="false">W996-AH996-AI996</f>
        <v>437.119999999994</v>
      </c>
      <c r="AK996" s="9" t="n">
        <f aca="false">IF(W996=0,0,X996*AH996/W996)</f>
        <v>0</v>
      </c>
      <c r="AL996" s="9" t="n">
        <f aca="false">IF(W996=0,0,X996*AI996/W996)</f>
        <v>2078157.92820054</v>
      </c>
      <c r="AM996" s="9" t="n">
        <f aca="false">X996-AK996-AL996</f>
        <v>12912642.4104468</v>
      </c>
    </row>
    <row r="997" customFormat="false" ht="15" hidden="false" customHeight="false" outlineLevel="0" collapsed="false">
      <c r="A997" s="6" t="n">
        <v>992</v>
      </c>
      <c r="B997" s="74" t="s">
        <v>1024</v>
      </c>
      <c r="C997" s="53" t="str">
        <f aca="false">INDEX(I_Items!$C$5:$C$133,MATCH($B997,I_Items!$A$5:$A$133,0))</f>
        <v>Trading</v>
      </c>
      <c r="D997" s="53" t="str">
        <f aca="false">INDEX(I_Items!$D$5:$D$133,MATCH($B997,I_Items!$A$5:$A$133,0))</f>
        <v>Karkas</v>
      </c>
      <c r="E997" s="53" t="str">
        <f aca="false">INDEX(I_Items!$F$5:$F$133,MATCH($B997,I_Items!$A$5:$A$133,0))</f>
        <v>Not stated in item master</v>
      </c>
      <c r="F997" s="53" t="str">
        <f aca="false">IF(INDEX(I_Items!$E$5:$E$133,MATCH($B997,I_Items!$A$5:$A$133,0))="","",INDEX(I_Items!$E$5:$E$133,MATCH($B997,I_Items!$A$5:$A$133,0)))</f>
        <v>Uk 0.9</v>
      </c>
      <c r="G997" s="76" t="n">
        <v>46261</v>
      </c>
      <c r="H997" s="23" t="n">
        <f aca="false">MONTH(G997)</f>
        <v>8</v>
      </c>
      <c r="I997" s="74" t="s">
        <v>2075</v>
      </c>
      <c r="J997" s="74" t="s">
        <v>2174</v>
      </c>
      <c r="K997" s="10" t="n">
        <v>0</v>
      </c>
      <c r="L997" s="8" t="n">
        <v>0</v>
      </c>
      <c r="M997" s="10" t="n">
        <v>247.71</v>
      </c>
      <c r="N997" s="8" t="n">
        <v>7317420.06</v>
      </c>
      <c r="O997" s="74" t="s">
        <v>2077</v>
      </c>
      <c r="P997" s="74"/>
      <c r="Q997" s="74"/>
      <c r="R997" s="14" t="n">
        <f aca="false">IF(I997="Unbilled",0,M997)</f>
        <v>247.71</v>
      </c>
      <c r="S997" s="9" t="n">
        <f aca="false">IF(R997=0,0,IF(O997="Booked",N997,R997*V996))</f>
        <v>7317420.0482518</v>
      </c>
      <c r="T997" s="14" t="n">
        <f aca="false">IF(I997="Opening",K997,T996+K997-R997)</f>
        <v>9117.58</v>
      </c>
      <c r="U997" s="9" t="n">
        <f aca="false">IF(I997="Opening",L997,U996+L997-S997)</f>
        <v>269335766.353961</v>
      </c>
      <c r="V997" s="9" t="n">
        <f aca="false">IF(T997&gt;0,U997/T997,IF(I997="Opening",0,V996))</f>
        <v>29540.2690575746</v>
      </c>
      <c r="W997" s="14" t="n">
        <f aca="false">M997</f>
        <v>247.71</v>
      </c>
      <c r="X997" s="9" t="n">
        <f aca="false">IF(W997=0,0,IF(O997="Booked",N997,W997*AA996))</f>
        <v>7317420.0482518</v>
      </c>
      <c r="Y997" s="14" t="n">
        <f aca="false">IF(I997="Opening",K997,Y996+K997-W997)</f>
        <v>9117.58</v>
      </c>
      <c r="Z997" s="9" t="n">
        <f aca="false">IF(I997="Opening",L997,Z996+L997-X997)</f>
        <v>269335766.353961</v>
      </c>
      <c r="AA997" s="9" t="n">
        <f aca="false">IF(Y997&gt;0,Z997/Y997,IF(I997="Opening",0,AA996))</f>
        <v>29540.2690575746</v>
      </c>
      <c r="AB997" s="9" t="n">
        <f aca="false">IF(AND(I997="DO",O997="MA"),S997-N997,0)</f>
        <v>-0.0117482012137771</v>
      </c>
      <c r="AC997" s="9" t="n">
        <f aca="false">IF(I997="DO",X997-S997,0)</f>
        <v>0</v>
      </c>
      <c r="AD997" s="23" t="n">
        <f aca="false">IF(B998&lt;&gt;B997,1,0)</f>
        <v>0</v>
      </c>
      <c r="AE997" s="14" t="n">
        <f aca="false">IF(I997="Opening",0,AE996+W997)</f>
        <v>40660.93</v>
      </c>
      <c r="AF997" s="14" t="n">
        <f aca="false">IF(I997="Opening",K997,AF996)</f>
        <v>8397.27</v>
      </c>
      <c r="AG997" s="14" t="n">
        <f aca="false">AG996</f>
        <v>31578.83</v>
      </c>
      <c r="AH997" s="14" t="n">
        <f aca="false">IF(W997=0,0,MAX(0,MIN(AE997,AF997)-MIN(AE997-W997,AF997)))</f>
        <v>0</v>
      </c>
      <c r="AI997" s="14" t="n">
        <f aca="false">IF(W997=0,0,MAX(0,MIN(AE997,AF997+AG997)-MAX(AE997-W997,AF997)))</f>
        <v>0</v>
      </c>
      <c r="AJ997" s="14" t="n">
        <f aca="false">W997-AH997-AI997</f>
        <v>247.71</v>
      </c>
      <c r="AK997" s="9" t="n">
        <f aca="false">IF(W997=0,0,X997*AH997/W997)</f>
        <v>0</v>
      </c>
      <c r="AL997" s="9" t="n">
        <f aca="false">IF(W997=0,0,X997*AI997/W997)</f>
        <v>0</v>
      </c>
      <c r="AM997" s="9" t="n">
        <f aca="false">X997-AK997-AL997</f>
        <v>7317420.0482518</v>
      </c>
    </row>
    <row r="998" customFormat="false" ht="15" hidden="false" customHeight="false" outlineLevel="0" collapsed="false">
      <c r="A998" s="6" t="n">
        <v>993</v>
      </c>
      <c r="B998" s="74" t="s">
        <v>1024</v>
      </c>
      <c r="C998" s="53" t="str">
        <f aca="false">INDEX(I_Items!$C$5:$C$133,MATCH($B998,I_Items!$A$5:$A$133,0))</f>
        <v>Trading</v>
      </c>
      <c r="D998" s="53" t="str">
        <f aca="false">INDEX(I_Items!$D$5:$D$133,MATCH($B998,I_Items!$A$5:$A$133,0))</f>
        <v>Karkas</v>
      </c>
      <c r="E998" s="53" t="str">
        <f aca="false">INDEX(I_Items!$F$5:$F$133,MATCH($B998,I_Items!$A$5:$A$133,0))</f>
        <v>Not stated in item master</v>
      </c>
      <c r="F998" s="53" t="str">
        <f aca="false">IF(INDEX(I_Items!$E$5:$E$133,MATCH($B998,I_Items!$A$5:$A$133,0))="","",INDEX(I_Items!$E$5:$E$133,MATCH($B998,I_Items!$A$5:$A$133,0)))</f>
        <v>Uk 0.9</v>
      </c>
      <c r="G998" s="76" t="n">
        <v>46261</v>
      </c>
      <c r="H998" s="23" t="n">
        <f aca="false">MONTH(G998)</f>
        <v>8</v>
      </c>
      <c r="I998" s="74" t="s">
        <v>2075</v>
      </c>
      <c r="J998" s="74" t="s">
        <v>2174</v>
      </c>
      <c r="K998" s="10" t="n">
        <v>0</v>
      </c>
      <c r="L998" s="8" t="n">
        <v>0</v>
      </c>
      <c r="M998" s="10" t="n">
        <v>544.4</v>
      </c>
      <c r="N998" s="8" t="n">
        <v>16081722.5</v>
      </c>
      <c r="O998" s="74" t="s">
        <v>2077</v>
      </c>
      <c r="P998" s="74"/>
      <c r="Q998" s="74"/>
      <c r="R998" s="14" t="n">
        <f aca="false">IF(I998="Unbilled",0,M998)</f>
        <v>544.4</v>
      </c>
      <c r="S998" s="9" t="n">
        <f aca="false">IF(R998=0,0,IF(O998="Booked",N998,R998*V997))</f>
        <v>16081722.4749436</v>
      </c>
      <c r="T998" s="14" t="n">
        <f aca="false">IF(I998="Opening",K998,T997+K998-R998)</f>
        <v>8573.18</v>
      </c>
      <c r="U998" s="9" t="n">
        <f aca="false">IF(I998="Opening",L998,U997+L998-S998)</f>
        <v>253254043.879017</v>
      </c>
      <c r="V998" s="9" t="n">
        <f aca="false">IF(T998&gt;0,U998/T998,IF(I998="Opening",0,V997))</f>
        <v>29540.2690575746</v>
      </c>
      <c r="W998" s="14" t="n">
        <f aca="false">M998</f>
        <v>544.4</v>
      </c>
      <c r="X998" s="9" t="n">
        <f aca="false">IF(W998=0,0,IF(O998="Booked",N998,W998*AA997))</f>
        <v>16081722.4749436</v>
      </c>
      <c r="Y998" s="14" t="n">
        <f aca="false">IF(I998="Opening",K998,Y997+K998-W998)</f>
        <v>8573.18</v>
      </c>
      <c r="Z998" s="9" t="n">
        <f aca="false">IF(I998="Opening",L998,Z997+L998-X998)</f>
        <v>253254043.879017</v>
      </c>
      <c r="AA998" s="9" t="n">
        <f aca="false">IF(Y998&gt;0,Z998/Y998,IF(I998="Opening",0,AA997))</f>
        <v>29540.2690575746</v>
      </c>
      <c r="AB998" s="9" t="n">
        <f aca="false">IF(AND(I998="DO",O998="MA"),S998-N998,0)</f>
        <v>-0.0250564031302929</v>
      </c>
      <c r="AC998" s="9" t="n">
        <f aca="false">IF(I998="DO",X998-S998,0)</f>
        <v>0</v>
      </c>
      <c r="AD998" s="23" t="n">
        <f aca="false">IF(B999&lt;&gt;B998,1,0)</f>
        <v>1</v>
      </c>
      <c r="AE998" s="14" t="n">
        <f aca="false">IF(I998="Opening",0,AE997+W998)</f>
        <v>41205.33</v>
      </c>
      <c r="AF998" s="14" t="n">
        <f aca="false">IF(I998="Opening",K998,AF997)</f>
        <v>8397.27</v>
      </c>
      <c r="AG998" s="14" t="n">
        <f aca="false">AG997</f>
        <v>31578.83</v>
      </c>
      <c r="AH998" s="14" t="n">
        <f aca="false">IF(W998=0,0,MAX(0,MIN(AE998,AF998)-MIN(AE998-W998,AF998)))</f>
        <v>0</v>
      </c>
      <c r="AI998" s="14" t="n">
        <f aca="false">IF(W998=0,0,MAX(0,MIN(AE998,AF998+AG998)-MAX(AE998-W998,AF998)))</f>
        <v>0</v>
      </c>
      <c r="AJ998" s="14" t="n">
        <f aca="false">W998-AH998-AI998</f>
        <v>544.4</v>
      </c>
      <c r="AK998" s="9" t="n">
        <f aca="false">IF(W998=0,0,X998*AH998/W998)</f>
        <v>0</v>
      </c>
      <c r="AL998" s="9" t="n">
        <f aca="false">IF(W998=0,0,X998*AI998/W998)</f>
        <v>0</v>
      </c>
      <c r="AM998" s="9" t="n">
        <f aca="false">X998-AK998-AL998</f>
        <v>16081722.4749436</v>
      </c>
    </row>
    <row r="999" customFormat="false" ht="15" hidden="false" customHeight="false" outlineLevel="0" collapsed="false">
      <c r="A999" s="6" t="n">
        <v>994</v>
      </c>
      <c r="B999" s="74" t="s">
        <v>1025</v>
      </c>
      <c r="C999" s="53" t="str">
        <f aca="false">INDEX(I_Items!$C$5:$C$133,MATCH($B999,I_Items!$A$5:$A$133,0))</f>
        <v>Trading</v>
      </c>
      <c r="D999" s="53" t="str">
        <f aca="false">INDEX(I_Items!$D$5:$D$133,MATCH($B999,I_Items!$A$5:$A$133,0))</f>
        <v>Karkas</v>
      </c>
      <c r="E999" s="53" t="str">
        <f aca="false">INDEX(I_Items!$F$5:$F$133,MATCH($B999,I_Items!$A$5:$A$133,0))</f>
        <v>Not stated in item master</v>
      </c>
      <c r="F999" s="53" t="str">
        <f aca="false">IF(INDEX(I_Items!$E$5:$E$133,MATCH($B999,I_Items!$A$5:$A$133,0))="","",INDEX(I_Items!$E$5:$E$133,MATCH($B999,I_Items!$A$5:$A$133,0)))</f>
        <v>Uk 1.0</v>
      </c>
      <c r="G999" s="76" t="n">
        <v>46204</v>
      </c>
      <c r="H999" s="23" t="n">
        <f aca="false">MONTH(G999)</f>
        <v>7</v>
      </c>
      <c r="I999" s="74" t="s">
        <v>2072</v>
      </c>
      <c r="J999" s="74" t="s">
        <v>2073</v>
      </c>
      <c r="K999" s="10" t="n">
        <v>4102.05</v>
      </c>
      <c r="L999" s="8" t="n">
        <v>94347150</v>
      </c>
      <c r="M999" s="10" t="n">
        <v>0</v>
      </c>
      <c r="N999" s="8" t="n">
        <v>0</v>
      </c>
      <c r="O999" s="74"/>
      <c r="P999" s="74"/>
      <c r="Q999" s="74"/>
      <c r="R999" s="14" t="n">
        <f aca="false">IF(I999="Unbilled",0,M999)</f>
        <v>0</v>
      </c>
      <c r="S999" s="9" t="n">
        <f aca="false">IF(R999=0,0,IF(O999="Booked",N999,R999*V998))</f>
        <v>0</v>
      </c>
      <c r="T999" s="14" t="n">
        <f aca="false">IF(I999="Opening",K999,T998+K999-R999)</f>
        <v>4102.05</v>
      </c>
      <c r="U999" s="9" t="n">
        <f aca="false">IF(I999="Opening",L999,U998+L999-S999)</f>
        <v>94347150</v>
      </c>
      <c r="V999" s="9" t="n">
        <f aca="false">IF(T999&gt;0,U999/T999,IF(I999="Opening",0,V998))</f>
        <v>23000</v>
      </c>
      <c r="W999" s="14" t="n">
        <f aca="false">M999</f>
        <v>0</v>
      </c>
      <c r="X999" s="9" t="n">
        <f aca="false">IF(W999=0,0,IF(O999="Booked",N999,W999*AA998))</f>
        <v>0</v>
      </c>
      <c r="Y999" s="14" t="n">
        <f aca="false">IF(I999="Opening",K999,Y998+K999-W999)</f>
        <v>4102.05</v>
      </c>
      <c r="Z999" s="9" t="n">
        <f aca="false">IF(I999="Opening",L999,Z998+L999-X999)</f>
        <v>94347150</v>
      </c>
      <c r="AA999" s="9" t="n">
        <f aca="false">IF(Y999&gt;0,Z999/Y999,IF(I999="Opening",0,AA998))</f>
        <v>23000</v>
      </c>
      <c r="AB999" s="9" t="n">
        <f aca="false">IF(AND(I999="DO",O999="MA"),S999-N999,0)</f>
        <v>0</v>
      </c>
      <c r="AC999" s="9" t="n">
        <f aca="false">IF(I999="DO",X999-S999,0)</f>
        <v>0</v>
      </c>
      <c r="AD999" s="23" t="n">
        <f aca="false">IF(B1000&lt;&gt;B999,1,0)</f>
        <v>0</v>
      </c>
      <c r="AE999" s="14" t="n">
        <f aca="false">IF(I999="Opening",0,AE998+W999)</f>
        <v>0</v>
      </c>
      <c r="AF999" s="14" t="n">
        <f aca="false">IF(I999="Opening",K999,AF998)</f>
        <v>4102.05</v>
      </c>
      <c r="AG999" s="14" t="n">
        <f aca="false">SUMIFS($K$6:$K$1110,$B$6:$B$1110,B999,$H$6:$H$1110,7,$I$6:$I$1110,"&lt;&gt;Opening")</f>
        <v>0</v>
      </c>
      <c r="AH999" s="14" t="n">
        <f aca="false">IF(W999=0,0,MAX(0,MIN(AE999,AF999)-MIN(AE999-W999,AF999)))</f>
        <v>0</v>
      </c>
      <c r="AI999" s="14" t="n">
        <f aca="false">IF(W999=0,0,MAX(0,MIN(AE999,AF999+AG999)-MAX(AE999-W999,AF999)))</f>
        <v>0</v>
      </c>
      <c r="AJ999" s="14" t="n">
        <f aca="false">W999-AH999-AI999</f>
        <v>0</v>
      </c>
      <c r="AK999" s="9" t="n">
        <f aca="false">IF(W999=0,0,X999*AH999/W999)</f>
        <v>0</v>
      </c>
      <c r="AL999" s="9" t="n">
        <f aca="false">IF(W999=0,0,X999*AI999/W999)</f>
        <v>0</v>
      </c>
      <c r="AM999" s="9" t="n">
        <f aca="false">X999-AK999-AL999</f>
        <v>0</v>
      </c>
    </row>
    <row r="1000" customFormat="false" ht="15" hidden="false" customHeight="false" outlineLevel="0" collapsed="false">
      <c r="A1000" s="6" t="n">
        <v>995</v>
      </c>
      <c r="B1000" s="74" t="s">
        <v>1025</v>
      </c>
      <c r="C1000" s="53" t="str">
        <f aca="false">INDEX(I_Items!$C$5:$C$133,MATCH($B1000,I_Items!$A$5:$A$133,0))</f>
        <v>Trading</v>
      </c>
      <c r="D1000" s="53" t="str">
        <f aca="false">INDEX(I_Items!$D$5:$D$133,MATCH($B1000,I_Items!$A$5:$A$133,0))</f>
        <v>Karkas</v>
      </c>
      <c r="E1000" s="53" t="str">
        <f aca="false">INDEX(I_Items!$F$5:$F$133,MATCH($B1000,I_Items!$A$5:$A$133,0))</f>
        <v>Not stated in item master</v>
      </c>
      <c r="F1000" s="53" t="str">
        <f aca="false">IF(INDEX(I_Items!$E$5:$E$133,MATCH($B1000,I_Items!$A$5:$A$133,0))="","",INDEX(I_Items!$E$5:$E$133,MATCH($B1000,I_Items!$A$5:$A$133,0)))</f>
        <v>Uk 1.0</v>
      </c>
      <c r="G1000" s="76" t="n">
        <v>46207</v>
      </c>
      <c r="H1000" s="23" t="n">
        <f aca="false">MONTH(G1000)</f>
        <v>7</v>
      </c>
      <c r="I1000" s="74" t="s">
        <v>2075</v>
      </c>
      <c r="J1000" s="74" t="s">
        <v>2327</v>
      </c>
      <c r="K1000" s="10" t="n">
        <v>0</v>
      </c>
      <c r="L1000" s="8" t="n">
        <v>0</v>
      </c>
      <c r="M1000" s="10" t="n">
        <v>93.5</v>
      </c>
      <c r="N1000" s="8" t="n">
        <v>2150500</v>
      </c>
      <c r="O1000" s="74" t="s">
        <v>2077</v>
      </c>
      <c r="P1000" s="74"/>
      <c r="Q1000" s="74"/>
      <c r="R1000" s="14" t="n">
        <f aca="false">IF(I1000="Unbilled",0,M1000)</f>
        <v>93.5</v>
      </c>
      <c r="S1000" s="9" t="n">
        <f aca="false">IF(R1000=0,0,IF(O1000="Booked",N1000,R1000*V999))</f>
        <v>2150500</v>
      </c>
      <c r="T1000" s="14" t="n">
        <f aca="false">IF(I1000="Opening",K1000,T999+K1000-R1000)</f>
        <v>4008.55</v>
      </c>
      <c r="U1000" s="9" t="n">
        <f aca="false">IF(I1000="Opening",L1000,U999+L1000-S1000)</f>
        <v>92196650</v>
      </c>
      <c r="V1000" s="9" t="n">
        <f aca="false">IF(T1000&gt;0,U1000/T1000,IF(I1000="Opening",0,V999))</f>
        <v>23000</v>
      </c>
      <c r="W1000" s="14" t="n">
        <f aca="false">M1000</f>
        <v>93.5</v>
      </c>
      <c r="X1000" s="9" t="n">
        <f aca="false">IF(W1000=0,0,IF(O1000="Booked",N1000,W1000*AA999))</f>
        <v>2150500</v>
      </c>
      <c r="Y1000" s="14" t="n">
        <f aca="false">IF(I1000="Opening",K1000,Y999+K1000-W1000)</f>
        <v>4008.55</v>
      </c>
      <c r="Z1000" s="9" t="n">
        <f aca="false">IF(I1000="Opening",L1000,Z999+L1000-X1000)</f>
        <v>92196650</v>
      </c>
      <c r="AA1000" s="9" t="n">
        <f aca="false">IF(Y1000&gt;0,Z1000/Y1000,IF(I1000="Opening",0,AA999))</f>
        <v>23000</v>
      </c>
      <c r="AB1000" s="9" t="n">
        <f aca="false">IF(AND(I1000="DO",O1000="MA"),S1000-N1000,0)</f>
        <v>0</v>
      </c>
      <c r="AC1000" s="9" t="n">
        <f aca="false">IF(I1000="DO",X1000-S1000,0)</f>
        <v>0</v>
      </c>
      <c r="AD1000" s="23" t="n">
        <f aca="false">IF(B1001&lt;&gt;B1000,1,0)</f>
        <v>0</v>
      </c>
      <c r="AE1000" s="14" t="n">
        <f aca="false">IF(I1000="Opening",0,AE999+W1000)</f>
        <v>93.5</v>
      </c>
      <c r="AF1000" s="14" t="n">
        <f aca="false">IF(I1000="Opening",K1000,AF999)</f>
        <v>4102.05</v>
      </c>
      <c r="AG1000" s="14" t="n">
        <f aca="false">AG999</f>
        <v>0</v>
      </c>
      <c r="AH1000" s="14" t="n">
        <f aca="false">IF(W1000=0,0,MAX(0,MIN(AE1000,AF1000)-MIN(AE1000-W1000,AF1000)))</f>
        <v>93.5</v>
      </c>
      <c r="AI1000" s="14" t="n">
        <f aca="false">IF(W1000=0,0,MAX(0,MIN(AE1000,AF1000+AG1000)-MAX(AE1000-W1000,AF1000)))</f>
        <v>0</v>
      </c>
      <c r="AJ1000" s="14" t="n">
        <f aca="false">W1000-AH1000-AI1000</f>
        <v>0</v>
      </c>
      <c r="AK1000" s="9" t="n">
        <f aca="false">IF(W1000=0,0,X1000*AH1000/W1000)</f>
        <v>2150500</v>
      </c>
      <c r="AL1000" s="9" t="n">
        <f aca="false">IF(W1000=0,0,X1000*AI1000/W1000)</f>
        <v>0</v>
      </c>
      <c r="AM1000" s="9" t="n">
        <f aca="false">X1000-AK1000-AL1000</f>
        <v>0</v>
      </c>
    </row>
    <row r="1001" customFormat="false" ht="15" hidden="false" customHeight="false" outlineLevel="0" collapsed="false">
      <c r="A1001" s="6" t="n">
        <v>996</v>
      </c>
      <c r="B1001" s="74" t="s">
        <v>1025</v>
      </c>
      <c r="C1001" s="53" t="str">
        <f aca="false">INDEX(I_Items!$C$5:$C$133,MATCH($B1001,I_Items!$A$5:$A$133,0))</f>
        <v>Trading</v>
      </c>
      <c r="D1001" s="53" t="str">
        <f aca="false">INDEX(I_Items!$D$5:$D$133,MATCH($B1001,I_Items!$A$5:$A$133,0))</f>
        <v>Karkas</v>
      </c>
      <c r="E1001" s="53" t="str">
        <f aca="false">INDEX(I_Items!$F$5:$F$133,MATCH($B1001,I_Items!$A$5:$A$133,0))</f>
        <v>Not stated in item master</v>
      </c>
      <c r="F1001" s="53" t="str">
        <f aca="false">IF(INDEX(I_Items!$E$5:$E$133,MATCH($B1001,I_Items!$A$5:$A$133,0))="","",INDEX(I_Items!$E$5:$E$133,MATCH($B1001,I_Items!$A$5:$A$133,0)))</f>
        <v>Uk 1.0</v>
      </c>
      <c r="G1001" s="76" t="n">
        <v>46210</v>
      </c>
      <c r="H1001" s="23" t="n">
        <f aca="false">MONTH(G1001)</f>
        <v>7</v>
      </c>
      <c r="I1001" s="74" t="s">
        <v>2075</v>
      </c>
      <c r="J1001" s="74" t="s">
        <v>2328</v>
      </c>
      <c r="K1001" s="10" t="n">
        <v>0</v>
      </c>
      <c r="L1001" s="8" t="n">
        <v>0</v>
      </c>
      <c r="M1001" s="10" t="n">
        <v>94</v>
      </c>
      <c r="N1001" s="8" t="n">
        <v>2162000</v>
      </c>
      <c r="O1001" s="74" t="s">
        <v>2077</v>
      </c>
      <c r="P1001" s="74"/>
      <c r="Q1001" s="74"/>
      <c r="R1001" s="14" t="n">
        <f aca="false">IF(I1001="Unbilled",0,M1001)</f>
        <v>94</v>
      </c>
      <c r="S1001" s="9" t="n">
        <f aca="false">IF(R1001=0,0,IF(O1001="Booked",N1001,R1001*V1000))</f>
        <v>2162000</v>
      </c>
      <c r="T1001" s="14" t="n">
        <f aca="false">IF(I1001="Opening",K1001,T1000+K1001-R1001)</f>
        <v>3914.55</v>
      </c>
      <c r="U1001" s="9" t="n">
        <f aca="false">IF(I1001="Opening",L1001,U1000+L1001-S1001)</f>
        <v>90034650</v>
      </c>
      <c r="V1001" s="9" t="n">
        <f aca="false">IF(T1001&gt;0,U1001/T1001,IF(I1001="Opening",0,V1000))</f>
        <v>23000</v>
      </c>
      <c r="W1001" s="14" t="n">
        <f aca="false">M1001</f>
        <v>94</v>
      </c>
      <c r="X1001" s="9" t="n">
        <f aca="false">IF(W1001=0,0,IF(O1001="Booked",N1001,W1001*AA1000))</f>
        <v>2162000</v>
      </c>
      <c r="Y1001" s="14" t="n">
        <f aca="false">IF(I1001="Opening",K1001,Y1000+K1001-W1001)</f>
        <v>3914.55</v>
      </c>
      <c r="Z1001" s="9" t="n">
        <f aca="false">IF(I1001="Opening",L1001,Z1000+L1001-X1001)</f>
        <v>90034650</v>
      </c>
      <c r="AA1001" s="9" t="n">
        <f aca="false">IF(Y1001&gt;0,Z1001/Y1001,IF(I1001="Opening",0,AA1000))</f>
        <v>23000</v>
      </c>
      <c r="AB1001" s="9" t="n">
        <f aca="false">IF(AND(I1001="DO",O1001="MA"),S1001-N1001,0)</f>
        <v>0</v>
      </c>
      <c r="AC1001" s="9" t="n">
        <f aca="false">IF(I1001="DO",X1001-S1001,0)</f>
        <v>0</v>
      </c>
      <c r="AD1001" s="23" t="n">
        <f aca="false">IF(B1002&lt;&gt;B1001,1,0)</f>
        <v>0</v>
      </c>
      <c r="AE1001" s="14" t="n">
        <f aca="false">IF(I1001="Opening",0,AE1000+W1001)</f>
        <v>187.5</v>
      </c>
      <c r="AF1001" s="14" t="n">
        <f aca="false">IF(I1001="Opening",K1001,AF1000)</f>
        <v>4102.05</v>
      </c>
      <c r="AG1001" s="14" t="n">
        <f aca="false">AG1000</f>
        <v>0</v>
      </c>
      <c r="AH1001" s="14" t="n">
        <f aca="false">IF(W1001=0,0,MAX(0,MIN(AE1001,AF1001)-MIN(AE1001-W1001,AF1001)))</f>
        <v>94</v>
      </c>
      <c r="AI1001" s="14" t="n">
        <f aca="false">IF(W1001=0,0,MAX(0,MIN(AE1001,AF1001+AG1001)-MAX(AE1001-W1001,AF1001)))</f>
        <v>0</v>
      </c>
      <c r="AJ1001" s="14" t="n">
        <f aca="false">W1001-AH1001-AI1001</f>
        <v>0</v>
      </c>
      <c r="AK1001" s="9" t="n">
        <f aca="false">IF(W1001=0,0,X1001*AH1001/W1001)</f>
        <v>2162000</v>
      </c>
      <c r="AL1001" s="9" t="n">
        <f aca="false">IF(W1001=0,0,X1001*AI1001/W1001)</f>
        <v>0</v>
      </c>
      <c r="AM1001" s="9" t="n">
        <f aca="false">X1001-AK1001-AL1001</f>
        <v>0</v>
      </c>
    </row>
    <row r="1002" customFormat="false" ht="15" hidden="false" customHeight="false" outlineLevel="0" collapsed="false">
      <c r="A1002" s="6" t="n">
        <v>997</v>
      </c>
      <c r="B1002" s="74" t="s">
        <v>1025</v>
      </c>
      <c r="C1002" s="53" t="str">
        <f aca="false">INDEX(I_Items!$C$5:$C$133,MATCH($B1002,I_Items!$A$5:$A$133,0))</f>
        <v>Trading</v>
      </c>
      <c r="D1002" s="53" t="str">
        <f aca="false">INDEX(I_Items!$D$5:$D$133,MATCH($B1002,I_Items!$A$5:$A$133,0))</f>
        <v>Karkas</v>
      </c>
      <c r="E1002" s="53" t="str">
        <f aca="false">INDEX(I_Items!$F$5:$F$133,MATCH($B1002,I_Items!$A$5:$A$133,0))</f>
        <v>Not stated in item master</v>
      </c>
      <c r="F1002" s="53" t="str">
        <f aca="false">IF(INDEX(I_Items!$E$5:$E$133,MATCH($B1002,I_Items!$A$5:$A$133,0))="","",INDEX(I_Items!$E$5:$E$133,MATCH($B1002,I_Items!$A$5:$A$133,0)))</f>
        <v>Uk 1.0</v>
      </c>
      <c r="G1002" s="76" t="n">
        <v>46216</v>
      </c>
      <c r="H1002" s="23" t="n">
        <f aca="false">MONTH(G1002)</f>
        <v>7</v>
      </c>
      <c r="I1002" s="74" t="s">
        <v>2075</v>
      </c>
      <c r="J1002" s="74" t="s">
        <v>2329</v>
      </c>
      <c r="K1002" s="10" t="n">
        <v>0</v>
      </c>
      <c r="L1002" s="8" t="n">
        <v>0</v>
      </c>
      <c r="M1002" s="10" t="n">
        <v>189.5</v>
      </c>
      <c r="N1002" s="8" t="n">
        <v>4358500</v>
      </c>
      <c r="O1002" s="74" t="s">
        <v>2077</v>
      </c>
      <c r="P1002" s="74"/>
      <c r="Q1002" s="74"/>
      <c r="R1002" s="14" t="n">
        <f aca="false">IF(I1002="Unbilled",0,M1002)</f>
        <v>189.5</v>
      </c>
      <c r="S1002" s="9" t="n">
        <f aca="false">IF(R1002=0,0,IF(O1002="Booked",N1002,R1002*V1001))</f>
        <v>4358500</v>
      </c>
      <c r="T1002" s="14" t="n">
        <f aca="false">IF(I1002="Opening",K1002,T1001+K1002-R1002)</f>
        <v>3725.05</v>
      </c>
      <c r="U1002" s="9" t="n">
        <f aca="false">IF(I1002="Opening",L1002,U1001+L1002-S1002)</f>
        <v>85676150</v>
      </c>
      <c r="V1002" s="9" t="n">
        <f aca="false">IF(T1002&gt;0,U1002/T1002,IF(I1002="Opening",0,V1001))</f>
        <v>23000</v>
      </c>
      <c r="W1002" s="14" t="n">
        <f aca="false">M1002</f>
        <v>189.5</v>
      </c>
      <c r="X1002" s="9" t="n">
        <f aca="false">IF(W1002=0,0,IF(O1002="Booked",N1002,W1002*AA1001))</f>
        <v>4358500</v>
      </c>
      <c r="Y1002" s="14" t="n">
        <f aca="false">IF(I1002="Opening",K1002,Y1001+K1002-W1002)</f>
        <v>3725.05</v>
      </c>
      <c r="Z1002" s="9" t="n">
        <f aca="false">IF(I1002="Opening",L1002,Z1001+L1002-X1002)</f>
        <v>85676150</v>
      </c>
      <c r="AA1002" s="9" t="n">
        <f aca="false">IF(Y1002&gt;0,Z1002/Y1002,IF(I1002="Opening",0,AA1001))</f>
        <v>23000</v>
      </c>
      <c r="AB1002" s="9" t="n">
        <f aca="false">IF(AND(I1002="DO",O1002="MA"),S1002-N1002,0)</f>
        <v>0</v>
      </c>
      <c r="AC1002" s="9" t="n">
        <f aca="false">IF(I1002="DO",X1002-S1002,0)</f>
        <v>0</v>
      </c>
      <c r="AD1002" s="23" t="n">
        <f aca="false">IF(B1003&lt;&gt;B1002,1,0)</f>
        <v>0</v>
      </c>
      <c r="AE1002" s="14" t="n">
        <f aca="false">IF(I1002="Opening",0,AE1001+W1002)</f>
        <v>377</v>
      </c>
      <c r="AF1002" s="14" t="n">
        <f aca="false">IF(I1002="Opening",K1002,AF1001)</f>
        <v>4102.05</v>
      </c>
      <c r="AG1002" s="14" t="n">
        <f aca="false">AG1001</f>
        <v>0</v>
      </c>
      <c r="AH1002" s="14" t="n">
        <f aca="false">IF(W1002=0,0,MAX(0,MIN(AE1002,AF1002)-MIN(AE1002-W1002,AF1002)))</f>
        <v>189.5</v>
      </c>
      <c r="AI1002" s="14" t="n">
        <f aca="false">IF(W1002=0,0,MAX(0,MIN(AE1002,AF1002+AG1002)-MAX(AE1002-W1002,AF1002)))</f>
        <v>0</v>
      </c>
      <c r="AJ1002" s="14" t="n">
        <f aca="false">W1002-AH1002-AI1002</f>
        <v>0</v>
      </c>
      <c r="AK1002" s="9" t="n">
        <f aca="false">IF(W1002=0,0,X1002*AH1002/W1002)</f>
        <v>4358500</v>
      </c>
      <c r="AL1002" s="9" t="n">
        <f aca="false">IF(W1002=0,0,X1002*AI1002/W1002)</f>
        <v>0</v>
      </c>
      <c r="AM1002" s="9" t="n">
        <f aca="false">X1002-AK1002-AL1002</f>
        <v>0</v>
      </c>
    </row>
    <row r="1003" customFormat="false" ht="15" hidden="false" customHeight="false" outlineLevel="0" collapsed="false">
      <c r="A1003" s="6" t="n">
        <v>998</v>
      </c>
      <c r="B1003" s="74" t="s">
        <v>1025</v>
      </c>
      <c r="C1003" s="53" t="str">
        <f aca="false">INDEX(I_Items!$C$5:$C$133,MATCH($B1003,I_Items!$A$5:$A$133,0))</f>
        <v>Trading</v>
      </c>
      <c r="D1003" s="53" t="str">
        <f aca="false">INDEX(I_Items!$D$5:$D$133,MATCH($B1003,I_Items!$A$5:$A$133,0))</f>
        <v>Karkas</v>
      </c>
      <c r="E1003" s="53" t="str">
        <f aca="false">INDEX(I_Items!$F$5:$F$133,MATCH($B1003,I_Items!$A$5:$A$133,0))</f>
        <v>Not stated in item master</v>
      </c>
      <c r="F1003" s="53" t="str">
        <f aca="false">IF(INDEX(I_Items!$E$5:$E$133,MATCH($B1003,I_Items!$A$5:$A$133,0))="","",INDEX(I_Items!$E$5:$E$133,MATCH($B1003,I_Items!$A$5:$A$133,0)))</f>
        <v>Uk 1.0</v>
      </c>
      <c r="G1003" s="76" t="n">
        <v>46226</v>
      </c>
      <c r="H1003" s="23" t="n">
        <f aca="false">MONTH(G1003)</f>
        <v>7</v>
      </c>
      <c r="I1003" s="74" t="s">
        <v>2075</v>
      </c>
      <c r="J1003" s="74" t="s">
        <v>2330</v>
      </c>
      <c r="K1003" s="10" t="n">
        <v>0</v>
      </c>
      <c r="L1003" s="8" t="n">
        <v>0</v>
      </c>
      <c r="M1003" s="10" t="n">
        <v>403.8</v>
      </c>
      <c r="N1003" s="8" t="n">
        <v>9287400</v>
      </c>
      <c r="O1003" s="74" t="s">
        <v>2077</v>
      </c>
      <c r="P1003" s="74"/>
      <c r="Q1003" s="74"/>
      <c r="R1003" s="14" t="n">
        <f aca="false">IF(I1003="Unbilled",0,M1003)</f>
        <v>403.8</v>
      </c>
      <c r="S1003" s="9" t="n">
        <f aca="false">IF(R1003=0,0,IF(O1003="Booked",N1003,R1003*V1002))</f>
        <v>9287400</v>
      </c>
      <c r="T1003" s="14" t="n">
        <f aca="false">IF(I1003="Opening",K1003,T1002+K1003-R1003)</f>
        <v>3321.25</v>
      </c>
      <c r="U1003" s="9" t="n">
        <f aca="false">IF(I1003="Opening",L1003,U1002+L1003-S1003)</f>
        <v>76388750</v>
      </c>
      <c r="V1003" s="9" t="n">
        <f aca="false">IF(T1003&gt;0,U1003/T1003,IF(I1003="Opening",0,V1002))</f>
        <v>23000</v>
      </c>
      <c r="W1003" s="14" t="n">
        <f aca="false">M1003</f>
        <v>403.8</v>
      </c>
      <c r="X1003" s="9" t="n">
        <f aca="false">IF(W1003=0,0,IF(O1003="Booked",N1003,W1003*AA1002))</f>
        <v>9287400</v>
      </c>
      <c r="Y1003" s="14" t="n">
        <f aca="false">IF(I1003="Opening",K1003,Y1002+K1003-W1003)</f>
        <v>3321.25</v>
      </c>
      <c r="Z1003" s="9" t="n">
        <f aca="false">IF(I1003="Opening",L1003,Z1002+L1003-X1003)</f>
        <v>76388750</v>
      </c>
      <c r="AA1003" s="9" t="n">
        <f aca="false">IF(Y1003&gt;0,Z1003/Y1003,IF(I1003="Opening",0,AA1002))</f>
        <v>23000</v>
      </c>
      <c r="AB1003" s="9" t="n">
        <f aca="false">IF(AND(I1003="DO",O1003="MA"),S1003-N1003,0)</f>
        <v>0</v>
      </c>
      <c r="AC1003" s="9" t="n">
        <f aca="false">IF(I1003="DO",X1003-S1003,0)</f>
        <v>0</v>
      </c>
      <c r="AD1003" s="23" t="n">
        <f aca="false">IF(B1004&lt;&gt;B1003,1,0)</f>
        <v>0</v>
      </c>
      <c r="AE1003" s="14" t="n">
        <f aca="false">IF(I1003="Opening",0,AE1002+W1003)</f>
        <v>780.8</v>
      </c>
      <c r="AF1003" s="14" t="n">
        <f aca="false">IF(I1003="Opening",K1003,AF1002)</f>
        <v>4102.05</v>
      </c>
      <c r="AG1003" s="14" t="n">
        <f aca="false">AG1002</f>
        <v>0</v>
      </c>
      <c r="AH1003" s="14" t="n">
        <f aca="false">IF(W1003=0,0,MAX(0,MIN(AE1003,AF1003)-MIN(AE1003-W1003,AF1003)))</f>
        <v>403.8</v>
      </c>
      <c r="AI1003" s="14" t="n">
        <f aca="false">IF(W1003=0,0,MAX(0,MIN(AE1003,AF1003+AG1003)-MAX(AE1003-W1003,AF1003)))</f>
        <v>0</v>
      </c>
      <c r="AJ1003" s="14" t="n">
        <f aca="false">W1003-AH1003-AI1003</f>
        <v>0</v>
      </c>
      <c r="AK1003" s="9" t="n">
        <f aca="false">IF(W1003=0,0,X1003*AH1003/W1003)</f>
        <v>9287400</v>
      </c>
      <c r="AL1003" s="9" t="n">
        <f aca="false">IF(W1003=0,0,X1003*AI1003/W1003)</f>
        <v>0</v>
      </c>
      <c r="AM1003" s="9" t="n">
        <f aca="false">X1003-AK1003-AL1003</f>
        <v>0</v>
      </c>
    </row>
    <row r="1004" customFormat="false" ht="15" hidden="false" customHeight="false" outlineLevel="0" collapsed="false">
      <c r="A1004" s="6" t="n">
        <v>999</v>
      </c>
      <c r="B1004" s="74" t="s">
        <v>1025</v>
      </c>
      <c r="C1004" s="53" t="str">
        <f aca="false">INDEX(I_Items!$C$5:$C$133,MATCH($B1004,I_Items!$A$5:$A$133,0))</f>
        <v>Trading</v>
      </c>
      <c r="D1004" s="53" t="str">
        <f aca="false">INDEX(I_Items!$D$5:$D$133,MATCH($B1004,I_Items!$A$5:$A$133,0))</f>
        <v>Karkas</v>
      </c>
      <c r="E1004" s="53" t="str">
        <f aca="false">INDEX(I_Items!$F$5:$F$133,MATCH($B1004,I_Items!$A$5:$A$133,0))</f>
        <v>Not stated in item master</v>
      </c>
      <c r="F1004" s="53" t="str">
        <f aca="false">IF(INDEX(I_Items!$E$5:$E$133,MATCH($B1004,I_Items!$A$5:$A$133,0))="","",INDEX(I_Items!$E$5:$E$133,MATCH($B1004,I_Items!$A$5:$A$133,0)))</f>
        <v>Uk 1.0</v>
      </c>
      <c r="G1004" s="76" t="n">
        <v>46228</v>
      </c>
      <c r="H1004" s="23" t="n">
        <f aca="false">MONTH(G1004)</f>
        <v>7</v>
      </c>
      <c r="I1004" s="74" t="s">
        <v>2075</v>
      </c>
      <c r="J1004" s="74" t="s">
        <v>2331</v>
      </c>
      <c r="K1004" s="10" t="n">
        <v>0</v>
      </c>
      <c r="L1004" s="8" t="n">
        <v>0</v>
      </c>
      <c r="M1004" s="10" t="n">
        <v>1020.92</v>
      </c>
      <c r="N1004" s="8" t="n">
        <v>23481160</v>
      </c>
      <c r="O1004" s="74" t="s">
        <v>2077</v>
      </c>
      <c r="P1004" s="74"/>
      <c r="Q1004" s="74"/>
      <c r="R1004" s="14" t="n">
        <f aca="false">IF(I1004="Unbilled",0,M1004)</f>
        <v>1020.92</v>
      </c>
      <c r="S1004" s="9" t="n">
        <f aca="false">IF(R1004=0,0,IF(O1004="Booked",N1004,R1004*V1003))</f>
        <v>23481160</v>
      </c>
      <c r="T1004" s="14" t="n">
        <f aca="false">IF(I1004="Opening",K1004,T1003+K1004-R1004)</f>
        <v>2300.33</v>
      </c>
      <c r="U1004" s="9" t="n">
        <f aca="false">IF(I1004="Opening",L1004,U1003+L1004-S1004)</f>
        <v>52907590</v>
      </c>
      <c r="V1004" s="9" t="n">
        <f aca="false">IF(T1004&gt;0,U1004/T1004,IF(I1004="Opening",0,V1003))</f>
        <v>23000</v>
      </c>
      <c r="W1004" s="14" t="n">
        <f aca="false">M1004</f>
        <v>1020.92</v>
      </c>
      <c r="X1004" s="9" t="n">
        <f aca="false">IF(W1004=0,0,IF(O1004="Booked",N1004,W1004*AA1003))</f>
        <v>23481160</v>
      </c>
      <c r="Y1004" s="14" t="n">
        <f aca="false">IF(I1004="Opening",K1004,Y1003+K1004-W1004)</f>
        <v>2300.33</v>
      </c>
      <c r="Z1004" s="9" t="n">
        <f aca="false">IF(I1004="Opening",L1004,Z1003+L1004-X1004)</f>
        <v>52907590</v>
      </c>
      <c r="AA1004" s="9" t="n">
        <f aca="false">IF(Y1004&gt;0,Z1004/Y1004,IF(I1004="Opening",0,AA1003))</f>
        <v>23000</v>
      </c>
      <c r="AB1004" s="9" t="n">
        <f aca="false">IF(AND(I1004="DO",O1004="MA"),S1004-N1004,0)</f>
        <v>0</v>
      </c>
      <c r="AC1004" s="9" t="n">
        <f aca="false">IF(I1004="DO",X1004-S1004,0)</f>
        <v>0</v>
      </c>
      <c r="AD1004" s="23" t="n">
        <f aca="false">IF(B1005&lt;&gt;B1004,1,0)</f>
        <v>0</v>
      </c>
      <c r="AE1004" s="14" t="n">
        <f aca="false">IF(I1004="Opening",0,AE1003+W1004)</f>
        <v>1801.72</v>
      </c>
      <c r="AF1004" s="14" t="n">
        <f aca="false">IF(I1004="Opening",K1004,AF1003)</f>
        <v>4102.05</v>
      </c>
      <c r="AG1004" s="14" t="n">
        <f aca="false">AG1003</f>
        <v>0</v>
      </c>
      <c r="AH1004" s="14" t="n">
        <f aca="false">IF(W1004=0,0,MAX(0,MIN(AE1004,AF1004)-MIN(AE1004-W1004,AF1004)))</f>
        <v>1020.92</v>
      </c>
      <c r="AI1004" s="14" t="n">
        <f aca="false">IF(W1004=0,0,MAX(0,MIN(AE1004,AF1004+AG1004)-MAX(AE1004-W1004,AF1004)))</f>
        <v>0</v>
      </c>
      <c r="AJ1004" s="14" t="n">
        <f aca="false">W1004-AH1004-AI1004</f>
        <v>0</v>
      </c>
      <c r="AK1004" s="9" t="n">
        <f aca="false">IF(W1004=0,0,X1004*AH1004/W1004)</f>
        <v>23481160</v>
      </c>
      <c r="AL1004" s="9" t="n">
        <f aca="false">IF(W1004=0,0,X1004*AI1004/W1004)</f>
        <v>0</v>
      </c>
      <c r="AM1004" s="9" t="n">
        <f aca="false">X1004-AK1004-AL1004</f>
        <v>0</v>
      </c>
    </row>
    <row r="1005" customFormat="false" ht="15" hidden="false" customHeight="false" outlineLevel="0" collapsed="false">
      <c r="A1005" s="6" t="n">
        <v>1000</v>
      </c>
      <c r="B1005" s="74" t="s">
        <v>1025</v>
      </c>
      <c r="C1005" s="53" t="str">
        <f aca="false">INDEX(I_Items!$C$5:$C$133,MATCH($B1005,I_Items!$A$5:$A$133,0))</f>
        <v>Trading</v>
      </c>
      <c r="D1005" s="53" t="str">
        <f aca="false">INDEX(I_Items!$D$5:$D$133,MATCH($B1005,I_Items!$A$5:$A$133,0))</f>
        <v>Karkas</v>
      </c>
      <c r="E1005" s="53" t="str">
        <f aca="false">INDEX(I_Items!$F$5:$F$133,MATCH($B1005,I_Items!$A$5:$A$133,0))</f>
        <v>Not stated in item master</v>
      </c>
      <c r="F1005" s="53" t="str">
        <f aca="false">IF(INDEX(I_Items!$E$5:$E$133,MATCH($B1005,I_Items!$A$5:$A$133,0))="","",INDEX(I_Items!$E$5:$E$133,MATCH($B1005,I_Items!$A$5:$A$133,0)))</f>
        <v>Uk 1.0</v>
      </c>
      <c r="G1005" s="76" t="n">
        <v>46230</v>
      </c>
      <c r="H1005" s="23" t="n">
        <f aca="false">MONTH(G1005)</f>
        <v>7</v>
      </c>
      <c r="I1005" s="74" t="s">
        <v>2075</v>
      </c>
      <c r="J1005" s="74" t="s">
        <v>2332</v>
      </c>
      <c r="K1005" s="10" t="n">
        <v>0</v>
      </c>
      <c r="L1005" s="8" t="n">
        <v>0</v>
      </c>
      <c r="M1005" s="10" t="n">
        <v>1253.3</v>
      </c>
      <c r="N1005" s="8" t="n">
        <v>28825900</v>
      </c>
      <c r="O1005" s="74" t="s">
        <v>2077</v>
      </c>
      <c r="P1005" s="74"/>
      <c r="Q1005" s="74"/>
      <c r="R1005" s="14" t="n">
        <f aca="false">IF(I1005="Unbilled",0,M1005)</f>
        <v>1253.3</v>
      </c>
      <c r="S1005" s="9" t="n">
        <f aca="false">IF(R1005=0,0,IF(O1005="Booked",N1005,R1005*V1004))</f>
        <v>28825900</v>
      </c>
      <c r="T1005" s="14" t="n">
        <f aca="false">IF(I1005="Opening",K1005,T1004+K1005-R1005)</f>
        <v>1047.03</v>
      </c>
      <c r="U1005" s="9" t="n">
        <f aca="false">IF(I1005="Opening",L1005,U1004+L1005-S1005)</f>
        <v>24081690</v>
      </c>
      <c r="V1005" s="9" t="n">
        <f aca="false">IF(T1005&gt;0,U1005/T1005,IF(I1005="Opening",0,V1004))</f>
        <v>23000</v>
      </c>
      <c r="W1005" s="14" t="n">
        <f aca="false">M1005</f>
        <v>1253.3</v>
      </c>
      <c r="X1005" s="9" t="n">
        <f aca="false">IF(W1005=0,0,IF(O1005="Booked",N1005,W1005*AA1004))</f>
        <v>28825900</v>
      </c>
      <c r="Y1005" s="14" t="n">
        <f aca="false">IF(I1005="Opening",K1005,Y1004+K1005-W1005)</f>
        <v>1047.03</v>
      </c>
      <c r="Z1005" s="9" t="n">
        <f aca="false">IF(I1005="Opening",L1005,Z1004+L1005-X1005)</f>
        <v>24081690</v>
      </c>
      <c r="AA1005" s="9" t="n">
        <f aca="false">IF(Y1005&gt;0,Z1005/Y1005,IF(I1005="Opening",0,AA1004))</f>
        <v>23000</v>
      </c>
      <c r="AB1005" s="9" t="n">
        <f aca="false">IF(AND(I1005="DO",O1005="MA"),S1005-N1005,0)</f>
        <v>0</v>
      </c>
      <c r="AC1005" s="9" t="n">
        <f aca="false">IF(I1005="DO",X1005-S1005,0)</f>
        <v>0</v>
      </c>
      <c r="AD1005" s="23" t="n">
        <f aca="false">IF(B1006&lt;&gt;B1005,1,0)</f>
        <v>0</v>
      </c>
      <c r="AE1005" s="14" t="n">
        <f aca="false">IF(I1005="Opening",0,AE1004+W1005)</f>
        <v>3055.02</v>
      </c>
      <c r="AF1005" s="14" t="n">
        <f aca="false">IF(I1005="Opening",K1005,AF1004)</f>
        <v>4102.05</v>
      </c>
      <c r="AG1005" s="14" t="n">
        <f aca="false">AG1004</f>
        <v>0</v>
      </c>
      <c r="AH1005" s="14" t="n">
        <f aca="false">IF(W1005=0,0,MAX(0,MIN(AE1005,AF1005)-MIN(AE1005-W1005,AF1005)))</f>
        <v>1253.3</v>
      </c>
      <c r="AI1005" s="14" t="n">
        <f aca="false">IF(W1005=0,0,MAX(0,MIN(AE1005,AF1005+AG1005)-MAX(AE1005-W1005,AF1005)))</f>
        <v>0</v>
      </c>
      <c r="AJ1005" s="14" t="n">
        <f aca="false">W1005-AH1005-AI1005</f>
        <v>0</v>
      </c>
      <c r="AK1005" s="9" t="n">
        <f aca="false">IF(W1005=0,0,X1005*AH1005/W1005)</f>
        <v>28825900</v>
      </c>
      <c r="AL1005" s="9" t="n">
        <f aca="false">IF(W1005=0,0,X1005*AI1005/W1005)</f>
        <v>0</v>
      </c>
      <c r="AM1005" s="9" t="n">
        <f aca="false">X1005-AK1005-AL1005</f>
        <v>0</v>
      </c>
    </row>
    <row r="1006" customFormat="false" ht="15" hidden="false" customHeight="false" outlineLevel="0" collapsed="false">
      <c r="A1006" s="6" t="n">
        <v>1001</v>
      </c>
      <c r="B1006" s="74" t="s">
        <v>1025</v>
      </c>
      <c r="C1006" s="53" t="str">
        <f aca="false">INDEX(I_Items!$C$5:$C$133,MATCH($B1006,I_Items!$A$5:$A$133,0))</f>
        <v>Trading</v>
      </c>
      <c r="D1006" s="53" t="str">
        <f aca="false">INDEX(I_Items!$D$5:$D$133,MATCH($B1006,I_Items!$A$5:$A$133,0))</f>
        <v>Karkas</v>
      </c>
      <c r="E1006" s="53" t="str">
        <f aca="false">INDEX(I_Items!$F$5:$F$133,MATCH($B1006,I_Items!$A$5:$A$133,0))</f>
        <v>Not stated in item master</v>
      </c>
      <c r="F1006" s="53" t="str">
        <f aca="false">IF(INDEX(I_Items!$E$5:$E$133,MATCH($B1006,I_Items!$A$5:$A$133,0))="","",INDEX(I_Items!$E$5:$E$133,MATCH($B1006,I_Items!$A$5:$A$133,0)))</f>
        <v>Uk 1.0</v>
      </c>
      <c r="G1006" s="76" t="n">
        <v>46231</v>
      </c>
      <c r="H1006" s="23" t="n">
        <f aca="false">MONTH(G1006)</f>
        <v>7</v>
      </c>
      <c r="I1006" s="74" t="s">
        <v>2075</v>
      </c>
      <c r="J1006" s="74" t="s">
        <v>2142</v>
      </c>
      <c r="K1006" s="10" t="n">
        <v>0</v>
      </c>
      <c r="L1006" s="8" t="n">
        <v>0</v>
      </c>
      <c r="M1006" s="10" t="n">
        <v>1047.03</v>
      </c>
      <c r="N1006" s="8" t="n">
        <v>24081690</v>
      </c>
      <c r="O1006" s="74" t="s">
        <v>2077</v>
      </c>
      <c r="P1006" s="74"/>
      <c r="Q1006" s="74"/>
      <c r="R1006" s="14" t="n">
        <f aca="false">IF(I1006="Unbilled",0,M1006)</f>
        <v>1047.03</v>
      </c>
      <c r="S1006" s="9" t="n">
        <f aca="false">IF(R1006=0,0,IF(O1006="Booked",N1006,R1006*V1005))</f>
        <v>24081690</v>
      </c>
      <c r="T1006" s="14" t="n">
        <f aca="false">IF(I1006="Opening",K1006,T1005+K1006-R1006)</f>
        <v>0</v>
      </c>
      <c r="U1006" s="9" t="n">
        <f aca="false">IF(I1006="Opening",L1006,U1005+L1006-S1006)</f>
        <v>0</v>
      </c>
      <c r="V1006" s="9" t="n">
        <f aca="false">IF(T1006&gt;0,U1006/T1006,IF(I1006="Opening",0,V1005))</f>
        <v>23000</v>
      </c>
      <c r="W1006" s="14" t="n">
        <f aca="false">M1006</f>
        <v>1047.03</v>
      </c>
      <c r="X1006" s="9" t="n">
        <f aca="false">IF(W1006=0,0,IF(O1006="Booked",N1006,W1006*AA1005))</f>
        <v>24081690</v>
      </c>
      <c r="Y1006" s="14" t="n">
        <f aca="false">IF(I1006="Opening",K1006,Y1005+K1006-W1006)</f>
        <v>0</v>
      </c>
      <c r="Z1006" s="9" t="n">
        <f aca="false">IF(I1006="Opening",L1006,Z1005+L1006-X1006)</f>
        <v>0</v>
      </c>
      <c r="AA1006" s="9" t="n">
        <f aca="false">IF(Y1006&gt;0,Z1006/Y1006,IF(I1006="Opening",0,AA1005))</f>
        <v>23000</v>
      </c>
      <c r="AB1006" s="9" t="n">
        <f aca="false">IF(AND(I1006="DO",O1006="MA"),S1006-N1006,0)</f>
        <v>0</v>
      </c>
      <c r="AC1006" s="9" t="n">
        <f aca="false">IF(I1006="DO",X1006-S1006,0)</f>
        <v>0</v>
      </c>
      <c r="AD1006" s="23" t="n">
        <f aca="false">IF(B1007&lt;&gt;B1006,1,0)</f>
        <v>0</v>
      </c>
      <c r="AE1006" s="14" t="n">
        <f aca="false">IF(I1006="Opening",0,AE1005+W1006)</f>
        <v>4102.05</v>
      </c>
      <c r="AF1006" s="14" t="n">
        <f aca="false">IF(I1006="Opening",K1006,AF1005)</f>
        <v>4102.05</v>
      </c>
      <c r="AG1006" s="14" t="n">
        <f aca="false">AG1005</f>
        <v>0</v>
      </c>
      <c r="AH1006" s="14" t="n">
        <f aca="false">IF(W1006=0,0,MAX(0,MIN(AE1006,AF1006)-MIN(AE1006-W1006,AF1006)))</f>
        <v>1047.03</v>
      </c>
      <c r="AI1006" s="14" t="n">
        <f aca="false">IF(W1006=0,0,MAX(0,MIN(AE1006,AF1006+AG1006)-MAX(AE1006-W1006,AF1006)))</f>
        <v>0</v>
      </c>
      <c r="AJ1006" s="14" t="n">
        <f aca="false">W1006-AH1006-AI1006</f>
        <v>0</v>
      </c>
      <c r="AK1006" s="9" t="n">
        <f aca="false">IF(W1006=0,0,X1006*AH1006/W1006)</f>
        <v>24081690</v>
      </c>
      <c r="AL1006" s="9" t="n">
        <f aca="false">IF(W1006=0,0,X1006*AI1006/W1006)</f>
        <v>0</v>
      </c>
      <c r="AM1006" s="9" t="n">
        <f aca="false">X1006-AK1006-AL1006</f>
        <v>0</v>
      </c>
    </row>
    <row r="1007" customFormat="false" ht="15" hidden="false" customHeight="false" outlineLevel="0" collapsed="false">
      <c r="A1007" s="6" t="n">
        <v>1002</v>
      </c>
      <c r="B1007" s="74" t="s">
        <v>1025</v>
      </c>
      <c r="C1007" s="53" t="str">
        <f aca="false">INDEX(I_Items!$C$5:$C$133,MATCH($B1007,I_Items!$A$5:$A$133,0))</f>
        <v>Trading</v>
      </c>
      <c r="D1007" s="53" t="str">
        <f aca="false">INDEX(I_Items!$D$5:$D$133,MATCH($B1007,I_Items!$A$5:$A$133,0))</f>
        <v>Karkas</v>
      </c>
      <c r="E1007" s="53" t="str">
        <f aca="false">INDEX(I_Items!$F$5:$F$133,MATCH($B1007,I_Items!$A$5:$A$133,0))</f>
        <v>Not stated in item master</v>
      </c>
      <c r="F1007" s="53" t="str">
        <f aca="false">IF(INDEX(I_Items!$E$5:$E$133,MATCH($B1007,I_Items!$A$5:$A$133,0))="","",INDEX(I_Items!$E$5:$E$133,MATCH($B1007,I_Items!$A$5:$A$133,0)))</f>
        <v>Uk 1.0</v>
      </c>
      <c r="G1007" s="76" t="n">
        <v>46237</v>
      </c>
      <c r="H1007" s="23" t="n">
        <f aca="false">MONTH(G1007)</f>
        <v>8</v>
      </c>
      <c r="I1007" s="74" t="s">
        <v>2074</v>
      </c>
      <c r="J1007" s="74" t="s">
        <v>2296</v>
      </c>
      <c r="K1007" s="10" t="n">
        <v>1882.1</v>
      </c>
      <c r="L1007" s="8" t="n">
        <v>58345100</v>
      </c>
      <c r="M1007" s="10" t="n">
        <v>0</v>
      </c>
      <c r="N1007" s="8" t="n">
        <v>0</v>
      </c>
      <c r="O1007" s="74"/>
      <c r="P1007" s="74"/>
      <c r="Q1007" s="74"/>
      <c r="R1007" s="14" t="n">
        <f aca="false">IF(I1007="Unbilled",0,M1007)</f>
        <v>0</v>
      </c>
      <c r="S1007" s="9" t="n">
        <f aca="false">IF(R1007=0,0,IF(O1007="Booked",N1007,R1007*V1006))</f>
        <v>0</v>
      </c>
      <c r="T1007" s="14" t="n">
        <f aca="false">IF(I1007="Opening",K1007,T1006+K1007-R1007)</f>
        <v>1882.1</v>
      </c>
      <c r="U1007" s="9" t="n">
        <f aca="false">IF(I1007="Opening",L1007,U1006+L1007-S1007)</f>
        <v>58345100</v>
      </c>
      <c r="V1007" s="9" t="n">
        <f aca="false">IF(T1007&gt;0,U1007/T1007,IF(I1007="Opening",0,V1006))</f>
        <v>31000</v>
      </c>
      <c r="W1007" s="14" t="n">
        <f aca="false">M1007</f>
        <v>0</v>
      </c>
      <c r="X1007" s="9" t="n">
        <f aca="false">IF(W1007=0,0,IF(O1007="Booked",N1007,W1007*AA1006))</f>
        <v>0</v>
      </c>
      <c r="Y1007" s="14" t="n">
        <f aca="false">IF(I1007="Opening",K1007,Y1006+K1007-W1007)</f>
        <v>1882.1</v>
      </c>
      <c r="Z1007" s="9" t="n">
        <f aca="false">IF(I1007="Opening",L1007,Z1006+L1007-X1007)</f>
        <v>58345100</v>
      </c>
      <c r="AA1007" s="9" t="n">
        <f aca="false">IF(Y1007&gt;0,Z1007/Y1007,IF(I1007="Opening",0,AA1006))</f>
        <v>31000</v>
      </c>
      <c r="AB1007" s="9" t="n">
        <f aca="false">IF(AND(I1007="DO",O1007="MA"),S1007-N1007,0)</f>
        <v>0</v>
      </c>
      <c r="AC1007" s="9" t="n">
        <f aca="false">IF(I1007="DO",X1007-S1007,0)</f>
        <v>0</v>
      </c>
      <c r="AD1007" s="23" t="n">
        <f aca="false">IF(B1008&lt;&gt;B1007,1,0)</f>
        <v>0</v>
      </c>
      <c r="AE1007" s="14" t="n">
        <f aca="false">IF(I1007="Opening",0,AE1006+W1007)</f>
        <v>4102.05</v>
      </c>
      <c r="AF1007" s="14" t="n">
        <f aca="false">IF(I1007="Opening",K1007,AF1006)</f>
        <v>4102.05</v>
      </c>
      <c r="AG1007" s="14" t="n">
        <f aca="false">AG1006</f>
        <v>0</v>
      </c>
      <c r="AH1007" s="14" t="n">
        <f aca="false">IF(W1007=0,0,MAX(0,MIN(AE1007,AF1007)-MIN(AE1007-W1007,AF1007)))</f>
        <v>0</v>
      </c>
      <c r="AI1007" s="14" t="n">
        <f aca="false">IF(W1007=0,0,MAX(0,MIN(AE1007,AF1007+AG1007)-MAX(AE1007-W1007,AF1007)))</f>
        <v>0</v>
      </c>
      <c r="AJ1007" s="14" t="n">
        <f aca="false">W1007-AH1007-AI1007</f>
        <v>0</v>
      </c>
      <c r="AK1007" s="9" t="n">
        <f aca="false">IF(W1007=0,0,X1007*AH1007/W1007)</f>
        <v>0</v>
      </c>
      <c r="AL1007" s="9" t="n">
        <f aca="false">IF(W1007=0,0,X1007*AI1007/W1007)</f>
        <v>0</v>
      </c>
      <c r="AM1007" s="9" t="n">
        <f aca="false">X1007-AK1007-AL1007</f>
        <v>0</v>
      </c>
    </row>
    <row r="1008" customFormat="false" ht="15" hidden="false" customHeight="false" outlineLevel="0" collapsed="false">
      <c r="A1008" s="6" t="n">
        <v>1003</v>
      </c>
      <c r="B1008" s="74" t="s">
        <v>1025</v>
      </c>
      <c r="C1008" s="53" t="str">
        <f aca="false">INDEX(I_Items!$C$5:$C$133,MATCH($B1008,I_Items!$A$5:$A$133,0))</f>
        <v>Trading</v>
      </c>
      <c r="D1008" s="53" t="str">
        <f aca="false">INDEX(I_Items!$D$5:$D$133,MATCH($B1008,I_Items!$A$5:$A$133,0))</f>
        <v>Karkas</v>
      </c>
      <c r="E1008" s="53" t="str">
        <f aca="false">INDEX(I_Items!$F$5:$F$133,MATCH($B1008,I_Items!$A$5:$A$133,0))</f>
        <v>Not stated in item master</v>
      </c>
      <c r="F1008" s="53" t="str">
        <f aca="false">IF(INDEX(I_Items!$E$5:$E$133,MATCH($B1008,I_Items!$A$5:$A$133,0))="","",INDEX(I_Items!$E$5:$E$133,MATCH($B1008,I_Items!$A$5:$A$133,0)))</f>
        <v>Uk 1.0</v>
      </c>
      <c r="G1008" s="76" t="n">
        <v>46238</v>
      </c>
      <c r="H1008" s="23" t="n">
        <f aca="false">MONTH(G1008)</f>
        <v>8</v>
      </c>
      <c r="I1008" s="74" t="s">
        <v>2074</v>
      </c>
      <c r="J1008" s="74" t="s">
        <v>2256</v>
      </c>
      <c r="K1008" s="10" t="n">
        <v>6835.9</v>
      </c>
      <c r="L1008" s="8" t="n">
        <v>222166750</v>
      </c>
      <c r="M1008" s="10" t="n">
        <v>0</v>
      </c>
      <c r="N1008" s="8" t="n">
        <v>0</v>
      </c>
      <c r="O1008" s="74"/>
      <c r="P1008" s="74"/>
      <c r="Q1008" s="74"/>
      <c r="R1008" s="14" t="n">
        <f aca="false">IF(I1008="Unbilled",0,M1008)</f>
        <v>0</v>
      </c>
      <c r="S1008" s="9" t="n">
        <f aca="false">IF(R1008=0,0,IF(O1008="Booked",N1008,R1008*V1007))</f>
        <v>0</v>
      </c>
      <c r="T1008" s="14" t="n">
        <f aca="false">IF(I1008="Opening",K1008,T1007+K1008-R1008)</f>
        <v>8718</v>
      </c>
      <c r="U1008" s="9" t="n">
        <f aca="false">IF(I1008="Opening",L1008,U1007+L1008-S1008)</f>
        <v>280511850</v>
      </c>
      <c r="V1008" s="9" t="n">
        <f aca="false">IF(T1008&gt;0,U1008/T1008,IF(I1008="Opening",0,V1007))</f>
        <v>32176.1699931177</v>
      </c>
      <c r="W1008" s="14" t="n">
        <f aca="false">M1008</f>
        <v>0</v>
      </c>
      <c r="X1008" s="9" t="n">
        <f aca="false">IF(W1008=0,0,IF(O1008="Booked",N1008,W1008*AA1007))</f>
        <v>0</v>
      </c>
      <c r="Y1008" s="14" t="n">
        <f aca="false">IF(I1008="Opening",K1008,Y1007+K1008-W1008)</f>
        <v>8718</v>
      </c>
      <c r="Z1008" s="9" t="n">
        <f aca="false">IF(I1008="Opening",L1008,Z1007+L1008-X1008)</f>
        <v>280511850</v>
      </c>
      <c r="AA1008" s="9" t="n">
        <f aca="false">IF(Y1008&gt;0,Z1008/Y1008,IF(I1008="Opening",0,AA1007))</f>
        <v>32176.1699931177</v>
      </c>
      <c r="AB1008" s="9" t="n">
        <f aca="false">IF(AND(I1008="DO",O1008="MA"),S1008-N1008,0)</f>
        <v>0</v>
      </c>
      <c r="AC1008" s="9" t="n">
        <f aca="false">IF(I1008="DO",X1008-S1008,0)</f>
        <v>0</v>
      </c>
      <c r="AD1008" s="23" t="n">
        <f aca="false">IF(B1009&lt;&gt;B1008,1,0)</f>
        <v>0</v>
      </c>
      <c r="AE1008" s="14" t="n">
        <f aca="false">IF(I1008="Opening",0,AE1007+W1008)</f>
        <v>4102.05</v>
      </c>
      <c r="AF1008" s="14" t="n">
        <f aca="false">IF(I1008="Opening",K1008,AF1007)</f>
        <v>4102.05</v>
      </c>
      <c r="AG1008" s="14" t="n">
        <f aca="false">AG1007</f>
        <v>0</v>
      </c>
      <c r="AH1008" s="14" t="n">
        <f aca="false">IF(W1008=0,0,MAX(0,MIN(AE1008,AF1008)-MIN(AE1008-W1008,AF1008)))</f>
        <v>0</v>
      </c>
      <c r="AI1008" s="14" t="n">
        <f aca="false">IF(W1008=0,0,MAX(0,MIN(AE1008,AF1008+AG1008)-MAX(AE1008-W1008,AF1008)))</f>
        <v>0</v>
      </c>
      <c r="AJ1008" s="14" t="n">
        <f aca="false">W1008-AH1008-AI1008</f>
        <v>0</v>
      </c>
      <c r="AK1008" s="9" t="n">
        <f aca="false">IF(W1008=0,0,X1008*AH1008/W1008)</f>
        <v>0</v>
      </c>
      <c r="AL1008" s="9" t="n">
        <f aca="false">IF(W1008=0,0,X1008*AI1008/W1008)</f>
        <v>0</v>
      </c>
      <c r="AM1008" s="9" t="n">
        <f aca="false">X1008-AK1008-AL1008</f>
        <v>0</v>
      </c>
    </row>
    <row r="1009" customFormat="false" ht="15" hidden="false" customHeight="false" outlineLevel="0" collapsed="false">
      <c r="A1009" s="6" t="n">
        <v>1004</v>
      </c>
      <c r="B1009" s="74" t="s">
        <v>1025</v>
      </c>
      <c r="C1009" s="53" t="str">
        <f aca="false">INDEX(I_Items!$C$5:$C$133,MATCH($B1009,I_Items!$A$5:$A$133,0))</f>
        <v>Trading</v>
      </c>
      <c r="D1009" s="53" t="str">
        <f aca="false">INDEX(I_Items!$D$5:$D$133,MATCH($B1009,I_Items!$A$5:$A$133,0))</f>
        <v>Karkas</v>
      </c>
      <c r="E1009" s="53" t="str">
        <f aca="false">INDEX(I_Items!$F$5:$F$133,MATCH($B1009,I_Items!$A$5:$A$133,0))</f>
        <v>Not stated in item master</v>
      </c>
      <c r="F1009" s="53" t="str">
        <f aca="false">IF(INDEX(I_Items!$E$5:$E$133,MATCH($B1009,I_Items!$A$5:$A$133,0))="","",INDEX(I_Items!$E$5:$E$133,MATCH($B1009,I_Items!$A$5:$A$133,0)))</f>
        <v>Uk 1.0</v>
      </c>
      <c r="G1009" s="76" t="n">
        <v>46238</v>
      </c>
      <c r="H1009" s="23" t="n">
        <f aca="false">MONTH(G1009)</f>
        <v>8</v>
      </c>
      <c r="I1009" s="74" t="s">
        <v>2075</v>
      </c>
      <c r="J1009" s="74" t="s">
        <v>2333</v>
      </c>
      <c r="K1009" s="10" t="n">
        <v>0</v>
      </c>
      <c r="L1009" s="8" t="n">
        <v>0</v>
      </c>
      <c r="M1009" s="10" t="n">
        <v>2502.4</v>
      </c>
      <c r="N1009" s="8" t="n">
        <v>80517647.81</v>
      </c>
      <c r="O1009" s="74" t="s">
        <v>2077</v>
      </c>
      <c r="P1009" s="74"/>
      <c r="Q1009" s="74"/>
      <c r="R1009" s="14" t="n">
        <f aca="false">IF(I1009="Unbilled",0,M1009)</f>
        <v>2502.4</v>
      </c>
      <c r="S1009" s="9" t="n">
        <f aca="false">IF(R1009=0,0,IF(O1009="Booked",N1009,R1009*V1008))</f>
        <v>80517647.7907777</v>
      </c>
      <c r="T1009" s="14" t="n">
        <f aca="false">IF(I1009="Opening",K1009,T1008+K1009-R1009)</f>
        <v>6215.6</v>
      </c>
      <c r="U1009" s="9" t="n">
        <f aca="false">IF(I1009="Opening",L1009,U1008+L1009-S1009)</f>
        <v>199994202.209222</v>
      </c>
      <c r="V1009" s="9" t="n">
        <f aca="false">IF(T1009&gt;0,U1009/T1009,IF(I1009="Opening",0,V1008))</f>
        <v>32176.1699931177</v>
      </c>
      <c r="W1009" s="14" t="n">
        <f aca="false">M1009</f>
        <v>2502.4</v>
      </c>
      <c r="X1009" s="9" t="n">
        <f aca="false">IF(W1009=0,0,IF(O1009="Booked",N1009,W1009*AA1008))</f>
        <v>80517647.7907777</v>
      </c>
      <c r="Y1009" s="14" t="n">
        <f aca="false">IF(I1009="Opening",K1009,Y1008+K1009-W1009)</f>
        <v>6215.6</v>
      </c>
      <c r="Z1009" s="9" t="n">
        <f aca="false">IF(I1009="Opening",L1009,Z1008+L1009-X1009)</f>
        <v>199994202.209222</v>
      </c>
      <c r="AA1009" s="9" t="n">
        <f aca="false">IF(Y1009&gt;0,Z1009/Y1009,IF(I1009="Opening",0,AA1008))</f>
        <v>32176.1699931177</v>
      </c>
      <c r="AB1009" s="9" t="n">
        <f aca="false">IF(AND(I1009="DO",O1009="MA"),S1009-N1009,0)</f>
        <v>-0.0192222893238068</v>
      </c>
      <c r="AC1009" s="9" t="n">
        <f aca="false">IF(I1009="DO",X1009-S1009,0)</f>
        <v>0</v>
      </c>
      <c r="AD1009" s="23" t="n">
        <f aca="false">IF(B1010&lt;&gt;B1009,1,0)</f>
        <v>0</v>
      </c>
      <c r="AE1009" s="14" t="n">
        <f aca="false">IF(I1009="Opening",0,AE1008+W1009)</f>
        <v>6604.45</v>
      </c>
      <c r="AF1009" s="14" t="n">
        <f aca="false">IF(I1009="Opening",K1009,AF1008)</f>
        <v>4102.05</v>
      </c>
      <c r="AG1009" s="14" t="n">
        <f aca="false">AG1008</f>
        <v>0</v>
      </c>
      <c r="AH1009" s="14" t="n">
        <f aca="false">IF(W1009=0,0,MAX(0,MIN(AE1009,AF1009)-MIN(AE1009-W1009,AF1009)))</f>
        <v>0</v>
      </c>
      <c r="AI1009" s="14" t="n">
        <f aca="false">IF(W1009=0,0,MAX(0,MIN(AE1009,AF1009+AG1009)-MAX(AE1009-W1009,AF1009)))</f>
        <v>0</v>
      </c>
      <c r="AJ1009" s="14" t="n">
        <f aca="false">W1009-AH1009-AI1009</f>
        <v>2502.4</v>
      </c>
      <c r="AK1009" s="9" t="n">
        <f aca="false">IF(W1009=0,0,X1009*AH1009/W1009)</f>
        <v>0</v>
      </c>
      <c r="AL1009" s="9" t="n">
        <f aca="false">IF(W1009=0,0,X1009*AI1009/W1009)</f>
        <v>0</v>
      </c>
      <c r="AM1009" s="9" t="n">
        <f aca="false">X1009-AK1009-AL1009</f>
        <v>80517647.7907777</v>
      </c>
    </row>
    <row r="1010" customFormat="false" ht="15" hidden="false" customHeight="false" outlineLevel="0" collapsed="false">
      <c r="A1010" s="6" t="n">
        <v>1005</v>
      </c>
      <c r="B1010" s="74" t="s">
        <v>1025</v>
      </c>
      <c r="C1010" s="53" t="str">
        <f aca="false">INDEX(I_Items!$C$5:$C$133,MATCH($B1010,I_Items!$A$5:$A$133,0))</f>
        <v>Trading</v>
      </c>
      <c r="D1010" s="53" t="str">
        <f aca="false">INDEX(I_Items!$D$5:$D$133,MATCH($B1010,I_Items!$A$5:$A$133,0))</f>
        <v>Karkas</v>
      </c>
      <c r="E1010" s="53" t="str">
        <f aca="false">INDEX(I_Items!$F$5:$F$133,MATCH($B1010,I_Items!$A$5:$A$133,0))</f>
        <v>Not stated in item master</v>
      </c>
      <c r="F1010" s="53" t="str">
        <f aca="false">IF(INDEX(I_Items!$E$5:$E$133,MATCH($B1010,I_Items!$A$5:$A$133,0))="","",INDEX(I_Items!$E$5:$E$133,MATCH($B1010,I_Items!$A$5:$A$133,0)))</f>
        <v>Uk 1.0</v>
      </c>
      <c r="G1010" s="76" t="n">
        <v>46238</v>
      </c>
      <c r="H1010" s="23" t="n">
        <f aca="false">MONTH(G1010)</f>
        <v>8</v>
      </c>
      <c r="I1010" s="74" t="s">
        <v>2075</v>
      </c>
      <c r="J1010" s="74" t="s">
        <v>2317</v>
      </c>
      <c r="K1010" s="10" t="n">
        <v>0</v>
      </c>
      <c r="L1010" s="8" t="n">
        <v>0</v>
      </c>
      <c r="M1010" s="10" t="n">
        <v>1882.1</v>
      </c>
      <c r="N1010" s="8" t="n">
        <v>60558769.56</v>
      </c>
      <c r="O1010" s="74" t="s">
        <v>2077</v>
      </c>
      <c r="P1010" s="74"/>
      <c r="Q1010" s="74"/>
      <c r="R1010" s="14" t="n">
        <f aca="false">IF(I1010="Unbilled",0,M1010)</f>
        <v>1882.1</v>
      </c>
      <c r="S1010" s="9" t="n">
        <f aca="false">IF(R1010=0,0,IF(O1010="Booked",N1010,R1010*V1009))</f>
        <v>60558769.5440468</v>
      </c>
      <c r="T1010" s="14" t="n">
        <f aca="false">IF(I1010="Opening",K1010,T1009+K1010-R1010)</f>
        <v>4333.5</v>
      </c>
      <c r="U1010" s="9" t="n">
        <f aca="false">IF(I1010="Opening",L1010,U1009+L1010-S1010)</f>
        <v>139435432.665176</v>
      </c>
      <c r="V1010" s="9" t="n">
        <f aca="false">IF(T1010&gt;0,U1010/T1010,IF(I1010="Opening",0,V1009))</f>
        <v>32176.1699931177</v>
      </c>
      <c r="W1010" s="14" t="n">
        <f aca="false">M1010</f>
        <v>1882.1</v>
      </c>
      <c r="X1010" s="9" t="n">
        <f aca="false">IF(W1010=0,0,IF(O1010="Booked",N1010,W1010*AA1009))</f>
        <v>60558769.5440468</v>
      </c>
      <c r="Y1010" s="14" t="n">
        <f aca="false">IF(I1010="Opening",K1010,Y1009+K1010-W1010)</f>
        <v>4333.5</v>
      </c>
      <c r="Z1010" s="9" t="n">
        <f aca="false">IF(I1010="Opening",L1010,Z1009+L1010-X1010)</f>
        <v>139435432.665176</v>
      </c>
      <c r="AA1010" s="9" t="n">
        <f aca="false">IF(Y1010&gt;0,Z1010/Y1010,IF(I1010="Opening",0,AA1009))</f>
        <v>32176.1699931177</v>
      </c>
      <c r="AB1010" s="9" t="n">
        <f aca="false">IF(AND(I1010="DO",O1010="MA"),S1010-N1010,0)</f>
        <v>-0.0159532129764557</v>
      </c>
      <c r="AC1010" s="9" t="n">
        <f aca="false">IF(I1010="DO",X1010-S1010,0)</f>
        <v>0</v>
      </c>
      <c r="AD1010" s="23" t="n">
        <f aca="false">IF(B1011&lt;&gt;B1010,1,0)</f>
        <v>0</v>
      </c>
      <c r="AE1010" s="14" t="n">
        <f aca="false">IF(I1010="Opening",0,AE1009+W1010)</f>
        <v>8486.55</v>
      </c>
      <c r="AF1010" s="14" t="n">
        <f aca="false">IF(I1010="Opening",K1010,AF1009)</f>
        <v>4102.05</v>
      </c>
      <c r="AG1010" s="14" t="n">
        <f aca="false">AG1009</f>
        <v>0</v>
      </c>
      <c r="AH1010" s="14" t="n">
        <f aca="false">IF(W1010=0,0,MAX(0,MIN(AE1010,AF1010)-MIN(AE1010-W1010,AF1010)))</f>
        <v>0</v>
      </c>
      <c r="AI1010" s="14" t="n">
        <f aca="false">IF(W1010=0,0,MAX(0,MIN(AE1010,AF1010+AG1010)-MAX(AE1010-W1010,AF1010)))</f>
        <v>0</v>
      </c>
      <c r="AJ1010" s="14" t="n">
        <f aca="false">W1010-AH1010-AI1010</f>
        <v>1882.1</v>
      </c>
      <c r="AK1010" s="9" t="n">
        <f aca="false">IF(W1010=0,0,X1010*AH1010/W1010)</f>
        <v>0</v>
      </c>
      <c r="AL1010" s="9" t="n">
        <f aca="false">IF(W1010=0,0,X1010*AI1010/W1010)</f>
        <v>0</v>
      </c>
      <c r="AM1010" s="9" t="n">
        <f aca="false">X1010-AK1010-AL1010</f>
        <v>60558769.5440468</v>
      </c>
    </row>
    <row r="1011" customFormat="false" ht="15" hidden="false" customHeight="false" outlineLevel="0" collapsed="false">
      <c r="A1011" s="6" t="n">
        <v>1006</v>
      </c>
      <c r="B1011" s="74" t="s">
        <v>1025</v>
      </c>
      <c r="C1011" s="53" t="str">
        <f aca="false">INDEX(I_Items!$C$5:$C$133,MATCH($B1011,I_Items!$A$5:$A$133,0))</f>
        <v>Trading</v>
      </c>
      <c r="D1011" s="53" t="str">
        <f aca="false">INDEX(I_Items!$D$5:$D$133,MATCH($B1011,I_Items!$A$5:$A$133,0))</f>
        <v>Karkas</v>
      </c>
      <c r="E1011" s="53" t="str">
        <f aca="false">INDEX(I_Items!$F$5:$F$133,MATCH($B1011,I_Items!$A$5:$A$133,0))</f>
        <v>Not stated in item master</v>
      </c>
      <c r="F1011" s="53" t="str">
        <f aca="false">IF(INDEX(I_Items!$E$5:$E$133,MATCH($B1011,I_Items!$A$5:$A$133,0))="","",INDEX(I_Items!$E$5:$E$133,MATCH($B1011,I_Items!$A$5:$A$133,0)))</f>
        <v>Uk 1.0</v>
      </c>
      <c r="G1011" s="76" t="n">
        <v>46239</v>
      </c>
      <c r="H1011" s="23" t="n">
        <f aca="false">MONTH(G1011)</f>
        <v>8</v>
      </c>
      <c r="I1011" s="74" t="s">
        <v>2075</v>
      </c>
      <c r="J1011" s="74" t="s">
        <v>2334</v>
      </c>
      <c r="K1011" s="10" t="n">
        <v>0</v>
      </c>
      <c r="L1011" s="8" t="n">
        <v>0</v>
      </c>
      <c r="M1011" s="10" t="n">
        <v>1023.4</v>
      </c>
      <c r="N1011" s="8" t="n">
        <v>32929092.38</v>
      </c>
      <c r="O1011" s="74" t="s">
        <v>2077</v>
      </c>
      <c r="P1011" s="74"/>
      <c r="Q1011" s="74"/>
      <c r="R1011" s="14" t="n">
        <f aca="false">IF(I1011="Unbilled",0,M1011)</f>
        <v>1023.4</v>
      </c>
      <c r="S1011" s="9" t="n">
        <f aca="false">IF(R1011=0,0,IF(O1011="Booked",N1011,R1011*V1010))</f>
        <v>32929092.3709566</v>
      </c>
      <c r="T1011" s="14" t="n">
        <f aca="false">IF(I1011="Opening",K1011,T1010+K1011-R1011)</f>
        <v>3310.1</v>
      </c>
      <c r="U1011" s="9" t="n">
        <f aca="false">IF(I1011="Opening",L1011,U1010+L1011-S1011)</f>
        <v>106506340.294219</v>
      </c>
      <c r="V1011" s="9" t="n">
        <f aca="false">IF(T1011&gt;0,U1011/T1011,IF(I1011="Opening",0,V1010))</f>
        <v>32176.1699931177</v>
      </c>
      <c r="W1011" s="14" t="n">
        <f aca="false">M1011</f>
        <v>1023.4</v>
      </c>
      <c r="X1011" s="9" t="n">
        <f aca="false">IF(W1011=0,0,IF(O1011="Booked",N1011,W1011*AA1010))</f>
        <v>32929092.3709566</v>
      </c>
      <c r="Y1011" s="14" t="n">
        <f aca="false">IF(I1011="Opening",K1011,Y1010+K1011-W1011)</f>
        <v>3310.1</v>
      </c>
      <c r="Z1011" s="9" t="n">
        <f aca="false">IF(I1011="Opening",L1011,Z1010+L1011-X1011)</f>
        <v>106506340.294219</v>
      </c>
      <c r="AA1011" s="9" t="n">
        <f aca="false">IF(Y1011&gt;0,Z1011/Y1011,IF(I1011="Opening",0,AA1010))</f>
        <v>32176.1699931177</v>
      </c>
      <c r="AB1011" s="9" t="n">
        <f aca="false">IF(AND(I1011="DO",O1011="MA"),S1011-N1011,0)</f>
        <v>-0.00904335826635361</v>
      </c>
      <c r="AC1011" s="9" t="n">
        <f aca="false">IF(I1011="DO",X1011-S1011,0)</f>
        <v>0</v>
      </c>
      <c r="AD1011" s="23" t="n">
        <f aca="false">IF(B1012&lt;&gt;B1011,1,0)</f>
        <v>0</v>
      </c>
      <c r="AE1011" s="14" t="n">
        <f aca="false">IF(I1011="Opening",0,AE1010+W1011)</f>
        <v>9509.95</v>
      </c>
      <c r="AF1011" s="14" t="n">
        <f aca="false">IF(I1011="Opening",K1011,AF1010)</f>
        <v>4102.05</v>
      </c>
      <c r="AG1011" s="14" t="n">
        <f aca="false">AG1010</f>
        <v>0</v>
      </c>
      <c r="AH1011" s="14" t="n">
        <f aca="false">IF(W1011=0,0,MAX(0,MIN(AE1011,AF1011)-MIN(AE1011-W1011,AF1011)))</f>
        <v>0</v>
      </c>
      <c r="AI1011" s="14" t="n">
        <f aca="false">IF(W1011=0,0,MAX(0,MIN(AE1011,AF1011+AG1011)-MAX(AE1011-W1011,AF1011)))</f>
        <v>0</v>
      </c>
      <c r="AJ1011" s="14" t="n">
        <f aca="false">W1011-AH1011-AI1011</f>
        <v>1023.4</v>
      </c>
      <c r="AK1011" s="9" t="n">
        <f aca="false">IF(W1011=0,0,X1011*AH1011/W1011)</f>
        <v>0</v>
      </c>
      <c r="AL1011" s="9" t="n">
        <f aca="false">IF(W1011=0,0,X1011*AI1011/W1011)</f>
        <v>0</v>
      </c>
      <c r="AM1011" s="9" t="n">
        <f aca="false">X1011-AK1011-AL1011</f>
        <v>32929092.3709566</v>
      </c>
    </row>
    <row r="1012" customFormat="false" ht="15" hidden="false" customHeight="false" outlineLevel="0" collapsed="false">
      <c r="A1012" s="6" t="n">
        <v>1007</v>
      </c>
      <c r="B1012" s="74" t="s">
        <v>1025</v>
      </c>
      <c r="C1012" s="53" t="str">
        <f aca="false">INDEX(I_Items!$C$5:$C$133,MATCH($B1012,I_Items!$A$5:$A$133,0))</f>
        <v>Trading</v>
      </c>
      <c r="D1012" s="53" t="str">
        <f aca="false">INDEX(I_Items!$D$5:$D$133,MATCH($B1012,I_Items!$A$5:$A$133,0))</f>
        <v>Karkas</v>
      </c>
      <c r="E1012" s="53" t="str">
        <f aca="false">INDEX(I_Items!$F$5:$F$133,MATCH($B1012,I_Items!$A$5:$A$133,0))</f>
        <v>Not stated in item master</v>
      </c>
      <c r="F1012" s="53" t="str">
        <f aca="false">IF(INDEX(I_Items!$E$5:$E$133,MATCH($B1012,I_Items!$A$5:$A$133,0))="","",INDEX(I_Items!$E$5:$E$133,MATCH($B1012,I_Items!$A$5:$A$133,0)))</f>
        <v>Uk 1.0</v>
      </c>
      <c r="G1012" s="76" t="n">
        <v>46244</v>
      </c>
      <c r="H1012" s="23" t="n">
        <f aca="false">MONTH(G1012)</f>
        <v>8</v>
      </c>
      <c r="I1012" s="74" t="s">
        <v>2075</v>
      </c>
      <c r="J1012" s="74" t="s">
        <v>2268</v>
      </c>
      <c r="K1012" s="10" t="n">
        <v>0</v>
      </c>
      <c r="L1012" s="8" t="n">
        <v>0</v>
      </c>
      <c r="M1012" s="10" t="n">
        <v>1007</v>
      </c>
      <c r="N1012" s="8" t="n">
        <v>32401403.19</v>
      </c>
      <c r="O1012" s="74" t="s">
        <v>2077</v>
      </c>
      <c r="P1012" s="74"/>
      <c r="Q1012" s="74"/>
      <c r="R1012" s="14" t="n">
        <f aca="false">IF(I1012="Unbilled",0,M1012)</f>
        <v>1007</v>
      </c>
      <c r="S1012" s="9" t="n">
        <f aca="false">IF(R1012=0,0,IF(O1012="Booked",N1012,R1012*V1011))</f>
        <v>32401403.1830695</v>
      </c>
      <c r="T1012" s="14" t="n">
        <f aca="false">IF(I1012="Opening",K1012,T1011+K1012-R1012)</f>
        <v>2303.1</v>
      </c>
      <c r="U1012" s="9" t="n">
        <f aca="false">IF(I1012="Opening",L1012,U1011+L1012-S1012)</f>
        <v>74104937.1111493</v>
      </c>
      <c r="V1012" s="9" t="n">
        <f aca="false">IF(T1012&gt;0,U1012/T1012,IF(I1012="Opening",0,V1011))</f>
        <v>32176.1699931177</v>
      </c>
      <c r="W1012" s="14" t="n">
        <f aca="false">M1012</f>
        <v>1007</v>
      </c>
      <c r="X1012" s="9" t="n">
        <f aca="false">IF(W1012=0,0,IF(O1012="Booked",N1012,W1012*AA1011))</f>
        <v>32401403.1830695</v>
      </c>
      <c r="Y1012" s="14" t="n">
        <f aca="false">IF(I1012="Opening",K1012,Y1011+K1012-W1012)</f>
        <v>2303.1</v>
      </c>
      <c r="Z1012" s="9" t="n">
        <f aca="false">IF(I1012="Opening",L1012,Z1011+L1012-X1012)</f>
        <v>74104937.1111493</v>
      </c>
      <c r="AA1012" s="9" t="n">
        <f aca="false">IF(Y1012&gt;0,Z1012/Y1012,IF(I1012="Opening",0,AA1011))</f>
        <v>32176.1699931177</v>
      </c>
      <c r="AB1012" s="9" t="n">
        <f aca="false">IF(AND(I1012="DO",O1012="MA"),S1012-N1012,0)</f>
        <v>-0.00693048909306526</v>
      </c>
      <c r="AC1012" s="9" t="n">
        <f aca="false">IF(I1012="DO",X1012-S1012,0)</f>
        <v>0</v>
      </c>
      <c r="AD1012" s="23" t="n">
        <f aca="false">IF(B1013&lt;&gt;B1012,1,0)</f>
        <v>0</v>
      </c>
      <c r="AE1012" s="14" t="n">
        <f aca="false">IF(I1012="Opening",0,AE1011+W1012)</f>
        <v>10516.95</v>
      </c>
      <c r="AF1012" s="14" t="n">
        <f aca="false">IF(I1012="Opening",K1012,AF1011)</f>
        <v>4102.05</v>
      </c>
      <c r="AG1012" s="14" t="n">
        <f aca="false">AG1011</f>
        <v>0</v>
      </c>
      <c r="AH1012" s="14" t="n">
        <f aca="false">IF(W1012=0,0,MAX(0,MIN(AE1012,AF1012)-MIN(AE1012-W1012,AF1012)))</f>
        <v>0</v>
      </c>
      <c r="AI1012" s="14" t="n">
        <f aca="false">IF(W1012=0,0,MAX(0,MIN(AE1012,AF1012+AG1012)-MAX(AE1012-W1012,AF1012)))</f>
        <v>0</v>
      </c>
      <c r="AJ1012" s="14" t="n">
        <f aca="false">W1012-AH1012-AI1012</f>
        <v>1007</v>
      </c>
      <c r="AK1012" s="9" t="n">
        <f aca="false">IF(W1012=0,0,X1012*AH1012/W1012)</f>
        <v>0</v>
      </c>
      <c r="AL1012" s="9" t="n">
        <f aca="false">IF(W1012=0,0,X1012*AI1012/W1012)</f>
        <v>0</v>
      </c>
      <c r="AM1012" s="9" t="n">
        <f aca="false">X1012-AK1012-AL1012</f>
        <v>32401403.1830695</v>
      </c>
    </row>
    <row r="1013" customFormat="false" ht="15" hidden="false" customHeight="false" outlineLevel="0" collapsed="false">
      <c r="A1013" s="6" t="n">
        <v>1008</v>
      </c>
      <c r="B1013" s="74" t="s">
        <v>1025</v>
      </c>
      <c r="C1013" s="53" t="str">
        <f aca="false">INDEX(I_Items!$C$5:$C$133,MATCH($B1013,I_Items!$A$5:$A$133,0))</f>
        <v>Trading</v>
      </c>
      <c r="D1013" s="53" t="str">
        <f aca="false">INDEX(I_Items!$D$5:$D$133,MATCH($B1013,I_Items!$A$5:$A$133,0))</f>
        <v>Karkas</v>
      </c>
      <c r="E1013" s="53" t="str">
        <f aca="false">INDEX(I_Items!$F$5:$F$133,MATCH($B1013,I_Items!$A$5:$A$133,0))</f>
        <v>Not stated in item master</v>
      </c>
      <c r="F1013" s="53" t="str">
        <f aca="false">IF(INDEX(I_Items!$E$5:$E$133,MATCH($B1013,I_Items!$A$5:$A$133,0))="","",INDEX(I_Items!$E$5:$E$133,MATCH($B1013,I_Items!$A$5:$A$133,0)))</f>
        <v>Uk 1.0</v>
      </c>
      <c r="G1013" s="76" t="n">
        <v>46244</v>
      </c>
      <c r="H1013" s="23" t="n">
        <f aca="false">MONTH(G1013)</f>
        <v>8</v>
      </c>
      <c r="I1013" s="74" t="s">
        <v>2075</v>
      </c>
      <c r="J1013" s="74" t="s">
        <v>2305</v>
      </c>
      <c r="K1013" s="10" t="n">
        <v>0</v>
      </c>
      <c r="L1013" s="8" t="n">
        <v>0</v>
      </c>
      <c r="M1013" s="10" t="n">
        <v>517.6</v>
      </c>
      <c r="N1013" s="8" t="n">
        <v>16654385.59</v>
      </c>
      <c r="O1013" s="74" t="s">
        <v>2077</v>
      </c>
      <c r="P1013" s="74"/>
      <c r="Q1013" s="74"/>
      <c r="R1013" s="14" t="n">
        <f aca="false">IF(I1013="Unbilled",0,M1013)</f>
        <v>517.6</v>
      </c>
      <c r="S1013" s="9" t="n">
        <f aca="false">IF(R1013=0,0,IF(O1013="Booked",N1013,R1013*V1012))</f>
        <v>16654385.5884377</v>
      </c>
      <c r="T1013" s="14" t="n">
        <f aca="false">IF(I1013="Opening",K1013,T1012+K1013-R1013)</f>
        <v>1785.5</v>
      </c>
      <c r="U1013" s="9" t="n">
        <f aca="false">IF(I1013="Opening",L1013,U1012+L1013-S1013)</f>
        <v>57450551.5227116</v>
      </c>
      <c r="V1013" s="9" t="n">
        <f aca="false">IF(T1013&gt;0,U1013/T1013,IF(I1013="Opening",0,V1012))</f>
        <v>32176.1699931177</v>
      </c>
      <c r="W1013" s="14" t="n">
        <f aca="false">M1013</f>
        <v>517.6</v>
      </c>
      <c r="X1013" s="9" t="n">
        <f aca="false">IF(W1013=0,0,IF(O1013="Booked",N1013,W1013*AA1012))</f>
        <v>16654385.5884377</v>
      </c>
      <c r="Y1013" s="14" t="n">
        <f aca="false">IF(I1013="Opening",K1013,Y1012+K1013-W1013)</f>
        <v>1785.5</v>
      </c>
      <c r="Z1013" s="9" t="n">
        <f aca="false">IF(I1013="Opening",L1013,Z1012+L1013-X1013)</f>
        <v>57450551.5227116</v>
      </c>
      <c r="AA1013" s="9" t="n">
        <f aca="false">IF(Y1013&gt;0,Z1013/Y1013,IF(I1013="Opening",0,AA1012))</f>
        <v>32176.1699931177</v>
      </c>
      <c r="AB1013" s="9" t="n">
        <f aca="false">IF(AND(I1013="DO",O1013="MA"),S1013-N1013,0)</f>
        <v>-0.00156228430569172</v>
      </c>
      <c r="AC1013" s="9" t="n">
        <f aca="false">IF(I1013="DO",X1013-S1013,0)</f>
        <v>0</v>
      </c>
      <c r="AD1013" s="23" t="n">
        <f aca="false">IF(B1014&lt;&gt;B1013,1,0)</f>
        <v>0</v>
      </c>
      <c r="AE1013" s="14" t="n">
        <f aca="false">IF(I1013="Opening",0,AE1012+W1013)</f>
        <v>11034.55</v>
      </c>
      <c r="AF1013" s="14" t="n">
        <f aca="false">IF(I1013="Opening",K1013,AF1012)</f>
        <v>4102.05</v>
      </c>
      <c r="AG1013" s="14" t="n">
        <f aca="false">AG1012</f>
        <v>0</v>
      </c>
      <c r="AH1013" s="14" t="n">
        <f aca="false">IF(W1013=0,0,MAX(0,MIN(AE1013,AF1013)-MIN(AE1013-W1013,AF1013)))</f>
        <v>0</v>
      </c>
      <c r="AI1013" s="14" t="n">
        <f aca="false">IF(W1013=0,0,MAX(0,MIN(AE1013,AF1013+AG1013)-MAX(AE1013-W1013,AF1013)))</f>
        <v>0</v>
      </c>
      <c r="AJ1013" s="14" t="n">
        <f aca="false">W1013-AH1013-AI1013</f>
        <v>517.6</v>
      </c>
      <c r="AK1013" s="9" t="n">
        <f aca="false">IF(W1013=0,0,X1013*AH1013/W1013)</f>
        <v>0</v>
      </c>
      <c r="AL1013" s="9" t="n">
        <f aca="false">IF(W1013=0,0,X1013*AI1013/W1013)</f>
        <v>0</v>
      </c>
      <c r="AM1013" s="9" t="n">
        <f aca="false">X1013-AK1013-AL1013</f>
        <v>16654385.5884377</v>
      </c>
    </row>
    <row r="1014" customFormat="false" ht="15" hidden="false" customHeight="false" outlineLevel="0" collapsed="false">
      <c r="A1014" s="6" t="n">
        <v>1009</v>
      </c>
      <c r="B1014" s="74" t="s">
        <v>1025</v>
      </c>
      <c r="C1014" s="53" t="str">
        <f aca="false">INDEX(I_Items!$C$5:$C$133,MATCH($B1014,I_Items!$A$5:$A$133,0))</f>
        <v>Trading</v>
      </c>
      <c r="D1014" s="53" t="str">
        <f aca="false">INDEX(I_Items!$D$5:$D$133,MATCH($B1014,I_Items!$A$5:$A$133,0))</f>
        <v>Karkas</v>
      </c>
      <c r="E1014" s="53" t="str">
        <f aca="false">INDEX(I_Items!$F$5:$F$133,MATCH($B1014,I_Items!$A$5:$A$133,0))</f>
        <v>Not stated in item master</v>
      </c>
      <c r="F1014" s="53" t="str">
        <f aca="false">IF(INDEX(I_Items!$E$5:$E$133,MATCH($B1014,I_Items!$A$5:$A$133,0))="","",INDEX(I_Items!$E$5:$E$133,MATCH($B1014,I_Items!$A$5:$A$133,0)))</f>
        <v>Uk 1.0</v>
      </c>
      <c r="G1014" s="76" t="n">
        <v>46247</v>
      </c>
      <c r="H1014" s="23" t="n">
        <f aca="false">MONTH(G1014)</f>
        <v>8</v>
      </c>
      <c r="I1014" s="74" t="s">
        <v>2075</v>
      </c>
      <c r="J1014" s="74" t="s">
        <v>2284</v>
      </c>
      <c r="K1014" s="10" t="n">
        <v>0</v>
      </c>
      <c r="L1014" s="8" t="n">
        <v>0</v>
      </c>
      <c r="M1014" s="10" t="n">
        <v>899.1</v>
      </c>
      <c r="N1014" s="8" t="n">
        <v>28929594.45</v>
      </c>
      <c r="O1014" s="74" t="s">
        <v>2077</v>
      </c>
      <c r="P1014" s="74"/>
      <c r="Q1014" s="74"/>
      <c r="R1014" s="14" t="n">
        <f aca="false">IF(I1014="Unbilled",0,M1014)</f>
        <v>899.1</v>
      </c>
      <c r="S1014" s="9" t="n">
        <f aca="false">IF(R1014=0,0,IF(O1014="Booked",N1014,R1014*V1013))</f>
        <v>28929594.4408121</v>
      </c>
      <c r="T1014" s="14" t="n">
        <f aca="false">IF(I1014="Opening",K1014,T1013+K1014-R1014)</f>
        <v>886.4</v>
      </c>
      <c r="U1014" s="9" t="n">
        <f aca="false">IF(I1014="Opening",L1014,U1013+L1014-S1014)</f>
        <v>28520957.0818995</v>
      </c>
      <c r="V1014" s="9" t="n">
        <f aca="false">IF(T1014&gt;0,U1014/T1014,IF(I1014="Opening",0,V1013))</f>
        <v>32176.1699931177</v>
      </c>
      <c r="W1014" s="14" t="n">
        <f aca="false">M1014</f>
        <v>899.1</v>
      </c>
      <c r="X1014" s="9" t="n">
        <f aca="false">IF(W1014=0,0,IF(O1014="Booked",N1014,W1014*AA1013))</f>
        <v>28929594.4408121</v>
      </c>
      <c r="Y1014" s="14" t="n">
        <f aca="false">IF(I1014="Opening",K1014,Y1013+K1014-W1014)</f>
        <v>886.4</v>
      </c>
      <c r="Z1014" s="9" t="n">
        <f aca="false">IF(I1014="Opening",L1014,Z1013+L1014-X1014)</f>
        <v>28520957.0818995</v>
      </c>
      <c r="AA1014" s="9" t="n">
        <f aca="false">IF(Y1014&gt;0,Z1014/Y1014,IF(I1014="Opening",0,AA1013))</f>
        <v>32176.1699931177</v>
      </c>
      <c r="AB1014" s="9" t="n">
        <f aca="false">IF(AND(I1014="DO",O1014="MA"),S1014-N1014,0)</f>
        <v>-0.00918788835406303</v>
      </c>
      <c r="AC1014" s="9" t="n">
        <f aca="false">IF(I1014="DO",X1014-S1014,0)</f>
        <v>0</v>
      </c>
      <c r="AD1014" s="23" t="n">
        <f aca="false">IF(B1015&lt;&gt;B1014,1,0)</f>
        <v>0</v>
      </c>
      <c r="AE1014" s="14" t="n">
        <f aca="false">IF(I1014="Opening",0,AE1013+W1014)</f>
        <v>11933.65</v>
      </c>
      <c r="AF1014" s="14" t="n">
        <f aca="false">IF(I1014="Opening",K1014,AF1013)</f>
        <v>4102.05</v>
      </c>
      <c r="AG1014" s="14" t="n">
        <f aca="false">AG1013</f>
        <v>0</v>
      </c>
      <c r="AH1014" s="14" t="n">
        <f aca="false">IF(W1014=0,0,MAX(0,MIN(AE1014,AF1014)-MIN(AE1014-W1014,AF1014)))</f>
        <v>0</v>
      </c>
      <c r="AI1014" s="14" t="n">
        <f aca="false">IF(W1014=0,0,MAX(0,MIN(AE1014,AF1014+AG1014)-MAX(AE1014-W1014,AF1014)))</f>
        <v>0</v>
      </c>
      <c r="AJ1014" s="14" t="n">
        <f aca="false">W1014-AH1014-AI1014</f>
        <v>899.1</v>
      </c>
      <c r="AK1014" s="9" t="n">
        <f aca="false">IF(W1014=0,0,X1014*AH1014/W1014)</f>
        <v>0</v>
      </c>
      <c r="AL1014" s="9" t="n">
        <f aca="false">IF(W1014=0,0,X1014*AI1014/W1014)</f>
        <v>0</v>
      </c>
      <c r="AM1014" s="9" t="n">
        <f aca="false">X1014-AK1014-AL1014</f>
        <v>28929594.4408121</v>
      </c>
    </row>
    <row r="1015" customFormat="false" ht="15" hidden="false" customHeight="false" outlineLevel="0" collapsed="false">
      <c r="A1015" s="6" t="n">
        <v>1010</v>
      </c>
      <c r="B1015" s="74" t="s">
        <v>1025</v>
      </c>
      <c r="C1015" s="53" t="str">
        <f aca="false">INDEX(I_Items!$C$5:$C$133,MATCH($B1015,I_Items!$A$5:$A$133,0))</f>
        <v>Trading</v>
      </c>
      <c r="D1015" s="53" t="str">
        <f aca="false">INDEX(I_Items!$D$5:$D$133,MATCH($B1015,I_Items!$A$5:$A$133,0))</f>
        <v>Karkas</v>
      </c>
      <c r="E1015" s="53" t="str">
        <f aca="false">INDEX(I_Items!$F$5:$F$133,MATCH($B1015,I_Items!$A$5:$A$133,0))</f>
        <v>Not stated in item master</v>
      </c>
      <c r="F1015" s="53" t="str">
        <f aca="false">IF(INDEX(I_Items!$E$5:$E$133,MATCH($B1015,I_Items!$A$5:$A$133,0))="","",INDEX(I_Items!$E$5:$E$133,MATCH($B1015,I_Items!$A$5:$A$133,0)))</f>
        <v>Uk 1.0</v>
      </c>
      <c r="G1015" s="76" t="n">
        <v>46248</v>
      </c>
      <c r="H1015" s="23" t="n">
        <f aca="false">MONTH(G1015)</f>
        <v>8</v>
      </c>
      <c r="I1015" s="74" t="s">
        <v>2075</v>
      </c>
      <c r="J1015" s="74" t="s">
        <v>2308</v>
      </c>
      <c r="K1015" s="10" t="n">
        <v>0</v>
      </c>
      <c r="L1015" s="8" t="n">
        <v>0</v>
      </c>
      <c r="M1015" s="10" t="n">
        <v>146.9</v>
      </c>
      <c r="N1015" s="8" t="n">
        <v>4726679.37</v>
      </c>
      <c r="O1015" s="74" t="s">
        <v>2077</v>
      </c>
      <c r="P1015" s="74"/>
      <c r="Q1015" s="74"/>
      <c r="R1015" s="14" t="n">
        <f aca="false">IF(I1015="Unbilled",0,M1015)</f>
        <v>146.9</v>
      </c>
      <c r="S1015" s="9" t="n">
        <f aca="false">IF(R1015=0,0,IF(O1015="Booked",N1015,R1015*V1014))</f>
        <v>4726679.37198899</v>
      </c>
      <c r="T1015" s="14" t="n">
        <f aca="false">IF(I1015="Opening",K1015,T1014+K1015-R1015)</f>
        <v>739.5</v>
      </c>
      <c r="U1015" s="9" t="n">
        <f aca="false">IF(I1015="Opening",L1015,U1014+L1015-S1015)</f>
        <v>23794277.7099105</v>
      </c>
      <c r="V1015" s="9" t="n">
        <f aca="false">IF(T1015&gt;0,U1015/T1015,IF(I1015="Opening",0,V1014))</f>
        <v>32176.1699931177</v>
      </c>
      <c r="W1015" s="14" t="n">
        <f aca="false">M1015</f>
        <v>146.9</v>
      </c>
      <c r="X1015" s="9" t="n">
        <f aca="false">IF(W1015=0,0,IF(O1015="Booked",N1015,W1015*AA1014))</f>
        <v>4726679.37198899</v>
      </c>
      <c r="Y1015" s="14" t="n">
        <f aca="false">IF(I1015="Opening",K1015,Y1014+K1015-W1015)</f>
        <v>739.5</v>
      </c>
      <c r="Z1015" s="9" t="n">
        <f aca="false">IF(I1015="Opening",L1015,Z1014+L1015-X1015)</f>
        <v>23794277.7099105</v>
      </c>
      <c r="AA1015" s="9" t="n">
        <f aca="false">IF(Y1015&gt;0,Z1015/Y1015,IF(I1015="Opening",0,AA1014))</f>
        <v>32176.1699931177</v>
      </c>
      <c r="AB1015" s="9" t="n">
        <f aca="false">IF(AND(I1015="DO",O1015="MA"),S1015-N1015,0)</f>
        <v>0.00198898836970329</v>
      </c>
      <c r="AC1015" s="9" t="n">
        <f aca="false">IF(I1015="DO",X1015-S1015,0)</f>
        <v>0</v>
      </c>
      <c r="AD1015" s="23" t="n">
        <f aca="false">IF(B1016&lt;&gt;B1015,1,0)</f>
        <v>0</v>
      </c>
      <c r="AE1015" s="14" t="n">
        <f aca="false">IF(I1015="Opening",0,AE1014+W1015)</f>
        <v>12080.55</v>
      </c>
      <c r="AF1015" s="14" t="n">
        <f aca="false">IF(I1015="Opening",K1015,AF1014)</f>
        <v>4102.05</v>
      </c>
      <c r="AG1015" s="14" t="n">
        <f aca="false">AG1014</f>
        <v>0</v>
      </c>
      <c r="AH1015" s="14" t="n">
        <f aca="false">IF(W1015=0,0,MAX(0,MIN(AE1015,AF1015)-MIN(AE1015-W1015,AF1015)))</f>
        <v>0</v>
      </c>
      <c r="AI1015" s="14" t="n">
        <f aca="false">IF(W1015=0,0,MAX(0,MIN(AE1015,AF1015+AG1015)-MAX(AE1015-W1015,AF1015)))</f>
        <v>0</v>
      </c>
      <c r="AJ1015" s="14" t="n">
        <f aca="false">W1015-AH1015-AI1015</f>
        <v>146.9</v>
      </c>
      <c r="AK1015" s="9" t="n">
        <f aca="false">IF(W1015=0,0,X1015*AH1015/W1015)</f>
        <v>0</v>
      </c>
      <c r="AL1015" s="9" t="n">
        <f aca="false">IF(W1015=0,0,X1015*AI1015/W1015)</f>
        <v>0</v>
      </c>
      <c r="AM1015" s="9" t="n">
        <f aca="false">X1015-AK1015-AL1015</f>
        <v>4726679.37198899</v>
      </c>
    </row>
    <row r="1016" customFormat="false" ht="15" hidden="false" customHeight="false" outlineLevel="0" collapsed="false">
      <c r="A1016" s="6" t="n">
        <v>1011</v>
      </c>
      <c r="B1016" s="74" t="s">
        <v>1025</v>
      </c>
      <c r="C1016" s="53" t="str">
        <f aca="false">INDEX(I_Items!$C$5:$C$133,MATCH($B1016,I_Items!$A$5:$A$133,0))</f>
        <v>Trading</v>
      </c>
      <c r="D1016" s="53" t="str">
        <f aca="false">INDEX(I_Items!$D$5:$D$133,MATCH($B1016,I_Items!$A$5:$A$133,0))</f>
        <v>Karkas</v>
      </c>
      <c r="E1016" s="53" t="str">
        <f aca="false">INDEX(I_Items!$F$5:$F$133,MATCH($B1016,I_Items!$A$5:$A$133,0))</f>
        <v>Not stated in item master</v>
      </c>
      <c r="F1016" s="53" t="str">
        <f aca="false">IF(INDEX(I_Items!$E$5:$E$133,MATCH($B1016,I_Items!$A$5:$A$133,0))="","",INDEX(I_Items!$E$5:$E$133,MATCH($B1016,I_Items!$A$5:$A$133,0)))</f>
        <v>Uk 1.0</v>
      </c>
      <c r="G1016" s="76" t="n">
        <v>46248</v>
      </c>
      <c r="H1016" s="23" t="n">
        <f aca="false">MONTH(G1016)</f>
        <v>8</v>
      </c>
      <c r="I1016" s="74" t="s">
        <v>2117</v>
      </c>
      <c r="J1016" s="74" t="s">
        <v>2146</v>
      </c>
      <c r="K1016" s="10" t="n">
        <v>146.9</v>
      </c>
      <c r="L1016" s="8" t="n">
        <v>4726679.37</v>
      </c>
      <c r="M1016" s="10" t="n">
        <v>0</v>
      </c>
      <c r="N1016" s="8" t="n">
        <v>0</v>
      </c>
      <c r="O1016" s="74" t="s">
        <v>2119</v>
      </c>
      <c r="P1016" s="74"/>
      <c r="Q1016" s="74"/>
      <c r="R1016" s="14" t="n">
        <f aca="false">IF(I1016="Unbilled",0,M1016)</f>
        <v>0</v>
      </c>
      <c r="S1016" s="9" t="n">
        <f aca="false">IF(R1016=0,0,IF(O1016="Booked",N1016,R1016*V1015))</f>
        <v>0</v>
      </c>
      <c r="T1016" s="14" t="n">
        <f aca="false">IF(I1016="Opening",K1016,T1015+K1016-R1016)</f>
        <v>886.4</v>
      </c>
      <c r="U1016" s="9" t="n">
        <f aca="false">IF(I1016="Opening",L1016,U1015+L1016-S1016)</f>
        <v>28520957.0799105</v>
      </c>
      <c r="V1016" s="9" t="n">
        <f aca="false">IF(T1016&gt;0,U1016/T1016,IF(I1016="Opening",0,V1015))</f>
        <v>32176.1699908738</v>
      </c>
      <c r="W1016" s="14" t="n">
        <f aca="false">M1016</f>
        <v>0</v>
      </c>
      <c r="X1016" s="9" t="n">
        <f aca="false">IF(W1016=0,0,IF(O1016="Booked",N1016,W1016*AA1015))</f>
        <v>0</v>
      </c>
      <c r="Y1016" s="14" t="n">
        <f aca="false">IF(I1016="Opening",K1016,Y1015+K1016-W1016)</f>
        <v>886.4</v>
      </c>
      <c r="Z1016" s="9" t="n">
        <f aca="false">IF(I1016="Opening",L1016,Z1015+L1016-X1016)</f>
        <v>28520957.0799105</v>
      </c>
      <c r="AA1016" s="9" t="n">
        <f aca="false">IF(Y1016&gt;0,Z1016/Y1016,IF(I1016="Opening",0,AA1015))</f>
        <v>32176.1699908738</v>
      </c>
      <c r="AB1016" s="9" t="n">
        <f aca="false">IF(AND(I1016="DO",O1016="MA"),S1016-N1016,0)</f>
        <v>0</v>
      </c>
      <c r="AC1016" s="9" t="n">
        <f aca="false">IF(I1016="DO",X1016-S1016,0)</f>
        <v>0</v>
      </c>
      <c r="AD1016" s="23" t="n">
        <f aca="false">IF(B1017&lt;&gt;B1016,1,0)</f>
        <v>0</v>
      </c>
      <c r="AE1016" s="14" t="n">
        <f aca="false">IF(I1016="Opening",0,AE1015+W1016)</f>
        <v>12080.55</v>
      </c>
      <c r="AF1016" s="14" t="n">
        <f aca="false">IF(I1016="Opening",K1016,AF1015)</f>
        <v>4102.05</v>
      </c>
      <c r="AG1016" s="14" t="n">
        <f aca="false">AG1015</f>
        <v>0</v>
      </c>
      <c r="AH1016" s="14" t="n">
        <f aca="false">IF(W1016=0,0,MAX(0,MIN(AE1016,AF1016)-MIN(AE1016-W1016,AF1016)))</f>
        <v>0</v>
      </c>
      <c r="AI1016" s="14" t="n">
        <f aca="false">IF(W1016=0,0,MAX(0,MIN(AE1016,AF1016+AG1016)-MAX(AE1016-W1016,AF1016)))</f>
        <v>0</v>
      </c>
      <c r="AJ1016" s="14" t="n">
        <f aca="false">W1016-AH1016-AI1016</f>
        <v>0</v>
      </c>
      <c r="AK1016" s="9" t="n">
        <f aca="false">IF(W1016=0,0,X1016*AH1016/W1016)</f>
        <v>0</v>
      </c>
      <c r="AL1016" s="9" t="n">
        <f aca="false">IF(W1016=0,0,X1016*AI1016/W1016)</f>
        <v>0</v>
      </c>
      <c r="AM1016" s="9" t="n">
        <f aca="false">X1016-AK1016-AL1016</f>
        <v>0</v>
      </c>
    </row>
    <row r="1017" customFormat="false" ht="15" hidden="false" customHeight="false" outlineLevel="0" collapsed="false">
      <c r="A1017" s="6" t="n">
        <v>1012</v>
      </c>
      <c r="B1017" s="74" t="s">
        <v>1025</v>
      </c>
      <c r="C1017" s="53" t="str">
        <f aca="false">INDEX(I_Items!$C$5:$C$133,MATCH($B1017,I_Items!$A$5:$A$133,0))</f>
        <v>Trading</v>
      </c>
      <c r="D1017" s="53" t="str">
        <f aca="false">INDEX(I_Items!$D$5:$D$133,MATCH($B1017,I_Items!$A$5:$A$133,0))</f>
        <v>Karkas</v>
      </c>
      <c r="E1017" s="53" t="str">
        <f aca="false">INDEX(I_Items!$F$5:$F$133,MATCH($B1017,I_Items!$A$5:$A$133,0))</f>
        <v>Not stated in item master</v>
      </c>
      <c r="F1017" s="53" t="str">
        <f aca="false">IF(INDEX(I_Items!$E$5:$E$133,MATCH($B1017,I_Items!$A$5:$A$133,0))="","",INDEX(I_Items!$E$5:$E$133,MATCH($B1017,I_Items!$A$5:$A$133,0)))</f>
        <v>Uk 1.0</v>
      </c>
      <c r="G1017" s="76" t="n">
        <v>46248</v>
      </c>
      <c r="H1017" s="23" t="n">
        <f aca="false">MONTH(G1017)</f>
        <v>8</v>
      </c>
      <c r="I1017" s="74" t="s">
        <v>89</v>
      </c>
      <c r="J1017" s="74" t="s">
        <v>2335</v>
      </c>
      <c r="K1017" s="10" t="n">
        <v>0</v>
      </c>
      <c r="L1017" s="8" t="n">
        <v>0</v>
      </c>
      <c r="M1017" s="13" t="n">
        <f aca="false">INDEX(Unbilled!$K$22:$K$38,MATCH($Q1017,Unbilled!$B$22:$B$38,0))</f>
        <v>788.1</v>
      </c>
      <c r="N1017" s="8" t="n">
        <v>0</v>
      </c>
      <c r="O1017" s="74" t="s">
        <v>2077</v>
      </c>
      <c r="P1017" s="74"/>
      <c r="Q1017" s="74" t="s">
        <v>1128</v>
      </c>
      <c r="R1017" s="14" t="n">
        <f aca="false">IF(I1017="Unbilled",0,M1017)</f>
        <v>0</v>
      </c>
      <c r="S1017" s="9" t="n">
        <f aca="false">IF(R1017=0,0,IF(O1017="Booked",N1017,R1017*V1016))</f>
        <v>0</v>
      </c>
      <c r="T1017" s="14" t="n">
        <f aca="false">IF(I1017="Opening",K1017,T1016+K1017-R1017)</f>
        <v>886.4</v>
      </c>
      <c r="U1017" s="9" t="n">
        <f aca="false">IF(I1017="Opening",L1017,U1016+L1017-S1017)</f>
        <v>28520957.0799105</v>
      </c>
      <c r="V1017" s="9" t="n">
        <f aca="false">IF(T1017&gt;0,U1017/T1017,IF(I1017="Opening",0,V1016))</f>
        <v>32176.1699908738</v>
      </c>
      <c r="W1017" s="14" t="n">
        <f aca="false">M1017</f>
        <v>788.1</v>
      </c>
      <c r="X1017" s="9" t="n">
        <f aca="false">IF(W1017=0,0,IF(O1017="Booked",N1017,W1017*AA1016))</f>
        <v>25358039.5698076</v>
      </c>
      <c r="Y1017" s="14" t="n">
        <f aca="false">IF(I1017="Opening",K1017,Y1016+K1017-W1017)</f>
        <v>98.3</v>
      </c>
      <c r="Z1017" s="9" t="n">
        <f aca="false">IF(I1017="Opening",L1017,Z1016+L1017-X1017)</f>
        <v>3162917.51010289</v>
      </c>
      <c r="AA1017" s="9" t="n">
        <f aca="false">IF(Y1017&gt;0,Z1017/Y1017,IF(I1017="Opening",0,AA1016))</f>
        <v>32176.1699908738</v>
      </c>
      <c r="AB1017" s="9" t="n">
        <f aca="false">IF(AND(I1017="DO",O1017="MA"),S1017-N1017,0)</f>
        <v>0</v>
      </c>
      <c r="AC1017" s="9" t="n">
        <f aca="false">IF(I1017="DO",X1017-S1017,0)</f>
        <v>0</v>
      </c>
      <c r="AD1017" s="23" t="n">
        <f aca="false">IF(B1018&lt;&gt;B1017,1,0)</f>
        <v>0</v>
      </c>
      <c r="AE1017" s="14" t="n">
        <f aca="false">IF(I1017="Opening",0,AE1016+W1017)</f>
        <v>12868.65</v>
      </c>
      <c r="AF1017" s="14" t="n">
        <f aca="false">IF(I1017="Opening",K1017,AF1016)</f>
        <v>4102.05</v>
      </c>
      <c r="AG1017" s="14" t="n">
        <f aca="false">AG1016</f>
        <v>0</v>
      </c>
      <c r="AH1017" s="14" t="n">
        <f aca="false">IF(W1017=0,0,MAX(0,MIN(AE1017,AF1017)-MIN(AE1017-W1017,AF1017)))</f>
        <v>0</v>
      </c>
      <c r="AI1017" s="14" t="n">
        <f aca="false">IF(W1017=0,0,MAX(0,MIN(AE1017,AF1017+AG1017)-MAX(AE1017-W1017,AF1017)))</f>
        <v>0</v>
      </c>
      <c r="AJ1017" s="14" t="n">
        <f aca="false">W1017-AH1017-AI1017</f>
        <v>788.1</v>
      </c>
      <c r="AK1017" s="9" t="n">
        <f aca="false">IF(W1017=0,0,X1017*AH1017/W1017)</f>
        <v>0</v>
      </c>
      <c r="AL1017" s="9" t="n">
        <f aca="false">IF(W1017=0,0,X1017*AI1017/W1017)</f>
        <v>0</v>
      </c>
      <c r="AM1017" s="9" t="n">
        <f aca="false">X1017-AK1017-AL1017</f>
        <v>25358039.5698076</v>
      </c>
    </row>
    <row r="1018" customFormat="false" ht="15" hidden="false" customHeight="false" outlineLevel="0" collapsed="false">
      <c r="A1018" s="6" t="n">
        <v>1013</v>
      </c>
      <c r="B1018" s="74" t="s">
        <v>1025</v>
      </c>
      <c r="C1018" s="53" t="str">
        <f aca="false">INDEX(I_Items!$C$5:$C$133,MATCH($B1018,I_Items!$A$5:$A$133,0))</f>
        <v>Trading</v>
      </c>
      <c r="D1018" s="53" t="str">
        <f aca="false">INDEX(I_Items!$D$5:$D$133,MATCH($B1018,I_Items!$A$5:$A$133,0))</f>
        <v>Karkas</v>
      </c>
      <c r="E1018" s="53" t="str">
        <f aca="false">INDEX(I_Items!$F$5:$F$133,MATCH($B1018,I_Items!$A$5:$A$133,0))</f>
        <v>Not stated in item master</v>
      </c>
      <c r="F1018" s="53" t="str">
        <f aca="false">IF(INDEX(I_Items!$E$5:$E$133,MATCH($B1018,I_Items!$A$5:$A$133,0))="","",INDEX(I_Items!$E$5:$E$133,MATCH($B1018,I_Items!$A$5:$A$133,0)))</f>
        <v>Uk 1.0</v>
      </c>
      <c r="G1018" s="76" t="n">
        <v>46249</v>
      </c>
      <c r="H1018" s="23" t="n">
        <f aca="false">MONTH(G1018)</f>
        <v>8</v>
      </c>
      <c r="I1018" s="74" t="s">
        <v>2075</v>
      </c>
      <c r="J1018" s="74" t="s">
        <v>2288</v>
      </c>
      <c r="K1018" s="10" t="n">
        <v>0</v>
      </c>
      <c r="L1018" s="8" t="n">
        <v>0</v>
      </c>
      <c r="M1018" s="10" t="n">
        <v>687.79</v>
      </c>
      <c r="N1018" s="8" t="n">
        <v>22130447.96</v>
      </c>
      <c r="O1018" s="74" t="s">
        <v>2077</v>
      </c>
      <c r="P1018" s="74"/>
      <c r="Q1018" s="74"/>
      <c r="R1018" s="14" t="n">
        <f aca="false">IF(I1018="Unbilled",0,M1018)</f>
        <v>687.79</v>
      </c>
      <c r="S1018" s="9" t="n">
        <f aca="false">IF(R1018=0,0,IF(O1018="Booked",N1018,R1018*V1017))</f>
        <v>22130447.9580231</v>
      </c>
      <c r="T1018" s="14" t="n">
        <f aca="false">IF(I1018="Opening",K1018,T1017+K1018-R1018)</f>
        <v>198.61</v>
      </c>
      <c r="U1018" s="9" t="n">
        <f aca="false">IF(I1018="Opening",L1018,U1017+L1018-S1018)</f>
        <v>6390509.12188745</v>
      </c>
      <c r="V1018" s="9" t="n">
        <f aca="false">IF(T1018&gt;0,U1018/T1018,IF(I1018="Opening",0,V1017))</f>
        <v>32176.1699908738</v>
      </c>
      <c r="W1018" s="14" t="n">
        <f aca="false">M1018</f>
        <v>687.79</v>
      </c>
      <c r="X1018" s="9" t="n">
        <f aca="false">IF(W1018=0,0,IF(O1018="Booked",N1018,W1018*AA1017))</f>
        <v>22130447.9580231</v>
      </c>
      <c r="Y1018" s="14" t="n">
        <f aca="false">IF(I1018="Opening",K1018,Y1017+K1018-W1018)</f>
        <v>-589.49</v>
      </c>
      <c r="Z1018" s="9" t="n">
        <f aca="false">IF(I1018="Opening",L1018,Z1017+L1018-X1018)</f>
        <v>-18967530.4479202</v>
      </c>
      <c r="AA1018" s="9" t="n">
        <f aca="false">IF(Y1018&gt;0,Z1018/Y1018,IF(I1018="Opening",0,AA1017))</f>
        <v>32176.1699908738</v>
      </c>
      <c r="AB1018" s="9" t="n">
        <f aca="false">IF(AND(I1018="DO",O1018="MA"),S1018-N1018,0)</f>
        <v>-0.00197691842913628</v>
      </c>
      <c r="AC1018" s="9" t="n">
        <f aca="false">IF(I1018="DO",X1018-S1018,0)</f>
        <v>0</v>
      </c>
      <c r="AD1018" s="23" t="n">
        <f aca="false">IF(B1019&lt;&gt;B1018,1,0)</f>
        <v>0</v>
      </c>
      <c r="AE1018" s="14" t="n">
        <f aca="false">IF(I1018="Opening",0,AE1017+W1018)</f>
        <v>13556.44</v>
      </c>
      <c r="AF1018" s="14" t="n">
        <f aca="false">IF(I1018="Opening",K1018,AF1017)</f>
        <v>4102.05</v>
      </c>
      <c r="AG1018" s="14" t="n">
        <f aca="false">AG1017</f>
        <v>0</v>
      </c>
      <c r="AH1018" s="14" t="n">
        <f aca="false">IF(W1018=0,0,MAX(0,MIN(AE1018,AF1018)-MIN(AE1018-W1018,AF1018)))</f>
        <v>0</v>
      </c>
      <c r="AI1018" s="14" t="n">
        <f aca="false">IF(W1018=0,0,MAX(0,MIN(AE1018,AF1018+AG1018)-MAX(AE1018-W1018,AF1018)))</f>
        <v>0</v>
      </c>
      <c r="AJ1018" s="14" t="n">
        <f aca="false">W1018-AH1018-AI1018</f>
        <v>687.79</v>
      </c>
      <c r="AK1018" s="9" t="n">
        <f aca="false">IF(W1018=0,0,X1018*AH1018/W1018)</f>
        <v>0</v>
      </c>
      <c r="AL1018" s="9" t="n">
        <f aca="false">IF(W1018=0,0,X1018*AI1018/W1018)</f>
        <v>0</v>
      </c>
      <c r="AM1018" s="9" t="n">
        <f aca="false">X1018-AK1018-AL1018</f>
        <v>22130447.9580231</v>
      </c>
    </row>
    <row r="1019" customFormat="false" ht="15" hidden="false" customHeight="false" outlineLevel="0" collapsed="false">
      <c r="A1019" s="6" t="n">
        <v>1014</v>
      </c>
      <c r="B1019" s="74" t="s">
        <v>1025</v>
      </c>
      <c r="C1019" s="53" t="str">
        <f aca="false">INDEX(I_Items!$C$5:$C$133,MATCH($B1019,I_Items!$A$5:$A$133,0))</f>
        <v>Trading</v>
      </c>
      <c r="D1019" s="53" t="str">
        <f aca="false">INDEX(I_Items!$D$5:$D$133,MATCH($B1019,I_Items!$A$5:$A$133,0))</f>
        <v>Karkas</v>
      </c>
      <c r="E1019" s="53" t="str">
        <f aca="false">INDEX(I_Items!$F$5:$F$133,MATCH($B1019,I_Items!$A$5:$A$133,0))</f>
        <v>Not stated in item master</v>
      </c>
      <c r="F1019" s="53" t="str">
        <f aca="false">IF(INDEX(I_Items!$E$5:$E$133,MATCH($B1019,I_Items!$A$5:$A$133,0))="","",INDEX(I_Items!$E$5:$E$133,MATCH($B1019,I_Items!$A$5:$A$133,0)))</f>
        <v>Uk 1.0</v>
      </c>
      <c r="G1019" s="76" t="n">
        <v>46249</v>
      </c>
      <c r="H1019" s="23" t="n">
        <f aca="false">MONTH(G1019)</f>
        <v>8</v>
      </c>
      <c r="I1019" s="74" t="s">
        <v>2074</v>
      </c>
      <c r="J1019" s="74" t="s">
        <v>2300</v>
      </c>
      <c r="K1019" s="10" t="n">
        <v>687.79</v>
      </c>
      <c r="L1019" s="8" t="n">
        <v>20668401.41</v>
      </c>
      <c r="M1019" s="10" t="n">
        <v>0</v>
      </c>
      <c r="N1019" s="8" t="n">
        <v>0</v>
      </c>
      <c r="O1019" s="74"/>
      <c r="P1019" s="74"/>
      <c r="Q1019" s="74"/>
      <c r="R1019" s="14" t="n">
        <f aca="false">IF(I1019="Unbilled",0,M1019)</f>
        <v>0</v>
      </c>
      <c r="S1019" s="9" t="n">
        <f aca="false">IF(R1019=0,0,IF(O1019="Booked",N1019,R1019*V1018))</f>
        <v>0</v>
      </c>
      <c r="T1019" s="14" t="n">
        <f aca="false">IF(I1019="Opening",K1019,T1018+K1019-R1019)</f>
        <v>886.4</v>
      </c>
      <c r="U1019" s="9" t="n">
        <f aca="false">IF(I1019="Opening",L1019,U1018+L1019-S1019)</f>
        <v>27058910.5318874</v>
      </c>
      <c r="V1019" s="9" t="n">
        <f aca="false">IF(T1019&gt;0,U1019/T1019,IF(I1019="Opening",0,V1018))</f>
        <v>30526.7492462629</v>
      </c>
      <c r="W1019" s="14" t="n">
        <f aca="false">M1019</f>
        <v>0</v>
      </c>
      <c r="X1019" s="9" t="n">
        <f aca="false">IF(W1019=0,0,IF(O1019="Booked",N1019,W1019*AA1018))</f>
        <v>0</v>
      </c>
      <c r="Y1019" s="14" t="n">
        <f aca="false">IF(I1019="Opening",K1019,Y1018+K1019-W1019)</f>
        <v>98.3</v>
      </c>
      <c r="Z1019" s="9" t="n">
        <f aca="false">IF(I1019="Opening",L1019,Z1018+L1019-X1019)</f>
        <v>1700870.9620798</v>
      </c>
      <c r="AA1019" s="9" t="n">
        <f aca="false">IF(Y1019&gt;0,Z1019/Y1019,IF(I1019="Opening",0,AA1018))</f>
        <v>17302.8582103743</v>
      </c>
      <c r="AB1019" s="9" t="n">
        <f aca="false">IF(AND(I1019="DO",O1019="MA"),S1019-N1019,0)</f>
        <v>0</v>
      </c>
      <c r="AC1019" s="9" t="n">
        <f aca="false">IF(I1019="DO",X1019-S1019,0)</f>
        <v>0</v>
      </c>
      <c r="AD1019" s="23" t="n">
        <f aca="false">IF(B1020&lt;&gt;B1019,1,0)</f>
        <v>1</v>
      </c>
      <c r="AE1019" s="14" t="n">
        <f aca="false">IF(I1019="Opening",0,AE1018+W1019)</f>
        <v>13556.44</v>
      </c>
      <c r="AF1019" s="14" t="n">
        <f aca="false">IF(I1019="Opening",K1019,AF1018)</f>
        <v>4102.05</v>
      </c>
      <c r="AG1019" s="14" t="n">
        <f aca="false">AG1018</f>
        <v>0</v>
      </c>
      <c r="AH1019" s="14" t="n">
        <f aca="false">IF(W1019=0,0,MAX(0,MIN(AE1019,AF1019)-MIN(AE1019-W1019,AF1019)))</f>
        <v>0</v>
      </c>
      <c r="AI1019" s="14" t="n">
        <f aca="false">IF(W1019=0,0,MAX(0,MIN(AE1019,AF1019+AG1019)-MAX(AE1019-W1019,AF1019)))</f>
        <v>0</v>
      </c>
      <c r="AJ1019" s="14" t="n">
        <f aca="false">W1019-AH1019-AI1019</f>
        <v>0</v>
      </c>
      <c r="AK1019" s="9" t="n">
        <f aca="false">IF(W1019=0,0,X1019*AH1019/W1019)</f>
        <v>0</v>
      </c>
      <c r="AL1019" s="9" t="n">
        <f aca="false">IF(W1019=0,0,X1019*AI1019/W1019)</f>
        <v>0</v>
      </c>
      <c r="AM1019" s="9" t="n">
        <f aca="false">X1019-AK1019-AL1019</f>
        <v>0</v>
      </c>
    </row>
    <row r="1020" customFormat="false" ht="15" hidden="false" customHeight="false" outlineLevel="0" collapsed="false">
      <c r="A1020" s="6" t="n">
        <v>1015</v>
      </c>
      <c r="B1020" s="74" t="s">
        <v>1026</v>
      </c>
      <c r="C1020" s="53" t="str">
        <f aca="false">INDEX(I_Items!$C$5:$C$133,MATCH($B1020,I_Items!$A$5:$A$133,0))</f>
        <v>Trading</v>
      </c>
      <c r="D1020" s="53" t="str">
        <f aca="false">INDEX(I_Items!$D$5:$D$133,MATCH($B1020,I_Items!$A$5:$A$133,0))</f>
        <v>Karkas</v>
      </c>
      <c r="E1020" s="53" t="str">
        <f aca="false">INDEX(I_Items!$F$5:$F$133,MATCH($B1020,I_Items!$A$5:$A$133,0))</f>
        <v>Not stated in item master</v>
      </c>
      <c r="F1020" s="53" t="str">
        <f aca="false">IF(INDEX(I_Items!$E$5:$E$133,MATCH($B1020,I_Items!$A$5:$A$133,0))="","",INDEX(I_Items!$E$5:$E$133,MATCH($B1020,I_Items!$A$5:$A$133,0)))</f>
        <v>Uk 1.1</v>
      </c>
      <c r="G1020" s="76" t="n">
        <v>46204</v>
      </c>
      <c r="H1020" s="23" t="n">
        <f aca="false">MONTH(G1020)</f>
        <v>7</v>
      </c>
      <c r="I1020" s="74" t="s">
        <v>2072</v>
      </c>
      <c r="J1020" s="74" t="s">
        <v>2073</v>
      </c>
      <c r="K1020" s="10" t="n">
        <v>4272.62</v>
      </c>
      <c r="L1020" s="8" t="n">
        <v>98270260</v>
      </c>
      <c r="M1020" s="10" t="n">
        <v>0</v>
      </c>
      <c r="N1020" s="8" t="n">
        <v>0</v>
      </c>
      <c r="O1020" s="74"/>
      <c r="P1020" s="74"/>
      <c r="Q1020" s="74"/>
      <c r="R1020" s="14" t="n">
        <f aca="false">IF(I1020="Unbilled",0,M1020)</f>
        <v>0</v>
      </c>
      <c r="S1020" s="9" t="n">
        <f aca="false">IF(R1020=0,0,IF(O1020="Booked",N1020,R1020*V1019))</f>
        <v>0</v>
      </c>
      <c r="T1020" s="14" t="n">
        <f aca="false">IF(I1020="Opening",K1020,T1019+K1020-R1020)</f>
        <v>4272.62</v>
      </c>
      <c r="U1020" s="9" t="n">
        <f aca="false">IF(I1020="Opening",L1020,U1019+L1020-S1020)</f>
        <v>98270260</v>
      </c>
      <c r="V1020" s="9" t="n">
        <f aca="false">IF(T1020&gt;0,U1020/T1020,IF(I1020="Opening",0,V1019))</f>
        <v>23000</v>
      </c>
      <c r="W1020" s="14" t="n">
        <f aca="false">M1020</f>
        <v>0</v>
      </c>
      <c r="X1020" s="9" t="n">
        <f aca="false">IF(W1020=0,0,IF(O1020="Booked",N1020,W1020*AA1019))</f>
        <v>0</v>
      </c>
      <c r="Y1020" s="14" t="n">
        <f aca="false">IF(I1020="Opening",K1020,Y1019+K1020-W1020)</f>
        <v>4272.62</v>
      </c>
      <c r="Z1020" s="9" t="n">
        <f aca="false">IF(I1020="Opening",L1020,Z1019+L1020-X1020)</f>
        <v>98270260</v>
      </c>
      <c r="AA1020" s="9" t="n">
        <f aca="false">IF(Y1020&gt;0,Z1020/Y1020,IF(I1020="Opening",0,AA1019))</f>
        <v>23000</v>
      </c>
      <c r="AB1020" s="9" t="n">
        <f aca="false">IF(AND(I1020="DO",O1020="MA"),S1020-N1020,0)</f>
        <v>0</v>
      </c>
      <c r="AC1020" s="9" t="n">
        <f aca="false">IF(I1020="DO",X1020-S1020,0)</f>
        <v>0</v>
      </c>
      <c r="AD1020" s="23" t="n">
        <f aca="false">IF(B1021&lt;&gt;B1020,1,0)</f>
        <v>0</v>
      </c>
      <c r="AE1020" s="14" t="n">
        <f aca="false">IF(I1020="Opening",0,AE1019+W1020)</f>
        <v>0</v>
      </c>
      <c r="AF1020" s="14" t="n">
        <f aca="false">IF(I1020="Opening",K1020,AF1019)</f>
        <v>4272.62</v>
      </c>
      <c r="AG1020" s="14" t="n">
        <f aca="false">SUMIFS($K$6:$K$1110,$B$6:$B$1110,B1020,$H$6:$H$1110,7,$I$6:$I$1110,"&lt;&gt;Opening")</f>
        <v>0</v>
      </c>
      <c r="AH1020" s="14" t="n">
        <f aca="false">IF(W1020=0,0,MAX(0,MIN(AE1020,AF1020)-MIN(AE1020-W1020,AF1020)))</f>
        <v>0</v>
      </c>
      <c r="AI1020" s="14" t="n">
        <f aca="false">IF(W1020=0,0,MAX(0,MIN(AE1020,AF1020+AG1020)-MAX(AE1020-W1020,AF1020)))</f>
        <v>0</v>
      </c>
      <c r="AJ1020" s="14" t="n">
        <f aca="false">W1020-AH1020-AI1020</f>
        <v>0</v>
      </c>
      <c r="AK1020" s="9" t="n">
        <f aca="false">IF(W1020=0,0,X1020*AH1020/W1020)</f>
        <v>0</v>
      </c>
      <c r="AL1020" s="9" t="n">
        <f aca="false">IF(W1020=0,0,X1020*AI1020/W1020)</f>
        <v>0</v>
      </c>
      <c r="AM1020" s="9" t="n">
        <f aca="false">X1020-AK1020-AL1020</f>
        <v>0</v>
      </c>
    </row>
    <row r="1021" customFormat="false" ht="15" hidden="false" customHeight="false" outlineLevel="0" collapsed="false">
      <c r="A1021" s="6" t="n">
        <v>1016</v>
      </c>
      <c r="B1021" s="74" t="s">
        <v>1026</v>
      </c>
      <c r="C1021" s="53" t="str">
        <f aca="false">INDEX(I_Items!$C$5:$C$133,MATCH($B1021,I_Items!$A$5:$A$133,0))</f>
        <v>Trading</v>
      </c>
      <c r="D1021" s="53" t="str">
        <f aca="false">INDEX(I_Items!$D$5:$D$133,MATCH($B1021,I_Items!$A$5:$A$133,0))</f>
        <v>Karkas</v>
      </c>
      <c r="E1021" s="53" t="str">
        <f aca="false">INDEX(I_Items!$F$5:$F$133,MATCH($B1021,I_Items!$A$5:$A$133,0))</f>
        <v>Not stated in item master</v>
      </c>
      <c r="F1021" s="53" t="str">
        <f aca="false">IF(INDEX(I_Items!$E$5:$E$133,MATCH($B1021,I_Items!$A$5:$A$133,0))="","",INDEX(I_Items!$E$5:$E$133,MATCH($B1021,I_Items!$A$5:$A$133,0)))</f>
        <v>Uk 1.1</v>
      </c>
      <c r="G1021" s="76" t="n">
        <v>46226</v>
      </c>
      <c r="H1021" s="23" t="n">
        <f aca="false">MONTH(G1021)</f>
        <v>7</v>
      </c>
      <c r="I1021" s="74" t="s">
        <v>2075</v>
      </c>
      <c r="J1021" s="74" t="s">
        <v>2330</v>
      </c>
      <c r="K1021" s="10" t="n">
        <v>0</v>
      </c>
      <c r="L1021" s="8" t="n">
        <v>0</v>
      </c>
      <c r="M1021" s="10" t="n">
        <v>416.04</v>
      </c>
      <c r="N1021" s="8" t="n">
        <v>9568920</v>
      </c>
      <c r="O1021" s="74" t="s">
        <v>2077</v>
      </c>
      <c r="P1021" s="74"/>
      <c r="Q1021" s="74"/>
      <c r="R1021" s="14" t="n">
        <f aca="false">IF(I1021="Unbilled",0,M1021)</f>
        <v>416.04</v>
      </c>
      <c r="S1021" s="9" t="n">
        <f aca="false">IF(R1021=0,0,IF(O1021="Booked",N1021,R1021*V1020))</f>
        <v>9568920</v>
      </c>
      <c r="T1021" s="14" t="n">
        <f aca="false">IF(I1021="Opening",K1021,T1020+K1021-R1021)</f>
        <v>3856.58</v>
      </c>
      <c r="U1021" s="9" t="n">
        <f aca="false">IF(I1021="Opening",L1021,U1020+L1021-S1021)</f>
        <v>88701340</v>
      </c>
      <c r="V1021" s="9" t="n">
        <f aca="false">IF(T1021&gt;0,U1021/T1021,IF(I1021="Opening",0,V1020))</f>
        <v>23000</v>
      </c>
      <c r="W1021" s="14" t="n">
        <f aca="false">M1021</f>
        <v>416.04</v>
      </c>
      <c r="X1021" s="9" t="n">
        <f aca="false">IF(W1021=0,0,IF(O1021="Booked",N1021,W1021*AA1020))</f>
        <v>9568920</v>
      </c>
      <c r="Y1021" s="14" t="n">
        <f aca="false">IF(I1021="Opening",K1021,Y1020+K1021-W1021)</f>
        <v>3856.58</v>
      </c>
      <c r="Z1021" s="9" t="n">
        <f aca="false">IF(I1021="Opening",L1021,Z1020+L1021-X1021)</f>
        <v>88701340</v>
      </c>
      <c r="AA1021" s="9" t="n">
        <f aca="false">IF(Y1021&gt;0,Z1021/Y1021,IF(I1021="Opening",0,AA1020))</f>
        <v>23000</v>
      </c>
      <c r="AB1021" s="9" t="n">
        <f aca="false">IF(AND(I1021="DO",O1021="MA"),S1021-N1021,0)</f>
        <v>0</v>
      </c>
      <c r="AC1021" s="9" t="n">
        <f aca="false">IF(I1021="DO",X1021-S1021,0)</f>
        <v>0</v>
      </c>
      <c r="AD1021" s="23" t="n">
        <f aca="false">IF(B1022&lt;&gt;B1021,1,0)</f>
        <v>0</v>
      </c>
      <c r="AE1021" s="14" t="n">
        <f aca="false">IF(I1021="Opening",0,AE1020+W1021)</f>
        <v>416.04</v>
      </c>
      <c r="AF1021" s="14" t="n">
        <f aca="false">IF(I1021="Opening",K1021,AF1020)</f>
        <v>4272.62</v>
      </c>
      <c r="AG1021" s="14" t="n">
        <f aca="false">AG1020</f>
        <v>0</v>
      </c>
      <c r="AH1021" s="14" t="n">
        <f aca="false">IF(W1021=0,0,MAX(0,MIN(AE1021,AF1021)-MIN(AE1021-W1021,AF1021)))</f>
        <v>416.04</v>
      </c>
      <c r="AI1021" s="14" t="n">
        <f aca="false">IF(W1021=0,0,MAX(0,MIN(AE1021,AF1021+AG1021)-MAX(AE1021-W1021,AF1021)))</f>
        <v>0</v>
      </c>
      <c r="AJ1021" s="14" t="n">
        <f aca="false">W1021-AH1021-AI1021</f>
        <v>0</v>
      </c>
      <c r="AK1021" s="9" t="n">
        <f aca="false">IF(W1021=0,0,X1021*AH1021/W1021)</f>
        <v>9568920</v>
      </c>
      <c r="AL1021" s="9" t="n">
        <f aca="false">IF(W1021=0,0,X1021*AI1021/W1021)</f>
        <v>0</v>
      </c>
      <c r="AM1021" s="9" t="n">
        <f aca="false">X1021-AK1021-AL1021</f>
        <v>0</v>
      </c>
    </row>
    <row r="1022" customFormat="false" ht="15" hidden="false" customHeight="false" outlineLevel="0" collapsed="false">
      <c r="A1022" s="6" t="n">
        <v>1017</v>
      </c>
      <c r="B1022" s="74" t="s">
        <v>1026</v>
      </c>
      <c r="C1022" s="53" t="str">
        <f aca="false">INDEX(I_Items!$C$5:$C$133,MATCH($B1022,I_Items!$A$5:$A$133,0))</f>
        <v>Trading</v>
      </c>
      <c r="D1022" s="53" t="str">
        <f aca="false">INDEX(I_Items!$D$5:$D$133,MATCH($B1022,I_Items!$A$5:$A$133,0))</f>
        <v>Karkas</v>
      </c>
      <c r="E1022" s="53" t="str">
        <f aca="false">INDEX(I_Items!$F$5:$F$133,MATCH($B1022,I_Items!$A$5:$A$133,0))</f>
        <v>Not stated in item master</v>
      </c>
      <c r="F1022" s="53" t="str">
        <f aca="false">IF(INDEX(I_Items!$E$5:$E$133,MATCH($B1022,I_Items!$A$5:$A$133,0))="","",INDEX(I_Items!$E$5:$E$133,MATCH($B1022,I_Items!$A$5:$A$133,0)))</f>
        <v>Uk 1.1</v>
      </c>
      <c r="G1022" s="76" t="n">
        <v>46230</v>
      </c>
      <c r="H1022" s="23" t="n">
        <f aca="false">MONTH(G1022)</f>
        <v>7</v>
      </c>
      <c r="I1022" s="74" t="s">
        <v>2075</v>
      </c>
      <c r="J1022" s="74" t="s">
        <v>2332</v>
      </c>
      <c r="K1022" s="10" t="n">
        <v>0</v>
      </c>
      <c r="L1022" s="8" t="n">
        <v>0</v>
      </c>
      <c r="M1022" s="10" t="n">
        <v>3369.16</v>
      </c>
      <c r="N1022" s="8" t="n">
        <v>77490680</v>
      </c>
      <c r="O1022" s="74" t="s">
        <v>2077</v>
      </c>
      <c r="P1022" s="74"/>
      <c r="Q1022" s="74"/>
      <c r="R1022" s="14" t="n">
        <f aca="false">IF(I1022="Unbilled",0,M1022)</f>
        <v>3369.16</v>
      </c>
      <c r="S1022" s="9" t="n">
        <f aca="false">IF(R1022=0,0,IF(O1022="Booked",N1022,R1022*V1021))</f>
        <v>77490680</v>
      </c>
      <c r="T1022" s="14" t="n">
        <f aca="false">IF(I1022="Opening",K1022,T1021+K1022-R1022)</f>
        <v>487.42</v>
      </c>
      <c r="U1022" s="9" t="n">
        <f aca="false">IF(I1022="Opening",L1022,U1021+L1022-S1022)</f>
        <v>11210660</v>
      </c>
      <c r="V1022" s="9" t="n">
        <f aca="false">IF(T1022&gt;0,U1022/T1022,IF(I1022="Opening",0,V1021))</f>
        <v>23000</v>
      </c>
      <c r="W1022" s="14" t="n">
        <f aca="false">M1022</f>
        <v>3369.16</v>
      </c>
      <c r="X1022" s="9" t="n">
        <f aca="false">IF(W1022=0,0,IF(O1022="Booked",N1022,W1022*AA1021))</f>
        <v>77490680</v>
      </c>
      <c r="Y1022" s="14" t="n">
        <f aca="false">IF(I1022="Opening",K1022,Y1021+K1022-W1022)</f>
        <v>487.42</v>
      </c>
      <c r="Z1022" s="9" t="n">
        <f aca="false">IF(I1022="Opening",L1022,Z1021+L1022-X1022)</f>
        <v>11210660</v>
      </c>
      <c r="AA1022" s="9" t="n">
        <f aca="false">IF(Y1022&gt;0,Z1022/Y1022,IF(I1022="Opening",0,AA1021))</f>
        <v>23000</v>
      </c>
      <c r="AB1022" s="9" t="n">
        <f aca="false">IF(AND(I1022="DO",O1022="MA"),S1022-N1022,0)</f>
        <v>0</v>
      </c>
      <c r="AC1022" s="9" t="n">
        <f aca="false">IF(I1022="DO",X1022-S1022,0)</f>
        <v>0</v>
      </c>
      <c r="AD1022" s="23" t="n">
        <f aca="false">IF(B1023&lt;&gt;B1022,1,0)</f>
        <v>0</v>
      </c>
      <c r="AE1022" s="14" t="n">
        <f aca="false">IF(I1022="Opening",0,AE1021+W1022)</f>
        <v>3785.2</v>
      </c>
      <c r="AF1022" s="14" t="n">
        <f aca="false">IF(I1022="Opening",K1022,AF1021)</f>
        <v>4272.62</v>
      </c>
      <c r="AG1022" s="14" t="n">
        <f aca="false">AG1021</f>
        <v>0</v>
      </c>
      <c r="AH1022" s="14" t="n">
        <f aca="false">IF(W1022=0,0,MAX(0,MIN(AE1022,AF1022)-MIN(AE1022-W1022,AF1022)))</f>
        <v>3369.16</v>
      </c>
      <c r="AI1022" s="14" t="n">
        <f aca="false">IF(W1022=0,0,MAX(0,MIN(AE1022,AF1022+AG1022)-MAX(AE1022-W1022,AF1022)))</f>
        <v>0</v>
      </c>
      <c r="AJ1022" s="14" t="n">
        <f aca="false">W1022-AH1022-AI1022</f>
        <v>0</v>
      </c>
      <c r="AK1022" s="9" t="n">
        <f aca="false">IF(W1022=0,0,X1022*AH1022/W1022)</f>
        <v>77490680</v>
      </c>
      <c r="AL1022" s="9" t="n">
        <f aca="false">IF(W1022=0,0,X1022*AI1022/W1022)</f>
        <v>0</v>
      </c>
      <c r="AM1022" s="9" t="n">
        <f aca="false">X1022-AK1022-AL1022</f>
        <v>0</v>
      </c>
    </row>
    <row r="1023" customFormat="false" ht="15" hidden="false" customHeight="false" outlineLevel="0" collapsed="false">
      <c r="A1023" s="6" t="n">
        <v>1018</v>
      </c>
      <c r="B1023" s="74" t="s">
        <v>1026</v>
      </c>
      <c r="C1023" s="53" t="str">
        <f aca="false">INDEX(I_Items!$C$5:$C$133,MATCH($B1023,I_Items!$A$5:$A$133,0))</f>
        <v>Trading</v>
      </c>
      <c r="D1023" s="53" t="str">
        <f aca="false">INDEX(I_Items!$D$5:$D$133,MATCH($B1023,I_Items!$A$5:$A$133,0))</f>
        <v>Karkas</v>
      </c>
      <c r="E1023" s="53" t="str">
        <f aca="false">INDEX(I_Items!$F$5:$F$133,MATCH($B1023,I_Items!$A$5:$A$133,0))</f>
        <v>Not stated in item master</v>
      </c>
      <c r="F1023" s="53" t="str">
        <f aca="false">IF(INDEX(I_Items!$E$5:$E$133,MATCH($B1023,I_Items!$A$5:$A$133,0))="","",INDEX(I_Items!$E$5:$E$133,MATCH($B1023,I_Items!$A$5:$A$133,0)))</f>
        <v>Uk 1.1</v>
      </c>
      <c r="G1023" s="76" t="n">
        <v>46231</v>
      </c>
      <c r="H1023" s="23" t="n">
        <f aca="false">MONTH(G1023)</f>
        <v>7</v>
      </c>
      <c r="I1023" s="74" t="s">
        <v>2075</v>
      </c>
      <c r="J1023" s="74" t="s">
        <v>2142</v>
      </c>
      <c r="K1023" s="10" t="n">
        <v>0</v>
      </c>
      <c r="L1023" s="8" t="n">
        <v>0</v>
      </c>
      <c r="M1023" s="10" t="n">
        <v>487.42</v>
      </c>
      <c r="N1023" s="8" t="n">
        <v>11210660</v>
      </c>
      <c r="O1023" s="74" t="s">
        <v>2077</v>
      </c>
      <c r="P1023" s="74"/>
      <c r="Q1023" s="74"/>
      <c r="R1023" s="14" t="n">
        <f aca="false">IF(I1023="Unbilled",0,M1023)</f>
        <v>487.42</v>
      </c>
      <c r="S1023" s="9" t="n">
        <f aca="false">IF(R1023=0,0,IF(O1023="Booked",N1023,R1023*V1022))</f>
        <v>11210660</v>
      </c>
      <c r="T1023" s="14" t="n">
        <f aca="false">IF(I1023="Opening",K1023,T1022+K1023-R1023)</f>
        <v>0</v>
      </c>
      <c r="U1023" s="9" t="n">
        <f aca="false">IF(I1023="Opening",L1023,U1022+L1023-S1023)</f>
        <v>0</v>
      </c>
      <c r="V1023" s="9" t="n">
        <f aca="false">IF(T1023&gt;0,U1023/T1023,IF(I1023="Opening",0,V1022))</f>
        <v>23000</v>
      </c>
      <c r="W1023" s="14" t="n">
        <f aca="false">M1023</f>
        <v>487.42</v>
      </c>
      <c r="X1023" s="9" t="n">
        <f aca="false">IF(W1023=0,0,IF(O1023="Booked",N1023,W1023*AA1022))</f>
        <v>11210660</v>
      </c>
      <c r="Y1023" s="14" t="n">
        <f aca="false">IF(I1023="Opening",K1023,Y1022+K1023-W1023)</f>
        <v>0</v>
      </c>
      <c r="Z1023" s="9" t="n">
        <f aca="false">IF(I1023="Opening",L1023,Z1022+L1023-X1023)</f>
        <v>0</v>
      </c>
      <c r="AA1023" s="9" t="n">
        <f aca="false">IF(Y1023&gt;0,Z1023/Y1023,IF(I1023="Opening",0,AA1022))</f>
        <v>23000</v>
      </c>
      <c r="AB1023" s="9" t="n">
        <f aca="false">IF(AND(I1023="DO",O1023="MA"),S1023-N1023,0)</f>
        <v>0</v>
      </c>
      <c r="AC1023" s="9" t="n">
        <f aca="false">IF(I1023="DO",X1023-S1023,0)</f>
        <v>0</v>
      </c>
      <c r="AD1023" s="23" t="n">
        <f aca="false">IF(B1024&lt;&gt;B1023,1,0)</f>
        <v>0</v>
      </c>
      <c r="AE1023" s="14" t="n">
        <f aca="false">IF(I1023="Opening",0,AE1022+W1023)</f>
        <v>4272.62</v>
      </c>
      <c r="AF1023" s="14" t="n">
        <f aca="false">IF(I1023="Opening",K1023,AF1022)</f>
        <v>4272.62</v>
      </c>
      <c r="AG1023" s="14" t="n">
        <f aca="false">AG1022</f>
        <v>0</v>
      </c>
      <c r="AH1023" s="14" t="n">
        <f aca="false">IF(W1023=0,0,MAX(0,MIN(AE1023,AF1023)-MIN(AE1023-W1023,AF1023)))</f>
        <v>487.42</v>
      </c>
      <c r="AI1023" s="14" t="n">
        <f aca="false">IF(W1023=0,0,MAX(0,MIN(AE1023,AF1023+AG1023)-MAX(AE1023-W1023,AF1023)))</f>
        <v>0</v>
      </c>
      <c r="AJ1023" s="14" t="n">
        <f aca="false">W1023-AH1023-AI1023</f>
        <v>0</v>
      </c>
      <c r="AK1023" s="9" t="n">
        <f aca="false">IF(W1023=0,0,X1023*AH1023/W1023)</f>
        <v>11210660</v>
      </c>
      <c r="AL1023" s="9" t="n">
        <f aca="false">IF(W1023=0,0,X1023*AI1023/W1023)</f>
        <v>0</v>
      </c>
      <c r="AM1023" s="9" t="n">
        <f aca="false">X1023-AK1023-AL1023</f>
        <v>0</v>
      </c>
    </row>
    <row r="1024" customFormat="false" ht="15" hidden="false" customHeight="false" outlineLevel="0" collapsed="false">
      <c r="A1024" s="6" t="n">
        <v>1019</v>
      </c>
      <c r="B1024" s="74" t="s">
        <v>1026</v>
      </c>
      <c r="C1024" s="53" t="str">
        <f aca="false">INDEX(I_Items!$C$5:$C$133,MATCH($B1024,I_Items!$A$5:$A$133,0))</f>
        <v>Trading</v>
      </c>
      <c r="D1024" s="53" t="str">
        <f aca="false">INDEX(I_Items!$D$5:$D$133,MATCH($B1024,I_Items!$A$5:$A$133,0))</f>
        <v>Karkas</v>
      </c>
      <c r="E1024" s="53" t="str">
        <f aca="false">INDEX(I_Items!$F$5:$F$133,MATCH($B1024,I_Items!$A$5:$A$133,0))</f>
        <v>Not stated in item master</v>
      </c>
      <c r="F1024" s="53" t="str">
        <f aca="false">IF(INDEX(I_Items!$E$5:$E$133,MATCH($B1024,I_Items!$A$5:$A$133,0))="","",INDEX(I_Items!$E$5:$E$133,MATCH($B1024,I_Items!$A$5:$A$133,0)))</f>
        <v>Uk 1.1</v>
      </c>
      <c r="G1024" s="76" t="n">
        <v>46237</v>
      </c>
      <c r="H1024" s="23" t="n">
        <f aca="false">MONTH(G1024)</f>
        <v>8</v>
      </c>
      <c r="I1024" s="74" t="s">
        <v>2074</v>
      </c>
      <c r="J1024" s="74" t="s">
        <v>2296</v>
      </c>
      <c r="K1024" s="10" t="n">
        <v>2571.7</v>
      </c>
      <c r="L1024" s="8" t="n">
        <v>79722700</v>
      </c>
      <c r="M1024" s="10" t="n">
        <v>0</v>
      </c>
      <c r="N1024" s="8" t="n">
        <v>0</v>
      </c>
      <c r="O1024" s="74"/>
      <c r="P1024" s="74"/>
      <c r="Q1024" s="74"/>
      <c r="R1024" s="14" t="n">
        <f aca="false">IF(I1024="Unbilled",0,M1024)</f>
        <v>0</v>
      </c>
      <c r="S1024" s="9" t="n">
        <f aca="false">IF(R1024=0,0,IF(O1024="Booked",N1024,R1024*V1023))</f>
        <v>0</v>
      </c>
      <c r="T1024" s="14" t="n">
        <f aca="false">IF(I1024="Opening",K1024,T1023+K1024-R1024)</f>
        <v>2571.7</v>
      </c>
      <c r="U1024" s="9" t="n">
        <f aca="false">IF(I1024="Opening",L1024,U1023+L1024-S1024)</f>
        <v>79722700</v>
      </c>
      <c r="V1024" s="9" t="n">
        <f aca="false">IF(T1024&gt;0,U1024/T1024,IF(I1024="Opening",0,V1023))</f>
        <v>31000</v>
      </c>
      <c r="W1024" s="14" t="n">
        <f aca="false">M1024</f>
        <v>0</v>
      </c>
      <c r="X1024" s="9" t="n">
        <f aca="false">IF(W1024=0,0,IF(O1024="Booked",N1024,W1024*AA1023))</f>
        <v>0</v>
      </c>
      <c r="Y1024" s="14" t="n">
        <f aca="false">IF(I1024="Opening",K1024,Y1023+K1024-W1024)</f>
        <v>2571.7</v>
      </c>
      <c r="Z1024" s="9" t="n">
        <f aca="false">IF(I1024="Opening",L1024,Z1023+L1024-X1024)</f>
        <v>79722700</v>
      </c>
      <c r="AA1024" s="9" t="n">
        <f aca="false">IF(Y1024&gt;0,Z1024/Y1024,IF(I1024="Opening",0,AA1023))</f>
        <v>31000</v>
      </c>
      <c r="AB1024" s="9" t="n">
        <f aca="false">IF(AND(I1024="DO",O1024="MA"),S1024-N1024,0)</f>
        <v>0</v>
      </c>
      <c r="AC1024" s="9" t="n">
        <f aca="false">IF(I1024="DO",X1024-S1024,0)</f>
        <v>0</v>
      </c>
      <c r="AD1024" s="23" t="n">
        <f aca="false">IF(B1025&lt;&gt;B1024,1,0)</f>
        <v>0</v>
      </c>
      <c r="AE1024" s="14" t="n">
        <f aca="false">IF(I1024="Opening",0,AE1023+W1024)</f>
        <v>4272.62</v>
      </c>
      <c r="AF1024" s="14" t="n">
        <f aca="false">IF(I1024="Opening",K1024,AF1023)</f>
        <v>4272.62</v>
      </c>
      <c r="AG1024" s="14" t="n">
        <f aca="false">AG1023</f>
        <v>0</v>
      </c>
      <c r="AH1024" s="14" t="n">
        <f aca="false">IF(W1024=0,0,MAX(0,MIN(AE1024,AF1024)-MIN(AE1024-W1024,AF1024)))</f>
        <v>0</v>
      </c>
      <c r="AI1024" s="14" t="n">
        <f aca="false">IF(W1024=0,0,MAX(0,MIN(AE1024,AF1024+AG1024)-MAX(AE1024-W1024,AF1024)))</f>
        <v>0</v>
      </c>
      <c r="AJ1024" s="14" t="n">
        <f aca="false">W1024-AH1024-AI1024</f>
        <v>0</v>
      </c>
      <c r="AK1024" s="9" t="n">
        <f aca="false">IF(W1024=0,0,X1024*AH1024/W1024)</f>
        <v>0</v>
      </c>
      <c r="AL1024" s="9" t="n">
        <f aca="false">IF(W1024=0,0,X1024*AI1024/W1024)</f>
        <v>0</v>
      </c>
      <c r="AM1024" s="9" t="n">
        <f aca="false">X1024-AK1024-AL1024</f>
        <v>0</v>
      </c>
    </row>
    <row r="1025" customFormat="false" ht="15" hidden="false" customHeight="false" outlineLevel="0" collapsed="false">
      <c r="A1025" s="6" t="n">
        <v>1020</v>
      </c>
      <c r="B1025" s="74" t="s">
        <v>1026</v>
      </c>
      <c r="C1025" s="53" t="str">
        <f aca="false">INDEX(I_Items!$C$5:$C$133,MATCH($B1025,I_Items!$A$5:$A$133,0))</f>
        <v>Trading</v>
      </c>
      <c r="D1025" s="53" t="str">
        <f aca="false">INDEX(I_Items!$D$5:$D$133,MATCH($B1025,I_Items!$A$5:$A$133,0))</f>
        <v>Karkas</v>
      </c>
      <c r="E1025" s="53" t="str">
        <f aca="false">INDEX(I_Items!$F$5:$F$133,MATCH($B1025,I_Items!$A$5:$A$133,0))</f>
        <v>Not stated in item master</v>
      </c>
      <c r="F1025" s="53" t="str">
        <f aca="false">IF(INDEX(I_Items!$E$5:$E$133,MATCH($B1025,I_Items!$A$5:$A$133,0))="","",INDEX(I_Items!$E$5:$E$133,MATCH($B1025,I_Items!$A$5:$A$133,0)))</f>
        <v>Uk 1.1</v>
      </c>
      <c r="G1025" s="76" t="n">
        <v>46238</v>
      </c>
      <c r="H1025" s="23" t="n">
        <f aca="false">MONTH(G1025)</f>
        <v>8</v>
      </c>
      <c r="I1025" s="74" t="s">
        <v>2074</v>
      </c>
      <c r="J1025" s="74" t="s">
        <v>2256</v>
      </c>
      <c r="K1025" s="10" t="n">
        <v>6749.7</v>
      </c>
      <c r="L1025" s="8" t="n">
        <v>219365250</v>
      </c>
      <c r="M1025" s="10" t="n">
        <v>0</v>
      </c>
      <c r="N1025" s="8" t="n">
        <v>0</v>
      </c>
      <c r="O1025" s="74"/>
      <c r="P1025" s="74"/>
      <c r="Q1025" s="74"/>
      <c r="R1025" s="14" t="n">
        <f aca="false">IF(I1025="Unbilled",0,M1025)</f>
        <v>0</v>
      </c>
      <c r="S1025" s="9" t="n">
        <f aca="false">IF(R1025=0,0,IF(O1025="Booked",N1025,R1025*V1024))</f>
        <v>0</v>
      </c>
      <c r="T1025" s="14" t="n">
        <f aca="false">IF(I1025="Opening",K1025,T1024+K1025-R1025)</f>
        <v>9321.4</v>
      </c>
      <c r="U1025" s="9" t="n">
        <f aca="false">IF(I1025="Opening",L1025,U1024+L1025-S1025)</f>
        <v>299087950</v>
      </c>
      <c r="V1025" s="9" t="n">
        <f aca="false">IF(T1025&gt;0,U1025/T1025,IF(I1025="Opening",0,V1024))</f>
        <v>32086.1619499217</v>
      </c>
      <c r="W1025" s="14" t="n">
        <f aca="false">M1025</f>
        <v>0</v>
      </c>
      <c r="X1025" s="9" t="n">
        <f aca="false">IF(W1025=0,0,IF(O1025="Booked",N1025,W1025*AA1024))</f>
        <v>0</v>
      </c>
      <c r="Y1025" s="14" t="n">
        <f aca="false">IF(I1025="Opening",K1025,Y1024+K1025-W1025)</f>
        <v>9321.4</v>
      </c>
      <c r="Z1025" s="9" t="n">
        <f aca="false">IF(I1025="Opening",L1025,Z1024+L1025-X1025)</f>
        <v>299087950</v>
      </c>
      <c r="AA1025" s="9" t="n">
        <f aca="false">IF(Y1025&gt;0,Z1025/Y1025,IF(I1025="Opening",0,AA1024))</f>
        <v>32086.1619499217</v>
      </c>
      <c r="AB1025" s="9" t="n">
        <f aca="false">IF(AND(I1025="DO",O1025="MA"),S1025-N1025,0)</f>
        <v>0</v>
      </c>
      <c r="AC1025" s="9" t="n">
        <f aca="false">IF(I1025="DO",X1025-S1025,0)</f>
        <v>0</v>
      </c>
      <c r="AD1025" s="23" t="n">
        <f aca="false">IF(B1026&lt;&gt;B1025,1,0)</f>
        <v>0</v>
      </c>
      <c r="AE1025" s="14" t="n">
        <f aca="false">IF(I1025="Opening",0,AE1024+W1025)</f>
        <v>4272.62</v>
      </c>
      <c r="AF1025" s="14" t="n">
        <f aca="false">IF(I1025="Opening",K1025,AF1024)</f>
        <v>4272.62</v>
      </c>
      <c r="AG1025" s="14" t="n">
        <f aca="false">AG1024</f>
        <v>0</v>
      </c>
      <c r="AH1025" s="14" t="n">
        <f aca="false">IF(W1025=0,0,MAX(0,MIN(AE1025,AF1025)-MIN(AE1025-W1025,AF1025)))</f>
        <v>0</v>
      </c>
      <c r="AI1025" s="14" t="n">
        <f aca="false">IF(W1025=0,0,MAX(0,MIN(AE1025,AF1025+AG1025)-MAX(AE1025-W1025,AF1025)))</f>
        <v>0</v>
      </c>
      <c r="AJ1025" s="14" t="n">
        <f aca="false">W1025-AH1025-AI1025</f>
        <v>0</v>
      </c>
      <c r="AK1025" s="9" t="n">
        <f aca="false">IF(W1025=0,0,X1025*AH1025/W1025)</f>
        <v>0</v>
      </c>
      <c r="AL1025" s="9" t="n">
        <f aca="false">IF(W1025=0,0,X1025*AI1025/W1025)</f>
        <v>0</v>
      </c>
      <c r="AM1025" s="9" t="n">
        <f aca="false">X1025-AK1025-AL1025</f>
        <v>0</v>
      </c>
    </row>
    <row r="1026" customFormat="false" ht="15" hidden="false" customHeight="false" outlineLevel="0" collapsed="false">
      <c r="A1026" s="6" t="n">
        <v>1021</v>
      </c>
      <c r="B1026" s="74" t="s">
        <v>1026</v>
      </c>
      <c r="C1026" s="53" t="str">
        <f aca="false">INDEX(I_Items!$C$5:$C$133,MATCH($B1026,I_Items!$A$5:$A$133,0))</f>
        <v>Trading</v>
      </c>
      <c r="D1026" s="53" t="str">
        <f aca="false">INDEX(I_Items!$D$5:$D$133,MATCH($B1026,I_Items!$A$5:$A$133,0))</f>
        <v>Karkas</v>
      </c>
      <c r="E1026" s="53" t="str">
        <f aca="false">INDEX(I_Items!$F$5:$F$133,MATCH($B1026,I_Items!$A$5:$A$133,0))</f>
        <v>Not stated in item master</v>
      </c>
      <c r="F1026" s="53" t="str">
        <f aca="false">IF(INDEX(I_Items!$E$5:$E$133,MATCH($B1026,I_Items!$A$5:$A$133,0))="","",INDEX(I_Items!$E$5:$E$133,MATCH($B1026,I_Items!$A$5:$A$133,0)))</f>
        <v>Uk 1.1</v>
      </c>
      <c r="G1026" s="76" t="n">
        <v>46238</v>
      </c>
      <c r="H1026" s="23" t="n">
        <f aca="false">MONTH(G1026)</f>
        <v>8</v>
      </c>
      <c r="I1026" s="74" t="s">
        <v>2075</v>
      </c>
      <c r="J1026" s="74" t="s">
        <v>2336</v>
      </c>
      <c r="K1026" s="10" t="n">
        <v>0</v>
      </c>
      <c r="L1026" s="8" t="n">
        <v>0</v>
      </c>
      <c r="M1026" s="10" t="n">
        <v>1009.8</v>
      </c>
      <c r="N1026" s="8" t="n">
        <v>32400606.29</v>
      </c>
      <c r="O1026" s="74" t="s">
        <v>2077</v>
      </c>
      <c r="P1026" s="74"/>
      <c r="Q1026" s="74"/>
      <c r="R1026" s="14" t="n">
        <f aca="false">IF(I1026="Unbilled",0,M1026)</f>
        <v>1009.8</v>
      </c>
      <c r="S1026" s="9" t="n">
        <f aca="false">IF(R1026=0,0,IF(O1026="Booked",N1026,R1026*V1025))</f>
        <v>32400606.3370309</v>
      </c>
      <c r="T1026" s="14" t="n">
        <f aca="false">IF(I1026="Opening",K1026,T1025+K1026-R1026)</f>
        <v>8311.6</v>
      </c>
      <c r="U1026" s="9" t="n">
        <f aca="false">IF(I1026="Opening",L1026,U1025+L1026-S1026)</f>
        <v>266687343.662969</v>
      </c>
      <c r="V1026" s="9" t="n">
        <f aca="false">IF(T1026&gt;0,U1026/T1026,IF(I1026="Opening",0,V1025))</f>
        <v>32086.1619499217</v>
      </c>
      <c r="W1026" s="14" t="n">
        <f aca="false">M1026</f>
        <v>1009.8</v>
      </c>
      <c r="X1026" s="9" t="n">
        <f aca="false">IF(W1026=0,0,IF(O1026="Booked",N1026,W1026*AA1025))</f>
        <v>32400606.3370309</v>
      </c>
      <c r="Y1026" s="14" t="n">
        <f aca="false">IF(I1026="Opening",K1026,Y1025+K1026-W1026)</f>
        <v>8311.6</v>
      </c>
      <c r="Z1026" s="9" t="n">
        <f aca="false">IF(I1026="Opening",L1026,Z1025+L1026-X1026)</f>
        <v>266687343.662969</v>
      </c>
      <c r="AA1026" s="9" t="n">
        <f aca="false">IF(Y1026&gt;0,Z1026/Y1026,IF(I1026="Opening",0,AA1025))</f>
        <v>32086.1619499217</v>
      </c>
      <c r="AB1026" s="9" t="n">
        <f aca="false">IF(AND(I1026="DO",O1026="MA"),S1026-N1026,0)</f>
        <v>0.0470309183001518</v>
      </c>
      <c r="AC1026" s="9" t="n">
        <f aca="false">IF(I1026="DO",X1026-S1026,0)</f>
        <v>0</v>
      </c>
      <c r="AD1026" s="23" t="n">
        <f aca="false">IF(B1027&lt;&gt;B1026,1,0)</f>
        <v>0</v>
      </c>
      <c r="AE1026" s="14" t="n">
        <f aca="false">IF(I1026="Opening",0,AE1025+W1026)</f>
        <v>5282.42</v>
      </c>
      <c r="AF1026" s="14" t="n">
        <f aca="false">IF(I1026="Opening",K1026,AF1025)</f>
        <v>4272.62</v>
      </c>
      <c r="AG1026" s="14" t="n">
        <f aca="false">AG1025</f>
        <v>0</v>
      </c>
      <c r="AH1026" s="14" t="n">
        <f aca="false">IF(W1026=0,0,MAX(0,MIN(AE1026,AF1026)-MIN(AE1026-W1026,AF1026)))</f>
        <v>0</v>
      </c>
      <c r="AI1026" s="14" t="n">
        <f aca="false">IF(W1026=0,0,MAX(0,MIN(AE1026,AF1026+AG1026)-MAX(AE1026-W1026,AF1026)))</f>
        <v>0</v>
      </c>
      <c r="AJ1026" s="14" t="n">
        <f aca="false">W1026-AH1026-AI1026</f>
        <v>1009.8</v>
      </c>
      <c r="AK1026" s="9" t="n">
        <f aca="false">IF(W1026=0,0,X1026*AH1026/W1026)</f>
        <v>0</v>
      </c>
      <c r="AL1026" s="9" t="n">
        <f aca="false">IF(W1026=0,0,X1026*AI1026/W1026)</f>
        <v>0</v>
      </c>
      <c r="AM1026" s="9" t="n">
        <f aca="false">X1026-AK1026-AL1026</f>
        <v>32400606.3370309</v>
      </c>
    </row>
    <row r="1027" customFormat="false" ht="15" hidden="false" customHeight="false" outlineLevel="0" collapsed="false">
      <c r="A1027" s="6" t="n">
        <v>1022</v>
      </c>
      <c r="B1027" s="74" t="s">
        <v>1026</v>
      </c>
      <c r="C1027" s="53" t="str">
        <f aca="false">INDEX(I_Items!$C$5:$C$133,MATCH($B1027,I_Items!$A$5:$A$133,0))</f>
        <v>Trading</v>
      </c>
      <c r="D1027" s="53" t="str">
        <f aca="false">INDEX(I_Items!$D$5:$D$133,MATCH($B1027,I_Items!$A$5:$A$133,0))</f>
        <v>Karkas</v>
      </c>
      <c r="E1027" s="53" t="str">
        <f aca="false">INDEX(I_Items!$F$5:$F$133,MATCH($B1027,I_Items!$A$5:$A$133,0))</f>
        <v>Not stated in item master</v>
      </c>
      <c r="F1027" s="53" t="str">
        <f aca="false">IF(INDEX(I_Items!$E$5:$E$133,MATCH($B1027,I_Items!$A$5:$A$133,0))="","",INDEX(I_Items!$E$5:$E$133,MATCH($B1027,I_Items!$A$5:$A$133,0)))</f>
        <v>Uk 1.1</v>
      </c>
      <c r="G1027" s="76" t="n">
        <v>46244</v>
      </c>
      <c r="H1027" s="23" t="n">
        <f aca="false">MONTH(G1027)</f>
        <v>8</v>
      </c>
      <c r="I1027" s="74" t="s">
        <v>2075</v>
      </c>
      <c r="J1027" s="74" t="s">
        <v>2337</v>
      </c>
      <c r="K1027" s="10" t="n">
        <v>0</v>
      </c>
      <c r="L1027" s="8" t="n">
        <v>0</v>
      </c>
      <c r="M1027" s="10" t="n">
        <v>604.1</v>
      </c>
      <c r="N1027" s="8" t="n">
        <v>19383250.4</v>
      </c>
      <c r="O1027" s="74" t="s">
        <v>2077</v>
      </c>
      <c r="P1027" s="74"/>
      <c r="Q1027" s="74"/>
      <c r="R1027" s="14" t="n">
        <f aca="false">IF(I1027="Unbilled",0,M1027)</f>
        <v>604.1</v>
      </c>
      <c r="S1027" s="9" t="n">
        <f aca="false">IF(R1027=0,0,IF(O1027="Booked",N1027,R1027*V1026))</f>
        <v>19383250.4339477</v>
      </c>
      <c r="T1027" s="14" t="n">
        <f aca="false">IF(I1027="Opening",K1027,T1026+K1027-R1027)</f>
        <v>7707.5</v>
      </c>
      <c r="U1027" s="9" t="n">
        <f aca="false">IF(I1027="Opening",L1027,U1026+L1027-S1027)</f>
        <v>247304093.229021</v>
      </c>
      <c r="V1027" s="9" t="n">
        <f aca="false">IF(T1027&gt;0,U1027/T1027,IF(I1027="Opening",0,V1026))</f>
        <v>32086.1619499217</v>
      </c>
      <c r="W1027" s="14" t="n">
        <f aca="false">M1027</f>
        <v>604.1</v>
      </c>
      <c r="X1027" s="9" t="n">
        <f aca="false">IF(W1027=0,0,IF(O1027="Booked",N1027,W1027*AA1026))</f>
        <v>19383250.4339477</v>
      </c>
      <c r="Y1027" s="14" t="n">
        <f aca="false">IF(I1027="Opening",K1027,Y1026+K1027-W1027)</f>
        <v>7707.5</v>
      </c>
      <c r="Z1027" s="9" t="n">
        <f aca="false">IF(I1027="Opening",L1027,Z1026+L1027-X1027)</f>
        <v>247304093.229021</v>
      </c>
      <c r="AA1027" s="9" t="n">
        <f aca="false">IF(Y1027&gt;0,Z1027/Y1027,IF(I1027="Opening",0,AA1026))</f>
        <v>32086.1619499217</v>
      </c>
      <c r="AB1027" s="9" t="n">
        <f aca="false">IF(AND(I1027="DO",O1027="MA"),S1027-N1027,0)</f>
        <v>0.033947691321373</v>
      </c>
      <c r="AC1027" s="9" t="n">
        <f aca="false">IF(I1027="DO",X1027-S1027,0)</f>
        <v>0</v>
      </c>
      <c r="AD1027" s="23" t="n">
        <f aca="false">IF(B1028&lt;&gt;B1027,1,0)</f>
        <v>0</v>
      </c>
      <c r="AE1027" s="14" t="n">
        <f aca="false">IF(I1027="Opening",0,AE1026+W1027)</f>
        <v>5886.52</v>
      </c>
      <c r="AF1027" s="14" t="n">
        <f aca="false">IF(I1027="Opening",K1027,AF1026)</f>
        <v>4272.62</v>
      </c>
      <c r="AG1027" s="14" t="n">
        <f aca="false">AG1026</f>
        <v>0</v>
      </c>
      <c r="AH1027" s="14" t="n">
        <f aca="false">IF(W1027=0,0,MAX(0,MIN(AE1027,AF1027)-MIN(AE1027-W1027,AF1027)))</f>
        <v>0</v>
      </c>
      <c r="AI1027" s="14" t="n">
        <f aca="false">IF(W1027=0,0,MAX(0,MIN(AE1027,AF1027+AG1027)-MAX(AE1027-W1027,AF1027)))</f>
        <v>0</v>
      </c>
      <c r="AJ1027" s="14" t="n">
        <f aca="false">W1027-AH1027-AI1027</f>
        <v>604.1</v>
      </c>
      <c r="AK1027" s="9" t="n">
        <f aca="false">IF(W1027=0,0,X1027*AH1027/W1027)</f>
        <v>0</v>
      </c>
      <c r="AL1027" s="9" t="n">
        <f aca="false">IF(W1027=0,0,X1027*AI1027/W1027)</f>
        <v>0</v>
      </c>
      <c r="AM1027" s="9" t="n">
        <f aca="false">X1027-AK1027-AL1027</f>
        <v>19383250.4339477</v>
      </c>
    </row>
    <row r="1028" customFormat="false" ht="15" hidden="false" customHeight="false" outlineLevel="0" collapsed="false">
      <c r="A1028" s="6" t="n">
        <v>1023</v>
      </c>
      <c r="B1028" s="74" t="s">
        <v>1026</v>
      </c>
      <c r="C1028" s="53" t="str">
        <f aca="false">INDEX(I_Items!$C$5:$C$133,MATCH($B1028,I_Items!$A$5:$A$133,0))</f>
        <v>Trading</v>
      </c>
      <c r="D1028" s="53" t="str">
        <f aca="false">INDEX(I_Items!$D$5:$D$133,MATCH($B1028,I_Items!$A$5:$A$133,0))</f>
        <v>Karkas</v>
      </c>
      <c r="E1028" s="53" t="str">
        <f aca="false">INDEX(I_Items!$F$5:$F$133,MATCH($B1028,I_Items!$A$5:$A$133,0))</f>
        <v>Not stated in item master</v>
      </c>
      <c r="F1028" s="53" t="str">
        <f aca="false">IF(INDEX(I_Items!$E$5:$E$133,MATCH($B1028,I_Items!$A$5:$A$133,0))="","",INDEX(I_Items!$E$5:$E$133,MATCH($B1028,I_Items!$A$5:$A$133,0)))</f>
        <v>Uk 1.1</v>
      </c>
      <c r="G1028" s="76" t="n">
        <v>46244</v>
      </c>
      <c r="H1028" s="23" t="n">
        <f aca="false">MONTH(G1028)</f>
        <v>8</v>
      </c>
      <c r="I1028" s="74" t="s">
        <v>2075</v>
      </c>
      <c r="J1028" s="74" t="s">
        <v>2305</v>
      </c>
      <c r="K1028" s="10" t="n">
        <v>0</v>
      </c>
      <c r="L1028" s="8" t="n">
        <v>0</v>
      </c>
      <c r="M1028" s="10" t="n">
        <v>506.3</v>
      </c>
      <c r="N1028" s="8" t="n">
        <v>16245223.77</v>
      </c>
      <c r="O1028" s="74" t="s">
        <v>2077</v>
      </c>
      <c r="P1028" s="74"/>
      <c r="Q1028" s="74"/>
      <c r="R1028" s="14" t="n">
        <f aca="false">IF(I1028="Unbilled",0,M1028)</f>
        <v>506.3</v>
      </c>
      <c r="S1028" s="9" t="n">
        <f aca="false">IF(R1028=0,0,IF(O1028="Booked",N1028,R1028*V1027))</f>
        <v>16245223.7952454</v>
      </c>
      <c r="T1028" s="14" t="n">
        <f aca="false">IF(I1028="Opening",K1028,T1027+K1028-R1028)</f>
        <v>7201.2</v>
      </c>
      <c r="U1028" s="9" t="n">
        <f aca="false">IF(I1028="Opening",L1028,U1027+L1028-S1028)</f>
        <v>231058869.433776</v>
      </c>
      <c r="V1028" s="9" t="n">
        <f aca="false">IF(T1028&gt;0,U1028/T1028,IF(I1028="Opening",0,V1027))</f>
        <v>32086.1619499217</v>
      </c>
      <c r="W1028" s="14" t="n">
        <f aca="false">M1028</f>
        <v>506.3</v>
      </c>
      <c r="X1028" s="9" t="n">
        <f aca="false">IF(W1028=0,0,IF(O1028="Booked",N1028,W1028*AA1027))</f>
        <v>16245223.7952454</v>
      </c>
      <c r="Y1028" s="14" t="n">
        <f aca="false">IF(I1028="Opening",K1028,Y1027+K1028-W1028)</f>
        <v>7201.2</v>
      </c>
      <c r="Z1028" s="9" t="n">
        <f aca="false">IF(I1028="Opening",L1028,Z1027+L1028-X1028)</f>
        <v>231058869.433776</v>
      </c>
      <c r="AA1028" s="9" t="n">
        <f aca="false">IF(Y1028&gt;0,Z1028/Y1028,IF(I1028="Opening",0,AA1027))</f>
        <v>32086.1619499217</v>
      </c>
      <c r="AB1028" s="9" t="n">
        <f aca="false">IF(AND(I1028="DO",O1028="MA"),S1028-N1028,0)</f>
        <v>0.025245351716876</v>
      </c>
      <c r="AC1028" s="9" t="n">
        <f aca="false">IF(I1028="DO",X1028-S1028,0)</f>
        <v>0</v>
      </c>
      <c r="AD1028" s="23" t="n">
        <f aca="false">IF(B1029&lt;&gt;B1028,1,0)</f>
        <v>0</v>
      </c>
      <c r="AE1028" s="14" t="n">
        <f aca="false">IF(I1028="Opening",0,AE1027+W1028)</f>
        <v>6392.82</v>
      </c>
      <c r="AF1028" s="14" t="n">
        <f aca="false">IF(I1028="Opening",K1028,AF1027)</f>
        <v>4272.62</v>
      </c>
      <c r="AG1028" s="14" t="n">
        <f aca="false">AG1027</f>
        <v>0</v>
      </c>
      <c r="AH1028" s="14" t="n">
        <f aca="false">IF(W1028=0,0,MAX(0,MIN(AE1028,AF1028)-MIN(AE1028-W1028,AF1028)))</f>
        <v>0</v>
      </c>
      <c r="AI1028" s="14" t="n">
        <f aca="false">IF(W1028=0,0,MAX(0,MIN(AE1028,AF1028+AG1028)-MAX(AE1028-W1028,AF1028)))</f>
        <v>0</v>
      </c>
      <c r="AJ1028" s="14" t="n">
        <f aca="false">W1028-AH1028-AI1028</f>
        <v>506.3</v>
      </c>
      <c r="AK1028" s="9" t="n">
        <f aca="false">IF(W1028=0,0,X1028*AH1028/W1028)</f>
        <v>0</v>
      </c>
      <c r="AL1028" s="9" t="n">
        <f aca="false">IF(W1028=0,0,X1028*AI1028/W1028)</f>
        <v>0</v>
      </c>
      <c r="AM1028" s="9" t="n">
        <f aca="false">X1028-AK1028-AL1028</f>
        <v>16245223.7952454</v>
      </c>
    </row>
    <row r="1029" customFormat="false" ht="15" hidden="false" customHeight="false" outlineLevel="0" collapsed="false">
      <c r="A1029" s="6" t="n">
        <v>1024</v>
      </c>
      <c r="B1029" s="74" t="s">
        <v>1026</v>
      </c>
      <c r="C1029" s="53" t="str">
        <f aca="false">INDEX(I_Items!$C$5:$C$133,MATCH($B1029,I_Items!$A$5:$A$133,0))</f>
        <v>Trading</v>
      </c>
      <c r="D1029" s="53" t="str">
        <f aca="false">INDEX(I_Items!$D$5:$D$133,MATCH($B1029,I_Items!$A$5:$A$133,0))</f>
        <v>Karkas</v>
      </c>
      <c r="E1029" s="53" t="str">
        <f aca="false">INDEX(I_Items!$F$5:$F$133,MATCH($B1029,I_Items!$A$5:$A$133,0))</f>
        <v>Not stated in item master</v>
      </c>
      <c r="F1029" s="53" t="str">
        <f aca="false">IF(INDEX(I_Items!$E$5:$E$133,MATCH($B1029,I_Items!$A$5:$A$133,0))="","",INDEX(I_Items!$E$5:$E$133,MATCH($B1029,I_Items!$A$5:$A$133,0)))</f>
        <v>Uk 1.1</v>
      </c>
      <c r="G1029" s="76" t="n">
        <v>46247</v>
      </c>
      <c r="H1029" s="23" t="n">
        <f aca="false">MONTH(G1029)</f>
        <v>8</v>
      </c>
      <c r="I1029" s="74" t="s">
        <v>2075</v>
      </c>
      <c r="J1029" s="74" t="s">
        <v>2171</v>
      </c>
      <c r="K1029" s="10" t="n">
        <v>0</v>
      </c>
      <c r="L1029" s="8" t="n">
        <v>0</v>
      </c>
      <c r="M1029" s="10" t="n">
        <v>403</v>
      </c>
      <c r="N1029" s="8" t="n">
        <v>12930723.25</v>
      </c>
      <c r="O1029" s="74" t="s">
        <v>2077</v>
      </c>
      <c r="P1029" s="74"/>
      <c r="Q1029" s="74"/>
      <c r="R1029" s="14" t="n">
        <f aca="false">IF(I1029="Unbilled",0,M1029)</f>
        <v>403</v>
      </c>
      <c r="S1029" s="9" t="n">
        <f aca="false">IF(R1029=0,0,IF(O1029="Booked",N1029,R1029*V1028))</f>
        <v>12930723.2658184</v>
      </c>
      <c r="T1029" s="14" t="n">
        <f aca="false">IF(I1029="Opening",K1029,T1028+K1029-R1029)</f>
        <v>6798.2</v>
      </c>
      <c r="U1029" s="9" t="n">
        <f aca="false">IF(I1029="Opening",L1029,U1028+L1029-S1029)</f>
        <v>218128146.167958</v>
      </c>
      <c r="V1029" s="9" t="n">
        <f aca="false">IF(T1029&gt;0,U1029/T1029,IF(I1029="Opening",0,V1028))</f>
        <v>32086.1619499217</v>
      </c>
      <c r="W1029" s="14" t="n">
        <f aca="false">M1029</f>
        <v>403</v>
      </c>
      <c r="X1029" s="9" t="n">
        <f aca="false">IF(W1029=0,0,IF(O1029="Booked",N1029,W1029*AA1028))</f>
        <v>12930723.2658184</v>
      </c>
      <c r="Y1029" s="14" t="n">
        <f aca="false">IF(I1029="Opening",K1029,Y1028+K1029-W1029)</f>
        <v>6798.2</v>
      </c>
      <c r="Z1029" s="9" t="n">
        <f aca="false">IF(I1029="Opening",L1029,Z1028+L1029-X1029)</f>
        <v>218128146.167958</v>
      </c>
      <c r="AA1029" s="9" t="n">
        <f aca="false">IF(Y1029&gt;0,Z1029/Y1029,IF(I1029="Opening",0,AA1028))</f>
        <v>32086.1619499217</v>
      </c>
      <c r="AB1029" s="9" t="n">
        <f aca="false">IF(AND(I1029="DO",O1029="MA"),S1029-N1029,0)</f>
        <v>0.0158184394240379</v>
      </c>
      <c r="AC1029" s="9" t="n">
        <f aca="false">IF(I1029="DO",X1029-S1029,0)</f>
        <v>0</v>
      </c>
      <c r="AD1029" s="23" t="n">
        <f aca="false">IF(B1030&lt;&gt;B1029,1,0)</f>
        <v>0</v>
      </c>
      <c r="AE1029" s="14" t="n">
        <f aca="false">IF(I1029="Opening",0,AE1028+W1029)</f>
        <v>6795.82</v>
      </c>
      <c r="AF1029" s="14" t="n">
        <f aca="false">IF(I1029="Opening",K1029,AF1028)</f>
        <v>4272.62</v>
      </c>
      <c r="AG1029" s="14" t="n">
        <f aca="false">AG1028</f>
        <v>0</v>
      </c>
      <c r="AH1029" s="14" t="n">
        <f aca="false">IF(W1029=0,0,MAX(0,MIN(AE1029,AF1029)-MIN(AE1029-W1029,AF1029)))</f>
        <v>0</v>
      </c>
      <c r="AI1029" s="14" t="n">
        <f aca="false">IF(W1029=0,0,MAX(0,MIN(AE1029,AF1029+AG1029)-MAX(AE1029-W1029,AF1029)))</f>
        <v>0</v>
      </c>
      <c r="AJ1029" s="14" t="n">
        <f aca="false">W1029-AH1029-AI1029</f>
        <v>403</v>
      </c>
      <c r="AK1029" s="9" t="n">
        <f aca="false">IF(W1029=0,0,X1029*AH1029/W1029)</f>
        <v>0</v>
      </c>
      <c r="AL1029" s="9" t="n">
        <f aca="false">IF(W1029=0,0,X1029*AI1029/W1029)</f>
        <v>0</v>
      </c>
      <c r="AM1029" s="9" t="n">
        <f aca="false">X1029-AK1029-AL1029</f>
        <v>12930723.2658184</v>
      </c>
    </row>
    <row r="1030" customFormat="false" ht="15" hidden="false" customHeight="false" outlineLevel="0" collapsed="false">
      <c r="A1030" s="6" t="n">
        <v>1025</v>
      </c>
      <c r="B1030" s="74" t="s">
        <v>1026</v>
      </c>
      <c r="C1030" s="53" t="str">
        <f aca="false">INDEX(I_Items!$C$5:$C$133,MATCH($B1030,I_Items!$A$5:$A$133,0))</f>
        <v>Trading</v>
      </c>
      <c r="D1030" s="53" t="str">
        <f aca="false">INDEX(I_Items!$D$5:$D$133,MATCH($B1030,I_Items!$A$5:$A$133,0))</f>
        <v>Karkas</v>
      </c>
      <c r="E1030" s="53" t="str">
        <f aca="false">INDEX(I_Items!$F$5:$F$133,MATCH($B1030,I_Items!$A$5:$A$133,0))</f>
        <v>Not stated in item master</v>
      </c>
      <c r="F1030" s="53" t="str">
        <f aca="false">IF(INDEX(I_Items!$E$5:$E$133,MATCH($B1030,I_Items!$A$5:$A$133,0))="","",INDEX(I_Items!$E$5:$E$133,MATCH($B1030,I_Items!$A$5:$A$133,0)))</f>
        <v>Uk 1.1</v>
      </c>
      <c r="G1030" s="76" t="n">
        <v>46248</v>
      </c>
      <c r="H1030" s="23" t="n">
        <f aca="false">MONTH(G1030)</f>
        <v>8</v>
      </c>
      <c r="I1030" s="74" t="s">
        <v>2075</v>
      </c>
      <c r="J1030" s="74" t="s">
        <v>2308</v>
      </c>
      <c r="K1030" s="10" t="n">
        <v>0</v>
      </c>
      <c r="L1030" s="8" t="n">
        <v>0</v>
      </c>
      <c r="M1030" s="10" t="n">
        <v>505.1</v>
      </c>
      <c r="N1030" s="8" t="n">
        <v>16206720.38</v>
      </c>
      <c r="O1030" s="74" t="s">
        <v>2077</v>
      </c>
      <c r="P1030" s="74"/>
      <c r="Q1030" s="74"/>
      <c r="R1030" s="14" t="n">
        <f aca="false">IF(I1030="Unbilled",0,M1030)</f>
        <v>505.1</v>
      </c>
      <c r="S1030" s="9" t="n">
        <f aca="false">IF(R1030=0,0,IF(O1030="Booked",N1030,R1030*V1029))</f>
        <v>16206720.4009054</v>
      </c>
      <c r="T1030" s="14" t="n">
        <f aca="false">IF(I1030="Opening",K1030,T1029+K1030-R1030)</f>
        <v>6293.1</v>
      </c>
      <c r="U1030" s="9" t="n">
        <f aca="false">IF(I1030="Opening",L1030,U1029+L1030-S1030)</f>
        <v>201921425.767052</v>
      </c>
      <c r="V1030" s="9" t="n">
        <f aca="false">IF(T1030&gt;0,U1030/T1030,IF(I1030="Opening",0,V1029))</f>
        <v>32086.1619499217</v>
      </c>
      <c r="W1030" s="14" t="n">
        <f aca="false">M1030</f>
        <v>505.1</v>
      </c>
      <c r="X1030" s="9" t="n">
        <f aca="false">IF(W1030=0,0,IF(O1030="Booked",N1030,W1030*AA1029))</f>
        <v>16206720.4009054</v>
      </c>
      <c r="Y1030" s="14" t="n">
        <f aca="false">IF(I1030="Opening",K1030,Y1029+K1030-W1030)</f>
        <v>6293.1</v>
      </c>
      <c r="Z1030" s="9" t="n">
        <f aca="false">IF(I1030="Opening",L1030,Z1029+L1030-X1030)</f>
        <v>201921425.767052</v>
      </c>
      <c r="AA1030" s="9" t="n">
        <f aca="false">IF(Y1030&gt;0,Z1030/Y1030,IF(I1030="Opening",0,AA1029))</f>
        <v>32086.1619499217</v>
      </c>
      <c r="AB1030" s="9" t="n">
        <f aca="false">IF(AND(I1030="DO",O1030="MA"),S1030-N1030,0)</f>
        <v>0.0209054443985224</v>
      </c>
      <c r="AC1030" s="9" t="n">
        <f aca="false">IF(I1030="DO",X1030-S1030,0)</f>
        <v>0</v>
      </c>
      <c r="AD1030" s="23" t="n">
        <f aca="false">IF(B1031&lt;&gt;B1030,1,0)</f>
        <v>0</v>
      </c>
      <c r="AE1030" s="14" t="n">
        <f aca="false">IF(I1030="Opening",0,AE1029+W1030)</f>
        <v>7300.92</v>
      </c>
      <c r="AF1030" s="14" t="n">
        <f aca="false">IF(I1030="Opening",K1030,AF1029)</f>
        <v>4272.62</v>
      </c>
      <c r="AG1030" s="14" t="n">
        <f aca="false">AG1029</f>
        <v>0</v>
      </c>
      <c r="AH1030" s="14" t="n">
        <f aca="false">IF(W1030=0,0,MAX(0,MIN(AE1030,AF1030)-MIN(AE1030-W1030,AF1030)))</f>
        <v>0</v>
      </c>
      <c r="AI1030" s="14" t="n">
        <f aca="false">IF(W1030=0,0,MAX(0,MIN(AE1030,AF1030+AG1030)-MAX(AE1030-W1030,AF1030)))</f>
        <v>0</v>
      </c>
      <c r="AJ1030" s="14" t="n">
        <f aca="false">W1030-AH1030-AI1030</f>
        <v>505.1</v>
      </c>
      <c r="AK1030" s="9" t="n">
        <f aca="false">IF(W1030=0,0,X1030*AH1030/W1030)</f>
        <v>0</v>
      </c>
      <c r="AL1030" s="9" t="n">
        <f aca="false">IF(W1030=0,0,X1030*AI1030/W1030)</f>
        <v>0</v>
      </c>
      <c r="AM1030" s="9" t="n">
        <f aca="false">X1030-AK1030-AL1030</f>
        <v>16206720.4009054</v>
      </c>
    </row>
    <row r="1031" customFormat="false" ht="15" hidden="false" customHeight="false" outlineLevel="0" collapsed="false">
      <c r="A1031" s="6" t="n">
        <v>1026</v>
      </c>
      <c r="B1031" s="74" t="s">
        <v>1026</v>
      </c>
      <c r="C1031" s="53" t="str">
        <f aca="false">INDEX(I_Items!$C$5:$C$133,MATCH($B1031,I_Items!$A$5:$A$133,0))</f>
        <v>Trading</v>
      </c>
      <c r="D1031" s="53" t="str">
        <f aca="false">INDEX(I_Items!$D$5:$D$133,MATCH($B1031,I_Items!$A$5:$A$133,0))</f>
        <v>Karkas</v>
      </c>
      <c r="E1031" s="53" t="str">
        <f aca="false">INDEX(I_Items!$F$5:$F$133,MATCH($B1031,I_Items!$A$5:$A$133,0))</f>
        <v>Not stated in item master</v>
      </c>
      <c r="F1031" s="53" t="str">
        <f aca="false">IF(INDEX(I_Items!$E$5:$E$133,MATCH($B1031,I_Items!$A$5:$A$133,0))="","",INDEX(I_Items!$E$5:$E$133,MATCH($B1031,I_Items!$A$5:$A$133,0)))</f>
        <v>Uk 1.1</v>
      </c>
      <c r="G1031" s="76" t="n">
        <v>46248</v>
      </c>
      <c r="H1031" s="23" t="n">
        <f aca="false">MONTH(G1031)</f>
        <v>8</v>
      </c>
      <c r="I1031" s="74" t="s">
        <v>2075</v>
      </c>
      <c r="J1031" s="74" t="s">
        <v>2338</v>
      </c>
      <c r="K1031" s="10" t="n">
        <v>0</v>
      </c>
      <c r="L1031" s="8" t="n">
        <v>0</v>
      </c>
      <c r="M1031" s="10" t="n">
        <v>1507</v>
      </c>
      <c r="N1031" s="8" t="n">
        <v>48353845.98</v>
      </c>
      <c r="O1031" s="74" t="s">
        <v>2077</v>
      </c>
      <c r="P1031" s="74"/>
      <c r="Q1031" s="74"/>
      <c r="R1031" s="14" t="n">
        <f aca="false">IF(I1031="Unbilled",0,M1031)</f>
        <v>1507</v>
      </c>
      <c r="S1031" s="9" t="n">
        <f aca="false">IF(R1031=0,0,IF(O1031="Booked",N1031,R1031*V1030))</f>
        <v>48353846.058532</v>
      </c>
      <c r="T1031" s="14" t="n">
        <f aca="false">IF(I1031="Opening",K1031,T1030+K1031-R1031)</f>
        <v>4786.1</v>
      </c>
      <c r="U1031" s="9" t="n">
        <f aca="false">IF(I1031="Opening",L1031,U1030+L1031-S1031)</f>
        <v>153567579.70852</v>
      </c>
      <c r="V1031" s="9" t="n">
        <f aca="false">IF(T1031&gt;0,U1031/T1031,IF(I1031="Opening",0,V1030))</f>
        <v>32086.1619499217</v>
      </c>
      <c r="W1031" s="14" t="n">
        <f aca="false">M1031</f>
        <v>1507</v>
      </c>
      <c r="X1031" s="9" t="n">
        <f aca="false">IF(W1031=0,0,IF(O1031="Booked",N1031,W1031*AA1030))</f>
        <v>48353846.058532</v>
      </c>
      <c r="Y1031" s="14" t="n">
        <f aca="false">IF(I1031="Opening",K1031,Y1030+K1031-W1031)</f>
        <v>4786.1</v>
      </c>
      <c r="Z1031" s="9" t="n">
        <f aca="false">IF(I1031="Opening",L1031,Z1030+L1031-X1031)</f>
        <v>153567579.70852</v>
      </c>
      <c r="AA1031" s="9" t="n">
        <f aca="false">IF(Y1031&gt;0,Z1031/Y1031,IF(I1031="Opening",0,AA1030))</f>
        <v>32086.1619499217</v>
      </c>
      <c r="AB1031" s="9" t="n">
        <f aca="false">IF(AND(I1031="DO",O1031="MA"),S1031-N1031,0)</f>
        <v>0.078531987965107</v>
      </c>
      <c r="AC1031" s="9" t="n">
        <f aca="false">IF(I1031="DO",X1031-S1031,0)</f>
        <v>0</v>
      </c>
      <c r="AD1031" s="23" t="n">
        <f aca="false">IF(B1032&lt;&gt;B1031,1,0)</f>
        <v>0</v>
      </c>
      <c r="AE1031" s="14" t="n">
        <f aca="false">IF(I1031="Opening",0,AE1030+W1031)</f>
        <v>8807.92</v>
      </c>
      <c r="AF1031" s="14" t="n">
        <f aca="false">IF(I1031="Opening",K1031,AF1030)</f>
        <v>4272.62</v>
      </c>
      <c r="AG1031" s="14" t="n">
        <f aca="false">AG1030</f>
        <v>0</v>
      </c>
      <c r="AH1031" s="14" t="n">
        <f aca="false">IF(W1031=0,0,MAX(0,MIN(AE1031,AF1031)-MIN(AE1031-W1031,AF1031)))</f>
        <v>0</v>
      </c>
      <c r="AI1031" s="14" t="n">
        <f aca="false">IF(W1031=0,0,MAX(0,MIN(AE1031,AF1031+AG1031)-MAX(AE1031-W1031,AF1031)))</f>
        <v>0</v>
      </c>
      <c r="AJ1031" s="14" t="n">
        <f aca="false">W1031-AH1031-AI1031</f>
        <v>1507</v>
      </c>
      <c r="AK1031" s="9" t="n">
        <f aca="false">IF(W1031=0,0,X1031*AH1031/W1031)</f>
        <v>0</v>
      </c>
      <c r="AL1031" s="9" t="n">
        <f aca="false">IF(W1031=0,0,X1031*AI1031/W1031)</f>
        <v>0</v>
      </c>
      <c r="AM1031" s="9" t="n">
        <f aca="false">X1031-AK1031-AL1031</f>
        <v>48353846.058532</v>
      </c>
    </row>
    <row r="1032" customFormat="false" ht="15" hidden="false" customHeight="false" outlineLevel="0" collapsed="false">
      <c r="A1032" s="6" t="n">
        <v>1027</v>
      </c>
      <c r="B1032" s="74" t="s">
        <v>1026</v>
      </c>
      <c r="C1032" s="53" t="str">
        <f aca="false">INDEX(I_Items!$C$5:$C$133,MATCH($B1032,I_Items!$A$5:$A$133,0))</f>
        <v>Trading</v>
      </c>
      <c r="D1032" s="53" t="str">
        <f aca="false">INDEX(I_Items!$D$5:$D$133,MATCH($B1032,I_Items!$A$5:$A$133,0))</f>
        <v>Karkas</v>
      </c>
      <c r="E1032" s="53" t="str">
        <f aca="false">INDEX(I_Items!$F$5:$F$133,MATCH($B1032,I_Items!$A$5:$A$133,0))</f>
        <v>Not stated in item master</v>
      </c>
      <c r="F1032" s="53" t="str">
        <f aca="false">IF(INDEX(I_Items!$E$5:$E$133,MATCH($B1032,I_Items!$A$5:$A$133,0))="","",INDEX(I_Items!$E$5:$E$133,MATCH($B1032,I_Items!$A$5:$A$133,0)))</f>
        <v>Uk 1.1</v>
      </c>
      <c r="G1032" s="76" t="n">
        <v>46249</v>
      </c>
      <c r="H1032" s="23" t="n">
        <f aca="false">MONTH(G1032)</f>
        <v>8</v>
      </c>
      <c r="I1032" s="74" t="s">
        <v>2075</v>
      </c>
      <c r="J1032" s="74" t="s">
        <v>2339</v>
      </c>
      <c r="K1032" s="10" t="n">
        <v>0</v>
      </c>
      <c r="L1032" s="8" t="n">
        <v>0</v>
      </c>
      <c r="M1032" s="10" t="n">
        <v>543.9</v>
      </c>
      <c r="N1032" s="8" t="n">
        <v>17451663.46</v>
      </c>
      <c r="O1032" s="74" t="s">
        <v>2077</v>
      </c>
      <c r="P1032" s="74"/>
      <c r="Q1032" s="74"/>
      <c r="R1032" s="14" t="n">
        <f aca="false">IF(I1032="Unbilled",0,M1032)</f>
        <v>543.9</v>
      </c>
      <c r="S1032" s="9" t="n">
        <f aca="false">IF(R1032=0,0,IF(O1032="Booked",N1032,R1032*V1031))</f>
        <v>17451663.4845624</v>
      </c>
      <c r="T1032" s="14" t="n">
        <f aca="false">IF(I1032="Opening",K1032,T1031+K1032-R1032)</f>
        <v>4242.2</v>
      </c>
      <c r="U1032" s="9" t="n">
        <f aca="false">IF(I1032="Opening",L1032,U1031+L1032-S1032)</f>
        <v>136115916.223958</v>
      </c>
      <c r="V1032" s="9" t="n">
        <f aca="false">IF(T1032&gt;0,U1032/T1032,IF(I1032="Opening",0,V1031))</f>
        <v>32086.1619499217</v>
      </c>
      <c r="W1032" s="14" t="n">
        <f aca="false">M1032</f>
        <v>543.9</v>
      </c>
      <c r="X1032" s="9" t="n">
        <f aca="false">IF(W1032=0,0,IF(O1032="Booked",N1032,W1032*AA1031))</f>
        <v>17451663.4845624</v>
      </c>
      <c r="Y1032" s="14" t="n">
        <f aca="false">IF(I1032="Opening",K1032,Y1031+K1032-W1032)</f>
        <v>4242.2</v>
      </c>
      <c r="Z1032" s="9" t="n">
        <f aca="false">IF(I1032="Opening",L1032,Z1031+L1032-X1032)</f>
        <v>136115916.223958</v>
      </c>
      <c r="AA1032" s="9" t="n">
        <f aca="false">IF(Y1032&gt;0,Z1032/Y1032,IF(I1032="Opening",0,AA1031))</f>
        <v>32086.1619499217</v>
      </c>
      <c r="AB1032" s="9" t="n">
        <f aca="false">IF(AND(I1032="DO",O1032="MA"),S1032-N1032,0)</f>
        <v>0.0245624035596848</v>
      </c>
      <c r="AC1032" s="9" t="n">
        <f aca="false">IF(I1032="DO",X1032-S1032,0)</f>
        <v>0</v>
      </c>
      <c r="AD1032" s="23" t="n">
        <f aca="false">IF(B1033&lt;&gt;B1032,1,0)</f>
        <v>0</v>
      </c>
      <c r="AE1032" s="14" t="n">
        <f aca="false">IF(I1032="Opening",0,AE1031+W1032)</f>
        <v>9351.82</v>
      </c>
      <c r="AF1032" s="14" t="n">
        <f aca="false">IF(I1032="Opening",K1032,AF1031)</f>
        <v>4272.62</v>
      </c>
      <c r="AG1032" s="14" t="n">
        <f aca="false">AG1031</f>
        <v>0</v>
      </c>
      <c r="AH1032" s="14" t="n">
        <f aca="false">IF(W1032=0,0,MAX(0,MIN(AE1032,AF1032)-MIN(AE1032-W1032,AF1032)))</f>
        <v>0</v>
      </c>
      <c r="AI1032" s="14" t="n">
        <f aca="false">IF(W1032=0,0,MAX(0,MIN(AE1032,AF1032+AG1032)-MAX(AE1032-W1032,AF1032)))</f>
        <v>0</v>
      </c>
      <c r="AJ1032" s="14" t="n">
        <f aca="false">W1032-AH1032-AI1032</f>
        <v>543.9</v>
      </c>
      <c r="AK1032" s="9" t="n">
        <f aca="false">IF(W1032=0,0,X1032*AH1032/W1032)</f>
        <v>0</v>
      </c>
      <c r="AL1032" s="9" t="n">
        <f aca="false">IF(W1032=0,0,X1032*AI1032/W1032)</f>
        <v>0</v>
      </c>
      <c r="AM1032" s="9" t="n">
        <f aca="false">X1032-AK1032-AL1032</f>
        <v>17451663.4845624</v>
      </c>
    </row>
    <row r="1033" customFormat="false" ht="15" hidden="false" customHeight="false" outlineLevel="0" collapsed="false">
      <c r="A1033" s="6" t="n">
        <v>1028</v>
      </c>
      <c r="B1033" s="74" t="s">
        <v>1026</v>
      </c>
      <c r="C1033" s="53" t="str">
        <f aca="false">INDEX(I_Items!$C$5:$C$133,MATCH($B1033,I_Items!$A$5:$A$133,0))</f>
        <v>Trading</v>
      </c>
      <c r="D1033" s="53" t="str">
        <f aca="false">INDEX(I_Items!$D$5:$D$133,MATCH($B1033,I_Items!$A$5:$A$133,0))</f>
        <v>Karkas</v>
      </c>
      <c r="E1033" s="53" t="str">
        <f aca="false">INDEX(I_Items!$F$5:$F$133,MATCH($B1033,I_Items!$A$5:$A$133,0))</f>
        <v>Not stated in item master</v>
      </c>
      <c r="F1033" s="53" t="str">
        <f aca="false">IF(INDEX(I_Items!$E$5:$E$133,MATCH($B1033,I_Items!$A$5:$A$133,0))="","",INDEX(I_Items!$E$5:$E$133,MATCH($B1033,I_Items!$A$5:$A$133,0)))</f>
        <v>Uk 1.1</v>
      </c>
      <c r="G1033" s="76" t="n">
        <v>46249</v>
      </c>
      <c r="H1033" s="23" t="n">
        <f aca="false">MONTH(G1033)</f>
        <v>8</v>
      </c>
      <c r="I1033" s="74" t="s">
        <v>2075</v>
      </c>
      <c r="J1033" s="74" t="s">
        <v>2339</v>
      </c>
      <c r="K1033" s="10" t="n">
        <v>0</v>
      </c>
      <c r="L1033" s="8" t="n">
        <v>0</v>
      </c>
      <c r="M1033" s="10" t="n">
        <v>452.7</v>
      </c>
      <c r="N1033" s="8" t="n">
        <v>14525405.49</v>
      </c>
      <c r="O1033" s="74" t="s">
        <v>2077</v>
      </c>
      <c r="P1033" s="74"/>
      <c r="Q1033" s="74"/>
      <c r="R1033" s="14" t="n">
        <f aca="false">IF(I1033="Unbilled",0,M1033)</f>
        <v>452.7</v>
      </c>
      <c r="S1033" s="9" t="n">
        <f aca="false">IF(R1033=0,0,IF(O1033="Booked",N1033,R1033*V1032))</f>
        <v>14525405.5147295</v>
      </c>
      <c r="T1033" s="14" t="n">
        <f aca="false">IF(I1033="Opening",K1033,T1032+K1033-R1033)</f>
        <v>3789.5</v>
      </c>
      <c r="U1033" s="9" t="n">
        <f aca="false">IF(I1033="Opening",L1033,U1032+L1033-S1033)</f>
        <v>121590510.709228</v>
      </c>
      <c r="V1033" s="9" t="n">
        <f aca="false">IF(T1033&gt;0,U1033/T1033,IF(I1033="Opening",0,V1032))</f>
        <v>32086.1619499217</v>
      </c>
      <c r="W1033" s="14" t="n">
        <f aca="false">M1033</f>
        <v>452.7</v>
      </c>
      <c r="X1033" s="9" t="n">
        <f aca="false">IF(W1033=0,0,IF(O1033="Booked",N1033,W1033*AA1032))</f>
        <v>14525405.5147295</v>
      </c>
      <c r="Y1033" s="14" t="n">
        <f aca="false">IF(I1033="Opening",K1033,Y1032+K1033-W1033)</f>
        <v>3789.5</v>
      </c>
      <c r="Z1033" s="9" t="n">
        <f aca="false">IF(I1033="Opening",L1033,Z1032+L1033-X1033)</f>
        <v>121590510.709228</v>
      </c>
      <c r="AA1033" s="9" t="n">
        <f aca="false">IF(Y1033&gt;0,Z1033/Y1033,IF(I1033="Opening",0,AA1032))</f>
        <v>32086.1619499217</v>
      </c>
      <c r="AB1033" s="9" t="n">
        <f aca="false">IF(AND(I1033="DO",O1033="MA"),S1033-N1033,0)</f>
        <v>0.0247295461595058</v>
      </c>
      <c r="AC1033" s="9" t="n">
        <f aca="false">IF(I1033="DO",X1033-S1033,0)</f>
        <v>0</v>
      </c>
      <c r="AD1033" s="23" t="n">
        <f aca="false">IF(B1034&lt;&gt;B1033,1,0)</f>
        <v>0</v>
      </c>
      <c r="AE1033" s="14" t="n">
        <f aca="false">IF(I1033="Opening",0,AE1032+W1033)</f>
        <v>9804.52</v>
      </c>
      <c r="AF1033" s="14" t="n">
        <f aca="false">IF(I1033="Opening",K1033,AF1032)</f>
        <v>4272.62</v>
      </c>
      <c r="AG1033" s="14" t="n">
        <f aca="false">AG1032</f>
        <v>0</v>
      </c>
      <c r="AH1033" s="14" t="n">
        <f aca="false">IF(W1033=0,0,MAX(0,MIN(AE1033,AF1033)-MIN(AE1033-W1033,AF1033)))</f>
        <v>0</v>
      </c>
      <c r="AI1033" s="14" t="n">
        <f aca="false">IF(W1033=0,0,MAX(0,MIN(AE1033,AF1033+AG1033)-MAX(AE1033-W1033,AF1033)))</f>
        <v>0</v>
      </c>
      <c r="AJ1033" s="14" t="n">
        <f aca="false">W1033-AH1033-AI1033</f>
        <v>452.7</v>
      </c>
      <c r="AK1033" s="9" t="n">
        <f aca="false">IF(W1033=0,0,X1033*AH1033/W1033)</f>
        <v>0</v>
      </c>
      <c r="AL1033" s="9" t="n">
        <f aca="false">IF(W1033=0,0,X1033*AI1033/W1033)</f>
        <v>0</v>
      </c>
      <c r="AM1033" s="9" t="n">
        <f aca="false">X1033-AK1033-AL1033</f>
        <v>14525405.5147295</v>
      </c>
    </row>
    <row r="1034" customFormat="false" ht="15" hidden="false" customHeight="false" outlineLevel="0" collapsed="false">
      <c r="A1034" s="6" t="n">
        <v>1029</v>
      </c>
      <c r="B1034" s="74" t="s">
        <v>1026</v>
      </c>
      <c r="C1034" s="53" t="str">
        <f aca="false">INDEX(I_Items!$C$5:$C$133,MATCH($B1034,I_Items!$A$5:$A$133,0))</f>
        <v>Trading</v>
      </c>
      <c r="D1034" s="53" t="str">
        <f aca="false">INDEX(I_Items!$D$5:$D$133,MATCH($B1034,I_Items!$A$5:$A$133,0))</f>
        <v>Karkas</v>
      </c>
      <c r="E1034" s="53" t="str">
        <f aca="false">INDEX(I_Items!$F$5:$F$133,MATCH($B1034,I_Items!$A$5:$A$133,0))</f>
        <v>Not stated in item master</v>
      </c>
      <c r="F1034" s="53" t="str">
        <f aca="false">IF(INDEX(I_Items!$E$5:$E$133,MATCH($B1034,I_Items!$A$5:$A$133,0))="","",INDEX(I_Items!$E$5:$E$133,MATCH($B1034,I_Items!$A$5:$A$133,0)))</f>
        <v>Uk 1.1</v>
      </c>
      <c r="G1034" s="76" t="n">
        <v>46255</v>
      </c>
      <c r="H1034" s="23" t="n">
        <f aca="false">MONTH(G1034)</f>
        <v>8</v>
      </c>
      <c r="I1034" s="74" t="s">
        <v>2075</v>
      </c>
      <c r="J1034" s="74" t="s">
        <v>2340</v>
      </c>
      <c r="K1034" s="10" t="n">
        <v>0</v>
      </c>
      <c r="L1034" s="8" t="n">
        <v>0</v>
      </c>
      <c r="M1034" s="10" t="n">
        <v>1316</v>
      </c>
      <c r="N1034" s="8" t="n">
        <v>42225389.06</v>
      </c>
      <c r="O1034" s="74" t="s">
        <v>2077</v>
      </c>
      <c r="P1034" s="74"/>
      <c r="Q1034" s="74"/>
      <c r="R1034" s="14" t="n">
        <f aca="false">IF(I1034="Unbilled",0,M1034)</f>
        <v>1316</v>
      </c>
      <c r="S1034" s="9" t="n">
        <f aca="false">IF(R1034=0,0,IF(O1034="Booked",N1034,R1034*V1033))</f>
        <v>42225389.1260969</v>
      </c>
      <c r="T1034" s="14" t="n">
        <f aca="false">IF(I1034="Opening",K1034,T1033+K1034-R1034)</f>
        <v>2473.5</v>
      </c>
      <c r="U1034" s="9" t="n">
        <f aca="false">IF(I1034="Opening",L1034,U1033+L1034-S1034)</f>
        <v>79365121.5831313</v>
      </c>
      <c r="V1034" s="9" t="n">
        <f aca="false">IF(T1034&gt;0,U1034/T1034,IF(I1034="Opening",0,V1033))</f>
        <v>32086.1619499217</v>
      </c>
      <c r="W1034" s="14" t="n">
        <f aca="false">M1034</f>
        <v>1316</v>
      </c>
      <c r="X1034" s="9" t="n">
        <f aca="false">IF(W1034=0,0,IF(O1034="Booked",N1034,W1034*AA1033))</f>
        <v>42225389.1260969</v>
      </c>
      <c r="Y1034" s="14" t="n">
        <f aca="false">IF(I1034="Opening",K1034,Y1033+K1034-W1034)</f>
        <v>2473.5</v>
      </c>
      <c r="Z1034" s="9" t="n">
        <f aca="false">IF(I1034="Opening",L1034,Z1033+L1034-X1034)</f>
        <v>79365121.5831313</v>
      </c>
      <c r="AA1034" s="9" t="n">
        <f aca="false">IF(Y1034&gt;0,Z1034/Y1034,IF(I1034="Opening",0,AA1033))</f>
        <v>32086.1619499217</v>
      </c>
      <c r="AB1034" s="9" t="n">
        <f aca="false">IF(AND(I1034="DO",O1034="MA"),S1034-N1034,0)</f>
        <v>0.0660969391465187</v>
      </c>
      <c r="AC1034" s="9" t="n">
        <f aca="false">IF(I1034="DO",X1034-S1034,0)</f>
        <v>0</v>
      </c>
      <c r="AD1034" s="23" t="n">
        <f aca="false">IF(B1035&lt;&gt;B1034,1,0)</f>
        <v>0</v>
      </c>
      <c r="AE1034" s="14" t="n">
        <f aca="false">IF(I1034="Opening",0,AE1033+W1034)</f>
        <v>11120.52</v>
      </c>
      <c r="AF1034" s="14" t="n">
        <f aca="false">IF(I1034="Opening",K1034,AF1033)</f>
        <v>4272.62</v>
      </c>
      <c r="AG1034" s="14" t="n">
        <f aca="false">AG1033</f>
        <v>0</v>
      </c>
      <c r="AH1034" s="14" t="n">
        <f aca="false">IF(W1034=0,0,MAX(0,MIN(AE1034,AF1034)-MIN(AE1034-W1034,AF1034)))</f>
        <v>0</v>
      </c>
      <c r="AI1034" s="14" t="n">
        <f aca="false">IF(W1034=0,0,MAX(0,MIN(AE1034,AF1034+AG1034)-MAX(AE1034-W1034,AF1034)))</f>
        <v>0</v>
      </c>
      <c r="AJ1034" s="14" t="n">
        <f aca="false">W1034-AH1034-AI1034</f>
        <v>1316</v>
      </c>
      <c r="AK1034" s="9" t="n">
        <f aca="false">IF(W1034=0,0,X1034*AH1034/W1034)</f>
        <v>0</v>
      </c>
      <c r="AL1034" s="9" t="n">
        <f aca="false">IF(W1034=0,0,X1034*AI1034/W1034)</f>
        <v>0</v>
      </c>
      <c r="AM1034" s="9" t="n">
        <f aca="false">X1034-AK1034-AL1034</f>
        <v>42225389.1260969</v>
      </c>
    </row>
    <row r="1035" customFormat="false" ht="15" hidden="false" customHeight="false" outlineLevel="0" collapsed="false">
      <c r="A1035" s="6" t="n">
        <v>1030</v>
      </c>
      <c r="B1035" s="74" t="s">
        <v>1026</v>
      </c>
      <c r="C1035" s="53" t="str">
        <f aca="false">INDEX(I_Items!$C$5:$C$133,MATCH($B1035,I_Items!$A$5:$A$133,0))</f>
        <v>Trading</v>
      </c>
      <c r="D1035" s="53" t="str">
        <f aca="false">INDEX(I_Items!$D$5:$D$133,MATCH($B1035,I_Items!$A$5:$A$133,0))</f>
        <v>Karkas</v>
      </c>
      <c r="E1035" s="53" t="str">
        <f aca="false">INDEX(I_Items!$F$5:$F$133,MATCH($B1035,I_Items!$A$5:$A$133,0))</f>
        <v>Not stated in item master</v>
      </c>
      <c r="F1035" s="53" t="str">
        <f aca="false">IF(INDEX(I_Items!$E$5:$E$133,MATCH($B1035,I_Items!$A$5:$A$133,0))="","",INDEX(I_Items!$E$5:$E$133,MATCH($B1035,I_Items!$A$5:$A$133,0)))</f>
        <v>Uk 1.1</v>
      </c>
      <c r="G1035" s="76" t="n">
        <v>46258</v>
      </c>
      <c r="H1035" s="23" t="n">
        <f aca="false">MONTH(G1035)</f>
        <v>8</v>
      </c>
      <c r="I1035" s="74" t="s">
        <v>89</v>
      </c>
      <c r="J1035" s="74" t="s">
        <v>2341</v>
      </c>
      <c r="K1035" s="10" t="n">
        <v>0</v>
      </c>
      <c r="L1035" s="8" t="n">
        <v>0</v>
      </c>
      <c r="M1035" s="13" t="n">
        <f aca="false">INDEX(Unbilled!$K$22:$K$38,MATCH($Q1035,Unbilled!$B$22:$B$38,0))</f>
        <v>2704.1</v>
      </c>
      <c r="N1035" s="8" t="n">
        <v>0</v>
      </c>
      <c r="O1035" s="74" t="s">
        <v>2077</v>
      </c>
      <c r="P1035" s="74"/>
      <c r="Q1035" s="74" t="s">
        <v>1122</v>
      </c>
      <c r="R1035" s="14" t="n">
        <f aca="false">IF(I1035="Unbilled",0,M1035)</f>
        <v>0</v>
      </c>
      <c r="S1035" s="9" t="n">
        <f aca="false">IF(R1035=0,0,IF(O1035="Booked",N1035,R1035*V1034))</f>
        <v>0</v>
      </c>
      <c r="T1035" s="14" t="n">
        <f aca="false">IF(I1035="Opening",K1035,T1034+K1035-R1035)</f>
        <v>2473.5</v>
      </c>
      <c r="U1035" s="9" t="n">
        <f aca="false">IF(I1035="Opening",L1035,U1034+L1035-S1035)</f>
        <v>79365121.5831313</v>
      </c>
      <c r="V1035" s="9" t="n">
        <f aca="false">IF(T1035&gt;0,U1035/T1035,IF(I1035="Opening",0,V1034))</f>
        <v>32086.1619499217</v>
      </c>
      <c r="W1035" s="14" t="n">
        <f aca="false">M1035</f>
        <v>2704.1</v>
      </c>
      <c r="X1035" s="9" t="n">
        <f aca="false">IF(W1035=0,0,IF(O1035="Booked",N1035,W1035*AA1034))</f>
        <v>86764190.5287832</v>
      </c>
      <c r="Y1035" s="14" t="n">
        <f aca="false">IF(I1035="Opening",K1035,Y1034+K1035-W1035)</f>
        <v>-230.6</v>
      </c>
      <c r="Z1035" s="9" t="n">
        <f aca="false">IF(I1035="Opening",L1035,Z1034+L1035-X1035)</f>
        <v>-7399068.94565193</v>
      </c>
      <c r="AA1035" s="9" t="n">
        <f aca="false">IF(Y1035&gt;0,Z1035/Y1035,IF(I1035="Opening",0,AA1034))</f>
        <v>32086.1619499217</v>
      </c>
      <c r="AB1035" s="9" t="n">
        <f aca="false">IF(AND(I1035="DO",O1035="MA"),S1035-N1035,0)</f>
        <v>0</v>
      </c>
      <c r="AC1035" s="9" t="n">
        <f aca="false">IF(I1035="DO",X1035-S1035,0)</f>
        <v>0</v>
      </c>
      <c r="AD1035" s="23" t="n">
        <f aca="false">IF(B1036&lt;&gt;B1035,1,0)</f>
        <v>0</v>
      </c>
      <c r="AE1035" s="14" t="n">
        <f aca="false">IF(I1035="Opening",0,AE1034+W1035)</f>
        <v>13824.62</v>
      </c>
      <c r="AF1035" s="14" t="n">
        <f aca="false">IF(I1035="Opening",K1035,AF1034)</f>
        <v>4272.62</v>
      </c>
      <c r="AG1035" s="14" t="n">
        <f aca="false">AG1034</f>
        <v>0</v>
      </c>
      <c r="AH1035" s="14" t="n">
        <f aca="false">IF(W1035=0,0,MAX(0,MIN(AE1035,AF1035)-MIN(AE1035-W1035,AF1035)))</f>
        <v>0</v>
      </c>
      <c r="AI1035" s="14" t="n">
        <f aca="false">IF(W1035=0,0,MAX(0,MIN(AE1035,AF1035+AG1035)-MAX(AE1035-W1035,AF1035)))</f>
        <v>0</v>
      </c>
      <c r="AJ1035" s="14" t="n">
        <f aca="false">W1035-AH1035-AI1035</f>
        <v>2704.1</v>
      </c>
      <c r="AK1035" s="9" t="n">
        <f aca="false">IF(W1035=0,0,X1035*AH1035/W1035)</f>
        <v>0</v>
      </c>
      <c r="AL1035" s="9" t="n">
        <f aca="false">IF(W1035=0,0,X1035*AI1035/W1035)</f>
        <v>0</v>
      </c>
      <c r="AM1035" s="9" t="n">
        <f aca="false">X1035-AK1035-AL1035</f>
        <v>86764190.5287832</v>
      </c>
    </row>
    <row r="1036" customFormat="false" ht="15" hidden="false" customHeight="false" outlineLevel="0" collapsed="false">
      <c r="A1036" s="6" t="n">
        <v>1031</v>
      </c>
      <c r="B1036" s="74" t="s">
        <v>1026</v>
      </c>
      <c r="C1036" s="53" t="str">
        <f aca="false">INDEX(I_Items!$C$5:$C$133,MATCH($B1036,I_Items!$A$5:$A$133,0))</f>
        <v>Trading</v>
      </c>
      <c r="D1036" s="53" t="str">
        <f aca="false">INDEX(I_Items!$D$5:$D$133,MATCH($B1036,I_Items!$A$5:$A$133,0))</f>
        <v>Karkas</v>
      </c>
      <c r="E1036" s="53" t="str">
        <f aca="false">INDEX(I_Items!$F$5:$F$133,MATCH($B1036,I_Items!$A$5:$A$133,0))</f>
        <v>Not stated in item master</v>
      </c>
      <c r="F1036" s="53" t="str">
        <f aca="false">IF(INDEX(I_Items!$E$5:$E$133,MATCH($B1036,I_Items!$A$5:$A$133,0))="","",INDEX(I_Items!$E$5:$E$133,MATCH($B1036,I_Items!$A$5:$A$133,0)))</f>
        <v>Uk 1.1</v>
      </c>
      <c r="G1036" s="76" t="n">
        <v>46265</v>
      </c>
      <c r="H1036" s="23" t="n">
        <f aca="false">MONTH(G1036)</f>
        <v>8</v>
      </c>
      <c r="I1036" s="74" t="s">
        <v>2075</v>
      </c>
      <c r="J1036" s="74" t="s">
        <v>2123</v>
      </c>
      <c r="K1036" s="10" t="n">
        <v>0</v>
      </c>
      <c r="L1036" s="8" t="n">
        <v>0</v>
      </c>
      <c r="M1036" s="10" t="n">
        <v>31.4</v>
      </c>
      <c r="N1036" s="8" t="n">
        <v>1007505.48</v>
      </c>
      <c r="O1036" s="74" t="s">
        <v>2077</v>
      </c>
      <c r="P1036" s="74"/>
      <c r="Q1036" s="74"/>
      <c r="R1036" s="14" t="n">
        <f aca="false">IF(I1036="Unbilled",0,M1036)</f>
        <v>31.4</v>
      </c>
      <c r="S1036" s="9" t="n">
        <f aca="false">IF(R1036=0,0,IF(O1036="Booked",N1036,R1036*V1035))</f>
        <v>1007505.48522754</v>
      </c>
      <c r="T1036" s="14" t="n">
        <f aca="false">IF(I1036="Opening",K1036,T1035+K1036-R1036)</f>
        <v>2442.1</v>
      </c>
      <c r="U1036" s="9" t="n">
        <f aca="false">IF(I1036="Opening",L1036,U1035+L1036-S1036)</f>
        <v>78357616.0979037</v>
      </c>
      <c r="V1036" s="9" t="n">
        <f aca="false">IF(T1036&gt;0,U1036/T1036,IF(I1036="Opening",0,V1035))</f>
        <v>32086.1619499217</v>
      </c>
      <c r="W1036" s="14" t="n">
        <f aca="false">M1036</f>
        <v>31.4</v>
      </c>
      <c r="X1036" s="9" t="n">
        <f aca="false">IF(W1036=0,0,IF(O1036="Booked",N1036,W1036*AA1035))</f>
        <v>1007505.48522754</v>
      </c>
      <c r="Y1036" s="14" t="n">
        <f aca="false">IF(I1036="Opening",K1036,Y1035+K1036-W1036)</f>
        <v>-262</v>
      </c>
      <c r="Z1036" s="9" t="n">
        <f aca="false">IF(I1036="Opening",L1036,Z1035+L1036-X1036)</f>
        <v>-8406574.43087947</v>
      </c>
      <c r="AA1036" s="9" t="n">
        <f aca="false">IF(Y1036&gt;0,Z1036/Y1036,IF(I1036="Opening",0,AA1035))</f>
        <v>32086.1619499217</v>
      </c>
      <c r="AB1036" s="9" t="n">
        <f aca="false">IF(AND(I1036="DO",O1036="MA"),S1036-N1036,0)</f>
        <v>0.00522754085250199</v>
      </c>
      <c r="AC1036" s="9" t="n">
        <f aca="false">IF(I1036="DO",X1036-S1036,0)</f>
        <v>0</v>
      </c>
      <c r="AD1036" s="23" t="n">
        <f aca="false">IF(B1037&lt;&gt;B1036,1,0)</f>
        <v>1</v>
      </c>
      <c r="AE1036" s="14" t="n">
        <f aca="false">IF(I1036="Opening",0,AE1035+W1036)</f>
        <v>13856.02</v>
      </c>
      <c r="AF1036" s="14" t="n">
        <f aca="false">IF(I1036="Opening",K1036,AF1035)</f>
        <v>4272.62</v>
      </c>
      <c r="AG1036" s="14" t="n">
        <f aca="false">AG1035</f>
        <v>0</v>
      </c>
      <c r="AH1036" s="14" t="n">
        <f aca="false">IF(W1036=0,0,MAX(0,MIN(AE1036,AF1036)-MIN(AE1036-W1036,AF1036)))</f>
        <v>0</v>
      </c>
      <c r="AI1036" s="14" t="n">
        <f aca="false">IF(W1036=0,0,MAX(0,MIN(AE1036,AF1036+AG1036)-MAX(AE1036-W1036,AF1036)))</f>
        <v>0</v>
      </c>
      <c r="AJ1036" s="14" t="n">
        <f aca="false">W1036-AH1036-AI1036</f>
        <v>31.4</v>
      </c>
      <c r="AK1036" s="9" t="n">
        <f aca="false">IF(W1036=0,0,X1036*AH1036/W1036)</f>
        <v>0</v>
      </c>
      <c r="AL1036" s="9" t="n">
        <f aca="false">IF(W1036=0,0,X1036*AI1036/W1036)</f>
        <v>0</v>
      </c>
      <c r="AM1036" s="9" t="n">
        <f aca="false">X1036-AK1036-AL1036</f>
        <v>1007505.48522754</v>
      </c>
    </row>
    <row r="1037" customFormat="false" ht="15" hidden="false" customHeight="false" outlineLevel="0" collapsed="false">
      <c r="A1037" s="6" t="n">
        <v>1032</v>
      </c>
      <c r="B1037" s="74" t="s">
        <v>1027</v>
      </c>
      <c r="C1037" s="53" t="str">
        <f aca="false">INDEX(I_Items!$C$5:$C$133,MATCH($B1037,I_Items!$A$5:$A$133,0))</f>
        <v>Trading</v>
      </c>
      <c r="D1037" s="53" t="str">
        <f aca="false">INDEX(I_Items!$D$5:$D$133,MATCH($B1037,I_Items!$A$5:$A$133,0))</f>
        <v>Karkas</v>
      </c>
      <c r="E1037" s="53" t="str">
        <f aca="false">INDEX(I_Items!$F$5:$F$133,MATCH($B1037,I_Items!$A$5:$A$133,0))</f>
        <v>Not stated in item master</v>
      </c>
      <c r="F1037" s="53" t="str">
        <f aca="false">IF(INDEX(I_Items!$E$5:$E$133,MATCH($B1037,I_Items!$A$5:$A$133,0))="","",INDEX(I_Items!$E$5:$E$133,MATCH($B1037,I_Items!$A$5:$A$133,0)))</f>
        <v>Uk 1.2</v>
      </c>
      <c r="G1037" s="76" t="n">
        <v>46204</v>
      </c>
      <c r="H1037" s="23" t="n">
        <f aca="false">MONTH(G1037)</f>
        <v>7</v>
      </c>
      <c r="I1037" s="74" t="s">
        <v>2072</v>
      </c>
      <c r="J1037" s="74" t="s">
        <v>2073</v>
      </c>
      <c r="K1037" s="10" t="n">
        <v>3508.9</v>
      </c>
      <c r="L1037" s="8" t="n">
        <v>80704700</v>
      </c>
      <c r="M1037" s="10" t="n">
        <v>0</v>
      </c>
      <c r="N1037" s="8" t="n">
        <v>0</v>
      </c>
      <c r="O1037" s="74"/>
      <c r="P1037" s="74"/>
      <c r="Q1037" s="74"/>
      <c r="R1037" s="14" t="n">
        <f aca="false">IF(I1037="Unbilled",0,M1037)</f>
        <v>0</v>
      </c>
      <c r="S1037" s="9" t="n">
        <f aca="false">IF(R1037=0,0,IF(O1037="Booked",N1037,R1037*V1036))</f>
        <v>0</v>
      </c>
      <c r="T1037" s="14" t="n">
        <f aca="false">IF(I1037="Opening",K1037,T1036+K1037-R1037)</f>
        <v>3508.9</v>
      </c>
      <c r="U1037" s="9" t="n">
        <f aca="false">IF(I1037="Opening",L1037,U1036+L1037-S1037)</f>
        <v>80704700</v>
      </c>
      <c r="V1037" s="9" t="n">
        <f aca="false">IF(T1037&gt;0,U1037/T1037,IF(I1037="Opening",0,V1036))</f>
        <v>23000</v>
      </c>
      <c r="W1037" s="14" t="n">
        <f aca="false">M1037</f>
        <v>0</v>
      </c>
      <c r="X1037" s="9" t="n">
        <f aca="false">IF(W1037=0,0,IF(O1037="Booked",N1037,W1037*AA1036))</f>
        <v>0</v>
      </c>
      <c r="Y1037" s="14" t="n">
        <f aca="false">IF(I1037="Opening",K1037,Y1036+K1037-W1037)</f>
        <v>3508.9</v>
      </c>
      <c r="Z1037" s="9" t="n">
        <f aca="false">IF(I1037="Opening",L1037,Z1036+L1037-X1037)</f>
        <v>80704700</v>
      </c>
      <c r="AA1037" s="9" t="n">
        <f aca="false">IF(Y1037&gt;0,Z1037/Y1037,IF(I1037="Opening",0,AA1036))</f>
        <v>23000</v>
      </c>
      <c r="AB1037" s="9" t="n">
        <f aca="false">IF(AND(I1037="DO",O1037="MA"),S1037-N1037,0)</f>
        <v>0</v>
      </c>
      <c r="AC1037" s="9" t="n">
        <f aca="false">IF(I1037="DO",X1037-S1037,0)</f>
        <v>0</v>
      </c>
      <c r="AD1037" s="23" t="n">
        <f aca="false">IF(B1038&lt;&gt;B1037,1,0)</f>
        <v>0</v>
      </c>
      <c r="AE1037" s="14" t="n">
        <f aca="false">IF(I1037="Opening",0,AE1036+W1037)</f>
        <v>0</v>
      </c>
      <c r="AF1037" s="14" t="n">
        <f aca="false">IF(I1037="Opening",K1037,AF1036)</f>
        <v>3508.9</v>
      </c>
      <c r="AG1037" s="14" t="n">
        <f aca="false">SUMIFS($K$6:$K$1110,$B$6:$B$1110,B1037,$H$6:$H$1110,7,$I$6:$I$1110,"&lt;&gt;Opening")</f>
        <v>0</v>
      </c>
      <c r="AH1037" s="14" t="n">
        <f aca="false">IF(W1037=0,0,MAX(0,MIN(AE1037,AF1037)-MIN(AE1037-W1037,AF1037)))</f>
        <v>0</v>
      </c>
      <c r="AI1037" s="14" t="n">
        <f aca="false">IF(W1037=0,0,MAX(0,MIN(AE1037,AF1037+AG1037)-MAX(AE1037-W1037,AF1037)))</f>
        <v>0</v>
      </c>
      <c r="AJ1037" s="14" t="n">
        <f aca="false">W1037-AH1037-AI1037</f>
        <v>0</v>
      </c>
      <c r="AK1037" s="9" t="n">
        <f aca="false">IF(W1037=0,0,X1037*AH1037/W1037)</f>
        <v>0</v>
      </c>
      <c r="AL1037" s="9" t="n">
        <f aca="false">IF(W1037=0,0,X1037*AI1037/W1037)</f>
        <v>0</v>
      </c>
      <c r="AM1037" s="9" t="n">
        <f aca="false">X1037-AK1037-AL1037</f>
        <v>0</v>
      </c>
    </row>
    <row r="1038" customFormat="false" ht="15" hidden="false" customHeight="false" outlineLevel="0" collapsed="false">
      <c r="A1038" s="6" t="n">
        <v>1033</v>
      </c>
      <c r="B1038" s="74" t="s">
        <v>1027</v>
      </c>
      <c r="C1038" s="53" t="str">
        <f aca="false">INDEX(I_Items!$C$5:$C$133,MATCH($B1038,I_Items!$A$5:$A$133,0))</f>
        <v>Trading</v>
      </c>
      <c r="D1038" s="53" t="str">
        <f aca="false">INDEX(I_Items!$D$5:$D$133,MATCH($B1038,I_Items!$A$5:$A$133,0))</f>
        <v>Karkas</v>
      </c>
      <c r="E1038" s="53" t="str">
        <f aca="false">INDEX(I_Items!$F$5:$F$133,MATCH($B1038,I_Items!$A$5:$A$133,0))</f>
        <v>Not stated in item master</v>
      </c>
      <c r="F1038" s="53" t="str">
        <f aca="false">IF(INDEX(I_Items!$E$5:$E$133,MATCH($B1038,I_Items!$A$5:$A$133,0))="","",INDEX(I_Items!$E$5:$E$133,MATCH($B1038,I_Items!$A$5:$A$133,0)))</f>
        <v>Uk 1.2</v>
      </c>
      <c r="G1038" s="76" t="n">
        <v>46204</v>
      </c>
      <c r="H1038" s="23" t="n">
        <f aca="false">MONTH(G1038)</f>
        <v>7</v>
      </c>
      <c r="I1038" s="74" t="s">
        <v>2075</v>
      </c>
      <c r="J1038" s="74" t="s">
        <v>2342</v>
      </c>
      <c r="K1038" s="10" t="n">
        <v>0</v>
      </c>
      <c r="L1038" s="8" t="n">
        <v>0</v>
      </c>
      <c r="M1038" s="10" t="n">
        <v>246.7</v>
      </c>
      <c r="N1038" s="8" t="n">
        <v>5674100</v>
      </c>
      <c r="O1038" s="74" t="s">
        <v>2077</v>
      </c>
      <c r="P1038" s="74"/>
      <c r="Q1038" s="74"/>
      <c r="R1038" s="14" t="n">
        <f aca="false">IF(I1038="Unbilled",0,M1038)</f>
        <v>246.7</v>
      </c>
      <c r="S1038" s="9" t="n">
        <f aca="false">IF(R1038=0,0,IF(O1038="Booked",N1038,R1038*V1037))</f>
        <v>5674100</v>
      </c>
      <c r="T1038" s="14" t="n">
        <f aca="false">IF(I1038="Opening",K1038,T1037+K1038-R1038)</f>
        <v>3262.2</v>
      </c>
      <c r="U1038" s="9" t="n">
        <f aca="false">IF(I1038="Opening",L1038,U1037+L1038-S1038)</f>
        <v>75030600</v>
      </c>
      <c r="V1038" s="9" t="n">
        <f aca="false">IF(T1038&gt;0,U1038/T1038,IF(I1038="Opening",0,V1037))</f>
        <v>23000</v>
      </c>
      <c r="W1038" s="14" t="n">
        <f aca="false">M1038</f>
        <v>246.7</v>
      </c>
      <c r="X1038" s="9" t="n">
        <f aca="false">IF(W1038=0,0,IF(O1038="Booked",N1038,W1038*AA1037))</f>
        <v>5674100</v>
      </c>
      <c r="Y1038" s="14" t="n">
        <f aca="false">IF(I1038="Opening",K1038,Y1037+K1038-W1038)</f>
        <v>3262.2</v>
      </c>
      <c r="Z1038" s="9" t="n">
        <f aca="false">IF(I1038="Opening",L1038,Z1037+L1038-X1038)</f>
        <v>75030600</v>
      </c>
      <c r="AA1038" s="9" t="n">
        <f aca="false">IF(Y1038&gt;0,Z1038/Y1038,IF(I1038="Opening",0,AA1037))</f>
        <v>23000</v>
      </c>
      <c r="AB1038" s="9" t="n">
        <f aca="false">IF(AND(I1038="DO",O1038="MA"),S1038-N1038,0)</f>
        <v>0</v>
      </c>
      <c r="AC1038" s="9" t="n">
        <f aca="false">IF(I1038="DO",X1038-S1038,0)</f>
        <v>0</v>
      </c>
      <c r="AD1038" s="23" t="n">
        <f aca="false">IF(B1039&lt;&gt;B1038,1,0)</f>
        <v>0</v>
      </c>
      <c r="AE1038" s="14" t="n">
        <f aca="false">IF(I1038="Opening",0,AE1037+W1038)</f>
        <v>246.7</v>
      </c>
      <c r="AF1038" s="14" t="n">
        <f aca="false">IF(I1038="Opening",K1038,AF1037)</f>
        <v>3508.9</v>
      </c>
      <c r="AG1038" s="14" t="n">
        <f aca="false">AG1037</f>
        <v>0</v>
      </c>
      <c r="AH1038" s="14" t="n">
        <f aca="false">IF(W1038=0,0,MAX(0,MIN(AE1038,AF1038)-MIN(AE1038-W1038,AF1038)))</f>
        <v>246.7</v>
      </c>
      <c r="AI1038" s="14" t="n">
        <f aca="false">IF(W1038=0,0,MAX(0,MIN(AE1038,AF1038+AG1038)-MAX(AE1038-W1038,AF1038)))</f>
        <v>0</v>
      </c>
      <c r="AJ1038" s="14" t="n">
        <f aca="false">W1038-AH1038-AI1038</f>
        <v>0</v>
      </c>
      <c r="AK1038" s="9" t="n">
        <f aca="false">IF(W1038=0,0,X1038*AH1038/W1038)</f>
        <v>5674100</v>
      </c>
      <c r="AL1038" s="9" t="n">
        <f aca="false">IF(W1038=0,0,X1038*AI1038/W1038)</f>
        <v>0</v>
      </c>
      <c r="AM1038" s="9" t="n">
        <f aca="false">X1038-AK1038-AL1038</f>
        <v>0</v>
      </c>
    </row>
    <row r="1039" customFormat="false" ht="15" hidden="false" customHeight="false" outlineLevel="0" collapsed="false">
      <c r="A1039" s="6" t="n">
        <v>1034</v>
      </c>
      <c r="B1039" s="74" t="s">
        <v>1027</v>
      </c>
      <c r="C1039" s="53" t="str">
        <f aca="false">INDEX(I_Items!$C$5:$C$133,MATCH($B1039,I_Items!$A$5:$A$133,0))</f>
        <v>Trading</v>
      </c>
      <c r="D1039" s="53" t="str">
        <f aca="false">INDEX(I_Items!$D$5:$D$133,MATCH($B1039,I_Items!$A$5:$A$133,0))</f>
        <v>Karkas</v>
      </c>
      <c r="E1039" s="53" t="str">
        <f aca="false">INDEX(I_Items!$F$5:$F$133,MATCH($B1039,I_Items!$A$5:$A$133,0))</f>
        <v>Not stated in item master</v>
      </c>
      <c r="F1039" s="53" t="str">
        <f aca="false">IF(INDEX(I_Items!$E$5:$E$133,MATCH($B1039,I_Items!$A$5:$A$133,0))="","",INDEX(I_Items!$E$5:$E$133,MATCH($B1039,I_Items!$A$5:$A$133,0)))</f>
        <v>Uk 1.2</v>
      </c>
      <c r="G1039" s="76" t="n">
        <v>46207</v>
      </c>
      <c r="H1039" s="23" t="n">
        <f aca="false">MONTH(G1039)</f>
        <v>7</v>
      </c>
      <c r="I1039" s="74" t="s">
        <v>2075</v>
      </c>
      <c r="J1039" s="74" t="s">
        <v>2327</v>
      </c>
      <c r="K1039" s="10" t="n">
        <v>0</v>
      </c>
      <c r="L1039" s="8" t="n">
        <v>0</v>
      </c>
      <c r="M1039" s="10" t="n">
        <v>227.4</v>
      </c>
      <c r="N1039" s="8" t="n">
        <v>5230200</v>
      </c>
      <c r="O1039" s="74" t="s">
        <v>2077</v>
      </c>
      <c r="P1039" s="74"/>
      <c r="Q1039" s="74"/>
      <c r="R1039" s="14" t="n">
        <f aca="false">IF(I1039="Unbilled",0,M1039)</f>
        <v>227.4</v>
      </c>
      <c r="S1039" s="9" t="n">
        <f aca="false">IF(R1039=0,0,IF(O1039="Booked",N1039,R1039*V1038))</f>
        <v>5230200</v>
      </c>
      <c r="T1039" s="14" t="n">
        <f aca="false">IF(I1039="Opening",K1039,T1038+K1039-R1039)</f>
        <v>3034.8</v>
      </c>
      <c r="U1039" s="9" t="n">
        <f aca="false">IF(I1039="Opening",L1039,U1038+L1039-S1039)</f>
        <v>69800400</v>
      </c>
      <c r="V1039" s="9" t="n">
        <f aca="false">IF(T1039&gt;0,U1039/T1039,IF(I1039="Opening",0,V1038))</f>
        <v>23000</v>
      </c>
      <c r="W1039" s="14" t="n">
        <f aca="false">M1039</f>
        <v>227.4</v>
      </c>
      <c r="X1039" s="9" t="n">
        <f aca="false">IF(W1039=0,0,IF(O1039="Booked",N1039,W1039*AA1038))</f>
        <v>5230200</v>
      </c>
      <c r="Y1039" s="14" t="n">
        <f aca="false">IF(I1039="Opening",K1039,Y1038+K1039-W1039)</f>
        <v>3034.8</v>
      </c>
      <c r="Z1039" s="9" t="n">
        <f aca="false">IF(I1039="Opening",L1039,Z1038+L1039-X1039)</f>
        <v>69800400</v>
      </c>
      <c r="AA1039" s="9" t="n">
        <f aca="false">IF(Y1039&gt;0,Z1039/Y1039,IF(I1039="Opening",0,AA1038))</f>
        <v>23000</v>
      </c>
      <c r="AB1039" s="9" t="n">
        <f aca="false">IF(AND(I1039="DO",O1039="MA"),S1039-N1039,0)</f>
        <v>0</v>
      </c>
      <c r="AC1039" s="9" t="n">
        <f aca="false">IF(I1039="DO",X1039-S1039,0)</f>
        <v>0</v>
      </c>
      <c r="AD1039" s="23" t="n">
        <f aca="false">IF(B1040&lt;&gt;B1039,1,0)</f>
        <v>0</v>
      </c>
      <c r="AE1039" s="14" t="n">
        <f aca="false">IF(I1039="Opening",0,AE1038+W1039)</f>
        <v>474.1</v>
      </c>
      <c r="AF1039" s="14" t="n">
        <f aca="false">IF(I1039="Opening",K1039,AF1038)</f>
        <v>3508.9</v>
      </c>
      <c r="AG1039" s="14" t="n">
        <f aca="false">AG1038</f>
        <v>0</v>
      </c>
      <c r="AH1039" s="14" t="n">
        <f aca="false">IF(W1039=0,0,MAX(0,MIN(AE1039,AF1039)-MIN(AE1039-W1039,AF1039)))</f>
        <v>227.4</v>
      </c>
      <c r="AI1039" s="14" t="n">
        <f aca="false">IF(W1039=0,0,MAX(0,MIN(AE1039,AF1039+AG1039)-MAX(AE1039-W1039,AF1039)))</f>
        <v>0</v>
      </c>
      <c r="AJ1039" s="14" t="n">
        <f aca="false">W1039-AH1039-AI1039</f>
        <v>0</v>
      </c>
      <c r="AK1039" s="9" t="n">
        <f aca="false">IF(W1039=0,0,X1039*AH1039/W1039)</f>
        <v>5230200</v>
      </c>
      <c r="AL1039" s="9" t="n">
        <f aca="false">IF(W1039=0,0,X1039*AI1039/W1039)</f>
        <v>0</v>
      </c>
      <c r="AM1039" s="9" t="n">
        <f aca="false">X1039-AK1039-AL1039</f>
        <v>0</v>
      </c>
    </row>
    <row r="1040" customFormat="false" ht="15" hidden="false" customHeight="false" outlineLevel="0" collapsed="false">
      <c r="A1040" s="6" t="n">
        <v>1035</v>
      </c>
      <c r="B1040" s="74" t="s">
        <v>1027</v>
      </c>
      <c r="C1040" s="53" t="str">
        <f aca="false">INDEX(I_Items!$C$5:$C$133,MATCH($B1040,I_Items!$A$5:$A$133,0))</f>
        <v>Trading</v>
      </c>
      <c r="D1040" s="53" t="str">
        <f aca="false">INDEX(I_Items!$D$5:$D$133,MATCH($B1040,I_Items!$A$5:$A$133,0))</f>
        <v>Karkas</v>
      </c>
      <c r="E1040" s="53" t="str">
        <f aca="false">INDEX(I_Items!$F$5:$F$133,MATCH($B1040,I_Items!$A$5:$A$133,0))</f>
        <v>Not stated in item master</v>
      </c>
      <c r="F1040" s="53" t="str">
        <f aca="false">IF(INDEX(I_Items!$E$5:$E$133,MATCH($B1040,I_Items!$A$5:$A$133,0))="","",INDEX(I_Items!$E$5:$E$133,MATCH($B1040,I_Items!$A$5:$A$133,0)))</f>
        <v>Uk 1.2</v>
      </c>
      <c r="G1040" s="76" t="n">
        <v>46210</v>
      </c>
      <c r="H1040" s="23" t="n">
        <f aca="false">MONTH(G1040)</f>
        <v>7</v>
      </c>
      <c r="I1040" s="74" t="s">
        <v>2075</v>
      </c>
      <c r="J1040" s="74" t="s">
        <v>2328</v>
      </c>
      <c r="K1040" s="10" t="n">
        <v>0</v>
      </c>
      <c r="L1040" s="8" t="n">
        <v>0</v>
      </c>
      <c r="M1040" s="10" t="n">
        <v>248.3</v>
      </c>
      <c r="N1040" s="8" t="n">
        <v>5710900</v>
      </c>
      <c r="O1040" s="74" t="s">
        <v>2077</v>
      </c>
      <c r="P1040" s="74"/>
      <c r="Q1040" s="74"/>
      <c r="R1040" s="14" t="n">
        <f aca="false">IF(I1040="Unbilled",0,M1040)</f>
        <v>248.3</v>
      </c>
      <c r="S1040" s="9" t="n">
        <f aca="false">IF(R1040=0,0,IF(O1040="Booked",N1040,R1040*V1039))</f>
        <v>5710900</v>
      </c>
      <c r="T1040" s="14" t="n">
        <f aca="false">IF(I1040="Opening",K1040,T1039+K1040-R1040)</f>
        <v>2786.5</v>
      </c>
      <c r="U1040" s="9" t="n">
        <f aca="false">IF(I1040="Opening",L1040,U1039+L1040-S1040)</f>
        <v>64089500</v>
      </c>
      <c r="V1040" s="9" t="n">
        <f aca="false">IF(T1040&gt;0,U1040/T1040,IF(I1040="Opening",0,V1039))</f>
        <v>23000</v>
      </c>
      <c r="W1040" s="14" t="n">
        <f aca="false">M1040</f>
        <v>248.3</v>
      </c>
      <c r="X1040" s="9" t="n">
        <f aca="false">IF(W1040=0,0,IF(O1040="Booked",N1040,W1040*AA1039))</f>
        <v>5710900</v>
      </c>
      <c r="Y1040" s="14" t="n">
        <f aca="false">IF(I1040="Opening",K1040,Y1039+K1040-W1040)</f>
        <v>2786.5</v>
      </c>
      <c r="Z1040" s="9" t="n">
        <f aca="false">IF(I1040="Opening",L1040,Z1039+L1040-X1040)</f>
        <v>64089500</v>
      </c>
      <c r="AA1040" s="9" t="n">
        <f aca="false">IF(Y1040&gt;0,Z1040/Y1040,IF(I1040="Opening",0,AA1039))</f>
        <v>23000</v>
      </c>
      <c r="AB1040" s="9" t="n">
        <f aca="false">IF(AND(I1040="DO",O1040="MA"),S1040-N1040,0)</f>
        <v>0</v>
      </c>
      <c r="AC1040" s="9" t="n">
        <f aca="false">IF(I1040="DO",X1040-S1040,0)</f>
        <v>0</v>
      </c>
      <c r="AD1040" s="23" t="n">
        <f aca="false">IF(B1041&lt;&gt;B1040,1,0)</f>
        <v>0</v>
      </c>
      <c r="AE1040" s="14" t="n">
        <f aca="false">IF(I1040="Opening",0,AE1039+W1040)</f>
        <v>722.4</v>
      </c>
      <c r="AF1040" s="14" t="n">
        <f aca="false">IF(I1040="Opening",K1040,AF1039)</f>
        <v>3508.9</v>
      </c>
      <c r="AG1040" s="14" t="n">
        <f aca="false">AG1039</f>
        <v>0</v>
      </c>
      <c r="AH1040" s="14" t="n">
        <f aca="false">IF(W1040=0,0,MAX(0,MIN(AE1040,AF1040)-MIN(AE1040-W1040,AF1040)))</f>
        <v>248.3</v>
      </c>
      <c r="AI1040" s="14" t="n">
        <f aca="false">IF(W1040=0,0,MAX(0,MIN(AE1040,AF1040+AG1040)-MAX(AE1040-W1040,AF1040)))</f>
        <v>0</v>
      </c>
      <c r="AJ1040" s="14" t="n">
        <f aca="false">W1040-AH1040-AI1040</f>
        <v>0</v>
      </c>
      <c r="AK1040" s="9" t="n">
        <f aca="false">IF(W1040=0,0,X1040*AH1040/W1040)</f>
        <v>5710900</v>
      </c>
      <c r="AL1040" s="9" t="n">
        <f aca="false">IF(W1040=0,0,X1040*AI1040/W1040)</f>
        <v>0</v>
      </c>
      <c r="AM1040" s="9" t="n">
        <f aca="false">X1040-AK1040-AL1040</f>
        <v>0</v>
      </c>
    </row>
    <row r="1041" customFormat="false" ht="15" hidden="false" customHeight="false" outlineLevel="0" collapsed="false">
      <c r="A1041" s="6" t="n">
        <v>1036</v>
      </c>
      <c r="B1041" s="74" t="s">
        <v>1027</v>
      </c>
      <c r="C1041" s="53" t="str">
        <f aca="false">INDEX(I_Items!$C$5:$C$133,MATCH($B1041,I_Items!$A$5:$A$133,0))</f>
        <v>Trading</v>
      </c>
      <c r="D1041" s="53" t="str">
        <f aca="false">INDEX(I_Items!$D$5:$D$133,MATCH($B1041,I_Items!$A$5:$A$133,0))</f>
        <v>Karkas</v>
      </c>
      <c r="E1041" s="53" t="str">
        <f aca="false">INDEX(I_Items!$F$5:$F$133,MATCH($B1041,I_Items!$A$5:$A$133,0))</f>
        <v>Not stated in item master</v>
      </c>
      <c r="F1041" s="53" t="str">
        <f aca="false">IF(INDEX(I_Items!$E$5:$E$133,MATCH($B1041,I_Items!$A$5:$A$133,0))="","",INDEX(I_Items!$E$5:$E$133,MATCH($B1041,I_Items!$A$5:$A$133,0)))</f>
        <v>Uk 1.2</v>
      </c>
      <c r="G1041" s="76" t="n">
        <v>46212</v>
      </c>
      <c r="H1041" s="23" t="n">
        <f aca="false">MONTH(G1041)</f>
        <v>7</v>
      </c>
      <c r="I1041" s="74" t="s">
        <v>2075</v>
      </c>
      <c r="J1041" s="74" t="s">
        <v>2343</v>
      </c>
      <c r="K1041" s="10" t="n">
        <v>0</v>
      </c>
      <c r="L1041" s="8" t="n">
        <v>0</v>
      </c>
      <c r="M1041" s="10" t="n">
        <v>49.3</v>
      </c>
      <c r="N1041" s="8" t="n">
        <v>1133900</v>
      </c>
      <c r="O1041" s="74" t="s">
        <v>2077</v>
      </c>
      <c r="P1041" s="74"/>
      <c r="Q1041" s="74"/>
      <c r="R1041" s="14" t="n">
        <f aca="false">IF(I1041="Unbilled",0,M1041)</f>
        <v>49.3</v>
      </c>
      <c r="S1041" s="9" t="n">
        <f aca="false">IF(R1041=0,0,IF(O1041="Booked",N1041,R1041*V1040))</f>
        <v>1133900</v>
      </c>
      <c r="T1041" s="14" t="n">
        <f aca="false">IF(I1041="Opening",K1041,T1040+K1041-R1041)</f>
        <v>2737.2</v>
      </c>
      <c r="U1041" s="9" t="n">
        <f aca="false">IF(I1041="Opening",L1041,U1040+L1041-S1041)</f>
        <v>62955600</v>
      </c>
      <c r="V1041" s="9" t="n">
        <f aca="false">IF(T1041&gt;0,U1041/T1041,IF(I1041="Opening",0,V1040))</f>
        <v>23000</v>
      </c>
      <c r="W1041" s="14" t="n">
        <f aca="false">M1041</f>
        <v>49.3</v>
      </c>
      <c r="X1041" s="9" t="n">
        <f aca="false">IF(W1041=0,0,IF(O1041="Booked",N1041,W1041*AA1040))</f>
        <v>1133900</v>
      </c>
      <c r="Y1041" s="14" t="n">
        <f aca="false">IF(I1041="Opening",K1041,Y1040+K1041-W1041)</f>
        <v>2737.2</v>
      </c>
      <c r="Z1041" s="9" t="n">
        <f aca="false">IF(I1041="Opening",L1041,Z1040+L1041-X1041)</f>
        <v>62955600</v>
      </c>
      <c r="AA1041" s="9" t="n">
        <f aca="false">IF(Y1041&gt;0,Z1041/Y1041,IF(I1041="Opening",0,AA1040))</f>
        <v>23000</v>
      </c>
      <c r="AB1041" s="9" t="n">
        <f aca="false">IF(AND(I1041="DO",O1041="MA"),S1041-N1041,0)</f>
        <v>0</v>
      </c>
      <c r="AC1041" s="9" t="n">
        <f aca="false">IF(I1041="DO",X1041-S1041,0)</f>
        <v>0</v>
      </c>
      <c r="AD1041" s="23" t="n">
        <f aca="false">IF(B1042&lt;&gt;B1041,1,0)</f>
        <v>0</v>
      </c>
      <c r="AE1041" s="14" t="n">
        <f aca="false">IF(I1041="Opening",0,AE1040+W1041)</f>
        <v>771.7</v>
      </c>
      <c r="AF1041" s="14" t="n">
        <f aca="false">IF(I1041="Opening",K1041,AF1040)</f>
        <v>3508.9</v>
      </c>
      <c r="AG1041" s="14" t="n">
        <f aca="false">AG1040</f>
        <v>0</v>
      </c>
      <c r="AH1041" s="14" t="n">
        <f aca="false">IF(W1041=0,0,MAX(0,MIN(AE1041,AF1041)-MIN(AE1041-W1041,AF1041)))</f>
        <v>49.3</v>
      </c>
      <c r="AI1041" s="14" t="n">
        <f aca="false">IF(W1041=0,0,MAX(0,MIN(AE1041,AF1041+AG1041)-MAX(AE1041-W1041,AF1041)))</f>
        <v>0</v>
      </c>
      <c r="AJ1041" s="14" t="n">
        <f aca="false">W1041-AH1041-AI1041</f>
        <v>0</v>
      </c>
      <c r="AK1041" s="9" t="n">
        <f aca="false">IF(W1041=0,0,X1041*AH1041/W1041)</f>
        <v>1133900</v>
      </c>
      <c r="AL1041" s="9" t="n">
        <f aca="false">IF(W1041=0,0,X1041*AI1041/W1041)</f>
        <v>0</v>
      </c>
      <c r="AM1041" s="9" t="n">
        <f aca="false">X1041-AK1041-AL1041</f>
        <v>0</v>
      </c>
    </row>
    <row r="1042" customFormat="false" ht="15" hidden="false" customHeight="false" outlineLevel="0" collapsed="false">
      <c r="A1042" s="6" t="n">
        <v>1037</v>
      </c>
      <c r="B1042" s="74" t="s">
        <v>1027</v>
      </c>
      <c r="C1042" s="53" t="str">
        <f aca="false">INDEX(I_Items!$C$5:$C$133,MATCH($B1042,I_Items!$A$5:$A$133,0))</f>
        <v>Trading</v>
      </c>
      <c r="D1042" s="53" t="str">
        <f aca="false">INDEX(I_Items!$D$5:$D$133,MATCH($B1042,I_Items!$A$5:$A$133,0))</f>
        <v>Karkas</v>
      </c>
      <c r="E1042" s="53" t="str">
        <f aca="false">INDEX(I_Items!$F$5:$F$133,MATCH($B1042,I_Items!$A$5:$A$133,0))</f>
        <v>Not stated in item master</v>
      </c>
      <c r="F1042" s="53" t="str">
        <f aca="false">IF(INDEX(I_Items!$E$5:$E$133,MATCH($B1042,I_Items!$A$5:$A$133,0))="","",INDEX(I_Items!$E$5:$E$133,MATCH($B1042,I_Items!$A$5:$A$133,0)))</f>
        <v>Uk 1.2</v>
      </c>
      <c r="G1042" s="76" t="n">
        <v>46216</v>
      </c>
      <c r="H1042" s="23" t="n">
        <f aca="false">MONTH(G1042)</f>
        <v>7</v>
      </c>
      <c r="I1042" s="74" t="s">
        <v>2075</v>
      </c>
      <c r="J1042" s="74" t="s">
        <v>2329</v>
      </c>
      <c r="K1042" s="10" t="n">
        <v>0</v>
      </c>
      <c r="L1042" s="8" t="n">
        <v>0</v>
      </c>
      <c r="M1042" s="10" t="n">
        <v>414.8</v>
      </c>
      <c r="N1042" s="8" t="n">
        <v>9540400</v>
      </c>
      <c r="O1042" s="74" t="s">
        <v>2077</v>
      </c>
      <c r="P1042" s="74"/>
      <c r="Q1042" s="74"/>
      <c r="R1042" s="14" t="n">
        <f aca="false">IF(I1042="Unbilled",0,M1042)</f>
        <v>414.8</v>
      </c>
      <c r="S1042" s="9" t="n">
        <f aca="false">IF(R1042=0,0,IF(O1042="Booked",N1042,R1042*V1041))</f>
        <v>9540400</v>
      </c>
      <c r="T1042" s="14" t="n">
        <f aca="false">IF(I1042="Opening",K1042,T1041+K1042-R1042)</f>
        <v>2322.4</v>
      </c>
      <c r="U1042" s="9" t="n">
        <f aca="false">IF(I1042="Opening",L1042,U1041+L1042-S1042)</f>
        <v>53415200</v>
      </c>
      <c r="V1042" s="9" t="n">
        <f aca="false">IF(T1042&gt;0,U1042/T1042,IF(I1042="Opening",0,V1041))</f>
        <v>23000</v>
      </c>
      <c r="W1042" s="14" t="n">
        <f aca="false">M1042</f>
        <v>414.8</v>
      </c>
      <c r="X1042" s="9" t="n">
        <f aca="false">IF(W1042=0,0,IF(O1042="Booked",N1042,W1042*AA1041))</f>
        <v>9540400</v>
      </c>
      <c r="Y1042" s="14" t="n">
        <f aca="false">IF(I1042="Opening",K1042,Y1041+K1042-W1042)</f>
        <v>2322.4</v>
      </c>
      <c r="Z1042" s="9" t="n">
        <f aca="false">IF(I1042="Opening",L1042,Z1041+L1042-X1042)</f>
        <v>53415200</v>
      </c>
      <c r="AA1042" s="9" t="n">
        <f aca="false">IF(Y1042&gt;0,Z1042/Y1042,IF(I1042="Opening",0,AA1041))</f>
        <v>23000</v>
      </c>
      <c r="AB1042" s="9" t="n">
        <f aca="false">IF(AND(I1042="DO",O1042="MA"),S1042-N1042,0)</f>
        <v>0</v>
      </c>
      <c r="AC1042" s="9" t="n">
        <f aca="false">IF(I1042="DO",X1042-S1042,0)</f>
        <v>0</v>
      </c>
      <c r="AD1042" s="23" t="n">
        <f aca="false">IF(B1043&lt;&gt;B1042,1,0)</f>
        <v>0</v>
      </c>
      <c r="AE1042" s="14" t="n">
        <f aca="false">IF(I1042="Opening",0,AE1041+W1042)</f>
        <v>1186.5</v>
      </c>
      <c r="AF1042" s="14" t="n">
        <f aca="false">IF(I1042="Opening",K1042,AF1041)</f>
        <v>3508.9</v>
      </c>
      <c r="AG1042" s="14" t="n">
        <f aca="false">AG1041</f>
        <v>0</v>
      </c>
      <c r="AH1042" s="14" t="n">
        <f aca="false">IF(W1042=0,0,MAX(0,MIN(AE1042,AF1042)-MIN(AE1042-W1042,AF1042)))</f>
        <v>414.8</v>
      </c>
      <c r="AI1042" s="14" t="n">
        <f aca="false">IF(W1042=0,0,MAX(0,MIN(AE1042,AF1042+AG1042)-MAX(AE1042-W1042,AF1042)))</f>
        <v>0</v>
      </c>
      <c r="AJ1042" s="14" t="n">
        <f aca="false">W1042-AH1042-AI1042</f>
        <v>0</v>
      </c>
      <c r="AK1042" s="9" t="n">
        <f aca="false">IF(W1042=0,0,X1042*AH1042/W1042)</f>
        <v>9540400</v>
      </c>
      <c r="AL1042" s="9" t="n">
        <f aca="false">IF(W1042=0,0,X1042*AI1042/W1042)</f>
        <v>0</v>
      </c>
      <c r="AM1042" s="9" t="n">
        <f aca="false">X1042-AK1042-AL1042</f>
        <v>0</v>
      </c>
    </row>
    <row r="1043" customFormat="false" ht="15" hidden="false" customHeight="false" outlineLevel="0" collapsed="false">
      <c r="A1043" s="6" t="n">
        <v>1038</v>
      </c>
      <c r="B1043" s="74" t="s">
        <v>1027</v>
      </c>
      <c r="C1043" s="53" t="str">
        <f aca="false">INDEX(I_Items!$C$5:$C$133,MATCH($B1043,I_Items!$A$5:$A$133,0))</f>
        <v>Trading</v>
      </c>
      <c r="D1043" s="53" t="str">
        <f aca="false">INDEX(I_Items!$D$5:$D$133,MATCH($B1043,I_Items!$A$5:$A$133,0))</f>
        <v>Karkas</v>
      </c>
      <c r="E1043" s="53" t="str">
        <f aca="false">INDEX(I_Items!$F$5:$F$133,MATCH($B1043,I_Items!$A$5:$A$133,0))</f>
        <v>Not stated in item master</v>
      </c>
      <c r="F1043" s="53" t="str">
        <f aca="false">IF(INDEX(I_Items!$E$5:$E$133,MATCH($B1043,I_Items!$A$5:$A$133,0))="","",INDEX(I_Items!$E$5:$E$133,MATCH($B1043,I_Items!$A$5:$A$133,0)))</f>
        <v>Uk 1.2</v>
      </c>
      <c r="G1043" s="76" t="n">
        <v>46225</v>
      </c>
      <c r="H1043" s="23" t="n">
        <f aca="false">MONTH(G1043)</f>
        <v>7</v>
      </c>
      <c r="I1043" s="74" t="s">
        <v>2075</v>
      </c>
      <c r="J1043" s="74" t="s">
        <v>2344</v>
      </c>
      <c r="K1043" s="10" t="n">
        <v>0</v>
      </c>
      <c r="L1043" s="8" t="n">
        <v>0</v>
      </c>
      <c r="M1043" s="10" t="n">
        <v>494.8</v>
      </c>
      <c r="N1043" s="8" t="n">
        <v>11380400</v>
      </c>
      <c r="O1043" s="74" t="s">
        <v>2077</v>
      </c>
      <c r="P1043" s="74"/>
      <c r="Q1043" s="74"/>
      <c r="R1043" s="14" t="n">
        <f aca="false">IF(I1043="Unbilled",0,M1043)</f>
        <v>494.8</v>
      </c>
      <c r="S1043" s="9" t="n">
        <f aca="false">IF(R1043=0,0,IF(O1043="Booked",N1043,R1043*V1042))</f>
        <v>11380400</v>
      </c>
      <c r="T1043" s="14" t="n">
        <f aca="false">IF(I1043="Opening",K1043,T1042+K1043-R1043)</f>
        <v>1827.6</v>
      </c>
      <c r="U1043" s="9" t="n">
        <f aca="false">IF(I1043="Opening",L1043,U1042+L1043-S1043)</f>
        <v>42034800</v>
      </c>
      <c r="V1043" s="9" t="n">
        <f aca="false">IF(T1043&gt;0,U1043/T1043,IF(I1043="Opening",0,V1042))</f>
        <v>23000</v>
      </c>
      <c r="W1043" s="14" t="n">
        <f aca="false">M1043</f>
        <v>494.8</v>
      </c>
      <c r="X1043" s="9" t="n">
        <f aca="false">IF(W1043=0,0,IF(O1043="Booked",N1043,W1043*AA1042))</f>
        <v>11380400</v>
      </c>
      <c r="Y1043" s="14" t="n">
        <f aca="false">IF(I1043="Opening",K1043,Y1042+K1043-W1043)</f>
        <v>1827.6</v>
      </c>
      <c r="Z1043" s="9" t="n">
        <f aca="false">IF(I1043="Opening",L1043,Z1042+L1043-X1043)</f>
        <v>42034800</v>
      </c>
      <c r="AA1043" s="9" t="n">
        <f aca="false">IF(Y1043&gt;0,Z1043/Y1043,IF(I1043="Opening",0,AA1042))</f>
        <v>23000</v>
      </c>
      <c r="AB1043" s="9" t="n">
        <f aca="false">IF(AND(I1043="DO",O1043="MA"),S1043-N1043,0)</f>
        <v>0</v>
      </c>
      <c r="AC1043" s="9" t="n">
        <f aca="false">IF(I1043="DO",X1043-S1043,0)</f>
        <v>0</v>
      </c>
      <c r="AD1043" s="23" t="n">
        <f aca="false">IF(B1044&lt;&gt;B1043,1,0)</f>
        <v>0</v>
      </c>
      <c r="AE1043" s="14" t="n">
        <f aca="false">IF(I1043="Opening",0,AE1042+W1043)</f>
        <v>1681.3</v>
      </c>
      <c r="AF1043" s="14" t="n">
        <f aca="false">IF(I1043="Opening",K1043,AF1042)</f>
        <v>3508.9</v>
      </c>
      <c r="AG1043" s="14" t="n">
        <f aca="false">AG1042</f>
        <v>0</v>
      </c>
      <c r="AH1043" s="14" t="n">
        <f aca="false">IF(W1043=0,0,MAX(0,MIN(AE1043,AF1043)-MIN(AE1043-W1043,AF1043)))</f>
        <v>494.8</v>
      </c>
      <c r="AI1043" s="14" t="n">
        <f aca="false">IF(W1043=0,0,MAX(0,MIN(AE1043,AF1043+AG1043)-MAX(AE1043-W1043,AF1043)))</f>
        <v>0</v>
      </c>
      <c r="AJ1043" s="14" t="n">
        <f aca="false">W1043-AH1043-AI1043</f>
        <v>0</v>
      </c>
      <c r="AK1043" s="9" t="n">
        <f aca="false">IF(W1043=0,0,X1043*AH1043/W1043)</f>
        <v>11380400</v>
      </c>
      <c r="AL1043" s="9" t="n">
        <f aca="false">IF(W1043=0,0,X1043*AI1043/W1043)</f>
        <v>0</v>
      </c>
      <c r="AM1043" s="9" t="n">
        <f aca="false">X1043-AK1043-AL1043</f>
        <v>0</v>
      </c>
    </row>
    <row r="1044" customFormat="false" ht="15" hidden="false" customHeight="false" outlineLevel="0" collapsed="false">
      <c r="A1044" s="6" t="n">
        <v>1039</v>
      </c>
      <c r="B1044" s="74" t="s">
        <v>1027</v>
      </c>
      <c r="C1044" s="53" t="str">
        <f aca="false">INDEX(I_Items!$C$5:$C$133,MATCH($B1044,I_Items!$A$5:$A$133,0))</f>
        <v>Trading</v>
      </c>
      <c r="D1044" s="53" t="str">
        <f aca="false">INDEX(I_Items!$D$5:$D$133,MATCH($B1044,I_Items!$A$5:$A$133,0))</f>
        <v>Karkas</v>
      </c>
      <c r="E1044" s="53" t="str">
        <f aca="false">INDEX(I_Items!$F$5:$F$133,MATCH($B1044,I_Items!$A$5:$A$133,0))</f>
        <v>Not stated in item master</v>
      </c>
      <c r="F1044" s="53" t="str">
        <f aca="false">IF(INDEX(I_Items!$E$5:$E$133,MATCH($B1044,I_Items!$A$5:$A$133,0))="","",INDEX(I_Items!$E$5:$E$133,MATCH($B1044,I_Items!$A$5:$A$133,0)))</f>
        <v>Uk 1.2</v>
      </c>
      <c r="G1044" s="76" t="n">
        <v>46237</v>
      </c>
      <c r="H1044" s="23" t="n">
        <f aca="false">MONTH(G1044)</f>
        <v>8</v>
      </c>
      <c r="I1044" s="74" t="s">
        <v>2074</v>
      </c>
      <c r="J1044" s="74" t="s">
        <v>2296</v>
      </c>
      <c r="K1044" s="10" t="n">
        <v>99.8</v>
      </c>
      <c r="L1044" s="8" t="n">
        <v>3093800</v>
      </c>
      <c r="M1044" s="10" t="n">
        <v>0</v>
      </c>
      <c r="N1044" s="8" t="n">
        <v>0</v>
      </c>
      <c r="O1044" s="74"/>
      <c r="P1044" s="74"/>
      <c r="Q1044" s="74"/>
      <c r="R1044" s="14" t="n">
        <f aca="false">IF(I1044="Unbilled",0,M1044)</f>
        <v>0</v>
      </c>
      <c r="S1044" s="9" t="n">
        <f aca="false">IF(R1044=0,0,IF(O1044="Booked",N1044,R1044*V1043))</f>
        <v>0</v>
      </c>
      <c r="T1044" s="14" t="n">
        <f aca="false">IF(I1044="Opening",K1044,T1043+K1044-R1044)</f>
        <v>1927.4</v>
      </c>
      <c r="U1044" s="9" t="n">
        <f aca="false">IF(I1044="Opening",L1044,U1043+L1044-S1044)</f>
        <v>45128600</v>
      </c>
      <c r="V1044" s="9" t="n">
        <f aca="false">IF(T1044&gt;0,U1044/T1044,IF(I1044="Opening",0,V1043))</f>
        <v>23414.2367956833</v>
      </c>
      <c r="W1044" s="14" t="n">
        <f aca="false">M1044</f>
        <v>0</v>
      </c>
      <c r="X1044" s="9" t="n">
        <f aca="false">IF(W1044=0,0,IF(O1044="Booked",N1044,W1044*AA1043))</f>
        <v>0</v>
      </c>
      <c r="Y1044" s="14" t="n">
        <f aca="false">IF(I1044="Opening",K1044,Y1043+K1044-W1044)</f>
        <v>1927.4</v>
      </c>
      <c r="Z1044" s="9" t="n">
        <f aca="false">IF(I1044="Opening",L1044,Z1043+L1044-X1044)</f>
        <v>45128600</v>
      </c>
      <c r="AA1044" s="9" t="n">
        <f aca="false">IF(Y1044&gt;0,Z1044/Y1044,IF(I1044="Opening",0,AA1043))</f>
        <v>23414.2367956833</v>
      </c>
      <c r="AB1044" s="9" t="n">
        <f aca="false">IF(AND(I1044="DO",O1044="MA"),S1044-N1044,0)</f>
        <v>0</v>
      </c>
      <c r="AC1044" s="9" t="n">
        <f aca="false">IF(I1044="DO",X1044-S1044,0)</f>
        <v>0</v>
      </c>
      <c r="AD1044" s="23" t="n">
        <f aca="false">IF(B1045&lt;&gt;B1044,1,0)</f>
        <v>0</v>
      </c>
      <c r="AE1044" s="14" t="n">
        <f aca="false">IF(I1044="Opening",0,AE1043+W1044)</f>
        <v>1681.3</v>
      </c>
      <c r="AF1044" s="14" t="n">
        <f aca="false">IF(I1044="Opening",K1044,AF1043)</f>
        <v>3508.9</v>
      </c>
      <c r="AG1044" s="14" t="n">
        <f aca="false">AG1043</f>
        <v>0</v>
      </c>
      <c r="AH1044" s="14" t="n">
        <f aca="false">IF(W1044=0,0,MAX(0,MIN(AE1044,AF1044)-MIN(AE1044-W1044,AF1044)))</f>
        <v>0</v>
      </c>
      <c r="AI1044" s="14" t="n">
        <f aca="false">IF(W1044=0,0,MAX(0,MIN(AE1044,AF1044+AG1044)-MAX(AE1044-W1044,AF1044)))</f>
        <v>0</v>
      </c>
      <c r="AJ1044" s="14" t="n">
        <f aca="false">W1044-AH1044-AI1044</f>
        <v>0</v>
      </c>
      <c r="AK1044" s="9" t="n">
        <f aca="false">IF(W1044=0,0,X1044*AH1044/W1044)</f>
        <v>0</v>
      </c>
      <c r="AL1044" s="9" t="n">
        <f aca="false">IF(W1044=0,0,X1044*AI1044/W1044)</f>
        <v>0</v>
      </c>
      <c r="AM1044" s="9" t="n">
        <f aca="false">X1044-AK1044-AL1044</f>
        <v>0</v>
      </c>
    </row>
    <row r="1045" customFormat="false" ht="15" hidden="false" customHeight="false" outlineLevel="0" collapsed="false">
      <c r="A1045" s="6" t="n">
        <v>1040</v>
      </c>
      <c r="B1045" s="74" t="s">
        <v>1027</v>
      </c>
      <c r="C1045" s="53" t="str">
        <f aca="false">INDEX(I_Items!$C$5:$C$133,MATCH($B1045,I_Items!$A$5:$A$133,0))</f>
        <v>Trading</v>
      </c>
      <c r="D1045" s="53" t="str">
        <f aca="false">INDEX(I_Items!$D$5:$D$133,MATCH($B1045,I_Items!$A$5:$A$133,0))</f>
        <v>Karkas</v>
      </c>
      <c r="E1045" s="53" t="str">
        <f aca="false">INDEX(I_Items!$F$5:$F$133,MATCH($B1045,I_Items!$A$5:$A$133,0))</f>
        <v>Not stated in item master</v>
      </c>
      <c r="F1045" s="53" t="str">
        <f aca="false">IF(INDEX(I_Items!$E$5:$E$133,MATCH($B1045,I_Items!$A$5:$A$133,0))="","",INDEX(I_Items!$E$5:$E$133,MATCH($B1045,I_Items!$A$5:$A$133,0)))</f>
        <v>Uk 1.2</v>
      </c>
      <c r="G1045" s="76" t="n">
        <v>46237</v>
      </c>
      <c r="H1045" s="23" t="n">
        <f aca="false">MONTH(G1045)</f>
        <v>8</v>
      </c>
      <c r="I1045" s="74" t="s">
        <v>2075</v>
      </c>
      <c r="J1045" s="74" t="s">
        <v>2345</v>
      </c>
      <c r="K1045" s="10" t="n">
        <v>0</v>
      </c>
      <c r="L1045" s="8" t="n">
        <v>0</v>
      </c>
      <c r="M1045" s="10" t="n">
        <v>1115.8</v>
      </c>
      <c r="N1045" s="8" t="n">
        <v>26125605.42</v>
      </c>
      <c r="O1045" s="74" t="s">
        <v>2077</v>
      </c>
      <c r="P1045" s="74"/>
      <c r="Q1045" s="74"/>
      <c r="R1045" s="14" t="n">
        <f aca="false">IF(I1045="Unbilled",0,M1045)</f>
        <v>1115.8</v>
      </c>
      <c r="S1045" s="9" t="n">
        <f aca="false">IF(R1045=0,0,IF(O1045="Booked",N1045,R1045*V1044))</f>
        <v>26125605.4166234</v>
      </c>
      <c r="T1045" s="14" t="n">
        <f aca="false">IF(I1045="Opening",K1045,T1044+K1045-R1045)</f>
        <v>811.6</v>
      </c>
      <c r="U1045" s="9" t="n">
        <f aca="false">IF(I1045="Opening",L1045,U1044+L1045-S1045)</f>
        <v>19002994.5833766</v>
      </c>
      <c r="V1045" s="9" t="n">
        <f aca="false">IF(T1045&gt;0,U1045/T1045,IF(I1045="Opening",0,V1044))</f>
        <v>23414.2367956833</v>
      </c>
      <c r="W1045" s="14" t="n">
        <f aca="false">M1045</f>
        <v>1115.8</v>
      </c>
      <c r="X1045" s="9" t="n">
        <f aca="false">IF(W1045=0,0,IF(O1045="Booked",N1045,W1045*AA1044))</f>
        <v>26125605.4166234</v>
      </c>
      <c r="Y1045" s="14" t="n">
        <f aca="false">IF(I1045="Opening",K1045,Y1044+K1045-W1045)</f>
        <v>811.6</v>
      </c>
      <c r="Z1045" s="9" t="n">
        <f aca="false">IF(I1045="Opening",L1045,Z1044+L1045-X1045)</f>
        <v>19002994.5833766</v>
      </c>
      <c r="AA1045" s="9" t="n">
        <f aca="false">IF(Y1045&gt;0,Z1045/Y1045,IF(I1045="Opening",0,AA1044))</f>
        <v>23414.2367956833</v>
      </c>
      <c r="AB1045" s="9" t="n">
        <f aca="false">IF(AND(I1045="DO",O1045="MA"),S1045-N1045,0)</f>
        <v>-0.00337656959891319</v>
      </c>
      <c r="AC1045" s="9" t="n">
        <f aca="false">IF(I1045="DO",X1045-S1045,0)</f>
        <v>0</v>
      </c>
      <c r="AD1045" s="23" t="n">
        <f aca="false">IF(B1046&lt;&gt;B1045,1,0)</f>
        <v>0</v>
      </c>
      <c r="AE1045" s="14" t="n">
        <f aca="false">IF(I1045="Opening",0,AE1044+W1045)</f>
        <v>2797.1</v>
      </c>
      <c r="AF1045" s="14" t="n">
        <f aca="false">IF(I1045="Opening",K1045,AF1044)</f>
        <v>3508.9</v>
      </c>
      <c r="AG1045" s="14" t="n">
        <f aca="false">AG1044</f>
        <v>0</v>
      </c>
      <c r="AH1045" s="14" t="n">
        <f aca="false">IF(W1045=0,0,MAX(0,MIN(AE1045,AF1045)-MIN(AE1045-W1045,AF1045)))</f>
        <v>1115.8</v>
      </c>
      <c r="AI1045" s="14" t="n">
        <f aca="false">IF(W1045=0,0,MAX(0,MIN(AE1045,AF1045+AG1045)-MAX(AE1045-W1045,AF1045)))</f>
        <v>0</v>
      </c>
      <c r="AJ1045" s="14" t="n">
        <f aca="false">W1045-AH1045-AI1045</f>
        <v>0</v>
      </c>
      <c r="AK1045" s="9" t="n">
        <f aca="false">IF(W1045=0,0,X1045*AH1045/W1045)</f>
        <v>26125605.4166234</v>
      </c>
      <c r="AL1045" s="9" t="n">
        <f aca="false">IF(W1045=0,0,X1045*AI1045/W1045)</f>
        <v>0</v>
      </c>
      <c r="AM1045" s="9" t="n">
        <f aca="false">X1045-AK1045-AL1045</f>
        <v>0</v>
      </c>
    </row>
    <row r="1046" customFormat="false" ht="15" hidden="false" customHeight="false" outlineLevel="0" collapsed="false">
      <c r="A1046" s="6" t="n">
        <v>1041</v>
      </c>
      <c r="B1046" s="74" t="s">
        <v>1027</v>
      </c>
      <c r="C1046" s="53" t="str">
        <f aca="false">INDEX(I_Items!$C$5:$C$133,MATCH($B1046,I_Items!$A$5:$A$133,0))</f>
        <v>Trading</v>
      </c>
      <c r="D1046" s="53" t="str">
        <f aca="false">INDEX(I_Items!$D$5:$D$133,MATCH($B1046,I_Items!$A$5:$A$133,0))</f>
        <v>Karkas</v>
      </c>
      <c r="E1046" s="53" t="str">
        <f aca="false">INDEX(I_Items!$F$5:$F$133,MATCH($B1046,I_Items!$A$5:$A$133,0))</f>
        <v>Not stated in item master</v>
      </c>
      <c r="F1046" s="53" t="str">
        <f aca="false">IF(INDEX(I_Items!$E$5:$E$133,MATCH($B1046,I_Items!$A$5:$A$133,0))="","",INDEX(I_Items!$E$5:$E$133,MATCH($B1046,I_Items!$A$5:$A$133,0)))</f>
        <v>Uk 1.2</v>
      </c>
      <c r="G1046" s="76" t="n">
        <v>46240</v>
      </c>
      <c r="H1046" s="23" t="n">
        <f aca="false">MONTH(G1046)</f>
        <v>8</v>
      </c>
      <c r="I1046" s="74" t="s">
        <v>2075</v>
      </c>
      <c r="J1046" s="74" t="s">
        <v>2259</v>
      </c>
      <c r="K1046" s="10" t="n">
        <v>0</v>
      </c>
      <c r="L1046" s="8" t="n">
        <v>0</v>
      </c>
      <c r="M1046" s="10" t="n">
        <v>99.8</v>
      </c>
      <c r="N1046" s="8" t="n">
        <v>2336740.83</v>
      </c>
      <c r="O1046" s="74" t="s">
        <v>2077</v>
      </c>
      <c r="P1046" s="74"/>
      <c r="Q1046" s="74"/>
      <c r="R1046" s="14" t="n">
        <f aca="false">IF(I1046="Unbilled",0,M1046)</f>
        <v>99.8</v>
      </c>
      <c r="S1046" s="9" t="n">
        <f aca="false">IF(R1046=0,0,IF(O1046="Booked",N1046,R1046*V1045))</f>
        <v>2336740.83220919</v>
      </c>
      <c r="T1046" s="14" t="n">
        <f aca="false">IF(I1046="Opening",K1046,T1045+K1046-R1046)</f>
        <v>711.8</v>
      </c>
      <c r="U1046" s="9" t="n">
        <f aca="false">IF(I1046="Opening",L1046,U1045+L1046-S1046)</f>
        <v>16666253.7511674</v>
      </c>
      <c r="V1046" s="9" t="n">
        <f aca="false">IF(T1046&gt;0,U1046/T1046,IF(I1046="Opening",0,V1045))</f>
        <v>23414.2367956833</v>
      </c>
      <c r="W1046" s="14" t="n">
        <f aca="false">M1046</f>
        <v>99.8</v>
      </c>
      <c r="X1046" s="9" t="n">
        <f aca="false">IF(W1046=0,0,IF(O1046="Booked",N1046,W1046*AA1045))</f>
        <v>2336740.83220919</v>
      </c>
      <c r="Y1046" s="14" t="n">
        <f aca="false">IF(I1046="Opening",K1046,Y1045+K1046-W1046)</f>
        <v>711.8</v>
      </c>
      <c r="Z1046" s="9" t="n">
        <f aca="false">IF(I1046="Opening",L1046,Z1045+L1046-X1046)</f>
        <v>16666253.7511674</v>
      </c>
      <c r="AA1046" s="9" t="n">
        <f aca="false">IF(Y1046&gt;0,Z1046/Y1046,IF(I1046="Opening",0,AA1045))</f>
        <v>23414.2367956833</v>
      </c>
      <c r="AB1046" s="9" t="n">
        <f aca="false">IF(AND(I1046="DO",O1046="MA"),S1046-N1046,0)</f>
        <v>0.00220919447019696</v>
      </c>
      <c r="AC1046" s="9" t="n">
        <f aca="false">IF(I1046="DO",X1046-S1046,0)</f>
        <v>0</v>
      </c>
      <c r="AD1046" s="23" t="n">
        <f aca="false">IF(B1047&lt;&gt;B1046,1,0)</f>
        <v>0</v>
      </c>
      <c r="AE1046" s="14" t="n">
        <f aca="false">IF(I1046="Opening",0,AE1045+W1046)</f>
        <v>2896.9</v>
      </c>
      <c r="AF1046" s="14" t="n">
        <f aca="false">IF(I1046="Opening",K1046,AF1045)</f>
        <v>3508.9</v>
      </c>
      <c r="AG1046" s="14" t="n">
        <f aca="false">AG1045</f>
        <v>0</v>
      </c>
      <c r="AH1046" s="14" t="n">
        <f aca="false">IF(W1046=0,0,MAX(0,MIN(AE1046,AF1046)-MIN(AE1046-W1046,AF1046)))</f>
        <v>99.8000000000002</v>
      </c>
      <c r="AI1046" s="14" t="n">
        <f aca="false">IF(W1046=0,0,MAX(0,MIN(AE1046,AF1046+AG1046)-MAX(AE1046-W1046,AF1046)))</f>
        <v>0</v>
      </c>
      <c r="AJ1046" s="14" t="n">
        <f aca="false">W1046-AH1046-AI1046</f>
        <v>0</v>
      </c>
      <c r="AK1046" s="9" t="n">
        <f aca="false">IF(W1046=0,0,X1046*AH1046/W1046)</f>
        <v>2336740.8322092</v>
      </c>
      <c r="AL1046" s="9" t="n">
        <f aca="false">IF(W1046=0,0,X1046*AI1046/W1046)</f>
        <v>0</v>
      </c>
      <c r="AM1046" s="9" t="n">
        <f aca="false">X1046-AK1046-AL1046</f>
        <v>0</v>
      </c>
    </row>
    <row r="1047" customFormat="false" ht="15" hidden="false" customHeight="false" outlineLevel="0" collapsed="false">
      <c r="A1047" s="6" t="n">
        <v>1042</v>
      </c>
      <c r="B1047" s="74" t="s">
        <v>1027</v>
      </c>
      <c r="C1047" s="53" t="str">
        <f aca="false">INDEX(I_Items!$C$5:$C$133,MATCH($B1047,I_Items!$A$5:$A$133,0))</f>
        <v>Trading</v>
      </c>
      <c r="D1047" s="53" t="str">
        <f aca="false">INDEX(I_Items!$D$5:$D$133,MATCH($B1047,I_Items!$A$5:$A$133,0))</f>
        <v>Karkas</v>
      </c>
      <c r="E1047" s="53" t="str">
        <f aca="false">INDEX(I_Items!$F$5:$F$133,MATCH($B1047,I_Items!$A$5:$A$133,0))</f>
        <v>Not stated in item master</v>
      </c>
      <c r="F1047" s="53" t="str">
        <f aca="false">IF(INDEX(I_Items!$E$5:$E$133,MATCH($B1047,I_Items!$A$5:$A$133,0))="","",INDEX(I_Items!$E$5:$E$133,MATCH($B1047,I_Items!$A$5:$A$133,0)))</f>
        <v>Uk 1.2</v>
      </c>
      <c r="G1047" s="76" t="n">
        <v>46244</v>
      </c>
      <c r="H1047" s="23" t="n">
        <f aca="false">MONTH(G1047)</f>
        <v>8</v>
      </c>
      <c r="I1047" s="74" t="s">
        <v>2075</v>
      </c>
      <c r="J1047" s="74" t="s">
        <v>2158</v>
      </c>
      <c r="K1047" s="10" t="n">
        <v>0</v>
      </c>
      <c r="L1047" s="8" t="n">
        <v>0</v>
      </c>
      <c r="M1047" s="10" t="n">
        <v>150.9</v>
      </c>
      <c r="N1047" s="8" t="n">
        <v>3533208.33</v>
      </c>
      <c r="O1047" s="74" t="s">
        <v>2077</v>
      </c>
      <c r="P1047" s="74"/>
      <c r="Q1047" s="74"/>
      <c r="R1047" s="14" t="n">
        <f aca="false">IF(I1047="Unbilled",0,M1047)</f>
        <v>150.9</v>
      </c>
      <c r="S1047" s="9" t="n">
        <f aca="false">IF(R1047=0,0,IF(O1047="Booked",N1047,R1047*V1046))</f>
        <v>3533208.33246861</v>
      </c>
      <c r="T1047" s="14" t="n">
        <f aca="false">IF(I1047="Opening",K1047,T1046+K1047-R1047)</f>
        <v>560.9</v>
      </c>
      <c r="U1047" s="9" t="n">
        <f aca="false">IF(I1047="Opening",L1047,U1046+L1047-S1047)</f>
        <v>13133045.4186988</v>
      </c>
      <c r="V1047" s="9" t="n">
        <f aca="false">IF(T1047&gt;0,U1047/T1047,IF(I1047="Opening",0,V1046))</f>
        <v>23414.2367956833</v>
      </c>
      <c r="W1047" s="14" t="n">
        <f aca="false">M1047</f>
        <v>150.9</v>
      </c>
      <c r="X1047" s="9" t="n">
        <f aca="false">IF(W1047=0,0,IF(O1047="Booked",N1047,W1047*AA1046))</f>
        <v>3533208.33246861</v>
      </c>
      <c r="Y1047" s="14" t="n">
        <f aca="false">IF(I1047="Opening",K1047,Y1046+K1047-W1047)</f>
        <v>560.9</v>
      </c>
      <c r="Z1047" s="9" t="n">
        <f aca="false">IF(I1047="Opening",L1047,Z1046+L1047-X1047)</f>
        <v>13133045.4186988</v>
      </c>
      <c r="AA1047" s="9" t="n">
        <f aca="false">IF(Y1047&gt;0,Z1047/Y1047,IF(I1047="Opening",0,AA1046))</f>
        <v>23414.2367956833</v>
      </c>
      <c r="AB1047" s="9" t="n">
        <f aca="false">IF(AND(I1047="DO",O1047="MA"),S1047-N1047,0)</f>
        <v>0.00246861157938838</v>
      </c>
      <c r="AC1047" s="9" t="n">
        <f aca="false">IF(I1047="DO",X1047-S1047,0)</f>
        <v>0</v>
      </c>
      <c r="AD1047" s="23" t="n">
        <f aca="false">IF(B1048&lt;&gt;B1047,1,0)</f>
        <v>0</v>
      </c>
      <c r="AE1047" s="14" t="n">
        <f aca="false">IF(I1047="Opening",0,AE1046+W1047)</f>
        <v>3047.8</v>
      </c>
      <c r="AF1047" s="14" t="n">
        <f aca="false">IF(I1047="Opening",K1047,AF1046)</f>
        <v>3508.9</v>
      </c>
      <c r="AG1047" s="14" t="n">
        <f aca="false">AG1046</f>
        <v>0</v>
      </c>
      <c r="AH1047" s="14" t="n">
        <f aca="false">IF(W1047=0,0,MAX(0,MIN(AE1047,AF1047)-MIN(AE1047-W1047,AF1047)))</f>
        <v>150.9</v>
      </c>
      <c r="AI1047" s="14" t="n">
        <f aca="false">IF(W1047=0,0,MAX(0,MIN(AE1047,AF1047+AG1047)-MAX(AE1047-W1047,AF1047)))</f>
        <v>0</v>
      </c>
      <c r="AJ1047" s="14" t="n">
        <f aca="false">W1047-AH1047-AI1047</f>
        <v>0</v>
      </c>
      <c r="AK1047" s="9" t="n">
        <f aca="false">IF(W1047=0,0,X1047*AH1047/W1047)</f>
        <v>3533208.33246861</v>
      </c>
      <c r="AL1047" s="9" t="n">
        <f aca="false">IF(W1047=0,0,X1047*AI1047/W1047)</f>
        <v>0</v>
      </c>
      <c r="AM1047" s="9" t="n">
        <f aca="false">X1047-AK1047-AL1047</f>
        <v>0</v>
      </c>
    </row>
    <row r="1048" customFormat="false" ht="15" hidden="false" customHeight="false" outlineLevel="0" collapsed="false">
      <c r="A1048" s="6" t="n">
        <v>1043</v>
      </c>
      <c r="B1048" s="74" t="s">
        <v>1027</v>
      </c>
      <c r="C1048" s="53" t="str">
        <f aca="false">INDEX(I_Items!$C$5:$C$133,MATCH($B1048,I_Items!$A$5:$A$133,0))</f>
        <v>Trading</v>
      </c>
      <c r="D1048" s="53" t="str">
        <f aca="false">INDEX(I_Items!$D$5:$D$133,MATCH($B1048,I_Items!$A$5:$A$133,0))</f>
        <v>Karkas</v>
      </c>
      <c r="E1048" s="53" t="str">
        <f aca="false">INDEX(I_Items!$F$5:$F$133,MATCH($B1048,I_Items!$A$5:$A$133,0))</f>
        <v>Not stated in item master</v>
      </c>
      <c r="F1048" s="53" t="str">
        <f aca="false">IF(INDEX(I_Items!$E$5:$E$133,MATCH($B1048,I_Items!$A$5:$A$133,0))="","",INDEX(I_Items!$E$5:$E$133,MATCH($B1048,I_Items!$A$5:$A$133,0)))</f>
        <v>Uk 1.2</v>
      </c>
      <c r="G1048" s="76" t="n">
        <v>46248</v>
      </c>
      <c r="H1048" s="23" t="n">
        <f aca="false">MONTH(G1048)</f>
        <v>8</v>
      </c>
      <c r="I1048" s="74" t="s">
        <v>2075</v>
      </c>
      <c r="J1048" s="74" t="s">
        <v>2308</v>
      </c>
      <c r="K1048" s="10" t="n">
        <v>0</v>
      </c>
      <c r="L1048" s="8" t="n">
        <v>0</v>
      </c>
      <c r="M1048" s="10" t="n">
        <v>250.6</v>
      </c>
      <c r="N1048" s="8" t="n">
        <v>5867607.74</v>
      </c>
      <c r="O1048" s="74" t="s">
        <v>2077</v>
      </c>
      <c r="P1048" s="74"/>
      <c r="Q1048" s="74"/>
      <c r="R1048" s="14" t="n">
        <f aca="false">IF(I1048="Unbilled",0,M1048)</f>
        <v>250.6</v>
      </c>
      <c r="S1048" s="9" t="n">
        <f aca="false">IF(R1048=0,0,IF(O1048="Booked",N1048,R1048*V1047))</f>
        <v>5867607.74099824</v>
      </c>
      <c r="T1048" s="14" t="n">
        <f aca="false">IF(I1048="Opening",K1048,T1047+K1048-R1048)</f>
        <v>310.3</v>
      </c>
      <c r="U1048" s="9" t="n">
        <f aca="false">IF(I1048="Opening",L1048,U1047+L1048-S1048)</f>
        <v>7265437.67770053</v>
      </c>
      <c r="V1048" s="9" t="n">
        <f aca="false">IF(T1048&gt;0,U1048/T1048,IF(I1048="Opening",0,V1047))</f>
        <v>23414.2367956833</v>
      </c>
      <c r="W1048" s="14" t="n">
        <f aca="false">M1048</f>
        <v>250.6</v>
      </c>
      <c r="X1048" s="9" t="n">
        <f aca="false">IF(W1048=0,0,IF(O1048="Booked",N1048,W1048*AA1047))</f>
        <v>5867607.74099824</v>
      </c>
      <c r="Y1048" s="14" t="n">
        <f aca="false">IF(I1048="Opening",K1048,Y1047+K1048-W1048)</f>
        <v>310.3</v>
      </c>
      <c r="Z1048" s="9" t="n">
        <f aca="false">IF(I1048="Opening",L1048,Z1047+L1048-X1048)</f>
        <v>7265437.67770053</v>
      </c>
      <c r="AA1048" s="9" t="n">
        <f aca="false">IF(Y1048&gt;0,Z1048/Y1048,IF(I1048="Opening",0,AA1047))</f>
        <v>23414.2367956833</v>
      </c>
      <c r="AB1048" s="9" t="n">
        <f aca="false">IF(AND(I1048="DO",O1048="MA"),S1048-N1048,0)</f>
        <v>0.000998236238956451</v>
      </c>
      <c r="AC1048" s="9" t="n">
        <f aca="false">IF(I1048="DO",X1048-S1048,0)</f>
        <v>0</v>
      </c>
      <c r="AD1048" s="23" t="n">
        <f aca="false">IF(B1049&lt;&gt;B1048,1,0)</f>
        <v>0</v>
      </c>
      <c r="AE1048" s="14" t="n">
        <f aca="false">IF(I1048="Opening",0,AE1047+W1048)</f>
        <v>3298.4</v>
      </c>
      <c r="AF1048" s="14" t="n">
        <f aca="false">IF(I1048="Opening",K1048,AF1047)</f>
        <v>3508.9</v>
      </c>
      <c r="AG1048" s="14" t="n">
        <f aca="false">AG1047</f>
        <v>0</v>
      </c>
      <c r="AH1048" s="14" t="n">
        <f aca="false">IF(W1048=0,0,MAX(0,MIN(AE1048,AF1048)-MIN(AE1048-W1048,AF1048)))</f>
        <v>250.6</v>
      </c>
      <c r="AI1048" s="14" t="n">
        <f aca="false">IF(W1048=0,0,MAX(0,MIN(AE1048,AF1048+AG1048)-MAX(AE1048-W1048,AF1048)))</f>
        <v>0</v>
      </c>
      <c r="AJ1048" s="14" t="n">
        <f aca="false">W1048-AH1048-AI1048</f>
        <v>0</v>
      </c>
      <c r="AK1048" s="9" t="n">
        <f aca="false">IF(W1048=0,0,X1048*AH1048/W1048)</f>
        <v>5867607.74099823</v>
      </c>
      <c r="AL1048" s="9" t="n">
        <f aca="false">IF(W1048=0,0,X1048*AI1048/W1048)</f>
        <v>0</v>
      </c>
      <c r="AM1048" s="9" t="n">
        <f aca="false">X1048-AK1048-AL1048</f>
        <v>0</v>
      </c>
    </row>
    <row r="1049" customFormat="false" ht="15" hidden="false" customHeight="false" outlineLevel="0" collapsed="false">
      <c r="A1049" s="6" t="n">
        <v>1044</v>
      </c>
      <c r="B1049" s="74" t="s">
        <v>1027</v>
      </c>
      <c r="C1049" s="53" t="str">
        <f aca="false">INDEX(I_Items!$C$5:$C$133,MATCH($B1049,I_Items!$A$5:$A$133,0))</f>
        <v>Trading</v>
      </c>
      <c r="D1049" s="53" t="str">
        <f aca="false">INDEX(I_Items!$D$5:$D$133,MATCH($B1049,I_Items!$A$5:$A$133,0))</f>
        <v>Karkas</v>
      </c>
      <c r="E1049" s="53" t="str">
        <f aca="false">INDEX(I_Items!$F$5:$F$133,MATCH($B1049,I_Items!$A$5:$A$133,0))</f>
        <v>Not stated in item master</v>
      </c>
      <c r="F1049" s="53" t="str">
        <f aca="false">IF(INDEX(I_Items!$E$5:$E$133,MATCH($B1049,I_Items!$A$5:$A$133,0))="","",INDEX(I_Items!$E$5:$E$133,MATCH($B1049,I_Items!$A$5:$A$133,0)))</f>
        <v>Uk 1.2</v>
      </c>
      <c r="G1049" s="76" t="n">
        <v>46258</v>
      </c>
      <c r="H1049" s="23" t="n">
        <f aca="false">MONTH(G1049)</f>
        <v>8</v>
      </c>
      <c r="I1049" s="74" t="s">
        <v>89</v>
      </c>
      <c r="J1049" s="74" t="s">
        <v>2341</v>
      </c>
      <c r="K1049" s="10" t="n">
        <v>0</v>
      </c>
      <c r="L1049" s="8" t="n">
        <v>0</v>
      </c>
      <c r="M1049" s="13" t="n">
        <f aca="false">INDEX(Unbilled!$K$22:$K$38,MATCH($Q1049,Unbilled!$B$22:$B$38,0))</f>
        <v>261.5</v>
      </c>
      <c r="N1049" s="8" t="n">
        <v>0</v>
      </c>
      <c r="O1049" s="74" t="s">
        <v>2077</v>
      </c>
      <c r="P1049" s="74"/>
      <c r="Q1049" s="74" t="s">
        <v>1116</v>
      </c>
      <c r="R1049" s="14" t="n">
        <f aca="false">IF(I1049="Unbilled",0,M1049)</f>
        <v>0</v>
      </c>
      <c r="S1049" s="9" t="n">
        <f aca="false">IF(R1049=0,0,IF(O1049="Booked",N1049,R1049*V1048))</f>
        <v>0</v>
      </c>
      <c r="T1049" s="14" t="n">
        <f aca="false">IF(I1049="Opening",K1049,T1048+K1049-R1049)</f>
        <v>310.3</v>
      </c>
      <c r="U1049" s="9" t="n">
        <f aca="false">IF(I1049="Opening",L1049,U1048+L1049-S1049)</f>
        <v>7265437.67770053</v>
      </c>
      <c r="V1049" s="9" t="n">
        <f aca="false">IF(T1049&gt;0,U1049/T1049,IF(I1049="Opening",0,V1048))</f>
        <v>23414.2367956833</v>
      </c>
      <c r="W1049" s="14" t="n">
        <f aca="false">M1049</f>
        <v>261.5</v>
      </c>
      <c r="X1049" s="9" t="n">
        <f aca="false">IF(W1049=0,0,IF(O1049="Booked",N1049,W1049*AA1048))</f>
        <v>6122822.92207119</v>
      </c>
      <c r="Y1049" s="14" t="n">
        <f aca="false">IF(I1049="Opening",K1049,Y1048+K1049-W1049)</f>
        <v>48.7999999999997</v>
      </c>
      <c r="Z1049" s="9" t="n">
        <f aca="false">IF(I1049="Opening",L1049,Z1048+L1049-X1049)</f>
        <v>1142614.75562934</v>
      </c>
      <c r="AA1049" s="9" t="n">
        <f aca="false">IF(Y1049&gt;0,Z1049/Y1049,IF(I1049="Opening",0,AA1048))</f>
        <v>23414.2367956833</v>
      </c>
      <c r="AB1049" s="9" t="n">
        <f aca="false">IF(AND(I1049="DO",O1049="MA"),S1049-N1049,0)</f>
        <v>0</v>
      </c>
      <c r="AC1049" s="9" t="n">
        <f aca="false">IF(I1049="DO",X1049-S1049,0)</f>
        <v>0</v>
      </c>
      <c r="AD1049" s="23" t="n">
        <f aca="false">IF(B1050&lt;&gt;B1049,1,0)</f>
        <v>1</v>
      </c>
      <c r="AE1049" s="14" t="n">
        <f aca="false">IF(I1049="Opening",0,AE1048+W1049)</f>
        <v>3559.9</v>
      </c>
      <c r="AF1049" s="14" t="n">
        <f aca="false">IF(I1049="Opening",K1049,AF1048)</f>
        <v>3508.9</v>
      </c>
      <c r="AG1049" s="14" t="n">
        <f aca="false">AG1048</f>
        <v>0</v>
      </c>
      <c r="AH1049" s="14" t="n">
        <f aca="false">IF(W1049=0,0,MAX(0,MIN(AE1049,AF1049)-MIN(AE1049-W1049,AF1049)))</f>
        <v>210.5</v>
      </c>
      <c r="AI1049" s="14" t="n">
        <f aca="false">IF(W1049=0,0,MAX(0,MIN(AE1049,AF1049+AG1049)-MAX(AE1049-W1049,AF1049)))</f>
        <v>0</v>
      </c>
      <c r="AJ1049" s="14" t="n">
        <f aca="false">W1049-AH1049-AI1049</f>
        <v>51</v>
      </c>
      <c r="AK1049" s="9" t="n">
        <f aca="false">IF(W1049=0,0,X1049*AH1049/W1049)</f>
        <v>4928696.84549134</v>
      </c>
      <c r="AL1049" s="9" t="n">
        <f aca="false">IF(W1049=0,0,X1049*AI1049/W1049)</f>
        <v>0</v>
      </c>
      <c r="AM1049" s="9" t="n">
        <f aca="false">X1049-AK1049-AL1049</f>
        <v>1194126.07657985</v>
      </c>
    </row>
    <row r="1050" customFormat="false" ht="15" hidden="false" customHeight="false" outlineLevel="0" collapsed="false">
      <c r="A1050" s="6" t="n">
        <v>1045</v>
      </c>
      <c r="B1050" s="74" t="s">
        <v>1028</v>
      </c>
      <c r="C1050" s="53" t="str">
        <f aca="false">INDEX(I_Items!$C$5:$C$133,MATCH($B1050,I_Items!$A$5:$A$133,0))</f>
        <v>Trading</v>
      </c>
      <c r="D1050" s="53" t="str">
        <f aca="false">INDEX(I_Items!$D$5:$D$133,MATCH($B1050,I_Items!$A$5:$A$133,0))</f>
        <v>Karkas</v>
      </c>
      <c r="E1050" s="53" t="str">
        <f aca="false">INDEX(I_Items!$F$5:$F$133,MATCH($B1050,I_Items!$A$5:$A$133,0))</f>
        <v>Not stated in item master</v>
      </c>
      <c r="F1050" s="53" t="str">
        <f aca="false">IF(INDEX(I_Items!$E$5:$E$133,MATCH($B1050,I_Items!$A$5:$A$133,0))="","",INDEX(I_Items!$E$5:$E$133,MATCH($B1050,I_Items!$A$5:$A$133,0)))</f>
        <v>Uk 1.3</v>
      </c>
      <c r="G1050" s="76" t="n">
        <v>46204</v>
      </c>
      <c r="H1050" s="23" t="n">
        <f aca="false">MONTH(G1050)</f>
        <v>7</v>
      </c>
      <c r="I1050" s="74" t="s">
        <v>2072</v>
      </c>
      <c r="J1050" s="74" t="s">
        <v>2073</v>
      </c>
      <c r="K1050" s="10" t="n">
        <v>1274</v>
      </c>
      <c r="L1050" s="8" t="n">
        <v>29302000</v>
      </c>
      <c r="M1050" s="10" t="n">
        <v>0</v>
      </c>
      <c r="N1050" s="8" t="n">
        <v>0</v>
      </c>
      <c r="O1050" s="74"/>
      <c r="P1050" s="74"/>
      <c r="Q1050" s="74"/>
      <c r="R1050" s="14" t="n">
        <f aca="false">IF(I1050="Unbilled",0,M1050)</f>
        <v>0</v>
      </c>
      <c r="S1050" s="9" t="n">
        <f aca="false">IF(R1050=0,0,IF(O1050="Booked",N1050,R1050*V1049))</f>
        <v>0</v>
      </c>
      <c r="T1050" s="14" t="n">
        <f aca="false">IF(I1050="Opening",K1050,T1049+K1050-R1050)</f>
        <v>1274</v>
      </c>
      <c r="U1050" s="9" t="n">
        <f aca="false">IF(I1050="Opening",L1050,U1049+L1050-S1050)</f>
        <v>29302000</v>
      </c>
      <c r="V1050" s="9" t="n">
        <f aca="false">IF(T1050&gt;0,U1050/T1050,IF(I1050="Opening",0,V1049))</f>
        <v>23000</v>
      </c>
      <c r="W1050" s="14" t="n">
        <f aca="false">M1050</f>
        <v>0</v>
      </c>
      <c r="X1050" s="9" t="n">
        <f aca="false">IF(W1050=0,0,IF(O1050="Booked",N1050,W1050*AA1049))</f>
        <v>0</v>
      </c>
      <c r="Y1050" s="14" t="n">
        <f aca="false">IF(I1050="Opening",K1050,Y1049+K1050-W1050)</f>
        <v>1274</v>
      </c>
      <c r="Z1050" s="9" t="n">
        <f aca="false">IF(I1050="Opening",L1050,Z1049+L1050-X1050)</f>
        <v>29302000</v>
      </c>
      <c r="AA1050" s="9" t="n">
        <f aca="false">IF(Y1050&gt;0,Z1050/Y1050,IF(I1050="Opening",0,AA1049))</f>
        <v>23000</v>
      </c>
      <c r="AB1050" s="9" t="n">
        <f aca="false">IF(AND(I1050="DO",O1050="MA"),S1050-N1050,0)</f>
        <v>0</v>
      </c>
      <c r="AC1050" s="9" t="n">
        <f aca="false">IF(I1050="DO",X1050-S1050,0)</f>
        <v>0</v>
      </c>
      <c r="AD1050" s="23" t="n">
        <f aca="false">IF(B1051&lt;&gt;B1050,1,0)</f>
        <v>0</v>
      </c>
      <c r="AE1050" s="14" t="n">
        <f aca="false">IF(I1050="Opening",0,AE1049+W1050)</f>
        <v>0</v>
      </c>
      <c r="AF1050" s="14" t="n">
        <f aca="false">IF(I1050="Opening",K1050,AF1049)</f>
        <v>1274</v>
      </c>
      <c r="AG1050" s="14" t="n">
        <f aca="false">SUMIFS($K$6:$K$1110,$B$6:$B$1110,B1050,$H$6:$H$1110,7,$I$6:$I$1110,"&lt;&gt;Opening")</f>
        <v>0</v>
      </c>
      <c r="AH1050" s="14" t="n">
        <f aca="false">IF(W1050=0,0,MAX(0,MIN(AE1050,AF1050)-MIN(AE1050-W1050,AF1050)))</f>
        <v>0</v>
      </c>
      <c r="AI1050" s="14" t="n">
        <f aca="false">IF(W1050=0,0,MAX(0,MIN(AE1050,AF1050+AG1050)-MAX(AE1050-W1050,AF1050)))</f>
        <v>0</v>
      </c>
      <c r="AJ1050" s="14" t="n">
        <f aca="false">W1050-AH1050-AI1050</f>
        <v>0</v>
      </c>
      <c r="AK1050" s="9" t="n">
        <f aca="false">IF(W1050=0,0,X1050*AH1050/W1050)</f>
        <v>0</v>
      </c>
      <c r="AL1050" s="9" t="n">
        <f aca="false">IF(W1050=0,0,X1050*AI1050/W1050)</f>
        <v>0</v>
      </c>
      <c r="AM1050" s="9" t="n">
        <f aca="false">X1050-AK1050-AL1050</f>
        <v>0</v>
      </c>
    </row>
    <row r="1051" customFormat="false" ht="15" hidden="false" customHeight="false" outlineLevel="0" collapsed="false">
      <c r="A1051" s="6" t="n">
        <v>1046</v>
      </c>
      <c r="B1051" s="74" t="s">
        <v>1028</v>
      </c>
      <c r="C1051" s="53" t="str">
        <f aca="false">INDEX(I_Items!$C$5:$C$133,MATCH($B1051,I_Items!$A$5:$A$133,0))</f>
        <v>Trading</v>
      </c>
      <c r="D1051" s="53" t="str">
        <f aca="false">INDEX(I_Items!$D$5:$D$133,MATCH($B1051,I_Items!$A$5:$A$133,0))</f>
        <v>Karkas</v>
      </c>
      <c r="E1051" s="53" t="str">
        <f aca="false">INDEX(I_Items!$F$5:$F$133,MATCH($B1051,I_Items!$A$5:$A$133,0))</f>
        <v>Not stated in item master</v>
      </c>
      <c r="F1051" s="53" t="str">
        <f aca="false">IF(INDEX(I_Items!$E$5:$E$133,MATCH($B1051,I_Items!$A$5:$A$133,0))="","",INDEX(I_Items!$E$5:$E$133,MATCH($B1051,I_Items!$A$5:$A$133,0)))</f>
        <v>Uk 1.3</v>
      </c>
      <c r="G1051" s="76" t="n">
        <v>46212</v>
      </c>
      <c r="H1051" s="23" t="n">
        <f aca="false">MONTH(G1051)</f>
        <v>7</v>
      </c>
      <c r="I1051" s="74" t="s">
        <v>2075</v>
      </c>
      <c r="J1051" s="74" t="s">
        <v>2343</v>
      </c>
      <c r="K1051" s="10" t="n">
        <v>0</v>
      </c>
      <c r="L1051" s="8" t="n">
        <v>0</v>
      </c>
      <c r="M1051" s="10" t="n">
        <v>211.5</v>
      </c>
      <c r="N1051" s="8" t="n">
        <v>4864500</v>
      </c>
      <c r="O1051" s="74" t="s">
        <v>2077</v>
      </c>
      <c r="P1051" s="74"/>
      <c r="Q1051" s="74"/>
      <c r="R1051" s="14" t="n">
        <f aca="false">IF(I1051="Unbilled",0,M1051)</f>
        <v>211.5</v>
      </c>
      <c r="S1051" s="9" t="n">
        <f aca="false">IF(R1051=0,0,IF(O1051="Booked",N1051,R1051*V1050))</f>
        <v>4864500</v>
      </c>
      <c r="T1051" s="14" t="n">
        <f aca="false">IF(I1051="Opening",K1051,T1050+K1051-R1051)</f>
        <v>1062.5</v>
      </c>
      <c r="U1051" s="9" t="n">
        <f aca="false">IF(I1051="Opening",L1051,U1050+L1051-S1051)</f>
        <v>24437500</v>
      </c>
      <c r="V1051" s="9" t="n">
        <f aca="false">IF(T1051&gt;0,U1051/T1051,IF(I1051="Opening",0,V1050))</f>
        <v>23000</v>
      </c>
      <c r="W1051" s="14" t="n">
        <f aca="false">M1051</f>
        <v>211.5</v>
      </c>
      <c r="X1051" s="9" t="n">
        <f aca="false">IF(W1051=0,0,IF(O1051="Booked",N1051,W1051*AA1050))</f>
        <v>4864500</v>
      </c>
      <c r="Y1051" s="14" t="n">
        <f aca="false">IF(I1051="Opening",K1051,Y1050+K1051-W1051)</f>
        <v>1062.5</v>
      </c>
      <c r="Z1051" s="9" t="n">
        <f aca="false">IF(I1051="Opening",L1051,Z1050+L1051-X1051)</f>
        <v>24437500</v>
      </c>
      <c r="AA1051" s="9" t="n">
        <f aca="false">IF(Y1051&gt;0,Z1051/Y1051,IF(I1051="Opening",0,AA1050))</f>
        <v>23000</v>
      </c>
      <c r="AB1051" s="9" t="n">
        <f aca="false">IF(AND(I1051="DO",O1051="MA"),S1051-N1051,0)</f>
        <v>0</v>
      </c>
      <c r="AC1051" s="9" t="n">
        <f aca="false">IF(I1051="DO",X1051-S1051,0)</f>
        <v>0</v>
      </c>
      <c r="AD1051" s="23" t="n">
        <f aca="false">IF(B1052&lt;&gt;B1051,1,0)</f>
        <v>0</v>
      </c>
      <c r="AE1051" s="14" t="n">
        <f aca="false">IF(I1051="Opening",0,AE1050+W1051)</f>
        <v>211.5</v>
      </c>
      <c r="AF1051" s="14" t="n">
        <f aca="false">IF(I1051="Opening",K1051,AF1050)</f>
        <v>1274</v>
      </c>
      <c r="AG1051" s="14" t="n">
        <f aca="false">AG1050</f>
        <v>0</v>
      </c>
      <c r="AH1051" s="14" t="n">
        <f aca="false">IF(W1051=0,0,MAX(0,MIN(AE1051,AF1051)-MIN(AE1051-W1051,AF1051)))</f>
        <v>211.5</v>
      </c>
      <c r="AI1051" s="14" t="n">
        <f aca="false">IF(W1051=0,0,MAX(0,MIN(AE1051,AF1051+AG1051)-MAX(AE1051-W1051,AF1051)))</f>
        <v>0</v>
      </c>
      <c r="AJ1051" s="14" t="n">
        <f aca="false">W1051-AH1051-AI1051</f>
        <v>0</v>
      </c>
      <c r="AK1051" s="9" t="n">
        <f aca="false">IF(W1051=0,0,X1051*AH1051/W1051)</f>
        <v>4864500</v>
      </c>
      <c r="AL1051" s="9" t="n">
        <f aca="false">IF(W1051=0,0,X1051*AI1051/W1051)</f>
        <v>0</v>
      </c>
      <c r="AM1051" s="9" t="n">
        <f aca="false">X1051-AK1051-AL1051</f>
        <v>0</v>
      </c>
    </row>
    <row r="1052" customFormat="false" ht="15" hidden="false" customHeight="false" outlineLevel="0" collapsed="false">
      <c r="A1052" s="6" t="n">
        <v>1047</v>
      </c>
      <c r="B1052" s="74" t="s">
        <v>1028</v>
      </c>
      <c r="C1052" s="53" t="str">
        <f aca="false">INDEX(I_Items!$C$5:$C$133,MATCH($B1052,I_Items!$A$5:$A$133,0))</f>
        <v>Trading</v>
      </c>
      <c r="D1052" s="53" t="str">
        <f aca="false">INDEX(I_Items!$D$5:$D$133,MATCH($B1052,I_Items!$A$5:$A$133,0))</f>
        <v>Karkas</v>
      </c>
      <c r="E1052" s="53" t="str">
        <f aca="false">INDEX(I_Items!$F$5:$F$133,MATCH($B1052,I_Items!$A$5:$A$133,0))</f>
        <v>Not stated in item master</v>
      </c>
      <c r="F1052" s="53" t="str">
        <f aca="false">IF(INDEX(I_Items!$E$5:$E$133,MATCH($B1052,I_Items!$A$5:$A$133,0))="","",INDEX(I_Items!$E$5:$E$133,MATCH($B1052,I_Items!$A$5:$A$133,0)))</f>
        <v>Uk 1.3</v>
      </c>
      <c r="G1052" s="76" t="n">
        <v>46225</v>
      </c>
      <c r="H1052" s="23" t="n">
        <f aca="false">MONTH(G1052)</f>
        <v>7</v>
      </c>
      <c r="I1052" s="74" t="s">
        <v>2075</v>
      </c>
      <c r="J1052" s="74" t="s">
        <v>2344</v>
      </c>
      <c r="K1052" s="10" t="n">
        <v>0</v>
      </c>
      <c r="L1052" s="8" t="n">
        <v>0</v>
      </c>
      <c r="M1052" s="10" t="n">
        <v>605.6</v>
      </c>
      <c r="N1052" s="8" t="n">
        <v>13928800</v>
      </c>
      <c r="O1052" s="74" t="s">
        <v>2077</v>
      </c>
      <c r="P1052" s="74"/>
      <c r="Q1052" s="74"/>
      <c r="R1052" s="14" t="n">
        <f aca="false">IF(I1052="Unbilled",0,M1052)</f>
        <v>605.6</v>
      </c>
      <c r="S1052" s="9" t="n">
        <f aca="false">IF(R1052=0,0,IF(O1052="Booked",N1052,R1052*V1051))</f>
        <v>13928800</v>
      </c>
      <c r="T1052" s="14" t="n">
        <f aca="false">IF(I1052="Opening",K1052,T1051+K1052-R1052)</f>
        <v>456.9</v>
      </c>
      <c r="U1052" s="9" t="n">
        <f aca="false">IF(I1052="Opening",L1052,U1051+L1052-S1052)</f>
        <v>10508700</v>
      </c>
      <c r="V1052" s="9" t="n">
        <f aca="false">IF(T1052&gt;0,U1052/T1052,IF(I1052="Opening",0,V1051))</f>
        <v>23000</v>
      </c>
      <c r="W1052" s="14" t="n">
        <f aca="false">M1052</f>
        <v>605.6</v>
      </c>
      <c r="X1052" s="9" t="n">
        <f aca="false">IF(W1052=0,0,IF(O1052="Booked",N1052,W1052*AA1051))</f>
        <v>13928800</v>
      </c>
      <c r="Y1052" s="14" t="n">
        <f aca="false">IF(I1052="Opening",K1052,Y1051+K1052-W1052)</f>
        <v>456.9</v>
      </c>
      <c r="Z1052" s="9" t="n">
        <f aca="false">IF(I1052="Opening",L1052,Z1051+L1052-X1052)</f>
        <v>10508700</v>
      </c>
      <c r="AA1052" s="9" t="n">
        <f aca="false">IF(Y1052&gt;0,Z1052/Y1052,IF(I1052="Opening",0,AA1051))</f>
        <v>23000</v>
      </c>
      <c r="AB1052" s="9" t="n">
        <f aca="false">IF(AND(I1052="DO",O1052="MA"),S1052-N1052,0)</f>
        <v>0</v>
      </c>
      <c r="AC1052" s="9" t="n">
        <f aca="false">IF(I1052="DO",X1052-S1052,0)</f>
        <v>0</v>
      </c>
      <c r="AD1052" s="23" t="n">
        <f aca="false">IF(B1053&lt;&gt;B1052,1,0)</f>
        <v>0</v>
      </c>
      <c r="AE1052" s="14" t="n">
        <f aca="false">IF(I1052="Opening",0,AE1051+W1052)</f>
        <v>817.1</v>
      </c>
      <c r="AF1052" s="14" t="n">
        <f aca="false">IF(I1052="Opening",K1052,AF1051)</f>
        <v>1274</v>
      </c>
      <c r="AG1052" s="14" t="n">
        <f aca="false">AG1051</f>
        <v>0</v>
      </c>
      <c r="AH1052" s="14" t="n">
        <f aca="false">IF(W1052=0,0,MAX(0,MIN(AE1052,AF1052)-MIN(AE1052-W1052,AF1052)))</f>
        <v>605.6</v>
      </c>
      <c r="AI1052" s="14" t="n">
        <f aca="false">IF(W1052=0,0,MAX(0,MIN(AE1052,AF1052+AG1052)-MAX(AE1052-W1052,AF1052)))</f>
        <v>0</v>
      </c>
      <c r="AJ1052" s="14" t="n">
        <f aca="false">W1052-AH1052-AI1052</f>
        <v>0</v>
      </c>
      <c r="AK1052" s="9" t="n">
        <f aca="false">IF(W1052=0,0,X1052*AH1052/W1052)</f>
        <v>13928800</v>
      </c>
      <c r="AL1052" s="9" t="n">
        <f aca="false">IF(W1052=0,0,X1052*AI1052/W1052)</f>
        <v>0</v>
      </c>
      <c r="AM1052" s="9" t="n">
        <f aca="false">X1052-AK1052-AL1052</f>
        <v>0</v>
      </c>
    </row>
    <row r="1053" customFormat="false" ht="15" hidden="false" customHeight="false" outlineLevel="0" collapsed="false">
      <c r="A1053" s="6" t="n">
        <v>1048</v>
      </c>
      <c r="B1053" s="74" t="s">
        <v>1028</v>
      </c>
      <c r="C1053" s="53" t="str">
        <f aca="false">INDEX(I_Items!$C$5:$C$133,MATCH($B1053,I_Items!$A$5:$A$133,0))</f>
        <v>Trading</v>
      </c>
      <c r="D1053" s="53" t="str">
        <f aca="false">INDEX(I_Items!$D$5:$D$133,MATCH($B1053,I_Items!$A$5:$A$133,0))</f>
        <v>Karkas</v>
      </c>
      <c r="E1053" s="53" t="str">
        <f aca="false">INDEX(I_Items!$F$5:$F$133,MATCH($B1053,I_Items!$A$5:$A$133,0))</f>
        <v>Not stated in item master</v>
      </c>
      <c r="F1053" s="53" t="str">
        <f aca="false">IF(INDEX(I_Items!$E$5:$E$133,MATCH($B1053,I_Items!$A$5:$A$133,0))="","",INDEX(I_Items!$E$5:$E$133,MATCH($B1053,I_Items!$A$5:$A$133,0)))</f>
        <v>Uk 1.3</v>
      </c>
      <c r="G1053" s="76" t="n">
        <v>46226</v>
      </c>
      <c r="H1053" s="23" t="n">
        <f aca="false">MONTH(G1053)</f>
        <v>7</v>
      </c>
      <c r="I1053" s="74" t="s">
        <v>2075</v>
      </c>
      <c r="J1053" s="74" t="s">
        <v>2330</v>
      </c>
      <c r="K1053" s="10" t="n">
        <v>0</v>
      </c>
      <c r="L1053" s="8" t="n">
        <v>0</v>
      </c>
      <c r="M1053" s="10" t="n">
        <v>324</v>
      </c>
      <c r="N1053" s="8" t="n">
        <v>7452000</v>
      </c>
      <c r="O1053" s="74" t="s">
        <v>2077</v>
      </c>
      <c r="P1053" s="74"/>
      <c r="Q1053" s="74"/>
      <c r="R1053" s="14" t="n">
        <f aca="false">IF(I1053="Unbilled",0,M1053)</f>
        <v>324</v>
      </c>
      <c r="S1053" s="9" t="n">
        <f aca="false">IF(R1053=0,0,IF(O1053="Booked",N1053,R1053*V1052))</f>
        <v>7452000</v>
      </c>
      <c r="T1053" s="14" t="n">
        <f aca="false">IF(I1053="Opening",K1053,T1052+K1053-R1053)</f>
        <v>132.9</v>
      </c>
      <c r="U1053" s="9" t="n">
        <f aca="false">IF(I1053="Opening",L1053,U1052+L1053-S1053)</f>
        <v>3056700</v>
      </c>
      <c r="V1053" s="9" t="n">
        <f aca="false">IF(T1053&gt;0,U1053/T1053,IF(I1053="Opening",0,V1052))</f>
        <v>23000</v>
      </c>
      <c r="W1053" s="14" t="n">
        <f aca="false">M1053</f>
        <v>324</v>
      </c>
      <c r="X1053" s="9" t="n">
        <f aca="false">IF(W1053=0,0,IF(O1053="Booked",N1053,W1053*AA1052))</f>
        <v>7452000</v>
      </c>
      <c r="Y1053" s="14" t="n">
        <f aca="false">IF(I1053="Opening",K1053,Y1052+K1053-W1053)</f>
        <v>132.9</v>
      </c>
      <c r="Z1053" s="9" t="n">
        <f aca="false">IF(I1053="Opening",L1053,Z1052+L1053-X1053)</f>
        <v>3056700</v>
      </c>
      <c r="AA1053" s="9" t="n">
        <f aca="false">IF(Y1053&gt;0,Z1053/Y1053,IF(I1053="Opening",0,AA1052))</f>
        <v>23000</v>
      </c>
      <c r="AB1053" s="9" t="n">
        <f aca="false">IF(AND(I1053="DO",O1053="MA"),S1053-N1053,0)</f>
        <v>0</v>
      </c>
      <c r="AC1053" s="9" t="n">
        <f aca="false">IF(I1053="DO",X1053-S1053,0)</f>
        <v>0</v>
      </c>
      <c r="AD1053" s="23" t="n">
        <f aca="false">IF(B1054&lt;&gt;B1053,1,0)</f>
        <v>0</v>
      </c>
      <c r="AE1053" s="14" t="n">
        <f aca="false">IF(I1053="Opening",0,AE1052+W1053)</f>
        <v>1141.1</v>
      </c>
      <c r="AF1053" s="14" t="n">
        <f aca="false">IF(I1053="Opening",K1053,AF1052)</f>
        <v>1274</v>
      </c>
      <c r="AG1053" s="14" t="n">
        <f aca="false">AG1052</f>
        <v>0</v>
      </c>
      <c r="AH1053" s="14" t="n">
        <f aca="false">IF(W1053=0,0,MAX(0,MIN(AE1053,AF1053)-MIN(AE1053-W1053,AF1053)))</f>
        <v>324</v>
      </c>
      <c r="AI1053" s="14" t="n">
        <f aca="false">IF(W1053=0,0,MAX(0,MIN(AE1053,AF1053+AG1053)-MAX(AE1053-W1053,AF1053)))</f>
        <v>0</v>
      </c>
      <c r="AJ1053" s="14" t="n">
        <f aca="false">W1053-AH1053-AI1053</f>
        <v>0</v>
      </c>
      <c r="AK1053" s="9" t="n">
        <f aca="false">IF(W1053=0,0,X1053*AH1053/W1053)</f>
        <v>7452000</v>
      </c>
      <c r="AL1053" s="9" t="n">
        <f aca="false">IF(W1053=0,0,X1053*AI1053/W1053)</f>
        <v>0</v>
      </c>
      <c r="AM1053" s="9" t="n">
        <f aca="false">X1053-AK1053-AL1053</f>
        <v>0</v>
      </c>
    </row>
    <row r="1054" customFormat="false" ht="15" hidden="false" customHeight="false" outlineLevel="0" collapsed="false">
      <c r="A1054" s="6" t="n">
        <v>1049</v>
      </c>
      <c r="B1054" s="74" t="s">
        <v>1028</v>
      </c>
      <c r="C1054" s="53" t="str">
        <f aca="false">INDEX(I_Items!$C$5:$C$133,MATCH($B1054,I_Items!$A$5:$A$133,0))</f>
        <v>Trading</v>
      </c>
      <c r="D1054" s="53" t="str">
        <f aca="false">INDEX(I_Items!$D$5:$D$133,MATCH($B1054,I_Items!$A$5:$A$133,0))</f>
        <v>Karkas</v>
      </c>
      <c r="E1054" s="53" t="str">
        <f aca="false">INDEX(I_Items!$F$5:$F$133,MATCH($B1054,I_Items!$A$5:$A$133,0))</f>
        <v>Not stated in item master</v>
      </c>
      <c r="F1054" s="53" t="str">
        <f aca="false">IF(INDEX(I_Items!$E$5:$E$133,MATCH($B1054,I_Items!$A$5:$A$133,0))="","",INDEX(I_Items!$E$5:$E$133,MATCH($B1054,I_Items!$A$5:$A$133,0)))</f>
        <v>Uk 1.3</v>
      </c>
      <c r="G1054" s="76" t="n">
        <v>46248</v>
      </c>
      <c r="H1054" s="23" t="n">
        <f aca="false">MONTH(G1054)</f>
        <v>8</v>
      </c>
      <c r="I1054" s="74" t="s">
        <v>2075</v>
      </c>
      <c r="J1054" s="74" t="s">
        <v>2308</v>
      </c>
      <c r="K1054" s="10" t="n">
        <v>0</v>
      </c>
      <c r="L1054" s="8" t="n">
        <v>0</v>
      </c>
      <c r="M1054" s="10" t="n">
        <v>131.9</v>
      </c>
      <c r="N1054" s="8" t="n">
        <v>3033700</v>
      </c>
      <c r="O1054" s="74" t="s">
        <v>2077</v>
      </c>
      <c r="P1054" s="74"/>
      <c r="Q1054" s="74"/>
      <c r="R1054" s="14" t="n">
        <f aca="false">IF(I1054="Unbilled",0,M1054)</f>
        <v>131.9</v>
      </c>
      <c r="S1054" s="9" t="n">
        <f aca="false">IF(R1054=0,0,IF(O1054="Booked",N1054,R1054*V1053))</f>
        <v>3033700</v>
      </c>
      <c r="T1054" s="14" t="n">
        <f aca="false">IF(I1054="Opening",K1054,T1053+K1054-R1054)</f>
        <v>0.999999999999972</v>
      </c>
      <c r="U1054" s="9" t="n">
        <f aca="false">IF(I1054="Opening",L1054,U1053+L1054-S1054)</f>
        <v>22999.9999999995</v>
      </c>
      <c r="V1054" s="9" t="n">
        <f aca="false">IF(T1054&gt;0,U1054/T1054,IF(I1054="Opening",0,V1053))</f>
        <v>23000.0000000002</v>
      </c>
      <c r="W1054" s="14" t="n">
        <f aca="false">M1054</f>
        <v>131.9</v>
      </c>
      <c r="X1054" s="9" t="n">
        <f aca="false">IF(W1054=0,0,IF(O1054="Booked",N1054,W1054*AA1053))</f>
        <v>3033700</v>
      </c>
      <c r="Y1054" s="14" t="n">
        <f aca="false">IF(I1054="Opening",K1054,Y1053+K1054-W1054)</f>
        <v>0.999999999999972</v>
      </c>
      <c r="Z1054" s="9" t="n">
        <f aca="false">IF(I1054="Opening",L1054,Z1053+L1054-X1054)</f>
        <v>22999.9999999995</v>
      </c>
      <c r="AA1054" s="9" t="n">
        <f aca="false">IF(Y1054&gt;0,Z1054/Y1054,IF(I1054="Opening",0,AA1053))</f>
        <v>23000.0000000002</v>
      </c>
      <c r="AB1054" s="9" t="n">
        <f aca="false">IF(AND(I1054="DO",O1054="MA"),S1054-N1054,0)</f>
        <v>0</v>
      </c>
      <c r="AC1054" s="9" t="n">
        <f aca="false">IF(I1054="DO",X1054-S1054,0)</f>
        <v>0</v>
      </c>
      <c r="AD1054" s="23" t="n">
        <f aca="false">IF(B1055&lt;&gt;B1054,1,0)</f>
        <v>1</v>
      </c>
      <c r="AE1054" s="14" t="n">
        <f aca="false">IF(I1054="Opening",0,AE1053+W1054)</f>
        <v>1273</v>
      </c>
      <c r="AF1054" s="14" t="n">
        <f aca="false">IF(I1054="Opening",K1054,AF1053)</f>
        <v>1274</v>
      </c>
      <c r="AG1054" s="14" t="n">
        <f aca="false">AG1053</f>
        <v>0</v>
      </c>
      <c r="AH1054" s="14" t="n">
        <f aca="false">IF(W1054=0,0,MAX(0,MIN(AE1054,AF1054)-MIN(AE1054-W1054,AF1054)))</f>
        <v>131.9</v>
      </c>
      <c r="AI1054" s="14" t="n">
        <f aca="false">IF(W1054=0,0,MAX(0,MIN(AE1054,AF1054+AG1054)-MAX(AE1054-W1054,AF1054)))</f>
        <v>0</v>
      </c>
      <c r="AJ1054" s="14" t="n">
        <f aca="false">W1054-AH1054-AI1054</f>
        <v>0</v>
      </c>
      <c r="AK1054" s="9" t="n">
        <f aca="false">IF(W1054=0,0,X1054*AH1054/W1054)</f>
        <v>3033700</v>
      </c>
      <c r="AL1054" s="9" t="n">
        <f aca="false">IF(W1054=0,0,X1054*AI1054/W1054)</f>
        <v>0</v>
      </c>
      <c r="AM1054" s="9" t="n">
        <f aca="false">X1054-AK1054-AL1054</f>
        <v>0</v>
      </c>
    </row>
    <row r="1055" customFormat="false" ht="15" hidden="false" customHeight="false" outlineLevel="0" collapsed="false">
      <c r="A1055" s="6" t="n">
        <v>1050</v>
      </c>
      <c r="B1055" s="74" t="s">
        <v>1029</v>
      </c>
      <c r="C1055" s="53" t="str">
        <f aca="false">INDEX(I_Items!$C$5:$C$133,MATCH($B1055,I_Items!$A$5:$A$133,0))</f>
        <v>Trading</v>
      </c>
      <c r="D1055" s="53" t="str">
        <f aca="false">INDEX(I_Items!$D$5:$D$133,MATCH($B1055,I_Items!$A$5:$A$133,0))</f>
        <v>Karkas</v>
      </c>
      <c r="E1055" s="53" t="str">
        <f aca="false">INDEX(I_Items!$F$5:$F$133,MATCH($B1055,I_Items!$A$5:$A$133,0))</f>
        <v>Not stated in item master</v>
      </c>
      <c r="F1055" s="53" t="str">
        <f aca="false">IF(INDEX(I_Items!$E$5:$E$133,MATCH($B1055,I_Items!$A$5:$A$133,0))="","",INDEX(I_Items!$E$5:$E$133,MATCH($B1055,I_Items!$A$5:$A$133,0)))</f>
        <v>Uk 1.4</v>
      </c>
      <c r="G1055" s="76" t="n">
        <v>46204</v>
      </c>
      <c r="H1055" s="23" t="n">
        <f aca="false">MONTH(G1055)</f>
        <v>7</v>
      </c>
      <c r="I1055" s="74" t="s">
        <v>2072</v>
      </c>
      <c r="J1055" s="74" t="s">
        <v>2073</v>
      </c>
      <c r="K1055" s="10" t="n">
        <v>684.4</v>
      </c>
      <c r="L1055" s="8" t="n">
        <v>15741200</v>
      </c>
      <c r="M1055" s="10" t="n">
        <v>0</v>
      </c>
      <c r="N1055" s="8" t="n">
        <v>0</v>
      </c>
      <c r="O1055" s="74"/>
      <c r="P1055" s="74"/>
      <c r="Q1055" s="74"/>
      <c r="R1055" s="14" t="n">
        <f aca="false">IF(I1055="Unbilled",0,M1055)</f>
        <v>0</v>
      </c>
      <c r="S1055" s="9" t="n">
        <f aca="false">IF(R1055=0,0,IF(O1055="Booked",N1055,R1055*V1054))</f>
        <v>0</v>
      </c>
      <c r="T1055" s="14" t="n">
        <f aca="false">IF(I1055="Opening",K1055,T1054+K1055-R1055)</f>
        <v>684.4</v>
      </c>
      <c r="U1055" s="9" t="n">
        <f aca="false">IF(I1055="Opening",L1055,U1054+L1055-S1055)</f>
        <v>15741200</v>
      </c>
      <c r="V1055" s="9" t="n">
        <f aca="false">IF(T1055&gt;0,U1055/T1055,IF(I1055="Opening",0,V1054))</f>
        <v>23000</v>
      </c>
      <c r="W1055" s="14" t="n">
        <f aca="false">M1055</f>
        <v>0</v>
      </c>
      <c r="X1055" s="9" t="n">
        <f aca="false">IF(W1055=0,0,IF(O1055="Booked",N1055,W1055*AA1054))</f>
        <v>0</v>
      </c>
      <c r="Y1055" s="14" t="n">
        <f aca="false">IF(I1055="Opening",K1055,Y1054+K1055-W1055)</f>
        <v>684.4</v>
      </c>
      <c r="Z1055" s="9" t="n">
        <f aca="false">IF(I1055="Opening",L1055,Z1054+L1055-X1055)</f>
        <v>15741200</v>
      </c>
      <c r="AA1055" s="9" t="n">
        <f aca="false">IF(Y1055&gt;0,Z1055/Y1055,IF(I1055="Opening",0,AA1054))</f>
        <v>23000</v>
      </c>
      <c r="AB1055" s="9" t="n">
        <f aca="false">IF(AND(I1055="DO",O1055="MA"),S1055-N1055,0)</f>
        <v>0</v>
      </c>
      <c r="AC1055" s="9" t="n">
        <f aca="false">IF(I1055="DO",X1055-S1055,0)</f>
        <v>0</v>
      </c>
      <c r="AD1055" s="23" t="n">
        <f aca="false">IF(B1056&lt;&gt;B1055,1,0)</f>
        <v>0</v>
      </c>
      <c r="AE1055" s="14" t="n">
        <f aca="false">IF(I1055="Opening",0,AE1054+W1055)</f>
        <v>0</v>
      </c>
      <c r="AF1055" s="14" t="n">
        <f aca="false">IF(I1055="Opening",K1055,AF1054)</f>
        <v>684.4</v>
      </c>
      <c r="AG1055" s="14" t="n">
        <f aca="false">SUMIFS($K$6:$K$1110,$B$6:$B$1110,B1055,$H$6:$H$1110,7,$I$6:$I$1110,"&lt;&gt;Opening")</f>
        <v>0</v>
      </c>
      <c r="AH1055" s="14" t="n">
        <f aca="false">IF(W1055=0,0,MAX(0,MIN(AE1055,AF1055)-MIN(AE1055-W1055,AF1055)))</f>
        <v>0</v>
      </c>
      <c r="AI1055" s="14" t="n">
        <f aca="false">IF(W1055=0,0,MAX(0,MIN(AE1055,AF1055+AG1055)-MAX(AE1055-W1055,AF1055)))</f>
        <v>0</v>
      </c>
      <c r="AJ1055" s="14" t="n">
        <f aca="false">W1055-AH1055-AI1055</f>
        <v>0</v>
      </c>
      <c r="AK1055" s="9" t="n">
        <f aca="false">IF(W1055=0,0,X1055*AH1055/W1055)</f>
        <v>0</v>
      </c>
      <c r="AL1055" s="9" t="n">
        <f aca="false">IF(W1055=0,0,X1055*AI1055/W1055)</f>
        <v>0</v>
      </c>
      <c r="AM1055" s="9" t="n">
        <f aca="false">X1055-AK1055-AL1055</f>
        <v>0</v>
      </c>
    </row>
    <row r="1056" customFormat="false" ht="15" hidden="false" customHeight="false" outlineLevel="0" collapsed="false">
      <c r="A1056" s="6" t="n">
        <v>1051</v>
      </c>
      <c r="B1056" s="74" t="s">
        <v>1029</v>
      </c>
      <c r="C1056" s="53" t="str">
        <f aca="false">INDEX(I_Items!$C$5:$C$133,MATCH($B1056,I_Items!$A$5:$A$133,0))</f>
        <v>Trading</v>
      </c>
      <c r="D1056" s="53" t="str">
        <f aca="false">INDEX(I_Items!$D$5:$D$133,MATCH($B1056,I_Items!$A$5:$A$133,0))</f>
        <v>Karkas</v>
      </c>
      <c r="E1056" s="53" t="str">
        <f aca="false">INDEX(I_Items!$F$5:$F$133,MATCH($B1056,I_Items!$A$5:$A$133,0))</f>
        <v>Not stated in item master</v>
      </c>
      <c r="F1056" s="53" t="str">
        <f aca="false">IF(INDEX(I_Items!$E$5:$E$133,MATCH($B1056,I_Items!$A$5:$A$133,0))="","",INDEX(I_Items!$E$5:$E$133,MATCH($B1056,I_Items!$A$5:$A$133,0)))</f>
        <v>Uk 1.4</v>
      </c>
      <c r="G1056" s="76" t="n">
        <v>46225</v>
      </c>
      <c r="H1056" s="23" t="n">
        <f aca="false">MONTH(G1056)</f>
        <v>7</v>
      </c>
      <c r="I1056" s="74" t="s">
        <v>2075</v>
      </c>
      <c r="J1056" s="74" t="s">
        <v>2346</v>
      </c>
      <c r="K1056" s="10" t="n">
        <v>0</v>
      </c>
      <c r="L1056" s="8" t="n">
        <v>0</v>
      </c>
      <c r="M1056" s="10" t="n">
        <v>425.7</v>
      </c>
      <c r="N1056" s="8" t="n">
        <v>9791100</v>
      </c>
      <c r="O1056" s="74" t="s">
        <v>2077</v>
      </c>
      <c r="P1056" s="74"/>
      <c r="Q1056" s="74"/>
      <c r="R1056" s="14" t="n">
        <f aca="false">IF(I1056="Unbilled",0,M1056)</f>
        <v>425.7</v>
      </c>
      <c r="S1056" s="9" t="n">
        <f aca="false">IF(R1056=0,0,IF(O1056="Booked",N1056,R1056*V1055))</f>
        <v>9791100</v>
      </c>
      <c r="T1056" s="14" t="n">
        <f aca="false">IF(I1056="Opening",K1056,T1055+K1056-R1056)</f>
        <v>258.7</v>
      </c>
      <c r="U1056" s="9" t="n">
        <f aca="false">IF(I1056="Opening",L1056,U1055+L1056-S1056)</f>
        <v>5950100</v>
      </c>
      <c r="V1056" s="9" t="n">
        <f aca="false">IF(T1056&gt;0,U1056/T1056,IF(I1056="Opening",0,V1055))</f>
        <v>23000</v>
      </c>
      <c r="W1056" s="14" t="n">
        <f aca="false">M1056</f>
        <v>425.7</v>
      </c>
      <c r="X1056" s="9" t="n">
        <f aca="false">IF(W1056=0,0,IF(O1056="Booked",N1056,W1056*AA1055))</f>
        <v>9791100</v>
      </c>
      <c r="Y1056" s="14" t="n">
        <f aca="false">IF(I1056="Opening",K1056,Y1055+K1056-W1056)</f>
        <v>258.7</v>
      </c>
      <c r="Z1056" s="9" t="n">
        <f aca="false">IF(I1056="Opening",L1056,Z1055+L1056-X1056)</f>
        <v>5950100</v>
      </c>
      <c r="AA1056" s="9" t="n">
        <f aca="false">IF(Y1056&gt;0,Z1056/Y1056,IF(I1056="Opening",0,AA1055))</f>
        <v>23000</v>
      </c>
      <c r="AB1056" s="9" t="n">
        <f aca="false">IF(AND(I1056="DO",O1056="MA"),S1056-N1056,0)</f>
        <v>0</v>
      </c>
      <c r="AC1056" s="9" t="n">
        <f aca="false">IF(I1056="DO",X1056-S1056,0)</f>
        <v>0</v>
      </c>
      <c r="AD1056" s="23" t="n">
        <f aca="false">IF(B1057&lt;&gt;B1056,1,0)</f>
        <v>0</v>
      </c>
      <c r="AE1056" s="14" t="n">
        <f aca="false">IF(I1056="Opening",0,AE1055+W1056)</f>
        <v>425.7</v>
      </c>
      <c r="AF1056" s="14" t="n">
        <f aca="false">IF(I1056="Opening",K1056,AF1055)</f>
        <v>684.4</v>
      </c>
      <c r="AG1056" s="14" t="n">
        <f aca="false">AG1055</f>
        <v>0</v>
      </c>
      <c r="AH1056" s="14" t="n">
        <f aca="false">IF(W1056=0,0,MAX(0,MIN(AE1056,AF1056)-MIN(AE1056-W1056,AF1056)))</f>
        <v>425.7</v>
      </c>
      <c r="AI1056" s="14" t="n">
        <f aca="false">IF(W1056=0,0,MAX(0,MIN(AE1056,AF1056+AG1056)-MAX(AE1056-W1056,AF1056)))</f>
        <v>0</v>
      </c>
      <c r="AJ1056" s="14" t="n">
        <f aca="false">W1056-AH1056-AI1056</f>
        <v>0</v>
      </c>
      <c r="AK1056" s="9" t="n">
        <f aca="false">IF(W1056=0,0,X1056*AH1056/W1056)</f>
        <v>9791100</v>
      </c>
      <c r="AL1056" s="9" t="n">
        <f aca="false">IF(W1056=0,0,X1056*AI1056/W1056)</f>
        <v>0</v>
      </c>
      <c r="AM1056" s="9" t="n">
        <f aca="false">X1056-AK1056-AL1056</f>
        <v>0</v>
      </c>
    </row>
    <row r="1057" customFormat="false" ht="15" hidden="false" customHeight="false" outlineLevel="0" collapsed="false">
      <c r="A1057" s="6" t="n">
        <v>1052</v>
      </c>
      <c r="B1057" s="74" t="s">
        <v>1029</v>
      </c>
      <c r="C1057" s="53" t="str">
        <f aca="false">INDEX(I_Items!$C$5:$C$133,MATCH($B1057,I_Items!$A$5:$A$133,0))</f>
        <v>Trading</v>
      </c>
      <c r="D1057" s="53" t="str">
        <f aca="false">INDEX(I_Items!$D$5:$D$133,MATCH($B1057,I_Items!$A$5:$A$133,0))</f>
        <v>Karkas</v>
      </c>
      <c r="E1057" s="53" t="str">
        <f aca="false">INDEX(I_Items!$F$5:$F$133,MATCH($B1057,I_Items!$A$5:$A$133,0))</f>
        <v>Not stated in item master</v>
      </c>
      <c r="F1057" s="53" t="str">
        <f aca="false">IF(INDEX(I_Items!$E$5:$E$133,MATCH($B1057,I_Items!$A$5:$A$133,0))="","",INDEX(I_Items!$E$5:$E$133,MATCH($B1057,I_Items!$A$5:$A$133,0)))</f>
        <v>Uk 1.4</v>
      </c>
      <c r="G1057" s="76" t="n">
        <v>46258</v>
      </c>
      <c r="H1057" s="23" t="n">
        <f aca="false">MONTH(G1057)</f>
        <v>8</v>
      </c>
      <c r="I1057" s="74" t="s">
        <v>89</v>
      </c>
      <c r="J1057" s="74" t="s">
        <v>2341</v>
      </c>
      <c r="K1057" s="10" t="n">
        <v>0</v>
      </c>
      <c r="L1057" s="8" t="n">
        <v>0</v>
      </c>
      <c r="M1057" s="13" t="n">
        <f aca="false">INDEX(Unbilled!$K$22:$K$38,MATCH($Q1057,Unbilled!$B$22:$B$38,0))</f>
        <v>285.9</v>
      </c>
      <c r="N1057" s="8" t="n">
        <v>0</v>
      </c>
      <c r="O1057" s="74" t="s">
        <v>2077</v>
      </c>
      <c r="P1057" s="74"/>
      <c r="Q1057" s="74" t="s">
        <v>1117</v>
      </c>
      <c r="R1057" s="14" t="n">
        <f aca="false">IF(I1057="Unbilled",0,M1057)</f>
        <v>0</v>
      </c>
      <c r="S1057" s="9" t="n">
        <f aca="false">IF(R1057=0,0,IF(O1057="Booked",N1057,R1057*V1056))</f>
        <v>0</v>
      </c>
      <c r="T1057" s="14" t="n">
        <f aca="false">IF(I1057="Opening",K1057,T1056+K1057-R1057)</f>
        <v>258.7</v>
      </c>
      <c r="U1057" s="9" t="n">
        <f aca="false">IF(I1057="Opening",L1057,U1056+L1057-S1057)</f>
        <v>5950100</v>
      </c>
      <c r="V1057" s="9" t="n">
        <f aca="false">IF(T1057&gt;0,U1057/T1057,IF(I1057="Opening",0,V1056))</f>
        <v>23000</v>
      </c>
      <c r="W1057" s="14" t="n">
        <f aca="false">M1057</f>
        <v>285.9</v>
      </c>
      <c r="X1057" s="9" t="n">
        <f aca="false">IF(W1057=0,0,IF(O1057="Booked",N1057,W1057*AA1056))</f>
        <v>6575700</v>
      </c>
      <c r="Y1057" s="14" t="n">
        <f aca="false">IF(I1057="Opening",K1057,Y1056+K1057-W1057)</f>
        <v>-27.2</v>
      </c>
      <c r="Z1057" s="9" t="n">
        <f aca="false">IF(I1057="Opening",L1057,Z1056+L1057-X1057)</f>
        <v>-625599.999999999</v>
      </c>
      <c r="AA1057" s="9" t="n">
        <f aca="false">IF(Y1057&gt;0,Z1057/Y1057,IF(I1057="Opening",0,AA1056))</f>
        <v>23000</v>
      </c>
      <c r="AB1057" s="9" t="n">
        <f aca="false">IF(AND(I1057="DO",O1057="MA"),S1057-N1057,0)</f>
        <v>0</v>
      </c>
      <c r="AC1057" s="9" t="n">
        <f aca="false">IF(I1057="DO",X1057-S1057,0)</f>
        <v>0</v>
      </c>
      <c r="AD1057" s="23" t="n">
        <f aca="false">IF(B1058&lt;&gt;B1057,1,0)</f>
        <v>1</v>
      </c>
      <c r="AE1057" s="14" t="n">
        <f aca="false">IF(I1057="Opening",0,AE1056+W1057)</f>
        <v>711.6</v>
      </c>
      <c r="AF1057" s="14" t="n">
        <f aca="false">IF(I1057="Opening",K1057,AF1056)</f>
        <v>684.4</v>
      </c>
      <c r="AG1057" s="14" t="n">
        <f aca="false">AG1056</f>
        <v>0</v>
      </c>
      <c r="AH1057" s="14" t="n">
        <f aca="false">IF(W1057=0,0,MAX(0,MIN(AE1057,AF1057)-MIN(AE1057-W1057,AF1057)))</f>
        <v>258.7</v>
      </c>
      <c r="AI1057" s="14" t="n">
        <f aca="false">IF(W1057=0,0,MAX(0,MIN(AE1057,AF1057+AG1057)-MAX(AE1057-W1057,AF1057)))</f>
        <v>0</v>
      </c>
      <c r="AJ1057" s="14" t="n">
        <f aca="false">W1057-AH1057-AI1057</f>
        <v>27.1999999999999</v>
      </c>
      <c r="AK1057" s="9" t="n">
        <f aca="false">IF(W1057=0,0,X1057*AH1057/W1057)</f>
        <v>5950100</v>
      </c>
      <c r="AL1057" s="9" t="n">
        <f aca="false">IF(W1057=0,0,X1057*AI1057/W1057)</f>
        <v>0</v>
      </c>
      <c r="AM1057" s="9" t="n">
        <f aca="false">X1057-AK1057-AL1057</f>
        <v>625599.999999998</v>
      </c>
    </row>
    <row r="1058" customFormat="false" ht="15" hidden="false" customHeight="false" outlineLevel="0" collapsed="false">
      <c r="A1058" s="6" t="n">
        <v>1053</v>
      </c>
      <c r="B1058" s="74" t="s">
        <v>1030</v>
      </c>
      <c r="C1058" s="53" t="str">
        <f aca="false">INDEX(I_Items!$C$5:$C$133,MATCH($B1058,I_Items!$A$5:$A$133,0))</f>
        <v>Trading</v>
      </c>
      <c r="D1058" s="53" t="str">
        <f aca="false">INDEX(I_Items!$D$5:$D$133,MATCH($B1058,I_Items!$A$5:$A$133,0))</f>
        <v>Karkas</v>
      </c>
      <c r="E1058" s="53" t="str">
        <f aca="false">INDEX(I_Items!$F$5:$F$133,MATCH($B1058,I_Items!$A$5:$A$133,0))</f>
        <v>Not stated in item master</v>
      </c>
      <c r="F1058" s="53" t="str">
        <f aca="false">IF(INDEX(I_Items!$E$5:$E$133,MATCH($B1058,I_Items!$A$5:$A$133,0))="","",INDEX(I_Items!$E$5:$E$133,MATCH($B1058,I_Items!$A$5:$A$133,0)))</f>
        <v>Uk 1.5</v>
      </c>
      <c r="G1058" s="76" t="n">
        <v>46204</v>
      </c>
      <c r="H1058" s="23" t="n">
        <f aca="false">MONTH(G1058)</f>
        <v>7</v>
      </c>
      <c r="I1058" s="74" t="s">
        <v>2072</v>
      </c>
      <c r="J1058" s="74" t="s">
        <v>2073</v>
      </c>
      <c r="K1058" s="10" t="n">
        <v>735.55</v>
      </c>
      <c r="L1058" s="8" t="n">
        <v>16917650</v>
      </c>
      <c r="M1058" s="10" t="n">
        <v>0</v>
      </c>
      <c r="N1058" s="8" t="n">
        <v>0</v>
      </c>
      <c r="O1058" s="74"/>
      <c r="P1058" s="74"/>
      <c r="Q1058" s="74"/>
      <c r="R1058" s="14" t="n">
        <f aca="false">IF(I1058="Unbilled",0,M1058)</f>
        <v>0</v>
      </c>
      <c r="S1058" s="9" t="n">
        <f aca="false">IF(R1058=0,0,IF(O1058="Booked",N1058,R1058*V1057))</f>
        <v>0</v>
      </c>
      <c r="T1058" s="14" t="n">
        <f aca="false">IF(I1058="Opening",K1058,T1057+K1058-R1058)</f>
        <v>735.55</v>
      </c>
      <c r="U1058" s="9" t="n">
        <f aca="false">IF(I1058="Opening",L1058,U1057+L1058-S1058)</f>
        <v>16917650</v>
      </c>
      <c r="V1058" s="9" t="n">
        <f aca="false">IF(T1058&gt;0,U1058/T1058,IF(I1058="Opening",0,V1057))</f>
        <v>23000</v>
      </c>
      <c r="W1058" s="14" t="n">
        <f aca="false">M1058</f>
        <v>0</v>
      </c>
      <c r="X1058" s="9" t="n">
        <f aca="false">IF(W1058=0,0,IF(O1058="Booked",N1058,W1058*AA1057))</f>
        <v>0</v>
      </c>
      <c r="Y1058" s="14" t="n">
        <f aca="false">IF(I1058="Opening",K1058,Y1057+K1058-W1058)</f>
        <v>735.55</v>
      </c>
      <c r="Z1058" s="9" t="n">
        <f aca="false">IF(I1058="Opening",L1058,Z1057+L1058-X1058)</f>
        <v>16917650</v>
      </c>
      <c r="AA1058" s="9" t="n">
        <f aca="false">IF(Y1058&gt;0,Z1058/Y1058,IF(I1058="Opening",0,AA1057))</f>
        <v>23000</v>
      </c>
      <c r="AB1058" s="9" t="n">
        <f aca="false">IF(AND(I1058="DO",O1058="MA"),S1058-N1058,0)</f>
        <v>0</v>
      </c>
      <c r="AC1058" s="9" t="n">
        <f aca="false">IF(I1058="DO",X1058-S1058,0)</f>
        <v>0</v>
      </c>
      <c r="AD1058" s="23" t="n">
        <f aca="false">IF(B1059&lt;&gt;B1058,1,0)</f>
        <v>0</v>
      </c>
      <c r="AE1058" s="14" t="n">
        <f aca="false">IF(I1058="Opening",0,AE1057+W1058)</f>
        <v>0</v>
      </c>
      <c r="AF1058" s="14" t="n">
        <f aca="false">IF(I1058="Opening",K1058,AF1057)</f>
        <v>735.55</v>
      </c>
      <c r="AG1058" s="14" t="n">
        <f aca="false">SUMIFS($K$6:$K$1110,$B$6:$B$1110,B1058,$H$6:$H$1110,7,$I$6:$I$1110,"&lt;&gt;Opening")</f>
        <v>0</v>
      </c>
      <c r="AH1058" s="14" t="n">
        <f aca="false">IF(W1058=0,0,MAX(0,MIN(AE1058,AF1058)-MIN(AE1058-W1058,AF1058)))</f>
        <v>0</v>
      </c>
      <c r="AI1058" s="14" t="n">
        <f aca="false">IF(W1058=0,0,MAX(0,MIN(AE1058,AF1058+AG1058)-MAX(AE1058-W1058,AF1058)))</f>
        <v>0</v>
      </c>
      <c r="AJ1058" s="14" t="n">
        <f aca="false">W1058-AH1058-AI1058</f>
        <v>0</v>
      </c>
      <c r="AK1058" s="9" t="n">
        <f aca="false">IF(W1058=0,0,X1058*AH1058/W1058)</f>
        <v>0</v>
      </c>
      <c r="AL1058" s="9" t="n">
        <f aca="false">IF(W1058=0,0,X1058*AI1058/W1058)</f>
        <v>0</v>
      </c>
      <c r="AM1058" s="9" t="n">
        <f aca="false">X1058-AK1058-AL1058</f>
        <v>0</v>
      </c>
    </row>
    <row r="1059" customFormat="false" ht="15" hidden="false" customHeight="false" outlineLevel="0" collapsed="false">
      <c r="A1059" s="6" t="n">
        <v>1054</v>
      </c>
      <c r="B1059" s="74" t="s">
        <v>1030</v>
      </c>
      <c r="C1059" s="53" t="str">
        <f aca="false">INDEX(I_Items!$C$5:$C$133,MATCH($B1059,I_Items!$A$5:$A$133,0))</f>
        <v>Trading</v>
      </c>
      <c r="D1059" s="53" t="str">
        <f aca="false">INDEX(I_Items!$D$5:$D$133,MATCH($B1059,I_Items!$A$5:$A$133,0))</f>
        <v>Karkas</v>
      </c>
      <c r="E1059" s="53" t="str">
        <f aca="false">INDEX(I_Items!$F$5:$F$133,MATCH($B1059,I_Items!$A$5:$A$133,0))</f>
        <v>Not stated in item master</v>
      </c>
      <c r="F1059" s="53" t="str">
        <f aca="false">IF(INDEX(I_Items!$E$5:$E$133,MATCH($B1059,I_Items!$A$5:$A$133,0))="","",INDEX(I_Items!$E$5:$E$133,MATCH($B1059,I_Items!$A$5:$A$133,0)))</f>
        <v>Uk 1.5</v>
      </c>
      <c r="G1059" s="76" t="n">
        <v>46226</v>
      </c>
      <c r="H1059" s="23" t="n">
        <f aca="false">MONTH(G1059)</f>
        <v>7</v>
      </c>
      <c r="I1059" s="74" t="s">
        <v>2075</v>
      </c>
      <c r="J1059" s="74" t="s">
        <v>2330</v>
      </c>
      <c r="K1059" s="10" t="n">
        <v>0</v>
      </c>
      <c r="L1059" s="8" t="n">
        <v>0</v>
      </c>
      <c r="M1059" s="10" t="n">
        <v>462.4</v>
      </c>
      <c r="N1059" s="8" t="n">
        <v>10635200</v>
      </c>
      <c r="O1059" s="74" t="s">
        <v>2077</v>
      </c>
      <c r="P1059" s="74"/>
      <c r="Q1059" s="74"/>
      <c r="R1059" s="14" t="n">
        <f aca="false">IF(I1059="Unbilled",0,M1059)</f>
        <v>462.4</v>
      </c>
      <c r="S1059" s="9" t="n">
        <f aca="false">IF(R1059=0,0,IF(O1059="Booked",N1059,R1059*V1058))</f>
        <v>10635200</v>
      </c>
      <c r="T1059" s="14" t="n">
        <f aca="false">IF(I1059="Opening",K1059,T1058+K1059-R1059)</f>
        <v>273.15</v>
      </c>
      <c r="U1059" s="9" t="n">
        <f aca="false">IF(I1059="Opening",L1059,U1058+L1059-S1059)</f>
        <v>6282450</v>
      </c>
      <c r="V1059" s="9" t="n">
        <f aca="false">IF(T1059&gt;0,U1059/T1059,IF(I1059="Opening",0,V1058))</f>
        <v>23000</v>
      </c>
      <c r="W1059" s="14" t="n">
        <f aca="false">M1059</f>
        <v>462.4</v>
      </c>
      <c r="X1059" s="9" t="n">
        <f aca="false">IF(W1059=0,0,IF(O1059="Booked",N1059,W1059*AA1058))</f>
        <v>10635200</v>
      </c>
      <c r="Y1059" s="14" t="n">
        <f aca="false">IF(I1059="Opening",K1059,Y1058+K1059-W1059)</f>
        <v>273.15</v>
      </c>
      <c r="Z1059" s="9" t="n">
        <f aca="false">IF(I1059="Opening",L1059,Z1058+L1059-X1059)</f>
        <v>6282450</v>
      </c>
      <c r="AA1059" s="9" t="n">
        <f aca="false">IF(Y1059&gt;0,Z1059/Y1059,IF(I1059="Opening",0,AA1058))</f>
        <v>23000</v>
      </c>
      <c r="AB1059" s="9" t="n">
        <f aca="false">IF(AND(I1059="DO",O1059="MA"),S1059-N1059,0)</f>
        <v>0</v>
      </c>
      <c r="AC1059" s="9" t="n">
        <f aca="false">IF(I1059="DO",X1059-S1059,0)</f>
        <v>0</v>
      </c>
      <c r="AD1059" s="23" t="n">
        <f aca="false">IF(B1060&lt;&gt;B1059,1,0)</f>
        <v>0</v>
      </c>
      <c r="AE1059" s="14" t="n">
        <f aca="false">IF(I1059="Opening",0,AE1058+W1059)</f>
        <v>462.4</v>
      </c>
      <c r="AF1059" s="14" t="n">
        <f aca="false">IF(I1059="Opening",K1059,AF1058)</f>
        <v>735.55</v>
      </c>
      <c r="AG1059" s="14" t="n">
        <f aca="false">AG1058</f>
        <v>0</v>
      </c>
      <c r="AH1059" s="14" t="n">
        <f aca="false">IF(W1059=0,0,MAX(0,MIN(AE1059,AF1059)-MIN(AE1059-W1059,AF1059)))</f>
        <v>462.4</v>
      </c>
      <c r="AI1059" s="14" t="n">
        <f aca="false">IF(W1059=0,0,MAX(0,MIN(AE1059,AF1059+AG1059)-MAX(AE1059-W1059,AF1059)))</f>
        <v>0</v>
      </c>
      <c r="AJ1059" s="14" t="n">
        <f aca="false">W1059-AH1059-AI1059</f>
        <v>0</v>
      </c>
      <c r="AK1059" s="9" t="n">
        <f aca="false">IF(W1059=0,0,X1059*AH1059/W1059)</f>
        <v>10635200</v>
      </c>
      <c r="AL1059" s="9" t="n">
        <f aca="false">IF(W1059=0,0,X1059*AI1059/W1059)</f>
        <v>0</v>
      </c>
      <c r="AM1059" s="9" t="n">
        <f aca="false">X1059-AK1059-AL1059</f>
        <v>0</v>
      </c>
    </row>
    <row r="1060" customFormat="false" ht="15" hidden="false" customHeight="false" outlineLevel="0" collapsed="false">
      <c r="A1060" s="6" t="n">
        <v>1055</v>
      </c>
      <c r="B1060" s="74" t="s">
        <v>1030</v>
      </c>
      <c r="C1060" s="53" t="str">
        <f aca="false">INDEX(I_Items!$C$5:$C$133,MATCH($B1060,I_Items!$A$5:$A$133,0))</f>
        <v>Trading</v>
      </c>
      <c r="D1060" s="53" t="str">
        <f aca="false">INDEX(I_Items!$D$5:$D$133,MATCH($B1060,I_Items!$A$5:$A$133,0))</f>
        <v>Karkas</v>
      </c>
      <c r="E1060" s="53" t="str">
        <f aca="false">INDEX(I_Items!$F$5:$F$133,MATCH($B1060,I_Items!$A$5:$A$133,0))</f>
        <v>Not stated in item master</v>
      </c>
      <c r="F1060" s="53" t="str">
        <f aca="false">IF(INDEX(I_Items!$E$5:$E$133,MATCH($B1060,I_Items!$A$5:$A$133,0))="","",INDEX(I_Items!$E$5:$E$133,MATCH($B1060,I_Items!$A$5:$A$133,0)))</f>
        <v>Uk 1.5</v>
      </c>
      <c r="G1060" s="76" t="n">
        <v>46255</v>
      </c>
      <c r="H1060" s="23" t="n">
        <f aca="false">MONTH(G1060)</f>
        <v>8</v>
      </c>
      <c r="I1060" s="74" t="s">
        <v>2117</v>
      </c>
      <c r="J1060" s="74" t="s">
        <v>2347</v>
      </c>
      <c r="K1060" s="10" t="n">
        <v>0.65</v>
      </c>
      <c r="L1060" s="8" t="n">
        <v>0</v>
      </c>
      <c r="M1060" s="10" t="n">
        <v>0</v>
      </c>
      <c r="N1060" s="8" t="n">
        <v>0</v>
      </c>
      <c r="O1060" s="74" t="s">
        <v>2119</v>
      </c>
      <c r="P1060" s="74"/>
      <c r="Q1060" s="74"/>
      <c r="R1060" s="14" t="n">
        <f aca="false">IF(I1060="Unbilled",0,M1060)</f>
        <v>0</v>
      </c>
      <c r="S1060" s="9" t="n">
        <f aca="false">IF(R1060=0,0,IF(O1060="Booked",N1060,R1060*V1059))</f>
        <v>0</v>
      </c>
      <c r="T1060" s="14" t="n">
        <f aca="false">IF(I1060="Opening",K1060,T1059+K1060-R1060)</f>
        <v>273.8</v>
      </c>
      <c r="U1060" s="9" t="n">
        <f aca="false">IF(I1060="Opening",L1060,U1059+L1060-S1060)</f>
        <v>6282450</v>
      </c>
      <c r="V1060" s="9" t="n">
        <f aca="false">IF(T1060&gt;0,U1060/T1060,IF(I1060="Opening",0,V1059))</f>
        <v>22945.3981008035</v>
      </c>
      <c r="W1060" s="14" t="n">
        <f aca="false">M1060</f>
        <v>0</v>
      </c>
      <c r="X1060" s="9" t="n">
        <f aca="false">IF(W1060=0,0,IF(O1060="Booked",N1060,W1060*AA1059))</f>
        <v>0</v>
      </c>
      <c r="Y1060" s="14" t="n">
        <f aca="false">IF(I1060="Opening",K1060,Y1059+K1060-W1060)</f>
        <v>273.8</v>
      </c>
      <c r="Z1060" s="9" t="n">
        <f aca="false">IF(I1060="Opening",L1060,Z1059+L1060-X1060)</f>
        <v>6282450</v>
      </c>
      <c r="AA1060" s="9" t="n">
        <f aca="false">IF(Y1060&gt;0,Z1060/Y1060,IF(I1060="Opening",0,AA1059))</f>
        <v>22945.3981008035</v>
      </c>
      <c r="AB1060" s="9" t="n">
        <f aca="false">IF(AND(I1060="DO",O1060="MA"),S1060-N1060,0)</f>
        <v>0</v>
      </c>
      <c r="AC1060" s="9" t="n">
        <f aca="false">IF(I1060="DO",X1060-S1060,0)</f>
        <v>0</v>
      </c>
      <c r="AD1060" s="23" t="n">
        <f aca="false">IF(B1061&lt;&gt;B1060,1,0)</f>
        <v>0</v>
      </c>
      <c r="AE1060" s="14" t="n">
        <f aca="false">IF(I1060="Opening",0,AE1059+W1060)</f>
        <v>462.4</v>
      </c>
      <c r="AF1060" s="14" t="n">
        <f aca="false">IF(I1060="Opening",K1060,AF1059)</f>
        <v>735.55</v>
      </c>
      <c r="AG1060" s="14" t="n">
        <f aca="false">AG1059</f>
        <v>0</v>
      </c>
      <c r="AH1060" s="14" t="n">
        <f aca="false">IF(W1060=0,0,MAX(0,MIN(AE1060,AF1060)-MIN(AE1060-W1060,AF1060)))</f>
        <v>0</v>
      </c>
      <c r="AI1060" s="14" t="n">
        <f aca="false">IF(W1060=0,0,MAX(0,MIN(AE1060,AF1060+AG1060)-MAX(AE1060-W1060,AF1060)))</f>
        <v>0</v>
      </c>
      <c r="AJ1060" s="14" t="n">
        <f aca="false">W1060-AH1060-AI1060</f>
        <v>0</v>
      </c>
      <c r="AK1060" s="9" t="n">
        <f aca="false">IF(W1060=0,0,X1060*AH1060/W1060)</f>
        <v>0</v>
      </c>
      <c r="AL1060" s="9" t="n">
        <f aca="false">IF(W1060=0,0,X1060*AI1060/W1060)</f>
        <v>0</v>
      </c>
      <c r="AM1060" s="9" t="n">
        <f aca="false">X1060-AK1060-AL1060</f>
        <v>0</v>
      </c>
    </row>
    <row r="1061" customFormat="false" ht="15" hidden="false" customHeight="false" outlineLevel="0" collapsed="false">
      <c r="A1061" s="6" t="n">
        <v>1056</v>
      </c>
      <c r="B1061" s="74" t="s">
        <v>1030</v>
      </c>
      <c r="C1061" s="53" t="str">
        <f aca="false">INDEX(I_Items!$C$5:$C$133,MATCH($B1061,I_Items!$A$5:$A$133,0))</f>
        <v>Trading</v>
      </c>
      <c r="D1061" s="53" t="str">
        <f aca="false">INDEX(I_Items!$D$5:$D$133,MATCH($B1061,I_Items!$A$5:$A$133,0))</f>
        <v>Karkas</v>
      </c>
      <c r="E1061" s="53" t="str">
        <f aca="false">INDEX(I_Items!$F$5:$F$133,MATCH($B1061,I_Items!$A$5:$A$133,0))</f>
        <v>Not stated in item master</v>
      </c>
      <c r="F1061" s="53" t="str">
        <f aca="false">IF(INDEX(I_Items!$E$5:$E$133,MATCH($B1061,I_Items!$A$5:$A$133,0))="","",INDEX(I_Items!$E$5:$E$133,MATCH($B1061,I_Items!$A$5:$A$133,0)))</f>
        <v>Uk 1.5</v>
      </c>
      <c r="G1061" s="76" t="n">
        <v>46258</v>
      </c>
      <c r="H1061" s="23" t="n">
        <f aca="false">MONTH(G1061)</f>
        <v>8</v>
      </c>
      <c r="I1061" s="74" t="s">
        <v>89</v>
      </c>
      <c r="J1061" s="74" t="s">
        <v>2341</v>
      </c>
      <c r="K1061" s="10" t="n">
        <v>0</v>
      </c>
      <c r="L1061" s="8" t="n">
        <v>0</v>
      </c>
      <c r="M1061" s="13" t="n">
        <f aca="false">INDEX(Unbilled!$K$22:$K$38,MATCH($Q1061,Unbilled!$B$22:$B$38,0))</f>
        <v>273.8</v>
      </c>
      <c r="N1061" s="8" t="n">
        <v>0</v>
      </c>
      <c r="O1061" s="74" t="s">
        <v>2077</v>
      </c>
      <c r="P1061" s="74"/>
      <c r="Q1061" s="74" t="s">
        <v>1118</v>
      </c>
      <c r="R1061" s="14" t="n">
        <f aca="false">IF(I1061="Unbilled",0,M1061)</f>
        <v>0</v>
      </c>
      <c r="S1061" s="9" t="n">
        <f aca="false">IF(R1061=0,0,IF(O1061="Booked",N1061,R1061*V1060))</f>
        <v>0</v>
      </c>
      <c r="T1061" s="14" t="n">
        <f aca="false">IF(I1061="Opening",K1061,T1060+K1061-R1061)</f>
        <v>273.8</v>
      </c>
      <c r="U1061" s="9" t="n">
        <f aca="false">IF(I1061="Opening",L1061,U1060+L1061-S1061)</f>
        <v>6282450</v>
      </c>
      <c r="V1061" s="9" t="n">
        <f aca="false">IF(T1061&gt;0,U1061/T1061,IF(I1061="Opening",0,V1060))</f>
        <v>22945.3981008035</v>
      </c>
      <c r="W1061" s="14" t="n">
        <f aca="false">M1061</f>
        <v>273.8</v>
      </c>
      <c r="X1061" s="9" t="n">
        <f aca="false">IF(W1061=0,0,IF(O1061="Booked",N1061,W1061*AA1060))</f>
        <v>6282450</v>
      </c>
      <c r="Y1061" s="14" t="n">
        <f aca="false">IF(I1061="Opening",K1061,Y1060+K1061-W1061)</f>
        <v>0</v>
      </c>
      <c r="Z1061" s="9" t="n">
        <f aca="false">IF(I1061="Opening",L1061,Z1060+L1061-X1061)</f>
        <v>0</v>
      </c>
      <c r="AA1061" s="9" t="n">
        <f aca="false">IF(Y1061&gt;0,Z1061/Y1061,IF(I1061="Opening",0,AA1060))</f>
        <v>22945.3981008035</v>
      </c>
      <c r="AB1061" s="9" t="n">
        <f aca="false">IF(AND(I1061="DO",O1061="MA"),S1061-N1061,0)</f>
        <v>0</v>
      </c>
      <c r="AC1061" s="9" t="n">
        <f aca="false">IF(I1061="DO",X1061-S1061,0)</f>
        <v>0</v>
      </c>
      <c r="AD1061" s="23" t="n">
        <f aca="false">IF(B1062&lt;&gt;B1061,1,0)</f>
        <v>1</v>
      </c>
      <c r="AE1061" s="14" t="n">
        <f aca="false">IF(I1061="Opening",0,AE1060+W1061)</f>
        <v>736.2</v>
      </c>
      <c r="AF1061" s="14" t="n">
        <f aca="false">IF(I1061="Opening",K1061,AF1060)</f>
        <v>735.55</v>
      </c>
      <c r="AG1061" s="14" t="n">
        <f aca="false">AG1060</f>
        <v>0</v>
      </c>
      <c r="AH1061" s="14" t="n">
        <f aca="false">IF(W1061=0,0,MAX(0,MIN(AE1061,AF1061)-MIN(AE1061-W1061,AF1061)))</f>
        <v>273.15</v>
      </c>
      <c r="AI1061" s="14" t="n">
        <f aca="false">IF(W1061=0,0,MAX(0,MIN(AE1061,AF1061+AG1061)-MAX(AE1061-W1061,AF1061)))</f>
        <v>0</v>
      </c>
      <c r="AJ1061" s="14" t="n">
        <f aca="false">W1061-AH1061-AI1061</f>
        <v>0.650000000000091</v>
      </c>
      <c r="AK1061" s="9" t="n">
        <f aca="false">IF(W1061=0,0,X1061*AH1061/W1061)</f>
        <v>6267535.49123448</v>
      </c>
      <c r="AL1061" s="9" t="n">
        <f aca="false">IF(W1061=0,0,X1061*AI1061/W1061)</f>
        <v>0</v>
      </c>
      <c r="AM1061" s="9" t="n">
        <f aca="false">X1061-AK1061-AL1061</f>
        <v>14914.5087655243</v>
      </c>
    </row>
    <row r="1062" customFormat="false" ht="15" hidden="false" customHeight="false" outlineLevel="0" collapsed="false">
      <c r="A1062" s="6" t="n">
        <v>1057</v>
      </c>
      <c r="B1062" s="74" t="s">
        <v>1031</v>
      </c>
      <c r="C1062" s="53" t="str">
        <f aca="false">INDEX(I_Items!$C$5:$C$133,MATCH($B1062,I_Items!$A$5:$A$133,0))</f>
        <v>Trading</v>
      </c>
      <c r="D1062" s="53" t="str">
        <f aca="false">INDEX(I_Items!$D$5:$D$133,MATCH($B1062,I_Items!$A$5:$A$133,0))</f>
        <v>Karkas</v>
      </c>
      <c r="E1062" s="53" t="str">
        <f aca="false">INDEX(I_Items!$F$5:$F$133,MATCH($B1062,I_Items!$A$5:$A$133,0))</f>
        <v>Not stated in item master</v>
      </c>
      <c r="F1062" s="53" t="str">
        <f aca="false">IF(INDEX(I_Items!$E$5:$E$133,MATCH($B1062,I_Items!$A$5:$A$133,0))="","",INDEX(I_Items!$E$5:$E$133,MATCH($B1062,I_Items!$A$5:$A$133,0)))</f>
        <v>Uk 1.6</v>
      </c>
      <c r="G1062" s="76" t="n">
        <v>46204</v>
      </c>
      <c r="H1062" s="23" t="n">
        <f aca="false">MONTH(G1062)</f>
        <v>7</v>
      </c>
      <c r="I1062" s="74" t="s">
        <v>2072</v>
      </c>
      <c r="J1062" s="74" t="s">
        <v>2073</v>
      </c>
      <c r="K1062" s="10" t="n">
        <v>565.1</v>
      </c>
      <c r="L1062" s="8" t="n">
        <v>12997300</v>
      </c>
      <c r="M1062" s="10" t="n">
        <v>0</v>
      </c>
      <c r="N1062" s="8" t="n">
        <v>0</v>
      </c>
      <c r="O1062" s="74"/>
      <c r="P1062" s="74"/>
      <c r="Q1062" s="74"/>
      <c r="R1062" s="14" t="n">
        <f aca="false">IF(I1062="Unbilled",0,M1062)</f>
        <v>0</v>
      </c>
      <c r="S1062" s="9" t="n">
        <f aca="false">IF(R1062=0,0,IF(O1062="Booked",N1062,R1062*V1061))</f>
        <v>0</v>
      </c>
      <c r="T1062" s="14" t="n">
        <f aca="false">IF(I1062="Opening",K1062,T1061+K1062-R1062)</f>
        <v>565.1</v>
      </c>
      <c r="U1062" s="9" t="n">
        <f aca="false">IF(I1062="Opening",L1062,U1061+L1062-S1062)</f>
        <v>12997300</v>
      </c>
      <c r="V1062" s="9" t="n">
        <f aca="false">IF(T1062&gt;0,U1062/T1062,IF(I1062="Opening",0,V1061))</f>
        <v>23000</v>
      </c>
      <c r="W1062" s="14" t="n">
        <f aca="false">M1062</f>
        <v>0</v>
      </c>
      <c r="X1062" s="9" t="n">
        <f aca="false">IF(W1062=0,0,IF(O1062="Booked",N1062,W1062*AA1061))</f>
        <v>0</v>
      </c>
      <c r="Y1062" s="14" t="n">
        <f aca="false">IF(I1062="Opening",K1062,Y1061+K1062-W1062)</f>
        <v>565.1</v>
      </c>
      <c r="Z1062" s="9" t="n">
        <f aca="false">IF(I1062="Opening",L1062,Z1061+L1062-X1062)</f>
        <v>12997300</v>
      </c>
      <c r="AA1062" s="9" t="n">
        <f aca="false">IF(Y1062&gt;0,Z1062/Y1062,IF(I1062="Opening",0,AA1061))</f>
        <v>23000</v>
      </c>
      <c r="AB1062" s="9" t="n">
        <f aca="false">IF(AND(I1062="DO",O1062="MA"),S1062-N1062,0)</f>
        <v>0</v>
      </c>
      <c r="AC1062" s="9" t="n">
        <f aca="false">IF(I1062="DO",X1062-S1062,0)</f>
        <v>0</v>
      </c>
      <c r="AD1062" s="23" t="n">
        <f aca="false">IF(B1063&lt;&gt;B1062,1,0)</f>
        <v>0</v>
      </c>
      <c r="AE1062" s="14" t="n">
        <f aca="false">IF(I1062="Opening",0,AE1061+W1062)</f>
        <v>0</v>
      </c>
      <c r="AF1062" s="14" t="n">
        <f aca="false">IF(I1062="Opening",K1062,AF1061)</f>
        <v>565.1</v>
      </c>
      <c r="AG1062" s="14" t="n">
        <f aca="false">SUMIFS($K$6:$K$1110,$B$6:$B$1110,B1062,$H$6:$H$1110,7,$I$6:$I$1110,"&lt;&gt;Opening")</f>
        <v>0</v>
      </c>
      <c r="AH1062" s="14" t="n">
        <f aca="false">IF(W1062=0,0,MAX(0,MIN(AE1062,AF1062)-MIN(AE1062-W1062,AF1062)))</f>
        <v>0</v>
      </c>
      <c r="AI1062" s="14" t="n">
        <f aca="false">IF(W1062=0,0,MAX(0,MIN(AE1062,AF1062+AG1062)-MAX(AE1062-W1062,AF1062)))</f>
        <v>0</v>
      </c>
      <c r="AJ1062" s="14" t="n">
        <f aca="false">W1062-AH1062-AI1062</f>
        <v>0</v>
      </c>
      <c r="AK1062" s="9" t="n">
        <f aca="false">IF(W1062=0,0,X1062*AH1062/W1062)</f>
        <v>0</v>
      </c>
      <c r="AL1062" s="9" t="n">
        <f aca="false">IF(W1062=0,0,X1062*AI1062/W1062)</f>
        <v>0</v>
      </c>
      <c r="AM1062" s="9" t="n">
        <f aca="false">X1062-AK1062-AL1062</f>
        <v>0</v>
      </c>
    </row>
    <row r="1063" customFormat="false" ht="15" hidden="false" customHeight="false" outlineLevel="0" collapsed="false">
      <c r="A1063" s="6" t="n">
        <v>1058</v>
      </c>
      <c r="B1063" s="74" t="s">
        <v>1031</v>
      </c>
      <c r="C1063" s="53" t="str">
        <f aca="false">INDEX(I_Items!$C$5:$C$133,MATCH($B1063,I_Items!$A$5:$A$133,0))</f>
        <v>Trading</v>
      </c>
      <c r="D1063" s="53" t="str">
        <f aca="false">INDEX(I_Items!$D$5:$D$133,MATCH($B1063,I_Items!$A$5:$A$133,0))</f>
        <v>Karkas</v>
      </c>
      <c r="E1063" s="53" t="str">
        <f aca="false">INDEX(I_Items!$F$5:$F$133,MATCH($B1063,I_Items!$A$5:$A$133,0))</f>
        <v>Not stated in item master</v>
      </c>
      <c r="F1063" s="53" t="str">
        <f aca="false">IF(INDEX(I_Items!$E$5:$E$133,MATCH($B1063,I_Items!$A$5:$A$133,0))="","",INDEX(I_Items!$E$5:$E$133,MATCH($B1063,I_Items!$A$5:$A$133,0)))</f>
        <v>Uk 1.6</v>
      </c>
      <c r="G1063" s="76" t="n">
        <v>46226</v>
      </c>
      <c r="H1063" s="23" t="n">
        <f aca="false">MONTH(G1063)</f>
        <v>7</v>
      </c>
      <c r="I1063" s="74" t="s">
        <v>2075</v>
      </c>
      <c r="J1063" s="74" t="s">
        <v>2330</v>
      </c>
      <c r="K1063" s="10" t="n">
        <v>0</v>
      </c>
      <c r="L1063" s="8" t="n">
        <v>0</v>
      </c>
      <c r="M1063" s="10" t="n">
        <v>565</v>
      </c>
      <c r="N1063" s="8" t="n">
        <v>12995000</v>
      </c>
      <c r="O1063" s="74" t="s">
        <v>2077</v>
      </c>
      <c r="P1063" s="74"/>
      <c r="Q1063" s="74"/>
      <c r="R1063" s="14" t="n">
        <f aca="false">IF(I1063="Unbilled",0,M1063)</f>
        <v>565</v>
      </c>
      <c r="S1063" s="9" t="n">
        <f aca="false">IF(R1063=0,0,IF(O1063="Booked",N1063,R1063*V1062))</f>
        <v>12995000</v>
      </c>
      <c r="T1063" s="14" t="n">
        <f aca="false">IF(I1063="Opening",K1063,T1062+K1063-R1063)</f>
        <v>0.100000000000023</v>
      </c>
      <c r="U1063" s="9" t="n">
        <f aca="false">IF(I1063="Opening",L1063,U1062+L1063-S1063)</f>
        <v>2300</v>
      </c>
      <c r="V1063" s="9" t="n">
        <f aca="false">IF(T1063&gt;0,U1063/T1063,IF(I1063="Opening",0,V1062))</f>
        <v>22999.9999999948</v>
      </c>
      <c r="W1063" s="14" t="n">
        <f aca="false">M1063</f>
        <v>565</v>
      </c>
      <c r="X1063" s="9" t="n">
        <f aca="false">IF(W1063=0,0,IF(O1063="Booked",N1063,W1063*AA1062))</f>
        <v>12995000</v>
      </c>
      <c r="Y1063" s="14" t="n">
        <f aca="false">IF(I1063="Opening",K1063,Y1062+K1063-W1063)</f>
        <v>0.100000000000023</v>
      </c>
      <c r="Z1063" s="9" t="n">
        <f aca="false">IF(I1063="Opening",L1063,Z1062+L1063-X1063)</f>
        <v>2300</v>
      </c>
      <c r="AA1063" s="9" t="n">
        <f aca="false">IF(Y1063&gt;0,Z1063/Y1063,IF(I1063="Opening",0,AA1062))</f>
        <v>22999.9999999948</v>
      </c>
      <c r="AB1063" s="9" t="n">
        <f aca="false">IF(AND(I1063="DO",O1063="MA"),S1063-N1063,0)</f>
        <v>0</v>
      </c>
      <c r="AC1063" s="9" t="n">
        <f aca="false">IF(I1063="DO",X1063-S1063,0)</f>
        <v>0</v>
      </c>
      <c r="AD1063" s="23" t="n">
        <f aca="false">IF(B1064&lt;&gt;B1063,1,0)</f>
        <v>1</v>
      </c>
      <c r="AE1063" s="14" t="n">
        <f aca="false">IF(I1063="Opening",0,AE1062+W1063)</f>
        <v>565</v>
      </c>
      <c r="AF1063" s="14" t="n">
        <f aca="false">IF(I1063="Opening",K1063,AF1062)</f>
        <v>565.1</v>
      </c>
      <c r="AG1063" s="14" t="n">
        <f aca="false">AG1062</f>
        <v>0</v>
      </c>
      <c r="AH1063" s="14" t="n">
        <f aca="false">IF(W1063=0,0,MAX(0,MIN(AE1063,AF1063)-MIN(AE1063-W1063,AF1063)))</f>
        <v>565</v>
      </c>
      <c r="AI1063" s="14" t="n">
        <f aca="false">IF(W1063=0,0,MAX(0,MIN(AE1063,AF1063+AG1063)-MAX(AE1063-W1063,AF1063)))</f>
        <v>0</v>
      </c>
      <c r="AJ1063" s="14" t="n">
        <f aca="false">W1063-AH1063-AI1063</f>
        <v>0</v>
      </c>
      <c r="AK1063" s="9" t="n">
        <f aca="false">IF(W1063=0,0,X1063*AH1063/W1063)</f>
        <v>12995000</v>
      </c>
      <c r="AL1063" s="9" t="n">
        <f aca="false">IF(W1063=0,0,X1063*AI1063/W1063)</f>
        <v>0</v>
      </c>
      <c r="AM1063" s="9" t="n">
        <f aca="false">X1063-AK1063-AL1063</f>
        <v>0</v>
      </c>
    </row>
    <row r="1064" customFormat="false" ht="15" hidden="false" customHeight="false" outlineLevel="0" collapsed="false">
      <c r="A1064" s="6" t="n">
        <v>1059</v>
      </c>
      <c r="B1064" s="74" t="s">
        <v>1032</v>
      </c>
      <c r="C1064" s="53" t="str">
        <f aca="false">INDEX(I_Items!$C$5:$C$133,MATCH($B1064,I_Items!$A$5:$A$133,0))</f>
        <v>Trading</v>
      </c>
      <c r="D1064" s="53" t="str">
        <f aca="false">INDEX(I_Items!$D$5:$D$133,MATCH($B1064,I_Items!$A$5:$A$133,0))</f>
        <v>Karkas</v>
      </c>
      <c r="E1064" s="53" t="str">
        <f aca="false">INDEX(I_Items!$F$5:$F$133,MATCH($B1064,I_Items!$A$5:$A$133,0))</f>
        <v>Not stated in item master</v>
      </c>
      <c r="F1064" s="53" t="str">
        <f aca="false">IF(INDEX(I_Items!$E$5:$E$133,MATCH($B1064,I_Items!$A$5:$A$133,0))="","",INDEX(I_Items!$E$5:$E$133,MATCH($B1064,I_Items!$A$5:$A$133,0)))</f>
        <v>Uk 1.7</v>
      </c>
      <c r="G1064" s="76" t="n">
        <v>46204</v>
      </c>
      <c r="H1064" s="23" t="n">
        <f aca="false">MONTH(G1064)</f>
        <v>7</v>
      </c>
      <c r="I1064" s="74" t="s">
        <v>2072</v>
      </c>
      <c r="J1064" s="74" t="s">
        <v>2073</v>
      </c>
      <c r="K1064" s="10" t="n">
        <v>340.1</v>
      </c>
      <c r="L1064" s="8" t="n">
        <v>7822300</v>
      </c>
      <c r="M1064" s="10" t="n">
        <v>0</v>
      </c>
      <c r="N1064" s="8" t="n">
        <v>0</v>
      </c>
      <c r="O1064" s="74"/>
      <c r="P1064" s="74"/>
      <c r="Q1064" s="74"/>
      <c r="R1064" s="14" t="n">
        <f aca="false">IF(I1064="Unbilled",0,M1064)</f>
        <v>0</v>
      </c>
      <c r="S1064" s="9" t="n">
        <f aca="false">IF(R1064=0,0,IF(O1064="Booked",N1064,R1064*V1063))</f>
        <v>0</v>
      </c>
      <c r="T1064" s="14" t="n">
        <f aca="false">IF(I1064="Opening",K1064,T1063+K1064-R1064)</f>
        <v>340.1</v>
      </c>
      <c r="U1064" s="9" t="n">
        <f aca="false">IF(I1064="Opening",L1064,U1063+L1064-S1064)</f>
        <v>7822300</v>
      </c>
      <c r="V1064" s="9" t="n">
        <f aca="false">IF(T1064&gt;0,U1064/T1064,IF(I1064="Opening",0,V1063))</f>
        <v>23000</v>
      </c>
      <c r="W1064" s="14" t="n">
        <f aca="false">M1064</f>
        <v>0</v>
      </c>
      <c r="X1064" s="9" t="n">
        <f aca="false">IF(W1064=0,0,IF(O1064="Booked",N1064,W1064*AA1063))</f>
        <v>0</v>
      </c>
      <c r="Y1064" s="14" t="n">
        <f aca="false">IF(I1064="Opening",K1064,Y1063+K1064-W1064)</f>
        <v>340.1</v>
      </c>
      <c r="Z1064" s="9" t="n">
        <f aca="false">IF(I1064="Opening",L1064,Z1063+L1064-X1064)</f>
        <v>7822300</v>
      </c>
      <c r="AA1064" s="9" t="n">
        <f aca="false">IF(Y1064&gt;0,Z1064/Y1064,IF(I1064="Opening",0,AA1063))</f>
        <v>23000</v>
      </c>
      <c r="AB1064" s="9" t="n">
        <f aca="false">IF(AND(I1064="DO",O1064="MA"),S1064-N1064,0)</f>
        <v>0</v>
      </c>
      <c r="AC1064" s="9" t="n">
        <f aca="false">IF(I1064="DO",X1064-S1064,0)</f>
        <v>0</v>
      </c>
      <c r="AD1064" s="23" t="n">
        <f aca="false">IF(B1065&lt;&gt;B1064,1,0)</f>
        <v>0</v>
      </c>
      <c r="AE1064" s="14" t="n">
        <f aca="false">IF(I1064="Opening",0,AE1063+W1064)</f>
        <v>0</v>
      </c>
      <c r="AF1064" s="14" t="n">
        <f aca="false">IF(I1064="Opening",K1064,AF1063)</f>
        <v>340.1</v>
      </c>
      <c r="AG1064" s="14" t="n">
        <f aca="false">SUMIFS($K$6:$K$1110,$B$6:$B$1110,B1064,$H$6:$H$1110,7,$I$6:$I$1110,"&lt;&gt;Opening")</f>
        <v>0</v>
      </c>
      <c r="AH1064" s="14" t="n">
        <f aca="false">IF(W1064=0,0,MAX(0,MIN(AE1064,AF1064)-MIN(AE1064-W1064,AF1064)))</f>
        <v>0</v>
      </c>
      <c r="AI1064" s="14" t="n">
        <f aca="false">IF(W1064=0,0,MAX(0,MIN(AE1064,AF1064+AG1064)-MAX(AE1064-W1064,AF1064)))</f>
        <v>0</v>
      </c>
      <c r="AJ1064" s="14" t="n">
        <f aca="false">W1064-AH1064-AI1064</f>
        <v>0</v>
      </c>
      <c r="AK1064" s="9" t="n">
        <f aca="false">IF(W1064=0,0,X1064*AH1064/W1064)</f>
        <v>0</v>
      </c>
      <c r="AL1064" s="9" t="n">
        <f aca="false">IF(W1064=0,0,X1064*AI1064/W1064)</f>
        <v>0</v>
      </c>
      <c r="AM1064" s="9" t="n">
        <f aca="false">X1064-AK1064-AL1064</f>
        <v>0</v>
      </c>
    </row>
    <row r="1065" customFormat="false" ht="15" hidden="false" customHeight="false" outlineLevel="0" collapsed="false">
      <c r="A1065" s="6" t="n">
        <v>1060</v>
      </c>
      <c r="B1065" s="74" t="s">
        <v>1032</v>
      </c>
      <c r="C1065" s="53" t="str">
        <f aca="false">INDEX(I_Items!$C$5:$C$133,MATCH($B1065,I_Items!$A$5:$A$133,0))</f>
        <v>Trading</v>
      </c>
      <c r="D1065" s="53" t="str">
        <f aca="false">INDEX(I_Items!$D$5:$D$133,MATCH($B1065,I_Items!$A$5:$A$133,0))</f>
        <v>Karkas</v>
      </c>
      <c r="E1065" s="53" t="str">
        <f aca="false">INDEX(I_Items!$F$5:$F$133,MATCH($B1065,I_Items!$A$5:$A$133,0))</f>
        <v>Not stated in item master</v>
      </c>
      <c r="F1065" s="53" t="str">
        <f aca="false">IF(INDEX(I_Items!$E$5:$E$133,MATCH($B1065,I_Items!$A$5:$A$133,0))="","",INDEX(I_Items!$E$5:$E$133,MATCH($B1065,I_Items!$A$5:$A$133,0)))</f>
        <v>Uk 1.7</v>
      </c>
      <c r="G1065" s="76" t="n">
        <v>46226</v>
      </c>
      <c r="H1065" s="23" t="n">
        <f aca="false">MONTH(G1065)</f>
        <v>7</v>
      </c>
      <c r="I1065" s="74" t="s">
        <v>2075</v>
      </c>
      <c r="J1065" s="74" t="s">
        <v>2330</v>
      </c>
      <c r="K1065" s="10" t="n">
        <v>0</v>
      </c>
      <c r="L1065" s="8" t="n">
        <v>0</v>
      </c>
      <c r="M1065" s="10" t="n">
        <v>337.1</v>
      </c>
      <c r="N1065" s="8" t="n">
        <v>7753300</v>
      </c>
      <c r="O1065" s="74" t="s">
        <v>2077</v>
      </c>
      <c r="P1065" s="74"/>
      <c r="Q1065" s="74"/>
      <c r="R1065" s="14" t="n">
        <f aca="false">IF(I1065="Unbilled",0,M1065)</f>
        <v>337.1</v>
      </c>
      <c r="S1065" s="9" t="n">
        <f aca="false">IF(R1065=0,0,IF(O1065="Booked",N1065,R1065*V1064))</f>
        <v>7753300</v>
      </c>
      <c r="T1065" s="14" t="n">
        <f aca="false">IF(I1065="Opening",K1065,T1064+K1065-R1065)</f>
        <v>3</v>
      </c>
      <c r="U1065" s="9" t="n">
        <f aca="false">IF(I1065="Opening",L1065,U1064+L1065-S1065)</f>
        <v>68999.9999999991</v>
      </c>
      <c r="V1065" s="9" t="n">
        <f aca="false">IF(T1065&gt;0,U1065/T1065,IF(I1065="Opening",0,V1064))</f>
        <v>22999.9999999997</v>
      </c>
      <c r="W1065" s="14" t="n">
        <f aca="false">M1065</f>
        <v>337.1</v>
      </c>
      <c r="X1065" s="9" t="n">
        <f aca="false">IF(W1065=0,0,IF(O1065="Booked",N1065,W1065*AA1064))</f>
        <v>7753300</v>
      </c>
      <c r="Y1065" s="14" t="n">
        <f aca="false">IF(I1065="Opening",K1065,Y1064+K1065-W1065)</f>
        <v>3</v>
      </c>
      <c r="Z1065" s="9" t="n">
        <f aca="false">IF(I1065="Opening",L1065,Z1064+L1065-X1065)</f>
        <v>68999.9999999991</v>
      </c>
      <c r="AA1065" s="9" t="n">
        <f aca="false">IF(Y1065&gt;0,Z1065/Y1065,IF(I1065="Opening",0,AA1064))</f>
        <v>22999.9999999997</v>
      </c>
      <c r="AB1065" s="9" t="n">
        <f aca="false">IF(AND(I1065="DO",O1065="MA"),S1065-N1065,0)</f>
        <v>0</v>
      </c>
      <c r="AC1065" s="9" t="n">
        <f aca="false">IF(I1065="DO",X1065-S1065,0)</f>
        <v>0</v>
      </c>
      <c r="AD1065" s="23" t="n">
        <f aca="false">IF(B1066&lt;&gt;B1065,1,0)</f>
        <v>1</v>
      </c>
      <c r="AE1065" s="14" t="n">
        <f aca="false">IF(I1065="Opening",0,AE1064+W1065)</f>
        <v>337.1</v>
      </c>
      <c r="AF1065" s="14" t="n">
        <f aca="false">IF(I1065="Opening",K1065,AF1064)</f>
        <v>340.1</v>
      </c>
      <c r="AG1065" s="14" t="n">
        <f aca="false">AG1064</f>
        <v>0</v>
      </c>
      <c r="AH1065" s="14" t="n">
        <f aca="false">IF(W1065=0,0,MAX(0,MIN(AE1065,AF1065)-MIN(AE1065-W1065,AF1065)))</f>
        <v>337.1</v>
      </c>
      <c r="AI1065" s="14" t="n">
        <f aca="false">IF(W1065=0,0,MAX(0,MIN(AE1065,AF1065+AG1065)-MAX(AE1065-W1065,AF1065)))</f>
        <v>0</v>
      </c>
      <c r="AJ1065" s="14" t="n">
        <f aca="false">W1065-AH1065-AI1065</f>
        <v>0</v>
      </c>
      <c r="AK1065" s="9" t="n">
        <f aca="false">IF(W1065=0,0,X1065*AH1065/W1065)</f>
        <v>7753300</v>
      </c>
      <c r="AL1065" s="9" t="n">
        <f aca="false">IF(W1065=0,0,X1065*AI1065/W1065)</f>
        <v>0</v>
      </c>
      <c r="AM1065" s="9" t="n">
        <f aca="false">X1065-AK1065-AL1065</f>
        <v>0</v>
      </c>
    </row>
    <row r="1066" customFormat="false" ht="15" hidden="false" customHeight="false" outlineLevel="0" collapsed="false">
      <c r="A1066" s="6" t="n">
        <v>1061</v>
      </c>
      <c r="B1066" s="74" t="s">
        <v>1033</v>
      </c>
      <c r="C1066" s="53" t="str">
        <f aca="false">INDEX(I_Items!$C$5:$C$133,MATCH($B1066,I_Items!$A$5:$A$133,0))</f>
        <v>Trading</v>
      </c>
      <c r="D1066" s="53" t="str">
        <f aca="false">INDEX(I_Items!$D$5:$D$133,MATCH($B1066,I_Items!$A$5:$A$133,0))</f>
        <v>Karkas</v>
      </c>
      <c r="E1066" s="53" t="str">
        <f aca="false">INDEX(I_Items!$F$5:$F$133,MATCH($B1066,I_Items!$A$5:$A$133,0))</f>
        <v>Not stated in item master</v>
      </c>
      <c r="F1066" s="53" t="str">
        <f aca="false">IF(INDEX(I_Items!$E$5:$E$133,MATCH($B1066,I_Items!$A$5:$A$133,0))="","",INDEX(I_Items!$E$5:$E$133,MATCH($B1066,I_Items!$A$5:$A$133,0)))</f>
        <v>Uk 1.8</v>
      </c>
      <c r="G1066" s="76" t="n">
        <v>46204</v>
      </c>
      <c r="H1066" s="23" t="n">
        <f aca="false">MONTH(G1066)</f>
        <v>7</v>
      </c>
      <c r="I1066" s="74" t="s">
        <v>2072</v>
      </c>
      <c r="J1066" s="74" t="s">
        <v>2073</v>
      </c>
      <c r="K1066" s="10" t="n">
        <v>359.4</v>
      </c>
      <c r="L1066" s="8" t="n">
        <v>8266200</v>
      </c>
      <c r="M1066" s="10" t="n">
        <v>0</v>
      </c>
      <c r="N1066" s="8" t="n">
        <v>0</v>
      </c>
      <c r="O1066" s="74"/>
      <c r="P1066" s="74"/>
      <c r="Q1066" s="74"/>
      <c r="R1066" s="14" t="n">
        <f aca="false">IF(I1066="Unbilled",0,M1066)</f>
        <v>0</v>
      </c>
      <c r="S1066" s="9" t="n">
        <f aca="false">IF(R1066=0,0,IF(O1066="Booked",N1066,R1066*V1065))</f>
        <v>0</v>
      </c>
      <c r="T1066" s="14" t="n">
        <f aca="false">IF(I1066="Opening",K1066,T1065+K1066-R1066)</f>
        <v>359.4</v>
      </c>
      <c r="U1066" s="9" t="n">
        <f aca="false">IF(I1066="Opening",L1066,U1065+L1066-S1066)</f>
        <v>8266200</v>
      </c>
      <c r="V1066" s="9" t="n">
        <f aca="false">IF(T1066&gt;0,U1066/T1066,IF(I1066="Opening",0,V1065))</f>
        <v>23000</v>
      </c>
      <c r="W1066" s="14" t="n">
        <f aca="false">M1066</f>
        <v>0</v>
      </c>
      <c r="X1066" s="9" t="n">
        <f aca="false">IF(W1066=0,0,IF(O1066="Booked",N1066,W1066*AA1065))</f>
        <v>0</v>
      </c>
      <c r="Y1066" s="14" t="n">
        <f aca="false">IF(I1066="Opening",K1066,Y1065+K1066-W1066)</f>
        <v>359.4</v>
      </c>
      <c r="Z1066" s="9" t="n">
        <f aca="false">IF(I1066="Opening",L1066,Z1065+L1066-X1066)</f>
        <v>8266200</v>
      </c>
      <c r="AA1066" s="9" t="n">
        <f aca="false">IF(Y1066&gt;0,Z1066/Y1066,IF(I1066="Opening",0,AA1065))</f>
        <v>23000</v>
      </c>
      <c r="AB1066" s="9" t="n">
        <f aca="false">IF(AND(I1066="DO",O1066="MA"),S1066-N1066,0)</f>
        <v>0</v>
      </c>
      <c r="AC1066" s="9" t="n">
        <f aca="false">IF(I1066="DO",X1066-S1066,0)</f>
        <v>0</v>
      </c>
      <c r="AD1066" s="23" t="n">
        <f aca="false">IF(B1067&lt;&gt;B1066,1,0)</f>
        <v>0</v>
      </c>
      <c r="AE1066" s="14" t="n">
        <f aca="false">IF(I1066="Opening",0,AE1065+W1066)</f>
        <v>0</v>
      </c>
      <c r="AF1066" s="14" t="n">
        <f aca="false">IF(I1066="Opening",K1066,AF1065)</f>
        <v>359.4</v>
      </c>
      <c r="AG1066" s="14" t="n">
        <f aca="false">SUMIFS($K$6:$K$1110,$B$6:$B$1110,B1066,$H$6:$H$1110,7,$I$6:$I$1110,"&lt;&gt;Opening")</f>
        <v>0</v>
      </c>
      <c r="AH1066" s="14" t="n">
        <f aca="false">IF(W1066=0,0,MAX(0,MIN(AE1066,AF1066)-MIN(AE1066-W1066,AF1066)))</f>
        <v>0</v>
      </c>
      <c r="AI1066" s="14" t="n">
        <f aca="false">IF(W1066=0,0,MAX(0,MIN(AE1066,AF1066+AG1066)-MAX(AE1066-W1066,AF1066)))</f>
        <v>0</v>
      </c>
      <c r="AJ1066" s="14" t="n">
        <f aca="false">W1066-AH1066-AI1066</f>
        <v>0</v>
      </c>
      <c r="AK1066" s="9" t="n">
        <f aca="false">IF(W1066=0,0,X1066*AH1066/W1066)</f>
        <v>0</v>
      </c>
      <c r="AL1066" s="9" t="n">
        <f aca="false">IF(W1066=0,0,X1066*AI1066/W1066)</f>
        <v>0</v>
      </c>
      <c r="AM1066" s="9" t="n">
        <f aca="false">X1066-AK1066-AL1066</f>
        <v>0</v>
      </c>
    </row>
    <row r="1067" customFormat="false" ht="15" hidden="false" customHeight="false" outlineLevel="0" collapsed="false">
      <c r="A1067" s="6" t="n">
        <v>1062</v>
      </c>
      <c r="B1067" s="74" t="s">
        <v>1033</v>
      </c>
      <c r="C1067" s="53" t="str">
        <f aca="false">INDEX(I_Items!$C$5:$C$133,MATCH($B1067,I_Items!$A$5:$A$133,0))</f>
        <v>Trading</v>
      </c>
      <c r="D1067" s="53" t="str">
        <f aca="false">INDEX(I_Items!$D$5:$D$133,MATCH($B1067,I_Items!$A$5:$A$133,0))</f>
        <v>Karkas</v>
      </c>
      <c r="E1067" s="53" t="str">
        <f aca="false">INDEX(I_Items!$F$5:$F$133,MATCH($B1067,I_Items!$A$5:$A$133,0))</f>
        <v>Not stated in item master</v>
      </c>
      <c r="F1067" s="53" t="str">
        <f aca="false">IF(INDEX(I_Items!$E$5:$E$133,MATCH($B1067,I_Items!$A$5:$A$133,0))="","",INDEX(I_Items!$E$5:$E$133,MATCH($B1067,I_Items!$A$5:$A$133,0)))</f>
        <v>Uk 1.8</v>
      </c>
      <c r="G1067" s="76" t="n">
        <v>46226</v>
      </c>
      <c r="H1067" s="23" t="n">
        <f aca="false">MONTH(G1067)</f>
        <v>7</v>
      </c>
      <c r="I1067" s="74" t="s">
        <v>2075</v>
      </c>
      <c r="J1067" s="74" t="s">
        <v>2330</v>
      </c>
      <c r="K1067" s="10" t="n">
        <v>0</v>
      </c>
      <c r="L1067" s="8" t="n">
        <v>0</v>
      </c>
      <c r="M1067" s="10" t="n">
        <v>359.2</v>
      </c>
      <c r="N1067" s="8" t="n">
        <v>8261600</v>
      </c>
      <c r="O1067" s="74" t="s">
        <v>2077</v>
      </c>
      <c r="P1067" s="74"/>
      <c r="Q1067" s="74"/>
      <c r="R1067" s="14" t="n">
        <f aca="false">IF(I1067="Unbilled",0,M1067)</f>
        <v>359.2</v>
      </c>
      <c r="S1067" s="9" t="n">
        <f aca="false">IF(R1067=0,0,IF(O1067="Booked",N1067,R1067*V1066))</f>
        <v>8261600</v>
      </c>
      <c r="T1067" s="14" t="n">
        <f aca="false">IF(I1067="Opening",K1067,T1066+K1067-R1067)</f>
        <v>0.199999999999989</v>
      </c>
      <c r="U1067" s="9" t="n">
        <f aca="false">IF(I1067="Opening",L1067,U1066+L1067-S1067)</f>
        <v>4600</v>
      </c>
      <c r="V1067" s="9" t="n">
        <f aca="false">IF(T1067&gt;0,U1067/T1067,IF(I1067="Opening",0,V1066))</f>
        <v>23000.0000000013</v>
      </c>
      <c r="W1067" s="14" t="n">
        <f aca="false">M1067</f>
        <v>359.2</v>
      </c>
      <c r="X1067" s="9" t="n">
        <f aca="false">IF(W1067=0,0,IF(O1067="Booked",N1067,W1067*AA1066))</f>
        <v>8261600</v>
      </c>
      <c r="Y1067" s="14" t="n">
        <f aca="false">IF(I1067="Opening",K1067,Y1066+K1067-W1067)</f>
        <v>0.199999999999989</v>
      </c>
      <c r="Z1067" s="9" t="n">
        <f aca="false">IF(I1067="Opening",L1067,Z1066+L1067-X1067)</f>
        <v>4600</v>
      </c>
      <c r="AA1067" s="9" t="n">
        <f aca="false">IF(Y1067&gt;0,Z1067/Y1067,IF(I1067="Opening",0,AA1066))</f>
        <v>23000.0000000013</v>
      </c>
      <c r="AB1067" s="9" t="n">
        <f aca="false">IF(AND(I1067="DO",O1067="MA"),S1067-N1067,0)</f>
        <v>0</v>
      </c>
      <c r="AC1067" s="9" t="n">
        <f aca="false">IF(I1067="DO",X1067-S1067,0)</f>
        <v>0</v>
      </c>
      <c r="AD1067" s="23" t="n">
        <f aca="false">IF(B1068&lt;&gt;B1067,1,0)</f>
        <v>1</v>
      </c>
      <c r="AE1067" s="14" t="n">
        <f aca="false">IF(I1067="Opening",0,AE1066+W1067)</f>
        <v>359.2</v>
      </c>
      <c r="AF1067" s="14" t="n">
        <f aca="false">IF(I1067="Opening",K1067,AF1066)</f>
        <v>359.4</v>
      </c>
      <c r="AG1067" s="14" t="n">
        <f aca="false">AG1066</f>
        <v>0</v>
      </c>
      <c r="AH1067" s="14" t="n">
        <f aca="false">IF(W1067=0,0,MAX(0,MIN(AE1067,AF1067)-MIN(AE1067-W1067,AF1067)))</f>
        <v>359.2</v>
      </c>
      <c r="AI1067" s="14" t="n">
        <f aca="false">IF(W1067=0,0,MAX(0,MIN(AE1067,AF1067+AG1067)-MAX(AE1067-W1067,AF1067)))</f>
        <v>0</v>
      </c>
      <c r="AJ1067" s="14" t="n">
        <f aca="false">W1067-AH1067-AI1067</f>
        <v>0</v>
      </c>
      <c r="AK1067" s="9" t="n">
        <f aca="false">IF(W1067=0,0,X1067*AH1067/W1067)</f>
        <v>8261600</v>
      </c>
      <c r="AL1067" s="9" t="n">
        <f aca="false">IF(W1067=0,0,X1067*AI1067/W1067)</f>
        <v>0</v>
      </c>
      <c r="AM1067" s="9" t="n">
        <f aca="false">X1067-AK1067-AL1067</f>
        <v>0</v>
      </c>
    </row>
    <row r="1068" customFormat="false" ht="15" hidden="false" customHeight="false" outlineLevel="0" collapsed="false">
      <c r="A1068" s="6" t="n">
        <v>1063</v>
      </c>
      <c r="B1068" s="74" t="s">
        <v>1034</v>
      </c>
      <c r="C1068" s="53" t="str">
        <f aca="false">INDEX(I_Items!$C$5:$C$133,MATCH($B1068,I_Items!$A$5:$A$133,0))</f>
        <v>Trading</v>
      </c>
      <c r="D1068" s="53" t="str">
        <f aca="false">INDEX(I_Items!$D$5:$D$133,MATCH($B1068,I_Items!$A$5:$A$133,0))</f>
        <v>Karkas</v>
      </c>
      <c r="E1068" s="53" t="str">
        <f aca="false">INDEX(I_Items!$F$5:$F$133,MATCH($B1068,I_Items!$A$5:$A$133,0))</f>
        <v>Not stated in item master</v>
      </c>
      <c r="F1068" s="53" t="str">
        <f aca="false">IF(INDEX(I_Items!$E$5:$E$133,MATCH($B1068,I_Items!$A$5:$A$133,0))="","",INDEX(I_Items!$E$5:$E$133,MATCH($B1068,I_Items!$A$5:$A$133,0)))</f>
        <v>Uk 1.9</v>
      </c>
      <c r="G1068" s="76" t="n">
        <v>46204</v>
      </c>
      <c r="H1068" s="23" t="n">
        <f aca="false">MONTH(G1068)</f>
        <v>7</v>
      </c>
      <c r="I1068" s="74" t="s">
        <v>2072</v>
      </c>
      <c r="J1068" s="74" t="s">
        <v>2073</v>
      </c>
      <c r="K1068" s="10" t="n">
        <v>162.4</v>
      </c>
      <c r="L1068" s="8" t="n">
        <v>3735200</v>
      </c>
      <c r="M1068" s="10" t="n">
        <v>0</v>
      </c>
      <c r="N1068" s="8" t="n">
        <v>0</v>
      </c>
      <c r="O1068" s="74"/>
      <c r="P1068" s="74"/>
      <c r="Q1068" s="74"/>
      <c r="R1068" s="14" t="n">
        <f aca="false">IF(I1068="Unbilled",0,M1068)</f>
        <v>0</v>
      </c>
      <c r="S1068" s="9" t="n">
        <f aca="false">IF(R1068=0,0,IF(O1068="Booked",N1068,R1068*V1067))</f>
        <v>0</v>
      </c>
      <c r="T1068" s="14" t="n">
        <f aca="false">IF(I1068="Opening",K1068,T1067+K1068-R1068)</f>
        <v>162.4</v>
      </c>
      <c r="U1068" s="9" t="n">
        <f aca="false">IF(I1068="Opening",L1068,U1067+L1068-S1068)</f>
        <v>3735200</v>
      </c>
      <c r="V1068" s="9" t="n">
        <f aca="false">IF(T1068&gt;0,U1068/T1068,IF(I1068="Opening",0,V1067))</f>
        <v>23000</v>
      </c>
      <c r="W1068" s="14" t="n">
        <f aca="false">M1068</f>
        <v>0</v>
      </c>
      <c r="X1068" s="9" t="n">
        <f aca="false">IF(W1068=0,0,IF(O1068="Booked",N1068,W1068*AA1067))</f>
        <v>0</v>
      </c>
      <c r="Y1068" s="14" t="n">
        <f aca="false">IF(I1068="Opening",K1068,Y1067+K1068-W1068)</f>
        <v>162.4</v>
      </c>
      <c r="Z1068" s="9" t="n">
        <f aca="false">IF(I1068="Opening",L1068,Z1067+L1068-X1068)</f>
        <v>3735200</v>
      </c>
      <c r="AA1068" s="9" t="n">
        <f aca="false">IF(Y1068&gt;0,Z1068/Y1068,IF(I1068="Opening",0,AA1067))</f>
        <v>23000</v>
      </c>
      <c r="AB1068" s="9" t="n">
        <f aca="false">IF(AND(I1068="DO",O1068="MA"),S1068-N1068,0)</f>
        <v>0</v>
      </c>
      <c r="AC1068" s="9" t="n">
        <f aca="false">IF(I1068="DO",X1068-S1068,0)</f>
        <v>0</v>
      </c>
      <c r="AD1068" s="23" t="n">
        <f aca="false">IF(B1069&lt;&gt;B1068,1,0)</f>
        <v>0</v>
      </c>
      <c r="AE1068" s="14" t="n">
        <f aca="false">IF(I1068="Opening",0,AE1067+W1068)</f>
        <v>0</v>
      </c>
      <c r="AF1068" s="14" t="n">
        <f aca="false">IF(I1068="Opening",K1068,AF1067)</f>
        <v>162.4</v>
      </c>
      <c r="AG1068" s="14" t="n">
        <f aca="false">SUMIFS($K$6:$K$1110,$B$6:$B$1110,B1068,$H$6:$H$1110,7,$I$6:$I$1110,"&lt;&gt;Opening")</f>
        <v>0</v>
      </c>
      <c r="AH1068" s="14" t="n">
        <f aca="false">IF(W1068=0,0,MAX(0,MIN(AE1068,AF1068)-MIN(AE1068-W1068,AF1068)))</f>
        <v>0</v>
      </c>
      <c r="AI1068" s="14" t="n">
        <f aca="false">IF(W1068=0,0,MAX(0,MIN(AE1068,AF1068+AG1068)-MAX(AE1068-W1068,AF1068)))</f>
        <v>0</v>
      </c>
      <c r="AJ1068" s="14" t="n">
        <f aca="false">W1068-AH1068-AI1068</f>
        <v>0</v>
      </c>
      <c r="AK1068" s="9" t="n">
        <f aca="false">IF(W1068=0,0,X1068*AH1068/W1068)</f>
        <v>0</v>
      </c>
      <c r="AL1068" s="9" t="n">
        <f aca="false">IF(W1068=0,0,X1068*AI1068/W1068)</f>
        <v>0</v>
      </c>
      <c r="AM1068" s="9" t="n">
        <f aca="false">X1068-AK1068-AL1068</f>
        <v>0</v>
      </c>
    </row>
    <row r="1069" customFormat="false" ht="15" hidden="false" customHeight="false" outlineLevel="0" collapsed="false">
      <c r="A1069" s="6" t="n">
        <v>1064</v>
      </c>
      <c r="B1069" s="74" t="s">
        <v>1034</v>
      </c>
      <c r="C1069" s="53" t="str">
        <f aca="false">INDEX(I_Items!$C$5:$C$133,MATCH($B1069,I_Items!$A$5:$A$133,0))</f>
        <v>Trading</v>
      </c>
      <c r="D1069" s="53" t="str">
        <f aca="false">INDEX(I_Items!$D$5:$D$133,MATCH($B1069,I_Items!$A$5:$A$133,0))</f>
        <v>Karkas</v>
      </c>
      <c r="E1069" s="53" t="str">
        <f aca="false">INDEX(I_Items!$F$5:$F$133,MATCH($B1069,I_Items!$A$5:$A$133,0))</f>
        <v>Not stated in item master</v>
      </c>
      <c r="F1069" s="53" t="str">
        <f aca="false">IF(INDEX(I_Items!$E$5:$E$133,MATCH($B1069,I_Items!$A$5:$A$133,0))="","",INDEX(I_Items!$E$5:$E$133,MATCH($B1069,I_Items!$A$5:$A$133,0)))</f>
        <v>Uk 1.9</v>
      </c>
      <c r="G1069" s="76" t="n">
        <v>46226</v>
      </c>
      <c r="H1069" s="23" t="n">
        <f aca="false">MONTH(G1069)</f>
        <v>7</v>
      </c>
      <c r="I1069" s="74" t="s">
        <v>2075</v>
      </c>
      <c r="J1069" s="74" t="s">
        <v>2330</v>
      </c>
      <c r="K1069" s="10" t="n">
        <v>0</v>
      </c>
      <c r="L1069" s="8" t="n">
        <v>0</v>
      </c>
      <c r="M1069" s="10" t="n">
        <v>79.9</v>
      </c>
      <c r="N1069" s="8" t="n">
        <v>1837700</v>
      </c>
      <c r="O1069" s="74" t="s">
        <v>2077</v>
      </c>
      <c r="P1069" s="74"/>
      <c r="Q1069" s="74"/>
      <c r="R1069" s="14" t="n">
        <f aca="false">IF(I1069="Unbilled",0,M1069)</f>
        <v>79.9</v>
      </c>
      <c r="S1069" s="9" t="n">
        <f aca="false">IF(R1069=0,0,IF(O1069="Booked",N1069,R1069*V1068))</f>
        <v>1837700</v>
      </c>
      <c r="T1069" s="14" t="n">
        <f aca="false">IF(I1069="Opening",K1069,T1068+K1069-R1069)</f>
        <v>82.5</v>
      </c>
      <c r="U1069" s="9" t="n">
        <f aca="false">IF(I1069="Opening",L1069,U1068+L1069-S1069)</f>
        <v>1897500</v>
      </c>
      <c r="V1069" s="9" t="n">
        <f aca="false">IF(T1069&gt;0,U1069/T1069,IF(I1069="Opening",0,V1068))</f>
        <v>23000</v>
      </c>
      <c r="W1069" s="14" t="n">
        <f aca="false">M1069</f>
        <v>79.9</v>
      </c>
      <c r="X1069" s="9" t="n">
        <f aca="false">IF(W1069=0,0,IF(O1069="Booked",N1069,W1069*AA1068))</f>
        <v>1837700</v>
      </c>
      <c r="Y1069" s="14" t="n">
        <f aca="false">IF(I1069="Opening",K1069,Y1068+K1069-W1069)</f>
        <v>82.5</v>
      </c>
      <c r="Z1069" s="9" t="n">
        <f aca="false">IF(I1069="Opening",L1069,Z1068+L1069-X1069)</f>
        <v>1897500</v>
      </c>
      <c r="AA1069" s="9" t="n">
        <f aca="false">IF(Y1069&gt;0,Z1069/Y1069,IF(I1069="Opening",0,AA1068))</f>
        <v>23000</v>
      </c>
      <c r="AB1069" s="9" t="n">
        <f aca="false">IF(AND(I1069="DO",O1069="MA"),S1069-N1069,0)</f>
        <v>0</v>
      </c>
      <c r="AC1069" s="9" t="n">
        <f aca="false">IF(I1069="DO",X1069-S1069,0)</f>
        <v>0</v>
      </c>
      <c r="AD1069" s="23" t="n">
        <f aca="false">IF(B1070&lt;&gt;B1069,1,0)</f>
        <v>0</v>
      </c>
      <c r="AE1069" s="14" t="n">
        <f aca="false">IF(I1069="Opening",0,AE1068+W1069)</f>
        <v>79.9</v>
      </c>
      <c r="AF1069" s="14" t="n">
        <f aca="false">IF(I1069="Opening",K1069,AF1068)</f>
        <v>162.4</v>
      </c>
      <c r="AG1069" s="14" t="n">
        <f aca="false">AG1068</f>
        <v>0</v>
      </c>
      <c r="AH1069" s="14" t="n">
        <f aca="false">IF(W1069=0,0,MAX(0,MIN(AE1069,AF1069)-MIN(AE1069-W1069,AF1069)))</f>
        <v>79.9</v>
      </c>
      <c r="AI1069" s="14" t="n">
        <f aca="false">IF(W1069=0,0,MAX(0,MIN(AE1069,AF1069+AG1069)-MAX(AE1069-W1069,AF1069)))</f>
        <v>0</v>
      </c>
      <c r="AJ1069" s="14" t="n">
        <f aca="false">W1069-AH1069-AI1069</f>
        <v>0</v>
      </c>
      <c r="AK1069" s="9" t="n">
        <f aca="false">IF(W1069=0,0,X1069*AH1069/W1069)</f>
        <v>1837700</v>
      </c>
      <c r="AL1069" s="9" t="n">
        <f aca="false">IF(W1069=0,0,X1069*AI1069/W1069)</f>
        <v>0</v>
      </c>
      <c r="AM1069" s="9" t="n">
        <f aca="false">X1069-AK1069-AL1069</f>
        <v>0</v>
      </c>
    </row>
    <row r="1070" customFormat="false" ht="15" hidden="false" customHeight="false" outlineLevel="0" collapsed="false">
      <c r="A1070" s="6" t="n">
        <v>1065</v>
      </c>
      <c r="B1070" s="74" t="s">
        <v>1034</v>
      </c>
      <c r="C1070" s="53" t="str">
        <f aca="false">INDEX(I_Items!$C$5:$C$133,MATCH($B1070,I_Items!$A$5:$A$133,0))</f>
        <v>Trading</v>
      </c>
      <c r="D1070" s="53" t="str">
        <f aca="false">INDEX(I_Items!$D$5:$D$133,MATCH($B1070,I_Items!$A$5:$A$133,0))</f>
        <v>Karkas</v>
      </c>
      <c r="E1070" s="53" t="str">
        <f aca="false">INDEX(I_Items!$F$5:$F$133,MATCH($B1070,I_Items!$A$5:$A$133,0))</f>
        <v>Not stated in item master</v>
      </c>
      <c r="F1070" s="53" t="str">
        <f aca="false">IF(INDEX(I_Items!$E$5:$E$133,MATCH($B1070,I_Items!$A$5:$A$133,0))="","",INDEX(I_Items!$E$5:$E$133,MATCH($B1070,I_Items!$A$5:$A$133,0)))</f>
        <v>Uk 1.9</v>
      </c>
      <c r="G1070" s="76" t="n">
        <v>46258</v>
      </c>
      <c r="H1070" s="23" t="n">
        <f aca="false">MONTH(G1070)</f>
        <v>8</v>
      </c>
      <c r="I1070" s="74" t="s">
        <v>89</v>
      </c>
      <c r="J1070" s="74" t="s">
        <v>2341</v>
      </c>
      <c r="K1070" s="10" t="n">
        <v>0</v>
      </c>
      <c r="L1070" s="8" t="n">
        <v>0</v>
      </c>
      <c r="M1070" s="13" t="n">
        <f aca="false">INDEX(Unbilled!$K$22:$K$38,MATCH($Q1070,Unbilled!$B$22:$B$38,0))</f>
        <v>82.5</v>
      </c>
      <c r="N1070" s="8" t="n">
        <v>0</v>
      </c>
      <c r="O1070" s="74" t="s">
        <v>2077</v>
      </c>
      <c r="P1070" s="74"/>
      <c r="Q1070" s="74" t="s">
        <v>1120</v>
      </c>
      <c r="R1070" s="14" t="n">
        <f aca="false">IF(I1070="Unbilled",0,M1070)</f>
        <v>0</v>
      </c>
      <c r="S1070" s="9" t="n">
        <f aca="false">IF(R1070=0,0,IF(O1070="Booked",N1070,R1070*V1069))</f>
        <v>0</v>
      </c>
      <c r="T1070" s="14" t="n">
        <f aca="false">IF(I1070="Opening",K1070,T1069+K1070-R1070)</f>
        <v>82.5</v>
      </c>
      <c r="U1070" s="9" t="n">
        <f aca="false">IF(I1070="Opening",L1070,U1069+L1070-S1070)</f>
        <v>1897500</v>
      </c>
      <c r="V1070" s="9" t="n">
        <f aca="false">IF(T1070&gt;0,U1070/T1070,IF(I1070="Opening",0,V1069))</f>
        <v>23000</v>
      </c>
      <c r="W1070" s="14" t="n">
        <f aca="false">M1070</f>
        <v>82.5</v>
      </c>
      <c r="X1070" s="9" t="n">
        <f aca="false">IF(W1070=0,0,IF(O1070="Booked",N1070,W1070*AA1069))</f>
        <v>1897500</v>
      </c>
      <c r="Y1070" s="14" t="n">
        <f aca="false">IF(I1070="Opening",K1070,Y1069+K1070-W1070)</f>
        <v>0</v>
      </c>
      <c r="Z1070" s="9" t="n">
        <f aca="false">IF(I1070="Opening",L1070,Z1069+L1070-X1070)</f>
        <v>0</v>
      </c>
      <c r="AA1070" s="9" t="n">
        <f aca="false">IF(Y1070&gt;0,Z1070/Y1070,IF(I1070="Opening",0,AA1069))</f>
        <v>23000</v>
      </c>
      <c r="AB1070" s="9" t="n">
        <f aca="false">IF(AND(I1070="DO",O1070="MA"),S1070-N1070,0)</f>
        <v>0</v>
      </c>
      <c r="AC1070" s="9" t="n">
        <f aca="false">IF(I1070="DO",X1070-S1070,0)</f>
        <v>0</v>
      </c>
      <c r="AD1070" s="23" t="n">
        <f aca="false">IF(B1071&lt;&gt;B1070,1,0)</f>
        <v>1</v>
      </c>
      <c r="AE1070" s="14" t="n">
        <f aca="false">IF(I1070="Opening",0,AE1069+W1070)</f>
        <v>162.4</v>
      </c>
      <c r="AF1070" s="14" t="n">
        <f aca="false">IF(I1070="Opening",K1070,AF1069)</f>
        <v>162.4</v>
      </c>
      <c r="AG1070" s="14" t="n">
        <f aca="false">AG1069</f>
        <v>0</v>
      </c>
      <c r="AH1070" s="14" t="n">
        <f aca="false">IF(W1070=0,0,MAX(0,MIN(AE1070,AF1070)-MIN(AE1070-W1070,AF1070)))</f>
        <v>82.5</v>
      </c>
      <c r="AI1070" s="14" t="n">
        <f aca="false">IF(W1070=0,0,MAX(0,MIN(AE1070,AF1070+AG1070)-MAX(AE1070-W1070,AF1070)))</f>
        <v>0</v>
      </c>
      <c r="AJ1070" s="14" t="n">
        <f aca="false">W1070-AH1070-AI1070</f>
        <v>0</v>
      </c>
      <c r="AK1070" s="9" t="n">
        <f aca="false">IF(W1070=0,0,X1070*AH1070/W1070)</f>
        <v>1897500</v>
      </c>
      <c r="AL1070" s="9" t="n">
        <f aca="false">IF(W1070=0,0,X1070*AI1070/W1070)</f>
        <v>0</v>
      </c>
      <c r="AM1070" s="9" t="n">
        <f aca="false">X1070-AK1070-AL1070</f>
        <v>0</v>
      </c>
    </row>
    <row r="1071" customFormat="false" ht="15" hidden="false" customHeight="false" outlineLevel="0" collapsed="false">
      <c r="A1071" s="6" t="n">
        <v>1066</v>
      </c>
      <c r="B1071" s="74" t="s">
        <v>1035</v>
      </c>
      <c r="C1071" s="53" t="str">
        <f aca="false">INDEX(I_Items!$C$5:$C$133,MATCH($B1071,I_Items!$A$5:$A$133,0))</f>
        <v>Trading</v>
      </c>
      <c r="D1071" s="53" t="str">
        <f aca="false">INDEX(I_Items!$D$5:$D$133,MATCH($B1071,I_Items!$A$5:$A$133,0))</f>
        <v>KRK (Kerangka)</v>
      </c>
      <c r="E1071" s="53" t="str">
        <f aca="false">INDEX(I_Items!$F$5:$F$133,MATCH($B1071,I_Items!$A$5:$A$133,0))</f>
        <v>Not stated in item master</v>
      </c>
      <c r="F1071" s="53" t="str">
        <f aca="false">IF(INDEX(I_Items!$E$5:$E$133,MATCH($B1071,I_Items!$A$5:$A$133,0))="","",INDEX(I_Items!$E$5:$E$133,MATCH($B1071,I_Items!$A$5:$A$133,0)))</f>
        <v/>
      </c>
      <c r="G1071" s="76" t="n">
        <v>46204</v>
      </c>
      <c r="H1071" s="23" t="n">
        <f aca="false">MONTH(G1071)</f>
        <v>7</v>
      </c>
      <c r="I1071" s="74" t="s">
        <v>2072</v>
      </c>
      <c r="J1071" s="74" t="s">
        <v>2073</v>
      </c>
      <c r="K1071" s="10" t="n">
        <v>0</v>
      </c>
      <c r="L1071" s="8" t="n">
        <v>0</v>
      </c>
      <c r="M1071" s="10" t="n">
        <v>0</v>
      </c>
      <c r="N1071" s="8" t="n">
        <v>0</v>
      </c>
      <c r="O1071" s="74"/>
      <c r="P1071" s="74"/>
      <c r="Q1071" s="74"/>
      <c r="R1071" s="14" t="n">
        <f aca="false">IF(I1071="Unbilled",0,M1071)</f>
        <v>0</v>
      </c>
      <c r="S1071" s="9" t="n">
        <f aca="false">IF(R1071=0,0,IF(O1071="Booked",N1071,R1071*V1070))</f>
        <v>0</v>
      </c>
      <c r="T1071" s="14" t="n">
        <f aca="false">IF(I1071="Opening",K1071,T1070+K1071-R1071)</f>
        <v>0</v>
      </c>
      <c r="U1071" s="9" t="n">
        <f aca="false">IF(I1071="Opening",L1071,U1070+L1071-S1071)</f>
        <v>0</v>
      </c>
      <c r="V1071" s="9" t="n">
        <f aca="false">IF(T1071&gt;0,U1071/T1071,IF(I1071="Opening",0,V1070))</f>
        <v>0</v>
      </c>
      <c r="W1071" s="14" t="n">
        <f aca="false">M1071</f>
        <v>0</v>
      </c>
      <c r="X1071" s="9" t="n">
        <f aca="false">IF(W1071=0,0,IF(O1071="Booked",N1071,W1071*AA1070))</f>
        <v>0</v>
      </c>
      <c r="Y1071" s="14" t="n">
        <f aca="false">IF(I1071="Opening",K1071,Y1070+K1071-W1071)</f>
        <v>0</v>
      </c>
      <c r="Z1071" s="9" t="n">
        <f aca="false">IF(I1071="Opening",L1071,Z1070+L1071-X1071)</f>
        <v>0</v>
      </c>
      <c r="AA1071" s="9" t="n">
        <f aca="false">IF(Y1071&gt;0,Z1071/Y1071,IF(I1071="Opening",0,AA1070))</f>
        <v>0</v>
      </c>
      <c r="AB1071" s="9" t="n">
        <f aca="false">IF(AND(I1071="DO",O1071="MA"),S1071-N1071,0)</f>
        <v>0</v>
      </c>
      <c r="AC1071" s="9" t="n">
        <f aca="false">IF(I1071="DO",X1071-S1071,0)</f>
        <v>0</v>
      </c>
      <c r="AD1071" s="23" t="n">
        <f aca="false">IF(B1072&lt;&gt;B1071,1,0)</f>
        <v>0</v>
      </c>
      <c r="AE1071" s="14" t="n">
        <f aca="false">IF(I1071="Opening",0,AE1070+W1071)</f>
        <v>0</v>
      </c>
      <c r="AF1071" s="14" t="n">
        <f aca="false">IF(I1071="Opening",K1071,AF1070)</f>
        <v>0</v>
      </c>
      <c r="AG1071" s="14" t="n">
        <f aca="false">SUMIFS($K$6:$K$1110,$B$6:$B$1110,B1071,$H$6:$H$1110,7,$I$6:$I$1110,"&lt;&gt;Opening")</f>
        <v>8857.9</v>
      </c>
      <c r="AH1071" s="14" t="n">
        <f aca="false">IF(W1071=0,0,MAX(0,MIN(AE1071,AF1071)-MIN(AE1071-W1071,AF1071)))</f>
        <v>0</v>
      </c>
      <c r="AI1071" s="14" t="n">
        <f aca="false">IF(W1071=0,0,MAX(0,MIN(AE1071,AF1071+AG1071)-MAX(AE1071-W1071,AF1071)))</f>
        <v>0</v>
      </c>
      <c r="AJ1071" s="14" t="n">
        <f aca="false">W1071-AH1071-AI1071</f>
        <v>0</v>
      </c>
      <c r="AK1071" s="9" t="n">
        <f aca="false">IF(W1071=0,0,X1071*AH1071/W1071)</f>
        <v>0</v>
      </c>
      <c r="AL1071" s="9" t="n">
        <f aca="false">IF(W1071=0,0,X1071*AI1071/W1071)</f>
        <v>0</v>
      </c>
      <c r="AM1071" s="9" t="n">
        <f aca="false">X1071-AK1071-AL1071</f>
        <v>0</v>
      </c>
    </row>
    <row r="1072" customFormat="false" ht="15" hidden="false" customHeight="false" outlineLevel="0" collapsed="false">
      <c r="A1072" s="6" t="n">
        <v>1067</v>
      </c>
      <c r="B1072" s="74" t="s">
        <v>1035</v>
      </c>
      <c r="C1072" s="53" t="str">
        <f aca="false">INDEX(I_Items!$C$5:$C$133,MATCH($B1072,I_Items!$A$5:$A$133,0))</f>
        <v>Trading</v>
      </c>
      <c r="D1072" s="53" t="str">
        <f aca="false">INDEX(I_Items!$D$5:$D$133,MATCH($B1072,I_Items!$A$5:$A$133,0))</f>
        <v>KRK (Kerangka)</v>
      </c>
      <c r="E1072" s="53" t="str">
        <f aca="false">INDEX(I_Items!$F$5:$F$133,MATCH($B1072,I_Items!$A$5:$A$133,0))</f>
        <v>Not stated in item master</v>
      </c>
      <c r="F1072" s="53" t="str">
        <f aca="false">IF(INDEX(I_Items!$E$5:$E$133,MATCH($B1072,I_Items!$A$5:$A$133,0))="","",INDEX(I_Items!$E$5:$E$133,MATCH($B1072,I_Items!$A$5:$A$133,0)))</f>
        <v/>
      </c>
      <c r="G1072" s="76" t="n">
        <v>46206</v>
      </c>
      <c r="H1072" s="23" t="n">
        <f aca="false">MONTH(G1072)</f>
        <v>7</v>
      </c>
      <c r="I1072" s="74" t="s">
        <v>2074</v>
      </c>
      <c r="J1072" s="74" t="s">
        <v>2194</v>
      </c>
      <c r="K1072" s="10" t="n">
        <v>1905.4</v>
      </c>
      <c r="L1072" s="8" t="n">
        <v>8574300</v>
      </c>
      <c r="M1072" s="10" t="n">
        <v>0</v>
      </c>
      <c r="N1072" s="8" t="n">
        <v>0</v>
      </c>
      <c r="O1072" s="74"/>
      <c r="P1072" s="74"/>
      <c r="Q1072" s="74"/>
      <c r="R1072" s="14" t="n">
        <f aca="false">IF(I1072="Unbilled",0,M1072)</f>
        <v>0</v>
      </c>
      <c r="S1072" s="9" t="n">
        <f aca="false">IF(R1072=0,0,IF(O1072="Booked",N1072,R1072*V1071))</f>
        <v>0</v>
      </c>
      <c r="T1072" s="14" t="n">
        <f aca="false">IF(I1072="Opening",K1072,T1071+K1072-R1072)</f>
        <v>1905.4</v>
      </c>
      <c r="U1072" s="9" t="n">
        <f aca="false">IF(I1072="Opening",L1072,U1071+L1072-S1072)</f>
        <v>8574300</v>
      </c>
      <c r="V1072" s="9" t="n">
        <f aca="false">IF(T1072&gt;0,U1072/T1072,IF(I1072="Opening",0,V1071))</f>
        <v>4500</v>
      </c>
      <c r="W1072" s="14" t="n">
        <f aca="false">M1072</f>
        <v>0</v>
      </c>
      <c r="X1072" s="9" t="n">
        <f aca="false">IF(W1072=0,0,IF(O1072="Booked",N1072,W1072*AA1071))</f>
        <v>0</v>
      </c>
      <c r="Y1072" s="14" t="n">
        <f aca="false">IF(I1072="Opening",K1072,Y1071+K1072-W1072)</f>
        <v>1905.4</v>
      </c>
      <c r="Z1072" s="9" t="n">
        <f aca="false">IF(I1072="Opening",L1072,Z1071+L1072-X1072)</f>
        <v>8574300</v>
      </c>
      <c r="AA1072" s="9" t="n">
        <f aca="false">IF(Y1072&gt;0,Z1072/Y1072,IF(I1072="Opening",0,AA1071))</f>
        <v>4500</v>
      </c>
      <c r="AB1072" s="9" t="n">
        <f aca="false">IF(AND(I1072="DO",O1072="MA"),S1072-N1072,0)</f>
        <v>0</v>
      </c>
      <c r="AC1072" s="9" t="n">
        <f aca="false">IF(I1072="DO",X1072-S1072,0)</f>
        <v>0</v>
      </c>
      <c r="AD1072" s="23" t="n">
        <f aca="false">IF(B1073&lt;&gt;B1072,1,0)</f>
        <v>0</v>
      </c>
      <c r="AE1072" s="14" t="n">
        <f aca="false">IF(I1072="Opening",0,AE1071+W1072)</f>
        <v>0</v>
      </c>
      <c r="AF1072" s="14" t="n">
        <f aca="false">IF(I1072="Opening",K1072,AF1071)</f>
        <v>0</v>
      </c>
      <c r="AG1072" s="14" t="n">
        <f aca="false">AG1071</f>
        <v>8857.9</v>
      </c>
      <c r="AH1072" s="14" t="n">
        <f aca="false">IF(W1072=0,0,MAX(0,MIN(AE1072,AF1072)-MIN(AE1072-W1072,AF1072)))</f>
        <v>0</v>
      </c>
      <c r="AI1072" s="14" t="n">
        <f aca="false">IF(W1072=0,0,MAX(0,MIN(AE1072,AF1072+AG1072)-MAX(AE1072-W1072,AF1072)))</f>
        <v>0</v>
      </c>
      <c r="AJ1072" s="14" t="n">
        <f aca="false">W1072-AH1072-AI1072</f>
        <v>0</v>
      </c>
      <c r="AK1072" s="9" t="n">
        <f aca="false">IF(W1072=0,0,X1072*AH1072/W1072)</f>
        <v>0</v>
      </c>
      <c r="AL1072" s="9" t="n">
        <f aca="false">IF(W1072=0,0,X1072*AI1072/W1072)</f>
        <v>0</v>
      </c>
      <c r="AM1072" s="9" t="n">
        <f aca="false">X1072-AK1072-AL1072</f>
        <v>0</v>
      </c>
    </row>
    <row r="1073" customFormat="false" ht="15" hidden="false" customHeight="false" outlineLevel="0" collapsed="false">
      <c r="A1073" s="6" t="n">
        <v>1068</v>
      </c>
      <c r="B1073" s="74" t="s">
        <v>1035</v>
      </c>
      <c r="C1073" s="53" t="str">
        <f aca="false">INDEX(I_Items!$C$5:$C$133,MATCH($B1073,I_Items!$A$5:$A$133,0))</f>
        <v>Trading</v>
      </c>
      <c r="D1073" s="53" t="str">
        <f aca="false">INDEX(I_Items!$D$5:$D$133,MATCH($B1073,I_Items!$A$5:$A$133,0))</f>
        <v>KRK (Kerangka)</v>
      </c>
      <c r="E1073" s="53" t="str">
        <f aca="false">INDEX(I_Items!$F$5:$F$133,MATCH($B1073,I_Items!$A$5:$A$133,0))</f>
        <v>Not stated in item master</v>
      </c>
      <c r="F1073" s="53" t="str">
        <f aca="false">IF(INDEX(I_Items!$E$5:$E$133,MATCH($B1073,I_Items!$A$5:$A$133,0))="","",INDEX(I_Items!$E$5:$E$133,MATCH($B1073,I_Items!$A$5:$A$133,0)))</f>
        <v/>
      </c>
      <c r="G1073" s="76" t="n">
        <v>46206</v>
      </c>
      <c r="H1073" s="23" t="n">
        <f aca="false">MONTH(G1073)</f>
        <v>7</v>
      </c>
      <c r="I1073" s="74" t="s">
        <v>2074</v>
      </c>
      <c r="J1073" s="74" t="s">
        <v>2194</v>
      </c>
      <c r="K1073" s="10" t="n">
        <v>698</v>
      </c>
      <c r="L1073" s="8" t="n">
        <v>2792000</v>
      </c>
      <c r="M1073" s="10" t="n">
        <v>0</v>
      </c>
      <c r="N1073" s="8" t="n">
        <v>0</v>
      </c>
      <c r="O1073" s="74"/>
      <c r="P1073" s="74"/>
      <c r="Q1073" s="74"/>
      <c r="R1073" s="14" t="n">
        <f aca="false">IF(I1073="Unbilled",0,M1073)</f>
        <v>0</v>
      </c>
      <c r="S1073" s="9" t="n">
        <f aca="false">IF(R1073=0,0,IF(O1073="Booked",N1073,R1073*V1072))</f>
        <v>0</v>
      </c>
      <c r="T1073" s="14" t="n">
        <f aca="false">IF(I1073="Opening",K1073,T1072+K1073-R1073)</f>
        <v>2603.4</v>
      </c>
      <c r="U1073" s="9" t="n">
        <f aca="false">IF(I1073="Opening",L1073,U1072+L1073-S1073)</f>
        <v>11366300</v>
      </c>
      <c r="V1073" s="9" t="n">
        <f aca="false">IF(T1073&gt;0,U1073/T1073,IF(I1073="Opening",0,V1072))</f>
        <v>4365.94453407083</v>
      </c>
      <c r="W1073" s="14" t="n">
        <f aca="false">M1073</f>
        <v>0</v>
      </c>
      <c r="X1073" s="9" t="n">
        <f aca="false">IF(W1073=0,0,IF(O1073="Booked",N1073,W1073*AA1072))</f>
        <v>0</v>
      </c>
      <c r="Y1073" s="14" t="n">
        <f aca="false">IF(I1073="Opening",K1073,Y1072+K1073-W1073)</f>
        <v>2603.4</v>
      </c>
      <c r="Z1073" s="9" t="n">
        <f aca="false">IF(I1073="Opening",L1073,Z1072+L1073-X1073)</f>
        <v>11366300</v>
      </c>
      <c r="AA1073" s="9" t="n">
        <f aca="false">IF(Y1073&gt;0,Z1073/Y1073,IF(I1073="Opening",0,AA1072))</f>
        <v>4365.94453407083</v>
      </c>
      <c r="AB1073" s="9" t="n">
        <f aca="false">IF(AND(I1073="DO",O1073="MA"),S1073-N1073,0)</f>
        <v>0</v>
      </c>
      <c r="AC1073" s="9" t="n">
        <f aca="false">IF(I1073="DO",X1073-S1073,0)</f>
        <v>0</v>
      </c>
      <c r="AD1073" s="23" t="n">
        <f aca="false">IF(B1074&lt;&gt;B1073,1,0)</f>
        <v>0</v>
      </c>
      <c r="AE1073" s="14" t="n">
        <f aca="false">IF(I1073="Opening",0,AE1072+W1073)</f>
        <v>0</v>
      </c>
      <c r="AF1073" s="14" t="n">
        <f aca="false">IF(I1073="Opening",K1073,AF1072)</f>
        <v>0</v>
      </c>
      <c r="AG1073" s="14" t="n">
        <f aca="false">AG1072</f>
        <v>8857.9</v>
      </c>
      <c r="AH1073" s="14" t="n">
        <f aca="false">IF(W1073=0,0,MAX(0,MIN(AE1073,AF1073)-MIN(AE1073-W1073,AF1073)))</f>
        <v>0</v>
      </c>
      <c r="AI1073" s="14" t="n">
        <f aca="false">IF(W1073=0,0,MAX(0,MIN(AE1073,AF1073+AG1073)-MAX(AE1073-W1073,AF1073)))</f>
        <v>0</v>
      </c>
      <c r="AJ1073" s="14" t="n">
        <f aca="false">W1073-AH1073-AI1073</f>
        <v>0</v>
      </c>
      <c r="AK1073" s="9" t="n">
        <f aca="false">IF(W1073=0,0,X1073*AH1073/W1073)</f>
        <v>0</v>
      </c>
      <c r="AL1073" s="9" t="n">
        <f aca="false">IF(W1073=0,0,X1073*AI1073/W1073)</f>
        <v>0</v>
      </c>
      <c r="AM1073" s="9" t="n">
        <f aca="false">X1073-AK1073-AL1073</f>
        <v>0</v>
      </c>
    </row>
    <row r="1074" customFormat="false" ht="15" hidden="false" customHeight="false" outlineLevel="0" collapsed="false">
      <c r="A1074" s="6" t="n">
        <v>1069</v>
      </c>
      <c r="B1074" s="74" t="s">
        <v>1035</v>
      </c>
      <c r="C1074" s="53" t="str">
        <f aca="false">INDEX(I_Items!$C$5:$C$133,MATCH($B1074,I_Items!$A$5:$A$133,0))</f>
        <v>Trading</v>
      </c>
      <c r="D1074" s="53" t="str">
        <f aca="false">INDEX(I_Items!$D$5:$D$133,MATCH($B1074,I_Items!$A$5:$A$133,0))</f>
        <v>KRK (Kerangka)</v>
      </c>
      <c r="E1074" s="53" t="str">
        <f aca="false">INDEX(I_Items!$F$5:$F$133,MATCH($B1074,I_Items!$A$5:$A$133,0))</f>
        <v>Not stated in item master</v>
      </c>
      <c r="F1074" s="53" t="str">
        <f aca="false">IF(INDEX(I_Items!$E$5:$E$133,MATCH($B1074,I_Items!$A$5:$A$133,0))="","",INDEX(I_Items!$E$5:$E$133,MATCH($B1074,I_Items!$A$5:$A$133,0)))</f>
        <v/>
      </c>
      <c r="G1074" s="76" t="n">
        <v>46207</v>
      </c>
      <c r="H1074" s="23" t="n">
        <f aca="false">MONTH(G1074)</f>
        <v>7</v>
      </c>
      <c r="I1074" s="74" t="s">
        <v>2074</v>
      </c>
      <c r="J1074" s="74" t="s">
        <v>2195</v>
      </c>
      <c r="K1074" s="10" t="n">
        <v>3309.5</v>
      </c>
      <c r="L1074" s="8" t="n">
        <v>14892750</v>
      </c>
      <c r="M1074" s="10" t="n">
        <v>0</v>
      </c>
      <c r="N1074" s="8" t="n">
        <v>0</v>
      </c>
      <c r="O1074" s="74"/>
      <c r="P1074" s="74"/>
      <c r="Q1074" s="74"/>
      <c r="R1074" s="14" t="n">
        <f aca="false">IF(I1074="Unbilled",0,M1074)</f>
        <v>0</v>
      </c>
      <c r="S1074" s="9" t="n">
        <f aca="false">IF(R1074=0,0,IF(O1074="Booked",N1074,R1074*V1073))</f>
        <v>0</v>
      </c>
      <c r="T1074" s="14" t="n">
        <f aca="false">IF(I1074="Opening",K1074,T1073+K1074-R1074)</f>
        <v>5912.9</v>
      </c>
      <c r="U1074" s="9" t="n">
        <f aca="false">IF(I1074="Opening",L1074,U1073+L1074-S1074)</f>
        <v>26259050</v>
      </c>
      <c r="V1074" s="9" t="n">
        <f aca="false">IF(T1074&gt;0,U1074/T1074,IF(I1074="Opening",0,V1073))</f>
        <v>4440.97650898882</v>
      </c>
      <c r="W1074" s="14" t="n">
        <f aca="false">M1074</f>
        <v>0</v>
      </c>
      <c r="X1074" s="9" t="n">
        <f aca="false">IF(W1074=0,0,IF(O1074="Booked",N1074,W1074*AA1073))</f>
        <v>0</v>
      </c>
      <c r="Y1074" s="14" t="n">
        <f aca="false">IF(I1074="Opening",K1074,Y1073+K1074-W1074)</f>
        <v>5912.9</v>
      </c>
      <c r="Z1074" s="9" t="n">
        <f aca="false">IF(I1074="Opening",L1074,Z1073+L1074-X1074)</f>
        <v>26259050</v>
      </c>
      <c r="AA1074" s="9" t="n">
        <f aca="false">IF(Y1074&gt;0,Z1074/Y1074,IF(I1074="Opening",0,AA1073))</f>
        <v>4440.97650898882</v>
      </c>
      <c r="AB1074" s="9" t="n">
        <f aca="false">IF(AND(I1074="DO",O1074="MA"),S1074-N1074,0)</f>
        <v>0</v>
      </c>
      <c r="AC1074" s="9" t="n">
        <f aca="false">IF(I1074="DO",X1074-S1074,0)</f>
        <v>0</v>
      </c>
      <c r="AD1074" s="23" t="n">
        <f aca="false">IF(B1075&lt;&gt;B1074,1,0)</f>
        <v>0</v>
      </c>
      <c r="AE1074" s="14" t="n">
        <f aca="false">IF(I1074="Opening",0,AE1073+W1074)</f>
        <v>0</v>
      </c>
      <c r="AF1074" s="14" t="n">
        <f aca="false">IF(I1074="Opening",K1074,AF1073)</f>
        <v>0</v>
      </c>
      <c r="AG1074" s="14" t="n">
        <f aca="false">AG1073</f>
        <v>8857.9</v>
      </c>
      <c r="AH1074" s="14" t="n">
        <f aca="false">IF(W1074=0,0,MAX(0,MIN(AE1074,AF1074)-MIN(AE1074-W1074,AF1074)))</f>
        <v>0</v>
      </c>
      <c r="AI1074" s="14" t="n">
        <f aca="false">IF(W1074=0,0,MAX(0,MIN(AE1074,AF1074+AG1074)-MAX(AE1074-W1074,AF1074)))</f>
        <v>0</v>
      </c>
      <c r="AJ1074" s="14" t="n">
        <f aca="false">W1074-AH1074-AI1074</f>
        <v>0</v>
      </c>
      <c r="AK1074" s="9" t="n">
        <f aca="false">IF(W1074=0,0,X1074*AH1074/W1074)</f>
        <v>0</v>
      </c>
      <c r="AL1074" s="9" t="n">
        <f aca="false">IF(W1074=0,0,X1074*AI1074/W1074)</f>
        <v>0</v>
      </c>
      <c r="AM1074" s="9" t="n">
        <f aca="false">X1074-AK1074-AL1074</f>
        <v>0</v>
      </c>
    </row>
    <row r="1075" customFormat="false" ht="15" hidden="false" customHeight="false" outlineLevel="0" collapsed="false">
      <c r="A1075" s="6" t="n">
        <v>1070</v>
      </c>
      <c r="B1075" s="74" t="s">
        <v>1035</v>
      </c>
      <c r="C1075" s="53" t="str">
        <f aca="false">INDEX(I_Items!$C$5:$C$133,MATCH($B1075,I_Items!$A$5:$A$133,0))</f>
        <v>Trading</v>
      </c>
      <c r="D1075" s="53" t="str">
        <f aca="false">INDEX(I_Items!$D$5:$D$133,MATCH($B1075,I_Items!$A$5:$A$133,0))</f>
        <v>KRK (Kerangka)</v>
      </c>
      <c r="E1075" s="53" t="str">
        <f aca="false">INDEX(I_Items!$F$5:$F$133,MATCH($B1075,I_Items!$A$5:$A$133,0))</f>
        <v>Not stated in item master</v>
      </c>
      <c r="F1075" s="53" t="str">
        <f aca="false">IF(INDEX(I_Items!$E$5:$E$133,MATCH($B1075,I_Items!$A$5:$A$133,0))="","",INDEX(I_Items!$E$5:$E$133,MATCH($B1075,I_Items!$A$5:$A$133,0)))</f>
        <v/>
      </c>
      <c r="G1075" s="76" t="n">
        <v>46207</v>
      </c>
      <c r="H1075" s="23" t="n">
        <f aca="false">MONTH(G1075)</f>
        <v>7</v>
      </c>
      <c r="I1075" s="74" t="s">
        <v>2074</v>
      </c>
      <c r="J1075" s="74" t="s">
        <v>2204</v>
      </c>
      <c r="K1075" s="10" t="n">
        <v>568</v>
      </c>
      <c r="L1075" s="8" t="n">
        <v>2556000</v>
      </c>
      <c r="M1075" s="10" t="n">
        <v>0</v>
      </c>
      <c r="N1075" s="8" t="n">
        <v>0</v>
      </c>
      <c r="O1075" s="74"/>
      <c r="P1075" s="74"/>
      <c r="Q1075" s="74"/>
      <c r="R1075" s="14" t="n">
        <f aca="false">IF(I1075="Unbilled",0,M1075)</f>
        <v>0</v>
      </c>
      <c r="S1075" s="9" t="n">
        <f aca="false">IF(R1075=0,0,IF(O1075="Booked",N1075,R1075*V1074))</f>
        <v>0</v>
      </c>
      <c r="T1075" s="14" t="n">
        <f aca="false">IF(I1075="Opening",K1075,T1074+K1075-R1075)</f>
        <v>6480.9</v>
      </c>
      <c r="U1075" s="9" t="n">
        <f aca="false">IF(I1075="Opening",L1075,U1074+L1075-S1075)</f>
        <v>28815050</v>
      </c>
      <c r="V1075" s="9" t="n">
        <f aca="false">IF(T1075&gt;0,U1075/T1075,IF(I1075="Opening",0,V1074))</f>
        <v>4446.14945455107</v>
      </c>
      <c r="W1075" s="14" t="n">
        <f aca="false">M1075</f>
        <v>0</v>
      </c>
      <c r="X1075" s="9" t="n">
        <f aca="false">IF(W1075=0,0,IF(O1075="Booked",N1075,W1075*AA1074))</f>
        <v>0</v>
      </c>
      <c r="Y1075" s="14" t="n">
        <f aca="false">IF(I1075="Opening",K1075,Y1074+K1075-W1075)</f>
        <v>6480.9</v>
      </c>
      <c r="Z1075" s="9" t="n">
        <f aca="false">IF(I1075="Opening",L1075,Z1074+L1075-X1075)</f>
        <v>28815050</v>
      </c>
      <c r="AA1075" s="9" t="n">
        <f aca="false">IF(Y1075&gt;0,Z1075/Y1075,IF(I1075="Opening",0,AA1074))</f>
        <v>4446.14945455107</v>
      </c>
      <c r="AB1075" s="9" t="n">
        <f aca="false">IF(AND(I1075="DO",O1075="MA"),S1075-N1075,0)</f>
        <v>0</v>
      </c>
      <c r="AC1075" s="9" t="n">
        <f aca="false">IF(I1075="DO",X1075-S1075,0)</f>
        <v>0</v>
      </c>
      <c r="AD1075" s="23" t="n">
        <f aca="false">IF(B1076&lt;&gt;B1075,1,0)</f>
        <v>0</v>
      </c>
      <c r="AE1075" s="14" t="n">
        <f aca="false">IF(I1075="Opening",0,AE1074+W1075)</f>
        <v>0</v>
      </c>
      <c r="AF1075" s="14" t="n">
        <f aca="false">IF(I1075="Opening",K1075,AF1074)</f>
        <v>0</v>
      </c>
      <c r="AG1075" s="14" t="n">
        <f aca="false">AG1074</f>
        <v>8857.9</v>
      </c>
      <c r="AH1075" s="14" t="n">
        <f aca="false">IF(W1075=0,0,MAX(0,MIN(AE1075,AF1075)-MIN(AE1075-W1075,AF1075)))</f>
        <v>0</v>
      </c>
      <c r="AI1075" s="14" t="n">
        <f aca="false">IF(W1075=0,0,MAX(0,MIN(AE1075,AF1075+AG1075)-MAX(AE1075-W1075,AF1075)))</f>
        <v>0</v>
      </c>
      <c r="AJ1075" s="14" t="n">
        <f aca="false">W1075-AH1075-AI1075</f>
        <v>0</v>
      </c>
      <c r="AK1075" s="9" t="n">
        <f aca="false">IF(W1075=0,0,X1075*AH1075/W1075)</f>
        <v>0</v>
      </c>
      <c r="AL1075" s="9" t="n">
        <f aca="false">IF(W1075=0,0,X1075*AI1075/W1075)</f>
        <v>0</v>
      </c>
      <c r="AM1075" s="9" t="n">
        <f aca="false">X1075-AK1075-AL1075</f>
        <v>0</v>
      </c>
    </row>
    <row r="1076" customFormat="false" ht="15" hidden="false" customHeight="false" outlineLevel="0" collapsed="false">
      <c r="A1076" s="6" t="n">
        <v>1071</v>
      </c>
      <c r="B1076" s="74" t="s">
        <v>1035</v>
      </c>
      <c r="C1076" s="53" t="str">
        <f aca="false">INDEX(I_Items!$C$5:$C$133,MATCH($B1076,I_Items!$A$5:$A$133,0))</f>
        <v>Trading</v>
      </c>
      <c r="D1076" s="53" t="str">
        <f aca="false">INDEX(I_Items!$D$5:$D$133,MATCH($B1076,I_Items!$A$5:$A$133,0))</f>
        <v>KRK (Kerangka)</v>
      </c>
      <c r="E1076" s="53" t="str">
        <f aca="false">INDEX(I_Items!$F$5:$F$133,MATCH($B1076,I_Items!$A$5:$A$133,0))</f>
        <v>Not stated in item master</v>
      </c>
      <c r="F1076" s="53" t="str">
        <f aca="false">IF(INDEX(I_Items!$E$5:$E$133,MATCH($B1076,I_Items!$A$5:$A$133,0))="","",INDEX(I_Items!$E$5:$E$133,MATCH($B1076,I_Items!$A$5:$A$133,0)))</f>
        <v/>
      </c>
      <c r="G1076" s="76" t="n">
        <v>46210</v>
      </c>
      <c r="H1076" s="23" t="n">
        <f aca="false">MONTH(G1076)</f>
        <v>7</v>
      </c>
      <c r="I1076" s="74" t="s">
        <v>2074</v>
      </c>
      <c r="J1076" s="74" t="s">
        <v>2348</v>
      </c>
      <c r="K1076" s="10" t="n">
        <v>388.5</v>
      </c>
      <c r="L1076" s="8" t="n">
        <v>1748250</v>
      </c>
      <c r="M1076" s="10" t="n">
        <v>0</v>
      </c>
      <c r="N1076" s="8" t="n">
        <v>0</v>
      </c>
      <c r="O1076" s="74"/>
      <c r="P1076" s="74"/>
      <c r="Q1076" s="74"/>
      <c r="R1076" s="14" t="n">
        <f aca="false">IF(I1076="Unbilled",0,M1076)</f>
        <v>0</v>
      </c>
      <c r="S1076" s="9" t="n">
        <f aca="false">IF(R1076=0,0,IF(O1076="Booked",N1076,R1076*V1075))</f>
        <v>0</v>
      </c>
      <c r="T1076" s="14" t="n">
        <f aca="false">IF(I1076="Opening",K1076,T1075+K1076-R1076)</f>
        <v>6869.4</v>
      </c>
      <c r="U1076" s="9" t="n">
        <f aca="false">IF(I1076="Opening",L1076,U1075+L1076-S1076)</f>
        <v>30563300</v>
      </c>
      <c r="V1076" s="9" t="n">
        <f aca="false">IF(T1076&gt;0,U1076/T1076,IF(I1076="Opening",0,V1075))</f>
        <v>4449.19498063878</v>
      </c>
      <c r="W1076" s="14" t="n">
        <f aca="false">M1076</f>
        <v>0</v>
      </c>
      <c r="X1076" s="9" t="n">
        <f aca="false">IF(W1076=0,0,IF(O1076="Booked",N1076,W1076*AA1075))</f>
        <v>0</v>
      </c>
      <c r="Y1076" s="14" t="n">
        <f aca="false">IF(I1076="Opening",K1076,Y1075+K1076-W1076)</f>
        <v>6869.4</v>
      </c>
      <c r="Z1076" s="9" t="n">
        <f aca="false">IF(I1076="Opening",L1076,Z1075+L1076-X1076)</f>
        <v>30563300</v>
      </c>
      <c r="AA1076" s="9" t="n">
        <f aca="false">IF(Y1076&gt;0,Z1076/Y1076,IF(I1076="Opening",0,AA1075))</f>
        <v>4449.19498063878</v>
      </c>
      <c r="AB1076" s="9" t="n">
        <f aca="false">IF(AND(I1076="DO",O1076="MA"),S1076-N1076,0)</f>
        <v>0</v>
      </c>
      <c r="AC1076" s="9" t="n">
        <f aca="false">IF(I1076="DO",X1076-S1076,0)</f>
        <v>0</v>
      </c>
      <c r="AD1076" s="23" t="n">
        <f aca="false">IF(B1077&lt;&gt;B1076,1,0)</f>
        <v>0</v>
      </c>
      <c r="AE1076" s="14" t="n">
        <f aca="false">IF(I1076="Opening",0,AE1075+W1076)</f>
        <v>0</v>
      </c>
      <c r="AF1076" s="14" t="n">
        <f aca="false">IF(I1076="Opening",K1076,AF1075)</f>
        <v>0</v>
      </c>
      <c r="AG1076" s="14" t="n">
        <f aca="false">AG1075</f>
        <v>8857.9</v>
      </c>
      <c r="AH1076" s="14" t="n">
        <f aca="false">IF(W1076=0,0,MAX(0,MIN(AE1076,AF1076)-MIN(AE1076-W1076,AF1076)))</f>
        <v>0</v>
      </c>
      <c r="AI1076" s="14" t="n">
        <f aca="false">IF(W1076=0,0,MAX(0,MIN(AE1076,AF1076+AG1076)-MAX(AE1076-W1076,AF1076)))</f>
        <v>0</v>
      </c>
      <c r="AJ1076" s="14" t="n">
        <f aca="false">W1076-AH1076-AI1076</f>
        <v>0</v>
      </c>
      <c r="AK1076" s="9" t="n">
        <f aca="false">IF(W1076=0,0,X1076*AH1076/W1076)</f>
        <v>0</v>
      </c>
      <c r="AL1076" s="9" t="n">
        <f aca="false">IF(W1076=0,0,X1076*AI1076/W1076)</f>
        <v>0</v>
      </c>
      <c r="AM1076" s="9" t="n">
        <f aca="false">X1076-AK1076-AL1076</f>
        <v>0</v>
      </c>
    </row>
    <row r="1077" customFormat="false" ht="15" hidden="false" customHeight="false" outlineLevel="0" collapsed="false">
      <c r="A1077" s="6" t="n">
        <v>1072</v>
      </c>
      <c r="B1077" s="74" t="s">
        <v>1035</v>
      </c>
      <c r="C1077" s="53" t="str">
        <f aca="false">INDEX(I_Items!$C$5:$C$133,MATCH($B1077,I_Items!$A$5:$A$133,0))</f>
        <v>Trading</v>
      </c>
      <c r="D1077" s="53" t="str">
        <f aca="false">INDEX(I_Items!$D$5:$D$133,MATCH($B1077,I_Items!$A$5:$A$133,0))</f>
        <v>KRK (Kerangka)</v>
      </c>
      <c r="E1077" s="53" t="str">
        <f aca="false">INDEX(I_Items!$F$5:$F$133,MATCH($B1077,I_Items!$A$5:$A$133,0))</f>
        <v>Not stated in item master</v>
      </c>
      <c r="F1077" s="53" t="str">
        <f aca="false">IF(INDEX(I_Items!$E$5:$E$133,MATCH($B1077,I_Items!$A$5:$A$133,0))="","",INDEX(I_Items!$E$5:$E$133,MATCH($B1077,I_Items!$A$5:$A$133,0)))</f>
        <v/>
      </c>
      <c r="G1077" s="76" t="n">
        <v>46211</v>
      </c>
      <c r="H1077" s="23" t="n">
        <f aca="false">MONTH(G1077)</f>
        <v>7</v>
      </c>
      <c r="I1077" s="74" t="s">
        <v>2074</v>
      </c>
      <c r="J1077" s="74" t="s">
        <v>2349</v>
      </c>
      <c r="K1077" s="10" t="n">
        <v>1988.5</v>
      </c>
      <c r="L1077" s="8" t="n">
        <v>8948250</v>
      </c>
      <c r="M1077" s="10" t="n">
        <v>0</v>
      </c>
      <c r="N1077" s="8" t="n">
        <v>0</v>
      </c>
      <c r="O1077" s="74"/>
      <c r="P1077" s="74"/>
      <c r="Q1077" s="74"/>
      <c r="R1077" s="14" t="n">
        <f aca="false">IF(I1077="Unbilled",0,M1077)</f>
        <v>0</v>
      </c>
      <c r="S1077" s="9" t="n">
        <f aca="false">IF(R1077=0,0,IF(O1077="Booked",N1077,R1077*V1076))</f>
        <v>0</v>
      </c>
      <c r="T1077" s="14" t="n">
        <f aca="false">IF(I1077="Opening",K1077,T1076+K1077-R1077)</f>
        <v>8857.9</v>
      </c>
      <c r="U1077" s="9" t="n">
        <f aca="false">IF(I1077="Opening",L1077,U1076+L1077-S1077)</f>
        <v>39511550</v>
      </c>
      <c r="V1077" s="9" t="n">
        <f aca="false">IF(T1077&gt;0,U1077/T1077,IF(I1077="Opening",0,V1076))</f>
        <v>4460.60014224591</v>
      </c>
      <c r="W1077" s="14" t="n">
        <f aca="false">M1077</f>
        <v>0</v>
      </c>
      <c r="X1077" s="9" t="n">
        <f aca="false">IF(W1077=0,0,IF(O1077="Booked",N1077,W1077*AA1076))</f>
        <v>0</v>
      </c>
      <c r="Y1077" s="14" t="n">
        <f aca="false">IF(I1077="Opening",K1077,Y1076+K1077-W1077)</f>
        <v>8857.9</v>
      </c>
      <c r="Z1077" s="9" t="n">
        <f aca="false">IF(I1077="Opening",L1077,Z1076+L1077-X1077)</f>
        <v>39511550</v>
      </c>
      <c r="AA1077" s="9" t="n">
        <f aca="false">IF(Y1077&gt;0,Z1077/Y1077,IF(I1077="Opening",0,AA1076))</f>
        <v>4460.60014224591</v>
      </c>
      <c r="AB1077" s="9" t="n">
        <f aca="false">IF(AND(I1077="DO",O1077="MA"),S1077-N1077,0)</f>
        <v>0</v>
      </c>
      <c r="AC1077" s="9" t="n">
        <f aca="false">IF(I1077="DO",X1077-S1077,0)</f>
        <v>0</v>
      </c>
      <c r="AD1077" s="23" t="n">
        <f aca="false">IF(B1078&lt;&gt;B1077,1,0)</f>
        <v>0</v>
      </c>
      <c r="AE1077" s="14" t="n">
        <f aca="false">IF(I1077="Opening",0,AE1076+W1077)</f>
        <v>0</v>
      </c>
      <c r="AF1077" s="14" t="n">
        <f aca="false">IF(I1077="Opening",K1077,AF1076)</f>
        <v>0</v>
      </c>
      <c r="AG1077" s="14" t="n">
        <f aca="false">AG1076</f>
        <v>8857.9</v>
      </c>
      <c r="AH1077" s="14" t="n">
        <f aca="false">IF(W1077=0,0,MAX(0,MIN(AE1077,AF1077)-MIN(AE1077-W1077,AF1077)))</f>
        <v>0</v>
      </c>
      <c r="AI1077" s="14" t="n">
        <f aca="false">IF(W1077=0,0,MAX(0,MIN(AE1077,AF1077+AG1077)-MAX(AE1077-W1077,AF1077)))</f>
        <v>0</v>
      </c>
      <c r="AJ1077" s="14" t="n">
        <f aca="false">W1077-AH1077-AI1077</f>
        <v>0</v>
      </c>
      <c r="AK1077" s="9" t="n">
        <f aca="false">IF(W1077=0,0,X1077*AH1077/W1077)</f>
        <v>0</v>
      </c>
      <c r="AL1077" s="9" t="n">
        <f aca="false">IF(W1077=0,0,X1077*AI1077/W1077)</f>
        <v>0</v>
      </c>
      <c r="AM1077" s="9" t="n">
        <f aca="false">X1077-AK1077-AL1077</f>
        <v>0</v>
      </c>
    </row>
    <row r="1078" customFormat="false" ht="15" hidden="false" customHeight="false" outlineLevel="0" collapsed="false">
      <c r="A1078" s="6" t="n">
        <v>1073</v>
      </c>
      <c r="B1078" s="74" t="s">
        <v>1035</v>
      </c>
      <c r="C1078" s="53" t="str">
        <f aca="false">INDEX(I_Items!$C$5:$C$133,MATCH($B1078,I_Items!$A$5:$A$133,0))</f>
        <v>Trading</v>
      </c>
      <c r="D1078" s="53" t="str">
        <f aca="false">INDEX(I_Items!$D$5:$D$133,MATCH($B1078,I_Items!$A$5:$A$133,0))</f>
        <v>KRK (Kerangka)</v>
      </c>
      <c r="E1078" s="53" t="str">
        <f aca="false">INDEX(I_Items!$F$5:$F$133,MATCH($B1078,I_Items!$A$5:$A$133,0))</f>
        <v>Not stated in item master</v>
      </c>
      <c r="F1078" s="53" t="str">
        <f aca="false">IF(INDEX(I_Items!$E$5:$E$133,MATCH($B1078,I_Items!$A$5:$A$133,0))="","",INDEX(I_Items!$E$5:$E$133,MATCH($B1078,I_Items!$A$5:$A$133,0)))</f>
        <v/>
      </c>
      <c r="G1078" s="76" t="n">
        <v>46214</v>
      </c>
      <c r="H1078" s="23" t="n">
        <f aca="false">MONTH(G1078)</f>
        <v>7</v>
      </c>
      <c r="I1078" s="74" t="s">
        <v>2075</v>
      </c>
      <c r="J1078" s="74" t="s">
        <v>2350</v>
      </c>
      <c r="K1078" s="10" t="n">
        <v>0</v>
      </c>
      <c r="L1078" s="8" t="n">
        <v>0</v>
      </c>
      <c r="M1078" s="10" t="n">
        <v>2468.58</v>
      </c>
      <c r="N1078" s="8" t="n">
        <v>11011348.19</v>
      </c>
      <c r="O1078" s="74" t="s">
        <v>2077</v>
      </c>
      <c r="P1078" s="74"/>
      <c r="Q1078" s="74"/>
      <c r="R1078" s="14" t="n">
        <f aca="false">IF(I1078="Unbilled",0,M1078)</f>
        <v>2468.58</v>
      </c>
      <c r="S1078" s="9" t="n">
        <f aca="false">IF(R1078=0,0,IF(O1078="Booked",N1078,R1078*V1077))</f>
        <v>11011348.2991454</v>
      </c>
      <c r="T1078" s="14" t="n">
        <f aca="false">IF(I1078="Opening",K1078,T1077+K1078-R1078)</f>
        <v>6389.32</v>
      </c>
      <c r="U1078" s="9" t="n">
        <f aca="false">IF(I1078="Opening",L1078,U1077+L1078-S1078)</f>
        <v>28500201.7008546</v>
      </c>
      <c r="V1078" s="9" t="n">
        <f aca="false">IF(T1078&gt;0,U1078/T1078,IF(I1078="Opening",0,V1077))</f>
        <v>4460.60014224591</v>
      </c>
      <c r="W1078" s="14" t="n">
        <f aca="false">M1078</f>
        <v>2468.58</v>
      </c>
      <c r="X1078" s="9" t="n">
        <f aca="false">IF(W1078=0,0,IF(O1078="Booked",N1078,W1078*AA1077))</f>
        <v>11011348.2991454</v>
      </c>
      <c r="Y1078" s="14" t="n">
        <f aca="false">IF(I1078="Opening",K1078,Y1077+K1078-W1078)</f>
        <v>6389.32</v>
      </c>
      <c r="Z1078" s="9" t="n">
        <f aca="false">IF(I1078="Opening",L1078,Z1077+L1078-X1078)</f>
        <v>28500201.7008546</v>
      </c>
      <c r="AA1078" s="9" t="n">
        <f aca="false">IF(Y1078&gt;0,Z1078/Y1078,IF(I1078="Opening",0,AA1077))</f>
        <v>4460.60014224591</v>
      </c>
      <c r="AB1078" s="9" t="n">
        <f aca="false">IF(AND(I1078="DO",O1078="MA"),S1078-N1078,0)</f>
        <v>0.109145395457745</v>
      </c>
      <c r="AC1078" s="9" t="n">
        <f aca="false">IF(I1078="DO",X1078-S1078,0)</f>
        <v>0</v>
      </c>
      <c r="AD1078" s="23" t="n">
        <f aca="false">IF(B1079&lt;&gt;B1078,1,0)</f>
        <v>0</v>
      </c>
      <c r="AE1078" s="14" t="n">
        <f aca="false">IF(I1078="Opening",0,AE1077+W1078)</f>
        <v>2468.58</v>
      </c>
      <c r="AF1078" s="14" t="n">
        <f aca="false">IF(I1078="Opening",K1078,AF1077)</f>
        <v>0</v>
      </c>
      <c r="AG1078" s="14" t="n">
        <f aca="false">AG1077</f>
        <v>8857.9</v>
      </c>
      <c r="AH1078" s="14" t="n">
        <f aca="false">IF(W1078=0,0,MAX(0,MIN(AE1078,AF1078)-MIN(AE1078-W1078,AF1078)))</f>
        <v>0</v>
      </c>
      <c r="AI1078" s="14" t="n">
        <f aca="false">IF(W1078=0,0,MAX(0,MIN(AE1078,AF1078+AG1078)-MAX(AE1078-W1078,AF1078)))</f>
        <v>2468.58</v>
      </c>
      <c r="AJ1078" s="14" t="n">
        <f aca="false">W1078-AH1078-AI1078</f>
        <v>0</v>
      </c>
      <c r="AK1078" s="9" t="n">
        <f aca="false">IF(W1078=0,0,X1078*AH1078/W1078)</f>
        <v>0</v>
      </c>
      <c r="AL1078" s="9" t="n">
        <f aca="false">IF(W1078=0,0,X1078*AI1078/W1078)</f>
        <v>11011348.2991454</v>
      </c>
      <c r="AM1078" s="9" t="n">
        <f aca="false">X1078-AK1078-AL1078</f>
        <v>0</v>
      </c>
    </row>
    <row r="1079" customFormat="false" ht="15" hidden="false" customHeight="false" outlineLevel="0" collapsed="false">
      <c r="A1079" s="6" t="n">
        <v>1074</v>
      </c>
      <c r="B1079" s="74" t="s">
        <v>1035</v>
      </c>
      <c r="C1079" s="53" t="str">
        <f aca="false">INDEX(I_Items!$C$5:$C$133,MATCH($B1079,I_Items!$A$5:$A$133,0))</f>
        <v>Trading</v>
      </c>
      <c r="D1079" s="53" t="str">
        <f aca="false">INDEX(I_Items!$D$5:$D$133,MATCH($B1079,I_Items!$A$5:$A$133,0))</f>
        <v>KRK (Kerangka)</v>
      </c>
      <c r="E1079" s="53" t="str">
        <f aca="false">INDEX(I_Items!$F$5:$F$133,MATCH($B1079,I_Items!$A$5:$A$133,0))</f>
        <v>Not stated in item master</v>
      </c>
      <c r="F1079" s="53" t="str">
        <f aca="false">IF(INDEX(I_Items!$E$5:$E$133,MATCH($B1079,I_Items!$A$5:$A$133,0))="","",INDEX(I_Items!$E$5:$E$133,MATCH($B1079,I_Items!$A$5:$A$133,0)))</f>
        <v/>
      </c>
      <c r="G1079" s="76" t="n">
        <v>46228</v>
      </c>
      <c r="H1079" s="23" t="n">
        <f aca="false">MONTH(G1079)</f>
        <v>7</v>
      </c>
      <c r="I1079" s="74" t="s">
        <v>2075</v>
      </c>
      <c r="J1079" s="74" t="s">
        <v>2116</v>
      </c>
      <c r="K1079" s="10" t="n">
        <v>0</v>
      </c>
      <c r="L1079" s="8" t="n">
        <v>0</v>
      </c>
      <c r="M1079" s="10" t="n">
        <v>948.37</v>
      </c>
      <c r="N1079" s="8" t="n">
        <v>4230299.32</v>
      </c>
      <c r="O1079" s="74" t="s">
        <v>2077</v>
      </c>
      <c r="P1079" s="74"/>
      <c r="Q1079" s="74"/>
      <c r="R1079" s="14" t="n">
        <f aca="false">IF(I1079="Unbilled",0,M1079)</f>
        <v>948.37</v>
      </c>
      <c r="S1079" s="9" t="n">
        <f aca="false">IF(R1079=0,0,IF(O1079="Booked",N1079,R1079*V1078))</f>
        <v>4230299.35690175</v>
      </c>
      <c r="T1079" s="14" t="n">
        <f aca="false">IF(I1079="Opening",K1079,T1078+K1079-R1079)</f>
        <v>5440.95</v>
      </c>
      <c r="U1079" s="9" t="n">
        <f aca="false">IF(I1079="Opening",L1079,U1078+L1079-S1079)</f>
        <v>24269902.3439529</v>
      </c>
      <c r="V1079" s="9" t="n">
        <f aca="false">IF(T1079&gt;0,U1079/T1079,IF(I1079="Opening",0,V1078))</f>
        <v>4460.60014224591</v>
      </c>
      <c r="W1079" s="14" t="n">
        <f aca="false">M1079</f>
        <v>948.37</v>
      </c>
      <c r="X1079" s="9" t="n">
        <f aca="false">IF(W1079=0,0,IF(O1079="Booked",N1079,W1079*AA1078))</f>
        <v>4230299.35690175</v>
      </c>
      <c r="Y1079" s="14" t="n">
        <f aca="false">IF(I1079="Opening",K1079,Y1078+K1079-W1079)</f>
        <v>5440.95</v>
      </c>
      <c r="Z1079" s="9" t="n">
        <f aca="false">IF(I1079="Opening",L1079,Z1078+L1079-X1079)</f>
        <v>24269902.3439529</v>
      </c>
      <c r="AA1079" s="9" t="n">
        <f aca="false">IF(Y1079&gt;0,Z1079/Y1079,IF(I1079="Opening",0,AA1078))</f>
        <v>4460.60014224591</v>
      </c>
      <c r="AB1079" s="9" t="n">
        <f aca="false">IF(AND(I1079="DO",O1079="MA"),S1079-N1079,0)</f>
        <v>0.0369017496705055</v>
      </c>
      <c r="AC1079" s="9" t="n">
        <f aca="false">IF(I1079="DO",X1079-S1079,0)</f>
        <v>0</v>
      </c>
      <c r="AD1079" s="23" t="n">
        <f aca="false">IF(B1080&lt;&gt;B1079,1,0)</f>
        <v>0</v>
      </c>
      <c r="AE1079" s="14" t="n">
        <f aca="false">IF(I1079="Opening",0,AE1078+W1079)</f>
        <v>3416.95</v>
      </c>
      <c r="AF1079" s="14" t="n">
        <f aca="false">IF(I1079="Opening",K1079,AF1078)</f>
        <v>0</v>
      </c>
      <c r="AG1079" s="14" t="n">
        <f aca="false">AG1078</f>
        <v>8857.9</v>
      </c>
      <c r="AH1079" s="14" t="n">
        <f aca="false">IF(W1079=0,0,MAX(0,MIN(AE1079,AF1079)-MIN(AE1079-W1079,AF1079)))</f>
        <v>0</v>
      </c>
      <c r="AI1079" s="14" t="n">
        <f aca="false">IF(W1079=0,0,MAX(0,MIN(AE1079,AF1079+AG1079)-MAX(AE1079-W1079,AF1079)))</f>
        <v>948.37</v>
      </c>
      <c r="AJ1079" s="14" t="n">
        <f aca="false">W1079-AH1079-AI1079</f>
        <v>0</v>
      </c>
      <c r="AK1079" s="9" t="n">
        <f aca="false">IF(W1079=0,0,X1079*AH1079/W1079)</f>
        <v>0</v>
      </c>
      <c r="AL1079" s="9" t="n">
        <f aca="false">IF(W1079=0,0,X1079*AI1079/W1079)</f>
        <v>4230299.35690175</v>
      </c>
      <c r="AM1079" s="9" t="n">
        <f aca="false">X1079-AK1079-AL1079</f>
        <v>0</v>
      </c>
    </row>
    <row r="1080" customFormat="false" ht="15" hidden="false" customHeight="false" outlineLevel="0" collapsed="false">
      <c r="A1080" s="6" t="n">
        <v>1075</v>
      </c>
      <c r="B1080" s="74" t="s">
        <v>1035</v>
      </c>
      <c r="C1080" s="53" t="str">
        <f aca="false">INDEX(I_Items!$C$5:$C$133,MATCH($B1080,I_Items!$A$5:$A$133,0))</f>
        <v>Trading</v>
      </c>
      <c r="D1080" s="53" t="str">
        <f aca="false">INDEX(I_Items!$D$5:$D$133,MATCH($B1080,I_Items!$A$5:$A$133,0))</f>
        <v>KRK (Kerangka)</v>
      </c>
      <c r="E1080" s="53" t="str">
        <f aca="false">INDEX(I_Items!$F$5:$F$133,MATCH($B1080,I_Items!$A$5:$A$133,0))</f>
        <v>Not stated in item master</v>
      </c>
      <c r="F1080" s="53" t="str">
        <f aca="false">IF(INDEX(I_Items!$E$5:$E$133,MATCH($B1080,I_Items!$A$5:$A$133,0))="","",INDEX(I_Items!$E$5:$E$133,MATCH($B1080,I_Items!$A$5:$A$133,0)))</f>
        <v/>
      </c>
      <c r="G1080" s="76" t="n">
        <v>46234</v>
      </c>
      <c r="H1080" s="23" t="n">
        <f aca="false">MONTH(G1080)</f>
        <v>7</v>
      </c>
      <c r="I1080" s="74" t="s">
        <v>2075</v>
      </c>
      <c r="J1080" s="74" t="s">
        <v>2351</v>
      </c>
      <c r="K1080" s="10" t="n">
        <v>0</v>
      </c>
      <c r="L1080" s="8" t="n">
        <v>0</v>
      </c>
      <c r="M1080" s="10" t="n">
        <v>2372.61</v>
      </c>
      <c r="N1080" s="8" t="n">
        <v>10583264.4</v>
      </c>
      <c r="O1080" s="74" t="s">
        <v>2077</v>
      </c>
      <c r="P1080" s="74"/>
      <c r="Q1080" s="74"/>
      <c r="R1080" s="14" t="n">
        <f aca="false">IF(I1080="Unbilled",0,M1080)</f>
        <v>2372.61</v>
      </c>
      <c r="S1080" s="9" t="n">
        <f aca="false">IF(R1080=0,0,IF(O1080="Booked",N1080,R1080*V1079))</f>
        <v>10583264.5034941</v>
      </c>
      <c r="T1080" s="14" t="n">
        <f aca="false">IF(I1080="Opening",K1080,T1079+K1080-R1080)</f>
        <v>3068.34</v>
      </c>
      <c r="U1080" s="9" t="n">
        <f aca="false">IF(I1080="Opening",L1080,U1079+L1080-S1080)</f>
        <v>13686637.8404588</v>
      </c>
      <c r="V1080" s="9" t="n">
        <f aca="false">IF(T1080&gt;0,U1080/T1080,IF(I1080="Opening",0,V1079))</f>
        <v>4460.60014224591</v>
      </c>
      <c r="W1080" s="14" t="n">
        <f aca="false">M1080</f>
        <v>2372.61</v>
      </c>
      <c r="X1080" s="9" t="n">
        <f aca="false">IF(W1080=0,0,IF(O1080="Booked",N1080,W1080*AA1079))</f>
        <v>10583264.5034941</v>
      </c>
      <c r="Y1080" s="14" t="n">
        <f aca="false">IF(I1080="Opening",K1080,Y1079+K1080-W1080)</f>
        <v>3068.34</v>
      </c>
      <c r="Z1080" s="9" t="n">
        <f aca="false">IF(I1080="Opening",L1080,Z1079+L1080-X1080)</f>
        <v>13686637.8404588</v>
      </c>
      <c r="AA1080" s="9" t="n">
        <f aca="false">IF(Y1080&gt;0,Z1080/Y1080,IF(I1080="Opening",0,AA1079))</f>
        <v>4460.60014224591</v>
      </c>
      <c r="AB1080" s="9" t="n">
        <f aca="false">IF(AND(I1080="DO",O1080="MA"),S1080-N1080,0)</f>
        <v>0.103494057431817</v>
      </c>
      <c r="AC1080" s="9" t="n">
        <f aca="false">IF(I1080="DO",X1080-S1080,0)</f>
        <v>0</v>
      </c>
      <c r="AD1080" s="23" t="n">
        <f aca="false">IF(B1081&lt;&gt;B1080,1,0)</f>
        <v>0</v>
      </c>
      <c r="AE1080" s="14" t="n">
        <f aca="false">IF(I1080="Opening",0,AE1079+W1080)</f>
        <v>5789.56</v>
      </c>
      <c r="AF1080" s="14" t="n">
        <f aca="false">IF(I1080="Opening",K1080,AF1079)</f>
        <v>0</v>
      </c>
      <c r="AG1080" s="14" t="n">
        <f aca="false">AG1079</f>
        <v>8857.9</v>
      </c>
      <c r="AH1080" s="14" t="n">
        <f aca="false">IF(W1080=0,0,MAX(0,MIN(AE1080,AF1080)-MIN(AE1080-W1080,AF1080)))</f>
        <v>0</v>
      </c>
      <c r="AI1080" s="14" t="n">
        <f aca="false">IF(W1080=0,0,MAX(0,MIN(AE1080,AF1080+AG1080)-MAX(AE1080-W1080,AF1080)))</f>
        <v>2372.61</v>
      </c>
      <c r="AJ1080" s="14" t="n">
        <f aca="false">W1080-AH1080-AI1080</f>
        <v>0</v>
      </c>
      <c r="AK1080" s="9" t="n">
        <f aca="false">IF(W1080=0,0,X1080*AH1080/W1080)</f>
        <v>0</v>
      </c>
      <c r="AL1080" s="9" t="n">
        <f aca="false">IF(W1080=0,0,X1080*AI1080/W1080)</f>
        <v>10583264.5034941</v>
      </c>
      <c r="AM1080" s="9" t="n">
        <f aca="false">X1080-AK1080-AL1080</f>
        <v>0</v>
      </c>
    </row>
    <row r="1081" customFormat="false" ht="15" hidden="false" customHeight="false" outlineLevel="0" collapsed="false">
      <c r="A1081" s="6" t="n">
        <v>1076</v>
      </c>
      <c r="B1081" s="74" t="s">
        <v>1035</v>
      </c>
      <c r="C1081" s="53" t="str">
        <f aca="false">INDEX(I_Items!$C$5:$C$133,MATCH($B1081,I_Items!$A$5:$A$133,0))</f>
        <v>Trading</v>
      </c>
      <c r="D1081" s="53" t="str">
        <f aca="false">INDEX(I_Items!$D$5:$D$133,MATCH($B1081,I_Items!$A$5:$A$133,0))</f>
        <v>KRK (Kerangka)</v>
      </c>
      <c r="E1081" s="53" t="str">
        <f aca="false">INDEX(I_Items!$F$5:$F$133,MATCH($B1081,I_Items!$A$5:$A$133,0))</f>
        <v>Not stated in item master</v>
      </c>
      <c r="F1081" s="53" t="str">
        <f aca="false">IF(INDEX(I_Items!$E$5:$E$133,MATCH($B1081,I_Items!$A$5:$A$133,0))="","",INDEX(I_Items!$E$5:$E$133,MATCH($B1081,I_Items!$A$5:$A$133,0)))</f>
        <v/>
      </c>
      <c r="G1081" s="76" t="n">
        <v>46247</v>
      </c>
      <c r="H1081" s="23" t="n">
        <f aca="false">MONTH(G1081)</f>
        <v>8</v>
      </c>
      <c r="I1081" s="74" t="s">
        <v>2075</v>
      </c>
      <c r="J1081" s="74" t="s">
        <v>2352</v>
      </c>
      <c r="K1081" s="10" t="n">
        <v>0</v>
      </c>
      <c r="L1081" s="8" t="n">
        <v>0</v>
      </c>
      <c r="M1081" s="10" t="n">
        <v>242</v>
      </c>
      <c r="N1081" s="8" t="n">
        <v>1079465.22</v>
      </c>
      <c r="O1081" s="74" t="s">
        <v>2077</v>
      </c>
      <c r="P1081" s="74"/>
      <c r="Q1081" s="74"/>
      <c r="R1081" s="14" t="n">
        <f aca="false">IF(I1081="Unbilled",0,M1081)</f>
        <v>242</v>
      </c>
      <c r="S1081" s="9" t="n">
        <f aca="false">IF(R1081=0,0,IF(O1081="Booked",N1081,R1081*V1080))</f>
        <v>1079465.23442351</v>
      </c>
      <c r="T1081" s="14" t="n">
        <f aca="false">IF(I1081="Opening",K1081,T1080+K1081-R1081)</f>
        <v>2826.34</v>
      </c>
      <c r="U1081" s="9" t="n">
        <f aca="false">IF(I1081="Opening",L1081,U1080+L1081-S1081)</f>
        <v>12607172.6060353</v>
      </c>
      <c r="V1081" s="9" t="n">
        <f aca="false">IF(T1081&gt;0,U1081/T1081,IF(I1081="Opening",0,V1080))</f>
        <v>4460.60014224591</v>
      </c>
      <c r="W1081" s="14" t="n">
        <f aca="false">M1081</f>
        <v>242</v>
      </c>
      <c r="X1081" s="9" t="n">
        <f aca="false">IF(W1081=0,0,IF(O1081="Booked",N1081,W1081*AA1080))</f>
        <v>1079465.23442351</v>
      </c>
      <c r="Y1081" s="14" t="n">
        <f aca="false">IF(I1081="Opening",K1081,Y1080+K1081-W1081)</f>
        <v>2826.34</v>
      </c>
      <c r="Z1081" s="9" t="n">
        <f aca="false">IF(I1081="Opening",L1081,Z1080+L1081-X1081)</f>
        <v>12607172.6060353</v>
      </c>
      <c r="AA1081" s="9" t="n">
        <f aca="false">IF(Y1081&gt;0,Z1081/Y1081,IF(I1081="Opening",0,AA1080))</f>
        <v>4460.60014224591</v>
      </c>
      <c r="AB1081" s="9" t="n">
        <f aca="false">IF(AND(I1081="DO",O1081="MA"),S1081-N1081,0)</f>
        <v>0.0144235088955611</v>
      </c>
      <c r="AC1081" s="9" t="n">
        <f aca="false">IF(I1081="DO",X1081-S1081,0)</f>
        <v>0</v>
      </c>
      <c r="AD1081" s="23" t="n">
        <f aca="false">IF(B1082&lt;&gt;B1081,1,0)</f>
        <v>0</v>
      </c>
      <c r="AE1081" s="14" t="n">
        <f aca="false">IF(I1081="Opening",0,AE1080+W1081)</f>
        <v>6031.56</v>
      </c>
      <c r="AF1081" s="14" t="n">
        <f aca="false">IF(I1081="Opening",K1081,AF1080)</f>
        <v>0</v>
      </c>
      <c r="AG1081" s="14" t="n">
        <f aca="false">AG1080</f>
        <v>8857.9</v>
      </c>
      <c r="AH1081" s="14" t="n">
        <f aca="false">IF(W1081=0,0,MAX(0,MIN(AE1081,AF1081)-MIN(AE1081-W1081,AF1081)))</f>
        <v>0</v>
      </c>
      <c r="AI1081" s="14" t="n">
        <f aca="false">IF(W1081=0,0,MAX(0,MIN(AE1081,AF1081+AG1081)-MAX(AE1081-W1081,AF1081)))</f>
        <v>242</v>
      </c>
      <c r="AJ1081" s="14" t="n">
        <f aca="false">W1081-AH1081-AI1081</f>
        <v>0</v>
      </c>
      <c r="AK1081" s="9" t="n">
        <f aca="false">IF(W1081=0,0,X1081*AH1081/W1081)</f>
        <v>0</v>
      </c>
      <c r="AL1081" s="9" t="n">
        <f aca="false">IF(W1081=0,0,X1081*AI1081/W1081)</f>
        <v>1079465.23442351</v>
      </c>
      <c r="AM1081" s="9" t="n">
        <f aca="false">X1081-AK1081-AL1081</f>
        <v>0</v>
      </c>
    </row>
    <row r="1082" customFormat="false" ht="15" hidden="false" customHeight="false" outlineLevel="0" collapsed="false">
      <c r="A1082" s="6" t="n">
        <v>1077</v>
      </c>
      <c r="B1082" s="74" t="s">
        <v>1035</v>
      </c>
      <c r="C1082" s="53" t="str">
        <f aca="false">INDEX(I_Items!$C$5:$C$133,MATCH($B1082,I_Items!$A$5:$A$133,0))</f>
        <v>Trading</v>
      </c>
      <c r="D1082" s="53" t="str">
        <f aca="false">INDEX(I_Items!$D$5:$D$133,MATCH($B1082,I_Items!$A$5:$A$133,0))</f>
        <v>KRK (Kerangka)</v>
      </c>
      <c r="E1082" s="53" t="str">
        <f aca="false">INDEX(I_Items!$F$5:$F$133,MATCH($B1082,I_Items!$A$5:$A$133,0))</f>
        <v>Not stated in item master</v>
      </c>
      <c r="F1082" s="53" t="str">
        <f aca="false">IF(INDEX(I_Items!$E$5:$E$133,MATCH($B1082,I_Items!$A$5:$A$133,0))="","",INDEX(I_Items!$E$5:$E$133,MATCH($B1082,I_Items!$A$5:$A$133,0)))</f>
        <v/>
      </c>
      <c r="G1082" s="76" t="n">
        <v>46249</v>
      </c>
      <c r="H1082" s="23" t="n">
        <f aca="false">MONTH(G1082)</f>
        <v>8</v>
      </c>
      <c r="I1082" s="74" t="s">
        <v>2074</v>
      </c>
      <c r="J1082" s="74" t="s">
        <v>2300</v>
      </c>
      <c r="K1082" s="10" t="n">
        <v>15579.4</v>
      </c>
      <c r="L1082" s="8" t="n">
        <v>164369735.26</v>
      </c>
      <c r="M1082" s="10" t="n">
        <v>0</v>
      </c>
      <c r="N1082" s="8" t="n">
        <v>0</v>
      </c>
      <c r="O1082" s="74"/>
      <c r="P1082" s="74"/>
      <c r="Q1082" s="74"/>
      <c r="R1082" s="14" t="n">
        <f aca="false">IF(I1082="Unbilled",0,M1082)</f>
        <v>0</v>
      </c>
      <c r="S1082" s="9" t="n">
        <f aca="false">IF(R1082=0,0,IF(O1082="Booked",N1082,R1082*V1081))</f>
        <v>0</v>
      </c>
      <c r="T1082" s="14" t="n">
        <f aca="false">IF(I1082="Opening",K1082,T1081+K1082-R1082)</f>
        <v>18405.74</v>
      </c>
      <c r="U1082" s="9" t="n">
        <f aca="false">IF(I1082="Opening",L1082,U1081+L1082-S1082)</f>
        <v>176976907.866035</v>
      </c>
      <c r="V1082" s="9" t="n">
        <f aca="false">IF(T1082&gt;0,U1082/T1082,IF(I1082="Opening",0,V1081))</f>
        <v>9615.31065124441</v>
      </c>
      <c r="W1082" s="14" t="n">
        <f aca="false">M1082</f>
        <v>0</v>
      </c>
      <c r="X1082" s="9" t="n">
        <f aca="false">IF(W1082=0,0,IF(O1082="Booked",N1082,W1082*AA1081))</f>
        <v>0</v>
      </c>
      <c r="Y1082" s="14" t="n">
        <f aca="false">IF(I1082="Opening",K1082,Y1081+K1082-W1082)</f>
        <v>18405.74</v>
      </c>
      <c r="Z1082" s="9" t="n">
        <f aca="false">IF(I1082="Opening",L1082,Z1081+L1082-X1082)</f>
        <v>176976907.866035</v>
      </c>
      <c r="AA1082" s="9" t="n">
        <f aca="false">IF(Y1082&gt;0,Z1082/Y1082,IF(I1082="Opening",0,AA1081))</f>
        <v>9615.31065124441</v>
      </c>
      <c r="AB1082" s="9" t="n">
        <f aca="false">IF(AND(I1082="DO",O1082="MA"),S1082-N1082,0)</f>
        <v>0</v>
      </c>
      <c r="AC1082" s="9" t="n">
        <f aca="false">IF(I1082="DO",X1082-S1082,0)</f>
        <v>0</v>
      </c>
      <c r="AD1082" s="23" t="n">
        <f aca="false">IF(B1083&lt;&gt;B1082,1,0)</f>
        <v>0</v>
      </c>
      <c r="AE1082" s="14" t="n">
        <f aca="false">IF(I1082="Opening",0,AE1081+W1082)</f>
        <v>6031.56</v>
      </c>
      <c r="AF1082" s="14" t="n">
        <f aca="false">IF(I1082="Opening",K1082,AF1081)</f>
        <v>0</v>
      </c>
      <c r="AG1082" s="14" t="n">
        <f aca="false">AG1081</f>
        <v>8857.9</v>
      </c>
      <c r="AH1082" s="14" t="n">
        <f aca="false">IF(W1082=0,0,MAX(0,MIN(AE1082,AF1082)-MIN(AE1082-W1082,AF1082)))</f>
        <v>0</v>
      </c>
      <c r="AI1082" s="14" t="n">
        <f aca="false">IF(W1082=0,0,MAX(0,MIN(AE1082,AF1082+AG1082)-MAX(AE1082-W1082,AF1082)))</f>
        <v>0</v>
      </c>
      <c r="AJ1082" s="14" t="n">
        <f aca="false">W1082-AH1082-AI1082</f>
        <v>0</v>
      </c>
      <c r="AK1082" s="9" t="n">
        <f aca="false">IF(W1082=0,0,X1082*AH1082/W1082)</f>
        <v>0</v>
      </c>
      <c r="AL1082" s="9" t="n">
        <f aca="false">IF(W1082=0,0,X1082*AI1082/W1082)</f>
        <v>0</v>
      </c>
      <c r="AM1082" s="9" t="n">
        <f aca="false">X1082-AK1082-AL1082</f>
        <v>0</v>
      </c>
    </row>
    <row r="1083" customFormat="false" ht="15" hidden="false" customHeight="false" outlineLevel="0" collapsed="false">
      <c r="A1083" s="6" t="n">
        <v>1078</v>
      </c>
      <c r="B1083" s="74" t="s">
        <v>1035</v>
      </c>
      <c r="C1083" s="53" t="str">
        <f aca="false">INDEX(I_Items!$C$5:$C$133,MATCH($B1083,I_Items!$A$5:$A$133,0))</f>
        <v>Trading</v>
      </c>
      <c r="D1083" s="53" t="str">
        <f aca="false">INDEX(I_Items!$D$5:$D$133,MATCH($B1083,I_Items!$A$5:$A$133,0))</f>
        <v>KRK (Kerangka)</v>
      </c>
      <c r="E1083" s="53" t="str">
        <f aca="false">INDEX(I_Items!$F$5:$F$133,MATCH($B1083,I_Items!$A$5:$A$133,0))</f>
        <v>Not stated in item master</v>
      </c>
      <c r="F1083" s="53" t="str">
        <f aca="false">IF(INDEX(I_Items!$E$5:$E$133,MATCH($B1083,I_Items!$A$5:$A$133,0))="","",INDEX(I_Items!$E$5:$E$133,MATCH($B1083,I_Items!$A$5:$A$133,0)))</f>
        <v/>
      </c>
      <c r="G1083" s="76" t="n">
        <v>46254</v>
      </c>
      <c r="H1083" s="23" t="n">
        <f aca="false">MONTH(G1083)</f>
        <v>8</v>
      </c>
      <c r="I1083" s="74" t="s">
        <v>2074</v>
      </c>
      <c r="J1083" s="74" t="s">
        <v>2274</v>
      </c>
      <c r="K1083" s="10" t="n">
        <v>14924.2</v>
      </c>
      <c r="L1083" s="8" t="n">
        <v>166683837.92</v>
      </c>
      <c r="M1083" s="10" t="n">
        <v>0</v>
      </c>
      <c r="N1083" s="8" t="n">
        <v>0</v>
      </c>
      <c r="O1083" s="74"/>
      <c r="P1083" s="74"/>
      <c r="Q1083" s="74"/>
      <c r="R1083" s="14" t="n">
        <f aca="false">IF(I1083="Unbilled",0,M1083)</f>
        <v>0</v>
      </c>
      <c r="S1083" s="9" t="n">
        <f aca="false">IF(R1083=0,0,IF(O1083="Booked",N1083,R1083*V1082))</f>
        <v>0</v>
      </c>
      <c r="T1083" s="14" t="n">
        <f aca="false">IF(I1083="Opening",K1083,T1082+K1083-R1083)</f>
        <v>33329.94</v>
      </c>
      <c r="U1083" s="9" t="n">
        <f aca="false">IF(I1083="Opening",L1083,U1082+L1083-S1083)</f>
        <v>343660745.786035</v>
      </c>
      <c r="V1083" s="9" t="n">
        <f aca="false">IF(T1083&gt;0,U1083/T1083,IF(I1083="Opening",0,V1082))</f>
        <v>10310.8720203527</v>
      </c>
      <c r="W1083" s="14" t="n">
        <f aca="false">M1083</f>
        <v>0</v>
      </c>
      <c r="X1083" s="9" t="n">
        <f aca="false">IF(W1083=0,0,IF(O1083="Booked",N1083,W1083*AA1082))</f>
        <v>0</v>
      </c>
      <c r="Y1083" s="14" t="n">
        <f aca="false">IF(I1083="Opening",K1083,Y1082+K1083-W1083)</f>
        <v>33329.94</v>
      </c>
      <c r="Z1083" s="9" t="n">
        <f aca="false">IF(I1083="Opening",L1083,Z1082+L1083-X1083)</f>
        <v>343660745.786035</v>
      </c>
      <c r="AA1083" s="9" t="n">
        <f aca="false">IF(Y1083&gt;0,Z1083/Y1083,IF(I1083="Opening",0,AA1082))</f>
        <v>10310.8720203527</v>
      </c>
      <c r="AB1083" s="9" t="n">
        <f aca="false">IF(AND(I1083="DO",O1083="MA"),S1083-N1083,0)</f>
        <v>0</v>
      </c>
      <c r="AC1083" s="9" t="n">
        <f aca="false">IF(I1083="DO",X1083-S1083,0)</f>
        <v>0</v>
      </c>
      <c r="AD1083" s="23" t="n">
        <f aca="false">IF(B1084&lt;&gt;B1083,1,0)</f>
        <v>0</v>
      </c>
      <c r="AE1083" s="14" t="n">
        <f aca="false">IF(I1083="Opening",0,AE1082+W1083)</f>
        <v>6031.56</v>
      </c>
      <c r="AF1083" s="14" t="n">
        <f aca="false">IF(I1083="Opening",K1083,AF1082)</f>
        <v>0</v>
      </c>
      <c r="AG1083" s="14" t="n">
        <f aca="false">AG1082</f>
        <v>8857.9</v>
      </c>
      <c r="AH1083" s="14" t="n">
        <f aca="false">IF(W1083=0,0,MAX(0,MIN(AE1083,AF1083)-MIN(AE1083-W1083,AF1083)))</f>
        <v>0</v>
      </c>
      <c r="AI1083" s="14" t="n">
        <f aca="false">IF(W1083=0,0,MAX(0,MIN(AE1083,AF1083+AG1083)-MAX(AE1083-W1083,AF1083)))</f>
        <v>0</v>
      </c>
      <c r="AJ1083" s="14" t="n">
        <f aca="false">W1083-AH1083-AI1083</f>
        <v>0</v>
      </c>
      <c r="AK1083" s="9" t="n">
        <f aca="false">IF(W1083=0,0,X1083*AH1083/W1083)</f>
        <v>0</v>
      </c>
      <c r="AL1083" s="9" t="n">
        <f aca="false">IF(W1083=0,0,X1083*AI1083/W1083)</f>
        <v>0</v>
      </c>
      <c r="AM1083" s="9" t="n">
        <f aca="false">X1083-AK1083-AL1083</f>
        <v>0</v>
      </c>
    </row>
    <row r="1084" customFormat="false" ht="15" hidden="false" customHeight="false" outlineLevel="0" collapsed="false">
      <c r="A1084" s="6" t="n">
        <v>1079</v>
      </c>
      <c r="B1084" s="74" t="s">
        <v>1035</v>
      </c>
      <c r="C1084" s="53" t="str">
        <f aca="false">INDEX(I_Items!$C$5:$C$133,MATCH($B1084,I_Items!$A$5:$A$133,0))</f>
        <v>Trading</v>
      </c>
      <c r="D1084" s="53" t="str">
        <f aca="false">INDEX(I_Items!$D$5:$D$133,MATCH($B1084,I_Items!$A$5:$A$133,0))</f>
        <v>KRK (Kerangka)</v>
      </c>
      <c r="E1084" s="53" t="str">
        <f aca="false">INDEX(I_Items!$F$5:$F$133,MATCH($B1084,I_Items!$A$5:$A$133,0))</f>
        <v>Not stated in item master</v>
      </c>
      <c r="F1084" s="53" t="str">
        <f aca="false">IF(INDEX(I_Items!$E$5:$E$133,MATCH($B1084,I_Items!$A$5:$A$133,0))="","",INDEX(I_Items!$E$5:$E$133,MATCH($B1084,I_Items!$A$5:$A$133,0)))</f>
        <v/>
      </c>
      <c r="G1084" s="76" t="n">
        <v>46260</v>
      </c>
      <c r="H1084" s="23" t="n">
        <f aca="false">MONTH(G1084)</f>
        <v>8</v>
      </c>
      <c r="I1084" s="74" t="s">
        <v>2075</v>
      </c>
      <c r="J1084" s="74" t="s">
        <v>2353</v>
      </c>
      <c r="K1084" s="10" t="n">
        <v>0</v>
      </c>
      <c r="L1084" s="8" t="n">
        <v>0</v>
      </c>
      <c r="M1084" s="10" t="n">
        <v>3783.8</v>
      </c>
      <c r="N1084" s="8" t="n">
        <v>39014277.47</v>
      </c>
      <c r="O1084" s="74" t="s">
        <v>2077</v>
      </c>
      <c r="P1084" s="74"/>
      <c r="Q1084" s="74"/>
      <c r="R1084" s="14" t="n">
        <f aca="false">IF(I1084="Unbilled",0,M1084)</f>
        <v>3783.8</v>
      </c>
      <c r="S1084" s="9" t="n">
        <f aca="false">IF(R1084=0,0,IF(O1084="Booked",N1084,R1084*V1083))</f>
        <v>39014277.5506107</v>
      </c>
      <c r="T1084" s="14" t="n">
        <f aca="false">IF(I1084="Opening",K1084,T1083+K1084-R1084)</f>
        <v>29546.14</v>
      </c>
      <c r="U1084" s="9" t="n">
        <f aca="false">IF(I1084="Opening",L1084,U1083+L1084-S1084)</f>
        <v>304646468.235425</v>
      </c>
      <c r="V1084" s="9" t="n">
        <f aca="false">IF(T1084&gt;0,U1084/T1084,IF(I1084="Opening",0,V1083))</f>
        <v>10310.8720203527</v>
      </c>
      <c r="W1084" s="14" t="n">
        <f aca="false">M1084</f>
        <v>3783.8</v>
      </c>
      <c r="X1084" s="9" t="n">
        <f aca="false">IF(W1084=0,0,IF(O1084="Booked",N1084,W1084*AA1083))</f>
        <v>39014277.5506107</v>
      </c>
      <c r="Y1084" s="14" t="n">
        <f aca="false">IF(I1084="Opening",K1084,Y1083+K1084-W1084)</f>
        <v>29546.14</v>
      </c>
      <c r="Z1084" s="9" t="n">
        <f aca="false">IF(I1084="Opening",L1084,Z1083+L1084-X1084)</f>
        <v>304646468.235425</v>
      </c>
      <c r="AA1084" s="9" t="n">
        <f aca="false">IF(Y1084&gt;0,Z1084/Y1084,IF(I1084="Opening",0,AA1083))</f>
        <v>10310.8720203527</v>
      </c>
      <c r="AB1084" s="9" t="n">
        <f aca="false">IF(AND(I1084="DO",O1084="MA"),S1084-N1084,0)</f>
        <v>0.0806106626987457</v>
      </c>
      <c r="AC1084" s="9" t="n">
        <f aca="false">IF(I1084="DO",X1084-S1084,0)</f>
        <v>0</v>
      </c>
      <c r="AD1084" s="23" t="n">
        <f aca="false">IF(B1085&lt;&gt;B1084,1,0)</f>
        <v>0</v>
      </c>
      <c r="AE1084" s="14" t="n">
        <f aca="false">IF(I1084="Opening",0,AE1083+W1084)</f>
        <v>9815.36</v>
      </c>
      <c r="AF1084" s="14" t="n">
        <f aca="false">IF(I1084="Opening",K1084,AF1083)</f>
        <v>0</v>
      </c>
      <c r="AG1084" s="14" t="n">
        <f aca="false">AG1083</f>
        <v>8857.9</v>
      </c>
      <c r="AH1084" s="14" t="n">
        <f aca="false">IF(W1084=0,0,MAX(0,MIN(AE1084,AF1084)-MIN(AE1084-W1084,AF1084)))</f>
        <v>0</v>
      </c>
      <c r="AI1084" s="14" t="n">
        <f aca="false">IF(W1084=0,0,MAX(0,MIN(AE1084,AF1084+AG1084)-MAX(AE1084-W1084,AF1084)))</f>
        <v>2826.34</v>
      </c>
      <c r="AJ1084" s="14" t="n">
        <f aca="false">W1084-AH1084-AI1084</f>
        <v>957.460000000001</v>
      </c>
      <c r="AK1084" s="9" t="n">
        <f aca="false">IF(W1084=0,0,X1084*AH1084/W1084)</f>
        <v>0</v>
      </c>
      <c r="AL1084" s="9" t="n">
        <f aca="false">IF(W1084=0,0,X1084*AI1084/W1084)</f>
        <v>29142030.0260037</v>
      </c>
      <c r="AM1084" s="9" t="n">
        <f aca="false">X1084-AK1084-AL1084</f>
        <v>9872247.52460693</v>
      </c>
    </row>
    <row r="1085" customFormat="false" ht="15" hidden="false" customHeight="false" outlineLevel="0" collapsed="false">
      <c r="A1085" s="6" t="n">
        <v>1080</v>
      </c>
      <c r="B1085" s="74" t="s">
        <v>1035</v>
      </c>
      <c r="C1085" s="53" t="str">
        <f aca="false">INDEX(I_Items!$C$5:$C$133,MATCH($B1085,I_Items!$A$5:$A$133,0))</f>
        <v>Trading</v>
      </c>
      <c r="D1085" s="53" t="str">
        <f aca="false">INDEX(I_Items!$D$5:$D$133,MATCH($B1085,I_Items!$A$5:$A$133,0))</f>
        <v>KRK (Kerangka)</v>
      </c>
      <c r="E1085" s="53" t="str">
        <f aca="false">INDEX(I_Items!$F$5:$F$133,MATCH($B1085,I_Items!$A$5:$A$133,0))</f>
        <v>Not stated in item master</v>
      </c>
      <c r="F1085" s="53" t="str">
        <f aca="false">IF(INDEX(I_Items!$E$5:$E$133,MATCH($B1085,I_Items!$A$5:$A$133,0))="","",INDEX(I_Items!$E$5:$E$133,MATCH($B1085,I_Items!$A$5:$A$133,0)))</f>
        <v/>
      </c>
      <c r="G1085" s="76" t="n">
        <v>46260</v>
      </c>
      <c r="H1085" s="23" t="n">
        <f aca="false">MONTH(G1085)</f>
        <v>8</v>
      </c>
      <c r="I1085" s="74" t="s">
        <v>2075</v>
      </c>
      <c r="J1085" s="74" t="s">
        <v>2354</v>
      </c>
      <c r="K1085" s="10" t="n">
        <v>0</v>
      </c>
      <c r="L1085" s="8" t="n">
        <v>0</v>
      </c>
      <c r="M1085" s="10" t="n">
        <v>3730.7</v>
      </c>
      <c r="N1085" s="8" t="n">
        <v>38466770.17</v>
      </c>
      <c r="O1085" s="74" t="s">
        <v>2077</v>
      </c>
      <c r="P1085" s="74"/>
      <c r="Q1085" s="74"/>
      <c r="R1085" s="14" t="n">
        <f aca="false">IF(I1085="Unbilled",0,M1085)</f>
        <v>3730.7</v>
      </c>
      <c r="S1085" s="9" t="n">
        <f aca="false">IF(R1085=0,0,IF(O1085="Booked",N1085,R1085*V1084))</f>
        <v>38466770.2463299</v>
      </c>
      <c r="T1085" s="14" t="n">
        <f aca="false">IF(I1085="Opening",K1085,T1084+K1085-R1085)</f>
        <v>25815.44</v>
      </c>
      <c r="U1085" s="9" t="n">
        <f aca="false">IF(I1085="Opening",L1085,U1084+L1085-S1085)</f>
        <v>266179697.989095</v>
      </c>
      <c r="V1085" s="9" t="n">
        <f aca="false">IF(T1085&gt;0,U1085/T1085,IF(I1085="Opening",0,V1084))</f>
        <v>10310.8720203527</v>
      </c>
      <c r="W1085" s="14" t="n">
        <f aca="false">M1085</f>
        <v>3730.7</v>
      </c>
      <c r="X1085" s="9" t="n">
        <f aca="false">IF(W1085=0,0,IF(O1085="Booked",N1085,W1085*AA1084))</f>
        <v>38466770.2463299</v>
      </c>
      <c r="Y1085" s="14" t="n">
        <f aca="false">IF(I1085="Opening",K1085,Y1084+K1085-W1085)</f>
        <v>25815.44</v>
      </c>
      <c r="Z1085" s="9" t="n">
        <f aca="false">IF(I1085="Opening",L1085,Z1084+L1085-X1085)</f>
        <v>266179697.989095</v>
      </c>
      <c r="AA1085" s="9" t="n">
        <f aca="false">IF(Y1085&gt;0,Z1085/Y1085,IF(I1085="Opening",0,AA1084))</f>
        <v>10310.8720203527</v>
      </c>
      <c r="AB1085" s="9" t="n">
        <f aca="false">IF(AND(I1085="DO",O1085="MA"),S1085-N1085,0)</f>
        <v>0.0763299241662026</v>
      </c>
      <c r="AC1085" s="9" t="n">
        <f aca="false">IF(I1085="DO",X1085-S1085,0)</f>
        <v>0</v>
      </c>
      <c r="AD1085" s="23" t="n">
        <f aca="false">IF(B1086&lt;&gt;B1085,1,0)</f>
        <v>0</v>
      </c>
      <c r="AE1085" s="14" t="n">
        <f aca="false">IF(I1085="Opening",0,AE1084+W1085)</f>
        <v>13546.06</v>
      </c>
      <c r="AF1085" s="14" t="n">
        <f aca="false">IF(I1085="Opening",K1085,AF1084)</f>
        <v>0</v>
      </c>
      <c r="AG1085" s="14" t="n">
        <f aca="false">AG1084</f>
        <v>8857.9</v>
      </c>
      <c r="AH1085" s="14" t="n">
        <f aca="false">IF(W1085=0,0,MAX(0,MIN(AE1085,AF1085)-MIN(AE1085-W1085,AF1085)))</f>
        <v>0</v>
      </c>
      <c r="AI1085" s="14" t="n">
        <f aca="false">IF(W1085=0,0,MAX(0,MIN(AE1085,AF1085+AG1085)-MAX(AE1085-W1085,AF1085)))</f>
        <v>0</v>
      </c>
      <c r="AJ1085" s="14" t="n">
        <f aca="false">W1085-AH1085-AI1085</f>
        <v>3730.7</v>
      </c>
      <c r="AK1085" s="9" t="n">
        <f aca="false">IF(W1085=0,0,X1085*AH1085/W1085)</f>
        <v>0</v>
      </c>
      <c r="AL1085" s="9" t="n">
        <f aca="false">IF(W1085=0,0,X1085*AI1085/W1085)</f>
        <v>0</v>
      </c>
      <c r="AM1085" s="9" t="n">
        <f aca="false">X1085-AK1085-AL1085</f>
        <v>38466770.2463299</v>
      </c>
    </row>
    <row r="1086" customFormat="false" ht="15" hidden="false" customHeight="false" outlineLevel="0" collapsed="false">
      <c r="A1086" s="6" t="n">
        <v>1081</v>
      </c>
      <c r="B1086" s="74" t="s">
        <v>1035</v>
      </c>
      <c r="C1086" s="53" t="str">
        <f aca="false">INDEX(I_Items!$C$5:$C$133,MATCH($B1086,I_Items!$A$5:$A$133,0))</f>
        <v>Trading</v>
      </c>
      <c r="D1086" s="53" t="str">
        <f aca="false">INDEX(I_Items!$D$5:$D$133,MATCH($B1086,I_Items!$A$5:$A$133,0))</f>
        <v>KRK (Kerangka)</v>
      </c>
      <c r="E1086" s="53" t="str">
        <f aca="false">INDEX(I_Items!$F$5:$F$133,MATCH($B1086,I_Items!$A$5:$A$133,0))</f>
        <v>Not stated in item master</v>
      </c>
      <c r="F1086" s="53" t="str">
        <f aca="false">IF(INDEX(I_Items!$E$5:$E$133,MATCH($B1086,I_Items!$A$5:$A$133,0))="","",INDEX(I_Items!$E$5:$E$133,MATCH($B1086,I_Items!$A$5:$A$133,0)))</f>
        <v/>
      </c>
      <c r="G1086" s="76" t="n">
        <v>46262</v>
      </c>
      <c r="H1086" s="23" t="n">
        <f aca="false">MONTH(G1086)</f>
        <v>8</v>
      </c>
      <c r="I1086" s="74" t="s">
        <v>2075</v>
      </c>
      <c r="J1086" s="74" t="s">
        <v>2355</v>
      </c>
      <c r="K1086" s="10" t="n">
        <v>0</v>
      </c>
      <c r="L1086" s="8" t="n">
        <v>0</v>
      </c>
      <c r="M1086" s="10" t="n">
        <v>6011.3</v>
      </c>
      <c r="N1086" s="8" t="n">
        <v>61981744.85</v>
      </c>
      <c r="O1086" s="74" t="s">
        <v>2077</v>
      </c>
      <c r="P1086" s="74"/>
      <c r="Q1086" s="74"/>
      <c r="R1086" s="14" t="n">
        <f aca="false">IF(I1086="Unbilled",0,M1086)</f>
        <v>6011.3</v>
      </c>
      <c r="S1086" s="9" t="n">
        <f aca="false">IF(R1086=0,0,IF(O1086="Booked",N1086,R1086*V1085))</f>
        <v>61981744.9759464</v>
      </c>
      <c r="T1086" s="14" t="n">
        <f aca="false">IF(I1086="Opening",K1086,T1085+K1086-R1086)</f>
        <v>19804.14</v>
      </c>
      <c r="U1086" s="9" t="n">
        <f aca="false">IF(I1086="Opening",L1086,U1085+L1086-S1086)</f>
        <v>204197953.013148</v>
      </c>
      <c r="V1086" s="9" t="n">
        <f aca="false">IF(T1086&gt;0,U1086/T1086,IF(I1086="Opening",0,V1085))</f>
        <v>10310.8720203527</v>
      </c>
      <c r="W1086" s="14" t="n">
        <f aca="false">M1086</f>
        <v>6011.3</v>
      </c>
      <c r="X1086" s="9" t="n">
        <f aca="false">IF(W1086=0,0,IF(O1086="Booked",N1086,W1086*AA1085))</f>
        <v>61981744.9759464</v>
      </c>
      <c r="Y1086" s="14" t="n">
        <f aca="false">IF(I1086="Opening",K1086,Y1085+K1086-W1086)</f>
        <v>19804.14</v>
      </c>
      <c r="Z1086" s="9" t="n">
        <f aca="false">IF(I1086="Opening",L1086,Z1085+L1086-X1086)</f>
        <v>204197953.013148</v>
      </c>
      <c r="AA1086" s="9" t="n">
        <f aca="false">IF(Y1086&gt;0,Z1086/Y1086,IF(I1086="Opening",0,AA1085))</f>
        <v>10310.8720203527</v>
      </c>
      <c r="AB1086" s="9" t="n">
        <f aca="false">IF(AND(I1086="DO",O1086="MA"),S1086-N1086,0)</f>
        <v>0.125946365296841</v>
      </c>
      <c r="AC1086" s="9" t="n">
        <f aca="false">IF(I1086="DO",X1086-S1086,0)</f>
        <v>0</v>
      </c>
      <c r="AD1086" s="23" t="n">
        <f aca="false">IF(B1087&lt;&gt;B1086,1,0)</f>
        <v>1</v>
      </c>
      <c r="AE1086" s="14" t="n">
        <f aca="false">IF(I1086="Opening",0,AE1085+W1086)</f>
        <v>19557.36</v>
      </c>
      <c r="AF1086" s="14" t="n">
        <f aca="false">IF(I1086="Opening",K1086,AF1085)</f>
        <v>0</v>
      </c>
      <c r="AG1086" s="14" t="n">
        <f aca="false">AG1085</f>
        <v>8857.9</v>
      </c>
      <c r="AH1086" s="14" t="n">
        <f aca="false">IF(W1086=0,0,MAX(0,MIN(AE1086,AF1086)-MIN(AE1086-W1086,AF1086)))</f>
        <v>0</v>
      </c>
      <c r="AI1086" s="14" t="n">
        <f aca="false">IF(W1086=0,0,MAX(0,MIN(AE1086,AF1086+AG1086)-MAX(AE1086-W1086,AF1086)))</f>
        <v>0</v>
      </c>
      <c r="AJ1086" s="14" t="n">
        <f aca="false">W1086-AH1086-AI1086</f>
        <v>6011.3</v>
      </c>
      <c r="AK1086" s="9" t="n">
        <f aca="false">IF(W1086=0,0,X1086*AH1086/W1086)</f>
        <v>0</v>
      </c>
      <c r="AL1086" s="9" t="n">
        <f aca="false">IF(W1086=0,0,X1086*AI1086/W1086)</f>
        <v>0</v>
      </c>
      <c r="AM1086" s="9" t="n">
        <f aca="false">X1086-AK1086-AL1086</f>
        <v>61981744.9759464</v>
      </c>
    </row>
    <row r="1087" customFormat="false" ht="15" hidden="false" customHeight="false" outlineLevel="0" collapsed="false">
      <c r="A1087" s="6" t="n">
        <v>1082</v>
      </c>
      <c r="B1087" s="74" t="s">
        <v>1036</v>
      </c>
      <c r="C1087" s="53" t="str">
        <f aca="false">INDEX(I_Items!$C$5:$C$133,MATCH($B1087,I_Items!$A$5:$A$133,0))</f>
        <v>Trading</v>
      </c>
      <c r="D1087" s="53" t="str">
        <f aca="false">INDEX(I_Items!$D$5:$D$133,MATCH($B1087,I_Items!$A$5:$A$133,0))</f>
        <v>Karkas</v>
      </c>
      <c r="E1087" s="53" t="str">
        <f aca="false">INDEX(I_Items!$F$5:$F$133,MATCH($B1087,I_Items!$A$5:$A$133,0))</f>
        <v>Not stated in item master</v>
      </c>
      <c r="F1087" s="53" t="str">
        <f aca="false">IF(INDEX(I_Items!$E$5:$E$133,MATCH($B1087,I_Items!$A$5:$A$133,0))="","",INDEX(I_Items!$E$5:$E$133,MATCH($B1087,I_Items!$A$5:$A$133,0)))</f>
        <v>Uk 0.5</v>
      </c>
      <c r="G1087" s="76" t="n">
        <v>46204</v>
      </c>
      <c r="H1087" s="23" t="n">
        <f aca="false">MONTH(G1087)</f>
        <v>7</v>
      </c>
      <c r="I1087" s="74" t="s">
        <v>2072</v>
      </c>
      <c r="J1087" s="74" t="s">
        <v>2073</v>
      </c>
      <c r="K1087" s="10" t="n">
        <v>0</v>
      </c>
      <c r="L1087" s="8" t="n">
        <v>0</v>
      </c>
      <c r="M1087" s="10" t="n">
        <v>0</v>
      </c>
      <c r="N1087" s="8" t="n">
        <v>0</v>
      </c>
      <c r="O1087" s="74"/>
      <c r="P1087" s="74"/>
      <c r="Q1087" s="74"/>
      <c r="R1087" s="14" t="n">
        <f aca="false">IF(I1087="Unbilled",0,M1087)</f>
        <v>0</v>
      </c>
      <c r="S1087" s="9" t="n">
        <f aca="false">IF(R1087=0,0,IF(O1087="Booked",N1087,R1087*V1086))</f>
        <v>0</v>
      </c>
      <c r="T1087" s="14" t="n">
        <f aca="false">IF(I1087="Opening",K1087,T1086+K1087-R1087)</f>
        <v>0</v>
      </c>
      <c r="U1087" s="9" t="n">
        <f aca="false">IF(I1087="Opening",L1087,U1086+L1087-S1087)</f>
        <v>0</v>
      </c>
      <c r="V1087" s="9" t="n">
        <f aca="false">IF(T1087&gt;0,U1087/T1087,IF(I1087="Opening",0,V1086))</f>
        <v>0</v>
      </c>
      <c r="W1087" s="14" t="n">
        <f aca="false">M1087</f>
        <v>0</v>
      </c>
      <c r="X1087" s="9" t="n">
        <f aca="false">IF(W1087=0,0,IF(O1087="Booked",N1087,W1087*AA1086))</f>
        <v>0</v>
      </c>
      <c r="Y1087" s="14" t="n">
        <f aca="false">IF(I1087="Opening",K1087,Y1086+K1087-W1087)</f>
        <v>0</v>
      </c>
      <c r="Z1087" s="9" t="n">
        <f aca="false">IF(I1087="Opening",L1087,Z1086+L1087-X1087)</f>
        <v>0</v>
      </c>
      <c r="AA1087" s="9" t="n">
        <f aca="false">IF(Y1087&gt;0,Z1087/Y1087,IF(I1087="Opening",0,AA1086))</f>
        <v>0</v>
      </c>
      <c r="AB1087" s="9" t="n">
        <f aca="false">IF(AND(I1087="DO",O1087="MA"),S1087-N1087,0)</f>
        <v>0</v>
      </c>
      <c r="AC1087" s="9" t="n">
        <f aca="false">IF(I1087="DO",X1087-S1087,0)</f>
        <v>0</v>
      </c>
      <c r="AD1087" s="23" t="n">
        <f aca="false">IF(B1088&lt;&gt;B1087,1,0)</f>
        <v>0</v>
      </c>
      <c r="AE1087" s="14" t="n">
        <f aca="false">IF(I1087="Opening",0,AE1086+W1087)</f>
        <v>0</v>
      </c>
      <c r="AF1087" s="14" t="n">
        <f aca="false">IF(I1087="Opening",K1087,AF1086)</f>
        <v>0</v>
      </c>
      <c r="AG1087" s="14" t="n">
        <f aca="false">SUMIFS($K$6:$K$1110,$B$6:$B$1110,B1087,$H$6:$H$1110,7,$I$6:$I$1110,"&lt;&gt;Opening")</f>
        <v>0</v>
      </c>
      <c r="AH1087" s="14" t="n">
        <f aca="false">IF(W1087=0,0,MAX(0,MIN(AE1087,AF1087)-MIN(AE1087-W1087,AF1087)))</f>
        <v>0</v>
      </c>
      <c r="AI1087" s="14" t="n">
        <f aca="false">IF(W1087=0,0,MAX(0,MIN(AE1087,AF1087+AG1087)-MAX(AE1087-W1087,AF1087)))</f>
        <v>0</v>
      </c>
      <c r="AJ1087" s="14" t="n">
        <f aca="false">W1087-AH1087-AI1087</f>
        <v>0</v>
      </c>
      <c r="AK1087" s="9" t="n">
        <f aca="false">IF(W1087=0,0,X1087*AH1087/W1087)</f>
        <v>0</v>
      </c>
      <c r="AL1087" s="9" t="n">
        <f aca="false">IF(W1087=0,0,X1087*AI1087/W1087)</f>
        <v>0</v>
      </c>
      <c r="AM1087" s="9" t="n">
        <f aca="false">X1087-AK1087-AL1087</f>
        <v>0</v>
      </c>
    </row>
    <row r="1088" customFormat="false" ht="15" hidden="false" customHeight="false" outlineLevel="0" collapsed="false">
      <c r="A1088" s="6" t="n">
        <v>1083</v>
      </c>
      <c r="B1088" s="74" t="s">
        <v>1036</v>
      </c>
      <c r="C1088" s="53" t="str">
        <f aca="false">INDEX(I_Items!$C$5:$C$133,MATCH($B1088,I_Items!$A$5:$A$133,0))</f>
        <v>Trading</v>
      </c>
      <c r="D1088" s="53" t="str">
        <f aca="false">INDEX(I_Items!$D$5:$D$133,MATCH($B1088,I_Items!$A$5:$A$133,0))</f>
        <v>Karkas</v>
      </c>
      <c r="E1088" s="53" t="str">
        <f aca="false">INDEX(I_Items!$F$5:$F$133,MATCH($B1088,I_Items!$A$5:$A$133,0))</f>
        <v>Not stated in item master</v>
      </c>
      <c r="F1088" s="53" t="str">
        <f aca="false">IF(INDEX(I_Items!$E$5:$E$133,MATCH($B1088,I_Items!$A$5:$A$133,0))="","",INDEX(I_Items!$E$5:$E$133,MATCH($B1088,I_Items!$A$5:$A$133,0)))</f>
        <v>Uk 0.5</v>
      </c>
      <c r="G1088" s="76" t="n">
        <v>46237</v>
      </c>
      <c r="H1088" s="23" t="n">
        <f aca="false">MONTH(G1088)</f>
        <v>8</v>
      </c>
      <c r="I1088" s="74" t="s">
        <v>2074</v>
      </c>
      <c r="J1088" s="74" t="s">
        <v>2296</v>
      </c>
      <c r="K1088" s="10" t="n">
        <v>381.5</v>
      </c>
      <c r="L1088" s="8" t="n">
        <v>11826500</v>
      </c>
      <c r="M1088" s="10" t="n">
        <v>0</v>
      </c>
      <c r="N1088" s="8" t="n">
        <v>0</v>
      </c>
      <c r="O1088" s="74"/>
      <c r="P1088" s="74"/>
      <c r="Q1088" s="74"/>
      <c r="R1088" s="14" t="n">
        <f aca="false">IF(I1088="Unbilled",0,M1088)</f>
        <v>0</v>
      </c>
      <c r="S1088" s="9" t="n">
        <f aca="false">IF(R1088=0,0,IF(O1088="Booked",N1088,R1088*V1087))</f>
        <v>0</v>
      </c>
      <c r="T1088" s="14" t="n">
        <f aca="false">IF(I1088="Opening",K1088,T1087+K1088-R1088)</f>
        <v>381.5</v>
      </c>
      <c r="U1088" s="9" t="n">
        <f aca="false">IF(I1088="Opening",L1088,U1087+L1088-S1088)</f>
        <v>11826500</v>
      </c>
      <c r="V1088" s="9" t="n">
        <f aca="false">IF(T1088&gt;0,U1088/T1088,IF(I1088="Opening",0,V1087))</f>
        <v>31000</v>
      </c>
      <c r="W1088" s="14" t="n">
        <f aca="false">M1088</f>
        <v>0</v>
      </c>
      <c r="X1088" s="9" t="n">
        <f aca="false">IF(W1088=0,0,IF(O1088="Booked",N1088,W1088*AA1087))</f>
        <v>0</v>
      </c>
      <c r="Y1088" s="14" t="n">
        <f aca="false">IF(I1088="Opening",K1088,Y1087+K1088-W1088)</f>
        <v>381.5</v>
      </c>
      <c r="Z1088" s="9" t="n">
        <f aca="false">IF(I1088="Opening",L1088,Z1087+L1088-X1088)</f>
        <v>11826500</v>
      </c>
      <c r="AA1088" s="9" t="n">
        <f aca="false">IF(Y1088&gt;0,Z1088/Y1088,IF(I1088="Opening",0,AA1087))</f>
        <v>31000</v>
      </c>
      <c r="AB1088" s="9" t="n">
        <f aca="false">IF(AND(I1088="DO",O1088="MA"),S1088-N1088,0)</f>
        <v>0</v>
      </c>
      <c r="AC1088" s="9" t="n">
        <f aca="false">IF(I1088="DO",X1088-S1088,0)</f>
        <v>0</v>
      </c>
      <c r="AD1088" s="23" t="n">
        <f aca="false">IF(B1089&lt;&gt;B1088,1,0)</f>
        <v>0</v>
      </c>
      <c r="AE1088" s="14" t="n">
        <f aca="false">IF(I1088="Opening",0,AE1087+W1088)</f>
        <v>0</v>
      </c>
      <c r="AF1088" s="14" t="n">
        <f aca="false">IF(I1088="Opening",K1088,AF1087)</f>
        <v>0</v>
      </c>
      <c r="AG1088" s="14" t="n">
        <f aca="false">AG1087</f>
        <v>0</v>
      </c>
      <c r="AH1088" s="14" t="n">
        <f aca="false">IF(W1088=0,0,MAX(0,MIN(AE1088,AF1088)-MIN(AE1088-W1088,AF1088)))</f>
        <v>0</v>
      </c>
      <c r="AI1088" s="14" t="n">
        <f aca="false">IF(W1088=0,0,MAX(0,MIN(AE1088,AF1088+AG1088)-MAX(AE1088-W1088,AF1088)))</f>
        <v>0</v>
      </c>
      <c r="AJ1088" s="14" t="n">
        <f aca="false">W1088-AH1088-AI1088</f>
        <v>0</v>
      </c>
      <c r="AK1088" s="9" t="n">
        <f aca="false">IF(W1088=0,0,X1088*AH1088/W1088)</f>
        <v>0</v>
      </c>
      <c r="AL1088" s="9" t="n">
        <f aca="false">IF(W1088=0,0,X1088*AI1088/W1088)</f>
        <v>0</v>
      </c>
      <c r="AM1088" s="9" t="n">
        <f aca="false">X1088-AK1088-AL1088</f>
        <v>0</v>
      </c>
    </row>
    <row r="1089" customFormat="false" ht="15" hidden="false" customHeight="false" outlineLevel="0" collapsed="false">
      <c r="A1089" s="6" t="n">
        <v>1084</v>
      </c>
      <c r="B1089" s="74" t="s">
        <v>1036</v>
      </c>
      <c r="C1089" s="53" t="str">
        <f aca="false">INDEX(I_Items!$C$5:$C$133,MATCH($B1089,I_Items!$A$5:$A$133,0))</f>
        <v>Trading</v>
      </c>
      <c r="D1089" s="53" t="str">
        <f aca="false">INDEX(I_Items!$D$5:$D$133,MATCH($B1089,I_Items!$A$5:$A$133,0))</f>
        <v>Karkas</v>
      </c>
      <c r="E1089" s="53" t="str">
        <f aca="false">INDEX(I_Items!$F$5:$F$133,MATCH($B1089,I_Items!$A$5:$A$133,0))</f>
        <v>Not stated in item master</v>
      </c>
      <c r="F1089" s="53" t="str">
        <f aca="false">IF(INDEX(I_Items!$E$5:$E$133,MATCH($B1089,I_Items!$A$5:$A$133,0))="","",INDEX(I_Items!$E$5:$E$133,MATCH($B1089,I_Items!$A$5:$A$133,0)))</f>
        <v>Uk 0.5</v>
      </c>
      <c r="G1089" s="76" t="n">
        <v>46238</v>
      </c>
      <c r="H1089" s="23" t="n">
        <f aca="false">MONTH(G1089)</f>
        <v>8</v>
      </c>
      <c r="I1089" s="74" t="s">
        <v>2074</v>
      </c>
      <c r="J1089" s="74" t="s">
        <v>2256</v>
      </c>
      <c r="K1089" s="10" t="n">
        <v>3811</v>
      </c>
      <c r="L1089" s="8" t="n">
        <v>112424500</v>
      </c>
      <c r="M1089" s="10" t="n">
        <v>0</v>
      </c>
      <c r="N1089" s="8" t="n">
        <v>0</v>
      </c>
      <c r="O1089" s="74"/>
      <c r="P1089" s="74"/>
      <c r="Q1089" s="74"/>
      <c r="R1089" s="14" t="n">
        <f aca="false">IF(I1089="Unbilled",0,M1089)</f>
        <v>0</v>
      </c>
      <c r="S1089" s="9" t="n">
        <f aca="false">IF(R1089=0,0,IF(O1089="Booked",N1089,R1089*V1088))</f>
        <v>0</v>
      </c>
      <c r="T1089" s="14" t="n">
        <f aca="false">IF(I1089="Opening",K1089,T1088+K1089-R1089)</f>
        <v>4192.5</v>
      </c>
      <c r="U1089" s="9" t="n">
        <f aca="false">IF(I1089="Opening",L1089,U1088+L1089-S1089)</f>
        <v>124251000</v>
      </c>
      <c r="V1089" s="9" t="n">
        <f aca="false">IF(T1089&gt;0,U1089/T1089,IF(I1089="Opening",0,V1088))</f>
        <v>29636.4937388193</v>
      </c>
      <c r="W1089" s="14" t="n">
        <f aca="false">M1089</f>
        <v>0</v>
      </c>
      <c r="X1089" s="9" t="n">
        <f aca="false">IF(W1089=0,0,IF(O1089="Booked",N1089,W1089*AA1088))</f>
        <v>0</v>
      </c>
      <c r="Y1089" s="14" t="n">
        <f aca="false">IF(I1089="Opening",K1089,Y1088+K1089-W1089)</f>
        <v>4192.5</v>
      </c>
      <c r="Z1089" s="9" t="n">
        <f aca="false">IF(I1089="Opening",L1089,Z1088+L1089-X1089)</f>
        <v>124251000</v>
      </c>
      <c r="AA1089" s="9" t="n">
        <f aca="false">IF(Y1089&gt;0,Z1089/Y1089,IF(I1089="Opening",0,AA1088))</f>
        <v>29636.4937388193</v>
      </c>
      <c r="AB1089" s="9" t="n">
        <f aca="false">IF(AND(I1089="DO",O1089="MA"),S1089-N1089,0)</f>
        <v>0</v>
      </c>
      <c r="AC1089" s="9" t="n">
        <f aca="false">IF(I1089="DO",X1089-S1089,0)</f>
        <v>0</v>
      </c>
      <c r="AD1089" s="23" t="n">
        <f aca="false">IF(B1090&lt;&gt;B1089,1,0)</f>
        <v>0</v>
      </c>
      <c r="AE1089" s="14" t="n">
        <f aca="false">IF(I1089="Opening",0,AE1088+W1089)</f>
        <v>0</v>
      </c>
      <c r="AF1089" s="14" t="n">
        <f aca="false">IF(I1089="Opening",K1089,AF1088)</f>
        <v>0</v>
      </c>
      <c r="AG1089" s="14" t="n">
        <f aca="false">AG1088</f>
        <v>0</v>
      </c>
      <c r="AH1089" s="14" t="n">
        <f aca="false">IF(W1089=0,0,MAX(0,MIN(AE1089,AF1089)-MIN(AE1089-W1089,AF1089)))</f>
        <v>0</v>
      </c>
      <c r="AI1089" s="14" t="n">
        <f aca="false">IF(W1089=0,0,MAX(0,MIN(AE1089,AF1089+AG1089)-MAX(AE1089-W1089,AF1089)))</f>
        <v>0</v>
      </c>
      <c r="AJ1089" s="14" t="n">
        <f aca="false">W1089-AH1089-AI1089</f>
        <v>0</v>
      </c>
      <c r="AK1089" s="9" t="n">
        <f aca="false">IF(W1089=0,0,X1089*AH1089/W1089)</f>
        <v>0</v>
      </c>
      <c r="AL1089" s="9" t="n">
        <f aca="false">IF(W1089=0,0,X1089*AI1089/W1089)</f>
        <v>0</v>
      </c>
      <c r="AM1089" s="9" t="n">
        <f aca="false">X1089-AK1089-AL1089</f>
        <v>0</v>
      </c>
    </row>
    <row r="1090" customFormat="false" ht="15" hidden="false" customHeight="false" outlineLevel="0" collapsed="false">
      <c r="A1090" s="6" t="n">
        <v>1085</v>
      </c>
      <c r="B1090" s="74" t="s">
        <v>1036</v>
      </c>
      <c r="C1090" s="53" t="str">
        <f aca="false">INDEX(I_Items!$C$5:$C$133,MATCH($B1090,I_Items!$A$5:$A$133,0))</f>
        <v>Trading</v>
      </c>
      <c r="D1090" s="53" t="str">
        <f aca="false">INDEX(I_Items!$D$5:$D$133,MATCH($B1090,I_Items!$A$5:$A$133,0))</f>
        <v>Karkas</v>
      </c>
      <c r="E1090" s="53" t="str">
        <f aca="false">INDEX(I_Items!$F$5:$F$133,MATCH($B1090,I_Items!$A$5:$A$133,0))</f>
        <v>Not stated in item master</v>
      </c>
      <c r="F1090" s="53" t="str">
        <f aca="false">IF(INDEX(I_Items!$E$5:$E$133,MATCH($B1090,I_Items!$A$5:$A$133,0))="","",INDEX(I_Items!$E$5:$E$133,MATCH($B1090,I_Items!$A$5:$A$133,0)))</f>
        <v>Uk 0.5</v>
      </c>
      <c r="G1090" s="76" t="n">
        <v>46244</v>
      </c>
      <c r="H1090" s="23" t="n">
        <f aca="false">MONTH(G1090)</f>
        <v>8</v>
      </c>
      <c r="I1090" s="74" t="s">
        <v>2074</v>
      </c>
      <c r="J1090" s="74" t="s">
        <v>2299</v>
      </c>
      <c r="K1090" s="10" t="n">
        <v>508.1</v>
      </c>
      <c r="L1090" s="8" t="n">
        <v>16513250</v>
      </c>
      <c r="M1090" s="10" t="n">
        <v>0</v>
      </c>
      <c r="N1090" s="8" t="n">
        <v>0</v>
      </c>
      <c r="O1090" s="74"/>
      <c r="P1090" s="74"/>
      <c r="Q1090" s="74"/>
      <c r="R1090" s="14" t="n">
        <f aca="false">IF(I1090="Unbilled",0,M1090)</f>
        <v>0</v>
      </c>
      <c r="S1090" s="9" t="n">
        <f aca="false">IF(R1090=0,0,IF(O1090="Booked",N1090,R1090*V1089))</f>
        <v>0</v>
      </c>
      <c r="T1090" s="14" t="n">
        <f aca="false">IF(I1090="Opening",K1090,T1089+K1090-R1090)</f>
        <v>4700.6</v>
      </c>
      <c r="U1090" s="9" t="n">
        <f aca="false">IF(I1090="Opening",L1090,U1089+L1090-S1090)</f>
        <v>140764250</v>
      </c>
      <c r="V1090" s="9" t="n">
        <f aca="false">IF(T1090&gt;0,U1090/T1090,IF(I1090="Opening",0,V1089))</f>
        <v>29946.0175296771</v>
      </c>
      <c r="W1090" s="14" t="n">
        <f aca="false">M1090</f>
        <v>0</v>
      </c>
      <c r="X1090" s="9" t="n">
        <f aca="false">IF(W1090=0,0,IF(O1090="Booked",N1090,W1090*AA1089))</f>
        <v>0</v>
      </c>
      <c r="Y1090" s="14" t="n">
        <f aca="false">IF(I1090="Opening",K1090,Y1089+K1090-W1090)</f>
        <v>4700.6</v>
      </c>
      <c r="Z1090" s="9" t="n">
        <f aca="false">IF(I1090="Opening",L1090,Z1089+L1090-X1090)</f>
        <v>140764250</v>
      </c>
      <c r="AA1090" s="9" t="n">
        <f aca="false">IF(Y1090&gt;0,Z1090/Y1090,IF(I1090="Opening",0,AA1089))</f>
        <v>29946.0175296771</v>
      </c>
      <c r="AB1090" s="9" t="n">
        <f aca="false">IF(AND(I1090="DO",O1090="MA"),S1090-N1090,0)</f>
        <v>0</v>
      </c>
      <c r="AC1090" s="9" t="n">
        <f aca="false">IF(I1090="DO",X1090-S1090,0)</f>
        <v>0</v>
      </c>
      <c r="AD1090" s="23" t="n">
        <f aca="false">IF(B1091&lt;&gt;B1090,1,0)</f>
        <v>0</v>
      </c>
      <c r="AE1090" s="14" t="n">
        <f aca="false">IF(I1090="Opening",0,AE1089+W1090)</f>
        <v>0</v>
      </c>
      <c r="AF1090" s="14" t="n">
        <f aca="false">IF(I1090="Opening",K1090,AF1089)</f>
        <v>0</v>
      </c>
      <c r="AG1090" s="14" t="n">
        <f aca="false">AG1089</f>
        <v>0</v>
      </c>
      <c r="AH1090" s="14" t="n">
        <f aca="false">IF(W1090=0,0,MAX(0,MIN(AE1090,AF1090)-MIN(AE1090-W1090,AF1090)))</f>
        <v>0</v>
      </c>
      <c r="AI1090" s="14" t="n">
        <f aca="false">IF(W1090=0,0,MAX(0,MIN(AE1090,AF1090+AG1090)-MAX(AE1090-W1090,AF1090)))</f>
        <v>0</v>
      </c>
      <c r="AJ1090" s="14" t="n">
        <f aca="false">W1090-AH1090-AI1090</f>
        <v>0</v>
      </c>
      <c r="AK1090" s="9" t="n">
        <f aca="false">IF(W1090=0,0,X1090*AH1090/W1090)</f>
        <v>0</v>
      </c>
      <c r="AL1090" s="9" t="n">
        <f aca="false">IF(W1090=0,0,X1090*AI1090/W1090)</f>
        <v>0</v>
      </c>
      <c r="AM1090" s="9" t="n">
        <f aca="false">X1090-AK1090-AL1090</f>
        <v>0</v>
      </c>
    </row>
    <row r="1091" customFormat="false" ht="15" hidden="false" customHeight="false" outlineLevel="0" collapsed="false">
      <c r="A1091" s="6" t="n">
        <v>1086</v>
      </c>
      <c r="B1091" s="74" t="s">
        <v>1036</v>
      </c>
      <c r="C1091" s="53" t="str">
        <f aca="false">INDEX(I_Items!$C$5:$C$133,MATCH($B1091,I_Items!$A$5:$A$133,0))</f>
        <v>Trading</v>
      </c>
      <c r="D1091" s="53" t="str">
        <f aca="false">INDEX(I_Items!$D$5:$D$133,MATCH($B1091,I_Items!$A$5:$A$133,0))</f>
        <v>Karkas</v>
      </c>
      <c r="E1091" s="53" t="str">
        <f aca="false">INDEX(I_Items!$F$5:$F$133,MATCH($B1091,I_Items!$A$5:$A$133,0))</f>
        <v>Not stated in item master</v>
      </c>
      <c r="F1091" s="53" t="str">
        <f aca="false">IF(INDEX(I_Items!$E$5:$E$133,MATCH($B1091,I_Items!$A$5:$A$133,0))="","",INDEX(I_Items!$E$5:$E$133,MATCH($B1091,I_Items!$A$5:$A$133,0)))</f>
        <v>Uk 0.5</v>
      </c>
      <c r="G1091" s="76" t="n">
        <v>46249</v>
      </c>
      <c r="H1091" s="23" t="n">
        <f aca="false">MONTH(G1091)</f>
        <v>8</v>
      </c>
      <c r="I1091" s="74" t="s">
        <v>2074</v>
      </c>
      <c r="J1091" s="74" t="s">
        <v>2300</v>
      </c>
      <c r="K1091" s="10" t="n">
        <v>2871.75</v>
      </c>
      <c r="L1091" s="8" t="n">
        <v>86297389.84</v>
      </c>
      <c r="M1091" s="10" t="n">
        <v>0</v>
      </c>
      <c r="N1091" s="8" t="n">
        <v>0</v>
      </c>
      <c r="O1091" s="74"/>
      <c r="P1091" s="74"/>
      <c r="Q1091" s="74"/>
      <c r="R1091" s="14" t="n">
        <f aca="false">IF(I1091="Unbilled",0,M1091)</f>
        <v>0</v>
      </c>
      <c r="S1091" s="9" t="n">
        <f aca="false">IF(R1091=0,0,IF(O1091="Booked",N1091,R1091*V1090))</f>
        <v>0</v>
      </c>
      <c r="T1091" s="14" t="n">
        <f aca="false">IF(I1091="Opening",K1091,T1090+K1091-R1091)</f>
        <v>7572.35</v>
      </c>
      <c r="U1091" s="9" t="n">
        <f aca="false">IF(I1091="Opening",L1091,U1090+L1091-S1091)</f>
        <v>227061639.84</v>
      </c>
      <c r="V1091" s="9" t="n">
        <f aca="false">IF(T1091&gt;0,U1091/T1091,IF(I1091="Opening",0,V1090))</f>
        <v>29985.6239925519</v>
      </c>
      <c r="W1091" s="14" t="n">
        <f aca="false">M1091</f>
        <v>0</v>
      </c>
      <c r="X1091" s="9" t="n">
        <f aca="false">IF(W1091=0,0,IF(O1091="Booked",N1091,W1091*AA1090))</f>
        <v>0</v>
      </c>
      <c r="Y1091" s="14" t="n">
        <f aca="false">IF(I1091="Opening",K1091,Y1090+K1091-W1091)</f>
        <v>7572.35</v>
      </c>
      <c r="Z1091" s="9" t="n">
        <f aca="false">IF(I1091="Opening",L1091,Z1090+L1091-X1091)</f>
        <v>227061639.84</v>
      </c>
      <c r="AA1091" s="9" t="n">
        <f aca="false">IF(Y1091&gt;0,Z1091/Y1091,IF(I1091="Opening",0,AA1090))</f>
        <v>29985.6239925519</v>
      </c>
      <c r="AB1091" s="9" t="n">
        <f aca="false">IF(AND(I1091="DO",O1091="MA"),S1091-N1091,0)</f>
        <v>0</v>
      </c>
      <c r="AC1091" s="9" t="n">
        <f aca="false">IF(I1091="DO",X1091-S1091,0)</f>
        <v>0</v>
      </c>
      <c r="AD1091" s="23" t="n">
        <f aca="false">IF(B1092&lt;&gt;B1091,1,0)</f>
        <v>0</v>
      </c>
      <c r="AE1091" s="14" t="n">
        <f aca="false">IF(I1091="Opening",0,AE1090+W1091)</f>
        <v>0</v>
      </c>
      <c r="AF1091" s="14" t="n">
        <f aca="false">IF(I1091="Opening",K1091,AF1090)</f>
        <v>0</v>
      </c>
      <c r="AG1091" s="14" t="n">
        <f aca="false">AG1090</f>
        <v>0</v>
      </c>
      <c r="AH1091" s="14" t="n">
        <f aca="false">IF(W1091=0,0,MAX(0,MIN(AE1091,AF1091)-MIN(AE1091-W1091,AF1091)))</f>
        <v>0</v>
      </c>
      <c r="AI1091" s="14" t="n">
        <f aca="false">IF(W1091=0,0,MAX(0,MIN(AE1091,AF1091+AG1091)-MAX(AE1091-W1091,AF1091)))</f>
        <v>0</v>
      </c>
      <c r="AJ1091" s="14" t="n">
        <f aca="false">W1091-AH1091-AI1091</f>
        <v>0</v>
      </c>
      <c r="AK1091" s="9" t="n">
        <f aca="false">IF(W1091=0,0,X1091*AH1091/W1091)</f>
        <v>0</v>
      </c>
      <c r="AL1091" s="9" t="n">
        <f aca="false">IF(W1091=0,0,X1091*AI1091/W1091)</f>
        <v>0</v>
      </c>
      <c r="AM1091" s="9" t="n">
        <f aca="false">X1091-AK1091-AL1091</f>
        <v>0</v>
      </c>
    </row>
    <row r="1092" customFormat="false" ht="15" hidden="false" customHeight="false" outlineLevel="0" collapsed="false">
      <c r="A1092" s="6" t="n">
        <v>1087</v>
      </c>
      <c r="B1092" s="74" t="s">
        <v>1036</v>
      </c>
      <c r="C1092" s="53" t="str">
        <f aca="false">INDEX(I_Items!$C$5:$C$133,MATCH($B1092,I_Items!$A$5:$A$133,0))</f>
        <v>Trading</v>
      </c>
      <c r="D1092" s="53" t="str">
        <f aca="false">INDEX(I_Items!$D$5:$D$133,MATCH($B1092,I_Items!$A$5:$A$133,0))</f>
        <v>Karkas</v>
      </c>
      <c r="E1092" s="53" t="str">
        <f aca="false">INDEX(I_Items!$F$5:$F$133,MATCH($B1092,I_Items!$A$5:$A$133,0))</f>
        <v>Not stated in item master</v>
      </c>
      <c r="F1092" s="53" t="str">
        <f aca="false">IF(INDEX(I_Items!$E$5:$E$133,MATCH($B1092,I_Items!$A$5:$A$133,0))="","",INDEX(I_Items!$E$5:$E$133,MATCH($B1092,I_Items!$A$5:$A$133,0)))</f>
        <v>Uk 0.5</v>
      </c>
      <c r="G1092" s="76" t="n">
        <v>46249</v>
      </c>
      <c r="H1092" s="23" t="n">
        <f aca="false">MONTH(G1092)</f>
        <v>8</v>
      </c>
      <c r="I1092" s="74" t="s">
        <v>2074</v>
      </c>
      <c r="J1092" s="74" t="s">
        <v>2300</v>
      </c>
      <c r="K1092" s="10" t="n">
        <v>5775.84</v>
      </c>
      <c r="L1092" s="8" t="n">
        <v>173566611.34</v>
      </c>
      <c r="M1092" s="10" t="n">
        <v>0</v>
      </c>
      <c r="N1092" s="8" t="n">
        <v>0</v>
      </c>
      <c r="O1092" s="74"/>
      <c r="P1092" s="74"/>
      <c r="Q1092" s="74"/>
      <c r="R1092" s="14" t="n">
        <f aca="false">IF(I1092="Unbilled",0,M1092)</f>
        <v>0</v>
      </c>
      <c r="S1092" s="9" t="n">
        <f aca="false">IF(R1092=0,0,IF(O1092="Booked",N1092,R1092*V1091))</f>
        <v>0</v>
      </c>
      <c r="T1092" s="14" t="n">
        <f aca="false">IF(I1092="Opening",K1092,T1091+K1092-R1092)</f>
        <v>13348.19</v>
      </c>
      <c r="U1092" s="9" t="n">
        <f aca="false">IF(I1092="Opening",L1092,U1091+L1092-S1092)</f>
        <v>400628251.18</v>
      </c>
      <c r="V1092" s="9" t="n">
        <f aca="false">IF(T1092&gt;0,U1092/T1092,IF(I1092="Opening",0,V1091))</f>
        <v>30013.6760999057</v>
      </c>
      <c r="W1092" s="14" t="n">
        <f aca="false">M1092</f>
        <v>0</v>
      </c>
      <c r="X1092" s="9" t="n">
        <f aca="false">IF(W1092=0,0,IF(O1092="Booked",N1092,W1092*AA1091))</f>
        <v>0</v>
      </c>
      <c r="Y1092" s="14" t="n">
        <f aca="false">IF(I1092="Opening",K1092,Y1091+K1092-W1092)</f>
        <v>13348.19</v>
      </c>
      <c r="Z1092" s="9" t="n">
        <f aca="false">IF(I1092="Opening",L1092,Z1091+L1092-X1092)</f>
        <v>400628251.18</v>
      </c>
      <c r="AA1092" s="9" t="n">
        <f aca="false">IF(Y1092&gt;0,Z1092/Y1092,IF(I1092="Opening",0,AA1091))</f>
        <v>30013.6760999057</v>
      </c>
      <c r="AB1092" s="9" t="n">
        <f aca="false">IF(AND(I1092="DO",O1092="MA"),S1092-N1092,0)</f>
        <v>0</v>
      </c>
      <c r="AC1092" s="9" t="n">
        <f aca="false">IF(I1092="DO",X1092-S1092,0)</f>
        <v>0</v>
      </c>
      <c r="AD1092" s="23" t="n">
        <f aca="false">IF(B1093&lt;&gt;B1092,1,0)</f>
        <v>0</v>
      </c>
      <c r="AE1092" s="14" t="n">
        <f aca="false">IF(I1092="Opening",0,AE1091+W1092)</f>
        <v>0</v>
      </c>
      <c r="AF1092" s="14" t="n">
        <f aca="false">IF(I1092="Opening",K1092,AF1091)</f>
        <v>0</v>
      </c>
      <c r="AG1092" s="14" t="n">
        <f aca="false">AG1091</f>
        <v>0</v>
      </c>
      <c r="AH1092" s="14" t="n">
        <f aca="false">IF(W1092=0,0,MAX(0,MIN(AE1092,AF1092)-MIN(AE1092-W1092,AF1092)))</f>
        <v>0</v>
      </c>
      <c r="AI1092" s="14" t="n">
        <f aca="false">IF(W1092=0,0,MAX(0,MIN(AE1092,AF1092+AG1092)-MAX(AE1092-W1092,AF1092)))</f>
        <v>0</v>
      </c>
      <c r="AJ1092" s="14" t="n">
        <f aca="false">W1092-AH1092-AI1092</f>
        <v>0</v>
      </c>
      <c r="AK1092" s="9" t="n">
        <f aca="false">IF(W1092=0,0,X1092*AH1092/W1092)</f>
        <v>0</v>
      </c>
      <c r="AL1092" s="9" t="n">
        <f aca="false">IF(W1092=0,0,X1092*AI1092/W1092)</f>
        <v>0</v>
      </c>
      <c r="AM1092" s="9" t="n">
        <f aca="false">X1092-AK1092-AL1092</f>
        <v>0</v>
      </c>
    </row>
    <row r="1093" customFormat="false" ht="15" hidden="false" customHeight="false" outlineLevel="0" collapsed="false">
      <c r="A1093" s="6" t="n">
        <v>1088</v>
      </c>
      <c r="B1093" s="74" t="s">
        <v>1036</v>
      </c>
      <c r="C1093" s="53" t="str">
        <f aca="false">INDEX(I_Items!$C$5:$C$133,MATCH($B1093,I_Items!$A$5:$A$133,0))</f>
        <v>Trading</v>
      </c>
      <c r="D1093" s="53" t="str">
        <f aca="false">INDEX(I_Items!$D$5:$D$133,MATCH($B1093,I_Items!$A$5:$A$133,0))</f>
        <v>Karkas</v>
      </c>
      <c r="E1093" s="53" t="str">
        <f aca="false">INDEX(I_Items!$F$5:$F$133,MATCH($B1093,I_Items!$A$5:$A$133,0))</f>
        <v>Not stated in item master</v>
      </c>
      <c r="F1093" s="53" t="str">
        <f aca="false">IF(INDEX(I_Items!$E$5:$E$133,MATCH($B1093,I_Items!$A$5:$A$133,0))="","",INDEX(I_Items!$E$5:$E$133,MATCH($B1093,I_Items!$A$5:$A$133,0)))</f>
        <v>Uk 0.5</v>
      </c>
      <c r="G1093" s="76" t="n">
        <v>46249</v>
      </c>
      <c r="H1093" s="23" t="n">
        <f aca="false">MONTH(G1093)</f>
        <v>8</v>
      </c>
      <c r="I1093" s="74" t="s">
        <v>2074</v>
      </c>
      <c r="J1093" s="74" t="s">
        <v>2300</v>
      </c>
      <c r="K1093" s="10" t="n">
        <v>4127.61</v>
      </c>
      <c r="L1093" s="8" t="n">
        <v>124036552.37</v>
      </c>
      <c r="M1093" s="10" t="n">
        <v>0</v>
      </c>
      <c r="N1093" s="8" t="n">
        <v>0</v>
      </c>
      <c r="O1093" s="74"/>
      <c r="P1093" s="74"/>
      <c r="Q1093" s="74"/>
      <c r="R1093" s="14" t="n">
        <f aca="false">IF(I1093="Unbilled",0,M1093)</f>
        <v>0</v>
      </c>
      <c r="S1093" s="9" t="n">
        <f aca="false">IF(R1093=0,0,IF(O1093="Booked",N1093,R1093*V1092))</f>
        <v>0</v>
      </c>
      <c r="T1093" s="14" t="n">
        <f aca="false">IF(I1093="Opening",K1093,T1092+K1093-R1093)</f>
        <v>17475.8</v>
      </c>
      <c r="U1093" s="9" t="n">
        <f aca="false">IF(I1093="Opening",L1093,U1092+L1093-S1093)</f>
        <v>524664803.55</v>
      </c>
      <c r="V1093" s="9" t="n">
        <f aca="false">IF(T1093&gt;0,U1093/T1093,IF(I1093="Opening",0,V1092))</f>
        <v>30022.3625556484</v>
      </c>
      <c r="W1093" s="14" t="n">
        <f aca="false">M1093</f>
        <v>0</v>
      </c>
      <c r="X1093" s="9" t="n">
        <f aca="false">IF(W1093=0,0,IF(O1093="Booked",N1093,W1093*AA1092))</f>
        <v>0</v>
      </c>
      <c r="Y1093" s="14" t="n">
        <f aca="false">IF(I1093="Opening",K1093,Y1092+K1093-W1093)</f>
        <v>17475.8</v>
      </c>
      <c r="Z1093" s="9" t="n">
        <f aca="false">IF(I1093="Opening",L1093,Z1092+L1093-X1093)</f>
        <v>524664803.55</v>
      </c>
      <c r="AA1093" s="9" t="n">
        <f aca="false">IF(Y1093&gt;0,Z1093/Y1093,IF(I1093="Opening",0,AA1092))</f>
        <v>30022.3625556484</v>
      </c>
      <c r="AB1093" s="9" t="n">
        <f aca="false">IF(AND(I1093="DO",O1093="MA"),S1093-N1093,0)</f>
        <v>0</v>
      </c>
      <c r="AC1093" s="9" t="n">
        <f aca="false">IF(I1093="DO",X1093-S1093,0)</f>
        <v>0</v>
      </c>
      <c r="AD1093" s="23" t="n">
        <f aca="false">IF(B1094&lt;&gt;B1093,1,0)</f>
        <v>0</v>
      </c>
      <c r="AE1093" s="14" t="n">
        <f aca="false">IF(I1093="Opening",0,AE1092+W1093)</f>
        <v>0</v>
      </c>
      <c r="AF1093" s="14" t="n">
        <f aca="false">IF(I1093="Opening",K1093,AF1092)</f>
        <v>0</v>
      </c>
      <c r="AG1093" s="14" t="n">
        <f aca="false">AG1092</f>
        <v>0</v>
      </c>
      <c r="AH1093" s="14" t="n">
        <f aca="false">IF(W1093=0,0,MAX(0,MIN(AE1093,AF1093)-MIN(AE1093-W1093,AF1093)))</f>
        <v>0</v>
      </c>
      <c r="AI1093" s="14" t="n">
        <f aca="false">IF(W1093=0,0,MAX(0,MIN(AE1093,AF1093+AG1093)-MAX(AE1093-W1093,AF1093)))</f>
        <v>0</v>
      </c>
      <c r="AJ1093" s="14" t="n">
        <f aca="false">W1093-AH1093-AI1093</f>
        <v>0</v>
      </c>
      <c r="AK1093" s="9" t="n">
        <f aca="false">IF(W1093=0,0,X1093*AH1093/W1093)</f>
        <v>0</v>
      </c>
      <c r="AL1093" s="9" t="n">
        <f aca="false">IF(W1093=0,0,X1093*AI1093/W1093)</f>
        <v>0</v>
      </c>
      <c r="AM1093" s="9" t="n">
        <f aca="false">X1093-AK1093-AL1093</f>
        <v>0</v>
      </c>
    </row>
    <row r="1094" customFormat="false" ht="15" hidden="false" customHeight="false" outlineLevel="0" collapsed="false">
      <c r="A1094" s="6" t="n">
        <v>1089</v>
      </c>
      <c r="B1094" s="74" t="s">
        <v>1036</v>
      </c>
      <c r="C1094" s="53" t="str">
        <f aca="false">INDEX(I_Items!$C$5:$C$133,MATCH($B1094,I_Items!$A$5:$A$133,0))</f>
        <v>Trading</v>
      </c>
      <c r="D1094" s="53" t="str">
        <f aca="false">INDEX(I_Items!$D$5:$D$133,MATCH($B1094,I_Items!$A$5:$A$133,0))</f>
        <v>Karkas</v>
      </c>
      <c r="E1094" s="53" t="str">
        <f aca="false">INDEX(I_Items!$F$5:$F$133,MATCH($B1094,I_Items!$A$5:$A$133,0))</f>
        <v>Not stated in item master</v>
      </c>
      <c r="F1094" s="53" t="str">
        <f aca="false">IF(INDEX(I_Items!$E$5:$E$133,MATCH($B1094,I_Items!$A$5:$A$133,0))="","",INDEX(I_Items!$E$5:$E$133,MATCH($B1094,I_Items!$A$5:$A$133,0)))</f>
        <v>Uk 0.5</v>
      </c>
      <c r="G1094" s="76" t="n">
        <v>46253</v>
      </c>
      <c r="H1094" s="23" t="n">
        <f aca="false">MONTH(G1094)</f>
        <v>8</v>
      </c>
      <c r="I1094" s="74" t="s">
        <v>2075</v>
      </c>
      <c r="J1094" s="74" t="s">
        <v>2356</v>
      </c>
      <c r="K1094" s="10" t="n">
        <v>0</v>
      </c>
      <c r="L1094" s="8" t="n">
        <v>0</v>
      </c>
      <c r="M1094" s="10" t="n">
        <v>851.5</v>
      </c>
      <c r="N1094" s="8" t="n">
        <v>25564041.67</v>
      </c>
      <c r="O1094" s="74" t="s">
        <v>2077</v>
      </c>
      <c r="P1094" s="74"/>
      <c r="Q1094" s="74"/>
      <c r="R1094" s="14" t="n">
        <f aca="false">IF(I1094="Unbilled",0,M1094)</f>
        <v>851.5</v>
      </c>
      <c r="S1094" s="9" t="n">
        <f aca="false">IF(R1094=0,0,IF(O1094="Booked",N1094,R1094*V1093))</f>
        <v>25564041.7161346</v>
      </c>
      <c r="T1094" s="14" t="n">
        <f aca="false">IF(I1094="Opening",K1094,T1093+K1094-R1094)</f>
        <v>16624.3</v>
      </c>
      <c r="U1094" s="9" t="n">
        <f aca="false">IF(I1094="Opening",L1094,U1093+L1094-S1094)</f>
        <v>499100761.833865</v>
      </c>
      <c r="V1094" s="9" t="n">
        <f aca="false">IF(T1094&gt;0,U1094/T1094,IF(I1094="Opening",0,V1093))</f>
        <v>30022.3625556484</v>
      </c>
      <c r="W1094" s="14" t="n">
        <f aca="false">M1094</f>
        <v>851.5</v>
      </c>
      <c r="X1094" s="9" t="n">
        <f aca="false">IF(W1094=0,0,IF(O1094="Booked",N1094,W1094*AA1093))</f>
        <v>25564041.7161346</v>
      </c>
      <c r="Y1094" s="14" t="n">
        <f aca="false">IF(I1094="Opening",K1094,Y1093+K1094-W1094)</f>
        <v>16624.3</v>
      </c>
      <c r="Z1094" s="9" t="n">
        <f aca="false">IF(I1094="Opening",L1094,Z1093+L1094-X1094)</f>
        <v>499100761.833865</v>
      </c>
      <c r="AA1094" s="9" t="n">
        <f aca="false">IF(Y1094&gt;0,Z1094/Y1094,IF(I1094="Opening",0,AA1093))</f>
        <v>30022.3625556484</v>
      </c>
      <c r="AB1094" s="9" t="n">
        <f aca="false">IF(AND(I1094="DO",O1094="MA"),S1094-N1094,0)</f>
        <v>0.0461345985531807</v>
      </c>
      <c r="AC1094" s="9" t="n">
        <f aca="false">IF(I1094="DO",X1094-S1094,0)</f>
        <v>0</v>
      </c>
      <c r="AD1094" s="23" t="n">
        <f aca="false">IF(B1095&lt;&gt;B1094,1,0)</f>
        <v>0</v>
      </c>
      <c r="AE1094" s="14" t="n">
        <f aca="false">IF(I1094="Opening",0,AE1093+W1094)</f>
        <v>851.5</v>
      </c>
      <c r="AF1094" s="14" t="n">
        <f aca="false">IF(I1094="Opening",K1094,AF1093)</f>
        <v>0</v>
      </c>
      <c r="AG1094" s="14" t="n">
        <f aca="false">AG1093</f>
        <v>0</v>
      </c>
      <c r="AH1094" s="14" t="n">
        <f aca="false">IF(W1094=0,0,MAX(0,MIN(AE1094,AF1094)-MIN(AE1094-W1094,AF1094)))</f>
        <v>0</v>
      </c>
      <c r="AI1094" s="14" t="n">
        <f aca="false">IF(W1094=0,0,MAX(0,MIN(AE1094,AF1094+AG1094)-MAX(AE1094-W1094,AF1094)))</f>
        <v>0</v>
      </c>
      <c r="AJ1094" s="14" t="n">
        <f aca="false">W1094-AH1094-AI1094</f>
        <v>851.5</v>
      </c>
      <c r="AK1094" s="9" t="n">
        <f aca="false">IF(W1094=0,0,X1094*AH1094/W1094)</f>
        <v>0</v>
      </c>
      <c r="AL1094" s="9" t="n">
        <f aca="false">IF(W1094=0,0,X1094*AI1094/W1094)</f>
        <v>0</v>
      </c>
      <c r="AM1094" s="9" t="n">
        <f aca="false">X1094-AK1094-AL1094</f>
        <v>25564041.7161346</v>
      </c>
    </row>
    <row r="1095" customFormat="false" ht="15" hidden="false" customHeight="false" outlineLevel="0" collapsed="false">
      <c r="A1095" s="6" t="n">
        <v>1090</v>
      </c>
      <c r="B1095" s="74" t="s">
        <v>1036</v>
      </c>
      <c r="C1095" s="53" t="str">
        <f aca="false">INDEX(I_Items!$C$5:$C$133,MATCH($B1095,I_Items!$A$5:$A$133,0))</f>
        <v>Trading</v>
      </c>
      <c r="D1095" s="53" t="str">
        <f aca="false">INDEX(I_Items!$D$5:$D$133,MATCH($B1095,I_Items!$A$5:$A$133,0))</f>
        <v>Karkas</v>
      </c>
      <c r="E1095" s="53" t="str">
        <f aca="false">INDEX(I_Items!$F$5:$F$133,MATCH($B1095,I_Items!$A$5:$A$133,0))</f>
        <v>Not stated in item master</v>
      </c>
      <c r="F1095" s="53" t="str">
        <f aca="false">IF(INDEX(I_Items!$E$5:$E$133,MATCH($B1095,I_Items!$A$5:$A$133,0))="","",INDEX(I_Items!$E$5:$E$133,MATCH($B1095,I_Items!$A$5:$A$133,0)))</f>
        <v>Uk 0.5</v>
      </c>
      <c r="G1095" s="76" t="n">
        <v>46253</v>
      </c>
      <c r="H1095" s="23" t="n">
        <f aca="false">MONTH(G1095)</f>
        <v>8</v>
      </c>
      <c r="I1095" s="74" t="s">
        <v>2075</v>
      </c>
      <c r="J1095" s="74" t="s">
        <v>2357</v>
      </c>
      <c r="K1095" s="10" t="n">
        <v>0</v>
      </c>
      <c r="L1095" s="8" t="n">
        <v>0</v>
      </c>
      <c r="M1095" s="10" t="n">
        <v>716</v>
      </c>
      <c r="N1095" s="8" t="n">
        <v>21496011.55</v>
      </c>
      <c r="O1095" s="74" t="s">
        <v>2077</v>
      </c>
      <c r="P1095" s="74"/>
      <c r="Q1095" s="74"/>
      <c r="R1095" s="14" t="n">
        <f aca="false">IF(I1095="Unbilled",0,M1095)</f>
        <v>716</v>
      </c>
      <c r="S1095" s="9" t="n">
        <f aca="false">IF(R1095=0,0,IF(O1095="Booked",N1095,R1095*V1094))</f>
        <v>21496011.5898442</v>
      </c>
      <c r="T1095" s="14" t="n">
        <f aca="false">IF(I1095="Opening",K1095,T1094+K1095-R1095)</f>
        <v>15908.3</v>
      </c>
      <c r="U1095" s="9" t="n">
        <f aca="false">IF(I1095="Opening",L1095,U1094+L1095-S1095)</f>
        <v>477604750.244021</v>
      </c>
      <c r="V1095" s="9" t="n">
        <f aca="false">IF(T1095&gt;0,U1095/T1095,IF(I1095="Opening",0,V1094))</f>
        <v>30022.3625556484</v>
      </c>
      <c r="W1095" s="14" t="n">
        <f aca="false">M1095</f>
        <v>716</v>
      </c>
      <c r="X1095" s="9" t="n">
        <f aca="false">IF(W1095=0,0,IF(O1095="Booked",N1095,W1095*AA1094))</f>
        <v>21496011.5898442</v>
      </c>
      <c r="Y1095" s="14" t="n">
        <f aca="false">IF(I1095="Opening",K1095,Y1094+K1095-W1095)</f>
        <v>15908.3</v>
      </c>
      <c r="Z1095" s="9" t="n">
        <f aca="false">IF(I1095="Opening",L1095,Z1094+L1095-X1095)</f>
        <v>477604750.244021</v>
      </c>
      <c r="AA1095" s="9" t="n">
        <f aca="false">IF(Y1095&gt;0,Z1095/Y1095,IF(I1095="Opening",0,AA1094))</f>
        <v>30022.3625556484</v>
      </c>
      <c r="AB1095" s="9" t="n">
        <f aca="false">IF(AND(I1095="DO",O1095="MA"),S1095-N1095,0)</f>
        <v>0.0398442409932613</v>
      </c>
      <c r="AC1095" s="9" t="n">
        <f aca="false">IF(I1095="DO",X1095-S1095,0)</f>
        <v>0</v>
      </c>
      <c r="AD1095" s="23" t="n">
        <f aca="false">IF(B1096&lt;&gt;B1095,1,0)</f>
        <v>0</v>
      </c>
      <c r="AE1095" s="14" t="n">
        <f aca="false">IF(I1095="Opening",0,AE1094+W1095)</f>
        <v>1567.5</v>
      </c>
      <c r="AF1095" s="14" t="n">
        <f aca="false">IF(I1095="Opening",K1095,AF1094)</f>
        <v>0</v>
      </c>
      <c r="AG1095" s="14" t="n">
        <f aca="false">AG1094</f>
        <v>0</v>
      </c>
      <c r="AH1095" s="14" t="n">
        <f aca="false">IF(W1095=0,0,MAX(0,MIN(AE1095,AF1095)-MIN(AE1095-W1095,AF1095)))</f>
        <v>0</v>
      </c>
      <c r="AI1095" s="14" t="n">
        <f aca="false">IF(W1095=0,0,MAX(0,MIN(AE1095,AF1095+AG1095)-MAX(AE1095-W1095,AF1095)))</f>
        <v>0</v>
      </c>
      <c r="AJ1095" s="14" t="n">
        <f aca="false">W1095-AH1095-AI1095</f>
        <v>716</v>
      </c>
      <c r="AK1095" s="9" t="n">
        <f aca="false">IF(W1095=0,0,X1095*AH1095/W1095)</f>
        <v>0</v>
      </c>
      <c r="AL1095" s="9" t="n">
        <f aca="false">IF(W1095=0,0,X1095*AI1095/W1095)</f>
        <v>0</v>
      </c>
      <c r="AM1095" s="9" t="n">
        <f aca="false">X1095-AK1095-AL1095</f>
        <v>21496011.5898442</v>
      </c>
    </row>
    <row r="1096" customFormat="false" ht="15" hidden="false" customHeight="false" outlineLevel="0" collapsed="false">
      <c r="A1096" s="6" t="n">
        <v>1091</v>
      </c>
      <c r="B1096" s="74" t="s">
        <v>1036</v>
      </c>
      <c r="C1096" s="53" t="str">
        <f aca="false">INDEX(I_Items!$C$5:$C$133,MATCH($B1096,I_Items!$A$5:$A$133,0))</f>
        <v>Trading</v>
      </c>
      <c r="D1096" s="53" t="str">
        <f aca="false">INDEX(I_Items!$D$5:$D$133,MATCH($B1096,I_Items!$A$5:$A$133,0))</f>
        <v>Karkas</v>
      </c>
      <c r="E1096" s="53" t="str">
        <f aca="false">INDEX(I_Items!$F$5:$F$133,MATCH($B1096,I_Items!$A$5:$A$133,0))</f>
        <v>Not stated in item master</v>
      </c>
      <c r="F1096" s="53" t="str">
        <f aca="false">IF(INDEX(I_Items!$E$5:$E$133,MATCH($B1096,I_Items!$A$5:$A$133,0))="","",INDEX(I_Items!$E$5:$E$133,MATCH($B1096,I_Items!$A$5:$A$133,0)))</f>
        <v>Uk 0.5</v>
      </c>
      <c r="G1096" s="76" t="n">
        <v>46254</v>
      </c>
      <c r="H1096" s="23" t="n">
        <f aca="false">MONTH(G1096)</f>
        <v>8</v>
      </c>
      <c r="I1096" s="74" t="s">
        <v>2075</v>
      </c>
      <c r="J1096" s="74" t="s">
        <v>2182</v>
      </c>
      <c r="K1096" s="10" t="n">
        <v>0</v>
      </c>
      <c r="L1096" s="8" t="n">
        <v>0</v>
      </c>
      <c r="M1096" s="10" t="n">
        <v>313.7</v>
      </c>
      <c r="N1096" s="8" t="n">
        <v>9418015.12</v>
      </c>
      <c r="O1096" s="74" t="s">
        <v>2077</v>
      </c>
      <c r="P1096" s="74"/>
      <c r="Q1096" s="74"/>
      <c r="R1096" s="14" t="n">
        <f aca="false">IF(I1096="Unbilled",0,M1096)</f>
        <v>313.7</v>
      </c>
      <c r="S1096" s="9" t="n">
        <f aca="false">IF(R1096=0,0,IF(O1096="Booked",N1096,R1096*V1095))</f>
        <v>9418015.1337069</v>
      </c>
      <c r="T1096" s="14" t="n">
        <f aca="false">IF(I1096="Opening",K1096,T1095+K1096-R1096)</f>
        <v>15594.6</v>
      </c>
      <c r="U1096" s="9" t="n">
        <f aca="false">IF(I1096="Opening",L1096,U1095+L1096-S1096)</f>
        <v>468186735.110314</v>
      </c>
      <c r="V1096" s="9" t="n">
        <f aca="false">IF(T1096&gt;0,U1096/T1096,IF(I1096="Opening",0,V1095))</f>
        <v>30022.3625556484</v>
      </c>
      <c r="W1096" s="14" t="n">
        <f aca="false">M1096</f>
        <v>313.7</v>
      </c>
      <c r="X1096" s="9" t="n">
        <f aca="false">IF(W1096=0,0,IF(O1096="Booked",N1096,W1096*AA1095))</f>
        <v>9418015.1337069</v>
      </c>
      <c r="Y1096" s="14" t="n">
        <f aca="false">IF(I1096="Opening",K1096,Y1095+K1096-W1096)</f>
        <v>15594.6</v>
      </c>
      <c r="Z1096" s="9" t="n">
        <f aca="false">IF(I1096="Opening",L1096,Z1095+L1096-X1096)</f>
        <v>468186735.110314</v>
      </c>
      <c r="AA1096" s="9" t="n">
        <f aca="false">IF(Y1096&gt;0,Z1096/Y1096,IF(I1096="Opening",0,AA1095))</f>
        <v>30022.3625556484</v>
      </c>
      <c r="AB1096" s="9" t="n">
        <f aca="false">IF(AND(I1096="DO",O1096="MA"),S1096-N1096,0)</f>
        <v>0.013706898316741</v>
      </c>
      <c r="AC1096" s="9" t="n">
        <f aca="false">IF(I1096="DO",X1096-S1096,0)</f>
        <v>0</v>
      </c>
      <c r="AD1096" s="23" t="n">
        <f aca="false">IF(B1097&lt;&gt;B1096,1,0)</f>
        <v>0</v>
      </c>
      <c r="AE1096" s="14" t="n">
        <f aca="false">IF(I1096="Opening",0,AE1095+W1096)</f>
        <v>1881.2</v>
      </c>
      <c r="AF1096" s="14" t="n">
        <f aca="false">IF(I1096="Opening",K1096,AF1095)</f>
        <v>0</v>
      </c>
      <c r="AG1096" s="14" t="n">
        <f aca="false">AG1095</f>
        <v>0</v>
      </c>
      <c r="AH1096" s="14" t="n">
        <f aca="false">IF(W1096=0,0,MAX(0,MIN(AE1096,AF1096)-MIN(AE1096-W1096,AF1096)))</f>
        <v>0</v>
      </c>
      <c r="AI1096" s="14" t="n">
        <f aca="false">IF(W1096=0,0,MAX(0,MIN(AE1096,AF1096+AG1096)-MAX(AE1096-W1096,AF1096)))</f>
        <v>0</v>
      </c>
      <c r="AJ1096" s="14" t="n">
        <f aca="false">W1096-AH1096-AI1096</f>
        <v>313.7</v>
      </c>
      <c r="AK1096" s="9" t="n">
        <f aca="false">IF(W1096=0,0,X1096*AH1096/W1096)</f>
        <v>0</v>
      </c>
      <c r="AL1096" s="9" t="n">
        <f aca="false">IF(W1096=0,0,X1096*AI1096/W1096)</f>
        <v>0</v>
      </c>
      <c r="AM1096" s="9" t="n">
        <f aca="false">X1096-AK1096-AL1096</f>
        <v>9418015.1337069</v>
      </c>
    </row>
    <row r="1097" customFormat="false" ht="15" hidden="false" customHeight="false" outlineLevel="0" collapsed="false">
      <c r="A1097" s="6" t="n">
        <v>1092</v>
      </c>
      <c r="B1097" s="74" t="s">
        <v>1036</v>
      </c>
      <c r="C1097" s="53" t="str">
        <f aca="false">INDEX(I_Items!$C$5:$C$133,MATCH($B1097,I_Items!$A$5:$A$133,0))</f>
        <v>Trading</v>
      </c>
      <c r="D1097" s="53" t="str">
        <f aca="false">INDEX(I_Items!$D$5:$D$133,MATCH($B1097,I_Items!$A$5:$A$133,0))</f>
        <v>Karkas</v>
      </c>
      <c r="E1097" s="53" t="str">
        <f aca="false">INDEX(I_Items!$F$5:$F$133,MATCH($B1097,I_Items!$A$5:$A$133,0))</f>
        <v>Not stated in item master</v>
      </c>
      <c r="F1097" s="53" t="str">
        <f aca="false">IF(INDEX(I_Items!$E$5:$E$133,MATCH($B1097,I_Items!$A$5:$A$133,0))="","",INDEX(I_Items!$E$5:$E$133,MATCH($B1097,I_Items!$A$5:$A$133,0)))</f>
        <v>Uk 0.5</v>
      </c>
      <c r="G1097" s="76" t="n">
        <v>46258</v>
      </c>
      <c r="H1097" s="23" t="n">
        <f aca="false">MONTH(G1097)</f>
        <v>8</v>
      </c>
      <c r="I1097" s="74" t="s">
        <v>89</v>
      </c>
      <c r="J1097" s="74" t="s">
        <v>2341</v>
      </c>
      <c r="K1097" s="10" t="n">
        <v>0</v>
      </c>
      <c r="L1097" s="8" t="n">
        <v>0</v>
      </c>
      <c r="M1097" s="13" t="n">
        <f aca="false">INDEX(Unbilled!$K$22:$K$38,MATCH($Q1097,Unbilled!$B$22:$B$38,0))</f>
        <v>381.5</v>
      </c>
      <c r="N1097" s="8" t="n">
        <v>0</v>
      </c>
      <c r="O1097" s="74" t="s">
        <v>2077</v>
      </c>
      <c r="P1097" s="74"/>
      <c r="Q1097" s="74" t="s">
        <v>1121</v>
      </c>
      <c r="R1097" s="14" t="n">
        <f aca="false">IF(I1097="Unbilled",0,M1097)</f>
        <v>0</v>
      </c>
      <c r="S1097" s="9" t="n">
        <f aca="false">IF(R1097=0,0,IF(O1097="Booked",N1097,R1097*V1096))</f>
        <v>0</v>
      </c>
      <c r="T1097" s="14" t="n">
        <f aca="false">IF(I1097="Opening",K1097,T1096+K1097-R1097)</f>
        <v>15594.6</v>
      </c>
      <c r="U1097" s="9" t="n">
        <f aca="false">IF(I1097="Opening",L1097,U1096+L1097-S1097)</f>
        <v>468186735.110314</v>
      </c>
      <c r="V1097" s="9" t="n">
        <f aca="false">IF(T1097&gt;0,U1097/T1097,IF(I1097="Opening",0,V1096))</f>
        <v>30022.3625556484</v>
      </c>
      <c r="W1097" s="14" t="n">
        <f aca="false">M1097</f>
        <v>381.5</v>
      </c>
      <c r="X1097" s="9" t="n">
        <f aca="false">IF(W1097=0,0,IF(O1097="Booked",N1097,W1097*AA1096))</f>
        <v>11453531.3149799</v>
      </c>
      <c r="Y1097" s="14" t="n">
        <f aca="false">IF(I1097="Opening",K1097,Y1096+K1097-W1097)</f>
        <v>15213.1</v>
      </c>
      <c r="Z1097" s="9" t="n">
        <f aca="false">IF(I1097="Opening",L1097,Z1096+L1097-X1097)</f>
        <v>456733203.795334</v>
      </c>
      <c r="AA1097" s="9" t="n">
        <f aca="false">IF(Y1097&gt;0,Z1097/Y1097,IF(I1097="Opening",0,AA1096))</f>
        <v>30022.3625556484</v>
      </c>
      <c r="AB1097" s="9" t="n">
        <f aca="false">IF(AND(I1097="DO",O1097="MA"),S1097-N1097,0)</f>
        <v>0</v>
      </c>
      <c r="AC1097" s="9" t="n">
        <f aca="false">IF(I1097="DO",X1097-S1097,0)</f>
        <v>0</v>
      </c>
      <c r="AD1097" s="23" t="n">
        <f aca="false">IF(B1098&lt;&gt;B1097,1,0)</f>
        <v>0</v>
      </c>
      <c r="AE1097" s="14" t="n">
        <f aca="false">IF(I1097="Opening",0,AE1096+W1097)</f>
        <v>2262.7</v>
      </c>
      <c r="AF1097" s="14" t="n">
        <f aca="false">IF(I1097="Opening",K1097,AF1096)</f>
        <v>0</v>
      </c>
      <c r="AG1097" s="14" t="n">
        <f aca="false">AG1096</f>
        <v>0</v>
      </c>
      <c r="AH1097" s="14" t="n">
        <f aca="false">IF(W1097=0,0,MAX(0,MIN(AE1097,AF1097)-MIN(AE1097-W1097,AF1097)))</f>
        <v>0</v>
      </c>
      <c r="AI1097" s="14" t="n">
        <f aca="false">IF(W1097=0,0,MAX(0,MIN(AE1097,AF1097+AG1097)-MAX(AE1097-W1097,AF1097)))</f>
        <v>0</v>
      </c>
      <c r="AJ1097" s="14" t="n">
        <f aca="false">W1097-AH1097-AI1097</f>
        <v>381.5</v>
      </c>
      <c r="AK1097" s="9" t="n">
        <f aca="false">IF(W1097=0,0,X1097*AH1097/W1097)</f>
        <v>0</v>
      </c>
      <c r="AL1097" s="9" t="n">
        <f aca="false">IF(W1097=0,0,X1097*AI1097/W1097)</f>
        <v>0</v>
      </c>
      <c r="AM1097" s="9" t="n">
        <f aca="false">X1097-AK1097-AL1097</f>
        <v>11453531.3149799</v>
      </c>
    </row>
    <row r="1098" customFormat="false" ht="15" hidden="false" customHeight="false" outlineLevel="0" collapsed="false">
      <c r="A1098" s="6" t="n">
        <v>1093</v>
      </c>
      <c r="B1098" s="74" t="s">
        <v>1036</v>
      </c>
      <c r="C1098" s="53" t="str">
        <f aca="false">INDEX(I_Items!$C$5:$C$133,MATCH($B1098,I_Items!$A$5:$A$133,0))</f>
        <v>Trading</v>
      </c>
      <c r="D1098" s="53" t="str">
        <f aca="false">INDEX(I_Items!$D$5:$D$133,MATCH($B1098,I_Items!$A$5:$A$133,0))</f>
        <v>Karkas</v>
      </c>
      <c r="E1098" s="53" t="str">
        <f aca="false">INDEX(I_Items!$F$5:$F$133,MATCH($B1098,I_Items!$A$5:$A$133,0))</f>
        <v>Not stated in item master</v>
      </c>
      <c r="F1098" s="53" t="str">
        <f aca="false">IF(INDEX(I_Items!$E$5:$E$133,MATCH($B1098,I_Items!$A$5:$A$133,0))="","",INDEX(I_Items!$E$5:$E$133,MATCH($B1098,I_Items!$A$5:$A$133,0)))</f>
        <v>Uk 0.5</v>
      </c>
      <c r="G1098" s="76" t="n">
        <v>46261</v>
      </c>
      <c r="H1098" s="23" t="n">
        <f aca="false">MONTH(G1098)</f>
        <v>8</v>
      </c>
      <c r="I1098" s="74" t="s">
        <v>2075</v>
      </c>
      <c r="J1098" s="74" t="s">
        <v>2174</v>
      </c>
      <c r="K1098" s="10" t="n">
        <v>0</v>
      </c>
      <c r="L1098" s="8" t="n">
        <v>0</v>
      </c>
      <c r="M1098" s="10" t="n">
        <v>313.9</v>
      </c>
      <c r="N1098" s="8" t="n">
        <v>9424019.59</v>
      </c>
      <c r="O1098" s="74" t="s">
        <v>2077</v>
      </c>
      <c r="P1098" s="74"/>
      <c r="Q1098" s="74"/>
      <c r="R1098" s="14" t="n">
        <f aca="false">IF(I1098="Unbilled",0,M1098)</f>
        <v>313.9</v>
      </c>
      <c r="S1098" s="9" t="n">
        <f aca="false">IF(R1098=0,0,IF(O1098="Booked",N1098,R1098*V1097))</f>
        <v>9424019.60621803</v>
      </c>
      <c r="T1098" s="14" t="n">
        <f aca="false">IF(I1098="Opening",K1098,T1097+K1098-R1098)</f>
        <v>15280.7</v>
      </c>
      <c r="U1098" s="9" t="n">
        <f aca="false">IF(I1098="Opening",L1098,U1097+L1098-S1098)</f>
        <v>458762715.504096</v>
      </c>
      <c r="V1098" s="9" t="n">
        <f aca="false">IF(T1098&gt;0,U1098/T1098,IF(I1098="Opening",0,V1097))</f>
        <v>30022.3625556484</v>
      </c>
      <c r="W1098" s="14" t="n">
        <f aca="false">M1098</f>
        <v>313.9</v>
      </c>
      <c r="X1098" s="9" t="n">
        <f aca="false">IF(W1098=0,0,IF(O1098="Booked",N1098,W1098*AA1097))</f>
        <v>9424019.60621803</v>
      </c>
      <c r="Y1098" s="14" t="n">
        <f aca="false">IF(I1098="Opening",K1098,Y1097+K1098-W1098)</f>
        <v>14899.2</v>
      </c>
      <c r="Z1098" s="9" t="n">
        <f aca="false">IF(I1098="Opening",L1098,Z1097+L1098-X1098)</f>
        <v>447309184.189116</v>
      </c>
      <c r="AA1098" s="9" t="n">
        <f aca="false">IF(Y1098&gt;0,Z1098/Y1098,IF(I1098="Opening",0,AA1097))</f>
        <v>30022.3625556484</v>
      </c>
      <c r="AB1098" s="9" t="n">
        <f aca="false">IF(AND(I1098="DO",O1098="MA"),S1098-N1098,0)</f>
        <v>0.016218027099967</v>
      </c>
      <c r="AC1098" s="9" t="n">
        <f aca="false">IF(I1098="DO",X1098-S1098,0)</f>
        <v>0</v>
      </c>
      <c r="AD1098" s="23" t="n">
        <f aca="false">IF(B1099&lt;&gt;B1098,1,0)</f>
        <v>0</v>
      </c>
      <c r="AE1098" s="14" t="n">
        <f aca="false">IF(I1098="Opening",0,AE1097+W1098)</f>
        <v>2576.6</v>
      </c>
      <c r="AF1098" s="14" t="n">
        <f aca="false">IF(I1098="Opening",K1098,AF1097)</f>
        <v>0</v>
      </c>
      <c r="AG1098" s="14" t="n">
        <f aca="false">AG1097</f>
        <v>0</v>
      </c>
      <c r="AH1098" s="14" t="n">
        <f aca="false">IF(W1098=0,0,MAX(0,MIN(AE1098,AF1098)-MIN(AE1098-W1098,AF1098)))</f>
        <v>0</v>
      </c>
      <c r="AI1098" s="14" t="n">
        <f aca="false">IF(W1098=0,0,MAX(0,MIN(AE1098,AF1098+AG1098)-MAX(AE1098-W1098,AF1098)))</f>
        <v>0</v>
      </c>
      <c r="AJ1098" s="14" t="n">
        <f aca="false">W1098-AH1098-AI1098</f>
        <v>313.9</v>
      </c>
      <c r="AK1098" s="9" t="n">
        <f aca="false">IF(W1098=0,0,X1098*AH1098/W1098)</f>
        <v>0</v>
      </c>
      <c r="AL1098" s="9" t="n">
        <f aca="false">IF(W1098=0,0,X1098*AI1098/W1098)</f>
        <v>0</v>
      </c>
      <c r="AM1098" s="9" t="n">
        <f aca="false">X1098-AK1098-AL1098</f>
        <v>9424019.60621803</v>
      </c>
    </row>
    <row r="1099" customFormat="false" ht="15" hidden="false" customHeight="false" outlineLevel="0" collapsed="false">
      <c r="A1099" s="6" t="n">
        <v>1094</v>
      </c>
      <c r="B1099" s="74" t="s">
        <v>1036</v>
      </c>
      <c r="C1099" s="53" t="str">
        <f aca="false">INDEX(I_Items!$C$5:$C$133,MATCH($B1099,I_Items!$A$5:$A$133,0))</f>
        <v>Trading</v>
      </c>
      <c r="D1099" s="53" t="str">
        <f aca="false">INDEX(I_Items!$D$5:$D$133,MATCH($B1099,I_Items!$A$5:$A$133,0))</f>
        <v>Karkas</v>
      </c>
      <c r="E1099" s="53" t="str">
        <f aca="false">INDEX(I_Items!$F$5:$F$133,MATCH($B1099,I_Items!$A$5:$A$133,0))</f>
        <v>Not stated in item master</v>
      </c>
      <c r="F1099" s="53" t="str">
        <f aca="false">IF(INDEX(I_Items!$E$5:$E$133,MATCH($B1099,I_Items!$A$5:$A$133,0))="","",INDEX(I_Items!$E$5:$E$133,MATCH($B1099,I_Items!$A$5:$A$133,0)))</f>
        <v>Uk 0.5</v>
      </c>
      <c r="G1099" s="76" t="n">
        <v>46265</v>
      </c>
      <c r="H1099" s="23" t="n">
        <f aca="false">MONTH(G1099)</f>
        <v>8</v>
      </c>
      <c r="I1099" s="74" t="s">
        <v>2075</v>
      </c>
      <c r="J1099" s="74" t="s">
        <v>2123</v>
      </c>
      <c r="K1099" s="10" t="n">
        <v>0</v>
      </c>
      <c r="L1099" s="8" t="n">
        <v>0</v>
      </c>
      <c r="M1099" s="10" t="n">
        <v>1615.9</v>
      </c>
      <c r="N1099" s="8" t="n">
        <v>48513135.56</v>
      </c>
      <c r="O1099" s="74" t="s">
        <v>2077</v>
      </c>
      <c r="P1099" s="74"/>
      <c r="Q1099" s="74"/>
      <c r="R1099" s="14" t="n">
        <f aca="false">IF(I1099="Unbilled",0,M1099)</f>
        <v>1615.9</v>
      </c>
      <c r="S1099" s="9" t="n">
        <f aca="false">IF(R1099=0,0,IF(O1099="Booked",N1099,R1099*V1098))</f>
        <v>48513135.6536722</v>
      </c>
      <c r="T1099" s="14" t="n">
        <f aca="false">IF(I1099="Opening",K1099,T1098+K1099-R1099)</f>
        <v>13664.8</v>
      </c>
      <c r="U1099" s="9" t="n">
        <f aca="false">IF(I1099="Opening",L1099,U1098+L1099-S1099)</f>
        <v>410249579.850424</v>
      </c>
      <c r="V1099" s="9" t="n">
        <f aca="false">IF(T1099&gt;0,U1099/T1099,IF(I1099="Opening",0,V1098))</f>
        <v>30022.3625556484</v>
      </c>
      <c r="W1099" s="14" t="n">
        <f aca="false">M1099</f>
        <v>1615.9</v>
      </c>
      <c r="X1099" s="9" t="n">
        <f aca="false">IF(W1099=0,0,IF(O1099="Booked",N1099,W1099*AA1098))</f>
        <v>48513135.6536722</v>
      </c>
      <c r="Y1099" s="14" t="n">
        <f aca="false">IF(I1099="Opening",K1099,Y1098+K1099-W1099)</f>
        <v>13283.3</v>
      </c>
      <c r="Z1099" s="9" t="n">
        <f aca="false">IF(I1099="Opening",L1099,Z1098+L1099-X1099)</f>
        <v>398796048.535444</v>
      </c>
      <c r="AA1099" s="9" t="n">
        <f aca="false">IF(Y1099&gt;0,Z1099/Y1099,IF(I1099="Opening",0,AA1098))</f>
        <v>30022.3625556484</v>
      </c>
      <c r="AB1099" s="9" t="n">
        <f aca="false">IF(AND(I1099="DO",O1099="MA"),S1099-N1099,0)</f>
        <v>0.0936722233891487</v>
      </c>
      <c r="AC1099" s="9" t="n">
        <f aca="false">IF(I1099="DO",X1099-S1099,0)</f>
        <v>0</v>
      </c>
      <c r="AD1099" s="23" t="n">
        <f aca="false">IF(B1100&lt;&gt;B1099,1,0)</f>
        <v>1</v>
      </c>
      <c r="AE1099" s="14" t="n">
        <f aca="false">IF(I1099="Opening",0,AE1098+W1099)</f>
        <v>4192.5</v>
      </c>
      <c r="AF1099" s="14" t="n">
        <f aca="false">IF(I1099="Opening",K1099,AF1098)</f>
        <v>0</v>
      </c>
      <c r="AG1099" s="14" t="n">
        <f aca="false">AG1098</f>
        <v>0</v>
      </c>
      <c r="AH1099" s="14" t="n">
        <f aca="false">IF(W1099=0,0,MAX(0,MIN(AE1099,AF1099)-MIN(AE1099-W1099,AF1099)))</f>
        <v>0</v>
      </c>
      <c r="AI1099" s="14" t="n">
        <f aca="false">IF(W1099=0,0,MAX(0,MIN(AE1099,AF1099+AG1099)-MAX(AE1099-W1099,AF1099)))</f>
        <v>0</v>
      </c>
      <c r="AJ1099" s="14" t="n">
        <f aca="false">W1099-AH1099-AI1099</f>
        <v>1615.9</v>
      </c>
      <c r="AK1099" s="9" t="n">
        <f aca="false">IF(W1099=0,0,X1099*AH1099/W1099)</f>
        <v>0</v>
      </c>
      <c r="AL1099" s="9" t="n">
        <f aca="false">IF(W1099=0,0,X1099*AI1099/W1099)</f>
        <v>0</v>
      </c>
      <c r="AM1099" s="9" t="n">
        <f aca="false">X1099-AK1099-AL1099</f>
        <v>48513135.6536722</v>
      </c>
    </row>
    <row r="1100" customFormat="false" ht="15" hidden="false" customHeight="false" outlineLevel="0" collapsed="false">
      <c r="A1100" s="6" t="n">
        <v>1095</v>
      </c>
      <c r="B1100" s="74" t="s">
        <v>1037</v>
      </c>
      <c r="C1100" s="53" t="str">
        <f aca="false">INDEX(I_Items!$C$5:$C$133,MATCH($B1100,I_Items!$A$5:$A$133,0))</f>
        <v>Trading</v>
      </c>
      <c r="D1100" s="53" t="str">
        <f aca="false">INDEX(I_Items!$D$5:$D$133,MATCH($B1100,I_Items!$A$5:$A$133,0))</f>
        <v>Karkas</v>
      </c>
      <c r="E1100" s="53" t="str">
        <f aca="false">INDEX(I_Items!$F$5:$F$133,MATCH($B1100,I_Items!$A$5:$A$133,0))</f>
        <v>Not stated in item master</v>
      </c>
      <c r="F1100" s="53" t="str">
        <f aca="false">IF(INDEX(I_Items!$E$5:$E$133,MATCH($B1100,I_Items!$A$5:$A$133,0))="","",INDEX(I_Items!$E$5:$E$133,MATCH($B1100,I_Items!$A$5:$A$133,0)))</f>
        <v>Uk 0.3</v>
      </c>
      <c r="G1100" s="76" t="n">
        <v>46204</v>
      </c>
      <c r="H1100" s="23" t="n">
        <f aca="false">MONTH(G1100)</f>
        <v>7</v>
      </c>
      <c r="I1100" s="74" t="s">
        <v>2072</v>
      </c>
      <c r="J1100" s="74" t="s">
        <v>2073</v>
      </c>
      <c r="K1100" s="10" t="n">
        <v>0</v>
      </c>
      <c r="L1100" s="8" t="n">
        <v>0</v>
      </c>
      <c r="M1100" s="10" t="n">
        <v>0</v>
      </c>
      <c r="N1100" s="8" t="n">
        <v>0</v>
      </c>
      <c r="O1100" s="74"/>
      <c r="P1100" s="74"/>
      <c r="Q1100" s="74"/>
      <c r="R1100" s="14" t="n">
        <f aca="false">IF(I1100="Unbilled",0,M1100)</f>
        <v>0</v>
      </c>
      <c r="S1100" s="9" t="n">
        <f aca="false">IF(R1100=0,0,IF(O1100="Booked",N1100,R1100*V1099))</f>
        <v>0</v>
      </c>
      <c r="T1100" s="14" t="n">
        <f aca="false">IF(I1100="Opening",K1100,T1099+K1100-R1100)</f>
        <v>0</v>
      </c>
      <c r="U1100" s="9" t="n">
        <f aca="false">IF(I1100="Opening",L1100,U1099+L1100-S1100)</f>
        <v>0</v>
      </c>
      <c r="V1100" s="9" t="n">
        <f aca="false">IF(T1100&gt;0,U1100/T1100,IF(I1100="Opening",0,V1099))</f>
        <v>0</v>
      </c>
      <c r="W1100" s="14" t="n">
        <f aca="false">M1100</f>
        <v>0</v>
      </c>
      <c r="X1100" s="9" t="n">
        <f aca="false">IF(W1100=0,0,IF(O1100="Booked",N1100,W1100*AA1099))</f>
        <v>0</v>
      </c>
      <c r="Y1100" s="14" t="n">
        <f aca="false">IF(I1100="Opening",K1100,Y1099+K1100-W1100)</f>
        <v>0</v>
      </c>
      <c r="Z1100" s="9" t="n">
        <f aca="false">IF(I1100="Opening",L1100,Z1099+L1100-X1100)</f>
        <v>0</v>
      </c>
      <c r="AA1100" s="9" t="n">
        <f aca="false">IF(Y1100&gt;0,Z1100/Y1100,IF(I1100="Opening",0,AA1099))</f>
        <v>0</v>
      </c>
      <c r="AB1100" s="9" t="n">
        <f aca="false">IF(AND(I1100="DO",O1100="MA"),S1100-N1100,0)</f>
        <v>0</v>
      </c>
      <c r="AC1100" s="9" t="n">
        <f aca="false">IF(I1100="DO",X1100-S1100,0)</f>
        <v>0</v>
      </c>
      <c r="AD1100" s="23" t="n">
        <f aca="false">IF(B1101&lt;&gt;B1100,1,0)</f>
        <v>0</v>
      </c>
      <c r="AE1100" s="14" t="n">
        <f aca="false">IF(I1100="Opening",0,AE1099+W1100)</f>
        <v>0</v>
      </c>
      <c r="AF1100" s="14" t="n">
        <f aca="false">IF(I1100="Opening",K1100,AF1099)</f>
        <v>0</v>
      </c>
      <c r="AG1100" s="14" t="n">
        <f aca="false">SUMIFS($K$6:$K$1110,$B$6:$B$1110,B1100,$H$6:$H$1110,7,$I$6:$I$1110,"&lt;&gt;Opening")</f>
        <v>0</v>
      </c>
      <c r="AH1100" s="14" t="n">
        <f aca="false">IF(W1100=0,0,MAX(0,MIN(AE1100,AF1100)-MIN(AE1100-W1100,AF1100)))</f>
        <v>0</v>
      </c>
      <c r="AI1100" s="14" t="n">
        <f aca="false">IF(W1100=0,0,MAX(0,MIN(AE1100,AF1100+AG1100)-MAX(AE1100-W1100,AF1100)))</f>
        <v>0</v>
      </c>
      <c r="AJ1100" s="14" t="n">
        <f aca="false">W1100-AH1100-AI1100</f>
        <v>0</v>
      </c>
      <c r="AK1100" s="9" t="n">
        <f aca="false">IF(W1100=0,0,X1100*AH1100/W1100)</f>
        <v>0</v>
      </c>
      <c r="AL1100" s="9" t="n">
        <f aca="false">IF(W1100=0,0,X1100*AI1100/W1100)</f>
        <v>0</v>
      </c>
      <c r="AM1100" s="9" t="n">
        <f aca="false">X1100-AK1100-AL1100</f>
        <v>0</v>
      </c>
    </row>
    <row r="1101" customFormat="false" ht="15" hidden="false" customHeight="false" outlineLevel="0" collapsed="false">
      <c r="A1101" s="6" t="n">
        <v>1096</v>
      </c>
      <c r="B1101" s="74" t="s">
        <v>1037</v>
      </c>
      <c r="C1101" s="53" t="str">
        <f aca="false">INDEX(I_Items!$C$5:$C$133,MATCH($B1101,I_Items!$A$5:$A$133,0))</f>
        <v>Trading</v>
      </c>
      <c r="D1101" s="53" t="str">
        <f aca="false">INDEX(I_Items!$D$5:$D$133,MATCH($B1101,I_Items!$A$5:$A$133,0))</f>
        <v>Karkas</v>
      </c>
      <c r="E1101" s="53" t="str">
        <f aca="false">INDEX(I_Items!$F$5:$F$133,MATCH($B1101,I_Items!$A$5:$A$133,0))</f>
        <v>Not stated in item master</v>
      </c>
      <c r="F1101" s="53" t="str">
        <f aca="false">IF(INDEX(I_Items!$E$5:$E$133,MATCH($B1101,I_Items!$A$5:$A$133,0))="","",INDEX(I_Items!$E$5:$E$133,MATCH($B1101,I_Items!$A$5:$A$133,0)))</f>
        <v>Uk 0.3</v>
      </c>
      <c r="G1101" s="76" t="n">
        <v>46238</v>
      </c>
      <c r="H1101" s="23" t="n">
        <f aca="false">MONTH(G1101)</f>
        <v>8</v>
      </c>
      <c r="I1101" s="74" t="s">
        <v>2074</v>
      </c>
      <c r="J1101" s="74" t="s">
        <v>2256</v>
      </c>
      <c r="K1101" s="10" t="n">
        <v>73.8</v>
      </c>
      <c r="L1101" s="8" t="n">
        <v>2177100</v>
      </c>
      <c r="M1101" s="10" t="n">
        <v>0</v>
      </c>
      <c r="N1101" s="8" t="n">
        <v>0</v>
      </c>
      <c r="O1101" s="74"/>
      <c r="P1101" s="74"/>
      <c r="Q1101" s="74"/>
      <c r="R1101" s="14" t="n">
        <f aca="false">IF(I1101="Unbilled",0,M1101)</f>
        <v>0</v>
      </c>
      <c r="S1101" s="9" t="n">
        <f aca="false">IF(R1101=0,0,IF(O1101="Booked",N1101,R1101*V1100))</f>
        <v>0</v>
      </c>
      <c r="T1101" s="14" t="n">
        <f aca="false">IF(I1101="Opening",K1101,T1100+K1101-R1101)</f>
        <v>73.8</v>
      </c>
      <c r="U1101" s="9" t="n">
        <f aca="false">IF(I1101="Opening",L1101,U1100+L1101-S1101)</f>
        <v>2177100</v>
      </c>
      <c r="V1101" s="9" t="n">
        <f aca="false">IF(T1101&gt;0,U1101/T1101,IF(I1101="Opening",0,V1100))</f>
        <v>29500</v>
      </c>
      <c r="W1101" s="14" t="n">
        <f aca="false">M1101</f>
        <v>0</v>
      </c>
      <c r="X1101" s="9" t="n">
        <f aca="false">IF(W1101=0,0,IF(O1101="Booked",N1101,W1101*AA1100))</f>
        <v>0</v>
      </c>
      <c r="Y1101" s="14" t="n">
        <f aca="false">IF(I1101="Opening",K1101,Y1100+K1101-W1101)</f>
        <v>73.8</v>
      </c>
      <c r="Z1101" s="9" t="n">
        <f aca="false">IF(I1101="Opening",L1101,Z1100+L1101-X1101)</f>
        <v>2177100</v>
      </c>
      <c r="AA1101" s="9" t="n">
        <f aca="false">IF(Y1101&gt;0,Z1101/Y1101,IF(I1101="Opening",0,AA1100))</f>
        <v>29500</v>
      </c>
      <c r="AB1101" s="9" t="n">
        <f aca="false">IF(AND(I1101="DO",O1101="MA"),S1101-N1101,0)</f>
        <v>0</v>
      </c>
      <c r="AC1101" s="9" t="n">
        <f aca="false">IF(I1101="DO",X1101-S1101,0)</f>
        <v>0</v>
      </c>
      <c r="AD1101" s="23" t="n">
        <f aca="false">IF(B1102&lt;&gt;B1101,1,0)</f>
        <v>1</v>
      </c>
      <c r="AE1101" s="14" t="n">
        <f aca="false">IF(I1101="Opening",0,AE1100+W1101)</f>
        <v>0</v>
      </c>
      <c r="AF1101" s="14" t="n">
        <f aca="false">IF(I1101="Opening",K1101,AF1100)</f>
        <v>0</v>
      </c>
      <c r="AG1101" s="14" t="n">
        <f aca="false">AG1100</f>
        <v>0</v>
      </c>
      <c r="AH1101" s="14" t="n">
        <f aca="false">IF(W1101=0,0,MAX(0,MIN(AE1101,AF1101)-MIN(AE1101-W1101,AF1101)))</f>
        <v>0</v>
      </c>
      <c r="AI1101" s="14" t="n">
        <f aca="false">IF(W1101=0,0,MAX(0,MIN(AE1101,AF1101+AG1101)-MAX(AE1101-W1101,AF1101)))</f>
        <v>0</v>
      </c>
      <c r="AJ1101" s="14" t="n">
        <f aca="false">W1101-AH1101-AI1101</f>
        <v>0</v>
      </c>
      <c r="AK1101" s="9" t="n">
        <f aca="false">IF(W1101=0,0,X1101*AH1101/W1101)</f>
        <v>0</v>
      </c>
      <c r="AL1101" s="9" t="n">
        <f aca="false">IF(W1101=0,0,X1101*AI1101/W1101)</f>
        <v>0</v>
      </c>
      <c r="AM1101" s="9" t="n">
        <f aca="false">X1101-AK1101-AL1101</f>
        <v>0</v>
      </c>
    </row>
    <row r="1102" customFormat="false" ht="15" hidden="false" customHeight="false" outlineLevel="0" collapsed="false">
      <c r="A1102" s="6" t="n">
        <v>1097</v>
      </c>
      <c r="B1102" s="74" t="s">
        <v>1038</v>
      </c>
      <c r="C1102" s="53" t="str">
        <f aca="false">INDEX(I_Items!$C$5:$C$133,MATCH($B1102,I_Items!$A$5:$A$133,0))</f>
        <v>Trading</v>
      </c>
      <c r="D1102" s="53" t="str">
        <f aca="false">INDEX(I_Items!$D$5:$D$133,MATCH($B1102,I_Items!$A$5:$A$133,0))</f>
        <v>Karkas</v>
      </c>
      <c r="E1102" s="53" t="str">
        <f aca="false">INDEX(I_Items!$F$5:$F$133,MATCH($B1102,I_Items!$A$5:$A$133,0))</f>
        <v>Not stated in item master</v>
      </c>
      <c r="F1102" s="53" t="str">
        <f aca="false">IF(INDEX(I_Items!$E$5:$E$133,MATCH($B1102,I_Items!$A$5:$A$133,0))="","",INDEX(I_Items!$E$5:$E$133,MATCH($B1102,I_Items!$A$5:$A$133,0)))</f>
        <v>Uk 0.4</v>
      </c>
      <c r="G1102" s="76" t="n">
        <v>46204</v>
      </c>
      <c r="H1102" s="23" t="n">
        <f aca="false">MONTH(G1102)</f>
        <v>7</v>
      </c>
      <c r="I1102" s="74" t="s">
        <v>2072</v>
      </c>
      <c r="J1102" s="74" t="s">
        <v>2073</v>
      </c>
      <c r="K1102" s="10" t="n">
        <v>0</v>
      </c>
      <c r="L1102" s="8" t="n">
        <v>0</v>
      </c>
      <c r="M1102" s="10" t="n">
        <v>0</v>
      </c>
      <c r="N1102" s="8" t="n">
        <v>0</v>
      </c>
      <c r="O1102" s="74"/>
      <c r="P1102" s="74"/>
      <c r="Q1102" s="74"/>
      <c r="R1102" s="14" t="n">
        <f aca="false">IF(I1102="Unbilled",0,M1102)</f>
        <v>0</v>
      </c>
      <c r="S1102" s="9" t="n">
        <f aca="false">IF(R1102=0,0,IF(O1102="Booked",N1102,R1102*V1101))</f>
        <v>0</v>
      </c>
      <c r="T1102" s="14" t="n">
        <f aca="false">IF(I1102="Opening",K1102,T1101+K1102-R1102)</f>
        <v>0</v>
      </c>
      <c r="U1102" s="9" t="n">
        <f aca="false">IF(I1102="Opening",L1102,U1101+L1102-S1102)</f>
        <v>0</v>
      </c>
      <c r="V1102" s="9" t="n">
        <f aca="false">IF(T1102&gt;0,U1102/T1102,IF(I1102="Opening",0,V1101))</f>
        <v>0</v>
      </c>
      <c r="W1102" s="14" t="n">
        <f aca="false">M1102</f>
        <v>0</v>
      </c>
      <c r="X1102" s="9" t="n">
        <f aca="false">IF(W1102=0,0,IF(O1102="Booked",N1102,W1102*AA1101))</f>
        <v>0</v>
      </c>
      <c r="Y1102" s="14" t="n">
        <f aca="false">IF(I1102="Opening",K1102,Y1101+K1102-W1102)</f>
        <v>0</v>
      </c>
      <c r="Z1102" s="9" t="n">
        <f aca="false">IF(I1102="Opening",L1102,Z1101+L1102-X1102)</f>
        <v>0</v>
      </c>
      <c r="AA1102" s="9" t="n">
        <f aca="false">IF(Y1102&gt;0,Z1102/Y1102,IF(I1102="Opening",0,AA1101))</f>
        <v>0</v>
      </c>
      <c r="AB1102" s="9" t="n">
        <f aca="false">IF(AND(I1102="DO",O1102="MA"),S1102-N1102,0)</f>
        <v>0</v>
      </c>
      <c r="AC1102" s="9" t="n">
        <f aca="false">IF(I1102="DO",X1102-S1102,0)</f>
        <v>0</v>
      </c>
      <c r="AD1102" s="23" t="n">
        <f aca="false">IF(B1103&lt;&gt;B1102,1,0)</f>
        <v>0</v>
      </c>
      <c r="AE1102" s="14" t="n">
        <f aca="false">IF(I1102="Opening",0,AE1101+W1102)</f>
        <v>0</v>
      </c>
      <c r="AF1102" s="14" t="n">
        <f aca="false">IF(I1102="Opening",K1102,AF1101)</f>
        <v>0</v>
      </c>
      <c r="AG1102" s="14" t="n">
        <f aca="false">SUMIFS($K$6:$K$1110,$B$6:$B$1110,B1102,$H$6:$H$1110,7,$I$6:$I$1110,"&lt;&gt;Opening")</f>
        <v>0</v>
      </c>
      <c r="AH1102" s="14" t="n">
        <f aca="false">IF(W1102=0,0,MAX(0,MIN(AE1102,AF1102)-MIN(AE1102-W1102,AF1102)))</f>
        <v>0</v>
      </c>
      <c r="AI1102" s="14" t="n">
        <f aca="false">IF(W1102=0,0,MAX(0,MIN(AE1102,AF1102+AG1102)-MAX(AE1102-W1102,AF1102)))</f>
        <v>0</v>
      </c>
      <c r="AJ1102" s="14" t="n">
        <f aca="false">W1102-AH1102-AI1102</f>
        <v>0</v>
      </c>
      <c r="AK1102" s="9" t="n">
        <f aca="false">IF(W1102=0,0,X1102*AH1102/W1102)</f>
        <v>0</v>
      </c>
      <c r="AL1102" s="9" t="n">
        <f aca="false">IF(W1102=0,0,X1102*AI1102/W1102)</f>
        <v>0</v>
      </c>
      <c r="AM1102" s="9" t="n">
        <f aca="false">X1102-AK1102-AL1102</f>
        <v>0</v>
      </c>
    </row>
    <row r="1103" customFormat="false" ht="15" hidden="false" customHeight="false" outlineLevel="0" collapsed="false">
      <c r="A1103" s="6" t="n">
        <v>1098</v>
      </c>
      <c r="B1103" s="74" t="s">
        <v>1038</v>
      </c>
      <c r="C1103" s="53" t="str">
        <f aca="false">INDEX(I_Items!$C$5:$C$133,MATCH($B1103,I_Items!$A$5:$A$133,0))</f>
        <v>Trading</v>
      </c>
      <c r="D1103" s="53" t="str">
        <f aca="false">INDEX(I_Items!$D$5:$D$133,MATCH($B1103,I_Items!$A$5:$A$133,0))</f>
        <v>Karkas</v>
      </c>
      <c r="E1103" s="53" t="str">
        <f aca="false">INDEX(I_Items!$F$5:$F$133,MATCH($B1103,I_Items!$A$5:$A$133,0))</f>
        <v>Not stated in item master</v>
      </c>
      <c r="F1103" s="53" t="str">
        <f aca="false">IF(INDEX(I_Items!$E$5:$E$133,MATCH($B1103,I_Items!$A$5:$A$133,0))="","",INDEX(I_Items!$E$5:$E$133,MATCH($B1103,I_Items!$A$5:$A$133,0)))</f>
        <v>Uk 0.4</v>
      </c>
      <c r="G1103" s="76" t="n">
        <v>46238</v>
      </c>
      <c r="H1103" s="23" t="n">
        <f aca="false">MONTH(G1103)</f>
        <v>8</v>
      </c>
      <c r="I1103" s="74" t="s">
        <v>2074</v>
      </c>
      <c r="J1103" s="74" t="s">
        <v>2256</v>
      </c>
      <c r="K1103" s="10" t="n">
        <v>469.2</v>
      </c>
      <c r="L1103" s="8" t="n">
        <v>13841400</v>
      </c>
      <c r="M1103" s="10" t="n">
        <v>0</v>
      </c>
      <c r="N1103" s="8" t="n">
        <v>0</v>
      </c>
      <c r="O1103" s="74"/>
      <c r="P1103" s="74"/>
      <c r="Q1103" s="74"/>
      <c r="R1103" s="14" t="n">
        <f aca="false">IF(I1103="Unbilled",0,M1103)</f>
        <v>0</v>
      </c>
      <c r="S1103" s="9" t="n">
        <f aca="false">IF(R1103=0,0,IF(O1103="Booked",N1103,R1103*V1102))</f>
        <v>0</v>
      </c>
      <c r="T1103" s="14" t="n">
        <f aca="false">IF(I1103="Opening",K1103,T1102+K1103-R1103)</f>
        <v>469.2</v>
      </c>
      <c r="U1103" s="9" t="n">
        <f aca="false">IF(I1103="Opening",L1103,U1102+L1103-S1103)</f>
        <v>13841400</v>
      </c>
      <c r="V1103" s="9" t="n">
        <f aca="false">IF(T1103&gt;0,U1103/T1103,IF(I1103="Opening",0,V1102))</f>
        <v>29500</v>
      </c>
      <c r="W1103" s="14" t="n">
        <f aca="false">M1103</f>
        <v>0</v>
      </c>
      <c r="X1103" s="9" t="n">
        <f aca="false">IF(W1103=0,0,IF(O1103="Booked",N1103,W1103*AA1102))</f>
        <v>0</v>
      </c>
      <c r="Y1103" s="14" t="n">
        <f aca="false">IF(I1103="Opening",K1103,Y1102+K1103-W1103)</f>
        <v>469.2</v>
      </c>
      <c r="Z1103" s="9" t="n">
        <f aca="false">IF(I1103="Opening",L1103,Z1102+L1103-X1103)</f>
        <v>13841400</v>
      </c>
      <c r="AA1103" s="9" t="n">
        <f aca="false">IF(Y1103&gt;0,Z1103/Y1103,IF(I1103="Opening",0,AA1102))</f>
        <v>29500</v>
      </c>
      <c r="AB1103" s="9" t="n">
        <f aca="false">IF(AND(I1103="DO",O1103="MA"),S1103-N1103,0)</f>
        <v>0</v>
      </c>
      <c r="AC1103" s="9" t="n">
        <f aca="false">IF(I1103="DO",X1103-S1103,0)</f>
        <v>0</v>
      </c>
      <c r="AD1103" s="23" t="n">
        <f aca="false">IF(B1104&lt;&gt;B1103,1,0)</f>
        <v>0</v>
      </c>
      <c r="AE1103" s="14" t="n">
        <f aca="false">IF(I1103="Opening",0,AE1102+W1103)</f>
        <v>0</v>
      </c>
      <c r="AF1103" s="14" t="n">
        <f aca="false">IF(I1103="Opening",K1103,AF1102)</f>
        <v>0</v>
      </c>
      <c r="AG1103" s="14" t="n">
        <f aca="false">AG1102</f>
        <v>0</v>
      </c>
      <c r="AH1103" s="14" t="n">
        <f aca="false">IF(W1103=0,0,MAX(0,MIN(AE1103,AF1103)-MIN(AE1103-W1103,AF1103)))</f>
        <v>0</v>
      </c>
      <c r="AI1103" s="14" t="n">
        <f aca="false">IF(W1103=0,0,MAX(0,MIN(AE1103,AF1103+AG1103)-MAX(AE1103-W1103,AF1103)))</f>
        <v>0</v>
      </c>
      <c r="AJ1103" s="14" t="n">
        <f aca="false">W1103-AH1103-AI1103</f>
        <v>0</v>
      </c>
      <c r="AK1103" s="9" t="n">
        <f aca="false">IF(W1103=0,0,X1103*AH1103/W1103)</f>
        <v>0</v>
      </c>
      <c r="AL1103" s="9" t="n">
        <f aca="false">IF(W1103=0,0,X1103*AI1103/W1103)</f>
        <v>0</v>
      </c>
      <c r="AM1103" s="9" t="n">
        <f aca="false">X1103-AK1103-AL1103</f>
        <v>0</v>
      </c>
    </row>
    <row r="1104" customFormat="false" ht="15" hidden="false" customHeight="false" outlineLevel="0" collapsed="false">
      <c r="A1104" s="6" t="n">
        <v>1099</v>
      </c>
      <c r="B1104" s="74" t="s">
        <v>1038</v>
      </c>
      <c r="C1104" s="53" t="str">
        <f aca="false">INDEX(I_Items!$C$5:$C$133,MATCH($B1104,I_Items!$A$5:$A$133,0))</f>
        <v>Trading</v>
      </c>
      <c r="D1104" s="53" t="str">
        <f aca="false">INDEX(I_Items!$D$5:$D$133,MATCH($B1104,I_Items!$A$5:$A$133,0))</f>
        <v>Karkas</v>
      </c>
      <c r="E1104" s="53" t="str">
        <f aca="false">INDEX(I_Items!$F$5:$F$133,MATCH($B1104,I_Items!$A$5:$A$133,0))</f>
        <v>Not stated in item master</v>
      </c>
      <c r="F1104" s="53" t="str">
        <f aca="false">IF(INDEX(I_Items!$E$5:$E$133,MATCH($B1104,I_Items!$A$5:$A$133,0))="","",INDEX(I_Items!$E$5:$E$133,MATCH($B1104,I_Items!$A$5:$A$133,0)))</f>
        <v>Uk 0.4</v>
      </c>
      <c r="G1104" s="76" t="n">
        <v>46249</v>
      </c>
      <c r="H1104" s="23" t="n">
        <f aca="false">MONTH(G1104)</f>
        <v>8</v>
      </c>
      <c r="I1104" s="74" t="s">
        <v>2074</v>
      </c>
      <c r="J1104" s="74" t="s">
        <v>2300</v>
      </c>
      <c r="K1104" s="10" t="n">
        <v>3244.73</v>
      </c>
      <c r="L1104" s="8" t="n">
        <v>97505607.99</v>
      </c>
      <c r="M1104" s="10" t="n">
        <v>0</v>
      </c>
      <c r="N1104" s="8" t="n">
        <v>0</v>
      </c>
      <c r="O1104" s="74"/>
      <c r="P1104" s="74"/>
      <c r="Q1104" s="74"/>
      <c r="R1104" s="14" t="n">
        <f aca="false">IF(I1104="Unbilled",0,M1104)</f>
        <v>0</v>
      </c>
      <c r="S1104" s="9" t="n">
        <f aca="false">IF(R1104=0,0,IF(O1104="Booked",N1104,R1104*V1103))</f>
        <v>0</v>
      </c>
      <c r="T1104" s="14" t="n">
        <f aca="false">IF(I1104="Opening",K1104,T1103+K1104-R1104)</f>
        <v>3713.93</v>
      </c>
      <c r="U1104" s="9" t="n">
        <f aca="false">IF(I1104="Opening",L1104,U1103+L1104-S1104)</f>
        <v>111347007.99</v>
      </c>
      <c r="V1104" s="9" t="n">
        <f aca="false">IF(T1104&gt;0,U1104/T1104,IF(I1104="Opening",0,V1103))</f>
        <v>29980.9118615591</v>
      </c>
      <c r="W1104" s="14" t="n">
        <f aca="false">M1104</f>
        <v>0</v>
      </c>
      <c r="X1104" s="9" t="n">
        <f aca="false">IF(W1104=0,0,IF(O1104="Booked",N1104,W1104*AA1103))</f>
        <v>0</v>
      </c>
      <c r="Y1104" s="14" t="n">
        <f aca="false">IF(I1104="Opening",K1104,Y1103+K1104-W1104)</f>
        <v>3713.93</v>
      </c>
      <c r="Z1104" s="9" t="n">
        <f aca="false">IF(I1104="Opening",L1104,Z1103+L1104-X1104)</f>
        <v>111347007.99</v>
      </c>
      <c r="AA1104" s="9" t="n">
        <f aca="false">IF(Y1104&gt;0,Z1104/Y1104,IF(I1104="Opening",0,AA1103))</f>
        <v>29980.9118615591</v>
      </c>
      <c r="AB1104" s="9" t="n">
        <f aca="false">IF(AND(I1104="DO",O1104="MA"),S1104-N1104,0)</f>
        <v>0</v>
      </c>
      <c r="AC1104" s="9" t="n">
        <f aca="false">IF(I1104="DO",X1104-S1104,0)</f>
        <v>0</v>
      </c>
      <c r="AD1104" s="23" t="n">
        <f aca="false">IF(B1105&lt;&gt;B1104,1,0)</f>
        <v>0</v>
      </c>
      <c r="AE1104" s="14" t="n">
        <f aca="false">IF(I1104="Opening",0,AE1103+W1104)</f>
        <v>0</v>
      </c>
      <c r="AF1104" s="14" t="n">
        <f aca="false">IF(I1104="Opening",K1104,AF1103)</f>
        <v>0</v>
      </c>
      <c r="AG1104" s="14" t="n">
        <f aca="false">AG1103</f>
        <v>0</v>
      </c>
      <c r="AH1104" s="14" t="n">
        <f aca="false">IF(W1104=0,0,MAX(0,MIN(AE1104,AF1104)-MIN(AE1104-W1104,AF1104)))</f>
        <v>0</v>
      </c>
      <c r="AI1104" s="14" t="n">
        <f aca="false">IF(W1104=0,0,MAX(0,MIN(AE1104,AF1104+AG1104)-MAX(AE1104-W1104,AF1104)))</f>
        <v>0</v>
      </c>
      <c r="AJ1104" s="14" t="n">
        <f aca="false">W1104-AH1104-AI1104</f>
        <v>0</v>
      </c>
      <c r="AK1104" s="9" t="n">
        <f aca="false">IF(W1104=0,0,X1104*AH1104/W1104)</f>
        <v>0</v>
      </c>
      <c r="AL1104" s="9" t="n">
        <f aca="false">IF(W1104=0,0,X1104*AI1104/W1104)</f>
        <v>0</v>
      </c>
      <c r="AM1104" s="9" t="n">
        <f aca="false">X1104-AK1104-AL1104</f>
        <v>0</v>
      </c>
    </row>
    <row r="1105" customFormat="false" ht="15" hidden="false" customHeight="false" outlineLevel="0" collapsed="false">
      <c r="A1105" s="6" t="n">
        <v>1100</v>
      </c>
      <c r="B1105" s="74" t="s">
        <v>1038</v>
      </c>
      <c r="C1105" s="53" t="str">
        <f aca="false">INDEX(I_Items!$C$5:$C$133,MATCH($B1105,I_Items!$A$5:$A$133,0))</f>
        <v>Trading</v>
      </c>
      <c r="D1105" s="53" t="str">
        <f aca="false">INDEX(I_Items!$D$5:$D$133,MATCH($B1105,I_Items!$A$5:$A$133,0))</f>
        <v>Karkas</v>
      </c>
      <c r="E1105" s="53" t="str">
        <f aca="false">INDEX(I_Items!$F$5:$F$133,MATCH($B1105,I_Items!$A$5:$A$133,0))</f>
        <v>Not stated in item master</v>
      </c>
      <c r="F1105" s="53" t="str">
        <f aca="false">IF(INDEX(I_Items!$E$5:$E$133,MATCH($B1105,I_Items!$A$5:$A$133,0))="","",INDEX(I_Items!$E$5:$E$133,MATCH($B1105,I_Items!$A$5:$A$133,0)))</f>
        <v>Uk 0.4</v>
      </c>
      <c r="G1105" s="76" t="n">
        <v>46249</v>
      </c>
      <c r="H1105" s="23" t="n">
        <f aca="false">MONTH(G1105)</f>
        <v>8</v>
      </c>
      <c r="I1105" s="74" t="s">
        <v>2074</v>
      </c>
      <c r="J1105" s="74" t="s">
        <v>2300</v>
      </c>
      <c r="K1105" s="10" t="n">
        <v>3508.27</v>
      </c>
      <c r="L1105" s="8" t="n">
        <v>105425104.5</v>
      </c>
      <c r="M1105" s="10" t="n">
        <v>0</v>
      </c>
      <c r="N1105" s="8" t="n">
        <v>0</v>
      </c>
      <c r="O1105" s="74"/>
      <c r="P1105" s="74"/>
      <c r="Q1105" s="74"/>
      <c r="R1105" s="14" t="n">
        <f aca="false">IF(I1105="Unbilled",0,M1105)</f>
        <v>0</v>
      </c>
      <c r="S1105" s="9" t="n">
        <f aca="false">IF(R1105=0,0,IF(O1105="Booked",N1105,R1105*V1104))</f>
        <v>0</v>
      </c>
      <c r="T1105" s="14" t="n">
        <f aca="false">IF(I1105="Opening",K1105,T1104+K1105-R1105)</f>
        <v>7222.2</v>
      </c>
      <c r="U1105" s="9" t="n">
        <f aca="false">IF(I1105="Opening",L1105,U1104+L1105-S1105)</f>
        <v>216772112.49</v>
      </c>
      <c r="V1105" s="9" t="n">
        <f aca="false">IF(T1105&gt;0,U1105/T1105,IF(I1105="Opening",0,V1104))</f>
        <v>30014.6925438232</v>
      </c>
      <c r="W1105" s="14" t="n">
        <f aca="false">M1105</f>
        <v>0</v>
      </c>
      <c r="X1105" s="9" t="n">
        <f aca="false">IF(W1105=0,0,IF(O1105="Booked",N1105,W1105*AA1104))</f>
        <v>0</v>
      </c>
      <c r="Y1105" s="14" t="n">
        <f aca="false">IF(I1105="Opening",K1105,Y1104+K1105-W1105)</f>
        <v>7222.2</v>
      </c>
      <c r="Z1105" s="9" t="n">
        <f aca="false">IF(I1105="Opening",L1105,Z1104+L1105-X1105)</f>
        <v>216772112.49</v>
      </c>
      <c r="AA1105" s="9" t="n">
        <f aca="false">IF(Y1105&gt;0,Z1105/Y1105,IF(I1105="Opening",0,AA1104))</f>
        <v>30014.6925438232</v>
      </c>
      <c r="AB1105" s="9" t="n">
        <f aca="false">IF(AND(I1105="DO",O1105="MA"),S1105-N1105,0)</f>
        <v>0</v>
      </c>
      <c r="AC1105" s="9" t="n">
        <f aca="false">IF(I1105="DO",X1105-S1105,0)</f>
        <v>0</v>
      </c>
      <c r="AD1105" s="23" t="n">
        <f aca="false">IF(B1106&lt;&gt;B1105,1,0)</f>
        <v>0</v>
      </c>
      <c r="AE1105" s="14" t="n">
        <f aca="false">IF(I1105="Opening",0,AE1104+W1105)</f>
        <v>0</v>
      </c>
      <c r="AF1105" s="14" t="n">
        <f aca="false">IF(I1105="Opening",K1105,AF1104)</f>
        <v>0</v>
      </c>
      <c r="AG1105" s="14" t="n">
        <f aca="false">AG1104</f>
        <v>0</v>
      </c>
      <c r="AH1105" s="14" t="n">
        <f aca="false">IF(W1105=0,0,MAX(0,MIN(AE1105,AF1105)-MIN(AE1105-W1105,AF1105)))</f>
        <v>0</v>
      </c>
      <c r="AI1105" s="14" t="n">
        <f aca="false">IF(W1105=0,0,MAX(0,MIN(AE1105,AF1105+AG1105)-MAX(AE1105-W1105,AF1105)))</f>
        <v>0</v>
      </c>
      <c r="AJ1105" s="14" t="n">
        <f aca="false">W1105-AH1105-AI1105</f>
        <v>0</v>
      </c>
      <c r="AK1105" s="9" t="n">
        <f aca="false">IF(W1105=0,0,X1105*AH1105/W1105)</f>
        <v>0</v>
      </c>
      <c r="AL1105" s="9" t="n">
        <f aca="false">IF(W1105=0,0,X1105*AI1105/W1105)</f>
        <v>0</v>
      </c>
      <c r="AM1105" s="9" t="n">
        <f aca="false">X1105-AK1105-AL1105</f>
        <v>0</v>
      </c>
    </row>
    <row r="1106" customFormat="false" ht="15" hidden="false" customHeight="false" outlineLevel="0" collapsed="false">
      <c r="A1106" s="6" t="n">
        <v>1101</v>
      </c>
      <c r="B1106" s="74" t="s">
        <v>1038</v>
      </c>
      <c r="C1106" s="53" t="str">
        <f aca="false">INDEX(I_Items!$C$5:$C$133,MATCH($B1106,I_Items!$A$5:$A$133,0))</f>
        <v>Trading</v>
      </c>
      <c r="D1106" s="53" t="str">
        <f aca="false">INDEX(I_Items!$D$5:$D$133,MATCH($B1106,I_Items!$A$5:$A$133,0))</f>
        <v>Karkas</v>
      </c>
      <c r="E1106" s="53" t="str">
        <f aca="false">INDEX(I_Items!$F$5:$F$133,MATCH($B1106,I_Items!$A$5:$A$133,0))</f>
        <v>Not stated in item master</v>
      </c>
      <c r="F1106" s="53" t="str">
        <f aca="false">IF(INDEX(I_Items!$E$5:$E$133,MATCH($B1106,I_Items!$A$5:$A$133,0))="","",INDEX(I_Items!$E$5:$E$133,MATCH($B1106,I_Items!$A$5:$A$133,0)))</f>
        <v>Uk 0.4</v>
      </c>
      <c r="G1106" s="76" t="n">
        <v>46253</v>
      </c>
      <c r="H1106" s="23" t="n">
        <f aca="false">MONTH(G1106)</f>
        <v>8</v>
      </c>
      <c r="I1106" s="74" t="s">
        <v>2075</v>
      </c>
      <c r="J1106" s="74" t="s">
        <v>2180</v>
      </c>
      <c r="K1106" s="10" t="n">
        <v>0</v>
      </c>
      <c r="L1106" s="8" t="n">
        <v>0</v>
      </c>
      <c r="M1106" s="10" t="n">
        <v>106.6</v>
      </c>
      <c r="N1106" s="8" t="n">
        <v>3199566.22</v>
      </c>
      <c r="O1106" s="74" t="s">
        <v>2077</v>
      </c>
      <c r="P1106" s="74"/>
      <c r="Q1106" s="74"/>
      <c r="R1106" s="14" t="n">
        <f aca="false">IF(I1106="Unbilled",0,M1106)</f>
        <v>106.6</v>
      </c>
      <c r="S1106" s="9" t="n">
        <f aca="false">IF(R1106=0,0,IF(O1106="Booked",N1106,R1106*V1105))</f>
        <v>3199566.22517155</v>
      </c>
      <c r="T1106" s="14" t="n">
        <f aca="false">IF(I1106="Opening",K1106,T1105+K1106-R1106)</f>
        <v>7115.6</v>
      </c>
      <c r="U1106" s="9" t="n">
        <f aca="false">IF(I1106="Opening",L1106,U1105+L1106-S1106)</f>
        <v>213572546.264828</v>
      </c>
      <c r="V1106" s="9" t="n">
        <f aca="false">IF(T1106&gt;0,U1106/T1106,IF(I1106="Opening",0,V1105))</f>
        <v>30014.6925438232</v>
      </c>
      <c r="W1106" s="14" t="n">
        <f aca="false">M1106</f>
        <v>106.6</v>
      </c>
      <c r="X1106" s="9" t="n">
        <f aca="false">IF(W1106=0,0,IF(O1106="Booked",N1106,W1106*AA1105))</f>
        <v>3199566.22517155</v>
      </c>
      <c r="Y1106" s="14" t="n">
        <f aca="false">IF(I1106="Opening",K1106,Y1105+K1106-W1106)</f>
        <v>7115.6</v>
      </c>
      <c r="Z1106" s="9" t="n">
        <f aca="false">IF(I1106="Opening",L1106,Z1105+L1106-X1106)</f>
        <v>213572546.264828</v>
      </c>
      <c r="AA1106" s="9" t="n">
        <f aca="false">IF(Y1106&gt;0,Z1106/Y1106,IF(I1106="Opening",0,AA1105))</f>
        <v>30014.6925438232</v>
      </c>
      <c r="AB1106" s="9" t="n">
        <f aca="false">IF(AND(I1106="DO",O1106="MA"),S1106-N1106,0)</f>
        <v>0.00517155416309834</v>
      </c>
      <c r="AC1106" s="9" t="n">
        <f aca="false">IF(I1106="DO",X1106-S1106,0)</f>
        <v>0</v>
      </c>
      <c r="AD1106" s="23" t="n">
        <f aca="false">IF(B1107&lt;&gt;B1106,1,0)</f>
        <v>0</v>
      </c>
      <c r="AE1106" s="14" t="n">
        <f aca="false">IF(I1106="Opening",0,AE1105+W1106)</f>
        <v>106.6</v>
      </c>
      <c r="AF1106" s="14" t="n">
        <f aca="false">IF(I1106="Opening",K1106,AF1105)</f>
        <v>0</v>
      </c>
      <c r="AG1106" s="14" t="n">
        <f aca="false">AG1105</f>
        <v>0</v>
      </c>
      <c r="AH1106" s="14" t="n">
        <f aca="false">IF(W1106=0,0,MAX(0,MIN(AE1106,AF1106)-MIN(AE1106-W1106,AF1106)))</f>
        <v>0</v>
      </c>
      <c r="AI1106" s="14" t="n">
        <f aca="false">IF(W1106=0,0,MAX(0,MIN(AE1106,AF1106+AG1106)-MAX(AE1106-W1106,AF1106)))</f>
        <v>0</v>
      </c>
      <c r="AJ1106" s="14" t="n">
        <f aca="false">W1106-AH1106-AI1106</f>
        <v>106.6</v>
      </c>
      <c r="AK1106" s="9" t="n">
        <f aca="false">IF(W1106=0,0,X1106*AH1106/W1106)</f>
        <v>0</v>
      </c>
      <c r="AL1106" s="9" t="n">
        <f aca="false">IF(W1106=0,0,X1106*AI1106/W1106)</f>
        <v>0</v>
      </c>
      <c r="AM1106" s="9" t="n">
        <f aca="false">X1106-AK1106-AL1106</f>
        <v>3199566.22517155</v>
      </c>
    </row>
    <row r="1107" customFormat="false" ht="15" hidden="false" customHeight="false" outlineLevel="0" collapsed="false">
      <c r="A1107" s="6" t="n">
        <v>1102</v>
      </c>
      <c r="B1107" s="74" t="s">
        <v>1038</v>
      </c>
      <c r="C1107" s="53" t="str">
        <f aca="false">INDEX(I_Items!$C$5:$C$133,MATCH($B1107,I_Items!$A$5:$A$133,0))</f>
        <v>Trading</v>
      </c>
      <c r="D1107" s="53" t="str">
        <f aca="false">INDEX(I_Items!$D$5:$D$133,MATCH($B1107,I_Items!$A$5:$A$133,0))</f>
        <v>Karkas</v>
      </c>
      <c r="E1107" s="53" t="str">
        <f aca="false">INDEX(I_Items!$F$5:$F$133,MATCH($B1107,I_Items!$A$5:$A$133,0))</f>
        <v>Not stated in item master</v>
      </c>
      <c r="F1107" s="53" t="str">
        <f aca="false">IF(INDEX(I_Items!$E$5:$E$133,MATCH($B1107,I_Items!$A$5:$A$133,0))="","",INDEX(I_Items!$E$5:$E$133,MATCH($B1107,I_Items!$A$5:$A$133,0)))</f>
        <v>Uk 0.4</v>
      </c>
      <c r="G1107" s="76" t="n">
        <v>46254</v>
      </c>
      <c r="H1107" s="23" t="n">
        <f aca="false">MONTH(G1107)</f>
        <v>8</v>
      </c>
      <c r="I1107" s="74" t="s">
        <v>2075</v>
      </c>
      <c r="J1107" s="74" t="s">
        <v>2182</v>
      </c>
      <c r="K1107" s="10" t="n">
        <v>0</v>
      </c>
      <c r="L1107" s="8" t="n">
        <v>0</v>
      </c>
      <c r="M1107" s="10" t="n">
        <v>362.6</v>
      </c>
      <c r="N1107" s="8" t="n">
        <v>10883327.5</v>
      </c>
      <c r="O1107" s="74" t="s">
        <v>2077</v>
      </c>
      <c r="P1107" s="74"/>
      <c r="Q1107" s="74"/>
      <c r="R1107" s="14" t="n">
        <f aca="false">IF(I1107="Unbilled",0,M1107)</f>
        <v>362.6</v>
      </c>
      <c r="S1107" s="9" t="n">
        <f aca="false">IF(R1107=0,0,IF(O1107="Booked",N1107,R1107*V1106))</f>
        <v>10883327.5163903</v>
      </c>
      <c r="T1107" s="14" t="n">
        <f aca="false">IF(I1107="Opening",K1107,T1106+K1107-R1107)</f>
        <v>6753</v>
      </c>
      <c r="U1107" s="9" t="n">
        <f aca="false">IF(I1107="Opening",L1107,U1106+L1107-S1107)</f>
        <v>202689218.748438</v>
      </c>
      <c r="V1107" s="9" t="n">
        <f aca="false">IF(T1107&gt;0,U1107/T1107,IF(I1107="Opening",0,V1106))</f>
        <v>30014.6925438232</v>
      </c>
      <c r="W1107" s="14" t="n">
        <f aca="false">M1107</f>
        <v>362.6</v>
      </c>
      <c r="X1107" s="9" t="n">
        <f aca="false">IF(W1107=0,0,IF(O1107="Booked",N1107,W1107*AA1106))</f>
        <v>10883327.5163903</v>
      </c>
      <c r="Y1107" s="14" t="n">
        <f aca="false">IF(I1107="Opening",K1107,Y1106+K1107-W1107)</f>
        <v>6753</v>
      </c>
      <c r="Z1107" s="9" t="n">
        <f aca="false">IF(I1107="Opening",L1107,Z1106+L1107-X1107)</f>
        <v>202689218.748438</v>
      </c>
      <c r="AA1107" s="9" t="n">
        <f aca="false">IF(Y1107&gt;0,Z1107/Y1107,IF(I1107="Opening",0,AA1106))</f>
        <v>30014.6925438232</v>
      </c>
      <c r="AB1107" s="9" t="n">
        <f aca="false">IF(AND(I1107="DO",O1107="MA"),S1107-N1107,0)</f>
        <v>0.0163902975618839</v>
      </c>
      <c r="AC1107" s="9" t="n">
        <f aca="false">IF(I1107="DO",X1107-S1107,0)</f>
        <v>0</v>
      </c>
      <c r="AD1107" s="23" t="n">
        <f aca="false">IF(B1108&lt;&gt;B1107,1,0)</f>
        <v>1</v>
      </c>
      <c r="AE1107" s="14" t="n">
        <f aca="false">IF(I1107="Opening",0,AE1106+W1107)</f>
        <v>469.2</v>
      </c>
      <c r="AF1107" s="14" t="n">
        <f aca="false">IF(I1107="Opening",K1107,AF1106)</f>
        <v>0</v>
      </c>
      <c r="AG1107" s="14" t="n">
        <f aca="false">AG1106</f>
        <v>0</v>
      </c>
      <c r="AH1107" s="14" t="n">
        <f aca="false">IF(W1107=0,0,MAX(0,MIN(AE1107,AF1107)-MIN(AE1107-W1107,AF1107)))</f>
        <v>0</v>
      </c>
      <c r="AI1107" s="14" t="n">
        <f aca="false">IF(W1107=0,0,MAX(0,MIN(AE1107,AF1107+AG1107)-MAX(AE1107-W1107,AF1107)))</f>
        <v>0</v>
      </c>
      <c r="AJ1107" s="14" t="n">
        <f aca="false">W1107-AH1107-AI1107</f>
        <v>362.6</v>
      </c>
      <c r="AK1107" s="9" t="n">
        <f aca="false">IF(W1107=0,0,X1107*AH1107/W1107)</f>
        <v>0</v>
      </c>
      <c r="AL1107" s="9" t="n">
        <f aca="false">IF(W1107=0,0,X1107*AI1107/W1107)</f>
        <v>0</v>
      </c>
      <c r="AM1107" s="9" t="n">
        <f aca="false">X1107-AK1107-AL1107</f>
        <v>10883327.5163903</v>
      </c>
    </row>
    <row r="1108" customFormat="false" ht="15" hidden="false" customHeight="false" outlineLevel="0" collapsed="false">
      <c r="A1108" s="6" t="n">
        <v>1103</v>
      </c>
      <c r="B1108" s="74" t="s">
        <v>1039</v>
      </c>
      <c r="C1108" s="53" t="str">
        <f aca="false">INDEX(I_Items!$C$5:$C$133,MATCH($B1108,I_Items!$A$5:$A$133,0))</f>
        <v>Trading</v>
      </c>
      <c r="D1108" s="53" t="str">
        <f aca="false">INDEX(I_Items!$D$5:$D$133,MATCH($B1108,I_Items!$A$5:$A$133,0))</f>
        <v>Sayap</v>
      </c>
      <c r="E1108" s="53" t="str">
        <f aca="false">INDEX(I_Items!$F$5:$F$133,MATCH($B1108,I_Items!$A$5:$A$133,0))</f>
        <v>Not stated in item master</v>
      </c>
      <c r="F1108" s="53" t="str">
        <f aca="false">IF(INDEX(I_Items!$E$5:$E$133,MATCH($B1108,I_Items!$A$5:$A$133,0))="","",INDEX(I_Items!$E$5:$E$133,MATCH($B1108,I_Items!$A$5:$A$133,0)))</f>
        <v/>
      </c>
      <c r="G1108" s="76" t="n">
        <v>46204</v>
      </c>
      <c r="H1108" s="23" t="n">
        <f aca="false">MONTH(G1108)</f>
        <v>7</v>
      </c>
      <c r="I1108" s="74" t="s">
        <v>2072</v>
      </c>
      <c r="J1108" s="74" t="s">
        <v>2073</v>
      </c>
      <c r="K1108" s="10" t="n">
        <v>0</v>
      </c>
      <c r="L1108" s="8" t="n">
        <v>0</v>
      </c>
      <c r="M1108" s="10" t="n">
        <v>0</v>
      </c>
      <c r="N1108" s="8" t="n">
        <v>0</v>
      </c>
      <c r="O1108" s="74"/>
      <c r="P1108" s="74"/>
      <c r="Q1108" s="74"/>
      <c r="R1108" s="14" t="n">
        <f aca="false">IF(I1108="Unbilled",0,M1108)</f>
        <v>0</v>
      </c>
      <c r="S1108" s="9" t="n">
        <f aca="false">IF(R1108=0,0,IF(O1108="Booked",N1108,R1108*V1107))</f>
        <v>0</v>
      </c>
      <c r="T1108" s="14" t="n">
        <f aca="false">IF(I1108="Opening",K1108,T1107+K1108-R1108)</f>
        <v>0</v>
      </c>
      <c r="U1108" s="9" t="n">
        <f aca="false">IF(I1108="Opening",L1108,U1107+L1108-S1108)</f>
        <v>0</v>
      </c>
      <c r="V1108" s="9" t="n">
        <f aca="false">IF(T1108&gt;0,U1108/T1108,IF(I1108="Opening",0,V1107))</f>
        <v>0</v>
      </c>
      <c r="W1108" s="14" t="n">
        <f aca="false">M1108</f>
        <v>0</v>
      </c>
      <c r="X1108" s="9" t="n">
        <f aca="false">IF(W1108=0,0,IF(O1108="Booked",N1108,W1108*AA1107))</f>
        <v>0</v>
      </c>
      <c r="Y1108" s="14" t="n">
        <f aca="false">IF(I1108="Opening",K1108,Y1107+K1108-W1108)</f>
        <v>0</v>
      </c>
      <c r="Z1108" s="9" t="n">
        <f aca="false">IF(I1108="Opening",L1108,Z1107+L1108-X1108)</f>
        <v>0</v>
      </c>
      <c r="AA1108" s="9" t="n">
        <f aca="false">IF(Y1108&gt;0,Z1108/Y1108,IF(I1108="Opening",0,AA1107))</f>
        <v>0</v>
      </c>
      <c r="AB1108" s="9" t="n">
        <f aca="false">IF(AND(I1108="DO",O1108="MA"),S1108-N1108,0)</f>
        <v>0</v>
      </c>
      <c r="AC1108" s="9" t="n">
        <f aca="false">IF(I1108="DO",X1108-S1108,0)</f>
        <v>0</v>
      </c>
      <c r="AD1108" s="23" t="n">
        <f aca="false">IF(B1109&lt;&gt;B1108,1,0)</f>
        <v>0</v>
      </c>
      <c r="AE1108" s="14" t="n">
        <f aca="false">IF(I1108="Opening",0,AE1107+W1108)</f>
        <v>0</v>
      </c>
      <c r="AF1108" s="14" t="n">
        <f aca="false">IF(I1108="Opening",K1108,AF1107)</f>
        <v>0</v>
      </c>
      <c r="AG1108" s="14" t="n">
        <f aca="false">SUMIFS($K$6:$K$1110,$B$6:$B$1110,B1108,$H$6:$H$1110,7,$I$6:$I$1110,"&lt;&gt;Opening")</f>
        <v>0</v>
      </c>
      <c r="AH1108" s="14" t="n">
        <f aca="false">IF(W1108=0,0,MAX(0,MIN(AE1108,AF1108)-MIN(AE1108-W1108,AF1108)))</f>
        <v>0</v>
      </c>
      <c r="AI1108" s="14" t="n">
        <f aca="false">IF(W1108=0,0,MAX(0,MIN(AE1108,AF1108+AG1108)-MAX(AE1108-W1108,AF1108)))</f>
        <v>0</v>
      </c>
      <c r="AJ1108" s="14" t="n">
        <f aca="false">W1108-AH1108-AI1108</f>
        <v>0</v>
      </c>
      <c r="AK1108" s="9" t="n">
        <f aca="false">IF(W1108=0,0,X1108*AH1108/W1108)</f>
        <v>0</v>
      </c>
      <c r="AL1108" s="9" t="n">
        <f aca="false">IF(W1108=0,0,X1108*AI1108/W1108)</f>
        <v>0</v>
      </c>
      <c r="AM1108" s="9" t="n">
        <f aca="false">X1108-AK1108-AL1108</f>
        <v>0</v>
      </c>
    </row>
    <row r="1109" customFormat="false" ht="15" hidden="false" customHeight="false" outlineLevel="0" collapsed="false">
      <c r="A1109" s="6" t="n">
        <v>1104</v>
      </c>
      <c r="B1109" s="74" t="s">
        <v>1039</v>
      </c>
      <c r="C1109" s="53" t="str">
        <f aca="false">INDEX(I_Items!$C$5:$C$133,MATCH($B1109,I_Items!$A$5:$A$133,0))</f>
        <v>Trading</v>
      </c>
      <c r="D1109" s="53" t="str">
        <f aca="false">INDEX(I_Items!$D$5:$D$133,MATCH($B1109,I_Items!$A$5:$A$133,0))</f>
        <v>Sayap</v>
      </c>
      <c r="E1109" s="53" t="str">
        <f aca="false">INDEX(I_Items!$F$5:$F$133,MATCH($B1109,I_Items!$A$5:$A$133,0))</f>
        <v>Not stated in item master</v>
      </c>
      <c r="F1109" s="53" t="str">
        <f aca="false">IF(INDEX(I_Items!$E$5:$E$133,MATCH($B1109,I_Items!$A$5:$A$133,0))="","",INDEX(I_Items!$E$5:$E$133,MATCH($B1109,I_Items!$A$5:$A$133,0)))</f>
        <v/>
      </c>
      <c r="G1109" s="76" t="n">
        <v>46261</v>
      </c>
      <c r="H1109" s="23" t="n">
        <f aca="false">MONTH(G1109)</f>
        <v>8</v>
      </c>
      <c r="I1109" s="74" t="s">
        <v>2074</v>
      </c>
      <c r="J1109" s="74" t="s">
        <v>2358</v>
      </c>
      <c r="K1109" s="10" t="n">
        <v>6985</v>
      </c>
      <c r="L1109" s="8" t="n">
        <v>200000000.43</v>
      </c>
      <c r="M1109" s="10" t="n">
        <v>0</v>
      </c>
      <c r="N1109" s="8" t="n">
        <v>0</v>
      </c>
      <c r="O1109" s="74"/>
      <c r="P1109" s="74"/>
      <c r="Q1109" s="74"/>
      <c r="R1109" s="14" t="n">
        <f aca="false">IF(I1109="Unbilled",0,M1109)</f>
        <v>0</v>
      </c>
      <c r="S1109" s="9" t="n">
        <f aca="false">IF(R1109=0,0,IF(O1109="Booked",N1109,R1109*V1108))</f>
        <v>0</v>
      </c>
      <c r="T1109" s="14" t="n">
        <f aca="false">IF(I1109="Opening",K1109,T1108+K1109-R1109)</f>
        <v>6985</v>
      </c>
      <c r="U1109" s="9" t="n">
        <f aca="false">IF(I1109="Opening",L1109,U1108+L1109-S1109)</f>
        <v>200000000.43</v>
      </c>
      <c r="V1109" s="9" t="n">
        <f aca="false">IF(T1109&gt;0,U1109/T1109,IF(I1109="Opening",0,V1108))</f>
        <v>28632.7845998568</v>
      </c>
      <c r="W1109" s="14" t="n">
        <f aca="false">M1109</f>
        <v>0</v>
      </c>
      <c r="X1109" s="9" t="n">
        <f aca="false">IF(W1109=0,0,IF(O1109="Booked",N1109,W1109*AA1108))</f>
        <v>0</v>
      </c>
      <c r="Y1109" s="14" t="n">
        <f aca="false">IF(I1109="Opening",K1109,Y1108+K1109-W1109)</f>
        <v>6985</v>
      </c>
      <c r="Z1109" s="9" t="n">
        <f aca="false">IF(I1109="Opening",L1109,Z1108+L1109-X1109)</f>
        <v>200000000.43</v>
      </c>
      <c r="AA1109" s="9" t="n">
        <f aca="false">IF(Y1109&gt;0,Z1109/Y1109,IF(I1109="Opening",0,AA1108))</f>
        <v>28632.7845998568</v>
      </c>
      <c r="AB1109" s="9" t="n">
        <f aca="false">IF(AND(I1109="DO",O1109="MA"),S1109-N1109,0)</f>
        <v>0</v>
      </c>
      <c r="AC1109" s="9" t="n">
        <f aca="false">IF(I1109="DO",X1109-S1109,0)</f>
        <v>0</v>
      </c>
      <c r="AD1109" s="23" t="n">
        <f aca="false">IF(B1110&lt;&gt;B1109,1,0)</f>
        <v>0</v>
      </c>
      <c r="AE1109" s="14" t="n">
        <f aca="false">IF(I1109="Opening",0,AE1108+W1109)</f>
        <v>0</v>
      </c>
      <c r="AF1109" s="14" t="n">
        <f aca="false">IF(I1109="Opening",K1109,AF1108)</f>
        <v>0</v>
      </c>
      <c r="AG1109" s="14" t="n">
        <f aca="false">AG1108</f>
        <v>0</v>
      </c>
      <c r="AH1109" s="14" t="n">
        <f aca="false">IF(W1109=0,0,MAX(0,MIN(AE1109,AF1109)-MIN(AE1109-W1109,AF1109)))</f>
        <v>0</v>
      </c>
      <c r="AI1109" s="14" t="n">
        <f aca="false">IF(W1109=0,0,MAX(0,MIN(AE1109,AF1109+AG1109)-MAX(AE1109-W1109,AF1109)))</f>
        <v>0</v>
      </c>
      <c r="AJ1109" s="14" t="n">
        <f aca="false">W1109-AH1109-AI1109</f>
        <v>0</v>
      </c>
      <c r="AK1109" s="9" t="n">
        <f aca="false">IF(W1109=0,0,X1109*AH1109/W1109)</f>
        <v>0</v>
      </c>
      <c r="AL1109" s="9" t="n">
        <f aca="false">IF(W1109=0,0,X1109*AI1109/W1109)</f>
        <v>0</v>
      </c>
      <c r="AM1109" s="9" t="n">
        <f aca="false">X1109-AK1109-AL1109</f>
        <v>0</v>
      </c>
    </row>
    <row r="1110" customFormat="false" ht="15" hidden="false" customHeight="false" outlineLevel="0" collapsed="false">
      <c r="A1110" s="6" t="n">
        <v>1105</v>
      </c>
      <c r="B1110" s="74" t="s">
        <v>1039</v>
      </c>
      <c r="C1110" s="53" t="str">
        <f aca="false">INDEX(I_Items!$C$5:$C$133,MATCH($B1110,I_Items!$A$5:$A$133,0))</f>
        <v>Trading</v>
      </c>
      <c r="D1110" s="53" t="str">
        <f aca="false">INDEX(I_Items!$D$5:$D$133,MATCH($B1110,I_Items!$A$5:$A$133,0))</f>
        <v>Sayap</v>
      </c>
      <c r="E1110" s="53" t="str">
        <f aca="false">INDEX(I_Items!$F$5:$F$133,MATCH($B1110,I_Items!$A$5:$A$133,0))</f>
        <v>Not stated in item master</v>
      </c>
      <c r="F1110" s="53" t="str">
        <f aca="false">IF(INDEX(I_Items!$E$5:$E$133,MATCH($B1110,I_Items!$A$5:$A$133,0))="","",INDEX(I_Items!$E$5:$E$133,MATCH($B1110,I_Items!$A$5:$A$133,0)))</f>
        <v/>
      </c>
      <c r="G1110" s="76" t="n">
        <v>46262</v>
      </c>
      <c r="H1110" s="23" t="n">
        <f aca="false">MONTH(G1110)</f>
        <v>8</v>
      </c>
      <c r="I1110" s="74" t="s">
        <v>2075</v>
      </c>
      <c r="J1110" s="74" t="s">
        <v>2197</v>
      </c>
      <c r="K1110" s="10" t="n">
        <v>0</v>
      </c>
      <c r="L1110" s="8" t="n">
        <v>0</v>
      </c>
      <c r="M1110" s="10" t="n">
        <v>300</v>
      </c>
      <c r="N1110" s="8" t="n">
        <v>8589835.38</v>
      </c>
      <c r="O1110" s="74" t="s">
        <v>2077</v>
      </c>
      <c r="P1110" s="74"/>
      <c r="Q1110" s="74"/>
      <c r="R1110" s="14" t="n">
        <f aca="false">IF(I1110="Unbilled",0,M1110)</f>
        <v>300</v>
      </c>
      <c r="S1110" s="9" t="n">
        <f aca="false">IF(R1110=0,0,IF(O1110="Booked",N1110,R1110*V1109))</f>
        <v>8589835.37995705</v>
      </c>
      <c r="T1110" s="14" t="n">
        <f aca="false">IF(I1110="Opening",K1110,T1109+K1110-R1110)</f>
        <v>6685</v>
      </c>
      <c r="U1110" s="9" t="n">
        <f aca="false">IF(I1110="Opening",L1110,U1109+L1110-S1110)</f>
        <v>191410165.050043</v>
      </c>
      <c r="V1110" s="9" t="n">
        <f aca="false">IF(T1110&gt;0,U1110/T1110,IF(I1110="Opening",0,V1109))</f>
        <v>28632.7845998568</v>
      </c>
      <c r="W1110" s="14" t="n">
        <f aca="false">M1110</f>
        <v>300</v>
      </c>
      <c r="X1110" s="9" t="n">
        <f aca="false">IF(W1110=0,0,IF(O1110="Booked",N1110,W1110*AA1109))</f>
        <v>8589835.37995705</v>
      </c>
      <c r="Y1110" s="14" t="n">
        <f aca="false">IF(I1110="Opening",K1110,Y1109+K1110-W1110)</f>
        <v>6685</v>
      </c>
      <c r="Z1110" s="9" t="n">
        <f aca="false">IF(I1110="Opening",L1110,Z1109+L1110-X1110)</f>
        <v>191410165.050043</v>
      </c>
      <c r="AA1110" s="9" t="n">
        <f aca="false">IF(Y1110&gt;0,Z1110/Y1110,IF(I1110="Opening",0,AA1109))</f>
        <v>28632.7845998568</v>
      </c>
      <c r="AB1110" s="9" t="n">
        <f aca="false">IF(AND(I1110="DO",O1110="MA"),S1110-N1110,0)</f>
        <v>-4.29488718509674E-005</v>
      </c>
      <c r="AC1110" s="9" t="n">
        <f aca="false">IF(I1110="DO",X1110-S1110,0)</f>
        <v>0</v>
      </c>
      <c r="AD1110" s="23" t="n">
        <f aca="false">IF(B1111&lt;&gt;B1110,1,0)</f>
        <v>1</v>
      </c>
      <c r="AE1110" s="14" t="n">
        <f aca="false">IF(I1110="Opening",0,AE1109+W1110)</f>
        <v>300</v>
      </c>
      <c r="AF1110" s="14" t="n">
        <f aca="false">IF(I1110="Opening",K1110,AF1109)</f>
        <v>0</v>
      </c>
      <c r="AG1110" s="14" t="n">
        <f aca="false">AG1109</f>
        <v>0</v>
      </c>
      <c r="AH1110" s="14" t="n">
        <f aca="false">IF(W1110=0,0,MAX(0,MIN(AE1110,AF1110)-MIN(AE1110-W1110,AF1110)))</f>
        <v>0</v>
      </c>
      <c r="AI1110" s="14" t="n">
        <f aca="false">IF(W1110=0,0,MAX(0,MIN(AE1110,AF1110+AG1110)-MAX(AE1110-W1110,AF1110)))</f>
        <v>0</v>
      </c>
      <c r="AJ1110" s="14" t="n">
        <f aca="false">W1110-AH1110-AI1110</f>
        <v>300</v>
      </c>
      <c r="AK1110" s="9" t="n">
        <f aca="false">IF(W1110=0,0,X1110*AH1110/W1110)</f>
        <v>0</v>
      </c>
      <c r="AL1110" s="9" t="n">
        <f aca="false">IF(W1110=0,0,X1110*AI1110/W1110)</f>
        <v>0</v>
      </c>
      <c r="AM1110" s="9" t="n">
        <f aca="false">X1110-AK1110-AL1110</f>
        <v>8589835.37995705</v>
      </c>
    </row>
    <row r="1111" customFormat="false" ht="15" hidden="false" customHeight="false" outlineLevel="0" collapsed="false">
      <c r="B1111" s="25" t="s">
        <v>304</v>
      </c>
      <c r="K1111" s="26" t="n">
        <f aca="false">SUM(K6:K1110)</f>
        <v>499763.67</v>
      </c>
      <c r="L1111" s="26" t="n">
        <f aca="false">SUM(L6:L1110)</f>
        <v>14153830774.17</v>
      </c>
      <c r="M1111" s="26" t="n">
        <f aca="false">SUM(M6:M1110)</f>
        <v>357551.67</v>
      </c>
      <c r="N1111" s="26" t="n">
        <f aca="false">SUM(N6:N1110)</f>
        <v>9825743255.18</v>
      </c>
      <c r="R1111" s="26" t="n">
        <f aca="false">SUM(R6:R1110)</f>
        <v>341834.21</v>
      </c>
      <c r="S1111" s="26" t="n">
        <f aca="false">SUM(S6:S1110)</f>
        <v>9825743248.50986</v>
      </c>
      <c r="W1111" s="26" t="n">
        <f aca="false">SUM(W6:W1110)</f>
        <v>357551.67</v>
      </c>
      <c r="X1111" s="26" t="n">
        <f aca="false">SUM(X6:X1110)</f>
        <v>10351895525.9383</v>
      </c>
      <c r="AB1111" s="26" t="n">
        <f aca="false">SUM(AB6:AB1110)</f>
        <v>-6.67013824221067</v>
      </c>
      <c r="AC1111" s="26" t="n">
        <f aca="false">SUM(AC6:AC1110)</f>
        <v>-2436949.57751734</v>
      </c>
    </row>
  </sheetData>
  <autoFilter ref="A5:AM1110"/>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11"/>
    <col collapsed="false" customWidth="true" hidden="false" outlineLevel="0" max="4" min="4" style="0" width="34"/>
    <col collapsed="false" customWidth="true" hidden="false" outlineLevel="0" max="7" min="5" style="0" width="16"/>
    <col collapsed="false" customWidth="true" hidden="false" outlineLevel="0" max="8" min="8" style="0" width="12"/>
    <col collapsed="false" customWidth="true" hidden="false" outlineLevel="0" max="10" min="9" style="0" width="11"/>
    <col collapsed="false" customWidth="true" hidden="false" outlineLevel="0" max="12" min="11" style="0" width="15"/>
    <col collapsed="false" customWidth="true" hidden="false" outlineLevel="0" max="13" min="13" style="0" width="14"/>
    <col collapsed="false" customWidth="true" hidden="false" outlineLevel="0" max="14" min="14" style="0" width="40"/>
  </cols>
  <sheetData>
    <row r="1" customFormat="false" ht="15" hidden="false" customHeight="false" outlineLevel="0" collapsed="false">
      <c r="A1" s="1" t="s">
        <v>2359</v>
      </c>
    </row>
    <row r="2" customFormat="false" ht="15" hidden="false" customHeight="false" outlineLevel="0" collapsed="false">
      <c r="A2" s="4" t="s">
        <v>2360</v>
      </c>
    </row>
    <row r="4" customFormat="false" ht="30" hidden="false" customHeight="true" outlineLevel="0" collapsed="false">
      <c r="A4" s="5" t="s">
        <v>1505</v>
      </c>
      <c r="B4" s="5" t="s">
        <v>2361</v>
      </c>
      <c r="C4" s="5" t="s">
        <v>1238</v>
      </c>
      <c r="D4" s="5" t="s">
        <v>258</v>
      </c>
      <c r="E4" s="5" t="s">
        <v>2362</v>
      </c>
      <c r="F4" s="5" t="s">
        <v>2363</v>
      </c>
      <c r="G4" s="5" t="s">
        <v>2364</v>
      </c>
      <c r="H4" s="5" t="s">
        <v>2365</v>
      </c>
      <c r="I4" s="5" t="s">
        <v>2366</v>
      </c>
      <c r="J4" s="5"/>
      <c r="K4" s="5" t="s">
        <v>2367</v>
      </c>
      <c r="L4" s="5" t="s">
        <v>2368</v>
      </c>
      <c r="M4" s="5" t="s">
        <v>1330</v>
      </c>
      <c r="N4" s="5" t="s">
        <v>40</v>
      </c>
    </row>
    <row r="5" customFormat="false" ht="15" hidden="false" customHeight="false" outlineLevel="0" collapsed="false">
      <c r="A5" s="91" t="n">
        <v>7</v>
      </c>
      <c r="B5" s="74" t="s">
        <v>2369</v>
      </c>
      <c r="C5" s="76" t="n">
        <v>46204</v>
      </c>
      <c r="D5" s="74" t="s">
        <v>272</v>
      </c>
      <c r="E5" s="8" t="n">
        <v>0</v>
      </c>
      <c r="F5" s="8" t="n">
        <v>168418800</v>
      </c>
      <c r="G5" s="74" t="s">
        <v>2199</v>
      </c>
      <c r="H5" s="13" t="n">
        <f aca="false">IF($G5="",0,SUMIFS('MA Engine'!$W$6:$W$1110,'MA Engine'!$J$6:$J$1110,$G5,'MA Engine'!$I$6:$I$1110,"DO",'MA Engine'!$C$6:$C$1110,"RPA"))</f>
        <v>0</v>
      </c>
      <c r="I5" s="13" t="n">
        <f aca="false">IF($G5="",0,SUMIFS('MA Engine'!$W$6:$W$1110,'MA Engine'!$J$6:$J$1110,$G5,'MA Engine'!$I$6:$I$1110,"DO",'MA Engine'!$C$6:$C$1110,"Trading"))</f>
        <v>5103.6</v>
      </c>
      <c r="K5" s="7" t="n">
        <f aca="false">IF($G5="",0,SUMIFS('MA Engine'!$S$6:$S$1110,'MA Engine'!$J$6:$J$1110,$G5,'MA Engine'!$I$6:$I$1110,"DO",'MA Engine'!$C$6:$C$1110,"RPA"))</f>
        <v>0</v>
      </c>
      <c r="L5" s="7" t="n">
        <f aca="false">IF($G5="",0,SUMIFS('MA Engine'!$S$6:$S$1110,'MA Engine'!$J$6:$J$1110,$G5,'MA Engine'!$I$6:$I$1110,"DO",'MA Engine'!$C$6:$C$1110,"Trading"))</f>
        <v>167141461.527997</v>
      </c>
      <c r="M5" s="12" t="s">
        <v>2370</v>
      </c>
    </row>
    <row r="6" customFormat="false" ht="15" hidden="false" customHeight="false" outlineLevel="0" collapsed="false">
      <c r="A6" s="91" t="n">
        <v>7</v>
      </c>
      <c r="B6" s="74" t="s">
        <v>2371</v>
      </c>
      <c r="C6" s="76" t="n">
        <v>46204</v>
      </c>
      <c r="D6" s="74" t="s">
        <v>272</v>
      </c>
      <c r="E6" s="8" t="n">
        <v>0</v>
      </c>
      <c r="F6" s="8" t="n">
        <v>6167500</v>
      </c>
      <c r="G6" s="74" t="s">
        <v>2342</v>
      </c>
      <c r="H6" s="13" t="n">
        <f aca="false">IF($G6="",0,SUMIFS('MA Engine'!$W$6:$W$1110,'MA Engine'!$J$6:$J$1110,$G6,'MA Engine'!$I$6:$I$1110,"DO",'MA Engine'!$C$6:$C$1110,"RPA"))</f>
        <v>0</v>
      </c>
      <c r="I6" s="13" t="n">
        <f aca="false">IF($G6="",0,SUMIFS('MA Engine'!$W$6:$W$1110,'MA Engine'!$J$6:$J$1110,$G6,'MA Engine'!$I$6:$I$1110,"DO",'MA Engine'!$C$6:$C$1110,"Trading"))</f>
        <v>246.7</v>
      </c>
      <c r="K6" s="7" t="n">
        <f aca="false">IF($G6="",0,SUMIFS('MA Engine'!$S$6:$S$1110,'MA Engine'!$J$6:$J$1110,$G6,'MA Engine'!$I$6:$I$1110,"DO",'MA Engine'!$C$6:$C$1110,"RPA"))</f>
        <v>0</v>
      </c>
      <c r="L6" s="7" t="n">
        <f aca="false">IF($G6="",0,SUMIFS('MA Engine'!$S$6:$S$1110,'MA Engine'!$J$6:$J$1110,$G6,'MA Engine'!$I$6:$I$1110,"DO",'MA Engine'!$C$6:$C$1110,"Trading"))</f>
        <v>5674100</v>
      </c>
      <c r="M6" s="12" t="s">
        <v>2370</v>
      </c>
    </row>
    <row r="7" customFormat="false" ht="15" hidden="false" customHeight="false" outlineLevel="0" collapsed="false">
      <c r="A7" s="91" t="n">
        <v>7</v>
      </c>
      <c r="B7" s="74" t="s">
        <v>2372</v>
      </c>
      <c r="C7" s="76" t="n">
        <v>46205</v>
      </c>
      <c r="D7" s="74" t="s">
        <v>296</v>
      </c>
      <c r="E7" s="8" t="n">
        <v>0</v>
      </c>
      <c r="F7" s="8" t="n">
        <v>90813950</v>
      </c>
      <c r="G7" s="74" t="s">
        <v>2201</v>
      </c>
      <c r="H7" s="13" t="n">
        <f aca="false">IF($G7="",0,SUMIFS('MA Engine'!$W$6:$W$1110,'MA Engine'!$J$6:$J$1110,$G7,'MA Engine'!$I$6:$I$1110,"DO",'MA Engine'!$C$6:$C$1110,"RPA"))</f>
        <v>0</v>
      </c>
      <c r="I7" s="13" t="n">
        <f aca="false">IF($G7="",0,SUMIFS('MA Engine'!$W$6:$W$1110,'MA Engine'!$J$6:$J$1110,$G7,'MA Engine'!$I$6:$I$1110,"DO",'MA Engine'!$C$6:$C$1110,"Trading"))</f>
        <v>3132.1</v>
      </c>
      <c r="K7" s="7" t="n">
        <f aca="false">IF($G7="",0,SUMIFS('MA Engine'!$S$6:$S$1110,'MA Engine'!$J$6:$J$1110,$G7,'MA Engine'!$I$6:$I$1110,"DO",'MA Engine'!$C$6:$C$1110,"RPA"))</f>
        <v>0</v>
      </c>
      <c r="L7" s="7" t="n">
        <f aca="false">IF($G7="",0,SUMIFS('MA Engine'!$S$6:$S$1110,'MA Engine'!$J$6:$J$1110,$G7,'MA Engine'!$I$6:$I$1110,"DO",'MA Engine'!$C$6:$C$1110,"Trading"))</f>
        <v>98810789.567211</v>
      </c>
      <c r="M7" s="12" t="s">
        <v>2370</v>
      </c>
    </row>
    <row r="8" customFormat="false" ht="15" hidden="false" customHeight="false" outlineLevel="0" collapsed="false">
      <c r="A8" s="91" t="n">
        <v>7</v>
      </c>
      <c r="B8" s="74" t="s">
        <v>2373</v>
      </c>
      <c r="C8" s="76" t="n">
        <v>46206</v>
      </c>
      <c r="D8" s="74" t="s">
        <v>302</v>
      </c>
      <c r="E8" s="8" t="n">
        <v>6580000</v>
      </c>
      <c r="F8" s="8" t="n">
        <v>0</v>
      </c>
      <c r="G8" s="74" t="s">
        <v>2115</v>
      </c>
      <c r="H8" s="13" t="n">
        <f aca="false">IF($G8="",0,SUMIFS('MA Engine'!$W$6:$W$1110,'MA Engine'!$J$6:$J$1110,$G8,'MA Engine'!$I$6:$I$1110,"DO",'MA Engine'!$C$6:$C$1110,"RPA"))</f>
        <v>1540</v>
      </c>
      <c r="I8" s="13" t="n">
        <f aca="false">IF($G8="",0,SUMIFS('MA Engine'!$W$6:$W$1110,'MA Engine'!$J$6:$J$1110,$G8,'MA Engine'!$I$6:$I$1110,"DO",'MA Engine'!$C$6:$C$1110,"Trading"))</f>
        <v>0</v>
      </c>
      <c r="K8" s="7" t="n">
        <f aca="false">IF($G8="",0,SUMIFS('MA Engine'!$S$6:$S$1110,'MA Engine'!$J$6:$J$1110,$G8,'MA Engine'!$I$6:$I$1110,"DO",'MA Engine'!$C$6:$C$1110,"RPA"))</f>
        <v>7670736.189874</v>
      </c>
      <c r="L8" s="7" t="n">
        <f aca="false">IF($G8="",0,SUMIFS('MA Engine'!$S$6:$S$1110,'MA Engine'!$J$6:$J$1110,$G8,'MA Engine'!$I$6:$I$1110,"DO",'MA Engine'!$C$6:$C$1110,"Trading"))</f>
        <v>0</v>
      </c>
      <c r="M8" s="12" t="s">
        <v>2370</v>
      </c>
    </row>
    <row r="9" customFormat="false" ht="15" hidden="false" customHeight="false" outlineLevel="0" collapsed="false">
      <c r="A9" s="91" t="n">
        <v>7</v>
      </c>
      <c r="B9" s="74" t="s">
        <v>2374</v>
      </c>
      <c r="C9" s="76" t="n">
        <v>46207</v>
      </c>
      <c r="D9" s="74" t="s">
        <v>273</v>
      </c>
      <c r="E9" s="8" t="n">
        <v>0</v>
      </c>
      <c r="F9" s="8" t="n">
        <v>7862050</v>
      </c>
      <c r="G9" s="74" t="s">
        <v>2327</v>
      </c>
      <c r="H9" s="13" t="n">
        <f aca="false">IF($G9="",0,SUMIFS('MA Engine'!$W$6:$W$1110,'MA Engine'!$J$6:$J$1110,$G9,'MA Engine'!$I$6:$I$1110,"DO",'MA Engine'!$C$6:$C$1110,"RPA"))</f>
        <v>0</v>
      </c>
      <c r="I9" s="13" t="n">
        <f aca="false">IF($G9="",0,SUMIFS('MA Engine'!$W$6:$W$1110,'MA Engine'!$J$6:$J$1110,$G9,'MA Engine'!$I$6:$I$1110,"DO",'MA Engine'!$C$6:$C$1110,"Trading"))</f>
        <v>320.9</v>
      </c>
      <c r="K9" s="7" t="n">
        <f aca="false">IF($G9="",0,SUMIFS('MA Engine'!$S$6:$S$1110,'MA Engine'!$J$6:$J$1110,$G9,'MA Engine'!$I$6:$I$1110,"DO",'MA Engine'!$C$6:$C$1110,"RPA"))</f>
        <v>0</v>
      </c>
      <c r="L9" s="7" t="n">
        <f aca="false">IF($G9="",0,SUMIFS('MA Engine'!$S$6:$S$1110,'MA Engine'!$J$6:$J$1110,$G9,'MA Engine'!$I$6:$I$1110,"DO",'MA Engine'!$C$6:$C$1110,"Trading"))</f>
        <v>7380700</v>
      </c>
      <c r="M9" s="12" t="s">
        <v>2370</v>
      </c>
    </row>
    <row r="10" customFormat="false" ht="15" hidden="false" customHeight="false" outlineLevel="0" collapsed="false">
      <c r="A10" s="91" t="n">
        <v>7</v>
      </c>
      <c r="B10" s="74" t="s">
        <v>2375</v>
      </c>
      <c r="C10" s="76" t="n">
        <v>46207</v>
      </c>
      <c r="D10" s="74" t="s">
        <v>289</v>
      </c>
      <c r="E10" s="8" t="n">
        <v>0</v>
      </c>
      <c r="F10" s="8" t="n">
        <v>143144400</v>
      </c>
      <c r="G10" s="74" t="s">
        <v>2278</v>
      </c>
      <c r="H10" s="13" t="n">
        <f aca="false">IF($G10="",0,SUMIFS('MA Engine'!$W$6:$W$1110,'MA Engine'!$J$6:$J$1110,$G10,'MA Engine'!$I$6:$I$1110,"DO",'MA Engine'!$C$6:$C$1110,"RPA"))</f>
        <v>0</v>
      </c>
      <c r="I10" s="13" t="n">
        <f aca="false">IF($G10="",0,SUMIFS('MA Engine'!$W$6:$W$1110,'MA Engine'!$J$6:$J$1110,$G10,'MA Engine'!$I$6:$I$1110,"DO",'MA Engine'!$C$6:$C$1110,"Trading"))</f>
        <v>5112.3</v>
      </c>
      <c r="K10" s="7" t="n">
        <f aca="false">IF($G10="",0,SUMIFS('MA Engine'!$S$6:$S$1110,'MA Engine'!$J$6:$J$1110,$G10,'MA Engine'!$I$6:$I$1110,"DO",'MA Engine'!$C$6:$C$1110,"RPA"))</f>
        <v>0</v>
      </c>
      <c r="L10" s="7" t="n">
        <f aca="false">IF($G10="",0,SUMIFS('MA Engine'!$S$6:$S$1110,'MA Engine'!$J$6:$J$1110,$G10,'MA Engine'!$I$6:$I$1110,"DO",'MA Engine'!$C$6:$C$1110,"Trading"))</f>
        <v>141735108.342746</v>
      </c>
      <c r="M10" s="12" t="s">
        <v>2370</v>
      </c>
    </row>
    <row r="11" customFormat="false" ht="15" hidden="false" customHeight="false" outlineLevel="0" collapsed="false">
      <c r="A11" s="91" t="n">
        <v>7</v>
      </c>
      <c r="B11" s="74" t="s">
        <v>2376</v>
      </c>
      <c r="C11" s="76" t="n">
        <v>46210</v>
      </c>
      <c r="D11" s="74" t="s">
        <v>273</v>
      </c>
      <c r="E11" s="8" t="n">
        <v>0</v>
      </c>
      <c r="F11" s="8" t="n">
        <v>8386350</v>
      </c>
      <c r="G11" s="74" t="s">
        <v>2328</v>
      </c>
      <c r="H11" s="13" t="n">
        <f aca="false">IF($G11="",0,SUMIFS('MA Engine'!$W$6:$W$1110,'MA Engine'!$J$6:$J$1110,$G11,'MA Engine'!$I$6:$I$1110,"DO",'MA Engine'!$C$6:$C$1110,"RPA"))</f>
        <v>0</v>
      </c>
      <c r="I11" s="13" t="n">
        <f aca="false">IF($G11="",0,SUMIFS('MA Engine'!$W$6:$W$1110,'MA Engine'!$J$6:$J$1110,$G11,'MA Engine'!$I$6:$I$1110,"DO",'MA Engine'!$C$6:$C$1110,"Trading"))</f>
        <v>342.3</v>
      </c>
      <c r="K11" s="7" t="n">
        <f aca="false">IF($G11="",0,SUMIFS('MA Engine'!$S$6:$S$1110,'MA Engine'!$J$6:$J$1110,$G11,'MA Engine'!$I$6:$I$1110,"DO",'MA Engine'!$C$6:$C$1110,"RPA"))</f>
        <v>0</v>
      </c>
      <c r="L11" s="7" t="n">
        <f aca="false">IF($G11="",0,SUMIFS('MA Engine'!$S$6:$S$1110,'MA Engine'!$J$6:$J$1110,$G11,'MA Engine'!$I$6:$I$1110,"DO",'MA Engine'!$C$6:$C$1110,"Trading"))</f>
        <v>7872900</v>
      </c>
      <c r="M11" s="12" t="s">
        <v>2370</v>
      </c>
    </row>
    <row r="12" customFormat="false" ht="15" hidden="false" customHeight="false" outlineLevel="0" collapsed="false">
      <c r="A12" s="91" t="n">
        <v>7</v>
      </c>
      <c r="B12" s="74" t="s">
        <v>2377</v>
      </c>
      <c r="C12" s="76" t="n">
        <v>46212</v>
      </c>
      <c r="D12" s="74" t="s">
        <v>273</v>
      </c>
      <c r="E12" s="8" t="n">
        <v>0</v>
      </c>
      <c r="F12" s="8" t="n">
        <v>6520000</v>
      </c>
      <c r="G12" s="74" t="s">
        <v>2343</v>
      </c>
      <c r="H12" s="13" t="n">
        <f aca="false">IF($G12="",0,SUMIFS('MA Engine'!$W$6:$W$1110,'MA Engine'!$J$6:$J$1110,$G12,'MA Engine'!$I$6:$I$1110,"DO",'MA Engine'!$C$6:$C$1110,"RPA"))</f>
        <v>0</v>
      </c>
      <c r="I12" s="13" t="n">
        <f aca="false">IF($G12="",0,SUMIFS('MA Engine'!$W$6:$W$1110,'MA Engine'!$J$6:$J$1110,$G12,'MA Engine'!$I$6:$I$1110,"DO",'MA Engine'!$C$6:$C$1110,"Trading"))</f>
        <v>260.8</v>
      </c>
      <c r="K12" s="7" t="n">
        <f aca="false">IF($G12="",0,SUMIFS('MA Engine'!$S$6:$S$1110,'MA Engine'!$J$6:$J$1110,$G12,'MA Engine'!$I$6:$I$1110,"DO",'MA Engine'!$C$6:$C$1110,"RPA"))</f>
        <v>0</v>
      </c>
      <c r="L12" s="7" t="n">
        <f aca="false">IF($G12="",0,SUMIFS('MA Engine'!$S$6:$S$1110,'MA Engine'!$J$6:$J$1110,$G12,'MA Engine'!$I$6:$I$1110,"DO",'MA Engine'!$C$6:$C$1110,"Trading"))</f>
        <v>5998400</v>
      </c>
      <c r="M12" s="12" t="s">
        <v>2370</v>
      </c>
    </row>
    <row r="13" customFormat="false" ht="15" hidden="false" customHeight="false" outlineLevel="0" collapsed="false">
      <c r="A13" s="91" t="n">
        <v>7</v>
      </c>
      <c r="B13" s="74" t="s">
        <v>2378</v>
      </c>
      <c r="C13" s="76" t="n">
        <v>46212</v>
      </c>
      <c r="D13" s="74" t="s">
        <v>287</v>
      </c>
      <c r="E13" s="8" t="n">
        <v>622500</v>
      </c>
      <c r="F13" s="8" t="n">
        <v>0</v>
      </c>
      <c r="G13" s="74" t="s">
        <v>2124</v>
      </c>
      <c r="H13" s="13" t="n">
        <f aca="false">IF($G13="",0,SUMIFS('MA Engine'!$W$6:$W$1110,'MA Engine'!$J$6:$J$1110,$G13,'MA Engine'!$I$6:$I$1110,"DO",'MA Engine'!$C$6:$C$1110,"RPA"))</f>
        <v>24.9</v>
      </c>
      <c r="I13" s="13" t="n">
        <f aca="false">IF($G13="",0,SUMIFS('MA Engine'!$W$6:$W$1110,'MA Engine'!$J$6:$J$1110,$G13,'MA Engine'!$I$6:$I$1110,"DO",'MA Engine'!$C$6:$C$1110,"Trading"))</f>
        <v>0</v>
      </c>
      <c r="K13" s="7" t="n">
        <f aca="false">IF($G13="",0,SUMIFS('MA Engine'!$S$6:$S$1110,'MA Engine'!$J$6:$J$1110,$G13,'MA Engine'!$I$6:$I$1110,"DO",'MA Engine'!$C$6:$C$1110,"RPA"))</f>
        <v>601483.645729383</v>
      </c>
      <c r="L13" s="7" t="n">
        <f aca="false">IF($G13="",0,SUMIFS('MA Engine'!$S$6:$S$1110,'MA Engine'!$J$6:$J$1110,$G13,'MA Engine'!$I$6:$I$1110,"DO",'MA Engine'!$C$6:$C$1110,"Trading"))</f>
        <v>0</v>
      </c>
      <c r="M13" s="12" t="s">
        <v>2370</v>
      </c>
    </row>
    <row r="14" customFormat="false" ht="15" hidden="false" customHeight="false" outlineLevel="0" collapsed="false">
      <c r="A14" s="91" t="n">
        <v>7</v>
      </c>
      <c r="B14" s="74" t="s">
        <v>2379</v>
      </c>
      <c r="C14" s="76" t="n">
        <v>46214</v>
      </c>
      <c r="D14" s="74" t="s">
        <v>272</v>
      </c>
      <c r="E14" s="8" t="n">
        <v>0</v>
      </c>
      <c r="F14" s="8" t="n">
        <v>13577190</v>
      </c>
      <c r="G14" s="74" t="s">
        <v>2350</v>
      </c>
      <c r="H14" s="13" t="n">
        <f aca="false">IF($G14="",0,SUMIFS('MA Engine'!$W$6:$W$1110,'MA Engine'!$J$6:$J$1110,$G14,'MA Engine'!$I$6:$I$1110,"DO",'MA Engine'!$C$6:$C$1110,"RPA"))</f>
        <v>0</v>
      </c>
      <c r="I14" s="13" t="n">
        <f aca="false">IF($G14="",0,SUMIFS('MA Engine'!$W$6:$W$1110,'MA Engine'!$J$6:$J$1110,$G14,'MA Engine'!$I$6:$I$1110,"DO",'MA Engine'!$C$6:$C$1110,"Trading"))</f>
        <v>2468.58</v>
      </c>
      <c r="K14" s="7" t="n">
        <f aca="false">IF($G14="",0,SUMIFS('MA Engine'!$S$6:$S$1110,'MA Engine'!$J$6:$J$1110,$G14,'MA Engine'!$I$6:$I$1110,"DO",'MA Engine'!$C$6:$C$1110,"RPA"))</f>
        <v>0</v>
      </c>
      <c r="L14" s="7" t="n">
        <f aca="false">IF($G14="",0,SUMIFS('MA Engine'!$S$6:$S$1110,'MA Engine'!$J$6:$J$1110,$G14,'MA Engine'!$I$6:$I$1110,"DO",'MA Engine'!$C$6:$C$1110,"Trading"))</f>
        <v>11011348.2991454</v>
      </c>
      <c r="M14" s="12" t="s">
        <v>2370</v>
      </c>
    </row>
    <row r="15" customFormat="false" ht="15" hidden="false" customHeight="false" outlineLevel="0" collapsed="false">
      <c r="A15" s="91" t="n">
        <v>7</v>
      </c>
      <c r="B15" s="74" t="s">
        <v>2380</v>
      </c>
      <c r="C15" s="76" t="n">
        <v>46214</v>
      </c>
      <c r="D15" s="74" t="s">
        <v>272</v>
      </c>
      <c r="E15" s="8" t="n">
        <v>0</v>
      </c>
      <c r="F15" s="8" t="n">
        <v>18550800</v>
      </c>
      <c r="G15" s="74" t="s">
        <v>2222</v>
      </c>
      <c r="H15" s="13" t="n">
        <f aca="false">IF($G15="",0,SUMIFS('MA Engine'!$W$6:$W$1110,'MA Engine'!$J$6:$J$1110,$G15,'MA Engine'!$I$6:$I$1110,"DO",'MA Engine'!$C$6:$C$1110,"RPA"))</f>
        <v>0</v>
      </c>
      <c r="I15" s="13" t="n">
        <f aca="false">IF($G15="",0,SUMIFS('MA Engine'!$W$6:$W$1110,'MA Engine'!$J$6:$J$1110,$G15,'MA Engine'!$I$6:$I$1110,"DO",'MA Engine'!$C$6:$C$1110,"Trading"))</f>
        <v>515.3</v>
      </c>
      <c r="K15" s="7" t="n">
        <f aca="false">IF($G15="",0,SUMIFS('MA Engine'!$S$6:$S$1110,'MA Engine'!$J$6:$J$1110,$G15,'MA Engine'!$I$6:$I$1110,"DO",'MA Engine'!$C$6:$C$1110,"RPA"))</f>
        <v>0</v>
      </c>
      <c r="L15" s="7" t="n">
        <f aca="false">IF($G15="",0,SUMIFS('MA Engine'!$S$6:$S$1110,'MA Engine'!$J$6:$J$1110,$G15,'MA Engine'!$I$6:$I$1110,"DO",'MA Engine'!$C$6:$C$1110,"Trading"))</f>
        <v>15712396.2307282</v>
      </c>
      <c r="M15" s="12" t="s">
        <v>2370</v>
      </c>
    </row>
    <row r="16" customFormat="false" ht="15" hidden="false" customHeight="false" outlineLevel="0" collapsed="false">
      <c r="A16" s="91" t="n">
        <v>7</v>
      </c>
      <c r="B16" s="74" t="s">
        <v>2381</v>
      </c>
      <c r="C16" s="76" t="n">
        <v>46216</v>
      </c>
      <c r="D16" s="74" t="s">
        <v>273</v>
      </c>
      <c r="E16" s="8" t="n">
        <v>1596300</v>
      </c>
      <c r="F16" s="8" t="n">
        <v>0</v>
      </c>
      <c r="G16" s="74" t="s">
        <v>2144</v>
      </c>
      <c r="H16" s="13" t="n">
        <f aca="false">IF($G16="",0,SUMIFS('MA Engine'!$W$6:$W$1110,'MA Engine'!$J$6:$J$1110,$G16,'MA Engine'!$I$6:$I$1110,"DO",'MA Engine'!$C$6:$C$1110,"RPA"))</f>
        <v>62.6</v>
      </c>
      <c r="I16" s="13" t="n">
        <f aca="false">IF($G16="",0,SUMIFS('MA Engine'!$W$6:$W$1110,'MA Engine'!$J$6:$J$1110,$G16,'MA Engine'!$I$6:$I$1110,"DO",'MA Engine'!$C$6:$C$1110,"Trading"))</f>
        <v>0</v>
      </c>
      <c r="K16" s="7" t="n">
        <f aca="false">IF($G16="",0,SUMIFS('MA Engine'!$S$6:$S$1110,'MA Engine'!$J$6:$J$1110,$G16,'MA Engine'!$I$6:$I$1110,"DO",'MA Engine'!$C$6:$C$1110,"RPA"))</f>
        <v>1687667.02460232</v>
      </c>
      <c r="L16" s="7" t="n">
        <f aca="false">IF($G16="",0,SUMIFS('MA Engine'!$S$6:$S$1110,'MA Engine'!$J$6:$J$1110,$G16,'MA Engine'!$I$6:$I$1110,"DO",'MA Engine'!$C$6:$C$1110,"Trading"))</f>
        <v>0</v>
      </c>
      <c r="M16" s="12" t="s">
        <v>2370</v>
      </c>
    </row>
    <row r="17" customFormat="false" ht="15" hidden="false" customHeight="false" outlineLevel="0" collapsed="false">
      <c r="A17" s="91" t="n">
        <v>7</v>
      </c>
      <c r="B17" s="74" t="s">
        <v>2382</v>
      </c>
      <c r="C17" s="76" t="n">
        <v>46216</v>
      </c>
      <c r="D17" s="74" t="s">
        <v>273</v>
      </c>
      <c r="E17" s="8" t="n">
        <v>0</v>
      </c>
      <c r="F17" s="8" t="n">
        <v>15409650</v>
      </c>
      <c r="G17" s="74" t="s">
        <v>2329</v>
      </c>
      <c r="H17" s="13" t="n">
        <f aca="false">IF($G17="",0,SUMIFS('MA Engine'!$W$6:$W$1110,'MA Engine'!$J$6:$J$1110,$G17,'MA Engine'!$I$6:$I$1110,"DO",'MA Engine'!$C$6:$C$1110,"RPA"))</f>
        <v>0</v>
      </c>
      <c r="I17" s="13" t="n">
        <f aca="false">IF($G17="",0,SUMIFS('MA Engine'!$W$6:$W$1110,'MA Engine'!$J$6:$J$1110,$G17,'MA Engine'!$I$6:$I$1110,"DO",'MA Engine'!$C$6:$C$1110,"Trading"))</f>
        <v>604.3</v>
      </c>
      <c r="K17" s="7" t="n">
        <f aca="false">IF($G17="",0,SUMIFS('MA Engine'!$S$6:$S$1110,'MA Engine'!$J$6:$J$1110,$G17,'MA Engine'!$I$6:$I$1110,"DO",'MA Engine'!$C$6:$C$1110,"RPA"))</f>
        <v>0</v>
      </c>
      <c r="L17" s="7" t="n">
        <f aca="false">IF($G17="",0,SUMIFS('MA Engine'!$S$6:$S$1110,'MA Engine'!$J$6:$J$1110,$G17,'MA Engine'!$I$6:$I$1110,"DO",'MA Engine'!$C$6:$C$1110,"Trading"))</f>
        <v>13898900</v>
      </c>
      <c r="M17" s="12" t="s">
        <v>2370</v>
      </c>
    </row>
    <row r="18" customFormat="false" ht="15" hidden="false" customHeight="false" outlineLevel="0" collapsed="false">
      <c r="A18" s="91" t="n">
        <v>7</v>
      </c>
      <c r="B18" s="74" t="s">
        <v>2383</v>
      </c>
      <c r="C18" s="76" t="n">
        <v>46217</v>
      </c>
      <c r="D18" s="74" t="s">
        <v>289</v>
      </c>
      <c r="E18" s="8" t="n">
        <v>0</v>
      </c>
      <c r="F18" s="8" t="n">
        <v>57570600</v>
      </c>
      <c r="G18" s="74" t="s">
        <v>2224</v>
      </c>
      <c r="H18" s="13" t="n">
        <f aca="false">IF($G18="",0,SUMIFS('MA Engine'!$W$6:$W$1110,'MA Engine'!$J$6:$J$1110,$G18,'MA Engine'!$I$6:$I$1110,"DO",'MA Engine'!$C$6:$C$1110,"RPA"))</f>
        <v>0</v>
      </c>
      <c r="I18" s="13" t="n">
        <f aca="false">IF($G18="",0,SUMIFS('MA Engine'!$W$6:$W$1110,'MA Engine'!$J$6:$J$1110,$G18,'MA Engine'!$I$6:$I$1110,"DO",'MA Engine'!$C$6:$C$1110,"Trading"))</f>
        <v>1615.15</v>
      </c>
      <c r="K18" s="7" t="n">
        <f aca="false">IF($G18="",0,SUMIFS('MA Engine'!$S$6:$S$1110,'MA Engine'!$J$6:$J$1110,$G18,'MA Engine'!$I$6:$I$1110,"DO",'MA Engine'!$C$6:$C$1110,"RPA"))</f>
        <v>0</v>
      </c>
      <c r="L18" s="7" t="n">
        <f aca="false">IF($G18="",0,SUMIFS('MA Engine'!$S$6:$S$1110,'MA Engine'!$J$6:$J$1110,$G18,'MA Engine'!$I$6:$I$1110,"DO",'MA Engine'!$C$6:$C$1110,"Trading"))</f>
        <v>48147544.7221277</v>
      </c>
      <c r="M18" s="12" t="s">
        <v>2370</v>
      </c>
    </row>
    <row r="19" customFormat="false" ht="15" hidden="false" customHeight="false" outlineLevel="0" collapsed="false">
      <c r="A19" s="91" t="n">
        <v>7</v>
      </c>
      <c r="B19" s="74" t="s">
        <v>2384</v>
      </c>
      <c r="C19" s="76" t="n">
        <v>46218</v>
      </c>
      <c r="D19" s="74" t="s">
        <v>289</v>
      </c>
      <c r="E19" s="8" t="n">
        <v>0</v>
      </c>
      <c r="F19" s="8" t="n">
        <v>219039120</v>
      </c>
      <c r="G19" s="74" t="s">
        <v>2225</v>
      </c>
      <c r="H19" s="13" t="n">
        <f aca="false">IF($G19="",0,SUMIFS('MA Engine'!$W$6:$W$1110,'MA Engine'!$J$6:$J$1110,$G19,'MA Engine'!$I$6:$I$1110,"DO",'MA Engine'!$C$6:$C$1110,"RPA"))</f>
        <v>0</v>
      </c>
      <c r="I19" s="13" t="n">
        <f aca="false">IF($G19="",0,SUMIFS('MA Engine'!$W$6:$W$1110,'MA Engine'!$J$6:$J$1110,$G19,'MA Engine'!$I$6:$I$1110,"DO",'MA Engine'!$C$6:$C$1110,"Trading"))</f>
        <v>6084.42</v>
      </c>
      <c r="K19" s="7" t="n">
        <f aca="false">IF($G19="",0,SUMIFS('MA Engine'!$S$6:$S$1110,'MA Engine'!$J$6:$J$1110,$G19,'MA Engine'!$I$6:$I$1110,"DO",'MA Engine'!$C$6:$C$1110,"RPA"))</f>
        <v>0</v>
      </c>
      <c r="L19" s="7" t="n">
        <f aca="false">IF($G19="",0,SUMIFS('MA Engine'!$S$6:$S$1110,'MA Engine'!$J$6:$J$1110,$G19,'MA Engine'!$I$6:$I$1110,"DO",'MA Engine'!$C$6:$C$1110,"Trading"))</f>
        <v>186328520.277015</v>
      </c>
      <c r="M19" s="12" t="s">
        <v>2370</v>
      </c>
    </row>
    <row r="20" customFormat="false" ht="15" hidden="false" customHeight="false" outlineLevel="0" collapsed="false">
      <c r="A20" s="91" t="n">
        <v>7</v>
      </c>
      <c r="B20" s="74" t="s">
        <v>2385</v>
      </c>
      <c r="C20" s="76" t="n">
        <v>46219</v>
      </c>
      <c r="D20" s="74" t="s">
        <v>289</v>
      </c>
      <c r="E20" s="8" t="n">
        <v>0</v>
      </c>
      <c r="F20" s="8" t="n">
        <v>54841320</v>
      </c>
      <c r="G20" s="74" t="s">
        <v>2226</v>
      </c>
      <c r="H20" s="13" t="n">
        <f aca="false">IF($G20="",0,SUMIFS('MA Engine'!$W$6:$W$1110,'MA Engine'!$J$6:$J$1110,$G20,'MA Engine'!$I$6:$I$1110,"DO",'MA Engine'!$C$6:$C$1110,"RPA"))</f>
        <v>0</v>
      </c>
      <c r="I20" s="13" t="n">
        <f aca="false">IF($G20="",0,SUMIFS('MA Engine'!$W$6:$W$1110,'MA Engine'!$J$6:$J$1110,$G20,'MA Engine'!$I$6:$I$1110,"DO",'MA Engine'!$C$6:$C$1110,"Trading"))</f>
        <v>1523.37</v>
      </c>
      <c r="K20" s="7" t="n">
        <f aca="false">IF($G20="",0,SUMIFS('MA Engine'!$S$6:$S$1110,'MA Engine'!$J$6:$J$1110,$G20,'MA Engine'!$I$6:$I$1110,"DO",'MA Engine'!$C$6:$C$1110,"RPA"))</f>
        <v>0</v>
      </c>
      <c r="L20" s="7" t="n">
        <f aca="false">IF($G20="",0,SUMIFS('MA Engine'!$S$6:$S$1110,'MA Engine'!$J$6:$J$1110,$G20,'MA Engine'!$I$6:$I$1110,"DO",'MA Engine'!$C$6:$C$1110,"Trading"))</f>
        <v>46651493.1471524</v>
      </c>
      <c r="M20" s="12" t="s">
        <v>2370</v>
      </c>
    </row>
    <row r="21" customFormat="false" ht="15" hidden="false" customHeight="false" outlineLevel="0" collapsed="false">
      <c r="A21" s="91" t="n">
        <v>7</v>
      </c>
      <c r="B21" s="74" t="s">
        <v>2386</v>
      </c>
      <c r="C21" s="76" t="n">
        <v>46219</v>
      </c>
      <c r="D21" s="74" t="s">
        <v>289</v>
      </c>
      <c r="E21" s="8" t="n">
        <v>0</v>
      </c>
      <c r="F21" s="8" t="n">
        <v>72532800</v>
      </c>
      <c r="G21" s="74" t="s">
        <v>2227</v>
      </c>
      <c r="H21" s="13" t="n">
        <f aca="false">IF($G21="",0,SUMIFS('MA Engine'!$W$6:$W$1110,'MA Engine'!$J$6:$J$1110,$G21,'MA Engine'!$I$6:$I$1110,"DO",'MA Engine'!$C$6:$C$1110,"RPA"))</f>
        <v>0</v>
      </c>
      <c r="I21" s="13" t="n">
        <f aca="false">IF($G21="",0,SUMIFS('MA Engine'!$W$6:$W$1110,'MA Engine'!$J$6:$J$1110,$G21,'MA Engine'!$I$6:$I$1110,"DO",'MA Engine'!$C$6:$C$1110,"Trading"))</f>
        <v>2014.8</v>
      </c>
      <c r="K21" s="7" t="n">
        <f aca="false">IF($G21="",0,SUMIFS('MA Engine'!$S$6:$S$1110,'MA Engine'!$J$6:$J$1110,$G21,'MA Engine'!$I$6:$I$1110,"DO",'MA Engine'!$C$6:$C$1110,"RPA"))</f>
        <v>0</v>
      </c>
      <c r="L21" s="7" t="n">
        <f aca="false">IF($G21="",0,SUMIFS('MA Engine'!$S$6:$S$1110,'MA Engine'!$J$6:$J$1110,$G21,'MA Engine'!$I$6:$I$1110,"DO",'MA Engine'!$C$6:$C$1110,"Trading"))</f>
        <v>61700984.2604769</v>
      </c>
      <c r="M21" s="12" t="s">
        <v>2370</v>
      </c>
    </row>
    <row r="22" customFormat="false" ht="15" hidden="false" customHeight="false" outlineLevel="0" collapsed="false">
      <c r="A22" s="91" t="n">
        <v>7</v>
      </c>
      <c r="B22" s="74" t="s">
        <v>2387</v>
      </c>
      <c r="C22" s="76" t="n">
        <v>46224</v>
      </c>
      <c r="D22" s="74" t="s">
        <v>272</v>
      </c>
      <c r="E22" s="8" t="n">
        <v>0</v>
      </c>
      <c r="F22" s="8" t="n">
        <v>73382155</v>
      </c>
      <c r="G22" s="74" t="s">
        <v>2229</v>
      </c>
      <c r="H22" s="13" t="n">
        <f aca="false">IF($G22="",0,SUMIFS('MA Engine'!$W$6:$W$1110,'MA Engine'!$J$6:$J$1110,$G22,'MA Engine'!$I$6:$I$1110,"DO",'MA Engine'!$C$6:$C$1110,"RPA"))</f>
        <v>0</v>
      </c>
      <c r="I22" s="13" t="n">
        <f aca="false">IF($G22="",0,SUMIFS('MA Engine'!$W$6:$W$1110,'MA Engine'!$J$6:$J$1110,$G22,'MA Engine'!$I$6:$I$1110,"DO",'MA Engine'!$C$6:$C$1110,"Trading"))</f>
        <v>2010.47</v>
      </c>
      <c r="K22" s="7" t="n">
        <f aca="false">IF($G22="",0,SUMIFS('MA Engine'!$S$6:$S$1110,'MA Engine'!$J$6:$J$1110,$G22,'MA Engine'!$I$6:$I$1110,"DO",'MA Engine'!$C$6:$C$1110,"RPA"))</f>
        <v>0</v>
      </c>
      <c r="L22" s="7" t="n">
        <f aca="false">IF($G22="",0,SUMIFS('MA Engine'!$S$6:$S$1110,'MA Engine'!$J$6:$J$1110,$G22,'MA Engine'!$I$6:$I$1110,"DO",'MA Engine'!$C$6:$C$1110,"Trading"))</f>
        <v>61568382.8797702</v>
      </c>
      <c r="M22" s="12" t="s">
        <v>2370</v>
      </c>
    </row>
    <row r="23" customFormat="false" ht="15" hidden="false" customHeight="false" outlineLevel="0" collapsed="false">
      <c r="A23" s="91" t="n">
        <v>7</v>
      </c>
      <c r="B23" s="74" t="s">
        <v>2388</v>
      </c>
      <c r="C23" s="76" t="n">
        <v>46220</v>
      </c>
      <c r="D23" s="74" t="s">
        <v>287</v>
      </c>
      <c r="E23" s="8" t="n">
        <v>3323000</v>
      </c>
      <c r="F23" s="8" t="n">
        <v>0</v>
      </c>
      <c r="G23" s="74" t="s">
        <v>2112</v>
      </c>
      <c r="H23" s="13" t="n">
        <f aca="false">IF($G23="",0,SUMIFS('MA Engine'!$W$6:$W$1110,'MA Engine'!$J$6:$J$1110,$G23,'MA Engine'!$I$6:$I$1110,"DO",'MA Engine'!$C$6:$C$1110,"RPA"))</f>
        <v>664.6</v>
      </c>
      <c r="I23" s="13" t="n">
        <f aca="false">IF($G23="",0,SUMIFS('MA Engine'!$W$6:$W$1110,'MA Engine'!$J$6:$J$1110,$G23,'MA Engine'!$I$6:$I$1110,"DO",'MA Engine'!$C$6:$C$1110,"Trading"))</f>
        <v>0</v>
      </c>
      <c r="K23" s="7" t="n">
        <f aca="false">IF($G23="",0,SUMIFS('MA Engine'!$S$6:$S$1110,'MA Engine'!$J$6:$J$1110,$G23,'MA Engine'!$I$6:$I$1110,"DO",'MA Engine'!$C$6:$C$1110,"RPA"))</f>
        <v>2977491.54169019</v>
      </c>
      <c r="L23" s="7" t="n">
        <f aca="false">IF($G23="",0,SUMIFS('MA Engine'!$S$6:$S$1110,'MA Engine'!$J$6:$J$1110,$G23,'MA Engine'!$I$6:$I$1110,"DO",'MA Engine'!$C$6:$C$1110,"Trading"))</f>
        <v>0</v>
      </c>
      <c r="M23" s="12" t="s">
        <v>2370</v>
      </c>
    </row>
    <row r="24" customFormat="false" ht="15" hidden="false" customHeight="false" outlineLevel="0" collapsed="false">
      <c r="A24" s="91" t="n">
        <v>7</v>
      </c>
      <c r="B24" s="74" t="s">
        <v>2389</v>
      </c>
      <c r="C24" s="76" t="n">
        <v>46220</v>
      </c>
      <c r="D24" s="74" t="s">
        <v>287</v>
      </c>
      <c r="E24" s="8" t="n">
        <v>1861000</v>
      </c>
      <c r="F24" s="8" t="n">
        <v>0</v>
      </c>
      <c r="G24" s="74" t="s">
        <v>2113</v>
      </c>
      <c r="H24" s="13" t="n">
        <f aca="false">IF($G24="",0,SUMIFS('MA Engine'!$W$6:$W$1110,'MA Engine'!$J$6:$J$1110,$G24,'MA Engine'!$I$6:$I$1110,"DO",'MA Engine'!$C$6:$C$1110,"RPA"))</f>
        <v>372.2</v>
      </c>
      <c r="I24" s="13" t="n">
        <f aca="false">IF($G24="",0,SUMIFS('MA Engine'!$W$6:$W$1110,'MA Engine'!$J$6:$J$1110,$G24,'MA Engine'!$I$6:$I$1110,"DO",'MA Engine'!$C$6:$C$1110,"Trading"))</f>
        <v>0</v>
      </c>
      <c r="K24" s="7" t="n">
        <f aca="false">IF($G24="",0,SUMIFS('MA Engine'!$S$6:$S$1110,'MA Engine'!$J$6:$J$1110,$G24,'MA Engine'!$I$6:$I$1110,"DO",'MA Engine'!$C$6:$C$1110,"RPA"))</f>
        <v>2692222.87064471</v>
      </c>
      <c r="L24" s="7" t="n">
        <f aca="false">IF($G24="",0,SUMIFS('MA Engine'!$S$6:$S$1110,'MA Engine'!$J$6:$J$1110,$G24,'MA Engine'!$I$6:$I$1110,"DO",'MA Engine'!$C$6:$C$1110,"Trading"))</f>
        <v>0</v>
      </c>
      <c r="M24" s="12" t="s">
        <v>2370</v>
      </c>
    </row>
    <row r="25" customFormat="false" ht="15" hidden="false" customHeight="false" outlineLevel="0" collapsed="false">
      <c r="A25" s="91" t="n">
        <v>7</v>
      </c>
      <c r="B25" s="74" t="s">
        <v>2390</v>
      </c>
      <c r="C25" s="76" t="n">
        <v>46223</v>
      </c>
      <c r="D25" s="74" t="s">
        <v>276</v>
      </c>
      <c r="E25" s="8" t="n">
        <v>0</v>
      </c>
      <c r="F25" s="8" t="n">
        <v>145134000</v>
      </c>
      <c r="G25" s="74" t="s">
        <v>2228</v>
      </c>
      <c r="H25" s="13" t="n">
        <f aca="false">IF($G25="",0,SUMIFS('MA Engine'!$W$6:$W$1110,'MA Engine'!$J$6:$J$1110,$G25,'MA Engine'!$I$6:$I$1110,"DO",'MA Engine'!$C$6:$C$1110,"RPA"))</f>
        <v>0</v>
      </c>
      <c r="I25" s="13" t="n">
        <f aca="false">IF($G25="",0,SUMIFS('MA Engine'!$W$6:$W$1110,'MA Engine'!$J$6:$J$1110,$G25,'MA Engine'!$I$6:$I$1110,"DO",'MA Engine'!$C$6:$C$1110,"Trading"))</f>
        <v>4031.5</v>
      </c>
      <c r="K25" s="7" t="n">
        <f aca="false">IF($G25="",0,SUMIFS('MA Engine'!$S$6:$S$1110,'MA Engine'!$J$6:$J$1110,$G25,'MA Engine'!$I$6:$I$1110,"DO",'MA Engine'!$C$6:$C$1110,"RPA"))</f>
        <v>0</v>
      </c>
      <c r="L25" s="7" t="n">
        <f aca="false">IF($G25="",0,SUMIFS('MA Engine'!$S$6:$S$1110,'MA Engine'!$J$6:$J$1110,$G25,'MA Engine'!$I$6:$I$1110,"DO",'MA Engine'!$C$6:$C$1110,"Trading"))</f>
        <v>123460153.884312</v>
      </c>
      <c r="M25" s="12" t="s">
        <v>2370</v>
      </c>
    </row>
    <row r="26" customFormat="false" ht="15" hidden="false" customHeight="false" outlineLevel="0" collapsed="false">
      <c r="A26" s="91" t="n">
        <v>7</v>
      </c>
      <c r="B26" s="74" t="s">
        <v>2391</v>
      </c>
      <c r="C26" s="76" t="n">
        <v>46223</v>
      </c>
      <c r="D26" s="74" t="s">
        <v>279</v>
      </c>
      <c r="E26" s="8" t="n">
        <v>0</v>
      </c>
      <c r="F26" s="8" t="n">
        <v>127785000</v>
      </c>
      <c r="G26" s="74" t="s">
        <v>2279</v>
      </c>
      <c r="H26" s="13" t="n">
        <f aca="false">IF($G26="",0,SUMIFS('MA Engine'!$W$6:$W$1110,'MA Engine'!$J$6:$J$1110,$G26,'MA Engine'!$I$6:$I$1110,"DO",'MA Engine'!$C$6:$C$1110,"RPA"))</f>
        <v>0</v>
      </c>
      <c r="I26" s="13" t="n">
        <f aca="false">IF($G26="",0,SUMIFS('MA Engine'!$W$6:$W$1110,'MA Engine'!$J$6:$J$1110,$G26,'MA Engine'!$I$6:$I$1110,"DO",'MA Engine'!$C$6:$C$1110,"Trading"))</f>
        <v>3651</v>
      </c>
      <c r="K26" s="7" t="n">
        <f aca="false">IF($G26="",0,SUMIFS('MA Engine'!$S$6:$S$1110,'MA Engine'!$J$6:$J$1110,$G26,'MA Engine'!$I$6:$I$1110,"DO",'MA Engine'!$C$6:$C$1110,"RPA"))</f>
        <v>0</v>
      </c>
      <c r="L26" s="7" t="n">
        <f aca="false">IF($G26="",0,SUMIFS('MA Engine'!$S$6:$S$1110,'MA Engine'!$J$6:$J$1110,$G26,'MA Engine'!$I$6:$I$1110,"DO",'MA Engine'!$C$6:$C$1110,"Trading"))</f>
        <v>103457677.479786</v>
      </c>
      <c r="M26" s="12" t="s">
        <v>2370</v>
      </c>
    </row>
    <row r="27" customFormat="false" ht="15" hidden="false" customHeight="false" outlineLevel="0" collapsed="false">
      <c r="A27" s="91" t="n">
        <v>7</v>
      </c>
      <c r="B27" s="74" t="s">
        <v>2392</v>
      </c>
      <c r="C27" s="76" t="n">
        <v>46225</v>
      </c>
      <c r="D27" s="74" t="s">
        <v>299</v>
      </c>
      <c r="E27" s="8" t="n">
        <v>18388410</v>
      </c>
      <c r="F27" s="8" t="n">
        <v>0</v>
      </c>
      <c r="G27" s="74" t="s">
        <v>2145</v>
      </c>
      <c r="H27" s="13" t="n">
        <f aca="false">IF($G27="",0,SUMIFS('MA Engine'!$W$6:$W$1110,'MA Engine'!$J$6:$J$1110,$G27,'MA Engine'!$I$6:$I$1110,"DO",'MA Engine'!$C$6:$C$1110,"RPA"))</f>
        <v>666.3</v>
      </c>
      <c r="I27" s="13" t="n">
        <f aca="false">IF($G27="",0,SUMIFS('MA Engine'!$W$6:$W$1110,'MA Engine'!$J$6:$J$1110,$G27,'MA Engine'!$I$6:$I$1110,"DO",'MA Engine'!$C$6:$C$1110,"Trading"))</f>
        <v>0</v>
      </c>
      <c r="K27" s="7" t="n">
        <f aca="false">IF($G27="",0,SUMIFS('MA Engine'!$S$6:$S$1110,'MA Engine'!$J$6:$J$1110,$G27,'MA Engine'!$I$6:$I$1110,"DO",'MA Engine'!$C$6:$C$1110,"RPA"))</f>
        <v>17415855.2568965</v>
      </c>
      <c r="L27" s="7" t="n">
        <f aca="false">IF($G27="",0,SUMIFS('MA Engine'!$S$6:$S$1110,'MA Engine'!$J$6:$J$1110,$G27,'MA Engine'!$I$6:$I$1110,"DO",'MA Engine'!$C$6:$C$1110,"Trading"))</f>
        <v>0</v>
      </c>
      <c r="M27" s="12" t="s">
        <v>2370</v>
      </c>
    </row>
    <row r="28" customFormat="false" ht="15" hidden="false" customHeight="false" outlineLevel="0" collapsed="false">
      <c r="A28" s="91" t="n">
        <v>7</v>
      </c>
      <c r="B28" s="74" t="s">
        <v>2393</v>
      </c>
      <c r="C28" s="76" t="n">
        <v>46225</v>
      </c>
      <c r="D28" s="74" t="s">
        <v>272</v>
      </c>
      <c r="E28" s="8" t="n">
        <v>0</v>
      </c>
      <c r="F28" s="8" t="n">
        <v>11919600</v>
      </c>
      <c r="G28" s="74" t="s">
        <v>2346</v>
      </c>
      <c r="H28" s="13" t="n">
        <f aca="false">IF($G28="",0,SUMIFS('MA Engine'!$W$6:$W$1110,'MA Engine'!$J$6:$J$1110,$G28,'MA Engine'!$I$6:$I$1110,"DO",'MA Engine'!$C$6:$C$1110,"RPA"))</f>
        <v>0</v>
      </c>
      <c r="I28" s="13" t="n">
        <f aca="false">IF($G28="",0,SUMIFS('MA Engine'!$W$6:$W$1110,'MA Engine'!$J$6:$J$1110,$G28,'MA Engine'!$I$6:$I$1110,"DO",'MA Engine'!$C$6:$C$1110,"Trading"))</f>
        <v>425.7</v>
      </c>
      <c r="K28" s="7" t="n">
        <f aca="false">IF($G28="",0,SUMIFS('MA Engine'!$S$6:$S$1110,'MA Engine'!$J$6:$J$1110,$G28,'MA Engine'!$I$6:$I$1110,"DO",'MA Engine'!$C$6:$C$1110,"RPA"))</f>
        <v>0</v>
      </c>
      <c r="L28" s="7" t="n">
        <f aca="false">IF($G28="",0,SUMIFS('MA Engine'!$S$6:$S$1110,'MA Engine'!$J$6:$J$1110,$G28,'MA Engine'!$I$6:$I$1110,"DO",'MA Engine'!$C$6:$C$1110,"Trading"))</f>
        <v>9791100</v>
      </c>
      <c r="M28" s="12" t="s">
        <v>2370</v>
      </c>
    </row>
    <row r="29" customFormat="false" ht="15" hidden="false" customHeight="false" outlineLevel="0" collapsed="false">
      <c r="A29" s="91" t="n">
        <v>7</v>
      </c>
      <c r="B29" s="74" t="s">
        <v>2394</v>
      </c>
      <c r="C29" s="76" t="n">
        <v>46225</v>
      </c>
      <c r="D29" s="74" t="s">
        <v>272</v>
      </c>
      <c r="E29" s="8" t="n">
        <v>0</v>
      </c>
      <c r="F29" s="8" t="n">
        <v>29160600</v>
      </c>
      <c r="G29" s="74" t="s">
        <v>2344</v>
      </c>
      <c r="H29" s="13" t="n">
        <f aca="false">IF($G29="",0,SUMIFS('MA Engine'!$W$6:$W$1110,'MA Engine'!$J$6:$J$1110,$G29,'MA Engine'!$I$6:$I$1110,"DO",'MA Engine'!$C$6:$C$1110,"RPA"))</f>
        <v>0</v>
      </c>
      <c r="I29" s="13" t="n">
        <f aca="false">IF($G29="",0,SUMIFS('MA Engine'!$W$6:$W$1110,'MA Engine'!$J$6:$J$1110,$G29,'MA Engine'!$I$6:$I$1110,"DO",'MA Engine'!$C$6:$C$1110,"Trading"))</f>
        <v>1100.4</v>
      </c>
      <c r="K29" s="7" t="n">
        <f aca="false">IF($G29="",0,SUMIFS('MA Engine'!$S$6:$S$1110,'MA Engine'!$J$6:$J$1110,$G29,'MA Engine'!$I$6:$I$1110,"DO",'MA Engine'!$C$6:$C$1110,"RPA"))</f>
        <v>0</v>
      </c>
      <c r="L29" s="7" t="n">
        <f aca="false">IF($G29="",0,SUMIFS('MA Engine'!$S$6:$S$1110,'MA Engine'!$J$6:$J$1110,$G29,'MA Engine'!$I$6:$I$1110,"DO",'MA Engine'!$C$6:$C$1110,"Trading"))</f>
        <v>25309200</v>
      </c>
      <c r="M29" s="12" t="s">
        <v>2370</v>
      </c>
    </row>
    <row r="30" customFormat="false" ht="15" hidden="false" customHeight="false" outlineLevel="0" collapsed="false">
      <c r="A30" s="91" t="n">
        <v>7</v>
      </c>
      <c r="B30" s="74" t="s">
        <v>2395</v>
      </c>
      <c r="C30" s="76" t="n">
        <v>46226</v>
      </c>
      <c r="D30" s="74" t="s">
        <v>272</v>
      </c>
      <c r="E30" s="8" t="n">
        <v>0</v>
      </c>
      <c r="F30" s="8" t="n">
        <v>75159720</v>
      </c>
      <c r="G30" s="74" t="s">
        <v>2330</v>
      </c>
      <c r="H30" s="13" t="n">
        <f aca="false">IF($G30="",0,SUMIFS('MA Engine'!$W$6:$W$1110,'MA Engine'!$J$6:$J$1110,$G30,'MA Engine'!$I$6:$I$1110,"DO",'MA Engine'!$C$6:$C$1110,"RPA"))</f>
        <v>0</v>
      </c>
      <c r="I30" s="13" t="n">
        <f aca="false">IF($G30="",0,SUMIFS('MA Engine'!$W$6:$W$1110,'MA Engine'!$J$6:$J$1110,$G30,'MA Engine'!$I$6:$I$1110,"DO",'MA Engine'!$C$6:$C$1110,"Trading"))</f>
        <v>2947.44</v>
      </c>
      <c r="K30" s="7" t="n">
        <f aca="false">IF($G30="",0,SUMIFS('MA Engine'!$S$6:$S$1110,'MA Engine'!$J$6:$J$1110,$G30,'MA Engine'!$I$6:$I$1110,"DO",'MA Engine'!$C$6:$C$1110,"RPA"))</f>
        <v>0</v>
      </c>
      <c r="L30" s="7" t="n">
        <f aca="false">IF($G30="",0,SUMIFS('MA Engine'!$S$6:$S$1110,'MA Engine'!$J$6:$J$1110,$G30,'MA Engine'!$I$6:$I$1110,"DO",'MA Engine'!$C$6:$C$1110,"Trading"))</f>
        <v>67791120</v>
      </c>
      <c r="M30" s="12" t="s">
        <v>2370</v>
      </c>
    </row>
    <row r="31" customFormat="false" ht="15" hidden="false" customHeight="false" outlineLevel="0" collapsed="false">
      <c r="A31" s="91" t="n">
        <v>7</v>
      </c>
      <c r="B31" s="74" t="s">
        <v>2396</v>
      </c>
      <c r="C31" s="76" t="n">
        <v>46226</v>
      </c>
      <c r="D31" s="74" t="s">
        <v>272</v>
      </c>
      <c r="E31" s="8" t="n">
        <v>0</v>
      </c>
      <c r="F31" s="8" t="n">
        <v>11252070</v>
      </c>
      <c r="G31" s="74" t="s">
        <v>2230</v>
      </c>
      <c r="H31" s="13" t="n">
        <f aca="false">IF($G31="",0,SUMIFS('MA Engine'!$W$6:$W$1110,'MA Engine'!$J$6:$J$1110,$G31,'MA Engine'!$I$6:$I$1110,"DO",'MA Engine'!$C$6:$C$1110,"RPA"))</f>
        <v>0</v>
      </c>
      <c r="I31" s="13" t="n">
        <f aca="false">IF($G31="",0,SUMIFS('MA Engine'!$W$6:$W$1110,'MA Engine'!$J$6:$J$1110,$G31,'MA Engine'!$I$6:$I$1110,"DO",'MA Engine'!$C$6:$C$1110,"Trading"))</f>
        <v>304.11</v>
      </c>
      <c r="K31" s="7" t="n">
        <f aca="false">IF($G31="",0,SUMIFS('MA Engine'!$S$6:$S$1110,'MA Engine'!$J$6:$J$1110,$G31,'MA Engine'!$I$6:$I$1110,"DO",'MA Engine'!$C$6:$C$1110,"RPA"))</f>
        <v>0</v>
      </c>
      <c r="L31" s="7" t="n">
        <f aca="false">IF($G31="",0,SUMIFS('MA Engine'!$S$6:$S$1110,'MA Engine'!$J$6:$J$1110,$G31,'MA Engine'!$I$6:$I$1110,"DO",'MA Engine'!$C$6:$C$1110,"Trading"))</f>
        <v>9313026.76367561</v>
      </c>
      <c r="M31" s="12" t="s">
        <v>2370</v>
      </c>
    </row>
    <row r="32" customFormat="false" ht="15" hidden="false" customHeight="false" outlineLevel="0" collapsed="false">
      <c r="A32" s="91" t="n">
        <v>7</v>
      </c>
      <c r="B32" s="74" t="s">
        <v>2397</v>
      </c>
      <c r="C32" s="76" t="n">
        <v>46227</v>
      </c>
      <c r="D32" s="74" t="s">
        <v>289</v>
      </c>
      <c r="E32" s="8" t="n">
        <v>0</v>
      </c>
      <c r="F32" s="8" t="n">
        <v>110248895</v>
      </c>
      <c r="G32" s="74" t="s">
        <v>2231</v>
      </c>
      <c r="H32" s="13" t="n">
        <f aca="false">IF($G32="",0,SUMIFS('MA Engine'!$W$6:$W$1110,'MA Engine'!$J$6:$J$1110,$G32,'MA Engine'!$I$6:$I$1110,"DO",'MA Engine'!$C$6:$C$1110,"RPA"))</f>
        <v>0</v>
      </c>
      <c r="I32" s="13" t="n">
        <f aca="false">IF($G32="",0,SUMIFS('MA Engine'!$W$6:$W$1110,'MA Engine'!$J$6:$J$1110,$G32,'MA Engine'!$I$6:$I$1110,"DO",'MA Engine'!$C$6:$C$1110,"Trading"))</f>
        <v>3020.61</v>
      </c>
      <c r="K32" s="7" t="n">
        <f aca="false">IF($G32="",0,SUMIFS('MA Engine'!$S$6:$S$1110,'MA Engine'!$J$6:$J$1110,$G32,'MA Engine'!$I$6:$I$1110,"DO",'MA Engine'!$C$6:$C$1110,"RPA"))</f>
        <v>0</v>
      </c>
      <c r="L32" s="7" t="n">
        <f aca="false">IF($G32="",0,SUMIFS('MA Engine'!$S$6:$S$1110,'MA Engine'!$J$6:$J$1110,$G32,'MA Engine'!$I$6:$I$1110,"DO",'MA Engine'!$C$6:$C$1110,"Trading"))</f>
        <v>89044757.7803644</v>
      </c>
      <c r="M32" s="12" t="s">
        <v>2370</v>
      </c>
    </row>
    <row r="33" customFormat="false" ht="15" hidden="false" customHeight="false" outlineLevel="0" collapsed="false">
      <c r="A33" s="91" t="n">
        <v>7</v>
      </c>
      <c r="B33" s="74" t="s">
        <v>2398</v>
      </c>
      <c r="C33" s="76" t="n">
        <v>46228</v>
      </c>
      <c r="D33" s="74" t="s">
        <v>272</v>
      </c>
      <c r="E33" s="8" t="n">
        <v>0</v>
      </c>
      <c r="F33" s="8" t="n">
        <v>28585760</v>
      </c>
      <c r="G33" s="74" t="s">
        <v>2331</v>
      </c>
      <c r="H33" s="13" t="n">
        <f aca="false">IF($G33="",0,SUMIFS('MA Engine'!$W$6:$W$1110,'MA Engine'!$J$6:$J$1110,$G33,'MA Engine'!$I$6:$I$1110,"DO",'MA Engine'!$C$6:$C$1110,"RPA"))</f>
        <v>0</v>
      </c>
      <c r="I33" s="13" t="n">
        <f aca="false">IF($G33="",0,SUMIFS('MA Engine'!$W$6:$W$1110,'MA Engine'!$J$6:$J$1110,$G33,'MA Engine'!$I$6:$I$1110,"DO",'MA Engine'!$C$6:$C$1110,"Trading"))</f>
        <v>1020.92</v>
      </c>
      <c r="K33" s="7" t="n">
        <f aca="false">IF($G33="",0,SUMIFS('MA Engine'!$S$6:$S$1110,'MA Engine'!$J$6:$J$1110,$G33,'MA Engine'!$I$6:$I$1110,"DO",'MA Engine'!$C$6:$C$1110,"RPA"))</f>
        <v>0</v>
      </c>
      <c r="L33" s="7" t="n">
        <f aca="false">IF($G33="",0,SUMIFS('MA Engine'!$S$6:$S$1110,'MA Engine'!$J$6:$J$1110,$G33,'MA Engine'!$I$6:$I$1110,"DO",'MA Engine'!$C$6:$C$1110,"Trading"))</f>
        <v>23481160</v>
      </c>
      <c r="M33" s="12" t="s">
        <v>2370</v>
      </c>
    </row>
    <row r="34" customFormat="false" ht="15" hidden="false" customHeight="false" outlineLevel="0" collapsed="false">
      <c r="A34" s="91" t="n">
        <v>7</v>
      </c>
      <c r="B34" s="74" t="s">
        <v>2399</v>
      </c>
      <c r="C34" s="76" t="n">
        <v>46228</v>
      </c>
      <c r="D34" s="74" t="s">
        <v>272</v>
      </c>
      <c r="E34" s="8" t="n">
        <v>13229600</v>
      </c>
      <c r="F34" s="8" t="n">
        <v>4741850</v>
      </c>
      <c r="G34" s="74" t="s">
        <v>2116</v>
      </c>
      <c r="H34" s="13" t="n">
        <f aca="false">IF($G34="",0,SUMIFS('MA Engine'!$W$6:$W$1110,'MA Engine'!$J$6:$J$1110,$G34,'MA Engine'!$I$6:$I$1110,"DO",'MA Engine'!$C$6:$C$1110,"RPA"))</f>
        <v>2645.92</v>
      </c>
      <c r="I34" s="13" t="n">
        <f aca="false">IF($G34="",0,SUMIFS('MA Engine'!$W$6:$W$1110,'MA Engine'!$J$6:$J$1110,$G34,'MA Engine'!$I$6:$I$1110,"DO",'MA Engine'!$C$6:$C$1110,"Trading"))</f>
        <v>948.37</v>
      </c>
      <c r="K34" s="7" t="n">
        <f aca="false">IF($G34="",0,SUMIFS('MA Engine'!$S$6:$S$1110,'MA Engine'!$J$6:$J$1110,$G34,'MA Engine'!$I$6:$I$1110,"DO",'MA Engine'!$C$6:$C$1110,"RPA"))</f>
        <v>24725859.05</v>
      </c>
      <c r="L34" s="7" t="n">
        <f aca="false">IF($G34="",0,SUMIFS('MA Engine'!$S$6:$S$1110,'MA Engine'!$J$6:$J$1110,$G34,'MA Engine'!$I$6:$I$1110,"DO",'MA Engine'!$C$6:$C$1110,"Trading"))</f>
        <v>4230299.35690175</v>
      </c>
      <c r="M34" s="12" t="s">
        <v>2370</v>
      </c>
    </row>
    <row r="35" customFormat="false" ht="15" hidden="false" customHeight="false" outlineLevel="0" collapsed="false">
      <c r="A35" s="91" t="n">
        <v>7</v>
      </c>
      <c r="B35" s="74" t="s">
        <v>2400</v>
      </c>
      <c r="C35" s="76" t="n">
        <v>46228</v>
      </c>
      <c r="D35" s="74" t="s">
        <v>272</v>
      </c>
      <c r="E35" s="8" t="n">
        <v>27213300</v>
      </c>
      <c r="F35" s="8" t="n">
        <v>0</v>
      </c>
      <c r="G35" s="74" t="s">
        <v>2166</v>
      </c>
      <c r="H35" s="13" t="n">
        <f aca="false">IF($G35="",0,SUMIFS('MA Engine'!$W$6:$W$1110,'MA Engine'!$J$6:$J$1110,$G35,'MA Engine'!$I$6:$I$1110,"DO",'MA Engine'!$C$6:$C$1110,"RPA"))</f>
        <v>1007.9</v>
      </c>
      <c r="I35" s="13" t="n">
        <f aca="false">IF($G35="",0,SUMIFS('MA Engine'!$W$6:$W$1110,'MA Engine'!$J$6:$J$1110,$G35,'MA Engine'!$I$6:$I$1110,"DO",'MA Engine'!$C$6:$C$1110,"Trading"))</f>
        <v>0</v>
      </c>
      <c r="K35" s="7" t="n">
        <f aca="false">IF($G35="",0,SUMIFS('MA Engine'!$S$6:$S$1110,'MA Engine'!$J$6:$J$1110,$G35,'MA Engine'!$I$6:$I$1110,"DO",'MA Engine'!$C$6:$C$1110,"RPA"))</f>
        <v>28001320.2395379</v>
      </c>
      <c r="L35" s="7" t="n">
        <f aca="false">IF($G35="",0,SUMIFS('MA Engine'!$S$6:$S$1110,'MA Engine'!$J$6:$J$1110,$G35,'MA Engine'!$I$6:$I$1110,"DO",'MA Engine'!$C$6:$C$1110,"Trading"))</f>
        <v>0</v>
      </c>
      <c r="M35" s="12" t="s">
        <v>2370</v>
      </c>
    </row>
    <row r="36" customFormat="false" ht="15" hidden="false" customHeight="false" outlineLevel="0" collapsed="false">
      <c r="A36" s="91" t="n">
        <v>7</v>
      </c>
      <c r="B36" s="74" t="s">
        <v>2401</v>
      </c>
      <c r="C36" s="76" t="n">
        <v>46228</v>
      </c>
      <c r="D36" s="74" t="s">
        <v>289</v>
      </c>
      <c r="E36" s="8" t="n">
        <v>0</v>
      </c>
      <c r="F36" s="8" t="n">
        <v>108218805</v>
      </c>
      <c r="G36" s="74" t="s">
        <v>2232</v>
      </c>
      <c r="H36" s="13" t="n">
        <f aca="false">IF($G36="",0,SUMIFS('MA Engine'!$W$6:$W$1110,'MA Engine'!$J$6:$J$1110,$G36,'MA Engine'!$I$6:$I$1110,"DO",'MA Engine'!$C$6:$C$1110,"RPA"))</f>
        <v>0</v>
      </c>
      <c r="I36" s="13" t="n">
        <f aca="false">IF($G36="",0,SUMIFS('MA Engine'!$W$6:$W$1110,'MA Engine'!$J$6:$J$1110,$G36,'MA Engine'!$I$6:$I$1110,"DO",'MA Engine'!$C$6:$C$1110,"Trading"))</f>
        <v>2943.19</v>
      </c>
      <c r="K36" s="7" t="n">
        <f aca="false">IF($G36="",0,SUMIFS('MA Engine'!$S$6:$S$1110,'MA Engine'!$J$6:$J$1110,$G36,'MA Engine'!$I$6:$I$1110,"DO",'MA Engine'!$C$6:$C$1110,"RPA"))</f>
        <v>0</v>
      </c>
      <c r="L36" s="7" t="n">
        <f aca="false">IF($G36="",0,SUMIFS('MA Engine'!$S$6:$S$1110,'MA Engine'!$J$6:$J$1110,$G36,'MA Engine'!$I$6:$I$1110,"DO",'MA Engine'!$C$6:$C$1110,"Trading"))</f>
        <v>87672346.2708153</v>
      </c>
      <c r="M36" s="12" t="s">
        <v>2370</v>
      </c>
    </row>
    <row r="37" customFormat="false" ht="15" hidden="false" customHeight="false" outlineLevel="0" collapsed="false">
      <c r="A37" s="91" t="n">
        <v>7</v>
      </c>
      <c r="B37" s="74" t="s">
        <v>2402</v>
      </c>
      <c r="C37" s="76" t="n">
        <v>46228</v>
      </c>
      <c r="D37" s="74" t="s">
        <v>289</v>
      </c>
      <c r="E37" s="8" t="n">
        <v>0</v>
      </c>
      <c r="F37" s="8" t="n">
        <v>20244755</v>
      </c>
      <c r="G37" s="74" t="s">
        <v>2233</v>
      </c>
      <c r="H37" s="13" t="n">
        <f aca="false">IF($G37="",0,SUMIFS('MA Engine'!$W$6:$W$1110,'MA Engine'!$J$6:$J$1110,$G37,'MA Engine'!$I$6:$I$1110,"DO",'MA Engine'!$C$6:$C$1110,"RPA"))</f>
        <v>0</v>
      </c>
      <c r="I37" s="13" t="n">
        <f aca="false">IF($G37="",0,SUMIFS('MA Engine'!$W$6:$W$1110,'MA Engine'!$J$6:$J$1110,$G37,'MA Engine'!$I$6:$I$1110,"DO",'MA Engine'!$C$6:$C$1110,"Trading"))</f>
        <v>562.81</v>
      </c>
      <c r="K37" s="7" t="n">
        <f aca="false">IF($G37="",0,SUMIFS('MA Engine'!$S$6:$S$1110,'MA Engine'!$J$6:$J$1110,$G37,'MA Engine'!$I$6:$I$1110,"DO",'MA Engine'!$C$6:$C$1110,"RPA"))</f>
        <v>0</v>
      </c>
      <c r="L37" s="7" t="n">
        <f aca="false">IF($G37="",0,SUMIFS('MA Engine'!$S$6:$S$1110,'MA Engine'!$J$6:$J$1110,$G37,'MA Engine'!$I$6:$I$1110,"DO",'MA Engine'!$C$6:$C$1110,"Trading"))</f>
        <v>16251274.3427134</v>
      </c>
      <c r="M37" s="12" t="s">
        <v>2370</v>
      </c>
    </row>
    <row r="38" customFormat="false" ht="15" hidden="false" customHeight="false" outlineLevel="0" collapsed="false">
      <c r="A38" s="91" t="n">
        <v>7</v>
      </c>
      <c r="B38" s="74" t="s">
        <v>2403</v>
      </c>
      <c r="C38" s="76" t="n">
        <v>46230</v>
      </c>
      <c r="D38" s="74" t="s">
        <v>283</v>
      </c>
      <c r="E38" s="8" t="n">
        <v>0</v>
      </c>
      <c r="F38" s="8" t="n">
        <v>134051340</v>
      </c>
      <c r="G38" s="74" t="s">
        <v>2332</v>
      </c>
      <c r="H38" s="13" t="n">
        <f aca="false">IF($G38="",0,SUMIFS('MA Engine'!$W$6:$W$1110,'MA Engine'!$J$6:$J$1110,$G38,'MA Engine'!$I$6:$I$1110,"DO",'MA Engine'!$C$6:$C$1110,"RPA"))</f>
        <v>0</v>
      </c>
      <c r="I38" s="13" t="n">
        <f aca="false">IF($G38="",0,SUMIFS('MA Engine'!$W$6:$W$1110,'MA Engine'!$J$6:$J$1110,$G38,'MA Engine'!$I$6:$I$1110,"DO",'MA Engine'!$C$6:$C$1110,"Trading"))</f>
        <v>4622.46</v>
      </c>
      <c r="K38" s="7" t="n">
        <f aca="false">IF($G38="",0,SUMIFS('MA Engine'!$S$6:$S$1110,'MA Engine'!$J$6:$J$1110,$G38,'MA Engine'!$I$6:$I$1110,"DO",'MA Engine'!$C$6:$C$1110,"RPA"))</f>
        <v>0</v>
      </c>
      <c r="L38" s="7" t="n">
        <f aca="false">IF($G38="",0,SUMIFS('MA Engine'!$S$6:$S$1110,'MA Engine'!$J$6:$J$1110,$G38,'MA Engine'!$I$6:$I$1110,"DO",'MA Engine'!$C$6:$C$1110,"Trading"))</f>
        <v>106316580</v>
      </c>
      <c r="M38" s="12" t="s">
        <v>2370</v>
      </c>
    </row>
    <row r="39" customFormat="false" ht="15" hidden="false" customHeight="false" outlineLevel="0" collapsed="false">
      <c r="A39" s="91" t="n">
        <v>7</v>
      </c>
      <c r="B39" s="74" t="s">
        <v>2404</v>
      </c>
      <c r="C39" s="76" t="n">
        <v>46230</v>
      </c>
      <c r="D39" s="74" t="s">
        <v>295</v>
      </c>
      <c r="E39" s="8" t="n">
        <v>0</v>
      </c>
      <c r="F39" s="8" t="n">
        <v>117148590</v>
      </c>
      <c r="G39" s="74" t="s">
        <v>2235</v>
      </c>
      <c r="H39" s="13" t="n">
        <f aca="false">IF($G39="",0,SUMIFS('MA Engine'!$W$6:$W$1110,'MA Engine'!$J$6:$J$1110,$G39,'MA Engine'!$I$6:$I$1110,"DO",'MA Engine'!$C$6:$C$1110,"RPA"))</f>
        <v>0</v>
      </c>
      <c r="I39" s="13" t="n">
        <f aca="false">IF($G39="",0,SUMIFS('MA Engine'!$W$6:$W$1110,'MA Engine'!$J$6:$J$1110,$G39,'MA Engine'!$I$6:$I$1110,"DO",'MA Engine'!$C$6:$C$1110,"Trading"))</f>
        <v>3003.81</v>
      </c>
      <c r="K39" s="7" t="n">
        <f aca="false">IF($G39="",0,SUMIFS('MA Engine'!$S$6:$S$1110,'MA Engine'!$J$6:$J$1110,$G39,'MA Engine'!$I$6:$I$1110,"DO",'MA Engine'!$C$6:$C$1110,"RPA"))</f>
        <v>0</v>
      </c>
      <c r="L39" s="7" t="n">
        <f aca="false">IF($G39="",0,SUMIFS('MA Engine'!$S$6:$S$1110,'MA Engine'!$J$6:$J$1110,$G39,'MA Engine'!$I$6:$I$1110,"DO",'MA Engine'!$C$6:$C$1110,"Trading"))</f>
        <v>91988303.321155</v>
      </c>
      <c r="M39" s="12" t="s">
        <v>2370</v>
      </c>
    </row>
    <row r="40" customFormat="false" ht="15" hidden="false" customHeight="false" outlineLevel="0" collapsed="false">
      <c r="A40" s="91" t="n">
        <v>7</v>
      </c>
      <c r="B40" s="74" t="s">
        <v>2405</v>
      </c>
      <c r="C40" s="76" t="n">
        <v>46230</v>
      </c>
      <c r="D40" s="74" t="s">
        <v>295</v>
      </c>
      <c r="E40" s="8" t="n">
        <v>0</v>
      </c>
      <c r="F40" s="8" t="n">
        <v>39173940</v>
      </c>
      <c r="G40" s="74" t="s">
        <v>2234</v>
      </c>
      <c r="H40" s="13" t="n">
        <f aca="false">IF($G40="",0,SUMIFS('MA Engine'!$W$6:$W$1110,'MA Engine'!$J$6:$J$1110,$G40,'MA Engine'!$I$6:$I$1110,"DO",'MA Engine'!$C$6:$C$1110,"RPA"))</f>
        <v>0</v>
      </c>
      <c r="I40" s="13" t="n">
        <f aca="false">IF($G40="",0,SUMIFS('MA Engine'!$W$6:$W$1110,'MA Engine'!$J$6:$J$1110,$G40,'MA Engine'!$I$6:$I$1110,"DO",'MA Engine'!$C$6:$C$1110,"Trading"))</f>
        <v>1004.46</v>
      </c>
      <c r="K40" s="7" t="n">
        <f aca="false">IF($G40="",0,SUMIFS('MA Engine'!$S$6:$S$1110,'MA Engine'!$J$6:$J$1110,$G40,'MA Engine'!$I$6:$I$1110,"DO",'MA Engine'!$C$6:$C$1110,"RPA"))</f>
        <v>0</v>
      </c>
      <c r="L40" s="7" t="n">
        <f aca="false">IF($G40="",0,SUMIFS('MA Engine'!$S$6:$S$1110,'MA Engine'!$J$6:$J$1110,$G40,'MA Engine'!$I$6:$I$1110,"DO",'MA Engine'!$C$6:$C$1110,"Trading"))</f>
        <v>30760457.9364099</v>
      </c>
      <c r="M40" s="12" t="s">
        <v>2370</v>
      </c>
    </row>
    <row r="41" customFormat="false" ht="15" hidden="false" customHeight="false" outlineLevel="0" collapsed="false">
      <c r="A41" s="91" t="n">
        <v>7</v>
      </c>
      <c r="B41" s="74" t="s">
        <v>2406</v>
      </c>
      <c r="C41" s="76" t="n">
        <v>46231</v>
      </c>
      <c r="D41" s="74" t="s">
        <v>272</v>
      </c>
      <c r="E41" s="8" t="n">
        <v>14064300</v>
      </c>
      <c r="F41" s="8" t="n">
        <v>0</v>
      </c>
      <c r="G41" s="74" t="s">
        <v>2167</v>
      </c>
      <c r="H41" s="13" t="n">
        <f aca="false">IF($G41="",0,SUMIFS('MA Engine'!$W$6:$W$1110,'MA Engine'!$J$6:$J$1110,$G41,'MA Engine'!$I$6:$I$1110,"DO",'MA Engine'!$C$6:$C$1110,"RPA"))</f>
        <v>520.9</v>
      </c>
      <c r="I41" s="13" t="n">
        <f aca="false">IF($G41="",0,SUMIFS('MA Engine'!$W$6:$W$1110,'MA Engine'!$J$6:$J$1110,$G41,'MA Engine'!$I$6:$I$1110,"DO",'MA Engine'!$C$6:$C$1110,"Trading"))</f>
        <v>0</v>
      </c>
      <c r="K41" s="7" t="n">
        <f aca="false">IF($G41="",0,SUMIFS('MA Engine'!$S$6:$S$1110,'MA Engine'!$J$6:$J$1110,$G41,'MA Engine'!$I$6:$I$1110,"DO",'MA Engine'!$C$6:$C$1110,"RPA"))</f>
        <v>14471562.3700519</v>
      </c>
      <c r="L41" s="7" t="n">
        <f aca="false">IF($G41="",0,SUMIFS('MA Engine'!$S$6:$S$1110,'MA Engine'!$J$6:$J$1110,$G41,'MA Engine'!$I$6:$I$1110,"DO",'MA Engine'!$C$6:$C$1110,"Trading"))</f>
        <v>0</v>
      </c>
      <c r="M41" s="12" t="s">
        <v>2370</v>
      </c>
    </row>
    <row r="42" customFormat="false" ht="15" hidden="false" customHeight="false" outlineLevel="0" collapsed="false">
      <c r="A42" s="91" t="n">
        <v>7</v>
      </c>
      <c r="B42" s="74" t="s">
        <v>2407</v>
      </c>
      <c r="C42" s="76" t="n">
        <v>46231</v>
      </c>
      <c r="D42" s="74" t="s">
        <v>284</v>
      </c>
      <c r="E42" s="8" t="n">
        <v>0</v>
      </c>
      <c r="F42" s="8" t="n">
        <v>41473960</v>
      </c>
      <c r="G42" s="74" t="s">
        <v>2236</v>
      </c>
      <c r="H42" s="13" t="n">
        <f aca="false">IF($G42="",0,SUMIFS('MA Engine'!$W$6:$W$1110,'MA Engine'!$J$6:$J$1110,$G42,'MA Engine'!$I$6:$I$1110,"DO",'MA Engine'!$C$6:$C$1110,"RPA"))</f>
        <v>0</v>
      </c>
      <c r="I42" s="13" t="n">
        <f aca="false">IF($G42="",0,SUMIFS('MA Engine'!$W$6:$W$1110,'MA Engine'!$J$6:$J$1110,$G42,'MA Engine'!$I$6:$I$1110,"DO",'MA Engine'!$C$6:$C$1110,"Trading"))</f>
        <v>1011.56</v>
      </c>
      <c r="K42" s="7" t="n">
        <f aca="false">IF($G42="",0,SUMIFS('MA Engine'!$S$6:$S$1110,'MA Engine'!$J$6:$J$1110,$G42,'MA Engine'!$I$6:$I$1110,"DO",'MA Engine'!$C$6:$C$1110,"RPA"))</f>
        <v>0</v>
      </c>
      <c r="L42" s="7" t="n">
        <f aca="false">IF($G42="",0,SUMIFS('MA Engine'!$S$6:$S$1110,'MA Engine'!$J$6:$J$1110,$G42,'MA Engine'!$I$6:$I$1110,"DO",'MA Engine'!$C$6:$C$1110,"Trading"))</f>
        <v>30977887.4521183</v>
      </c>
      <c r="M42" s="12" t="s">
        <v>2370</v>
      </c>
    </row>
    <row r="43" customFormat="false" ht="15" hidden="false" customHeight="false" outlineLevel="0" collapsed="false">
      <c r="A43" s="91" t="n">
        <v>7</v>
      </c>
      <c r="B43" s="74" t="s">
        <v>2408</v>
      </c>
      <c r="C43" s="76" t="n">
        <v>46231</v>
      </c>
      <c r="D43" s="74" t="s">
        <v>283</v>
      </c>
      <c r="E43" s="8" t="n">
        <v>77766980</v>
      </c>
      <c r="F43" s="8" t="n">
        <v>60828660</v>
      </c>
      <c r="G43" s="74" t="s">
        <v>2142</v>
      </c>
      <c r="H43" s="13" t="n">
        <f aca="false">IF($G43="",0,SUMIFS('MA Engine'!$W$6:$W$1110,'MA Engine'!$J$6:$J$1110,$G43,'MA Engine'!$I$6:$I$1110,"DO",'MA Engine'!$C$6:$C$1110,"RPA"))</f>
        <v>2681.62</v>
      </c>
      <c r="I43" s="13" t="n">
        <f aca="false">IF($G43="",0,SUMIFS('MA Engine'!$W$6:$W$1110,'MA Engine'!$J$6:$J$1110,$G43,'MA Engine'!$I$6:$I$1110,"DO",'MA Engine'!$C$6:$C$1110,"Trading"))</f>
        <v>2097.54</v>
      </c>
      <c r="K43" s="7" t="n">
        <f aca="false">IF($G43="",0,SUMIFS('MA Engine'!$S$6:$S$1110,'MA Engine'!$J$6:$J$1110,$G43,'MA Engine'!$I$6:$I$1110,"DO",'MA Engine'!$C$6:$C$1110,"RPA"))</f>
        <v>66640740.0001636</v>
      </c>
      <c r="L43" s="7" t="n">
        <f aca="false">IF($G43="",0,SUMIFS('MA Engine'!$S$6:$S$1110,'MA Engine'!$J$6:$J$1110,$G43,'MA Engine'!$I$6:$I$1110,"DO",'MA Engine'!$C$6:$C$1110,"Trading"))</f>
        <v>51175707.0420521</v>
      </c>
      <c r="M43" s="12" t="s">
        <v>2370</v>
      </c>
    </row>
    <row r="44" customFormat="false" ht="15" hidden="false" customHeight="false" outlineLevel="0" collapsed="false">
      <c r="A44" s="91" t="n">
        <v>7</v>
      </c>
      <c r="B44" s="74" t="s">
        <v>2409</v>
      </c>
      <c r="C44" s="76" t="n">
        <v>46231</v>
      </c>
      <c r="D44" s="74" t="s">
        <v>298</v>
      </c>
      <c r="E44" s="8" t="n">
        <v>19145970</v>
      </c>
      <c r="F44" s="8" t="n">
        <v>0</v>
      </c>
      <c r="G44" s="74" t="s">
        <v>2120</v>
      </c>
      <c r="H44" s="13" t="n">
        <f aca="false">IF($G44="",0,SUMIFS('MA Engine'!$W$6:$W$1110,'MA Engine'!$J$6:$J$1110,$G44,'MA Engine'!$I$6:$I$1110,"DO",'MA Engine'!$C$6:$C$1110,"RPA"))</f>
        <v>709.11</v>
      </c>
      <c r="I44" s="13" t="n">
        <f aca="false">IF($G44="",0,SUMIFS('MA Engine'!$W$6:$W$1110,'MA Engine'!$J$6:$J$1110,$G44,'MA Engine'!$I$6:$I$1110,"DO",'MA Engine'!$C$6:$C$1110,"Trading"))</f>
        <v>0</v>
      </c>
      <c r="K44" s="7" t="n">
        <f aca="false">IF($G44="",0,SUMIFS('MA Engine'!$S$6:$S$1110,'MA Engine'!$J$6:$J$1110,$G44,'MA Engine'!$I$6:$I$1110,"DO",'MA Engine'!$C$6:$C$1110,"RPA"))</f>
        <v>20533690.2105629</v>
      </c>
      <c r="L44" s="7" t="n">
        <f aca="false">IF($G44="",0,SUMIFS('MA Engine'!$S$6:$S$1110,'MA Engine'!$J$6:$J$1110,$G44,'MA Engine'!$I$6:$I$1110,"DO",'MA Engine'!$C$6:$C$1110,"Trading"))</f>
        <v>0</v>
      </c>
      <c r="M44" s="12" t="s">
        <v>2370</v>
      </c>
    </row>
    <row r="45" customFormat="false" ht="15" hidden="false" customHeight="false" outlineLevel="0" collapsed="false">
      <c r="A45" s="91" t="n">
        <v>7</v>
      </c>
      <c r="B45" s="74" t="s">
        <v>2410</v>
      </c>
      <c r="C45" s="76" t="n">
        <v>46232</v>
      </c>
      <c r="D45" s="74" t="s">
        <v>278</v>
      </c>
      <c r="E45" s="8" t="n">
        <v>0</v>
      </c>
      <c r="F45" s="8" t="n">
        <v>80302600</v>
      </c>
      <c r="G45" s="74" t="s">
        <v>2237</v>
      </c>
      <c r="H45" s="13" t="n">
        <f aca="false">IF($G45="",0,SUMIFS('MA Engine'!$W$6:$W$1110,'MA Engine'!$J$6:$J$1110,$G45,'MA Engine'!$I$6:$I$1110,"DO",'MA Engine'!$C$6:$C$1110,"RPA"))</f>
        <v>0</v>
      </c>
      <c r="I45" s="13" t="n">
        <f aca="false">IF($G45="",0,SUMIFS('MA Engine'!$W$6:$W$1110,'MA Engine'!$J$6:$J$1110,$G45,'MA Engine'!$I$6:$I$1110,"DO",'MA Engine'!$C$6:$C$1110,"Trading"))</f>
        <v>1958.6</v>
      </c>
      <c r="K45" s="7" t="n">
        <f aca="false">IF($G45="",0,SUMIFS('MA Engine'!$S$6:$S$1110,'MA Engine'!$J$6:$J$1110,$G45,'MA Engine'!$I$6:$I$1110,"DO",'MA Engine'!$C$6:$C$1110,"RPA"))</f>
        <v>0</v>
      </c>
      <c r="L45" s="7" t="n">
        <f aca="false">IF($G45="",0,SUMIFS('MA Engine'!$S$6:$S$1110,'MA Engine'!$J$6:$J$1110,$G45,'MA Engine'!$I$6:$I$1110,"DO",'MA Engine'!$C$6:$C$1110,"Trading"))</f>
        <v>59979922.4600804</v>
      </c>
      <c r="M45" s="12" t="s">
        <v>2370</v>
      </c>
    </row>
    <row r="46" customFormat="false" ht="15" hidden="false" customHeight="false" outlineLevel="0" collapsed="false">
      <c r="A46" s="91" t="n">
        <v>7</v>
      </c>
      <c r="B46" s="74" t="s">
        <v>2411</v>
      </c>
      <c r="C46" s="76" t="n">
        <v>46232</v>
      </c>
      <c r="D46" s="74" t="s">
        <v>291</v>
      </c>
      <c r="E46" s="8" t="n">
        <v>0</v>
      </c>
      <c r="F46" s="8" t="n">
        <v>20654570</v>
      </c>
      <c r="G46" s="74" t="s">
        <v>2240</v>
      </c>
      <c r="H46" s="13" t="n">
        <f aca="false">IF($G46="",0,SUMIFS('MA Engine'!$W$6:$W$1110,'MA Engine'!$J$6:$J$1110,$G46,'MA Engine'!$I$6:$I$1110,"DO",'MA Engine'!$C$6:$C$1110,"RPA"))</f>
        <v>0</v>
      </c>
      <c r="I46" s="13" t="n">
        <f aca="false">IF($G46="",0,SUMIFS('MA Engine'!$W$6:$W$1110,'MA Engine'!$J$6:$J$1110,$G46,'MA Engine'!$I$6:$I$1110,"DO",'MA Engine'!$C$6:$C$1110,"Trading"))</f>
        <v>503.77</v>
      </c>
      <c r="K46" s="7" t="n">
        <f aca="false">IF($G46="",0,SUMIFS('MA Engine'!$S$6:$S$1110,'MA Engine'!$J$6:$J$1110,$G46,'MA Engine'!$I$6:$I$1110,"DO",'MA Engine'!$C$6:$C$1110,"RPA"))</f>
        <v>0</v>
      </c>
      <c r="L46" s="7" t="n">
        <f aca="false">IF($G46="",0,SUMIFS('MA Engine'!$S$6:$S$1110,'MA Engine'!$J$6:$J$1110,$G46,'MA Engine'!$I$6:$I$1110,"DO",'MA Engine'!$C$6:$C$1110,"Trading"))</f>
        <v>15427389.7364009</v>
      </c>
      <c r="M46" s="12" t="s">
        <v>2370</v>
      </c>
    </row>
    <row r="47" customFormat="false" ht="15" hidden="false" customHeight="false" outlineLevel="0" collapsed="false">
      <c r="A47" s="91" t="n">
        <v>7</v>
      </c>
      <c r="B47" s="74" t="s">
        <v>2412</v>
      </c>
      <c r="C47" s="76" t="n">
        <v>46232</v>
      </c>
      <c r="D47" s="74" t="s">
        <v>284</v>
      </c>
      <c r="E47" s="8" t="n">
        <v>0</v>
      </c>
      <c r="F47" s="8" t="n">
        <v>27418020</v>
      </c>
      <c r="G47" s="74" t="s">
        <v>2238</v>
      </c>
      <c r="H47" s="13" t="n">
        <f aca="false">IF($G47="",0,SUMIFS('MA Engine'!$W$6:$W$1110,'MA Engine'!$J$6:$J$1110,$G47,'MA Engine'!$I$6:$I$1110,"DO",'MA Engine'!$C$6:$C$1110,"RPA"))</f>
        <v>0</v>
      </c>
      <c r="I47" s="13" t="n">
        <f aca="false">IF($G47="",0,SUMIFS('MA Engine'!$W$6:$W$1110,'MA Engine'!$J$6:$J$1110,$G47,'MA Engine'!$I$6:$I$1110,"DO",'MA Engine'!$C$6:$C$1110,"Trading"))</f>
        <v>672.62</v>
      </c>
      <c r="K47" s="7" t="n">
        <f aca="false">IF($G47="",0,SUMIFS('MA Engine'!$S$6:$S$1110,'MA Engine'!$J$6:$J$1110,$G47,'MA Engine'!$I$6:$I$1110,"DO",'MA Engine'!$C$6:$C$1110,"RPA"))</f>
        <v>0</v>
      </c>
      <c r="L47" s="7" t="n">
        <f aca="false">IF($G47="",0,SUMIFS('MA Engine'!$S$6:$S$1110,'MA Engine'!$J$6:$J$1110,$G47,'MA Engine'!$I$6:$I$1110,"DO",'MA Engine'!$C$6:$C$1110,"Trading"))</f>
        <v>20233672.1822856</v>
      </c>
      <c r="M47" s="12" t="s">
        <v>2370</v>
      </c>
    </row>
    <row r="48" customFormat="false" ht="15" hidden="false" customHeight="false" outlineLevel="0" collapsed="false">
      <c r="A48" s="91" t="n">
        <v>7</v>
      </c>
      <c r="B48" s="74" t="s">
        <v>2413</v>
      </c>
      <c r="C48" s="76" t="n">
        <v>46232</v>
      </c>
      <c r="D48" s="74" t="s">
        <v>269</v>
      </c>
      <c r="E48" s="8" t="n">
        <v>0</v>
      </c>
      <c r="F48" s="8" t="n">
        <v>183187190</v>
      </c>
      <c r="G48" s="74" t="s">
        <v>2239</v>
      </c>
      <c r="H48" s="13" t="n">
        <f aca="false">IF($G48="",0,SUMIFS('MA Engine'!$W$6:$W$1110,'MA Engine'!$J$6:$J$1110,$G48,'MA Engine'!$I$6:$I$1110,"DO",'MA Engine'!$C$6:$C$1110,"RPA"))</f>
        <v>0</v>
      </c>
      <c r="I48" s="13" t="n">
        <f aca="false">IF($G48="",0,SUMIFS('MA Engine'!$W$6:$W$1110,'MA Engine'!$J$6:$J$1110,$G48,'MA Engine'!$I$6:$I$1110,"DO",'MA Engine'!$C$6:$C$1110,"Trading"))</f>
        <v>4507.01</v>
      </c>
      <c r="K48" s="7" t="n">
        <f aca="false">IF($G48="",0,SUMIFS('MA Engine'!$S$6:$S$1110,'MA Engine'!$J$6:$J$1110,$G48,'MA Engine'!$I$6:$I$1110,"DO",'MA Engine'!$C$6:$C$1110,"RPA"))</f>
        <v>0</v>
      </c>
      <c r="L48" s="7" t="n">
        <f aca="false">IF($G48="",0,SUMIFS('MA Engine'!$S$6:$S$1110,'MA Engine'!$J$6:$J$1110,$G48,'MA Engine'!$I$6:$I$1110,"DO",'MA Engine'!$C$6:$C$1110,"Trading"))</f>
        <v>134362298.084687</v>
      </c>
      <c r="M48" s="12" t="s">
        <v>2370</v>
      </c>
    </row>
    <row r="49" customFormat="false" ht="15" hidden="false" customHeight="false" outlineLevel="0" collapsed="false">
      <c r="A49" s="91" t="n">
        <v>7</v>
      </c>
      <c r="B49" s="74" t="s">
        <v>2414</v>
      </c>
      <c r="C49" s="76" t="n">
        <v>46233</v>
      </c>
      <c r="D49" s="74" t="s">
        <v>278</v>
      </c>
      <c r="E49" s="8" t="n">
        <v>46002000</v>
      </c>
      <c r="F49" s="8" t="n">
        <v>36256710</v>
      </c>
      <c r="G49" s="74" t="s">
        <v>2122</v>
      </c>
      <c r="H49" s="13" t="n">
        <f aca="false">IF($G49="",0,SUMIFS('MA Engine'!$W$6:$W$1110,'MA Engine'!$J$6:$J$1110,$G49,'MA Engine'!$I$6:$I$1110,"DO",'MA Engine'!$C$6:$C$1110,"RPA"))</f>
        <v>1122</v>
      </c>
      <c r="I49" s="13" t="n">
        <f aca="false">IF($G49="",0,SUMIFS('MA Engine'!$W$6:$W$1110,'MA Engine'!$J$6:$J$1110,$G49,'MA Engine'!$I$6:$I$1110,"DO",'MA Engine'!$C$6:$C$1110,"Trading"))</f>
        <v>884.31</v>
      </c>
      <c r="K49" s="7" t="n">
        <f aca="false">IF($G49="",0,SUMIFS('MA Engine'!$S$6:$S$1110,'MA Engine'!$J$6:$J$1110,$G49,'MA Engine'!$I$6:$I$1110,"DO",'MA Engine'!$C$6:$C$1110,"RPA"))</f>
        <v>39506955.3567586</v>
      </c>
      <c r="L49" s="7" t="n">
        <f aca="false">IF($G49="",0,SUMIFS('MA Engine'!$S$6:$S$1110,'MA Engine'!$J$6:$J$1110,$G49,'MA Engine'!$I$6:$I$1110,"DO",'MA Engine'!$C$6:$C$1110,"Trading"))</f>
        <v>27080999.3008648</v>
      </c>
      <c r="M49" s="12" t="s">
        <v>2370</v>
      </c>
    </row>
    <row r="50" customFormat="false" ht="15" hidden="false" customHeight="false" outlineLevel="0" collapsed="false">
      <c r="A50" s="91" t="n">
        <v>7</v>
      </c>
      <c r="B50" s="74" t="s">
        <v>2415</v>
      </c>
      <c r="C50" s="76" t="n">
        <v>46233</v>
      </c>
      <c r="D50" s="74" t="s">
        <v>284</v>
      </c>
      <c r="E50" s="8" t="n">
        <v>0</v>
      </c>
      <c r="F50" s="8" t="n">
        <v>41966070</v>
      </c>
      <c r="G50" s="74" t="s">
        <v>2241</v>
      </c>
      <c r="H50" s="13" t="n">
        <f aca="false">IF($G50="",0,SUMIFS('MA Engine'!$W$6:$W$1110,'MA Engine'!$J$6:$J$1110,$G50,'MA Engine'!$I$6:$I$1110,"DO",'MA Engine'!$C$6:$C$1110,"RPA"))</f>
        <v>0</v>
      </c>
      <c r="I50" s="13" t="n">
        <f aca="false">IF($G50="",0,SUMIFS('MA Engine'!$W$6:$W$1110,'MA Engine'!$J$6:$J$1110,$G50,'MA Engine'!$I$6:$I$1110,"DO",'MA Engine'!$C$6:$C$1110,"Trading"))</f>
        <v>1026.65</v>
      </c>
      <c r="K50" s="7" t="n">
        <f aca="false">IF($G50="",0,SUMIFS('MA Engine'!$S$6:$S$1110,'MA Engine'!$J$6:$J$1110,$G50,'MA Engine'!$I$6:$I$1110,"DO",'MA Engine'!$C$6:$C$1110,"RPA"))</f>
        <v>0</v>
      </c>
      <c r="L50" s="7" t="n">
        <f aca="false">IF($G50="",0,SUMIFS('MA Engine'!$S$6:$S$1110,'MA Engine'!$J$6:$J$1110,$G50,'MA Engine'!$I$6:$I$1110,"DO",'MA Engine'!$C$6:$C$1110,"Trading"))</f>
        <v>31150504.4389538</v>
      </c>
      <c r="M50" s="12" t="s">
        <v>2370</v>
      </c>
    </row>
    <row r="51" customFormat="false" ht="15" hidden="false" customHeight="false" outlineLevel="0" collapsed="false">
      <c r="A51" s="91" t="n">
        <v>7</v>
      </c>
      <c r="B51" s="74" t="s">
        <v>2416</v>
      </c>
      <c r="C51" s="76" t="n">
        <v>46233</v>
      </c>
      <c r="D51" s="74" t="s">
        <v>301</v>
      </c>
      <c r="E51" s="8" t="n">
        <v>0</v>
      </c>
      <c r="F51" s="8" t="n">
        <v>12828900</v>
      </c>
      <c r="G51" s="74" t="s">
        <v>2242</v>
      </c>
      <c r="H51" s="13" t="n">
        <f aca="false">IF($G51="",0,SUMIFS('MA Engine'!$W$6:$W$1110,'MA Engine'!$J$6:$J$1110,$G51,'MA Engine'!$I$6:$I$1110,"DO",'MA Engine'!$C$6:$C$1110,"RPA"))</f>
        <v>0</v>
      </c>
      <c r="I51" s="13" t="n">
        <f aca="false">IF($G51="",0,SUMIFS('MA Engine'!$W$6:$W$1110,'MA Engine'!$J$6:$J$1110,$G51,'MA Engine'!$I$6:$I$1110,"DO",'MA Engine'!$C$6:$C$1110,"Trading"))</f>
        <v>312.9</v>
      </c>
      <c r="K51" s="7" t="n">
        <f aca="false">IF($G51="",0,SUMIFS('MA Engine'!$S$6:$S$1110,'MA Engine'!$J$6:$J$1110,$G51,'MA Engine'!$I$6:$I$1110,"DO",'MA Engine'!$C$6:$C$1110,"RPA"))</f>
        <v>0</v>
      </c>
      <c r="L51" s="7" t="n">
        <f aca="false">IF($G51="",0,SUMIFS('MA Engine'!$S$6:$S$1110,'MA Engine'!$J$6:$J$1110,$G51,'MA Engine'!$I$6:$I$1110,"DO",'MA Engine'!$C$6:$C$1110,"Trading"))</f>
        <v>9582210.62889776</v>
      </c>
      <c r="M51" s="12" t="s">
        <v>2370</v>
      </c>
    </row>
    <row r="52" customFormat="false" ht="15" hidden="false" customHeight="false" outlineLevel="0" collapsed="false">
      <c r="A52" s="91" t="n">
        <v>7</v>
      </c>
      <c r="B52" s="74" t="s">
        <v>2417</v>
      </c>
      <c r="C52" s="76" t="n">
        <v>46233</v>
      </c>
      <c r="D52" s="74" t="s">
        <v>303</v>
      </c>
      <c r="E52" s="8" t="n">
        <v>0</v>
      </c>
      <c r="F52" s="8" t="n">
        <v>1000008.2</v>
      </c>
      <c r="G52" s="74" t="s">
        <v>2280</v>
      </c>
      <c r="H52" s="13" t="n">
        <f aca="false">IF($G52="",0,SUMIFS('MA Engine'!$W$6:$W$1110,'MA Engine'!$J$6:$J$1110,$G52,'MA Engine'!$I$6:$I$1110,"DO",'MA Engine'!$C$6:$C$1110,"RPA"))</f>
        <v>0</v>
      </c>
      <c r="I52" s="13" t="n">
        <f aca="false">IF($G52="",0,SUMIFS('MA Engine'!$W$6:$W$1110,'MA Engine'!$J$6:$J$1110,$G52,'MA Engine'!$I$6:$I$1110,"DO",'MA Engine'!$C$6:$C$1110,"Trading"))</f>
        <v>31.7</v>
      </c>
      <c r="K52" s="7" t="n">
        <f aca="false">IF($G52="",0,SUMIFS('MA Engine'!$S$6:$S$1110,'MA Engine'!$J$6:$J$1110,$G52,'MA Engine'!$I$6:$I$1110,"DO",'MA Engine'!$C$6:$C$1110,"RPA"))</f>
        <v>0</v>
      </c>
      <c r="L52" s="7" t="n">
        <f aca="false">IF($G52="",0,SUMIFS('MA Engine'!$S$6:$S$1110,'MA Engine'!$J$6:$J$1110,$G52,'MA Engine'!$I$6:$I$1110,"DO",'MA Engine'!$C$6:$C$1110,"Trading"))</f>
        <v>898276.739553331</v>
      </c>
      <c r="M52" s="12" t="s">
        <v>2370</v>
      </c>
    </row>
    <row r="53" customFormat="false" ht="15" hidden="false" customHeight="false" outlineLevel="0" collapsed="false">
      <c r="A53" s="91" t="n">
        <v>7</v>
      </c>
      <c r="B53" s="74" t="s">
        <v>2418</v>
      </c>
      <c r="C53" s="76" t="n">
        <v>46233</v>
      </c>
      <c r="D53" s="74" t="s">
        <v>278</v>
      </c>
      <c r="E53" s="8" t="n">
        <v>0</v>
      </c>
      <c r="F53" s="8" t="n">
        <v>135915000</v>
      </c>
      <c r="G53" s="74" t="s">
        <v>2243</v>
      </c>
      <c r="H53" s="13" t="n">
        <f aca="false">IF($G53="",0,SUMIFS('MA Engine'!$W$6:$W$1110,'MA Engine'!$J$6:$J$1110,$G53,'MA Engine'!$I$6:$I$1110,"DO",'MA Engine'!$C$6:$C$1110,"RPA"))</f>
        <v>0</v>
      </c>
      <c r="I53" s="13" t="n">
        <f aca="false">IF($G53="",0,SUMIFS('MA Engine'!$W$6:$W$1110,'MA Engine'!$J$6:$J$1110,$G53,'MA Engine'!$I$6:$I$1110,"DO",'MA Engine'!$C$6:$C$1110,"Trading"))</f>
        <v>3315</v>
      </c>
      <c r="K53" s="7" t="n">
        <f aca="false">IF($G53="",0,SUMIFS('MA Engine'!$S$6:$S$1110,'MA Engine'!$J$6:$J$1110,$G53,'MA Engine'!$I$6:$I$1110,"DO",'MA Engine'!$C$6:$C$1110,"RPA"))</f>
        <v>0</v>
      </c>
      <c r="L53" s="7" t="n">
        <f aca="false">IF($G53="",0,SUMIFS('MA Engine'!$S$6:$S$1110,'MA Engine'!$J$6:$J$1110,$G53,'MA Engine'!$I$6:$I$1110,"DO",'MA Engine'!$C$6:$C$1110,"Trading"))</f>
        <v>101518147.12303</v>
      </c>
      <c r="M53" s="12" t="s">
        <v>2370</v>
      </c>
    </row>
    <row r="54" customFormat="false" ht="15" hidden="false" customHeight="false" outlineLevel="0" collapsed="false">
      <c r="A54" s="91" t="n">
        <v>7</v>
      </c>
      <c r="B54" s="74" t="s">
        <v>2419</v>
      </c>
      <c r="C54" s="76" t="n">
        <v>46233</v>
      </c>
      <c r="D54" s="74" t="s">
        <v>277</v>
      </c>
      <c r="E54" s="8" t="n">
        <v>0</v>
      </c>
      <c r="F54" s="8" t="n">
        <v>7233220</v>
      </c>
      <c r="G54" s="74" t="s">
        <v>2244</v>
      </c>
      <c r="H54" s="13" t="n">
        <f aca="false">IF($G54="",0,SUMIFS('MA Engine'!$W$6:$W$1110,'MA Engine'!$J$6:$J$1110,$G54,'MA Engine'!$I$6:$I$1110,"DO",'MA Engine'!$C$6:$C$1110,"RPA"))</f>
        <v>0</v>
      </c>
      <c r="I54" s="13" t="n">
        <f aca="false">IF($G54="",0,SUMIFS('MA Engine'!$W$6:$W$1110,'MA Engine'!$J$6:$J$1110,$G54,'MA Engine'!$I$6:$I$1110,"DO",'MA Engine'!$C$6:$C$1110,"Trading"))</f>
        <v>176.42</v>
      </c>
      <c r="K54" s="7" t="n">
        <f aca="false">IF($G54="",0,SUMIFS('MA Engine'!$S$6:$S$1110,'MA Engine'!$J$6:$J$1110,$G54,'MA Engine'!$I$6:$I$1110,"DO",'MA Engine'!$C$6:$C$1110,"RPA"))</f>
        <v>0</v>
      </c>
      <c r="L54" s="7" t="n">
        <f aca="false">IF($G54="",0,SUMIFS('MA Engine'!$S$6:$S$1110,'MA Engine'!$J$6:$J$1110,$G54,'MA Engine'!$I$6:$I$1110,"DO",'MA Engine'!$C$6:$C$1110,"Trading"))</f>
        <v>5402664.10722321</v>
      </c>
      <c r="M54" s="12" t="s">
        <v>2370</v>
      </c>
    </row>
    <row r="55" customFormat="false" ht="15" hidden="false" customHeight="false" outlineLevel="0" collapsed="false">
      <c r="A55" s="91" t="n">
        <v>7</v>
      </c>
      <c r="B55" s="74" t="s">
        <v>2420</v>
      </c>
      <c r="C55" s="76" t="n">
        <v>46233</v>
      </c>
      <c r="D55" s="74" t="s">
        <v>290</v>
      </c>
      <c r="E55" s="8" t="n">
        <v>0</v>
      </c>
      <c r="F55" s="8" t="n">
        <v>17136360</v>
      </c>
      <c r="G55" s="74" t="s">
        <v>2248</v>
      </c>
      <c r="H55" s="13" t="n">
        <f aca="false">IF($G55="",0,SUMIFS('MA Engine'!$W$6:$W$1110,'MA Engine'!$J$6:$J$1110,$G55,'MA Engine'!$I$6:$I$1110,"DO",'MA Engine'!$C$6:$C$1110,"RPA"))</f>
        <v>0</v>
      </c>
      <c r="I55" s="13" t="n">
        <f aca="false">IF($G55="",0,SUMIFS('MA Engine'!$W$6:$W$1110,'MA Engine'!$J$6:$J$1110,$G55,'MA Engine'!$I$6:$I$1110,"DO",'MA Engine'!$C$6:$C$1110,"Trading"))</f>
        <v>417.96</v>
      </c>
      <c r="K55" s="7" t="n">
        <f aca="false">IF($G55="",0,SUMIFS('MA Engine'!$S$6:$S$1110,'MA Engine'!$J$6:$J$1110,$G55,'MA Engine'!$I$6:$I$1110,"DO",'MA Engine'!$C$6:$C$1110,"RPA"))</f>
        <v>0</v>
      </c>
      <c r="L55" s="7" t="n">
        <f aca="false">IF($G55="",0,SUMIFS('MA Engine'!$S$6:$S$1110,'MA Engine'!$J$6:$J$1110,$G55,'MA Engine'!$I$6:$I$1110,"DO",'MA Engine'!$C$6:$C$1110,"Trading"))</f>
        <v>12799554.9838738</v>
      </c>
      <c r="M55" s="12" t="s">
        <v>2370</v>
      </c>
    </row>
    <row r="56" customFormat="false" ht="15" hidden="false" customHeight="false" outlineLevel="0" collapsed="false">
      <c r="A56" s="91" t="n">
        <v>7</v>
      </c>
      <c r="B56" s="74" t="s">
        <v>2421</v>
      </c>
      <c r="C56" s="76" t="n">
        <v>46233</v>
      </c>
      <c r="D56" s="74" t="s">
        <v>297</v>
      </c>
      <c r="E56" s="8" t="n">
        <v>0</v>
      </c>
      <c r="F56" s="8" t="n">
        <v>82234110</v>
      </c>
      <c r="G56" s="74" t="s">
        <v>2245</v>
      </c>
      <c r="H56" s="13" t="n">
        <f aca="false">IF($G56="",0,SUMIFS('MA Engine'!$W$6:$W$1110,'MA Engine'!$J$6:$J$1110,$G56,'MA Engine'!$I$6:$I$1110,"DO",'MA Engine'!$C$6:$C$1110,"RPA"))</f>
        <v>0</v>
      </c>
      <c r="I56" s="13" t="n">
        <f aca="false">IF($G56="",0,SUMIFS('MA Engine'!$W$6:$W$1110,'MA Engine'!$J$6:$J$1110,$G56,'MA Engine'!$I$6:$I$1110,"DO",'MA Engine'!$C$6:$C$1110,"Trading"))</f>
        <v>2005.71</v>
      </c>
      <c r="K56" s="7" t="n">
        <f aca="false">IF($G56="",0,SUMIFS('MA Engine'!$S$6:$S$1110,'MA Engine'!$J$6:$J$1110,$G56,'MA Engine'!$I$6:$I$1110,"DO",'MA Engine'!$C$6:$C$1110,"RPA"))</f>
        <v>0</v>
      </c>
      <c r="L56" s="7" t="n">
        <f aca="false">IF($G56="",0,SUMIFS('MA Engine'!$S$6:$S$1110,'MA Engine'!$J$6:$J$1110,$G56,'MA Engine'!$I$6:$I$1110,"DO",'MA Engine'!$C$6:$C$1110,"Trading"))</f>
        <v>61422613.2326192</v>
      </c>
      <c r="M56" s="12" t="s">
        <v>2370</v>
      </c>
    </row>
    <row r="57" customFormat="false" ht="15" hidden="false" customHeight="false" outlineLevel="0" collapsed="false">
      <c r="A57" s="91" t="n">
        <v>7</v>
      </c>
      <c r="B57" s="74" t="s">
        <v>2422</v>
      </c>
      <c r="C57" s="76" t="n">
        <v>46233</v>
      </c>
      <c r="D57" s="74" t="s">
        <v>283</v>
      </c>
      <c r="E57" s="8" t="n">
        <v>0</v>
      </c>
      <c r="F57" s="8" t="n">
        <v>21419150</v>
      </c>
      <c r="G57" s="74" t="s">
        <v>2246</v>
      </c>
      <c r="H57" s="13" t="n">
        <f aca="false">IF($G57="",0,SUMIFS('MA Engine'!$W$6:$W$1110,'MA Engine'!$J$6:$J$1110,$G57,'MA Engine'!$I$6:$I$1110,"DO",'MA Engine'!$C$6:$C$1110,"RPA"))</f>
        <v>0</v>
      </c>
      <c r="I57" s="13" t="n">
        <f aca="false">IF($G57="",0,SUMIFS('MA Engine'!$W$6:$W$1110,'MA Engine'!$J$6:$J$1110,$G57,'MA Engine'!$I$6:$I$1110,"DO",'MA Engine'!$C$6:$C$1110,"Trading"))</f>
        <v>503.98</v>
      </c>
      <c r="K57" s="7" t="n">
        <f aca="false">IF($G57="",0,SUMIFS('MA Engine'!$S$6:$S$1110,'MA Engine'!$J$6:$J$1110,$G57,'MA Engine'!$I$6:$I$1110,"DO",'MA Engine'!$C$6:$C$1110,"RPA"))</f>
        <v>0</v>
      </c>
      <c r="L57" s="7" t="n">
        <f aca="false">IF($G57="",0,SUMIFS('MA Engine'!$S$6:$S$1110,'MA Engine'!$J$6:$J$1110,$G57,'MA Engine'!$I$6:$I$1110,"DO",'MA Engine'!$C$6:$C$1110,"Trading"))</f>
        <v>15433820.7502457</v>
      </c>
      <c r="M57" s="12" t="s">
        <v>2370</v>
      </c>
    </row>
    <row r="58" customFormat="false" ht="15" hidden="false" customHeight="false" outlineLevel="0" collapsed="false">
      <c r="A58" s="91" t="n">
        <v>7</v>
      </c>
      <c r="B58" s="74" t="s">
        <v>2423</v>
      </c>
      <c r="C58" s="76" t="n">
        <v>46233</v>
      </c>
      <c r="D58" s="74" t="s">
        <v>283</v>
      </c>
      <c r="E58" s="8" t="n">
        <v>16738800</v>
      </c>
      <c r="F58" s="8" t="n">
        <v>0</v>
      </c>
      <c r="G58" s="74" t="s">
        <v>2143</v>
      </c>
      <c r="H58" s="13" t="n">
        <f aca="false">IF($G58="",0,SUMIFS('MA Engine'!$W$6:$W$1110,'MA Engine'!$J$6:$J$1110,$G58,'MA Engine'!$I$6:$I$1110,"DO",'MA Engine'!$C$6:$C$1110,"RPA"))</f>
        <v>557.96</v>
      </c>
      <c r="I58" s="13" t="n">
        <f aca="false">IF($G58="",0,SUMIFS('MA Engine'!$W$6:$W$1110,'MA Engine'!$J$6:$J$1110,$G58,'MA Engine'!$I$6:$I$1110,"DO",'MA Engine'!$C$6:$C$1110,"Trading"))</f>
        <v>0</v>
      </c>
      <c r="K58" s="7" t="n">
        <f aca="false">IF($G58="",0,SUMIFS('MA Engine'!$S$6:$S$1110,'MA Engine'!$J$6:$J$1110,$G58,'MA Engine'!$I$6:$I$1110,"DO",'MA Engine'!$C$6:$C$1110,"RPA"))</f>
        <v>14204569.899294</v>
      </c>
      <c r="L58" s="7" t="n">
        <f aca="false">IF($G58="",0,SUMIFS('MA Engine'!$S$6:$S$1110,'MA Engine'!$J$6:$J$1110,$G58,'MA Engine'!$I$6:$I$1110,"DO",'MA Engine'!$C$6:$C$1110,"Trading"))</f>
        <v>0</v>
      </c>
      <c r="M58" s="12" t="s">
        <v>2370</v>
      </c>
    </row>
    <row r="59" customFormat="false" ht="15" hidden="false" customHeight="false" outlineLevel="0" collapsed="false">
      <c r="A59" s="91" t="n">
        <v>7</v>
      </c>
      <c r="B59" s="74" t="s">
        <v>2424</v>
      </c>
      <c r="C59" s="76" t="n">
        <v>46234</v>
      </c>
      <c r="D59" s="74" t="s">
        <v>289</v>
      </c>
      <c r="E59" s="8" t="n">
        <v>0</v>
      </c>
      <c r="F59" s="8" t="n">
        <v>54198585</v>
      </c>
      <c r="G59" s="74" t="s">
        <v>2249</v>
      </c>
      <c r="H59" s="13" t="n">
        <f aca="false">IF($G59="",0,SUMIFS('MA Engine'!$W$6:$W$1110,'MA Engine'!$J$6:$J$1110,$G59,'MA Engine'!$I$6:$I$1110,"DO",'MA Engine'!$C$6:$C$1110,"RPA"))</f>
        <v>0</v>
      </c>
      <c r="I59" s="13" t="n">
        <f aca="false">IF($G59="",0,SUMIFS('MA Engine'!$W$6:$W$1110,'MA Engine'!$J$6:$J$1110,$G59,'MA Engine'!$I$6:$I$1110,"DO",'MA Engine'!$C$6:$C$1110,"Trading"))</f>
        <v>1305.99</v>
      </c>
      <c r="K59" s="7" t="n">
        <f aca="false">IF($G59="",0,SUMIFS('MA Engine'!$S$6:$S$1110,'MA Engine'!$J$6:$J$1110,$G59,'MA Engine'!$I$6:$I$1110,"DO",'MA Engine'!$C$6:$C$1110,"RPA"))</f>
        <v>0</v>
      </c>
      <c r="L59" s="7" t="n">
        <f aca="false">IF($G59="",0,SUMIFS('MA Engine'!$S$6:$S$1110,'MA Engine'!$J$6:$J$1110,$G59,'MA Engine'!$I$6:$I$1110,"DO",'MA Engine'!$C$6:$C$1110,"Trading"))</f>
        <v>39994475.1014196</v>
      </c>
      <c r="M59" s="12" t="s">
        <v>2370</v>
      </c>
    </row>
    <row r="60" customFormat="false" ht="15" hidden="false" customHeight="false" outlineLevel="0" collapsed="false">
      <c r="A60" s="91" t="n">
        <v>7</v>
      </c>
      <c r="B60" s="74" t="s">
        <v>2425</v>
      </c>
      <c r="C60" s="76" t="n">
        <v>46233</v>
      </c>
      <c r="D60" s="74" t="s">
        <v>277</v>
      </c>
      <c r="E60" s="8" t="n">
        <v>0</v>
      </c>
      <c r="F60" s="8" t="n">
        <v>7497670</v>
      </c>
      <c r="G60" s="74" t="s">
        <v>2247</v>
      </c>
      <c r="H60" s="13" t="n">
        <f aca="false">IF($G60="",0,SUMIFS('MA Engine'!$W$6:$W$1110,'MA Engine'!$J$6:$J$1110,$G60,'MA Engine'!$I$6:$I$1110,"DO",'MA Engine'!$C$6:$C$1110,"RPA"))</f>
        <v>0</v>
      </c>
      <c r="I60" s="13" t="n">
        <f aca="false">IF($G60="",0,SUMIFS('MA Engine'!$W$6:$W$1110,'MA Engine'!$J$6:$J$1110,$G60,'MA Engine'!$I$6:$I$1110,"DO",'MA Engine'!$C$6:$C$1110,"Trading"))</f>
        <v>182.87</v>
      </c>
      <c r="K60" s="7" t="n">
        <f aca="false">IF($G60="",0,SUMIFS('MA Engine'!$S$6:$S$1110,'MA Engine'!$J$6:$J$1110,$G60,'MA Engine'!$I$6:$I$1110,"DO",'MA Engine'!$C$6:$C$1110,"RPA"))</f>
        <v>0</v>
      </c>
      <c r="L60" s="7" t="n">
        <f aca="false">IF($G60="",0,SUMIFS('MA Engine'!$S$6:$S$1110,'MA Engine'!$J$6:$J$1110,$G60,'MA Engine'!$I$6:$I$1110,"DO",'MA Engine'!$C$6:$C$1110,"Trading"))</f>
        <v>5600188.10388793</v>
      </c>
      <c r="M60" s="12" t="s">
        <v>2370</v>
      </c>
    </row>
    <row r="61" customFormat="false" ht="15" hidden="false" customHeight="false" outlineLevel="0" collapsed="false">
      <c r="A61" s="91" t="n">
        <v>7</v>
      </c>
      <c r="B61" s="74" t="s">
        <v>2426</v>
      </c>
      <c r="C61" s="76" t="n">
        <v>46234</v>
      </c>
      <c r="D61" s="74" t="s">
        <v>284</v>
      </c>
      <c r="E61" s="8" t="n">
        <v>0</v>
      </c>
      <c r="F61" s="8" t="n">
        <v>28936570</v>
      </c>
      <c r="G61" s="74" t="s">
        <v>2250</v>
      </c>
      <c r="H61" s="13" t="n">
        <f aca="false">IF($G61="",0,SUMIFS('MA Engine'!$W$6:$W$1110,'MA Engine'!$J$6:$J$1110,$G61,'MA Engine'!$I$6:$I$1110,"DO",'MA Engine'!$C$6:$C$1110,"RPA"))</f>
        <v>0</v>
      </c>
      <c r="I61" s="13" t="n">
        <f aca="false">IF($G61="",0,SUMIFS('MA Engine'!$W$6:$W$1110,'MA Engine'!$J$6:$J$1110,$G61,'MA Engine'!$I$6:$I$1110,"DO",'MA Engine'!$C$6:$C$1110,"Trading"))</f>
        <v>705.77</v>
      </c>
      <c r="K61" s="7" t="n">
        <f aca="false">IF($G61="",0,SUMIFS('MA Engine'!$S$6:$S$1110,'MA Engine'!$J$6:$J$1110,$G61,'MA Engine'!$I$6:$I$1110,"DO",'MA Engine'!$C$6:$C$1110,"RPA"))</f>
        <v>0</v>
      </c>
      <c r="L61" s="7" t="n">
        <f aca="false">IF($G61="",0,SUMIFS('MA Engine'!$S$6:$S$1110,'MA Engine'!$J$6:$J$1110,$G61,'MA Engine'!$I$6:$I$1110,"DO",'MA Engine'!$C$6:$C$1110,"Trading"))</f>
        <v>21613412.5776835</v>
      </c>
      <c r="M61" s="12" t="s">
        <v>2370</v>
      </c>
    </row>
    <row r="62" customFormat="false" ht="15" hidden="false" customHeight="false" outlineLevel="0" collapsed="false">
      <c r="A62" s="91" t="n">
        <v>7</v>
      </c>
      <c r="B62" s="74" t="s">
        <v>2427</v>
      </c>
      <c r="C62" s="76" t="n">
        <v>46234</v>
      </c>
      <c r="D62" s="74" t="s">
        <v>300</v>
      </c>
      <c r="E62" s="8" t="n">
        <v>0</v>
      </c>
      <c r="F62" s="8" t="n">
        <v>15421965</v>
      </c>
      <c r="G62" s="74" t="s">
        <v>2351</v>
      </c>
      <c r="H62" s="13" t="n">
        <f aca="false">IF($G62="",0,SUMIFS('MA Engine'!$W$6:$W$1110,'MA Engine'!$J$6:$J$1110,$G62,'MA Engine'!$I$6:$I$1110,"DO",'MA Engine'!$C$6:$C$1110,"RPA"))</f>
        <v>0</v>
      </c>
      <c r="I62" s="13" t="n">
        <f aca="false">IF($G62="",0,SUMIFS('MA Engine'!$W$6:$W$1110,'MA Engine'!$J$6:$J$1110,$G62,'MA Engine'!$I$6:$I$1110,"DO",'MA Engine'!$C$6:$C$1110,"Trading"))</f>
        <v>2372.61</v>
      </c>
      <c r="K62" s="7" t="n">
        <f aca="false">IF($G62="",0,SUMIFS('MA Engine'!$S$6:$S$1110,'MA Engine'!$J$6:$J$1110,$G62,'MA Engine'!$I$6:$I$1110,"DO",'MA Engine'!$C$6:$C$1110,"RPA"))</f>
        <v>0</v>
      </c>
      <c r="L62" s="7" t="n">
        <f aca="false">IF($G62="",0,SUMIFS('MA Engine'!$S$6:$S$1110,'MA Engine'!$J$6:$J$1110,$G62,'MA Engine'!$I$6:$I$1110,"DO",'MA Engine'!$C$6:$C$1110,"Trading"))</f>
        <v>10583264.5034941</v>
      </c>
      <c r="M62" s="12" t="s">
        <v>2370</v>
      </c>
    </row>
    <row r="63" customFormat="false" ht="15" hidden="false" customHeight="false" outlineLevel="0" collapsed="false">
      <c r="A63" s="91" t="n">
        <v>7</v>
      </c>
      <c r="B63" s="74" t="s">
        <v>2428</v>
      </c>
      <c r="C63" s="76" t="n">
        <v>46234</v>
      </c>
      <c r="D63" s="74" t="s">
        <v>277</v>
      </c>
      <c r="E63" s="8" t="n">
        <v>0</v>
      </c>
      <c r="F63" s="8" t="n">
        <v>81474860</v>
      </c>
      <c r="G63" s="74" t="s">
        <v>2251</v>
      </c>
      <c r="H63" s="13" t="n">
        <f aca="false">IF($G63="",0,SUMIFS('MA Engine'!$W$6:$W$1110,'MA Engine'!$J$6:$J$1110,$G63,'MA Engine'!$I$6:$I$1110,"DO",'MA Engine'!$C$6:$C$1110,"RPA"))</f>
        <v>0</v>
      </c>
      <c r="I63" s="13" t="n">
        <f aca="false">IF($G63="",0,SUMIFS('MA Engine'!$W$6:$W$1110,'MA Engine'!$J$6:$J$1110,$G63,'MA Engine'!$I$6:$I$1110,"DO",'MA Engine'!$C$6:$C$1110,"Trading"))</f>
        <v>2011.86</v>
      </c>
      <c r="K63" s="7" t="n">
        <f aca="false">IF($G63="",0,SUMIFS('MA Engine'!$S$6:$S$1110,'MA Engine'!$J$6:$J$1110,$G63,'MA Engine'!$I$6:$I$1110,"DO",'MA Engine'!$C$6:$C$1110,"RPA"))</f>
        <v>0</v>
      </c>
      <c r="L63" s="7" t="n">
        <f aca="false">IF($G63="",0,SUMIFS('MA Engine'!$S$6:$S$1110,'MA Engine'!$J$6:$J$1110,$G63,'MA Engine'!$I$6:$I$1110,"DO",'MA Engine'!$C$6:$C$1110,"Trading"))</f>
        <v>59297807.6833165</v>
      </c>
      <c r="M63" s="12" t="s">
        <v>2370</v>
      </c>
    </row>
    <row r="64" customFormat="false" ht="15" hidden="false" customHeight="false" outlineLevel="0" collapsed="false">
      <c r="A64" s="91" t="n">
        <v>8</v>
      </c>
      <c r="B64" s="74" t="s">
        <v>2429</v>
      </c>
      <c r="C64" s="76" t="n">
        <v>46235</v>
      </c>
      <c r="D64" s="74" t="s">
        <v>278</v>
      </c>
      <c r="E64" s="8" t="n">
        <v>0</v>
      </c>
      <c r="F64" s="8" t="n">
        <v>41620330</v>
      </c>
      <c r="G64" s="74" t="s">
        <v>2252</v>
      </c>
      <c r="H64" s="13" t="n">
        <f aca="false">IF($G64="",0,SUMIFS('MA Engine'!$W$6:$W$1110,'MA Engine'!$J$6:$J$1110,$G64,'MA Engine'!$I$6:$I$1110,"DO",'MA Engine'!$C$6:$C$1110,"RPA"))</f>
        <v>0</v>
      </c>
      <c r="I64" s="13" t="n">
        <f aca="false">IF($G64="",0,SUMIFS('MA Engine'!$W$6:$W$1110,'MA Engine'!$J$6:$J$1110,$G64,'MA Engine'!$I$6:$I$1110,"DO",'MA Engine'!$C$6:$C$1110,"Trading"))</f>
        <v>1015.13</v>
      </c>
      <c r="K64" s="7" t="n">
        <f aca="false">IF($G64="",0,SUMIFS('MA Engine'!$X$6:$X$1110,'MA Engine'!$J$6:$J$1110,$G64,'MA Engine'!$I$6:$I$1110,"DO",'MA Engine'!$C$6:$C$1110,"RPA"))</f>
        <v>0</v>
      </c>
      <c r="L64" s="7" t="n">
        <f aca="false">IF($G64="",0,SUMIFS('MA Engine'!$X$6:$X$1110,'MA Engine'!$J$6:$J$1110,$G64,'MA Engine'!$I$6:$I$1110,"DO",'MA Engine'!$C$6:$C$1110,"Trading"))</f>
        <v>31087214.6874816</v>
      </c>
      <c r="M64" s="12" t="s">
        <v>2370</v>
      </c>
    </row>
    <row r="65" customFormat="false" ht="15" hidden="false" customHeight="false" outlineLevel="0" collapsed="false">
      <c r="A65" s="91" t="n">
        <v>8</v>
      </c>
      <c r="B65" s="74" t="s">
        <v>2430</v>
      </c>
      <c r="C65" s="76" t="n">
        <v>46235</v>
      </c>
      <c r="D65" s="74" t="s">
        <v>273</v>
      </c>
      <c r="E65" s="8" t="n">
        <v>0</v>
      </c>
      <c r="F65" s="8" t="n">
        <v>222712572</v>
      </c>
      <c r="G65" s="74" t="s">
        <v>2315</v>
      </c>
      <c r="H65" s="13" t="n">
        <f aca="false">IF($G65="",0,SUMIFS('MA Engine'!$W$6:$W$1110,'MA Engine'!$J$6:$J$1110,$G65,'MA Engine'!$I$6:$I$1110,"DO",'MA Engine'!$C$6:$C$1110,"RPA"))</f>
        <v>0</v>
      </c>
      <c r="I65" s="13" t="n">
        <f aca="false">IF($G65="",0,SUMIFS('MA Engine'!$W$6:$W$1110,'MA Engine'!$J$6:$J$1110,$G65,'MA Engine'!$I$6:$I$1110,"DO",'MA Engine'!$C$6:$C$1110,"Trading"))</f>
        <v>6708.21</v>
      </c>
      <c r="K65" s="7" t="n">
        <f aca="false">IF($G65="",0,SUMIFS('MA Engine'!$X$6:$X$1110,'MA Engine'!$J$6:$J$1110,$G65,'MA Engine'!$I$6:$I$1110,"DO",'MA Engine'!$C$6:$C$1110,"RPA"))</f>
        <v>0</v>
      </c>
      <c r="L65" s="7" t="n">
        <f aca="false">IF($G65="",0,SUMIFS('MA Engine'!$X$6:$X$1110,'MA Engine'!$J$6:$J$1110,$G65,'MA Engine'!$I$6:$I$1110,"DO",'MA Engine'!$C$6:$C$1110,"Trading"))</f>
        <v>191772569.098352</v>
      </c>
      <c r="M65" s="12" t="s">
        <v>2370</v>
      </c>
    </row>
    <row r="66" customFormat="false" ht="15" hidden="false" customHeight="false" outlineLevel="0" collapsed="false">
      <c r="A66" s="91" t="n">
        <v>8</v>
      </c>
      <c r="B66" s="74" t="s">
        <v>2431</v>
      </c>
      <c r="C66" s="76" t="n">
        <v>46235</v>
      </c>
      <c r="D66" s="74" t="s">
        <v>284</v>
      </c>
      <c r="E66" s="8" t="n">
        <v>0</v>
      </c>
      <c r="F66" s="8" t="n">
        <v>83011970</v>
      </c>
      <c r="G66" s="74" t="s">
        <v>2253</v>
      </c>
      <c r="H66" s="13" t="n">
        <f aca="false">IF($G66="",0,SUMIFS('MA Engine'!$W$6:$W$1110,'MA Engine'!$J$6:$J$1110,$G66,'MA Engine'!$I$6:$I$1110,"DO",'MA Engine'!$C$6:$C$1110,"RPA"))</f>
        <v>0</v>
      </c>
      <c r="I66" s="13" t="n">
        <f aca="false">IF($G66="",0,SUMIFS('MA Engine'!$W$6:$W$1110,'MA Engine'!$J$6:$J$1110,$G66,'MA Engine'!$I$6:$I$1110,"DO",'MA Engine'!$C$6:$C$1110,"Trading"))</f>
        <v>2032.38</v>
      </c>
      <c r="K66" s="7" t="n">
        <f aca="false">IF($G66="",0,SUMIFS('MA Engine'!$X$6:$X$1110,'MA Engine'!$J$6:$J$1110,$G66,'MA Engine'!$I$6:$I$1110,"DO",'MA Engine'!$C$6:$C$1110,"RPA"))</f>
        <v>0</v>
      </c>
      <c r="L66" s="7" t="n">
        <f aca="false">IF($G66="",0,SUMIFS('MA Engine'!$X$6:$X$1110,'MA Engine'!$J$6:$J$1110,$G66,'MA Engine'!$I$6:$I$1110,"DO",'MA Engine'!$C$6:$C$1110,"Trading"))</f>
        <v>61517529.8952089</v>
      </c>
      <c r="M66" s="12" t="s">
        <v>2370</v>
      </c>
    </row>
    <row r="67" customFormat="false" ht="15" hidden="false" customHeight="false" outlineLevel="0" collapsed="false">
      <c r="A67" s="91" t="n">
        <v>8</v>
      </c>
      <c r="B67" s="74" t="s">
        <v>2432</v>
      </c>
      <c r="C67" s="76" t="n">
        <v>46235</v>
      </c>
      <c r="D67" s="74" t="s">
        <v>276</v>
      </c>
      <c r="E67" s="8" t="n">
        <v>181069770</v>
      </c>
      <c r="F67" s="8" t="n">
        <v>117285930</v>
      </c>
      <c r="G67" s="74" t="s">
        <v>2121</v>
      </c>
      <c r="H67" s="13" t="n">
        <f aca="false">IF($G67="",0,SUMIFS('MA Engine'!$W$6:$W$1110,'MA Engine'!$J$6:$J$1110,$G67,'MA Engine'!$I$6:$I$1110,"DO",'MA Engine'!$C$6:$C$1110,"RPA"))</f>
        <v>4481.85</v>
      </c>
      <c r="I67" s="13" t="n">
        <f aca="false">IF($G67="",0,SUMIFS('MA Engine'!$W$6:$W$1110,'MA Engine'!$J$6:$J$1110,$G67,'MA Engine'!$I$6:$I$1110,"DO",'MA Engine'!$C$6:$C$1110,"Trading"))</f>
        <v>2877.65</v>
      </c>
      <c r="K67" s="7" t="n">
        <f aca="false">IF($G67="",0,SUMIFS('MA Engine'!$X$6:$X$1110,'MA Engine'!$J$6:$J$1110,$G67,'MA Engine'!$I$6:$I$1110,"DO",'MA Engine'!$C$6:$C$1110,"RPA"))</f>
        <v>159339529.423241</v>
      </c>
      <c r="L67" s="7" t="n">
        <f aca="false">IF($G67="",0,SUMIFS('MA Engine'!$X$6:$X$1110,'MA Engine'!$J$6:$J$1110,$G67,'MA Engine'!$I$6:$I$1110,"DO",'MA Engine'!$C$6:$C$1110,"Trading"))</f>
        <v>86529060.861834</v>
      </c>
      <c r="M67" s="12" t="s">
        <v>2370</v>
      </c>
    </row>
    <row r="68" customFormat="false" ht="15" hidden="false" customHeight="false" outlineLevel="0" collapsed="false">
      <c r="A68" s="91" t="n">
        <v>8</v>
      </c>
      <c r="B68" s="74" t="s">
        <v>2433</v>
      </c>
      <c r="C68" s="76" t="n">
        <v>46235</v>
      </c>
      <c r="D68" s="74" t="s">
        <v>278</v>
      </c>
      <c r="E68" s="8" t="n">
        <v>0</v>
      </c>
      <c r="F68" s="8" t="n">
        <v>163304600</v>
      </c>
      <c r="G68" s="74" t="s">
        <v>2254</v>
      </c>
      <c r="H68" s="13" t="n">
        <f aca="false">IF($G68="",0,SUMIFS('MA Engine'!$W$6:$W$1110,'MA Engine'!$J$6:$J$1110,$G68,'MA Engine'!$I$6:$I$1110,"DO",'MA Engine'!$C$6:$C$1110,"RPA"))</f>
        <v>0</v>
      </c>
      <c r="I68" s="13" t="n">
        <f aca="false">IF($G68="",0,SUMIFS('MA Engine'!$W$6:$W$1110,'MA Engine'!$J$6:$J$1110,$G68,'MA Engine'!$I$6:$I$1110,"DO",'MA Engine'!$C$6:$C$1110,"Trading"))</f>
        <v>4032.3</v>
      </c>
      <c r="K68" s="7" t="n">
        <f aca="false">IF($G68="",0,SUMIFS('MA Engine'!$X$6:$X$1110,'MA Engine'!$J$6:$J$1110,$G68,'MA Engine'!$I$6:$I$1110,"DO",'MA Engine'!$C$6:$C$1110,"RPA"))</f>
        <v>0</v>
      </c>
      <c r="L68" s="7" t="n">
        <f aca="false">IF($G68="",0,SUMIFS('MA Engine'!$X$6:$X$1110,'MA Engine'!$J$6:$J$1110,$G68,'MA Engine'!$I$6:$I$1110,"DO",'MA Engine'!$C$6:$C$1110,"Trading"))</f>
        <v>118865458.134352</v>
      </c>
      <c r="M68" s="12" t="s">
        <v>2370</v>
      </c>
    </row>
    <row r="69" customFormat="false" ht="15" hidden="false" customHeight="false" outlineLevel="0" collapsed="false">
      <c r="A69" s="91" t="n">
        <v>8</v>
      </c>
      <c r="B69" s="74" t="s">
        <v>2434</v>
      </c>
      <c r="C69" s="76" t="n">
        <v>46237</v>
      </c>
      <c r="D69" s="74" t="s">
        <v>273</v>
      </c>
      <c r="E69" s="8" t="n">
        <v>0</v>
      </c>
      <c r="F69" s="8" t="n">
        <v>157778684</v>
      </c>
      <c r="G69" s="74" t="s">
        <v>2316</v>
      </c>
      <c r="H69" s="13" t="n">
        <f aca="false">IF($G69="",0,SUMIFS('MA Engine'!$W$6:$W$1110,'MA Engine'!$J$6:$J$1110,$G69,'MA Engine'!$I$6:$I$1110,"DO",'MA Engine'!$C$6:$C$1110,"RPA"))</f>
        <v>0</v>
      </c>
      <c r="I69" s="13" t="n">
        <f aca="false">IF($G69="",0,SUMIFS('MA Engine'!$W$6:$W$1110,'MA Engine'!$J$6:$J$1110,$G69,'MA Engine'!$I$6:$I$1110,"DO",'MA Engine'!$C$6:$C$1110,"Trading"))</f>
        <v>4752.37</v>
      </c>
      <c r="K69" s="7" t="n">
        <f aca="false">IF($G69="",0,SUMIFS('MA Engine'!$X$6:$X$1110,'MA Engine'!$J$6:$J$1110,$G69,'MA Engine'!$I$6:$I$1110,"DO",'MA Engine'!$C$6:$C$1110,"RPA"))</f>
        <v>0</v>
      </c>
      <c r="L69" s="7" t="n">
        <f aca="false">IF($G69="",0,SUMIFS('MA Engine'!$X$6:$X$1110,'MA Engine'!$J$6:$J$1110,$G69,'MA Engine'!$I$6:$I$1110,"DO",'MA Engine'!$C$6:$C$1110,"Trading"))</f>
        <v>136207235.738795</v>
      </c>
      <c r="M69" s="12" t="s">
        <v>2370</v>
      </c>
    </row>
    <row r="70" customFormat="false" ht="15" hidden="false" customHeight="false" outlineLevel="0" collapsed="false">
      <c r="A70" s="91" t="n">
        <v>8</v>
      </c>
      <c r="B70" s="74" t="s">
        <v>2435</v>
      </c>
      <c r="C70" s="76" t="n">
        <v>46237</v>
      </c>
      <c r="D70" s="74" t="s">
        <v>291</v>
      </c>
      <c r="E70" s="8" t="n">
        <v>0</v>
      </c>
      <c r="F70" s="8" t="n">
        <v>42686700</v>
      </c>
      <c r="G70" s="74" t="s">
        <v>2255</v>
      </c>
      <c r="H70" s="13" t="n">
        <f aca="false">IF($G70="",0,SUMIFS('MA Engine'!$W$6:$W$1110,'MA Engine'!$J$6:$J$1110,$G70,'MA Engine'!$I$6:$I$1110,"DO",'MA Engine'!$C$6:$C$1110,"RPA"))</f>
        <v>0</v>
      </c>
      <c r="I70" s="13" t="n">
        <f aca="false">IF($G70="",0,SUMIFS('MA Engine'!$W$6:$W$1110,'MA Engine'!$J$6:$J$1110,$G70,'MA Engine'!$I$6:$I$1110,"DO",'MA Engine'!$C$6:$C$1110,"Trading"))</f>
        <v>1016.35</v>
      </c>
      <c r="K70" s="7" t="n">
        <f aca="false">IF($G70="",0,SUMIFS('MA Engine'!$X$6:$X$1110,'MA Engine'!$J$6:$J$1110,$G70,'MA Engine'!$I$6:$I$1110,"DO",'MA Engine'!$C$6:$C$1110,"RPA"))</f>
        <v>0</v>
      </c>
      <c r="L70" s="7" t="n">
        <f aca="false">IF($G70="",0,SUMIFS('MA Engine'!$X$6:$X$1110,'MA Engine'!$J$6:$J$1110,$G70,'MA Engine'!$I$6:$I$1110,"DO",'MA Engine'!$C$6:$C$1110,"Trading"))</f>
        <v>31124575.8155329</v>
      </c>
      <c r="M70" s="12" t="s">
        <v>2370</v>
      </c>
    </row>
    <row r="71" customFormat="false" ht="15" hidden="false" customHeight="false" outlineLevel="0" collapsed="false">
      <c r="A71" s="91" t="n">
        <v>8</v>
      </c>
      <c r="B71" s="74" t="s">
        <v>2436</v>
      </c>
      <c r="C71" s="76" t="n">
        <v>46237</v>
      </c>
      <c r="D71" s="74" t="s">
        <v>289</v>
      </c>
      <c r="E71" s="8" t="n">
        <v>0</v>
      </c>
      <c r="F71" s="8" t="n">
        <v>33474000</v>
      </c>
      <c r="G71" s="74" t="s">
        <v>2345</v>
      </c>
      <c r="H71" s="13" t="n">
        <f aca="false">IF($G71="",0,SUMIFS('MA Engine'!$W$6:$W$1110,'MA Engine'!$J$6:$J$1110,$G71,'MA Engine'!$I$6:$I$1110,"DO",'MA Engine'!$C$6:$C$1110,"RPA"))</f>
        <v>0</v>
      </c>
      <c r="I71" s="13" t="n">
        <f aca="false">IF($G71="",0,SUMIFS('MA Engine'!$W$6:$W$1110,'MA Engine'!$J$6:$J$1110,$G71,'MA Engine'!$I$6:$I$1110,"DO",'MA Engine'!$C$6:$C$1110,"Trading"))</f>
        <v>1115.8</v>
      </c>
      <c r="K71" s="7" t="n">
        <f aca="false">IF($G71="",0,SUMIFS('MA Engine'!$X$6:$X$1110,'MA Engine'!$J$6:$J$1110,$G71,'MA Engine'!$I$6:$I$1110,"DO",'MA Engine'!$C$6:$C$1110,"RPA"))</f>
        <v>0</v>
      </c>
      <c r="L71" s="7" t="n">
        <f aca="false">IF($G71="",0,SUMIFS('MA Engine'!$X$6:$X$1110,'MA Engine'!$J$6:$J$1110,$G71,'MA Engine'!$I$6:$I$1110,"DO",'MA Engine'!$C$6:$C$1110,"Trading"))</f>
        <v>26125605.4166234</v>
      </c>
      <c r="M71" s="12" t="s">
        <v>2370</v>
      </c>
    </row>
    <row r="72" customFormat="false" ht="15" hidden="false" customHeight="false" outlineLevel="0" collapsed="false">
      <c r="A72" s="91" t="n">
        <v>8</v>
      </c>
      <c r="B72" s="74" t="s">
        <v>2437</v>
      </c>
      <c r="C72" s="76" t="n">
        <v>46238</v>
      </c>
      <c r="D72" s="74" t="s">
        <v>269</v>
      </c>
      <c r="E72" s="8" t="n">
        <v>0</v>
      </c>
      <c r="F72" s="8" t="n">
        <v>91450000</v>
      </c>
      <c r="G72" s="74" t="s">
        <v>2317</v>
      </c>
      <c r="H72" s="13" t="n">
        <f aca="false">IF($G72="",0,SUMIFS('MA Engine'!$W$6:$W$1110,'MA Engine'!$J$6:$J$1110,$G72,'MA Engine'!$I$6:$I$1110,"DO",'MA Engine'!$C$6:$C$1110,"RPA"))</f>
        <v>0</v>
      </c>
      <c r="I72" s="13" t="n">
        <f aca="false">IF($G72="",0,SUMIFS('MA Engine'!$W$6:$W$1110,'MA Engine'!$J$6:$J$1110,$G72,'MA Engine'!$I$6:$I$1110,"DO",'MA Engine'!$C$6:$C$1110,"Trading"))</f>
        <v>3121.2</v>
      </c>
      <c r="K72" s="7" t="n">
        <f aca="false">IF($G72="",0,SUMIFS('MA Engine'!$X$6:$X$1110,'MA Engine'!$J$6:$J$1110,$G72,'MA Engine'!$I$6:$I$1110,"DO",'MA Engine'!$C$6:$C$1110,"RPA"))</f>
        <v>0</v>
      </c>
      <c r="L72" s="7" t="n">
        <f aca="false">IF($G72="",0,SUMIFS('MA Engine'!$X$6:$X$1110,'MA Engine'!$J$6:$J$1110,$G72,'MA Engine'!$I$6:$I$1110,"DO",'MA Engine'!$C$6:$C$1110,"Trading"))</f>
        <v>96965332.1763037</v>
      </c>
      <c r="M72" s="12" t="s">
        <v>2370</v>
      </c>
    </row>
    <row r="73" customFormat="false" ht="15" hidden="false" customHeight="false" outlineLevel="0" collapsed="false">
      <c r="A73" s="91" t="n">
        <v>8</v>
      </c>
      <c r="B73" s="74" t="s">
        <v>2438</v>
      </c>
      <c r="C73" s="76" t="n">
        <v>46238</v>
      </c>
      <c r="D73" s="74" t="s">
        <v>271</v>
      </c>
      <c r="E73" s="8" t="n">
        <v>0</v>
      </c>
      <c r="F73" s="8" t="n">
        <v>76323200</v>
      </c>
      <c r="G73" s="74" t="s">
        <v>2333</v>
      </c>
      <c r="H73" s="13" t="n">
        <f aca="false">IF($G73="",0,SUMIFS('MA Engine'!$W$6:$W$1110,'MA Engine'!$J$6:$J$1110,$G73,'MA Engine'!$I$6:$I$1110,"DO",'MA Engine'!$C$6:$C$1110,"RPA"))</f>
        <v>0</v>
      </c>
      <c r="I73" s="13" t="n">
        <f aca="false">IF($G73="",0,SUMIFS('MA Engine'!$W$6:$W$1110,'MA Engine'!$J$6:$J$1110,$G73,'MA Engine'!$I$6:$I$1110,"DO",'MA Engine'!$C$6:$C$1110,"Trading"))</f>
        <v>2502.4</v>
      </c>
      <c r="K73" s="7" t="n">
        <f aca="false">IF($G73="",0,SUMIFS('MA Engine'!$X$6:$X$1110,'MA Engine'!$J$6:$J$1110,$G73,'MA Engine'!$I$6:$I$1110,"DO",'MA Engine'!$C$6:$C$1110,"RPA"))</f>
        <v>0</v>
      </c>
      <c r="L73" s="7" t="n">
        <f aca="false">IF($G73="",0,SUMIFS('MA Engine'!$X$6:$X$1110,'MA Engine'!$J$6:$J$1110,$G73,'MA Engine'!$I$6:$I$1110,"DO",'MA Engine'!$C$6:$C$1110,"Trading"))</f>
        <v>80517647.7907777</v>
      </c>
      <c r="M73" s="12" t="s">
        <v>2370</v>
      </c>
    </row>
    <row r="74" customFormat="false" ht="15" hidden="false" customHeight="false" outlineLevel="0" collapsed="false">
      <c r="A74" s="91" t="n">
        <v>8</v>
      </c>
      <c r="B74" s="74" t="s">
        <v>2439</v>
      </c>
      <c r="C74" s="76" t="n">
        <v>46238</v>
      </c>
      <c r="D74" s="74" t="s">
        <v>269</v>
      </c>
      <c r="E74" s="8" t="n">
        <v>0</v>
      </c>
      <c r="F74" s="8" t="n">
        <v>29789100</v>
      </c>
      <c r="G74" s="74" t="s">
        <v>2336</v>
      </c>
      <c r="H74" s="13" t="n">
        <f aca="false">IF($G74="",0,SUMIFS('MA Engine'!$W$6:$W$1110,'MA Engine'!$J$6:$J$1110,$G74,'MA Engine'!$I$6:$I$1110,"DO",'MA Engine'!$C$6:$C$1110,"RPA"))</f>
        <v>0</v>
      </c>
      <c r="I74" s="13" t="n">
        <f aca="false">IF($G74="",0,SUMIFS('MA Engine'!$W$6:$W$1110,'MA Engine'!$J$6:$J$1110,$G74,'MA Engine'!$I$6:$I$1110,"DO",'MA Engine'!$C$6:$C$1110,"Trading"))</f>
        <v>1009.8</v>
      </c>
      <c r="K74" s="7" t="n">
        <f aca="false">IF($G74="",0,SUMIFS('MA Engine'!$X$6:$X$1110,'MA Engine'!$J$6:$J$1110,$G74,'MA Engine'!$I$6:$I$1110,"DO",'MA Engine'!$C$6:$C$1110,"RPA"))</f>
        <v>0</v>
      </c>
      <c r="L74" s="7" t="n">
        <f aca="false">IF($G74="",0,SUMIFS('MA Engine'!$X$6:$X$1110,'MA Engine'!$J$6:$J$1110,$G74,'MA Engine'!$I$6:$I$1110,"DO",'MA Engine'!$C$6:$C$1110,"Trading"))</f>
        <v>32400606.3370309</v>
      </c>
      <c r="M74" s="12" t="s">
        <v>2370</v>
      </c>
    </row>
    <row r="75" customFormat="false" ht="15" hidden="false" customHeight="false" outlineLevel="0" collapsed="false">
      <c r="A75" s="91" t="n">
        <v>8</v>
      </c>
      <c r="B75" s="74" t="s">
        <v>2440</v>
      </c>
      <c r="C75" s="76" t="n">
        <v>46238</v>
      </c>
      <c r="D75" s="74" t="s">
        <v>278</v>
      </c>
      <c r="E75" s="8" t="n">
        <v>0</v>
      </c>
      <c r="F75" s="8" t="n">
        <v>76064320</v>
      </c>
      <c r="G75" s="74" t="s">
        <v>2257</v>
      </c>
      <c r="H75" s="13" t="n">
        <f aca="false">IF($G75="",0,SUMIFS('MA Engine'!$W$6:$W$1110,'MA Engine'!$J$6:$J$1110,$G75,'MA Engine'!$I$6:$I$1110,"DO",'MA Engine'!$C$6:$C$1110,"RPA"))</f>
        <v>0</v>
      </c>
      <c r="I75" s="13" t="n">
        <f aca="false">IF($G75="",0,SUMIFS('MA Engine'!$W$6:$W$1110,'MA Engine'!$J$6:$J$1110,$G75,'MA Engine'!$I$6:$I$1110,"DO",'MA Engine'!$C$6:$C$1110,"Trading"))</f>
        <v>2070.97</v>
      </c>
      <c r="K75" s="7" t="n">
        <f aca="false">IF($G75="",0,SUMIFS('MA Engine'!$X$6:$X$1110,'MA Engine'!$J$6:$J$1110,$G75,'MA Engine'!$I$6:$I$1110,"DO",'MA Engine'!$C$6:$C$1110,"RPA"))</f>
        <v>0</v>
      </c>
      <c r="L75" s="7" t="n">
        <f aca="false">IF($G75="",0,SUMIFS('MA Engine'!$X$6:$X$1110,'MA Engine'!$J$6:$J$1110,$G75,'MA Engine'!$I$6:$I$1110,"DO",'MA Engine'!$C$6:$C$1110,"Trading"))</f>
        <v>64318121.4584714</v>
      </c>
      <c r="M75" s="12" t="s">
        <v>2370</v>
      </c>
    </row>
    <row r="76" customFormat="false" ht="15" hidden="false" customHeight="false" outlineLevel="0" collapsed="false">
      <c r="A76" s="91" t="n">
        <v>8</v>
      </c>
      <c r="B76" s="74" t="s">
        <v>2441</v>
      </c>
      <c r="C76" s="76" t="n">
        <v>46239</v>
      </c>
      <c r="D76" s="74" t="s">
        <v>269</v>
      </c>
      <c r="E76" s="8" t="n">
        <v>0</v>
      </c>
      <c r="F76" s="8" t="n">
        <v>77987700</v>
      </c>
      <c r="G76" s="74" t="s">
        <v>2318</v>
      </c>
      <c r="H76" s="13" t="n">
        <f aca="false">IF($G76="",0,SUMIFS('MA Engine'!$W$6:$W$1110,'MA Engine'!$J$6:$J$1110,$G76,'MA Engine'!$I$6:$I$1110,"DO",'MA Engine'!$C$6:$C$1110,"RPA"))</f>
        <v>0</v>
      </c>
      <c r="I76" s="13" t="n">
        <f aca="false">IF($G76="",0,SUMIFS('MA Engine'!$W$6:$W$1110,'MA Engine'!$J$6:$J$1110,$G76,'MA Engine'!$I$6:$I$1110,"DO",'MA Engine'!$C$6:$C$1110,"Trading"))</f>
        <v>2599.59</v>
      </c>
      <c r="K76" s="7" t="n">
        <f aca="false">IF($G76="",0,SUMIFS('MA Engine'!$X$6:$X$1110,'MA Engine'!$J$6:$J$1110,$G76,'MA Engine'!$I$6:$I$1110,"DO",'MA Engine'!$C$6:$C$1110,"RPA"))</f>
        <v>0</v>
      </c>
      <c r="L76" s="7" t="n">
        <f aca="false">IF($G76="",0,SUMIFS('MA Engine'!$X$6:$X$1110,'MA Engine'!$J$6:$J$1110,$G76,'MA Engine'!$I$6:$I$1110,"DO",'MA Engine'!$C$6:$C$1110,"Trading"))</f>
        <v>76379740.2575973</v>
      </c>
      <c r="M76" s="12" t="s">
        <v>2370</v>
      </c>
    </row>
    <row r="77" customFormat="false" ht="15" hidden="false" customHeight="false" outlineLevel="0" collapsed="false">
      <c r="A77" s="91" t="n">
        <v>8</v>
      </c>
      <c r="B77" s="74" t="s">
        <v>2442</v>
      </c>
      <c r="C77" s="76" t="n">
        <v>46239</v>
      </c>
      <c r="D77" s="74" t="s">
        <v>274</v>
      </c>
      <c r="E77" s="8" t="n">
        <v>0</v>
      </c>
      <c r="F77" s="8" t="n">
        <v>32748800</v>
      </c>
      <c r="G77" s="74" t="s">
        <v>2334</v>
      </c>
      <c r="H77" s="13" t="n">
        <f aca="false">IF($G77="",0,SUMIFS('MA Engine'!$W$6:$W$1110,'MA Engine'!$J$6:$J$1110,$G77,'MA Engine'!$I$6:$I$1110,"DO",'MA Engine'!$C$6:$C$1110,"RPA"))</f>
        <v>0</v>
      </c>
      <c r="I77" s="13" t="n">
        <f aca="false">IF($G77="",0,SUMIFS('MA Engine'!$W$6:$W$1110,'MA Engine'!$J$6:$J$1110,$G77,'MA Engine'!$I$6:$I$1110,"DO",'MA Engine'!$C$6:$C$1110,"Trading"))</f>
        <v>1023.4</v>
      </c>
      <c r="K77" s="7" t="n">
        <f aca="false">IF($G77="",0,SUMIFS('MA Engine'!$X$6:$X$1110,'MA Engine'!$J$6:$J$1110,$G77,'MA Engine'!$I$6:$I$1110,"DO",'MA Engine'!$C$6:$C$1110,"RPA"))</f>
        <v>0</v>
      </c>
      <c r="L77" s="7" t="n">
        <f aca="false">IF($G77="",0,SUMIFS('MA Engine'!$X$6:$X$1110,'MA Engine'!$J$6:$J$1110,$G77,'MA Engine'!$I$6:$I$1110,"DO",'MA Engine'!$C$6:$C$1110,"Trading"))</f>
        <v>32929092.3709566</v>
      </c>
      <c r="M77" s="12" t="s">
        <v>2370</v>
      </c>
    </row>
    <row r="78" customFormat="false" ht="15" hidden="false" customHeight="false" outlineLevel="0" collapsed="false">
      <c r="A78" s="91" t="n">
        <v>8</v>
      </c>
      <c r="B78" s="74" t="s">
        <v>2443</v>
      </c>
      <c r="C78" s="76" t="n">
        <v>46239</v>
      </c>
      <c r="D78" s="74" t="s">
        <v>289</v>
      </c>
      <c r="E78" s="8" t="n">
        <v>32349900</v>
      </c>
      <c r="F78" s="8" t="n">
        <v>0</v>
      </c>
      <c r="G78" s="74" t="s">
        <v>2165</v>
      </c>
      <c r="H78" s="13" t="n">
        <f aca="false">IF($G78="",0,SUMIFS('MA Engine'!$W$6:$W$1110,'MA Engine'!$J$6:$J$1110,$G78,'MA Engine'!$I$6:$I$1110,"DO",'MA Engine'!$C$6:$C$1110,"RPA"))</f>
        <v>1078.33</v>
      </c>
      <c r="I78" s="13" t="n">
        <f aca="false">IF($G78="",0,SUMIFS('MA Engine'!$W$6:$W$1110,'MA Engine'!$J$6:$J$1110,$G78,'MA Engine'!$I$6:$I$1110,"DO",'MA Engine'!$C$6:$C$1110,"Trading"))</f>
        <v>0</v>
      </c>
      <c r="K78" s="7" t="n">
        <f aca="false">IF($G78="",0,SUMIFS('MA Engine'!$X$6:$X$1110,'MA Engine'!$J$6:$J$1110,$G78,'MA Engine'!$I$6:$I$1110,"DO",'MA Engine'!$C$6:$C$1110,"RPA"))</f>
        <v>28402020.2567945</v>
      </c>
      <c r="L78" s="7" t="n">
        <f aca="false">IF($G78="",0,SUMIFS('MA Engine'!$X$6:$X$1110,'MA Engine'!$J$6:$J$1110,$G78,'MA Engine'!$I$6:$I$1110,"DO",'MA Engine'!$C$6:$C$1110,"Trading"))</f>
        <v>0</v>
      </c>
      <c r="M78" s="12" t="s">
        <v>2370</v>
      </c>
    </row>
    <row r="79" customFormat="false" ht="15" hidden="false" customHeight="false" outlineLevel="0" collapsed="false">
      <c r="A79" s="91" t="n">
        <v>8</v>
      </c>
      <c r="B79" s="74" t="s">
        <v>2444</v>
      </c>
      <c r="C79" s="76" t="n">
        <v>46239</v>
      </c>
      <c r="D79" s="74" t="s">
        <v>269</v>
      </c>
      <c r="E79" s="8" t="n">
        <v>0</v>
      </c>
      <c r="F79" s="8" t="n">
        <v>19003900</v>
      </c>
      <c r="G79" s="74" t="s">
        <v>2297</v>
      </c>
      <c r="H79" s="13" t="n">
        <f aca="false">IF($G79="",0,SUMIFS('MA Engine'!$W$6:$W$1110,'MA Engine'!$J$6:$J$1110,$G79,'MA Engine'!$I$6:$I$1110,"DO",'MA Engine'!$C$6:$C$1110,"RPA"))</f>
        <v>0</v>
      </c>
      <c r="I79" s="13" t="n">
        <f aca="false">IF($G79="",0,SUMIFS('MA Engine'!$W$6:$W$1110,'MA Engine'!$J$6:$J$1110,$G79,'MA Engine'!$I$6:$I$1110,"DO",'MA Engine'!$C$6:$C$1110,"Trading"))</f>
        <v>644.2</v>
      </c>
      <c r="K79" s="7" t="n">
        <f aca="false">IF($G79="",0,SUMIFS('MA Engine'!$X$6:$X$1110,'MA Engine'!$J$6:$J$1110,$G79,'MA Engine'!$I$6:$I$1110,"DO",'MA Engine'!$C$6:$C$1110,"RPA"))</f>
        <v>0</v>
      </c>
      <c r="L79" s="7" t="n">
        <f aca="false">IF($G79="",0,SUMIFS('MA Engine'!$X$6:$X$1110,'MA Engine'!$J$6:$J$1110,$G79,'MA Engine'!$I$6:$I$1110,"DO",'MA Engine'!$C$6:$C$1110,"Trading"))</f>
        <v>19119532.6684774</v>
      </c>
      <c r="M79" s="12" t="s">
        <v>2370</v>
      </c>
    </row>
    <row r="80" customFormat="false" ht="15" hidden="false" customHeight="false" outlineLevel="0" collapsed="false">
      <c r="A80" s="91" t="n">
        <v>8</v>
      </c>
      <c r="B80" s="74" t="s">
        <v>2445</v>
      </c>
      <c r="C80" s="76" t="n">
        <v>46239</v>
      </c>
      <c r="D80" s="74" t="s">
        <v>269</v>
      </c>
      <c r="E80" s="8" t="n">
        <v>0</v>
      </c>
      <c r="F80" s="8" t="n">
        <v>89448000</v>
      </c>
      <c r="G80" s="74" t="s">
        <v>2319</v>
      </c>
      <c r="H80" s="13" t="n">
        <f aca="false">IF($G80="",0,SUMIFS('MA Engine'!$W$6:$W$1110,'MA Engine'!$J$6:$J$1110,$G80,'MA Engine'!$I$6:$I$1110,"DO",'MA Engine'!$C$6:$C$1110,"RPA"))</f>
        <v>0</v>
      </c>
      <c r="I80" s="13" t="n">
        <f aca="false">IF($G80="",0,SUMIFS('MA Engine'!$W$6:$W$1110,'MA Engine'!$J$6:$J$1110,$G80,'MA Engine'!$I$6:$I$1110,"DO",'MA Engine'!$C$6:$C$1110,"Trading"))</f>
        <v>3007.99</v>
      </c>
      <c r="K80" s="7" t="n">
        <f aca="false">IF($G80="",0,SUMIFS('MA Engine'!$X$6:$X$1110,'MA Engine'!$J$6:$J$1110,$G80,'MA Engine'!$I$6:$I$1110,"DO",'MA Engine'!$C$6:$C$1110,"RPA"))</f>
        <v>0</v>
      </c>
      <c r="L80" s="7" t="n">
        <f aca="false">IF($G80="",0,SUMIFS('MA Engine'!$X$6:$X$1110,'MA Engine'!$J$6:$J$1110,$G80,'MA Engine'!$I$6:$I$1110,"DO",'MA Engine'!$C$6:$C$1110,"Trading"))</f>
        <v>88379127.0536701</v>
      </c>
      <c r="M80" s="12" t="s">
        <v>2370</v>
      </c>
    </row>
    <row r="81" customFormat="false" ht="15" hidden="false" customHeight="false" outlineLevel="0" collapsed="false">
      <c r="A81" s="91" t="n">
        <v>8</v>
      </c>
      <c r="B81" s="74" t="s">
        <v>2446</v>
      </c>
      <c r="C81" s="76" t="n">
        <v>46240</v>
      </c>
      <c r="D81" s="74" t="s">
        <v>280</v>
      </c>
      <c r="E81" s="8" t="n">
        <v>0</v>
      </c>
      <c r="F81" s="8" t="n">
        <v>32132400</v>
      </c>
      <c r="G81" s="74" t="s">
        <v>2303</v>
      </c>
      <c r="H81" s="13" t="n">
        <f aca="false">IF($G81="",0,SUMIFS('MA Engine'!$W$6:$W$1110,'MA Engine'!$J$6:$J$1110,$G81,'MA Engine'!$I$6:$I$1110,"DO",'MA Engine'!$C$6:$C$1110,"RPA"))</f>
        <v>0</v>
      </c>
      <c r="I81" s="13" t="n">
        <f aca="false">IF($G81="",0,SUMIFS('MA Engine'!$W$6:$W$1110,'MA Engine'!$J$6:$J$1110,$G81,'MA Engine'!$I$6:$I$1110,"DO",'MA Engine'!$C$6:$C$1110,"Trading"))</f>
        <v>1076.31</v>
      </c>
      <c r="K81" s="7" t="n">
        <f aca="false">IF($G81="",0,SUMIFS('MA Engine'!$X$6:$X$1110,'MA Engine'!$J$6:$J$1110,$G81,'MA Engine'!$I$6:$I$1110,"DO",'MA Engine'!$C$6:$C$1110,"RPA"))</f>
        <v>0</v>
      </c>
      <c r="L81" s="7" t="n">
        <f aca="false">IF($G81="",0,SUMIFS('MA Engine'!$X$6:$X$1110,'MA Engine'!$J$6:$J$1110,$G81,'MA Engine'!$I$6:$I$1110,"DO",'MA Engine'!$C$6:$C$1110,"Trading"))</f>
        <v>31676862.1950816</v>
      </c>
      <c r="M81" s="12" t="s">
        <v>2370</v>
      </c>
    </row>
    <row r="82" customFormat="false" ht="15" hidden="false" customHeight="false" outlineLevel="0" collapsed="false">
      <c r="A82" s="91" t="n">
        <v>8</v>
      </c>
      <c r="B82" s="74" t="s">
        <v>2447</v>
      </c>
      <c r="C82" s="76" t="n">
        <v>46240</v>
      </c>
      <c r="D82" s="74" t="s">
        <v>290</v>
      </c>
      <c r="E82" s="8" t="n">
        <v>0</v>
      </c>
      <c r="F82" s="8" t="n">
        <v>18054675</v>
      </c>
      <c r="G82" s="74" t="s">
        <v>2258</v>
      </c>
      <c r="H82" s="13" t="n">
        <f aca="false">IF($G82="",0,SUMIFS('MA Engine'!$W$6:$W$1110,'MA Engine'!$J$6:$J$1110,$G82,'MA Engine'!$I$6:$I$1110,"DO",'MA Engine'!$C$6:$C$1110,"RPA"))</f>
        <v>0</v>
      </c>
      <c r="I82" s="13" t="n">
        <f aca="false">IF($G82="",0,SUMIFS('MA Engine'!$W$6:$W$1110,'MA Engine'!$J$6:$J$1110,$G82,'MA Engine'!$I$6:$I$1110,"DO",'MA Engine'!$C$6:$C$1110,"Trading"))</f>
        <v>415.05</v>
      </c>
      <c r="K82" s="7" t="n">
        <f aca="false">IF($G82="",0,SUMIFS('MA Engine'!$X$6:$X$1110,'MA Engine'!$J$6:$J$1110,$G82,'MA Engine'!$I$6:$I$1110,"DO",'MA Engine'!$C$6:$C$1110,"RPA"))</f>
        <v>0</v>
      </c>
      <c r="L82" s="7" t="n">
        <f aca="false">IF($G82="",0,SUMIFS('MA Engine'!$X$6:$X$1110,'MA Engine'!$J$6:$J$1110,$G82,'MA Engine'!$I$6:$I$1110,"DO",'MA Engine'!$C$6:$C$1110,"Trading"))</f>
        <v>13275652.5856835</v>
      </c>
      <c r="M82" s="12" t="s">
        <v>2370</v>
      </c>
    </row>
    <row r="83" customFormat="false" ht="15" hidden="false" customHeight="false" outlineLevel="0" collapsed="false">
      <c r="A83" s="91" t="n">
        <v>8</v>
      </c>
      <c r="B83" s="74" t="s">
        <v>2448</v>
      </c>
      <c r="C83" s="76" t="n">
        <v>46240</v>
      </c>
      <c r="D83" s="74" t="s">
        <v>269</v>
      </c>
      <c r="E83" s="8" t="n">
        <v>0</v>
      </c>
      <c r="F83" s="8" t="n">
        <v>18708760</v>
      </c>
      <c r="G83" s="74" t="s">
        <v>2259</v>
      </c>
      <c r="H83" s="13" t="n">
        <f aca="false">IF($G83="",0,SUMIFS('MA Engine'!$W$6:$W$1110,'MA Engine'!$J$6:$J$1110,$G83,'MA Engine'!$I$6:$I$1110,"DO",'MA Engine'!$C$6:$C$1110,"RPA"))</f>
        <v>0</v>
      </c>
      <c r="I83" s="13" t="n">
        <f aca="false">IF($G83="",0,SUMIFS('MA Engine'!$W$6:$W$1110,'MA Engine'!$J$6:$J$1110,$G83,'MA Engine'!$I$6:$I$1110,"DO",'MA Engine'!$C$6:$C$1110,"Trading"))</f>
        <v>466.42</v>
      </c>
      <c r="K83" s="7" t="n">
        <f aca="false">IF($G83="",0,SUMIFS('MA Engine'!$X$6:$X$1110,'MA Engine'!$J$6:$J$1110,$G83,'MA Engine'!$I$6:$I$1110,"DO",'MA Engine'!$C$6:$C$1110,"RPA"))</f>
        <v>0</v>
      </c>
      <c r="L83" s="7" t="n">
        <f aca="false">IF($G83="",0,SUMIFS('MA Engine'!$X$6:$X$1110,'MA Engine'!$J$6:$J$1110,$G83,'MA Engine'!$I$6:$I$1110,"DO",'MA Engine'!$C$6:$C$1110,"Trading"))</f>
        <v>14063327.3903667</v>
      </c>
      <c r="M83" s="12" t="s">
        <v>2370</v>
      </c>
    </row>
    <row r="84" customFormat="false" ht="15" hidden="false" customHeight="false" outlineLevel="0" collapsed="false">
      <c r="A84" s="91" t="n">
        <v>8</v>
      </c>
      <c r="B84" s="74" t="s">
        <v>2449</v>
      </c>
      <c r="C84" s="76" t="n">
        <v>46240</v>
      </c>
      <c r="D84" s="74" t="s">
        <v>273</v>
      </c>
      <c r="E84" s="8" t="n">
        <v>0</v>
      </c>
      <c r="F84" s="8" t="n">
        <v>176492528</v>
      </c>
      <c r="G84" s="74" t="s">
        <v>2320</v>
      </c>
      <c r="H84" s="13" t="n">
        <f aca="false">IF($G84="",0,SUMIFS('MA Engine'!$W$6:$W$1110,'MA Engine'!$J$6:$J$1110,$G84,'MA Engine'!$I$6:$I$1110,"DO",'MA Engine'!$C$6:$C$1110,"RPA"))</f>
        <v>0</v>
      </c>
      <c r="I84" s="13" t="n">
        <f aca="false">IF($G84="",0,SUMIFS('MA Engine'!$W$6:$W$1110,'MA Engine'!$J$6:$J$1110,$G84,'MA Engine'!$I$6:$I$1110,"DO",'MA Engine'!$C$6:$C$1110,"Trading"))</f>
        <v>5316.04</v>
      </c>
      <c r="K84" s="7" t="n">
        <f aca="false">IF($G84="",0,SUMIFS('MA Engine'!$X$6:$X$1110,'MA Engine'!$J$6:$J$1110,$G84,'MA Engine'!$I$6:$I$1110,"DO",'MA Engine'!$C$6:$C$1110,"RPA"))</f>
        <v>0</v>
      </c>
      <c r="L84" s="7" t="n">
        <f aca="false">IF($G84="",0,SUMIFS('MA Engine'!$X$6:$X$1110,'MA Engine'!$J$6:$J$1110,$G84,'MA Engine'!$I$6:$I$1110,"DO",'MA Engine'!$C$6:$C$1110,"Trading"))</f>
        <v>156192997.51076</v>
      </c>
      <c r="M84" s="12" t="s">
        <v>2370</v>
      </c>
    </row>
    <row r="85" customFormat="false" ht="15" hidden="false" customHeight="false" outlineLevel="0" collapsed="false">
      <c r="A85" s="91" t="n">
        <v>8</v>
      </c>
      <c r="B85" s="74" t="s">
        <v>2450</v>
      </c>
      <c r="C85" s="76" t="n">
        <v>46241</v>
      </c>
      <c r="D85" s="74" t="s">
        <v>269</v>
      </c>
      <c r="E85" s="8" t="n">
        <v>0</v>
      </c>
      <c r="F85" s="8" t="n">
        <v>45937400</v>
      </c>
      <c r="G85" s="74" t="s">
        <v>2304</v>
      </c>
      <c r="H85" s="13" t="n">
        <f aca="false">IF($G85="",0,SUMIFS('MA Engine'!$W$6:$W$1110,'MA Engine'!$J$6:$J$1110,$G85,'MA Engine'!$I$6:$I$1110,"DO",'MA Engine'!$C$6:$C$1110,"RPA"))</f>
        <v>0</v>
      </c>
      <c r="I85" s="13" t="n">
        <f aca="false">IF($G85="",0,SUMIFS('MA Engine'!$W$6:$W$1110,'MA Engine'!$J$6:$J$1110,$G85,'MA Engine'!$I$6:$I$1110,"DO",'MA Engine'!$C$6:$C$1110,"Trading"))</f>
        <v>1557.2</v>
      </c>
      <c r="K85" s="7" t="n">
        <f aca="false">IF($G85="",0,SUMIFS('MA Engine'!$X$6:$X$1110,'MA Engine'!$J$6:$J$1110,$G85,'MA Engine'!$I$6:$I$1110,"DO",'MA Engine'!$C$6:$C$1110,"RPA"))</f>
        <v>0</v>
      </c>
      <c r="L85" s="7" t="n">
        <f aca="false">IF($G85="",0,SUMIFS('MA Engine'!$X$6:$X$1110,'MA Engine'!$J$6:$J$1110,$G85,'MA Engine'!$I$6:$I$1110,"DO",'MA Engine'!$C$6:$C$1110,"Trading"))</f>
        <v>46543719.0131689</v>
      </c>
      <c r="M85" s="12" t="s">
        <v>2370</v>
      </c>
    </row>
    <row r="86" customFormat="false" ht="15" hidden="false" customHeight="false" outlineLevel="0" collapsed="false">
      <c r="A86" s="91" t="n">
        <v>8</v>
      </c>
      <c r="B86" s="74" t="s">
        <v>2451</v>
      </c>
      <c r="C86" s="76" t="n">
        <v>46241</v>
      </c>
      <c r="D86" s="74" t="s">
        <v>280</v>
      </c>
      <c r="E86" s="8" t="n">
        <v>0</v>
      </c>
      <c r="F86" s="8" t="n">
        <v>79833980</v>
      </c>
      <c r="G86" s="74" t="s">
        <v>2298</v>
      </c>
      <c r="H86" s="13" t="n">
        <f aca="false">IF($G86="",0,SUMIFS('MA Engine'!$W$6:$W$1110,'MA Engine'!$J$6:$J$1110,$G86,'MA Engine'!$I$6:$I$1110,"DO",'MA Engine'!$C$6:$C$1110,"RPA"))</f>
        <v>0</v>
      </c>
      <c r="I86" s="13" t="n">
        <f aca="false">IF($G86="",0,SUMIFS('MA Engine'!$W$6:$W$1110,'MA Engine'!$J$6:$J$1110,$G86,'MA Engine'!$I$6:$I$1110,"DO",'MA Engine'!$C$6:$C$1110,"Trading"))</f>
        <v>2592.91</v>
      </c>
      <c r="K86" s="7" t="n">
        <f aca="false">IF($G86="",0,SUMIFS('MA Engine'!$X$6:$X$1110,'MA Engine'!$J$6:$J$1110,$G86,'MA Engine'!$I$6:$I$1110,"DO",'MA Engine'!$C$6:$C$1110,"RPA"))</f>
        <v>0</v>
      </c>
      <c r="L86" s="7" t="n">
        <f aca="false">IF($G86="",0,SUMIFS('MA Engine'!$X$6:$X$1110,'MA Engine'!$J$6:$J$1110,$G86,'MA Engine'!$I$6:$I$1110,"DO",'MA Engine'!$C$6:$C$1110,"Trading"))</f>
        <v>77044646.5505429</v>
      </c>
      <c r="M86" s="12" t="s">
        <v>2370</v>
      </c>
    </row>
    <row r="87" customFormat="false" ht="15" hidden="false" customHeight="false" outlineLevel="0" collapsed="false">
      <c r="A87" s="91" t="n">
        <v>8</v>
      </c>
      <c r="B87" s="74" t="s">
        <v>2452</v>
      </c>
      <c r="C87" s="76" t="n">
        <v>46241</v>
      </c>
      <c r="D87" s="74" t="s">
        <v>278</v>
      </c>
      <c r="E87" s="8" t="n">
        <v>0</v>
      </c>
      <c r="F87" s="8" t="n">
        <v>15056850</v>
      </c>
      <c r="G87" s="74" t="s">
        <v>2260</v>
      </c>
      <c r="H87" s="13" t="n">
        <f aca="false">IF($G87="",0,SUMIFS('MA Engine'!$W$6:$W$1110,'MA Engine'!$J$6:$J$1110,$G87,'MA Engine'!$I$6:$I$1110,"DO",'MA Engine'!$C$6:$C$1110,"RPA"))</f>
        <v>0</v>
      </c>
      <c r="I87" s="13" t="n">
        <f aca="false">IF($G87="",0,SUMIFS('MA Engine'!$W$6:$W$1110,'MA Engine'!$J$6:$J$1110,$G87,'MA Engine'!$I$6:$I$1110,"DO",'MA Engine'!$C$6:$C$1110,"Trading"))</f>
        <v>411.3</v>
      </c>
      <c r="K87" s="7" t="n">
        <f aca="false">IF($G87="",0,SUMIFS('MA Engine'!$X$6:$X$1110,'MA Engine'!$J$6:$J$1110,$G87,'MA Engine'!$I$6:$I$1110,"DO",'MA Engine'!$C$6:$C$1110,"RPA"))</f>
        <v>0</v>
      </c>
      <c r="L87" s="7" t="n">
        <f aca="false">IF($G87="",0,SUMIFS('MA Engine'!$X$6:$X$1110,'MA Engine'!$J$6:$J$1110,$G87,'MA Engine'!$I$6:$I$1110,"DO",'MA Engine'!$C$6:$C$1110,"Trading"))</f>
        <v>13155706.320905</v>
      </c>
      <c r="M87" s="12" t="s">
        <v>2370</v>
      </c>
    </row>
    <row r="88" customFormat="false" ht="15" hidden="false" customHeight="false" outlineLevel="0" collapsed="false">
      <c r="A88" s="91" t="n">
        <v>8</v>
      </c>
      <c r="B88" s="74" t="s">
        <v>2453</v>
      </c>
      <c r="C88" s="76" t="n">
        <v>46241</v>
      </c>
      <c r="D88" s="74" t="s">
        <v>269</v>
      </c>
      <c r="E88" s="8" t="n">
        <v>0</v>
      </c>
      <c r="F88" s="8" t="n">
        <v>36600000</v>
      </c>
      <c r="G88" s="74" t="s">
        <v>2321</v>
      </c>
      <c r="H88" s="13" t="n">
        <f aca="false">IF($G88="",0,SUMIFS('MA Engine'!$W$6:$W$1110,'MA Engine'!$J$6:$J$1110,$G88,'MA Engine'!$I$6:$I$1110,"DO",'MA Engine'!$C$6:$C$1110,"RPA"))</f>
        <v>0</v>
      </c>
      <c r="I88" s="13" t="n">
        <f aca="false">IF($G88="",0,SUMIFS('MA Engine'!$W$6:$W$1110,'MA Engine'!$J$6:$J$1110,$G88,'MA Engine'!$I$6:$I$1110,"DO",'MA Engine'!$C$6:$C$1110,"Trading"))</f>
        <v>1220</v>
      </c>
      <c r="K88" s="7" t="n">
        <f aca="false">IF($G88="",0,SUMIFS('MA Engine'!$X$6:$X$1110,'MA Engine'!$J$6:$J$1110,$G88,'MA Engine'!$I$6:$I$1110,"DO",'MA Engine'!$C$6:$C$1110,"RPA"))</f>
        <v>0</v>
      </c>
      <c r="L88" s="7" t="n">
        <f aca="false">IF($G88="",0,SUMIFS('MA Engine'!$X$6:$X$1110,'MA Engine'!$J$6:$J$1110,$G88,'MA Engine'!$I$6:$I$1110,"DO",'MA Engine'!$C$6:$C$1110,"Trading"))</f>
        <v>35845376.8149088</v>
      </c>
      <c r="M88" s="12" t="s">
        <v>2370</v>
      </c>
    </row>
    <row r="89" customFormat="false" ht="15" hidden="false" customHeight="false" outlineLevel="0" collapsed="false">
      <c r="A89" s="91" t="n">
        <v>8</v>
      </c>
      <c r="B89" s="74" t="s">
        <v>2454</v>
      </c>
      <c r="C89" s="76" t="n">
        <v>46242</v>
      </c>
      <c r="D89" s="74" t="s">
        <v>292</v>
      </c>
      <c r="E89" s="8" t="n">
        <v>33406350</v>
      </c>
      <c r="F89" s="8" t="n">
        <v>0</v>
      </c>
      <c r="G89" s="74" t="s">
        <v>2135</v>
      </c>
      <c r="H89" s="13" t="n">
        <f aca="false">IF($G89="",0,SUMIFS('MA Engine'!$W$6:$W$1110,'MA Engine'!$J$6:$J$1110,$G89,'MA Engine'!$I$6:$I$1110,"DO",'MA Engine'!$C$6:$C$1110,"RPA"))</f>
        <v>968.3</v>
      </c>
      <c r="I89" s="13" t="n">
        <f aca="false">IF($G89="",0,SUMIFS('MA Engine'!$W$6:$W$1110,'MA Engine'!$J$6:$J$1110,$G89,'MA Engine'!$I$6:$I$1110,"DO",'MA Engine'!$C$6:$C$1110,"Trading"))</f>
        <v>0</v>
      </c>
      <c r="K89" s="7" t="n">
        <f aca="false">IF($G89="",0,SUMIFS('MA Engine'!$X$6:$X$1110,'MA Engine'!$J$6:$J$1110,$G89,'MA Engine'!$I$6:$I$1110,"DO",'MA Engine'!$C$6:$C$1110,"RPA"))</f>
        <v>36071674.048065</v>
      </c>
      <c r="L89" s="7" t="n">
        <f aca="false">IF($G89="",0,SUMIFS('MA Engine'!$X$6:$X$1110,'MA Engine'!$J$6:$J$1110,$G89,'MA Engine'!$I$6:$I$1110,"DO",'MA Engine'!$C$6:$C$1110,"Trading"))</f>
        <v>0</v>
      </c>
      <c r="M89" s="12" t="s">
        <v>2370</v>
      </c>
    </row>
    <row r="90" customFormat="false" ht="15" hidden="false" customHeight="false" outlineLevel="0" collapsed="false">
      <c r="A90" s="91" t="n">
        <v>8</v>
      </c>
      <c r="B90" s="74" t="s">
        <v>2455</v>
      </c>
      <c r="C90" s="76" t="n">
        <v>46242</v>
      </c>
      <c r="D90" s="74" t="s">
        <v>269</v>
      </c>
      <c r="E90" s="8" t="n">
        <v>0</v>
      </c>
      <c r="F90" s="8" t="n">
        <v>19338000</v>
      </c>
      <c r="G90" s="74" t="s">
        <v>2322</v>
      </c>
      <c r="H90" s="13" t="n">
        <f aca="false">IF($G90="",0,SUMIFS('MA Engine'!$W$6:$W$1110,'MA Engine'!$J$6:$J$1110,$G90,'MA Engine'!$I$6:$I$1110,"DO",'MA Engine'!$C$6:$C$1110,"RPA"))</f>
        <v>0</v>
      </c>
      <c r="I90" s="13" t="n">
        <f aca="false">IF($G90="",0,SUMIFS('MA Engine'!$W$6:$W$1110,'MA Engine'!$J$6:$J$1110,$G90,'MA Engine'!$I$6:$I$1110,"DO",'MA Engine'!$C$6:$C$1110,"Trading"))</f>
        <v>644.6</v>
      </c>
      <c r="K90" s="7" t="n">
        <f aca="false">IF($G90="",0,SUMIFS('MA Engine'!$X$6:$X$1110,'MA Engine'!$J$6:$J$1110,$G90,'MA Engine'!$I$6:$I$1110,"DO",'MA Engine'!$C$6:$C$1110,"RPA"))</f>
        <v>0</v>
      </c>
      <c r="L90" s="7" t="n">
        <f aca="false">IF($G90="",0,SUMIFS('MA Engine'!$X$6:$X$1110,'MA Engine'!$J$6:$J$1110,$G90,'MA Engine'!$I$6:$I$1110,"DO",'MA Engine'!$C$6:$C$1110,"Trading"))</f>
        <v>18939286.7990903</v>
      </c>
      <c r="M90" s="12" t="s">
        <v>2370</v>
      </c>
    </row>
    <row r="91" customFormat="false" ht="15" hidden="false" customHeight="false" outlineLevel="0" collapsed="false">
      <c r="A91" s="91" t="n">
        <v>8</v>
      </c>
      <c r="B91" s="74" t="s">
        <v>2456</v>
      </c>
      <c r="C91" s="76" t="n">
        <v>46242</v>
      </c>
      <c r="D91" s="74" t="s">
        <v>287</v>
      </c>
      <c r="E91" s="8" t="n">
        <v>2399000</v>
      </c>
      <c r="F91" s="8" t="n">
        <v>0</v>
      </c>
      <c r="G91" s="74" t="s">
        <v>2076</v>
      </c>
      <c r="H91" s="13" t="n">
        <f aca="false">IF($G91="",0,SUMIFS('MA Engine'!$W$6:$W$1110,'MA Engine'!$J$6:$J$1110,$G91,'MA Engine'!$I$6:$I$1110,"DO",'MA Engine'!$C$6:$C$1110,"RPA"))</f>
        <v>479.8</v>
      </c>
      <c r="I91" s="13" t="n">
        <f aca="false">IF($G91="",0,SUMIFS('MA Engine'!$W$6:$W$1110,'MA Engine'!$J$6:$J$1110,$G91,'MA Engine'!$I$6:$I$1110,"DO",'MA Engine'!$C$6:$C$1110,"Trading"))</f>
        <v>0</v>
      </c>
      <c r="K91" s="7" t="n">
        <f aca="false">IF($G91="",0,SUMIFS('MA Engine'!$X$6:$X$1110,'MA Engine'!$J$6:$J$1110,$G91,'MA Engine'!$I$6:$I$1110,"DO",'MA Engine'!$C$6:$C$1110,"RPA"))</f>
        <v>2277754.84812274</v>
      </c>
      <c r="L91" s="7" t="n">
        <f aca="false">IF($G91="",0,SUMIFS('MA Engine'!$X$6:$X$1110,'MA Engine'!$J$6:$J$1110,$G91,'MA Engine'!$I$6:$I$1110,"DO",'MA Engine'!$C$6:$C$1110,"Trading"))</f>
        <v>0</v>
      </c>
      <c r="M91" s="12" t="s">
        <v>2370</v>
      </c>
    </row>
    <row r="92" customFormat="false" ht="15" hidden="false" customHeight="false" outlineLevel="0" collapsed="false">
      <c r="A92" s="91" t="n">
        <v>8</v>
      </c>
      <c r="B92" s="74" t="s">
        <v>2457</v>
      </c>
      <c r="C92" s="76" t="n">
        <v>46242</v>
      </c>
      <c r="D92" s="74" t="s">
        <v>287</v>
      </c>
      <c r="E92" s="8" t="n">
        <v>2289500</v>
      </c>
      <c r="F92" s="8" t="n">
        <v>0</v>
      </c>
      <c r="G92" s="74" t="s">
        <v>2078</v>
      </c>
      <c r="H92" s="13" t="n">
        <f aca="false">IF($G92="",0,SUMIFS('MA Engine'!$W$6:$W$1110,'MA Engine'!$J$6:$J$1110,$G92,'MA Engine'!$I$6:$I$1110,"DO",'MA Engine'!$C$6:$C$1110,"RPA"))</f>
        <v>457.9</v>
      </c>
      <c r="I92" s="13" t="n">
        <f aca="false">IF($G92="",0,SUMIFS('MA Engine'!$W$6:$W$1110,'MA Engine'!$J$6:$J$1110,$G92,'MA Engine'!$I$6:$I$1110,"DO",'MA Engine'!$C$6:$C$1110,"Trading"))</f>
        <v>0</v>
      </c>
      <c r="K92" s="7" t="n">
        <f aca="false">IF($G92="",0,SUMIFS('MA Engine'!$X$6:$X$1110,'MA Engine'!$J$6:$J$1110,$G92,'MA Engine'!$I$6:$I$1110,"DO",'MA Engine'!$C$6:$C$1110,"RPA"))</f>
        <v>2905006.4071308</v>
      </c>
      <c r="L92" s="7" t="n">
        <f aca="false">IF($G92="",0,SUMIFS('MA Engine'!$X$6:$X$1110,'MA Engine'!$J$6:$J$1110,$G92,'MA Engine'!$I$6:$I$1110,"DO",'MA Engine'!$C$6:$C$1110,"Trading"))</f>
        <v>0</v>
      </c>
      <c r="M92" s="12" t="s">
        <v>2370</v>
      </c>
    </row>
    <row r="93" customFormat="false" ht="15" hidden="false" customHeight="false" outlineLevel="0" collapsed="false">
      <c r="A93" s="91" t="n">
        <v>8</v>
      </c>
      <c r="B93" s="74" t="s">
        <v>2458</v>
      </c>
      <c r="C93" s="76" t="n">
        <v>46242</v>
      </c>
      <c r="D93" s="74" t="s">
        <v>271</v>
      </c>
      <c r="E93" s="8" t="n">
        <v>0</v>
      </c>
      <c r="F93" s="8" t="n">
        <v>38733400</v>
      </c>
      <c r="G93" s="74" t="s">
        <v>2262</v>
      </c>
      <c r="H93" s="13" t="n">
        <f aca="false">IF($G93="",0,SUMIFS('MA Engine'!$W$6:$W$1110,'MA Engine'!$J$6:$J$1110,$G93,'MA Engine'!$I$6:$I$1110,"DO",'MA Engine'!$C$6:$C$1110,"RPA"))</f>
        <v>0</v>
      </c>
      <c r="I93" s="13" t="n">
        <f aca="false">IF($G93="",0,SUMIFS('MA Engine'!$W$6:$W$1110,'MA Engine'!$J$6:$J$1110,$G93,'MA Engine'!$I$6:$I$1110,"DO",'MA Engine'!$C$6:$C$1110,"Trading"))</f>
        <v>1019.3</v>
      </c>
      <c r="K93" s="7" t="n">
        <f aca="false">IF($G93="",0,SUMIFS('MA Engine'!$X$6:$X$1110,'MA Engine'!$J$6:$J$1110,$G93,'MA Engine'!$I$6:$I$1110,"DO",'MA Engine'!$C$6:$C$1110,"RPA"))</f>
        <v>0</v>
      </c>
      <c r="L93" s="7" t="n">
        <f aca="false">IF($G93="",0,SUMIFS('MA Engine'!$X$6:$X$1110,'MA Engine'!$J$6:$J$1110,$G93,'MA Engine'!$I$6:$I$1110,"DO",'MA Engine'!$C$6:$C$1110,"Trading"))</f>
        <v>39981817.7890859</v>
      </c>
      <c r="M93" s="12" t="s">
        <v>2370</v>
      </c>
    </row>
    <row r="94" customFormat="false" ht="15" hidden="false" customHeight="false" outlineLevel="0" collapsed="false">
      <c r="A94" s="91" t="n">
        <v>8</v>
      </c>
      <c r="B94" s="74" t="s">
        <v>2459</v>
      </c>
      <c r="C94" s="76" t="n">
        <v>46242</v>
      </c>
      <c r="D94" s="74" t="s">
        <v>278</v>
      </c>
      <c r="E94" s="8" t="n">
        <v>0</v>
      </c>
      <c r="F94" s="8" t="n">
        <v>839800</v>
      </c>
      <c r="G94" s="74" t="s">
        <v>2263</v>
      </c>
      <c r="H94" s="13" t="n">
        <f aca="false">IF($G94="",0,SUMIFS('MA Engine'!$W$6:$W$1110,'MA Engine'!$J$6:$J$1110,$G94,'MA Engine'!$I$6:$I$1110,"DO",'MA Engine'!$C$6:$C$1110,"RPA"))</f>
        <v>0</v>
      </c>
      <c r="I94" s="13" t="n">
        <f aca="false">IF($G94="",0,SUMIFS('MA Engine'!$W$6:$W$1110,'MA Engine'!$J$6:$J$1110,$G94,'MA Engine'!$I$6:$I$1110,"DO",'MA Engine'!$C$6:$C$1110,"Trading"))</f>
        <v>22.1</v>
      </c>
      <c r="K94" s="7" t="n">
        <f aca="false">IF($G94="",0,SUMIFS('MA Engine'!$X$6:$X$1110,'MA Engine'!$J$6:$J$1110,$G94,'MA Engine'!$I$6:$I$1110,"DO",'MA Engine'!$C$6:$C$1110,"RPA"))</f>
        <v>0</v>
      </c>
      <c r="L94" s="7" t="n">
        <f aca="false">IF($G94="",0,SUMIFS('MA Engine'!$X$6:$X$1110,'MA Engine'!$J$6:$J$1110,$G94,'MA Engine'!$I$6:$I$1110,"DO",'MA Engine'!$C$6:$C$1110,"Trading"))</f>
        <v>866867.627919944</v>
      </c>
      <c r="M94" s="12" t="s">
        <v>2370</v>
      </c>
    </row>
    <row r="95" customFormat="false" ht="15" hidden="false" customHeight="false" outlineLevel="0" collapsed="false">
      <c r="A95" s="91" t="n">
        <v>8</v>
      </c>
      <c r="B95" s="74" t="s">
        <v>2460</v>
      </c>
      <c r="C95" s="76" t="n">
        <v>46244</v>
      </c>
      <c r="D95" s="74" t="s">
        <v>283</v>
      </c>
      <c r="E95" s="8" t="n">
        <v>7858325</v>
      </c>
      <c r="F95" s="8" t="n">
        <v>4602450</v>
      </c>
      <c r="G95" s="74" t="s">
        <v>2158</v>
      </c>
      <c r="H95" s="13" t="n">
        <f aca="false">IF($G95="",0,SUMIFS('MA Engine'!$W$6:$W$1110,'MA Engine'!$J$6:$J$1110,$G95,'MA Engine'!$I$6:$I$1110,"DO",'MA Engine'!$C$6:$C$1110,"RPA"))</f>
        <v>257.65</v>
      </c>
      <c r="I95" s="13" t="n">
        <f aca="false">IF($G95="",0,SUMIFS('MA Engine'!$W$6:$W$1110,'MA Engine'!$J$6:$J$1110,$G95,'MA Engine'!$I$6:$I$1110,"DO",'MA Engine'!$C$6:$C$1110,"Trading"))</f>
        <v>150.9</v>
      </c>
      <c r="K95" s="7" t="n">
        <f aca="false">IF($G95="",0,SUMIFS('MA Engine'!$X$6:$X$1110,'MA Engine'!$J$6:$J$1110,$G95,'MA Engine'!$I$6:$I$1110,"DO",'MA Engine'!$C$6:$C$1110,"RPA"))</f>
        <v>9581448.6</v>
      </c>
      <c r="L95" s="7" t="n">
        <f aca="false">IF($G95="",0,SUMIFS('MA Engine'!$X$6:$X$1110,'MA Engine'!$J$6:$J$1110,$G95,'MA Engine'!$I$6:$I$1110,"DO",'MA Engine'!$C$6:$C$1110,"Trading"))</f>
        <v>3533208.33246861</v>
      </c>
      <c r="M95" s="12" t="s">
        <v>2370</v>
      </c>
    </row>
    <row r="96" customFormat="false" ht="15" hidden="false" customHeight="false" outlineLevel="0" collapsed="false">
      <c r="A96" s="91" t="n">
        <v>8</v>
      </c>
      <c r="B96" s="74" t="s">
        <v>2461</v>
      </c>
      <c r="C96" s="76" t="n">
        <v>46244</v>
      </c>
      <c r="D96" s="74" t="s">
        <v>271</v>
      </c>
      <c r="E96" s="8" t="n">
        <v>0</v>
      </c>
      <c r="F96" s="8" t="n">
        <v>19725800</v>
      </c>
      <c r="G96" s="74" t="s">
        <v>2264</v>
      </c>
      <c r="H96" s="13" t="n">
        <f aca="false">IF($G96="",0,SUMIFS('MA Engine'!$W$6:$W$1110,'MA Engine'!$J$6:$J$1110,$G96,'MA Engine'!$I$6:$I$1110,"DO",'MA Engine'!$C$6:$C$1110,"RPA"))</f>
        <v>0</v>
      </c>
      <c r="I96" s="13" t="n">
        <f aca="false">IF($G96="",0,SUMIFS('MA Engine'!$W$6:$W$1110,'MA Engine'!$J$6:$J$1110,$G96,'MA Engine'!$I$6:$I$1110,"DO",'MA Engine'!$C$6:$C$1110,"Trading"))</f>
        <v>519.1</v>
      </c>
      <c r="K96" s="7" t="n">
        <f aca="false">IF($G96="",0,SUMIFS('MA Engine'!$X$6:$X$1110,'MA Engine'!$J$6:$J$1110,$G96,'MA Engine'!$I$6:$I$1110,"DO",'MA Engine'!$C$6:$C$1110,"RPA"))</f>
        <v>0</v>
      </c>
      <c r="L96" s="7" t="n">
        <f aca="false">IF($G96="",0,SUMIFS('MA Engine'!$X$6:$X$1110,'MA Engine'!$J$6:$J$1110,$G96,'MA Engine'!$I$6:$I$1110,"DO",'MA Engine'!$C$6:$C$1110,"Trading"))</f>
        <v>20361583.0612327</v>
      </c>
      <c r="M96" s="12" t="s">
        <v>2370</v>
      </c>
    </row>
    <row r="97" customFormat="false" ht="15" hidden="false" customHeight="false" outlineLevel="0" collapsed="false">
      <c r="A97" s="91" t="n">
        <v>8</v>
      </c>
      <c r="B97" s="74" t="s">
        <v>2462</v>
      </c>
      <c r="C97" s="76" t="n">
        <v>46244</v>
      </c>
      <c r="D97" s="74" t="s">
        <v>269</v>
      </c>
      <c r="E97" s="8" t="n">
        <v>0</v>
      </c>
      <c r="F97" s="8" t="n">
        <v>17820950</v>
      </c>
      <c r="G97" s="74" t="s">
        <v>2337</v>
      </c>
      <c r="H97" s="13" t="n">
        <f aca="false">IF($G97="",0,SUMIFS('MA Engine'!$W$6:$W$1110,'MA Engine'!$J$6:$J$1110,$G97,'MA Engine'!$I$6:$I$1110,"DO",'MA Engine'!$C$6:$C$1110,"RPA"))</f>
        <v>0</v>
      </c>
      <c r="I97" s="13" t="n">
        <f aca="false">IF($G97="",0,SUMIFS('MA Engine'!$W$6:$W$1110,'MA Engine'!$J$6:$J$1110,$G97,'MA Engine'!$I$6:$I$1110,"DO",'MA Engine'!$C$6:$C$1110,"Trading"))</f>
        <v>604.1</v>
      </c>
      <c r="K97" s="7" t="n">
        <f aca="false">IF($G97="",0,SUMIFS('MA Engine'!$X$6:$X$1110,'MA Engine'!$J$6:$J$1110,$G97,'MA Engine'!$I$6:$I$1110,"DO",'MA Engine'!$C$6:$C$1110,"RPA"))</f>
        <v>0</v>
      </c>
      <c r="L97" s="7" t="n">
        <f aca="false">IF($G97="",0,SUMIFS('MA Engine'!$X$6:$X$1110,'MA Engine'!$J$6:$J$1110,$G97,'MA Engine'!$I$6:$I$1110,"DO",'MA Engine'!$C$6:$C$1110,"Trading"))</f>
        <v>19383250.4339477</v>
      </c>
      <c r="M97" s="12" t="s">
        <v>2370</v>
      </c>
    </row>
    <row r="98" customFormat="false" ht="15" hidden="false" customHeight="false" outlineLevel="0" collapsed="false">
      <c r="A98" s="91" t="n">
        <v>8</v>
      </c>
      <c r="B98" s="74" t="s">
        <v>2463</v>
      </c>
      <c r="C98" s="76" t="n">
        <v>46244</v>
      </c>
      <c r="D98" s="74" t="s">
        <v>280</v>
      </c>
      <c r="E98" s="8" t="n">
        <v>0</v>
      </c>
      <c r="F98" s="8" t="n">
        <v>93771640</v>
      </c>
      <c r="G98" s="74" t="s">
        <v>2305</v>
      </c>
      <c r="H98" s="13" t="n">
        <f aca="false">IF($G98="",0,SUMIFS('MA Engine'!$W$6:$W$1110,'MA Engine'!$J$6:$J$1110,$G98,'MA Engine'!$I$6:$I$1110,"DO",'MA Engine'!$C$6:$C$1110,"RPA"))</f>
        <v>0</v>
      </c>
      <c r="I98" s="13" t="n">
        <f aca="false">IF($G98="",0,SUMIFS('MA Engine'!$W$6:$W$1110,'MA Engine'!$J$6:$J$1110,$G98,'MA Engine'!$I$6:$I$1110,"DO",'MA Engine'!$C$6:$C$1110,"Trading"))</f>
        <v>3047.34</v>
      </c>
      <c r="K98" s="7" t="n">
        <f aca="false">IF($G98="",0,SUMIFS('MA Engine'!$X$6:$X$1110,'MA Engine'!$J$6:$J$1110,$G98,'MA Engine'!$I$6:$I$1110,"DO",'MA Engine'!$C$6:$C$1110,"RPA"))</f>
        <v>0</v>
      </c>
      <c r="L98" s="7" t="n">
        <f aca="false">IF($G98="",0,SUMIFS('MA Engine'!$X$6:$X$1110,'MA Engine'!$J$6:$J$1110,$G98,'MA Engine'!$I$6:$I$1110,"DO",'MA Engine'!$C$6:$C$1110,"Trading"))</f>
        <v>93961690.6397868</v>
      </c>
      <c r="M98" s="12" t="s">
        <v>2370</v>
      </c>
    </row>
    <row r="99" customFormat="false" ht="15" hidden="false" customHeight="false" outlineLevel="0" collapsed="false">
      <c r="A99" s="91" t="n">
        <v>8</v>
      </c>
      <c r="B99" s="74" t="s">
        <v>2464</v>
      </c>
      <c r="C99" s="76" t="n">
        <v>46244</v>
      </c>
      <c r="D99" s="74" t="s">
        <v>269</v>
      </c>
      <c r="E99" s="8" t="n">
        <v>0</v>
      </c>
      <c r="F99" s="8" t="n">
        <v>25659000</v>
      </c>
      <c r="G99" s="74" t="s">
        <v>2323</v>
      </c>
      <c r="H99" s="13" t="n">
        <f aca="false">IF($G99="",0,SUMIFS('MA Engine'!$W$6:$W$1110,'MA Engine'!$J$6:$J$1110,$G99,'MA Engine'!$I$6:$I$1110,"DO",'MA Engine'!$C$6:$C$1110,"RPA"))</f>
        <v>0</v>
      </c>
      <c r="I99" s="13" t="n">
        <f aca="false">IF($G99="",0,SUMIFS('MA Engine'!$W$6:$W$1110,'MA Engine'!$J$6:$J$1110,$G99,'MA Engine'!$I$6:$I$1110,"DO",'MA Engine'!$C$6:$C$1110,"Trading"))</f>
        <v>912.2</v>
      </c>
      <c r="K99" s="7" t="n">
        <f aca="false">IF($G99="",0,SUMIFS('MA Engine'!$X$6:$X$1110,'MA Engine'!$J$6:$J$1110,$G99,'MA Engine'!$I$6:$I$1110,"DO",'MA Engine'!$C$6:$C$1110,"RPA"))</f>
        <v>0</v>
      </c>
      <c r="L99" s="7" t="n">
        <f aca="false">IF($G99="",0,SUMIFS('MA Engine'!$X$6:$X$1110,'MA Engine'!$J$6:$J$1110,$G99,'MA Engine'!$I$6:$I$1110,"DO",'MA Engine'!$C$6:$C$1110,"Trading"))</f>
        <v>26939820.1684224</v>
      </c>
      <c r="M99" s="12" t="s">
        <v>2370</v>
      </c>
    </row>
    <row r="100" customFormat="false" ht="15" hidden="false" customHeight="false" outlineLevel="0" collapsed="false">
      <c r="A100" s="91" t="n">
        <v>8</v>
      </c>
      <c r="B100" s="74" t="s">
        <v>2465</v>
      </c>
      <c r="C100" s="76" t="n">
        <v>46244</v>
      </c>
      <c r="D100" s="74" t="s">
        <v>271</v>
      </c>
      <c r="E100" s="8" t="n">
        <v>0</v>
      </c>
      <c r="F100" s="8" t="n">
        <v>38068400</v>
      </c>
      <c r="G100" s="74" t="s">
        <v>2265</v>
      </c>
      <c r="H100" s="13" t="n">
        <f aca="false">IF($G100="",0,SUMIFS('MA Engine'!$W$6:$W$1110,'MA Engine'!$J$6:$J$1110,$G100,'MA Engine'!$I$6:$I$1110,"DO",'MA Engine'!$C$6:$C$1110,"RPA"))</f>
        <v>0</v>
      </c>
      <c r="I100" s="13" t="n">
        <f aca="false">IF($G100="",0,SUMIFS('MA Engine'!$W$6:$W$1110,'MA Engine'!$J$6:$J$1110,$G100,'MA Engine'!$I$6:$I$1110,"DO",'MA Engine'!$C$6:$C$1110,"Trading"))</f>
        <v>1001.8</v>
      </c>
      <c r="K100" s="7" t="n">
        <f aca="false">IF($G100="",0,SUMIFS('MA Engine'!$X$6:$X$1110,'MA Engine'!$J$6:$J$1110,$G100,'MA Engine'!$I$6:$I$1110,"DO",'MA Engine'!$C$6:$C$1110,"RPA"))</f>
        <v>0</v>
      </c>
      <c r="L100" s="7" t="n">
        <f aca="false">IF($G100="",0,SUMIFS('MA Engine'!$X$6:$X$1110,'MA Engine'!$J$6:$J$1110,$G100,'MA Engine'!$I$6:$I$1110,"DO",'MA Engine'!$C$6:$C$1110,"Trading"))</f>
        <v>39295384.1470679</v>
      </c>
      <c r="M100" s="12" t="s">
        <v>2370</v>
      </c>
    </row>
    <row r="101" customFormat="false" ht="15" hidden="false" customHeight="false" outlineLevel="0" collapsed="false">
      <c r="A101" s="91" t="n">
        <v>8</v>
      </c>
      <c r="B101" s="74" t="s">
        <v>2466</v>
      </c>
      <c r="C101" s="76" t="n">
        <v>46244</v>
      </c>
      <c r="D101" s="74" t="s">
        <v>275</v>
      </c>
      <c r="E101" s="8" t="n">
        <v>0</v>
      </c>
      <c r="F101" s="8" t="n">
        <v>18806200</v>
      </c>
      <c r="G101" s="74" t="s">
        <v>2266</v>
      </c>
      <c r="H101" s="13" t="n">
        <f aca="false">IF($G101="",0,SUMIFS('MA Engine'!$W$6:$W$1110,'MA Engine'!$J$6:$J$1110,$G101,'MA Engine'!$I$6:$I$1110,"DO",'MA Engine'!$C$6:$C$1110,"RPA"))</f>
        <v>0</v>
      </c>
      <c r="I101" s="13" t="n">
        <f aca="false">IF($G101="",0,SUMIFS('MA Engine'!$W$6:$W$1110,'MA Engine'!$J$6:$J$1110,$G101,'MA Engine'!$I$6:$I$1110,"DO",'MA Engine'!$C$6:$C$1110,"Trading"))</f>
        <v>494.9</v>
      </c>
      <c r="K101" s="7" t="n">
        <f aca="false">IF($G101="",0,SUMIFS('MA Engine'!$X$6:$X$1110,'MA Engine'!$J$6:$J$1110,$G101,'MA Engine'!$I$6:$I$1110,"DO",'MA Engine'!$C$6:$C$1110,"RPA"))</f>
        <v>0</v>
      </c>
      <c r="L101" s="7" t="n">
        <f aca="false">IF($G101="",0,SUMIFS('MA Engine'!$X$6:$X$1110,'MA Engine'!$J$6:$J$1110,$G101,'MA Engine'!$I$6:$I$1110,"DO",'MA Engine'!$C$6:$C$1110,"Trading"))</f>
        <v>19412343.3962706</v>
      </c>
      <c r="M101" s="12" t="s">
        <v>2370</v>
      </c>
    </row>
    <row r="102" customFormat="false" ht="15" hidden="false" customHeight="false" outlineLevel="0" collapsed="false">
      <c r="A102" s="91" t="n">
        <v>8</v>
      </c>
      <c r="B102" s="74" t="s">
        <v>2467</v>
      </c>
      <c r="C102" s="76" t="n">
        <v>46244</v>
      </c>
      <c r="D102" s="74" t="s">
        <v>277</v>
      </c>
      <c r="E102" s="8" t="n">
        <v>0</v>
      </c>
      <c r="F102" s="8" t="n">
        <v>123936500</v>
      </c>
      <c r="G102" s="74" t="s">
        <v>2267</v>
      </c>
      <c r="H102" s="13" t="n">
        <f aca="false">IF($G102="",0,SUMIFS('MA Engine'!$W$6:$W$1110,'MA Engine'!$J$6:$J$1110,$G102,'MA Engine'!$I$6:$I$1110,"DO",'MA Engine'!$C$6:$C$1110,"RPA"))</f>
        <v>0</v>
      </c>
      <c r="I102" s="13" t="n">
        <f aca="false">IF($G102="",0,SUMIFS('MA Engine'!$W$6:$W$1110,'MA Engine'!$J$6:$J$1110,$G102,'MA Engine'!$I$6:$I$1110,"DO",'MA Engine'!$C$6:$C$1110,"Trading"))</f>
        <v>2782.3</v>
      </c>
      <c r="K102" s="7" t="n">
        <f aca="false">IF($G102="",0,SUMIFS('MA Engine'!$X$6:$X$1110,'MA Engine'!$J$6:$J$1110,$G102,'MA Engine'!$I$6:$I$1110,"DO",'MA Engine'!$C$6:$C$1110,"RPA"))</f>
        <v>0</v>
      </c>
      <c r="L102" s="7" t="n">
        <f aca="false">IF($G102="",0,SUMIFS('MA Engine'!$X$6:$X$1110,'MA Engine'!$J$6:$J$1110,$G102,'MA Engine'!$I$6:$I$1110,"DO",'MA Engine'!$C$6:$C$1110,"Trading"))</f>
        <v>102865992.936103</v>
      </c>
      <c r="M102" s="12" t="s">
        <v>2370</v>
      </c>
    </row>
    <row r="103" customFormat="false" ht="15" hidden="false" customHeight="false" outlineLevel="0" collapsed="false">
      <c r="A103" s="91" t="n">
        <v>8</v>
      </c>
      <c r="B103" s="74" t="s">
        <v>2468</v>
      </c>
      <c r="C103" s="76" t="n">
        <v>46244</v>
      </c>
      <c r="D103" s="74" t="s">
        <v>274</v>
      </c>
      <c r="E103" s="8" t="n">
        <v>0</v>
      </c>
      <c r="F103" s="8" t="n">
        <v>99397880</v>
      </c>
      <c r="G103" s="74" t="s">
        <v>2268</v>
      </c>
      <c r="H103" s="13" t="n">
        <f aca="false">IF($G103="",0,SUMIFS('MA Engine'!$W$6:$W$1110,'MA Engine'!$J$6:$J$1110,$G103,'MA Engine'!$I$6:$I$1110,"DO",'MA Engine'!$C$6:$C$1110,"RPA"))</f>
        <v>0</v>
      </c>
      <c r="I103" s="13" t="n">
        <f aca="false">IF($G103="",0,SUMIFS('MA Engine'!$W$6:$W$1110,'MA Engine'!$J$6:$J$1110,$G103,'MA Engine'!$I$6:$I$1110,"DO",'MA Engine'!$C$6:$C$1110,"Trading"))</f>
        <v>2522.16</v>
      </c>
      <c r="K103" s="7" t="n">
        <f aca="false">IF($G103="",0,SUMIFS('MA Engine'!$X$6:$X$1110,'MA Engine'!$J$6:$J$1110,$G103,'MA Engine'!$I$6:$I$1110,"DO",'MA Engine'!$C$6:$C$1110,"RPA"))</f>
        <v>0</v>
      </c>
      <c r="L103" s="7" t="n">
        <f aca="false">IF($G103="",0,SUMIFS('MA Engine'!$X$6:$X$1110,'MA Engine'!$J$6:$J$1110,$G103,'MA Engine'!$I$6:$I$1110,"DO",'MA Engine'!$C$6:$C$1110,"Trading"))</f>
        <v>89338638.3912197</v>
      </c>
      <c r="M103" s="12" t="s">
        <v>2370</v>
      </c>
    </row>
    <row r="104" customFormat="false" ht="15" hidden="false" customHeight="false" outlineLevel="0" collapsed="false">
      <c r="A104" s="91" t="n">
        <v>8</v>
      </c>
      <c r="B104" s="74" t="s">
        <v>2469</v>
      </c>
      <c r="C104" s="76" t="n">
        <v>46244</v>
      </c>
      <c r="D104" s="74" t="s">
        <v>271</v>
      </c>
      <c r="E104" s="8" t="n">
        <v>0</v>
      </c>
      <c r="F104" s="8" t="n">
        <v>103260960</v>
      </c>
      <c r="G104" s="74" t="s">
        <v>2281</v>
      </c>
      <c r="H104" s="13" t="n">
        <f aca="false">IF($G104="",0,SUMIFS('MA Engine'!$W$6:$W$1110,'MA Engine'!$J$6:$J$1110,$G104,'MA Engine'!$I$6:$I$1110,"DO",'MA Engine'!$C$6:$C$1110,"RPA"))</f>
        <v>0</v>
      </c>
      <c r="I104" s="13" t="n">
        <f aca="false">IF($G104="",0,SUMIFS('MA Engine'!$W$6:$W$1110,'MA Engine'!$J$6:$J$1110,$G104,'MA Engine'!$I$6:$I$1110,"DO",'MA Engine'!$C$6:$C$1110,"Trading"))</f>
        <v>2518.56</v>
      </c>
      <c r="K104" s="7" t="n">
        <f aca="false">IF($G104="",0,SUMIFS('MA Engine'!$X$6:$X$1110,'MA Engine'!$J$6:$J$1110,$G104,'MA Engine'!$I$6:$I$1110,"DO",'MA Engine'!$C$6:$C$1110,"RPA"))</f>
        <v>0</v>
      </c>
      <c r="L104" s="7" t="n">
        <f aca="false">IF($G104="",0,SUMIFS('MA Engine'!$X$6:$X$1110,'MA Engine'!$J$6:$J$1110,$G104,'MA Engine'!$I$6:$I$1110,"DO",'MA Engine'!$C$6:$C$1110,"Trading"))</f>
        <v>86328135.4517083</v>
      </c>
      <c r="M104" s="12" t="s">
        <v>2370</v>
      </c>
    </row>
    <row r="105" customFormat="false" ht="15" hidden="false" customHeight="false" outlineLevel="0" collapsed="false">
      <c r="A105" s="91" t="n">
        <v>8</v>
      </c>
      <c r="B105" s="74" t="s">
        <v>2470</v>
      </c>
      <c r="C105" s="76" t="n">
        <v>46244</v>
      </c>
      <c r="D105" s="74" t="s">
        <v>271</v>
      </c>
      <c r="E105" s="8" t="n">
        <v>0</v>
      </c>
      <c r="F105" s="8" t="n">
        <v>105330640</v>
      </c>
      <c r="G105" s="74" t="s">
        <v>2282</v>
      </c>
      <c r="H105" s="13" t="n">
        <f aca="false">IF($G105="",0,SUMIFS('MA Engine'!$W$6:$W$1110,'MA Engine'!$J$6:$J$1110,$G105,'MA Engine'!$I$6:$I$1110,"DO",'MA Engine'!$C$6:$C$1110,"RPA"))</f>
        <v>0</v>
      </c>
      <c r="I105" s="13" t="n">
        <f aca="false">IF($G105="",0,SUMIFS('MA Engine'!$W$6:$W$1110,'MA Engine'!$J$6:$J$1110,$G105,'MA Engine'!$I$6:$I$1110,"DO",'MA Engine'!$C$6:$C$1110,"Trading"))</f>
        <v>2569.04</v>
      </c>
      <c r="K105" s="7" t="n">
        <f aca="false">IF($G105="",0,SUMIFS('MA Engine'!$X$6:$X$1110,'MA Engine'!$J$6:$J$1110,$G105,'MA Engine'!$I$6:$I$1110,"DO",'MA Engine'!$C$6:$C$1110,"RPA"))</f>
        <v>0</v>
      </c>
      <c r="L105" s="7" t="n">
        <f aca="false">IF($G105="",0,SUMIFS('MA Engine'!$X$6:$X$1110,'MA Engine'!$J$6:$J$1110,$G105,'MA Engine'!$I$6:$I$1110,"DO",'MA Engine'!$C$6:$C$1110,"Trading"))</f>
        <v>88058427.47477</v>
      </c>
      <c r="M105" s="12" t="s">
        <v>2370</v>
      </c>
    </row>
    <row r="106" customFormat="false" ht="15" hidden="false" customHeight="false" outlineLevel="0" collapsed="false">
      <c r="A106" s="91" t="n">
        <v>8</v>
      </c>
      <c r="B106" s="74" t="s">
        <v>2471</v>
      </c>
      <c r="C106" s="76" t="n">
        <v>46245</v>
      </c>
      <c r="D106" s="74" t="s">
        <v>269</v>
      </c>
      <c r="E106" s="8" t="n">
        <v>0</v>
      </c>
      <c r="F106" s="8" t="n">
        <v>28759500</v>
      </c>
      <c r="G106" s="74" t="s">
        <v>2269</v>
      </c>
      <c r="H106" s="13" t="n">
        <f aca="false">IF($G106="",0,SUMIFS('MA Engine'!$W$6:$W$1110,'MA Engine'!$J$6:$J$1110,$G106,'MA Engine'!$I$6:$I$1110,"DO",'MA Engine'!$C$6:$C$1110,"RPA"))</f>
        <v>0</v>
      </c>
      <c r="I106" s="13" t="n">
        <f aca="false">IF($G106="",0,SUMIFS('MA Engine'!$W$6:$W$1110,'MA Engine'!$J$6:$J$1110,$G106,'MA Engine'!$I$6:$I$1110,"DO",'MA Engine'!$C$6:$C$1110,"Trading"))</f>
        <v>639.1</v>
      </c>
      <c r="K106" s="7" t="n">
        <f aca="false">IF($G106="",0,SUMIFS('MA Engine'!$X$6:$X$1110,'MA Engine'!$J$6:$J$1110,$G106,'MA Engine'!$I$6:$I$1110,"DO",'MA Engine'!$C$6:$C$1110,"RPA"))</f>
        <v>0</v>
      </c>
      <c r="L106" s="7" t="n">
        <f aca="false">IF($G106="",0,SUMIFS('MA Engine'!$X$6:$X$1110,'MA Engine'!$J$6:$J$1110,$G106,'MA Engine'!$I$6:$I$1110,"DO",'MA Engine'!$C$6:$C$1110,"Trading"))</f>
        <v>25068556.6064994</v>
      </c>
      <c r="M106" s="12" t="s">
        <v>2370</v>
      </c>
    </row>
    <row r="107" customFormat="false" ht="15" hidden="false" customHeight="false" outlineLevel="0" collapsed="false">
      <c r="A107" s="91" t="n">
        <v>8</v>
      </c>
      <c r="B107" s="74" t="s">
        <v>2472</v>
      </c>
      <c r="C107" s="76" t="n">
        <v>46245</v>
      </c>
      <c r="D107" s="74" t="s">
        <v>284</v>
      </c>
      <c r="E107" s="8" t="n">
        <v>0</v>
      </c>
      <c r="F107" s="8" t="n">
        <v>54675000</v>
      </c>
      <c r="G107" s="74" t="s">
        <v>2270</v>
      </c>
      <c r="H107" s="13" t="n">
        <f aca="false">IF($G107="",0,SUMIFS('MA Engine'!$W$6:$W$1110,'MA Engine'!$J$6:$J$1110,$G107,'MA Engine'!$I$6:$I$1110,"DO",'MA Engine'!$C$6:$C$1110,"RPA"))</f>
        <v>0</v>
      </c>
      <c r="I107" s="13" t="n">
        <f aca="false">IF($G107="",0,SUMIFS('MA Engine'!$W$6:$W$1110,'MA Engine'!$J$6:$J$1110,$G107,'MA Engine'!$I$6:$I$1110,"DO",'MA Engine'!$C$6:$C$1110,"Trading"))</f>
        <v>1215</v>
      </c>
      <c r="K107" s="7" t="n">
        <f aca="false">IF($G107="",0,SUMIFS('MA Engine'!$X$6:$X$1110,'MA Engine'!$J$6:$J$1110,$G107,'MA Engine'!$I$6:$I$1110,"DO",'MA Engine'!$C$6:$C$1110,"RPA"))</f>
        <v>0</v>
      </c>
      <c r="L107" s="7" t="n">
        <f aca="false">IF($G107="",0,SUMIFS('MA Engine'!$X$6:$X$1110,'MA Engine'!$J$6:$J$1110,$G107,'MA Engine'!$I$6:$I$1110,"DO",'MA Engine'!$C$6:$C$1110,"Trading"))</f>
        <v>47658107.145825</v>
      </c>
      <c r="M107" s="12" t="s">
        <v>2370</v>
      </c>
    </row>
    <row r="108" customFormat="false" ht="15" hidden="false" customHeight="false" outlineLevel="0" collapsed="false">
      <c r="A108" s="91" t="n">
        <v>8</v>
      </c>
      <c r="B108" s="74" t="s">
        <v>2473</v>
      </c>
      <c r="C108" s="76" t="n">
        <v>46245</v>
      </c>
      <c r="D108" s="74" t="s">
        <v>271</v>
      </c>
      <c r="E108" s="8" t="n">
        <v>0</v>
      </c>
      <c r="F108" s="8" t="n">
        <v>119436970</v>
      </c>
      <c r="G108" s="74" t="s">
        <v>2271</v>
      </c>
      <c r="H108" s="13" t="n">
        <f aca="false">IF($G108="",0,SUMIFS('MA Engine'!$W$6:$W$1110,'MA Engine'!$J$6:$J$1110,$G108,'MA Engine'!$I$6:$I$1110,"DO",'MA Engine'!$C$6:$C$1110,"RPA"))</f>
        <v>0</v>
      </c>
      <c r="I108" s="13" t="n">
        <f aca="false">IF($G108="",0,SUMIFS('MA Engine'!$W$6:$W$1110,'MA Engine'!$J$6:$J$1110,$G108,'MA Engine'!$I$6:$I$1110,"DO",'MA Engine'!$C$6:$C$1110,"Trading"))</f>
        <v>3030.77</v>
      </c>
      <c r="K108" s="7" t="n">
        <f aca="false">IF($G108="",0,SUMIFS('MA Engine'!$X$6:$X$1110,'MA Engine'!$J$6:$J$1110,$G108,'MA Engine'!$I$6:$I$1110,"DO",'MA Engine'!$C$6:$C$1110,"RPA"))</f>
        <v>0</v>
      </c>
      <c r="L108" s="7" t="n">
        <f aca="false">IF($G108="",0,SUMIFS('MA Engine'!$X$6:$X$1110,'MA Engine'!$J$6:$J$1110,$G108,'MA Engine'!$I$6:$I$1110,"DO",'MA Engine'!$C$6:$C$1110,"Trading"))</f>
        <v>111842414.140114</v>
      </c>
      <c r="M108" s="12" t="s">
        <v>2370</v>
      </c>
    </row>
    <row r="109" customFormat="false" ht="15" hidden="false" customHeight="false" outlineLevel="0" collapsed="false">
      <c r="A109" s="91" t="n">
        <v>8</v>
      </c>
      <c r="B109" s="74" t="s">
        <v>2474</v>
      </c>
      <c r="C109" s="76" t="n">
        <v>46245</v>
      </c>
      <c r="D109" s="74" t="s">
        <v>275</v>
      </c>
      <c r="E109" s="8" t="n">
        <v>0</v>
      </c>
      <c r="F109" s="8" t="n">
        <v>13091000</v>
      </c>
      <c r="G109" s="74" t="s">
        <v>2272</v>
      </c>
      <c r="H109" s="13" t="n">
        <f aca="false">IF($G109="",0,SUMIFS('MA Engine'!$W$6:$W$1110,'MA Engine'!$J$6:$J$1110,$G109,'MA Engine'!$I$6:$I$1110,"DO",'MA Engine'!$C$6:$C$1110,"RPA"))</f>
        <v>0</v>
      </c>
      <c r="I109" s="13" t="n">
        <f aca="false">IF($G109="",0,SUMIFS('MA Engine'!$W$6:$W$1110,'MA Engine'!$J$6:$J$1110,$G109,'MA Engine'!$I$6:$I$1110,"DO",'MA Engine'!$C$6:$C$1110,"Trading"))</f>
        <v>344.5</v>
      </c>
      <c r="K109" s="7" t="n">
        <f aca="false">IF($G109="",0,SUMIFS('MA Engine'!$X$6:$X$1110,'MA Engine'!$J$6:$J$1110,$G109,'MA Engine'!$I$6:$I$1110,"DO",'MA Engine'!$C$6:$C$1110,"RPA"))</f>
        <v>0</v>
      </c>
      <c r="L109" s="7" t="n">
        <f aca="false">IF($G109="",0,SUMIFS('MA Engine'!$X$6:$X$1110,'MA Engine'!$J$6:$J$1110,$G109,'MA Engine'!$I$6:$I$1110,"DO",'MA Engine'!$C$6:$C$1110,"Trading"))</f>
        <v>13512936.5528697</v>
      </c>
      <c r="M109" s="12" t="s">
        <v>2370</v>
      </c>
    </row>
    <row r="110" customFormat="false" ht="15" hidden="false" customHeight="false" outlineLevel="0" collapsed="false">
      <c r="A110" s="91" t="n">
        <v>8</v>
      </c>
      <c r="B110" s="74" t="s">
        <v>2475</v>
      </c>
      <c r="C110" s="76" t="n">
        <v>46246</v>
      </c>
      <c r="D110" s="74" t="s">
        <v>287</v>
      </c>
      <c r="E110" s="8" t="n">
        <v>2329800</v>
      </c>
      <c r="F110" s="8" t="n">
        <v>0</v>
      </c>
      <c r="G110" s="74" t="s">
        <v>2079</v>
      </c>
      <c r="H110" s="13" t="n">
        <f aca="false">IF($G110="",0,SUMIFS('MA Engine'!$W$6:$W$1110,'MA Engine'!$J$6:$J$1110,$G110,'MA Engine'!$I$6:$I$1110,"DO",'MA Engine'!$C$6:$C$1110,"RPA"))</f>
        <v>693</v>
      </c>
      <c r="I110" s="13" t="n">
        <f aca="false">IF($G110="",0,SUMIFS('MA Engine'!$W$6:$W$1110,'MA Engine'!$J$6:$J$1110,$G110,'MA Engine'!$I$6:$I$1110,"DO",'MA Engine'!$C$6:$C$1110,"Trading"))</f>
        <v>0</v>
      </c>
      <c r="K110" s="7" t="n">
        <f aca="false">IF($G110="",0,SUMIFS('MA Engine'!$X$6:$X$1110,'MA Engine'!$J$6:$J$1110,$G110,'MA Engine'!$I$6:$I$1110,"DO",'MA Engine'!$C$6:$C$1110,"RPA"))</f>
        <v>3819803.04779289</v>
      </c>
      <c r="L110" s="7" t="n">
        <f aca="false">IF($G110="",0,SUMIFS('MA Engine'!$X$6:$X$1110,'MA Engine'!$J$6:$J$1110,$G110,'MA Engine'!$I$6:$I$1110,"DO",'MA Engine'!$C$6:$C$1110,"Trading"))</f>
        <v>0</v>
      </c>
      <c r="M110" s="12" t="s">
        <v>2370</v>
      </c>
    </row>
    <row r="111" customFormat="false" ht="15" hidden="false" customHeight="false" outlineLevel="0" collapsed="false">
      <c r="A111" s="91" t="n">
        <v>8</v>
      </c>
      <c r="B111" s="74" t="s">
        <v>2476</v>
      </c>
      <c r="C111" s="76" t="n">
        <v>46246</v>
      </c>
      <c r="D111" s="74" t="s">
        <v>287</v>
      </c>
      <c r="E111" s="8" t="n">
        <v>2072350</v>
      </c>
      <c r="F111" s="8" t="n">
        <v>0</v>
      </c>
      <c r="G111" s="74" t="s">
        <v>2080</v>
      </c>
      <c r="H111" s="13" t="n">
        <f aca="false">IF($G111="",0,SUMIFS('MA Engine'!$W$6:$W$1110,'MA Engine'!$J$6:$J$1110,$G111,'MA Engine'!$I$6:$I$1110,"DO",'MA Engine'!$C$6:$C$1110,"RPA"))</f>
        <v>625.2</v>
      </c>
      <c r="I111" s="13" t="n">
        <f aca="false">IF($G111="",0,SUMIFS('MA Engine'!$W$6:$W$1110,'MA Engine'!$J$6:$J$1110,$G111,'MA Engine'!$I$6:$I$1110,"DO",'MA Engine'!$C$6:$C$1110,"Trading"))</f>
        <v>0</v>
      </c>
      <c r="K111" s="7" t="n">
        <f aca="false">IF($G111="",0,SUMIFS('MA Engine'!$X$6:$X$1110,'MA Engine'!$J$6:$J$1110,$G111,'MA Engine'!$I$6:$I$1110,"DO",'MA Engine'!$C$6:$C$1110,"RPA"))</f>
        <v>3350646.81253627</v>
      </c>
      <c r="L111" s="7" t="n">
        <f aca="false">IF($G111="",0,SUMIFS('MA Engine'!$X$6:$X$1110,'MA Engine'!$J$6:$J$1110,$G111,'MA Engine'!$I$6:$I$1110,"DO",'MA Engine'!$C$6:$C$1110,"Trading"))</f>
        <v>0</v>
      </c>
      <c r="M111" s="12" t="s">
        <v>2370</v>
      </c>
    </row>
    <row r="112" customFormat="false" ht="15" hidden="false" customHeight="false" outlineLevel="0" collapsed="false">
      <c r="A112" s="91" t="n">
        <v>8</v>
      </c>
      <c r="B112" s="74" t="s">
        <v>2477</v>
      </c>
      <c r="C112" s="76" t="n">
        <v>46246</v>
      </c>
      <c r="D112" s="74" t="s">
        <v>287</v>
      </c>
      <c r="E112" s="8" t="n">
        <v>2061600</v>
      </c>
      <c r="F112" s="8" t="n">
        <v>0</v>
      </c>
      <c r="G112" s="74" t="s">
        <v>2081</v>
      </c>
      <c r="H112" s="13" t="n">
        <f aca="false">IF($G112="",0,SUMIFS('MA Engine'!$W$6:$W$1110,'MA Engine'!$J$6:$J$1110,$G112,'MA Engine'!$I$6:$I$1110,"DO",'MA Engine'!$C$6:$C$1110,"RPA"))</f>
        <v>615.6</v>
      </c>
      <c r="I112" s="13" t="n">
        <f aca="false">IF($G112="",0,SUMIFS('MA Engine'!$W$6:$W$1110,'MA Engine'!$J$6:$J$1110,$G112,'MA Engine'!$I$6:$I$1110,"DO",'MA Engine'!$C$6:$C$1110,"Trading"))</f>
        <v>0</v>
      </c>
      <c r="K112" s="7" t="n">
        <f aca="false">IF($G112="",0,SUMIFS('MA Engine'!$X$6:$X$1110,'MA Engine'!$J$6:$J$1110,$G112,'MA Engine'!$I$6:$I$1110,"DO",'MA Engine'!$C$6:$C$1110,"RPA"))</f>
        <v>3542019.04845208</v>
      </c>
      <c r="L112" s="7" t="n">
        <f aca="false">IF($G112="",0,SUMIFS('MA Engine'!$X$6:$X$1110,'MA Engine'!$J$6:$J$1110,$G112,'MA Engine'!$I$6:$I$1110,"DO",'MA Engine'!$C$6:$C$1110,"Trading"))</f>
        <v>0</v>
      </c>
      <c r="M112" s="12" t="s">
        <v>2370</v>
      </c>
    </row>
    <row r="113" customFormat="false" ht="15" hidden="false" customHeight="false" outlineLevel="0" collapsed="false">
      <c r="A113" s="91" t="n">
        <v>8</v>
      </c>
      <c r="B113" s="74" t="s">
        <v>2478</v>
      </c>
      <c r="C113" s="76" t="n">
        <v>46246</v>
      </c>
      <c r="D113" s="74" t="s">
        <v>287</v>
      </c>
      <c r="E113" s="8" t="n">
        <v>1762200</v>
      </c>
      <c r="F113" s="8" t="n">
        <v>0</v>
      </c>
      <c r="G113" s="74" t="s">
        <v>2125</v>
      </c>
      <c r="H113" s="13" t="n">
        <f aca="false">IF($G113="",0,SUMIFS('MA Engine'!$W$6:$W$1110,'MA Engine'!$J$6:$J$1110,$G113,'MA Engine'!$I$6:$I$1110,"DO",'MA Engine'!$C$6:$C$1110,"RPA"))</f>
        <v>53.4</v>
      </c>
      <c r="I113" s="13" t="n">
        <f aca="false">IF($G113="",0,SUMIFS('MA Engine'!$W$6:$W$1110,'MA Engine'!$J$6:$J$1110,$G113,'MA Engine'!$I$6:$I$1110,"DO",'MA Engine'!$C$6:$C$1110,"Trading"))</f>
        <v>0</v>
      </c>
      <c r="K113" s="7" t="n">
        <f aca="false">IF($G113="",0,SUMIFS('MA Engine'!$X$6:$X$1110,'MA Engine'!$J$6:$J$1110,$G113,'MA Engine'!$I$6:$I$1110,"DO",'MA Engine'!$C$6:$C$1110,"RPA"))</f>
        <v>1607147.36265662</v>
      </c>
      <c r="L113" s="7" t="n">
        <f aca="false">IF($G113="",0,SUMIFS('MA Engine'!$X$6:$X$1110,'MA Engine'!$J$6:$J$1110,$G113,'MA Engine'!$I$6:$I$1110,"DO",'MA Engine'!$C$6:$C$1110,"Trading"))</f>
        <v>0</v>
      </c>
      <c r="M113" s="12" t="s">
        <v>2370</v>
      </c>
    </row>
    <row r="114" customFormat="false" ht="15" hidden="false" customHeight="false" outlineLevel="0" collapsed="false">
      <c r="A114" s="91" t="n">
        <v>8</v>
      </c>
      <c r="B114" s="74" t="s">
        <v>2479</v>
      </c>
      <c r="C114" s="76" t="n">
        <v>46246</v>
      </c>
      <c r="D114" s="74" t="s">
        <v>287</v>
      </c>
      <c r="E114" s="8" t="n">
        <v>2150000</v>
      </c>
      <c r="F114" s="8" t="n">
        <v>0</v>
      </c>
      <c r="G114" s="74" t="s">
        <v>2082</v>
      </c>
      <c r="H114" s="13" t="n">
        <f aca="false">IF($G114="",0,SUMIFS('MA Engine'!$W$6:$W$1110,'MA Engine'!$J$6:$J$1110,$G114,'MA Engine'!$I$6:$I$1110,"DO",'MA Engine'!$C$6:$C$1110,"RPA"))</f>
        <v>637.7</v>
      </c>
      <c r="I114" s="13" t="n">
        <f aca="false">IF($G114="",0,SUMIFS('MA Engine'!$W$6:$W$1110,'MA Engine'!$J$6:$J$1110,$G114,'MA Engine'!$I$6:$I$1110,"DO",'MA Engine'!$C$6:$C$1110,"Trading"))</f>
        <v>0</v>
      </c>
      <c r="K114" s="7" t="n">
        <f aca="false">IF($G114="",0,SUMIFS('MA Engine'!$X$6:$X$1110,'MA Engine'!$J$6:$J$1110,$G114,'MA Engine'!$I$6:$I$1110,"DO",'MA Engine'!$C$6:$C$1110,"RPA"))</f>
        <v>3467565.19580745</v>
      </c>
      <c r="L114" s="7" t="n">
        <f aca="false">IF($G114="",0,SUMIFS('MA Engine'!$X$6:$X$1110,'MA Engine'!$J$6:$J$1110,$G114,'MA Engine'!$I$6:$I$1110,"DO",'MA Engine'!$C$6:$C$1110,"Trading"))</f>
        <v>0</v>
      </c>
      <c r="M114" s="12" t="s">
        <v>2370</v>
      </c>
    </row>
    <row r="115" customFormat="false" ht="15" hidden="false" customHeight="false" outlineLevel="0" collapsed="false">
      <c r="A115" s="91" t="n">
        <v>8</v>
      </c>
      <c r="B115" s="74" t="s">
        <v>2480</v>
      </c>
      <c r="C115" s="76" t="n">
        <v>46246</v>
      </c>
      <c r="D115" s="74" t="s">
        <v>287</v>
      </c>
      <c r="E115" s="8" t="n">
        <v>2010150</v>
      </c>
      <c r="F115" s="8" t="n">
        <v>0</v>
      </c>
      <c r="G115" s="74" t="s">
        <v>2083</v>
      </c>
      <c r="H115" s="13" t="n">
        <f aca="false">IF($G115="",0,SUMIFS('MA Engine'!$W$6:$W$1110,'MA Engine'!$J$6:$J$1110,$G115,'MA Engine'!$I$6:$I$1110,"DO",'MA Engine'!$C$6:$C$1110,"RPA"))</f>
        <v>615.5</v>
      </c>
      <c r="I115" s="13" t="n">
        <f aca="false">IF($G115="",0,SUMIFS('MA Engine'!$W$6:$W$1110,'MA Engine'!$J$6:$J$1110,$G115,'MA Engine'!$I$6:$I$1110,"DO",'MA Engine'!$C$6:$C$1110,"Trading"))</f>
        <v>0</v>
      </c>
      <c r="K115" s="7" t="n">
        <f aca="false">IF($G115="",0,SUMIFS('MA Engine'!$X$6:$X$1110,'MA Engine'!$J$6:$J$1110,$G115,'MA Engine'!$I$6:$I$1110,"DO",'MA Engine'!$C$6:$C$1110,"RPA"))</f>
        <v>3302134.76010467</v>
      </c>
      <c r="L115" s="7" t="n">
        <f aca="false">IF($G115="",0,SUMIFS('MA Engine'!$X$6:$X$1110,'MA Engine'!$J$6:$J$1110,$G115,'MA Engine'!$I$6:$I$1110,"DO",'MA Engine'!$C$6:$C$1110,"Trading"))</f>
        <v>0</v>
      </c>
      <c r="M115" s="12" t="s">
        <v>2370</v>
      </c>
    </row>
    <row r="116" customFormat="false" ht="15" hidden="false" customHeight="false" outlineLevel="0" collapsed="false">
      <c r="A116" s="91" t="n">
        <v>8</v>
      </c>
      <c r="B116" s="74" t="s">
        <v>2481</v>
      </c>
      <c r="C116" s="76" t="n">
        <v>46246</v>
      </c>
      <c r="D116" s="74" t="s">
        <v>270</v>
      </c>
      <c r="E116" s="8" t="n">
        <v>79873225</v>
      </c>
      <c r="F116" s="8" t="n">
        <v>0</v>
      </c>
      <c r="G116" s="74" t="s">
        <v>2159</v>
      </c>
      <c r="H116" s="13" t="n">
        <f aca="false">IF($G116="",0,SUMIFS('MA Engine'!$W$6:$W$1110,'MA Engine'!$J$6:$J$1110,$G116,'MA Engine'!$I$6:$I$1110,"DO",'MA Engine'!$C$6:$C$1110,"RPA"))</f>
        <v>2249.95</v>
      </c>
      <c r="I116" s="13" t="n">
        <f aca="false">IF($G116="",0,SUMIFS('MA Engine'!$W$6:$W$1110,'MA Engine'!$J$6:$J$1110,$G116,'MA Engine'!$I$6:$I$1110,"DO",'MA Engine'!$C$6:$C$1110,"Trading"))</f>
        <v>0</v>
      </c>
      <c r="K116" s="7" t="n">
        <f aca="false">IF($G116="",0,SUMIFS('MA Engine'!$X$6:$X$1110,'MA Engine'!$J$6:$J$1110,$G116,'MA Engine'!$I$6:$I$1110,"DO",'MA Engine'!$C$6:$C$1110,"RPA"))</f>
        <v>85299823.9024417</v>
      </c>
      <c r="L116" s="7" t="n">
        <f aca="false">IF($G116="",0,SUMIFS('MA Engine'!$X$6:$X$1110,'MA Engine'!$J$6:$J$1110,$G116,'MA Engine'!$I$6:$I$1110,"DO",'MA Engine'!$C$6:$C$1110,"Trading"))</f>
        <v>0</v>
      </c>
      <c r="M116" s="12" t="s">
        <v>2370</v>
      </c>
    </row>
    <row r="117" customFormat="false" ht="15" hidden="false" customHeight="false" outlineLevel="0" collapsed="false">
      <c r="A117" s="91" t="n">
        <v>8</v>
      </c>
      <c r="B117" s="74" t="s">
        <v>2482</v>
      </c>
      <c r="C117" s="76" t="n">
        <v>46246</v>
      </c>
      <c r="D117" s="74" t="s">
        <v>282</v>
      </c>
      <c r="E117" s="8" t="n">
        <v>89541645</v>
      </c>
      <c r="F117" s="8" t="n">
        <v>0</v>
      </c>
      <c r="G117" s="74" t="s">
        <v>2131</v>
      </c>
      <c r="H117" s="13" t="n">
        <f aca="false">IF($G117="",0,SUMIFS('MA Engine'!$W$6:$W$1110,'MA Engine'!$J$6:$J$1110,$G117,'MA Engine'!$I$6:$I$1110,"DO",'MA Engine'!$C$6:$C$1110,"RPA"))</f>
        <v>2595.41</v>
      </c>
      <c r="I117" s="13" t="n">
        <f aca="false">IF($G117="",0,SUMIFS('MA Engine'!$W$6:$W$1110,'MA Engine'!$J$6:$J$1110,$G117,'MA Engine'!$I$6:$I$1110,"DO",'MA Engine'!$C$6:$C$1110,"Trading"))</f>
        <v>0</v>
      </c>
      <c r="K117" s="7" t="n">
        <f aca="false">IF($G117="",0,SUMIFS('MA Engine'!$X$6:$X$1110,'MA Engine'!$J$6:$J$1110,$G117,'MA Engine'!$I$6:$I$1110,"DO",'MA Engine'!$C$6:$C$1110,"RPA"))</f>
        <v>94752093.8056993</v>
      </c>
      <c r="L117" s="7" t="n">
        <f aca="false">IF($G117="",0,SUMIFS('MA Engine'!$X$6:$X$1110,'MA Engine'!$J$6:$J$1110,$G117,'MA Engine'!$I$6:$I$1110,"DO",'MA Engine'!$C$6:$C$1110,"Trading"))</f>
        <v>0</v>
      </c>
      <c r="M117" s="12" t="s">
        <v>2370</v>
      </c>
    </row>
    <row r="118" customFormat="false" ht="15" hidden="false" customHeight="false" outlineLevel="0" collapsed="false">
      <c r="A118" s="91" t="n">
        <v>8</v>
      </c>
      <c r="B118" s="74" t="s">
        <v>2483</v>
      </c>
      <c r="C118" s="76" t="n">
        <v>46246</v>
      </c>
      <c r="D118" s="74" t="s">
        <v>286</v>
      </c>
      <c r="E118" s="8" t="n">
        <v>0</v>
      </c>
      <c r="F118" s="8" t="n">
        <v>67738050</v>
      </c>
      <c r="G118" s="74" t="s">
        <v>2283</v>
      </c>
      <c r="H118" s="13" t="n">
        <f aca="false">IF($G118="",0,SUMIFS('MA Engine'!$W$6:$W$1110,'MA Engine'!$J$6:$J$1110,$G118,'MA Engine'!$I$6:$I$1110,"DO",'MA Engine'!$C$6:$C$1110,"RPA"))</f>
        <v>0</v>
      </c>
      <c r="I118" s="13" t="n">
        <f aca="false">IF($G118="",0,SUMIFS('MA Engine'!$W$6:$W$1110,'MA Engine'!$J$6:$J$1110,$G118,'MA Engine'!$I$6:$I$1110,"DO",'MA Engine'!$C$6:$C$1110,"Trading"))</f>
        <v>1505.29</v>
      </c>
      <c r="K118" s="7" t="n">
        <f aca="false">IF($G118="",0,SUMIFS('MA Engine'!$X$6:$X$1110,'MA Engine'!$J$6:$J$1110,$G118,'MA Engine'!$I$6:$I$1110,"DO",'MA Engine'!$C$6:$C$1110,"RPA"))</f>
        <v>0</v>
      </c>
      <c r="L118" s="7" t="n">
        <f aca="false">IF($G118="",0,SUMIFS('MA Engine'!$X$6:$X$1110,'MA Engine'!$J$6:$J$1110,$G118,'MA Engine'!$I$6:$I$1110,"DO",'MA Engine'!$C$6:$C$1110,"Trading"))</f>
        <v>51596499.1956126</v>
      </c>
      <c r="M118" s="12" t="s">
        <v>2370</v>
      </c>
    </row>
    <row r="119" customFormat="false" ht="15" hidden="false" customHeight="false" outlineLevel="0" collapsed="false">
      <c r="A119" s="91" t="n">
        <v>8</v>
      </c>
      <c r="B119" s="74" t="s">
        <v>2484</v>
      </c>
      <c r="C119" s="76" t="n">
        <v>46247</v>
      </c>
      <c r="D119" s="74" t="s">
        <v>269</v>
      </c>
      <c r="E119" s="8" t="n">
        <v>0</v>
      </c>
      <c r="F119" s="8" t="n">
        <v>36895500</v>
      </c>
      <c r="G119" s="74" t="s">
        <v>2324</v>
      </c>
      <c r="H119" s="13" t="n">
        <f aca="false">IF($G119="",0,SUMIFS('MA Engine'!$W$6:$W$1110,'MA Engine'!$J$6:$J$1110,$G119,'MA Engine'!$I$6:$I$1110,"DO",'MA Engine'!$C$6:$C$1110,"RPA"))</f>
        <v>0</v>
      </c>
      <c r="I119" s="13" t="n">
        <f aca="false">IF($G119="",0,SUMIFS('MA Engine'!$W$6:$W$1110,'MA Engine'!$J$6:$J$1110,$G119,'MA Engine'!$I$6:$I$1110,"DO",'MA Engine'!$C$6:$C$1110,"Trading"))</f>
        <v>1229.85</v>
      </c>
      <c r="K119" s="7" t="n">
        <f aca="false">IF($G119="",0,SUMIFS('MA Engine'!$X$6:$X$1110,'MA Engine'!$J$6:$J$1110,$G119,'MA Engine'!$I$6:$I$1110,"DO",'MA Engine'!$C$6:$C$1110,"RPA"))</f>
        <v>0</v>
      </c>
      <c r="L119" s="7" t="n">
        <f aca="false">IF($G119="",0,SUMIFS('MA Engine'!$X$6:$X$1110,'MA Engine'!$J$6:$J$1110,$G119,'MA Engine'!$I$6:$I$1110,"DO",'MA Engine'!$C$6:$C$1110,"Trading"))</f>
        <v>36320914.0913553</v>
      </c>
      <c r="M119" s="12" t="s">
        <v>2370</v>
      </c>
    </row>
    <row r="120" customFormat="false" ht="15" hidden="false" customHeight="false" outlineLevel="0" collapsed="false">
      <c r="A120" s="91" t="n">
        <v>8</v>
      </c>
      <c r="B120" s="74" t="s">
        <v>2485</v>
      </c>
      <c r="C120" s="76" t="n">
        <v>46247</v>
      </c>
      <c r="D120" s="74" t="s">
        <v>294</v>
      </c>
      <c r="E120" s="8" t="n">
        <v>0</v>
      </c>
      <c r="F120" s="8" t="n">
        <v>1331000</v>
      </c>
      <c r="G120" s="74" t="s">
        <v>2352</v>
      </c>
      <c r="H120" s="13" t="n">
        <f aca="false">IF($G120="",0,SUMIFS('MA Engine'!$W$6:$W$1110,'MA Engine'!$J$6:$J$1110,$G120,'MA Engine'!$I$6:$I$1110,"DO",'MA Engine'!$C$6:$C$1110,"RPA"))</f>
        <v>0</v>
      </c>
      <c r="I120" s="13" t="n">
        <f aca="false">IF($G120="",0,SUMIFS('MA Engine'!$W$6:$W$1110,'MA Engine'!$J$6:$J$1110,$G120,'MA Engine'!$I$6:$I$1110,"DO",'MA Engine'!$C$6:$C$1110,"Trading"))</f>
        <v>242</v>
      </c>
      <c r="K120" s="7" t="n">
        <f aca="false">IF($G120="",0,SUMIFS('MA Engine'!$X$6:$X$1110,'MA Engine'!$J$6:$J$1110,$G120,'MA Engine'!$I$6:$I$1110,"DO",'MA Engine'!$C$6:$C$1110,"RPA"))</f>
        <v>0</v>
      </c>
      <c r="L120" s="7" t="n">
        <f aca="false">IF($G120="",0,SUMIFS('MA Engine'!$X$6:$X$1110,'MA Engine'!$J$6:$J$1110,$G120,'MA Engine'!$I$6:$I$1110,"DO",'MA Engine'!$C$6:$C$1110,"Trading"))</f>
        <v>1079465.23442351</v>
      </c>
      <c r="M120" s="12" t="s">
        <v>2370</v>
      </c>
    </row>
    <row r="121" customFormat="false" ht="15" hidden="false" customHeight="false" outlineLevel="0" collapsed="false">
      <c r="A121" s="91" t="n">
        <v>8</v>
      </c>
      <c r="B121" s="74" t="s">
        <v>2486</v>
      </c>
      <c r="C121" s="76" t="n">
        <v>46247</v>
      </c>
      <c r="D121" s="74" t="s">
        <v>271</v>
      </c>
      <c r="E121" s="8" t="n">
        <v>0</v>
      </c>
      <c r="F121" s="8" t="n">
        <v>14930870</v>
      </c>
      <c r="G121" s="74" t="s">
        <v>2273</v>
      </c>
      <c r="H121" s="13" t="n">
        <f aca="false">IF($G121="",0,SUMIFS('MA Engine'!$W$6:$W$1110,'MA Engine'!$J$6:$J$1110,$G121,'MA Engine'!$I$6:$I$1110,"DO",'MA Engine'!$C$6:$C$1110,"RPA"))</f>
        <v>0</v>
      </c>
      <c r="I121" s="13" t="n">
        <f aca="false">IF($G121="",0,SUMIFS('MA Engine'!$W$6:$W$1110,'MA Engine'!$J$6:$J$1110,$G121,'MA Engine'!$I$6:$I$1110,"DO",'MA Engine'!$C$6:$C$1110,"Trading"))</f>
        <v>390.98</v>
      </c>
      <c r="K121" s="7" t="n">
        <f aca="false">IF($G121="",0,SUMIFS('MA Engine'!$X$6:$X$1110,'MA Engine'!$J$6:$J$1110,$G121,'MA Engine'!$I$6:$I$1110,"DO",'MA Engine'!$C$6:$C$1110,"RPA"))</f>
        <v>0</v>
      </c>
      <c r="L121" s="7" t="n">
        <f aca="false">IF($G121="",0,SUMIFS('MA Engine'!$X$6:$X$1110,'MA Engine'!$J$6:$J$1110,$G121,'MA Engine'!$I$6:$I$1110,"DO",'MA Engine'!$C$6:$C$1110,"Trading"))</f>
        <v>14569808.1341528</v>
      </c>
      <c r="M121" s="12" t="s">
        <v>2370</v>
      </c>
    </row>
    <row r="122" customFormat="false" ht="15" hidden="false" customHeight="false" outlineLevel="0" collapsed="false">
      <c r="A122" s="91" t="n">
        <v>8</v>
      </c>
      <c r="B122" s="74" t="s">
        <v>2487</v>
      </c>
      <c r="C122" s="76" t="n">
        <v>46247</v>
      </c>
      <c r="D122" s="74" t="s">
        <v>280</v>
      </c>
      <c r="E122" s="8" t="n">
        <v>7204550</v>
      </c>
      <c r="F122" s="8" t="n">
        <v>48929500</v>
      </c>
      <c r="G122" s="74" t="s">
        <v>2171</v>
      </c>
      <c r="H122" s="13" t="n">
        <f aca="false">IF($G122="",0,SUMIFS('MA Engine'!$W$6:$W$1110,'MA Engine'!$J$6:$J$1110,$G122,'MA Engine'!$I$6:$I$1110,"DO",'MA Engine'!$C$6:$C$1110,"RPA"))</f>
        <v>229.85</v>
      </c>
      <c r="I122" s="13" t="n">
        <f aca="false">IF($G122="",0,SUMIFS('MA Engine'!$W$6:$W$1110,'MA Engine'!$J$6:$J$1110,$G122,'MA Engine'!$I$6:$I$1110,"DO",'MA Engine'!$C$6:$C$1110,"Trading"))</f>
        <v>1509.1</v>
      </c>
      <c r="K122" s="7" t="n">
        <f aca="false">IF($G122="",0,SUMIFS('MA Engine'!$X$6:$X$1110,'MA Engine'!$J$6:$J$1110,$G122,'MA Engine'!$I$6:$I$1110,"DO",'MA Engine'!$C$6:$C$1110,"RPA"))</f>
        <v>6226100.0447525</v>
      </c>
      <c r="L122" s="7" t="n">
        <f aca="false">IF($G122="",0,SUMIFS('MA Engine'!$X$6:$X$1110,'MA Engine'!$J$6:$J$1110,$G122,'MA Engine'!$I$6:$I$1110,"DO",'MA Engine'!$C$6:$C$1110,"Trading"))</f>
        <v>46124009.9042081</v>
      </c>
      <c r="M122" s="12" t="s">
        <v>2370</v>
      </c>
    </row>
    <row r="123" customFormat="false" ht="15" hidden="false" customHeight="false" outlineLevel="0" collapsed="false">
      <c r="A123" s="91" t="n">
        <v>8</v>
      </c>
      <c r="B123" s="74" t="s">
        <v>2488</v>
      </c>
      <c r="C123" s="76" t="n">
        <v>46247</v>
      </c>
      <c r="D123" s="74" t="s">
        <v>274</v>
      </c>
      <c r="E123" s="8" t="n">
        <v>0</v>
      </c>
      <c r="F123" s="8" t="n">
        <v>77135100</v>
      </c>
      <c r="G123" s="74" t="s">
        <v>2284</v>
      </c>
      <c r="H123" s="13" t="n">
        <f aca="false">IF($G123="",0,SUMIFS('MA Engine'!$W$6:$W$1110,'MA Engine'!$J$6:$J$1110,$G123,'MA Engine'!$I$6:$I$1110,"DO",'MA Engine'!$C$6:$C$1110,"RPA"))</f>
        <v>0</v>
      </c>
      <c r="I123" s="13" t="n">
        <f aca="false">IF($G123="",0,SUMIFS('MA Engine'!$W$6:$W$1110,'MA Engine'!$J$6:$J$1110,$G123,'MA Engine'!$I$6:$I$1110,"DO",'MA Engine'!$C$6:$C$1110,"Trading"))</f>
        <v>2002.8</v>
      </c>
      <c r="K123" s="7" t="n">
        <f aca="false">IF($G123="",0,SUMIFS('MA Engine'!$X$6:$X$1110,'MA Engine'!$J$6:$J$1110,$G123,'MA Engine'!$I$6:$I$1110,"DO",'MA Engine'!$C$6:$C$1110,"RPA"))</f>
        <v>0</v>
      </c>
      <c r="L123" s="7" t="n">
        <f aca="false">IF($G123="",0,SUMIFS('MA Engine'!$X$6:$X$1110,'MA Engine'!$J$6:$J$1110,$G123,'MA Engine'!$I$6:$I$1110,"DO",'MA Engine'!$C$6:$C$1110,"Trading"))</f>
        <v>66285533.0845899</v>
      </c>
      <c r="M123" s="12" t="s">
        <v>2370</v>
      </c>
    </row>
    <row r="124" customFormat="false" ht="15" hidden="false" customHeight="false" outlineLevel="0" collapsed="false">
      <c r="A124" s="91" t="n">
        <v>8</v>
      </c>
      <c r="B124" s="74" t="s">
        <v>2489</v>
      </c>
      <c r="C124" s="76" t="n">
        <v>46254</v>
      </c>
      <c r="D124" s="74" t="s">
        <v>272</v>
      </c>
      <c r="E124" s="8" t="n">
        <v>0</v>
      </c>
      <c r="F124" s="8" t="n">
        <v>112430800</v>
      </c>
      <c r="G124" s="74" t="s">
        <v>2326</v>
      </c>
      <c r="H124" s="13" t="n">
        <f aca="false">IF($G124="",0,SUMIFS('MA Engine'!$W$6:$W$1110,'MA Engine'!$J$6:$J$1110,$G124,'MA Engine'!$I$6:$I$1110,"DO",'MA Engine'!$C$6:$C$1110,"RPA"))</f>
        <v>0</v>
      </c>
      <c r="I124" s="13" t="n">
        <f aca="false">IF($G124="",0,SUMIFS('MA Engine'!$W$6:$W$1110,'MA Engine'!$J$6:$J$1110,$G124,'MA Engine'!$I$6:$I$1110,"DO",'MA Engine'!$C$6:$C$1110,"Trading"))</f>
        <v>3626.8</v>
      </c>
      <c r="K124" s="7" t="n">
        <f aca="false">IF($G124="",0,SUMIFS('MA Engine'!$X$6:$X$1110,'MA Engine'!$J$6:$J$1110,$G124,'MA Engine'!$I$6:$I$1110,"DO",'MA Engine'!$C$6:$C$1110,"RPA"))</f>
        <v>0</v>
      </c>
      <c r="L124" s="7" t="n">
        <f aca="false">IF($G124="",0,SUMIFS('MA Engine'!$X$6:$X$1110,'MA Engine'!$J$6:$J$1110,$G124,'MA Engine'!$I$6:$I$1110,"DO",'MA Engine'!$C$6:$C$1110,"Trading"))</f>
        <v>107136647.818011</v>
      </c>
      <c r="M124" s="12" t="s">
        <v>2370</v>
      </c>
    </row>
    <row r="125" customFormat="false" ht="15" hidden="false" customHeight="false" outlineLevel="0" collapsed="false">
      <c r="A125" s="91" t="n">
        <v>8</v>
      </c>
      <c r="B125" s="74" t="s">
        <v>2490</v>
      </c>
      <c r="C125" s="76" t="n">
        <v>46248</v>
      </c>
      <c r="D125" s="74" t="s">
        <v>272</v>
      </c>
      <c r="E125" s="8" t="n">
        <v>0</v>
      </c>
      <c r="F125" s="8" t="n">
        <v>46717000</v>
      </c>
      <c r="G125" s="74" t="s">
        <v>2338</v>
      </c>
      <c r="H125" s="13" t="n">
        <f aca="false">IF($G125="",0,SUMIFS('MA Engine'!$W$6:$W$1110,'MA Engine'!$J$6:$J$1110,$G125,'MA Engine'!$I$6:$I$1110,"DO",'MA Engine'!$C$6:$C$1110,"RPA"))</f>
        <v>0</v>
      </c>
      <c r="I125" s="13" t="n">
        <f aca="false">IF($G125="",0,SUMIFS('MA Engine'!$W$6:$W$1110,'MA Engine'!$J$6:$J$1110,$G125,'MA Engine'!$I$6:$I$1110,"DO",'MA Engine'!$C$6:$C$1110,"Trading"))</f>
        <v>1507</v>
      </c>
      <c r="K125" s="7" t="n">
        <f aca="false">IF($G125="",0,SUMIFS('MA Engine'!$X$6:$X$1110,'MA Engine'!$J$6:$J$1110,$G125,'MA Engine'!$I$6:$I$1110,"DO",'MA Engine'!$C$6:$C$1110,"RPA"))</f>
        <v>0</v>
      </c>
      <c r="L125" s="7" t="n">
        <f aca="false">IF($G125="",0,SUMIFS('MA Engine'!$X$6:$X$1110,'MA Engine'!$J$6:$J$1110,$G125,'MA Engine'!$I$6:$I$1110,"DO",'MA Engine'!$C$6:$C$1110,"Trading"))</f>
        <v>48353846.058532</v>
      </c>
      <c r="M125" s="12" t="s">
        <v>2370</v>
      </c>
    </row>
    <row r="126" customFormat="false" ht="15" hidden="false" customHeight="false" outlineLevel="0" collapsed="false">
      <c r="A126" s="91" t="n">
        <v>8</v>
      </c>
      <c r="B126" s="74" t="s">
        <v>2491</v>
      </c>
      <c r="C126" s="76" t="n">
        <v>46248</v>
      </c>
      <c r="D126" s="74" t="s">
        <v>275</v>
      </c>
      <c r="E126" s="8" t="n">
        <v>0</v>
      </c>
      <c r="F126" s="8" t="n">
        <v>46368000</v>
      </c>
      <c r="G126" s="74" t="s">
        <v>2308</v>
      </c>
      <c r="H126" s="13" t="n">
        <f aca="false">IF($G126="",0,SUMIFS('MA Engine'!$W$6:$W$1110,'MA Engine'!$J$6:$J$1110,$G126,'MA Engine'!$I$6:$I$1110,"DO",'MA Engine'!$C$6:$C$1110,"RPA"))</f>
        <v>0</v>
      </c>
      <c r="I126" s="13" t="n">
        <f aca="false">IF($G126="",0,SUMIFS('MA Engine'!$W$6:$W$1110,'MA Engine'!$J$6:$J$1110,$G126,'MA Engine'!$I$6:$I$1110,"DO",'MA Engine'!$C$6:$C$1110,"Trading"))</f>
        <v>1545.6</v>
      </c>
      <c r="K126" s="7" t="n">
        <f aca="false">IF($G126="",0,SUMIFS('MA Engine'!$X$6:$X$1110,'MA Engine'!$J$6:$J$1110,$G126,'MA Engine'!$I$6:$I$1110,"DO",'MA Engine'!$C$6:$C$1110,"RPA"))</f>
        <v>0</v>
      </c>
      <c r="L126" s="7" t="n">
        <f aca="false">IF($G126="",0,SUMIFS('MA Engine'!$X$6:$X$1110,'MA Engine'!$J$6:$J$1110,$G126,'MA Engine'!$I$6:$I$1110,"DO",'MA Engine'!$C$6:$C$1110,"Trading"))</f>
        <v>46086352.1409723</v>
      </c>
      <c r="M126" s="12" t="s">
        <v>2370</v>
      </c>
    </row>
    <row r="127" customFormat="false" ht="15" hidden="false" customHeight="false" outlineLevel="0" collapsed="false">
      <c r="A127" s="91" t="n">
        <v>8</v>
      </c>
      <c r="B127" s="74" t="s">
        <v>2492</v>
      </c>
      <c r="C127" s="76" t="n">
        <v>46248</v>
      </c>
      <c r="D127" s="74" t="s">
        <v>275</v>
      </c>
      <c r="E127" s="8" t="n">
        <v>5792500</v>
      </c>
      <c r="F127" s="8" t="n">
        <v>0</v>
      </c>
      <c r="G127" s="74" t="s">
        <v>2172</v>
      </c>
      <c r="H127" s="13" t="n">
        <f aca="false">IF($G127="",0,SUMIFS('MA Engine'!$W$6:$W$1110,'MA Engine'!$J$6:$J$1110,$G127,'MA Engine'!$I$6:$I$1110,"DO",'MA Engine'!$C$6:$C$1110,"RPA"))</f>
        <v>165.5</v>
      </c>
      <c r="I127" s="13" t="n">
        <f aca="false">IF($G127="",0,SUMIFS('MA Engine'!$W$6:$W$1110,'MA Engine'!$J$6:$J$1110,$G127,'MA Engine'!$I$6:$I$1110,"DO",'MA Engine'!$C$6:$C$1110,"Trading"))</f>
        <v>0</v>
      </c>
      <c r="K127" s="7" t="n">
        <f aca="false">IF($G127="",0,SUMIFS('MA Engine'!$X$6:$X$1110,'MA Engine'!$J$6:$J$1110,$G127,'MA Engine'!$I$6:$I$1110,"DO",'MA Engine'!$C$6:$C$1110,"RPA"))</f>
        <v>5221552.13948819</v>
      </c>
      <c r="L127" s="7" t="n">
        <f aca="false">IF($G127="",0,SUMIFS('MA Engine'!$X$6:$X$1110,'MA Engine'!$J$6:$J$1110,$G127,'MA Engine'!$I$6:$I$1110,"DO",'MA Engine'!$C$6:$C$1110,"Trading"))</f>
        <v>0</v>
      </c>
      <c r="M127" s="12" t="s">
        <v>2370</v>
      </c>
    </row>
    <row r="128" customFormat="false" ht="15" hidden="false" customHeight="false" outlineLevel="0" collapsed="false">
      <c r="A128" s="91" t="n">
        <v>8</v>
      </c>
      <c r="B128" s="74" t="s">
        <v>2493</v>
      </c>
      <c r="C128" s="76" t="n">
        <v>46248</v>
      </c>
      <c r="D128" s="74" t="s">
        <v>277</v>
      </c>
      <c r="E128" s="8" t="n">
        <v>0</v>
      </c>
      <c r="F128" s="8" t="n">
        <v>106088500</v>
      </c>
      <c r="G128" s="74" t="s">
        <v>2285</v>
      </c>
      <c r="H128" s="13" t="n">
        <f aca="false">IF($G128="",0,SUMIFS('MA Engine'!$W$6:$W$1110,'MA Engine'!$J$6:$J$1110,$G128,'MA Engine'!$I$6:$I$1110,"DO",'MA Engine'!$C$6:$C$1110,"RPA"))</f>
        <v>0</v>
      </c>
      <c r="I128" s="13" t="n">
        <f aca="false">IF($G128="",0,SUMIFS('MA Engine'!$W$6:$W$1110,'MA Engine'!$J$6:$J$1110,$G128,'MA Engine'!$I$6:$I$1110,"DO",'MA Engine'!$C$6:$C$1110,"Trading"))</f>
        <v>2499.7</v>
      </c>
      <c r="K128" s="7" t="n">
        <f aca="false">IF($G128="",0,SUMIFS('MA Engine'!$X$6:$X$1110,'MA Engine'!$J$6:$J$1110,$G128,'MA Engine'!$I$6:$I$1110,"DO",'MA Engine'!$C$6:$C$1110,"RPA"))</f>
        <v>0</v>
      </c>
      <c r="L128" s="7" t="n">
        <f aca="false">IF($G128="",0,SUMIFS('MA Engine'!$X$6:$X$1110,'MA Engine'!$J$6:$J$1110,$G128,'MA Engine'!$I$6:$I$1110,"DO",'MA Engine'!$C$6:$C$1110,"Trading"))</f>
        <v>85681675.317894</v>
      </c>
      <c r="M128" s="12" t="s">
        <v>2370</v>
      </c>
    </row>
    <row r="129" customFormat="false" ht="15" hidden="false" customHeight="false" outlineLevel="0" collapsed="false">
      <c r="A129" s="91" t="n">
        <v>8</v>
      </c>
      <c r="B129" s="74" t="s">
        <v>2494</v>
      </c>
      <c r="C129" s="76" t="n">
        <v>46248</v>
      </c>
      <c r="D129" s="74" t="s">
        <v>271</v>
      </c>
      <c r="E129" s="8" t="n">
        <v>0</v>
      </c>
      <c r="F129" s="8" t="n">
        <v>67720500</v>
      </c>
      <c r="G129" s="74" t="s">
        <v>2287</v>
      </c>
      <c r="H129" s="13" t="n">
        <f aca="false">IF($G129="",0,SUMIFS('MA Engine'!$W$6:$W$1110,'MA Engine'!$J$6:$J$1110,$G129,'MA Engine'!$I$6:$I$1110,"DO",'MA Engine'!$C$6:$C$1110,"RPA"))</f>
        <v>0</v>
      </c>
      <c r="I129" s="13" t="n">
        <f aca="false">IF($G129="",0,SUMIFS('MA Engine'!$W$6:$W$1110,'MA Engine'!$J$6:$J$1110,$G129,'MA Engine'!$I$6:$I$1110,"DO",'MA Engine'!$C$6:$C$1110,"Trading"))</f>
        <v>1504.9</v>
      </c>
      <c r="K129" s="7" t="n">
        <f aca="false">IF($G129="",0,SUMIFS('MA Engine'!$X$6:$X$1110,'MA Engine'!$J$6:$J$1110,$G129,'MA Engine'!$I$6:$I$1110,"DO",'MA Engine'!$C$6:$C$1110,"RPA"))</f>
        <v>0</v>
      </c>
      <c r="L129" s="7" t="n">
        <f aca="false">IF($G129="",0,SUMIFS('MA Engine'!$X$6:$X$1110,'MA Engine'!$J$6:$J$1110,$G129,'MA Engine'!$I$6:$I$1110,"DO",'MA Engine'!$C$6:$C$1110,"Trading"))</f>
        <v>51583131.2501095</v>
      </c>
      <c r="M129" s="12" t="s">
        <v>2370</v>
      </c>
    </row>
    <row r="130" customFormat="false" ht="15" hidden="false" customHeight="false" outlineLevel="0" collapsed="false">
      <c r="A130" s="91" t="n">
        <v>8</v>
      </c>
      <c r="B130" s="74" t="s">
        <v>2495</v>
      </c>
      <c r="C130" s="76" t="n">
        <v>46248</v>
      </c>
      <c r="D130" s="74" t="s">
        <v>286</v>
      </c>
      <c r="E130" s="8" t="n">
        <v>29998500</v>
      </c>
      <c r="F130" s="8" t="n">
        <v>0</v>
      </c>
      <c r="G130" s="74" t="s">
        <v>2173</v>
      </c>
      <c r="H130" s="13" t="n">
        <f aca="false">IF($G130="",0,SUMIFS('MA Engine'!$W$6:$W$1110,'MA Engine'!$J$6:$J$1110,$G130,'MA Engine'!$I$6:$I$1110,"DO",'MA Engine'!$C$6:$C$1110,"RPA"))</f>
        <v>857.1</v>
      </c>
      <c r="I130" s="13" t="n">
        <f aca="false">IF($G130="",0,SUMIFS('MA Engine'!$W$6:$W$1110,'MA Engine'!$J$6:$J$1110,$G130,'MA Engine'!$I$6:$I$1110,"DO",'MA Engine'!$C$6:$C$1110,"Trading"))</f>
        <v>0</v>
      </c>
      <c r="K130" s="7" t="n">
        <f aca="false">IF($G130="",0,SUMIFS('MA Engine'!$X$6:$X$1110,'MA Engine'!$J$6:$J$1110,$G130,'MA Engine'!$I$6:$I$1110,"DO",'MA Engine'!$C$6:$C$1110,"RPA"))</f>
        <v>27041645.5513917</v>
      </c>
      <c r="L130" s="7" t="n">
        <f aca="false">IF($G130="",0,SUMIFS('MA Engine'!$X$6:$X$1110,'MA Engine'!$J$6:$J$1110,$G130,'MA Engine'!$I$6:$I$1110,"DO",'MA Engine'!$C$6:$C$1110,"Trading"))</f>
        <v>0</v>
      </c>
      <c r="M130" s="12" t="s">
        <v>2370</v>
      </c>
    </row>
    <row r="131" customFormat="false" ht="15" hidden="false" customHeight="false" outlineLevel="0" collapsed="false">
      <c r="A131" s="91" t="n">
        <v>8</v>
      </c>
      <c r="B131" s="74" t="s">
        <v>2496</v>
      </c>
      <c r="C131" s="76" t="n">
        <v>46248</v>
      </c>
      <c r="D131" s="74" t="s">
        <v>277</v>
      </c>
      <c r="E131" s="8" t="n">
        <v>0</v>
      </c>
      <c r="F131" s="8" t="n">
        <v>67702500</v>
      </c>
      <c r="G131" s="74" t="s">
        <v>2286</v>
      </c>
      <c r="H131" s="13" t="n">
        <f aca="false">IF($G131="",0,SUMIFS('MA Engine'!$W$6:$W$1110,'MA Engine'!$J$6:$J$1110,$G131,'MA Engine'!$I$6:$I$1110,"DO",'MA Engine'!$C$6:$C$1110,"RPA"))</f>
        <v>0</v>
      </c>
      <c r="I131" s="13" t="n">
        <f aca="false">IF($G131="",0,SUMIFS('MA Engine'!$W$6:$W$1110,'MA Engine'!$J$6:$J$1110,$G131,'MA Engine'!$I$6:$I$1110,"DO",'MA Engine'!$C$6:$C$1110,"Trading"))</f>
        <v>1504.5</v>
      </c>
      <c r="K131" s="7" t="n">
        <f aca="false">IF($G131="",0,SUMIFS('MA Engine'!$X$6:$X$1110,'MA Engine'!$J$6:$J$1110,$G131,'MA Engine'!$I$6:$I$1110,"DO",'MA Engine'!$C$6:$C$1110,"RPA"))</f>
        <v>0</v>
      </c>
      <c r="L131" s="7" t="n">
        <f aca="false">IF($G131="",0,SUMIFS('MA Engine'!$X$6:$X$1110,'MA Engine'!$J$6:$J$1110,$G131,'MA Engine'!$I$6:$I$1110,"DO",'MA Engine'!$C$6:$C$1110,"Trading"))</f>
        <v>51569420.5367731</v>
      </c>
      <c r="M131" s="12" t="s">
        <v>2370</v>
      </c>
    </row>
    <row r="132" customFormat="false" ht="15" hidden="false" customHeight="false" outlineLevel="0" collapsed="false">
      <c r="A132" s="91" t="n">
        <v>8</v>
      </c>
      <c r="B132" s="74" t="s">
        <v>2497</v>
      </c>
      <c r="C132" s="76" t="n">
        <v>46249</v>
      </c>
      <c r="D132" s="74" t="s">
        <v>283</v>
      </c>
      <c r="E132" s="8" t="n">
        <v>0</v>
      </c>
      <c r="F132" s="8" t="n">
        <v>67834675</v>
      </c>
      <c r="G132" s="74" t="s">
        <v>2288</v>
      </c>
      <c r="H132" s="13" t="n">
        <f aca="false">IF($G132="",0,SUMIFS('MA Engine'!$W$6:$W$1110,'MA Engine'!$J$6:$J$1110,$G132,'MA Engine'!$I$6:$I$1110,"DO",'MA Engine'!$C$6:$C$1110,"RPA"))</f>
        <v>0</v>
      </c>
      <c r="I132" s="13" t="n">
        <f aca="false">IF($G132="",0,SUMIFS('MA Engine'!$W$6:$W$1110,'MA Engine'!$J$6:$J$1110,$G132,'MA Engine'!$I$6:$I$1110,"DO",'MA Engine'!$C$6:$C$1110,"Trading"))</f>
        <v>1698.49</v>
      </c>
      <c r="K132" s="7" t="n">
        <f aca="false">IF($G132="",0,SUMIFS('MA Engine'!$X$6:$X$1110,'MA Engine'!$J$6:$J$1110,$G132,'MA Engine'!$I$6:$I$1110,"DO",'MA Engine'!$C$6:$C$1110,"RPA"))</f>
        <v>0</v>
      </c>
      <c r="L132" s="7" t="n">
        <f aca="false">IF($G132="",0,SUMIFS('MA Engine'!$X$6:$X$1110,'MA Engine'!$J$6:$J$1110,$G132,'MA Engine'!$I$6:$I$1110,"DO",'MA Engine'!$C$6:$C$1110,"Trading"))</f>
        <v>56773992.8809321</v>
      </c>
      <c r="M132" s="12" t="s">
        <v>2370</v>
      </c>
    </row>
    <row r="133" customFormat="false" ht="15" hidden="false" customHeight="false" outlineLevel="0" collapsed="false">
      <c r="A133" s="91" t="n">
        <v>8</v>
      </c>
      <c r="B133" s="74" t="s">
        <v>2498</v>
      </c>
      <c r="C133" s="76" t="n">
        <v>46249</v>
      </c>
      <c r="D133" s="74" t="s">
        <v>293</v>
      </c>
      <c r="E133" s="8" t="n">
        <v>0</v>
      </c>
      <c r="F133" s="8" t="n">
        <v>30985800</v>
      </c>
      <c r="G133" s="74" t="s">
        <v>2339</v>
      </c>
      <c r="H133" s="13" t="n">
        <f aca="false">IF($G133="",0,SUMIFS('MA Engine'!$W$6:$W$1110,'MA Engine'!$J$6:$J$1110,$G133,'MA Engine'!$I$6:$I$1110,"DO",'MA Engine'!$C$6:$C$1110,"RPA"))</f>
        <v>0</v>
      </c>
      <c r="I133" s="13" t="n">
        <f aca="false">IF($G133="",0,SUMIFS('MA Engine'!$W$6:$W$1110,'MA Engine'!$J$6:$J$1110,$G133,'MA Engine'!$I$6:$I$1110,"DO",'MA Engine'!$C$6:$C$1110,"Trading"))</f>
        <v>996.6</v>
      </c>
      <c r="K133" s="7" t="n">
        <f aca="false">IF($G133="",0,SUMIFS('MA Engine'!$X$6:$X$1110,'MA Engine'!$J$6:$J$1110,$G133,'MA Engine'!$I$6:$I$1110,"DO",'MA Engine'!$C$6:$C$1110,"RPA"))</f>
        <v>0</v>
      </c>
      <c r="L133" s="7" t="n">
        <f aca="false">IF($G133="",0,SUMIFS('MA Engine'!$X$6:$X$1110,'MA Engine'!$J$6:$J$1110,$G133,'MA Engine'!$I$6:$I$1110,"DO",'MA Engine'!$C$6:$C$1110,"Trading"))</f>
        <v>31977068.999292</v>
      </c>
      <c r="M133" s="12" t="s">
        <v>2370</v>
      </c>
    </row>
    <row r="134" customFormat="false" ht="15" hidden="false" customHeight="false" outlineLevel="0" collapsed="false">
      <c r="A134" s="91" t="n">
        <v>8</v>
      </c>
      <c r="B134" s="74" t="s">
        <v>2499</v>
      </c>
      <c r="C134" s="76" t="n">
        <v>46249</v>
      </c>
      <c r="D134" s="74" t="s">
        <v>269</v>
      </c>
      <c r="E134" s="8" t="n">
        <v>0</v>
      </c>
      <c r="F134" s="8" t="n">
        <v>34449000</v>
      </c>
      <c r="G134" s="74" t="s">
        <v>2309</v>
      </c>
      <c r="H134" s="13" t="n">
        <f aca="false">IF($G134="",0,SUMIFS('MA Engine'!$W$6:$W$1110,'MA Engine'!$J$6:$J$1110,$G134,'MA Engine'!$I$6:$I$1110,"DO",'MA Engine'!$C$6:$C$1110,"RPA"))</f>
        <v>0</v>
      </c>
      <c r="I134" s="13" t="n">
        <f aca="false">IF($G134="",0,SUMIFS('MA Engine'!$W$6:$W$1110,'MA Engine'!$J$6:$J$1110,$G134,'MA Engine'!$I$6:$I$1110,"DO",'MA Engine'!$C$6:$C$1110,"Trading"))</f>
        <v>1148.3</v>
      </c>
      <c r="K134" s="7" t="n">
        <f aca="false">IF($G134="",0,SUMIFS('MA Engine'!$X$6:$X$1110,'MA Engine'!$J$6:$J$1110,$G134,'MA Engine'!$I$6:$I$1110,"DO",'MA Engine'!$C$6:$C$1110,"RPA"))</f>
        <v>0</v>
      </c>
      <c r="L134" s="7" t="n">
        <f aca="false">IF($G134="",0,SUMIFS('MA Engine'!$X$6:$X$1110,'MA Engine'!$J$6:$J$1110,$G134,'MA Engine'!$I$6:$I$1110,"DO",'MA Engine'!$C$6:$C$1110,"Trading"))</f>
        <v>36512939.7872736</v>
      </c>
      <c r="M134" s="12" t="s">
        <v>2370</v>
      </c>
    </row>
    <row r="135" customFormat="false" ht="15" hidden="false" customHeight="false" outlineLevel="0" collapsed="false">
      <c r="A135" s="91" t="n">
        <v>8</v>
      </c>
      <c r="B135" s="74" t="s">
        <v>2500</v>
      </c>
      <c r="C135" s="76" t="n">
        <v>46249</v>
      </c>
      <c r="D135" s="74" t="s">
        <v>283</v>
      </c>
      <c r="E135" s="8" t="n">
        <v>0</v>
      </c>
      <c r="F135" s="8" t="n">
        <v>13963500</v>
      </c>
      <c r="G135" s="74" t="s">
        <v>2289</v>
      </c>
      <c r="H135" s="13" t="n">
        <f aca="false">IF($G135="",0,SUMIFS('MA Engine'!$W$6:$W$1110,'MA Engine'!$J$6:$J$1110,$G135,'MA Engine'!$I$6:$I$1110,"DO",'MA Engine'!$C$6:$C$1110,"RPA"))</f>
        <v>0</v>
      </c>
      <c r="I135" s="13" t="n">
        <f aca="false">IF($G135="",0,SUMIFS('MA Engine'!$W$6:$W$1110,'MA Engine'!$J$6:$J$1110,$G135,'MA Engine'!$I$6:$I$1110,"DO",'MA Engine'!$C$6:$C$1110,"Trading"))</f>
        <v>310.3</v>
      </c>
      <c r="K135" s="7" t="n">
        <f aca="false">IF($G135="",0,SUMIFS('MA Engine'!$X$6:$X$1110,'MA Engine'!$J$6:$J$1110,$G135,'MA Engine'!$I$6:$I$1110,"DO",'MA Engine'!$C$6:$C$1110,"RPA"))</f>
        <v>0</v>
      </c>
      <c r="L135" s="7" t="n">
        <f aca="false">IF($G135="",0,SUMIFS('MA Engine'!$X$6:$X$1110,'MA Engine'!$J$6:$J$1110,$G135,'MA Engine'!$I$6:$I$1110,"DO",'MA Engine'!$C$6:$C$1110,"Trading"))</f>
        <v>10636085.8707615</v>
      </c>
      <c r="M135" s="12" t="s">
        <v>2370</v>
      </c>
    </row>
    <row r="136" customFormat="false" ht="15" hidden="false" customHeight="false" outlineLevel="0" collapsed="false">
      <c r="A136" s="91" t="n">
        <v>8</v>
      </c>
      <c r="B136" s="74" t="s">
        <v>2501</v>
      </c>
      <c r="C136" s="76" t="n">
        <v>46252</v>
      </c>
      <c r="D136" s="74" t="s">
        <v>287</v>
      </c>
      <c r="E136" s="8" t="n">
        <v>1398100</v>
      </c>
      <c r="F136" s="8" t="n">
        <v>0</v>
      </c>
      <c r="G136" s="74" t="s">
        <v>2163</v>
      </c>
      <c r="H136" s="13" t="n">
        <f aca="false">IF($G136="",0,SUMIFS('MA Engine'!$W$6:$W$1110,'MA Engine'!$J$6:$J$1110,$G136,'MA Engine'!$I$6:$I$1110,"DO",'MA Engine'!$C$6:$C$1110,"RPA"))</f>
        <v>45.1</v>
      </c>
      <c r="I136" s="13" t="n">
        <f aca="false">IF($G136="",0,SUMIFS('MA Engine'!$W$6:$W$1110,'MA Engine'!$J$6:$J$1110,$G136,'MA Engine'!$I$6:$I$1110,"DO",'MA Engine'!$C$6:$C$1110,"Trading"))</f>
        <v>0</v>
      </c>
      <c r="K136" s="7" t="n">
        <f aca="false">IF($G136="",0,SUMIFS('MA Engine'!$X$6:$X$1110,'MA Engine'!$J$6:$J$1110,$G136,'MA Engine'!$I$6:$I$1110,"DO",'MA Engine'!$C$6:$C$1110,"RPA"))</f>
        <v>1726142.66432397</v>
      </c>
      <c r="L136" s="7" t="n">
        <f aca="false">IF($G136="",0,SUMIFS('MA Engine'!$X$6:$X$1110,'MA Engine'!$J$6:$J$1110,$G136,'MA Engine'!$I$6:$I$1110,"DO",'MA Engine'!$C$6:$C$1110,"Trading"))</f>
        <v>0</v>
      </c>
      <c r="M136" s="12" t="s">
        <v>2370</v>
      </c>
    </row>
    <row r="137" customFormat="false" ht="15" hidden="false" customHeight="false" outlineLevel="0" collapsed="false">
      <c r="A137" s="91" t="n">
        <v>8</v>
      </c>
      <c r="B137" s="74" t="s">
        <v>2502</v>
      </c>
      <c r="C137" s="76" t="n">
        <v>46252</v>
      </c>
      <c r="D137" s="74" t="s">
        <v>287</v>
      </c>
      <c r="E137" s="8" t="n">
        <v>1967450</v>
      </c>
      <c r="F137" s="8" t="n">
        <v>0</v>
      </c>
      <c r="G137" s="74" t="s">
        <v>2084</v>
      </c>
      <c r="H137" s="13" t="n">
        <f aca="false">IF($G137="",0,SUMIFS('MA Engine'!$W$6:$W$1110,'MA Engine'!$J$6:$J$1110,$G137,'MA Engine'!$I$6:$I$1110,"DO",'MA Engine'!$C$6:$C$1110,"RPA"))</f>
        <v>591.8</v>
      </c>
      <c r="I137" s="13" t="n">
        <f aca="false">IF($G137="",0,SUMIFS('MA Engine'!$W$6:$W$1110,'MA Engine'!$J$6:$J$1110,$G137,'MA Engine'!$I$6:$I$1110,"DO",'MA Engine'!$C$6:$C$1110,"Trading"))</f>
        <v>0</v>
      </c>
      <c r="K137" s="7" t="n">
        <f aca="false">IF($G137="",0,SUMIFS('MA Engine'!$X$6:$X$1110,'MA Engine'!$J$6:$J$1110,$G137,'MA Engine'!$I$6:$I$1110,"DO",'MA Engine'!$C$6:$C$1110,"RPA"))</f>
        <v>3552793.68850033</v>
      </c>
      <c r="L137" s="7" t="n">
        <f aca="false">IF($G137="",0,SUMIFS('MA Engine'!$X$6:$X$1110,'MA Engine'!$J$6:$J$1110,$G137,'MA Engine'!$I$6:$I$1110,"DO",'MA Engine'!$C$6:$C$1110,"Trading"))</f>
        <v>0</v>
      </c>
      <c r="M137" s="12" t="s">
        <v>2370</v>
      </c>
    </row>
    <row r="138" customFormat="false" ht="15" hidden="false" customHeight="false" outlineLevel="0" collapsed="false">
      <c r="A138" s="91" t="n">
        <v>8</v>
      </c>
      <c r="B138" s="74" t="s">
        <v>2503</v>
      </c>
      <c r="C138" s="76" t="n">
        <v>46252</v>
      </c>
      <c r="D138" s="74" t="s">
        <v>287</v>
      </c>
      <c r="E138" s="8" t="n">
        <v>2348650</v>
      </c>
      <c r="F138" s="8" t="n">
        <v>0</v>
      </c>
      <c r="G138" s="74" t="s">
        <v>2085</v>
      </c>
      <c r="H138" s="13" t="n">
        <f aca="false">IF($G138="",0,SUMIFS('MA Engine'!$W$6:$W$1110,'MA Engine'!$J$6:$J$1110,$G138,'MA Engine'!$I$6:$I$1110,"DO",'MA Engine'!$C$6:$C$1110,"RPA"))</f>
        <v>711.4</v>
      </c>
      <c r="I138" s="13" t="n">
        <f aca="false">IF($G138="",0,SUMIFS('MA Engine'!$W$6:$W$1110,'MA Engine'!$J$6:$J$1110,$G138,'MA Engine'!$I$6:$I$1110,"DO",'MA Engine'!$C$6:$C$1110,"Trading"))</f>
        <v>0</v>
      </c>
      <c r="K138" s="7" t="n">
        <f aca="false">IF($G138="",0,SUMIFS('MA Engine'!$X$6:$X$1110,'MA Engine'!$J$6:$J$1110,$G138,'MA Engine'!$I$6:$I$1110,"DO",'MA Engine'!$C$6:$C$1110,"RPA"))</f>
        <v>3993509.54075051</v>
      </c>
      <c r="L138" s="7" t="n">
        <f aca="false">IF($G138="",0,SUMIFS('MA Engine'!$X$6:$X$1110,'MA Engine'!$J$6:$J$1110,$G138,'MA Engine'!$I$6:$I$1110,"DO",'MA Engine'!$C$6:$C$1110,"Trading"))</f>
        <v>0</v>
      </c>
      <c r="M138" s="12" t="s">
        <v>2370</v>
      </c>
    </row>
    <row r="139" customFormat="false" ht="15" hidden="false" customHeight="false" outlineLevel="0" collapsed="false">
      <c r="A139" s="91" t="n">
        <v>8</v>
      </c>
      <c r="B139" s="74" t="s">
        <v>2504</v>
      </c>
      <c r="C139" s="76" t="n">
        <v>46252</v>
      </c>
      <c r="D139" s="74" t="s">
        <v>287</v>
      </c>
      <c r="E139" s="8" t="n">
        <v>2266450</v>
      </c>
      <c r="F139" s="8" t="n">
        <v>0</v>
      </c>
      <c r="G139" s="74" t="s">
        <v>2086</v>
      </c>
      <c r="H139" s="13" t="n">
        <f aca="false">IF($G139="",0,SUMIFS('MA Engine'!$W$6:$W$1110,'MA Engine'!$J$6:$J$1110,$G139,'MA Engine'!$I$6:$I$1110,"DO",'MA Engine'!$C$6:$C$1110,"RPA"))</f>
        <v>659.6</v>
      </c>
      <c r="I139" s="13" t="n">
        <f aca="false">IF($G139="",0,SUMIFS('MA Engine'!$W$6:$W$1110,'MA Engine'!$J$6:$J$1110,$G139,'MA Engine'!$I$6:$I$1110,"DO",'MA Engine'!$C$6:$C$1110,"Trading"))</f>
        <v>0</v>
      </c>
      <c r="K139" s="7" t="n">
        <f aca="false">IF($G139="",0,SUMIFS('MA Engine'!$X$6:$X$1110,'MA Engine'!$J$6:$J$1110,$G139,'MA Engine'!$I$6:$I$1110,"DO",'MA Engine'!$C$6:$C$1110,"RPA"))</f>
        <v>3993410.56177617</v>
      </c>
      <c r="L139" s="7" t="n">
        <f aca="false">IF($G139="",0,SUMIFS('MA Engine'!$X$6:$X$1110,'MA Engine'!$J$6:$J$1110,$G139,'MA Engine'!$I$6:$I$1110,"DO",'MA Engine'!$C$6:$C$1110,"Trading"))</f>
        <v>0</v>
      </c>
      <c r="M139" s="12" t="s">
        <v>2370</v>
      </c>
    </row>
    <row r="140" customFormat="false" ht="15" hidden="false" customHeight="false" outlineLevel="0" collapsed="false">
      <c r="A140" s="91" t="n">
        <v>8</v>
      </c>
      <c r="B140" s="74" t="s">
        <v>2505</v>
      </c>
      <c r="C140" s="76" t="n">
        <v>46252</v>
      </c>
      <c r="D140" s="74" t="s">
        <v>287</v>
      </c>
      <c r="E140" s="8" t="n">
        <v>2380250</v>
      </c>
      <c r="F140" s="8" t="n">
        <v>0</v>
      </c>
      <c r="G140" s="74" t="s">
        <v>2087</v>
      </c>
      <c r="H140" s="13" t="n">
        <f aca="false">IF($G140="",0,SUMIFS('MA Engine'!$W$6:$W$1110,'MA Engine'!$J$6:$J$1110,$G140,'MA Engine'!$I$6:$I$1110,"DO",'MA Engine'!$C$6:$C$1110,"RPA"))</f>
        <v>721.9</v>
      </c>
      <c r="I140" s="13" t="n">
        <f aca="false">IF($G140="",0,SUMIFS('MA Engine'!$W$6:$W$1110,'MA Engine'!$J$6:$J$1110,$G140,'MA Engine'!$I$6:$I$1110,"DO",'MA Engine'!$C$6:$C$1110,"Trading"))</f>
        <v>0</v>
      </c>
      <c r="K140" s="7" t="n">
        <f aca="false">IF($G140="",0,SUMIFS('MA Engine'!$X$6:$X$1110,'MA Engine'!$J$6:$J$1110,$G140,'MA Engine'!$I$6:$I$1110,"DO",'MA Engine'!$C$6:$C$1110,"RPA"))</f>
        <v>4141267.38629429</v>
      </c>
      <c r="L140" s="7" t="n">
        <f aca="false">IF($G140="",0,SUMIFS('MA Engine'!$X$6:$X$1110,'MA Engine'!$J$6:$J$1110,$G140,'MA Engine'!$I$6:$I$1110,"DO",'MA Engine'!$C$6:$C$1110,"Trading"))</f>
        <v>0</v>
      </c>
      <c r="M140" s="12" t="s">
        <v>2370</v>
      </c>
    </row>
    <row r="141" customFormat="false" ht="15" hidden="false" customHeight="false" outlineLevel="0" collapsed="false">
      <c r="A141" s="91" t="n">
        <v>8</v>
      </c>
      <c r="B141" s="74" t="s">
        <v>2506</v>
      </c>
      <c r="C141" s="76" t="n">
        <v>46252</v>
      </c>
      <c r="D141" s="74" t="s">
        <v>287</v>
      </c>
      <c r="E141" s="8" t="n">
        <v>633600</v>
      </c>
      <c r="F141" s="8" t="n">
        <v>0</v>
      </c>
      <c r="G141" s="74" t="s">
        <v>2126</v>
      </c>
      <c r="H141" s="13" t="n">
        <f aca="false">IF($G141="",0,SUMIFS('MA Engine'!$W$6:$W$1110,'MA Engine'!$J$6:$J$1110,$G141,'MA Engine'!$I$6:$I$1110,"DO",'MA Engine'!$C$6:$C$1110,"RPA"))</f>
        <v>19.2</v>
      </c>
      <c r="I141" s="13" t="n">
        <f aca="false">IF($G141="",0,SUMIFS('MA Engine'!$W$6:$W$1110,'MA Engine'!$J$6:$J$1110,$G141,'MA Engine'!$I$6:$I$1110,"DO",'MA Engine'!$C$6:$C$1110,"Trading"))</f>
        <v>0</v>
      </c>
      <c r="K141" s="7" t="n">
        <f aca="false">IF($G141="",0,SUMIFS('MA Engine'!$X$6:$X$1110,'MA Engine'!$J$6:$J$1110,$G141,'MA Engine'!$I$6:$I$1110,"DO",'MA Engine'!$C$6:$C$1110,"RPA"))</f>
        <v>641598.137846983</v>
      </c>
      <c r="L141" s="7" t="n">
        <f aca="false">IF($G141="",0,SUMIFS('MA Engine'!$X$6:$X$1110,'MA Engine'!$J$6:$J$1110,$G141,'MA Engine'!$I$6:$I$1110,"DO",'MA Engine'!$C$6:$C$1110,"Trading"))</f>
        <v>0</v>
      </c>
      <c r="M141" s="12" t="s">
        <v>2370</v>
      </c>
    </row>
    <row r="142" customFormat="false" ht="15" hidden="false" customHeight="false" outlineLevel="0" collapsed="false">
      <c r="A142" s="91" t="n">
        <v>8</v>
      </c>
      <c r="B142" s="74" t="s">
        <v>2507</v>
      </c>
      <c r="C142" s="76" t="n">
        <v>46252</v>
      </c>
      <c r="D142" s="74" t="s">
        <v>287</v>
      </c>
      <c r="E142" s="8" t="n">
        <v>688200</v>
      </c>
      <c r="F142" s="8" t="n">
        <v>0</v>
      </c>
      <c r="G142" s="74" t="s">
        <v>2156</v>
      </c>
      <c r="H142" s="13" t="n">
        <f aca="false">IF($G142="",0,SUMIFS('MA Engine'!$W$6:$W$1110,'MA Engine'!$J$6:$J$1110,$G142,'MA Engine'!$I$6:$I$1110,"DO",'MA Engine'!$C$6:$C$1110,"RPA"))</f>
        <v>22.2</v>
      </c>
      <c r="I142" s="13" t="n">
        <f aca="false">IF($G142="",0,SUMIFS('MA Engine'!$W$6:$W$1110,'MA Engine'!$J$6:$J$1110,$G142,'MA Engine'!$I$6:$I$1110,"DO",'MA Engine'!$C$6:$C$1110,"Trading"))</f>
        <v>0</v>
      </c>
      <c r="K142" s="7" t="n">
        <f aca="false">IF($G142="",0,SUMIFS('MA Engine'!$X$6:$X$1110,'MA Engine'!$J$6:$J$1110,$G142,'MA Engine'!$I$6:$I$1110,"DO",'MA Engine'!$C$6:$C$1110,"RPA"))</f>
        <v>703374.44126932</v>
      </c>
      <c r="L142" s="7" t="n">
        <f aca="false">IF($G142="",0,SUMIFS('MA Engine'!$X$6:$X$1110,'MA Engine'!$J$6:$J$1110,$G142,'MA Engine'!$I$6:$I$1110,"DO",'MA Engine'!$C$6:$C$1110,"Trading"))</f>
        <v>0</v>
      </c>
      <c r="M142" s="12" t="s">
        <v>2370</v>
      </c>
    </row>
    <row r="143" customFormat="false" ht="15" hidden="false" customHeight="false" outlineLevel="0" collapsed="false">
      <c r="A143" s="91" t="n">
        <v>8</v>
      </c>
      <c r="B143" s="74" t="s">
        <v>2508</v>
      </c>
      <c r="C143" s="76" t="n">
        <v>46252</v>
      </c>
      <c r="D143" s="74" t="s">
        <v>275</v>
      </c>
      <c r="E143" s="8" t="n">
        <v>0</v>
      </c>
      <c r="F143" s="8" t="n">
        <v>15462300</v>
      </c>
      <c r="G143" s="74" t="s">
        <v>2290</v>
      </c>
      <c r="H143" s="13" t="n">
        <f aca="false">IF($G143="",0,SUMIFS('MA Engine'!$W$6:$W$1110,'MA Engine'!$J$6:$J$1110,$G143,'MA Engine'!$I$6:$I$1110,"DO",'MA Engine'!$C$6:$C$1110,"RPA"))</f>
        <v>0</v>
      </c>
      <c r="I143" s="13" t="n">
        <f aca="false">IF($G143="",0,SUMIFS('MA Engine'!$W$6:$W$1110,'MA Engine'!$J$6:$J$1110,$G143,'MA Engine'!$I$6:$I$1110,"DO",'MA Engine'!$C$6:$C$1110,"Trading"))</f>
        <v>417.9</v>
      </c>
      <c r="K143" s="7" t="n">
        <f aca="false">IF($G143="",0,SUMIFS('MA Engine'!$X$6:$X$1110,'MA Engine'!$J$6:$J$1110,$G143,'MA Engine'!$I$6:$I$1110,"DO",'MA Engine'!$C$6:$C$1110,"RPA"))</f>
        <v>0</v>
      </c>
      <c r="L143" s="7" t="n">
        <f aca="false">IF($G143="",0,SUMIFS('MA Engine'!$X$6:$X$1110,'MA Engine'!$J$6:$J$1110,$G143,'MA Engine'!$I$6:$I$1110,"DO",'MA Engine'!$C$6:$C$1110,"Trading"))</f>
        <v>14324267.7582702</v>
      </c>
      <c r="M143" s="12" t="s">
        <v>2370</v>
      </c>
    </row>
    <row r="144" customFormat="false" ht="15" hidden="false" customHeight="false" outlineLevel="0" collapsed="false">
      <c r="A144" s="91" t="n">
        <v>8</v>
      </c>
      <c r="B144" s="74" t="s">
        <v>2509</v>
      </c>
      <c r="C144" s="76" t="n">
        <v>46252</v>
      </c>
      <c r="D144" s="74" t="s">
        <v>269</v>
      </c>
      <c r="E144" s="8" t="n">
        <v>77301000</v>
      </c>
      <c r="F144" s="8" t="n">
        <v>0</v>
      </c>
      <c r="G144" s="74" t="s">
        <v>2177</v>
      </c>
      <c r="H144" s="13" t="n">
        <f aca="false">IF($G144="",0,SUMIFS('MA Engine'!$W$6:$W$1110,'MA Engine'!$J$6:$J$1110,$G144,'MA Engine'!$I$6:$I$1110,"DO",'MA Engine'!$C$6:$C$1110,"RPA"))</f>
        <v>2576.7</v>
      </c>
      <c r="I144" s="13" t="n">
        <f aca="false">IF($G144="",0,SUMIFS('MA Engine'!$W$6:$W$1110,'MA Engine'!$J$6:$J$1110,$G144,'MA Engine'!$I$6:$I$1110,"DO",'MA Engine'!$C$6:$C$1110,"Trading"))</f>
        <v>0</v>
      </c>
      <c r="K144" s="7" t="n">
        <f aca="false">IF($G144="",0,SUMIFS('MA Engine'!$X$6:$X$1110,'MA Engine'!$J$6:$J$1110,$G144,'MA Engine'!$I$6:$I$1110,"DO",'MA Engine'!$C$6:$C$1110,"RPA"))</f>
        <v>68805322.0834012</v>
      </c>
      <c r="L144" s="7" t="n">
        <f aca="false">IF($G144="",0,SUMIFS('MA Engine'!$X$6:$X$1110,'MA Engine'!$J$6:$J$1110,$G144,'MA Engine'!$I$6:$I$1110,"DO",'MA Engine'!$C$6:$C$1110,"Trading"))</f>
        <v>0</v>
      </c>
      <c r="M144" s="12" t="s">
        <v>2370</v>
      </c>
    </row>
    <row r="145" customFormat="false" ht="15" hidden="false" customHeight="false" outlineLevel="0" collapsed="false">
      <c r="A145" s="91" t="n">
        <v>8</v>
      </c>
      <c r="B145" s="74" t="s">
        <v>2510</v>
      </c>
      <c r="C145" s="76" t="n">
        <v>46252</v>
      </c>
      <c r="D145" s="74" t="s">
        <v>269</v>
      </c>
      <c r="E145" s="8" t="n">
        <v>28005000</v>
      </c>
      <c r="F145" s="8" t="n">
        <v>0</v>
      </c>
      <c r="G145" s="74" t="s">
        <v>2178</v>
      </c>
      <c r="H145" s="13" t="n">
        <f aca="false">IF($G145="",0,SUMIFS('MA Engine'!$W$6:$W$1110,'MA Engine'!$J$6:$J$1110,$G145,'MA Engine'!$I$6:$I$1110,"DO",'MA Engine'!$C$6:$C$1110,"RPA"))</f>
        <v>933.5</v>
      </c>
      <c r="I145" s="13" t="n">
        <f aca="false">IF($G145="",0,SUMIFS('MA Engine'!$W$6:$W$1110,'MA Engine'!$J$6:$J$1110,$G145,'MA Engine'!$I$6:$I$1110,"DO",'MA Engine'!$C$6:$C$1110,"Trading"))</f>
        <v>0</v>
      </c>
      <c r="K145" s="7" t="n">
        <f aca="false">IF($G145="",0,SUMIFS('MA Engine'!$X$6:$X$1110,'MA Engine'!$J$6:$J$1110,$G145,'MA Engine'!$I$6:$I$1110,"DO",'MA Engine'!$C$6:$C$1110,"RPA"))</f>
        <v>24188110.6206949</v>
      </c>
      <c r="L145" s="7" t="n">
        <f aca="false">IF($G145="",0,SUMIFS('MA Engine'!$X$6:$X$1110,'MA Engine'!$J$6:$J$1110,$G145,'MA Engine'!$I$6:$I$1110,"DO",'MA Engine'!$C$6:$C$1110,"Trading"))</f>
        <v>0</v>
      </c>
      <c r="M145" s="12" t="s">
        <v>2370</v>
      </c>
    </row>
    <row r="146" customFormat="false" ht="15" hidden="false" customHeight="false" outlineLevel="0" collapsed="false">
      <c r="A146" s="91" t="n">
        <v>8</v>
      </c>
      <c r="B146" s="74" t="s">
        <v>2511</v>
      </c>
      <c r="C146" s="76" t="n">
        <v>46252</v>
      </c>
      <c r="D146" s="74" t="s">
        <v>272</v>
      </c>
      <c r="E146" s="8" t="n">
        <v>0</v>
      </c>
      <c r="F146" s="8" t="n">
        <v>70551000</v>
      </c>
      <c r="G146" s="74" t="s">
        <v>2291</v>
      </c>
      <c r="H146" s="13" t="n">
        <f aca="false">IF($G146="",0,SUMIFS('MA Engine'!$W$6:$W$1110,'MA Engine'!$J$6:$J$1110,$G146,'MA Engine'!$I$6:$I$1110,"DO",'MA Engine'!$C$6:$C$1110,"RPA"))</f>
        <v>0</v>
      </c>
      <c r="I146" s="13" t="n">
        <f aca="false">IF($G146="",0,SUMIFS('MA Engine'!$W$6:$W$1110,'MA Engine'!$J$6:$J$1110,$G146,'MA Engine'!$I$6:$I$1110,"DO",'MA Engine'!$C$6:$C$1110,"Trading"))</f>
        <v>1567.8</v>
      </c>
      <c r="K146" s="7" t="n">
        <f aca="false">IF($G146="",0,SUMIFS('MA Engine'!$X$6:$X$1110,'MA Engine'!$J$6:$J$1110,$G146,'MA Engine'!$I$6:$I$1110,"DO",'MA Engine'!$C$6:$C$1110,"RPA"))</f>
        <v>0</v>
      </c>
      <c r="L146" s="7" t="n">
        <f aca="false">IF($G146="",0,SUMIFS('MA Engine'!$X$6:$X$1110,'MA Engine'!$J$6:$J$1110,$G146,'MA Engine'!$I$6:$I$1110,"DO",'MA Engine'!$C$6:$C$1110,"Trading"))</f>
        <v>53739140.9222684</v>
      </c>
      <c r="M146" s="12" t="s">
        <v>2370</v>
      </c>
    </row>
    <row r="147" customFormat="false" ht="15" hidden="false" customHeight="false" outlineLevel="0" collapsed="false">
      <c r="A147" s="91" t="n">
        <v>8</v>
      </c>
      <c r="B147" s="74" t="s">
        <v>2512</v>
      </c>
      <c r="C147" s="76" t="n">
        <v>46253</v>
      </c>
      <c r="D147" s="74" t="s">
        <v>288</v>
      </c>
      <c r="E147" s="8" t="n">
        <v>0</v>
      </c>
      <c r="F147" s="8" t="n">
        <v>69034600</v>
      </c>
      <c r="G147" s="74" t="s">
        <v>2292</v>
      </c>
      <c r="H147" s="13" t="n">
        <f aca="false">IF($G147="",0,SUMIFS('MA Engine'!$W$6:$W$1110,'MA Engine'!$J$6:$J$1110,$G147,'MA Engine'!$I$6:$I$1110,"DO",'MA Engine'!$C$6:$C$1110,"RPA"))</f>
        <v>0</v>
      </c>
      <c r="I147" s="13" t="n">
        <f aca="false">IF($G147="",0,SUMIFS('MA Engine'!$W$6:$W$1110,'MA Engine'!$J$6:$J$1110,$G147,'MA Engine'!$I$6:$I$1110,"DO",'MA Engine'!$C$6:$C$1110,"Trading"))</f>
        <v>1865.8</v>
      </c>
      <c r="K147" s="7" t="n">
        <f aca="false">IF($G147="",0,SUMIFS('MA Engine'!$X$6:$X$1110,'MA Engine'!$J$6:$J$1110,$G147,'MA Engine'!$I$6:$I$1110,"DO",'MA Engine'!$C$6:$C$1110,"RPA"))</f>
        <v>0</v>
      </c>
      <c r="L147" s="7" t="n">
        <f aca="false">IF($G147="",0,SUMIFS('MA Engine'!$X$6:$X$1110,'MA Engine'!$J$6:$J$1110,$G147,'MA Engine'!$I$6:$I$1110,"DO",'MA Engine'!$C$6:$C$1110,"Trading"))</f>
        <v>63953622.3579336</v>
      </c>
      <c r="M147" s="12" t="s">
        <v>2370</v>
      </c>
    </row>
    <row r="148" customFormat="false" ht="15" hidden="false" customHeight="false" outlineLevel="0" collapsed="false">
      <c r="A148" s="91" t="n">
        <v>8</v>
      </c>
      <c r="B148" s="74" t="s">
        <v>2513</v>
      </c>
      <c r="C148" s="76" t="n">
        <v>46253</v>
      </c>
      <c r="D148" s="74" t="s">
        <v>269</v>
      </c>
      <c r="E148" s="8" t="n">
        <v>0</v>
      </c>
      <c r="F148" s="8" t="n">
        <v>43911000</v>
      </c>
      <c r="G148" s="74" t="s">
        <v>2301</v>
      </c>
      <c r="H148" s="13" t="n">
        <f aca="false">IF($G148="",0,SUMIFS('MA Engine'!$W$6:$W$1110,'MA Engine'!$J$6:$J$1110,$G148,'MA Engine'!$I$6:$I$1110,"DO",'MA Engine'!$C$6:$C$1110,"RPA"))</f>
        <v>0</v>
      </c>
      <c r="I148" s="13" t="n">
        <f aca="false">IF($G148="",0,SUMIFS('MA Engine'!$W$6:$W$1110,'MA Engine'!$J$6:$J$1110,$G148,'MA Engine'!$I$6:$I$1110,"DO",'MA Engine'!$C$6:$C$1110,"Trading"))</f>
        <v>1463.7</v>
      </c>
      <c r="K148" s="7" t="n">
        <f aca="false">IF($G148="",0,SUMIFS('MA Engine'!$X$6:$X$1110,'MA Engine'!$J$6:$J$1110,$G148,'MA Engine'!$I$6:$I$1110,"DO",'MA Engine'!$C$6:$C$1110,"RPA"))</f>
        <v>0</v>
      </c>
      <c r="L148" s="7" t="n">
        <f aca="false">IF($G148="",0,SUMIFS('MA Engine'!$X$6:$X$1110,'MA Engine'!$J$6:$J$1110,$G148,'MA Engine'!$I$6:$I$1110,"DO",'MA Engine'!$C$6:$C$1110,"Trading"))</f>
        <v>44452661.7250958</v>
      </c>
      <c r="M148" s="12" t="s">
        <v>2370</v>
      </c>
    </row>
    <row r="149" customFormat="false" ht="15" hidden="false" customHeight="false" outlineLevel="0" collapsed="false">
      <c r="A149" s="91" t="n">
        <v>8</v>
      </c>
      <c r="B149" s="74" t="s">
        <v>2514</v>
      </c>
      <c r="C149" s="76" t="n">
        <v>46253</v>
      </c>
      <c r="D149" s="74" t="s">
        <v>269</v>
      </c>
      <c r="E149" s="8" t="n">
        <v>10623000</v>
      </c>
      <c r="F149" s="8" t="n">
        <v>51654000</v>
      </c>
      <c r="G149" s="74" t="s">
        <v>2179</v>
      </c>
      <c r="H149" s="13" t="n">
        <f aca="false">IF($G149="",0,SUMIFS('MA Engine'!$W$6:$W$1110,'MA Engine'!$J$6:$J$1110,$G149,'MA Engine'!$I$6:$I$1110,"DO",'MA Engine'!$C$6:$C$1110,"RPA"))</f>
        <v>354.1</v>
      </c>
      <c r="I149" s="13" t="n">
        <f aca="false">IF($G149="",0,SUMIFS('MA Engine'!$W$6:$W$1110,'MA Engine'!$J$6:$J$1110,$G149,'MA Engine'!$I$6:$I$1110,"DO",'MA Engine'!$C$6:$C$1110,"Trading"))</f>
        <v>1721.8</v>
      </c>
      <c r="K149" s="7" t="n">
        <f aca="false">IF($G149="",0,SUMIFS('MA Engine'!$X$6:$X$1110,'MA Engine'!$J$6:$J$1110,$G149,'MA Engine'!$I$6:$I$1110,"DO",'MA Engine'!$C$6:$C$1110,"RPA"))</f>
        <v>10035885.1894244</v>
      </c>
      <c r="L149" s="7" t="n">
        <f aca="false">IF($G149="",0,SUMIFS('MA Engine'!$X$6:$X$1110,'MA Engine'!$J$6:$J$1110,$G149,'MA Engine'!$I$6:$I$1110,"DO",'MA Engine'!$C$6:$C$1110,"Trading"))</f>
        <v>52092707.6671994</v>
      </c>
      <c r="M149" s="12" t="s">
        <v>2370</v>
      </c>
    </row>
    <row r="150" customFormat="false" ht="15" hidden="false" customHeight="false" outlineLevel="0" collapsed="false">
      <c r="A150" s="91" t="n">
        <v>8</v>
      </c>
      <c r="B150" s="74" t="s">
        <v>2515</v>
      </c>
      <c r="C150" s="76" t="n">
        <v>46253</v>
      </c>
      <c r="D150" s="74" t="s">
        <v>269</v>
      </c>
      <c r="E150" s="8" t="n">
        <v>32063680</v>
      </c>
      <c r="F150" s="8" t="n">
        <v>60609000</v>
      </c>
      <c r="G150" s="74" t="s">
        <v>2180</v>
      </c>
      <c r="H150" s="13" t="n">
        <f aca="false">IF($G150="",0,SUMIFS('MA Engine'!$W$6:$W$1110,'MA Engine'!$J$6:$J$1110,$G150,'MA Engine'!$I$6:$I$1110,"DO",'MA Engine'!$C$6:$C$1110,"RPA"))</f>
        <v>1001.99</v>
      </c>
      <c r="I150" s="13" t="n">
        <f aca="false">IF($G150="",0,SUMIFS('MA Engine'!$W$6:$W$1110,'MA Engine'!$J$6:$J$1110,$G150,'MA Engine'!$I$6:$I$1110,"DO",'MA Engine'!$C$6:$C$1110,"Trading"))</f>
        <v>2020.3</v>
      </c>
      <c r="K150" s="7" t="n">
        <f aca="false">IF($G150="",0,SUMIFS('MA Engine'!$X$6:$X$1110,'MA Engine'!$J$6:$J$1110,$G150,'MA Engine'!$I$6:$I$1110,"DO",'MA Engine'!$C$6:$C$1110,"RPA"))</f>
        <v>28398352.4454995</v>
      </c>
      <c r="L150" s="7" t="n">
        <f aca="false">IF($G150="",0,SUMIFS('MA Engine'!$X$6:$X$1110,'MA Engine'!$J$6:$J$1110,$G150,'MA Engine'!$I$6:$I$1110,"DO",'MA Engine'!$C$6:$C$1110,"Trading"))</f>
        <v>60955013.5734266</v>
      </c>
      <c r="M150" s="12" t="s">
        <v>2370</v>
      </c>
    </row>
    <row r="151" customFormat="false" ht="15" hidden="false" customHeight="false" outlineLevel="0" collapsed="false">
      <c r="A151" s="91" t="n">
        <v>8</v>
      </c>
      <c r="B151" s="74" t="s">
        <v>2516</v>
      </c>
      <c r="C151" s="76" t="n">
        <v>46253</v>
      </c>
      <c r="D151" s="74" t="s">
        <v>269</v>
      </c>
      <c r="E151" s="8" t="n">
        <v>32163200</v>
      </c>
      <c r="F151" s="8" t="n">
        <v>59241000</v>
      </c>
      <c r="G151" s="74" t="s">
        <v>2181</v>
      </c>
      <c r="H151" s="13" t="n">
        <f aca="false">IF($G151="",0,SUMIFS('MA Engine'!$W$6:$W$1110,'MA Engine'!$J$6:$J$1110,$G151,'MA Engine'!$I$6:$I$1110,"DO",'MA Engine'!$C$6:$C$1110,"RPA"))</f>
        <v>1005.1</v>
      </c>
      <c r="I151" s="13" t="n">
        <f aca="false">IF($G151="",0,SUMIFS('MA Engine'!$W$6:$W$1110,'MA Engine'!$J$6:$J$1110,$G151,'MA Engine'!$I$6:$I$1110,"DO",'MA Engine'!$C$6:$C$1110,"Trading"))</f>
        <v>1974.7</v>
      </c>
      <c r="K151" s="7" t="n">
        <f aca="false">IF($G151="",0,SUMIFS('MA Engine'!$X$6:$X$1110,'MA Engine'!$J$6:$J$1110,$G151,'MA Engine'!$I$6:$I$1110,"DO",'MA Engine'!$C$6:$C$1110,"RPA"))</f>
        <v>28486495.9160985</v>
      </c>
      <c r="L151" s="7" t="n">
        <f aca="false">IF($G151="",0,SUMIFS('MA Engine'!$X$6:$X$1110,'MA Engine'!$J$6:$J$1110,$G151,'MA Engine'!$I$6:$I$1110,"DO",'MA Engine'!$C$6:$C$1110,"Trading"))</f>
        <v>59640363.5632922</v>
      </c>
      <c r="M151" s="12" t="s">
        <v>2370</v>
      </c>
    </row>
    <row r="152" customFormat="false" ht="15" hidden="false" customHeight="false" outlineLevel="0" collapsed="false">
      <c r="A152" s="91" t="n">
        <v>8</v>
      </c>
      <c r="B152" s="74" t="s">
        <v>2517</v>
      </c>
      <c r="C152" s="76" t="n">
        <v>46253</v>
      </c>
      <c r="D152" s="74" t="s">
        <v>269</v>
      </c>
      <c r="E152" s="8" t="n">
        <v>0</v>
      </c>
      <c r="F152" s="8" t="n">
        <v>25545000</v>
      </c>
      <c r="G152" s="74" t="s">
        <v>2356</v>
      </c>
      <c r="H152" s="13" t="n">
        <f aca="false">IF($G152="",0,SUMIFS('MA Engine'!$W$6:$W$1110,'MA Engine'!$J$6:$J$1110,$G152,'MA Engine'!$I$6:$I$1110,"DO",'MA Engine'!$C$6:$C$1110,"RPA"))</f>
        <v>0</v>
      </c>
      <c r="I152" s="13" t="n">
        <f aca="false">IF($G152="",0,SUMIFS('MA Engine'!$W$6:$W$1110,'MA Engine'!$J$6:$J$1110,$G152,'MA Engine'!$I$6:$I$1110,"DO",'MA Engine'!$C$6:$C$1110,"Trading"))</f>
        <v>851.5</v>
      </c>
      <c r="K152" s="7" t="n">
        <f aca="false">IF($G152="",0,SUMIFS('MA Engine'!$X$6:$X$1110,'MA Engine'!$J$6:$J$1110,$G152,'MA Engine'!$I$6:$I$1110,"DO",'MA Engine'!$C$6:$C$1110,"RPA"))</f>
        <v>0</v>
      </c>
      <c r="L152" s="7" t="n">
        <f aca="false">IF($G152="",0,SUMIFS('MA Engine'!$X$6:$X$1110,'MA Engine'!$J$6:$J$1110,$G152,'MA Engine'!$I$6:$I$1110,"DO",'MA Engine'!$C$6:$C$1110,"Trading"))</f>
        <v>25564041.7161346</v>
      </c>
      <c r="M152" s="12" t="s">
        <v>2370</v>
      </c>
    </row>
    <row r="153" customFormat="false" ht="15" hidden="false" customHeight="false" outlineLevel="0" collapsed="false">
      <c r="A153" s="91" t="n">
        <v>8</v>
      </c>
      <c r="B153" s="74" t="s">
        <v>2518</v>
      </c>
      <c r="C153" s="76" t="n">
        <v>46253</v>
      </c>
      <c r="D153" s="74" t="s">
        <v>269</v>
      </c>
      <c r="E153" s="8" t="n">
        <v>0</v>
      </c>
      <c r="F153" s="8" t="n">
        <v>21480000</v>
      </c>
      <c r="G153" s="74" t="s">
        <v>2357</v>
      </c>
      <c r="H153" s="13" t="n">
        <f aca="false">IF($G153="",0,SUMIFS('MA Engine'!$W$6:$W$1110,'MA Engine'!$J$6:$J$1110,$G153,'MA Engine'!$I$6:$I$1110,"DO",'MA Engine'!$C$6:$C$1110,"RPA"))</f>
        <v>0</v>
      </c>
      <c r="I153" s="13" t="n">
        <f aca="false">IF($G153="",0,SUMIFS('MA Engine'!$W$6:$W$1110,'MA Engine'!$J$6:$J$1110,$G153,'MA Engine'!$I$6:$I$1110,"DO",'MA Engine'!$C$6:$C$1110,"Trading"))</f>
        <v>716</v>
      </c>
      <c r="K153" s="7" t="n">
        <f aca="false">IF($G153="",0,SUMIFS('MA Engine'!$X$6:$X$1110,'MA Engine'!$J$6:$J$1110,$G153,'MA Engine'!$I$6:$I$1110,"DO",'MA Engine'!$C$6:$C$1110,"RPA"))</f>
        <v>0</v>
      </c>
      <c r="L153" s="7" t="n">
        <f aca="false">IF($G153="",0,SUMIFS('MA Engine'!$X$6:$X$1110,'MA Engine'!$J$6:$J$1110,$G153,'MA Engine'!$I$6:$I$1110,"DO",'MA Engine'!$C$6:$C$1110,"Trading"))</f>
        <v>21496011.5898442</v>
      </c>
      <c r="M153" s="12" t="s">
        <v>2370</v>
      </c>
    </row>
    <row r="154" customFormat="false" ht="15" hidden="false" customHeight="false" outlineLevel="0" collapsed="false">
      <c r="A154" s="91" t="n">
        <v>8</v>
      </c>
      <c r="B154" s="74" t="s">
        <v>2519</v>
      </c>
      <c r="C154" s="76" t="n">
        <v>46254</v>
      </c>
      <c r="D154" s="74" t="s">
        <v>270</v>
      </c>
      <c r="E154" s="8" t="n">
        <v>37147500</v>
      </c>
      <c r="F154" s="8" t="n">
        <v>0</v>
      </c>
      <c r="G154" s="74" t="s">
        <v>2136</v>
      </c>
      <c r="H154" s="13" t="n">
        <f aca="false">IF($G154="",0,SUMIFS('MA Engine'!$W$6:$W$1110,'MA Engine'!$J$6:$J$1110,$G154,'MA Engine'!$I$6:$I$1110,"DO",'MA Engine'!$C$6:$C$1110,"RPA"))</f>
        <v>990.6</v>
      </c>
      <c r="I154" s="13" t="n">
        <f aca="false">IF($G154="",0,SUMIFS('MA Engine'!$W$6:$W$1110,'MA Engine'!$J$6:$J$1110,$G154,'MA Engine'!$I$6:$I$1110,"DO",'MA Engine'!$C$6:$C$1110,"Trading"))</f>
        <v>0</v>
      </c>
      <c r="K154" s="7" t="n">
        <f aca="false">IF($G154="",0,SUMIFS('MA Engine'!$X$6:$X$1110,'MA Engine'!$J$6:$J$1110,$G154,'MA Engine'!$I$6:$I$1110,"DO",'MA Engine'!$C$6:$C$1110,"RPA"))</f>
        <v>36325906.9123221</v>
      </c>
      <c r="L154" s="7" t="n">
        <f aca="false">IF($G154="",0,SUMIFS('MA Engine'!$X$6:$X$1110,'MA Engine'!$J$6:$J$1110,$G154,'MA Engine'!$I$6:$I$1110,"DO",'MA Engine'!$C$6:$C$1110,"Trading"))</f>
        <v>0</v>
      </c>
      <c r="M154" s="12" t="s">
        <v>2370</v>
      </c>
    </row>
    <row r="155" customFormat="false" ht="15" hidden="false" customHeight="false" outlineLevel="0" collapsed="false">
      <c r="A155" s="91" t="n">
        <v>8</v>
      </c>
      <c r="B155" s="74" t="s">
        <v>2520</v>
      </c>
      <c r="C155" s="76" t="n">
        <v>46254</v>
      </c>
      <c r="D155" s="74" t="s">
        <v>269</v>
      </c>
      <c r="E155" s="8" t="n">
        <v>8927040</v>
      </c>
      <c r="F155" s="8" t="n">
        <v>20289000</v>
      </c>
      <c r="G155" s="74" t="s">
        <v>2182</v>
      </c>
      <c r="H155" s="13" t="n">
        <f aca="false">IF($G155="",0,SUMIFS('MA Engine'!$W$6:$W$1110,'MA Engine'!$J$6:$J$1110,$G155,'MA Engine'!$I$6:$I$1110,"DO",'MA Engine'!$C$6:$C$1110,"RPA"))</f>
        <v>278.97</v>
      </c>
      <c r="I155" s="13" t="n">
        <f aca="false">IF($G155="",0,SUMIFS('MA Engine'!$W$6:$W$1110,'MA Engine'!$J$6:$J$1110,$G155,'MA Engine'!$I$6:$I$1110,"DO",'MA Engine'!$C$6:$C$1110,"Trading"))</f>
        <v>676.3</v>
      </c>
      <c r="K155" s="7" t="n">
        <f aca="false">IF($G155="",0,SUMIFS('MA Engine'!$X$6:$X$1110,'MA Engine'!$J$6:$J$1110,$G155,'MA Engine'!$I$6:$I$1110,"DO",'MA Engine'!$C$6:$C$1110,"RPA"))</f>
        <v>7906554.33858722</v>
      </c>
      <c r="L155" s="7" t="n">
        <f aca="false">IF($G155="",0,SUMIFS('MA Engine'!$X$6:$X$1110,'MA Engine'!$J$6:$J$1110,$G155,'MA Engine'!$I$6:$I$1110,"DO",'MA Engine'!$C$6:$C$1110,"Trading"))</f>
        <v>20301342.6500972</v>
      </c>
      <c r="M155" s="12" t="s">
        <v>2370</v>
      </c>
    </row>
    <row r="156" customFormat="false" ht="15" hidden="false" customHeight="false" outlineLevel="0" collapsed="false">
      <c r="A156" s="91" t="n">
        <v>8</v>
      </c>
      <c r="B156" s="74" t="s">
        <v>2521</v>
      </c>
      <c r="C156" s="76" t="n">
        <v>46254</v>
      </c>
      <c r="D156" s="74" t="s">
        <v>272</v>
      </c>
      <c r="E156" s="8" t="n">
        <v>0</v>
      </c>
      <c r="F156" s="8" t="n">
        <v>88620400</v>
      </c>
      <c r="G156" s="74" t="s">
        <v>2293</v>
      </c>
      <c r="H156" s="13" t="n">
        <f aca="false">IF($G156="",0,SUMIFS('MA Engine'!$W$6:$W$1110,'MA Engine'!$J$6:$J$1110,$G156,'MA Engine'!$I$6:$I$1110,"DO",'MA Engine'!$C$6:$C$1110,"RPA"))</f>
        <v>0</v>
      </c>
      <c r="I156" s="13" t="n">
        <f aca="false">IF($G156="",0,SUMIFS('MA Engine'!$W$6:$W$1110,'MA Engine'!$J$6:$J$1110,$G156,'MA Engine'!$I$6:$I$1110,"DO",'MA Engine'!$C$6:$C$1110,"Trading"))</f>
        <v>2014.1</v>
      </c>
      <c r="K156" s="7" t="n">
        <f aca="false">IF($G156="",0,SUMIFS('MA Engine'!$X$6:$X$1110,'MA Engine'!$J$6:$J$1110,$G156,'MA Engine'!$I$6:$I$1110,"DO",'MA Engine'!$C$6:$C$1110,"RPA"))</f>
        <v>0</v>
      </c>
      <c r="L156" s="7" t="n">
        <f aca="false">IF($G156="",0,SUMIFS('MA Engine'!$X$6:$X$1110,'MA Engine'!$J$6:$J$1110,$G156,'MA Engine'!$I$6:$I$1110,"DO",'MA Engine'!$C$6:$C$1110,"Trading"))</f>
        <v>91939919.6731775</v>
      </c>
      <c r="M156" s="12" t="s">
        <v>2370</v>
      </c>
    </row>
    <row r="157" customFormat="false" ht="15" hidden="false" customHeight="false" outlineLevel="0" collapsed="false">
      <c r="A157" s="91" t="n">
        <v>8</v>
      </c>
      <c r="B157" s="74" t="s">
        <v>2522</v>
      </c>
      <c r="C157" s="76" t="n">
        <v>46254</v>
      </c>
      <c r="D157" s="74" t="s">
        <v>274</v>
      </c>
      <c r="E157" s="8" t="n">
        <v>0</v>
      </c>
      <c r="F157" s="8" t="n">
        <v>33939200</v>
      </c>
      <c r="G157" s="74" t="s">
        <v>2325</v>
      </c>
      <c r="H157" s="13" t="n">
        <f aca="false">IF($G157="",0,SUMIFS('MA Engine'!$W$6:$W$1110,'MA Engine'!$J$6:$J$1110,$G157,'MA Engine'!$I$6:$I$1110,"DO",'MA Engine'!$C$6:$C$1110,"RPA"))</f>
        <v>0</v>
      </c>
      <c r="I157" s="13" t="n">
        <f aca="false">IF($G157="",0,SUMIFS('MA Engine'!$W$6:$W$1110,'MA Engine'!$J$6:$J$1110,$G157,'MA Engine'!$I$6:$I$1110,"DO",'MA Engine'!$C$6:$C$1110,"Trading"))</f>
        <v>1060.6</v>
      </c>
      <c r="K157" s="7" t="n">
        <f aca="false">IF($G157="",0,SUMIFS('MA Engine'!$X$6:$X$1110,'MA Engine'!$J$6:$J$1110,$G157,'MA Engine'!$I$6:$I$1110,"DO",'MA Engine'!$C$6:$C$1110,"RPA"))</f>
        <v>0</v>
      </c>
      <c r="L157" s="7" t="n">
        <f aca="false">IF($G157="",0,SUMIFS('MA Engine'!$X$6:$X$1110,'MA Engine'!$J$6:$J$1110,$G157,'MA Engine'!$I$6:$I$1110,"DO",'MA Engine'!$C$6:$C$1110,"Trading"))</f>
        <v>31330409.3624636</v>
      </c>
      <c r="M157" s="12" t="s">
        <v>2370</v>
      </c>
    </row>
    <row r="158" customFormat="false" ht="15" hidden="false" customHeight="false" outlineLevel="0" collapsed="false">
      <c r="A158" s="91" t="n">
        <v>8</v>
      </c>
      <c r="B158" s="74" t="s">
        <v>2523</v>
      </c>
      <c r="C158" s="76" t="n">
        <v>46255</v>
      </c>
      <c r="D158" s="74" t="s">
        <v>270</v>
      </c>
      <c r="E158" s="8" t="n">
        <v>256998750</v>
      </c>
      <c r="F158" s="8" t="n">
        <v>0</v>
      </c>
      <c r="G158" s="74" t="s">
        <v>2153</v>
      </c>
      <c r="H158" s="13" t="n">
        <f aca="false">IF($G158="",0,SUMIFS('MA Engine'!$W$6:$W$1110,'MA Engine'!$J$6:$J$1110,$G158,'MA Engine'!$I$6:$I$1110,"DO",'MA Engine'!$C$6:$C$1110,"RPA"))</f>
        <v>6853.3</v>
      </c>
      <c r="I158" s="13" t="n">
        <f aca="false">IF($G158="",0,SUMIFS('MA Engine'!$W$6:$W$1110,'MA Engine'!$J$6:$J$1110,$G158,'MA Engine'!$I$6:$I$1110,"DO",'MA Engine'!$C$6:$C$1110,"Trading"))</f>
        <v>0</v>
      </c>
      <c r="K158" s="7" t="n">
        <f aca="false">IF($G158="",0,SUMIFS('MA Engine'!$X$6:$X$1110,'MA Engine'!$J$6:$J$1110,$G158,'MA Engine'!$I$6:$I$1110,"DO",'MA Engine'!$C$6:$C$1110,"RPA"))</f>
        <v>258993592.245656</v>
      </c>
      <c r="L158" s="7" t="n">
        <f aca="false">IF($G158="",0,SUMIFS('MA Engine'!$X$6:$X$1110,'MA Engine'!$J$6:$J$1110,$G158,'MA Engine'!$I$6:$I$1110,"DO",'MA Engine'!$C$6:$C$1110,"Trading"))</f>
        <v>0</v>
      </c>
      <c r="M158" s="12" t="s">
        <v>2370</v>
      </c>
    </row>
    <row r="159" customFormat="false" ht="15" hidden="false" customHeight="false" outlineLevel="0" collapsed="false">
      <c r="A159" s="91" t="n">
        <v>8</v>
      </c>
      <c r="B159" s="74" t="s">
        <v>2524</v>
      </c>
      <c r="C159" s="76" t="n">
        <v>46255</v>
      </c>
      <c r="D159" s="74" t="s">
        <v>274</v>
      </c>
      <c r="E159" s="8" t="n">
        <v>57858750</v>
      </c>
      <c r="F159" s="8" t="n">
        <v>0</v>
      </c>
      <c r="G159" s="74" t="s">
        <v>2137</v>
      </c>
      <c r="H159" s="13" t="n">
        <f aca="false">IF($G159="",0,SUMIFS('MA Engine'!$W$6:$W$1110,'MA Engine'!$J$6:$J$1110,$G159,'MA Engine'!$I$6:$I$1110,"DO",'MA Engine'!$C$6:$C$1110,"RPA"))</f>
        <v>1542.9</v>
      </c>
      <c r="I159" s="13" t="n">
        <f aca="false">IF($G159="",0,SUMIFS('MA Engine'!$W$6:$W$1110,'MA Engine'!$J$6:$J$1110,$G159,'MA Engine'!$I$6:$I$1110,"DO",'MA Engine'!$C$6:$C$1110,"Trading"))</f>
        <v>0</v>
      </c>
      <c r="K159" s="7" t="n">
        <f aca="false">IF($G159="",0,SUMIFS('MA Engine'!$X$6:$X$1110,'MA Engine'!$J$6:$J$1110,$G159,'MA Engine'!$I$6:$I$1110,"DO",'MA Engine'!$C$6:$C$1110,"RPA"))</f>
        <v>57883283.4903328</v>
      </c>
      <c r="L159" s="7" t="n">
        <f aca="false">IF($G159="",0,SUMIFS('MA Engine'!$X$6:$X$1110,'MA Engine'!$J$6:$J$1110,$G159,'MA Engine'!$I$6:$I$1110,"DO",'MA Engine'!$C$6:$C$1110,"Trading"))</f>
        <v>0</v>
      </c>
      <c r="M159" s="12" t="s">
        <v>2370</v>
      </c>
    </row>
    <row r="160" customFormat="false" ht="15" hidden="false" customHeight="false" outlineLevel="0" collapsed="false">
      <c r="A160" s="91" t="n">
        <v>8</v>
      </c>
      <c r="B160" s="74" t="s">
        <v>2525</v>
      </c>
      <c r="C160" s="76" t="n">
        <v>46255</v>
      </c>
      <c r="D160" s="74" t="s">
        <v>287</v>
      </c>
      <c r="E160" s="8" t="n">
        <v>2342100</v>
      </c>
      <c r="F160" s="8" t="n">
        <v>0</v>
      </c>
      <c r="G160" s="74" t="s">
        <v>2088</v>
      </c>
      <c r="H160" s="13" t="n">
        <f aca="false">IF($G160="",0,SUMIFS('MA Engine'!$W$6:$W$1110,'MA Engine'!$J$6:$J$1110,$G160,'MA Engine'!$I$6:$I$1110,"DO",'MA Engine'!$C$6:$C$1110,"RPA"))</f>
        <v>691.1</v>
      </c>
      <c r="I160" s="13" t="n">
        <f aca="false">IF($G160="",0,SUMIFS('MA Engine'!$W$6:$W$1110,'MA Engine'!$J$6:$J$1110,$G160,'MA Engine'!$I$6:$I$1110,"DO",'MA Engine'!$C$6:$C$1110,"Trading"))</f>
        <v>0</v>
      </c>
      <c r="K160" s="7" t="n">
        <f aca="false">IF($G160="",0,SUMIFS('MA Engine'!$X$6:$X$1110,'MA Engine'!$J$6:$J$1110,$G160,'MA Engine'!$I$6:$I$1110,"DO",'MA Engine'!$C$6:$C$1110,"RPA"))</f>
        <v>4971175.79726603</v>
      </c>
      <c r="L160" s="7" t="n">
        <f aca="false">IF($G160="",0,SUMIFS('MA Engine'!$X$6:$X$1110,'MA Engine'!$J$6:$J$1110,$G160,'MA Engine'!$I$6:$I$1110,"DO",'MA Engine'!$C$6:$C$1110,"Trading"))</f>
        <v>0</v>
      </c>
      <c r="M160" s="12" t="s">
        <v>2370</v>
      </c>
    </row>
    <row r="161" customFormat="false" ht="15" hidden="false" customHeight="false" outlineLevel="0" collapsed="false">
      <c r="A161" s="91" t="n">
        <v>8</v>
      </c>
      <c r="B161" s="74" t="s">
        <v>2526</v>
      </c>
      <c r="C161" s="76" t="n">
        <v>46255</v>
      </c>
      <c r="D161" s="74" t="s">
        <v>287</v>
      </c>
      <c r="E161" s="8" t="n">
        <v>2433250</v>
      </c>
      <c r="F161" s="8" t="n">
        <v>0</v>
      </c>
      <c r="G161" s="74" t="s">
        <v>2089</v>
      </c>
      <c r="H161" s="13" t="n">
        <f aca="false">IF($G161="",0,SUMIFS('MA Engine'!$W$6:$W$1110,'MA Engine'!$J$6:$J$1110,$G161,'MA Engine'!$I$6:$I$1110,"DO",'MA Engine'!$C$6:$C$1110,"RPA"))</f>
        <v>720.8</v>
      </c>
      <c r="I161" s="13" t="n">
        <f aca="false">IF($G161="",0,SUMIFS('MA Engine'!$W$6:$W$1110,'MA Engine'!$J$6:$J$1110,$G161,'MA Engine'!$I$6:$I$1110,"DO",'MA Engine'!$C$6:$C$1110,"Trading"))</f>
        <v>0</v>
      </c>
      <c r="K161" s="7" t="n">
        <f aca="false">IF($G161="",0,SUMIFS('MA Engine'!$X$6:$X$1110,'MA Engine'!$J$6:$J$1110,$G161,'MA Engine'!$I$6:$I$1110,"DO",'MA Engine'!$C$6:$C$1110,"RPA"))</f>
        <v>5393155.21754241</v>
      </c>
      <c r="L161" s="7" t="n">
        <f aca="false">IF($G161="",0,SUMIFS('MA Engine'!$X$6:$X$1110,'MA Engine'!$J$6:$J$1110,$G161,'MA Engine'!$I$6:$I$1110,"DO",'MA Engine'!$C$6:$C$1110,"Trading"))</f>
        <v>0</v>
      </c>
      <c r="M161" s="12" t="s">
        <v>2370</v>
      </c>
    </row>
    <row r="162" customFormat="false" ht="15" hidden="false" customHeight="false" outlineLevel="0" collapsed="false">
      <c r="A162" s="91" t="n">
        <v>8</v>
      </c>
      <c r="B162" s="74" t="s">
        <v>2527</v>
      </c>
      <c r="C162" s="76" t="n">
        <v>46255</v>
      </c>
      <c r="D162" s="74" t="s">
        <v>287</v>
      </c>
      <c r="E162" s="8" t="n">
        <v>2268550</v>
      </c>
      <c r="F162" s="8" t="n">
        <v>0</v>
      </c>
      <c r="G162" s="74" t="s">
        <v>2090</v>
      </c>
      <c r="H162" s="13" t="n">
        <f aca="false">IF($G162="",0,SUMIFS('MA Engine'!$W$6:$W$1110,'MA Engine'!$J$6:$J$1110,$G162,'MA Engine'!$I$6:$I$1110,"DO",'MA Engine'!$C$6:$C$1110,"RPA"))</f>
        <v>687.1</v>
      </c>
      <c r="I162" s="13" t="n">
        <f aca="false">IF($G162="",0,SUMIFS('MA Engine'!$W$6:$W$1110,'MA Engine'!$J$6:$J$1110,$G162,'MA Engine'!$I$6:$I$1110,"DO",'MA Engine'!$C$6:$C$1110,"Trading"))</f>
        <v>0</v>
      </c>
      <c r="K162" s="7" t="n">
        <f aca="false">IF($G162="",0,SUMIFS('MA Engine'!$X$6:$X$1110,'MA Engine'!$J$6:$J$1110,$G162,'MA Engine'!$I$6:$I$1110,"DO",'MA Engine'!$C$6:$C$1110,"RPA"))</f>
        <v>5151732.34868089</v>
      </c>
      <c r="L162" s="7" t="n">
        <f aca="false">IF($G162="",0,SUMIFS('MA Engine'!$X$6:$X$1110,'MA Engine'!$J$6:$J$1110,$G162,'MA Engine'!$I$6:$I$1110,"DO",'MA Engine'!$C$6:$C$1110,"Trading"))</f>
        <v>0</v>
      </c>
      <c r="M162" s="12" t="s">
        <v>2370</v>
      </c>
    </row>
    <row r="163" customFormat="false" ht="15" hidden="false" customHeight="false" outlineLevel="0" collapsed="false">
      <c r="A163" s="91" t="n">
        <v>8</v>
      </c>
      <c r="B163" s="74" t="s">
        <v>2528</v>
      </c>
      <c r="C163" s="76" t="n">
        <v>46255</v>
      </c>
      <c r="D163" s="74" t="s">
        <v>287</v>
      </c>
      <c r="E163" s="8" t="n">
        <v>2077750</v>
      </c>
      <c r="F163" s="8" t="n">
        <v>0</v>
      </c>
      <c r="G163" s="74" t="s">
        <v>2091</v>
      </c>
      <c r="H163" s="13" t="n">
        <f aca="false">IF($G163="",0,SUMIFS('MA Engine'!$W$6:$W$1110,'MA Engine'!$J$6:$J$1110,$G163,'MA Engine'!$I$6:$I$1110,"DO",'MA Engine'!$C$6:$C$1110,"RPA"))</f>
        <v>609.4</v>
      </c>
      <c r="I163" s="13" t="n">
        <f aca="false">IF($G163="",0,SUMIFS('MA Engine'!$W$6:$W$1110,'MA Engine'!$J$6:$J$1110,$G163,'MA Engine'!$I$6:$I$1110,"DO",'MA Engine'!$C$6:$C$1110,"Trading"))</f>
        <v>0</v>
      </c>
      <c r="K163" s="7" t="n">
        <f aca="false">IF($G163="",0,SUMIFS('MA Engine'!$X$6:$X$1110,'MA Engine'!$J$6:$J$1110,$G163,'MA Engine'!$I$6:$I$1110,"DO",'MA Engine'!$C$6:$C$1110,"RPA"))</f>
        <v>4300697.66660893</v>
      </c>
      <c r="L163" s="7" t="n">
        <f aca="false">IF($G163="",0,SUMIFS('MA Engine'!$X$6:$X$1110,'MA Engine'!$J$6:$J$1110,$G163,'MA Engine'!$I$6:$I$1110,"DO",'MA Engine'!$C$6:$C$1110,"Trading"))</f>
        <v>0</v>
      </c>
      <c r="M163" s="12" t="s">
        <v>2370</v>
      </c>
    </row>
    <row r="164" customFormat="false" ht="15" hidden="false" customHeight="false" outlineLevel="0" collapsed="false">
      <c r="A164" s="91" t="n">
        <v>8</v>
      </c>
      <c r="B164" s="74" t="s">
        <v>2529</v>
      </c>
      <c r="C164" s="76" t="n">
        <v>46255</v>
      </c>
      <c r="D164" s="74" t="s">
        <v>287</v>
      </c>
      <c r="E164" s="8" t="n">
        <v>957600</v>
      </c>
      <c r="F164" s="8" t="n">
        <v>0</v>
      </c>
      <c r="G164" s="74" t="s">
        <v>2127</v>
      </c>
      <c r="H164" s="13" t="n">
        <f aca="false">IF($G164="",0,SUMIFS('MA Engine'!$W$6:$W$1110,'MA Engine'!$J$6:$J$1110,$G164,'MA Engine'!$I$6:$I$1110,"DO",'MA Engine'!$C$6:$C$1110,"RPA"))</f>
        <v>26.6</v>
      </c>
      <c r="I164" s="13" t="n">
        <f aca="false">IF($G164="",0,SUMIFS('MA Engine'!$W$6:$W$1110,'MA Engine'!$J$6:$J$1110,$G164,'MA Engine'!$I$6:$I$1110,"DO",'MA Engine'!$C$6:$C$1110,"Trading"))</f>
        <v>0</v>
      </c>
      <c r="K164" s="7" t="n">
        <f aca="false">IF($G164="",0,SUMIFS('MA Engine'!$X$6:$X$1110,'MA Engine'!$J$6:$J$1110,$G164,'MA Engine'!$I$6:$I$1110,"DO",'MA Engine'!$C$6:$C$1110,"RPA"))</f>
        <v>832182.430073191</v>
      </c>
      <c r="L164" s="7" t="n">
        <f aca="false">IF($G164="",0,SUMIFS('MA Engine'!$X$6:$X$1110,'MA Engine'!$J$6:$J$1110,$G164,'MA Engine'!$I$6:$I$1110,"DO",'MA Engine'!$C$6:$C$1110,"Trading"))</f>
        <v>0</v>
      </c>
      <c r="M164" s="12" t="s">
        <v>2370</v>
      </c>
    </row>
    <row r="165" customFormat="false" ht="15" hidden="false" customHeight="false" outlineLevel="0" collapsed="false">
      <c r="A165" s="91" t="n">
        <v>8</v>
      </c>
      <c r="B165" s="74" t="s">
        <v>2530</v>
      </c>
      <c r="C165" s="76" t="n">
        <v>46255</v>
      </c>
      <c r="D165" s="74" t="s">
        <v>287</v>
      </c>
      <c r="E165" s="8" t="n">
        <v>2551150</v>
      </c>
      <c r="F165" s="8" t="n">
        <v>0</v>
      </c>
      <c r="G165" s="74" t="s">
        <v>2092</v>
      </c>
      <c r="H165" s="13" t="n">
        <f aca="false">IF($G165="",0,SUMIFS('MA Engine'!$W$6:$W$1110,'MA Engine'!$J$6:$J$1110,$G165,'MA Engine'!$I$6:$I$1110,"DO",'MA Engine'!$C$6:$C$1110,"RPA"))</f>
        <v>749.8</v>
      </c>
      <c r="I165" s="13" t="n">
        <f aca="false">IF($G165="",0,SUMIFS('MA Engine'!$W$6:$W$1110,'MA Engine'!$J$6:$J$1110,$G165,'MA Engine'!$I$6:$I$1110,"DO",'MA Engine'!$C$6:$C$1110,"Trading"))</f>
        <v>0</v>
      </c>
      <c r="K165" s="7" t="n">
        <f aca="false">IF($G165="",0,SUMIFS('MA Engine'!$X$6:$X$1110,'MA Engine'!$J$6:$J$1110,$G165,'MA Engine'!$I$6:$I$1110,"DO",'MA Engine'!$C$6:$C$1110,"RPA"))</f>
        <v>5137130.15496334</v>
      </c>
      <c r="L165" s="7" t="n">
        <f aca="false">IF($G165="",0,SUMIFS('MA Engine'!$X$6:$X$1110,'MA Engine'!$J$6:$J$1110,$G165,'MA Engine'!$I$6:$I$1110,"DO",'MA Engine'!$C$6:$C$1110,"Trading"))</f>
        <v>0</v>
      </c>
      <c r="M165" s="12" t="s">
        <v>2370</v>
      </c>
    </row>
    <row r="166" customFormat="false" ht="15" hidden="false" customHeight="false" outlineLevel="0" collapsed="false">
      <c r="A166" s="91" t="n">
        <v>8</v>
      </c>
      <c r="B166" s="74" t="s">
        <v>2531</v>
      </c>
      <c r="C166" s="76" t="n">
        <v>46255</v>
      </c>
      <c r="D166" s="74" t="s">
        <v>287</v>
      </c>
      <c r="E166" s="8" t="n">
        <v>2299100</v>
      </c>
      <c r="F166" s="8" t="n">
        <v>0</v>
      </c>
      <c r="G166" s="74" t="s">
        <v>2093</v>
      </c>
      <c r="H166" s="13" t="n">
        <f aca="false">IF($G166="",0,SUMIFS('MA Engine'!$W$6:$W$1110,'MA Engine'!$J$6:$J$1110,$G166,'MA Engine'!$I$6:$I$1110,"DO",'MA Engine'!$C$6:$C$1110,"RPA"))</f>
        <v>704</v>
      </c>
      <c r="I166" s="13" t="n">
        <f aca="false">IF($G166="",0,SUMIFS('MA Engine'!$W$6:$W$1110,'MA Engine'!$J$6:$J$1110,$G166,'MA Engine'!$I$6:$I$1110,"DO",'MA Engine'!$C$6:$C$1110,"Trading"))</f>
        <v>0</v>
      </c>
      <c r="K166" s="7" t="n">
        <f aca="false">IF($G166="",0,SUMIFS('MA Engine'!$X$6:$X$1110,'MA Engine'!$J$6:$J$1110,$G166,'MA Engine'!$I$6:$I$1110,"DO",'MA Engine'!$C$6:$C$1110,"RPA"))</f>
        <v>4886961.12659586</v>
      </c>
      <c r="L166" s="7" t="n">
        <f aca="false">IF($G166="",0,SUMIFS('MA Engine'!$X$6:$X$1110,'MA Engine'!$J$6:$J$1110,$G166,'MA Engine'!$I$6:$I$1110,"DO",'MA Engine'!$C$6:$C$1110,"Trading"))</f>
        <v>0</v>
      </c>
      <c r="M166" s="12" t="s">
        <v>2370</v>
      </c>
    </row>
    <row r="167" customFormat="false" ht="15" hidden="false" customHeight="false" outlineLevel="0" collapsed="false">
      <c r="A167" s="91" t="n">
        <v>8</v>
      </c>
      <c r="B167" s="74" t="s">
        <v>2532</v>
      </c>
      <c r="C167" s="76" t="n">
        <v>46255</v>
      </c>
      <c r="D167" s="74" t="s">
        <v>269</v>
      </c>
      <c r="E167" s="8" t="n">
        <v>0</v>
      </c>
      <c r="F167" s="8" t="n">
        <v>36006750</v>
      </c>
      <c r="G167" s="74" t="s">
        <v>2310</v>
      </c>
      <c r="H167" s="13" t="n">
        <f aca="false">IF($G167="",0,SUMIFS('MA Engine'!$W$6:$W$1110,'MA Engine'!$J$6:$J$1110,$G167,'MA Engine'!$I$6:$I$1110,"DO",'MA Engine'!$C$6:$C$1110,"RPA"))</f>
        <v>0</v>
      </c>
      <c r="I167" s="13" t="n">
        <f aca="false">IF($G167="",0,SUMIFS('MA Engine'!$W$6:$W$1110,'MA Engine'!$J$6:$J$1110,$G167,'MA Engine'!$I$6:$I$1110,"DO",'MA Engine'!$C$6:$C$1110,"Trading"))</f>
        <v>1107.9</v>
      </c>
      <c r="K167" s="7" t="n">
        <f aca="false">IF($G167="",0,SUMIFS('MA Engine'!$X$6:$X$1110,'MA Engine'!$J$6:$J$1110,$G167,'MA Engine'!$I$6:$I$1110,"DO",'MA Engine'!$C$6:$C$1110,"RPA"))</f>
        <v>0</v>
      </c>
      <c r="L167" s="7" t="n">
        <f aca="false">IF($G167="",0,SUMIFS('MA Engine'!$X$6:$X$1110,'MA Engine'!$J$6:$J$1110,$G167,'MA Engine'!$I$6:$I$1110,"DO",'MA Engine'!$C$6:$C$1110,"Trading"))</f>
        <v>35228325.3420887</v>
      </c>
      <c r="M167" s="12" t="s">
        <v>2370</v>
      </c>
    </row>
    <row r="168" customFormat="false" ht="15" hidden="false" customHeight="false" outlineLevel="0" collapsed="false">
      <c r="A168" s="91" t="n">
        <v>8</v>
      </c>
      <c r="B168" s="74" t="s">
        <v>2533</v>
      </c>
      <c r="C168" s="76" t="n">
        <v>46255</v>
      </c>
      <c r="D168" s="74" t="s">
        <v>274</v>
      </c>
      <c r="E168" s="8" t="n">
        <v>7918540</v>
      </c>
      <c r="F168" s="8" t="n">
        <v>69681150</v>
      </c>
      <c r="G168" s="74" t="s">
        <v>2185</v>
      </c>
      <c r="H168" s="13" t="n">
        <f aca="false">IF($G168="",0,SUMIFS('MA Engine'!$W$6:$W$1110,'MA Engine'!$J$6:$J$1110,$G168,'MA Engine'!$I$6:$I$1110,"DO",'MA Engine'!$C$6:$C$1110,"RPA"))</f>
        <v>236.31</v>
      </c>
      <c r="I168" s="13" t="n">
        <f aca="false">IF($G168="",0,SUMIFS('MA Engine'!$W$6:$W$1110,'MA Engine'!$J$6:$J$1110,$G168,'MA Engine'!$I$6:$I$1110,"DO",'MA Engine'!$C$6:$C$1110,"Trading"))</f>
        <v>2111.55</v>
      </c>
      <c r="K168" s="7" t="n">
        <f aca="false">IF($G168="",0,SUMIFS('MA Engine'!$X$6:$X$1110,'MA Engine'!$J$6:$J$1110,$G168,'MA Engine'!$I$6:$I$1110,"DO",'MA Engine'!$C$6:$C$1110,"RPA"))</f>
        <v>7123569.08227245</v>
      </c>
      <c r="L168" s="7" t="n">
        <f aca="false">IF($G168="",0,SUMIFS('MA Engine'!$X$6:$X$1110,'MA Engine'!$J$6:$J$1110,$G168,'MA Engine'!$I$6:$I$1110,"DO",'MA Engine'!$C$6:$C$1110,"Trading"))</f>
        <v>62375755.1285216</v>
      </c>
      <c r="M168" s="12" t="s">
        <v>2370</v>
      </c>
    </row>
    <row r="169" customFormat="false" ht="15" hidden="false" customHeight="false" outlineLevel="0" collapsed="false">
      <c r="A169" s="91" t="n">
        <v>8</v>
      </c>
      <c r="B169" s="74" t="s">
        <v>2534</v>
      </c>
      <c r="C169" s="76" t="n">
        <v>46255</v>
      </c>
      <c r="D169" s="74" t="s">
        <v>275</v>
      </c>
      <c r="E169" s="8" t="n">
        <v>0</v>
      </c>
      <c r="F169" s="8" t="n">
        <v>40796000</v>
      </c>
      <c r="G169" s="74" t="s">
        <v>2340</v>
      </c>
      <c r="H169" s="13" t="n">
        <f aca="false">IF($G169="",0,SUMIFS('MA Engine'!$W$6:$W$1110,'MA Engine'!$J$6:$J$1110,$G169,'MA Engine'!$I$6:$I$1110,"DO",'MA Engine'!$C$6:$C$1110,"RPA"))</f>
        <v>0</v>
      </c>
      <c r="I169" s="13" t="n">
        <f aca="false">IF($G169="",0,SUMIFS('MA Engine'!$W$6:$W$1110,'MA Engine'!$J$6:$J$1110,$G169,'MA Engine'!$I$6:$I$1110,"DO",'MA Engine'!$C$6:$C$1110,"Trading"))</f>
        <v>1316</v>
      </c>
      <c r="K169" s="7" t="n">
        <f aca="false">IF($G169="",0,SUMIFS('MA Engine'!$X$6:$X$1110,'MA Engine'!$J$6:$J$1110,$G169,'MA Engine'!$I$6:$I$1110,"DO",'MA Engine'!$C$6:$C$1110,"RPA"))</f>
        <v>0</v>
      </c>
      <c r="L169" s="7" t="n">
        <f aca="false">IF($G169="",0,SUMIFS('MA Engine'!$X$6:$X$1110,'MA Engine'!$J$6:$J$1110,$G169,'MA Engine'!$I$6:$I$1110,"DO",'MA Engine'!$C$6:$C$1110,"Trading"))</f>
        <v>42225389.1260969</v>
      </c>
      <c r="M169" s="12" t="s">
        <v>2370</v>
      </c>
    </row>
    <row r="170" customFormat="false" ht="15" hidden="false" customHeight="false" outlineLevel="0" collapsed="false">
      <c r="A170" s="91" t="n">
        <v>8</v>
      </c>
      <c r="B170" s="74" t="s">
        <v>2535</v>
      </c>
      <c r="C170" s="76" t="n">
        <v>46255</v>
      </c>
      <c r="D170" s="74" t="s">
        <v>269</v>
      </c>
      <c r="E170" s="8" t="n">
        <v>52771840</v>
      </c>
      <c r="F170" s="8" t="n">
        <v>0</v>
      </c>
      <c r="G170" s="74" t="s">
        <v>2183</v>
      </c>
      <c r="H170" s="13" t="n">
        <f aca="false">IF($G170="",0,SUMIFS('MA Engine'!$W$6:$W$1110,'MA Engine'!$J$6:$J$1110,$G170,'MA Engine'!$I$6:$I$1110,"DO",'MA Engine'!$C$6:$C$1110,"RPA"))</f>
        <v>1649.12</v>
      </c>
      <c r="I170" s="13" t="n">
        <f aca="false">IF($G170="",0,SUMIFS('MA Engine'!$W$6:$W$1110,'MA Engine'!$J$6:$J$1110,$G170,'MA Engine'!$I$6:$I$1110,"DO",'MA Engine'!$C$6:$C$1110,"Trading"))</f>
        <v>0</v>
      </c>
      <c r="K170" s="7" t="n">
        <f aca="false">IF($G170="",0,SUMIFS('MA Engine'!$X$6:$X$1110,'MA Engine'!$J$6:$J$1110,$G170,'MA Engine'!$I$6:$I$1110,"DO",'MA Engine'!$C$6:$C$1110,"RPA"))</f>
        <v>53305627.7106906</v>
      </c>
      <c r="L170" s="7" t="n">
        <f aca="false">IF($G170="",0,SUMIFS('MA Engine'!$X$6:$X$1110,'MA Engine'!$J$6:$J$1110,$G170,'MA Engine'!$I$6:$I$1110,"DO",'MA Engine'!$C$6:$C$1110,"Trading"))</f>
        <v>0</v>
      </c>
      <c r="M170" s="12" t="s">
        <v>2370</v>
      </c>
    </row>
    <row r="171" customFormat="false" ht="15" hidden="false" customHeight="false" outlineLevel="0" collapsed="false">
      <c r="A171" s="91" t="n">
        <v>8</v>
      </c>
      <c r="B171" s="74" t="s">
        <v>2536</v>
      </c>
      <c r="C171" s="76" t="n">
        <v>46255</v>
      </c>
      <c r="D171" s="74" t="s">
        <v>271</v>
      </c>
      <c r="E171" s="8" t="n">
        <v>0</v>
      </c>
      <c r="F171" s="8" t="n">
        <v>42340500</v>
      </c>
      <c r="G171" s="74" t="s">
        <v>2275</v>
      </c>
      <c r="H171" s="13" t="n">
        <f aca="false">IF($G171="",0,SUMIFS('MA Engine'!$W$6:$W$1110,'MA Engine'!$J$6:$J$1110,$G171,'MA Engine'!$I$6:$I$1110,"DO",'MA Engine'!$C$6:$C$1110,"RPA"))</f>
        <v>0</v>
      </c>
      <c r="I171" s="13" t="n">
        <f aca="false">IF($G171="",0,SUMIFS('MA Engine'!$W$6:$W$1110,'MA Engine'!$J$6:$J$1110,$G171,'MA Engine'!$I$6:$I$1110,"DO",'MA Engine'!$C$6:$C$1110,"Trading"))</f>
        <v>948.1</v>
      </c>
      <c r="K171" s="7" t="n">
        <f aca="false">IF($G171="",0,SUMIFS('MA Engine'!$X$6:$X$1110,'MA Engine'!$J$6:$J$1110,$G171,'MA Engine'!$I$6:$I$1110,"DO",'MA Engine'!$C$6:$C$1110,"RPA"))</f>
        <v>0</v>
      </c>
      <c r="L171" s="7" t="n">
        <f aca="false">IF($G171="",0,SUMIFS('MA Engine'!$X$6:$X$1110,'MA Engine'!$J$6:$J$1110,$G171,'MA Engine'!$I$6:$I$1110,"DO",'MA Engine'!$C$6:$C$1110,"Trading"))</f>
        <v>39190485.4699773</v>
      </c>
      <c r="M171" s="12" t="s">
        <v>2370</v>
      </c>
    </row>
    <row r="172" customFormat="false" ht="15" hidden="false" customHeight="false" outlineLevel="0" collapsed="false">
      <c r="A172" s="91" t="n">
        <v>8</v>
      </c>
      <c r="B172" s="74" t="s">
        <v>2537</v>
      </c>
      <c r="C172" s="76" t="n">
        <v>46256</v>
      </c>
      <c r="D172" s="74" t="s">
        <v>269</v>
      </c>
      <c r="E172" s="8" t="n">
        <v>36090420</v>
      </c>
      <c r="F172" s="8" t="n">
        <v>0</v>
      </c>
      <c r="G172" s="74" t="s">
        <v>2184</v>
      </c>
      <c r="H172" s="13" t="n">
        <f aca="false">IF($G172="",0,SUMIFS('MA Engine'!$W$6:$W$1110,'MA Engine'!$J$6:$J$1110,$G172,'MA Engine'!$I$6:$I$1110,"DO",'MA Engine'!$C$6:$C$1110,"RPA"))</f>
        <v>1102.74</v>
      </c>
      <c r="I172" s="13" t="n">
        <f aca="false">IF($G172="",0,SUMIFS('MA Engine'!$W$6:$W$1110,'MA Engine'!$J$6:$J$1110,$G172,'MA Engine'!$I$6:$I$1110,"DO",'MA Engine'!$C$6:$C$1110,"Trading"))</f>
        <v>0</v>
      </c>
      <c r="K172" s="7" t="n">
        <f aca="false">IF($G172="",0,SUMIFS('MA Engine'!$X$6:$X$1110,'MA Engine'!$J$6:$J$1110,$G172,'MA Engine'!$I$6:$I$1110,"DO",'MA Engine'!$C$6:$C$1110,"RPA"))</f>
        <v>33119215.2449498</v>
      </c>
      <c r="L172" s="7" t="n">
        <f aca="false">IF($G172="",0,SUMIFS('MA Engine'!$X$6:$X$1110,'MA Engine'!$J$6:$J$1110,$G172,'MA Engine'!$I$6:$I$1110,"DO",'MA Engine'!$C$6:$C$1110,"Trading"))</f>
        <v>0</v>
      </c>
      <c r="M172" s="12" t="s">
        <v>2370</v>
      </c>
    </row>
    <row r="173" customFormat="false" ht="15" hidden="false" customHeight="false" outlineLevel="0" collapsed="false">
      <c r="A173" s="91" t="n">
        <v>8</v>
      </c>
      <c r="B173" s="74" t="s">
        <v>2538</v>
      </c>
      <c r="C173" s="76" t="n">
        <v>46256</v>
      </c>
      <c r="D173" s="74" t="s">
        <v>274</v>
      </c>
      <c r="E173" s="8" t="n">
        <v>46233750</v>
      </c>
      <c r="F173" s="8" t="n">
        <v>0</v>
      </c>
      <c r="G173" s="74" t="s">
        <v>2138</v>
      </c>
      <c r="H173" s="13" t="n">
        <f aca="false">IF($G173="",0,SUMIFS('MA Engine'!$W$6:$W$1110,'MA Engine'!$J$6:$J$1110,$G173,'MA Engine'!$I$6:$I$1110,"DO",'MA Engine'!$C$6:$C$1110,"RPA"))</f>
        <v>1232.9</v>
      </c>
      <c r="I173" s="13" t="n">
        <f aca="false">IF($G173="",0,SUMIFS('MA Engine'!$W$6:$W$1110,'MA Engine'!$J$6:$J$1110,$G173,'MA Engine'!$I$6:$I$1110,"DO",'MA Engine'!$C$6:$C$1110,"Trading"))</f>
        <v>0</v>
      </c>
      <c r="K173" s="7" t="n">
        <f aca="false">IF($G173="",0,SUMIFS('MA Engine'!$X$6:$X$1110,'MA Engine'!$J$6:$J$1110,$G173,'MA Engine'!$I$6:$I$1110,"DO",'MA Engine'!$C$6:$C$1110,"RPA"))</f>
        <v>46253354.2129959</v>
      </c>
      <c r="L173" s="7" t="n">
        <f aca="false">IF($G173="",0,SUMIFS('MA Engine'!$X$6:$X$1110,'MA Engine'!$J$6:$J$1110,$G173,'MA Engine'!$I$6:$I$1110,"DO",'MA Engine'!$C$6:$C$1110,"Trading"))</f>
        <v>0</v>
      </c>
      <c r="M173" s="12" t="s">
        <v>2370</v>
      </c>
    </row>
    <row r="174" customFormat="false" ht="15" hidden="false" customHeight="false" outlineLevel="0" collapsed="false">
      <c r="A174" s="91" t="n">
        <v>8</v>
      </c>
      <c r="B174" s="74" t="s">
        <v>2539</v>
      </c>
      <c r="C174" s="76" t="n">
        <v>46258</v>
      </c>
      <c r="D174" s="74" t="s">
        <v>283</v>
      </c>
      <c r="E174" s="8" t="n">
        <v>0</v>
      </c>
      <c r="F174" s="8" t="n">
        <v>7340550</v>
      </c>
      <c r="G174" s="74" t="s">
        <v>2302</v>
      </c>
      <c r="H174" s="13" t="n">
        <f aca="false">IF($G174="",0,SUMIFS('MA Engine'!$W$6:$W$1110,'MA Engine'!$J$6:$J$1110,$G174,'MA Engine'!$I$6:$I$1110,"DO",'MA Engine'!$C$6:$C$1110,"RPA"))</f>
        <v>0</v>
      </c>
      <c r="I174" s="13" t="n">
        <f aca="false">IF($G174="",0,SUMIFS('MA Engine'!$W$6:$W$1110,'MA Engine'!$J$6:$J$1110,$G174,'MA Engine'!$I$6:$I$1110,"DO",'MA Engine'!$C$6:$C$1110,"Trading"))</f>
        <v>209.73</v>
      </c>
      <c r="K174" s="7" t="n">
        <f aca="false">IF($G174="",0,SUMIFS('MA Engine'!$X$6:$X$1110,'MA Engine'!$J$6:$J$1110,$G174,'MA Engine'!$I$6:$I$1110,"DO",'MA Engine'!$C$6:$C$1110,"RPA"))</f>
        <v>0</v>
      </c>
      <c r="L174" s="7" t="n">
        <f aca="false">IF($G174="",0,SUMIFS('MA Engine'!$X$6:$X$1110,'MA Engine'!$J$6:$J$1110,$G174,'MA Engine'!$I$6:$I$1110,"DO",'MA Engine'!$C$6:$C$1110,"Trading"))</f>
        <v>6316056.57578368</v>
      </c>
      <c r="M174" s="12" t="s">
        <v>2370</v>
      </c>
    </row>
    <row r="175" customFormat="false" ht="15" hidden="false" customHeight="false" outlineLevel="0" collapsed="false">
      <c r="A175" s="91" t="n">
        <v>8</v>
      </c>
      <c r="B175" s="74" t="s">
        <v>2540</v>
      </c>
      <c r="C175" s="76" t="n">
        <v>46258</v>
      </c>
      <c r="D175" s="74" t="s">
        <v>269</v>
      </c>
      <c r="E175" s="8" t="n">
        <v>31806720</v>
      </c>
      <c r="F175" s="8" t="n">
        <v>65128700</v>
      </c>
      <c r="G175" s="74" t="s">
        <v>2186</v>
      </c>
      <c r="H175" s="13" t="n">
        <f aca="false">IF($G175="",0,SUMIFS('MA Engine'!$W$6:$W$1110,'MA Engine'!$J$6:$J$1110,$G175,'MA Engine'!$I$6:$I$1110,"DO",'MA Engine'!$C$6:$C$1110,"RPA"))</f>
        <v>963.84</v>
      </c>
      <c r="I175" s="13" t="n">
        <f aca="false">IF($G175="",0,SUMIFS('MA Engine'!$W$6:$W$1110,'MA Engine'!$J$6:$J$1110,$G175,'MA Engine'!$I$6:$I$1110,"DO",'MA Engine'!$C$6:$C$1110,"Trading"))</f>
        <v>1915.55</v>
      </c>
      <c r="K175" s="7" t="n">
        <f aca="false">IF($G175="",0,SUMIFS('MA Engine'!$X$6:$X$1110,'MA Engine'!$J$6:$J$1110,$G175,'MA Engine'!$I$6:$I$1110,"DO",'MA Engine'!$C$6:$C$1110,"RPA"))</f>
        <v>29054973.6543416</v>
      </c>
      <c r="L175" s="7" t="n">
        <f aca="false">IF($G175="",0,SUMIFS('MA Engine'!$X$6:$X$1110,'MA Engine'!$J$6:$J$1110,$G175,'MA Engine'!$I$6:$I$1110,"DO",'MA Engine'!$C$6:$C$1110,"Trading"))</f>
        <v>58443400.3832985</v>
      </c>
      <c r="M175" s="12" t="s">
        <v>2370</v>
      </c>
    </row>
    <row r="176" customFormat="false" ht="15" hidden="false" customHeight="false" outlineLevel="0" collapsed="false">
      <c r="A176" s="91" t="n">
        <v>8</v>
      </c>
      <c r="B176" s="74" t="s">
        <v>2541</v>
      </c>
      <c r="C176" s="76" t="n">
        <v>46260</v>
      </c>
      <c r="D176" s="74" t="s">
        <v>271</v>
      </c>
      <c r="E176" s="8" t="n">
        <v>0</v>
      </c>
      <c r="F176" s="8" t="n">
        <v>50380000</v>
      </c>
      <c r="G176" s="74" t="s">
        <v>2276</v>
      </c>
      <c r="H176" s="13" t="n">
        <f aca="false">IF($G176="",0,SUMIFS('MA Engine'!$W$6:$W$1110,'MA Engine'!$J$6:$J$1110,$G176,'MA Engine'!$I$6:$I$1110,"DO",'MA Engine'!$C$6:$C$1110,"RPA"))</f>
        <v>0</v>
      </c>
      <c r="I176" s="13" t="n">
        <f aca="false">IF($G176="",0,SUMIFS('MA Engine'!$W$6:$W$1110,'MA Engine'!$J$6:$J$1110,$G176,'MA Engine'!$I$6:$I$1110,"DO",'MA Engine'!$C$6:$C$1110,"Trading"))</f>
        <v>1007.6</v>
      </c>
      <c r="K176" s="7" t="n">
        <f aca="false">IF($G176="",0,SUMIFS('MA Engine'!$X$6:$X$1110,'MA Engine'!$J$6:$J$1110,$G176,'MA Engine'!$I$6:$I$1110,"DO",'MA Engine'!$C$6:$C$1110,"RPA"))</f>
        <v>0</v>
      </c>
      <c r="L176" s="7" t="n">
        <f aca="false">IF($G176="",0,SUMIFS('MA Engine'!$X$6:$X$1110,'MA Engine'!$J$6:$J$1110,$G176,'MA Engine'!$I$6:$I$1110,"DO",'MA Engine'!$C$6:$C$1110,"Trading"))</f>
        <v>39394218.3526147</v>
      </c>
      <c r="M176" s="12" t="s">
        <v>2370</v>
      </c>
    </row>
    <row r="177" customFormat="false" ht="15" hidden="false" customHeight="false" outlineLevel="0" collapsed="false">
      <c r="A177" s="91" t="n">
        <v>8</v>
      </c>
      <c r="B177" s="74" t="s">
        <v>2542</v>
      </c>
      <c r="C177" s="76" t="n">
        <v>46260</v>
      </c>
      <c r="D177" s="74" t="s">
        <v>287</v>
      </c>
      <c r="E177" s="8" t="n">
        <v>2187750</v>
      </c>
      <c r="F177" s="8" t="n">
        <v>0</v>
      </c>
      <c r="G177" s="74" t="s">
        <v>2094</v>
      </c>
      <c r="H177" s="13" t="n">
        <f aca="false">IF($G177="",0,SUMIFS('MA Engine'!$W$6:$W$1110,'MA Engine'!$J$6:$J$1110,$G177,'MA Engine'!$I$6:$I$1110,"DO",'MA Engine'!$C$6:$C$1110,"RPA"))</f>
        <v>667.4</v>
      </c>
      <c r="I177" s="13" t="n">
        <f aca="false">IF($G177="",0,SUMIFS('MA Engine'!$W$6:$W$1110,'MA Engine'!$J$6:$J$1110,$G177,'MA Engine'!$I$6:$I$1110,"DO",'MA Engine'!$C$6:$C$1110,"Trading"))</f>
        <v>0</v>
      </c>
      <c r="K177" s="7" t="n">
        <f aca="false">IF($G177="",0,SUMIFS('MA Engine'!$X$6:$X$1110,'MA Engine'!$J$6:$J$1110,$G177,'MA Engine'!$I$6:$I$1110,"DO",'MA Engine'!$C$6:$C$1110,"RPA"))</f>
        <v>5225865.55294897</v>
      </c>
      <c r="L177" s="7" t="n">
        <f aca="false">IF($G177="",0,SUMIFS('MA Engine'!$X$6:$X$1110,'MA Engine'!$J$6:$J$1110,$G177,'MA Engine'!$I$6:$I$1110,"DO",'MA Engine'!$C$6:$C$1110,"Trading"))</f>
        <v>0</v>
      </c>
      <c r="M177" s="12" t="s">
        <v>2370</v>
      </c>
    </row>
    <row r="178" customFormat="false" ht="15" hidden="false" customHeight="false" outlineLevel="0" collapsed="false">
      <c r="A178" s="91" t="n">
        <v>8</v>
      </c>
      <c r="B178" s="74" t="s">
        <v>2543</v>
      </c>
      <c r="C178" s="76" t="n">
        <v>46260</v>
      </c>
      <c r="D178" s="74" t="s">
        <v>287</v>
      </c>
      <c r="E178" s="8" t="n">
        <v>2000100</v>
      </c>
      <c r="F178" s="8" t="n">
        <v>0</v>
      </c>
      <c r="G178" s="74" t="s">
        <v>2095</v>
      </c>
      <c r="H178" s="13" t="n">
        <f aca="false">IF($G178="",0,SUMIFS('MA Engine'!$W$6:$W$1110,'MA Engine'!$J$6:$J$1110,$G178,'MA Engine'!$I$6:$I$1110,"DO",'MA Engine'!$C$6:$C$1110,"RPA"))</f>
        <v>594</v>
      </c>
      <c r="I178" s="13" t="n">
        <f aca="false">IF($G178="",0,SUMIFS('MA Engine'!$W$6:$W$1110,'MA Engine'!$J$6:$J$1110,$G178,'MA Engine'!$I$6:$I$1110,"DO",'MA Engine'!$C$6:$C$1110,"Trading"))</f>
        <v>0</v>
      </c>
      <c r="K178" s="7" t="n">
        <f aca="false">IF($G178="",0,SUMIFS('MA Engine'!$X$6:$X$1110,'MA Engine'!$J$6:$J$1110,$G178,'MA Engine'!$I$6:$I$1110,"DO",'MA Engine'!$C$6:$C$1110,"RPA"))</f>
        <v>4669521.40841999</v>
      </c>
      <c r="L178" s="7" t="n">
        <f aca="false">IF($G178="",0,SUMIFS('MA Engine'!$X$6:$X$1110,'MA Engine'!$J$6:$J$1110,$G178,'MA Engine'!$I$6:$I$1110,"DO",'MA Engine'!$C$6:$C$1110,"Trading"))</f>
        <v>0</v>
      </c>
      <c r="M178" s="12" t="s">
        <v>2370</v>
      </c>
    </row>
    <row r="179" customFormat="false" ht="15" hidden="false" customHeight="false" outlineLevel="0" collapsed="false">
      <c r="A179" s="91" t="n">
        <v>8</v>
      </c>
      <c r="B179" s="74" t="s">
        <v>2544</v>
      </c>
      <c r="C179" s="76" t="n">
        <v>46260</v>
      </c>
      <c r="D179" s="74" t="s">
        <v>287</v>
      </c>
      <c r="E179" s="8" t="n">
        <v>2049700</v>
      </c>
      <c r="F179" s="8" t="n">
        <v>0</v>
      </c>
      <c r="G179" s="74" t="s">
        <v>2096</v>
      </c>
      <c r="H179" s="13" t="n">
        <f aca="false">IF($G179="",0,SUMIFS('MA Engine'!$W$6:$W$1110,'MA Engine'!$J$6:$J$1110,$G179,'MA Engine'!$I$6:$I$1110,"DO",'MA Engine'!$C$6:$C$1110,"RPA"))</f>
        <v>616</v>
      </c>
      <c r="I179" s="13" t="n">
        <f aca="false">IF($G179="",0,SUMIFS('MA Engine'!$W$6:$W$1110,'MA Engine'!$J$6:$J$1110,$G179,'MA Engine'!$I$6:$I$1110,"DO",'MA Engine'!$C$6:$C$1110,"Trading"))</f>
        <v>0</v>
      </c>
      <c r="K179" s="7" t="n">
        <f aca="false">IF($G179="",0,SUMIFS('MA Engine'!$X$6:$X$1110,'MA Engine'!$J$6:$J$1110,$G179,'MA Engine'!$I$6:$I$1110,"DO",'MA Engine'!$C$6:$C$1110,"RPA"))</f>
        <v>4887429.66152009</v>
      </c>
      <c r="L179" s="7" t="n">
        <f aca="false">IF($G179="",0,SUMIFS('MA Engine'!$X$6:$X$1110,'MA Engine'!$J$6:$J$1110,$G179,'MA Engine'!$I$6:$I$1110,"DO",'MA Engine'!$C$6:$C$1110,"Trading"))</f>
        <v>0</v>
      </c>
      <c r="M179" s="12" t="s">
        <v>2370</v>
      </c>
    </row>
    <row r="180" customFormat="false" ht="15" hidden="false" customHeight="false" outlineLevel="0" collapsed="false">
      <c r="A180" s="91" t="n">
        <v>8</v>
      </c>
      <c r="B180" s="74" t="s">
        <v>2545</v>
      </c>
      <c r="C180" s="76" t="n">
        <v>46260</v>
      </c>
      <c r="D180" s="74" t="s">
        <v>287</v>
      </c>
      <c r="E180" s="8" t="n">
        <v>334800</v>
      </c>
      <c r="F180" s="8" t="n">
        <v>0</v>
      </c>
      <c r="G180" s="74" t="s">
        <v>2128</v>
      </c>
      <c r="H180" s="13" t="n">
        <f aca="false">IF($G180="",0,SUMIFS('MA Engine'!$W$6:$W$1110,'MA Engine'!$J$6:$J$1110,$G180,'MA Engine'!$I$6:$I$1110,"DO",'MA Engine'!$C$6:$C$1110,"RPA"))</f>
        <v>9.3</v>
      </c>
      <c r="I180" s="13" t="n">
        <f aca="false">IF($G180="",0,SUMIFS('MA Engine'!$W$6:$W$1110,'MA Engine'!$J$6:$J$1110,$G180,'MA Engine'!$I$6:$I$1110,"DO",'MA Engine'!$C$6:$C$1110,"Trading"))</f>
        <v>0</v>
      </c>
      <c r="K180" s="7" t="n">
        <f aca="false">IF($G180="",0,SUMIFS('MA Engine'!$X$6:$X$1110,'MA Engine'!$J$6:$J$1110,$G180,'MA Engine'!$I$6:$I$1110,"DO",'MA Engine'!$C$6:$C$1110,"RPA"))</f>
        <v>270060.338796285</v>
      </c>
      <c r="L180" s="7" t="n">
        <f aca="false">IF($G180="",0,SUMIFS('MA Engine'!$X$6:$X$1110,'MA Engine'!$J$6:$J$1110,$G180,'MA Engine'!$I$6:$I$1110,"DO",'MA Engine'!$C$6:$C$1110,"Trading"))</f>
        <v>0</v>
      </c>
      <c r="M180" s="12" t="s">
        <v>2370</v>
      </c>
    </row>
    <row r="181" customFormat="false" ht="15" hidden="false" customHeight="false" outlineLevel="0" collapsed="false">
      <c r="A181" s="91" t="n">
        <v>8</v>
      </c>
      <c r="B181" s="74" t="s">
        <v>2546</v>
      </c>
      <c r="C181" s="76" t="n">
        <v>46260</v>
      </c>
      <c r="D181" s="74" t="s">
        <v>272</v>
      </c>
      <c r="E181" s="8" t="n">
        <v>0</v>
      </c>
      <c r="F181" s="8" t="n">
        <v>41621800</v>
      </c>
      <c r="G181" s="74" t="s">
        <v>2353</v>
      </c>
      <c r="H181" s="13" t="n">
        <f aca="false">IF($G181="",0,SUMIFS('MA Engine'!$W$6:$W$1110,'MA Engine'!$J$6:$J$1110,$G181,'MA Engine'!$I$6:$I$1110,"DO",'MA Engine'!$C$6:$C$1110,"RPA"))</f>
        <v>0</v>
      </c>
      <c r="I181" s="13" t="n">
        <f aca="false">IF($G181="",0,SUMIFS('MA Engine'!$W$6:$W$1110,'MA Engine'!$J$6:$J$1110,$G181,'MA Engine'!$I$6:$I$1110,"DO",'MA Engine'!$C$6:$C$1110,"Trading"))</f>
        <v>3783.8</v>
      </c>
      <c r="K181" s="7" t="n">
        <f aca="false">IF($G181="",0,SUMIFS('MA Engine'!$X$6:$X$1110,'MA Engine'!$J$6:$J$1110,$G181,'MA Engine'!$I$6:$I$1110,"DO",'MA Engine'!$C$6:$C$1110,"RPA"))</f>
        <v>0</v>
      </c>
      <c r="L181" s="7" t="n">
        <f aca="false">IF($G181="",0,SUMIFS('MA Engine'!$X$6:$X$1110,'MA Engine'!$J$6:$J$1110,$G181,'MA Engine'!$I$6:$I$1110,"DO",'MA Engine'!$C$6:$C$1110,"Trading"))</f>
        <v>39014277.5506107</v>
      </c>
      <c r="M181" s="12" t="s">
        <v>2370</v>
      </c>
    </row>
    <row r="182" customFormat="false" ht="15" hidden="false" customHeight="false" outlineLevel="0" collapsed="false">
      <c r="A182" s="91" t="n">
        <v>8</v>
      </c>
      <c r="B182" s="74" t="s">
        <v>2547</v>
      </c>
      <c r="C182" s="76" t="n">
        <v>46260</v>
      </c>
      <c r="D182" s="74" t="s">
        <v>272</v>
      </c>
      <c r="E182" s="8" t="n">
        <v>0</v>
      </c>
      <c r="F182" s="8" t="n">
        <v>41037700</v>
      </c>
      <c r="G182" s="74" t="s">
        <v>2354</v>
      </c>
      <c r="H182" s="13" t="n">
        <f aca="false">IF($G182="",0,SUMIFS('MA Engine'!$W$6:$W$1110,'MA Engine'!$J$6:$J$1110,$G182,'MA Engine'!$I$6:$I$1110,"DO",'MA Engine'!$C$6:$C$1110,"RPA"))</f>
        <v>0</v>
      </c>
      <c r="I182" s="13" t="n">
        <f aca="false">IF($G182="",0,SUMIFS('MA Engine'!$W$6:$W$1110,'MA Engine'!$J$6:$J$1110,$G182,'MA Engine'!$I$6:$I$1110,"DO",'MA Engine'!$C$6:$C$1110,"Trading"))</f>
        <v>3730.7</v>
      </c>
      <c r="K182" s="7" t="n">
        <f aca="false">IF($G182="",0,SUMIFS('MA Engine'!$X$6:$X$1110,'MA Engine'!$J$6:$J$1110,$G182,'MA Engine'!$I$6:$I$1110,"DO",'MA Engine'!$C$6:$C$1110,"RPA"))</f>
        <v>0</v>
      </c>
      <c r="L182" s="7" t="n">
        <f aca="false">IF($G182="",0,SUMIFS('MA Engine'!$X$6:$X$1110,'MA Engine'!$J$6:$J$1110,$G182,'MA Engine'!$I$6:$I$1110,"DO",'MA Engine'!$C$6:$C$1110,"Trading"))</f>
        <v>38466770.2463299</v>
      </c>
      <c r="M182" s="12" t="s">
        <v>2370</v>
      </c>
    </row>
    <row r="183" customFormat="false" ht="15" hidden="false" customHeight="false" outlineLevel="0" collapsed="false">
      <c r="A183" s="91" t="n">
        <v>8</v>
      </c>
      <c r="B183" s="74" t="s">
        <v>2548</v>
      </c>
      <c r="C183" s="76" t="n">
        <v>46260</v>
      </c>
      <c r="D183" s="74" t="s">
        <v>269</v>
      </c>
      <c r="E183" s="8" t="n">
        <v>0</v>
      </c>
      <c r="F183" s="8" t="n">
        <v>34292400</v>
      </c>
      <c r="G183" s="74" t="s">
        <v>2306</v>
      </c>
      <c r="H183" s="13" t="n">
        <f aca="false">IF($G183="",0,SUMIFS('MA Engine'!$W$6:$W$1110,'MA Engine'!$J$6:$J$1110,$G183,'MA Engine'!$I$6:$I$1110,"DO",'MA Engine'!$C$6:$C$1110,"RPA"))</f>
        <v>0</v>
      </c>
      <c r="I183" s="13" t="n">
        <f aca="false">IF($G183="",0,SUMIFS('MA Engine'!$W$6:$W$1110,'MA Engine'!$J$6:$J$1110,$G183,'MA Engine'!$I$6:$I$1110,"DO",'MA Engine'!$C$6:$C$1110,"Trading"))</f>
        <v>1008.6</v>
      </c>
      <c r="K183" s="7" t="n">
        <f aca="false">IF($G183="",0,SUMIFS('MA Engine'!$X$6:$X$1110,'MA Engine'!$J$6:$J$1110,$G183,'MA Engine'!$I$6:$I$1110,"DO",'MA Engine'!$C$6:$C$1110,"RPA"))</f>
        <v>0</v>
      </c>
      <c r="L183" s="7" t="n">
        <f aca="false">IF($G183="",0,SUMIFS('MA Engine'!$X$6:$X$1110,'MA Engine'!$J$6:$J$1110,$G183,'MA Engine'!$I$6:$I$1110,"DO",'MA Engine'!$C$6:$C$1110,"Trading"))</f>
        <v>31155191.7785681</v>
      </c>
      <c r="M183" s="12" t="s">
        <v>2370</v>
      </c>
    </row>
    <row r="184" customFormat="false" ht="15" hidden="false" customHeight="false" outlineLevel="0" collapsed="false">
      <c r="A184" s="91" t="n">
        <v>8</v>
      </c>
      <c r="B184" s="74" t="s">
        <v>2549</v>
      </c>
      <c r="C184" s="76" t="n">
        <v>46260</v>
      </c>
      <c r="D184" s="74" t="s">
        <v>270</v>
      </c>
      <c r="E184" s="8" t="n">
        <v>188409550</v>
      </c>
      <c r="F184" s="8" t="n">
        <v>0</v>
      </c>
      <c r="G184" s="74" t="s">
        <v>2154</v>
      </c>
      <c r="H184" s="13" t="n">
        <f aca="false">IF($G184="",0,SUMIFS('MA Engine'!$W$6:$W$1110,'MA Engine'!$J$6:$J$1110,$G184,'MA Engine'!$I$6:$I$1110,"DO",'MA Engine'!$C$6:$C$1110,"RPA"))</f>
        <v>5092.15</v>
      </c>
      <c r="I184" s="13" t="n">
        <f aca="false">IF($G184="",0,SUMIFS('MA Engine'!$W$6:$W$1110,'MA Engine'!$J$6:$J$1110,$G184,'MA Engine'!$I$6:$I$1110,"DO",'MA Engine'!$C$6:$C$1110,"Trading"))</f>
        <v>0</v>
      </c>
      <c r="K184" s="7" t="n">
        <f aca="false">IF($G184="",0,SUMIFS('MA Engine'!$X$6:$X$1110,'MA Engine'!$J$6:$J$1110,$G184,'MA Engine'!$I$6:$I$1110,"DO",'MA Engine'!$C$6:$C$1110,"RPA"))</f>
        <v>190177771.661859</v>
      </c>
      <c r="L184" s="7" t="n">
        <f aca="false">IF($G184="",0,SUMIFS('MA Engine'!$X$6:$X$1110,'MA Engine'!$J$6:$J$1110,$G184,'MA Engine'!$I$6:$I$1110,"DO",'MA Engine'!$C$6:$C$1110,"Trading"))</f>
        <v>0</v>
      </c>
      <c r="M184" s="12" t="s">
        <v>2370</v>
      </c>
    </row>
    <row r="185" customFormat="false" ht="15" hidden="false" customHeight="false" outlineLevel="0" collapsed="false">
      <c r="A185" s="91" t="n">
        <v>8</v>
      </c>
      <c r="B185" s="74" t="s">
        <v>2550</v>
      </c>
      <c r="C185" s="76" t="n">
        <v>46261</v>
      </c>
      <c r="D185" s="74" t="s">
        <v>283</v>
      </c>
      <c r="E185" s="8" t="n">
        <v>0</v>
      </c>
      <c r="F185" s="8" t="n">
        <v>48044160</v>
      </c>
      <c r="G185" s="74" t="s">
        <v>2307</v>
      </c>
      <c r="H185" s="13" t="n">
        <f aca="false">IF($G185="",0,SUMIFS('MA Engine'!$W$6:$W$1110,'MA Engine'!$J$6:$J$1110,$G185,'MA Engine'!$I$6:$I$1110,"DO",'MA Engine'!$C$6:$C$1110,"RPA"))</f>
        <v>0</v>
      </c>
      <c r="I185" s="13" t="n">
        <f aca="false">IF($G185="",0,SUMIFS('MA Engine'!$W$6:$W$1110,'MA Engine'!$J$6:$J$1110,$G185,'MA Engine'!$I$6:$I$1110,"DO",'MA Engine'!$C$6:$C$1110,"Trading"))</f>
        <v>1501.38</v>
      </c>
      <c r="K185" s="7" t="n">
        <f aca="false">IF($G185="",0,SUMIFS('MA Engine'!$X$6:$X$1110,'MA Engine'!$J$6:$J$1110,$G185,'MA Engine'!$I$6:$I$1110,"DO",'MA Engine'!$C$6:$C$1110,"RPA"))</f>
        <v>0</v>
      </c>
      <c r="L185" s="7" t="n">
        <f aca="false">IF($G185="",0,SUMIFS('MA Engine'!$X$6:$X$1110,'MA Engine'!$J$6:$J$1110,$G185,'MA Engine'!$I$6:$I$1110,"DO",'MA Engine'!$C$6:$C$1110,"Trading"))</f>
        <v>45480728.5528037</v>
      </c>
      <c r="M185" s="12" t="s">
        <v>2370</v>
      </c>
    </row>
    <row r="186" customFormat="false" ht="15" hidden="false" customHeight="false" outlineLevel="0" collapsed="false">
      <c r="A186" s="91" t="n">
        <v>8</v>
      </c>
      <c r="B186" s="74" t="s">
        <v>2551</v>
      </c>
      <c r="C186" s="76" t="n">
        <v>46261</v>
      </c>
      <c r="D186" s="74" t="s">
        <v>275</v>
      </c>
      <c r="E186" s="8" t="n">
        <v>30671690</v>
      </c>
      <c r="F186" s="8" t="n">
        <v>122700590</v>
      </c>
      <c r="G186" s="74" t="s">
        <v>2174</v>
      </c>
      <c r="H186" s="13" t="n">
        <f aca="false">IF($G186="",0,SUMIFS('MA Engine'!$W$6:$W$1110,'MA Engine'!$J$6:$J$1110,$G186,'MA Engine'!$I$6:$I$1110,"DO",'MA Engine'!$C$6:$C$1110,"RPA"))</f>
        <v>1015.58</v>
      </c>
      <c r="I186" s="13" t="n">
        <f aca="false">IF($G186="",0,SUMIFS('MA Engine'!$W$6:$W$1110,'MA Engine'!$J$6:$J$1110,$G186,'MA Engine'!$I$6:$I$1110,"DO",'MA Engine'!$C$6:$C$1110,"Trading"))</f>
        <v>3847.79</v>
      </c>
      <c r="K186" s="7" t="n">
        <f aca="false">IF($G186="",0,SUMIFS('MA Engine'!$X$6:$X$1110,'MA Engine'!$J$6:$J$1110,$G186,'MA Engine'!$I$6:$I$1110,"DO",'MA Engine'!$C$6:$C$1110,"RPA"))</f>
        <v>29037337.3995521</v>
      </c>
      <c r="L186" s="7" t="n">
        <f aca="false">IF($G186="",0,SUMIFS('MA Engine'!$X$6:$X$1110,'MA Engine'!$J$6:$J$1110,$G186,'MA Engine'!$I$6:$I$1110,"DO",'MA Engine'!$C$6:$C$1110,"Trading"))</f>
        <v>118755540.186277</v>
      </c>
      <c r="M186" s="12" t="s">
        <v>2370</v>
      </c>
    </row>
    <row r="187" customFormat="false" ht="15" hidden="false" customHeight="false" outlineLevel="0" collapsed="false">
      <c r="A187" s="91" t="n">
        <v>8</v>
      </c>
      <c r="B187" s="74" t="s">
        <v>2552</v>
      </c>
      <c r="C187" s="76" t="n">
        <v>46261</v>
      </c>
      <c r="D187" s="74" t="s">
        <v>270</v>
      </c>
      <c r="E187" s="8" t="n">
        <v>167258500</v>
      </c>
      <c r="F187" s="8" t="n">
        <v>0</v>
      </c>
      <c r="G187" s="74" t="s">
        <v>2155</v>
      </c>
      <c r="H187" s="13" t="n">
        <f aca="false">IF($G187="",0,SUMIFS('MA Engine'!$W$6:$W$1110,'MA Engine'!$J$6:$J$1110,$G187,'MA Engine'!$I$6:$I$1110,"DO",'MA Engine'!$C$6:$C$1110,"RPA"))</f>
        <v>4520.5</v>
      </c>
      <c r="I187" s="13" t="n">
        <f aca="false">IF($G187="",0,SUMIFS('MA Engine'!$W$6:$W$1110,'MA Engine'!$J$6:$J$1110,$G187,'MA Engine'!$I$6:$I$1110,"DO",'MA Engine'!$C$6:$C$1110,"Trading"))</f>
        <v>0</v>
      </c>
      <c r="K187" s="7" t="n">
        <f aca="false">IF($G187="",0,SUMIFS('MA Engine'!$X$6:$X$1110,'MA Engine'!$J$6:$J$1110,$G187,'MA Engine'!$I$6:$I$1110,"DO",'MA Engine'!$C$6:$C$1110,"RPA"))</f>
        <v>168580299.396592</v>
      </c>
      <c r="L187" s="7" t="n">
        <f aca="false">IF($G187="",0,SUMIFS('MA Engine'!$X$6:$X$1110,'MA Engine'!$J$6:$J$1110,$G187,'MA Engine'!$I$6:$I$1110,"DO",'MA Engine'!$C$6:$C$1110,"Trading"))</f>
        <v>0</v>
      </c>
      <c r="M187" s="12" t="s">
        <v>2370</v>
      </c>
    </row>
    <row r="188" customFormat="false" ht="15" hidden="false" customHeight="false" outlineLevel="0" collapsed="false">
      <c r="A188" s="91" t="n">
        <v>8</v>
      </c>
      <c r="B188" s="74" t="s">
        <v>2553</v>
      </c>
      <c r="C188" s="76" t="n">
        <v>46261</v>
      </c>
      <c r="D188" s="74" t="s">
        <v>272</v>
      </c>
      <c r="E188" s="8" t="n">
        <v>75254670</v>
      </c>
      <c r="F188" s="8" t="n">
        <v>17666740</v>
      </c>
      <c r="G188" s="74" t="s">
        <v>2147</v>
      </c>
      <c r="H188" s="13" t="n">
        <f aca="false">IF($G188="",0,SUMIFS('MA Engine'!$W$6:$W$1110,'MA Engine'!$J$6:$J$1110,$G188,'MA Engine'!$I$6:$I$1110,"DO",'MA Engine'!$C$6:$C$1110,"RPA"))</f>
        <v>2370.76</v>
      </c>
      <c r="I188" s="13" t="n">
        <f aca="false">IF($G188="",0,SUMIFS('MA Engine'!$W$6:$W$1110,'MA Engine'!$J$6:$J$1110,$G188,'MA Engine'!$I$6:$I$1110,"DO",'MA Engine'!$C$6:$C$1110,"Trading"))</f>
        <v>519.61</v>
      </c>
      <c r="K188" s="7" t="n">
        <f aca="false">IF($G188="",0,SUMIFS('MA Engine'!$X$6:$X$1110,'MA Engine'!$J$6:$J$1110,$G188,'MA Engine'!$I$6:$I$1110,"DO",'MA Engine'!$C$6:$C$1110,"RPA"))</f>
        <v>88758668.8648057</v>
      </c>
      <c r="L188" s="7" t="n">
        <f aca="false">IF($G188="",0,SUMIFS('MA Engine'!$X$6:$X$1110,'MA Engine'!$J$6:$J$1110,$G188,'MA Engine'!$I$6:$I$1110,"DO",'MA Engine'!$C$6:$C$1110,"Trading"))</f>
        <v>16138072.417007</v>
      </c>
      <c r="M188" s="12" t="s">
        <v>2370</v>
      </c>
    </row>
    <row r="189" customFormat="false" ht="15" hidden="false" customHeight="false" outlineLevel="0" collapsed="false">
      <c r="A189" s="91" t="n">
        <v>8</v>
      </c>
      <c r="B189" s="74" t="s">
        <v>2554</v>
      </c>
      <c r="C189" s="76" t="n">
        <v>46262</v>
      </c>
      <c r="D189" s="74" t="s">
        <v>270</v>
      </c>
      <c r="E189" s="8" t="n">
        <v>25081930</v>
      </c>
      <c r="F189" s="8" t="n">
        <v>0</v>
      </c>
      <c r="G189" s="74" t="s">
        <v>2139</v>
      </c>
      <c r="H189" s="13" t="n">
        <f aca="false">IF($G189="",0,SUMIFS('MA Engine'!$W$6:$W$1110,'MA Engine'!$J$6:$J$1110,$G189,'MA Engine'!$I$6:$I$1110,"DO",'MA Engine'!$C$6:$C$1110,"RPA"))</f>
        <v>677.89</v>
      </c>
      <c r="I189" s="13" t="n">
        <f aca="false">IF($G189="",0,SUMIFS('MA Engine'!$W$6:$W$1110,'MA Engine'!$J$6:$J$1110,$G189,'MA Engine'!$I$6:$I$1110,"DO",'MA Engine'!$C$6:$C$1110,"Trading"))</f>
        <v>0</v>
      </c>
      <c r="K189" s="7" t="n">
        <f aca="false">IF($G189="",0,SUMIFS('MA Engine'!$X$6:$X$1110,'MA Engine'!$J$6:$J$1110,$G189,'MA Engine'!$I$6:$I$1110,"DO",'MA Engine'!$C$6:$C$1110,"RPA"))</f>
        <v>25382762.992201</v>
      </c>
      <c r="L189" s="7" t="n">
        <f aca="false">IF($G189="",0,SUMIFS('MA Engine'!$X$6:$X$1110,'MA Engine'!$J$6:$J$1110,$G189,'MA Engine'!$I$6:$I$1110,"DO",'MA Engine'!$C$6:$C$1110,"Trading"))</f>
        <v>0</v>
      </c>
      <c r="M189" s="12" t="s">
        <v>2370</v>
      </c>
    </row>
    <row r="190" customFormat="false" ht="15" hidden="false" customHeight="false" outlineLevel="0" collapsed="false">
      <c r="A190" s="91" t="n">
        <v>8</v>
      </c>
      <c r="B190" s="74" t="s">
        <v>2555</v>
      </c>
      <c r="C190" s="76" t="n">
        <v>46262</v>
      </c>
      <c r="D190" s="74" t="s">
        <v>290</v>
      </c>
      <c r="E190" s="8" t="n">
        <v>0</v>
      </c>
      <c r="F190" s="8" t="n">
        <v>34633420</v>
      </c>
      <c r="G190" s="74" t="s">
        <v>2311</v>
      </c>
      <c r="H190" s="13" t="n">
        <f aca="false">IF($G190="",0,SUMIFS('MA Engine'!$W$6:$W$1110,'MA Engine'!$J$6:$J$1110,$G190,'MA Engine'!$I$6:$I$1110,"DO",'MA Engine'!$C$6:$C$1110,"RPA"))</f>
        <v>0</v>
      </c>
      <c r="I190" s="13" t="n">
        <f aca="false">IF($G190="",0,SUMIFS('MA Engine'!$W$6:$W$1110,'MA Engine'!$J$6:$J$1110,$G190,'MA Engine'!$I$6:$I$1110,"DO",'MA Engine'!$C$6:$C$1110,"Trading"))</f>
        <v>1018.63</v>
      </c>
      <c r="K190" s="7" t="n">
        <f aca="false">IF($G190="",0,SUMIFS('MA Engine'!$X$6:$X$1110,'MA Engine'!$J$6:$J$1110,$G190,'MA Engine'!$I$6:$I$1110,"DO",'MA Engine'!$C$6:$C$1110,"RPA"))</f>
        <v>0</v>
      </c>
      <c r="L190" s="7" t="n">
        <f aca="false">IF($G190="",0,SUMIFS('MA Engine'!$X$6:$X$1110,'MA Engine'!$J$6:$J$1110,$G190,'MA Engine'!$I$6:$I$1110,"DO",'MA Engine'!$C$6:$C$1110,"Trading"))</f>
        <v>32389772.5816516</v>
      </c>
      <c r="M190" s="12" t="s">
        <v>2370</v>
      </c>
    </row>
    <row r="191" customFormat="false" ht="15" hidden="false" customHeight="false" outlineLevel="0" collapsed="false">
      <c r="A191" s="91" t="n">
        <v>8</v>
      </c>
      <c r="B191" s="74" t="s">
        <v>2556</v>
      </c>
      <c r="C191" s="76" t="n">
        <v>46262</v>
      </c>
      <c r="D191" s="74" t="s">
        <v>272</v>
      </c>
      <c r="E191" s="8" t="n">
        <v>0</v>
      </c>
      <c r="F191" s="8" t="n">
        <v>12355730</v>
      </c>
      <c r="G191" s="74" t="s">
        <v>2197</v>
      </c>
      <c r="H191" s="13" t="n">
        <f aca="false">IF($G191="",0,SUMIFS('MA Engine'!$W$6:$W$1110,'MA Engine'!$J$6:$J$1110,$G191,'MA Engine'!$I$6:$I$1110,"DO",'MA Engine'!$C$6:$C$1110,"RPA"))</f>
        <v>0</v>
      </c>
      <c r="I191" s="13" t="n">
        <f aca="false">IF($G191="",0,SUMIFS('MA Engine'!$W$6:$W$1110,'MA Engine'!$J$6:$J$1110,$G191,'MA Engine'!$I$6:$I$1110,"DO",'MA Engine'!$C$6:$C$1110,"Trading"))</f>
        <v>405.37</v>
      </c>
      <c r="K191" s="7" t="n">
        <f aca="false">IF($G191="",0,SUMIFS('MA Engine'!$X$6:$X$1110,'MA Engine'!$J$6:$J$1110,$G191,'MA Engine'!$I$6:$I$1110,"DO",'MA Engine'!$C$6:$C$1110,"RPA"))</f>
        <v>0</v>
      </c>
      <c r="L191" s="7" t="n">
        <f aca="false">IF($G191="",0,SUMIFS('MA Engine'!$X$6:$X$1110,'MA Engine'!$J$6:$J$1110,$G191,'MA Engine'!$I$6:$I$1110,"DO",'MA Engine'!$C$6:$C$1110,"Trading"))</f>
        <v>11369596.3556909</v>
      </c>
      <c r="M191" s="12" t="s">
        <v>2370</v>
      </c>
    </row>
    <row r="192" customFormat="false" ht="15" hidden="false" customHeight="false" outlineLevel="0" collapsed="false">
      <c r="A192" s="91" t="n">
        <v>8</v>
      </c>
      <c r="B192" s="74" t="s">
        <v>2557</v>
      </c>
      <c r="C192" s="76" t="n">
        <v>46262</v>
      </c>
      <c r="D192" s="74" t="s">
        <v>272</v>
      </c>
      <c r="E192" s="8" t="n">
        <v>0</v>
      </c>
      <c r="F192" s="8" t="n">
        <v>66124300</v>
      </c>
      <c r="G192" s="74" t="s">
        <v>2355</v>
      </c>
      <c r="H192" s="13" t="n">
        <f aca="false">IF($G192="",0,SUMIFS('MA Engine'!$W$6:$W$1110,'MA Engine'!$J$6:$J$1110,$G192,'MA Engine'!$I$6:$I$1110,"DO",'MA Engine'!$C$6:$C$1110,"RPA"))</f>
        <v>0</v>
      </c>
      <c r="I192" s="13" t="n">
        <f aca="false">IF($G192="",0,SUMIFS('MA Engine'!$W$6:$W$1110,'MA Engine'!$J$6:$J$1110,$G192,'MA Engine'!$I$6:$I$1110,"DO",'MA Engine'!$C$6:$C$1110,"Trading"))</f>
        <v>6011.3</v>
      </c>
      <c r="K192" s="7" t="n">
        <f aca="false">IF($G192="",0,SUMIFS('MA Engine'!$X$6:$X$1110,'MA Engine'!$J$6:$J$1110,$G192,'MA Engine'!$I$6:$I$1110,"DO",'MA Engine'!$C$6:$C$1110,"RPA"))</f>
        <v>0</v>
      </c>
      <c r="L192" s="7" t="n">
        <f aca="false">IF($G192="",0,SUMIFS('MA Engine'!$X$6:$X$1110,'MA Engine'!$J$6:$J$1110,$G192,'MA Engine'!$I$6:$I$1110,"DO",'MA Engine'!$C$6:$C$1110,"Trading"))</f>
        <v>61981744.9759464</v>
      </c>
      <c r="M192" s="12" t="s">
        <v>2370</v>
      </c>
    </row>
    <row r="193" customFormat="false" ht="15" hidden="false" customHeight="false" outlineLevel="0" collapsed="false">
      <c r="A193" s="91" t="n">
        <v>8</v>
      </c>
      <c r="B193" s="74" t="s">
        <v>2558</v>
      </c>
      <c r="C193" s="76" t="n">
        <v>46262</v>
      </c>
      <c r="D193" s="74" t="s">
        <v>270</v>
      </c>
      <c r="E193" s="8" t="n">
        <v>99551250</v>
      </c>
      <c r="F193" s="8" t="n">
        <v>0</v>
      </c>
      <c r="G193" s="74" t="s">
        <v>2161</v>
      </c>
      <c r="H193" s="13" t="n">
        <f aca="false">IF($G193="",0,SUMIFS('MA Engine'!$W$6:$W$1110,'MA Engine'!$J$6:$J$1110,$G193,'MA Engine'!$I$6:$I$1110,"DO",'MA Engine'!$C$6:$C$1110,"RPA"))</f>
        <v>2654.7</v>
      </c>
      <c r="I193" s="13" t="n">
        <f aca="false">IF($G193="",0,SUMIFS('MA Engine'!$W$6:$W$1110,'MA Engine'!$J$6:$J$1110,$G193,'MA Engine'!$I$6:$I$1110,"DO",'MA Engine'!$C$6:$C$1110,"Trading"))</f>
        <v>0</v>
      </c>
      <c r="K193" s="7" t="n">
        <f aca="false">IF($G193="",0,SUMIFS('MA Engine'!$X$6:$X$1110,'MA Engine'!$J$6:$J$1110,$G193,'MA Engine'!$I$6:$I$1110,"DO",'MA Engine'!$C$6:$C$1110,"RPA"))</f>
        <v>99228992.8198202</v>
      </c>
      <c r="L193" s="7" t="n">
        <f aca="false">IF($G193="",0,SUMIFS('MA Engine'!$X$6:$X$1110,'MA Engine'!$J$6:$J$1110,$G193,'MA Engine'!$I$6:$I$1110,"DO",'MA Engine'!$C$6:$C$1110,"Trading"))</f>
        <v>0</v>
      </c>
      <c r="M193" s="12" t="s">
        <v>2370</v>
      </c>
    </row>
    <row r="194" customFormat="false" ht="15" hidden="false" customHeight="false" outlineLevel="0" collapsed="false">
      <c r="A194" s="91" t="n">
        <v>8</v>
      </c>
      <c r="B194" s="74" t="s">
        <v>2559</v>
      </c>
      <c r="C194" s="76" t="n">
        <v>46263</v>
      </c>
      <c r="D194" s="74" t="s">
        <v>270</v>
      </c>
      <c r="E194" s="8" t="n">
        <v>140581500</v>
      </c>
      <c r="F194" s="8" t="n">
        <v>0</v>
      </c>
      <c r="G194" s="74" t="s">
        <v>2132</v>
      </c>
      <c r="H194" s="13" t="n">
        <f aca="false">IF($G194="",0,SUMIFS('MA Engine'!$W$6:$W$1110,'MA Engine'!$J$6:$J$1110,$G194,'MA Engine'!$I$6:$I$1110,"DO",'MA Engine'!$C$6:$C$1110,"RPA"))</f>
        <v>3799.5</v>
      </c>
      <c r="I194" s="13" t="n">
        <f aca="false">IF($G194="",0,SUMIFS('MA Engine'!$W$6:$W$1110,'MA Engine'!$J$6:$J$1110,$G194,'MA Engine'!$I$6:$I$1110,"DO",'MA Engine'!$C$6:$C$1110,"Trading"))</f>
        <v>0</v>
      </c>
      <c r="K194" s="7" t="n">
        <f aca="false">IF($G194="",0,SUMIFS('MA Engine'!$X$6:$X$1110,'MA Engine'!$J$6:$J$1110,$G194,'MA Engine'!$I$6:$I$1110,"DO",'MA Engine'!$C$6:$C$1110,"RPA"))</f>
        <v>141340239.295055</v>
      </c>
      <c r="L194" s="7" t="n">
        <f aca="false">IF($G194="",0,SUMIFS('MA Engine'!$X$6:$X$1110,'MA Engine'!$J$6:$J$1110,$G194,'MA Engine'!$I$6:$I$1110,"DO",'MA Engine'!$C$6:$C$1110,"Trading"))</f>
        <v>0</v>
      </c>
      <c r="M194" s="12" t="s">
        <v>2370</v>
      </c>
    </row>
    <row r="195" customFormat="false" ht="15" hidden="false" customHeight="false" outlineLevel="0" collapsed="false">
      <c r="A195" s="91" t="n">
        <v>8</v>
      </c>
      <c r="B195" s="74" t="s">
        <v>2560</v>
      </c>
      <c r="C195" s="76" t="n">
        <v>46263</v>
      </c>
      <c r="D195" s="74" t="s">
        <v>270</v>
      </c>
      <c r="E195" s="8" t="n">
        <v>40137970</v>
      </c>
      <c r="F195" s="8" t="n">
        <v>0</v>
      </c>
      <c r="G195" s="74" t="s">
        <v>2140</v>
      </c>
      <c r="H195" s="13" t="n">
        <f aca="false">IF($G195="",0,SUMIFS('MA Engine'!$W$6:$W$1110,'MA Engine'!$J$6:$J$1110,$G195,'MA Engine'!$I$6:$I$1110,"DO",'MA Engine'!$C$6:$C$1110,"RPA"))</f>
        <v>1084.81</v>
      </c>
      <c r="I195" s="13" t="n">
        <f aca="false">IF($G195="",0,SUMIFS('MA Engine'!$W$6:$W$1110,'MA Engine'!$J$6:$J$1110,$G195,'MA Engine'!$I$6:$I$1110,"DO",'MA Engine'!$C$6:$C$1110,"Trading"))</f>
        <v>0</v>
      </c>
      <c r="K195" s="7" t="n">
        <f aca="false">IF($G195="",0,SUMIFS('MA Engine'!$X$6:$X$1110,'MA Engine'!$J$6:$J$1110,$G195,'MA Engine'!$I$6:$I$1110,"DO",'MA Engine'!$C$6:$C$1110,"RPA"))</f>
        <v>40619385.3303185</v>
      </c>
      <c r="L195" s="7" t="n">
        <f aca="false">IF($G195="",0,SUMIFS('MA Engine'!$X$6:$X$1110,'MA Engine'!$J$6:$J$1110,$G195,'MA Engine'!$I$6:$I$1110,"DO",'MA Engine'!$C$6:$C$1110,"Trading"))</f>
        <v>0</v>
      </c>
      <c r="M195" s="12" t="s">
        <v>2370</v>
      </c>
    </row>
    <row r="196" customFormat="false" ht="15" hidden="false" customHeight="false" outlineLevel="0" collapsed="false">
      <c r="A196" s="91" t="n">
        <v>8</v>
      </c>
      <c r="B196" s="74" t="s">
        <v>2561</v>
      </c>
      <c r="C196" s="76" t="n">
        <v>46263</v>
      </c>
      <c r="D196" s="74" t="s">
        <v>269</v>
      </c>
      <c r="E196" s="8" t="n">
        <v>27785680</v>
      </c>
      <c r="F196" s="8" t="n">
        <v>10360320</v>
      </c>
      <c r="G196" s="74" t="s">
        <v>2148</v>
      </c>
      <c r="H196" s="13" t="n">
        <f aca="false">IF($G196="",0,SUMIFS('MA Engine'!$W$6:$W$1110,'MA Engine'!$J$6:$J$1110,$G196,'MA Engine'!$I$6:$I$1110,"DO",'MA Engine'!$C$6:$C$1110,"RPA"))</f>
        <v>874.72</v>
      </c>
      <c r="I196" s="13" t="n">
        <f aca="false">IF($G196="",0,SUMIFS('MA Engine'!$W$6:$W$1110,'MA Engine'!$J$6:$J$1110,$G196,'MA Engine'!$I$6:$I$1110,"DO",'MA Engine'!$C$6:$C$1110,"Trading"))</f>
        <v>323.76</v>
      </c>
      <c r="K196" s="7" t="n">
        <f aca="false">IF($G196="",0,SUMIFS('MA Engine'!$X$6:$X$1110,'MA Engine'!$J$6:$J$1110,$G196,'MA Engine'!$I$6:$I$1110,"DO",'MA Engine'!$C$6:$C$1110,"RPA"))</f>
        <v>30233035.3235633</v>
      </c>
      <c r="L196" s="7" t="n">
        <f aca="false">IF($G196="",0,SUMIFS('MA Engine'!$X$6:$X$1110,'MA Engine'!$J$6:$J$1110,$G196,'MA Engine'!$I$6:$I$1110,"DO",'MA Engine'!$C$6:$C$1110,"Trading"))</f>
        <v>9750090.4828862</v>
      </c>
      <c r="M196" s="12" t="s">
        <v>2370</v>
      </c>
    </row>
    <row r="197" customFormat="false" ht="15" hidden="false" customHeight="false" outlineLevel="0" collapsed="false">
      <c r="A197" s="91" t="n">
        <v>8</v>
      </c>
      <c r="B197" s="74" t="s">
        <v>2562</v>
      </c>
      <c r="C197" s="76" t="n">
        <v>46263</v>
      </c>
      <c r="D197" s="74" t="s">
        <v>271</v>
      </c>
      <c r="E197" s="8" t="n">
        <v>0</v>
      </c>
      <c r="F197" s="8" t="n">
        <v>129249400</v>
      </c>
      <c r="G197" s="74" t="s">
        <v>2294</v>
      </c>
      <c r="H197" s="13" t="n">
        <f aca="false">IF($G197="",0,SUMIFS('MA Engine'!$W$6:$W$1110,'MA Engine'!$J$6:$J$1110,$G197,'MA Engine'!$I$6:$I$1110,"DO",'MA Engine'!$C$6:$C$1110,"RPA"))</f>
        <v>0</v>
      </c>
      <c r="I197" s="13" t="n">
        <f aca="false">IF($G197="",0,SUMIFS('MA Engine'!$W$6:$W$1110,'MA Engine'!$J$6:$J$1110,$G197,'MA Engine'!$I$6:$I$1110,"DO",'MA Engine'!$C$6:$C$1110,"Trading"))</f>
        <v>3005.8</v>
      </c>
      <c r="K197" s="7" t="n">
        <f aca="false">IF($G197="",0,SUMIFS('MA Engine'!$X$6:$X$1110,'MA Engine'!$J$6:$J$1110,$G197,'MA Engine'!$I$6:$I$1110,"DO",'MA Engine'!$C$6:$C$1110,"RPA"))</f>
        <v>0</v>
      </c>
      <c r="L197" s="7" t="n">
        <f aca="false">IF($G197="",0,SUMIFS('MA Engine'!$X$6:$X$1110,'MA Engine'!$J$6:$J$1110,$G197,'MA Engine'!$I$6:$I$1110,"DO",'MA Engine'!$C$6:$C$1110,"Trading"))</f>
        <v>141869461.084399</v>
      </c>
      <c r="M197" s="12" t="s">
        <v>2370</v>
      </c>
    </row>
    <row r="198" customFormat="false" ht="15" hidden="false" customHeight="false" outlineLevel="0" collapsed="false">
      <c r="A198" s="91" t="n">
        <v>8</v>
      </c>
      <c r="B198" s="74" t="s">
        <v>2563</v>
      </c>
      <c r="C198" s="76" t="n">
        <v>46263</v>
      </c>
      <c r="D198" s="74" t="s">
        <v>271</v>
      </c>
      <c r="E198" s="8" t="n">
        <v>0</v>
      </c>
      <c r="F198" s="8" t="n">
        <v>860000</v>
      </c>
      <c r="G198" s="74" t="s">
        <v>2295</v>
      </c>
      <c r="H198" s="13" t="n">
        <f aca="false">IF($G198="",0,SUMIFS('MA Engine'!$W$6:$W$1110,'MA Engine'!$J$6:$J$1110,$G198,'MA Engine'!$I$6:$I$1110,"DO",'MA Engine'!$C$6:$C$1110,"RPA"))</f>
        <v>0</v>
      </c>
      <c r="I198" s="13" t="n">
        <f aca="false">IF($G198="",0,SUMIFS('MA Engine'!$W$6:$W$1110,'MA Engine'!$J$6:$J$1110,$G198,'MA Engine'!$I$6:$I$1110,"DO",'MA Engine'!$C$6:$C$1110,"Trading"))</f>
        <v>20</v>
      </c>
      <c r="K198" s="7" t="n">
        <f aca="false">IF($G198="",0,SUMIFS('MA Engine'!$X$6:$X$1110,'MA Engine'!$J$6:$J$1110,$G198,'MA Engine'!$I$6:$I$1110,"DO",'MA Engine'!$C$6:$C$1110,"RPA"))</f>
        <v>0</v>
      </c>
      <c r="L198" s="7" t="n">
        <f aca="false">IF($G198="",0,SUMIFS('MA Engine'!$X$6:$X$1110,'MA Engine'!$J$6:$J$1110,$G198,'MA Engine'!$I$6:$I$1110,"DO",'MA Engine'!$C$6:$C$1110,"Trading"))</f>
        <v>943971.395863992</v>
      </c>
      <c r="M198" s="12" t="s">
        <v>2370</v>
      </c>
    </row>
    <row r="199" customFormat="false" ht="15" hidden="false" customHeight="false" outlineLevel="0" collapsed="false">
      <c r="A199" s="91" t="n">
        <v>8</v>
      </c>
      <c r="B199" s="74" t="s">
        <v>2564</v>
      </c>
      <c r="C199" s="76" t="n">
        <v>46263</v>
      </c>
      <c r="D199" s="74" t="s">
        <v>287</v>
      </c>
      <c r="E199" s="8" t="n">
        <v>2642400</v>
      </c>
      <c r="F199" s="8" t="n">
        <v>0</v>
      </c>
      <c r="G199" s="74" t="s">
        <v>2097</v>
      </c>
      <c r="H199" s="13" t="n">
        <f aca="false">IF($G199="",0,SUMIFS('MA Engine'!$W$6:$W$1110,'MA Engine'!$J$6:$J$1110,$G199,'MA Engine'!$I$6:$I$1110,"DO",'MA Engine'!$C$6:$C$1110,"RPA"))</f>
        <v>785.2</v>
      </c>
      <c r="I199" s="13" t="n">
        <f aca="false">IF($G199="",0,SUMIFS('MA Engine'!$W$6:$W$1110,'MA Engine'!$J$6:$J$1110,$G199,'MA Engine'!$I$6:$I$1110,"DO",'MA Engine'!$C$6:$C$1110,"Trading"))</f>
        <v>0</v>
      </c>
      <c r="K199" s="7" t="n">
        <f aca="false">IF($G199="",0,SUMIFS('MA Engine'!$X$6:$X$1110,'MA Engine'!$J$6:$J$1110,$G199,'MA Engine'!$I$6:$I$1110,"DO",'MA Engine'!$C$6:$C$1110,"RPA"))</f>
        <v>6434079.04868758</v>
      </c>
      <c r="L199" s="7" t="n">
        <f aca="false">IF($G199="",0,SUMIFS('MA Engine'!$X$6:$X$1110,'MA Engine'!$J$6:$J$1110,$G199,'MA Engine'!$I$6:$I$1110,"DO",'MA Engine'!$C$6:$C$1110,"Trading"))</f>
        <v>0</v>
      </c>
      <c r="M199" s="12" t="s">
        <v>2370</v>
      </c>
    </row>
    <row r="200" customFormat="false" ht="15" hidden="false" customHeight="false" outlineLevel="0" collapsed="false">
      <c r="A200" s="91" t="n">
        <v>8</v>
      </c>
      <c r="B200" s="74" t="s">
        <v>2565</v>
      </c>
      <c r="C200" s="76" t="n">
        <v>46263</v>
      </c>
      <c r="D200" s="74" t="s">
        <v>287</v>
      </c>
      <c r="E200" s="8" t="n">
        <v>2062500</v>
      </c>
      <c r="F200" s="8" t="n">
        <v>0</v>
      </c>
      <c r="G200" s="74" t="s">
        <v>2098</v>
      </c>
      <c r="H200" s="13" t="n">
        <f aca="false">IF($G200="",0,SUMIFS('MA Engine'!$W$6:$W$1110,'MA Engine'!$J$6:$J$1110,$G200,'MA Engine'!$I$6:$I$1110,"DO",'MA Engine'!$C$6:$C$1110,"RPA"))</f>
        <v>626.1</v>
      </c>
      <c r="I200" s="13" t="n">
        <f aca="false">IF($G200="",0,SUMIFS('MA Engine'!$W$6:$W$1110,'MA Engine'!$J$6:$J$1110,$G200,'MA Engine'!$I$6:$I$1110,"DO",'MA Engine'!$C$6:$C$1110,"Trading"))</f>
        <v>0</v>
      </c>
      <c r="K200" s="7" t="n">
        <f aca="false">IF($G200="",0,SUMIFS('MA Engine'!$X$6:$X$1110,'MA Engine'!$J$6:$J$1110,$G200,'MA Engine'!$I$6:$I$1110,"DO",'MA Engine'!$C$6:$C$1110,"RPA"))</f>
        <v>5259389.5382861</v>
      </c>
      <c r="L200" s="7" t="n">
        <f aca="false">IF($G200="",0,SUMIFS('MA Engine'!$X$6:$X$1110,'MA Engine'!$J$6:$J$1110,$G200,'MA Engine'!$I$6:$I$1110,"DO",'MA Engine'!$C$6:$C$1110,"Trading"))</f>
        <v>0</v>
      </c>
      <c r="M200" s="12" t="s">
        <v>2370</v>
      </c>
    </row>
    <row r="201" customFormat="false" ht="15" hidden="false" customHeight="false" outlineLevel="0" collapsed="false">
      <c r="A201" s="91" t="n">
        <v>8</v>
      </c>
      <c r="B201" s="74" t="s">
        <v>2566</v>
      </c>
      <c r="C201" s="76" t="n">
        <v>46263</v>
      </c>
      <c r="D201" s="74" t="s">
        <v>287</v>
      </c>
      <c r="E201" s="8" t="n">
        <v>1873200</v>
      </c>
      <c r="F201" s="8" t="n">
        <v>0</v>
      </c>
      <c r="G201" s="74" t="s">
        <v>2099</v>
      </c>
      <c r="H201" s="13" t="n">
        <f aca="false">IF($G201="",0,SUMIFS('MA Engine'!$W$6:$W$1110,'MA Engine'!$J$6:$J$1110,$G201,'MA Engine'!$I$6:$I$1110,"DO",'MA Engine'!$C$6:$C$1110,"RPA"))</f>
        <v>559.9</v>
      </c>
      <c r="I201" s="13" t="n">
        <f aca="false">IF($G201="",0,SUMIFS('MA Engine'!$W$6:$W$1110,'MA Engine'!$J$6:$J$1110,$G201,'MA Engine'!$I$6:$I$1110,"DO",'MA Engine'!$C$6:$C$1110,"Trading"))</f>
        <v>0</v>
      </c>
      <c r="K201" s="7" t="n">
        <f aca="false">IF($G201="",0,SUMIFS('MA Engine'!$X$6:$X$1110,'MA Engine'!$J$6:$J$1110,$G201,'MA Engine'!$I$6:$I$1110,"DO",'MA Engine'!$C$6:$C$1110,"RPA"))</f>
        <v>4672275.45770617</v>
      </c>
      <c r="L201" s="7" t="n">
        <f aca="false">IF($G201="",0,SUMIFS('MA Engine'!$X$6:$X$1110,'MA Engine'!$J$6:$J$1110,$G201,'MA Engine'!$I$6:$I$1110,"DO",'MA Engine'!$C$6:$C$1110,"Trading"))</f>
        <v>0</v>
      </c>
      <c r="M201" s="12" t="s">
        <v>2370</v>
      </c>
    </row>
    <row r="202" customFormat="false" ht="15" hidden="false" customHeight="false" outlineLevel="0" collapsed="false">
      <c r="A202" s="91" t="n">
        <v>8</v>
      </c>
      <c r="B202" s="74" t="s">
        <v>2567</v>
      </c>
      <c r="C202" s="76" t="n">
        <v>46263</v>
      </c>
      <c r="D202" s="74" t="s">
        <v>287</v>
      </c>
      <c r="E202" s="8" t="n">
        <v>540000</v>
      </c>
      <c r="F202" s="8" t="n">
        <v>0</v>
      </c>
      <c r="G202" s="74" t="s">
        <v>2157</v>
      </c>
      <c r="H202" s="13" t="n">
        <f aca="false">IF($G202="",0,SUMIFS('MA Engine'!$W$6:$W$1110,'MA Engine'!$J$6:$J$1110,$G202,'MA Engine'!$I$6:$I$1110,"DO",'MA Engine'!$C$6:$C$1110,"RPA"))</f>
        <v>15</v>
      </c>
      <c r="I202" s="13" t="n">
        <f aca="false">IF($G202="",0,SUMIFS('MA Engine'!$W$6:$W$1110,'MA Engine'!$J$6:$J$1110,$G202,'MA Engine'!$I$6:$I$1110,"DO",'MA Engine'!$C$6:$C$1110,"Trading"))</f>
        <v>0</v>
      </c>
      <c r="K202" s="7" t="n">
        <f aca="false">IF($G202="",0,SUMIFS('MA Engine'!$X$6:$X$1110,'MA Engine'!$J$6:$J$1110,$G202,'MA Engine'!$I$6:$I$1110,"DO",'MA Engine'!$C$6:$C$1110,"RPA"))</f>
        <v>500958.051937046</v>
      </c>
      <c r="L202" s="7" t="n">
        <f aca="false">IF($G202="",0,SUMIFS('MA Engine'!$X$6:$X$1110,'MA Engine'!$J$6:$J$1110,$G202,'MA Engine'!$I$6:$I$1110,"DO",'MA Engine'!$C$6:$C$1110,"Trading"))</f>
        <v>0</v>
      </c>
      <c r="M202" s="12" t="s">
        <v>2370</v>
      </c>
    </row>
    <row r="203" customFormat="false" ht="15" hidden="false" customHeight="false" outlineLevel="0" collapsed="false">
      <c r="A203" s="91" t="n">
        <v>8</v>
      </c>
      <c r="B203" s="74" t="s">
        <v>2568</v>
      </c>
      <c r="C203" s="76" t="n">
        <v>46263</v>
      </c>
      <c r="D203" s="74" t="s">
        <v>287</v>
      </c>
      <c r="E203" s="8" t="n">
        <v>2268300</v>
      </c>
      <c r="F203" s="8" t="n">
        <v>0</v>
      </c>
      <c r="G203" s="74" t="s">
        <v>2100</v>
      </c>
      <c r="H203" s="13" t="n">
        <f aca="false">IF($G203="",0,SUMIFS('MA Engine'!$W$6:$W$1110,'MA Engine'!$J$6:$J$1110,$G203,'MA Engine'!$I$6:$I$1110,"DO",'MA Engine'!$C$6:$C$1110,"RPA"))</f>
        <v>679.2</v>
      </c>
      <c r="I203" s="13" t="n">
        <f aca="false">IF($G203="",0,SUMIFS('MA Engine'!$W$6:$W$1110,'MA Engine'!$J$6:$J$1110,$G203,'MA Engine'!$I$6:$I$1110,"DO",'MA Engine'!$C$6:$C$1110,"Trading"))</f>
        <v>0</v>
      </c>
      <c r="K203" s="7" t="n">
        <f aca="false">IF($G203="",0,SUMIFS('MA Engine'!$X$6:$X$1110,'MA Engine'!$J$6:$J$1110,$G203,'MA Engine'!$I$6:$I$1110,"DO",'MA Engine'!$C$6:$C$1110,"RPA"))</f>
        <v>5517248.52429431</v>
      </c>
      <c r="L203" s="7" t="n">
        <f aca="false">IF($G203="",0,SUMIFS('MA Engine'!$X$6:$X$1110,'MA Engine'!$J$6:$J$1110,$G203,'MA Engine'!$I$6:$I$1110,"DO",'MA Engine'!$C$6:$C$1110,"Trading"))</f>
        <v>0</v>
      </c>
      <c r="M203" s="12" t="s">
        <v>2370</v>
      </c>
    </row>
    <row r="204" customFormat="false" ht="15" hidden="false" customHeight="false" outlineLevel="0" collapsed="false">
      <c r="A204" s="91" t="n">
        <v>8</v>
      </c>
      <c r="B204" s="74" t="s">
        <v>2569</v>
      </c>
      <c r="C204" s="76" t="n">
        <v>46263</v>
      </c>
      <c r="D204" s="74" t="s">
        <v>287</v>
      </c>
      <c r="E204" s="8" t="n">
        <v>2254400</v>
      </c>
      <c r="F204" s="8" t="n">
        <v>0</v>
      </c>
      <c r="G204" s="74" t="s">
        <v>2101</v>
      </c>
      <c r="H204" s="13" t="n">
        <f aca="false">IF($G204="",0,SUMIFS('MA Engine'!$W$6:$W$1110,'MA Engine'!$J$6:$J$1110,$G204,'MA Engine'!$I$6:$I$1110,"DO",'MA Engine'!$C$6:$C$1110,"RPA"))</f>
        <v>682.4</v>
      </c>
      <c r="I204" s="13" t="n">
        <f aca="false">IF($G204="",0,SUMIFS('MA Engine'!$W$6:$W$1110,'MA Engine'!$J$6:$J$1110,$G204,'MA Engine'!$I$6:$I$1110,"DO",'MA Engine'!$C$6:$C$1110,"Trading"))</f>
        <v>0</v>
      </c>
      <c r="K204" s="7" t="n">
        <f aca="false">IF($G204="",0,SUMIFS('MA Engine'!$X$6:$X$1110,'MA Engine'!$J$6:$J$1110,$G204,'MA Engine'!$I$6:$I$1110,"DO",'MA Engine'!$C$6:$C$1110,"RPA"))</f>
        <v>5474841.98134036</v>
      </c>
      <c r="L204" s="7" t="n">
        <f aca="false">IF($G204="",0,SUMIFS('MA Engine'!$X$6:$X$1110,'MA Engine'!$J$6:$J$1110,$G204,'MA Engine'!$I$6:$I$1110,"DO",'MA Engine'!$C$6:$C$1110,"Trading"))</f>
        <v>0</v>
      </c>
      <c r="M204" s="12" t="s">
        <v>2370</v>
      </c>
    </row>
    <row r="205" customFormat="false" ht="15" hidden="false" customHeight="false" outlineLevel="0" collapsed="false">
      <c r="A205" s="91" t="n">
        <v>8</v>
      </c>
      <c r="B205" s="74" t="s">
        <v>2570</v>
      </c>
      <c r="C205" s="76" t="n">
        <v>46263</v>
      </c>
      <c r="D205" s="74" t="s">
        <v>287</v>
      </c>
      <c r="E205" s="8" t="n">
        <v>1889200</v>
      </c>
      <c r="F205" s="8" t="n">
        <v>0</v>
      </c>
      <c r="G205" s="74" t="s">
        <v>2102</v>
      </c>
      <c r="H205" s="13" t="n">
        <f aca="false">IF($G205="",0,SUMIFS('MA Engine'!$W$6:$W$1110,'MA Engine'!$J$6:$J$1110,$G205,'MA Engine'!$I$6:$I$1110,"DO",'MA Engine'!$C$6:$C$1110,"RPA"))</f>
        <v>568</v>
      </c>
      <c r="I205" s="13" t="n">
        <f aca="false">IF($G205="",0,SUMIFS('MA Engine'!$W$6:$W$1110,'MA Engine'!$J$6:$J$1110,$G205,'MA Engine'!$I$6:$I$1110,"DO",'MA Engine'!$C$6:$C$1110,"Trading"))</f>
        <v>0</v>
      </c>
      <c r="K205" s="7" t="n">
        <f aca="false">IF($G205="",0,SUMIFS('MA Engine'!$X$6:$X$1110,'MA Engine'!$J$6:$J$1110,$G205,'MA Engine'!$I$6:$I$1110,"DO",'MA Engine'!$C$6:$C$1110,"RPA"))</f>
        <v>4824431.86882403</v>
      </c>
      <c r="L205" s="7" t="n">
        <f aca="false">IF($G205="",0,SUMIFS('MA Engine'!$X$6:$X$1110,'MA Engine'!$J$6:$J$1110,$G205,'MA Engine'!$I$6:$I$1110,"DO",'MA Engine'!$C$6:$C$1110,"Trading"))</f>
        <v>0</v>
      </c>
      <c r="M205" s="12" t="s">
        <v>2370</v>
      </c>
    </row>
    <row r="206" customFormat="false" ht="15" hidden="false" customHeight="false" outlineLevel="0" collapsed="false">
      <c r="A206" s="91" t="n">
        <v>8</v>
      </c>
      <c r="B206" s="74" t="s">
        <v>2571</v>
      </c>
      <c r="C206" s="76" t="n">
        <v>46263</v>
      </c>
      <c r="D206" s="74" t="s">
        <v>287</v>
      </c>
      <c r="E206" s="8" t="n">
        <v>2262850</v>
      </c>
      <c r="F206" s="8" t="n">
        <v>0</v>
      </c>
      <c r="G206" s="74" t="s">
        <v>2103</v>
      </c>
      <c r="H206" s="13" t="n">
        <f aca="false">IF($G206="",0,SUMIFS('MA Engine'!$W$6:$W$1110,'MA Engine'!$J$6:$J$1110,$G206,'MA Engine'!$I$6:$I$1110,"DO",'MA Engine'!$C$6:$C$1110,"RPA"))</f>
        <v>682.3</v>
      </c>
      <c r="I206" s="13" t="n">
        <f aca="false">IF($G206="",0,SUMIFS('MA Engine'!$W$6:$W$1110,'MA Engine'!$J$6:$J$1110,$G206,'MA Engine'!$I$6:$I$1110,"DO",'MA Engine'!$C$6:$C$1110,"Trading"))</f>
        <v>0</v>
      </c>
      <c r="K206" s="7" t="n">
        <f aca="false">IF($G206="",0,SUMIFS('MA Engine'!$X$6:$X$1110,'MA Engine'!$J$6:$J$1110,$G206,'MA Engine'!$I$6:$I$1110,"DO",'MA Engine'!$C$6:$C$1110,"RPA"))</f>
        <v>5651620.6598707</v>
      </c>
      <c r="L206" s="7" t="n">
        <f aca="false">IF($G206="",0,SUMIFS('MA Engine'!$X$6:$X$1110,'MA Engine'!$J$6:$J$1110,$G206,'MA Engine'!$I$6:$I$1110,"DO",'MA Engine'!$C$6:$C$1110,"Trading"))</f>
        <v>0</v>
      </c>
      <c r="M206" s="12" t="s">
        <v>2370</v>
      </c>
    </row>
    <row r="207" customFormat="false" ht="15" hidden="false" customHeight="false" outlineLevel="0" collapsed="false">
      <c r="A207" s="91" t="n">
        <v>8</v>
      </c>
      <c r="B207" s="74" t="s">
        <v>2572</v>
      </c>
      <c r="C207" s="76" t="n">
        <v>46263</v>
      </c>
      <c r="D207" s="74" t="s">
        <v>287</v>
      </c>
      <c r="E207" s="8" t="n">
        <v>1984300</v>
      </c>
      <c r="F207" s="8" t="n">
        <v>0</v>
      </c>
      <c r="G207" s="74" t="s">
        <v>2104</v>
      </c>
      <c r="H207" s="13" t="n">
        <f aca="false">IF($G207="",0,SUMIFS('MA Engine'!$W$6:$W$1110,'MA Engine'!$J$6:$J$1110,$G207,'MA Engine'!$I$6:$I$1110,"DO",'MA Engine'!$C$6:$C$1110,"RPA"))</f>
        <v>582.3</v>
      </c>
      <c r="I207" s="13" t="n">
        <f aca="false">IF($G207="",0,SUMIFS('MA Engine'!$W$6:$W$1110,'MA Engine'!$J$6:$J$1110,$G207,'MA Engine'!$I$6:$I$1110,"DO",'MA Engine'!$C$6:$C$1110,"Trading"))</f>
        <v>0</v>
      </c>
      <c r="K207" s="7" t="n">
        <f aca="false">IF($G207="",0,SUMIFS('MA Engine'!$X$6:$X$1110,'MA Engine'!$J$6:$J$1110,$G207,'MA Engine'!$I$6:$I$1110,"DO",'MA Engine'!$C$6:$C$1110,"RPA"))</f>
        <v>5036545.87202589</v>
      </c>
      <c r="L207" s="7" t="n">
        <f aca="false">IF($G207="",0,SUMIFS('MA Engine'!$X$6:$X$1110,'MA Engine'!$J$6:$J$1110,$G207,'MA Engine'!$I$6:$I$1110,"DO",'MA Engine'!$C$6:$C$1110,"Trading"))</f>
        <v>0</v>
      </c>
      <c r="M207" s="12" t="s">
        <v>2370</v>
      </c>
    </row>
    <row r="208" customFormat="false" ht="15" hidden="false" customHeight="false" outlineLevel="0" collapsed="false">
      <c r="A208" s="91" t="n">
        <v>8</v>
      </c>
      <c r="B208" s="74" t="s">
        <v>2573</v>
      </c>
      <c r="C208" s="76" t="n">
        <v>46263</v>
      </c>
      <c r="D208" s="74" t="s">
        <v>287</v>
      </c>
      <c r="E208" s="8" t="n">
        <v>2099300</v>
      </c>
      <c r="F208" s="8" t="n">
        <v>0</v>
      </c>
      <c r="G208" s="74" t="s">
        <v>2105</v>
      </c>
      <c r="H208" s="13" t="n">
        <f aca="false">IF($G208="",0,SUMIFS('MA Engine'!$W$6:$W$1110,'MA Engine'!$J$6:$J$1110,$G208,'MA Engine'!$I$6:$I$1110,"DO",'MA Engine'!$C$6:$C$1110,"RPA"))</f>
        <v>622.3</v>
      </c>
      <c r="I208" s="13" t="n">
        <f aca="false">IF($G208="",0,SUMIFS('MA Engine'!$W$6:$W$1110,'MA Engine'!$J$6:$J$1110,$G208,'MA Engine'!$I$6:$I$1110,"DO",'MA Engine'!$C$6:$C$1110,"Trading"))</f>
        <v>0</v>
      </c>
      <c r="K208" s="7" t="n">
        <f aca="false">IF($G208="",0,SUMIFS('MA Engine'!$X$6:$X$1110,'MA Engine'!$J$6:$J$1110,$G208,'MA Engine'!$I$6:$I$1110,"DO",'MA Engine'!$C$6:$C$1110,"RPA"))</f>
        <v>5292095.82562003</v>
      </c>
      <c r="L208" s="7" t="n">
        <f aca="false">IF($G208="",0,SUMIFS('MA Engine'!$X$6:$X$1110,'MA Engine'!$J$6:$J$1110,$G208,'MA Engine'!$I$6:$I$1110,"DO",'MA Engine'!$C$6:$C$1110,"Trading"))</f>
        <v>0</v>
      </c>
      <c r="M208" s="12" t="s">
        <v>2370</v>
      </c>
    </row>
    <row r="209" customFormat="false" ht="15" hidden="false" customHeight="false" outlineLevel="0" collapsed="false">
      <c r="A209" s="91" t="n">
        <v>8</v>
      </c>
      <c r="B209" s="74" t="s">
        <v>2574</v>
      </c>
      <c r="C209" s="76" t="n">
        <v>46263</v>
      </c>
      <c r="D209" s="74" t="s">
        <v>287</v>
      </c>
      <c r="E209" s="8" t="n">
        <v>2169600</v>
      </c>
      <c r="F209" s="8" t="n">
        <v>0</v>
      </c>
      <c r="G209" s="74" t="s">
        <v>2106</v>
      </c>
      <c r="H209" s="13" t="n">
        <f aca="false">IF($G209="",0,SUMIFS('MA Engine'!$W$6:$W$1110,'MA Engine'!$J$6:$J$1110,$G209,'MA Engine'!$I$6:$I$1110,"DO",'MA Engine'!$C$6:$C$1110,"RPA"))</f>
        <v>649.7</v>
      </c>
      <c r="I209" s="13" t="n">
        <f aca="false">IF($G209="",0,SUMIFS('MA Engine'!$W$6:$W$1110,'MA Engine'!$J$6:$J$1110,$G209,'MA Engine'!$I$6:$I$1110,"DO",'MA Engine'!$C$6:$C$1110,"Trading"))</f>
        <v>0</v>
      </c>
      <c r="K209" s="7" t="n">
        <f aca="false">IF($G209="",0,SUMIFS('MA Engine'!$X$6:$X$1110,'MA Engine'!$J$6:$J$1110,$G209,'MA Engine'!$I$6:$I$1110,"DO",'MA Engine'!$C$6:$C$1110,"RPA"))</f>
        <v>5201484.8367115</v>
      </c>
      <c r="L209" s="7" t="n">
        <f aca="false">IF($G209="",0,SUMIFS('MA Engine'!$X$6:$X$1110,'MA Engine'!$J$6:$J$1110,$G209,'MA Engine'!$I$6:$I$1110,"DO",'MA Engine'!$C$6:$C$1110,"Trading"))</f>
        <v>0</v>
      </c>
      <c r="M209" s="12" t="s">
        <v>2370</v>
      </c>
    </row>
    <row r="210" customFormat="false" ht="15" hidden="false" customHeight="false" outlineLevel="0" collapsed="false">
      <c r="A210" s="91" t="n">
        <v>8</v>
      </c>
      <c r="B210" s="74" t="s">
        <v>2575</v>
      </c>
      <c r="C210" s="76" t="n">
        <v>46263</v>
      </c>
      <c r="D210" s="74" t="s">
        <v>287</v>
      </c>
      <c r="E210" s="8" t="n">
        <v>1083600</v>
      </c>
      <c r="F210" s="8" t="n">
        <v>0</v>
      </c>
      <c r="G210" s="74" t="s">
        <v>2129</v>
      </c>
      <c r="H210" s="13" t="n">
        <f aca="false">IF($G210="",0,SUMIFS('MA Engine'!$W$6:$W$1110,'MA Engine'!$J$6:$J$1110,$G210,'MA Engine'!$I$6:$I$1110,"DO",'MA Engine'!$C$6:$C$1110,"RPA"))</f>
        <v>30.1</v>
      </c>
      <c r="I210" s="13" t="n">
        <f aca="false">IF($G210="",0,SUMIFS('MA Engine'!$W$6:$W$1110,'MA Engine'!$J$6:$J$1110,$G210,'MA Engine'!$I$6:$I$1110,"DO",'MA Engine'!$C$6:$C$1110,"Trading"))</f>
        <v>0</v>
      </c>
      <c r="K210" s="7" t="n">
        <f aca="false">IF($G210="",0,SUMIFS('MA Engine'!$X$6:$X$1110,'MA Engine'!$J$6:$J$1110,$G210,'MA Engine'!$I$6:$I$1110,"DO",'MA Engine'!$C$6:$C$1110,"RPA"))</f>
        <v>917511.830900794</v>
      </c>
      <c r="L210" s="7" t="n">
        <f aca="false">IF($G210="",0,SUMIFS('MA Engine'!$X$6:$X$1110,'MA Engine'!$J$6:$J$1110,$G210,'MA Engine'!$I$6:$I$1110,"DO",'MA Engine'!$C$6:$C$1110,"Trading"))</f>
        <v>0</v>
      </c>
      <c r="M210" s="12" t="s">
        <v>2370</v>
      </c>
    </row>
    <row r="211" customFormat="false" ht="15" hidden="false" customHeight="false" outlineLevel="0" collapsed="false">
      <c r="A211" s="91" t="n">
        <v>8</v>
      </c>
      <c r="B211" s="74" t="s">
        <v>2576</v>
      </c>
      <c r="C211" s="76" t="n">
        <v>46246</v>
      </c>
      <c r="D211" s="74" t="s">
        <v>282</v>
      </c>
      <c r="E211" s="8" t="n">
        <v>30987775</v>
      </c>
      <c r="F211" s="8" t="n">
        <v>0</v>
      </c>
      <c r="G211" s="74" t="s">
        <v>2149</v>
      </c>
      <c r="H211" s="13" t="n">
        <f aca="false">IF($G211="",0,SUMIFS('MA Engine'!$W$6:$W$1110,'MA Engine'!$J$6:$J$1110,$G211,'MA Engine'!$I$6:$I$1110,"DO",'MA Engine'!$C$6:$C$1110,"RPA"))</f>
        <v>953.47</v>
      </c>
      <c r="I211" s="13" t="n">
        <f aca="false">IF($G211="",0,SUMIFS('MA Engine'!$W$6:$W$1110,'MA Engine'!$J$6:$J$1110,$G211,'MA Engine'!$I$6:$I$1110,"DO",'MA Engine'!$C$6:$C$1110,"Trading"))</f>
        <v>0</v>
      </c>
      <c r="K211" s="7" t="n">
        <f aca="false">IF($G211="",0,SUMIFS('MA Engine'!$X$6:$X$1110,'MA Engine'!$J$6:$J$1110,$G211,'MA Engine'!$I$6:$I$1110,"DO",'MA Engine'!$C$6:$C$1110,"RPA"))</f>
        <v>34697669.5698712</v>
      </c>
      <c r="L211" s="7" t="n">
        <f aca="false">IF($G211="",0,SUMIFS('MA Engine'!$X$6:$X$1110,'MA Engine'!$J$6:$J$1110,$G211,'MA Engine'!$I$6:$I$1110,"DO",'MA Engine'!$C$6:$C$1110,"Trading"))</f>
        <v>0</v>
      </c>
      <c r="M211" s="12" t="s">
        <v>2370</v>
      </c>
    </row>
    <row r="212" customFormat="false" ht="15" hidden="false" customHeight="false" outlineLevel="0" collapsed="false">
      <c r="A212" s="91" t="n">
        <v>8</v>
      </c>
      <c r="B212" s="74" t="s">
        <v>2577</v>
      </c>
      <c r="C212" s="76" t="n">
        <v>46263</v>
      </c>
      <c r="D212" s="74" t="s">
        <v>287</v>
      </c>
      <c r="E212" s="8" t="n">
        <v>11203600</v>
      </c>
      <c r="F212" s="8" t="n">
        <v>0</v>
      </c>
      <c r="G212" s="74" t="s">
        <v>2150</v>
      </c>
      <c r="H212" s="13" t="n">
        <f aca="false">IF($G212="",0,SUMIFS('MA Engine'!$W$6:$W$1110,'MA Engine'!$J$6:$J$1110,$G212,'MA Engine'!$I$6:$I$1110,"DO",'MA Engine'!$C$6:$C$1110,"RPA"))</f>
        <v>302.8</v>
      </c>
      <c r="I212" s="13" t="n">
        <f aca="false">IF($G212="",0,SUMIFS('MA Engine'!$W$6:$W$1110,'MA Engine'!$J$6:$J$1110,$G212,'MA Engine'!$I$6:$I$1110,"DO",'MA Engine'!$C$6:$C$1110,"Trading"))</f>
        <v>0</v>
      </c>
      <c r="K212" s="7" t="n">
        <f aca="false">IF($G212="",0,SUMIFS('MA Engine'!$X$6:$X$1110,'MA Engine'!$J$6:$J$1110,$G212,'MA Engine'!$I$6:$I$1110,"DO",'MA Engine'!$C$6:$C$1110,"RPA"))</f>
        <v>11410460.7895494</v>
      </c>
      <c r="L212" s="7" t="n">
        <f aca="false">IF($G212="",0,SUMIFS('MA Engine'!$X$6:$X$1110,'MA Engine'!$J$6:$J$1110,$G212,'MA Engine'!$I$6:$I$1110,"DO",'MA Engine'!$C$6:$C$1110,"Trading"))</f>
        <v>0</v>
      </c>
      <c r="M212" s="12" t="s">
        <v>2370</v>
      </c>
    </row>
    <row r="213" customFormat="false" ht="15" hidden="false" customHeight="false" outlineLevel="0" collapsed="false">
      <c r="A213" s="91" t="n">
        <v>8</v>
      </c>
      <c r="B213" s="74" t="s">
        <v>2578</v>
      </c>
      <c r="C213" s="76" t="n">
        <v>46265</v>
      </c>
      <c r="D213" s="74" t="s">
        <v>279</v>
      </c>
      <c r="E213" s="8" t="n">
        <v>0</v>
      </c>
      <c r="F213" s="8" t="n">
        <v>292966300</v>
      </c>
      <c r="G213" s="74" t="s">
        <v>2277</v>
      </c>
      <c r="H213" s="13" t="n">
        <f aca="false">IF($G213="",0,SUMIFS('MA Engine'!$W$6:$W$1110,'MA Engine'!$J$6:$J$1110,$G213,'MA Engine'!$I$6:$I$1110,"DO",'MA Engine'!$C$6:$C$1110,"RPA"))</f>
        <v>0</v>
      </c>
      <c r="I213" s="13" t="n">
        <f aca="false">IF($G213="",0,SUMIFS('MA Engine'!$W$6:$W$1110,'MA Engine'!$J$6:$J$1110,$G213,'MA Engine'!$I$6:$I$1110,"DO",'MA Engine'!$C$6:$C$1110,"Trading"))</f>
        <v>5938.5</v>
      </c>
      <c r="K213" s="7" t="n">
        <f aca="false">IF($G213="",0,SUMIFS('MA Engine'!$X$6:$X$1110,'MA Engine'!$J$6:$J$1110,$G213,'MA Engine'!$I$6:$I$1110,"DO",'MA Engine'!$C$6:$C$1110,"RPA"))</f>
        <v>0</v>
      </c>
      <c r="L213" s="7" t="n">
        <f aca="false">IF($G213="",0,SUMIFS('MA Engine'!$X$6:$X$1110,'MA Engine'!$J$6:$J$1110,$G213,'MA Engine'!$I$6:$I$1110,"DO",'MA Engine'!$C$6:$C$1110,"Trading"))</f>
        <v>264249378.294435</v>
      </c>
      <c r="M213" s="12" t="s">
        <v>2370</v>
      </c>
    </row>
    <row r="214" customFormat="false" ht="15" hidden="false" customHeight="false" outlineLevel="0" collapsed="false">
      <c r="A214" s="91" t="n">
        <v>8</v>
      </c>
      <c r="B214" s="74" t="s">
        <v>2579</v>
      </c>
      <c r="C214" s="76" t="n">
        <v>46265</v>
      </c>
      <c r="D214" s="74" t="s">
        <v>272</v>
      </c>
      <c r="E214" s="8" t="n">
        <v>2196000</v>
      </c>
      <c r="F214" s="8" t="n">
        <v>49419000</v>
      </c>
      <c r="G214" s="74" t="s">
        <v>2123</v>
      </c>
      <c r="H214" s="13" t="n">
        <f aca="false">IF($G214="",0,SUMIFS('MA Engine'!$W$6:$W$1110,'MA Engine'!$J$6:$J$1110,$G214,'MA Engine'!$I$6:$I$1110,"DO",'MA Engine'!$C$6:$C$1110,"RPA"))</f>
        <v>73.2</v>
      </c>
      <c r="I214" s="13" t="n">
        <f aca="false">IF($G214="",0,SUMIFS('MA Engine'!$W$6:$W$1110,'MA Engine'!$J$6:$J$1110,$G214,'MA Engine'!$I$6:$I$1110,"DO",'MA Engine'!$C$6:$C$1110,"Trading"))</f>
        <v>1647.3</v>
      </c>
      <c r="K214" s="7" t="n">
        <f aca="false">IF($G214="",0,SUMIFS('MA Engine'!$X$6:$X$1110,'MA Engine'!$J$6:$J$1110,$G214,'MA Engine'!$I$6:$I$1110,"DO",'MA Engine'!$C$6:$C$1110,"RPA"))</f>
        <v>2292324.73355484</v>
      </c>
      <c r="L214" s="7" t="n">
        <f aca="false">IF($G214="",0,SUMIFS('MA Engine'!$X$6:$X$1110,'MA Engine'!$J$6:$J$1110,$G214,'MA Engine'!$I$6:$I$1110,"DO",'MA Engine'!$C$6:$C$1110,"Trading"))</f>
        <v>49520641.1388998</v>
      </c>
      <c r="M214" s="12" t="s">
        <v>2370</v>
      </c>
    </row>
    <row r="215" customFormat="false" ht="15" hidden="false" customHeight="false" outlineLevel="0" collapsed="false">
      <c r="A215" s="91" t="n">
        <v>8</v>
      </c>
      <c r="B215" s="74" t="s">
        <v>2580</v>
      </c>
      <c r="C215" s="76" t="n">
        <v>46265</v>
      </c>
      <c r="D215" s="74" t="s">
        <v>287</v>
      </c>
      <c r="E215" s="8" t="n">
        <v>2120550</v>
      </c>
      <c r="F215" s="8" t="n">
        <v>0</v>
      </c>
      <c r="G215" s="74" t="s">
        <v>2110</v>
      </c>
      <c r="H215" s="13" t="n">
        <f aca="false">IF($G215="",0,SUMIFS('MA Engine'!$W$6:$W$1110,'MA Engine'!$J$6:$J$1110,$G215,'MA Engine'!$I$6:$I$1110,"DO",'MA Engine'!$C$6:$C$1110,"RPA"))</f>
        <v>627.7</v>
      </c>
      <c r="I215" s="13" t="n">
        <f aca="false">IF($G215="",0,SUMIFS('MA Engine'!$W$6:$W$1110,'MA Engine'!$J$6:$J$1110,$G215,'MA Engine'!$I$6:$I$1110,"DO",'MA Engine'!$C$6:$C$1110,"Trading"))</f>
        <v>0</v>
      </c>
      <c r="K215" s="7" t="n">
        <f aca="false">IF($G215="",0,SUMIFS('MA Engine'!$X$6:$X$1110,'MA Engine'!$J$6:$J$1110,$G215,'MA Engine'!$I$6:$I$1110,"DO",'MA Engine'!$C$6:$C$1110,"RPA"))</f>
        <v>5316082.6931078</v>
      </c>
      <c r="L215" s="7" t="n">
        <f aca="false">IF($G215="",0,SUMIFS('MA Engine'!$X$6:$X$1110,'MA Engine'!$J$6:$J$1110,$G215,'MA Engine'!$I$6:$I$1110,"DO",'MA Engine'!$C$6:$C$1110,"Trading"))</f>
        <v>0</v>
      </c>
      <c r="M215" s="12" t="s">
        <v>2370</v>
      </c>
    </row>
    <row r="216" customFormat="false" ht="15" hidden="false" customHeight="false" outlineLevel="0" collapsed="false">
      <c r="A216" s="91" t="n">
        <v>8</v>
      </c>
      <c r="B216" s="74" t="s">
        <v>2581</v>
      </c>
      <c r="C216" s="76" t="n">
        <v>46265</v>
      </c>
      <c r="D216" s="74" t="s">
        <v>287</v>
      </c>
      <c r="E216" s="8" t="n">
        <v>2218000</v>
      </c>
      <c r="F216" s="8" t="n">
        <v>0</v>
      </c>
      <c r="G216" s="74" t="s">
        <v>2107</v>
      </c>
      <c r="H216" s="13" t="n">
        <f aca="false">IF($G216="",0,SUMIFS('MA Engine'!$W$6:$W$1110,'MA Engine'!$J$6:$J$1110,$G216,'MA Engine'!$I$6:$I$1110,"DO",'MA Engine'!$C$6:$C$1110,"RPA"))</f>
        <v>668.8</v>
      </c>
      <c r="I216" s="13" t="n">
        <f aca="false">IF($G216="",0,SUMIFS('MA Engine'!$W$6:$W$1110,'MA Engine'!$J$6:$J$1110,$G216,'MA Engine'!$I$6:$I$1110,"DO",'MA Engine'!$C$6:$C$1110,"Trading"))</f>
        <v>0</v>
      </c>
      <c r="K216" s="7" t="n">
        <f aca="false">IF($G216="",0,SUMIFS('MA Engine'!$X$6:$X$1110,'MA Engine'!$J$6:$J$1110,$G216,'MA Engine'!$I$6:$I$1110,"DO",'MA Engine'!$C$6:$C$1110,"RPA"))</f>
        <v>5728197.86426813</v>
      </c>
      <c r="L216" s="7" t="n">
        <f aca="false">IF($G216="",0,SUMIFS('MA Engine'!$X$6:$X$1110,'MA Engine'!$J$6:$J$1110,$G216,'MA Engine'!$I$6:$I$1110,"DO",'MA Engine'!$C$6:$C$1110,"Trading"))</f>
        <v>0</v>
      </c>
      <c r="M216" s="12" t="s">
        <v>2370</v>
      </c>
    </row>
    <row r="217" customFormat="false" ht="15" hidden="false" customHeight="false" outlineLevel="0" collapsed="false">
      <c r="A217" s="91" t="n">
        <v>8</v>
      </c>
      <c r="B217" s="74" t="s">
        <v>2582</v>
      </c>
      <c r="C217" s="76" t="n">
        <v>46265</v>
      </c>
      <c r="D217" s="74" t="s">
        <v>287</v>
      </c>
      <c r="E217" s="8" t="n">
        <v>2100450</v>
      </c>
      <c r="F217" s="8" t="n">
        <v>0</v>
      </c>
      <c r="G217" s="74" t="s">
        <v>2108</v>
      </c>
      <c r="H217" s="13" t="n">
        <f aca="false">IF($G217="",0,SUMIFS('MA Engine'!$W$6:$W$1110,'MA Engine'!$J$6:$J$1110,$G217,'MA Engine'!$I$6:$I$1110,"DO",'MA Engine'!$C$6:$C$1110,"RPA"))</f>
        <v>638.3</v>
      </c>
      <c r="I217" s="13" t="n">
        <f aca="false">IF($G217="",0,SUMIFS('MA Engine'!$W$6:$W$1110,'MA Engine'!$J$6:$J$1110,$G217,'MA Engine'!$I$6:$I$1110,"DO",'MA Engine'!$C$6:$C$1110,"Trading"))</f>
        <v>0</v>
      </c>
      <c r="K217" s="7" t="n">
        <f aca="false">IF($G217="",0,SUMIFS('MA Engine'!$X$6:$X$1110,'MA Engine'!$J$6:$J$1110,$G217,'MA Engine'!$I$6:$I$1110,"DO",'MA Engine'!$C$6:$C$1110,"RPA"))</f>
        <v>5399452.23202509</v>
      </c>
      <c r="L217" s="7" t="n">
        <f aca="false">IF($G217="",0,SUMIFS('MA Engine'!$X$6:$X$1110,'MA Engine'!$J$6:$J$1110,$G217,'MA Engine'!$I$6:$I$1110,"DO",'MA Engine'!$C$6:$C$1110,"Trading"))</f>
        <v>0</v>
      </c>
      <c r="M217" s="12" t="s">
        <v>2370</v>
      </c>
    </row>
    <row r="218" customFormat="false" ht="15" hidden="false" customHeight="false" outlineLevel="0" collapsed="false">
      <c r="A218" s="91" t="n">
        <v>8</v>
      </c>
      <c r="B218" s="74" t="s">
        <v>2583</v>
      </c>
      <c r="C218" s="76" t="n">
        <v>46265</v>
      </c>
      <c r="D218" s="74" t="s">
        <v>287</v>
      </c>
      <c r="E218" s="8" t="n">
        <v>2081400</v>
      </c>
      <c r="F218" s="8" t="n">
        <v>0</v>
      </c>
      <c r="G218" s="74" t="s">
        <v>2109</v>
      </c>
      <c r="H218" s="13" t="n">
        <f aca="false">IF($G218="",0,SUMIFS('MA Engine'!$W$6:$W$1110,'MA Engine'!$J$6:$J$1110,$G218,'MA Engine'!$I$6:$I$1110,"DO",'MA Engine'!$C$6:$C$1110,"RPA"))</f>
        <v>631.6</v>
      </c>
      <c r="I218" s="13" t="n">
        <f aca="false">IF($G218="",0,SUMIFS('MA Engine'!$W$6:$W$1110,'MA Engine'!$J$6:$J$1110,$G218,'MA Engine'!$I$6:$I$1110,"DO",'MA Engine'!$C$6:$C$1110,"Trading"))</f>
        <v>0</v>
      </c>
      <c r="K218" s="7" t="n">
        <f aca="false">IF($G218="",0,SUMIFS('MA Engine'!$X$6:$X$1110,'MA Engine'!$J$6:$J$1110,$G218,'MA Engine'!$I$6:$I$1110,"DO",'MA Engine'!$C$6:$C$1110,"RPA"))</f>
        <v>5382927.11687972</v>
      </c>
      <c r="L218" s="7" t="n">
        <f aca="false">IF($G218="",0,SUMIFS('MA Engine'!$X$6:$X$1110,'MA Engine'!$J$6:$J$1110,$G218,'MA Engine'!$I$6:$I$1110,"DO",'MA Engine'!$C$6:$C$1110,"Trading"))</f>
        <v>0</v>
      </c>
      <c r="M218" s="12" t="s">
        <v>2370</v>
      </c>
    </row>
    <row r="219" customFormat="false" ht="15" hidden="false" customHeight="false" outlineLevel="0" collapsed="false">
      <c r="A219" s="91" t="n">
        <v>8</v>
      </c>
      <c r="B219" s="74" t="s">
        <v>2584</v>
      </c>
      <c r="C219" s="52" t="n">
        <f aca="false">Unbilled!D7</f>
        <v>46248</v>
      </c>
      <c r="D219" s="78" t="s">
        <v>272</v>
      </c>
      <c r="E219" s="7" t="n">
        <f aca="false">SUMIFS(Unbilled!$U$22:$U$38,Unbilled!$C$22:$C$38,263,Unbilled!$G$22:$G$38,"RPA")</f>
        <v>0</v>
      </c>
      <c r="F219" s="7" t="n">
        <f aca="false">SUMIFS(Unbilled!$U$22:$U$38,Unbilled!$C$22:$C$38,263,Unbilled!$G$22:$G$38,"Trading")</f>
        <v>25219200</v>
      </c>
      <c r="G219" s="6"/>
      <c r="H219" s="13" t="n">
        <f aca="false">SUMIFS(Unbilled!$K$22:$K$38,Unbilled!$C$22:$C$38,263,Unbilled!$G$22:$G$38,"RPA")</f>
        <v>0</v>
      </c>
      <c r="I219" s="13" t="n">
        <f aca="false">SUMIFS(Unbilled!$K$22:$K$38,Unbilled!$C$22:$C$38,263,Unbilled!$G$22:$G$38,"Trading")</f>
        <v>788.1</v>
      </c>
      <c r="K219" s="7" t="n">
        <f aca="false">SUMIFS(Unbilled!$O$22:$O$38,Unbilled!$C$22:$C$38,263,Unbilled!$G$22:$G$38,"RPA")</f>
        <v>0</v>
      </c>
      <c r="L219" s="7" t="n">
        <f aca="false">SUMIFS(Unbilled!$O$22:$O$38,Unbilled!$C$22:$C$38,263,Unbilled!$G$22:$G$38,"Trading")</f>
        <v>25358039.5698076</v>
      </c>
      <c r="M219" s="12" t="s">
        <v>2585</v>
      </c>
      <c r="N219" s="12" t="s">
        <v>2586</v>
      </c>
    </row>
    <row r="220" customFormat="false" ht="15" hidden="false" customHeight="false" outlineLevel="0" collapsed="false">
      <c r="A220" s="91" t="n">
        <v>8</v>
      </c>
      <c r="B220" s="74" t="s">
        <v>2587</v>
      </c>
      <c r="C220" s="52" t="n">
        <f aca="false">Unbilled!D8</f>
        <v>46249</v>
      </c>
      <c r="D220" s="78" t="s">
        <v>281</v>
      </c>
      <c r="E220" s="7" t="n">
        <f aca="false">SUMIFS(Unbilled!$U$22:$U$38,Unbilled!$C$22:$C$38,276,Unbilled!$G$22:$G$38,"RPA")</f>
        <v>252670475</v>
      </c>
      <c r="F220" s="7" t="n">
        <f aca="false">SUMIFS(Unbilled!$U$22:$U$38,Unbilled!$C$22:$C$38,276,Unbilled!$G$22:$G$38,"Trading")</f>
        <v>0</v>
      </c>
      <c r="G220" s="6"/>
      <c r="H220" s="13" t="n">
        <f aca="false">SUMIFS(Unbilled!$K$22:$K$38,Unbilled!$C$22:$C$38,276,Unbilled!$G$22:$G$38,"RPA")</f>
        <v>6783.1</v>
      </c>
      <c r="I220" s="13" t="n">
        <f aca="false">SUMIFS(Unbilled!$K$22:$K$38,Unbilled!$C$22:$C$38,276,Unbilled!$G$22:$G$38,"Trading")</f>
        <v>0</v>
      </c>
      <c r="K220" s="7" t="n">
        <f aca="false">SUMIFS(Unbilled!$O$22:$O$38,Unbilled!$C$22:$C$38,276,Unbilled!$G$22:$G$38,"RPA")</f>
        <v>257058246.191192</v>
      </c>
      <c r="L220" s="7" t="n">
        <f aca="false">SUMIFS(Unbilled!$O$22:$O$38,Unbilled!$C$22:$C$38,276,Unbilled!$G$22:$G$38,"Trading")</f>
        <v>0</v>
      </c>
      <c r="M220" s="12" t="s">
        <v>2585</v>
      </c>
      <c r="N220" s="12" t="s">
        <v>2588</v>
      </c>
    </row>
    <row r="221" customFormat="false" ht="15" hidden="false" customHeight="false" outlineLevel="0" collapsed="false">
      <c r="A221" s="91" t="n">
        <v>8</v>
      </c>
      <c r="B221" s="74" t="s">
        <v>2589</v>
      </c>
      <c r="C221" s="52" t="n">
        <f aca="false">Unbilled!D9</f>
        <v>46258</v>
      </c>
      <c r="D221" s="78" t="s">
        <v>275</v>
      </c>
      <c r="E221" s="7" t="n">
        <f aca="false">SUMIFS(Unbilled!$U$22:$U$38,Unbilled!$C$22:$C$38,316,Unbilled!$G$22:$G$38,"RPA")</f>
        <v>0</v>
      </c>
      <c r="F221" s="7" t="n">
        <f aca="false">SUMIFS(Unbilled!$U$22:$U$38,Unbilled!$C$22:$C$38,316,Unbilled!$G$22:$G$38,"Trading")</f>
        <v>122383100</v>
      </c>
      <c r="G221" s="6"/>
      <c r="H221" s="13" t="n">
        <f aca="false">SUMIFS(Unbilled!$K$22:$K$38,Unbilled!$C$22:$C$38,316,Unbilled!$G$22:$G$38,"RPA")</f>
        <v>0</v>
      </c>
      <c r="I221" s="13" t="n">
        <f aca="false">SUMIFS(Unbilled!$K$22:$K$38,Unbilled!$C$22:$C$38,316,Unbilled!$G$22:$G$38,"Trading")</f>
        <v>3989.3</v>
      </c>
      <c r="K221" s="7" t="n">
        <f aca="false">SUMIFS(Unbilled!$O$22:$O$38,Unbilled!$C$22:$C$38,316,Unbilled!$G$22:$G$38,"RPA")</f>
        <v>0</v>
      </c>
      <c r="L221" s="7" t="n">
        <f aca="false">SUMIFS(Unbilled!$O$22:$O$38,Unbilled!$C$22:$C$38,316,Unbilled!$G$22:$G$38,"Trading")</f>
        <v>119096194.765834</v>
      </c>
      <c r="M221" s="12" t="s">
        <v>2585</v>
      </c>
      <c r="N221" s="12" t="s">
        <v>2590</v>
      </c>
    </row>
    <row r="222" customFormat="false" ht="15" hidden="false" customHeight="false" outlineLevel="0" collapsed="false">
      <c r="A222" s="91" t="n">
        <v>8</v>
      </c>
      <c r="B222" s="74" t="s">
        <v>2591</v>
      </c>
      <c r="C222" s="52" t="n">
        <f aca="false">Unbilled!D10</f>
        <v>46265</v>
      </c>
      <c r="D222" s="78" t="s">
        <v>285</v>
      </c>
      <c r="E222" s="7" t="n">
        <f aca="false">SUMIFS(Unbilled!$U$22:$U$38,Unbilled!$C$22:$C$38,338,Unbilled!$G$22:$G$38,"RPA")</f>
        <v>16860411.3134241</v>
      </c>
      <c r="F222" s="7" t="n">
        <f aca="false">SUMIFS(Unbilled!$U$22:$U$38,Unbilled!$C$22:$C$38,338,Unbilled!$G$22:$G$38,"Trading")</f>
        <v>114622318.686576</v>
      </c>
      <c r="G222" s="6"/>
      <c r="H222" s="13" t="n">
        <f aca="false">SUMIFS(Unbilled!$K$22:$K$38,Unbilled!$C$22:$C$38,338,Unbilled!$G$22:$G$38,"RPA")</f>
        <v>601.35</v>
      </c>
      <c r="I222" s="13" t="n">
        <f aca="false">SUMIFS(Unbilled!$K$22:$K$38,Unbilled!$C$22:$C$38,338,Unbilled!$G$22:$G$38,"Trading")</f>
        <v>3555.61</v>
      </c>
      <c r="K222" s="7" t="n">
        <f aca="false">SUMIFS(Unbilled!$O$22:$O$38,Unbilled!$C$22:$C$38,338,Unbilled!$G$22:$G$38,"RPA")</f>
        <v>16295419.2844133</v>
      </c>
      <c r="L222" s="7" t="n">
        <f aca="false">SUMIFS(Unbilled!$O$22:$O$38,Unbilled!$C$22:$C$38,338,Unbilled!$G$22:$G$38,"Trading")</f>
        <v>110781327.194685</v>
      </c>
      <c r="M222" s="12" t="s">
        <v>2585</v>
      </c>
      <c r="N222" s="12" t="s">
        <v>2592</v>
      </c>
    </row>
    <row r="223" customFormat="false" ht="15" hidden="false" customHeight="false" outlineLevel="0" collapsed="false">
      <c r="A223" s="91" t="n">
        <v>8</v>
      </c>
      <c r="B223" s="74" t="s">
        <v>2593</v>
      </c>
      <c r="C223" s="52" t="n">
        <f aca="false">Unbilled!D11</f>
        <v>46235</v>
      </c>
      <c r="D223" s="78" t="s">
        <v>269</v>
      </c>
      <c r="E223" s="7" t="n">
        <f aca="false">IF(Unbilled!N11="RPA",Unbilled!H11,0)</f>
        <v>113325200</v>
      </c>
      <c r="F223" s="7" t="n">
        <f aca="false">IF(Unbilled!N11="Trading",Unbilled!H11,0)</f>
        <v>0</v>
      </c>
      <c r="G223" s="6"/>
      <c r="H223" s="13" t="n">
        <f aca="false">IF(Unbilled!N11="RPA",Unbilled!G11,0)</f>
        <v>2747.8</v>
      </c>
      <c r="I223" s="13" t="n">
        <f aca="false">IF(Unbilled!N11="Trading",Unbilled!G11,0)</f>
        <v>0</v>
      </c>
      <c r="K223" s="7" t="n">
        <f aca="false">IF(Unbilled!N11="RPA",Unbilled!P11,0)</f>
        <v>110718720.4</v>
      </c>
      <c r="L223" s="7" t="n">
        <f aca="false">IF(Unbilled!N11="Trading",Unbilled!P11,0)</f>
        <v>0</v>
      </c>
      <c r="M223" s="12" t="s">
        <v>2585</v>
      </c>
      <c r="N223" s="12" t="s">
        <v>2594</v>
      </c>
    </row>
    <row r="224" customFormat="false" ht="15" hidden="false" customHeight="false" outlineLevel="0" collapsed="false">
      <c r="A224" s="91" t="n">
        <v>8</v>
      </c>
      <c r="B224" s="74" t="s">
        <v>2595</v>
      </c>
      <c r="C224" s="52" t="n">
        <f aca="false">Unbilled!D12</f>
        <v>46242</v>
      </c>
      <c r="D224" s="78" t="s">
        <v>269</v>
      </c>
      <c r="E224" s="7" t="n">
        <f aca="false">IF(Unbilled!N12="RPA",Unbilled!H12,0)</f>
        <v>0</v>
      </c>
      <c r="F224" s="7" t="n">
        <f aca="false">IF(Unbilled!N12="Trading",Unbilled!H12,0)</f>
        <v>90526500</v>
      </c>
      <c r="G224" s="6"/>
      <c r="H224" s="13" t="n">
        <f aca="false">IF(Unbilled!N12="RPA",Unbilled!G12,0)</f>
        <v>0</v>
      </c>
      <c r="I224" s="13" t="n">
        <f aca="false">IF(Unbilled!N12="Trading",Unbilled!G12,0)</f>
        <v>3017.55</v>
      </c>
      <c r="K224" s="7" t="n">
        <f aca="false">IF(Unbilled!N12="RPA",Unbilled!P12,0)</f>
        <v>0</v>
      </c>
      <c r="L224" s="7" t="n">
        <f aca="false">IF(Unbilled!N12="Trading",Unbilled!P12,0)</f>
        <v>109171156.06</v>
      </c>
      <c r="M224" s="12" t="s">
        <v>2585</v>
      </c>
      <c r="N224" s="12" t="s">
        <v>2594</v>
      </c>
    </row>
    <row r="225" customFormat="false" ht="15" hidden="false" customHeight="false" outlineLevel="0" collapsed="false">
      <c r="A225" s="91" t="n">
        <v>8</v>
      </c>
      <c r="B225" s="74" t="s">
        <v>2596</v>
      </c>
      <c r="C225" s="52" t="n">
        <f aca="false">Unbilled!D13</f>
        <v>46244</v>
      </c>
      <c r="D225" s="78" t="s">
        <v>282</v>
      </c>
      <c r="E225" s="7" t="n">
        <f aca="false">IF(Unbilled!N13="RPA",Unbilled!H13,0)</f>
        <v>83984964</v>
      </c>
      <c r="F225" s="7" t="n">
        <f aca="false">IF(Unbilled!N13="Trading",Unbilled!H13,0)</f>
        <v>0</v>
      </c>
      <c r="G225" s="6"/>
      <c r="H225" s="13" t="n">
        <f aca="false">IF(Unbilled!N13="RPA",Unbilled!G13,0)</f>
        <v>2608.69</v>
      </c>
      <c r="I225" s="13" t="n">
        <f aca="false">IF(Unbilled!N13="Trading",Unbilled!G13,0)</f>
        <v>0</v>
      </c>
      <c r="K225" s="7" t="n">
        <f aca="false">IF(Unbilled!N13="RPA",Unbilled!P13,0)</f>
        <v>82155362</v>
      </c>
      <c r="L225" s="7" t="n">
        <f aca="false">IF(Unbilled!N13="Trading",Unbilled!P13,0)</f>
        <v>0</v>
      </c>
      <c r="M225" s="12" t="s">
        <v>2585</v>
      </c>
      <c r="N225" s="12" t="s">
        <v>2597</v>
      </c>
    </row>
    <row r="226" customFormat="false" ht="15" hidden="false" customHeight="false" outlineLevel="0" collapsed="false">
      <c r="A226" s="91" t="n">
        <v>8</v>
      </c>
      <c r="B226" s="74" t="s">
        <v>2598</v>
      </c>
      <c r="C226" s="52" t="n">
        <f aca="false">Unbilled!D14</f>
        <v>46245</v>
      </c>
      <c r="D226" s="78" t="s">
        <v>272</v>
      </c>
      <c r="E226" s="7" t="n">
        <f aca="false">IF(Unbilled!N14="RPA",Unbilled!H14,0)</f>
        <v>51567150</v>
      </c>
      <c r="F226" s="7" t="n">
        <f aca="false">IF(Unbilled!N14="Trading",Unbilled!H14,0)</f>
        <v>0</v>
      </c>
      <c r="G226" s="6"/>
      <c r="H226" s="13" t="n">
        <f aca="false">IF(Unbilled!N14="RPA",Unbilled!G14,0)</f>
        <v>1494.7</v>
      </c>
      <c r="I226" s="13" t="n">
        <f aca="false">IF(Unbilled!N14="Trading",Unbilled!G14,0)</f>
        <v>0</v>
      </c>
      <c r="K226" s="7" t="n">
        <f aca="false">IF(Unbilled!N14="RPA",Unbilled!P14,0)</f>
        <v>50400490</v>
      </c>
      <c r="L226" s="7" t="n">
        <f aca="false">IF(Unbilled!N14="Trading",Unbilled!P14,0)</f>
        <v>0</v>
      </c>
      <c r="M226" s="12" t="s">
        <v>2585</v>
      </c>
      <c r="N226" s="12" t="s">
        <v>2586</v>
      </c>
    </row>
    <row r="227" customFormat="false" ht="15" hidden="false" customHeight="false" outlineLevel="0" collapsed="false">
      <c r="A227" s="91" t="n">
        <v>8</v>
      </c>
      <c r="B227" s="74" t="s">
        <v>2599</v>
      </c>
      <c r="C227" s="52" t="n">
        <f aca="false">Unbilled!D15</f>
        <v>46246</v>
      </c>
      <c r="D227" s="78" t="s">
        <v>272</v>
      </c>
      <c r="E227" s="7" t="n">
        <f aca="false">IF(Unbilled!N15="RPA",Unbilled!H15,0)</f>
        <v>47626420</v>
      </c>
      <c r="F227" s="7" t="n">
        <f aca="false">IF(Unbilled!N15="Trading",Unbilled!H15,0)</f>
        <v>0</v>
      </c>
      <c r="G227" s="6"/>
      <c r="H227" s="13" t="n">
        <f aca="false">IF(Unbilled!N15="RPA",Unbilled!G15,0)</f>
        <v>1510.64</v>
      </c>
      <c r="I227" s="13" t="n">
        <f aca="false">IF(Unbilled!N15="Trading",Unbilled!G15,0)</f>
        <v>0</v>
      </c>
      <c r="K227" s="7" t="n">
        <f aca="false">IF(Unbilled!N15="RPA",Unbilled!P15,0)</f>
        <v>46367935</v>
      </c>
      <c r="L227" s="7" t="n">
        <f aca="false">IF(Unbilled!N15="Trading",Unbilled!P15,0)</f>
        <v>0</v>
      </c>
      <c r="M227" s="12" t="s">
        <v>2585</v>
      </c>
      <c r="N227" s="12" t="s">
        <v>2586</v>
      </c>
    </row>
    <row r="228" customFormat="false" ht="15" hidden="false" customHeight="false" outlineLevel="0" collapsed="false">
      <c r="A228" s="91" t="n">
        <v>8</v>
      </c>
      <c r="B228" s="74" t="s">
        <v>2600</v>
      </c>
      <c r="C228" s="52" t="n">
        <f aca="false">Unbilled!D16</f>
        <v>46255</v>
      </c>
      <c r="D228" s="78" t="s">
        <v>272</v>
      </c>
      <c r="E228" s="7" t="n">
        <f aca="false">IF(Unbilled!N16="RPA",Unbilled!H16,0)</f>
        <v>20989500</v>
      </c>
      <c r="F228" s="7" t="n">
        <f aca="false">IF(Unbilled!N16="Trading",Unbilled!H16,0)</f>
        <v>0</v>
      </c>
      <c r="G228" s="6"/>
      <c r="H228" s="13" t="n">
        <f aca="false">IF(Unbilled!N16="RPA",Unbilled!G16,0)</f>
        <v>699.65</v>
      </c>
      <c r="I228" s="13" t="n">
        <f aca="false">IF(Unbilled!N16="Trading",Unbilled!G16,0)</f>
        <v>0</v>
      </c>
      <c r="K228" s="7" t="n">
        <f aca="false">IF(Unbilled!N16="RPA",Unbilled!P16,0)</f>
        <v>23218753.06</v>
      </c>
      <c r="L228" s="7" t="n">
        <f aca="false">IF(Unbilled!N16="Trading",Unbilled!P16,0)</f>
        <v>0</v>
      </c>
      <c r="M228" s="12" t="s">
        <v>2585</v>
      </c>
      <c r="N228" s="12" t="s">
        <v>2586</v>
      </c>
    </row>
    <row r="229" customFormat="false" ht="15" hidden="false" customHeight="false" outlineLevel="0" collapsed="false">
      <c r="B229" s="25" t="s">
        <v>304</v>
      </c>
      <c r="E229" s="26" t="n">
        <f aca="false">SUM(E5:E228)</f>
        <v>2937589550.31342</v>
      </c>
      <c r="F229" s="26" t="n">
        <f aca="false">SUM(F5:F228)</f>
        <v>8546499700.88658</v>
      </c>
      <c r="H229" s="26" t="n">
        <f aca="false">SUM(H5:H228)</f>
        <v>108121.73</v>
      </c>
      <c r="I229" s="26" t="n">
        <f aca="false">SUM(I5:I228)</f>
        <v>255871.68</v>
      </c>
      <c r="K229" s="26" t="n">
        <f aca="false">SUM(K5:K228)</f>
        <v>2996279387.69656</v>
      </c>
      <c r="L229" s="26" t="n">
        <f aca="false">SUM(L5:L228)</f>
        <v>7583162979.73465</v>
      </c>
    </row>
  </sheetData>
  <autoFilter ref="A4:N228"/>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0"/>
    <col collapsed="false" customWidth="true" hidden="false" outlineLevel="0" max="4" min="4" style="0" width="12"/>
    <col collapsed="false" customWidth="true" hidden="false" outlineLevel="0" max="5" min="5" style="0" width="24"/>
    <col collapsed="false" customWidth="true" hidden="false" outlineLevel="0" max="7" min="6" style="0" width="14"/>
    <col collapsed="false" customWidth="true" hidden="false" outlineLevel="0" max="8" min="8" style="0" width="15"/>
    <col collapsed="false" customWidth="true" hidden="false" outlineLevel="0" max="10" min="9" style="0" width="14"/>
    <col collapsed="false" customWidth="true" hidden="false" outlineLevel="0" max="11" min="11" style="0" width="15"/>
    <col collapsed="false" customWidth="true" hidden="false" outlineLevel="0" max="12" min="12" style="0" width="12"/>
    <col collapsed="false" customWidth="true" hidden="false" outlineLevel="0" max="13" min="13" style="0" width="10"/>
    <col collapsed="false" customWidth="true" hidden="false" outlineLevel="0" max="14" min="14" style="0" width="16"/>
    <col collapsed="false" customWidth="true" hidden="false" outlineLevel="0" max="15" min="15" style="0" width="15"/>
    <col collapsed="false" customWidth="true" hidden="false" outlineLevel="0" max="16" min="16" style="0" width="14"/>
  </cols>
  <sheetData>
    <row r="1" customFormat="false" ht="15" hidden="false" customHeight="false" outlineLevel="0" collapsed="false">
      <c r="A1" s="1" t="s">
        <v>2601</v>
      </c>
    </row>
    <row r="2" customFormat="false" ht="15" hidden="false" customHeight="false" outlineLevel="0" collapsed="false">
      <c r="A2" s="4" t="s">
        <v>2602</v>
      </c>
    </row>
    <row r="4" customFormat="false" ht="30" hidden="false" customHeight="true" outlineLevel="0" collapsed="false">
      <c r="A4" s="5" t="s">
        <v>2603</v>
      </c>
      <c r="B4" s="5" t="s">
        <v>552</v>
      </c>
      <c r="C4" s="5" t="s">
        <v>1240</v>
      </c>
      <c r="D4" s="5" t="s">
        <v>2604</v>
      </c>
      <c r="E4" s="5" t="s">
        <v>553</v>
      </c>
      <c r="F4" s="5" t="s">
        <v>2605</v>
      </c>
      <c r="G4" s="5" t="s">
        <v>2606</v>
      </c>
      <c r="H4" s="5" t="s">
        <v>2607</v>
      </c>
      <c r="I4" s="5" t="s">
        <v>2608</v>
      </c>
      <c r="J4" s="5" t="s">
        <v>2609</v>
      </c>
      <c r="K4" s="5" t="s">
        <v>2610</v>
      </c>
      <c r="L4" s="5" t="s">
        <v>2611</v>
      </c>
      <c r="M4" s="5" t="s">
        <v>2612</v>
      </c>
      <c r="N4" s="5" t="s">
        <v>2613</v>
      </c>
      <c r="O4" s="5" t="s">
        <v>2614</v>
      </c>
      <c r="P4" s="5" t="s">
        <v>2615</v>
      </c>
    </row>
    <row r="5" customFormat="false" ht="15" hidden="false" customHeight="false" outlineLevel="0" collapsed="false">
      <c r="A5" s="74" t="s">
        <v>2616</v>
      </c>
      <c r="B5" s="76" t="n">
        <v>46242</v>
      </c>
      <c r="C5" s="74" t="s">
        <v>1290</v>
      </c>
      <c r="D5" s="74" t="s">
        <v>1291</v>
      </c>
      <c r="E5" s="74" t="s">
        <v>2617</v>
      </c>
      <c r="F5" s="84" t="n">
        <v>7000</v>
      </c>
      <c r="G5" s="84" t="n">
        <v>7000</v>
      </c>
      <c r="H5" s="8" t="n">
        <v>168700000</v>
      </c>
      <c r="I5" s="8" t="n">
        <v>9000000</v>
      </c>
      <c r="J5" s="8" t="n">
        <v>10500800</v>
      </c>
      <c r="K5" s="8" t="n">
        <v>188200800</v>
      </c>
      <c r="L5" s="84" t="n">
        <v>6093.1</v>
      </c>
      <c r="M5" s="93" t="n">
        <v>0.870442857142857</v>
      </c>
      <c r="N5" s="8" t="n">
        <v>148122000</v>
      </c>
      <c r="O5" s="8" t="n">
        <v>-40078800</v>
      </c>
      <c r="P5" s="93" t="n">
        <v>-0.212957649489269</v>
      </c>
    </row>
    <row r="6" customFormat="false" ht="15" hidden="false" customHeight="false" outlineLevel="0" collapsed="false">
      <c r="A6" s="74" t="s">
        <v>2618</v>
      </c>
      <c r="B6" s="76" t="n">
        <v>46244</v>
      </c>
      <c r="C6" s="74" t="s">
        <v>1294</v>
      </c>
      <c r="D6" s="74" t="s">
        <v>1295</v>
      </c>
      <c r="E6" s="74" t="s">
        <v>2619</v>
      </c>
      <c r="F6" s="84" t="n">
        <v>11241.1</v>
      </c>
      <c r="G6" s="84" t="n">
        <v>11214.1</v>
      </c>
      <c r="H6" s="8" t="n">
        <v>243931870</v>
      </c>
      <c r="I6" s="8" t="n">
        <v>24000000</v>
      </c>
      <c r="J6" s="8" t="n">
        <v>16237920</v>
      </c>
      <c r="K6" s="8" t="n">
        <v>284169790</v>
      </c>
      <c r="L6" s="84" t="n">
        <v>9497.3</v>
      </c>
      <c r="M6" s="93" t="n">
        <v>0.844872832729893</v>
      </c>
      <c r="N6" s="8" t="n">
        <v>261373100</v>
      </c>
      <c r="O6" s="8" t="n">
        <v>-22796690</v>
      </c>
      <c r="P6" s="93" t="n">
        <v>-0.0802220742746792</v>
      </c>
    </row>
    <row r="7" customFormat="false" ht="15" hidden="false" customHeight="false" outlineLevel="0" collapsed="false">
      <c r="A7" s="74" t="s">
        <v>2620</v>
      </c>
      <c r="B7" s="76" t="n">
        <v>46245</v>
      </c>
      <c r="C7" s="74" t="s">
        <v>1298</v>
      </c>
      <c r="D7" s="74" t="s">
        <v>1299</v>
      </c>
      <c r="E7" s="74" t="s">
        <v>2621</v>
      </c>
      <c r="F7" s="84" t="n">
        <v>7000</v>
      </c>
      <c r="G7" s="84" t="n">
        <v>7000</v>
      </c>
      <c r="H7" s="8" t="n">
        <v>168000000</v>
      </c>
      <c r="I7" s="8" t="n">
        <v>7000000</v>
      </c>
      <c r="J7" s="8" t="n">
        <v>10553120</v>
      </c>
      <c r="K7" s="8" t="n">
        <v>185553120</v>
      </c>
      <c r="L7" s="84" t="n">
        <v>5914.9</v>
      </c>
      <c r="M7" s="93" t="n">
        <v>0.844985714285714</v>
      </c>
      <c r="N7" s="8" t="n">
        <v>161417600</v>
      </c>
      <c r="O7" s="8" t="n">
        <v>-24135520</v>
      </c>
      <c r="P7" s="93" t="n">
        <v>-0.13295125406676</v>
      </c>
    </row>
    <row r="8" customFormat="false" ht="15" hidden="false" customHeight="false" outlineLevel="0" collapsed="false">
      <c r="A8" s="74" t="s">
        <v>2622</v>
      </c>
      <c r="B8" s="76" t="n">
        <v>46248</v>
      </c>
      <c r="C8" s="74" t="s">
        <v>1302</v>
      </c>
      <c r="D8" s="74" t="s">
        <v>1303</v>
      </c>
      <c r="E8" s="74" t="s">
        <v>2623</v>
      </c>
      <c r="F8" s="84" t="n">
        <v>15388.94</v>
      </c>
      <c r="G8" s="84" t="n">
        <v>15388.94</v>
      </c>
      <c r="H8" s="8" t="n">
        <v>390540182</v>
      </c>
      <c r="I8" s="8" t="n">
        <v>18000000</v>
      </c>
      <c r="J8" s="8" t="n">
        <v>23557280</v>
      </c>
      <c r="K8" s="8" t="n">
        <v>432097462</v>
      </c>
      <c r="L8" s="84" t="n">
        <v>13448.6</v>
      </c>
      <c r="M8" s="93" t="n">
        <v>0.873913342959294</v>
      </c>
      <c r="N8" s="8" t="n">
        <v>372441000</v>
      </c>
      <c r="O8" s="8" t="n">
        <v>-59656462</v>
      </c>
      <c r="P8" s="93" t="n">
        <v>-0.138333286484335</v>
      </c>
    </row>
    <row r="9" customFormat="false" ht="15" hidden="false" customHeight="false" outlineLevel="0" collapsed="false">
      <c r="A9" s="74" t="s">
        <v>2624</v>
      </c>
      <c r="B9" s="76" t="n">
        <v>46253</v>
      </c>
      <c r="C9" s="74" t="s">
        <v>1305</v>
      </c>
      <c r="D9" s="74" t="s">
        <v>1306</v>
      </c>
      <c r="E9" s="74" t="s">
        <v>2619</v>
      </c>
      <c r="F9" s="84" t="n">
        <v>16862.7</v>
      </c>
      <c r="G9" s="84" t="n">
        <v>16862.7</v>
      </c>
      <c r="H9" s="8" t="n">
        <v>412052090</v>
      </c>
      <c r="I9" s="8" t="n">
        <v>25000000</v>
      </c>
      <c r="J9" s="8" t="n">
        <v>24929120</v>
      </c>
      <c r="K9" s="8" t="n">
        <v>461981210</v>
      </c>
      <c r="L9" s="84" t="n">
        <v>14294.9</v>
      </c>
      <c r="M9" s="93" t="n">
        <v>0.847723081119868</v>
      </c>
      <c r="N9" s="8" t="n">
        <v>403459000</v>
      </c>
      <c r="O9" s="8" t="n">
        <v>-58522210</v>
      </c>
      <c r="P9" s="93" t="n">
        <v>-0.126676602279993</v>
      </c>
    </row>
    <row r="10" customFormat="false" ht="15" hidden="false" customHeight="false" outlineLevel="0" collapsed="false">
      <c r="A10" s="74" t="s">
        <v>2625</v>
      </c>
      <c r="B10" s="76" t="n">
        <v>46254</v>
      </c>
      <c r="C10" s="74" t="s">
        <v>1308</v>
      </c>
      <c r="D10" s="74" t="s">
        <v>1309</v>
      </c>
      <c r="E10" s="74" t="s">
        <v>2619</v>
      </c>
      <c r="F10" s="84" t="n">
        <v>8177.6</v>
      </c>
      <c r="G10" s="84" t="n">
        <v>8177.6</v>
      </c>
      <c r="H10" s="8" t="n">
        <v>205257760</v>
      </c>
      <c r="I10" s="8" t="n">
        <v>9000000</v>
      </c>
      <c r="J10" s="8" t="n">
        <v>12436160</v>
      </c>
      <c r="K10" s="8" t="n">
        <v>226693920</v>
      </c>
      <c r="L10" s="84" t="n">
        <v>7127.4</v>
      </c>
      <c r="M10" s="93" t="n">
        <v>0.871576012522011</v>
      </c>
      <c r="N10" s="8" t="n">
        <v>197533500</v>
      </c>
      <c r="O10" s="8" t="n">
        <v>-29160420</v>
      </c>
      <c r="P10" s="93" t="n">
        <v>-0.128633445484554</v>
      </c>
    </row>
    <row r="11" customFormat="false" ht="15" hidden="false" customHeight="false" outlineLevel="0" collapsed="false">
      <c r="A11" s="74" t="s">
        <v>2626</v>
      </c>
      <c r="B11" s="76" t="n">
        <v>46255</v>
      </c>
      <c r="C11" s="74" t="s">
        <v>1311</v>
      </c>
      <c r="D11" s="74" t="s">
        <v>1312</v>
      </c>
      <c r="E11" s="74" t="s">
        <v>2619</v>
      </c>
      <c r="F11" s="84" t="n">
        <v>7780.6</v>
      </c>
      <c r="G11" s="84" t="n">
        <v>7780.6</v>
      </c>
      <c r="H11" s="8" t="n">
        <v>195293060</v>
      </c>
      <c r="I11" s="8" t="n">
        <v>9000000</v>
      </c>
      <c r="J11" s="8" t="n">
        <v>11685760</v>
      </c>
      <c r="K11" s="8" t="n">
        <v>215978820</v>
      </c>
      <c r="L11" s="84" t="n">
        <v>6658</v>
      </c>
      <c r="M11" s="93" t="n">
        <v>0.85571806801532</v>
      </c>
      <c r="N11" s="8" t="n">
        <v>186502300</v>
      </c>
      <c r="O11" s="8" t="n">
        <v>-29476520</v>
      </c>
      <c r="P11" s="93" t="n">
        <v>-0.136478752870305</v>
      </c>
    </row>
    <row r="12" customFormat="false" ht="15" hidden="false" customHeight="false" outlineLevel="0" collapsed="false">
      <c r="A12" s="74" t="s">
        <v>2627</v>
      </c>
      <c r="B12" s="76" t="n">
        <v>46259</v>
      </c>
      <c r="C12" s="74" t="s">
        <v>1314</v>
      </c>
      <c r="D12" s="74" t="s">
        <v>1315</v>
      </c>
      <c r="E12" s="74" t="s">
        <v>2619</v>
      </c>
      <c r="F12" s="84" t="n">
        <v>12211.6</v>
      </c>
      <c r="G12" s="84" t="n">
        <v>12211.6</v>
      </c>
      <c r="H12" s="8" t="n">
        <v>288925360</v>
      </c>
      <c r="I12" s="8" t="n">
        <v>25500000</v>
      </c>
      <c r="J12" s="8" t="n">
        <v>18666880</v>
      </c>
      <c r="K12" s="8" t="n">
        <v>333092240</v>
      </c>
      <c r="L12" s="84" t="n">
        <v>10495.9</v>
      </c>
      <c r="M12" s="93" t="n">
        <v>0.859502440302663</v>
      </c>
      <c r="N12" s="8" t="n">
        <v>298052200</v>
      </c>
      <c r="O12" s="8" t="n">
        <v>-35040040</v>
      </c>
      <c r="P12" s="93" t="n">
        <v>-0.105196206312102</v>
      </c>
    </row>
    <row r="13" customFormat="false" ht="15" hidden="false" customHeight="false" outlineLevel="0" collapsed="false">
      <c r="A13" s="74" t="s">
        <v>2628</v>
      </c>
      <c r="B13" s="76" t="n">
        <v>46260</v>
      </c>
      <c r="C13" s="74" t="s">
        <v>1317</v>
      </c>
      <c r="D13" s="74" t="s">
        <v>1318</v>
      </c>
      <c r="E13" s="74" t="s">
        <v>2619</v>
      </c>
      <c r="F13" s="84" t="n">
        <v>12089.6</v>
      </c>
      <c r="G13" s="84" t="n">
        <v>12089.6</v>
      </c>
      <c r="H13" s="8" t="n">
        <v>291941360</v>
      </c>
      <c r="I13" s="8" t="n">
        <v>13500000</v>
      </c>
      <c r="J13" s="8" t="n">
        <v>21762080</v>
      </c>
      <c r="K13" s="8" t="n">
        <v>327203440</v>
      </c>
      <c r="L13" s="84" t="n">
        <v>10229.2</v>
      </c>
      <c r="M13" s="93" t="n">
        <v>0.84611566966649</v>
      </c>
      <c r="N13" s="8" t="n">
        <v>286644200</v>
      </c>
      <c r="O13" s="8" t="n">
        <v>-40559240</v>
      </c>
      <c r="P13" s="93" t="n">
        <v>-0.123957254239136</v>
      </c>
    </row>
    <row r="14" customFormat="false" ht="15" hidden="false" customHeight="false" outlineLevel="0" collapsed="false">
      <c r="A14" s="74" t="s">
        <v>2629</v>
      </c>
      <c r="B14" s="76" t="n">
        <v>46261</v>
      </c>
      <c r="C14" s="74" t="s">
        <v>1320</v>
      </c>
      <c r="D14" s="74" t="s">
        <v>1321</v>
      </c>
      <c r="E14" s="74" t="s">
        <v>2619</v>
      </c>
      <c r="F14" s="84" t="n">
        <v>11681.4</v>
      </c>
      <c r="G14" s="84" t="n">
        <v>11681.4</v>
      </c>
      <c r="H14" s="8" t="n">
        <v>287362440</v>
      </c>
      <c r="I14" s="8" t="n">
        <v>14400000</v>
      </c>
      <c r="J14" s="8" t="n">
        <v>17489600</v>
      </c>
      <c r="K14" s="8" t="n">
        <v>319252040</v>
      </c>
      <c r="L14" s="84" t="n">
        <v>10075.7</v>
      </c>
      <c r="M14" s="93" t="n">
        <v>0.862542161042341</v>
      </c>
      <c r="N14" s="8" t="n">
        <v>283326700</v>
      </c>
      <c r="O14" s="8" t="n">
        <v>-35925340</v>
      </c>
      <c r="P14" s="93" t="n">
        <v>-0.112529711634732</v>
      </c>
    </row>
    <row r="15" customFormat="false" ht="15" hidden="false" customHeight="false" outlineLevel="0" collapsed="false">
      <c r="A15" s="74" t="s">
        <v>2630</v>
      </c>
      <c r="B15" s="76" t="n">
        <v>46262</v>
      </c>
      <c r="C15" s="74" t="s">
        <v>1323</v>
      </c>
      <c r="D15" s="74" t="s">
        <v>1324</v>
      </c>
      <c r="E15" s="74" t="s">
        <v>2619</v>
      </c>
      <c r="F15" s="84" t="n">
        <v>15537.2</v>
      </c>
      <c r="G15" s="84" t="n">
        <v>15537.2</v>
      </c>
      <c r="H15" s="8" t="n">
        <v>394832000</v>
      </c>
      <c r="I15" s="8" t="n">
        <v>15000000</v>
      </c>
      <c r="J15" s="8" t="n">
        <v>23472480</v>
      </c>
      <c r="K15" s="8" t="n">
        <v>433304480</v>
      </c>
      <c r="L15" s="84" t="n">
        <v>13533.3</v>
      </c>
      <c r="M15" s="93" t="n">
        <v>0.871025667430425</v>
      </c>
      <c r="N15" s="8" t="n">
        <v>381390800</v>
      </c>
      <c r="O15" s="8" t="n">
        <v>-51913680</v>
      </c>
      <c r="P15" s="93" t="n">
        <v>-0.119808777421364</v>
      </c>
    </row>
    <row r="16" customFormat="false" ht="15" hidden="false" customHeight="false" outlineLevel="0" collapsed="false">
      <c r="A16" s="74" t="s">
        <v>2631</v>
      </c>
      <c r="B16" s="76" t="n">
        <v>46265</v>
      </c>
      <c r="C16" s="74" t="s">
        <v>1326</v>
      </c>
      <c r="D16" s="74" t="s">
        <v>1327</v>
      </c>
      <c r="E16" s="74" t="s">
        <v>2619</v>
      </c>
      <c r="F16" s="84" t="n">
        <v>15748.3</v>
      </c>
      <c r="G16" s="84" t="n">
        <v>15748.3</v>
      </c>
      <c r="H16" s="8" t="n">
        <v>396857160</v>
      </c>
      <c r="I16" s="8" t="n">
        <v>12000000</v>
      </c>
      <c r="J16" s="8" t="n">
        <v>23720320</v>
      </c>
      <c r="K16" s="8" t="n">
        <v>432577480</v>
      </c>
      <c r="L16" s="84" t="n">
        <v>13741.5</v>
      </c>
      <c r="M16" s="93" t="n">
        <v>0.872570372675146</v>
      </c>
      <c r="N16" s="8" t="n">
        <v>387420700</v>
      </c>
      <c r="O16" s="8" t="n">
        <v>-45156780</v>
      </c>
      <c r="P16" s="93" t="n">
        <v>-0.10551353713559</v>
      </c>
    </row>
    <row r="17" customFormat="false" ht="15" hidden="false" customHeight="false" outlineLevel="0" collapsed="false">
      <c r="A17" s="25" t="s">
        <v>304</v>
      </c>
      <c r="F17" s="26" t="n">
        <f aca="false">SUM(F5:F16)</f>
        <v>140719.04</v>
      </c>
      <c r="G17" s="26" t="n">
        <f aca="false">SUM(G5:G16)</f>
        <v>140692.04</v>
      </c>
      <c r="H17" s="26" t="n">
        <f aca="false">SUM(H5:H16)</f>
        <v>3443693282</v>
      </c>
      <c r="I17" s="26" t="n">
        <f aca="false">SUM(I5:I16)</f>
        <v>181400000</v>
      </c>
      <c r="J17" s="26" t="n">
        <f aca="false">SUM(J5:J16)</f>
        <v>215011520</v>
      </c>
      <c r="K17" s="26" t="n">
        <f aca="false">SUM(K5:K16)</f>
        <v>3840104802</v>
      </c>
      <c r="L17" s="26" t="n">
        <f aca="false">SUM(L5:L16)</f>
        <v>121109.8</v>
      </c>
      <c r="M17" s="27" t="n">
        <f aca="false">IF(F17=0,0,L17/F17)</f>
        <v>0.860649703124751</v>
      </c>
      <c r="N17" s="26" t="n">
        <f aca="false">SUM(N5:N16)</f>
        <v>3367683100</v>
      </c>
      <c r="O17" s="26" t="n">
        <f aca="false">SUM(O5:O16)</f>
        <v>-472421702</v>
      </c>
      <c r="P17" s="27" t="n">
        <f aca="false">IF(K17=0,0,O17/K17)</f>
        <v>-0.123023127325576</v>
      </c>
    </row>
    <row r="18" customFormat="false" ht="15" hidden="false" customHeight="false" outlineLevel="0" collapsed="false">
      <c r="A18" s="28" t="s">
        <v>2632</v>
      </c>
    </row>
    <row r="20" customFormat="false" ht="30" hidden="false" customHeight="true" outlineLevel="0" collapsed="false">
      <c r="A20" s="5" t="s">
        <v>2603</v>
      </c>
      <c r="B20" s="5" t="s">
        <v>1240</v>
      </c>
      <c r="C20" s="5" t="s">
        <v>2633</v>
      </c>
      <c r="D20" s="5" t="s">
        <v>2634</v>
      </c>
      <c r="E20" s="5" t="s">
        <v>1098</v>
      </c>
      <c r="F20" s="5" t="s">
        <v>2635</v>
      </c>
      <c r="G20" s="5" t="s">
        <v>224</v>
      </c>
      <c r="H20" s="5" t="s">
        <v>225</v>
      </c>
      <c r="I20" s="5" t="s">
        <v>884</v>
      </c>
      <c r="J20" s="5" t="s">
        <v>2636</v>
      </c>
      <c r="K20" s="5" t="s">
        <v>2637</v>
      </c>
      <c r="L20" s="5" t="s">
        <v>2638</v>
      </c>
      <c r="M20" s="5" t="s">
        <v>2639</v>
      </c>
      <c r="N20" s="5" t="s">
        <v>2640</v>
      </c>
      <c r="O20" s="5" t="s">
        <v>40</v>
      </c>
      <c r="P20" s="5" t="s">
        <v>2641</v>
      </c>
    </row>
    <row r="21" customFormat="false" ht="15" hidden="false" customHeight="false" outlineLevel="0" collapsed="false">
      <c r="A21" s="74" t="s">
        <v>2616</v>
      </c>
      <c r="B21" s="74" t="s">
        <v>1290</v>
      </c>
      <c r="C21" s="74" t="s">
        <v>2642</v>
      </c>
      <c r="D21" s="8" t="n">
        <v>30000</v>
      </c>
      <c r="E21" s="74" t="s">
        <v>1016</v>
      </c>
      <c r="F21" s="74" t="s">
        <v>2643</v>
      </c>
      <c r="G21" s="53" t="str">
        <f aca="false">INDEX(I_Items!$D$5:$D$133,MATCH($E21,I_Items!$A$5:$A$133,0))&amp;""</f>
        <v>Karkas</v>
      </c>
      <c r="H21" s="53" t="str">
        <f aca="false">INDEX(I_Items!$F$5:$F$133,MATCH($E21,I_Items!$A$5:$A$133,0))&amp;""</f>
        <v>Frozen</v>
      </c>
      <c r="I21" s="53" t="str">
        <f aca="false">INDEX(I_Items!$E$5:$E$133,MATCH($E21,I_Items!$A$5:$A$133,0))&amp;""</f>
        <v>Uk 0.6</v>
      </c>
      <c r="J21" s="84" t="n">
        <v>4.6</v>
      </c>
      <c r="K21" s="93" t="n">
        <v>0.000657142857142857</v>
      </c>
      <c r="L21" s="8" t="n">
        <v>138000</v>
      </c>
      <c r="M21" s="8" t="n">
        <v>38117.3897192855</v>
      </c>
      <c r="N21" s="8" t="n">
        <v>175339.992708713</v>
      </c>
      <c r="O21" s="12"/>
      <c r="P21" s="6" t="s">
        <v>1119</v>
      </c>
    </row>
    <row r="22" customFormat="false" ht="15" hidden="false" customHeight="false" outlineLevel="0" collapsed="false">
      <c r="A22" s="74" t="s">
        <v>2616</v>
      </c>
      <c r="B22" s="74" t="s">
        <v>1290</v>
      </c>
      <c r="C22" s="74" t="s">
        <v>2644</v>
      </c>
      <c r="D22" s="8" t="n">
        <v>30000</v>
      </c>
      <c r="E22" s="74" t="s">
        <v>1017</v>
      </c>
      <c r="F22" s="74" t="s">
        <v>2645</v>
      </c>
      <c r="G22" s="53" t="str">
        <f aca="false">INDEX(I_Items!$D$5:$D$133,MATCH($E22,I_Items!$A$5:$A$133,0))&amp;""</f>
        <v>Karkas</v>
      </c>
      <c r="H22" s="53" t="str">
        <f aca="false">INDEX(I_Items!$F$5:$F$133,MATCH($E22,I_Items!$A$5:$A$133,0))&amp;""</f>
        <v>Frozen</v>
      </c>
      <c r="I22" s="53" t="str">
        <f aca="false">INDEX(I_Items!$E$5:$E$133,MATCH($E22,I_Items!$A$5:$A$133,0))&amp;""</f>
        <v>Uk 0.7</v>
      </c>
      <c r="J22" s="84" t="n">
        <v>29.5</v>
      </c>
      <c r="K22" s="93" t="n">
        <v>0.00421428571428572</v>
      </c>
      <c r="L22" s="8" t="n">
        <v>885000</v>
      </c>
      <c r="M22" s="8" t="n">
        <v>38117.3897192855</v>
      </c>
      <c r="N22" s="8" t="n">
        <v>1124462.99671892</v>
      </c>
      <c r="O22" s="12"/>
      <c r="P22" s="6" t="s">
        <v>1119</v>
      </c>
    </row>
    <row r="23" customFormat="false" ht="15" hidden="false" customHeight="false" outlineLevel="0" collapsed="false">
      <c r="A23" s="74" t="s">
        <v>2616</v>
      </c>
      <c r="B23" s="74" t="s">
        <v>1290</v>
      </c>
      <c r="C23" s="74" t="s">
        <v>2646</v>
      </c>
      <c r="D23" s="8" t="n">
        <v>30000</v>
      </c>
      <c r="E23" s="74" t="s">
        <v>1014</v>
      </c>
      <c r="F23" s="74" t="s">
        <v>2647</v>
      </c>
      <c r="G23" s="53" t="str">
        <f aca="false">INDEX(I_Items!$D$5:$D$133,MATCH($E23,I_Items!$A$5:$A$133,0))&amp;""</f>
        <v>Karkas</v>
      </c>
      <c r="H23" s="53" t="str">
        <f aca="false">INDEX(I_Items!$F$5:$F$133,MATCH($E23,I_Items!$A$5:$A$133,0))&amp;""</f>
        <v>Frozen</v>
      </c>
      <c r="I23" s="53" t="str">
        <f aca="false">INDEX(I_Items!$E$5:$E$133,MATCH($E23,I_Items!$A$5:$A$133,0))&amp;""</f>
        <v>Uk 0.8</v>
      </c>
      <c r="J23" s="84" t="n">
        <v>130</v>
      </c>
      <c r="K23" s="93" t="n">
        <v>0.0185714285714286</v>
      </c>
      <c r="L23" s="8" t="n">
        <v>3900000</v>
      </c>
      <c r="M23" s="8" t="n">
        <v>38117.3897192855</v>
      </c>
      <c r="N23" s="8" t="n">
        <v>4955260.66350711</v>
      </c>
      <c r="O23" s="12"/>
      <c r="P23" s="6" t="s">
        <v>1119</v>
      </c>
    </row>
    <row r="24" customFormat="false" ht="15" hidden="false" customHeight="false" outlineLevel="0" collapsed="false">
      <c r="A24" s="74" t="s">
        <v>2616</v>
      </c>
      <c r="B24" s="74" t="s">
        <v>1290</v>
      </c>
      <c r="C24" s="74" t="s">
        <v>2648</v>
      </c>
      <c r="D24" s="8" t="n">
        <v>30000</v>
      </c>
      <c r="E24" s="74" t="s">
        <v>975</v>
      </c>
      <c r="F24" s="74" t="s">
        <v>2649</v>
      </c>
      <c r="G24" s="53" t="str">
        <f aca="false">INDEX(I_Items!$D$5:$D$133,MATCH($E24,I_Items!$A$5:$A$133,0))&amp;""</f>
        <v>Karkas</v>
      </c>
      <c r="H24" s="53" t="str">
        <f aca="false">INDEX(I_Items!$F$5:$F$133,MATCH($E24,I_Items!$A$5:$A$133,0))&amp;""</f>
        <v>Fresh</v>
      </c>
      <c r="I24" s="53" t="str">
        <f aca="false">INDEX(I_Items!$E$5:$E$133,MATCH($E24,I_Items!$A$5:$A$133,0))&amp;""</f>
        <v>Uk 0.9</v>
      </c>
      <c r="J24" s="84" t="n">
        <v>508.3</v>
      </c>
      <c r="K24" s="93" t="n">
        <v>0.0726142857142857</v>
      </c>
      <c r="L24" s="8" t="n">
        <v>15249000</v>
      </c>
      <c r="M24" s="8" t="n">
        <v>38117.3897192855</v>
      </c>
      <c r="N24" s="8" t="n">
        <v>19375069.1943128</v>
      </c>
      <c r="O24" s="12"/>
      <c r="P24" s="6" t="s">
        <v>1119</v>
      </c>
    </row>
    <row r="25" customFormat="false" ht="15" hidden="false" customHeight="false" outlineLevel="0" collapsed="false">
      <c r="A25" s="74" t="s">
        <v>2616</v>
      </c>
      <c r="B25" s="74" t="s">
        <v>1290</v>
      </c>
      <c r="C25" s="74" t="s">
        <v>2650</v>
      </c>
      <c r="D25" s="8" t="n">
        <v>30000</v>
      </c>
      <c r="E25" s="74" t="s">
        <v>978</v>
      </c>
      <c r="F25" s="74" t="s">
        <v>2651</v>
      </c>
      <c r="G25" s="53" t="str">
        <f aca="false">INDEX(I_Items!$D$5:$D$133,MATCH($E25,I_Items!$A$5:$A$133,0))&amp;""</f>
        <v>Karkas</v>
      </c>
      <c r="H25" s="53" t="str">
        <f aca="false">INDEX(I_Items!$F$5:$F$133,MATCH($E25,I_Items!$A$5:$A$133,0))&amp;""</f>
        <v>Fresh</v>
      </c>
      <c r="I25" s="53" t="str">
        <f aca="false">INDEX(I_Items!$E$5:$E$133,MATCH($E25,I_Items!$A$5:$A$133,0))&amp;""</f>
        <v>Uk 1.0</v>
      </c>
      <c r="J25" s="84" t="n">
        <v>1006.6</v>
      </c>
      <c r="K25" s="93" t="n">
        <v>0.1438</v>
      </c>
      <c r="L25" s="8" t="n">
        <v>30198000</v>
      </c>
      <c r="M25" s="8" t="n">
        <v>38117.3897192855</v>
      </c>
      <c r="N25" s="8" t="n">
        <v>38368964.4914327</v>
      </c>
      <c r="O25" s="12"/>
      <c r="P25" s="6" t="s">
        <v>1119</v>
      </c>
    </row>
    <row r="26" customFormat="false" ht="15" hidden="false" customHeight="false" outlineLevel="0" collapsed="false">
      <c r="A26" s="74" t="s">
        <v>2616</v>
      </c>
      <c r="B26" s="74" t="s">
        <v>1290</v>
      </c>
      <c r="C26" s="74" t="s">
        <v>2652</v>
      </c>
      <c r="D26" s="8" t="n">
        <v>30000</v>
      </c>
      <c r="E26" s="74" t="s">
        <v>982</v>
      </c>
      <c r="F26" s="74" t="s">
        <v>2653</v>
      </c>
      <c r="G26" s="53" t="str">
        <f aca="false">INDEX(I_Items!$D$5:$D$133,MATCH($E26,I_Items!$A$5:$A$133,0))&amp;""</f>
        <v>Karkas</v>
      </c>
      <c r="H26" s="53" t="str">
        <f aca="false">INDEX(I_Items!$F$5:$F$133,MATCH($E26,I_Items!$A$5:$A$133,0))&amp;""</f>
        <v>Fresh</v>
      </c>
      <c r="I26" s="53" t="str">
        <f aca="false">INDEX(I_Items!$E$5:$E$133,MATCH($E26,I_Items!$A$5:$A$133,0))&amp;""</f>
        <v>Uk 1.1</v>
      </c>
      <c r="J26" s="84" t="n">
        <v>1324</v>
      </c>
      <c r="K26" s="93" t="n">
        <v>0.189142857142857</v>
      </c>
      <c r="L26" s="8" t="n">
        <v>39720000</v>
      </c>
      <c r="M26" s="8" t="n">
        <v>38117.3897192855</v>
      </c>
      <c r="N26" s="8" t="n">
        <v>50467423.988334</v>
      </c>
      <c r="O26" s="12"/>
      <c r="P26" s="6" t="s">
        <v>1119</v>
      </c>
    </row>
    <row r="27" customFormat="false" ht="15" hidden="false" customHeight="false" outlineLevel="0" collapsed="false">
      <c r="A27" s="74" t="s">
        <v>2616</v>
      </c>
      <c r="B27" s="74" t="s">
        <v>1290</v>
      </c>
      <c r="C27" s="74" t="s">
        <v>2654</v>
      </c>
      <c r="D27" s="8" t="n">
        <v>30000</v>
      </c>
      <c r="E27" s="74" t="s">
        <v>986</v>
      </c>
      <c r="F27" s="74" t="s">
        <v>2655</v>
      </c>
      <c r="G27" s="53" t="str">
        <f aca="false">INDEX(I_Items!$D$5:$D$133,MATCH($E27,I_Items!$A$5:$A$133,0))&amp;""</f>
        <v>Karkas</v>
      </c>
      <c r="H27" s="53" t="str">
        <f aca="false">INDEX(I_Items!$F$5:$F$133,MATCH($E27,I_Items!$A$5:$A$133,0))&amp;""</f>
        <v>Fresh</v>
      </c>
      <c r="I27" s="53" t="str">
        <f aca="false">INDEX(I_Items!$E$5:$E$133,MATCH($E27,I_Items!$A$5:$A$133,0))&amp;""</f>
        <v>Uk 1.2</v>
      </c>
      <c r="J27" s="84" t="n">
        <v>889</v>
      </c>
      <c r="K27" s="93" t="n">
        <v>0.127</v>
      </c>
      <c r="L27" s="8" t="n">
        <v>26670000</v>
      </c>
      <c r="M27" s="8" t="n">
        <v>38117.3897192855</v>
      </c>
      <c r="N27" s="8" t="n">
        <v>33886359.4604448</v>
      </c>
      <c r="O27" s="12"/>
      <c r="P27" s="6" t="s">
        <v>1119</v>
      </c>
    </row>
    <row r="28" customFormat="false" ht="15" hidden="false" customHeight="false" outlineLevel="0" collapsed="false">
      <c r="A28" s="74" t="s">
        <v>2616</v>
      </c>
      <c r="B28" s="74" t="s">
        <v>1290</v>
      </c>
      <c r="C28" s="74" t="s">
        <v>2656</v>
      </c>
      <c r="D28" s="8" t="n">
        <v>30000</v>
      </c>
      <c r="E28" s="74" t="s">
        <v>990</v>
      </c>
      <c r="F28" s="74" t="s">
        <v>2657</v>
      </c>
      <c r="G28" s="53" t="str">
        <f aca="false">INDEX(I_Items!$D$5:$D$133,MATCH($E28,I_Items!$A$5:$A$133,0))&amp;""</f>
        <v>Karkas</v>
      </c>
      <c r="H28" s="53" t="str">
        <f aca="false">INDEX(I_Items!$F$5:$F$133,MATCH($E28,I_Items!$A$5:$A$133,0))&amp;""</f>
        <v>Fresh</v>
      </c>
      <c r="I28" s="53" t="str">
        <f aca="false">INDEX(I_Items!$E$5:$E$133,MATCH($E28,I_Items!$A$5:$A$133,0))&amp;""</f>
        <v>Uk 1.3</v>
      </c>
      <c r="J28" s="84" t="n">
        <v>356.9</v>
      </c>
      <c r="K28" s="93" t="n">
        <v>0.0509857142857143</v>
      </c>
      <c r="L28" s="8" t="n">
        <v>10707000</v>
      </c>
      <c r="M28" s="8" t="n">
        <v>38117.3897192855</v>
      </c>
      <c r="N28" s="8" t="n">
        <v>13604096.390813</v>
      </c>
      <c r="O28" s="12"/>
      <c r="P28" s="6" t="s">
        <v>1119</v>
      </c>
    </row>
    <row r="29" customFormat="false" ht="15" hidden="false" customHeight="false" outlineLevel="0" collapsed="false">
      <c r="A29" s="74" t="s">
        <v>2616</v>
      </c>
      <c r="B29" s="74" t="s">
        <v>1290</v>
      </c>
      <c r="C29" s="74" t="s">
        <v>2658</v>
      </c>
      <c r="D29" s="8" t="n">
        <v>30000</v>
      </c>
      <c r="E29" s="74" t="s">
        <v>993</v>
      </c>
      <c r="F29" s="74" t="s">
        <v>2659</v>
      </c>
      <c r="G29" s="53" t="str">
        <f aca="false">INDEX(I_Items!$D$5:$D$133,MATCH($E29,I_Items!$A$5:$A$133,0))&amp;""</f>
        <v>Karkas</v>
      </c>
      <c r="H29" s="53" t="str">
        <f aca="false">INDEX(I_Items!$F$5:$F$133,MATCH($E29,I_Items!$A$5:$A$133,0))&amp;""</f>
        <v>Fresh</v>
      </c>
      <c r="I29" s="53" t="str">
        <f aca="false">INDEX(I_Items!$E$5:$E$133,MATCH($E29,I_Items!$A$5:$A$133,0))&amp;""</f>
        <v>Uk 1.4</v>
      </c>
      <c r="J29" s="84" t="n">
        <v>24.4</v>
      </c>
      <c r="K29" s="93" t="n">
        <v>0.00348571428571429</v>
      </c>
      <c r="L29" s="8" t="n">
        <v>732000</v>
      </c>
      <c r="M29" s="8" t="n">
        <v>38117.3897192855</v>
      </c>
      <c r="N29" s="8" t="n">
        <v>930064.309150565</v>
      </c>
      <c r="O29" s="12"/>
      <c r="P29" s="6" t="s">
        <v>1119</v>
      </c>
    </row>
    <row r="30" customFormat="false" ht="15" hidden="false" customHeight="false" outlineLevel="0" collapsed="false">
      <c r="A30" s="74" t="s">
        <v>2616</v>
      </c>
      <c r="B30" s="74" t="s">
        <v>1290</v>
      </c>
      <c r="C30" s="74" t="s">
        <v>360</v>
      </c>
      <c r="D30" s="8" t="n">
        <v>18000</v>
      </c>
      <c r="E30" s="74" t="s">
        <v>951</v>
      </c>
      <c r="F30" s="74" t="s">
        <v>2660</v>
      </c>
      <c r="G30" s="53" t="str">
        <f aca="false">INDEX(I_Items!$D$5:$D$133,MATCH($E30,I_Items!$A$5:$A$133,0))&amp;""</f>
        <v>Lemak</v>
      </c>
      <c r="H30" s="53" t="str">
        <f aca="false">INDEX(I_Items!$F$5:$F$133,MATCH($E30,I_Items!$A$5:$A$133,0))&amp;""</f>
        <v>Fresh</v>
      </c>
      <c r="I30" s="53" t="str">
        <f aca="false">INDEX(I_Items!$E$5:$E$133,MATCH($E30,I_Items!$A$5:$A$133,0))&amp;""</f>
        <v/>
      </c>
      <c r="J30" s="84" t="n">
        <v>11</v>
      </c>
      <c r="K30" s="93" t="n">
        <v>0.00157142857142857</v>
      </c>
      <c r="L30" s="8" t="n">
        <v>198000</v>
      </c>
      <c r="M30" s="8" t="n">
        <v>22870.4338315713</v>
      </c>
      <c r="N30" s="8" t="n">
        <v>251574.772147284</v>
      </c>
      <c r="O30" s="12"/>
      <c r="P30" s="6" t="s">
        <v>1119</v>
      </c>
    </row>
    <row r="31" customFormat="false" ht="15" hidden="false" customHeight="false" outlineLevel="0" collapsed="false">
      <c r="A31" s="74" t="s">
        <v>2616</v>
      </c>
      <c r="B31" s="74" t="s">
        <v>1290</v>
      </c>
      <c r="C31" s="74" t="s">
        <v>248</v>
      </c>
      <c r="D31" s="8" t="n">
        <v>8000</v>
      </c>
      <c r="E31" s="74" t="s">
        <v>950</v>
      </c>
      <c r="F31" s="74" t="s">
        <v>2661</v>
      </c>
      <c r="G31" s="53" t="str">
        <f aca="false">INDEX(I_Items!$D$5:$D$133,MATCH($E31,I_Items!$A$5:$A$133,0))&amp;""</f>
        <v>Kepala</v>
      </c>
      <c r="H31" s="53" t="str">
        <f aca="false">INDEX(I_Items!$F$5:$F$133,MATCH($E31,I_Items!$A$5:$A$133,0))&amp;""</f>
        <v>Fresh</v>
      </c>
      <c r="I31" s="53" t="str">
        <f aca="false">INDEX(I_Items!$E$5:$E$133,MATCH($E31,I_Items!$A$5:$A$133,0))&amp;""</f>
        <v/>
      </c>
      <c r="J31" s="84" t="n">
        <v>325.6</v>
      </c>
      <c r="K31" s="93" t="n">
        <v>0.0465142857142857</v>
      </c>
      <c r="L31" s="8" t="n">
        <v>2604800</v>
      </c>
      <c r="M31" s="8" t="n">
        <v>10164.6372584761</v>
      </c>
      <c r="N31" s="8" t="n">
        <v>3309605.89135983</v>
      </c>
      <c r="O31" s="12"/>
      <c r="P31" s="6" t="s">
        <v>1119</v>
      </c>
    </row>
    <row r="32" customFormat="false" ht="15" hidden="false" customHeight="false" outlineLevel="0" collapsed="false">
      <c r="A32" s="74" t="s">
        <v>2616</v>
      </c>
      <c r="B32" s="74" t="s">
        <v>1290</v>
      </c>
      <c r="C32" s="74" t="s">
        <v>242</v>
      </c>
      <c r="D32" s="8" t="n">
        <v>10000</v>
      </c>
      <c r="E32" s="74" t="s">
        <v>948</v>
      </c>
      <c r="F32" s="74" t="s">
        <v>2662</v>
      </c>
      <c r="G32" s="53" t="str">
        <f aca="false">INDEX(I_Items!$D$5:$D$133,MATCH($E32,I_Items!$A$5:$A$133,0))&amp;""</f>
        <v>Ceker</v>
      </c>
      <c r="H32" s="53" t="str">
        <f aca="false">INDEX(I_Items!$F$5:$F$133,MATCH($E32,I_Items!$A$5:$A$133,0))&amp;""</f>
        <v>Fresh</v>
      </c>
      <c r="I32" s="53" t="str">
        <f aca="false">INDEX(I_Items!$E$5:$E$133,MATCH($E32,I_Items!$A$5:$A$133,0))&amp;""</f>
        <v/>
      </c>
      <c r="J32" s="84" t="n">
        <v>184.9</v>
      </c>
      <c r="K32" s="93" t="n">
        <v>0.0264142857142857</v>
      </c>
      <c r="L32" s="8" t="n">
        <v>1849000</v>
      </c>
      <c r="M32" s="8" t="n">
        <v>12705.7965730952</v>
      </c>
      <c r="N32" s="8" t="n">
        <v>2349301.78636529</v>
      </c>
      <c r="O32" s="12"/>
      <c r="P32" s="6" t="s">
        <v>1119</v>
      </c>
    </row>
    <row r="33" customFormat="false" ht="15" hidden="false" customHeight="false" outlineLevel="0" collapsed="false">
      <c r="A33" s="74" t="s">
        <v>2616</v>
      </c>
      <c r="B33" s="74" t="s">
        <v>1290</v>
      </c>
      <c r="C33" s="74" t="s">
        <v>253</v>
      </c>
      <c r="D33" s="8" t="n">
        <v>0</v>
      </c>
      <c r="E33" s="74"/>
      <c r="F33" s="74"/>
      <c r="G33" s="6" t="s">
        <v>253</v>
      </c>
      <c r="H33" s="6" t="s">
        <v>241</v>
      </c>
      <c r="I33" s="6"/>
      <c r="J33" s="84" t="n">
        <v>323.8</v>
      </c>
      <c r="K33" s="93" t="n">
        <v>0.0462571428571429</v>
      </c>
      <c r="L33" s="8" t="n">
        <v>0</v>
      </c>
      <c r="M33" s="8" t="n">
        <v>0</v>
      </c>
      <c r="N33" s="8" t="n">
        <v>0</v>
      </c>
      <c r="O33" s="12" t="s">
        <v>2663</v>
      </c>
      <c r="P33" s="6" t="s">
        <v>2664</v>
      </c>
    </row>
    <row r="34" customFormat="false" ht="15" hidden="false" customHeight="false" outlineLevel="0" collapsed="false">
      <c r="A34" s="74" t="s">
        <v>2616</v>
      </c>
      <c r="B34" s="74" t="s">
        <v>1290</v>
      </c>
      <c r="C34" s="74" t="s">
        <v>2665</v>
      </c>
      <c r="D34" s="8" t="n">
        <v>5000</v>
      </c>
      <c r="E34" s="74" t="s">
        <v>949</v>
      </c>
      <c r="F34" s="74" t="s">
        <v>2666</v>
      </c>
      <c r="G34" s="53" t="str">
        <f aca="false">INDEX(I_Items!$D$5:$D$133,MATCH($E34,I_Items!$A$5:$A$133,0))&amp;""</f>
        <v>HJA (Hati/Jantung/Ampela)</v>
      </c>
      <c r="H34" s="53" t="str">
        <f aca="false">INDEX(I_Items!$F$5:$F$133,MATCH($E34,I_Items!$A$5:$A$133,0))&amp;""</f>
        <v>Fresh</v>
      </c>
      <c r="I34" s="53" t="str">
        <f aca="false">INDEX(I_Items!$E$5:$E$133,MATCH($E34,I_Items!$A$5:$A$133,0))&amp;""</f>
        <v/>
      </c>
      <c r="J34" s="84" t="n">
        <v>427.2</v>
      </c>
      <c r="K34" s="93" t="n">
        <v>0.0610285714285714</v>
      </c>
      <c r="L34" s="8" t="n">
        <v>2136000</v>
      </c>
      <c r="M34" s="8" t="n">
        <v>6352.89828654758</v>
      </c>
      <c r="N34" s="8" t="n">
        <v>2713958.14801312</v>
      </c>
      <c r="O34" s="12"/>
      <c r="P34" s="6" t="s">
        <v>1119</v>
      </c>
    </row>
    <row r="35" customFormat="false" ht="15" hidden="false" customHeight="false" outlineLevel="0" collapsed="false">
      <c r="A35" s="74" t="s">
        <v>2616</v>
      </c>
      <c r="B35" s="74" t="s">
        <v>1290</v>
      </c>
      <c r="C35" s="74" t="s">
        <v>2667</v>
      </c>
      <c r="D35" s="8" t="n">
        <v>24000</v>
      </c>
      <c r="E35" s="74" t="s">
        <v>973</v>
      </c>
      <c r="F35" s="74" t="s">
        <v>2668</v>
      </c>
      <c r="G35" s="53" t="str">
        <f aca="false">INDEX(I_Items!$D$5:$D$133,MATCH($E35,I_Items!$A$5:$A$133,0))&amp;""</f>
        <v>Karkas</v>
      </c>
      <c r="H35" s="53" t="str">
        <f aca="false">INDEX(I_Items!$F$5:$F$133,MATCH($E35,I_Items!$A$5:$A$133,0))&amp;""</f>
        <v>Frozen</v>
      </c>
      <c r="I35" s="53" t="str">
        <f aca="false">INDEX(I_Items!$E$5:$E$133,MATCH($E35,I_Items!$A$5:$A$133,0))&amp;""</f>
        <v>Uk 0.7</v>
      </c>
      <c r="J35" s="84" t="n">
        <v>6.9</v>
      </c>
      <c r="K35" s="93" t="n">
        <v>0.000985714285714286</v>
      </c>
      <c r="L35" s="8" t="n">
        <v>165600</v>
      </c>
      <c r="M35" s="8" t="n">
        <v>30493.9117754284</v>
      </c>
      <c r="N35" s="8" t="n">
        <v>210407.991250456</v>
      </c>
      <c r="O35" s="12"/>
      <c r="P35" s="6" t="s">
        <v>1119</v>
      </c>
    </row>
    <row r="36" customFormat="false" ht="15" hidden="false" customHeight="false" outlineLevel="0" collapsed="false">
      <c r="A36" s="74" t="s">
        <v>2616</v>
      </c>
      <c r="B36" s="74" t="s">
        <v>1290</v>
      </c>
      <c r="C36" s="74" t="s">
        <v>2669</v>
      </c>
      <c r="D36" s="8" t="n">
        <v>24000</v>
      </c>
      <c r="E36" s="74" t="s">
        <v>974</v>
      </c>
      <c r="F36" s="74" t="s">
        <v>2670</v>
      </c>
      <c r="G36" s="53" t="str">
        <f aca="false">INDEX(I_Items!$D$5:$D$133,MATCH($E36,I_Items!$A$5:$A$133,0))&amp;""</f>
        <v>Karkas</v>
      </c>
      <c r="H36" s="53" t="str">
        <f aca="false">INDEX(I_Items!$F$5:$F$133,MATCH($E36,I_Items!$A$5:$A$133,0))&amp;""</f>
        <v>Frozen</v>
      </c>
      <c r="I36" s="53" t="str">
        <f aca="false">INDEX(I_Items!$E$5:$E$133,MATCH($E36,I_Items!$A$5:$A$133,0))&amp;""</f>
        <v>Uk 0.8</v>
      </c>
      <c r="J36" s="84" t="n">
        <v>27.9</v>
      </c>
      <c r="K36" s="93" t="n">
        <v>0.00398571428571429</v>
      </c>
      <c r="L36" s="8" t="n">
        <v>669600</v>
      </c>
      <c r="M36" s="8" t="n">
        <v>30493.9117754284</v>
      </c>
      <c r="N36" s="8" t="n">
        <v>850780.138534451</v>
      </c>
      <c r="O36" s="12"/>
      <c r="P36" s="6" t="s">
        <v>1119</v>
      </c>
    </row>
    <row r="37" customFormat="false" ht="15" hidden="false" customHeight="false" outlineLevel="0" collapsed="false">
      <c r="A37" s="74" t="s">
        <v>2616</v>
      </c>
      <c r="B37" s="74" t="s">
        <v>1290</v>
      </c>
      <c r="C37" s="74" t="s">
        <v>2671</v>
      </c>
      <c r="D37" s="8" t="n">
        <v>24000</v>
      </c>
      <c r="E37" s="74" t="s">
        <v>976</v>
      </c>
      <c r="F37" s="74" t="s">
        <v>2672</v>
      </c>
      <c r="G37" s="53" t="str">
        <f aca="false">INDEX(I_Items!$D$5:$D$133,MATCH($E37,I_Items!$A$5:$A$133,0))&amp;""</f>
        <v>Karkas</v>
      </c>
      <c r="H37" s="53" t="str">
        <f aca="false">INDEX(I_Items!$F$5:$F$133,MATCH($E37,I_Items!$A$5:$A$133,0))&amp;""</f>
        <v>Frozen</v>
      </c>
      <c r="I37" s="53" t="str">
        <f aca="false">INDEX(I_Items!$E$5:$E$133,MATCH($E37,I_Items!$A$5:$A$133,0))&amp;""</f>
        <v>Uk 0.9</v>
      </c>
      <c r="J37" s="84" t="n">
        <v>57.7</v>
      </c>
      <c r="K37" s="93" t="n">
        <v>0.00824285714285714</v>
      </c>
      <c r="L37" s="8" t="n">
        <v>1384800</v>
      </c>
      <c r="M37" s="8" t="n">
        <v>30493.9117754284</v>
      </c>
      <c r="N37" s="8" t="n">
        <v>1759498.70944222</v>
      </c>
      <c r="O37" s="12"/>
      <c r="P37" s="6" t="s">
        <v>1119</v>
      </c>
    </row>
    <row r="38" customFormat="false" ht="15" hidden="false" customHeight="false" outlineLevel="0" collapsed="false">
      <c r="A38" s="74" t="s">
        <v>2616</v>
      </c>
      <c r="B38" s="74" t="s">
        <v>1290</v>
      </c>
      <c r="C38" s="74" t="s">
        <v>2673</v>
      </c>
      <c r="D38" s="8" t="n">
        <v>24000</v>
      </c>
      <c r="E38" s="74" t="s">
        <v>978</v>
      </c>
      <c r="F38" s="74" t="s">
        <v>2651</v>
      </c>
      <c r="G38" s="53" t="str">
        <f aca="false">INDEX(I_Items!$D$5:$D$133,MATCH($E38,I_Items!$A$5:$A$133,0))&amp;""</f>
        <v>Karkas</v>
      </c>
      <c r="H38" s="53" t="str">
        <f aca="false">INDEX(I_Items!$F$5:$F$133,MATCH($E38,I_Items!$A$5:$A$133,0))&amp;""</f>
        <v>Fresh</v>
      </c>
      <c r="I38" s="53" t="str">
        <f aca="false">INDEX(I_Items!$E$5:$E$133,MATCH($E38,I_Items!$A$5:$A$133,0))&amp;""</f>
        <v>Uk 1.0</v>
      </c>
      <c r="J38" s="84" t="n">
        <v>128.8</v>
      </c>
      <c r="K38" s="93" t="n">
        <v>0.0184</v>
      </c>
      <c r="L38" s="8" t="n">
        <v>3091200</v>
      </c>
      <c r="M38" s="8" t="n">
        <v>30493.9117754284</v>
      </c>
      <c r="N38" s="8" t="n">
        <v>3927615.83667517</v>
      </c>
      <c r="O38" s="12"/>
      <c r="P38" s="6" t="s">
        <v>1119</v>
      </c>
    </row>
    <row r="39" customFormat="false" ht="15" hidden="false" customHeight="false" outlineLevel="0" collapsed="false">
      <c r="A39" s="74" t="s">
        <v>2616</v>
      </c>
      <c r="B39" s="74" t="s">
        <v>1290</v>
      </c>
      <c r="C39" s="74" t="s">
        <v>2674</v>
      </c>
      <c r="D39" s="8" t="n">
        <v>24000</v>
      </c>
      <c r="E39" s="74" t="s">
        <v>981</v>
      </c>
      <c r="F39" s="74" t="s">
        <v>2675</v>
      </c>
      <c r="G39" s="53" t="str">
        <f aca="false">INDEX(I_Items!$D$5:$D$133,MATCH($E39,I_Items!$A$5:$A$133,0))&amp;""</f>
        <v>Karkas</v>
      </c>
      <c r="H39" s="53" t="str">
        <f aca="false">INDEX(I_Items!$F$5:$F$133,MATCH($E39,I_Items!$A$5:$A$133,0))&amp;""</f>
        <v>Fresh</v>
      </c>
      <c r="I39" s="53" t="str">
        <f aca="false">INDEX(I_Items!$E$5:$E$133,MATCH($E39,I_Items!$A$5:$A$133,0))&amp;""</f>
        <v>Uk 1.1</v>
      </c>
      <c r="J39" s="84" t="n">
        <v>168.2</v>
      </c>
      <c r="K39" s="93" t="n">
        <v>0.0240285714285714</v>
      </c>
      <c r="L39" s="8" t="n">
        <v>4036800</v>
      </c>
      <c r="M39" s="8" t="n">
        <v>30493.9117754284</v>
      </c>
      <c r="N39" s="8" t="n">
        <v>5129075.96062705</v>
      </c>
      <c r="O39" s="12"/>
      <c r="P39" s="6" t="s">
        <v>1119</v>
      </c>
    </row>
    <row r="40" customFormat="false" ht="15" hidden="false" customHeight="false" outlineLevel="0" collapsed="false">
      <c r="A40" s="74" t="s">
        <v>2616</v>
      </c>
      <c r="B40" s="74" t="s">
        <v>1290</v>
      </c>
      <c r="C40" s="74" t="s">
        <v>2676</v>
      </c>
      <c r="D40" s="8" t="n">
        <v>24000</v>
      </c>
      <c r="E40" s="74" t="s">
        <v>985</v>
      </c>
      <c r="F40" s="74" t="s">
        <v>2677</v>
      </c>
      <c r="G40" s="53" t="str">
        <f aca="false">INDEX(I_Items!$D$5:$D$133,MATCH($E40,I_Items!$A$5:$A$133,0))&amp;""</f>
        <v>Karkas</v>
      </c>
      <c r="H40" s="53" t="str">
        <f aca="false">INDEX(I_Items!$F$5:$F$133,MATCH($E40,I_Items!$A$5:$A$133,0))&amp;""</f>
        <v>Fresh</v>
      </c>
      <c r="I40" s="53" t="str">
        <f aca="false">INDEX(I_Items!$E$5:$E$133,MATCH($E40,I_Items!$A$5:$A$133,0))&amp;""</f>
        <v>Uk 1.2</v>
      </c>
      <c r="J40" s="84" t="n">
        <v>120.8</v>
      </c>
      <c r="K40" s="93" t="n">
        <v>0.0172571428571429</v>
      </c>
      <c r="L40" s="8" t="n">
        <v>2899200</v>
      </c>
      <c r="M40" s="8" t="n">
        <v>30493.9117754284</v>
      </c>
      <c r="N40" s="8" t="n">
        <v>3683664.54247175</v>
      </c>
      <c r="O40" s="12"/>
      <c r="P40" s="6" t="s">
        <v>1119</v>
      </c>
    </row>
    <row r="41" customFormat="false" ht="15" hidden="false" customHeight="false" outlineLevel="0" collapsed="false">
      <c r="A41" s="74" t="s">
        <v>2616</v>
      </c>
      <c r="B41" s="74" t="s">
        <v>1290</v>
      </c>
      <c r="C41" s="74" t="s">
        <v>2678</v>
      </c>
      <c r="D41" s="8" t="n">
        <v>24000</v>
      </c>
      <c r="E41" s="74" t="s">
        <v>989</v>
      </c>
      <c r="F41" s="74" t="s">
        <v>2679</v>
      </c>
      <c r="G41" s="53" t="str">
        <f aca="false">INDEX(I_Items!$D$5:$D$133,MATCH($E41,I_Items!$A$5:$A$133,0))&amp;""</f>
        <v>Karkas</v>
      </c>
      <c r="H41" s="53" t="str">
        <f aca="false">INDEX(I_Items!$F$5:$F$133,MATCH($E41,I_Items!$A$5:$A$133,0))&amp;""</f>
        <v>Fresh</v>
      </c>
      <c r="I41" s="53" t="str">
        <f aca="false">INDEX(I_Items!$E$5:$E$133,MATCH($E41,I_Items!$A$5:$A$133,0))&amp;""</f>
        <v>Uk 1.3</v>
      </c>
      <c r="J41" s="84" t="n">
        <v>26.9</v>
      </c>
      <c r="K41" s="93" t="n">
        <v>0.00384285714285714</v>
      </c>
      <c r="L41" s="8" t="n">
        <v>645600</v>
      </c>
      <c r="M41" s="8" t="n">
        <v>30493.9117754284</v>
      </c>
      <c r="N41" s="8" t="n">
        <v>820286.226759023</v>
      </c>
      <c r="O41" s="12"/>
      <c r="P41" s="6" t="s">
        <v>1119</v>
      </c>
    </row>
    <row r="42" customFormat="false" ht="15" hidden="false" customHeight="false" outlineLevel="0" collapsed="false">
      <c r="A42" s="74" t="s">
        <v>2616</v>
      </c>
      <c r="B42" s="74" t="s">
        <v>1290</v>
      </c>
      <c r="C42" s="74" t="s">
        <v>2680</v>
      </c>
      <c r="D42" s="8" t="n">
        <v>24000</v>
      </c>
      <c r="E42" s="74" t="s">
        <v>994</v>
      </c>
      <c r="F42" s="74" t="s">
        <v>2681</v>
      </c>
      <c r="G42" s="53" t="str">
        <f aca="false">INDEX(I_Items!$D$5:$D$133,MATCH($E42,I_Items!$A$5:$A$133,0))&amp;""</f>
        <v>Karkas</v>
      </c>
      <c r="H42" s="53" t="str">
        <f aca="false">INDEX(I_Items!$F$5:$F$133,MATCH($E42,I_Items!$A$5:$A$133,0))&amp;""</f>
        <v>Frozen</v>
      </c>
      <c r="I42" s="53" t="str">
        <f aca="false">INDEX(I_Items!$E$5:$E$133,MATCH($E42,I_Items!$A$5:$A$133,0))&amp;""</f>
        <v>Uk 1.4</v>
      </c>
      <c r="J42" s="84" t="n">
        <v>10.1</v>
      </c>
      <c r="K42" s="93" t="n">
        <v>0.00144285714285714</v>
      </c>
      <c r="L42" s="8" t="n">
        <v>242400</v>
      </c>
      <c r="M42" s="8" t="n">
        <v>30493.9117754284</v>
      </c>
      <c r="N42" s="8" t="n">
        <v>307988.508931827</v>
      </c>
      <c r="O42" s="12"/>
      <c r="P42" s="6" t="s">
        <v>1119</v>
      </c>
    </row>
    <row r="43" customFormat="false" ht="15" hidden="false" customHeight="false" outlineLevel="0" collapsed="false">
      <c r="A43" s="74" t="s">
        <v>2618</v>
      </c>
      <c r="B43" s="74" t="s">
        <v>1294</v>
      </c>
      <c r="C43" s="74" t="s">
        <v>2642</v>
      </c>
      <c r="D43" s="8" t="n">
        <v>33000</v>
      </c>
      <c r="E43" s="74" t="s">
        <v>1016</v>
      </c>
      <c r="F43" s="74" t="s">
        <v>2643</v>
      </c>
      <c r="G43" s="53" t="str">
        <f aca="false">INDEX(I_Items!$D$5:$D$133,MATCH($E43,I_Items!$A$5:$A$133,0))&amp;""</f>
        <v>Karkas</v>
      </c>
      <c r="H43" s="53" t="str">
        <f aca="false">INDEX(I_Items!$F$5:$F$133,MATCH($E43,I_Items!$A$5:$A$133,0))&amp;""</f>
        <v>Frozen</v>
      </c>
      <c r="I43" s="53" t="str">
        <f aca="false">INDEX(I_Items!$E$5:$E$133,MATCH($E43,I_Items!$A$5:$A$133,0))&amp;""</f>
        <v>Uk 0.6</v>
      </c>
      <c r="J43" s="84" t="n">
        <v>26.9</v>
      </c>
      <c r="K43" s="93" t="n">
        <v>0.00239300424335697</v>
      </c>
      <c r="L43" s="8" t="n">
        <v>887700</v>
      </c>
      <c r="M43" s="8" t="n">
        <v>35878.2256858108</v>
      </c>
      <c r="N43" s="8" t="n">
        <v>965124.270948311</v>
      </c>
      <c r="O43" s="12"/>
      <c r="P43" s="6" t="s">
        <v>1119</v>
      </c>
    </row>
    <row r="44" customFormat="false" ht="15" hidden="false" customHeight="false" outlineLevel="0" collapsed="false">
      <c r="A44" s="74" t="s">
        <v>2618</v>
      </c>
      <c r="B44" s="74" t="s">
        <v>1294</v>
      </c>
      <c r="C44" s="74" t="s">
        <v>2644</v>
      </c>
      <c r="D44" s="8" t="n">
        <v>33000</v>
      </c>
      <c r="E44" s="74" t="s">
        <v>1017</v>
      </c>
      <c r="F44" s="74" t="s">
        <v>2645</v>
      </c>
      <c r="G44" s="53" t="str">
        <f aca="false">INDEX(I_Items!$D$5:$D$133,MATCH($E44,I_Items!$A$5:$A$133,0))&amp;""</f>
        <v>Karkas</v>
      </c>
      <c r="H44" s="53" t="str">
        <f aca="false">INDEX(I_Items!$F$5:$F$133,MATCH($E44,I_Items!$A$5:$A$133,0))&amp;""</f>
        <v>Frozen</v>
      </c>
      <c r="I44" s="53" t="str">
        <f aca="false">INDEX(I_Items!$E$5:$E$133,MATCH($E44,I_Items!$A$5:$A$133,0))&amp;""</f>
        <v>Uk 0.7</v>
      </c>
      <c r="J44" s="84" t="n">
        <v>101.2</v>
      </c>
      <c r="K44" s="93" t="n">
        <v>0.00900267767389312</v>
      </c>
      <c r="L44" s="8" t="n">
        <v>3339600</v>
      </c>
      <c r="M44" s="8" t="n">
        <v>35878.2256858108</v>
      </c>
      <c r="N44" s="8" t="n">
        <v>3630876.43940406</v>
      </c>
      <c r="O44" s="12"/>
      <c r="P44" s="6" t="s">
        <v>1119</v>
      </c>
    </row>
    <row r="45" customFormat="false" ht="15" hidden="false" customHeight="false" outlineLevel="0" collapsed="false">
      <c r="A45" s="74" t="s">
        <v>2618</v>
      </c>
      <c r="B45" s="74" t="s">
        <v>1294</v>
      </c>
      <c r="C45" s="74" t="s">
        <v>2646</v>
      </c>
      <c r="D45" s="8" t="n">
        <v>33000</v>
      </c>
      <c r="E45" s="74" t="s">
        <v>1014</v>
      </c>
      <c r="F45" s="74" t="s">
        <v>2647</v>
      </c>
      <c r="G45" s="53" t="str">
        <f aca="false">INDEX(I_Items!$D$5:$D$133,MATCH($E45,I_Items!$A$5:$A$133,0))&amp;""</f>
        <v>Karkas</v>
      </c>
      <c r="H45" s="53" t="str">
        <f aca="false">INDEX(I_Items!$F$5:$F$133,MATCH($E45,I_Items!$A$5:$A$133,0))&amp;""</f>
        <v>Frozen</v>
      </c>
      <c r="I45" s="53" t="str">
        <f aca="false">INDEX(I_Items!$E$5:$E$133,MATCH($E45,I_Items!$A$5:$A$133,0))&amp;""</f>
        <v>Uk 0.8</v>
      </c>
      <c r="J45" s="84" t="n">
        <v>352.2</v>
      </c>
      <c r="K45" s="93" t="n">
        <v>0.0313314533275213</v>
      </c>
      <c r="L45" s="8" t="n">
        <v>11622600</v>
      </c>
      <c r="M45" s="8" t="n">
        <v>35878.2256858108</v>
      </c>
      <c r="N45" s="8" t="n">
        <v>12636311.0865426</v>
      </c>
      <c r="O45" s="12"/>
      <c r="P45" s="6" t="s">
        <v>1119</v>
      </c>
    </row>
    <row r="46" customFormat="false" ht="15" hidden="false" customHeight="false" outlineLevel="0" collapsed="false">
      <c r="A46" s="74" t="s">
        <v>2618</v>
      </c>
      <c r="B46" s="74" t="s">
        <v>1294</v>
      </c>
      <c r="C46" s="74" t="s">
        <v>2648</v>
      </c>
      <c r="D46" s="8" t="n">
        <v>33000</v>
      </c>
      <c r="E46" s="74" t="s">
        <v>975</v>
      </c>
      <c r="F46" s="74" t="s">
        <v>2649</v>
      </c>
      <c r="G46" s="53" t="str">
        <f aca="false">INDEX(I_Items!$D$5:$D$133,MATCH($E46,I_Items!$A$5:$A$133,0))&amp;""</f>
        <v>Karkas</v>
      </c>
      <c r="H46" s="53" t="str">
        <f aca="false">INDEX(I_Items!$F$5:$F$133,MATCH($E46,I_Items!$A$5:$A$133,0))&amp;""</f>
        <v>Fresh</v>
      </c>
      <c r="I46" s="53" t="str">
        <f aca="false">INDEX(I_Items!$E$5:$E$133,MATCH($E46,I_Items!$A$5:$A$133,0))&amp;""</f>
        <v>Uk 0.9</v>
      </c>
      <c r="J46" s="84" t="n">
        <v>773.2</v>
      </c>
      <c r="K46" s="93" t="n">
        <v>0.0687833041250412</v>
      </c>
      <c r="L46" s="8" t="n">
        <v>25515600</v>
      </c>
      <c r="M46" s="8" t="n">
        <v>35878.2256858108</v>
      </c>
      <c r="N46" s="8" t="n">
        <v>27741044.1002689</v>
      </c>
      <c r="O46" s="12"/>
      <c r="P46" s="6" t="s">
        <v>1119</v>
      </c>
    </row>
    <row r="47" customFormat="false" ht="15" hidden="false" customHeight="false" outlineLevel="0" collapsed="false">
      <c r="A47" s="74" t="s">
        <v>2618</v>
      </c>
      <c r="B47" s="74" t="s">
        <v>1294</v>
      </c>
      <c r="C47" s="74" t="s">
        <v>2650</v>
      </c>
      <c r="D47" s="8" t="n">
        <v>33000</v>
      </c>
      <c r="E47" s="74" t="s">
        <v>978</v>
      </c>
      <c r="F47" s="74" t="s">
        <v>2651</v>
      </c>
      <c r="G47" s="53" t="str">
        <f aca="false">INDEX(I_Items!$D$5:$D$133,MATCH($E47,I_Items!$A$5:$A$133,0))&amp;""</f>
        <v>Karkas</v>
      </c>
      <c r="H47" s="53" t="str">
        <f aca="false">INDEX(I_Items!$F$5:$F$133,MATCH($E47,I_Items!$A$5:$A$133,0))&amp;""</f>
        <v>Fresh</v>
      </c>
      <c r="I47" s="53" t="str">
        <f aca="false">INDEX(I_Items!$E$5:$E$133,MATCH($E47,I_Items!$A$5:$A$133,0))&amp;""</f>
        <v>Uk 1.0</v>
      </c>
      <c r="J47" s="84" t="n">
        <v>1692.7</v>
      </c>
      <c r="K47" s="93" t="n">
        <v>0.150581348800384</v>
      </c>
      <c r="L47" s="8" t="n">
        <v>55859100</v>
      </c>
      <c r="M47" s="8" t="n">
        <v>35878.2256858108</v>
      </c>
      <c r="N47" s="8" t="n">
        <v>60731072.618372</v>
      </c>
      <c r="O47" s="12"/>
      <c r="P47" s="6" t="s">
        <v>1119</v>
      </c>
    </row>
    <row r="48" customFormat="false" ht="15" hidden="false" customHeight="false" outlineLevel="0" collapsed="false">
      <c r="A48" s="74" t="s">
        <v>2618</v>
      </c>
      <c r="B48" s="74" t="s">
        <v>1294</v>
      </c>
      <c r="C48" s="74" t="s">
        <v>2652</v>
      </c>
      <c r="D48" s="8" t="n">
        <v>33000</v>
      </c>
      <c r="E48" s="74" t="s">
        <v>982</v>
      </c>
      <c r="F48" s="74" t="s">
        <v>2653</v>
      </c>
      <c r="G48" s="53" t="str">
        <f aca="false">INDEX(I_Items!$D$5:$D$133,MATCH($E48,I_Items!$A$5:$A$133,0))&amp;""</f>
        <v>Karkas</v>
      </c>
      <c r="H48" s="53" t="str">
        <f aca="false">INDEX(I_Items!$F$5:$F$133,MATCH($E48,I_Items!$A$5:$A$133,0))&amp;""</f>
        <v>Fresh</v>
      </c>
      <c r="I48" s="53" t="str">
        <f aca="false">INDEX(I_Items!$E$5:$E$133,MATCH($E48,I_Items!$A$5:$A$133,0))&amp;""</f>
        <v>Uk 1.1</v>
      </c>
      <c r="J48" s="84" t="n">
        <v>1736.8</v>
      </c>
      <c r="K48" s="93" t="n">
        <v>0.154504452411241</v>
      </c>
      <c r="L48" s="8" t="n">
        <v>57314400</v>
      </c>
      <c r="M48" s="8" t="n">
        <v>35878.2256858108</v>
      </c>
      <c r="N48" s="8" t="n">
        <v>62313302.3711162</v>
      </c>
      <c r="O48" s="12"/>
      <c r="P48" s="6" t="s">
        <v>1119</v>
      </c>
    </row>
    <row r="49" customFormat="false" ht="15" hidden="false" customHeight="false" outlineLevel="0" collapsed="false">
      <c r="A49" s="74" t="s">
        <v>2618</v>
      </c>
      <c r="B49" s="74" t="s">
        <v>1294</v>
      </c>
      <c r="C49" s="74" t="s">
        <v>2654</v>
      </c>
      <c r="D49" s="8" t="n">
        <v>33000</v>
      </c>
      <c r="E49" s="74" t="s">
        <v>986</v>
      </c>
      <c r="F49" s="74" t="s">
        <v>2655</v>
      </c>
      <c r="G49" s="53" t="str">
        <f aca="false">INDEX(I_Items!$D$5:$D$133,MATCH($E49,I_Items!$A$5:$A$133,0))&amp;""</f>
        <v>Karkas</v>
      </c>
      <c r="H49" s="53" t="str">
        <f aca="false">INDEX(I_Items!$F$5:$F$133,MATCH($E49,I_Items!$A$5:$A$133,0))&amp;""</f>
        <v>Fresh</v>
      </c>
      <c r="I49" s="53" t="str">
        <f aca="false">INDEX(I_Items!$E$5:$E$133,MATCH($E49,I_Items!$A$5:$A$133,0))&amp;""</f>
        <v>Uk 1.2</v>
      </c>
      <c r="J49" s="84" t="n">
        <v>1438.2</v>
      </c>
      <c r="K49" s="93" t="n">
        <v>0.127941215717323</v>
      </c>
      <c r="L49" s="8" t="n">
        <v>47460600</v>
      </c>
      <c r="M49" s="8" t="n">
        <v>35878.2256858108</v>
      </c>
      <c r="N49" s="8" t="n">
        <v>51600064.1813331</v>
      </c>
      <c r="O49" s="12"/>
      <c r="P49" s="6" t="s">
        <v>1119</v>
      </c>
    </row>
    <row r="50" customFormat="false" ht="15" hidden="false" customHeight="false" outlineLevel="0" collapsed="false">
      <c r="A50" s="74" t="s">
        <v>2618</v>
      </c>
      <c r="B50" s="74" t="s">
        <v>1294</v>
      </c>
      <c r="C50" s="74" t="s">
        <v>2656</v>
      </c>
      <c r="D50" s="8" t="n">
        <v>33000</v>
      </c>
      <c r="E50" s="74" t="s">
        <v>990</v>
      </c>
      <c r="F50" s="74" t="s">
        <v>2657</v>
      </c>
      <c r="G50" s="53" t="str">
        <f aca="false">INDEX(I_Items!$D$5:$D$133,MATCH($E50,I_Items!$A$5:$A$133,0))&amp;""</f>
        <v>Karkas</v>
      </c>
      <c r="H50" s="53" t="str">
        <f aca="false">INDEX(I_Items!$F$5:$F$133,MATCH($E50,I_Items!$A$5:$A$133,0))&amp;""</f>
        <v>Fresh</v>
      </c>
      <c r="I50" s="53" t="str">
        <f aca="false">INDEX(I_Items!$E$5:$E$133,MATCH($E50,I_Items!$A$5:$A$133,0))&amp;""</f>
        <v>Uk 1.3</v>
      </c>
      <c r="J50" s="84" t="n">
        <v>544.5</v>
      </c>
      <c r="K50" s="93" t="n">
        <v>0.0484383200932293</v>
      </c>
      <c r="L50" s="8" t="n">
        <v>17968500</v>
      </c>
      <c r="M50" s="8" t="n">
        <v>35878.2256858108</v>
      </c>
      <c r="N50" s="8" t="n">
        <v>19535693.885924</v>
      </c>
      <c r="O50" s="12"/>
      <c r="P50" s="6" t="s">
        <v>1119</v>
      </c>
    </row>
    <row r="51" customFormat="false" ht="15" hidden="false" customHeight="false" outlineLevel="0" collapsed="false">
      <c r="A51" s="74" t="s">
        <v>2618</v>
      </c>
      <c r="B51" s="74" t="s">
        <v>1294</v>
      </c>
      <c r="C51" s="74" t="s">
        <v>2658</v>
      </c>
      <c r="D51" s="8" t="n">
        <v>33000</v>
      </c>
      <c r="E51" s="74" t="s">
        <v>993</v>
      </c>
      <c r="F51" s="74" t="s">
        <v>2659</v>
      </c>
      <c r="G51" s="53" t="str">
        <f aca="false">INDEX(I_Items!$D$5:$D$133,MATCH($E51,I_Items!$A$5:$A$133,0))&amp;""</f>
        <v>Karkas</v>
      </c>
      <c r="H51" s="53" t="str">
        <f aca="false">INDEX(I_Items!$F$5:$F$133,MATCH($E51,I_Items!$A$5:$A$133,0))&amp;""</f>
        <v>Fresh</v>
      </c>
      <c r="I51" s="53" t="str">
        <f aca="false">INDEX(I_Items!$E$5:$E$133,MATCH($E51,I_Items!$A$5:$A$133,0))&amp;""</f>
        <v>Uk 1.4</v>
      </c>
      <c r="J51" s="84" t="n">
        <v>72.3</v>
      </c>
      <c r="K51" s="93" t="n">
        <v>0.00643175489943155</v>
      </c>
      <c r="L51" s="8" t="n">
        <v>2385900</v>
      </c>
      <c r="M51" s="8" t="n">
        <v>35878.2256858108</v>
      </c>
      <c r="N51" s="8" t="n">
        <v>2593995.71708412</v>
      </c>
      <c r="O51" s="12"/>
      <c r="P51" s="6" t="s">
        <v>1119</v>
      </c>
    </row>
    <row r="52" customFormat="false" ht="15" hidden="false" customHeight="false" outlineLevel="0" collapsed="false">
      <c r="A52" s="74" t="s">
        <v>2618</v>
      </c>
      <c r="B52" s="74" t="s">
        <v>1294</v>
      </c>
      <c r="C52" s="74" t="s">
        <v>360</v>
      </c>
      <c r="D52" s="8" t="n">
        <v>20000</v>
      </c>
      <c r="E52" s="74" t="s">
        <v>951</v>
      </c>
      <c r="F52" s="74" t="s">
        <v>2660</v>
      </c>
      <c r="G52" s="53" t="str">
        <f aca="false">INDEX(I_Items!$D$5:$D$133,MATCH($E52,I_Items!$A$5:$A$133,0))&amp;""</f>
        <v>Lemak</v>
      </c>
      <c r="H52" s="53" t="str">
        <f aca="false">INDEX(I_Items!$F$5:$F$133,MATCH($E52,I_Items!$A$5:$A$133,0))&amp;""</f>
        <v>Fresh</v>
      </c>
      <c r="I52" s="53" t="str">
        <f aca="false">INDEX(I_Items!$E$5:$E$133,MATCH($E52,I_Items!$A$5:$A$133,0))&amp;""</f>
        <v/>
      </c>
      <c r="J52" s="84" t="n">
        <v>31.4</v>
      </c>
      <c r="K52" s="93" t="n">
        <v>0.00279332093834233</v>
      </c>
      <c r="L52" s="8" t="n">
        <v>628000</v>
      </c>
      <c r="M52" s="8" t="n">
        <v>21744.3792035217</v>
      </c>
      <c r="N52" s="8" t="n">
        <v>682773.506990582</v>
      </c>
      <c r="O52" s="12"/>
      <c r="P52" s="6" t="s">
        <v>1119</v>
      </c>
    </row>
    <row r="53" customFormat="false" ht="15" hidden="false" customHeight="false" outlineLevel="0" collapsed="false">
      <c r="A53" s="74" t="s">
        <v>2618</v>
      </c>
      <c r="B53" s="74" t="s">
        <v>1294</v>
      </c>
      <c r="C53" s="74" t="s">
        <v>248</v>
      </c>
      <c r="D53" s="8" t="n">
        <v>10000</v>
      </c>
      <c r="E53" s="74" t="s">
        <v>950</v>
      </c>
      <c r="F53" s="74" t="s">
        <v>2661</v>
      </c>
      <c r="G53" s="53" t="str">
        <f aca="false">INDEX(I_Items!$D$5:$D$133,MATCH($E53,I_Items!$A$5:$A$133,0))&amp;""</f>
        <v>Kepala</v>
      </c>
      <c r="H53" s="53" t="str">
        <f aca="false">INDEX(I_Items!$F$5:$F$133,MATCH($E53,I_Items!$A$5:$A$133,0))&amp;""</f>
        <v>Fresh</v>
      </c>
      <c r="I53" s="53" t="str">
        <f aca="false">INDEX(I_Items!$E$5:$E$133,MATCH($E53,I_Items!$A$5:$A$133,0))&amp;""</f>
        <v/>
      </c>
      <c r="J53" s="84" t="n">
        <v>518.8</v>
      </c>
      <c r="K53" s="93" t="n">
        <v>0.0461520669685351</v>
      </c>
      <c r="L53" s="8" t="n">
        <v>5188000</v>
      </c>
      <c r="M53" s="8" t="n">
        <v>10872.1896017609</v>
      </c>
      <c r="N53" s="8" t="n">
        <v>5640491.96539353</v>
      </c>
      <c r="O53" s="12"/>
      <c r="P53" s="6" t="s">
        <v>1119</v>
      </c>
    </row>
    <row r="54" customFormat="false" ht="15" hidden="false" customHeight="false" outlineLevel="0" collapsed="false">
      <c r="A54" s="74" t="s">
        <v>2618</v>
      </c>
      <c r="B54" s="74" t="s">
        <v>1294</v>
      </c>
      <c r="C54" s="74" t="s">
        <v>242</v>
      </c>
      <c r="D54" s="8" t="n">
        <v>12000</v>
      </c>
      <c r="E54" s="74" t="s">
        <v>948</v>
      </c>
      <c r="F54" s="74" t="s">
        <v>2662</v>
      </c>
      <c r="G54" s="53" t="str">
        <f aca="false">INDEX(I_Items!$D$5:$D$133,MATCH($E54,I_Items!$A$5:$A$133,0))&amp;""</f>
        <v>Ceker</v>
      </c>
      <c r="H54" s="53" t="str">
        <f aca="false">INDEX(I_Items!$F$5:$F$133,MATCH($E54,I_Items!$A$5:$A$133,0))&amp;""</f>
        <v>Fresh</v>
      </c>
      <c r="I54" s="53" t="str">
        <f aca="false">INDEX(I_Items!$E$5:$E$133,MATCH($E54,I_Items!$A$5:$A$133,0))&amp;""</f>
        <v/>
      </c>
      <c r="J54" s="84" t="n">
        <v>329.3</v>
      </c>
      <c r="K54" s="93" t="n">
        <v>0.0292942861463736</v>
      </c>
      <c r="L54" s="8" t="n">
        <v>3951600</v>
      </c>
      <c r="M54" s="8" t="n">
        <v>13046.627522113</v>
      </c>
      <c r="N54" s="8" t="n">
        <v>4296254.44303182</v>
      </c>
      <c r="O54" s="12"/>
      <c r="P54" s="6" t="s">
        <v>1119</v>
      </c>
    </row>
    <row r="55" customFormat="false" ht="15" hidden="false" customHeight="false" outlineLevel="0" collapsed="false">
      <c r="A55" s="74" t="s">
        <v>2618</v>
      </c>
      <c r="B55" s="74" t="s">
        <v>1294</v>
      </c>
      <c r="C55" s="74" t="s">
        <v>253</v>
      </c>
      <c r="D55" s="8" t="n">
        <v>5000</v>
      </c>
      <c r="E55" s="74" t="s">
        <v>953</v>
      </c>
      <c r="F55" s="74" t="s">
        <v>2682</v>
      </c>
      <c r="G55" s="53" t="str">
        <f aca="false">INDEX(I_Items!$D$5:$D$133,MATCH($E55,I_Items!$A$5:$A$133,0))&amp;""</f>
        <v>Usus</v>
      </c>
      <c r="H55" s="53" t="str">
        <f aca="false">INDEX(I_Items!$F$5:$F$133,MATCH($E55,I_Items!$A$5:$A$133,0))&amp;""</f>
        <v>Fresh</v>
      </c>
      <c r="I55" s="53" t="str">
        <f aca="false">INDEX(I_Items!$E$5:$E$133,MATCH($E55,I_Items!$A$5:$A$133,0))&amp;""</f>
        <v/>
      </c>
      <c r="J55" s="84" t="n">
        <v>495</v>
      </c>
      <c r="K55" s="93" t="n">
        <v>0.0440348364483903</v>
      </c>
      <c r="L55" s="8" t="n">
        <v>2475000</v>
      </c>
      <c r="M55" s="8" t="n">
        <v>5436.09480088043</v>
      </c>
      <c r="N55" s="8" t="n">
        <v>2690866.92643581</v>
      </c>
      <c r="O55" s="12"/>
      <c r="P55" s="6" t="s">
        <v>1119</v>
      </c>
    </row>
    <row r="56" customFormat="false" ht="15" hidden="false" customHeight="false" outlineLevel="0" collapsed="false">
      <c r="A56" s="74" t="s">
        <v>2618</v>
      </c>
      <c r="B56" s="74" t="s">
        <v>1294</v>
      </c>
      <c r="C56" s="74" t="s">
        <v>2665</v>
      </c>
      <c r="D56" s="8" t="n">
        <v>5000</v>
      </c>
      <c r="E56" s="74" t="s">
        <v>949</v>
      </c>
      <c r="F56" s="74" t="s">
        <v>2666</v>
      </c>
      <c r="G56" s="53" t="str">
        <f aca="false">INDEX(I_Items!$D$5:$D$133,MATCH($E56,I_Items!$A$5:$A$133,0))&amp;""</f>
        <v>HJA (Hati/Jantung/Ampela)</v>
      </c>
      <c r="H56" s="53" t="str">
        <f aca="false">INDEX(I_Items!$F$5:$F$133,MATCH($E56,I_Items!$A$5:$A$133,0))&amp;""</f>
        <v>Fresh</v>
      </c>
      <c r="I56" s="53" t="str">
        <f aca="false">INDEX(I_Items!$E$5:$E$133,MATCH($E56,I_Items!$A$5:$A$133,0))&amp;""</f>
        <v/>
      </c>
      <c r="J56" s="84" t="n">
        <v>590.7</v>
      </c>
      <c r="K56" s="93" t="n">
        <v>0.0525482381617457</v>
      </c>
      <c r="L56" s="8" t="n">
        <v>2953500</v>
      </c>
      <c r="M56" s="8" t="n">
        <v>5436.09480088043</v>
      </c>
      <c r="N56" s="8" t="n">
        <v>3211101.19888007</v>
      </c>
      <c r="O56" s="12"/>
      <c r="P56" s="6" t="s">
        <v>1119</v>
      </c>
    </row>
    <row r="57" customFormat="false" ht="15" hidden="false" customHeight="false" outlineLevel="0" collapsed="false">
      <c r="A57" s="74" t="s">
        <v>2618</v>
      </c>
      <c r="B57" s="74" t="s">
        <v>1294</v>
      </c>
      <c r="C57" s="74" t="s">
        <v>2683</v>
      </c>
      <c r="D57" s="8" t="n">
        <v>30000</v>
      </c>
      <c r="E57" s="74" t="s">
        <v>972</v>
      </c>
      <c r="F57" s="74" t="s">
        <v>2684</v>
      </c>
      <c r="G57" s="53" t="str">
        <f aca="false">INDEX(I_Items!$D$5:$D$133,MATCH($E57,I_Items!$A$5:$A$133,0))&amp;""</f>
        <v>Karkas</v>
      </c>
      <c r="H57" s="53" t="str">
        <f aca="false">INDEX(I_Items!$F$5:$F$133,MATCH($E57,I_Items!$A$5:$A$133,0))&amp;""</f>
        <v>Frozen</v>
      </c>
      <c r="I57" s="53" t="str">
        <f aca="false">INDEX(I_Items!$E$5:$E$133,MATCH($E57,I_Items!$A$5:$A$133,0))&amp;""</f>
        <v>Uk 0.6</v>
      </c>
      <c r="J57" s="84" t="n">
        <v>8.5</v>
      </c>
      <c r="K57" s="93" t="n">
        <v>0.000756153757194581</v>
      </c>
      <c r="L57" s="8" t="n">
        <v>255000</v>
      </c>
      <c r="M57" s="8" t="n">
        <v>32616.5688052826</v>
      </c>
      <c r="N57" s="8" t="n">
        <v>277240.834844902</v>
      </c>
      <c r="O57" s="12"/>
      <c r="P57" s="6" t="s">
        <v>1119</v>
      </c>
    </row>
    <row r="58" customFormat="false" ht="15" hidden="false" customHeight="false" outlineLevel="0" collapsed="false">
      <c r="A58" s="74" t="s">
        <v>2618</v>
      </c>
      <c r="B58" s="74" t="s">
        <v>1294</v>
      </c>
      <c r="C58" s="74" t="s">
        <v>2667</v>
      </c>
      <c r="D58" s="8" t="n">
        <v>30000</v>
      </c>
      <c r="E58" s="74" t="s">
        <v>973</v>
      </c>
      <c r="F58" s="74" t="s">
        <v>2668</v>
      </c>
      <c r="G58" s="53" t="str">
        <f aca="false">INDEX(I_Items!$D$5:$D$133,MATCH($E58,I_Items!$A$5:$A$133,0))&amp;""</f>
        <v>Karkas</v>
      </c>
      <c r="H58" s="53" t="str">
        <f aca="false">INDEX(I_Items!$F$5:$F$133,MATCH($E58,I_Items!$A$5:$A$133,0))&amp;""</f>
        <v>Frozen</v>
      </c>
      <c r="I58" s="53" t="str">
        <f aca="false">INDEX(I_Items!$E$5:$E$133,MATCH($E58,I_Items!$A$5:$A$133,0))&amp;""</f>
        <v>Uk 0.7</v>
      </c>
      <c r="J58" s="84" t="n">
        <v>37.6</v>
      </c>
      <c r="K58" s="93" t="n">
        <v>0.00334486838476662</v>
      </c>
      <c r="L58" s="8" t="n">
        <v>1128000</v>
      </c>
      <c r="M58" s="8" t="n">
        <v>32616.5688052826</v>
      </c>
      <c r="N58" s="8" t="n">
        <v>1226382.98707863</v>
      </c>
      <c r="O58" s="12"/>
      <c r="P58" s="6" t="s">
        <v>1119</v>
      </c>
    </row>
    <row r="59" customFormat="false" ht="15" hidden="false" customHeight="false" outlineLevel="0" collapsed="false">
      <c r="A59" s="74" t="s">
        <v>2618</v>
      </c>
      <c r="B59" s="74" t="s">
        <v>1294</v>
      </c>
      <c r="C59" s="74" t="s">
        <v>2669</v>
      </c>
      <c r="D59" s="8" t="n">
        <v>30000</v>
      </c>
      <c r="E59" s="74" t="s">
        <v>974</v>
      </c>
      <c r="F59" s="74" t="s">
        <v>2670</v>
      </c>
      <c r="G59" s="53" t="str">
        <f aca="false">INDEX(I_Items!$D$5:$D$133,MATCH($E59,I_Items!$A$5:$A$133,0))&amp;""</f>
        <v>Karkas</v>
      </c>
      <c r="H59" s="53" t="str">
        <f aca="false">INDEX(I_Items!$F$5:$F$133,MATCH($E59,I_Items!$A$5:$A$133,0))&amp;""</f>
        <v>Frozen</v>
      </c>
      <c r="I59" s="53" t="str">
        <f aca="false">INDEX(I_Items!$E$5:$E$133,MATCH($E59,I_Items!$A$5:$A$133,0))&amp;""</f>
        <v>Uk 0.8</v>
      </c>
      <c r="J59" s="84" t="n">
        <v>63</v>
      </c>
      <c r="K59" s="93" t="n">
        <v>0.00560443372979513</v>
      </c>
      <c r="L59" s="8" t="n">
        <v>1890000</v>
      </c>
      <c r="M59" s="8" t="n">
        <v>32616.5688052826</v>
      </c>
      <c r="N59" s="8" t="n">
        <v>2054843.8347328</v>
      </c>
      <c r="O59" s="12"/>
      <c r="P59" s="6" t="s">
        <v>1119</v>
      </c>
    </row>
    <row r="60" customFormat="false" ht="15" hidden="false" customHeight="false" outlineLevel="0" collapsed="false">
      <c r="A60" s="74" t="s">
        <v>2618</v>
      </c>
      <c r="B60" s="74" t="s">
        <v>1294</v>
      </c>
      <c r="C60" s="74" t="s">
        <v>2671</v>
      </c>
      <c r="D60" s="8" t="n">
        <v>30000</v>
      </c>
      <c r="E60" s="74" t="s">
        <v>976</v>
      </c>
      <c r="F60" s="74" t="s">
        <v>2672</v>
      </c>
      <c r="G60" s="53" t="str">
        <f aca="false">INDEX(I_Items!$D$5:$D$133,MATCH($E60,I_Items!$A$5:$A$133,0))&amp;""</f>
        <v>Karkas</v>
      </c>
      <c r="H60" s="53" t="str">
        <f aca="false">INDEX(I_Items!$F$5:$F$133,MATCH($E60,I_Items!$A$5:$A$133,0))&amp;""</f>
        <v>Frozen</v>
      </c>
      <c r="I60" s="53" t="str">
        <f aca="false">INDEX(I_Items!$E$5:$E$133,MATCH($E60,I_Items!$A$5:$A$133,0))&amp;""</f>
        <v>Uk 0.9</v>
      </c>
      <c r="J60" s="84" t="n">
        <v>147.9</v>
      </c>
      <c r="K60" s="93" t="n">
        <v>0.0131570753751857</v>
      </c>
      <c r="L60" s="8" t="n">
        <v>4437000</v>
      </c>
      <c r="M60" s="8" t="n">
        <v>32616.5688052826</v>
      </c>
      <c r="N60" s="8" t="n">
        <v>4823990.52630129</v>
      </c>
      <c r="O60" s="12"/>
      <c r="P60" s="6" t="s">
        <v>1119</v>
      </c>
    </row>
    <row r="61" customFormat="false" ht="15" hidden="false" customHeight="false" outlineLevel="0" collapsed="false">
      <c r="A61" s="74" t="s">
        <v>2618</v>
      </c>
      <c r="B61" s="74" t="s">
        <v>1294</v>
      </c>
      <c r="C61" s="74" t="s">
        <v>2673</v>
      </c>
      <c r="D61" s="8" t="n">
        <v>30000</v>
      </c>
      <c r="E61" s="74" t="s">
        <v>979</v>
      </c>
      <c r="F61" s="74" t="s">
        <v>2685</v>
      </c>
      <c r="G61" s="53" t="str">
        <f aca="false">INDEX(I_Items!$D$5:$D$133,MATCH($E61,I_Items!$A$5:$A$133,0))&amp;""</f>
        <v>Karkas</v>
      </c>
      <c r="H61" s="53" t="str">
        <f aca="false">INDEX(I_Items!$F$5:$F$133,MATCH($E61,I_Items!$A$5:$A$133,0))&amp;""</f>
        <v>Frozen</v>
      </c>
      <c r="I61" s="53" t="str">
        <f aca="false">INDEX(I_Items!$E$5:$E$133,MATCH($E61,I_Items!$A$5:$A$133,0))&amp;""</f>
        <v>Uk 1.0</v>
      </c>
      <c r="J61" s="84" t="n">
        <v>207.3</v>
      </c>
      <c r="K61" s="93" t="n">
        <v>0.0184412557489925</v>
      </c>
      <c r="L61" s="8" t="n">
        <v>6219000</v>
      </c>
      <c r="M61" s="8" t="n">
        <v>32616.5688052826</v>
      </c>
      <c r="N61" s="8" t="n">
        <v>6761414.71333508</v>
      </c>
      <c r="O61" s="12"/>
      <c r="P61" s="6" t="s">
        <v>1119</v>
      </c>
    </row>
    <row r="62" customFormat="false" ht="15" hidden="false" customHeight="false" outlineLevel="0" collapsed="false">
      <c r="A62" s="74" t="s">
        <v>2618</v>
      </c>
      <c r="B62" s="74" t="s">
        <v>1294</v>
      </c>
      <c r="C62" s="74" t="s">
        <v>2674</v>
      </c>
      <c r="D62" s="8" t="n">
        <v>30000</v>
      </c>
      <c r="E62" s="74" t="s">
        <v>983</v>
      </c>
      <c r="F62" s="74" t="s">
        <v>2686</v>
      </c>
      <c r="G62" s="53" t="str">
        <f aca="false">INDEX(I_Items!$D$5:$D$133,MATCH($E62,I_Items!$A$5:$A$133,0))&amp;""</f>
        <v>Karkas</v>
      </c>
      <c r="H62" s="53" t="str">
        <f aca="false">INDEX(I_Items!$F$5:$F$133,MATCH($E62,I_Items!$A$5:$A$133,0))&amp;""</f>
        <v>Frozen</v>
      </c>
      <c r="I62" s="53" t="str">
        <f aca="false">INDEX(I_Items!$E$5:$E$133,MATCH($E62,I_Items!$A$5:$A$133,0))&amp;""</f>
        <v>Uk 1.1</v>
      </c>
      <c r="J62" s="84" t="n">
        <v>161</v>
      </c>
      <c r="K62" s="93" t="n">
        <v>0.0143224417539209</v>
      </c>
      <c r="L62" s="8" t="n">
        <v>4830000</v>
      </c>
      <c r="M62" s="8" t="n">
        <v>32616.5688052826</v>
      </c>
      <c r="N62" s="8" t="n">
        <v>5251267.57765049</v>
      </c>
      <c r="O62" s="12"/>
      <c r="P62" s="6" t="s">
        <v>1119</v>
      </c>
    </row>
    <row r="63" customFormat="false" ht="15" hidden="false" customHeight="false" outlineLevel="0" collapsed="false">
      <c r="A63" s="74" t="s">
        <v>2618</v>
      </c>
      <c r="B63" s="74" t="s">
        <v>1294</v>
      </c>
      <c r="C63" s="74" t="s">
        <v>2676</v>
      </c>
      <c r="D63" s="8" t="n">
        <v>30000</v>
      </c>
      <c r="E63" s="74" t="s">
        <v>987</v>
      </c>
      <c r="F63" s="74" t="s">
        <v>2687</v>
      </c>
      <c r="G63" s="53" t="str">
        <f aca="false">INDEX(I_Items!$D$5:$D$133,MATCH($E63,I_Items!$A$5:$A$133,0))&amp;""</f>
        <v>Karkas</v>
      </c>
      <c r="H63" s="53" t="str">
        <f aca="false">INDEX(I_Items!$F$5:$F$133,MATCH($E63,I_Items!$A$5:$A$133,0))&amp;""</f>
        <v>Frozen</v>
      </c>
      <c r="I63" s="53" t="str">
        <f aca="false">INDEX(I_Items!$E$5:$E$133,MATCH($E63,I_Items!$A$5:$A$133,0))&amp;""</f>
        <v>Uk 1.2</v>
      </c>
      <c r="J63" s="84" t="n">
        <v>117.5</v>
      </c>
      <c r="K63" s="93" t="n">
        <v>0.0104527137023957</v>
      </c>
      <c r="L63" s="8" t="n">
        <v>3525000</v>
      </c>
      <c r="M63" s="8" t="n">
        <v>32616.5688052826</v>
      </c>
      <c r="N63" s="8" t="n">
        <v>3832446.8346207</v>
      </c>
      <c r="O63" s="12"/>
      <c r="P63" s="6" t="s">
        <v>1119</v>
      </c>
    </row>
    <row r="64" customFormat="false" ht="15" hidden="false" customHeight="false" outlineLevel="0" collapsed="false">
      <c r="A64" s="74" t="s">
        <v>2618</v>
      </c>
      <c r="B64" s="74" t="s">
        <v>1294</v>
      </c>
      <c r="C64" s="74" t="s">
        <v>2678</v>
      </c>
      <c r="D64" s="8" t="n">
        <v>30000</v>
      </c>
      <c r="E64" s="74" t="s">
        <v>991</v>
      </c>
      <c r="F64" s="74" t="s">
        <v>2688</v>
      </c>
      <c r="G64" s="53" t="str">
        <f aca="false">INDEX(I_Items!$D$5:$D$133,MATCH($E64,I_Items!$A$5:$A$133,0))&amp;""</f>
        <v>Karkas</v>
      </c>
      <c r="H64" s="53" t="str">
        <f aca="false">INDEX(I_Items!$F$5:$F$133,MATCH($E64,I_Items!$A$5:$A$133,0))&amp;""</f>
        <v>Frozen</v>
      </c>
      <c r="I64" s="53" t="str">
        <f aca="false">INDEX(I_Items!$E$5:$E$133,MATCH($E64,I_Items!$A$5:$A$133,0))&amp;""</f>
        <v>Uk 1.3</v>
      </c>
      <c r="J64" s="84" t="n">
        <v>51.3</v>
      </c>
      <c r="K64" s="93" t="n">
        <v>0.00456361032283317</v>
      </c>
      <c r="L64" s="8" t="n">
        <v>1539000</v>
      </c>
      <c r="M64" s="8" t="n">
        <v>32616.5688052826</v>
      </c>
      <c r="N64" s="8" t="n">
        <v>1673229.979711</v>
      </c>
      <c r="O64" s="12"/>
      <c r="P64" s="6" t="s">
        <v>1119</v>
      </c>
    </row>
    <row r="65" customFormat="false" ht="15" hidden="false" customHeight="false" outlineLevel="0" collapsed="false">
      <c r="A65" s="74" t="s">
        <v>2620</v>
      </c>
      <c r="B65" s="74" t="s">
        <v>1298</v>
      </c>
      <c r="C65" s="74" t="s">
        <v>2646</v>
      </c>
      <c r="D65" s="8" t="n">
        <v>33000</v>
      </c>
      <c r="E65" s="74" t="s">
        <v>1017</v>
      </c>
      <c r="F65" s="74" t="s">
        <v>2645</v>
      </c>
      <c r="G65" s="53" t="str">
        <f aca="false">INDEX(I_Items!$D$5:$D$133,MATCH($E65,I_Items!$A$5:$A$133,0))&amp;""</f>
        <v>Karkas</v>
      </c>
      <c r="H65" s="53" t="str">
        <f aca="false">INDEX(I_Items!$F$5:$F$133,MATCH($E65,I_Items!$A$5:$A$133,0))&amp;""</f>
        <v>Frozen</v>
      </c>
      <c r="I65" s="53" t="str">
        <f aca="false">INDEX(I_Items!$E$5:$E$133,MATCH($E65,I_Items!$A$5:$A$133,0))&amp;""</f>
        <v>Uk 0.7</v>
      </c>
      <c r="J65" s="84" t="n">
        <v>7.7</v>
      </c>
      <c r="K65" s="93" t="n">
        <v>0.0011</v>
      </c>
      <c r="L65" s="8" t="n">
        <v>254100</v>
      </c>
      <c r="M65" s="8" t="n">
        <v>37934.2336895109</v>
      </c>
      <c r="N65" s="8" t="n">
        <v>292093.599409234</v>
      </c>
      <c r="O65" s="12"/>
      <c r="P65" s="6" t="s">
        <v>1119</v>
      </c>
    </row>
    <row r="66" customFormat="false" ht="15" hidden="false" customHeight="false" outlineLevel="0" collapsed="false">
      <c r="A66" s="74" t="s">
        <v>2620</v>
      </c>
      <c r="B66" s="74" t="s">
        <v>1298</v>
      </c>
      <c r="C66" s="74" t="s">
        <v>2648</v>
      </c>
      <c r="D66" s="8" t="n">
        <v>33000</v>
      </c>
      <c r="E66" s="74" t="s">
        <v>1014</v>
      </c>
      <c r="F66" s="74" t="s">
        <v>2647</v>
      </c>
      <c r="G66" s="53" t="str">
        <f aca="false">INDEX(I_Items!$D$5:$D$133,MATCH($E66,I_Items!$A$5:$A$133,0))&amp;""</f>
        <v>Karkas</v>
      </c>
      <c r="H66" s="53" t="str">
        <f aca="false">INDEX(I_Items!$F$5:$F$133,MATCH($E66,I_Items!$A$5:$A$133,0))&amp;""</f>
        <v>Frozen</v>
      </c>
      <c r="I66" s="53" t="str">
        <f aca="false">INDEX(I_Items!$E$5:$E$133,MATCH($E66,I_Items!$A$5:$A$133,0))&amp;""</f>
        <v>Uk 0.8</v>
      </c>
      <c r="J66" s="84" t="n">
        <v>9.7</v>
      </c>
      <c r="K66" s="93" t="n">
        <v>0.00138571428571429</v>
      </c>
      <c r="L66" s="8" t="n">
        <v>320100</v>
      </c>
      <c r="M66" s="8" t="n">
        <v>37934.2336895109</v>
      </c>
      <c r="N66" s="8" t="n">
        <v>367962.066788256</v>
      </c>
      <c r="O66" s="12"/>
      <c r="P66" s="6" t="s">
        <v>1119</v>
      </c>
    </row>
    <row r="67" customFormat="false" ht="15" hidden="false" customHeight="false" outlineLevel="0" collapsed="false">
      <c r="A67" s="74" t="s">
        <v>2620</v>
      </c>
      <c r="B67" s="74" t="s">
        <v>1298</v>
      </c>
      <c r="C67" s="74" t="s">
        <v>2650</v>
      </c>
      <c r="D67" s="8" t="n">
        <v>33000</v>
      </c>
      <c r="E67" s="74" t="s">
        <v>980</v>
      </c>
      <c r="F67" s="74" t="s">
        <v>2689</v>
      </c>
      <c r="G67" s="53" t="str">
        <f aca="false">INDEX(I_Items!$D$5:$D$133,MATCH($E67,I_Items!$A$5:$A$133,0))&amp;""</f>
        <v>Karkas</v>
      </c>
      <c r="H67" s="53" t="str">
        <f aca="false">INDEX(I_Items!$F$5:$F$133,MATCH($E67,I_Items!$A$5:$A$133,0))&amp;""</f>
        <v>Frozen</v>
      </c>
      <c r="I67" s="53" t="str">
        <f aca="false">INDEX(I_Items!$E$5:$E$133,MATCH($E67,I_Items!$A$5:$A$133,0))&amp;""</f>
        <v>Uk 1.0</v>
      </c>
      <c r="J67" s="84" t="n">
        <v>21.4</v>
      </c>
      <c r="K67" s="93" t="n">
        <v>0.00305714285714286</v>
      </c>
      <c r="L67" s="8" t="n">
        <v>706200</v>
      </c>
      <c r="M67" s="8" t="n">
        <v>37934.2336895109</v>
      </c>
      <c r="N67" s="8" t="n">
        <v>811792.600955534</v>
      </c>
      <c r="O67" s="12"/>
      <c r="P67" s="6" t="s">
        <v>1119</v>
      </c>
    </row>
    <row r="68" customFormat="false" ht="15" hidden="false" customHeight="false" outlineLevel="0" collapsed="false">
      <c r="A68" s="74" t="s">
        <v>2620</v>
      </c>
      <c r="B68" s="74" t="s">
        <v>1298</v>
      </c>
      <c r="C68" s="74" t="s">
        <v>2652</v>
      </c>
      <c r="D68" s="8" t="n">
        <v>33000</v>
      </c>
      <c r="E68" s="74" t="s">
        <v>984</v>
      </c>
      <c r="F68" s="74" t="s">
        <v>2690</v>
      </c>
      <c r="G68" s="53" t="str">
        <f aca="false">INDEX(I_Items!$D$5:$D$133,MATCH($E68,I_Items!$A$5:$A$133,0))&amp;""</f>
        <v>Karkas</v>
      </c>
      <c r="H68" s="53" t="str">
        <f aca="false">INDEX(I_Items!$F$5:$F$133,MATCH($E68,I_Items!$A$5:$A$133,0))&amp;""</f>
        <v>Frozen</v>
      </c>
      <c r="I68" s="53" t="str">
        <f aca="false">INDEX(I_Items!$E$5:$E$133,MATCH($E68,I_Items!$A$5:$A$133,0))&amp;""</f>
        <v>Uk 1.1</v>
      </c>
      <c r="J68" s="84" t="n">
        <v>75.9</v>
      </c>
      <c r="K68" s="93" t="n">
        <v>0.0108428571428571</v>
      </c>
      <c r="L68" s="8" t="n">
        <v>2504700</v>
      </c>
      <c r="M68" s="8" t="n">
        <v>37934.2336895109</v>
      </c>
      <c r="N68" s="8" t="n">
        <v>2879208.33703388</v>
      </c>
      <c r="O68" s="12"/>
      <c r="P68" s="6" t="s">
        <v>1119</v>
      </c>
    </row>
    <row r="69" customFormat="false" ht="15" hidden="false" customHeight="false" outlineLevel="0" collapsed="false">
      <c r="A69" s="74" t="s">
        <v>2620</v>
      </c>
      <c r="B69" s="74" t="s">
        <v>1298</v>
      </c>
      <c r="C69" s="74" t="s">
        <v>2654</v>
      </c>
      <c r="D69" s="8" t="n">
        <v>33000</v>
      </c>
      <c r="E69" s="74" t="s">
        <v>988</v>
      </c>
      <c r="F69" s="74" t="s">
        <v>2691</v>
      </c>
      <c r="G69" s="53" t="str">
        <f aca="false">INDEX(I_Items!$D$5:$D$133,MATCH($E69,I_Items!$A$5:$A$133,0))&amp;""</f>
        <v>Karkas</v>
      </c>
      <c r="H69" s="53" t="str">
        <f aca="false">INDEX(I_Items!$F$5:$F$133,MATCH($E69,I_Items!$A$5:$A$133,0))&amp;""</f>
        <v>Frozen</v>
      </c>
      <c r="I69" s="53" t="str">
        <f aca="false">INDEX(I_Items!$E$5:$E$133,MATCH($E69,I_Items!$A$5:$A$133,0))&amp;""</f>
        <v>Uk 1.2</v>
      </c>
      <c r="J69" s="84" t="n">
        <v>189.6</v>
      </c>
      <c r="K69" s="93" t="n">
        <v>0.0270857142857143</v>
      </c>
      <c r="L69" s="8" t="n">
        <v>6256800</v>
      </c>
      <c r="M69" s="8" t="n">
        <v>37934.2336895109</v>
      </c>
      <c r="N69" s="8" t="n">
        <v>7192330.70753127</v>
      </c>
      <c r="O69" s="12"/>
      <c r="P69" s="6" t="s">
        <v>1119</v>
      </c>
    </row>
    <row r="70" customFormat="false" ht="15" hidden="false" customHeight="false" outlineLevel="0" collapsed="false">
      <c r="A70" s="74" t="s">
        <v>2620</v>
      </c>
      <c r="B70" s="74" t="s">
        <v>1298</v>
      </c>
      <c r="C70" s="74" t="s">
        <v>2656</v>
      </c>
      <c r="D70" s="8" t="n">
        <v>33000</v>
      </c>
      <c r="E70" s="74" t="s">
        <v>990</v>
      </c>
      <c r="F70" s="74" t="s">
        <v>2657</v>
      </c>
      <c r="G70" s="53" t="str">
        <f aca="false">INDEX(I_Items!$D$5:$D$133,MATCH($E70,I_Items!$A$5:$A$133,0))&amp;""</f>
        <v>Karkas</v>
      </c>
      <c r="H70" s="53" t="str">
        <f aca="false">INDEX(I_Items!$F$5:$F$133,MATCH($E70,I_Items!$A$5:$A$133,0))&amp;""</f>
        <v>Fresh</v>
      </c>
      <c r="I70" s="53" t="str">
        <f aca="false">INDEX(I_Items!$E$5:$E$133,MATCH($E70,I_Items!$A$5:$A$133,0))&amp;""</f>
        <v>Uk 1.3</v>
      </c>
      <c r="J70" s="84" t="n">
        <v>356.9</v>
      </c>
      <c r="K70" s="93" t="n">
        <v>0.0509857142857143</v>
      </c>
      <c r="L70" s="8" t="n">
        <v>11777700</v>
      </c>
      <c r="M70" s="8" t="n">
        <v>37934.2336895109</v>
      </c>
      <c r="N70" s="8" t="n">
        <v>13538728.0037865</v>
      </c>
      <c r="O70" s="12"/>
      <c r="P70" s="6" t="s">
        <v>1119</v>
      </c>
    </row>
    <row r="71" customFormat="false" ht="15" hidden="false" customHeight="false" outlineLevel="0" collapsed="false">
      <c r="A71" s="74" t="s">
        <v>2620</v>
      </c>
      <c r="B71" s="74" t="s">
        <v>1298</v>
      </c>
      <c r="C71" s="74" t="s">
        <v>2658</v>
      </c>
      <c r="D71" s="8" t="n">
        <v>33000</v>
      </c>
      <c r="E71" s="74" t="s">
        <v>993</v>
      </c>
      <c r="F71" s="74" t="s">
        <v>2659</v>
      </c>
      <c r="G71" s="53" t="str">
        <f aca="false">INDEX(I_Items!$D$5:$D$133,MATCH($E71,I_Items!$A$5:$A$133,0))&amp;""</f>
        <v>Karkas</v>
      </c>
      <c r="H71" s="53" t="str">
        <f aca="false">INDEX(I_Items!$F$5:$F$133,MATCH($E71,I_Items!$A$5:$A$133,0))&amp;""</f>
        <v>Fresh</v>
      </c>
      <c r="I71" s="53" t="str">
        <f aca="false">INDEX(I_Items!$E$5:$E$133,MATCH($E71,I_Items!$A$5:$A$133,0))&amp;""</f>
        <v>Uk 1.4</v>
      </c>
      <c r="J71" s="84" t="n">
        <v>608.4</v>
      </c>
      <c r="K71" s="93" t="n">
        <v>0.0869142857142857</v>
      </c>
      <c r="L71" s="8" t="n">
        <v>20077200</v>
      </c>
      <c r="M71" s="8" t="n">
        <v>37934.2336895109</v>
      </c>
      <c r="N71" s="8" t="n">
        <v>23079187.7766985</v>
      </c>
      <c r="O71" s="12"/>
      <c r="P71" s="6" t="s">
        <v>1119</v>
      </c>
    </row>
    <row r="72" customFormat="false" ht="15" hidden="false" customHeight="false" outlineLevel="0" collapsed="false">
      <c r="A72" s="74" t="s">
        <v>2620</v>
      </c>
      <c r="B72" s="74" t="s">
        <v>1298</v>
      </c>
      <c r="C72" s="74" t="s">
        <v>2692</v>
      </c>
      <c r="D72" s="8" t="n">
        <v>33000</v>
      </c>
      <c r="E72" s="74" t="s">
        <v>996</v>
      </c>
      <c r="F72" s="74" t="s">
        <v>2693</v>
      </c>
      <c r="G72" s="53" t="str">
        <f aca="false">INDEX(I_Items!$D$5:$D$133,MATCH($E72,I_Items!$A$5:$A$133,0))&amp;""</f>
        <v>Karkas</v>
      </c>
      <c r="H72" s="53" t="str">
        <f aca="false">INDEX(I_Items!$F$5:$F$133,MATCH($E72,I_Items!$A$5:$A$133,0))&amp;""</f>
        <v>Fresh</v>
      </c>
      <c r="I72" s="53" t="str">
        <f aca="false">INDEX(I_Items!$E$5:$E$133,MATCH($E72,I_Items!$A$5:$A$133,0))&amp;""</f>
        <v>Uk 1.5</v>
      </c>
      <c r="J72" s="84" t="n">
        <v>840.7</v>
      </c>
      <c r="K72" s="93" t="n">
        <v>0.1201</v>
      </c>
      <c r="L72" s="8" t="n">
        <v>27743100</v>
      </c>
      <c r="M72" s="8" t="n">
        <v>37934.2336895109</v>
      </c>
      <c r="N72" s="8" t="n">
        <v>31891310.2627718</v>
      </c>
      <c r="O72" s="12"/>
      <c r="P72" s="6" t="s">
        <v>1119</v>
      </c>
    </row>
    <row r="73" customFormat="false" ht="15" hidden="false" customHeight="false" outlineLevel="0" collapsed="false">
      <c r="A73" s="74" t="s">
        <v>2620</v>
      </c>
      <c r="B73" s="74" t="s">
        <v>1298</v>
      </c>
      <c r="C73" s="74" t="s">
        <v>2694</v>
      </c>
      <c r="D73" s="8" t="n">
        <v>33000</v>
      </c>
      <c r="E73" s="74" t="s">
        <v>999</v>
      </c>
      <c r="F73" s="74" t="s">
        <v>2695</v>
      </c>
      <c r="G73" s="53" t="str">
        <f aca="false">INDEX(I_Items!$D$5:$D$133,MATCH($E73,I_Items!$A$5:$A$133,0))&amp;""</f>
        <v>Karkas</v>
      </c>
      <c r="H73" s="53" t="str">
        <f aca="false">INDEX(I_Items!$F$5:$F$133,MATCH($E73,I_Items!$A$5:$A$133,0))&amp;""</f>
        <v>Fresh</v>
      </c>
      <c r="I73" s="53" t="str">
        <f aca="false">INDEX(I_Items!$E$5:$E$133,MATCH($E73,I_Items!$A$5:$A$133,0))&amp;""</f>
        <v>Uk 1.6</v>
      </c>
      <c r="J73" s="84" t="n">
        <v>807.1</v>
      </c>
      <c r="K73" s="93" t="n">
        <v>0.1153</v>
      </c>
      <c r="L73" s="8" t="n">
        <v>26634300</v>
      </c>
      <c r="M73" s="8" t="n">
        <v>37934.2336895109</v>
      </c>
      <c r="N73" s="8" t="n">
        <v>30616720.0108043</v>
      </c>
      <c r="O73" s="12"/>
      <c r="P73" s="6" t="s">
        <v>1119</v>
      </c>
    </row>
    <row r="74" customFormat="false" ht="15" hidden="false" customHeight="false" outlineLevel="0" collapsed="false">
      <c r="A74" s="74" t="s">
        <v>2620</v>
      </c>
      <c r="B74" s="74" t="s">
        <v>1298</v>
      </c>
      <c r="C74" s="74" t="s">
        <v>2696</v>
      </c>
      <c r="D74" s="8" t="n">
        <v>33000</v>
      </c>
      <c r="E74" s="74" t="s">
        <v>1004</v>
      </c>
      <c r="F74" s="74" t="s">
        <v>2697</v>
      </c>
      <c r="G74" s="53" t="str">
        <f aca="false">INDEX(I_Items!$D$5:$D$133,MATCH($E74,I_Items!$A$5:$A$133,0))&amp;""</f>
        <v>Karkas</v>
      </c>
      <c r="H74" s="53" t="str">
        <f aca="false">INDEX(I_Items!$F$5:$F$133,MATCH($E74,I_Items!$A$5:$A$133,0))&amp;""</f>
        <v>Frozen</v>
      </c>
      <c r="I74" s="53" t="str">
        <f aca="false">INDEX(I_Items!$E$5:$E$133,MATCH($E74,I_Items!$A$5:$A$133,0))&amp;""</f>
        <v>Uk 1.7</v>
      </c>
      <c r="J74" s="84" t="n">
        <v>638.7</v>
      </c>
      <c r="K74" s="93" t="n">
        <v>0.0912428571428572</v>
      </c>
      <c r="L74" s="8" t="n">
        <v>21077100</v>
      </c>
      <c r="M74" s="8" t="n">
        <v>37934.2336895109</v>
      </c>
      <c r="N74" s="8" t="n">
        <v>24228595.0574906</v>
      </c>
      <c r="O74" s="12"/>
      <c r="P74" s="6" t="s">
        <v>1119</v>
      </c>
    </row>
    <row r="75" customFormat="false" ht="15" hidden="false" customHeight="false" outlineLevel="0" collapsed="false">
      <c r="A75" s="74" t="s">
        <v>2620</v>
      </c>
      <c r="B75" s="74" t="s">
        <v>1298</v>
      </c>
      <c r="C75" s="74" t="s">
        <v>2698</v>
      </c>
      <c r="D75" s="8" t="n">
        <v>33000</v>
      </c>
      <c r="E75" s="74" t="s">
        <v>1006</v>
      </c>
      <c r="F75" s="74" t="s">
        <v>2699</v>
      </c>
      <c r="G75" s="53" t="str">
        <f aca="false">INDEX(I_Items!$D$5:$D$133,MATCH($E75,I_Items!$A$5:$A$133,0))&amp;""</f>
        <v>Karkas</v>
      </c>
      <c r="H75" s="53" t="str">
        <f aca="false">INDEX(I_Items!$F$5:$F$133,MATCH($E75,I_Items!$A$5:$A$133,0))&amp;""</f>
        <v>Frozen</v>
      </c>
      <c r="I75" s="53" t="str">
        <f aca="false">INDEX(I_Items!$E$5:$E$133,MATCH($E75,I_Items!$A$5:$A$133,0))&amp;""</f>
        <v>Uk 1.8</v>
      </c>
      <c r="J75" s="84" t="n">
        <v>553.1</v>
      </c>
      <c r="K75" s="93" t="n">
        <v>0.0790142857142857</v>
      </c>
      <c r="L75" s="8" t="n">
        <v>18252300</v>
      </c>
      <c r="M75" s="8" t="n">
        <v>37934.2336895109</v>
      </c>
      <c r="N75" s="8" t="n">
        <v>20981424.6536685</v>
      </c>
      <c r="O75" s="12"/>
      <c r="P75" s="6" t="s">
        <v>1119</v>
      </c>
    </row>
    <row r="76" customFormat="false" ht="15" hidden="false" customHeight="false" outlineLevel="0" collapsed="false">
      <c r="A76" s="74" t="s">
        <v>2620</v>
      </c>
      <c r="B76" s="74" t="s">
        <v>1298</v>
      </c>
      <c r="C76" s="74" t="s">
        <v>2700</v>
      </c>
      <c r="D76" s="8" t="n">
        <v>33000</v>
      </c>
      <c r="E76" s="74" t="s">
        <v>1010</v>
      </c>
      <c r="F76" s="74" t="s">
        <v>2701</v>
      </c>
      <c r="G76" s="53" t="str">
        <f aca="false">INDEX(I_Items!$D$5:$D$133,MATCH($E76,I_Items!$A$5:$A$133,0))&amp;""</f>
        <v>Karkas</v>
      </c>
      <c r="H76" s="53" t="str">
        <f aca="false">INDEX(I_Items!$F$5:$F$133,MATCH($E76,I_Items!$A$5:$A$133,0))&amp;""</f>
        <v>Frozen</v>
      </c>
      <c r="I76" s="53" t="str">
        <f aca="false">INDEX(I_Items!$E$5:$E$133,MATCH($E76,I_Items!$A$5:$A$133,0))&amp;""</f>
        <v>Uk 2.0</v>
      </c>
      <c r="J76" s="84" t="n">
        <v>192.2</v>
      </c>
      <c r="K76" s="93" t="n">
        <v>0.0274571428571429</v>
      </c>
      <c r="L76" s="8" t="n">
        <v>6342600</v>
      </c>
      <c r="M76" s="8" t="n">
        <v>37934.2336895109</v>
      </c>
      <c r="N76" s="8" t="n">
        <v>7290959.715124</v>
      </c>
      <c r="O76" s="12"/>
      <c r="P76" s="6" t="s">
        <v>1119</v>
      </c>
    </row>
    <row r="77" customFormat="false" ht="15" hidden="false" customHeight="false" outlineLevel="0" collapsed="false">
      <c r="A77" s="74" t="s">
        <v>2620</v>
      </c>
      <c r="B77" s="74" t="s">
        <v>1298</v>
      </c>
      <c r="C77" s="74" t="s">
        <v>360</v>
      </c>
      <c r="D77" s="8" t="n">
        <v>20000</v>
      </c>
      <c r="E77" s="74" t="s">
        <v>951</v>
      </c>
      <c r="F77" s="74" t="s">
        <v>2660</v>
      </c>
      <c r="G77" s="53" t="str">
        <f aca="false">INDEX(I_Items!$D$5:$D$133,MATCH($E77,I_Items!$A$5:$A$133,0))&amp;""</f>
        <v>Lemak</v>
      </c>
      <c r="H77" s="53" t="str">
        <f aca="false">INDEX(I_Items!$F$5:$F$133,MATCH($E77,I_Items!$A$5:$A$133,0))&amp;""</f>
        <v>Fresh</v>
      </c>
      <c r="I77" s="53" t="str">
        <f aca="false">INDEX(I_Items!$E$5:$E$133,MATCH($E77,I_Items!$A$5:$A$133,0))&amp;""</f>
        <v/>
      </c>
      <c r="J77" s="84" t="n">
        <v>22</v>
      </c>
      <c r="K77" s="93" t="n">
        <v>0.00314285714285714</v>
      </c>
      <c r="L77" s="8" t="n">
        <v>440000</v>
      </c>
      <c r="M77" s="8" t="n">
        <v>22990.4446603097</v>
      </c>
      <c r="N77" s="8" t="n">
        <v>505789.782526813</v>
      </c>
      <c r="O77" s="12"/>
      <c r="P77" s="6" t="s">
        <v>1119</v>
      </c>
    </row>
    <row r="78" customFormat="false" ht="15" hidden="false" customHeight="false" outlineLevel="0" collapsed="false">
      <c r="A78" s="74" t="s">
        <v>2620</v>
      </c>
      <c r="B78" s="74" t="s">
        <v>1298</v>
      </c>
      <c r="C78" s="74" t="s">
        <v>248</v>
      </c>
      <c r="D78" s="8" t="n">
        <v>10000</v>
      </c>
      <c r="E78" s="74" t="s">
        <v>950</v>
      </c>
      <c r="F78" s="74" t="s">
        <v>2661</v>
      </c>
      <c r="G78" s="53" t="str">
        <f aca="false">INDEX(I_Items!$D$5:$D$133,MATCH($E78,I_Items!$A$5:$A$133,0))&amp;""</f>
        <v>Kepala</v>
      </c>
      <c r="H78" s="53" t="str">
        <f aca="false">INDEX(I_Items!$F$5:$F$133,MATCH($E78,I_Items!$A$5:$A$133,0))&amp;""</f>
        <v>Fresh</v>
      </c>
      <c r="I78" s="53" t="str">
        <f aca="false">INDEX(I_Items!$E$5:$E$133,MATCH($E78,I_Items!$A$5:$A$133,0))&amp;""</f>
        <v/>
      </c>
      <c r="J78" s="84" t="n">
        <v>323.2</v>
      </c>
      <c r="K78" s="93" t="n">
        <v>0.0461714285714286</v>
      </c>
      <c r="L78" s="8" t="n">
        <v>3232000</v>
      </c>
      <c r="M78" s="8" t="n">
        <v>11495.2223301548</v>
      </c>
      <c r="N78" s="8" t="n">
        <v>3715255.85710604</v>
      </c>
      <c r="O78" s="12"/>
      <c r="P78" s="6" t="s">
        <v>1119</v>
      </c>
    </row>
    <row r="79" customFormat="false" ht="15" hidden="false" customHeight="false" outlineLevel="0" collapsed="false">
      <c r="A79" s="74" t="s">
        <v>2620</v>
      </c>
      <c r="B79" s="74" t="s">
        <v>1298</v>
      </c>
      <c r="C79" s="74" t="s">
        <v>242</v>
      </c>
      <c r="D79" s="8" t="n">
        <v>12000</v>
      </c>
      <c r="E79" s="74" t="s">
        <v>948</v>
      </c>
      <c r="F79" s="74" t="s">
        <v>2662</v>
      </c>
      <c r="G79" s="53" t="str">
        <f aca="false">INDEX(I_Items!$D$5:$D$133,MATCH($E79,I_Items!$A$5:$A$133,0))&amp;""</f>
        <v>Ceker</v>
      </c>
      <c r="H79" s="53" t="str">
        <f aca="false">INDEX(I_Items!$F$5:$F$133,MATCH($E79,I_Items!$A$5:$A$133,0))&amp;""</f>
        <v>Fresh</v>
      </c>
      <c r="I79" s="53" t="str">
        <f aca="false">INDEX(I_Items!$E$5:$E$133,MATCH($E79,I_Items!$A$5:$A$133,0))&amp;""</f>
        <v/>
      </c>
      <c r="J79" s="84" t="n">
        <v>222.2</v>
      </c>
      <c r="K79" s="93" t="n">
        <v>0.0317428571428571</v>
      </c>
      <c r="L79" s="8" t="n">
        <v>2666400</v>
      </c>
      <c r="M79" s="8" t="n">
        <v>13794.2667961858</v>
      </c>
      <c r="N79" s="8" t="n">
        <v>3065086.08211248</v>
      </c>
      <c r="O79" s="12"/>
      <c r="P79" s="6" t="s">
        <v>1119</v>
      </c>
    </row>
    <row r="80" customFormat="false" ht="15" hidden="false" customHeight="false" outlineLevel="0" collapsed="false">
      <c r="A80" s="74" t="s">
        <v>2620</v>
      </c>
      <c r="B80" s="74" t="s">
        <v>1298</v>
      </c>
      <c r="C80" s="74" t="s">
        <v>253</v>
      </c>
      <c r="D80" s="8" t="n">
        <v>5000</v>
      </c>
      <c r="E80" s="74" t="s">
        <v>953</v>
      </c>
      <c r="F80" s="74" t="s">
        <v>2682</v>
      </c>
      <c r="G80" s="53" t="str">
        <f aca="false">INDEX(I_Items!$D$5:$D$133,MATCH($E80,I_Items!$A$5:$A$133,0))&amp;""</f>
        <v>Usus</v>
      </c>
      <c r="H80" s="53" t="str">
        <f aca="false">INDEX(I_Items!$F$5:$F$133,MATCH($E80,I_Items!$A$5:$A$133,0))&amp;""</f>
        <v>Fresh</v>
      </c>
      <c r="I80" s="53" t="str">
        <f aca="false">INDEX(I_Items!$E$5:$E$133,MATCH($E80,I_Items!$A$5:$A$133,0))&amp;""</f>
        <v/>
      </c>
      <c r="J80" s="84" t="n">
        <v>314.8</v>
      </c>
      <c r="K80" s="93" t="n">
        <v>0.0449714285714286</v>
      </c>
      <c r="L80" s="8" t="n">
        <v>1574000</v>
      </c>
      <c r="M80" s="8" t="n">
        <v>5747.61116507741</v>
      </c>
      <c r="N80" s="8" t="n">
        <v>1809347.99476637</v>
      </c>
      <c r="O80" s="12"/>
      <c r="P80" s="6" t="s">
        <v>1119</v>
      </c>
    </row>
    <row r="81" customFormat="false" ht="15" hidden="false" customHeight="false" outlineLevel="0" collapsed="false">
      <c r="A81" s="74" t="s">
        <v>2620</v>
      </c>
      <c r="B81" s="74" t="s">
        <v>1298</v>
      </c>
      <c r="C81" s="74" t="s">
        <v>2665</v>
      </c>
      <c r="D81" s="8" t="n">
        <v>5000</v>
      </c>
      <c r="E81" s="74" t="s">
        <v>949</v>
      </c>
      <c r="F81" s="74" t="s">
        <v>2666</v>
      </c>
      <c r="G81" s="53" t="str">
        <f aca="false">INDEX(I_Items!$D$5:$D$133,MATCH($E81,I_Items!$A$5:$A$133,0))&amp;""</f>
        <v>HJA (Hati/Jantung/Ampela)</v>
      </c>
      <c r="H81" s="53" t="str">
        <f aca="false">INDEX(I_Items!$F$5:$F$133,MATCH($E81,I_Items!$A$5:$A$133,0))&amp;""</f>
        <v>Fresh</v>
      </c>
      <c r="I81" s="53" t="str">
        <f aca="false">INDEX(I_Items!$E$5:$E$133,MATCH($E81,I_Items!$A$5:$A$133,0))&amp;""</f>
        <v/>
      </c>
      <c r="J81" s="84" t="n">
        <v>415.2</v>
      </c>
      <c r="K81" s="93" t="n">
        <v>0.0593142857142857</v>
      </c>
      <c r="L81" s="8" t="n">
        <v>2076000</v>
      </c>
      <c r="M81" s="8" t="n">
        <v>5747.61116507742</v>
      </c>
      <c r="N81" s="8" t="n">
        <v>2386408.15574014</v>
      </c>
      <c r="O81" s="12"/>
      <c r="P81" s="6" t="s">
        <v>1119</v>
      </c>
    </row>
    <row r="82" customFormat="false" ht="15" hidden="false" customHeight="false" outlineLevel="0" collapsed="false">
      <c r="A82" s="74" t="s">
        <v>2620</v>
      </c>
      <c r="B82" s="74" t="s">
        <v>1298</v>
      </c>
      <c r="C82" s="74" t="s">
        <v>2669</v>
      </c>
      <c r="D82" s="8" t="n">
        <v>30000</v>
      </c>
      <c r="E82" s="74" t="s">
        <v>974</v>
      </c>
      <c r="F82" s="74" t="s">
        <v>2670</v>
      </c>
      <c r="G82" s="53" t="str">
        <f aca="false">INDEX(I_Items!$D$5:$D$133,MATCH($E82,I_Items!$A$5:$A$133,0))&amp;""</f>
        <v>Karkas</v>
      </c>
      <c r="H82" s="53" t="str">
        <f aca="false">INDEX(I_Items!$F$5:$F$133,MATCH($E82,I_Items!$A$5:$A$133,0))&amp;""</f>
        <v>Frozen</v>
      </c>
      <c r="I82" s="53" t="str">
        <f aca="false">INDEX(I_Items!$E$5:$E$133,MATCH($E82,I_Items!$A$5:$A$133,0))&amp;""</f>
        <v>Uk 0.8</v>
      </c>
      <c r="J82" s="84" t="n">
        <v>1.7</v>
      </c>
      <c r="K82" s="93" t="n">
        <v>0.000242857142857143</v>
      </c>
      <c r="L82" s="8" t="n">
        <v>51000</v>
      </c>
      <c r="M82" s="8" t="n">
        <v>34485.6669904645</v>
      </c>
      <c r="N82" s="8" t="n">
        <v>58625.6338837896</v>
      </c>
      <c r="O82" s="12"/>
      <c r="P82" s="6" t="s">
        <v>1119</v>
      </c>
    </row>
    <row r="83" customFormat="false" ht="15" hidden="false" customHeight="false" outlineLevel="0" collapsed="false">
      <c r="A83" s="74" t="s">
        <v>2620</v>
      </c>
      <c r="B83" s="74" t="s">
        <v>1298</v>
      </c>
      <c r="C83" s="74" t="s">
        <v>2676</v>
      </c>
      <c r="D83" s="8" t="n">
        <v>30000</v>
      </c>
      <c r="E83" s="74" t="s">
        <v>987</v>
      </c>
      <c r="F83" s="74" t="s">
        <v>2687</v>
      </c>
      <c r="G83" s="53" t="str">
        <f aca="false">INDEX(I_Items!$D$5:$D$133,MATCH($E83,I_Items!$A$5:$A$133,0))&amp;""</f>
        <v>Karkas</v>
      </c>
      <c r="H83" s="53" t="str">
        <f aca="false">INDEX(I_Items!$F$5:$F$133,MATCH($E83,I_Items!$A$5:$A$133,0))&amp;""</f>
        <v>Frozen</v>
      </c>
      <c r="I83" s="53" t="str">
        <f aca="false">INDEX(I_Items!$E$5:$E$133,MATCH($E83,I_Items!$A$5:$A$133,0))&amp;""</f>
        <v>Uk 1.2</v>
      </c>
      <c r="J83" s="84" t="n">
        <v>8.8</v>
      </c>
      <c r="K83" s="93" t="n">
        <v>0.00125714285714286</v>
      </c>
      <c r="L83" s="8" t="n">
        <v>264000</v>
      </c>
      <c r="M83" s="8" t="n">
        <v>34485.6669904645</v>
      </c>
      <c r="N83" s="8" t="n">
        <v>303473.869516088</v>
      </c>
      <c r="O83" s="12"/>
      <c r="P83" s="6" t="s">
        <v>1119</v>
      </c>
    </row>
    <row r="84" customFormat="false" ht="15" hidden="false" customHeight="false" outlineLevel="0" collapsed="false">
      <c r="A84" s="74" t="s">
        <v>2620</v>
      </c>
      <c r="B84" s="74" t="s">
        <v>1298</v>
      </c>
      <c r="C84" s="74" t="s">
        <v>2678</v>
      </c>
      <c r="D84" s="8" t="n">
        <v>30000</v>
      </c>
      <c r="E84" s="74" t="s">
        <v>991</v>
      </c>
      <c r="F84" s="74" t="s">
        <v>2688</v>
      </c>
      <c r="G84" s="53" t="str">
        <f aca="false">INDEX(I_Items!$D$5:$D$133,MATCH($E84,I_Items!$A$5:$A$133,0))&amp;""</f>
        <v>Karkas</v>
      </c>
      <c r="H84" s="53" t="str">
        <f aca="false">INDEX(I_Items!$F$5:$F$133,MATCH($E84,I_Items!$A$5:$A$133,0))&amp;""</f>
        <v>Frozen</v>
      </c>
      <c r="I84" s="53" t="str">
        <f aca="false">INDEX(I_Items!$E$5:$E$133,MATCH($E84,I_Items!$A$5:$A$133,0))&amp;""</f>
        <v>Uk 1.3</v>
      </c>
      <c r="J84" s="84" t="n">
        <v>34.3</v>
      </c>
      <c r="K84" s="93" t="n">
        <v>0.0049</v>
      </c>
      <c r="L84" s="8" t="n">
        <v>1029000</v>
      </c>
      <c r="M84" s="8" t="n">
        <v>34485.6669904645</v>
      </c>
      <c r="N84" s="8" t="n">
        <v>1182858.37777293</v>
      </c>
      <c r="O84" s="12"/>
      <c r="P84" s="6" t="s">
        <v>1119</v>
      </c>
    </row>
    <row r="85" customFormat="false" ht="15" hidden="false" customHeight="false" outlineLevel="0" collapsed="false">
      <c r="A85" s="74" t="s">
        <v>2620</v>
      </c>
      <c r="B85" s="74" t="s">
        <v>1298</v>
      </c>
      <c r="C85" s="74" t="s">
        <v>2680</v>
      </c>
      <c r="D85" s="8" t="n">
        <v>30000</v>
      </c>
      <c r="E85" s="74" t="s">
        <v>994</v>
      </c>
      <c r="F85" s="74" t="s">
        <v>2681</v>
      </c>
      <c r="G85" s="53" t="str">
        <f aca="false">INDEX(I_Items!$D$5:$D$133,MATCH($E85,I_Items!$A$5:$A$133,0))&amp;""</f>
        <v>Karkas</v>
      </c>
      <c r="H85" s="53" t="str">
        <f aca="false">INDEX(I_Items!$F$5:$F$133,MATCH($E85,I_Items!$A$5:$A$133,0))&amp;""</f>
        <v>Frozen</v>
      </c>
      <c r="I85" s="53" t="str">
        <f aca="false">INDEX(I_Items!$E$5:$E$133,MATCH($E85,I_Items!$A$5:$A$133,0))&amp;""</f>
        <v>Uk 1.4</v>
      </c>
      <c r="J85" s="84" t="n">
        <v>61.8</v>
      </c>
      <c r="K85" s="93" t="n">
        <v>0.00882857142857143</v>
      </c>
      <c r="L85" s="8" t="n">
        <v>1854000</v>
      </c>
      <c r="M85" s="8" t="n">
        <v>34485.6669904645</v>
      </c>
      <c r="N85" s="8" t="n">
        <v>2131214.22001071</v>
      </c>
      <c r="O85" s="12"/>
      <c r="P85" s="6" t="s">
        <v>1119</v>
      </c>
    </row>
    <row r="86" customFormat="false" ht="15" hidden="false" customHeight="false" outlineLevel="0" collapsed="false">
      <c r="A86" s="74" t="s">
        <v>2620</v>
      </c>
      <c r="B86" s="74" t="s">
        <v>1298</v>
      </c>
      <c r="C86" s="74" t="s">
        <v>2702</v>
      </c>
      <c r="D86" s="8" t="n">
        <v>30000</v>
      </c>
      <c r="E86" s="74" t="s">
        <v>997</v>
      </c>
      <c r="F86" s="74" t="s">
        <v>2703</v>
      </c>
      <c r="G86" s="53" t="str">
        <f aca="false">INDEX(I_Items!$D$5:$D$133,MATCH($E86,I_Items!$A$5:$A$133,0))&amp;""</f>
        <v>Karkas</v>
      </c>
      <c r="H86" s="53" t="str">
        <f aca="false">INDEX(I_Items!$F$5:$F$133,MATCH($E86,I_Items!$A$5:$A$133,0))&amp;""</f>
        <v>Frozen</v>
      </c>
      <c r="I86" s="53" t="str">
        <f aca="false">INDEX(I_Items!$E$5:$E$133,MATCH($E86,I_Items!$A$5:$A$133,0))&amp;""</f>
        <v>Uk 1.5</v>
      </c>
      <c r="J86" s="84" t="n">
        <v>69.5</v>
      </c>
      <c r="K86" s="93" t="n">
        <v>0.00992857142857143</v>
      </c>
      <c r="L86" s="8" t="n">
        <v>2085000</v>
      </c>
      <c r="M86" s="8" t="n">
        <v>34485.6669904645</v>
      </c>
      <c r="N86" s="8" t="n">
        <v>2396753.85583728</v>
      </c>
      <c r="O86" s="12"/>
      <c r="P86" s="6" t="s">
        <v>1119</v>
      </c>
    </row>
    <row r="87" customFormat="false" ht="15" hidden="false" customHeight="false" outlineLevel="0" collapsed="false">
      <c r="A87" s="74" t="s">
        <v>2620</v>
      </c>
      <c r="B87" s="74" t="s">
        <v>1298</v>
      </c>
      <c r="C87" s="74" t="s">
        <v>2704</v>
      </c>
      <c r="D87" s="8" t="n">
        <v>30000</v>
      </c>
      <c r="E87" s="74" t="s">
        <v>1000</v>
      </c>
      <c r="F87" s="74" t="s">
        <v>2705</v>
      </c>
      <c r="G87" s="53" t="str">
        <f aca="false">INDEX(I_Items!$D$5:$D$133,MATCH($E87,I_Items!$A$5:$A$133,0))&amp;""</f>
        <v>Karkas</v>
      </c>
      <c r="H87" s="53" t="str">
        <f aca="false">INDEX(I_Items!$F$5:$F$133,MATCH($E87,I_Items!$A$5:$A$133,0))&amp;""</f>
        <v>Frozen</v>
      </c>
      <c r="I87" s="53" t="str">
        <f aca="false">INDEX(I_Items!$E$5:$E$133,MATCH($E87,I_Items!$A$5:$A$133,0))&amp;""</f>
        <v>Uk 1.6</v>
      </c>
      <c r="J87" s="84" t="n">
        <v>55.7</v>
      </c>
      <c r="K87" s="93" t="n">
        <v>0.00795714285714286</v>
      </c>
      <c r="L87" s="8" t="n">
        <v>1671000</v>
      </c>
      <c r="M87" s="8" t="n">
        <v>34485.6669904645</v>
      </c>
      <c r="N87" s="8" t="n">
        <v>1920851.65136887</v>
      </c>
      <c r="O87" s="12"/>
      <c r="P87" s="6" t="s">
        <v>1119</v>
      </c>
    </row>
    <row r="88" customFormat="false" ht="15" hidden="false" customHeight="false" outlineLevel="0" collapsed="false">
      <c r="A88" s="74" t="s">
        <v>2620</v>
      </c>
      <c r="B88" s="74" t="s">
        <v>1298</v>
      </c>
      <c r="C88" s="74" t="s">
        <v>2706</v>
      </c>
      <c r="D88" s="8" t="n">
        <v>30000</v>
      </c>
      <c r="E88" s="74" t="s">
        <v>1003</v>
      </c>
      <c r="F88" s="74" t="s">
        <v>2707</v>
      </c>
      <c r="G88" s="53" t="str">
        <f aca="false">INDEX(I_Items!$D$5:$D$133,MATCH($E88,I_Items!$A$5:$A$133,0))&amp;""</f>
        <v>Karkas</v>
      </c>
      <c r="H88" s="53" t="str">
        <f aca="false">INDEX(I_Items!$F$5:$F$133,MATCH($E88,I_Items!$A$5:$A$133,0))&amp;""</f>
        <v>Frozen</v>
      </c>
      <c r="I88" s="53" t="str">
        <f aca="false">INDEX(I_Items!$E$5:$E$133,MATCH($E88,I_Items!$A$5:$A$133,0))&amp;""</f>
        <v>Uk 1.7</v>
      </c>
      <c r="J88" s="84" t="n">
        <v>45.7</v>
      </c>
      <c r="K88" s="93" t="n">
        <v>0.00652857142857143</v>
      </c>
      <c r="L88" s="8" t="n">
        <v>1371000</v>
      </c>
      <c r="M88" s="8" t="n">
        <v>34485.6669904645</v>
      </c>
      <c r="N88" s="8" t="n">
        <v>1575994.98146423</v>
      </c>
      <c r="O88" s="12"/>
      <c r="P88" s="6" t="s">
        <v>1119</v>
      </c>
    </row>
    <row r="89" customFormat="false" ht="15" hidden="false" customHeight="false" outlineLevel="0" collapsed="false">
      <c r="A89" s="74" t="s">
        <v>2620</v>
      </c>
      <c r="B89" s="74" t="s">
        <v>1298</v>
      </c>
      <c r="C89" s="74" t="s">
        <v>2708</v>
      </c>
      <c r="D89" s="8" t="n">
        <v>30000</v>
      </c>
      <c r="E89" s="74" t="s">
        <v>1005</v>
      </c>
      <c r="F89" s="74" t="s">
        <v>2709</v>
      </c>
      <c r="G89" s="53" t="str">
        <f aca="false">INDEX(I_Items!$D$5:$D$133,MATCH($E89,I_Items!$A$5:$A$133,0))&amp;""</f>
        <v>Karkas</v>
      </c>
      <c r="H89" s="53" t="str">
        <f aca="false">INDEX(I_Items!$F$5:$F$133,MATCH($E89,I_Items!$A$5:$A$133,0))&amp;""</f>
        <v>Frozen</v>
      </c>
      <c r="I89" s="53" t="str">
        <f aca="false">INDEX(I_Items!$E$5:$E$133,MATCH($E89,I_Items!$A$5:$A$133,0))&amp;""</f>
        <v>Uk 1.8</v>
      </c>
      <c r="J89" s="84" t="n">
        <v>20.8</v>
      </c>
      <c r="K89" s="93" t="n">
        <v>0.00297142857142857</v>
      </c>
      <c r="L89" s="8" t="n">
        <v>624000</v>
      </c>
      <c r="M89" s="8" t="n">
        <v>34485.6669904645</v>
      </c>
      <c r="N89" s="8" t="n">
        <v>717301.873401661</v>
      </c>
      <c r="O89" s="12"/>
      <c r="P89" s="6" t="s">
        <v>1119</v>
      </c>
    </row>
    <row r="90" customFormat="false" ht="15" hidden="false" customHeight="false" outlineLevel="0" collapsed="false">
      <c r="A90" s="74" t="s">
        <v>2620</v>
      </c>
      <c r="B90" s="74" t="s">
        <v>1298</v>
      </c>
      <c r="C90" s="74" t="s">
        <v>2710</v>
      </c>
      <c r="D90" s="8" t="n">
        <v>30000</v>
      </c>
      <c r="E90" s="74" t="s">
        <v>1007</v>
      </c>
      <c r="F90" s="74" t="s">
        <v>2711</v>
      </c>
      <c r="G90" s="53" t="str">
        <f aca="false">INDEX(I_Items!$D$5:$D$133,MATCH($E90,I_Items!$A$5:$A$133,0))&amp;""</f>
        <v>Karkas</v>
      </c>
      <c r="H90" s="53" t="str">
        <f aca="false">INDEX(I_Items!$F$5:$F$133,MATCH($E90,I_Items!$A$5:$A$133,0))&amp;""</f>
        <v>Frozen</v>
      </c>
      <c r="I90" s="53" t="str">
        <f aca="false">INDEX(I_Items!$E$5:$E$133,MATCH($E90,I_Items!$A$5:$A$133,0))&amp;""</f>
        <v>Uk 1.9</v>
      </c>
      <c r="J90" s="84" t="n">
        <v>17.8</v>
      </c>
      <c r="K90" s="93" t="n">
        <v>0.00254285714285714</v>
      </c>
      <c r="L90" s="8" t="n">
        <v>534000</v>
      </c>
      <c r="M90" s="8" t="n">
        <v>34485.6669904645</v>
      </c>
      <c r="N90" s="8" t="n">
        <v>613844.872430268</v>
      </c>
      <c r="O90" s="12"/>
      <c r="P90" s="6" t="s">
        <v>1119</v>
      </c>
    </row>
    <row r="91" customFormat="false" ht="15" hidden="false" customHeight="false" outlineLevel="0" collapsed="false">
      <c r="A91" s="74" t="s">
        <v>2622</v>
      </c>
      <c r="B91" s="74" t="s">
        <v>1302</v>
      </c>
      <c r="C91" s="74" t="s">
        <v>2644</v>
      </c>
      <c r="D91" s="8" t="n">
        <v>33000</v>
      </c>
      <c r="E91" s="74" t="s">
        <v>1017</v>
      </c>
      <c r="F91" s="74" t="s">
        <v>2645</v>
      </c>
      <c r="G91" s="53" t="str">
        <f aca="false">INDEX(I_Items!$D$5:$D$133,MATCH($E91,I_Items!$A$5:$A$133,0))&amp;""</f>
        <v>Karkas</v>
      </c>
      <c r="H91" s="53" t="str">
        <f aca="false">INDEX(I_Items!$F$5:$F$133,MATCH($E91,I_Items!$A$5:$A$133,0))&amp;""</f>
        <v>Frozen</v>
      </c>
      <c r="I91" s="53" t="str">
        <f aca="false">INDEX(I_Items!$E$5:$E$133,MATCH($E91,I_Items!$A$5:$A$133,0))&amp;""</f>
        <v>Uk 0.7</v>
      </c>
      <c r="J91" s="84" t="n">
        <v>9.4</v>
      </c>
      <c r="K91" s="93" t="n">
        <v>0.000610828296165948</v>
      </c>
      <c r="L91" s="8" t="n">
        <v>310200</v>
      </c>
      <c r="M91" s="8" t="n">
        <v>38285.8392228568</v>
      </c>
      <c r="N91" s="8" t="n">
        <v>359886.888694854</v>
      </c>
      <c r="O91" s="12"/>
      <c r="P91" s="6" t="s">
        <v>1119</v>
      </c>
    </row>
    <row r="92" customFormat="false" ht="15" hidden="false" customHeight="false" outlineLevel="0" collapsed="false">
      <c r="A92" s="74" t="s">
        <v>2622</v>
      </c>
      <c r="B92" s="74" t="s">
        <v>1302</v>
      </c>
      <c r="C92" s="74" t="s">
        <v>2646</v>
      </c>
      <c r="D92" s="8" t="n">
        <v>33000</v>
      </c>
      <c r="E92" s="74" t="s">
        <v>1017</v>
      </c>
      <c r="F92" s="74" t="s">
        <v>2645</v>
      </c>
      <c r="G92" s="53" t="str">
        <f aca="false">INDEX(I_Items!$D$5:$D$133,MATCH($E92,I_Items!$A$5:$A$133,0))&amp;""</f>
        <v>Karkas</v>
      </c>
      <c r="H92" s="53" t="str">
        <f aca="false">INDEX(I_Items!$F$5:$F$133,MATCH($E92,I_Items!$A$5:$A$133,0))&amp;""</f>
        <v>Frozen</v>
      </c>
      <c r="I92" s="53" t="str">
        <f aca="false">INDEX(I_Items!$E$5:$E$133,MATCH($E92,I_Items!$A$5:$A$133,0))&amp;""</f>
        <v>Uk 0.7</v>
      </c>
      <c r="J92" s="84" t="n">
        <v>34.6</v>
      </c>
      <c r="K92" s="93" t="n">
        <v>0.00224836798375977</v>
      </c>
      <c r="L92" s="8" t="n">
        <v>1141800</v>
      </c>
      <c r="M92" s="8" t="n">
        <v>38285.8392228568</v>
      </c>
      <c r="N92" s="8" t="n">
        <v>1324690.03711084</v>
      </c>
      <c r="O92" s="12"/>
      <c r="P92" s="6" t="s">
        <v>1119</v>
      </c>
    </row>
    <row r="93" customFormat="false" ht="15" hidden="false" customHeight="false" outlineLevel="0" collapsed="false">
      <c r="A93" s="74" t="s">
        <v>2622</v>
      </c>
      <c r="B93" s="74" t="s">
        <v>1302</v>
      </c>
      <c r="C93" s="74" t="s">
        <v>2648</v>
      </c>
      <c r="D93" s="8" t="n">
        <v>33000</v>
      </c>
      <c r="E93" s="74" t="s">
        <v>1014</v>
      </c>
      <c r="F93" s="74" t="s">
        <v>2647</v>
      </c>
      <c r="G93" s="53" t="str">
        <f aca="false">INDEX(I_Items!$D$5:$D$133,MATCH($E93,I_Items!$A$5:$A$133,0))&amp;""</f>
        <v>Karkas</v>
      </c>
      <c r="H93" s="53" t="str">
        <f aca="false">INDEX(I_Items!$F$5:$F$133,MATCH($E93,I_Items!$A$5:$A$133,0))&amp;""</f>
        <v>Frozen</v>
      </c>
      <c r="I93" s="53" t="str">
        <f aca="false">INDEX(I_Items!$E$5:$E$133,MATCH($E93,I_Items!$A$5:$A$133,0))&amp;""</f>
        <v>Uk 0.8</v>
      </c>
      <c r="J93" s="84" t="n">
        <v>215.1</v>
      </c>
      <c r="K93" s="93" t="n">
        <v>0.0139775709048187</v>
      </c>
      <c r="L93" s="8" t="n">
        <v>7098300</v>
      </c>
      <c r="M93" s="8" t="n">
        <v>38285.8392228568</v>
      </c>
      <c r="N93" s="8" t="n">
        <v>8235284.01683649</v>
      </c>
      <c r="O93" s="12"/>
      <c r="P93" s="6" t="s">
        <v>1119</v>
      </c>
    </row>
    <row r="94" customFormat="false" ht="15" hidden="false" customHeight="false" outlineLevel="0" collapsed="false">
      <c r="A94" s="74" t="s">
        <v>2622</v>
      </c>
      <c r="B94" s="74" t="s">
        <v>1302</v>
      </c>
      <c r="C94" s="74" t="s">
        <v>2650</v>
      </c>
      <c r="D94" s="8" t="n">
        <v>33000</v>
      </c>
      <c r="E94" s="74" t="s">
        <v>980</v>
      </c>
      <c r="F94" s="74" t="s">
        <v>2689</v>
      </c>
      <c r="G94" s="53" t="str">
        <f aca="false">INDEX(I_Items!$D$5:$D$133,MATCH($E94,I_Items!$A$5:$A$133,0))&amp;""</f>
        <v>Karkas</v>
      </c>
      <c r="H94" s="53" t="str">
        <f aca="false">INDEX(I_Items!$F$5:$F$133,MATCH($E94,I_Items!$A$5:$A$133,0))&amp;""</f>
        <v>Frozen</v>
      </c>
      <c r="I94" s="53" t="str">
        <f aca="false">INDEX(I_Items!$E$5:$E$133,MATCH($E94,I_Items!$A$5:$A$133,0))&amp;""</f>
        <v>Uk 1.0</v>
      </c>
      <c r="J94" s="84" t="n">
        <v>548.6</v>
      </c>
      <c r="K94" s="93" t="n">
        <v>0.0356489790719829</v>
      </c>
      <c r="L94" s="8" t="n">
        <v>18103800</v>
      </c>
      <c r="M94" s="8" t="n">
        <v>38285.8392228568</v>
      </c>
      <c r="N94" s="8" t="n">
        <v>21003611.3976592</v>
      </c>
      <c r="O94" s="12"/>
      <c r="P94" s="6" t="s">
        <v>1119</v>
      </c>
    </row>
    <row r="95" customFormat="false" ht="15" hidden="false" customHeight="false" outlineLevel="0" collapsed="false">
      <c r="A95" s="74" t="s">
        <v>2622</v>
      </c>
      <c r="B95" s="74" t="s">
        <v>1302</v>
      </c>
      <c r="C95" s="74" t="s">
        <v>2652</v>
      </c>
      <c r="D95" s="8" t="n">
        <v>33000</v>
      </c>
      <c r="E95" s="74" t="s">
        <v>984</v>
      </c>
      <c r="F95" s="74" t="s">
        <v>2690</v>
      </c>
      <c r="G95" s="53" t="str">
        <f aca="false">INDEX(I_Items!$D$5:$D$133,MATCH($E95,I_Items!$A$5:$A$133,0))&amp;""</f>
        <v>Karkas</v>
      </c>
      <c r="H95" s="53" t="str">
        <f aca="false">INDEX(I_Items!$F$5:$F$133,MATCH($E95,I_Items!$A$5:$A$133,0))&amp;""</f>
        <v>Frozen</v>
      </c>
      <c r="I95" s="53" t="str">
        <f aca="false">INDEX(I_Items!$E$5:$E$133,MATCH($E95,I_Items!$A$5:$A$133,0))&amp;""</f>
        <v>Uk 1.1</v>
      </c>
      <c r="J95" s="84" t="n">
        <v>1405.7</v>
      </c>
      <c r="K95" s="93" t="n">
        <v>0.0913448229702631</v>
      </c>
      <c r="L95" s="8" t="n">
        <v>46388100</v>
      </c>
      <c r="M95" s="8" t="n">
        <v>38285.8392228568</v>
      </c>
      <c r="N95" s="8" t="n">
        <v>53818404.1955698</v>
      </c>
      <c r="O95" s="12"/>
      <c r="P95" s="6" t="s">
        <v>1119</v>
      </c>
    </row>
    <row r="96" customFormat="false" ht="15" hidden="false" customHeight="false" outlineLevel="0" collapsed="false">
      <c r="A96" s="74" t="s">
        <v>2622</v>
      </c>
      <c r="B96" s="74" t="s">
        <v>1302</v>
      </c>
      <c r="C96" s="74" t="s">
        <v>2654</v>
      </c>
      <c r="D96" s="8" t="n">
        <v>33000</v>
      </c>
      <c r="E96" s="74" t="s">
        <v>986</v>
      </c>
      <c r="F96" s="74" t="s">
        <v>2655</v>
      </c>
      <c r="G96" s="53" t="str">
        <f aca="false">INDEX(I_Items!$D$5:$D$133,MATCH($E96,I_Items!$A$5:$A$133,0))&amp;""</f>
        <v>Karkas</v>
      </c>
      <c r="H96" s="53" t="str">
        <f aca="false">INDEX(I_Items!$F$5:$F$133,MATCH($E96,I_Items!$A$5:$A$133,0))&amp;""</f>
        <v>Fresh</v>
      </c>
      <c r="I96" s="53" t="str">
        <f aca="false">INDEX(I_Items!$E$5:$E$133,MATCH($E96,I_Items!$A$5:$A$133,0))&amp;""</f>
        <v>Uk 1.2</v>
      </c>
      <c r="J96" s="84" t="n">
        <v>2206.9</v>
      </c>
      <c r="K96" s="93" t="n">
        <v>0.143408187958365</v>
      </c>
      <c r="L96" s="8" t="n">
        <v>72827700</v>
      </c>
      <c r="M96" s="8" t="n">
        <v>38285.8392228568</v>
      </c>
      <c r="N96" s="8" t="n">
        <v>84493018.5809226</v>
      </c>
      <c r="O96" s="12"/>
      <c r="P96" s="6" t="s">
        <v>1119</v>
      </c>
    </row>
    <row r="97" customFormat="false" ht="15" hidden="false" customHeight="false" outlineLevel="0" collapsed="false">
      <c r="A97" s="74" t="s">
        <v>2622</v>
      </c>
      <c r="B97" s="74" t="s">
        <v>1302</v>
      </c>
      <c r="C97" s="74" t="s">
        <v>2656</v>
      </c>
      <c r="D97" s="8" t="n">
        <v>33000</v>
      </c>
      <c r="E97" s="74" t="s">
        <v>990</v>
      </c>
      <c r="F97" s="74" t="s">
        <v>2657</v>
      </c>
      <c r="G97" s="53" t="str">
        <f aca="false">INDEX(I_Items!$D$5:$D$133,MATCH($E97,I_Items!$A$5:$A$133,0))&amp;""</f>
        <v>Karkas</v>
      </c>
      <c r="H97" s="53" t="str">
        <f aca="false">INDEX(I_Items!$F$5:$F$133,MATCH($E97,I_Items!$A$5:$A$133,0))&amp;""</f>
        <v>Fresh</v>
      </c>
      <c r="I97" s="53" t="str">
        <f aca="false">INDEX(I_Items!$E$5:$E$133,MATCH($E97,I_Items!$A$5:$A$133,0))&amp;""</f>
        <v>Uk 1.3</v>
      </c>
      <c r="J97" s="84" t="n">
        <v>2359.5</v>
      </c>
      <c r="K97" s="93" t="n">
        <v>0.153324400511016</v>
      </c>
      <c r="L97" s="8" t="n">
        <v>77863500</v>
      </c>
      <c r="M97" s="8" t="n">
        <v>38285.8392228568</v>
      </c>
      <c r="N97" s="8" t="n">
        <v>90335437.6463306</v>
      </c>
      <c r="O97" s="12"/>
      <c r="P97" s="6" t="s">
        <v>1119</v>
      </c>
    </row>
    <row r="98" customFormat="false" ht="15" hidden="false" customHeight="false" outlineLevel="0" collapsed="false">
      <c r="A98" s="74" t="s">
        <v>2622</v>
      </c>
      <c r="B98" s="74" t="s">
        <v>1302</v>
      </c>
      <c r="C98" s="74" t="s">
        <v>2658</v>
      </c>
      <c r="D98" s="8" t="n">
        <v>33000</v>
      </c>
      <c r="E98" s="74" t="s">
        <v>993</v>
      </c>
      <c r="F98" s="74" t="s">
        <v>2659</v>
      </c>
      <c r="G98" s="53" t="str">
        <f aca="false">INDEX(I_Items!$D$5:$D$133,MATCH($E98,I_Items!$A$5:$A$133,0))&amp;""</f>
        <v>Karkas</v>
      </c>
      <c r="H98" s="53" t="str">
        <f aca="false">INDEX(I_Items!$F$5:$F$133,MATCH($E98,I_Items!$A$5:$A$133,0))&amp;""</f>
        <v>Fresh</v>
      </c>
      <c r="I98" s="53" t="str">
        <f aca="false">INDEX(I_Items!$E$5:$E$133,MATCH($E98,I_Items!$A$5:$A$133,0))&amp;""</f>
        <v>Uk 1.4</v>
      </c>
      <c r="J98" s="84" t="n">
        <v>1657.5</v>
      </c>
      <c r="K98" s="93" t="n">
        <v>0.107707223499474</v>
      </c>
      <c r="L98" s="8" t="n">
        <v>54697500</v>
      </c>
      <c r="M98" s="8" t="n">
        <v>38285.8392228568</v>
      </c>
      <c r="N98" s="8" t="n">
        <v>63458778.5118851</v>
      </c>
      <c r="O98" s="12"/>
      <c r="P98" s="6" t="s">
        <v>1119</v>
      </c>
    </row>
    <row r="99" customFormat="false" ht="15" hidden="false" customHeight="false" outlineLevel="0" collapsed="false">
      <c r="A99" s="74" t="s">
        <v>2622</v>
      </c>
      <c r="B99" s="74" t="s">
        <v>1302</v>
      </c>
      <c r="C99" s="74" t="s">
        <v>2692</v>
      </c>
      <c r="D99" s="8" t="n">
        <v>33000</v>
      </c>
      <c r="E99" s="74" t="s">
        <v>996</v>
      </c>
      <c r="F99" s="74" t="s">
        <v>2693</v>
      </c>
      <c r="G99" s="53" t="str">
        <f aca="false">INDEX(I_Items!$D$5:$D$133,MATCH($E99,I_Items!$A$5:$A$133,0))&amp;""</f>
        <v>Karkas</v>
      </c>
      <c r="H99" s="53" t="str">
        <f aca="false">INDEX(I_Items!$F$5:$F$133,MATCH($E99,I_Items!$A$5:$A$133,0))&amp;""</f>
        <v>Fresh</v>
      </c>
      <c r="I99" s="53" t="str">
        <f aca="false">INDEX(I_Items!$E$5:$E$133,MATCH($E99,I_Items!$A$5:$A$133,0))&amp;""</f>
        <v>Uk 1.5</v>
      </c>
      <c r="J99" s="84" t="n">
        <v>807.2</v>
      </c>
      <c r="K99" s="93" t="n">
        <v>0.0524532553899099</v>
      </c>
      <c r="L99" s="8" t="n">
        <v>26637600</v>
      </c>
      <c r="M99" s="8" t="n">
        <v>38285.8392228568</v>
      </c>
      <c r="N99" s="8" t="n">
        <v>30904329.42069</v>
      </c>
      <c r="O99" s="12"/>
      <c r="P99" s="6" t="s">
        <v>1119</v>
      </c>
    </row>
    <row r="100" customFormat="false" ht="15" hidden="false" customHeight="false" outlineLevel="0" collapsed="false">
      <c r="A100" s="74" t="s">
        <v>2622</v>
      </c>
      <c r="B100" s="74" t="s">
        <v>1302</v>
      </c>
      <c r="C100" s="74" t="s">
        <v>2694</v>
      </c>
      <c r="D100" s="8" t="n">
        <v>33000</v>
      </c>
      <c r="E100" s="74" t="s">
        <v>999</v>
      </c>
      <c r="F100" s="74" t="s">
        <v>2695</v>
      </c>
      <c r="G100" s="53" t="str">
        <f aca="false">INDEX(I_Items!$D$5:$D$133,MATCH($E100,I_Items!$A$5:$A$133,0))&amp;""</f>
        <v>Karkas</v>
      </c>
      <c r="H100" s="53" t="str">
        <f aca="false">INDEX(I_Items!$F$5:$F$133,MATCH($E100,I_Items!$A$5:$A$133,0))&amp;""</f>
        <v>Fresh</v>
      </c>
      <c r="I100" s="53" t="str">
        <f aca="false">INDEX(I_Items!$E$5:$E$133,MATCH($E100,I_Items!$A$5:$A$133,0))&amp;""</f>
        <v>Uk 1.6</v>
      </c>
      <c r="J100" s="84" t="n">
        <v>495.3</v>
      </c>
      <c r="K100" s="93" t="n">
        <v>0.0321854526692547</v>
      </c>
      <c r="L100" s="8" t="n">
        <v>16344900</v>
      </c>
      <c r="M100" s="8" t="n">
        <v>38285.8392228568</v>
      </c>
      <c r="N100" s="8" t="n">
        <v>18962976.167081</v>
      </c>
      <c r="O100" s="12"/>
      <c r="P100" s="6" t="s">
        <v>1119</v>
      </c>
    </row>
    <row r="101" customFormat="false" ht="15" hidden="false" customHeight="false" outlineLevel="0" collapsed="false">
      <c r="A101" s="74" t="s">
        <v>2622</v>
      </c>
      <c r="B101" s="74" t="s">
        <v>1302</v>
      </c>
      <c r="C101" s="74" t="s">
        <v>2696</v>
      </c>
      <c r="D101" s="8" t="n">
        <v>33000</v>
      </c>
      <c r="E101" s="74" t="s">
        <v>1004</v>
      </c>
      <c r="F101" s="74" t="s">
        <v>2697</v>
      </c>
      <c r="G101" s="53" t="str">
        <f aca="false">INDEX(I_Items!$D$5:$D$133,MATCH($E101,I_Items!$A$5:$A$133,0))&amp;""</f>
        <v>Karkas</v>
      </c>
      <c r="H101" s="53" t="str">
        <f aca="false">INDEX(I_Items!$F$5:$F$133,MATCH($E101,I_Items!$A$5:$A$133,0))&amp;""</f>
        <v>Frozen</v>
      </c>
      <c r="I101" s="53" t="str">
        <f aca="false">INDEX(I_Items!$E$5:$E$133,MATCH($E101,I_Items!$A$5:$A$133,0))&amp;""</f>
        <v>Uk 1.7</v>
      </c>
      <c r="J101" s="84" t="n">
        <v>238.7</v>
      </c>
      <c r="K101" s="93" t="n">
        <v>0.015511139818597</v>
      </c>
      <c r="L101" s="8" t="n">
        <v>7877100</v>
      </c>
      <c r="M101" s="8" t="n">
        <v>38285.8392228568</v>
      </c>
      <c r="N101" s="8" t="n">
        <v>9138829.82249591</v>
      </c>
      <c r="O101" s="12"/>
      <c r="P101" s="6" t="s">
        <v>1119</v>
      </c>
    </row>
    <row r="102" customFormat="false" ht="15" hidden="false" customHeight="false" outlineLevel="0" collapsed="false">
      <c r="A102" s="74" t="s">
        <v>2622</v>
      </c>
      <c r="B102" s="74" t="s">
        <v>1302</v>
      </c>
      <c r="C102" s="74" t="s">
        <v>2698</v>
      </c>
      <c r="D102" s="8" t="n">
        <v>33000</v>
      </c>
      <c r="E102" s="74" t="s">
        <v>1006</v>
      </c>
      <c r="F102" s="74" t="s">
        <v>2699</v>
      </c>
      <c r="G102" s="53" t="str">
        <f aca="false">INDEX(I_Items!$D$5:$D$133,MATCH($E102,I_Items!$A$5:$A$133,0))&amp;""</f>
        <v>Karkas</v>
      </c>
      <c r="H102" s="53" t="str">
        <f aca="false">INDEX(I_Items!$F$5:$F$133,MATCH($E102,I_Items!$A$5:$A$133,0))&amp;""</f>
        <v>Frozen</v>
      </c>
      <c r="I102" s="53" t="str">
        <f aca="false">INDEX(I_Items!$E$5:$E$133,MATCH($E102,I_Items!$A$5:$A$133,0))&amp;""</f>
        <v>Uk 1.8</v>
      </c>
      <c r="J102" s="84" t="n">
        <v>99.6</v>
      </c>
      <c r="K102" s="93" t="n">
        <v>0.00647218067001366</v>
      </c>
      <c r="L102" s="8" t="n">
        <v>3286800</v>
      </c>
      <c r="M102" s="8" t="n">
        <v>38285.8392228568</v>
      </c>
      <c r="N102" s="8" t="n">
        <v>3813269.58659654</v>
      </c>
      <c r="O102" s="12"/>
      <c r="P102" s="6" t="s">
        <v>1119</v>
      </c>
    </row>
    <row r="103" customFormat="false" ht="15" hidden="false" customHeight="false" outlineLevel="0" collapsed="false">
      <c r="A103" s="74" t="s">
        <v>2622</v>
      </c>
      <c r="B103" s="74" t="s">
        <v>1302</v>
      </c>
      <c r="C103" s="74" t="s">
        <v>2700</v>
      </c>
      <c r="D103" s="8" t="n">
        <v>33000</v>
      </c>
      <c r="E103" s="74" t="s">
        <v>1010</v>
      </c>
      <c r="F103" s="74" t="s">
        <v>2701</v>
      </c>
      <c r="G103" s="53" t="str">
        <f aca="false">INDEX(I_Items!$D$5:$D$133,MATCH($E103,I_Items!$A$5:$A$133,0))&amp;""</f>
        <v>Karkas</v>
      </c>
      <c r="H103" s="53" t="str">
        <f aca="false">INDEX(I_Items!$F$5:$F$133,MATCH($E103,I_Items!$A$5:$A$133,0))&amp;""</f>
        <v>Frozen</v>
      </c>
      <c r="I103" s="53" t="str">
        <f aca="false">INDEX(I_Items!$E$5:$E$133,MATCH($E103,I_Items!$A$5:$A$133,0))&amp;""</f>
        <v>Uk 2.0</v>
      </c>
      <c r="J103" s="84" t="n">
        <v>13.7</v>
      </c>
      <c r="K103" s="93" t="n">
        <v>0.000890249750795052</v>
      </c>
      <c r="L103" s="8" t="n">
        <v>452100</v>
      </c>
      <c r="M103" s="8" t="n">
        <v>38285.8392228568</v>
      </c>
      <c r="N103" s="8" t="n">
        <v>524515.997353138</v>
      </c>
      <c r="O103" s="12"/>
      <c r="P103" s="6" t="s">
        <v>1119</v>
      </c>
    </row>
    <row r="104" customFormat="false" ht="15" hidden="false" customHeight="false" outlineLevel="0" collapsed="false">
      <c r="A104" s="74" t="s">
        <v>2622</v>
      </c>
      <c r="B104" s="74" t="s">
        <v>1302</v>
      </c>
      <c r="C104" s="74" t="s">
        <v>360</v>
      </c>
      <c r="D104" s="8" t="n">
        <v>20000</v>
      </c>
      <c r="E104" s="74" t="s">
        <v>961</v>
      </c>
      <c r="F104" s="74" t="s">
        <v>2712</v>
      </c>
      <c r="G104" s="53" t="str">
        <f aca="false">INDEX(I_Items!$D$5:$D$133,MATCH($E104,I_Items!$A$5:$A$133,0))&amp;""</f>
        <v>Lemak</v>
      </c>
      <c r="H104" s="53" t="str">
        <f aca="false">INDEX(I_Items!$F$5:$F$133,MATCH($E104,I_Items!$A$5:$A$133,0))&amp;""</f>
        <v>Frozen</v>
      </c>
      <c r="I104" s="53" t="str">
        <f aca="false">INDEX(I_Items!$E$5:$E$133,MATCH($E104,I_Items!$A$5:$A$133,0))&amp;""</f>
        <v/>
      </c>
      <c r="J104" s="84" t="n">
        <v>60.1</v>
      </c>
      <c r="K104" s="93" t="n">
        <v>0.00390540219144399</v>
      </c>
      <c r="L104" s="8" t="n">
        <v>1202000</v>
      </c>
      <c r="M104" s="8" t="n">
        <v>23203.5389229435</v>
      </c>
      <c r="N104" s="8" t="n">
        <v>1394532.68926891</v>
      </c>
      <c r="O104" s="12"/>
      <c r="P104" s="6" t="s">
        <v>1119</v>
      </c>
    </row>
    <row r="105" customFormat="false" ht="15" hidden="false" customHeight="false" outlineLevel="0" collapsed="false">
      <c r="A105" s="74" t="s">
        <v>2622</v>
      </c>
      <c r="B105" s="74" t="s">
        <v>1302</v>
      </c>
      <c r="C105" s="74" t="s">
        <v>248</v>
      </c>
      <c r="D105" s="8" t="n">
        <v>10000</v>
      </c>
      <c r="E105" s="74" t="s">
        <v>950</v>
      </c>
      <c r="F105" s="74" t="s">
        <v>2661</v>
      </c>
      <c r="G105" s="53" t="str">
        <f aca="false">INDEX(I_Items!$D$5:$D$133,MATCH($E105,I_Items!$A$5:$A$133,0))&amp;""</f>
        <v>Kepala</v>
      </c>
      <c r="H105" s="53" t="str">
        <f aca="false">INDEX(I_Items!$F$5:$F$133,MATCH($E105,I_Items!$A$5:$A$133,0))&amp;""</f>
        <v>Fresh</v>
      </c>
      <c r="I105" s="53" t="str">
        <f aca="false">INDEX(I_Items!$E$5:$E$133,MATCH($E105,I_Items!$A$5:$A$133,0))&amp;""</f>
        <v/>
      </c>
      <c r="J105" s="84" t="n">
        <v>705.9</v>
      </c>
      <c r="K105" s="93" t="n">
        <v>0.0458706057727173</v>
      </c>
      <c r="L105" s="8" t="n">
        <v>7059000</v>
      </c>
      <c r="M105" s="8" t="n">
        <v>11601.7694614718</v>
      </c>
      <c r="N105" s="8" t="n">
        <v>8189689.06285291</v>
      </c>
      <c r="O105" s="12"/>
      <c r="P105" s="6" t="s">
        <v>1119</v>
      </c>
    </row>
    <row r="106" customFormat="false" ht="15" hidden="false" customHeight="false" outlineLevel="0" collapsed="false">
      <c r="A106" s="74" t="s">
        <v>2622</v>
      </c>
      <c r="B106" s="74" t="s">
        <v>1302</v>
      </c>
      <c r="C106" s="74" t="s">
        <v>242</v>
      </c>
      <c r="D106" s="8" t="n">
        <v>12000</v>
      </c>
      <c r="E106" s="74" t="s">
        <v>948</v>
      </c>
      <c r="F106" s="74" t="s">
        <v>2662</v>
      </c>
      <c r="G106" s="53" t="str">
        <f aca="false">INDEX(I_Items!$D$5:$D$133,MATCH($E106,I_Items!$A$5:$A$133,0))&amp;""</f>
        <v>Ceker</v>
      </c>
      <c r="H106" s="53" t="str">
        <f aca="false">INDEX(I_Items!$F$5:$F$133,MATCH($E106,I_Items!$A$5:$A$133,0))&amp;""</f>
        <v>Fresh</v>
      </c>
      <c r="I106" s="53" t="str">
        <f aca="false">INDEX(I_Items!$E$5:$E$133,MATCH($E106,I_Items!$A$5:$A$133,0))&amp;""</f>
        <v/>
      </c>
      <c r="J106" s="84" t="n">
        <v>413.8</v>
      </c>
      <c r="K106" s="93" t="n">
        <v>0.0268894413780286</v>
      </c>
      <c r="L106" s="8" t="n">
        <v>4965600</v>
      </c>
      <c r="M106" s="8" t="n">
        <v>13922.1233537661</v>
      </c>
      <c r="N106" s="8" t="n">
        <v>5760974.64378841</v>
      </c>
      <c r="O106" s="12"/>
      <c r="P106" s="6" t="s">
        <v>1119</v>
      </c>
    </row>
    <row r="107" customFormat="false" ht="15" hidden="false" customHeight="false" outlineLevel="0" collapsed="false">
      <c r="A107" s="74" t="s">
        <v>2622</v>
      </c>
      <c r="B107" s="74" t="s">
        <v>1302</v>
      </c>
      <c r="C107" s="74" t="s">
        <v>253</v>
      </c>
      <c r="D107" s="8" t="n">
        <v>5000</v>
      </c>
      <c r="E107" s="74" t="s">
        <v>953</v>
      </c>
      <c r="F107" s="74" t="s">
        <v>2682</v>
      </c>
      <c r="G107" s="53" t="str">
        <f aca="false">INDEX(I_Items!$D$5:$D$133,MATCH($E107,I_Items!$A$5:$A$133,0))&amp;""</f>
        <v>Usus</v>
      </c>
      <c r="H107" s="53" t="str">
        <f aca="false">INDEX(I_Items!$F$5:$F$133,MATCH($E107,I_Items!$A$5:$A$133,0))&amp;""</f>
        <v>Fresh</v>
      </c>
      <c r="I107" s="53" t="str">
        <f aca="false">INDEX(I_Items!$E$5:$E$133,MATCH($E107,I_Items!$A$5:$A$133,0))&amp;""</f>
        <v/>
      </c>
      <c r="J107" s="84" t="n">
        <v>714.9</v>
      </c>
      <c r="K107" s="93" t="n">
        <v>0.0464554413754294</v>
      </c>
      <c r="L107" s="8" t="n">
        <v>3574500</v>
      </c>
      <c r="M107" s="8" t="n">
        <v>5800.88473073588</v>
      </c>
      <c r="N107" s="8" t="n">
        <v>4147052.49400308</v>
      </c>
      <c r="O107" s="12"/>
      <c r="P107" s="6" t="s">
        <v>1119</v>
      </c>
    </row>
    <row r="108" customFormat="false" ht="15" hidden="false" customHeight="false" outlineLevel="0" collapsed="false">
      <c r="A108" s="74" t="s">
        <v>2622</v>
      </c>
      <c r="B108" s="74" t="s">
        <v>1302</v>
      </c>
      <c r="C108" s="74" t="s">
        <v>2665</v>
      </c>
      <c r="D108" s="8" t="n">
        <v>5000</v>
      </c>
      <c r="E108" s="74" t="s">
        <v>949</v>
      </c>
      <c r="F108" s="74" t="s">
        <v>2666</v>
      </c>
      <c r="G108" s="53" t="str">
        <f aca="false">INDEX(I_Items!$D$5:$D$133,MATCH($E108,I_Items!$A$5:$A$133,0))&amp;""</f>
        <v>HJA (Hati/Jantung/Ampela)</v>
      </c>
      <c r="H108" s="53" t="str">
        <f aca="false">INDEX(I_Items!$F$5:$F$133,MATCH($E108,I_Items!$A$5:$A$133,0))&amp;""</f>
        <v>Fresh</v>
      </c>
      <c r="I108" s="53" t="str">
        <f aca="false">INDEX(I_Items!$E$5:$E$133,MATCH($E108,I_Items!$A$5:$A$133,0))&amp;""</f>
        <v/>
      </c>
      <c r="J108" s="84" t="n">
        <v>850.1</v>
      </c>
      <c r="K108" s="93" t="n">
        <v>0.0552409717628375</v>
      </c>
      <c r="L108" s="8" t="n">
        <v>4250500</v>
      </c>
      <c r="M108" s="8" t="n">
        <v>5800.88473073588</v>
      </c>
      <c r="N108" s="8" t="n">
        <v>4931332.10959857</v>
      </c>
      <c r="O108" s="12"/>
      <c r="P108" s="6" t="s">
        <v>1119</v>
      </c>
    </row>
    <row r="109" customFormat="false" ht="15" hidden="false" customHeight="false" outlineLevel="0" collapsed="false">
      <c r="A109" s="74" t="s">
        <v>2622</v>
      </c>
      <c r="B109" s="74" t="s">
        <v>1302</v>
      </c>
      <c r="C109" s="74" t="s">
        <v>2667</v>
      </c>
      <c r="D109" s="8" t="n">
        <v>30000</v>
      </c>
      <c r="E109" s="74" t="s">
        <v>973</v>
      </c>
      <c r="F109" s="74" t="s">
        <v>2668</v>
      </c>
      <c r="G109" s="53" t="str">
        <f aca="false">INDEX(I_Items!$D$5:$D$133,MATCH($E109,I_Items!$A$5:$A$133,0))&amp;""</f>
        <v>Karkas</v>
      </c>
      <c r="H109" s="53" t="str">
        <f aca="false">INDEX(I_Items!$F$5:$F$133,MATCH($E109,I_Items!$A$5:$A$133,0))&amp;""</f>
        <v>Frozen</v>
      </c>
      <c r="I109" s="53" t="str">
        <f aca="false">INDEX(I_Items!$E$5:$E$133,MATCH($E109,I_Items!$A$5:$A$133,0))&amp;""</f>
        <v>Uk 0.7</v>
      </c>
      <c r="J109" s="84" t="n">
        <v>7.1</v>
      </c>
      <c r="K109" s="93" t="n">
        <v>0.000461370308806195</v>
      </c>
      <c r="L109" s="8" t="n">
        <v>213000</v>
      </c>
      <c r="M109" s="8" t="n">
        <v>34805.3083844153</v>
      </c>
      <c r="N109" s="8" t="n">
        <v>247117.689529348</v>
      </c>
      <c r="O109" s="12"/>
      <c r="P109" s="6" t="s">
        <v>1119</v>
      </c>
    </row>
    <row r="110" customFormat="false" ht="15" hidden="false" customHeight="false" outlineLevel="0" collapsed="false">
      <c r="A110" s="74" t="s">
        <v>2622</v>
      </c>
      <c r="B110" s="74" t="s">
        <v>1302</v>
      </c>
      <c r="C110" s="74" t="s">
        <v>2669</v>
      </c>
      <c r="D110" s="8" t="n">
        <v>30000</v>
      </c>
      <c r="E110" s="74" t="s">
        <v>974</v>
      </c>
      <c r="F110" s="74" t="s">
        <v>2670</v>
      </c>
      <c r="G110" s="53" t="str">
        <f aca="false">INDEX(I_Items!$D$5:$D$133,MATCH($E110,I_Items!$A$5:$A$133,0))&amp;""</f>
        <v>Karkas</v>
      </c>
      <c r="H110" s="53" t="str">
        <f aca="false">INDEX(I_Items!$F$5:$F$133,MATCH($E110,I_Items!$A$5:$A$133,0))&amp;""</f>
        <v>Frozen</v>
      </c>
      <c r="I110" s="53" t="str">
        <f aca="false">INDEX(I_Items!$E$5:$E$133,MATCH($E110,I_Items!$A$5:$A$133,0))&amp;""</f>
        <v>Uk 0.8</v>
      </c>
      <c r="J110" s="84" t="n">
        <v>3.5</v>
      </c>
      <c r="K110" s="93" t="n">
        <v>0.000227436067721364</v>
      </c>
      <c r="L110" s="8" t="n">
        <v>105000</v>
      </c>
      <c r="M110" s="8" t="n">
        <v>34805.3083844153</v>
      </c>
      <c r="N110" s="8" t="n">
        <v>121818.579345453</v>
      </c>
      <c r="O110" s="12"/>
      <c r="P110" s="6" t="s">
        <v>1119</v>
      </c>
    </row>
    <row r="111" customFormat="false" ht="15" hidden="false" customHeight="false" outlineLevel="0" collapsed="false">
      <c r="A111" s="74" t="s">
        <v>2622</v>
      </c>
      <c r="B111" s="74" t="s">
        <v>1302</v>
      </c>
      <c r="C111" s="74" t="s">
        <v>2671</v>
      </c>
      <c r="D111" s="8" t="n">
        <v>30000</v>
      </c>
      <c r="E111" s="74" t="s">
        <v>976</v>
      </c>
      <c r="F111" s="74" t="s">
        <v>2672</v>
      </c>
      <c r="G111" s="53" t="str">
        <f aca="false">INDEX(I_Items!$D$5:$D$133,MATCH($E111,I_Items!$A$5:$A$133,0))&amp;""</f>
        <v>Karkas</v>
      </c>
      <c r="H111" s="53" t="str">
        <f aca="false">INDEX(I_Items!$F$5:$F$133,MATCH($E111,I_Items!$A$5:$A$133,0))&amp;""</f>
        <v>Frozen</v>
      </c>
      <c r="I111" s="53" t="str">
        <f aca="false">INDEX(I_Items!$E$5:$E$133,MATCH($E111,I_Items!$A$5:$A$133,0))&amp;""</f>
        <v>Uk 0.9</v>
      </c>
      <c r="J111" s="84" t="n">
        <v>14.7</v>
      </c>
      <c r="K111" s="93" t="n">
        <v>0.000955231484429727</v>
      </c>
      <c r="L111" s="8" t="n">
        <v>441000</v>
      </c>
      <c r="M111" s="8" t="n">
        <v>34805.3083844153</v>
      </c>
      <c r="N111" s="8" t="n">
        <v>511638.033250904</v>
      </c>
      <c r="O111" s="12"/>
      <c r="P111" s="6" t="s">
        <v>1119</v>
      </c>
    </row>
    <row r="112" customFormat="false" ht="15" hidden="false" customHeight="false" outlineLevel="0" collapsed="false">
      <c r="A112" s="74" t="s">
        <v>2622</v>
      </c>
      <c r="B112" s="74" t="s">
        <v>1302</v>
      </c>
      <c r="C112" s="74" t="s">
        <v>2673</v>
      </c>
      <c r="D112" s="8" t="n">
        <v>30000</v>
      </c>
      <c r="E112" s="74" t="s">
        <v>979</v>
      </c>
      <c r="F112" s="74" t="s">
        <v>2685</v>
      </c>
      <c r="G112" s="53" t="str">
        <f aca="false">INDEX(I_Items!$D$5:$D$133,MATCH($E112,I_Items!$A$5:$A$133,0))&amp;""</f>
        <v>Karkas</v>
      </c>
      <c r="H112" s="53" t="str">
        <f aca="false">INDEX(I_Items!$F$5:$F$133,MATCH($E112,I_Items!$A$5:$A$133,0))&amp;""</f>
        <v>Frozen</v>
      </c>
      <c r="I112" s="53" t="str">
        <f aca="false">INDEX(I_Items!$E$5:$E$133,MATCH($E112,I_Items!$A$5:$A$133,0))&amp;""</f>
        <v>Uk 1.0</v>
      </c>
      <c r="J112" s="84" t="n">
        <v>29.7</v>
      </c>
      <c r="K112" s="93" t="n">
        <v>0.00192995748894986</v>
      </c>
      <c r="L112" s="8" t="n">
        <v>891000</v>
      </c>
      <c r="M112" s="8" t="n">
        <v>34805.3083844153</v>
      </c>
      <c r="N112" s="8" t="n">
        <v>1033717.65901713</v>
      </c>
      <c r="O112" s="12"/>
      <c r="P112" s="6" t="s">
        <v>1119</v>
      </c>
    </row>
    <row r="113" customFormat="false" ht="15" hidden="false" customHeight="false" outlineLevel="0" collapsed="false">
      <c r="A113" s="74" t="s">
        <v>2622</v>
      </c>
      <c r="B113" s="74" t="s">
        <v>1302</v>
      </c>
      <c r="C113" s="74" t="s">
        <v>2674</v>
      </c>
      <c r="D113" s="8" t="n">
        <v>30000</v>
      </c>
      <c r="E113" s="74" t="s">
        <v>983</v>
      </c>
      <c r="F113" s="74" t="s">
        <v>2686</v>
      </c>
      <c r="G113" s="53" t="str">
        <f aca="false">INDEX(I_Items!$D$5:$D$133,MATCH($E113,I_Items!$A$5:$A$133,0))&amp;""</f>
        <v>Karkas</v>
      </c>
      <c r="H113" s="53" t="str">
        <f aca="false">INDEX(I_Items!$F$5:$F$133,MATCH($E113,I_Items!$A$5:$A$133,0))&amp;""</f>
        <v>Frozen</v>
      </c>
      <c r="I113" s="53" t="str">
        <f aca="false">INDEX(I_Items!$E$5:$E$133,MATCH($E113,I_Items!$A$5:$A$133,0))&amp;""</f>
        <v>Uk 1.1</v>
      </c>
      <c r="J113" s="84" t="n">
        <v>82.5</v>
      </c>
      <c r="K113" s="93" t="n">
        <v>0.00536099302486071</v>
      </c>
      <c r="L113" s="8" t="n">
        <v>2475000</v>
      </c>
      <c r="M113" s="8" t="n">
        <v>34805.3083844153</v>
      </c>
      <c r="N113" s="8" t="n">
        <v>2871437.94171426</v>
      </c>
      <c r="O113" s="12"/>
      <c r="P113" s="6" t="s">
        <v>1119</v>
      </c>
    </row>
    <row r="114" customFormat="false" ht="15" hidden="false" customHeight="false" outlineLevel="0" collapsed="false">
      <c r="A114" s="74" t="s">
        <v>2622</v>
      </c>
      <c r="B114" s="74" t="s">
        <v>1302</v>
      </c>
      <c r="C114" s="74" t="s">
        <v>2676</v>
      </c>
      <c r="D114" s="8" t="n">
        <v>30000</v>
      </c>
      <c r="E114" s="74" t="s">
        <v>987</v>
      </c>
      <c r="F114" s="74" t="s">
        <v>2687</v>
      </c>
      <c r="G114" s="53" t="str">
        <f aca="false">INDEX(I_Items!$D$5:$D$133,MATCH($E114,I_Items!$A$5:$A$133,0))&amp;""</f>
        <v>Karkas</v>
      </c>
      <c r="H114" s="53" t="str">
        <f aca="false">INDEX(I_Items!$F$5:$F$133,MATCH($E114,I_Items!$A$5:$A$133,0))&amp;""</f>
        <v>Frozen</v>
      </c>
      <c r="I114" s="53" t="str">
        <f aca="false">INDEX(I_Items!$E$5:$E$133,MATCH($E114,I_Items!$A$5:$A$133,0))&amp;""</f>
        <v>Uk 1.2</v>
      </c>
      <c r="J114" s="84" t="n">
        <v>119</v>
      </c>
      <c r="K114" s="93" t="n">
        <v>0.00773282630252636</v>
      </c>
      <c r="L114" s="8" t="n">
        <v>3570000</v>
      </c>
      <c r="M114" s="8" t="n">
        <v>34805.3083844153</v>
      </c>
      <c r="N114" s="8" t="n">
        <v>4141831.69774542</v>
      </c>
      <c r="O114" s="12"/>
      <c r="P114" s="6" t="s">
        <v>1119</v>
      </c>
    </row>
    <row r="115" customFormat="false" ht="15" hidden="false" customHeight="false" outlineLevel="0" collapsed="false">
      <c r="A115" s="74" t="s">
        <v>2622</v>
      </c>
      <c r="B115" s="74" t="s">
        <v>1302</v>
      </c>
      <c r="C115" s="74" t="s">
        <v>2678</v>
      </c>
      <c r="D115" s="8" t="n">
        <v>30000</v>
      </c>
      <c r="E115" s="74" t="s">
        <v>991</v>
      </c>
      <c r="F115" s="74" t="s">
        <v>2688</v>
      </c>
      <c r="G115" s="53" t="str">
        <f aca="false">INDEX(I_Items!$D$5:$D$133,MATCH($E115,I_Items!$A$5:$A$133,0))&amp;""</f>
        <v>Karkas</v>
      </c>
      <c r="H115" s="53" t="str">
        <f aca="false">INDEX(I_Items!$F$5:$F$133,MATCH($E115,I_Items!$A$5:$A$133,0))&amp;""</f>
        <v>Frozen</v>
      </c>
      <c r="I115" s="53" t="str">
        <f aca="false">INDEX(I_Items!$E$5:$E$133,MATCH($E115,I_Items!$A$5:$A$133,0))&amp;""</f>
        <v>Uk 1.3</v>
      </c>
      <c r="J115" s="84" t="n">
        <v>156.2</v>
      </c>
      <c r="K115" s="93" t="n">
        <v>0.0101501467937363</v>
      </c>
      <c r="L115" s="8" t="n">
        <v>4686000</v>
      </c>
      <c r="M115" s="8" t="n">
        <v>34805.3083844153</v>
      </c>
      <c r="N115" s="8" t="n">
        <v>5436589.16964566</v>
      </c>
      <c r="O115" s="12"/>
      <c r="P115" s="6" t="s">
        <v>1119</v>
      </c>
    </row>
    <row r="116" customFormat="false" ht="15" hidden="false" customHeight="false" outlineLevel="0" collapsed="false">
      <c r="A116" s="74" t="s">
        <v>2622</v>
      </c>
      <c r="B116" s="74" t="s">
        <v>1302</v>
      </c>
      <c r="C116" s="74" t="s">
        <v>2680</v>
      </c>
      <c r="D116" s="8" t="n">
        <v>30000</v>
      </c>
      <c r="E116" s="74" t="s">
        <v>994</v>
      </c>
      <c r="F116" s="74" t="s">
        <v>2681</v>
      </c>
      <c r="G116" s="53" t="str">
        <f aca="false">INDEX(I_Items!$D$5:$D$133,MATCH($E116,I_Items!$A$5:$A$133,0))&amp;""</f>
        <v>Karkas</v>
      </c>
      <c r="H116" s="53" t="str">
        <f aca="false">INDEX(I_Items!$F$5:$F$133,MATCH($E116,I_Items!$A$5:$A$133,0))&amp;""</f>
        <v>Frozen</v>
      </c>
      <c r="I116" s="53" t="str">
        <f aca="false">INDEX(I_Items!$E$5:$E$133,MATCH($E116,I_Items!$A$5:$A$133,0))&amp;""</f>
        <v>Uk 1.4</v>
      </c>
      <c r="J116" s="84" t="n">
        <v>110.4</v>
      </c>
      <c r="K116" s="93" t="n">
        <v>0.00717398339326815</v>
      </c>
      <c r="L116" s="8" t="n">
        <v>3312000</v>
      </c>
      <c r="M116" s="8" t="n">
        <v>34805.3083844152</v>
      </c>
      <c r="N116" s="8" t="n">
        <v>3842506.04563944</v>
      </c>
      <c r="O116" s="12"/>
      <c r="P116" s="6" t="s">
        <v>1119</v>
      </c>
    </row>
    <row r="117" customFormat="false" ht="15" hidden="false" customHeight="false" outlineLevel="0" collapsed="false">
      <c r="A117" s="74" t="s">
        <v>2622</v>
      </c>
      <c r="B117" s="74" t="s">
        <v>1302</v>
      </c>
      <c r="C117" s="74" t="s">
        <v>2702</v>
      </c>
      <c r="D117" s="8" t="n">
        <v>30000</v>
      </c>
      <c r="E117" s="74" t="s">
        <v>997</v>
      </c>
      <c r="F117" s="74" t="s">
        <v>2703</v>
      </c>
      <c r="G117" s="53" t="str">
        <f aca="false">INDEX(I_Items!$D$5:$D$133,MATCH($E117,I_Items!$A$5:$A$133,0))&amp;""</f>
        <v>Karkas</v>
      </c>
      <c r="H117" s="53" t="str">
        <f aca="false">INDEX(I_Items!$F$5:$F$133,MATCH($E117,I_Items!$A$5:$A$133,0))&amp;""</f>
        <v>Frozen</v>
      </c>
      <c r="I117" s="53" t="str">
        <f aca="false">INDEX(I_Items!$E$5:$E$133,MATCH($E117,I_Items!$A$5:$A$133,0))&amp;""</f>
        <v>Uk 1.5</v>
      </c>
      <c r="J117" s="84" t="n">
        <v>34.6</v>
      </c>
      <c r="K117" s="93" t="n">
        <v>0.00224836798375977</v>
      </c>
      <c r="L117" s="8" t="n">
        <v>1038000</v>
      </c>
      <c r="M117" s="8" t="n">
        <v>34805.3083844153</v>
      </c>
      <c r="N117" s="8" t="n">
        <v>1204263.67010077</v>
      </c>
      <c r="O117" s="12"/>
      <c r="P117" s="6" t="s">
        <v>1119</v>
      </c>
    </row>
    <row r="118" customFormat="false" ht="15" hidden="false" customHeight="false" outlineLevel="0" collapsed="false">
      <c r="A118" s="74" t="s">
        <v>2622</v>
      </c>
      <c r="B118" s="74" t="s">
        <v>1302</v>
      </c>
      <c r="C118" s="74" t="s">
        <v>2704</v>
      </c>
      <c r="D118" s="8" t="n">
        <v>30000</v>
      </c>
      <c r="E118" s="74" t="s">
        <v>1000</v>
      </c>
      <c r="F118" s="74" t="s">
        <v>2705</v>
      </c>
      <c r="G118" s="53" t="str">
        <f aca="false">INDEX(I_Items!$D$5:$D$133,MATCH($E118,I_Items!$A$5:$A$133,0))&amp;""</f>
        <v>Karkas</v>
      </c>
      <c r="H118" s="53" t="str">
        <f aca="false">INDEX(I_Items!$F$5:$F$133,MATCH($E118,I_Items!$A$5:$A$133,0))&amp;""</f>
        <v>Frozen</v>
      </c>
      <c r="I118" s="53" t="str">
        <f aca="false">INDEX(I_Items!$E$5:$E$133,MATCH($E118,I_Items!$A$5:$A$133,0))&amp;""</f>
        <v>Uk 1.6</v>
      </c>
      <c r="J118" s="84" t="n">
        <v>24.9</v>
      </c>
      <c r="K118" s="93" t="n">
        <v>0.00161804516750342</v>
      </c>
      <c r="L118" s="8" t="n">
        <v>747000</v>
      </c>
      <c r="M118" s="8" t="n">
        <v>34805.3083844153</v>
      </c>
      <c r="N118" s="8" t="n">
        <v>866652.17877194</v>
      </c>
      <c r="O118" s="12"/>
      <c r="P118" s="6" t="s">
        <v>1119</v>
      </c>
    </row>
    <row r="119" customFormat="false" ht="15" hidden="false" customHeight="false" outlineLevel="0" collapsed="false">
      <c r="A119" s="74" t="s">
        <v>2622</v>
      </c>
      <c r="B119" s="74" t="s">
        <v>1302</v>
      </c>
      <c r="C119" s="74" t="s">
        <v>2706</v>
      </c>
      <c r="D119" s="8" t="n">
        <v>30000</v>
      </c>
      <c r="E119" s="74" t="s">
        <v>1003</v>
      </c>
      <c r="F119" s="74" t="s">
        <v>2707</v>
      </c>
      <c r="G119" s="53" t="str">
        <f aca="false">INDEX(I_Items!$D$5:$D$133,MATCH($E119,I_Items!$A$5:$A$133,0))&amp;""</f>
        <v>Karkas</v>
      </c>
      <c r="H119" s="53" t="str">
        <f aca="false">INDEX(I_Items!$F$5:$F$133,MATCH($E119,I_Items!$A$5:$A$133,0))&amp;""</f>
        <v>Frozen</v>
      </c>
      <c r="I119" s="53" t="str">
        <f aca="false">INDEX(I_Items!$E$5:$E$133,MATCH($E119,I_Items!$A$5:$A$133,0))&amp;""</f>
        <v>Uk 1.7</v>
      </c>
      <c r="J119" s="84" t="n">
        <v>12.4</v>
      </c>
      <c r="K119" s="93" t="n">
        <v>0.000805773497069974</v>
      </c>
      <c r="L119" s="8" t="n">
        <v>372000</v>
      </c>
      <c r="M119" s="8" t="n">
        <v>34805.3083844153</v>
      </c>
      <c r="N119" s="8" t="n">
        <v>431585.823966749</v>
      </c>
      <c r="O119" s="12"/>
      <c r="P119" s="6" t="s">
        <v>1119</v>
      </c>
    </row>
    <row r="120" customFormat="false" ht="15" hidden="false" customHeight="false" outlineLevel="0" collapsed="false">
      <c r="A120" s="74" t="s">
        <v>2622</v>
      </c>
      <c r="B120" s="74" t="s">
        <v>1302</v>
      </c>
      <c r="C120" s="74" t="s">
        <v>2708</v>
      </c>
      <c r="D120" s="8" t="n">
        <v>30000</v>
      </c>
      <c r="E120" s="74" t="s">
        <v>1005</v>
      </c>
      <c r="F120" s="74" t="s">
        <v>2709</v>
      </c>
      <c r="G120" s="53" t="str">
        <f aca="false">INDEX(I_Items!$D$5:$D$133,MATCH($E120,I_Items!$A$5:$A$133,0))&amp;""</f>
        <v>Karkas</v>
      </c>
      <c r="H120" s="53" t="str">
        <f aca="false">INDEX(I_Items!$F$5:$F$133,MATCH($E120,I_Items!$A$5:$A$133,0))&amp;""</f>
        <v>Frozen</v>
      </c>
      <c r="I120" s="53" t="str">
        <f aca="false">INDEX(I_Items!$E$5:$E$133,MATCH($E120,I_Items!$A$5:$A$133,0))&amp;""</f>
        <v>Uk 1.8</v>
      </c>
      <c r="J120" s="84" t="n">
        <v>13.1</v>
      </c>
      <c r="K120" s="93" t="n">
        <v>0.000851260710614246</v>
      </c>
      <c r="L120" s="8" t="n">
        <v>393000</v>
      </c>
      <c r="M120" s="8" t="n">
        <v>34805.3083844153</v>
      </c>
      <c r="N120" s="8" t="n">
        <v>455949.53983584</v>
      </c>
      <c r="O120" s="12"/>
      <c r="P120" s="6" t="s">
        <v>1119</v>
      </c>
    </row>
    <row r="121" customFormat="false" ht="15" hidden="false" customHeight="false" outlineLevel="0" collapsed="false">
      <c r="A121" s="74" t="s">
        <v>2622</v>
      </c>
      <c r="B121" s="74" t="s">
        <v>1302</v>
      </c>
      <c r="C121" s="74" t="s">
        <v>2710</v>
      </c>
      <c r="D121" s="8" t="n">
        <v>30000</v>
      </c>
      <c r="E121" s="74" t="s">
        <v>1007</v>
      </c>
      <c r="F121" s="74" t="s">
        <v>2711</v>
      </c>
      <c r="G121" s="53" t="str">
        <f aca="false">INDEX(I_Items!$D$5:$D$133,MATCH($E121,I_Items!$A$5:$A$133,0))&amp;""</f>
        <v>Karkas</v>
      </c>
      <c r="H121" s="53" t="str">
        <f aca="false">INDEX(I_Items!$F$5:$F$133,MATCH($E121,I_Items!$A$5:$A$133,0))&amp;""</f>
        <v>Frozen</v>
      </c>
      <c r="I121" s="53" t="str">
        <f aca="false">INDEX(I_Items!$E$5:$E$133,MATCH($E121,I_Items!$A$5:$A$133,0))&amp;""</f>
        <v>Uk 1.9</v>
      </c>
      <c r="J121" s="84" t="n">
        <v>3.9</v>
      </c>
      <c r="K121" s="93" t="n">
        <v>0.000253428761175234</v>
      </c>
      <c r="L121" s="8" t="n">
        <v>117000</v>
      </c>
      <c r="M121" s="8" t="n">
        <v>34805.3083844153</v>
      </c>
      <c r="N121" s="8" t="n">
        <v>135740.70269922</v>
      </c>
      <c r="O121" s="12"/>
      <c r="P121" s="6" t="s">
        <v>1119</v>
      </c>
    </row>
    <row r="122" customFormat="false" ht="15" hidden="false" customHeight="false" outlineLevel="0" collapsed="false">
      <c r="A122" s="74" t="s">
        <v>2624</v>
      </c>
      <c r="B122" s="74" t="s">
        <v>1305</v>
      </c>
      <c r="C122" s="74" t="s">
        <v>2642</v>
      </c>
      <c r="D122" s="8" t="n">
        <v>33000</v>
      </c>
      <c r="E122" s="74" t="s">
        <v>1016</v>
      </c>
      <c r="F122" s="74" t="s">
        <v>2643</v>
      </c>
      <c r="G122" s="53" t="str">
        <f aca="false">INDEX(I_Items!$D$5:$D$133,MATCH($E122,I_Items!$A$5:$A$133,0))&amp;""</f>
        <v>Karkas</v>
      </c>
      <c r="H122" s="53" t="str">
        <f aca="false">INDEX(I_Items!$F$5:$F$133,MATCH($E122,I_Items!$A$5:$A$133,0))&amp;""</f>
        <v>Frozen</v>
      </c>
      <c r="I122" s="53" t="str">
        <f aca="false">INDEX(I_Items!$E$5:$E$133,MATCH($E122,I_Items!$A$5:$A$133,0))&amp;""</f>
        <v>Uk 0.6</v>
      </c>
      <c r="J122" s="84" t="n">
        <v>14.6</v>
      </c>
      <c r="K122" s="93" t="n">
        <v>0.00086581626904351</v>
      </c>
      <c r="L122" s="8" t="n">
        <v>481800</v>
      </c>
      <c r="M122" s="8" t="n">
        <v>37786.6894281699</v>
      </c>
      <c r="N122" s="8" t="n">
        <v>551685.665651281</v>
      </c>
      <c r="O122" s="12"/>
      <c r="P122" s="6" t="s">
        <v>1119</v>
      </c>
    </row>
    <row r="123" customFormat="false" ht="15" hidden="false" customHeight="false" outlineLevel="0" collapsed="false">
      <c r="A123" s="74" t="s">
        <v>2624</v>
      </c>
      <c r="B123" s="74" t="s">
        <v>1305</v>
      </c>
      <c r="C123" s="74" t="s">
        <v>2644</v>
      </c>
      <c r="D123" s="8" t="n">
        <v>33000</v>
      </c>
      <c r="E123" s="74" t="s">
        <v>1017</v>
      </c>
      <c r="F123" s="74" t="s">
        <v>2645</v>
      </c>
      <c r="G123" s="53" t="str">
        <f aca="false">INDEX(I_Items!$D$5:$D$133,MATCH($E123,I_Items!$A$5:$A$133,0))&amp;""</f>
        <v>Karkas</v>
      </c>
      <c r="H123" s="53" t="str">
        <f aca="false">INDEX(I_Items!$F$5:$F$133,MATCH($E123,I_Items!$A$5:$A$133,0))&amp;""</f>
        <v>Frozen</v>
      </c>
      <c r="I123" s="53" t="str">
        <f aca="false">INDEX(I_Items!$E$5:$E$133,MATCH($E123,I_Items!$A$5:$A$133,0))&amp;""</f>
        <v>Uk 0.7</v>
      </c>
      <c r="J123" s="84" t="n">
        <v>55.3</v>
      </c>
      <c r="K123" s="93" t="n">
        <v>0.00327942737521275</v>
      </c>
      <c r="L123" s="8" t="n">
        <v>1824900</v>
      </c>
      <c r="M123" s="8" t="n">
        <v>37786.6894281699</v>
      </c>
      <c r="N123" s="8" t="n">
        <v>2089603.9253778</v>
      </c>
      <c r="O123" s="12"/>
      <c r="P123" s="6" t="s">
        <v>1119</v>
      </c>
    </row>
    <row r="124" customFormat="false" ht="15" hidden="false" customHeight="false" outlineLevel="0" collapsed="false">
      <c r="A124" s="74" t="s">
        <v>2624</v>
      </c>
      <c r="B124" s="74" t="s">
        <v>1305</v>
      </c>
      <c r="C124" s="74" t="s">
        <v>2646</v>
      </c>
      <c r="D124" s="8" t="n">
        <v>33000</v>
      </c>
      <c r="E124" s="74" t="s">
        <v>1017</v>
      </c>
      <c r="F124" s="74" t="s">
        <v>2645</v>
      </c>
      <c r="G124" s="53" t="str">
        <f aca="false">INDEX(I_Items!$D$5:$D$133,MATCH($E124,I_Items!$A$5:$A$133,0))&amp;""</f>
        <v>Karkas</v>
      </c>
      <c r="H124" s="53" t="str">
        <f aca="false">INDEX(I_Items!$F$5:$F$133,MATCH($E124,I_Items!$A$5:$A$133,0))&amp;""</f>
        <v>Frozen</v>
      </c>
      <c r="I124" s="53" t="str">
        <f aca="false">INDEX(I_Items!$E$5:$E$133,MATCH($E124,I_Items!$A$5:$A$133,0))&amp;""</f>
        <v>Uk 0.7</v>
      </c>
      <c r="J124" s="84" t="n">
        <v>161.7</v>
      </c>
      <c r="K124" s="93" t="n">
        <v>0.00958921169207778</v>
      </c>
      <c r="L124" s="8" t="n">
        <v>5336100</v>
      </c>
      <c r="M124" s="8" t="n">
        <v>37786.6894281699</v>
      </c>
      <c r="N124" s="8" t="n">
        <v>6110107.68053507</v>
      </c>
      <c r="O124" s="12"/>
      <c r="P124" s="6" t="s">
        <v>1119</v>
      </c>
    </row>
    <row r="125" customFormat="false" ht="15" hidden="false" customHeight="false" outlineLevel="0" collapsed="false">
      <c r="A125" s="74" t="s">
        <v>2624</v>
      </c>
      <c r="B125" s="74" t="s">
        <v>1305</v>
      </c>
      <c r="C125" s="74" t="s">
        <v>2648</v>
      </c>
      <c r="D125" s="8" t="n">
        <v>33000</v>
      </c>
      <c r="E125" s="74" t="s">
        <v>1014</v>
      </c>
      <c r="F125" s="74" t="s">
        <v>2647</v>
      </c>
      <c r="G125" s="53" t="str">
        <f aca="false">INDEX(I_Items!$D$5:$D$133,MATCH($E125,I_Items!$A$5:$A$133,0))&amp;""</f>
        <v>Karkas</v>
      </c>
      <c r="H125" s="53" t="str">
        <f aca="false">INDEX(I_Items!$F$5:$F$133,MATCH($E125,I_Items!$A$5:$A$133,0))&amp;""</f>
        <v>Frozen</v>
      </c>
      <c r="I125" s="53" t="str">
        <f aca="false">INDEX(I_Items!$E$5:$E$133,MATCH($E125,I_Items!$A$5:$A$133,0))&amp;""</f>
        <v>Uk 0.8</v>
      </c>
      <c r="J125" s="84" t="n">
        <v>452.7</v>
      </c>
      <c r="K125" s="93" t="n">
        <v>0.0268462345887669</v>
      </c>
      <c r="L125" s="8" t="n">
        <v>14939100</v>
      </c>
      <c r="M125" s="8" t="n">
        <v>37786.6894281699</v>
      </c>
      <c r="N125" s="8" t="n">
        <v>17106034.3041325</v>
      </c>
      <c r="O125" s="12"/>
      <c r="P125" s="6" t="s">
        <v>1119</v>
      </c>
    </row>
    <row r="126" customFormat="false" ht="15" hidden="false" customHeight="false" outlineLevel="0" collapsed="false">
      <c r="A126" s="74" t="s">
        <v>2624</v>
      </c>
      <c r="B126" s="74" t="s">
        <v>1305</v>
      </c>
      <c r="C126" s="74" t="s">
        <v>2650</v>
      </c>
      <c r="D126" s="8" t="n">
        <v>33000</v>
      </c>
      <c r="E126" s="74" t="s">
        <v>978</v>
      </c>
      <c r="F126" s="74" t="s">
        <v>2651</v>
      </c>
      <c r="G126" s="53" t="str">
        <f aca="false">INDEX(I_Items!$D$5:$D$133,MATCH($E126,I_Items!$A$5:$A$133,0))&amp;""</f>
        <v>Karkas</v>
      </c>
      <c r="H126" s="53" t="str">
        <f aca="false">INDEX(I_Items!$F$5:$F$133,MATCH($E126,I_Items!$A$5:$A$133,0))&amp;""</f>
        <v>Fresh</v>
      </c>
      <c r="I126" s="53" t="str">
        <f aca="false">INDEX(I_Items!$E$5:$E$133,MATCH($E126,I_Items!$A$5:$A$133,0))&amp;""</f>
        <v>Uk 1.0</v>
      </c>
      <c r="J126" s="84" t="n">
        <v>1011.6</v>
      </c>
      <c r="K126" s="93" t="n">
        <v>0.0599903929975627</v>
      </c>
      <c r="L126" s="8" t="n">
        <v>33382800</v>
      </c>
      <c r="M126" s="8" t="n">
        <v>37786.6894281699</v>
      </c>
      <c r="N126" s="8" t="n">
        <v>38225015.0255367</v>
      </c>
      <c r="O126" s="12"/>
      <c r="P126" s="6" t="s">
        <v>1119</v>
      </c>
    </row>
    <row r="127" customFormat="false" ht="15" hidden="false" customHeight="false" outlineLevel="0" collapsed="false">
      <c r="A127" s="74" t="s">
        <v>2624</v>
      </c>
      <c r="B127" s="74" t="s">
        <v>1305</v>
      </c>
      <c r="C127" s="74" t="s">
        <v>2652</v>
      </c>
      <c r="D127" s="8" t="n">
        <v>33000</v>
      </c>
      <c r="E127" s="74" t="s">
        <v>984</v>
      </c>
      <c r="F127" s="74" t="s">
        <v>2690</v>
      </c>
      <c r="G127" s="53" t="str">
        <f aca="false">INDEX(I_Items!$D$5:$D$133,MATCH($E127,I_Items!$A$5:$A$133,0))&amp;""</f>
        <v>Karkas</v>
      </c>
      <c r="H127" s="53" t="str">
        <f aca="false">INDEX(I_Items!$F$5:$F$133,MATCH($E127,I_Items!$A$5:$A$133,0))&amp;""</f>
        <v>Frozen</v>
      </c>
      <c r="I127" s="53" t="str">
        <f aca="false">INDEX(I_Items!$E$5:$E$133,MATCH($E127,I_Items!$A$5:$A$133,0))&amp;""</f>
        <v>Uk 1.1</v>
      </c>
      <c r="J127" s="84" t="n">
        <v>1550.2</v>
      </c>
      <c r="K127" s="93" t="n">
        <v>0.0919307109774828</v>
      </c>
      <c r="L127" s="8" t="n">
        <v>51156600</v>
      </c>
      <c r="M127" s="8" t="n">
        <v>37786.6894281699</v>
      </c>
      <c r="N127" s="8" t="n">
        <v>58576925.951549</v>
      </c>
      <c r="O127" s="12"/>
      <c r="P127" s="6" t="s">
        <v>1119</v>
      </c>
    </row>
    <row r="128" customFormat="false" ht="15" hidden="false" customHeight="false" outlineLevel="0" collapsed="false">
      <c r="A128" s="74" t="s">
        <v>2624</v>
      </c>
      <c r="B128" s="74" t="s">
        <v>1305</v>
      </c>
      <c r="C128" s="74" t="s">
        <v>2654</v>
      </c>
      <c r="D128" s="8" t="n">
        <v>33000</v>
      </c>
      <c r="E128" s="74" t="s">
        <v>986</v>
      </c>
      <c r="F128" s="74" t="s">
        <v>2655</v>
      </c>
      <c r="G128" s="53" t="str">
        <f aca="false">INDEX(I_Items!$D$5:$D$133,MATCH($E128,I_Items!$A$5:$A$133,0))&amp;""</f>
        <v>Karkas</v>
      </c>
      <c r="H128" s="53" t="str">
        <f aca="false">INDEX(I_Items!$F$5:$F$133,MATCH($E128,I_Items!$A$5:$A$133,0))&amp;""</f>
        <v>Fresh</v>
      </c>
      <c r="I128" s="53" t="str">
        <f aca="false">INDEX(I_Items!$E$5:$E$133,MATCH($E128,I_Items!$A$5:$A$133,0))&amp;""</f>
        <v>Uk 1.2</v>
      </c>
      <c r="J128" s="84" t="n">
        <v>1904.5</v>
      </c>
      <c r="K128" s="93" t="n">
        <v>0.112941581122833</v>
      </c>
      <c r="L128" s="8" t="n">
        <v>62848500</v>
      </c>
      <c r="M128" s="8" t="n">
        <v>37786.6894281699</v>
      </c>
      <c r="N128" s="8" t="n">
        <v>71964750.0159496</v>
      </c>
      <c r="O128" s="12"/>
      <c r="P128" s="6" t="s">
        <v>1119</v>
      </c>
    </row>
    <row r="129" customFormat="false" ht="15" hidden="false" customHeight="false" outlineLevel="0" collapsed="false">
      <c r="A129" s="74" t="s">
        <v>2624</v>
      </c>
      <c r="B129" s="74" t="s">
        <v>1305</v>
      </c>
      <c r="C129" s="74" t="s">
        <v>2656</v>
      </c>
      <c r="D129" s="8" t="n">
        <v>33000</v>
      </c>
      <c r="E129" s="74" t="s">
        <v>990</v>
      </c>
      <c r="F129" s="74" t="s">
        <v>2657</v>
      </c>
      <c r="G129" s="53" t="str">
        <f aca="false">INDEX(I_Items!$D$5:$D$133,MATCH($E129,I_Items!$A$5:$A$133,0))&amp;""</f>
        <v>Karkas</v>
      </c>
      <c r="H129" s="53" t="str">
        <f aca="false">INDEX(I_Items!$F$5:$F$133,MATCH($E129,I_Items!$A$5:$A$133,0))&amp;""</f>
        <v>Fresh</v>
      </c>
      <c r="I129" s="53" t="str">
        <f aca="false">INDEX(I_Items!$E$5:$E$133,MATCH($E129,I_Items!$A$5:$A$133,0))&amp;""</f>
        <v>Uk 1.3</v>
      </c>
      <c r="J129" s="84" t="n">
        <v>1915.4</v>
      </c>
      <c r="K129" s="93" t="n">
        <v>0.113587978200407</v>
      </c>
      <c r="L129" s="8" t="n">
        <v>63208200</v>
      </c>
      <c r="M129" s="8" t="n">
        <v>37786.6894281699</v>
      </c>
      <c r="N129" s="8" t="n">
        <v>72376624.9307166</v>
      </c>
      <c r="O129" s="12"/>
      <c r="P129" s="6" t="s">
        <v>1119</v>
      </c>
    </row>
    <row r="130" customFormat="false" ht="15" hidden="false" customHeight="false" outlineLevel="0" collapsed="false">
      <c r="A130" s="74" t="s">
        <v>2624</v>
      </c>
      <c r="B130" s="74" t="s">
        <v>1305</v>
      </c>
      <c r="C130" s="74" t="s">
        <v>2658</v>
      </c>
      <c r="D130" s="8" t="n">
        <v>33000</v>
      </c>
      <c r="E130" s="74" t="s">
        <v>993</v>
      </c>
      <c r="F130" s="74" t="s">
        <v>2659</v>
      </c>
      <c r="G130" s="53" t="str">
        <f aca="false">INDEX(I_Items!$D$5:$D$133,MATCH($E130,I_Items!$A$5:$A$133,0))&amp;""</f>
        <v>Karkas</v>
      </c>
      <c r="H130" s="53" t="str">
        <f aca="false">INDEX(I_Items!$F$5:$F$133,MATCH($E130,I_Items!$A$5:$A$133,0))&amp;""</f>
        <v>Fresh</v>
      </c>
      <c r="I130" s="53" t="str">
        <f aca="false">INDEX(I_Items!$E$5:$E$133,MATCH($E130,I_Items!$A$5:$A$133,0))&amp;""</f>
        <v>Uk 1.4</v>
      </c>
      <c r="J130" s="84" t="n">
        <v>1836.6</v>
      </c>
      <c r="K130" s="93" t="n">
        <v>0.108914942446939</v>
      </c>
      <c r="L130" s="8" t="n">
        <v>60607800</v>
      </c>
      <c r="M130" s="8" t="n">
        <v>37786.6894281699</v>
      </c>
      <c r="N130" s="8" t="n">
        <v>69399033.8037769</v>
      </c>
      <c r="O130" s="12"/>
      <c r="P130" s="6" t="s">
        <v>1119</v>
      </c>
    </row>
    <row r="131" customFormat="false" ht="15" hidden="false" customHeight="false" outlineLevel="0" collapsed="false">
      <c r="A131" s="74" t="s">
        <v>2624</v>
      </c>
      <c r="B131" s="74" t="s">
        <v>1305</v>
      </c>
      <c r="C131" s="74" t="s">
        <v>2692</v>
      </c>
      <c r="D131" s="8" t="n">
        <v>33000</v>
      </c>
      <c r="E131" s="74" t="s">
        <v>996</v>
      </c>
      <c r="F131" s="74" t="s">
        <v>2693</v>
      </c>
      <c r="G131" s="53" t="str">
        <f aca="false">INDEX(I_Items!$D$5:$D$133,MATCH($E131,I_Items!$A$5:$A$133,0))&amp;""</f>
        <v>Karkas</v>
      </c>
      <c r="H131" s="53" t="str">
        <f aca="false">INDEX(I_Items!$F$5:$F$133,MATCH($E131,I_Items!$A$5:$A$133,0))&amp;""</f>
        <v>Fresh</v>
      </c>
      <c r="I131" s="53" t="str">
        <f aca="false">INDEX(I_Items!$E$5:$E$133,MATCH($E131,I_Items!$A$5:$A$133,0))&amp;""</f>
        <v>Uk 1.5</v>
      </c>
      <c r="J131" s="84" t="n">
        <v>906.1</v>
      </c>
      <c r="K131" s="93" t="n">
        <v>0.0537339809164606</v>
      </c>
      <c r="L131" s="8" t="n">
        <v>29901300</v>
      </c>
      <c r="M131" s="8" t="n">
        <v>37786.6894281699</v>
      </c>
      <c r="N131" s="8" t="n">
        <v>34238519.2908648</v>
      </c>
      <c r="O131" s="12"/>
      <c r="P131" s="6" t="s">
        <v>1119</v>
      </c>
    </row>
    <row r="132" customFormat="false" ht="15" hidden="false" customHeight="false" outlineLevel="0" collapsed="false">
      <c r="A132" s="74" t="s">
        <v>2624</v>
      </c>
      <c r="B132" s="74" t="s">
        <v>1305</v>
      </c>
      <c r="C132" s="74" t="s">
        <v>2694</v>
      </c>
      <c r="D132" s="8" t="n">
        <v>33000</v>
      </c>
      <c r="E132" s="74" t="s">
        <v>999</v>
      </c>
      <c r="F132" s="74" t="s">
        <v>2695</v>
      </c>
      <c r="G132" s="53" t="str">
        <f aca="false">INDEX(I_Items!$D$5:$D$133,MATCH($E132,I_Items!$A$5:$A$133,0))&amp;""</f>
        <v>Karkas</v>
      </c>
      <c r="H132" s="53" t="str">
        <f aca="false">INDEX(I_Items!$F$5:$F$133,MATCH($E132,I_Items!$A$5:$A$133,0))&amp;""</f>
        <v>Fresh</v>
      </c>
      <c r="I132" s="53" t="str">
        <f aca="false">INDEX(I_Items!$E$5:$E$133,MATCH($E132,I_Items!$A$5:$A$133,0))&amp;""</f>
        <v>Uk 1.6</v>
      </c>
      <c r="J132" s="84" t="n">
        <v>630</v>
      </c>
      <c r="K132" s="93" t="n">
        <v>0.0373605650340693</v>
      </c>
      <c r="L132" s="8" t="n">
        <v>20790000</v>
      </c>
      <c r="M132" s="8" t="n">
        <v>37786.6894281699</v>
      </c>
      <c r="N132" s="8" t="n">
        <v>23805614.339747</v>
      </c>
      <c r="O132" s="12"/>
      <c r="P132" s="6" t="s">
        <v>1119</v>
      </c>
    </row>
    <row r="133" customFormat="false" ht="15" hidden="false" customHeight="false" outlineLevel="0" collapsed="false">
      <c r="A133" s="74" t="s">
        <v>2624</v>
      </c>
      <c r="B133" s="74" t="s">
        <v>1305</v>
      </c>
      <c r="C133" s="74" t="s">
        <v>2696</v>
      </c>
      <c r="D133" s="8" t="n">
        <v>33000</v>
      </c>
      <c r="E133" s="74" t="s">
        <v>1002</v>
      </c>
      <c r="F133" s="74" t="s">
        <v>2713</v>
      </c>
      <c r="G133" s="53" t="str">
        <f aca="false">INDEX(I_Items!$D$5:$D$133,MATCH($E133,I_Items!$A$5:$A$133,0))&amp;""</f>
        <v>Karkas</v>
      </c>
      <c r="H133" s="53" t="str">
        <f aca="false">INDEX(I_Items!$F$5:$F$133,MATCH($E133,I_Items!$A$5:$A$133,0))&amp;""</f>
        <v>Fresh</v>
      </c>
      <c r="I133" s="53" t="str">
        <f aca="false">INDEX(I_Items!$E$5:$E$133,MATCH($E133,I_Items!$A$5:$A$133,0))&amp;""</f>
        <v>Uk 1.7</v>
      </c>
      <c r="J133" s="84" t="n">
        <v>241.6</v>
      </c>
      <c r="K133" s="93" t="n">
        <v>0.0143274801781447</v>
      </c>
      <c r="L133" s="8" t="n">
        <v>7972800</v>
      </c>
      <c r="M133" s="8" t="n">
        <v>37786.6894281699</v>
      </c>
      <c r="N133" s="8" t="n">
        <v>9129264.16584585</v>
      </c>
      <c r="O133" s="12"/>
      <c r="P133" s="6" t="s">
        <v>1119</v>
      </c>
    </row>
    <row r="134" customFormat="false" ht="15" hidden="false" customHeight="false" outlineLevel="0" collapsed="false">
      <c r="A134" s="74" t="s">
        <v>2624</v>
      </c>
      <c r="B134" s="74" t="s">
        <v>1305</v>
      </c>
      <c r="C134" s="74" t="s">
        <v>2698</v>
      </c>
      <c r="D134" s="8" t="n">
        <v>33000</v>
      </c>
      <c r="E134" s="74" t="s">
        <v>1006</v>
      </c>
      <c r="F134" s="74" t="s">
        <v>2699</v>
      </c>
      <c r="G134" s="53" t="str">
        <f aca="false">INDEX(I_Items!$D$5:$D$133,MATCH($E134,I_Items!$A$5:$A$133,0))&amp;""</f>
        <v>Karkas</v>
      </c>
      <c r="H134" s="53" t="str">
        <f aca="false">INDEX(I_Items!$F$5:$F$133,MATCH($E134,I_Items!$A$5:$A$133,0))&amp;""</f>
        <v>Frozen</v>
      </c>
      <c r="I134" s="53" t="str">
        <f aca="false">INDEX(I_Items!$E$5:$E$133,MATCH($E134,I_Items!$A$5:$A$133,0))&amp;""</f>
        <v>Uk 1.8</v>
      </c>
      <c r="J134" s="84" t="n">
        <v>16.7</v>
      </c>
      <c r="K134" s="93" t="n">
        <v>0.000990351485823741</v>
      </c>
      <c r="L134" s="8" t="n">
        <v>551100</v>
      </c>
      <c r="M134" s="8" t="n">
        <v>37786.6894281699</v>
      </c>
      <c r="N134" s="8" t="n">
        <v>631037.713450437</v>
      </c>
      <c r="O134" s="12"/>
      <c r="P134" s="6" t="s">
        <v>1119</v>
      </c>
    </row>
    <row r="135" customFormat="false" ht="15" hidden="false" customHeight="false" outlineLevel="0" collapsed="false">
      <c r="A135" s="74" t="s">
        <v>2624</v>
      </c>
      <c r="B135" s="74" t="s">
        <v>1305</v>
      </c>
      <c r="C135" s="74" t="s">
        <v>2700</v>
      </c>
      <c r="D135" s="8" t="n">
        <v>33000</v>
      </c>
      <c r="E135" s="74" t="s">
        <v>1010</v>
      </c>
      <c r="F135" s="74" t="s">
        <v>2701</v>
      </c>
      <c r="G135" s="53" t="str">
        <f aca="false">INDEX(I_Items!$D$5:$D$133,MATCH($E135,I_Items!$A$5:$A$133,0))&amp;""</f>
        <v>Karkas</v>
      </c>
      <c r="H135" s="53" t="str">
        <f aca="false">INDEX(I_Items!$F$5:$F$133,MATCH($E135,I_Items!$A$5:$A$133,0))&amp;""</f>
        <v>Frozen</v>
      </c>
      <c r="I135" s="53" t="str">
        <f aca="false">INDEX(I_Items!$E$5:$E$133,MATCH($E135,I_Items!$A$5:$A$133,0))&amp;""</f>
        <v>Uk 2.0</v>
      </c>
      <c r="J135" s="84" t="n">
        <v>19.7</v>
      </c>
      <c r="K135" s="93" t="n">
        <v>0.00116825893836693</v>
      </c>
      <c r="L135" s="8" t="n">
        <v>650100</v>
      </c>
      <c r="M135" s="8" t="n">
        <v>37786.6894281699</v>
      </c>
      <c r="N135" s="8" t="n">
        <v>744397.781734947</v>
      </c>
      <c r="O135" s="12"/>
      <c r="P135" s="6" t="s">
        <v>1119</v>
      </c>
    </row>
    <row r="136" customFormat="false" ht="15" hidden="false" customHeight="false" outlineLevel="0" collapsed="false">
      <c r="A136" s="74" t="s">
        <v>2624</v>
      </c>
      <c r="B136" s="74" t="s">
        <v>1305</v>
      </c>
      <c r="C136" s="74" t="s">
        <v>360</v>
      </c>
      <c r="D136" s="8" t="n">
        <v>24000</v>
      </c>
      <c r="E136" s="74" t="s">
        <v>961</v>
      </c>
      <c r="F136" s="74" t="s">
        <v>2712</v>
      </c>
      <c r="G136" s="53" t="str">
        <f aca="false">INDEX(I_Items!$D$5:$D$133,MATCH($E136,I_Items!$A$5:$A$133,0))&amp;""</f>
        <v>Lemak</v>
      </c>
      <c r="H136" s="53" t="str">
        <f aca="false">INDEX(I_Items!$F$5:$F$133,MATCH($E136,I_Items!$A$5:$A$133,0))&amp;""</f>
        <v>Frozen</v>
      </c>
      <c r="I136" s="53" t="str">
        <f aca="false">INDEX(I_Items!$E$5:$E$133,MATCH($E136,I_Items!$A$5:$A$133,0))&amp;""</f>
        <v/>
      </c>
      <c r="J136" s="84" t="n">
        <v>48.7</v>
      </c>
      <c r="K136" s="93" t="n">
        <v>0.00288803097961774</v>
      </c>
      <c r="L136" s="8" t="n">
        <v>1168800</v>
      </c>
      <c r="M136" s="8" t="n">
        <v>27481.2286750327</v>
      </c>
      <c r="N136" s="8" t="n">
        <v>1338335.83647409</v>
      </c>
      <c r="O136" s="12"/>
      <c r="P136" s="6" t="s">
        <v>1119</v>
      </c>
    </row>
    <row r="137" customFormat="false" ht="15" hidden="false" customHeight="false" outlineLevel="0" collapsed="false">
      <c r="A137" s="74" t="s">
        <v>2624</v>
      </c>
      <c r="B137" s="74" t="s">
        <v>1305</v>
      </c>
      <c r="C137" s="74" t="s">
        <v>248</v>
      </c>
      <c r="D137" s="8" t="n">
        <v>12000</v>
      </c>
      <c r="E137" s="74" t="s">
        <v>950</v>
      </c>
      <c r="F137" s="74" t="s">
        <v>2661</v>
      </c>
      <c r="G137" s="53" t="str">
        <f aca="false">INDEX(I_Items!$D$5:$D$133,MATCH($E137,I_Items!$A$5:$A$133,0))&amp;""</f>
        <v>Kepala</v>
      </c>
      <c r="H137" s="53" t="str">
        <f aca="false">INDEX(I_Items!$F$5:$F$133,MATCH($E137,I_Items!$A$5:$A$133,0))&amp;""</f>
        <v>Fresh</v>
      </c>
      <c r="I137" s="53" t="str">
        <f aca="false">INDEX(I_Items!$E$5:$E$133,MATCH($E137,I_Items!$A$5:$A$133,0))&amp;""</f>
        <v/>
      </c>
      <c r="J137" s="84" t="n">
        <v>739.8</v>
      </c>
      <c r="K137" s="93" t="n">
        <v>0.0438719777971499</v>
      </c>
      <c r="L137" s="8" t="n">
        <v>8877600</v>
      </c>
      <c r="M137" s="8" t="n">
        <v>13740.6143375163</v>
      </c>
      <c r="N137" s="8" t="n">
        <v>10165306.4868946</v>
      </c>
      <c r="O137" s="12"/>
      <c r="P137" s="6" t="s">
        <v>1119</v>
      </c>
    </row>
    <row r="138" customFormat="false" ht="15" hidden="false" customHeight="false" outlineLevel="0" collapsed="false">
      <c r="A138" s="74" t="s">
        <v>2624</v>
      </c>
      <c r="B138" s="74" t="s">
        <v>1305</v>
      </c>
      <c r="C138" s="74" t="s">
        <v>242</v>
      </c>
      <c r="D138" s="8" t="n">
        <v>16000</v>
      </c>
      <c r="E138" s="74" t="s">
        <v>948</v>
      </c>
      <c r="F138" s="74" t="s">
        <v>2662</v>
      </c>
      <c r="G138" s="53" t="str">
        <f aca="false">INDEX(I_Items!$D$5:$D$133,MATCH($E138,I_Items!$A$5:$A$133,0))&amp;""</f>
        <v>Ceker</v>
      </c>
      <c r="H138" s="53" t="str">
        <f aca="false">INDEX(I_Items!$F$5:$F$133,MATCH($E138,I_Items!$A$5:$A$133,0))&amp;""</f>
        <v>Fresh</v>
      </c>
      <c r="I138" s="53" t="str">
        <f aca="false">INDEX(I_Items!$E$5:$E$133,MATCH($E138,I_Items!$A$5:$A$133,0))&amp;""</f>
        <v/>
      </c>
      <c r="J138" s="84" t="n">
        <v>480.5</v>
      </c>
      <c r="K138" s="93" t="n">
        <v>0.0284948436490005</v>
      </c>
      <c r="L138" s="8" t="n">
        <v>7688000</v>
      </c>
      <c r="M138" s="8" t="n">
        <v>18320.8191166884</v>
      </c>
      <c r="N138" s="8" t="n">
        <v>8803153.5855688</v>
      </c>
      <c r="O138" s="12"/>
      <c r="P138" s="6" t="s">
        <v>1119</v>
      </c>
    </row>
    <row r="139" customFormat="false" ht="15" hidden="false" customHeight="false" outlineLevel="0" collapsed="false">
      <c r="A139" s="74" t="s">
        <v>2624</v>
      </c>
      <c r="B139" s="74" t="s">
        <v>1305</v>
      </c>
      <c r="C139" s="74" t="s">
        <v>253</v>
      </c>
      <c r="D139" s="8" t="n">
        <v>5000</v>
      </c>
      <c r="E139" s="74" t="s">
        <v>953</v>
      </c>
      <c r="F139" s="74" t="s">
        <v>2682</v>
      </c>
      <c r="G139" s="53" t="str">
        <f aca="false">INDEX(I_Items!$D$5:$D$133,MATCH($E139,I_Items!$A$5:$A$133,0))&amp;""</f>
        <v>Usus</v>
      </c>
      <c r="H139" s="53" t="str">
        <f aca="false">INDEX(I_Items!$F$5:$F$133,MATCH($E139,I_Items!$A$5:$A$133,0))&amp;""</f>
        <v>Fresh</v>
      </c>
      <c r="I139" s="53" t="str">
        <f aca="false">INDEX(I_Items!$E$5:$E$133,MATCH($E139,I_Items!$A$5:$A$133,0))&amp;""</f>
        <v/>
      </c>
      <c r="J139" s="84" t="n">
        <v>658.5</v>
      </c>
      <c r="K139" s="93" t="n">
        <v>0.0390506858332296</v>
      </c>
      <c r="L139" s="8" t="n">
        <v>3292500</v>
      </c>
      <c r="M139" s="8" t="n">
        <v>5725.25597396514</v>
      </c>
      <c r="N139" s="8" t="n">
        <v>3770081.05885604</v>
      </c>
      <c r="O139" s="12"/>
      <c r="P139" s="6" t="s">
        <v>1119</v>
      </c>
    </row>
    <row r="140" customFormat="false" ht="15" hidden="false" customHeight="false" outlineLevel="0" collapsed="false">
      <c r="A140" s="74" t="s">
        <v>2624</v>
      </c>
      <c r="B140" s="74" t="s">
        <v>1305</v>
      </c>
      <c r="C140" s="74" t="s">
        <v>2665</v>
      </c>
      <c r="D140" s="8" t="n">
        <v>5000</v>
      </c>
      <c r="E140" s="74" t="s">
        <v>949</v>
      </c>
      <c r="F140" s="74" t="s">
        <v>2666</v>
      </c>
      <c r="G140" s="53" t="str">
        <f aca="false">INDEX(I_Items!$D$5:$D$133,MATCH($E140,I_Items!$A$5:$A$133,0))&amp;""</f>
        <v>HJA (Hati/Jantung/Ampela)</v>
      </c>
      <c r="H140" s="53" t="str">
        <f aca="false">INDEX(I_Items!$F$5:$F$133,MATCH($E140,I_Items!$A$5:$A$133,0))&amp;""</f>
        <v>Fresh</v>
      </c>
      <c r="I140" s="53" t="str">
        <f aca="false">INDEX(I_Items!$E$5:$E$133,MATCH($E140,I_Items!$A$5:$A$133,0))&amp;""</f>
        <v/>
      </c>
      <c r="J140" s="84" t="n">
        <v>829.6</v>
      </c>
      <c r="K140" s="93" t="n">
        <v>0.0491973408766093</v>
      </c>
      <c r="L140" s="8" t="n">
        <v>4148000</v>
      </c>
      <c r="M140" s="8" t="n">
        <v>5725.25597396514</v>
      </c>
      <c r="N140" s="8" t="n">
        <v>4749672.35600148</v>
      </c>
      <c r="O140" s="12"/>
      <c r="P140" s="6" t="s">
        <v>1119</v>
      </c>
    </row>
    <row r="141" customFormat="false" ht="15" hidden="false" customHeight="false" outlineLevel="0" collapsed="false">
      <c r="A141" s="74" t="s">
        <v>2624</v>
      </c>
      <c r="B141" s="74" t="s">
        <v>1305</v>
      </c>
      <c r="C141" s="74" t="s">
        <v>2683</v>
      </c>
      <c r="D141" s="8" t="n">
        <v>30000</v>
      </c>
      <c r="E141" s="74" t="s">
        <v>972</v>
      </c>
      <c r="F141" s="74" t="s">
        <v>2684</v>
      </c>
      <c r="G141" s="53" t="str">
        <f aca="false">INDEX(I_Items!$D$5:$D$133,MATCH($E141,I_Items!$A$5:$A$133,0))&amp;""</f>
        <v>Karkas</v>
      </c>
      <c r="H141" s="53" t="str">
        <f aca="false">INDEX(I_Items!$F$5:$F$133,MATCH($E141,I_Items!$A$5:$A$133,0))&amp;""</f>
        <v>Frozen</v>
      </c>
      <c r="I141" s="53" t="str">
        <f aca="false">INDEX(I_Items!$E$5:$E$133,MATCH($E141,I_Items!$A$5:$A$133,0))&amp;""</f>
        <v>Uk 0.6</v>
      </c>
      <c r="J141" s="84" t="n">
        <v>2.6</v>
      </c>
      <c r="K141" s="93" t="n">
        <v>0.000154186458870762</v>
      </c>
      <c r="L141" s="8" t="n">
        <v>78000</v>
      </c>
      <c r="M141" s="8" t="n">
        <v>34351.5358437908</v>
      </c>
      <c r="N141" s="8" t="n">
        <v>89313.9931938561</v>
      </c>
      <c r="O141" s="12"/>
      <c r="P141" s="6" t="s">
        <v>1119</v>
      </c>
    </row>
    <row r="142" customFormat="false" ht="15" hidden="false" customHeight="false" outlineLevel="0" collapsed="false">
      <c r="A142" s="74" t="s">
        <v>2624</v>
      </c>
      <c r="B142" s="74" t="s">
        <v>1305</v>
      </c>
      <c r="C142" s="74" t="s">
        <v>2667</v>
      </c>
      <c r="D142" s="8" t="n">
        <v>30000</v>
      </c>
      <c r="E142" s="74" t="s">
        <v>973</v>
      </c>
      <c r="F142" s="74" t="s">
        <v>2668</v>
      </c>
      <c r="G142" s="53" t="str">
        <f aca="false">INDEX(I_Items!$D$5:$D$133,MATCH($E142,I_Items!$A$5:$A$133,0))&amp;""</f>
        <v>Karkas</v>
      </c>
      <c r="H142" s="53" t="str">
        <f aca="false">INDEX(I_Items!$F$5:$F$133,MATCH($E142,I_Items!$A$5:$A$133,0))&amp;""</f>
        <v>Frozen</v>
      </c>
      <c r="I142" s="53" t="str">
        <f aca="false">INDEX(I_Items!$E$5:$E$133,MATCH($E142,I_Items!$A$5:$A$133,0))&amp;""</f>
        <v>Uk 0.7</v>
      </c>
      <c r="J142" s="84" t="n">
        <v>6</v>
      </c>
      <c r="K142" s="93" t="n">
        <v>0.000355814905086374</v>
      </c>
      <c r="L142" s="8" t="n">
        <v>180000</v>
      </c>
      <c r="M142" s="8" t="n">
        <v>34351.5358437908</v>
      </c>
      <c r="N142" s="8" t="n">
        <v>206109.215062745</v>
      </c>
      <c r="O142" s="12"/>
      <c r="P142" s="6" t="s">
        <v>1119</v>
      </c>
    </row>
    <row r="143" customFormat="false" ht="15" hidden="false" customHeight="false" outlineLevel="0" collapsed="false">
      <c r="A143" s="74" t="s">
        <v>2624</v>
      </c>
      <c r="B143" s="74" t="s">
        <v>1305</v>
      </c>
      <c r="C143" s="74" t="s">
        <v>2669</v>
      </c>
      <c r="D143" s="8" t="n">
        <v>30000</v>
      </c>
      <c r="E143" s="74" t="s">
        <v>974</v>
      </c>
      <c r="F143" s="74" t="s">
        <v>2670</v>
      </c>
      <c r="G143" s="53" t="str">
        <f aca="false">INDEX(I_Items!$D$5:$D$133,MATCH($E143,I_Items!$A$5:$A$133,0))&amp;""</f>
        <v>Karkas</v>
      </c>
      <c r="H143" s="53" t="str">
        <f aca="false">INDEX(I_Items!$F$5:$F$133,MATCH($E143,I_Items!$A$5:$A$133,0))&amp;""</f>
        <v>Frozen</v>
      </c>
      <c r="I143" s="53" t="str">
        <f aca="false">INDEX(I_Items!$E$5:$E$133,MATCH($E143,I_Items!$A$5:$A$133,0))&amp;""</f>
        <v>Uk 0.8</v>
      </c>
      <c r="J143" s="84" t="n">
        <v>20.5</v>
      </c>
      <c r="K143" s="93" t="n">
        <v>0.00121570092571178</v>
      </c>
      <c r="L143" s="8" t="n">
        <v>615000</v>
      </c>
      <c r="M143" s="8" t="n">
        <v>34351.5358437908</v>
      </c>
      <c r="N143" s="8" t="n">
        <v>704206.484797712</v>
      </c>
      <c r="O143" s="12"/>
      <c r="P143" s="6" t="s">
        <v>1119</v>
      </c>
    </row>
    <row r="144" customFormat="false" ht="15" hidden="false" customHeight="false" outlineLevel="0" collapsed="false">
      <c r="A144" s="74" t="s">
        <v>2624</v>
      </c>
      <c r="B144" s="74" t="s">
        <v>1305</v>
      </c>
      <c r="C144" s="74" t="s">
        <v>2671</v>
      </c>
      <c r="D144" s="8" t="n">
        <v>30000</v>
      </c>
      <c r="E144" s="74" t="s">
        <v>976</v>
      </c>
      <c r="F144" s="74" t="s">
        <v>2672</v>
      </c>
      <c r="G144" s="53" t="str">
        <f aca="false">INDEX(I_Items!$D$5:$D$133,MATCH($E144,I_Items!$A$5:$A$133,0))&amp;""</f>
        <v>Karkas</v>
      </c>
      <c r="H144" s="53" t="str">
        <f aca="false">INDEX(I_Items!$F$5:$F$133,MATCH($E144,I_Items!$A$5:$A$133,0))&amp;""</f>
        <v>Frozen</v>
      </c>
      <c r="I144" s="53" t="str">
        <f aca="false">INDEX(I_Items!$E$5:$E$133,MATCH($E144,I_Items!$A$5:$A$133,0))&amp;""</f>
        <v>Uk 0.9</v>
      </c>
      <c r="J144" s="84" t="n">
        <v>28.2</v>
      </c>
      <c r="K144" s="93" t="n">
        <v>0.00167233005390596</v>
      </c>
      <c r="L144" s="8" t="n">
        <v>846000</v>
      </c>
      <c r="M144" s="8" t="n">
        <v>34351.5358437908</v>
      </c>
      <c r="N144" s="8" t="n">
        <v>968713.310794901</v>
      </c>
      <c r="O144" s="12"/>
      <c r="P144" s="6" t="s">
        <v>1119</v>
      </c>
    </row>
    <row r="145" customFormat="false" ht="15" hidden="false" customHeight="false" outlineLevel="0" collapsed="false">
      <c r="A145" s="74" t="s">
        <v>2624</v>
      </c>
      <c r="B145" s="74" t="s">
        <v>1305</v>
      </c>
      <c r="C145" s="74" t="s">
        <v>2673</v>
      </c>
      <c r="D145" s="8" t="n">
        <v>30000</v>
      </c>
      <c r="E145" s="74" t="s">
        <v>979</v>
      </c>
      <c r="F145" s="74" t="s">
        <v>2685</v>
      </c>
      <c r="G145" s="53" t="str">
        <f aca="false">INDEX(I_Items!$D$5:$D$133,MATCH($E145,I_Items!$A$5:$A$133,0))&amp;""</f>
        <v>Karkas</v>
      </c>
      <c r="H145" s="53" t="str">
        <f aca="false">INDEX(I_Items!$F$5:$F$133,MATCH($E145,I_Items!$A$5:$A$133,0))&amp;""</f>
        <v>Frozen</v>
      </c>
      <c r="I145" s="53" t="str">
        <f aca="false">INDEX(I_Items!$E$5:$E$133,MATCH($E145,I_Items!$A$5:$A$133,0))&amp;""</f>
        <v>Uk 1.0</v>
      </c>
      <c r="J145" s="84" t="n">
        <v>97</v>
      </c>
      <c r="K145" s="93" t="n">
        <v>0.00575234096556305</v>
      </c>
      <c r="L145" s="8" t="n">
        <v>2910000</v>
      </c>
      <c r="M145" s="8" t="n">
        <v>34351.5358437908</v>
      </c>
      <c r="N145" s="8" t="n">
        <v>3332098.97684771</v>
      </c>
      <c r="O145" s="12"/>
      <c r="P145" s="6" t="s">
        <v>1119</v>
      </c>
    </row>
    <row r="146" customFormat="false" ht="15" hidden="false" customHeight="false" outlineLevel="0" collapsed="false">
      <c r="A146" s="74" t="s">
        <v>2624</v>
      </c>
      <c r="B146" s="74" t="s">
        <v>1305</v>
      </c>
      <c r="C146" s="74" t="s">
        <v>2674</v>
      </c>
      <c r="D146" s="8" t="n">
        <v>30000</v>
      </c>
      <c r="E146" s="74" t="s">
        <v>983</v>
      </c>
      <c r="F146" s="74" t="s">
        <v>2686</v>
      </c>
      <c r="G146" s="53" t="str">
        <f aca="false">INDEX(I_Items!$D$5:$D$133,MATCH($E146,I_Items!$A$5:$A$133,0))&amp;""</f>
        <v>Karkas</v>
      </c>
      <c r="H146" s="53" t="str">
        <f aca="false">INDEX(I_Items!$F$5:$F$133,MATCH($E146,I_Items!$A$5:$A$133,0))&amp;""</f>
        <v>Frozen</v>
      </c>
      <c r="I146" s="53" t="str">
        <f aca="false">INDEX(I_Items!$E$5:$E$133,MATCH($E146,I_Items!$A$5:$A$133,0))&amp;""</f>
        <v>Uk 1.1</v>
      </c>
      <c r="J146" s="84" t="n">
        <v>122.8</v>
      </c>
      <c r="K146" s="93" t="n">
        <v>0.00728234505743446</v>
      </c>
      <c r="L146" s="8" t="n">
        <v>3684000</v>
      </c>
      <c r="M146" s="8" t="n">
        <v>34351.5358437908</v>
      </c>
      <c r="N146" s="8" t="n">
        <v>4218368.60161751</v>
      </c>
      <c r="O146" s="12"/>
      <c r="P146" s="6" t="s">
        <v>1119</v>
      </c>
    </row>
    <row r="147" customFormat="false" ht="15" hidden="false" customHeight="false" outlineLevel="0" collapsed="false">
      <c r="A147" s="74" t="s">
        <v>2624</v>
      </c>
      <c r="B147" s="74" t="s">
        <v>1305</v>
      </c>
      <c r="C147" s="74" t="s">
        <v>2676</v>
      </c>
      <c r="D147" s="8" t="n">
        <v>30000</v>
      </c>
      <c r="E147" s="74" t="s">
        <v>987</v>
      </c>
      <c r="F147" s="74" t="s">
        <v>2687</v>
      </c>
      <c r="G147" s="53" t="str">
        <f aca="false">INDEX(I_Items!$D$5:$D$133,MATCH($E147,I_Items!$A$5:$A$133,0))&amp;""</f>
        <v>Karkas</v>
      </c>
      <c r="H147" s="53" t="str">
        <f aca="false">INDEX(I_Items!$F$5:$F$133,MATCH($E147,I_Items!$A$5:$A$133,0))&amp;""</f>
        <v>Frozen</v>
      </c>
      <c r="I147" s="53" t="str">
        <f aca="false">INDEX(I_Items!$E$5:$E$133,MATCH($E147,I_Items!$A$5:$A$133,0))&amp;""</f>
        <v>Uk 1.2</v>
      </c>
      <c r="J147" s="84" t="n">
        <v>156.1</v>
      </c>
      <c r="K147" s="93" t="n">
        <v>0.00925711778066383</v>
      </c>
      <c r="L147" s="8" t="n">
        <v>4683000</v>
      </c>
      <c r="M147" s="8" t="n">
        <v>34351.5358437908</v>
      </c>
      <c r="N147" s="8" t="n">
        <v>5362274.74521575</v>
      </c>
      <c r="O147" s="12"/>
      <c r="P147" s="6" t="s">
        <v>1119</v>
      </c>
    </row>
    <row r="148" customFormat="false" ht="15" hidden="false" customHeight="false" outlineLevel="0" collapsed="false">
      <c r="A148" s="74" t="s">
        <v>2624</v>
      </c>
      <c r="B148" s="74" t="s">
        <v>1305</v>
      </c>
      <c r="C148" s="74" t="s">
        <v>2678</v>
      </c>
      <c r="D148" s="8" t="n">
        <v>30000</v>
      </c>
      <c r="E148" s="74" t="s">
        <v>991</v>
      </c>
      <c r="F148" s="74" t="s">
        <v>2688</v>
      </c>
      <c r="G148" s="53" t="str">
        <f aca="false">INDEX(I_Items!$D$5:$D$133,MATCH($E148,I_Items!$A$5:$A$133,0))&amp;""</f>
        <v>Karkas</v>
      </c>
      <c r="H148" s="53" t="str">
        <f aca="false">INDEX(I_Items!$F$5:$F$133,MATCH($E148,I_Items!$A$5:$A$133,0))&amp;""</f>
        <v>Frozen</v>
      </c>
      <c r="I148" s="53" t="str">
        <f aca="false">INDEX(I_Items!$E$5:$E$133,MATCH($E148,I_Items!$A$5:$A$133,0))&amp;""</f>
        <v>Uk 1.3</v>
      </c>
      <c r="J148" s="84" t="n">
        <v>138.6</v>
      </c>
      <c r="K148" s="93" t="n">
        <v>0.00821932430749524</v>
      </c>
      <c r="L148" s="8" t="n">
        <v>4158000</v>
      </c>
      <c r="M148" s="8" t="n">
        <v>34351.5358437908</v>
      </c>
      <c r="N148" s="8" t="n">
        <v>4761122.86794941</v>
      </c>
      <c r="O148" s="12"/>
      <c r="P148" s="6" t="s">
        <v>1119</v>
      </c>
    </row>
    <row r="149" customFormat="false" ht="15" hidden="false" customHeight="false" outlineLevel="0" collapsed="false">
      <c r="A149" s="74" t="s">
        <v>2624</v>
      </c>
      <c r="B149" s="74" t="s">
        <v>1305</v>
      </c>
      <c r="C149" s="74" t="s">
        <v>2680</v>
      </c>
      <c r="D149" s="8" t="n">
        <v>30000</v>
      </c>
      <c r="E149" s="74" t="s">
        <v>994</v>
      </c>
      <c r="F149" s="74" t="s">
        <v>2681</v>
      </c>
      <c r="G149" s="53" t="str">
        <f aca="false">INDEX(I_Items!$D$5:$D$133,MATCH($E149,I_Items!$A$5:$A$133,0))&amp;""</f>
        <v>Karkas</v>
      </c>
      <c r="H149" s="53" t="str">
        <f aca="false">INDEX(I_Items!$F$5:$F$133,MATCH($E149,I_Items!$A$5:$A$133,0))&amp;""</f>
        <v>Frozen</v>
      </c>
      <c r="I149" s="53" t="str">
        <f aca="false">INDEX(I_Items!$E$5:$E$133,MATCH($E149,I_Items!$A$5:$A$133,0))&amp;""</f>
        <v>Uk 1.4</v>
      </c>
      <c r="J149" s="84" t="n">
        <v>98.3</v>
      </c>
      <c r="K149" s="93" t="n">
        <v>0.00582943419499843</v>
      </c>
      <c r="L149" s="8" t="n">
        <v>2949000</v>
      </c>
      <c r="M149" s="8" t="n">
        <v>34351.5358437908</v>
      </c>
      <c r="N149" s="8" t="n">
        <v>3376755.97344464</v>
      </c>
      <c r="O149" s="12"/>
      <c r="P149" s="6" t="s">
        <v>1119</v>
      </c>
    </row>
    <row r="150" customFormat="false" ht="15" hidden="false" customHeight="false" outlineLevel="0" collapsed="false">
      <c r="A150" s="74" t="s">
        <v>2624</v>
      </c>
      <c r="B150" s="74" t="s">
        <v>1305</v>
      </c>
      <c r="C150" s="74" t="s">
        <v>2702</v>
      </c>
      <c r="D150" s="8" t="n">
        <v>30000</v>
      </c>
      <c r="E150" s="74" t="s">
        <v>997</v>
      </c>
      <c r="F150" s="74" t="s">
        <v>2703</v>
      </c>
      <c r="G150" s="53" t="str">
        <f aca="false">INDEX(I_Items!$D$5:$D$133,MATCH($E150,I_Items!$A$5:$A$133,0))&amp;""</f>
        <v>Karkas</v>
      </c>
      <c r="H150" s="53" t="str">
        <f aca="false">INDEX(I_Items!$F$5:$F$133,MATCH($E150,I_Items!$A$5:$A$133,0))&amp;""</f>
        <v>Frozen</v>
      </c>
      <c r="I150" s="53" t="str">
        <f aca="false">INDEX(I_Items!$E$5:$E$133,MATCH($E150,I_Items!$A$5:$A$133,0))&amp;""</f>
        <v>Uk 1.5</v>
      </c>
      <c r="J150" s="84" t="n">
        <v>118.3</v>
      </c>
      <c r="K150" s="93" t="n">
        <v>0.00701548387861968</v>
      </c>
      <c r="L150" s="8" t="n">
        <v>3549000</v>
      </c>
      <c r="M150" s="8" t="n">
        <v>34351.5358437908</v>
      </c>
      <c r="N150" s="8" t="n">
        <v>4063786.69032045</v>
      </c>
      <c r="O150" s="12"/>
      <c r="P150" s="6" t="s">
        <v>1119</v>
      </c>
    </row>
    <row r="151" customFormat="false" ht="15" hidden="false" customHeight="false" outlineLevel="0" collapsed="false">
      <c r="A151" s="74" t="s">
        <v>2624</v>
      </c>
      <c r="B151" s="74" t="s">
        <v>1305</v>
      </c>
      <c r="C151" s="74" t="s">
        <v>2704</v>
      </c>
      <c r="D151" s="8" t="n">
        <v>30000</v>
      </c>
      <c r="E151" s="74" t="s">
        <v>1000</v>
      </c>
      <c r="F151" s="74" t="s">
        <v>2705</v>
      </c>
      <c r="G151" s="53" t="str">
        <f aca="false">INDEX(I_Items!$D$5:$D$133,MATCH($E151,I_Items!$A$5:$A$133,0))&amp;""</f>
        <v>Karkas</v>
      </c>
      <c r="H151" s="53" t="str">
        <f aca="false">INDEX(I_Items!$F$5:$F$133,MATCH($E151,I_Items!$A$5:$A$133,0))&amp;""</f>
        <v>Frozen</v>
      </c>
      <c r="I151" s="53" t="str">
        <f aca="false">INDEX(I_Items!$E$5:$E$133,MATCH($E151,I_Items!$A$5:$A$133,0))&amp;""</f>
        <v>Uk 1.6</v>
      </c>
      <c r="J151" s="84" t="n">
        <v>18.4</v>
      </c>
      <c r="K151" s="93" t="n">
        <v>0.00109116570893155</v>
      </c>
      <c r="L151" s="8" t="n">
        <v>552000</v>
      </c>
      <c r="M151" s="8" t="n">
        <v>34351.5358437908</v>
      </c>
      <c r="N151" s="8" t="n">
        <v>632068.259525751</v>
      </c>
      <c r="O151" s="12"/>
      <c r="P151" s="6" t="s">
        <v>1119</v>
      </c>
    </row>
    <row r="152" customFormat="false" ht="15" hidden="false" customHeight="false" outlineLevel="0" collapsed="false">
      <c r="A152" s="74" t="s">
        <v>2624</v>
      </c>
      <c r="B152" s="74" t="s">
        <v>1305</v>
      </c>
      <c r="C152" s="74" t="s">
        <v>2706</v>
      </c>
      <c r="D152" s="8" t="n">
        <v>30000</v>
      </c>
      <c r="E152" s="74" t="s">
        <v>1003</v>
      </c>
      <c r="F152" s="74" t="s">
        <v>2707</v>
      </c>
      <c r="G152" s="53" t="str">
        <f aca="false">INDEX(I_Items!$D$5:$D$133,MATCH($E152,I_Items!$A$5:$A$133,0))&amp;""</f>
        <v>Karkas</v>
      </c>
      <c r="H152" s="53" t="str">
        <f aca="false">INDEX(I_Items!$F$5:$F$133,MATCH($E152,I_Items!$A$5:$A$133,0))&amp;""</f>
        <v>Frozen</v>
      </c>
      <c r="I152" s="53" t="str">
        <f aca="false">INDEX(I_Items!$E$5:$E$133,MATCH($E152,I_Items!$A$5:$A$133,0))&amp;""</f>
        <v>Uk 1.7</v>
      </c>
      <c r="J152" s="84" t="n">
        <v>14.3</v>
      </c>
      <c r="K152" s="93" t="n">
        <v>0.000848025523789192</v>
      </c>
      <c r="L152" s="8" t="n">
        <v>429000</v>
      </c>
      <c r="M152" s="8" t="n">
        <v>34351.5358437908</v>
      </c>
      <c r="N152" s="8" t="n">
        <v>491226.962566209</v>
      </c>
      <c r="O152" s="12"/>
      <c r="P152" s="6" t="s">
        <v>1119</v>
      </c>
    </row>
    <row r="153" customFormat="false" ht="15" hidden="false" customHeight="false" outlineLevel="0" collapsed="false">
      <c r="A153" s="74" t="s">
        <v>2625</v>
      </c>
      <c r="B153" s="74" t="s">
        <v>1308</v>
      </c>
      <c r="C153" s="74" t="s">
        <v>2642</v>
      </c>
      <c r="D153" s="8" t="n">
        <v>33000</v>
      </c>
      <c r="E153" s="74" t="s">
        <v>1016</v>
      </c>
      <c r="F153" s="74" t="s">
        <v>2643</v>
      </c>
      <c r="G153" s="53" t="str">
        <f aca="false">INDEX(I_Items!$D$5:$D$133,MATCH($E153,I_Items!$A$5:$A$133,0))&amp;""</f>
        <v>Karkas</v>
      </c>
      <c r="H153" s="53" t="str">
        <f aca="false">INDEX(I_Items!$F$5:$F$133,MATCH($E153,I_Items!$A$5:$A$133,0))&amp;""</f>
        <v>Frozen</v>
      </c>
      <c r="I153" s="53" t="str">
        <f aca="false">INDEX(I_Items!$E$5:$E$133,MATCH($E153,I_Items!$A$5:$A$133,0))&amp;""</f>
        <v>Uk 0.6</v>
      </c>
      <c r="J153" s="84" t="n">
        <v>26</v>
      </c>
      <c r="K153" s="93" t="n">
        <v>0.00317941694384661</v>
      </c>
      <c r="L153" s="8" t="n">
        <v>858000</v>
      </c>
      <c r="M153" s="8" t="n">
        <v>37871.5476615359</v>
      </c>
      <c r="N153" s="8" t="n">
        <v>984660.239199933</v>
      </c>
      <c r="O153" s="12"/>
      <c r="P153" s="6" t="s">
        <v>1119</v>
      </c>
    </row>
    <row r="154" customFormat="false" ht="15" hidden="false" customHeight="false" outlineLevel="0" collapsed="false">
      <c r="A154" s="74" t="s">
        <v>2625</v>
      </c>
      <c r="B154" s="74" t="s">
        <v>1308</v>
      </c>
      <c r="C154" s="74" t="s">
        <v>2644</v>
      </c>
      <c r="D154" s="8" t="n">
        <v>33000</v>
      </c>
      <c r="E154" s="74" t="s">
        <v>1017</v>
      </c>
      <c r="F154" s="74" t="s">
        <v>2645</v>
      </c>
      <c r="G154" s="53" t="str">
        <f aca="false">INDEX(I_Items!$D$5:$D$133,MATCH($E154,I_Items!$A$5:$A$133,0))&amp;""</f>
        <v>Karkas</v>
      </c>
      <c r="H154" s="53" t="str">
        <f aca="false">INDEX(I_Items!$F$5:$F$133,MATCH($E154,I_Items!$A$5:$A$133,0))&amp;""</f>
        <v>Frozen</v>
      </c>
      <c r="I154" s="53" t="str">
        <f aca="false">INDEX(I_Items!$E$5:$E$133,MATCH($E154,I_Items!$A$5:$A$133,0))&amp;""</f>
        <v>Uk 0.7</v>
      </c>
      <c r="J154" s="84" t="n">
        <v>155.3</v>
      </c>
      <c r="K154" s="93" t="n">
        <v>0.0189909019761299</v>
      </c>
      <c r="L154" s="8" t="n">
        <v>5124900</v>
      </c>
      <c r="M154" s="8" t="n">
        <v>37871.5476615359</v>
      </c>
      <c r="N154" s="8" t="n">
        <v>5881451.35183652</v>
      </c>
      <c r="O154" s="12"/>
      <c r="P154" s="6" t="s">
        <v>1119</v>
      </c>
    </row>
    <row r="155" customFormat="false" ht="15" hidden="false" customHeight="false" outlineLevel="0" collapsed="false">
      <c r="A155" s="74" t="s">
        <v>2625</v>
      </c>
      <c r="B155" s="74" t="s">
        <v>1308</v>
      </c>
      <c r="C155" s="74" t="s">
        <v>2646</v>
      </c>
      <c r="D155" s="8" t="n">
        <v>33000</v>
      </c>
      <c r="E155" s="74" t="s">
        <v>1017</v>
      </c>
      <c r="F155" s="74" t="s">
        <v>2645</v>
      </c>
      <c r="G155" s="53" t="str">
        <f aca="false">INDEX(I_Items!$D$5:$D$133,MATCH($E155,I_Items!$A$5:$A$133,0))&amp;""</f>
        <v>Karkas</v>
      </c>
      <c r="H155" s="53" t="str">
        <f aca="false">INDEX(I_Items!$F$5:$F$133,MATCH($E155,I_Items!$A$5:$A$133,0))&amp;""</f>
        <v>Frozen</v>
      </c>
      <c r="I155" s="53" t="str">
        <f aca="false">INDEX(I_Items!$E$5:$E$133,MATCH($E155,I_Items!$A$5:$A$133,0))&amp;""</f>
        <v>Uk 0.7</v>
      </c>
      <c r="J155" s="84" t="n">
        <v>497</v>
      </c>
      <c r="K155" s="93" t="n">
        <v>0.0607757777342986</v>
      </c>
      <c r="L155" s="8" t="n">
        <v>16401000</v>
      </c>
      <c r="M155" s="8" t="n">
        <v>37871.5476615359</v>
      </c>
      <c r="N155" s="8" t="n">
        <v>18822159.1877833</v>
      </c>
      <c r="O155" s="12"/>
      <c r="P155" s="6" t="s">
        <v>1119</v>
      </c>
    </row>
    <row r="156" customFormat="false" ht="15" hidden="false" customHeight="false" outlineLevel="0" collapsed="false">
      <c r="A156" s="74" t="s">
        <v>2625</v>
      </c>
      <c r="B156" s="74" t="s">
        <v>1308</v>
      </c>
      <c r="C156" s="74" t="s">
        <v>2648</v>
      </c>
      <c r="D156" s="8" t="n">
        <v>33000</v>
      </c>
      <c r="E156" s="74" t="s">
        <v>1014</v>
      </c>
      <c r="F156" s="74" t="s">
        <v>2647</v>
      </c>
      <c r="G156" s="53" t="str">
        <f aca="false">INDEX(I_Items!$D$5:$D$133,MATCH($E156,I_Items!$A$5:$A$133,0))&amp;""</f>
        <v>Karkas</v>
      </c>
      <c r="H156" s="53" t="str">
        <f aca="false">INDEX(I_Items!$F$5:$F$133,MATCH($E156,I_Items!$A$5:$A$133,0))&amp;""</f>
        <v>Frozen</v>
      </c>
      <c r="I156" s="53" t="str">
        <f aca="false">INDEX(I_Items!$E$5:$E$133,MATCH($E156,I_Items!$A$5:$A$133,0))&amp;""</f>
        <v>Uk 0.8</v>
      </c>
      <c r="J156" s="84" t="n">
        <v>1061.7</v>
      </c>
      <c r="K156" s="93" t="n">
        <v>0.129830268049305</v>
      </c>
      <c r="L156" s="8" t="n">
        <v>35036100</v>
      </c>
      <c r="M156" s="8" t="n">
        <v>37871.5476615359</v>
      </c>
      <c r="N156" s="8" t="n">
        <v>40208222.1522527</v>
      </c>
      <c r="O156" s="12"/>
      <c r="P156" s="6" t="s">
        <v>1119</v>
      </c>
    </row>
    <row r="157" customFormat="false" ht="15" hidden="false" customHeight="false" outlineLevel="0" collapsed="false">
      <c r="A157" s="74" t="s">
        <v>2625</v>
      </c>
      <c r="B157" s="74" t="s">
        <v>1308</v>
      </c>
      <c r="C157" s="74" t="s">
        <v>2650</v>
      </c>
      <c r="D157" s="8" t="n">
        <v>33000</v>
      </c>
      <c r="E157" s="74" t="s">
        <v>978</v>
      </c>
      <c r="F157" s="74" t="s">
        <v>2651</v>
      </c>
      <c r="G157" s="53" t="str">
        <f aca="false">INDEX(I_Items!$D$5:$D$133,MATCH($E157,I_Items!$A$5:$A$133,0))&amp;""</f>
        <v>Karkas</v>
      </c>
      <c r="H157" s="53" t="str">
        <f aca="false">INDEX(I_Items!$F$5:$F$133,MATCH($E157,I_Items!$A$5:$A$133,0))&amp;""</f>
        <v>Fresh</v>
      </c>
      <c r="I157" s="53" t="str">
        <f aca="false">INDEX(I_Items!$E$5:$E$133,MATCH($E157,I_Items!$A$5:$A$133,0))&amp;""</f>
        <v>Uk 1.0</v>
      </c>
      <c r="J157" s="84" t="n">
        <v>1577.7</v>
      </c>
      <c r="K157" s="93" t="n">
        <v>0.192929465857954</v>
      </c>
      <c r="L157" s="8" t="n">
        <v>52064100</v>
      </c>
      <c r="M157" s="8" t="n">
        <v>37871.5476615359</v>
      </c>
      <c r="N157" s="8" t="n">
        <v>59749940.7456052</v>
      </c>
      <c r="O157" s="12"/>
      <c r="P157" s="6" t="s">
        <v>1119</v>
      </c>
    </row>
    <row r="158" customFormat="false" ht="15" hidden="false" customHeight="false" outlineLevel="0" collapsed="false">
      <c r="A158" s="74" t="s">
        <v>2625</v>
      </c>
      <c r="B158" s="74" t="s">
        <v>1308</v>
      </c>
      <c r="C158" s="74" t="s">
        <v>2652</v>
      </c>
      <c r="D158" s="8" t="n">
        <v>33000</v>
      </c>
      <c r="E158" s="74" t="s">
        <v>984</v>
      </c>
      <c r="F158" s="74" t="s">
        <v>2690</v>
      </c>
      <c r="G158" s="53" t="str">
        <f aca="false">INDEX(I_Items!$D$5:$D$133,MATCH($E158,I_Items!$A$5:$A$133,0))&amp;""</f>
        <v>Karkas</v>
      </c>
      <c r="H158" s="53" t="str">
        <f aca="false">INDEX(I_Items!$F$5:$F$133,MATCH($E158,I_Items!$A$5:$A$133,0))&amp;""</f>
        <v>Frozen</v>
      </c>
      <c r="I158" s="53" t="str">
        <f aca="false">INDEX(I_Items!$E$5:$E$133,MATCH($E158,I_Items!$A$5:$A$133,0))&amp;""</f>
        <v>Uk 1.1</v>
      </c>
      <c r="J158" s="84" t="n">
        <v>1156.8</v>
      </c>
      <c r="K158" s="93" t="n">
        <v>0.14145959694776</v>
      </c>
      <c r="L158" s="8" t="n">
        <v>38174400</v>
      </c>
      <c r="M158" s="8" t="n">
        <v>37871.5476615359</v>
      </c>
      <c r="N158" s="8" t="n">
        <v>43809806.3348647</v>
      </c>
      <c r="O158" s="12"/>
      <c r="P158" s="6" t="s">
        <v>1119</v>
      </c>
    </row>
    <row r="159" customFormat="false" ht="15" hidden="false" customHeight="false" outlineLevel="0" collapsed="false">
      <c r="A159" s="74" t="s">
        <v>2625</v>
      </c>
      <c r="B159" s="74" t="s">
        <v>1308</v>
      </c>
      <c r="C159" s="74" t="s">
        <v>2654</v>
      </c>
      <c r="D159" s="8" t="n">
        <v>33000</v>
      </c>
      <c r="E159" s="74" t="s">
        <v>988</v>
      </c>
      <c r="F159" s="74" t="s">
        <v>2691</v>
      </c>
      <c r="G159" s="53" t="str">
        <f aca="false">INDEX(I_Items!$D$5:$D$133,MATCH($E159,I_Items!$A$5:$A$133,0))&amp;""</f>
        <v>Karkas</v>
      </c>
      <c r="H159" s="53" t="str">
        <f aca="false">INDEX(I_Items!$F$5:$F$133,MATCH($E159,I_Items!$A$5:$A$133,0))&amp;""</f>
        <v>Frozen</v>
      </c>
      <c r="I159" s="53" t="str">
        <f aca="false">INDEX(I_Items!$E$5:$E$133,MATCH($E159,I_Items!$A$5:$A$133,0))&amp;""</f>
        <v>Uk 1.2</v>
      </c>
      <c r="J159" s="84" t="n">
        <v>440.7</v>
      </c>
      <c r="K159" s="93" t="n">
        <v>0.0538911171982</v>
      </c>
      <c r="L159" s="8" t="n">
        <v>14543100</v>
      </c>
      <c r="M159" s="8" t="n">
        <v>37871.5476615359</v>
      </c>
      <c r="N159" s="8" t="n">
        <v>16689991.0544389</v>
      </c>
      <c r="O159" s="12"/>
      <c r="P159" s="6" t="s">
        <v>1119</v>
      </c>
    </row>
    <row r="160" customFormat="false" ht="15" hidden="false" customHeight="false" outlineLevel="0" collapsed="false">
      <c r="A160" s="74" t="s">
        <v>2625</v>
      </c>
      <c r="B160" s="74" t="s">
        <v>1308</v>
      </c>
      <c r="C160" s="74" t="s">
        <v>2656</v>
      </c>
      <c r="D160" s="8" t="n">
        <v>33000</v>
      </c>
      <c r="E160" s="74" t="s">
        <v>992</v>
      </c>
      <c r="F160" s="74" t="s">
        <v>2714</v>
      </c>
      <c r="G160" s="53" t="str">
        <f aca="false">INDEX(I_Items!$D$5:$D$133,MATCH($E160,I_Items!$A$5:$A$133,0))&amp;""</f>
        <v>Karkas</v>
      </c>
      <c r="H160" s="53" t="str">
        <f aca="false">INDEX(I_Items!$F$5:$F$133,MATCH($E160,I_Items!$A$5:$A$133,0))&amp;""</f>
        <v>Frozen</v>
      </c>
      <c r="I160" s="53" t="str">
        <f aca="false">INDEX(I_Items!$E$5:$E$133,MATCH($E160,I_Items!$A$5:$A$133,0))&amp;""</f>
        <v>Uk 1.3</v>
      </c>
      <c r="J160" s="84" t="n">
        <v>106.6</v>
      </c>
      <c r="K160" s="93" t="n">
        <v>0.0130356094697711</v>
      </c>
      <c r="L160" s="8" t="n">
        <v>3517800</v>
      </c>
      <c r="M160" s="8" t="n">
        <v>37871.5476615359</v>
      </c>
      <c r="N160" s="8" t="n">
        <v>4037106.98071973</v>
      </c>
      <c r="O160" s="12"/>
      <c r="P160" s="6" t="s">
        <v>1119</v>
      </c>
    </row>
    <row r="161" customFormat="false" ht="15" hidden="false" customHeight="false" outlineLevel="0" collapsed="false">
      <c r="A161" s="74" t="s">
        <v>2625</v>
      </c>
      <c r="B161" s="74" t="s">
        <v>1308</v>
      </c>
      <c r="C161" s="74" t="s">
        <v>2658</v>
      </c>
      <c r="D161" s="8" t="n">
        <v>33000</v>
      </c>
      <c r="E161" s="74" t="s">
        <v>995</v>
      </c>
      <c r="F161" s="74" t="s">
        <v>2715</v>
      </c>
      <c r="G161" s="53" t="str">
        <f aca="false">INDEX(I_Items!$D$5:$D$133,MATCH($E161,I_Items!$A$5:$A$133,0))&amp;""</f>
        <v>Karkas</v>
      </c>
      <c r="H161" s="53" t="str">
        <f aca="false">INDEX(I_Items!$F$5:$F$133,MATCH($E161,I_Items!$A$5:$A$133,0))&amp;""</f>
        <v>Frozen</v>
      </c>
      <c r="I161" s="53" t="str">
        <f aca="false">INDEX(I_Items!$E$5:$E$133,MATCH($E161,I_Items!$A$5:$A$133,0))&amp;""</f>
        <v>Uk 1.4</v>
      </c>
      <c r="J161" s="84" t="n">
        <v>28.8</v>
      </c>
      <c r="K161" s="93" t="n">
        <v>0.00352181569164547</v>
      </c>
      <c r="L161" s="8" t="n">
        <v>950400</v>
      </c>
      <c r="M161" s="8" t="n">
        <v>37871.5476615359</v>
      </c>
      <c r="N161" s="8" t="n">
        <v>1090700.57265223</v>
      </c>
      <c r="O161" s="12"/>
      <c r="P161" s="6" t="s">
        <v>1119</v>
      </c>
    </row>
    <row r="162" customFormat="false" ht="15" hidden="false" customHeight="false" outlineLevel="0" collapsed="false">
      <c r="A162" s="74" t="s">
        <v>2625</v>
      </c>
      <c r="B162" s="74" t="s">
        <v>1308</v>
      </c>
      <c r="C162" s="74" t="s">
        <v>360</v>
      </c>
      <c r="D162" s="8" t="n">
        <v>24000</v>
      </c>
      <c r="E162" s="74" t="s">
        <v>961</v>
      </c>
      <c r="F162" s="74" t="s">
        <v>2712</v>
      </c>
      <c r="G162" s="53" t="str">
        <f aca="false">INDEX(I_Items!$D$5:$D$133,MATCH($E162,I_Items!$A$5:$A$133,0))&amp;""</f>
        <v>Lemak</v>
      </c>
      <c r="H162" s="53" t="str">
        <f aca="false">INDEX(I_Items!$F$5:$F$133,MATCH($E162,I_Items!$A$5:$A$133,0))&amp;""</f>
        <v>Frozen</v>
      </c>
      <c r="I162" s="53" t="str">
        <f aca="false">INDEX(I_Items!$E$5:$E$133,MATCH($E162,I_Items!$A$5:$A$133,0))&amp;""</f>
        <v/>
      </c>
      <c r="J162" s="84" t="n">
        <v>32</v>
      </c>
      <c r="K162" s="93" t="n">
        <v>0.00391312854627275</v>
      </c>
      <c r="L162" s="8" t="n">
        <v>768000</v>
      </c>
      <c r="M162" s="8" t="n">
        <v>27542.9437538443</v>
      </c>
      <c r="N162" s="8" t="n">
        <v>881374.200123017</v>
      </c>
      <c r="O162" s="12"/>
      <c r="P162" s="6" t="s">
        <v>1119</v>
      </c>
    </row>
    <row r="163" customFormat="false" ht="15" hidden="false" customHeight="false" outlineLevel="0" collapsed="false">
      <c r="A163" s="74" t="s">
        <v>2625</v>
      </c>
      <c r="B163" s="74" t="s">
        <v>1308</v>
      </c>
      <c r="C163" s="74" t="s">
        <v>248</v>
      </c>
      <c r="D163" s="8" t="n">
        <v>12000</v>
      </c>
      <c r="E163" s="74" t="s">
        <v>950</v>
      </c>
      <c r="F163" s="74" t="s">
        <v>2661</v>
      </c>
      <c r="G163" s="53" t="str">
        <f aca="false">INDEX(I_Items!$D$5:$D$133,MATCH($E163,I_Items!$A$5:$A$133,0))&amp;""</f>
        <v>Kepala</v>
      </c>
      <c r="H163" s="53" t="str">
        <f aca="false">INDEX(I_Items!$F$5:$F$133,MATCH($E163,I_Items!$A$5:$A$133,0))&amp;""</f>
        <v>Fresh</v>
      </c>
      <c r="I163" s="53" t="str">
        <f aca="false">INDEX(I_Items!$E$5:$E$133,MATCH($E163,I_Items!$A$5:$A$133,0))&amp;""</f>
        <v/>
      </c>
      <c r="J163" s="84" t="n">
        <v>368.4</v>
      </c>
      <c r="K163" s="93" t="n">
        <v>0.045049892388965</v>
      </c>
      <c r="L163" s="8" t="n">
        <v>4420800</v>
      </c>
      <c r="M163" s="8" t="n">
        <v>13771.4718769221</v>
      </c>
      <c r="N163" s="8" t="n">
        <v>5073410.23945812</v>
      </c>
      <c r="O163" s="12"/>
      <c r="P163" s="6" t="s">
        <v>1119</v>
      </c>
    </row>
    <row r="164" customFormat="false" ht="15" hidden="false" customHeight="false" outlineLevel="0" collapsed="false">
      <c r="A164" s="74" t="s">
        <v>2625</v>
      </c>
      <c r="B164" s="74" t="s">
        <v>1308</v>
      </c>
      <c r="C164" s="74" t="s">
        <v>242</v>
      </c>
      <c r="D164" s="8" t="n">
        <v>16000</v>
      </c>
      <c r="E164" s="74" t="s">
        <v>948</v>
      </c>
      <c r="F164" s="74" t="s">
        <v>2662</v>
      </c>
      <c r="G164" s="53" t="str">
        <f aca="false">INDEX(I_Items!$D$5:$D$133,MATCH($E164,I_Items!$A$5:$A$133,0))&amp;""</f>
        <v>Ceker</v>
      </c>
      <c r="H164" s="53" t="str">
        <f aca="false">INDEX(I_Items!$F$5:$F$133,MATCH($E164,I_Items!$A$5:$A$133,0))&amp;""</f>
        <v>Fresh</v>
      </c>
      <c r="I164" s="53" t="str">
        <f aca="false">INDEX(I_Items!$E$5:$E$133,MATCH($E164,I_Items!$A$5:$A$133,0))&amp;""</f>
        <v/>
      </c>
      <c r="J164" s="84" t="n">
        <v>228.9</v>
      </c>
      <c r="K164" s="93" t="n">
        <v>0.0279910976325572</v>
      </c>
      <c r="L164" s="8" t="n">
        <v>3662400</v>
      </c>
      <c r="M164" s="8" t="n">
        <v>18361.9625025629</v>
      </c>
      <c r="N164" s="8" t="n">
        <v>4203053.21683664</v>
      </c>
      <c r="O164" s="12"/>
      <c r="P164" s="6" t="s">
        <v>1119</v>
      </c>
    </row>
    <row r="165" customFormat="false" ht="15" hidden="false" customHeight="false" outlineLevel="0" collapsed="false">
      <c r="A165" s="74" t="s">
        <v>2625</v>
      </c>
      <c r="B165" s="74" t="s">
        <v>1308</v>
      </c>
      <c r="C165" s="74" t="s">
        <v>253</v>
      </c>
      <c r="D165" s="8" t="n">
        <v>5000</v>
      </c>
      <c r="E165" s="74" t="s">
        <v>953</v>
      </c>
      <c r="F165" s="74" t="s">
        <v>2682</v>
      </c>
      <c r="G165" s="53" t="str">
        <f aca="false">INDEX(I_Items!$D$5:$D$133,MATCH($E165,I_Items!$A$5:$A$133,0))&amp;""</f>
        <v>Usus</v>
      </c>
      <c r="H165" s="53" t="str">
        <f aca="false">INDEX(I_Items!$F$5:$F$133,MATCH($E165,I_Items!$A$5:$A$133,0))&amp;""</f>
        <v>Fresh</v>
      </c>
      <c r="I165" s="53" t="str">
        <f aca="false">INDEX(I_Items!$E$5:$E$133,MATCH($E165,I_Items!$A$5:$A$133,0))&amp;""</f>
        <v/>
      </c>
      <c r="J165" s="84" t="n">
        <v>388.1</v>
      </c>
      <c r="K165" s="93" t="n">
        <v>0.0474589121502641</v>
      </c>
      <c r="L165" s="8" t="n">
        <v>1940500</v>
      </c>
      <c r="M165" s="8" t="n">
        <v>5738.11328205089</v>
      </c>
      <c r="N165" s="8" t="n">
        <v>2226961.76476395</v>
      </c>
      <c r="O165" s="12"/>
      <c r="P165" s="6" t="s">
        <v>1119</v>
      </c>
    </row>
    <row r="166" customFormat="false" ht="15" hidden="false" customHeight="false" outlineLevel="0" collapsed="false">
      <c r="A166" s="74" t="s">
        <v>2625</v>
      </c>
      <c r="B166" s="74" t="s">
        <v>1308</v>
      </c>
      <c r="C166" s="74" t="s">
        <v>2665</v>
      </c>
      <c r="D166" s="8" t="n">
        <v>5000</v>
      </c>
      <c r="E166" s="74" t="s">
        <v>949</v>
      </c>
      <c r="F166" s="74" t="s">
        <v>2666</v>
      </c>
      <c r="G166" s="53" t="str">
        <f aca="false">INDEX(I_Items!$D$5:$D$133,MATCH($E166,I_Items!$A$5:$A$133,0))&amp;""</f>
        <v>HJA (Hati/Jantung/Ampela)</v>
      </c>
      <c r="H166" s="53" t="str">
        <f aca="false">INDEX(I_Items!$F$5:$F$133,MATCH($E166,I_Items!$A$5:$A$133,0))&amp;""</f>
        <v>Fresh</v>
      </c>
      <c r="I166" s="53" t="str">
        <f aca="false">INDEX(I_Items!$E$5:$E$133,MATCH($E166,I_Items!$A$5:$A$133,0))&amp;""</f>
        <v/>
      </c>
      <c r="J166" s="84" t="n">
        <v>468.4</v>
      </c>
      <c r="K166" s="93" t="n">
        <v>0.0572784190960673</v>
      </c>
      <c r="L166" s="8" t="n">
        <v>2342000</v>
      </c>
      <c r="M166" s="8" t="n">
        <v>5738.11328205089</v>
      </c>
      <c r="N166" s="8" t="n">
        <v>2687732.26131264</v>
      </c>
      <c r="O166" s="12"/>
      <c r="P166" s="6" t="s">
        <v>1119</v>
      </c>
    </row>
    <row r="167" customFormat="false" ht="15" hidden="false" customHeight="false" outlineLevel="0" collapsed="false">
      <c r="A167" s="74" t="s">
        <v>2625</v>
      </c>
      <c r="B167" s="74" t="s">
        <v>1308</v>
      </c>
      <c r="C167" s="74" t="s">
        <v>2683</v>
      </c>
      <c r="D167" s="8" t="n">
        <v>30000</v>
      </c>
      <c r="E167" s="74" t="s">
        <v>972</v>
      </c>
      <c r="F167" s="74" t="s">
        <v>2684</v>
      </c>
      <c r="G167" s="53" t="str">
        <f aca="false">INDEX(I_Items!$D$5:$D$133,MATCH($E167,I_Items!$A$5:$A$133,0))&amp;""</f>
        <v>Karkas</v>
      </c>
      <c r="H167" s="53" t="str">
        <f aca="false">INDEX(I_Items!$F$5:$F$133,MATCH($E167,I_Items!$A$5:$A$133,0))&amp;""</f>
        <v>Frozen</v>
      </c>
      <c r="I167" s="53" t="str">
        <f aca="false">INDEX(I_Items!$E$5:$E$133,MATCH($E167,I_Items!$A$5:$A$133,0))&amp;""</f>
        <v>Uk 0.6</v>
      </c>
      <c r="J167" s="84" t="n">
        <v>4.8</v>
      </c>
      <c r="K167" s="93" t="n">
        <v>0.000586969281940912</v>
      </c>
      <c r="L167" s="8" t="n">
        <v>144000</v>
      </c>
      <c r="M167" s="8" t="n">
        <v>34428.6796923054</v>
      </c>
      <c r="N167" s="8" t="n">
        <v>165257.662523066</v>
      </c>
      <c r="O167" s="12"/>
      <c r="P167" s="6" t="s">
        <v>1119</v>
      </c>
    </row>
    <row r="168" customFormat="false" ht="15" hidden="false" customHeight="false" outlineLevel="0" collapsed="false">
      <c r="A168" s="74" t="s">
        <v>2625</v>
      </c>
      <c r="B168" s="74" t="s">
        <v>1308</v>
      </c>
      <c r="C168" s="74" t="s">
        <v>2667</v>
      </c>
      <c r="D168" s="8" t="n">
        <v>30000</v>
      </c>
      <c r="E168" s="74" t="s">
        <v>973</v>
      </c>
      <c r="F168" s="74" t="s">
        <v>2668</v>
      </c>
      <c r="G168" s="53" t="str">
        <f aca="false">INDEX(I_Items!$D$5:$D$133,MATCH($E168,I_Items!$A$5:$A$133,0))&amp;""</f>
        <v>Karkas</v>
      </c>
      <c r="H168" s="53" t="str">
        <f aca="false">INDEX(I_Items!$F$5:$F$133,MATCH($E168,I_Items!$A$5:$A$133,0))&amp;""</f>
        <v>Frozen</v>
      </c>
      <c r="I168" s="53" t="str">
        <f aca="false">INDEX(I_Items!$E$5:$E$133,MATCH($E168,I_Items!$A$5:$A$133,0))&amp;""</f>
        <v>Uk 0.7</v>
      </c>
      <c r="J168" s="84" t="n">
        <v>17.3</v>
      </c>
      <c r="K168" s="93" t="n">
        <v>0.0021155351203287</v>
      </c>
      <c r="L168" s="8" t="n">
        <v>519000</v>
      </c>
      <c r="M168" s="8" t="n">
        <v>34428.6796923054</v>
      </c>
      <c r="N168" s="8" t="n">
        <v>595616.158676883</v>
      </c>
      <c r="O168" s="12"/>
      <c r="P168" s="6" t="s">
        <v>1119</v>
      </c>
    </row>
    <row r="169" customFormat="false" ht="15" hidden="false" customHeight="false" outlineLevel="0" collapsed="false">
      <c r="A169" s="74" t="s">
        <v>2625</v>
      </c>
      <c r="B169" s="74" t="s">
        <v>1308</v>
      </c>
      <c r="C169" s="74" t="s">
        <v>2669</v>
      </c>
      <c r="D169" s="8" t="n">
        <v>30000</v>
      </c>
      <c r="E169" s="74" t="s">
        <v>974</v>
      </c>
      <c r="F169" s="74" t="s">
        <v>2670</v>
      </c>
      <c r="G169" s="53" t="str">
        <f aca="false">INDEX(I_Items!$D$5:$D$133,MATCH($E169,I_Items!$A$5:$A$133,0))&amp;""</f>
        <v>Karkas</v>
      </c>
      <c r="H169" s="53" t="str">
        <f aca="false">INDEX(I_Items!$F$5:$F$133,MATCH($E169,I_Items!$A$5:$A$133,0))&amp;""</f>
        <v>Frozen</v>
      </c>
      <c r="I169" s="53" t="str">
        <f aca="false">INDEX(I_Items!$E$5:$E$133,MATCH($E169,I_Items!$A$5:$A$133,0))&amp;""</f>
        <v>Uk 0.8</v>
      </c>
      <c r="J169" s="84" t="n">
        <v>63.7</v>
      </c>
      <c r="K169" s="93" t="n">
        <v>0.00778957151242418</v>
      </c>
      <c r="L169" s="8" t="n">
        <v>1911000</v>
      </c>
      <c r="M169" s="8" t="n">
        <v>34428.6796923054</v>
      </c>
      <c r="N169" s="8" t="n">
        <v>2193106.89639985</v>
      </c>
      <c r="O169" s="12"/>
      <c r="P169" s="6" t="s">
        <v>1119</v>
      </c>
    </row>
    <row r="170" customFormat="false" ht="15" hidden="false" customHeight="false" outlineLevel="0" collapsed="false">
      <c r="A170" s="74" t="s">
        <v>2625</v>
      </c>
      <c r="B170" s="74" t="s">
        <v>1308</v>
      </c>
      <c r="C170" s="74" t="s">
        <v>2671</v>
      </c>
      <c r="D170" s="8" t="n">
        <v>30000</v>
      </c>
      <c r="E170" s="74" t="s">
        <v>976</v>
      </c>
      <c r="F170" s="74" t="s">
        <v>2672</v>
      </c>
      <c r="G170" s="53" t="str">
        <f aca="false">INDEX(I_Items!$D$5:$D$133,MATCH($E170,I_Items!$A$5:$A$133,0))&amp;""</f>
        <v>Karkas</v>
      </c>
      <c r="H170" s="53" t="str">
        <f aca="false">INDEX(I_Items!$F$5:$F$133,MATCH($E170,I_Items!$A$5:$A$133,0))&amp;""</f>
        <v>Frozen</v>
      </c>
      <c r="I170" s="53" t="str">
        <f aca="false">INDEX(I_Items!$E$5:$E$133,MATCH($E170,I_Items!$A$5:$A$133,0))&amp;""</f>
        <v>Uk 0.9</v>
      </c>
      <c r="J170" s="84" t="n">
        <v>118</v>
      </c>
      <c r="K170" s="93" t="n">
        <v>0.0144296615143808</v>
      </c>
      <c r="L170" s="8" t="n">
        <v>3540000</v>
      </c>
      <c r="M170" s="8" t="n">
        <v>34428.6796923054</v>
      </c>
      <c r="N170" s="8" t="n">
        <v>4062584.20369203</v>
      </c>
      <c r="O170" s="12"/>
      <c r="P170" s="6" t="s">
        <v>1119</v>
      </c>
    </row>
    <row r="171" customFormat="false" ht="15" hidden="false" customHeight="false" outlineLevel="0" collapsed="false">
      <c r="A171" s="74" t="s">
        <v>2625</v>
      </c>
      <c r="B171" s="74" t="s">
        <v>1308</v>
      </c>
      <c r="C171" s="74" t="s">
        <v>2673</v>
      </c>
      <c r="D171" s="8" t="n">
        <v>30000</v>
      </c>
      <c r="E171" s="74" t="s">
        <v>979</v>
      </c>
      <c r="F171" s="74" t="s">
        <v>2685</v>
      </c>
      <c r="G171" s="53" t="str">
        <f aca="false">INDEX(I_Items!$D$5:$D$133,MATCH($E171,I_Items!$A$5:$A$133,0))&amp;""</f>
        <v>Karkas</v>
      </c>
      <c r="H171" s="53" t="str">
        <f aca="false">INDEX(I_Items!$F$5:$F$133,MATCH($E171,I_Items!$A$5:$A$133,0))&amp;""</f>
        <v>Frozen</v>
      </c>
      <c r="I171" s="53" t="str">
        <f aca="false">INDEX(I_Items!$E$5:$E$133,MATCH($E171,I_Items!$A$5:$A$133,0))&amp;""</f>
        <v>Uk 1.0</v>
      </c>
      <c r="J171" s="84" t="n">
        <v>188.3</v>
      </c>
      <c r="K171" s="93" t="n">
        <v>0.0230263157894737</v>
      </c>
      <c r="L171" s="8" t="n">
        <v>5649000</v>
      </c>
      <c r="M171" s="8" t="n">
        <v>34428.6796923054</v>
      </c>
      <c r="N171" s="8" t="n">
        <v>6482920.3860611</v>
      </c>
      <c r="O171" s="12"/>
      <c r="P171" s="6" t="s">
        <v>1119</v>
      </c>
    </row>
    <row r="172" customFormat="false" ht="15" hidden="false" customHeight="false" outlineLevel="0" collapsed="false">
      <c r="A172" s="74" t="s">
        <v>2625</v>
      </c>
      <c r="B172" s="74" t="s">
        <v>1308</v>
      </c>
      <c r="C172" s="74" t="s">
        <v>2674</v>
      </c>
      <c r="D172" s="8" t="n">
        <v>30000</v>
      </c>
      <c r="E172" s="74" t="s">
        <v>983</v>
      </c>
      <c r="F172" s="74" t="s">
        <v>2686</v>
      </c>
      <c r="G172" s="53" t="str">
        <f aca="false">INDEX(I_Items!$D$5:$D$133,MATCH($E172,I_Items!$A$5:$A$133,0))&amp;""</f>
        <v>Karkas</v>
      </c>
      <c r="H172" s="53" t="str">
        <f aca="false">INDEX(I_Items!$F$5:$F$133,MATCH($E172,I_Items!$A$5:$A$133,0))&amp;""</f>
        <v>Frozen</v>
      </c>
      <c r="I172" s="53" t="str">
        <f aca="false">INDEX(I_Items!$E$5:$E$133,MATCH($E172,I_Items!$A$5:$A$133,0))&amp;""</f>
        <v>Uk 1.1</v>
      </c>
      <c r="J172" s="84" t="n">
        <v>132.8</v>
      </c>
      <c r="K172" s="93" t="n">
        <v>0.0162394834670319</v>
      </c>
      <c r="L172" s="8" t="n">
        <v>3984000</v>
      </c>
      <c r="M172" s="8" t="n">
        <v>34428.6796923054</v>
      </c>
      <c r="N172" s="8" t="n">
        <v>4572128.66313815</v>
      </c>
      <c r="O172" s="12"/>
      <c r="P172" s="6" t="s">
        <v>1119</v>
      </c>
    </row>
    <row r="173" customFormat="false" ht="15" hidden="false" customHeight="false" outlineLevel="0" collapsed="false">
      <c r="A173" s="74" t="s">
        <v>2625</v>
      </c>
      <c r="B173" s="74" t="s">
        <v>1308</v>
      </c>
      <c r="C173" s="74" t="s">
        <v>2676</v>
      </c>
      <c r="D173" s="8" t="n">
        <v>30000</v>
      </c>
      <c r="E173" s="74" t="s">
        <v>987</v>
      </c>
      <c r="F173" s="74" t="s">
        <v>2687</v>
      </c>
      <c r="G173" s="53" t="str">
        <f aca="false">INDEX(I_Items!$D$5:$D$133,MATCH($E173,I_Items!$A$5:$A$133,0))&amp;""</f>
        <v>Karkas</v>
      </c>
      <c r="H173" s="53" t="str">
        <f aca="false">INDEX(I_Items!$F$5:$F$133,MATCH($E173,I_Items!$A$5:$A$133,0))&amp;""</f>
        <v>Frozen</v>
      </c>
      <c r="I173" s="53" t="str">
        <f aca="false">INDEX(I_Items!$E$5:$E$133,MATCH($E173,I_Items!$A$5:$A$133,0))&amp;""</f>
        <v>Uk 1.2</v>
      </c>
      <c r="J173" s="84" t="n">
        <v>59.2</v>
      </c>
      <c r="K173" s="93" t="n">
        <v>0.00723928781060458</v>
      </c>
      <c r="L173" s="8" t="n">
        <v>1776000</v>
      </c>
      <c r="M173" s="8" t="n">
        <v>34428.6796923054</v>
      </c>
      <c r="N173" s="8" t="n">
        <v>2038177.83778448</v>
      </c>
      <c r="O173" s="12"/>
      <c r="P173" s="6" t="s">
        <v>1119</v>
      </c>
    </row>
    <row r="174" customFormat="false" ht="15" hidden="false" customHeight="false" outlineLevel="0" collapsed="false">
      <c r="A174" s="74" t="s">
        <v>2625</v>
      </c>
      <c r="B174" s="74" t="s">
        <v>1308</v>
      </c>
      <c r="C174" s="74" t="s">
        <v>2678</v>
      </c>
      <c r="D174" s="8" t="n">
        <v>30000</v>
      </c>
      <c r="E174" s="74" t="s">
        <v>991</v>
      </c>
      <c r="F174" s="74" t="s">
        <v>2688</v>
      </c>
      <c r="G174" s="53" t="str">
        <f aca="false">INDEX(I_Items!$D$5:$D$133,MATCH($E174,I_Items!$A$5:$A$133,0))&amp;""</f>
        <v>Karkas</v>
      </c>
      <c r="H174" s="53" t="str">
        <f aca="false">INDEX(I_Items!$F$5:$F$133,MATCH($E174,I_Items!$A$5:$A$133,0))&amp;""</f>
        <v>Frozen</v>
      </c>
      <c r="I174" s="53" t="str">
        <f aca="false">INDEX(I_Items!$E$5:$E$133,MATCH($E174,I_Items!$A$5:$A$133,0))&amp;""</f>
        <v>Uk 1.3</v>
      </c>
      <c r="J174" s="84" t="n">
        <v>6.9</v>
      </c>
      <c r="K174" s="93" t="n">
        <v>0.000843768342790061</v>
      </c>
      <c r="L174" s="8" t="n">
        <v>207000</v>
      </c>
      <c r="M174" s="8" t="n">
        <v>34428.6796923054</v>
      </c>
      <c r="N174" s="8" t="n">
        <v>237557.889876907</v>
      </c>
      <c r="O174" s="12"/>
      <c r="P174" s="6" t="s">
        <v>1119</v>
      </c>
    </row>
    <row r="175" customFormat="false" ht="15" hidden="false" customHeight="false" outlineLevel="0" collapsed="false">
      <c r="A175" s="74" t="s">
        <v>2626</v>
      </c>
      <c r="B175" s="74" t="s">
        <v>1311</v>
      </c>
      <c r="C175" s="74" t="s">
        <v>2716</v>
      </c>
      <c r="D175" s="8" t="n">
        <v>33000</v>
      </c>
      <c r="E175" s="74" t="s">
        <v>1015</v>
      </c>
      <c r="F175" s="74" t="s">
        <v>2717</v>
      </c>
      <c r="G175" s="53" t="str">
        <f aca="false">INDEX(I_Items!$D$5:$D$133,MATCH($E175,I_Items!$A$5:$A$133,0))&amp;""</f>
        <v>Karkas</v>
      </c>
      <c r="H175" s="53" t="str">
        <f aca="false">INDEX(I_Items!$F$5:$F$133,MATCH($E175,I_Items!$A$5:$A$133,0))&amp;""</f>
        <v>Frozen</v>
      </c>
      <c r="I175" s="53" t="str">
        <f aca="false">INDEX(I_Items!$E$5:$E$133,MATCH($E175,I_Items!$A$5:$A$133,0))&amp;""</f>
        <v>Uk 0.5</v>
      </c>
      <c r="J175" s="84" t="n">
        <v>7.2</v>
      </c>
      <c r="K175" s="93" t="n">
        <v>0.000925378505513714</v>
      </c>
      <c r="L175" s="8" t="n">
        <v>237600</v>
      </c>
      <c r="M175" s="8" t="n">
        <v>38215.6201827002</v>
      </c>
      <c r="N175" s="8" t="n">
        <v>275152.465315441</v>
      </c>
      <c r="O175" s="12"/>
      <c r="P175" s="6" t="s">
        <v>1119</v>
      </c>
    </row>
    <row r="176" customFormat="false" ht="15" hidden="false" customHeight="false" outlineLevel="0" collapsed="false">
      <c r="A176" s="74" t="s">
        <v>2626</v>
      </c>
      <c r="B176" s="74" t="s">
        <v>1311</v>
      </c>
      <c r="C176" s="74" t="s">
        <v>2642</v>
      </c>
      <c r="D176" s="8" t="n">
        <v>33000</v>
      </c>
      <c r="E176" s="74" t="s">
        <v>1016</v>
      </c>
      <c r="F176" s="74" t="s">
        <v>2643</v>
      </c>
      <c r="G176" s="53" t="str">
        <f aca="false">INDEX(I_Items!$D$5:$D$133,MATCH($E176,I_Items!$A$5:$A$133,0))&amp;""</f>
        <v>Karkas</v>
      </c>
      <c r="H176" s="53" t="str">
        <f aca="false">INDEX(I_Items!$F$5:$F$133,MATCH($E176,I_Items!$A$5:$A$133,0))&amp;""</f>
        <v>Frozen</v>
      </c>
      <c r="I176" s="53" t="str">
        <f aca="false">INDEX(I_Items!$E$5:$E$133,MATCH($E176,I_Items!$A$5:$A$133,0))&amp;""</f>
        <v>Uk 0.6</v>
      </c>
      <c r="J176" s="84" t="n">
        <v>42.2</v>
      </c>
      <c r="K176" s="93" t="n">
        <v>0.00542374624064982</v>
      </c>
      <c r="L176" s="8" t="n">
        <v>1392600</v>
      </c>
      <c r="M176" s="8" t="n">
        <v>38215.6201827002</v>
      </c>
      <c r="N176" s="8" t="n">
        <v>1612699.17170995</v>
      </c>
      <c r="O176" s="12"/>
      <c r="P176" s="6" t="s">
        <v>1119</v>
      </c>
    </row>
    <row r="177" customFormat="false" ht="15" hidden="false" customHeight="false" outlineLevel="0" collapsed="false">
      <c r="A177" s="74" t="s">
        <v>2626</v>
      </c>
      <c r="B177" s="74" t="s">
        <v>1311</v>
      </c>
      <c r="C177" s="74" t="s">
        <v>2644</v>
      </c>
      <c r="D177" s="8" t="n">
        <v>33000</v>
      </c>
      <c r="E177" s="74" t="s">
        <v>1017</v>
      </c>
      <c r="F177" s="74" t="s">
        <v>2645</v>
      </c>
      <c r="G177" s="53" t="str">
        <f aca="false">INDEX(I_Items!$D$5:$D$133,MATCH($E177,I_Items!$A$5:$A$133,0))&amp;""</f>
        <v>Karkas</v>
      </c>
      <c r="H177" s="53" t="str">
        <f aca="false">INDEX(I_Items!$F$5:$F$133,MATCH($E177,I_Items!$A$5:$A$133,0))&amp;""</f>
        <v>Frozen</v>
      </c>
      <c r="I177" s="53" t="str">
        <f aca="false">INDEX(I_Items!$E$5:$E$133,MATCH($E177,I_Items!$A$5:$A$133,0))&amp;""</f>
        <v>Uk 0.7</v>
      </c>
      <c r="J177" s="84" t="n">
        <v>152.5</v>
      </c>
      <c r="K177" s="93" t="n">
        <v>0.0196000308459502</v>
      </c>
      <c r="L177" s="8" t="n">
        <v>5032500</v>
      </c>
      <c r="M177" s="8" t="n">
        <v>38215.6201827002</v>
      </c>
      <c r="N177" s="8" t="n">
        <v>5827882.07786178</v>
      </c>
      <c r="O177" s="12"/>
      <c r="P177" s="6" t="s">
        <v>1119</v>
      </c>
    </row>
    <row r="178" customFormat="false" ht="15" hidden="false" customHeight="false" outlineLevel="0" collapsed="false">
      <c r="A178" s="74" t="s">
        <v>2626</v>
      </c>
      <c r="B178" s="74" t="s">
        <v>1311</v>
      </c>
      <c r="C178" s="74" t="s">
        <v>2646</v>
      </c>
      <c r="D178" s="8" t="n">
        <v>33000</v>
      </c>
      <c r="E178" s="74" t="s">
        <v>1014</v>
      </c>
      <c r="F178" s="74" t="s">
        <v>2647</v>
      </c>
      <c r="G178" s="53" t="str">
        <f aca="false">INDEX(I_Items!$D$5:$D$133,MATCH($E178,I_Items!$A$5:$A$133,0))&amp;""</f>
        <v>Karkas</v>
      </c>
      <c r="H178" s="53" t="str">
        <f aca="false">INDEX(I_Items!$F$5:$F$133,MATCH($E178,I_Items!$A$5:$A$133,0))&amp;""</f>
        <v>Frozen</v>
      </c>
      <c r="I178" s="53" t="str">
        <f aca="false">INDEX(I_Items!$E$5:$E$133,MATCH($E178,I_Items!$A$5:$A$133,0))&amp;""</f>
        <v>Uk 0.8</v>
      </c>
      <c r="J178" s="84" t="n">
        <v>380.9</v>
      </c>
      <c r="K178" s="93" t="n">
        <v>0.0489550934375241</v>
      </c>
      <c r="L178" s="8" t="n">
        <v>12569700</v>
      </c>
      <c r="M178" s="8" t="n">
        <v>38215.6201827002</v>
      </c>
      <c r="N178" s="8" t="n">
        <v>14556329.7275905</v>
      </c>
      <c r="O178" s="12"/>
      <c r="P178" s="6" t="s">
        <v>1119</v>
      </c>
    </row>
    <row r="179" customFormat="false" ht="15" hidden="false" customHeight="false" outlineLevel="0" collapsed="false">
      <c r="A179" s="74" t="s">
        <v>2626</v>
      </c>
      <c r="B179" s="74" t="s">
        <v>1311</v>
      </c>
      <c r="C179" s="74" t="s">
        <v>2648</v>
      </c>
      <c r="D179" s="8" t="n">
        <v>33000</v>
      </c>
      <c r="E179" s="74" t="s">
        <v>1013</v>
      </c>
      <c r="F179" s="74" t="s">
        <v>2718</v>
      </c>
      <c r="G179" s="53" t="str">
        <f aca="false">INDEX(I_Items!$D$5:$D$133,MATCH($E179,I_Items!$A$5:$A$133,0))&amp;""</f>
        <v>Karkas</v>
      </c>
      <c r="H179" s="53" t="str">
        <f aca="false">INDEX(I_Items!$F$5:$F$133,MATCH($E179,I_Items!$A$5:$A$133,0))&amp;""</f>
        <v>Frozen</v>
      </c>
      <c r="I179" s="53" t="str">
        <f aca="false">INDEX(I_Items!$E$5:$E$133,MATCH($E179,I_Items!$A$5:$A$133,0))&amp;""</f>
        <v>Uk 0.9</v>
      </c>
      <c r="J179" s="84" t="n">
        <v>806.6</v>
      </c>
      <c r="K179" s="93" t="n">
        <v>0.103668097576022</v>
      </c>
      <c r="L179" s="8" t="n">
        <v>26617800</v>
      </c>
      <c r="M179" s="8" t="n">
        <v>38215.6201827002</v>
      </c>
      <c r="N179" s="8" t="n">
        <v>30824719.239366</v>
      </c>
      <c r="O179" s="12"/>
      <c r="P179" s="6" t="s">
        <v>1119</v>
      </c>
    </row>
    <row r="180" customFormat="false" ht="15" hidden="false" customHeight="false" outlineLevel="0" collapsed="false">
      <c r="A180" s="74" t="s">
        <v>2626</v>
      </c>
      <c r="B180" s="74" t="s">
        <v>1311</v>
      </c>
      <c r="C180" s="74" t="s">
        <v>2650</v>
      </c>
      <c r="D180" s="8" t="n">
        <v>33000</v>
      </c>
      <c r="E180" s="74" t="s">
        <v>978</v>
      </c>
      <c r="F180" s="74" t="s">
        <v>2651</v>
      </c>
      <c r="G180" s="53" t="str">
        <f aca="false">INDEX(I_Items!$D$5:$D$133,MATCH($E180,I_Items!$A$5:$A$133,0))&amp;""</f>
        <v>Karkas</v>
      </c>
      <c r="H180" s="53" t="str">
        <f aca="false">INDEX(I_Items!$F$5:$F$133,MATCH($E180,I_Items!$A$5:$A$133,0))&amp;""</f>
        <v>Fresh</v>
      </c>
      <c r="I180" s="53" t="str">
        <f aca="false">INDEX(I_Items!$E$5:$E$133,MATCH($E180,I_Items!$A$5:$A$133,0))&amp;""</f>
        <v>Uk 1.0</v>
      </c>
      <c r="J180" s="84" t="n">
        <v>1262.5</v>
      </c>
      <c r="K180" s="93" t="n">
        <v>0.162262550445981</v>
      </c>
      <c r="L180" s="8" t="n">
        <v>41662500</v>
      </c>
      <c r="M180" s="8" t="n">
        <v>38215.6201827002</v>
      </c>
      <c r="N180" s="8" t="n">
        <v>48247220.480659</v>
      </c>
      <c r="O180" s="12"/>
      <c r="P180" s="6" t="s">
        <v>1119</v>
      </c>
    </row>
    <row r="181" customFormat="false" ht="15" hidden="false" customHeight="false" outlineLevel="0" collapsed="false">
      <c r="A181" s="74" t="s">
        <v>2626</v>
      </c>
      <c r="B181" s="74" t="s">
        <v>1311</v>
      </c>
      <c r="C181" s="74" t="s">
        <v>2652</v>
      </c>
      <c r="D181" s="8" t="n">
        <v>33000</v>
      </c>
      <c r="E181" s="74" t="s">
        <v>984</v>
      </c>
      <c r="F181" s="74" t="s">
        <v>2690</v>
      </c>
      <c r="G181" s="53" t="str">
        <f aca="false">INDEX(I_Items!$D$5:$D$133,MATCH($E181,I_Items!$A$5:$A$133,0))&amp;""</f>
        <v>Karkas</v>
      </c>
      <c r="H181" s="53" t="str">
        <f aca="false">INDEX(I_Items!$F$5:$F$133,MATCH($E181,I_Items!$A$5:$A$133,0))&amp;""</f>
        <v>Frozen</v>
      </c>
      <c r="I181" s="53" t="str">
        <f aca="false">INDEX(I_Items!$E$5:$E$133,MATCH($E181,I_Items!$A$5:$A$133,0))&amp;""</f>
        <v>Uk 1.1</v>
      </c>
      <c r="J181" s="84" t="n">
        <v>1190</v>
      </c>
      <c r="K181" s="93" t="n">
        <v>0.152944502994628</v>
      </c>
      <c r="L181" s="8" t="n">
        <v>39270000</v>
      </c>
      <c r="M181" s="8" t="n">
        <v>38215.6201827002</v>
      </c>
      <c r="N181" s="8" t="n">
        <v>45476588.0174132</v>
      </c>
      <c r="O181" s="12"/>
      <c r="P181" s="6" t="s">
        <v>1119</v>
      </c>
    </row>
    <row r="182" customFormat="false" ht="15" hidden="false" customHeight="false" outlineLevel="0" collapsed="false">
      <c r="A182" s="74" t="s">
        <v>2626</v>
      </c>
      <c r="B182" s="74" t="s">
        <v>1311</v>
      </c>
      <c r="C182" s="74" t="s">
        <v>2654</v>
      </c>
      <c r="D182" s="8" t="n">
        <v>33000</v>
      </c>
      <c r="E182" s="74" t="s">
        <v>988</v>
      </c>
      <c r="F182" s="74" t="s">
        <v>2691</v>
      </c>
      <c r="G182" s="53" t="str">
        <f aca="false">INDEX(I_Items!$D$5:$D$133,MATCH($E182,I_Items!$A$5:$A$133,0))&amp;""</f>
        <v>Karkas</v>
      </c>
      <c r="H182" s="53" t="str">
        <f aca="false">INDEX(I_Items!$F$5:$F$133,MATCH($E182,I_Items!$A$5:$A$133,0))&amp;""</f>
        <v>Frozen</v>
      </c>
      <c r="I182" s="53" t="str">
        <f aca="false">INDEX(I_Items!$E$5:$E$133,MATCH($E182,I_Items!$A$5:$A$133,0))&amp;""</f>
        <v>Uk 1.2</v>
      </c>
      <c r="J182" s="84" t="n">
        <v>725.3</v>
      </c>
      <c r="K182" s="93" t="n">
        <v>0.0932190319512634</v>
      </c>
      <c r="L182" s="8" t="n">
        <v>23934900</v>
      </c>
      <c r="M182" s="8" t="n">
        <v>38215.6201827002</v>
      </c>
      <c r="N182" s="8" t="n">
        <v>27717789.3185124</v>
      </c>
      <c r="O182" s="12"/>
      <c r="P182" s="6" t="s">
        <v>1119</v>
      </c>
    </row>
    <row r="183" customFormat="false" ht="15" hidden="false" customHeight="false" outlineLevel="0" collapsed="false">
      <c r="A183" s="74" t="s">
        <v>2626</v>
      </c>
      <c r="B183" s="74" t="s">
        <v>1311</v>
      </c>
      <c r="C183" s="74" t="s">
        <v>2656</v>
      </c>
      <c r="D183" s="8" t="n">
        <v>33000</v>
      </c>
      <c r="E183" s="74" t="s">
        <v>992</v>
      </c>
      <c r="F183" s="74" t="s">
        <v>2714</v>
      </c>
      <c r="G183" s="53" t="str">
        <f aca="false">INDEX(I_Items!$D$5:$D$133,MATCH($E183,I_Items!$A$5:$A$133,0))&amp;""</f>
        <v>Karkas</v>
      </c>
      <c r="H183" s="53" t="str">
        <f aca="false">INDEX(I_Items!$F$5:$F$133,MATCH($E183,I_Items!$A$5:$A$133,0))&amp;""</f>
        <v>Frozen</v>
      </c>
      <c r="I183" s="53" t="str">
        <f aca="false">INDEX(I_Items!$E$5:$E$133,MATCH($E183,I_Items!$A$5:$A$133,0))&amp;""</f>
        <v>Uk 1.3</v>
      </c>
      <c r="J183" s="84" t="n">
        <v>228.7</v>
      </c>
      <c r="K183" s="93" t="n">
        <v>0.0293936200293037</v>
      </c>
      <c r="L183" s="8" t="n">
        <v>7547100</v>
      </c>
      <c r="M183" s="8" t="n">
        <v>38215.6201827002</v>
      </c>
      <c r="N183" s="8" t="n">
        <v>8739912.33578353</v>
      </c>
      <c r="O183" s="12"/>
      <c r="P183" s="6" t="s">
        <v>1119</v>
      </c>
    </row>
    <row r="184" customFormat="false" ht="15" hidden="false" customHeight="false" outlineLevel="0" collapsed="false">
      <c r="A184" s="74" t="s">
        <v>2626</v>
      </c>
      <c r="B184" s="74" t="s">
        <v>1311</v>
      </c>
      <c r="C184" s="74" t="s">
        <v>2658</v>
      </c>
      <c r="D184" s="8" t="n">
        <v>33000</v>
      </c>
      <c r="E184" s="74" t="s">
        <v>995</v>
      </c>
      <c r="F184" s="74" t="s">
        <v>2715</v>
      </c>
      <c r="G184" s="53" t="str">
        <f aca="false">INDEX(I_Items!$D$5:$D$133,MATCH($E184,I_Items!$A$5:$A$133,0))&amp;""</f>
        <v>Karkas</v>
      </c>
      <c r="H184" s="53" t="str">
        <f aca="false">INDEX(I_Items!$F$5:$F$133,MATCH($E184,I_Items!$A$5:$A$133,0))&amp;""</f>
        <v>Frozen</v>
      </c>
      <c r="I184" s="53" t="str">
        <f aca="false">INDEX(I_Items!$E$5:$E$133,MATCH($E184,I_Items!$A$5:$A$133,0))&amp;""</f>
        <v>Uk 1.4</v>
      </c>
      <c r="J184" s="84" t="n">
        <v>42</v>
      </c>
      <c r="K184" s="93" t="n">
        <v>0.00539804128216333</v>
      </c>
      <c r="L184" s="8" t="n">
        <v>1386000</v>
      </c>
      <c r="M184" s="8" t="n">
        <v>38215.6201827002</v>
      </c>
      <c r="N184" s="8" t="n">
        <v>1605056.04767341</v>
      </c>
      <c r="O184" s="12"/>
      <c r="P184" s="6" t="s">
        <v>1119</v>
      </c>
    </row>
    <row r="185" customFormat="false" ht="15" hidden="false" customHeight="false" outlineLevel="0" collapsed="false">
      <c r="A185" s="74" t="s">
        <v>2626</v>
      </c>
      <c r="B185" s="74" t="s">
        <v>1311</v>
      </c>
      <c r="C185" s="74" t="s">
        <v>360</v>
      </c>
      <c r="D185" s="8" t="n">
        <v>24000</v>
      </c>
      <c r="E185" s="74" t="s">
        <v>961</v>
      </c>
      <c r="F185" s="74" t="s">
        <v>2712</v>
      </c>
      <c r="G185" s="53" t="str">
        <f aca="false">INDEX(I_Items!$D$5:$D$133,MATCH($E185,I_Items!$A$5:$A$133,0))&amp;""</f>
        <v>Lemak</v>
      </c>
      <c r="H185" s="53" t="str">
        <f aca="false">INDEX(I_Items!$F$5:$F$133,MATCH($E185,I_Items!$A$5:$A$133,0))&amp;""</f>
        <v>Frozen</v>
      </c>
      <c r="I185" s="53" t="str">
        <f aca="false">INDEX(I_Items!$E$5:$E$133,MATCH($E185,I_Items!$A$5:$A$133,0))&amp;""</f>
        <v/>
      </c>
      <c r="J185" s="84" t="n">
        <v>27.1</v>
      </c>
      <c r="K185" s="93" t="n">
        <v>0.00348302187491967</v>
      </c>
      <c r="L185" s="8" t="n">
        <v>650400</v>
      </c>
      <c r="M185" s="8" t="n">
        <v>27793.178314691</v>
      </c>
      <c r="N185" s="8" t="n">
        <v>753195.132328127</v>
      </c>
      <c r="O185" s="12"/>
      <c r="P185" s="6" t="s">
        <v>1119</v>
      </c>
    </row>
    <row r="186" customFormat="false" ht="15" hidden="false" customHeight="false" outlineLevel="0" collapsed="false">
      <c r="A186" s="74" t="s">
        <v>2626</v>
      </c>
      <c r="B186" s="74" t="s">
        <v>1311</v>
      </c>
      <c r="C186" s="74" t="s">
        <v>248</v>
      </c>
      <c r="D186" s="8" t="n">
        <v>12000</v>
      </c>
      <c r="E186" s="74" t="s">
        <v>950</v>
      </c>
      <c r="F186" s="74" t="s">
        <v>2661</v>
      </c>
      <c r="G186" s="53" t="str">
        <f aca="false">INDEX(I_Items!$D$5:$D$133,MATCH($E186,I_Items!$A$5:$A$133,0))&amp;""</f>
        <v>Kepala</v>
      </c>
      <c r="H186" s="53" t="str">
        <f aca="false">INDEX(I_Items!$F$5:$F$133,MATCH($E186,I_Items!$A$5:$A$133,0))&amp;""</f>
        <v>Fresh</v>
      </c>
      <c r="I186" s="53" t="str">
        <f aca="false">INDEX(I_Items!$E$5:$E$133,MATCH($E186,I_Items!$A$5:$A$133,0))&amp;""</f>
        <v/>
      </c>
      <c r="J186" s="84" t="n">
        <v>350.1</v>
      </c>
      <c r="K186" s="93" t="n">
        <v>0.0449965298306043</v>
      </c>
      <c r="L186" s="8" t="n">
        <v>4201200</v>
      </c>
      <c r="M186" s="8" t="n">
        <v>13896.5891573455</v>
      </c>
      <c r="N186" s="8" t="n">
        <v>4865195.86398666</v>
      </c>
      <c r="O186" s="12"/>
      <c r="P186" s="6" t="s">
        <v>1119</v>
      </c>
    </row>
    <row r="187" customFormat="false" ht="15" hidden="false" customHeight="false" outlineLevel="0" collapsed="false">
      <c r="A187" s="74" t="s">
        <v>2626</v>
      </c>
      <c r="B187" s="74" t="s">
        <v>1311</v>
      </c>
      <c r="C187" s="74" t="s">
        <v>242</v>
      </c>
      <c r="D187" s="8" t="n">
        <v>16000</v>
      </c>
      <c r="E187" s="74" t="s">
        <v>948</v>
      </c>
      <c r="F187" s="74" t="s">
        <v>2662</v>
      </c>
      <c r="G187" s="53" t="str">
        <f aca="false">INDEX(I_Items!$D$5:$D$133,MATCH($E187,I_Items!$A$5:$A$133,0))&amp;""</f>
        <v>Ceker</v>
      </c>
      <c r="H187" s="53" t="str">
        <f aca="false">INDEX(I_Items!$F$5:$F$133,MATCH($E187,I_Items!$A$5:$A$133,0))&amp;""</f>
        <v>Fresh</v>
      </c>
      <c r="I187" s="53" t="str">
        <f aca="false">INDEX(I_Items!$E$5:$E$133,MATCH($E187,I_Items!$A$5:$A$133,0))&amp;""</f>
        <v/>
      </c>
      <c r="J187" s="84" t="n">
        <v>210.5</v>
      </c>
      <c r="K187" s="93" t="n">
        <v>0.0270544688070329</v>
      </c>
      <c r="L187" s="8" t="n">
        <v>3368000</v>
      </c>
      <c r="M187" s="8" t="n">
        <v>18528.7855431274</v>
      </c>
      <c r="N187" s="8" t="n">
        <v>3900309.35682831</v>
      </c>
      <c r="O187" s="12"/>
      <c r="P187" s="6" t="s">
        <v>1119</v>
      </c>
    </row>
    <row r="188" customFormat="false" ht="15" hidden="false" customHeight="false" outlineLevel="0" collapsed="false">
      <c r="A188" s="74" t="s">
        <v>2626</v>
      </c>
      <c r="B188" s="74" t="s">
        <v>1311</v>
      </c>
      <c r="C188" s="74" t="s">
        <v>253</v>
      </c>
      <c r="D188" s="8" t="n">
        <v>5000</v>
      </c>
      <c r="E188" s="74" t="s">
        <v>953</v>
      </c>
      <c r="F188" s="74" t="s">
        <v>2682</v>
      </c>
      <c r="G188" s="53" t="str">
        <f aca="false">INDEX(I_Items!$D$5:$D$133,MATCH($E188,I_Items!$A$5:$A$133,0))&amp;""</f>
        <v>Usus</v>
      </c>
      <c r="H188" s="53" t="str">
        <f aca="false">INDEX(I_Items!$F$5:$F$133,MATCH($E188,I_Items!$A$5:$A$133,0))&amp;""</f>
        <v>Fresh</v>
      </c>
      <c r="I188" s="53" t="str">
        <f aca="false">INDEX(I_Items!$E$5:$E$133,MATCH($E188,I_Items!$A$5:$A$133,0))&amp;""</f>
        <v/>
      </c>
      <c r="J188" s="84" t="n">
        <v>319.7</v>
      </c>
      <c r="K188" s="93" t="n">
        <v>0.0410893761406575</v>
      </c>
      <c r="L188" s="8" t="n">
        <v>1598500</v>
      </c>
      <c r="M188" s="8" t="n">
        <v>5790.2454822273</v>
      </c>
      <c r="N188" s="8" t="n">
        <v>1851141.48066807</v>
      </c>
      <c r="O188" s="12"/>
      <c r="P188" s="6" t="s">
        <v>1119</v>
      </c>
    </row>
    <row r="189" customFormat="false" ht="15" hidden="false" customHeight="false" outlineLevel="0" collapsed="false">
      <c r="A189" s="74" t="s">
        <v>2626</v>
      </c>
      <c r="B189" s="74" t="s">
        <v>1311</v>
      </c>
      <c r="C189" s="74" t="s">
        <v>2665</v>
      </c>
      <c r="D189" s="8" t="n">
        <v>5000</v>
      </c>
      <c r="E189" s="74" t="s">
        <v>949</v>
      </c>
      <c r="F189" s="74" t="s">
        <v>2666</v>
      </c>
      <c r="G189" s="53" t="str">
        <f aca="false">INDEX(I_Items!$D$5:$D$133,MATCH($E189,I_Items!$A$5:$A$133,0))&amp;""</f>
        <v>HJA (Hati/Jantung/Ampela)</v>
      </c>
      <c r="H189" s="53" t="str">
        <f aca="false">INDEX(I_Items!$F$5:$F$133,MATCH($E189,I_Items!$A$5:$A$133,0))&amp;""</f>
        <v>Fresh</v>
      </c>
      <c r="I189" s="53" t="str">
        <f aca="false">INDEX(I_Items!$E$5:$E$133,MATCH($E189,I_Items!$A$5:$A$133,0))&amp;""</f>
        <v/>
      </c>
      <c r="J189" s="84" t="n">
        <v>413.9</v>
      </c>
      <c r="K189" s="93" t="n">
        <v>0.0531964115877953</v>
      </c>
      <c r="L189" s="8" t="n">
        <v>2069500</v>
      </c>
      <c r="M189" s="8" t="n">
        <v>5790.2454822273</v>
      </c>
      <c r="N189" s="8" t="n">
        <v>2396582.60509388</v>
      </c>
      <c r="O189" s="12"/>
      <c r="P189" s="6" t="s">
        <v>1119</v>
      </c>
    </row>
    <row r="190" customFormat="false" ht="15" hidden="false" customHeight="false" outlineLevel="0" collapsed="false">
      <c r="A190" s="74" t="s">
        <v>2626</v>
      </c>
      <c r="B190" s="74" t="s">
        <v>1311</v>
      </c>
      <c r="C190" s="74" t="s">
        <v>2719</v>
      </c>
      <c r="D190" s="8" t="n">
        <v>30000</v>
      </c>
      <c r="E190" s="74" t="s">
        <v>971</v>
      </c>
      <c r="F190" s="74" t="s">
        <v>2720</v>
      </c>
      <c r="G190" s="53" t="str">
        <f aca="false">INDEX(I_Items!$D$5:$D$133,MATCH($E190,I_Items!$A$5:$A$133,0))&amp;""</f>
        <v>Karkas</v>
      </c>
      <c r="H190" s="53" t="str">
        <f aca="false">INDEX(I_Items!$F$5:$F$133,MATCH($E190,I_Items!$A$5:$A$133,0))&amp;""</f>
        <v>Frozen</v>
      </c>
      <c r="I190" s="53" t="str">
        <f aca="false">INDEX(I_Items!$E$5:$E$133,MATCH($E190,I_Items!$A$5:$A$133,0))&amp;""</f>
        <v>Uk 0.5</v>
      </c>
      <c r="J190" s="84" t="n">
        <v>12.9</v>
      </c>
      <c r="K190" s="93" t="n">
        <v>0.00165796982237874</v>
      </c>
      <c r="L190" s="8" t="n">
        <v>387000</v>
      </c>
      <c r="M190" s="8" t="n">
        <v>34741.4728933638</v>
      </c>
      <c r="N190" s="8" t="n">
        <v>448165.000324393</v>
      </c>
      <c r="O190" s="12"/>
      <c r="P190" s="6" t="s">
        <v>1119</v>
      </c>
    </row>
    <row r="191" customFormat="false" ht="15" hidden="false" customHeight="false" outlineLevel="0" collapsed="false">
      <c r="A191" s="74" t="s">
        <v>2626</v>
      </c>
      <c r="B191" s="74" t="s">
        <v>1311</v>
      </c>
      <c r="C191" s="74" t="s">
        <v>2667</v>
      </c>
      <c r="D191" s="8" t="n">
        <v>30000</v>
      </c>
      <c r="E191" s="74" t="s">
        <v>973</v>
      </c>
      <c r="F191" s="74" t="s">
        <v>2668</v>
      </c>
      <c r="G191" s="53" t="str">
        <f aca="false">INDEX(I_Items!$D$5:$D$133,MATCH($E191,I_Items!$A$5:$A$133,0))&amp;""</f>
        <v>Karkas</v>
      </c>
      <c r="H191" s="53" t="str">
        <f aca="false">INDEX(I_Items!$F$5:$F$133,MATCH($E191,I_Items!$A$5:$A$133,0))&amp;""</f>
        <v>Frozen</v>
      </c>
      <c r="I191" s="53" t="str">
        <f aca="false">INDEX(I_Items!$E$5:$E$133,MATCH($E191,I_Items!$A$5:$A$133,0))&amp;""</f>
        <v>Uk 0.7</v>
      </c>
      <c r="J191" s="84" t="n">
        <v>35.3</v>
      </c>
      <c r="K191" s="93" t="n">
        <v>0.00453692517286585</v>
      </c>
      <c r="L191" s="8" t="n">
        <v>1059000</v>
      </c>
      <c r="M191" s="8" t="n">
        <v>34741.4728933638</v>
      </c>
      <c r="N191" s="8" t="n">
        <v>1226373.99313574</v>
      </c>
      <c r="O191" s="12"/>
      <c r="P191" s="6" t="s">
        <v>1119</v>
      </c>
    </row>
    <row r="192" customFormat="false" ht="15" hidden="false" customHeight="false" outlineLevel="0" collapsed="false">
      <c r="A192" s="74" t="s">
        <v>2626</v>
      </c>
      <c r="B192" s="74" t="s">
        <v>1311</v>
      </c>
      <c r="C192" s="74" t="s">
        <v>2669</v>
      </c>
      <c r="D192" s="8" t="n">
        <v>30000</v>
      </c>
      <c r="E192" s="74" t="s">
        <v>974</v>
      </c>
      <c r="F192" s="74" t="s">
        <v>2670</v>
      </c>
      <c r="G192" s="53" t="str">
        <f aca="false">INDEX(I_Items!$D$5:$D$133,MATCH($E192,I_Items!$A$5:$A$133,0))&amp;""</f>
        <v>Karkas</v>
      </c>
      <c r="H192" s="53" t="str">
        <f aca="false">INDEX(I_Items!$F$5:$F$133,MATCH($E192,I_Items!$A$5:$A$133,0))&amp;""</f>
        <v>Frozen</v>
      </c>
      <c r="I192" s="53" t="str">
        <f aca="false">INDEX(I_Items!$E$5:$E$133,MATCH($E192,I_Items!$A$5:$A$133,0))&amp;""</f>
        <v>Uk 0.8</v>
      </c>
      <c r="J192" s="84" t="n">
        <v>46.2</v>
      </c>
      <c r="K192" s="93" t="n">
        <v>0.00593784541037966</v>
      </c>
      <c r="L192" s="8" t="n">
        <v>1386000</v>
      </c>
      <c r="M192" s="8" t="n">
        <v>34741.4728933638</v>
      </c>
      <c r="N192" s="8" t="n">
        <v>1605056.04767341</v>
      </c>
      <c r="O192" s="12"/>
      <c r="P192" s="6" t="s">
        <v>1119</v>
      </c>
    </row>
    <row r="193" customFormat="false" ht="15" hidden="false" customHeight="false" outlineLevel="0" collapsed="false">
      <c r="A193" s="74" t="s">
        <v>2626</v>
      </c>
      <c r="B193" s="74" t="s">
        <v>1311</v>
      </c>
      <c r="C193" s="74" t="s">
        <v>2671</v>
      </c>
      <c r="D193" s="8" t="n">
        <v>30000</v>
      </c>
      <c r="E193" s="74" t="s">
        <v>976</v>
      </c>
      <c r="F193" s="74" t="s">
        <v>2672</v>
      </c>
      <c r="G193" s="53" t="str">
        <f aca="false">INDEX(I_Items!$D$5:$D$133,MATCH($E193,I_Items!$A$5:$A$133,0))&amp;""</f>
        <v>Karkas</v>
      </c>
      <c r="H193" s="53" t="str">
        <f aca="false">INDEX(I_Items!$F$5:$F$133,MATCH($E193,I_Items!$A$5:$A$133,0))&amp;""</f>
        <v>Frozen</v>
      </c>
      <c r="I193" s="53" t="str">
        <f aca="false">INDEX(I_Items!$E$5:$E$133,MATCH($E193,I_Items!$A$5:$A$133,0))&amp;""</f>
        <v>Uk 0.9</v>
      </c>
      <c r="J193" s="84" t="n">
        <v>74.3</v>
      </c>
      <c r="K193" s="93" t="n">
        <v>0.00954939207773179</v>
      </c>
      <c r="L193" s="8" t="n">
        <v>2229000</v>
      </c>
      <c r="M193" s="8" t="n">
        <v>34741.4728933638</v>
      </c>
      <c r="N193" s="8" t="n">
        <v>2581291.43597693</v>
      </c>
      <c r="O193" s="12"/>
      <c r="P193" s="6" t="s">
        <v>1119</v>
      </c>
    </row>
    <row r="194" customFormat="false" ht="15" hidden="false" customHeight="false" outlineLevel="0" collapsed="false">
      <c r="A194" s="74" t="s">
        <v>2626</v>
      </c>
      <c r="B194" s="74" t="s">
        <v>1311</v>
      </c>
      <c r="C194" s="74" t="s">
        <v>2673</v>
      </c>
      <c r="D194" s="8" t="n">
        <v>30000</v>
      </c>
      <c r="E194" s="74" t="s">
        <v>979</v>
      </c>
      <c r="F194" s="74" t="s">
        <v>2685</v>
      </c>
      <c r="G194" s="53" t="str">
        <f aca="false">INDEX(I_Items!$D$5:$D$133,MATCH($E194,I_Items!$A$5:$A$133,0))&amp;""</f>
        <v>Karkas</v>
      </c>
      <c r="H194" s="53" t="str">
        <f aca="false">INDEX(I_Items!$F$5:$F$133,MATCH($E194,I_Items!$A$5:$A$133,0))&amp;""</f>
        <v>Frozen</v>
      </c>
      <c r="I194" s="53" t="str">
        <f aca="false">INDEX(I_Items!$E$5:$E$133,MATCH($E194,I_Items!$A$5:$A$133,0))&amp;""</f>
        <v>Uk 1.0</v>
      </c>
      <c r="J194" s="84" t="n">
        <v>108</v>
      </c>
      <c r="K194" s="93" t="n">
        <v>0.0138806775827057</v>
      </c>
      <c r="L194" s="8" t="n">
        <v>3240000</v>
      </c>
      <c r="M194" s="8" t="n">
        <v>34741.4728933638</v>
      </c>
      <c r="N194" s="8" t="n">
        <v>3752079.07248329</v>
      </c>
      <c r="O194" s="12"/>
      <c r="P194" s="6" t="s">
        <v>1119</v>
      </c>
    </row>
    <row r="195" customFormat="false" ht="15" hidden="false" customHeight="false" outlineLevel="0" collapsed="false">
      <c r="A195" s="74" t="s">
        <v>2626</v>
      </c>
      <c r="B195" s="74" t="s">
        <v>1311</v>
      </c>
      <c r="C195" s="74" t="s">
        <v>2674</v>
      </c>
      <c r="D195" s="8" t="n">
        <v>30000</v>
      </c>
      <c r="E195" s="74" t="s">
        <v>983</v>
      </c>
      <c r="F195" s="74" t="s">
        <v>2686</v>
      </c>
      <c r="G195" s="53" t="str">
        <f aca="false">INDEX(I_Items!$D$5:$D$133,MATCH($E195,I_Items!$A$5:$A$133,0))&amp;""</f>
        <v>Karkas</v>
      </c>
      <c r="H195" s="53" t="str">
        <f aca="false">INDEX(I_Items!$F$5:$F$133,MATCH($E195,I_Items!$A$5:$A$133,0))&amp;""</f>
        <v>Frozen</v>
      </c>
      <c r="I195" s="53" t="str">
        <f aca="false">INDEX(I_Items!$E$5:$E$133,MATCH($E195,I_Items!$A$5:$A$133,0))&amp;""</f>
        <v>Uk 1.1</v>
      </c>
      <c r="J195" s="84" t="n">
        <v>121.2</v>
      </c>
      <c r="K195" s="93" t="n">
        <v>0.0155772048428142</v>
      </c>
      <c r="L195" s="8" t="n">
        <v>3636000</v>
      </c>
      <c r="M195" s="8" t="n">
        <v>34741.4728933638</v>
      </c>
      <c r="N195" s="8" t="n">
        <v>4210666.51467569</v>
      </c>
      <c r="O195" s="12"/>
      <c r="P195" s="6" t="s">
        <v>1119</v>
      </c>
    </row>
    <row r="196" customFormat="false" ht="15" hidden="false" customHeight="false" outlineLevel="0" collapsed="false">
      <c r="A196" s="74" t="s">
        <v>2626</v>
      </c>
      <c r="B196" s="74" t="s">
        <v>1311</v>
      </c>
      <c r="C196" s="74" t="s">
        <v>2676</v>
      </c>
      <c r="D196" s="8" t="n">
        <v>30000</v>
      </c>
      <c r="E196" s="74" t="s">
        <v>987</v>
      </c>
      <c r="F196" s="74" t="s">
        <v>2687</v>
      </c>
      <c r="G196" s="53" t="str">
        <f aca="false">INDEX(I_Items!$D$5:$D$133,MATCH($E196,I_Items!$A$5:$A$133,0))&amp;""</f>
        <v>Karkas</v>
      </c>
      <c r="H196" s="53" t="str">
        <f aca="false">INDEX(I_Items!$F$5:$F$133,MATCH($E196,I_Items!$A$5:$A$133,0))&amp;""</f>
        <v>Frozen</v>
      </c>
      <c r="I196" s="53" t="str">
        <f aca="false">INDEX(I_Items!$E$5:$E$133,MATCH($E196,I_Items!$A$5:$A$133,0))&amp;""</f>
        <v>Uk 1.2</v>
      </c>
      <c r="J196" s="84" t="n">
        <v>78.8</v>
      </c>
      <c r="K196" s="93" t="n">
        <v>0.0101277536436779</v>
      </c>
      <c r="L196" s="8" t="n">
        <v>2364000</v>
      </c>
      <c r="M196" s="8" t="n">
        <v>34741.4728933638</v>
      </c>
      <c r="N196" s="8" t="n">
        <v>2737628.06399707</v>
      </c>
      <c r="O196" s="12"/>
      <c r="P196" s="6" t="s">
        <v>1119</v>
      </c>
    </row>
    <row r="197" customFormat="false" ht="15" hidden="false" customHeight="false" outlineLevel="0" collapsed="false">
      <c r="A197" s="74" t="s">
        <v>2626</v>
      </c>
      <c r="B197" s="74" t="s">
        <v>1311</v>
      </c>
      <c r="C197" s="74" t="s">
        <v>2678</v>
      </c>
      <c r="D197" s="8" t="n">
        <v>30000</v>
      </c>
      <c r="E197" s="74" t="s">
        <v>991</v>
      </c>
      <c r="F197" s="74" t="s">
        <v>2688</v>
      </c>
      <c r="G197" s="53" t="str">
        <f aca="false">INDEX(I_Items!$D$5:$D$133,MATCH($E197,I_Items!$A$5:$A$133,0))&amp;""</f>
        <v>Karkas</v>
      </c>
      <c r="H197" s="53" t="str">
        <f aca="false">INDEX(I_Items!$F$5:$F$133,MATCH($E197,I_Items!$A$5:$A$133,0))&amp;""</f>
        <v>Frozen</v>
      </c>
      <c r="I197" s="53" t="str">
        <f aca="false">INDEX(I_Items!$E$5:$E$133,MATCH($E197,I_Items!$A$5:$A$133,0))&amp;""</f>
        <v>Uk 1.3</v>
      </c>
      <c r="J197" s="84" t="n">
        <v>17.7</v>
      </c>
      <c r="K197" s="93" t="n">
        <v>0.00227488882605455</v>
      </c>
      <c r="L197" s="8" t="n">
        <v>531000</v>
      </c>
      <c r="M197" s="8" t="n">
        <v>34741.4728933638</v>
      </c>
      <c r="N197" s="8" t="n">
        <v>614924.070212539</v>
      </c>
      <c r="O197" s="12"/>
      <c r="P197" s="6" t="s">
        <v>1119</v>
      </c>
    </row>
    <row r="198" customFormat="false" ht="15" hidden="false" customHeight="false" outlineLevel="0" collapsed="false">
      <c r="A198" s="74" t="s">
        <v>2626</v>
      </c>
      <c r="B198" s="74" t="s">
        <v>1311</v>
      </c>
      <c r="C198" s="74" t="s">
        <v>2680</v>
      </c>
      <c r="D198" s="8" t="n">
        <v>30000</v>
      </c>
      <c r="E198" s="74" t="s">
        <v>994</v>
      </c>
      <c r="F198" s="74" t="s">
        <v>2681</v>
      </c>
      <c r="G198" s="53" t="str">
        <f aca="false">INDEX(I_Items!$D$5:$D$133,MATCH($E198,I_Items!$A$5:$A$133,0))&amp;""</f>
        <v>Karkas</v>
      </c>
      <c r="H198" s="53" t="str">
        <f aca="false">INDEX(I_Items!$F$5:$F$133,MATCH($E198,I_Items!$A$5:$A$133,0))&amp;""</f>
        <v>Frozen</v>
      </c>
      <c r="I198" s="53" t="str">
        <f aca="false">INDEX(I_Items!$E$5:$E$133,MATCH($E198,I_Items!$A$5:$A$133,0))&amp;""</f>
        <v>Uk 1.4</v>
      </c>
      <c r="J198" s="84" t="n">
        <v>4.4</v>
      </c>
      <c r="K198" s="93" t="n">
        <v>0.000565509086702825</v>
      </c>
      <c r="L198" s="8" t="n">
        <v>132000</v>
      </c>
      <c r="M198" s="8" t="n">
        <v>34741.4728933638</v>
      </c>
      <c r="N198" s="8" t="n">
        <v>152862.480730801</v>
      </c>
      <c r="O198" s="12"/>
      <c r="P198" s="6" t="s">
        <v>1119</v>
      </c>
    </row>
    <row r="199" customFormat="false" ht="15" hidden="false" customHeight="false" outlineLevel="0" collapsed="false">
      <c r="A199" s="74" t="s">
        <v>2627</v>
      </c>
      <c r="B199" s="74" t="s">
        <v>1314</v>
      </c>
      <c r="C199" s="74" t="s">
        <v>2644</v>
      </c>
      <c r="D199" s="8" t="n">
        <v>33000</v>
      </c>
      <c r="E199" s="74" t="s">
        <v>1017</v>
      </c>
      <c r="F199" s="74" t="s">
        <v>2645</v>
      </c>
      <c r="G199" s="53" t="str">
        <f aca="false">INDEX(I_Items!$D$5:$D$133,MATCH($E199,I_Items!$A$5:$A$133,0))&amp;""</f>
        <v>Karkas</v>
      </c>
      <c r="H199" s="53" t="str">
        <f aca="false">INDEX(I_Items!$F$5:$F$133,MATCH($E199,I_Items!$A$5:$A$133,0))&amp;""</f>
        <v>Frozen</v>
      </c>
      <c r="I199" s="53" t="str">
        <f aca="false">INDEX(I_Items!$E$5:$E$133,MATCH($E199,I_Items!$A$5:$A$133,0))&amp;""</f>
        <v>Uk 0.7</v>
      </c>
      <c r="J199" s="84" t="n">
        <v>2.3</v>
      </c>
      <c r="K199" s="93" t="n">
        <v>0.000188345507550198</v>
      </c>
      <c r="L199" s="8" t="n">
        <v>75900</v>
      </c>
      <c r="M199" s="8" t="n">
        <v>36879.593306139</v>
      </c>
      <c r="N199" s="8" t="n">
        <v>84823.0646041197</v>
      </c>
      <c r="O199" s="12"/>
      <c r="P199" s="6" t="s">
        <v>1119</v>
      </c>
    </row>
    <row r="200" customFormat="false" ht="15" hidden="false" customHeight="false" outlineLevel="0" collapsed="false">
      <c r="A200" s="74" t="s">
        <v>2627</v>
      </c>
      <c r="B200" s="74" t="s">
        <v>1314</v>
      </c>
      <c r="C200" s="74" t="s">
        <v>2646</v>
      </c>
      <c r="D200" s="8" t="n">
        <v>33000</v>
      </c>
      <c r="E200" s="74" t="s">
        <v>1014</v>
      </c>
      <c r="F200" s="74" t="s">
        <v>2647</v>
      </c>
      <c r="G200" s="53" t="str">
        <f aca="false">INDEX(I_Items!$D$5:$D$133,MATCH($E200,I_Items!$A$5:$A$133,0))&amp;""</f>
        <v>Karkas</v>
      </c>
      <c r="H200" s="53" t="str">
        <f aca="false">INDEX(I_Items!$F$5:$F$133,MATCH($E200,I_Items!$A$5:$A$133,0))&amp;""</f>
        <v>Frozen</v>
      </c>
      <c r="I200" s="53" t="str">
        <f aca="false">INDEX(I_Items!$E$5:$E$133,MATCH($E200,I_Items!$A$5:$A$133,0))&amp;""</f>
        <v>Uk 0.8</v>
      </c>
      <c r="J200" s="84" t="n">
        <v>8</v>
      </c>
      <c r="K200" s="93" t="n">
        <v>0.000655114808870255</v>
      </c>
      <c r="L200" s="8" t="n">
        <v>264000</v>
      </c>
      <c r="M200" s="8" t="n">
        <v>36879.593306139</v>
      </c>
      <c r="N200" s="8" t="n">
        <v>295036.746449112</v>
      </c>
      <c r="O200" s="12"/>
      <c r="P200" s="6" t="s">
        <v>1119</v>
      </c>
    </row>
    <row r="201" customFormat="false" ht="15" hidden="false" customHeight="false" outlineLevel="0" collapsed="false">
      <c r="A201" s="74" t="s">
        <v>2627</v>
      </c>
      <c r="B201" s="74" t="s">
        <v>1314</v>
      </c>
      <c r="C201" s="74" t="s">
        <v>2648</v>
      </c>
      <c r="D201" s="8" t="n">
        <v>33000</v>
      </c>
      <c r="E201" s="74" t="s">
        <v>1013</v>
      </c>
      <c r="F201" s="74" t="s">
        <v>2718</v>
      </c>
      <c r="G201" s="53" t="str">
        <f aca="false">INDEX(I_Items!$D$5:$D$133,MATCH($E201,I_Items!$A$5:$A$133,0))&amp;""</f>
        <v>Karkas</v>
      </c>
      <c r="H201" s="53" t="str">
        <f aca="false">INDEX(I_Items!$F$5:$F$133,MATCH($E201,I_Items!$A$5:$A$133,0))&amp;""</f>
        <v>Frozen</v>
      </c>
      <c r="I201" s="53" t="str">
        <f aca="false">INDEX(I_Items!$E$5:$E$133,MATCH($E201,I_Items!$A$5:$A$133,0))&amp;""</f>
        <v>Uk 0.9</v>
      </c>
      <c r="J201" s="84" t="n">
        <v>81.2</v>
      </c>
      <c r="K201" s="93" t="n">
        <v>0.00664941531003308</v>
      </c>
      <c r="L201" s="8" t="n">
        <v>2679600</v>
      </c>
      <c r="M201" s="8" t="n">
        <v>36879.593306139</v>
      </c>
      <c r="N201" s="8" t="n">
        <v>2994622.97645849</v>
      </c>
      <c r="O201" s="12"/>
      <c r="P201" s="6" t="s">
        <v>1119</v>
      </c>
    </row>
    <row r="202" customFormat="false" ht="15" hidden="false" customHeight="false" outlineLevel="0" collapsed="false">
      <c r="A202" s="74" t="s">
        <v>2627</v>
      </c>
      <c r="B202" s="74" t="s">
        <v>1314</v>
      </c>
      <c r="C202" s="74" t="s">
        <v>2650</v>
      </c>
      <c r="D202" s="8" t="n">
        <v>33000</v>
      </c>
      <c r="E202" s="74" t="s">
        <v>980</v>
      </c>
      <c r="F202" s="74" t="s">
        <v>2689</v>
      </c>
      <c r="G202" s="53" t="str">
        <f aca="false">INDEX(I_Items!$D$5:$D$133,MATCH($E202,I_Items!$A$5:$A$133,0))&amp;""</f>
        <v>Karkas</v>
      </c>
      <c r="H202" s="53" t="str">
        <f aca="false">INDEX(I_Items!$F$5:$F$133,MATCH($E202,I_Items!$A$5:$A$133,0))&amp;""</f>
        <v>Frozen</v>
      </c>
      <c r="I202" s="53" t="str">
        <f aca="false">INDEX(I_Items!$E$5:$E$133,MATCH($E202,I_Items!$A$5:$A$133,0))&amp;""</f>
        <v>Uk 1.0</v>
      </c>
      <c r="J202" s="84" t="n">
        <v>402.8</v>
      </c>
      <c r="K202" s="93" t="n">
        <v>0.0329850306266173</v>
      </c>
      <c r="L202" s="8" t="n">
        <v>13292400</v>
      </c>
      <c r="M202" s="8" t="n">
        <v>36879.593306139</v>
      </c>
      <c r="N202" s="8" t="n">
        <v>14855100.1837128</v>
      </c>
      <c r="O202" s="12"/>
      <c r="P202" s="6" t="s">
        <v>1119</v>
      </c>
    </row>
    <row r="203" customFormat="false" ht="15" hidden="false" customHeight="false" outlineLevel="0" collapsed="false">
      <c r="A203" s="74" t="s">
        <v>2627</v>
      </c>
      <c r="B203" s="74" t="s">
        <v>1314</v>
      </c>
      <c r="C203" s="74" t="s">
        <v>2652</v>
      </c>
      <c r="D203" s="8" t="n">
        <v>33000</v>
      </c>
      <c r="E203" s="74" t="s">
        <v>984</v>
      </c>
      <c r="F203" s="74" t="s">
        <v>2690</v>
      </c>
      <c r="G203" s="53" t="str">
        <f aca="false">INDEX(I_Items!$D$5:$D$133,MATCH($E203,I_Items!$A$5:$A$133,0))&amp;""</f>
        <v>Karkas</v>
      </c>
      <c r="H203" s="53" t="str">
        <f aca="false">INDEX(I_Items!$F$5:$F$133,MATCH($E203,I_Items!$A$5:$A$133,0))&amp;""</f>
        <v>Frozen</v>
      </c>
      <c r="I203" s="53" t="str">
        <f aca="false">INDEX(I_Items!$E$5:$E$133,MATCH($E203,I_Items!$A$5:$A$133,0))&amp;""</f>
        <v>Uk 1.1</v>
      </c>
      <c r="J203" s="84" t="n">
        <v>1056.7</v>
      </c>
      <c r="K203" s="93" t="n">
        <v>0.0865324773166497</v>
      </c>
      <c r="L203" s="8" t="n">
        <v>34871100</v>
      </c>
      <c r="M203" s="8" t="n">
        <v>36879.593306139</v>
      </c>
      <c r="N203" s="8" t="n">
        <v>38970666.2465971</v>
      </c>
      <c r="O203" s="12"/>
      <c r="P203" s="6" t="s">
        <v>1119</v>
      </c>
    </row>
    <row r="204" customFormat="false" ht="15" hidden="false" customHeight="false" outlineLevel="0" collapsed="false">
      <c r="A204" s="74" t="s">
        <v>2627</v>
      </c>
      <c r="B204" s="74" t="s">
        <v>1314</v>
      </c>
      <c r="C204" s="74" t="s">
        <v>2654</v>
      </c>
      <c r="D204" s="8" t="n">
        <v>33000</v>
      </c>
      <c r="E204" s="74" t="s">
        <v>986</v>
      </c>
      <c r="F204" s="74" t="s">
        <v>2655</v>
      </c>
      <c r="G204" s="53" t="str">
        <f aca="false">INDEX(I_Items!$D$5:$D$133,MATCH($E204,I_Items!$A$5:$A$133,0))&amp;""</f>
        <v>Karkas</v>
      </c>
      <c r="H204" s="53" t="str">
        <f aca="false">INDEX(I_Items!$F$5:$F$133,MATCH($E204,I_Items!$A$5:$A$133,0))&amp;""</f>
        <v>Fresh</v>
      </c>
      <c r="I204" s="53" t="str">
        <f aca="false">INDEX(I_Items!$E$5:$E$133,MATCH($E204,I_Items!$A$5:$A$133,0))&amp;""</f>
        <v>Uk 1.2</v>
      </c>
      <c r="J204" s="84" t="n">
        <v>1742.5</v>
      </c>
      <c r="K204" s="93" t="n">
        <v>0.142692194307052</v>
      </c>
      <c r="L204" s="8" t="n">
        <v>57502500</v>
      </c>
      <c r="M204" s="8" t="n">
        <v>36879.593306139</v>
      </c>
      <c r="N204" s="8" t="n">
        <v>64262691.3359472</v>
      </c>
      <c r="O204" s="12"/>
      <c r="P204" s="6" t="s">
        <v>1119</v>
      </c>
    </row>
    <row r="205" customFormat="false" ht="15" hidden="false" customHeight="false" outlineLevel="0" collapsed="false">
      <c r="A205" s="74" t="s">
        <v>2627</v>
      </c>
      <c r="B205" s="74" t="s">
        <v>1314</v>
      </c>
      <c r="C205" s="74" t="s">
        <v>2656</v>
      </c>
      <c r="D205" s="8" t="n">
        <v>33000</v>
      </c>
      <c r="E205" s="74" t="s">
        <v>990</v>
      </c>
      <c r="F205" s="74" t="s">
        <v>2657</v>
      </c>
      <c r="G205" s="53" t="str">
        <f aca="false">INDEX(I_Items!$D$5:$D$133,MATCH($E205,I_Items!$A$5:$A$133,0))&amp;""</f>
        <v>Karkas</v>
      </c>
      <c r="H205" s="53" t="str">
        <f aca="false">INDEX(I_Items!$F$5:$F$133,MATCH($E205,I_Items!$A$5:$A$133,0))&amp;""</f>
        <v>Fresh</v>
      </c>
      <c r="I205" s="53" t="str">
        <f aca="false">INDEX(I_Items!$E$5:$E$133,MATCH($E205,I_Items!$A$5:$A$133,0))&amp;""</f>
        <v>Uk 1.3</v>
      </c>
      <c r="J205" s="84" t="n">
        <v>1826.1</v>
      </c>
      <c r="K205" s="93" t="n">
        <v>0.149538144059747</v>
      </c>
      <c r="L205" s="8" t="n">
        <v>60261300</v>
      </c>
      <c r="M205" s="8" t="n">
        <v>36879.593306139</v>
      </c>
      <c r="N205" s="8" t="n">
        <v>67345825.3363404</v>
      </c>
      <c r="O205" s="12"/>
      <c r="P205" s="6" t="s">
        <v>1119</v>
      </c>
    </row>
    <row r="206" customFormat="false" ht="15" hidden="false" customHeight="false" outlineLevel="0" collapsed="false">
      <c r="A206" s="74" t="s">
        <v>2627</v>
      </c>
      <c r="B206" s="74" t="s">
        <v>1314</v>
      </c>
      <c r="C206" s="74" t="s">
        <v>2658</v>
      </c>
      <c r="D206" s="8" t="n">
        <v>33000</v>
      </c>
      <c r="E206" s="74" t="s">
        <v>993</v>
      </c>
      <c r="F206" s="74" t="s">
        <v>2659</v>
      </c>
      <c r="G206" s="53" t="str">
        <f aca="false">INDEX(I_Items!$D$5:$D$133,MATCH($E206,I_Items!$A$5:$A$133,0))&amp;""</f>
        <v>Karkas</v>
      </c>
      <c r="H206" s="53" t="str">
        <f aca="false">INDEX(I_Items!$F$5:$F$133,MATCH($E206,I_Items!$A$5:$A$133,0))&amp;""</f>
        <v>Fresh</v>
      </c>
      <c r="I206" s="53" t="str">
        <f aca="false">INDEX(I_Items!$E$5:$E$133,MATCH($E206,I_Items!$A$5:$A$133,0))&amp;""</f>
        <v>Uk 1.4</v>
      </c>
      <c r="J206" s="84" t="n">
        <v>1517</v>
      </c>
      <c r="K206" s="93" t="n">
        <v>0.124226145632022</v>
      </c>
      <c r="L206" s="8" t="n">
        <v>50061000</v>
      </c>
      <c r="M206" s="8" t="n">
        <v>36879.593306139</v>
      </c>
      <c r="N206" s="8" t="n">
        <v>55946343.0454129</v>
      </c>
      <c r="O206" s="12"/>
      <c r="P206" s="6" t="s">
        <v>1119</v>
      </c>
    </row>
    <row r="207" customFormat="false" ht="15" hidden="false" customHeight="false" outlineLevel="0" collapsed="false">
      <c r="A207" s="74" t="s">
        <v>2627</v>
      </c>
      <c r="B207" s="74" t="s">
        <v>1314</v>
      </c>
      <c r="C207" s="74" t="s">
        <v>2692</v>
      </c>
      <c r="D207" s="8" t="n">
        <v>33000</v>
      </c>
      <c r="E207" s="74" t="s">
        <v>996</v>
      </c>
      <c r="F207" s="74" t="s">
        <v>2693</v>
      </c>
      <c r="G207" s="53" t="str">
        <f aca="false">INDEX(I_Items!$D$5:$D$133,MATCH($E207,I_Items!$A$5:$A$133,0))&amp;""</f>
        <v>Karkas</v>
      </c>
      <c r="H207" s="53" t="str">
        <f aca="false">INDEX(I_Items!$F$5:$F$133,MATCH($E207,I_Items!$A$5:$A$133,0))&amp;""</f>
        <v>Fresh</v>
      </c>
      <c r="I207" s="53" t="str">
        <f aca="false">INDEX(I_Items!$E$5:$E$133,MATCH($E207,I_Items!$A$5:$A$133,0))&amp;""</f>
        <v>Uk 1.5</v>
      </c>
      <c r="J207" s="84" t="n">
        <v>811.5</v>
      </c>
      <c r="K207" s="93" t="n">
        <v>0.0664532084247764</v>
      </c>
      <c r="L207" s="8" t="n">
        <v>26779500</v>
      </c>
      <c r="M207" s="8" t="n">
        <v>36879.593306139</v>
      </c>
      <c r="N207" s="8" t="n">
        <v>29927789.9679318</v>
      </c>
      <c r="O207" s="12"/>
      <c r="P207" s="6" t="s">
        <v>1119</v>
      </c>
    </row>
    <row r="208" customFormat="false" ht="15" hidden="false" customHeight="false" outlineLevel="0" collapsed="false">
      <c r="A208" s="74" t="s">
        <v>2627</v>
      </c>
      <c r="B208" s="74" t="s">
        <v>1314</v>
      </c>
      <c r="C208" s="74" t="s">
        <v>2694</v>
      </c>
      <c r="D208" s="8" t="n">
        <v>33000</v>
      </c>
      <c r="E208" s="74" t="s">
        <v>999</v>
      </c>
      <c r="F208" s="74" t="s">
        <v>2695</v>
      </c>
      <c r="G208" s="53" t="str">
        <f aca="false">INDEX(I_Items!$D$5:$D$133,MATCH($E208,I_Items!$A$5:$A$133,0))&amp;""</f>
        <v>Karkas</v>
      </c>
      <c r="H208" s="53" t="str">
        <f aca="false">INDEX(I_Items!$F$5:$F$133,MATCH($E208,I_Items!$A$5:$A$133,0))&amp;""</f>
        <v>Fresh</v>
      </c>
      <c r="I208" s="53" t="str">
        <f aca="false">INDEX(I_Items!$E$5:$E$133,MATCH($E208,I_Items!$A$5:$A$133,0))&amp;""</f>
        <v>Uk 1.6</v>
      </c>
      <c r="J208" s="84" t="n">
        <v>289.2</v>
      </c>
      <c r="K208" s="93" t="n">
        <v>0.0236824003406597</v>
      </c>
      <c r="L208" s="8" t="n">
        <v>9543600</v>
      </c>
      <c r="M208" s="8" t="n">
        <v>36879.593306139</v>
      </c>
      <c r="N208" s="8" t="n">
        <v>10665578.3841354</v>
      </c>
      <c r="O208" s="12"/>
      <c r="P208" s="6" t="s">
        <v>1119</v>
      </c>
    </row>
    <row r="209" customFormat="false" ht="15" hidden="false" customHeight="false" outlineLevel="0" collapsed="false">
      <c r="A209" s="74" t="s">
        <v>2627</v>
      </c>
      <c r="B209" s="74" t="s">
        <v>1314</v>
      </c>
      <c r="C209" s="74" t="s">
        <v>2696</v>
      </c>
      <c r="D209" s="8" t="n">
        <v>33000</v>
      </c>
      <c r="E209" s="74" t="s">
        <v>1004</v>
      </c>
      <c r="F209" s="74" t="s">
        <v>2697</v>
      </c>
      <c r="G209" s="53" t="str">
        <f aca="false">INDEX(I_Items!$D$5:$D$133,MATCH($E209,I_Items!$A$5:$A$133,0))&amp;""</f>
        <v>Karkas</v>
      </c>
      <c r="H209" s="53" t="str">
        <f aca="false">INDEX(I_Items!$F$5:$F$133,MATCH($E209,I_Items!$A$5:$A$133,0))&amp;""</f>
        <v>Frozen</v>
      </c>
      <c r="I209" s="53" t="str">
        <f aca="false">INDEX(I_Items!$E$5:$E$133,MATCH($E209,I_Items!$A$5:$A$133,0))&amp;""</f>
        <v>Uk 1.7</v>
      </c>
      <c r="J209" s="84" t="n">
        <v>110.6</v>
      </c>
      <c r="K209" s="93" t="n">
        <v>0.00905696223263127</v>
      </c>
      <c r="L209" s="8" t="n">
        <v>3649800</v>
      </c>
      <c r="M209" s="8" t="n">
        <v>36879.593306139</v>
      </c>
      <c r="N209" s="8" t="n">
        <v>4078883.01965897</v>
      </c>
      <c r="O209" s="12"/>
      <c r="P209" s="6" t="s">
        <v>1119</v>
      </c>
    </row>
    <row r="210" customFormat="false" ht="15" hidden="false" customHeight="false" outlineLevel="0" collapsed="false">
      <c r="A210" s="74" t="s">
        <v>2627</v>
      </c>
      <c r="B210" s="74" t="s">
        <v>1314</v>
      </c>
      <c r="C210" s="74" t="s">
        <v>360</v>
      </c>
      <c r="D210" s="8" t="n">
        <v>24000</v>
      </c>
      <c r="E210" s="74" t="s">
        <v>961</v>
      </c>
      <c r="F210" s="74" t="s">
        <v>2712</v>
      </c>
      <c r="G210" s="53" t="str">
        <f aca="false">INDEX(I_Items!$D$5:$D$133,MATCH($E210,I_Items!$A$5:$A$133,0))&amp;""</f>
        <v>Lemak</v>
      </c>
      <c r="H210" s="53" t="str">
        <f aca="false">INDEX(I_Items!$F$5:$F$133,MATCH($E210,I_Items!$A$5:$A$133,0))&amp;""</f>
        <v>Frozen</v>
      </c>
      <c r="I210" s="53" t="str">
        <f aca="false">INDEX(I_Items!$E$5:$E$133,MATCH($E210,I_Items!$A$5:$A$133,0))&amp;""</f>
        <v/>
      </c>
      <c r="J210" s="84" t="n">
        <v>43.3</v>
      </c>
      <c r="K210" s="93" t="n">
        <v>0.00354580890301025</v>
      </c>
      <c r="L210" s="8" t="n">
        <v>1039200</v>
      </c>
      <c r="M210" s="8" t="n">
        <v>26821.5224044647</v>
      </c>
      <c r="N210" s="8" t="n">
        <v>1161371.92011332</v>
      </c>
      <c r="O210" s="12"/>
      <c r="P210" s="6" t="s">
        <v>1119</v>
      </c>
    </row>
    <row r="211" customFormat="false" ht="15" hidden="false" customHeight="false" outlineLevel="0" collapsed="false">
      <c r="A211" s="74" t="s">
        <v>2627</v>
      </c>
      <c r="B211" s="74" t="s">
        <v>1314</v>
      </c>
      <c r="C211" s="74" t="s">
        <v>248</v>
      </c>
      <c r="D211" s="8" t="n">
        <v>12000</v>
      </c>
      <c r="E211" s="74" t="s">
        <v>950</v>
      </c>
      <c r="F211" s="74" t="s">
        <v>2661</v>
      </c>
      <c r="G211" s="53" t="str">
        <f aca="false">INDEX(I_Items!$D$5:$D$133,MATCH($E211,I_Items!$A$5:$A$133,0))&amp;""</f>
        <v>Kepala</v>
      </c>
      <c r="H211" s="53" t="str">
        <f aca="false">INDEX(I_Items!$F$5:$F$133,MATCH($E211,I_Items!$A$5:$A$133,0))&amp;""</f>
        <v>Fresh</v>
      </c>
      <c r="I211" s="53" t="str">
        <f aca="false">INDEX(I_Items!$E$5:$E$133,MATCH($E211,I_Items!$A$5:$A$133,0))&amp;""</f>
        <v/>
      </c>
      <c r="J211" s="84" t="n">
        <v>491.5</v>
      </c>
      <c r="K211" s="93" t="n">
        <v>0.0402486160699663</v>
      </c>
      <c r="L211" s="8" t="n">
        <v>5898000</v>
      </c>
      <c r="M211" s="8" t="n">
        <v>13410.7612022324</v>
      </c>
      <c r="N211" s="8" t="n">
        <v>6591389.1308972</v>
      </c>
      <c r="O211" s="12"/>
      <c r="P211" s="6" t="s">
        <v>1119</v>
      </c>
    </row>
    <row r="212" customFormat="false" ht="15" hidden="false" customHeight="false" outlineLevel="0" collapsed="false">
      <c r="A212" s="74" t="s">
        <v>2627</v>
      </c>
      <c r="B212" s="74" t="s">
        <v>1314</v>
      </c>
      <c r="C212" s="74" t="s">
        <v>242</v>
      </c>
      <c r="D212" s="8" t="n">
        <v>16000</v>
      </c>
      <c r="E212" s="74" t="s">
        <v>948</v>
      </c>
      <c r="F212" s="74" t="s">
        <v>2662</v>
      </c>
      <c r="G212" s="53" t="str">
        <f aca="false">INDEX(I_Items!$D$5:$D$133,MATCH($E212,I_Items!$A$5:$A$133,0))&amp;""</f>
        <v>Ceker</v>
      </c>
      <c r="H212" s="53" t="str">
        <f aca="false">INDEX(I_Items!$F$5:$F$133,MATCH($E212,I_Items!$A$5:$A$133,0))&amp;""</f>
        <v>Fresh</v>
      </c>
      <c r="I212" s="53" t="str">
        <f aca="false">INDEX(I_Items!$E$5:$E$133,MATCH($E212,I_Items!$A$5:$A$133,0))&amp;""</f>
        <v/>
      </c>
      <c r="J212" s="84" t="n">
        <v>307.8</v>
      </c>
      <c r="K212" s="93" t="n">
        <v>0.025205542271283</v>
      </c>
      <c r="L212" s="8" t="n">
        <v>4924800</v>
      </c>
      <c r="M212" s="8" t="n">
        <v>17881.0149363098</v>
      </c>
      <c r="N212" s="8" t="n">
        <v>5503776.39739616</v>
      </c>
      <c r="O212" s="12"/>
      <c r="P212" s="6" t="s">
        <v>1119</v>
      </c>
    </row>
    <row r="213" customFormat="false" ht="15" hidden="false" customHeight="false" outlineLevel="0" collapsed="false">
      <c r="A213" s="74" t="s">
        <v>2627</v>
      </c>
      <c r="B213" s="74" t="s">
        <v>1314</v>
      </c>
      <c r="C213" s="74" t="s">
        <v>253</v>
      </c>
      <c r="D213" s="8" t="n">
        <v>5000</v>
      </c>
      <c r="E213" s="74" t="s">
        <v>953</v>
      </c>
      <c r="F213" s="74" t="s">
        <v>2682</v>
      </c>
      <c r="G213" s="53" t="str">
        <f aca="false">INDEX(I_Items!$D$5:$D$133,MATCH($E213,I_Items!$A$5:$A$133,0))&amp;""</f>
        <v>Usus</v>
      </c>
      <c r="H213" s="53" t="str">
        <f aca="false">INDEX(I_Items!$F$5:$F$133,MATCH($E213,I_Items!$A$5:$A$133,0))&amp;""</f>
        <v>Fresh</v>
      </c>
      <c r="I213" s="53" t="str">
        <f aca="false">INDEX(I_Items!$E$5:$E$133,MATCH($E213,I_Items!$A$5:$A$133,0))&amp;""</f>
        <v/>
      </c>
      <c r="J213" s="84" t="n">
        <v>501.1</v>
      </c>
      <c r="K213" s="93" t="n">
        <v>0.0410347538406106</v>
      </c>
      <c r="L213" s="8" t="n">
        <v>2505500</v>
      </c>
      <c r="M213" s="8" t="n">
        <v>5587.81716759682</v>
      </c>
      <c r="N213" s="8" t="n">
        <v>2800055.18268277</v>
      </c>
      <c r="O213" s="12"/>
      <c r="P213" s="6" t="s">
        <v>1119</v>
      </c>
    </row>
    <row r="214" customFormat="false" ht="15" hidden="false" customHeight="false" outlineLevel="0" collapsed="false">
      <c r="A214" s="74" t="s">
        <v>2627</v>
      </c>
      <c r="B214" s="74" t="s">
        <v>1314</v>
      </c>
      <c r="C214" s="74" t="s">
        <v>2665</v>
      </c>
      <c r="D214" s="8" t="n">
        <v>5000</v>
      </c>
      <c r="E214" s="74" t="s">
        <v>949</v>
      </c>
      <c r="F214" s="74" t="s">
        <v>2666</v>
      </c>
      <c r="G214" s="53" t="str">
        <f aca="false">INDEX(I_Items!$D$5:$D$133,MATCH($E214,I_Items!$A$5:$A$133,0))&amp;""</f>
        <v>HJA (Hati/Jantung/Ampela)</v>
      </c>
      <c r="H214" s="53" t="str">
        <f aca="false">INDEX(I_Items!$F$5:$F$133,MATCH($E214,I_Items!$A$5:$A$133,0))&amp;""</f>
        <v>Fresh</v>
      </c>
      <c r="I214" s="53" t="str">
        <f aca="false">INDEX(I_Items!$E$5:$E$133,MATCH($E214,I_Items!$A$5:$A$133,0))&amp;""</f>
        <v/>
      </c>
      <c r="J214" s="84" t="n">
        <v>577</v>
      </c>
      <c r="K214" s="93" t="n">
        <v>0.0472501555897671</v>
      </c>
      <c r="L214" s="8" t="n">
        <v>2885000</v>
      </c>
      <c r="M214" s="8" t="n">
        <v>5587.81716759682</v>
      </c>
      <c r="N214" s="8" t="n">
        <v>3224170.50570336</v>
      </c>
      <c r="O214" s="12"/>
      <c r="P214" s="6" t="s">
        <v>1119</v>
      </c>
    </row>
    <row r="215" customFormat="false" ht="15" hidden="false" customHeight="false" outlineLevel="0" collapsed="false">
      <c r="A215" s="74" t="s">
        <v>2627</v>
      </c>
      <c r="B215" s="74" t="s">
        <v>1314</v>
      </c>
      <c r="C215" s="74" t="s">
        <v>2683</v>
      </c>
      <c r="D215" s="8" t="n">
        <v>30000</v>
      </c>
      <c r="E215" s="74" t="s">
        <v>972</v>
      </c>
      <c r="F215" s="74" t="s">
        <v>2684</v>
      </c>
      <c r="G215" s="53" t="str">
        <f aca="false">INDEX(I_Items!$D$5:$D$133,MATCH($E215,I_Items!$A$5:$A$133,0))&amp;""</f>
        <v>Karkas</v>
      </c>
      <c r="H215" s="53" t="str">
        <f aca="false">INDEX(I_Items!$F$5:$F$133,MATCH($E215,I_Items!$A$5:$A$133,0))&amp;""</f>
        <v>Frozen</v>
      </c>
      <c r="I215" s="53" t="str">
        <f aca="false">INDEX(I_Items!$E$5:$E$133,MATCH($E215,I_Items!$A$5:$A$133,0))&amp;""</f>
        <v>Uk 0.6</v>
      </c>
      <c r="J215" s="84" t="n">
        <v>1.3</v>
      </c>
      <c r="K215" s="93" t="n">
        <v>0.000106456156441416</v>
      </c>
      <c r="L215" s="8" t="n">
        <v>39000</v>
      </c>
      <c r="M215" s="8" t="n">
        <v>33526.9030055809</v>
      </c>
      <c r="N215" s="8" t="n">
        <v>43584.9739072552</v>
      </c>
      <c r="O215" s="12"/>
      <c r="P215" s="6" t="s">
        <v>1119</v>
      </c>
    </row>
    <row r="216" customFormat="false" ht="15" hidden="false" customHeight="false" outlineLevel="0" collapsed="false">
      <c r="A216" s="74" t="s">
        <v>2627</v>
      </c>
      <c r="B216" s="74" t="s">
        <v>1314</v>
      </c>
      <c r="C216" s="74" t="s">
        <v>2667</v>
      </c>
      <c r="D216" s="8" t="n">
        <v>30000</v>
      </c>
      <c r="E216" s="74" t="s">
        <v>973</v>
      </c>
      <c r="F216" s="74" t="s">
        <v>2668</v>
      </c>
      <c r="G216" s="53" t="str">
        <f aca="false">INDEX(I_Items!$D$5:$D$133,MATCH($E216,I_Items!$A$5:$A$133,0))&amp;""</f>
        <v>Karkas</v>
      </c>
      <c r="H216" s="53" t="str">
        <f aca="false">INDEX(I_Items!$F$5:$F$133,MATCH($E216,I_Items!$A$5:$A$133,0))&amp;""</f>
        <v>Frozen</v>
      </c>
      <c r="I216" s="53" t="str">
        <f aca="false">INDEX(I_Items!$E$5:$E$133,MATCH($E216,I_Items!$A$5:$A$133,0))&amp;""</f>
        <v>Uk 0.7</v>
      </c>
      <c r="J216" s="84" t="n">
        <v>6.3</v>
      </c>
      <c r="K216" s="93" t="n">
        <v>0.000515902911985325</v>
      </c>
      <c r="L216" s="8" t="n">
        <v>189000</v>
      </c>
      <c r="M216" s="8" t="n">
        <v>33526.9030055809</v>
      </c>
      <c r="N216" s="8" t="n">
        <v>211219.48893516</v>
      </c>
      <c r="O216" s="12"/>
      <c r="P216" s="6" t="s">
        <v>1119</v>
      </c>
    </row>
    <row r="217" customFormat="false" ht="15" hidden="false" customHeight="false" outlineLevel="0" collapsed="false">
      <c r="A217" s="74" t="s">
        <v>2627</v>
      </c>
      <c r="B217" s="74" t="s">
        <v>1314</v>
      </c>
      <c r="C217" s="74" t="s">
        <v>2671</v>
      </c>
      <c r="D217" s="8" t="n">
        <v>30000</v>
      </c>
      <c r="E217" s="74" t="s">
        <v>976</v>
      </c>
      <c r="F217" s="74" t="s">
        <v>2672</v>
      </c>
      <c r="G217" s="53" t="str">
        <f aca="false">INDEX(I_Items!$D$5:$D$133,MATCH($E217,I_Items!$A$5:$A$133,0))&amp;""</f>
        <v>Karkas</v>
      </c>
      <c r="H217" s="53" t="str">
        <f aca="false">INDEX(I_Items!$F$5:$F$133,MATCH($E217,I_Items!$A$5:$A$133,0))&amp;""</f>
        <v>Frozen</v>
      </c>
      <c r="I217" s="53" t="str">
        <f aca="false">INDEX(I_Items!$E$5:$E$133,MATCH($E217,I_Items!$A$5:$A$133,0))&amp;""</f>
        <v>Uk 0.9</v>
      </c>
      <c r="J217" s="84" t="n">
        <v>6.8</v>
      </c>
      <c r="K217" s="93" t="n">
        <v>0.000556847587539716</v>
      </c>
      <c r="L217" s="8" t="n">
        <v>204000</v>
      </c>
      <c r="M217" s="8" t="n">
        <v>33526.9030055809</v>
      </c>
      <c r="N217" s="8" t="n">
        <v>227982.94043795</v>
      </c>
      <c r="O217" s="12"/>
      <c r="P217" s="6" t="s">
        <v>1119</v>
      </c>
    </row>
    <row r="218" customFormat="false" ht="15" hidden="false" customHeight="false" outlineLevel="0" collapsed="false">
      <c r="A218" s="74" t="s">
        <v>2627</v>
      </c>
      <c r="B218" s="74" t="s">
        <v>1314</v>
      </c>
      <c r="C218" s="74" t="s">
        <v>2673</v>
      </c>
      <c r="D218" s="8" t="n">
        <v>30000</v>
      </c>
      <c r="E218" s="74" t="s">
        <v>979</v>
      </c>
      <c r="F218" s="74" t="s">
        <v>2685</v>
      </c>
      <c r="G218" s="53" t="str">
        <f aca="false">INDEX(I_Items!$D$5:$D$133,MATCH($E218,I_Items!$A$5:$A$133,0))&amp;""</f>
        <v>Karkas</v>
      </c>
      <c r="H218" s="53" t="str">
        <f aca="false">INDEX(I_Items!$F$5:$F$133,MATCH($E218,I_Items!$A$5:$A$133,0))&amp;""</f>
        <v>Frozen</v>
      </c>
      <c r="I218" s="53" t="str">
        <f aca="false">INDEX(I_Items!$E$5:$E$133,MATCH($E218,I_Items!$A$5:$A$133,0))&amp;""</f>
        <v>Uk 1.0</v>
      </c>
      <c r="J218" s="84" t="n">
        <v>44.3</v>
      </c>
      <c r="K218" s="93" t="n">
        <v>0.00362769825411903</v>
      </c>
      <c r="L218" s="8" t="n">
        <v>1329000</v>
      </c>
      <c r="M218" s="8" t="n">
        <v>33526.9030055809</v>
      </c>
      <c r="N218" s="8" t="n">
        <v>1485241.80314723</v>
      </c>
      <c r="O218" s="12"/>
      <c r="P218" s="6" t="s">
        <v>1119</v>
      </c>
    </row>
    <row r="219" customFormat="false" ht="15" hidden="false" customHeight="false" outlineLevel="0" collapsed="false">
      <c r="A219" s="74" t="s">
        <v>2627</v>
      </c>
      <c r="B219" s="74" t="s">
        <v>1314</v>
      </c>
      <c r="C219" s="74" t="s">
        <v>2674</v>
      </c>
      <c r="D219" s="8" t="n">
        <v>30000</v>
      </c>
      <c r="E219" s="74" t="s">
        <v>983</v>
      </c>
      <c r="F219" s="74" t="s">
        <v>2686</v>
      </c>
      <c r="G219" s="53" t="str">
        <f aca="false">INDEX(I_Items!$D$5:$D$133,MATCH($E219,I_Items!$A$5:$A$133,0))&amp;""</f>
        <v>Karkas</v>
      </c>
      <c r="H219" s="53" t="str">
        <f aca="false">INDEX(I_Items!$F$5:$F$133,MATCH($E219,I_Items!$A$5:$A$133,0))&amp;""</f>
        <v>Frozen</v>
      </c>
      <c r="I219" s="53" t="str">
        <f aca="false">INDEX(I_Items!$E$5:$E$133,MATCH($E219,I_Items!$A$5:$A$133,0))&amp;""</f>
        <v>Uk 1.1</v>
      </c>
      <c r="J219" s="84" t="n">
        <v>89.9</v>
      </c>
      <c r="K219" s="93" t="n">
        <v>0.00736185266467949</v>
      </c>
      <c r="L219" s="8" t="n">
        <v>2697000</v>
      </c>
      <c r="M219" s="8" t="n">
        <v>33526.9030055809</v>
      </c>
      <c r="N219" s="8" t="n">
        <v>3014068.58020172</v>
      </c>
      <c r="O219" s="12"/>
      <c r="P219" s="6" t="s">
        <v>1119</v>
      </c>
    </row>
    <row r="220" customFormat="false" ht="15" hidden="false" customHeight="false" outlineLevel="0" collapsed="false">
      <c r="A220" s="74" t="s">
        <v>2627</v>
      </c>
      <c r="B220" s="74" t="s">
        <v>1314</v>
      </c>
      <c r="C220" s="74" t="s">
        <v>2676</v>
      </c>
      <c r="D220" s="8" t="n">
        <v>30000</v>
      </c>
      <c r="E220" s="74" t="s">
        <v>987</v>
      </c>
      <c r="F220" s="74" t="s">
        <v>2687</v>
      </c>
      <c r="G220" s="53" t="str">
        <f aca="false">INDEX(I_Items!$D$5:$D$133,MATCH($E220,I_Items!$A$5:$A$133,0))&amp;""</f>
        <v>Karkas</v>
      </c>
      <c r="H220" s="53" t="str">
        <f aca="false">INDEX(I_Items!$F$5:$F$133,MATCH($E220,I_Items!$A$5:$A$133,0))&amp;""</f>
        <v>Frozen</v>
      </c>
      <c r="I220" s="53" t="str">
        <f aca="false">INDEX(I_Items!$E$5:$E$133,MATCH($E220,I_Items!$A$5:$A$133,0))&amp;""</f>
        <v>Uk 1.2</v>
      </c>
      <c r="J220" s="84" t="n">
        <v>127</v>
      </c>
      <c r="K220" s="93" t="n">
        <v>0.0103999475908153</v>
      </c>
      <c r="L220" s="8" t="n">
        <v>3810000</v>
      </c>
      <c r="M220" s="8" t="n">
        <v>33526.9030055809</v>
      </c>
      <c r="N220" s="8" t="n">
        <v>4257916.68170878</v>
      </c>
      <c r="O220" s="12"/>
      <c r="P220" s="6" t="s">
        <v>1119</v>
      </c>
    </row>
    <row r="221" customFormat="false" ht="15" hidden="false" customHeight="false" outlineLevel="0" collapsed="false">
      <c r="A221" s="74" t="s">
        <v>2627</v>
      </c>
      <c r="B221" s="74" t="s">
        <v>1314</v>
      </c>
      <c r="C221" s="74" t="s">
        <v>2678</v>
      </c>
      <c r="D221" s="8" t="n">
        <v>30000</v>
      </c>
      <c r="E221" s="74" t="s">
        <v>991</v>
      </c>
      <c r="F221" s="74" t="s">
        <v>2688</v>
      </c>
      <c r="G221" s="53" t="str">
        <f aca="false">INDEX(I_Items!$D$5:$D$133,MATCH($E221,I_Items!$A$5:$A$133,0))&amp;""</f>
        <v>Karkas</v>
      </c>
      <c r="H221" s="53" t="str">
        <f aca="false">INDEX(I_Items!$F$5:$F$133,MATCH($E221,I_Items!$A$5:$A$133,0))&amp;""</f>
        <v>Frozen</v>
      </c>
      <c r="I221" s="53" t="str">
        <f aca="false">INDEX(I_Items!$E$5:$E$133,MATCH($E221,I_Items!$A$5:$A$133,0))&amp;""</f>
        <v>Uk 1.3</v>
      </c>
      <c r="J221" s="84" t="n">
        <v>166</v>
      </c>
      <c r="K221" s="93" t="n">
        <v>0.0135936322840578</v>
      </c>
      <c r="L221" s="8" t="n">
        <v>4980000</v>
      </c>
      <c r="M221" s="8" t="n">
        <v>33526.9030055809</v>
      </c>
      <c r="N221" s="8" t="n">
        <v>5565465.89892643</v>
      </c>
      <c r="O221" s="12"/>
      <c r="P221" s="6" t="s">
        <v>1119</v>
      </c>
    </row>
    <row r="222" customFormat="false" ht="15" hidden="false" customHeight="false" outlineLevel="0" collapsed="false">
      <c r="A222" s="74" t="s">
        <v>2627</v>
      </c>
      <c r="B222" s="74" t="s">
        <v>1314</v>
      </c>
      <c r="C222" s="74" t="s">
        <v>2680</v>
      </c>
      <c r="D222" s="8" t="n">
        <v>30000</v>
      </c>
      <c r="E222" s="74" t="s">
        <v>994</v>
      </c>
      <c r="F222" s="74" t="s">
        <v>2681</v>
      </c>
      <c r="G222" s="53" t="str">
        <f aca="false">INDEX(I_Items!$D$5:$D$133,MATCH($E222,I_Items!$A$5:$A$133,0))&amp;""</f>
        <v>Karkas</v>
      </c>
      <c r="H222" s="53" t="str">
        <f aca="false">INDEX(I_Items!$F$5:$F$133,MATCH($E222,I_Items!$A$5:$A$133,0))&amp;""</f>
        <v>Frozen</v>
      </c>
      <c r="I222" s="53" t="str">
        <f aca="false">INDEX(I_Items!$E$5:$E$133,MATCH($E222,I_Items!$A$5:$A$133,0))&amp;""</f>
        <v>Uk 1.4</v>
      </c>
      <c r="J222" s="84" t="n">
        <v>142.6</v>
      </c>
      <c r="K222" s="93" t="n">
        <v>0.0116774214681123</v>
      </c>
      <c r="L222" s="8" t="n">
        <v>4278000</v>
      </c>
      <c r="M222" s="8" t="n">
        <v>33526.9030055809</v>
      </c>
      <c r="N222" s="8" t="n">
        <v>4780936.36859584</v>
      </c>
      <c r="O222" s="12"/>
      <c r="P222" s="6" t="s">
        <v>1119</v>
      </c>
    </row>
    <row r="223" customFormat="false" ht="15" hidden="false" customHeight="false" outlineLevel="0" collapsed="false">
      <c r="A223" s="74" t="s">
        <v>2627</v>
      </c>
      <c r="B223" s="74" t="s">
        <v>1314</v>
      </c>
      <c r="C223" s="74" t="s">
        <v>2702</v>
      </c>
      <c r="D223" s="8" t="n">
        <v>30000</v>
      </c>
      <c r="E223" s="74" t="s">
        <v>997</v>
      </c>
      <c r="F223" s="74" t="s">
        <v>2703</v>
      </c>
      <c r="G223" s="53" t="str">
        <f aca="false">INDEX(I_Items!$D$5:$D$133,MATCH($E223,I_Items!$A$5:$A$133,0))&amp;""</f>
        <v>Karkas</v>
      </c>
      <c r="H223" s="53" t="str">
        <f aca="false">INDEX(I_Items!$F$5:$F$133,MATCH($E223,I_Items!$A$5:$A$133,0))&amp;""</f>
        <v>Frozen</v>
      </c>
      <c r="I223" s="53" t="str">
        <f aca="false">INDEX(I_Items!$E$5:$E$133,MATCH($E223,I_Items!$A$5:$A$133,0))&amp;""</f>
        <v>Uk 1.5</v>
      </c>
      <c r="J223" s="84" t="n">
        <v>93.1</v>
      </c>
      <c r="K223" s="93" t="n">
        <v>0.00762389858822759</v>
      </c>
      <c r="L223" s="8" t="n">
        <v>2793000</v>
      </c>
      <c r="M223" s="8" t="n">
        <v>33526.9030055809</v>
      </c>
      <c r="N223" s="8" t="n">
        <v>3121354.66981958</v>
      </c>
      <c r="O223" s="12"/>
      <c r="P223" s="6" t="s">
        <v>1119</v>
      </c>
    </row>
    <row r="224" customFormat="false" ht="15" hidden="false" customHeight="false" outlineLevel="0" collapsed="false">
      <c r="A224" s="74" t="s">
        <v>2627</v>
      </c>
      <c r="B224" s="74" t="s">
        <v>1314</v>
      </c>
      <c r="C224" s="74" t="s">
        <v>2704</v>
      </c>
      <c r="D224" s="8" t="n">
        <v>30000</v>
      </c>
      <c r="E224" s="74" t="s">
        <v>1000</v>
      </c>
      <c r="F224" s="74" t="s">
        <v>2705</v>
      </c>
      <c r="G224" s="53" t="str">
        <f aca="false">INDEX(I_Items!$D$5:$D$133,MATCH($E224,I_Items!$A$5:$A$133,0))&amp;""</f>
        <v>Karkas</v>
      </c>
      <c r="H224" s="53" t="str">
        <f aca="false">INDEX(I_Items!$F$5:$F$133,MATCH($E224,I_Items!$A$5:$A$133,0))&amp;""</f>
        <v>Frozen</v>
      </c>
      <c r="I224" s="53" t="str">
        <f aca="false">INDEX(I_Items!$E$5:$E$133,MATCH($E224,I_Items!$A$5:$A$133,0))&amp;""</f>
        <v>Uk 1.6</v>
      </c>
      <c r="J224" s="84" t="n">
        <v>46.5</v>
      </c>
      <c r="K224" s="93" t="n">
        <v>0.00380785482655835</v>
      </c>
      <c r="L224" s="8" t="n">
        <v>1395000</v>
      </c>
      <c r="M224" s="8" t="n">
        <v>33526.9030055809</v>
      </c>
      <c r="N224" s="8" t="n">
        <v>1559000.98975951</v>
      </c>
      <c r="O224" s="12"/>
      <c r="P224" s="6" t="s">
        <v>1119</v>
      </c>
    </row>
    <row r="225" customFormat="false" ht="15" hidden="false" customHeight="false" outlineLevel="0" collapsed="false">
      <c r="A225" s="74" t="s">
        <v>2627</v>
      </c>
      <c r="B225" s="74" t="s">
        <v>1314</v>
      </c>
      <c r="C225" s="74" t="s">
        <v>2706</v>
      </c>
      <c r="D225" s="8" t="n">
        <v>30000</v>
      </c>
      <c r="E225" s="74" t="s">
        <v>1003</v>
      </c>
      <c r="F225" s="74" t="s">
        <v>2707</v>
      </c>
      <c r="G225" s="53" t="str">
        <f aca="false">INDEX(I_Items!$D$5:$D$133,MATCH($E225,I_Items!$A$5:$A$133,0))&amp;""</f>
        <v>Karkas</v>
      </c>
      <c r="H225" s="53" t="str">
        <f aca="false">INDEX(I_Items!$F$5:$F$133,MATCH($E225,I_Items!$A$5:$A$133,0))&amp;""</f>
        <v>Frozen</v>
      </c>
      <c r="I225" s="53" t="str">
        <f aca="false">INDEX(I_Items!$E$5:$E$133,MATCH($E225,I_Items!$A$5:$A$133,0))&amp;""</f>
        <v>Uk 1.7</v>
      </c>
      <c r="J225" s="84" t="n">
        <v>3.5</v>
      </c>
      <c r="K225" s="93" t="n">
        <v>0.000286612728880736</v>
      </c>
      <c r="L225" s="8" t="n">
        <v>105000</v>
      </c>
      <c r="M225" s="8" t="n">
        <v>33526.9030055809</v>
      </c>
      <c r="N225" s="8" t="n">
        <v>117344.160519533</v>
      </c>
      <c r="O225" s="12"/>
      <c r="P225" s="6" t="s">
        <v>1119</v>
      </c>
    </row>
    <row r="226" customFormat="false" ht="15" hidden="false" customHeight="false" outlineLevel="0" collapsed="false">
      <c r="A226" s="74" t="s">
        <v>2628</v>
      </c>
      <c r="B226" s="74" t="s">
        <v>1317</v>
      </c>
      <c r="C226" s="74" t="s">
        <v>2642</v>
      </c>
      <c r="D226" s="8" t="n">
        <v>33000</v>
      </c>
      <c r="E226" s="74" t="s">
        <v>1016</v>
      </c>
      <c r="F226" s="74" t="s">
        <v>2643</v>
      </c>
      <c r="G226" s="53" t="str">
        <f aca="false">INDEX(I_Items!$D$5:$D$133,MATCH($E226,I_Items!$A$5:$A$133,0))&amp;""</f>
        <v>Karkas</v>
      </c>
      <c r="H226" s="53" t="str">
        <f aca="false">INDEX(I_Items!$F$5:$F$133,MATCH($E226,I_Items!$A$5:$A$133,0))&amp;""</f>
        <v>Frozen</v>
      </c>
      <c r="I226" s="53" t="str">
        <f aca="false">INDEX(I_Items!$E$5:$E$133,MATCH($E226,I_Items!$A$5:$A$133,0))&amp;""</f>
        <v>Uk 0.6</v>
      </c>
      <c r="J226" s="84" t="n">
        <v>4.7</v>
      </c>
      <c r="K226" s="93" t="n">
        <v>0.000388763896241398</v>
      </c>
      <c r="L226" s="8" t="n">
        <v>155100</v>
      </c>
      <c r="M226" s="8" t="n">
        <v>37669.3947409367</v>
      </c>
      <c r="N226" s="8" t="n">
        <v>177046.155282402</v>
      </c>
      <c r="O226" s="12"/>
      <c r="P226" s="6" t="s">
        <v>1119</v>
      </c>
    </row>
    <row r="227" customFormat="false" ht="15" hidden="false" customHeight="false" outlineLevel="0" collapsed="false">
      <c r="A227" s="74" t="s">
        <v>2628</v>
      </c>
      <c r="B227" s="74" t="s">
        <v>1317</v>
      </c>
      <c r="C227" s="74" t="s">
        <v>2644</v>
      </c>
      <c r="D227" s="8" t="n">
        <v>33000</v>
      </c>
      <c r="E227" s="74" t="s">
        <v>1017</v>
      </c>
      <c r="F227" s="74" t="s">
        <v>2645</v>
      </c>
      <c r="G227" s="53" t="str">
        <f aca="false">INDEX(I_Items!$D$5:$D$133,MATCH($E227,I_Items!$A$5:$A$133,0))&amp;""</f>
        <v>Karkas</v>
      </c>
      <c r="H227" s="53" t="str">
        <f aca="false">INDEX(I_Items!$F$5:$F$133,MATCH($E227,I_Items!$A$5:$A$133,0))&amp;""</f>
        <v>Frozen</v>
      </c>
      <c r="I227" s="53" t="str">
        <f aca="false">INDEX(I_Items!$E$5:$E$133,MATCH($E227,I_Items!$A$5:$A$133,0))&amp;""</f>
        <v>Uk 0.7</v>
      </c>
      <c r="J227" s="84" t="n">
        <v>34.7</v>
      </c>
      <c r="K227" s="93" t="n">
        <v>0.00287023557437798</v>
      </c>
      <c r="L227" s="8" t="n">
        <v>1145100</v>
      </c>
      <c r="M227" s="8" t="n">
        <v>37669.3947409367</v>
      </c>
      <c r="N227" s="8" t="n">
        <v>1307127.9975105</v>
      </c>
      <c r="O227" s="12"/>
      <c r="P227" s="6" t="s">
        <v>1119</v>
      </c>
    </row>
    <row r="228" customFormat="false" ht="15" hidden="false" customHeight="false" outlineLevel="0" collapsed="false">
      <c r="A228" s="74" t="s">
        <v>2628</v>
      </c>
      <c r="B228" s="74" t="s">
        <v>1317</v>
      </c>
      <c r="C228" s="74" t="s">
        <v>2646</v>
      </c>
      <c r="D228" s="8" t="n">
        <v>33000</v>
      </c>
      <c r="E228" s="74" t="s">
        <v>1014</v>
      </c>
      <c r="F228" s="74" t="s">
        <v>2647</v>
      </c>
      <c r="G228" s="53" t="str">
        <f aca="false">INDEX(I_Items!$D$5:$D$133,MATCH($E228,I_Items!$A$5:$A$133,0))&amp;""</f>
        <v>Karkas</v>
      </c>
      <c r="H228" s="53" t="str">
        <f aca="false">INDEX(I_Items!$F$5:$F$133,MATCH($E228,I_Items!$A$5:$A$133,0))&amp;""</f>
        <v>Frozen</v>
      </c>
      <c r="I228" s="53" t="str">
        <f aca="false">INDEX(I_Items!$E$5:$E$133,MATCH($E228,I_Items!$A$5:$A$133,0))&amp;""</f>
        <v>Uk 0.8</v>
      </c>
      <c r="J228" s="84" t="n">
        <v>86.3</v>
      </c>
      <c r="K228" s="93" t="n">
        <v>0.0071383668607729</v>
      </c>
      <c r="L228" s="8" t="n">
        <v>2847900</v>
      </c>
      <c r="M228" s="8" t="n">
        <v>37669.3947409367</v>
      </c>
      <c r="N228" s="8" t="n">
        <v>3250868.76614284</v>
      </c>
      <c r="O228" s="12"/>
      <c r="P228" s="6" t="s">
        <v>1119</v>
      </c>
    </row>
    <row r="229" customFormat="false" ht="15" hidden="false" customHeight="false" outlineLevel="0" collapsed="false">
      <c r="A229" s="74" t="s">
        <v>2628</v>
      </c>
      <c r="B229" s="74" t="s">
        <v>1317</v>
      </c>
      <c r="C229" s="74" t="s">
        <v>2648</v>
      </c>
      <c r="D229" s="8" t="n">
        <v>33000</v>
      </c>
      <c r="E229" s="74" t="s">
        <v>1013</v>
      </c>
      <c r="F229" s="74" t="s">
        <v>2718</v>
      </c>
      <c r="G229" s="53" t="str">
        <f aca="false">INDEX(I_Items!$D$5:$D$133,MATCH($E229,I_Items!$A$5:$A$133,0))&amp;""</f>
        <v>Karkas</v>
      </c>
      <c r="H229" s="53" t="str">
        <f aca="false">INDEX(I_Items!$F$5:$F$133,MATCH($E229,I_Items!$A$5:$A$133,0))&amp;""</f>
        <v>Frozen</v>
      </c>
      <c r="I229" s="53" t="str">
        <f aca="false">INDEX(I_Items!$E$5:$E$133,MATCH($E229,I_Items!$A$5:$A$133,0))&amp;""</f>
        <v>Uk 0.9</v>
      </c>
      <c r="J229" s="84" t="n">
        <v>230</v>
      </c>
      <c r="K229" s="93" t="n">
        <v>0.0190246161990471</v>
      </c>
      <c r="L229" s="8" t="n">
        <v>7590000</v>
      </c>
      <c r="M229" s="8" t="n">
        <v>37669.3947409367</v>
      </c>
      <c r="N229" s="8" t="n">
        <v>8663960.79041543</v>
      </c>
      <c r="O229" s="12"/>
      <c r="P229" s="6" t="s">
        <v>1119</v>
      </c>
    </row>
    <row r="230" customFormat="false" ht="15" hidden="false" customHeight="false" outlineLevel="0" collapsed="false">
      <c r="A230" s="74" t="s">
        <v>2628</v>
      </c>
      <c r="B230" s="74" t="s">
        <v>1317</v>
      </c>
      <c r="C230" s="74" t="s">
        <v>2650</v>
      </c>
      <c r="D230" s="8" t="n">
        <v>33000</v>
      </c>
      <c r="E230" s="74" t="s">
        <v>980</v>
      </c>
      <c r="F230" s="74" t="s">
        <v>2689</v>
      </c>
      <c r="G230" s="53" t="str">
        <f aca="false">INDEX(I_Items!$D$5:$D$133,MATCH($E230,I_Items!$A$5:$A$133,0))&amp;""</f>
        <v>Karkas</v>
      </c>
      <c r="H230" s="53" t="str">
        <f aca="false">INDEX(I_Items!$F$5:$F$133,MATCH($E230,I_Items!$A$5:$A$133,0))&amp;""</f>
        <v>Frozen</v>
      </c>
      <c r="I230" s="53" t="str">
        <f aca="false">INDEX(I_Items!$E$5:$E$133,MATCH($E230,I_Items!$A$5:$A$133,0))&amp;""</f>
        <v>Uk 1.0</v>
      </c>
      <c r="J230" s="84" t="n">
        <v>566.6</v>
      </c>
      <c r="K230" s="93" t="n">
        <v>0.0468667284277396</v>
      </c>
      <c r="L230" s="8" t="n">
        <v>18697800</v>
      </c>
      <c r="M230" s="8" t="n">
        <v>37669.3947409367</v>
      </c>
      <c r="N230" s="8" t="n">
        <v>21343479.0602147</v>
      </c>
      <c r="O230" s="12"/>
      <c r="P230" s="6" t="s">
        <v>1119</v>
      </c>
    </row>
    <row r="231" customFormat="false" ht="15" hidden="false" customHeight="false" outlineLevel="0" collapsed="false">
      <c r="A231" s="74" t="s">
        <v>2628</v>
      </c>
      <c r="B231" s="74" t="s">
        <v>1317</v>
      </c>
      <c r="C231" s="74" t="s">
        <v>2652</v>
      </c>
      <c r="D231" s="8" t="n">
        <v>33000</v>
      </c>
      <c r="E231" s="74" t="s">
        <v>984</v>
      </c>
      <c r="F231" s="74" t="s">
        <v>2690</v>
      </c>
      <c r="G231" s="53" t="str">
        <f aca="false">INDEX(I_Items!$D$5:$D$133,MATCH($E231,I_Items!$A$5:$A$133,0))&amp;""</f>
        <v>Karkas</v>
      </c>
      <c r="H231" s="53" t="str">
        <f aca="false">INDEX(I_Items!$F$5:$F$133,MATCH($E231,I_Items!$A$5:$A$133,0))&amp;""</f>
        <v>Frozen</v>
      </c>
      <c r="I231" s="53" t="str">
        <f aca="false">INDEX(I_Items!$E$5:$E$133,MATCH($E231,I_Items!$A$5:$A$133,0))&amp;""</f>
        <v>Uk 1.1</v>
      </c>
      <c r="J231" s="84" t="n">
        <v>1106</v>
      </c>
      <c r="K231" s="93" t="n">
        <v>0.0914835892006353</v>
      </c>
      <c r="L231" s="8" t="n">
        <v>36498000</v>
      </c>
      <c r="M231" s="8" t="n">
        <v>37669.3947409367</v>
      </c>
      <c r="N231" s="8" t="n">
        <v>41662350.583476</v>
      </c>
      <c r="O231" s="12"/>
      <c r="P231" s="6" t="s">
        <v>1119</v>
      </c>
    </row>
    <row r="232" customFormat="false" ht="15" hidden="false" customHeight="false" outlineLevel="0" collapsed="false">
      <c r="A232" s="74" t="s">
        <v>2628</v>
      </c>
      <c r="B232" s="74" t="s">
        <v>1317</v>
      </c>
      <c r="C232" s="74" t="s">
        <v>2654</v>
      </c>
      <c r="D232" s="8" t="n">
        <v>33000</v>
      </c>
      <c r="E232" s="74" t="s">
        <v>986</v>
      </c>
      <c r="F232" s="74" t="s">
        <v>2655</v>
      </c>
      <c r="G232" s="53" t="str">
        <f aca="false">INDEX(I_Items!$D$5:$D$133,MATCH($E232,I_Items!$A$5:$A$133,0))&amp;""</f>
        <v>Karkas</v>
      </c>
      <c r="H232" s="53" t="str">
        <f aca="false">INDEX(I_Items!$F$5:$F$133,MATCH($E232,I_Items!$A$5:$A$133,0))&amp;""</f>
        <v>Fresh</v>
      </c>
      <c r="I232" s="53" t="str">
        <f aca="false">INDEX(I_Items!$E$5:$E$133,MATCH($E232,I_Items!$A$5:$A$133,0))&amp;""</f>
        <v>Uk 1.2</v>
      </c>
      <c r="J232" s="84" t="n">
        <v>1572.1</v>
      </c>
      <c r="K232" s="93" t="n">
        <v>0.130037387506617</v>
      </c>
      <c r="L232" s="8" t="n">
        <v>51879300</v>
      </c>
      <c r="M232" s="8" t="n">
        <v>37669.3947409367</v>
      </c>
      <c r="N232" s="8" t="n">
        <v>59220055.4722265</v>
      </c>
      <c r="O232" s="12"/>
      <c r="P232" s="6" t="s">
        <v>1119</v>
      </c>
    </row>
    <row r="233" customFormat="false" ht="15" hidden="false" customHeight="false" outlineLevel="0" collapsed="false">
      <c r="A233" s="74" t="s">
        <v>2628</v>
      </c>
      <c r="B233" s="74" t="s">
        <v>1317</v>
      </c>
      <c r="C233" s="74" t="s">
        <v>2656</v>
      </c>
      <c r="D233" s="8" t="n">
        <v>33000</v>
      </c>
      <c r="E233" s="74" t="s">
        <v>990</v>
      </c>
      <c r="F233" s="74" t="s">
        <v>2657</v>
      </c>
      <c r="G233" s="53" t="str">
        <f aca="false">INDEX(I_Items!$D$5:$D$133,MATCH($E233,I_Items!$A$5:$A$133,0))&amp;""</f>
        <v>Karkas</v>
      </c>
      <c r="H233" s="53" t="str">
        <f aca="false">INDEX(I_Items!$F$5:$F$133,MATCH($E233,I_Items!$A$5:$A$133,0))&amp;""</f>
        <v>Fresh</v>
      </c>
      <c r="I233" s="53" t="str">
        <f aca="false">INDEX(I_Items!$E$5:$E$133,MATCH($E233,I_Items!$A$5:$A$133,0))&amp;""</f>
        <v>Uk 1.3</v>
      </c>
      <c r="J233" s="84" t="n">
        <v>1621.4</v>
      </c>
      <c r="K233" s="93" t="n">
        <v>0.134115272631022</v>
      </c>
      <c r="L233" s="8" t="n">
        <v>53506200</v>
      </c>
      <c r="M233" s="8" t="n">
        <v>37669.3947409367</v>
      </c>
      <c r="N233" s="8" t="n">
        <v>61077156.6329547</v>
      </c>
      <c r="O233" s="12"/>
      <c r="P233" s="6" t="s">
        <v>1119</v>
      </c>
    </row>
    <row r="234" customFormat="false" ht="15" hidden="false" customHeight="false" outlineLevel="0" collapsed="false">
      <c r="A234" s="74" t="s">
        <v>2628</v>
      </c>
      <c r="B234" s="74" t="s">
        <v>1317</v>
      </c>
      <c r="C234" s="74" t="s">
        <v>2658</v>
      </c>
      <c r="D234" s="8" t="n">
        <v>33000</v>
      </c>
      <c r="E234" s="74" t="s">
        <v>993</v>
      </c>
      <c r="F234" s="74" t="s">
        <v>2659</v>
      </c>
      <c r="G234" s="53" t="str">
        <f aca="false">INDEX(I_Items!$D$5:$D$133,MATCH($E234,I_Items!$A$5:$A$133,0))&amp;""</f>
        <v>Karkas</v>
      </c>
      <c r="H234" s="53" t="str">
        <f aca="false">INDEX(I_Items!$F$5:$F$133,MATCH($E234,I_Items!$A$5:$A$133,0))&amp;""</f>
        <v>Fresh</v>
      </c>
      <c r="I234" s="53" t="str">
        <f aca="false">INDEX(I_Items!$E$5:$E$133,MATCH($E234,I_Items!$A$5:$A$133,0))&amp;""</f>
        <v>Uk 1.4</v>
      </c>
      <c r="J234" s="84" t="n">
        <v>1182.4</v>
      </c>
      <c r="K234" s="93" t="n">
        <v>0.0978030704076231</v>
      </c>
      <c r="L234" s="8" t="n">
        <v>39019200</v>
      </c>
      <c r="M234" s="8" t="n">
        <v>37669.3947409367</v>
      </c>
      <c r="N234" s="8" t="n">
        <v>44540292.3416835</v>
      </c>
      <c r="O234" s="12"/>
      <c r="P234" s="6" t="s">
        <v>1119</v>
      </c>
    </row>
    <row r="235" customFormat="false" ht="15" hidden="false" customHeight="false" outlineLevel="0" collapsed="false">
      <c r="A235" s="74" t="s">
        <v>2628</v>
      </c>
      <c r="B235" s="74" t="s">
        <v>1317</v>
      </c>
      <c r="C235" s="74" t="s">
        <v>2692</v>
      </c>
      <c r="D235" s="8" t="n">
        <v>33000</v>
      </c>
      <c r="E235" s="74" t="s">
        <v>996</v>
      </c>
      <c r="F235" s="74" t="s">
        <v>2693</v>
      </c>
      <c r="G235" s="53" t="str">
        <f aca="false">INDEX(I_Items!$D$5:$D$133,MATCH($E235,I_Items!$A$5:$A$133,0))&amp;""</f>
        <v>Karkas</v>
      </c>
      <c r="H235" s="53" t="str">
        <f aca="false">INDEX(I_Items!$F$5:$F$133,MATCH($E235,I_Items!$A$5:$A$133,0))&amp;""</f>
        <v>Fresh</v>
      </c>
      <c r="I235" s="53" t="str">
        <f aca="false">INDEX(I_Items!$E$5:$E$133,MATCH($E235,I_Items!$A$5:$A$133,0))&amp;""</f>
        <v>Uk 1.5</v>
      </c>
      <c r="J235" s="84" t="n">
        <v>628.8</v>
      </c>
      <c r="K235" s="93" t="n">
        <v>0.0520116463737427</v>
      </c>
      <c r="L235" s="8" t="n">
        <v>20750400</v>
      </c>
      <c r="M235" s="8" t="n">
        <v>37669.3947409367</v>
      </c>
      <c r="N235" s="8" t="n">
        <v>23686515.413101</v>
      </c>
      <c r="O235" s="12"/>
      <c r="P235" s="6" t="s">
        <v>1119</v>
      </c>
    </row>
    <row r="236" customFormat="false" ht="15" hidden="false" customHeight="false" outlineLevel="0" collapsed="false">
      <c r="A236" s="74" t="s">
        <v>2628</v>
      </c>
      <c r="B236" s="74" t="s">
        <v>1317</v>
      </c>
      <c r="C236" s="74" t="s">
        <v>2694</v>
      </c>
      <c r="D236" s="8" t="n">
        <v>33000</v>
      </c>
      <c r="E236" s="74" t="s">
        <v>1001</v>
      </c>
      <c r="F236" s="74" t="s">
        <v>2721</v>
      </c>
      <c r="G236" s="53" t="str">
        <f aca="false">INDEX(I_Items!$D$5:$D$133,MATCH($E236,I_Items!$A$5:$A$133,0))&amp;""</f>
        <v>Karkas</v>
      </c>
      <c r="H236" s="53" t="str">
        <f aca="false">INDEX(I_Items!$F$5:$F$133,MATCH($E236,I_Items!$A$5:$A$133,0))&amp;""</f>
        <v>Frozen</v>
      </c>
      <c r="I236" s="53" t="str">
        <f aca="false">INDEX(I_Items!$E$5:$E$133,MATCH($E236,I_Items!$A$5:$A$133,0))&amp;""</f>
        <v>Uk 1.6</v>
      </c>
      <c r="J236" s="84" t="n">
        <v>267</v>
      </c>
      <c r="K236" s="93" t="n">
        <v>0.0220850979354156</v>
      </c>
      <c r="L236" s="8" t="n">
        <v>8811000</v>
      </c>
      <c r="M236" s="8" t="n">
        <v>37669.3947409367</v>
      </c>
      <c r="N236" s="8" t="n">
        <v>10057728.3958301</v>
      </c>
      <c r="O236" s="12"/>
      <c r="P236" s="6" t="s">
        <v>1119</v>
      </c>
    </row>
    <row r="237" customFormat="false" ht="15" hidden="false" customHeight="false" outlineLevel="0" collapsed="false">
      <c r="A237" s="74" t="s">
        <v>2628</v>
      </c>
      <c r="B237" s="74" t="s">
        <v>1317</v>
      </c>
      <c r="C237" s="74" t="s">
        <v>2696</v>
      </c>
      <c r="D237" s="8" t="n">
        <v>33000</v>
      </c>
      <c r="E237" s="74" t="s">
        <v>1004</v>
      </c>
      <c r="F237" s="74" t="s">
        <v>2697</v>
      </c>
      <c r="G237" s="53" t="str">
        <f aca="false">INDEX(I_Items!$D$5:$D$133,MATCH($E237,I_Items!$A$5:$A$133,0))&amp;""</f>
        <v>Karkas</v>
      </c>
      <c r="H237" s="53" t="str">
        <f aca="false">INDEX(I_Items!$F$5:$F$133,MATCH($E237,I_Items!$A$5:$A$133,0))&amp;""</f>
        <v>Frozen</v>
      </c>
      <c r="I237" s="53" t="str">
        <f aca="false">INDEX(I_Items!$E$5:$E$133,MATCH($E237,I_Items!$A$5:$A$133,0))&amp;""</f>
        <v>Uk 1.7</v>
      </c>
      <c r="J237" s="84" t="n">
        <v>97.8</v>
      </c>
      <c r="K237" s="93" t="n">
        <v>0.00808959767072525</v>
      </c>
      <c r="L237" s="8" t="n">
        <v>3227400</v>
      </c>
      <c r="M237" s="8" t="n">
        <v>37669.3947409367</v>
      </c>
      <c r="N237" s="8" t="n">
        <v>3684066.80566361</v>
      </c>
      <c r="O237" s="12"/>
      <c r="P237" s="6" t="s">
        <v>1119</v>
      </c>
    </row>
    <row r="238" customFormat="false" ht="15" hidden="false" customHeight="false" outlineLevel="0" collapsed="false">
      <c r="A238" s="74" t="s">
        <v>2628</v>
      </c>
      <c r="B238" s="74" t="s">
        <v>1317</v>
      </c>
      <c r="C238" s="74" t="s">
        <v>2698</v>
      </c>
      <c r="D238" s="8" t="n">
        <v>33000</v>
      </c>
      <c r="E238" s="74" t="s">
        <v>1006</v>
      </c>
      <c r="F238" s="74" t="s">
        <v>2699</v>
      </c>
      <c r="G238" s="53" t="str">
        <f aca="false">INDEX(I_Items!$D$5:$D$133,MATCH($E238,I_Items!$A$5:$A$133,0))&amp;""</f>
        <v>Karkas</v>
      </c>
      <c r="H238" s="53" t="str">
        <f aca="false">INDEX(I_Items!$F$5:$F$133,MATCH($E238,I_Items!$A$5:$A$133,0))&amp;""</f>
        <v>Frozen</v>
      </c>
      <c r="I238" s="53" t="str">
        <f aca="false">INDEX(I_Items!$E$5:$E$133,MATCH($E238,I_Items!$A$5:$A$133,0))&amp;""</f>
        <v>Uk 1.8</v>
      </c>
      <c r="J238" s="84" t="n">
        <v>22.4</v>
      </c>
      <c r="K238" s="93" t="n">
        <v>0.00185283218634198</v>
      </c>
      <c r="L238" s="8" t="n">
        <v>739200</v>
      </c>
      <c r="M238" s="8" t="n">
        <v>37669.3947409367</v>
      </c>
      <c r="N238" s="8" t="n">
        <v>843794.442196981</v>
      </c>
      <c r="O238" s="12"/>
      <c r="P238" s="6" t="s">
        <v>1119</v>
      </c>
    </row>
    <row r="239" customFormat="false" ht="15" hidden="false" customHeight="false" outlineLevel="0" collapsed="false">
      <c r="A239" s="74" t="s">
        <v>2628</v>
      </c>
      <c r="B239" s="74" t="s">
        <v>1317</v>
      </c>
      <c r="C239" s="74" t="s">
        <v>360</v>
      </c>
      <c r="D239" s="8" t="n">
        <v>24000</v>
      </c>
      <c r="E239" s="74" t="s">
        <v>961</v>
      </c>
      <c r="F239" s="74" t="s">
        <v>2712</v>
      </c>
      <c r="G239" s="53" t="str">
        <f aca="false">INDEX(I_Items!$D$5:$D$133,MATCH($E239,I_Items!$A$5:$A$133,0))&amp;""</f>
        <v>Lemak</v>
      </c>
      <c r="H239" s="53" t="str">
        <f aca="false">INDEX(I_Items!$F$5:$F$133,MATCH($E239,I_Items!$A$5:$A$133,0))&amp;""</f>
        <v>Frozen</v>
      </c>
      <c r="I239" s="53" t="str">
        <f aca="false">INDEX(I_Items!$E$5:$E$133,MATCH($E239,I_Items!$A$5:$A$133,0))&amp;""</f>
        <v/>
      </c>
      <c r="J239" s="84" t="n">
        <v>28.8</v>
      </c>
      <c r="K239" s="93" t="n">
        <v>0.00238221281101112</v>
      </c>
      <c r="L239" s="8" t="n">
        <v>691200</v>
      </c>
      <c r="M239" s="8" t="n">
        <v>27395.9234479539</v>
      </c>
      <c r="N239" s="8" t="n">
        <v>789002.595301074</v>
      </c>
      <c r="O239" s="12"/>
      <c r="P239" s="6" t="s">
        <v>1119</v>
      </c>
    </row>
    <row r="240" customFormat="false" ht="15" hidden="false" customHeight="false" outlineLevel="0" collapsed="false">
      <c r="A240" s="74" t="s">
        <v>2628</v>
      </c>
      <c r="B240" s="74" t="s">
        <v>1317</v>
      </c>
      <c r="C240" s="74" t="s">
        <v>248</v>
      </c>
      <c r="D240" s="8" t="n">
        <v>12000</v>
      </c>
      <c r="E240" s="74" t="s">
        <v>950</v>
      </c>
      <c r="F240" s="74" t="s">
        <v>2661</v>
      </c>
      <c r="G240" s="53" t="str">
        <f aca="false">INDEX(I_Items!$D$5:$D$133,MATCH($E240,I_Items!$A$5:$A$133,0))&amp;""</f>
        <v>Kepala</v>
      </c>
      <c r="H240" s="53" t="str">
        <f aca="false">INDEX(I_Items!$F$5:$F$133,MATCH($E240,I_Items!$A$5:$A$133,0))&amp;""</f>
        <v>Fresh</v>
      </c>
      <c r="I240" s="53" t="str">
        <f aca="false">INDEX(I_Items!$E$5:$E$133,MATCH($E240,I_Items!$A$5:$A$133,0))&amp;""</f>
        <v/>
      </c>
      <c r="J240" s="84" t="n">
        <v>518.4</v>
      </c>
      <c r="K240" s="93" t="n">
        <v>0.0428798305982001</v>
      </c>
      <c r="L240" s="8" t="n">
        <v>6220800</v>
      </c>
      <c r="M240" s="8" t="n">
        <v>13697.961723977</v>
      </c>
      <c r="N240" s="8" t="n">
        <v>7101023.35770966</v>
      </c>
      <c r="O240" s="12"/>
      <c r="P240" s="6" t="s">
        <v>1119</v>
      </c>
    </row>
    <row r="241" customFormat="false" ht="15" hidden="false" customHeight="false" outlineLevel="0" collapsed="false">
      <c r="A241" s="74" t="s">
        <v>2628</v>
      </c>
      <c r="B241" s="74" t="s">
        <v>1317</v>
      </c>
      <c r="C241" s="74" t="s">
        <v>242</v>
      </c>
      <c r="D241" s="8" t="n">
        <v>16000</v>
      </c>
      <c r="E241" s="74" t="s">
        <v>948</v>
      </c>
      <c r="F241" s="74" t="s">
        <v>2662</v>
      </c>
      <c r="G241" s="53" t="str">
        <f aca="false">INDEX(I_Items!$D$5:$D$133,MATCH($E241,I_Items!$A$5:$A$133,0))&amp;""</f>
        <v>Ceker</v>
      </c>
      <c r="H241" s="53" t="str">
        <f aca="false">INDEX(I_Items!$F$5:$F$133,MATCH($E241,I_Items!$A$5:$A$133,0))&amp;""</f>
        <v>Fresh</v>
      </c>
      <c r="I241" s="53" t="str">
        <f aca="false">INDEX(I_Items!$E$5:$E$133,MATCH($E241,I_Items!$A$5:$A$133,0))&amp;""</f>
        <v/>
      </c>
      <c r="J241" s="84" t="n">
        <v>325.6</v>
      </c>
      <c r="K241" s="93" t="n">
        <v>0.0269322392800424</v>
      </c>
      <c r="L241" s="8" t="n">
        <v>5209600</v>
      </c>
      <c r="M241" s="8" t="n">
        <v>18263.9489653026</v>
      </c>
      <c r="N241" s="8" t="n">
        <v>5946741.78310254</v>
      </c>
      <c r="O241" s="12"/>
      <c r="P241" s="6" t="s">
        <v>1119</v>
      </c>
    </row>
    <row r="242" customFormat="false" ht="15" hidden="false" customHeight="false" outlineLevel="0" collapsed="false">
      <c r="A242" s="74" t="s">
        <v>2628</v>
      </c>
      <c r="B242" s="74" t="s">
        <v>1317</v>
      </c>
      <c r="C242" s="74" t="s">
        <v>253</v>
      </c>
      <c r="D242" s="8" t="n">
        <v>5000</v>
      </c>
      <c r="E242" s="74" t="s">
        <v>953</v>
      </c>
      <c r="F242" s="74" t="s">
        <v>2682</v>
      </c>
      <c r="G242" s="53" t="str">
        <f aca="false">INDEX(I_Items!$D$5:$D$133,MATCH($E242,I_Items!$A$5:$A$133,0))&amp;""</f>
        <v>Usus</v>
      </c>
      <c r="H242" s="53" t="str">
        <f aca="false">INDEX(I_Items!$F$5:$F$133,MATCH($E242,I_Items!$A$5:$A$133,0))&amp;""</f>
        <v>Fresh</v>
      </c>
      <c r="I242" s="53" t="str">
        <f aca="false">INDEX(I_Items!$E$5:$E$133,MATCH($E242,I_Items!$A$5:$A$133,0))&amp;""</f>
        <v/>
      </c>
      <c r="J242" s="84" t="n">
        <v>514.9</v>
      </c>
      <c r="K242" s="93" t="n">
        <v>0.0425903255690842</v>
      </c>
      <c r="L242" s="8" t="n">
        <v>2574500</v>
      </c>
      <c r="M242" s="8" t="n">
        <v>5707.48405165707</v>
      </c>
      <c r="N242" s="8" t="n">
        <v>2938783.53819823</v>
      </c>
      <c r="O242" s="12"/>
      <c r="P242" s="6" t="s">
        <v>1119</v>
      </c>
    </row>
    <row r="243" customFormat="false" ht="15" hidden="false" customHeight="false" outlineLevel="0" collapsed="false">
      <c r="A243" s="74" t="s">
        <v>2628</v>
      </c>
      <c r="B243" s="74" t="s">
        <v>1317</v>
      </c>
      <c r="C243" s="74" t="s">
        <v>2665</v>
      </c>
      <c r="D243" s="8" t="n">
        <v>5000</v>
      </c>
      <c r="E243" s="74" t="s">
        <v>949</v>
      </c>
      <c r="F243" s="74" t="s">
        <v>2666</v>
      </c>
      <c r="G243" s="53" t="str">
        <f aca="false">INDEX(I_Items!$D$5:$D$133,MATCH($E243,I_Items!$A$5:$A$133,0))&amp;""</f>
        <v>HJA (Hati/Jantung/Ampela)</v>
      </c>
      <c r="H243" s="53" t="str">
        <f aca="false">INDEX(I_Items!$F$5:$F$133,MATCH($E243,I_Items!$A$5:$A$133,0))&amp;""</f>
        <v>Fresh</v>
      </c>
      <c r="I243" s="53" t="str">
        <f aca="false">INDEX(I_Items!$E$5:$E$133,MATCH($E243,I_Items!$A$5:$A$133,0))&amp;""</f>
        <v/>
      </c>
      <c r="J243" s="84" t="n">
        <v>622.3</v>
      </c>
      <c r="K243" s="93" t="n">
        <v>0.0514739941768131</v>
      </c>
      <c r="L243" s="8" t="n">
        <v>3111500</v>
      </c>
      <c r="M243" s="8" t="n">
        <v>5707.48405165707</v>
      </c>
      <c r="N243" s="8" t="n">
        <v>3551767.3253462</v>
      </c>
      <c r="O243" s="12"/>
      <c r="P243" s="6" t="s">
        <v>1119</v>
      </c>
    </row>
    <row r="244" customFormat="false" ht="15" hidden="false" customHeight="false" outlineLevel="0" collapsed="false">
      <c r="A244" s="74" t="s">
        <v>2628</v>
      </c>
      <c r="B244" s="74" t="s">
        <v>1317</v>
      </c>
      <c r="C244" s="74" t="s">
        <v>2667</v>
      </c>
      <c r="D244" s="8" t="n">
        <v>30000</v>
      </c>
      <c r="E244" s="74" t="s">
        <v>973</v>
      </c>
      <c r="F244" s="74" t="s">
        <v>2668</v>
      </c>
      <c r="G244" s="53" t="str">
        <f aca="false">INDEX(I_Items!$D$5:$D$133,MATCH($E244,I_Items!$A$5:$A$133,0))&amp;""</f>
        <v>Karkas</v>
      </c>
      <c r="H244" s="53" t="str">
        <f aca="false">INDEX(I_Items!$F$5:$F$133,MATCH($E244,I_Items!$A$5:$A$133,0))&amp;""</f>
        <v>Frozen</v>
      </c>
      <c r="I244" s="53" t="str">
        <f aca="false">INDEX(I_Items!$E$5:$E$133,MATCH($E244,I_Items!$A$5:$A$133,0))&amp;""</f>
        <v>Uk 0.7</v>
      </c>
      <c r="J244" s="84" t="n">
        <v>9.1</v>
      </c>
      <c r="K244" s="93" t="n">
        <v>0.000752713075701429</v>
      </c>
      <c r="L244" s="8" t="n">
        <v>273000</v>
      </c>
      <c r="M244" s="8" t="n">
        <v>34244.9043099424</v>
      </c>
      <c r="N244" s="8" t="n">
        <v>311628.629220476</v>
      </c>
      <c r="O244" s="12"/>
      <c r="P244" s="6" t="s">
        <v>1119</v>
      </c>
    </row>
    <row r="245" customFormat="false" ht="15" hidden="false" customHeight="false" outlineLevel="0" collapsed="false">
      <c r="A245" s="74" t="s">
        <v>2628</v>
      </c>
      <c r="B245" s="74" t="s">
        <v>1317</v>
      </c>
      <c r="C245" s="74" t="s">
        <v>2669</v>
      </c>
      <c r="D245" s="8" t="n">
        <v>30000</v>
      </c>
      <c r="E245" s="74" t="s">
        <v>974</v>
      </c>
      <c r="F245" s="74" t="s">
        <v>2670</v>
      </c>
      <c r="G245" s="53" t="str">
        <f aca="false">INDEX(I_Items!$D$5:$D$133,MATCH($E245,I_Items!$A$5:$A$133,0))&amp;""</f>
        <v>Karkas</v>
      </c>
      <c r="H245" s="53" t="str">
        <f aca="false">INDEX(I_Items!$F$5:$F$133,MATCH($E245,I_Items!$A$5:$A$133,0))&amp;""</f>
        <v>Frozen</v>
      </c>
      <c r="I245" s="53" t="str">
        <f aca="false">INDEX(I_Items!$E$5:$E$133,MATCH($E245,I_Items!$A$5:$A$133,0))&amp;""</f>
        <v>Uk 0.8</v>
      </c>
      <c r="J245" s="84" t="n">
        <v>15.6</v>
      </c>
      <c r="K245" s="93" t="n">
        <v>0.00129036527263102</v>
      </c>
      <c r="L245" s="8" t="n">
        <v>468000</v>
      </c>
      <c r="M245" s="8" t="n">
        <v>34244.9043099424</v>
      </c>
      <c r="N245" s="8" t="n">
        <v>534220.507235102</v>
      </c>
      <c r="O245" s="12"/>
      <c r="P245" s="6" t="s">
        <v>1119</v>
      </c>
    </row>
    <row r="246" customFormat="false" ht="15" hidden="false" customHeight="false" outlineLevel="0" collapsed="false">
      <c r="A246" s="74" t="s">
        <v>2628</v>
      </c>
      <c r="B246" s="74" t="s">
        <v>1317</v>
      </c>
      <c r="C246" s="74" t="s">
        <v>2671</v>
      </c>
      <c r="D246" s="8" t="n">
        <v>30000</v>
      </c>
      <c r="E246" s="74" t="s">
        <v>976</v>
      </c>
      <c r="F246" s="74" t="s">
        <v>2672</v>
      </c>
      <c r="G246" s="53" t="str">
        <f aca="false">INDEX(I_Items!$D$5:$D$133,MATCH($E246,I_Items!$A$5:$A$133,0))&amp;""</f>
        <v>Karkas</v>
      </c>
      <c r="H246" s="53" t="str">
        <f aca="false">INDEX(I_Items!$F$5:$F$133,MATCH($E246,I_Items!$A$5:$A$133,0))&amp;""</f>
        <v>Frozen</v>
      </c>
      <c r="I246" s="53" t="str">
        <f aca="false">INDEX(I_Items!$E$5:$E$133,MATCH($E246,I_Items!$A$5:$A$133,0))&amp;""</f>
        <v>Uk 0.9</v>
      </c>
      <c r="J246" s="84" t="n">
        <v>42.7</v>
      </c>
      <c r="K246" s="93" t="n">
        <v>0.0035319613552144</v>
      </c>
      <c r="L246" s="8" t="n">
        <v>1281000</v>
      </c>
      <c r="M246" s="8" t="n">
        <v>34244.9043099424</v>
      </c>
      <c r="N246" s="8" t="n">
        <v>1462257.41403454</v>
      </c>
      <c r="O246" s="12"/>
      <c r="P246" s="6" t="s">
        <v>1119</v>
      </c>
    </row>
    <row r="247" customFormat="false" ht="15" hidden="false" customHeight="false" outlineLevel="0" collapsed="false">
      <c r="A247" s="74" t="s">
        <v>2628</v>
      </c>
      <c r="B247" s="74" t="s">
        <v>1317</v>
      </c>
      <c r="C247" s="74" t="s">
        <v>2673</v>
      </c>
      <c r="D247" s="8" t="n">
        <v>30000</v>
      </c>
      <c r="E247" s="74" t="s">
        <v>979</v>
      </c>
      <c r="F247" s="74" t="s">
        <v>2685</v>
      </c>
      <c r="G247" s="53" t="str">
        <f aca="false">INDEX(I_Items!$D$5:$D$133,MATCH($E247,I_Items!$A$5:$A$133,0))&amp;""</f>
        <v>Karkas</v>
      </c>
      <c r="H247" s="53" t="str">
        <f aca="false">INDEX(I_Items!$F$5:$F$133,MATCH($E247,I_Items!$A$5:$A$133,0))&amp;""</f>
        <v>Frozen</v>
      </c>
      <c r="I247" s="53" t="str">
        <f aca="false">INDEX(I_Items!$E$5:$E$133,MATCH($E247,I_Items!$A$5:$A$133,0))&amp;""</f>
        <v>Uk 1.0</v>
      </c>
      <c r="J247" s="84" t="n">
        <v>77.3</v>
      </c>
      <c r="K247" s="93" t="n">
        <v>0.00639392535733192</v>
      </c>
      <c r="L247" s="8" t="n">
        <v>2319000</v>
      </c>
      <c r="M247" s="8" t="n">
        <v>34244.9043099424</v>
      </c>
      <c r="N247" s="8" t="n">
        <v>2647131.10315855</v>
      </c>
      <c r="O247" s="12"/>
      <c r="P247" s="6" t="s">
        <v>1119</v>
      </c>
    </row>
    <row r="248" customFormat="false" ht="15" hidden="false" customHeight="false" outlineLevel="0" collapsed="false">
      <c r="A248" s="74" t="s">
        <v>2628</v>
      </c>
      <c r="B248" s="74" t="s">
        <v>1317</v>
      </c>
      <c r="C248" s="74" t="s">
        <v>2674</v>
      </c>
      <c r="D248" s="8" t="n">
        <v>30000</v>
      </c>
      <c r="E248" s="74" t="s">
        <v>983</v>
      </c>
      <c r="F248" s="74" t="s">
        <v>2686</v>
      </c>
      <c r="G248" s="53" t="str">
        <f aca="false">INDEX(I_Items!$D$5:$D$133,MATCH($E248,I_Items!$A$5:$A$133,0))&amp;""</f>
        <v>Karkas</v>
      </c>
      <c r="H248" s="53" t="str">
        <f aca="false">INDEX(I_Items!$F$5:$F$133,MATCH($E248,I_Items!$A$5:$A$133,0))&amp;""</f>
        <v>Frozen</v>
      </c>
      <c r="I248" s="53" t="str">
        <f aca="false">INDEX(I_Items!$E$5:$E$133,MATCH($E248,I_Items!$A$5:$A$133,0))&amp;""</f>
        <v>Uk 1.1</v>
      </c>
      <c r="J248" s="84" t="n">
        <v>131.8</v>
      </c>
      <c r="K248" s="93" t="n">
        <v>0.01090193223928</v>
      </c>
      <c r="L248" s="8" t="n">
        <v>3954000</v>
      </c>
      <c r="M248" s="8" t="n">
        <v>34244.9043099424</v>
      </c>
      <c r="N248" s="8" t="n">
        <v>4513478.38805041</v>
      </c>
      <c r="O248" s="12"/>
      <c r="P248" s="6" t="s">
        <v>1119</v>
      </c>
    </row>
    <row r="249" customFormat="false" ht="15" hidden="false" customHeight="false" outlineLevel="0" collapsed="false">
      <c r="A249" s="74" t="s">
        <v>2628</v>
      </c>
      <c r="B249" s="74" t="s">
        <v>1317</v>
      </c>
      <c r="C249" s="74" t="s">
        <v>2676</v>
      </c>
      <c r="D249" s="8" t="n">
        <v>30000</v>
      </c>
      <c r="E249" s="74" t="s">
        <v>987</v>
      </c>
      <c r="F249" s="74" t="s">
        <v>2687</v>
      </c>
      <c r="G249" s="53" t="str">
        <f aca="false">INDEX(I_Items!$D$5:$D$133,MATCH($E249,I_Items!$A$5:$A$133,0))&amp;""</f>
        <v>Karkas</v>
      </c>
      <c r="H249" s="53" t="str">
        <f aca="false">INDEX(I_Items!$F$5:$F$133,MATCH($E249,I_Items!$A$5:$A$133,0))&amp;""</f>
        <v>Frozen</v>
      </c>
      <c r="I249" s="53" t="str">
        <f aca="false">INDEX(I_Items!$E$5:$E$133,MATCH($E249,I_Items!$A$5:$A$133,0))&amp;""</f>
        <v>Uk 1.2</v>
      </c>
      <c r="J249" s="84" t="n">
        <v>178.8</v>
      </c>
      <c r="K249" s="93" t="n">
        <v>0.014789571201694</v>
      </c>
      <c r="L249" s="8" t="n">
        <v>5364000</v>
      </c>
      <c r="M249" s="8" t="n">
        <v>34244.9043099424</v>
      </c>
      <c r="N249" s="8" t="n">
        <v>6122988.89061771</v>
      </c>
      <c r="O249" s="12"/>
      <c r="P249" s="6" t="s">
        <v>1119</v>
      </c>
    </row>
    <row r="250" customFormat="false" ht="15" hidden="false" customHeight="false" outlineLevel="0" collapsed="false">
      <c r="A250" s="74" t="s">
        <v>2628</v>
      </c>
      <c r="B250" s="74" t="s">
        <v>1317</v>
      </c>
      <c r="C250" s="74" t="s">
        <v>2678</v>
      </c>
      <c r="D250" s="8" t="n">
        <v>30000</v>
      </c>
      <c r="E250" s="74" t="s">
        <v>991</v>
      </c>
      <c r="F250" s="74" t="s">
        <v>2688</v>
      </c>
      <c r="G250" s="53" t="str">
        <f aca="false">INDEX(I_Items!$D$5:$D$133,MATCH($E250,I_Items!$A$5:$A$133,0))&amp;""</f>
        <v>Karkas</v>
      </c>
      <c r="H250" s="53" t="str">
        <f aca="false">INDEX(I_Items!$F$5:$F$133,MATCH($E250,I_Items!$A$5:$A$133,0))&amp;""</f>
        <v>Frozen</v>
      </c>
      <c r="I250" s="53" t="str">
        <f aca="false">INDEX(I_Items!$E$5:$E$133,MATCH($E250,I_Items!$A$5:$A$133,0))&amp;""</f>
        <v>Uk 1.3</v>
      </c>
      <c r="J250" s="84" t="n">
        <v>148.1</v>
      </c>
      <c r="K250" s="93" t="n">
        <v>0.0122501985177343</v>
      </c>
      <c r="L250" s="8" t="n">
        <v>4443000</v>
      </c>
      <c r="M250" s="8" t="n">
        <v>34244.9043099424</v>
      </c>
      <c r="N250" s="8" t="n">
        <v>5071670.32830247</v>
      </c>
      <c r="O250" s="12"/>
      <c r="P250" s="6" t="s">
        <v>1119</v>
      </c>
    </row>
    <row r="251" customFormat="false" ht="15" hidden="false" customHeight="false" outlineLevel="0" collapsed="false">
      <c r="A251" s="74" t="s">
        <v>2628</v>
      </c>
      <c r="B251" s="74" t="s">
        <v>1317</v>
      </c>
      <c r="C251" s="74" t="s">
        <v>2680</v>
      </c>
      <c r="D251" s="8" t="n">
        <v>30000</v>
      </c>
      <c r="E251" s="74" t="s">
        <v>994</v>
      </c>
      <c r="F251" s="74" t="s">
        <v>2681</v>
      </c>
      <c r="G251" s="53" t="str">
        <f aca="false">INDEX(I_Items!$D$5:$D$133,MATCH($E251,I_Items!$A$5:$A$133,0))&amp;""</f>
        <v>Karkas</v>
      </c>
      <c r="H251" s="53" t="str">
        <f aca="false">INDEX(I_Items!$F$5:$F$133,MATCH($E251,I_Items!$A$5:$A$133,0))&amp;""</f>
        <v>Frozen</v>
      </c>
      <c r="I251" s="53" t="str">
        <f aca="false">INDEX(I_Items!$E$5:$E$133,MATCH($E251,I_Items!$A$5:$A$133,0))&amp;""</f>
        <v>Uk 1.4</v>
      </c>
      <c r="J251" s="84" t="n">
        <v>100.9</v>
      </c>
      <c r="K251" s="93" t="n">
        <v>0.00834601641079937</v>
      </c>
      <c r="L251" s="8" t="n">
        <v>3027000</v>
      </c>
      <c r="M251" s="8" t="n">
        <v>34244.9043099424</v>
      </c>
      <c r="N251" s="8" t="n">
        <v>3455310.84487319</v>
      </c>
      <c r="O251" s="12"/>
      <c r="P251" s="6" t="s">
        <v>1119</v>
      </c>
    </row>
    <row r="252" customFormat="false" ht="15" hidden="false" customHeight="false" outlineLevel="0" collapsed="false">
      <c r="A252" s="74" t="s">
        <v>2628</v>
      </c>
      <c r="B252" s="74" t="s">
        <v>1317</v>
      </c>
      <c r="C252" s="74" t="s">
        <v>2702</v>
      </c>
      <c r="D252" s="8" t="n">
        <v>30000</v>
      </c>
      <c r="E252" s="74" t="s">
        <v>997</v>
      </c>
      <c r="F252" s="74" t="s">
        <v>2703</v>
      </c>
      <c r="G252" s="53" t="str">
        <f aca="false">INDEX(I_Items!$D$5:$D$133,MATCH($E252,I_Items!$A$5:$A$133,0))&amp;""</f>
        <v>Karkas</v>
      </c>
      <c r="H252" s="53" t="str">
        <f aca="false">INDEX(I_Items!$F$5:$F$133,MATCH($E252,I_Items!$A$5:$A$133,0))&amp;""</f>
        <v>Frozen</v>
      </c>
      <c r="I252" s="53" t="str">
        <f aca="false">INDEX(I_Items!$E$5:$E$133,MATCH($E252,I_Items!$A$5:$A$133,0))&amp;""</f>
        <v>Uk 1.5</v>
      </c>
      <c r="J252" s="84" t="n">
        <v>69.7</v>
      </c>
      <c r="K252" s="93" t="n">
        <v>0.00576528586553732</v>
      </c>
      <c r="L252" s="8" t="n">
        <v>2091000</v>
      </c>
      <c r="M252" s="8" t="n">
        <v>34244.9043099424</v>
      </c>
      <c r="N252" s="8" t="n">
        <v>2386869.83040299</v>
      </c>
      <c r="O252" s="12"/>
      <c r="P252" s="6" t="s">
        <v>1119</v>
      </c>
    </row>
    <row r="253" customFormat="false" ht="15" hidden="false" customHeight="false" outlineLevel="0" collapsed="false">
      <c r="A253" s="74" t="s">
        <v>2628</v>
      </c>
      <c r="B253" s="74" t="s">
        <v>1317</v>
      </c>
      <c r="C253" s="74" t="s">
        <v>2704</v>
      </c>
      <c r="D253" s="8" t="n">
        <v>30000</v>
      </c>
      <c r="E253" s="74" t="s">
        <v>1000</v>
      </c>
      <c r="F253" s="74" t="s">
        <v>2705</v>
      </c>
      <c r="G253" s="53" t="str">
        <f aca="false">INDEX(I_Items!$D$5:$D$133,MATCH($E253,I_Items!$A$5:$A$133,0))&amp;""</f>
        <v>Karkas</v>
      </c>
      <c r="H253" s="53" t="str">
        <f aca="false">INDEX(I_Items!$F$5:$F$133,MATCH($E253,I_Items!$A$5:$A$133,0))&amp;""</f>
        <v>Frozen</v>
      </c>
      <c r="I253" s="53" t="str">
        <f aca="false">INDEX(I_Items!$E$5:$E$133,MATCH($E253,I_Items!$A$5:$A$133,0))&amp;""</f>
        <v>Uk 1.6</v>
      </c>
      <c r="J253" s="84" t="n">
        <v>21.5</v>
      </c>
      <c r="K253" s="93" t="n">
        <v>0.00177838803599788</v>
      </c>
      <c r="L253" s="8" t="n">
        <v>645000</v>
      </c>
      <c r="M253" s="8" t="n">
        <v>34244.9043099424</v>
      </c>
      <c r="N253" s="8" t="n">
        <v>736265.442663762</v>
      </c>
      <c r="O253" s="12"/>
      <c r="P253" s="6" t="s">
        <v>1119</v>
      </c>
    </row>
    <row r="254" customFormat="false" ht="15" hidden="false" customHeight="false" outlineLevel="0" collapsed="false">
      <c r="A254" s="74" t="s">
        <v>2628</v>
      </c>
      <c r="B254" s="74" t="s">
        <v>1317</v>
      </c>
      <c r="C254" s="74" t="s">
        <v>2706</v>
      </c>
      <c r="D254" s="8" t="n">
        <v>30000</v>
      </c>
      <c r="E254" s="74" t="s">
        <v>1003</v>
      </c>
      <c r="F254" s="74" t="s">
        <v>2707</v>
      </c>
      <c r="G254" s="53" t="str">
        <f aca="false">INDEX(I_Items!$D$5:$D$133,MATCH($E254,I_Items!$A$5:$A$133,0))&amp;""</f>
        <v>Karkas</v>
      </c>
      <c r="H254" s="53" t="str">
        <f aca="false">INDEX(I_Items!$F$5:$F$133,MATCH($E254,I_Items!$A$5:$A$133,0))&amp;""</f>
        <v>Frozen</v>
      </c>
      <c r="I254" s="53" t="str">
        <f aca="false">INDEX(I_Items!$E$5:$E$133,MATCH($E254,I_Items!$A$5:$A$133,0))&amp;""</f>
        <v>Uk 1.7</v>
      </c>
      <c r="J254" s="84" t="n">
        <v>3.5</v>
      </c>
      <c r="K254" s="93" t="n">
        <v>0.000289505029115934</v>
      </c>
      <c r="L254" s="8" t="n">
        <v>105000</v>
      </c>
      <c r="M254" s="8" t="n">
        <v>34244.9043099424</v>
      </c>
      <c r="N254" s="8" t="n">
        <v>119857.165084799</v>
      </c>
      <c r="O254" s="12"/>
      <c r="P254" s="6" t="s">
        <v>1119</v>
      </c>
    </row>
    <row r="255" customFormat="false" ht="15" hidden="false" customHeight="false" outlineLevel="0" collapsed="false">
      <c r="A255" s="74" t="s">
        <v>2629</v>
      </c>
      <c r="B255" s="74" t="s">
        <v>1320</v>
      </c>
      <c r="C255" s="74" t="s">
        <v>2642</v>
      </c>
      <c r="D255" s="8" t="n">
        <v>33000</v>
      </c>
      <c r="E255" s="74" t="s">
        <v>1016</v>
      </c>
      <c r="F255" s="74" t="s">
        <v>2643</v>
      </c>
      <c r="G255" s="53" t="str">
        <f aca="false">INDEX(I_Items!$D$5:$D$133,MATCH($E255,I_Items!$A$5:$A$133,0))&amp;""</f>
        <v>Karkas</v>
      </c>
      <c r="H255" s="53" t="str">
        <f aca="false">INDEX(I_Items!$F$5:$F$133,MATCH($E255,I_Items!$A$5:$A$133,0))&amp;""</f>
        <v>Frozen</v>
      </c>
      <c r="I255" s="53" t="str">
        <f aca="false">INDEX(I_Items!$E$5:$E$133,MATCH($E255,I_Items!$A$5:$A$133,0))&amp;""</f>
        <v>Uk 0.6</v>
      </c>
      <c r="J255" s="84" t="n">
        <v>3.4</v>
      </c>
      <c r="K255" s="93" t="n">
        <v>0.000291061002961974</v>
      </c>
      <c r="L255" s="8" t="n">
        <v>112200</v>
      </c>
      <c r="M255" s="8" t="n">
        <v>37184.3434452171</v>
      </c>
      <c r="N255" s="8" t="n">
        <v>126426.767713738</v>
      </c>
      <c r="O255" s="12"/>
      <c r="P255" s="6" t="s">
        <v>1119</v>
      </c>
    </row>
    <row r="256" customFormat="false" ht="15" hidden="false" customHeight="false" outlineLevel="0" collapsed="false">
      <c r="A256" s="74" t="s">
        <v>2629</v>
      </c>
      <c r="B256" s="74" t="s">
        <v>1320</v>
      </c>
      <c r="C256" s="74" t="s">
        <v>2644</v>
      </c>
      <c r="D256" s="8" t="n">
        <v>33000</v>
      </c>
      <c r="E256" s="74" t="s">
        <v>1017</v>
      </c>
      <c r="F256" s="74" t="s">
        <v>2645</v>
      </c>
      <c r="G256" s="53" t="str">
        <f aca="false">INDEX(I_Items!$D$5:$D$133,MATCH($E256,I_Items!$A$5:$A$133,0))&amp;""</f>
        <v>Karkas</v>
      </c>
      <c r="H256" s="53" t="str">
        <f aca="false">INDEX(I_Items!$F$5:$F$133,MATCH($E256,I_Items!$A$5:$A$133,0))&amp;""</f>
        <v>Frozen</v>
      </c>
      <c r="I256" s="53" t="str">
        <f aca="false">INDEX(I_Items!$E$5:$E$133,MATCH($E256,I_Items!$A$5:$A$133,0))&amp;""</f>
        <v>Uk 0.7</v>
      </c>
      <c r="J256" s="84" t="n">
        <v>19.9</v>
      </c>
      <c r="K256" s="93" t="n">
        <v>0.00170356292910096</v>
      </c>
      <c r="L256" s="8" t="n">
        <v>656700</v>
      </c>
      <c r="M256" s="8" t="n">
        <v>37184.3434452171</v>
      </c>
      <c r="N256" s="8" t="n">
        <v>739968.434559821</v>
      </c>
      <c r="O256" s="12"/>
      <c r="P256" s="6" t="s">
        <v>1119</v>
      </c>
    </row>
    <row r="257" customFormat="false" ht="15" hidden="false" customHeight="false" outlineLevel="0" collapsed="false">
      <c r="A257" s="74" t="s">
        <v>2629</v>
      </c>
      <c r="B257" s="74" t="s">
        <v>1320</v>
      </c>
      <c r="C257" s="74" t="s">
        <v>2646</v>
      </c>
      <c r="D257" s="8" t="n">
        <v>33000</v>
      </c>
      <c r="E257" s="74" t="s">
        <v>1014</v>
      </c>
      <c r="F257" s="74" t="s">
        <v>2647</v>
      </c>
      <c r="G257" s="53" t="str">
        <f aca="false">INDEX(I_Items!$D$5:$D$133,MATCH($E257,I_Items!$A$5:$A$133,0))&amp;""</f>
        <v>Karkas</v>
      </c>
      <c r="H257" s="53" t="str">
        <f aca="false">INDEX(I_Items!$F$5:$F$133,MATCH($E257,I_Items!$A$5:$A$133,0))&amp;""</f>
        <v>Frozen</v>
      </c>
      <c r="I257" s="53" t="str">
        <f aca="false">INDEX(I_Items!$E$5:$E$133,MATCH($E257,I_Items!$A$5:$A$133,0))&amp;""</f>
        <v>Uk 0.8</v>
      </c>
      <c r="J257" s="84" t="n">
        <v>100.1</v>
      </c>
      <c r="K257" s="93" t="n">
        <v>0.00856917835190987</v>
      </c>
      <c r="L257" s="8" t="n">
        <v>3303300</v>
      </c>
      <c r="M257" s="8" t="n">
        <v>37184.3434452171</v>
      </c>
      <c r="N257" s="8" t="n">
        <v>3722152.77886624</v>
      </c>
      <c r="O257" s="12"/>
      <c r="P257" s="6" t="s">
        <v>1119</v>
      </c>
    </row>
    <row r="258" customFormat="false" ht="15" hidden="false" customHeight="false" outlineLevel="0" collapsed="false">
      <c r="A258" s="74" t="s">
        <v>2629</v>
      </c>
      <c r="B258" s="74" t="s">
        <v>1320</v>
      </c>
      <c r="C258" s="74" t="s">
        <v>2648</v>
      </c>
      <c r="D258" s="8" t="n">
        <v>33000</v>
      </c>
      <c r="E258" s="74" t="s">
        <v>1013</v>
      </c>
      <c r="F258" s="74" t="s">
        <v>2718</v>
      </c>
      <c r="G258" s="53" t="str">
        <f aca="false">INDEX(I_Items!$D$5:$D$133,MATCH($E258,I_Items!$A$5:$A$133,0))&amp;""</f>
        <v>Karkas</v>
      </c>
      <c r="H258" s="53" t="str">
        <f aca="false">INDEX(I_Items!$F$5:$F$133,MATCH($E258,I_Items!$A$5:$A$133,0))&amp;""</f>
        <v>Frozen</v>
      </c>
      <c r="I258" s="53" t="str">
        <f aca="false">INDEX(I_Items!$E$5:$E$133,MATCH($E258,I_Items!$A$5:$A$133,0))&amp;""</f>
        <v>Uk 0.9</v>
      </c>
      <c r="J258" s="84" t="n">
        <v>293.2</v>
      </c>
      <c r="K258" s="93" t="n">
        <v>0.0250997311966032</v>
      </c>
      <c r="L258" s="8" t="n">
        <v>9675600</v>
      </c>
      <c r="M258" s="8" t="n">
        <v>37184.3434452171</v>
      </c>
      <c r="N258" s="8" t="n">
        <v>10902449.4981377</v>
      </c>
      <c r="O258" s="12"/>
      <c r="P258" s="6" t="s">
        <v>1119</v>
      </c>
    </row>
    <row r="259" customFormat="false" ht="15" hidden="false" customHeight="false" outlineLevel="0" collapsed="false">
      <c r="A259" s="74" t="s">
        <v>2629</v>
      </c>
      <c r="B259" s="74" t="s">
        <v>1320</v>
      </c>
      <c r="C259" s="74" t="s">
        <v>2650</v>
      </c>
      <c r="D259" s="8" t="n">
        <v>33000</v>
      </c>
      <c r="E259" s="74" t="s">
        <v>978</v>
      </c>
      <c r="F259" s="74" t="s">
        <v>2651</v>
      </c>
      <c r="G259" s="53" t="str">
        <f aca="false">INDEX(I_Items!$D$5:$D$133,MATCH($E259,I_Items!$A$5:$A$133,0))&amp;""</f>
        <v>Karkas</v>
      </c>
      <c r="H259" s="53" t="str">
        <f aca="false">INDEX(I_Items!$F$5:$F$133,MATCH($E259,I_Items!$A$5:$A$133,0))&amp;""</f>
        <v>Fresh</v>
      </c>
      <c r="I259" s="53" t="str">
        <f aca="false">INDEX(I_Items!$E$5:$E$133,MATCH($E259,I_Items!$A$5:$A$133,0))&amp;""</f>
        <v>Uk 1.0</v>
      </c>
      <c r="J259" s="84" t="n">
        <v>708.2</v>
      </c>
      <c r="K259" s="93" t="n">
        <v>0.0606262947934323</v>
      </c>
      <c r="L259" s="8" t="n">
        <v>23370600</v>
      </c>
      <c r="M259" s="8" t="n">
        <v>37184.3434452171</v>
      </c>
      <c r="N259" s="8" t="n">
        <v>26333952.0279028</v>
      </c>
      <c r="O259" s="12"/>
      <c r="P259" s="6" t="s">
        <v>1119</v>
      </c>
    </row>
    <row r="260" customFormat="false" ht="15" hidden="false" customHeight="false" outlineLevel="0" collapsed="false">
      <c r="A260" s="74" t="s">
        <v>2629</v>
      </c>
      <c r="B260" s="74" t="s">
        <v>1320</v>
      </c>
      <c r="C260" s="74" t="s">
        <v>2652</v>
      </c>
      <c r="D260" s="8" t="n">
        <v>33000</v>
      </c>
      <c r="E260" s="74" t="s">
        <v>984</v>
      </c>
      <c r="F260" s="74" t="s">
        <v>2690</v>
      </c>
      <c r="G260" s="53" t="str">
        <f aca="false">INDEX(I_Items!$D$5:$D$133,MATCH($E260,I_Items!$A$5:$A$133,0))&amp;""</f>
        <v>Karkas</v>
      </c>
      <c r="H260" s="53" t="str">
        <f aca="false">INDEX(I_Items!$F$5:$F$133,MATCH($E260,I_Items!$A$5:$A$133,0))&amp;""</f>
        <v>Frozen</v>
      </c>
      <c r="I260" s="53" t="str">
        <f aca="false">INDEX(I_Items!$E$5:$E$133,MATCH($E260,I_Items!$A$5:$A$133,0))&amp;""</f>
        <v>Uk 1.1</v>
      </c>
      <c r="J260" s="84" t="n">
        <v>1429.3</v>
      </c>
      <c r="K260" s="93" t="n">
        <v>0.122356909274573</v>
      </c>
      <c r="L260" s="8" t="n">
        <v>47166900</v>
      </c>
      <c r="M260" s="8" t="n">
        <v>37184.3434452171</v>
      </c>
      <c r="N260" s="8" t="n">
        <v>53147582.0862488</v>
      </c>
      <c r="O260" s="12"/>
      <c r="P260" s="6" t="s">
        <v>1119</v>
      </c>
    </row>
    <row r="261" customFormat="false" ht="15" hidden="false" customHeight="false" outlineLevel="0" collapsed="false">
      <c r="A261" s="74" t="s">
        <v>2629</v>
      </c>
      <c r="B261" s="74" t="s">
        <v>1320</v>
      </c>
      <c r="C261" s="74" t="s">
        <v>2654</v>
      </c>
      <c r="D261" s="8" t="n">
        <v>33000</v>
      </c>
      <c r="E261" s="74" t="s">
        <v>986</v>
      </c>
      <c r="F261" s="74" t="s">
        <v>2655</v>
      </c>
      <c r="G261" s="53" t="str">
        <f aca="false">INDEX(I_Items!$D$5:$D$133,MATCH($E261,I_Items!$A$5:$A$133,0))&amp;""</f>
        <v>Karkas</v>
      </c>
      <c r="H261" s="53" t="str">
        <f aca="false">INDEX(I_Items!$F$5:$F$133,MATCH($E261,I_Items!$A$5:$A$133,0))&amp;""</f>
        <v>Fresh</v>
      </c>
      <c r="I261" s="53" t="str">
        <f aca="false">INDEX(I_Items!$E$5:$E$133,MATCH($E261,I_Items!$A$5:$A$133,0))&amp;""</f>
        <v>Uk 1.2</v>
      </c>
      <c r="J261" s="84" t="n">
        <v>1644.3</v>
      </c>
      <c r="K261" s="93" t="n">
        <v>0.140762237403051</v>
      </c>
      <c r="L261" s="8" t="n">
        <v>54261900</v>
      </c>
      <c r="M261" s="8" t="n">
        <v>37184.3434452171</v>
      </c>
      <c r="N261" s="8" t="n">
        <v>61142215.9269705</v>
      </c>
      <c r="O261" s="12"/>
      <c r="P261" s="6" t="s">
        <v>1119</v>
      </c>
    </row>
    <row r="262" customFormat="false" ht="15" hidden="false" customHeight="false" outlineLevel="0" collapsed="false">
      <c r="A262" s="74" t="s">
        <v>2629</v>
      </c>
      <c r="B262" s="74" t="s">
        <v>1320</v>
      </c>
      <c r="C262" s="74" t="s">
        <v>2656</v>
      </c>
      <c r="D262" s="8" t="n">
        <v>33000</v>
      </c>
      <c r="E262" s="74" t="s">
        <v>990</v>
      </c>
      <c r="F262" s="74" t="s">
        <v>2657</v>
      </c>
      <c r="G262" s="53" t="str">
        <f aca="false">INDEX(I_Items!$D$5:$D$133,MATCH($E262,I_Items!$A$5:$A$133,0))&amp;""</f>
        <v>Karkas</v>
      </c>
      <c r="H262" s="53" t="str">
        <f aca="false">INDEX(I_Items!$F$5:$F$133,MATCH($E262,I_Items!$A$5:$A$133,0))&amp;""</f>
        <v>Fresh</v>
      </c>
      <c r="I262" s="53" t="str">
        <f aca="false">INDEX(I_Items!$E$5:$E$133,MATCH($E262,I_Items!$A$5:$A$133,0))&amp;""</f>
        <v>Uk 1.3</v>
      </c>
      <c r="J262" s="84" t="n">
        <v>1681.7</v>
      </c>
      <c r="K262" s="93" t="n">
        <v>0.143963908435633</v>
      </c>
      <c r="L262" s="8" t="n">
        <v>55496100</v>
      </c>
      <c r="M262" s="8" t="n">
        <v>37184.3434452171</v>
      </c>
      <c r="N262" s="8" t="n">
        <v>62532910.3718216</v>
      </c>
      <c r="O262" s="12"/>
      <c r="P262" s="6" t="s">
        <v>1119</v>
      </c>
    </row>
    <row r="263" customFormat="false" ht="15" hidden="false" customHeight="false" outlineLevel="0" collapsed="false">
      <c r="A263" s="74" t="s">
        <v>2629</v>
      </c>
      <c r="B263" s="74" t="s">
        <v>1320</v>
      </c>
      <c r="C263" s="74" t="s">
        <v>2658</v>
      </c>
      <c r="D263" s="8" t="n">
        <v>33000</v>
      </c>
      <c r="E263" s="74" t="s">
        <v>993</v>
      </c>
      <c r="F263" s="74" t="s">
        <v>2659</v>
      </c>
      <c r="G263" s="53" t="str">
        <f aca="false">INDEX(I_Items!$D$5:$D$133,MATCH($E263,I_Items!$A$5:$A$133,0))&amp;""</f>
        <v>Karkas</v>
      </c>
      <c r="H263" s="53" t="str">
        <f aca="false">INDEX(I_Items!$F$5:$F$133,MATCH($E263,I_Items!$A$5:$A$133,0))&amp;""</f>
        <v>Fresh</v>
      </c>
      <c r="I263" s="53" t="str">
        <f aca="false">INDEX(I_Items!$E$5:$E$133,MATCH($E263,I_Items!$A$5:$A$133,0))&amp;""</f>
        <v>Uk 1.4</v>
      </c>
      <c r="J263" s="84" t="n">
        <v>985.2</v>
      </c>
      <c r="K263" s="93" t="n">
        <v>0.084339205917099</v>
      </c>
      <c r="L263" s="8" t="n">
        <v>32511600</v>
      </c>
      <c r="M263" s="8" t="n">
        <v>37184.3434452171</v>
      </c>
      <c r="N263" s="8" t="n">
        <v>36634015.1622279</v>
      </c>
      <c r="O263" s="12"/>
      <c r="P263" s="6" t="s">
        <v>1119</v>
      </c>
    </row>
    <row r="264" customFormat="false" ht="15" hidden="false" customHeight="false" outlineLevel="0" collapsed="false">
      <c r="A264" s="74" t="s">
        <v>2629</v>
      </c>
      <c r="B264" s="74" t="s">
        <v>1320</v>
      </c>
      <c r="C264" s="74" t="s">
        <v>2692</v>
      </c>
      <c r="D264" s="8" t="n">
        <v>33000</v>
      </c>
      <c r="E264" s="74" t="s">
        <v>996</v>
      </c>
      <c r="F264" s="74" t="s">
        <v>2693</v>
      </c>
      <c r="G264" s="53" t="str">
        <f aca="false">INDEX(I_Items!$D$5:$D$133,MATCH($E264,I_Items!$A$5:$A$133,0))&amp;""</f>
        <v>Karkas</v>
      </c>
      <c r="H264" s="53" t="str">
        <f aca="false">INDEX(I_Items!$F$5:$F$133,MATCH($E264,I_Items!$A$5:$A$133,0))&amp;""</f>
        <v>Fresh</v>
      </c>
      <c r="I264" s="53" t="str">
        <f aca="false">INDEX(I_Items!$E$5:$E$133,MATCH($E264,I_Items!$A$5:$A$133,0))&amp;""</f>
        <v>Uk 1.5</v>
      </c>
      <c r="J264" s="84" t="n">
        <v>471.7</v>
      </c>
      <c r="K264" s="93" t="n">
        <v>0.0403804338521068</v>
      </c>
      <c r="L264" s="8" t="n">
        <v>15566100</v>
      </c>
      <c r="M264" s="8" t="n">
        <v>37184.3434452171</v>
      </c>
      <c r="N264" s="8" t="n">
        <v>17539854.8031089</v>
      </c>
      <c r="O264" s="12"/>
      <c r="P264" s="6" t="s">
        <v>1119</v>
      </c>
    </row>
    <row r="265" customFormat="false" ht="15" hidden="false" customHeight="false" outlineLevel="0" collapsed="false">
      <c r="A265" s="74" t="s">
        <v>2629</v>
      </c>
      <c r="B265" s="74" t="s">
        <v>1320</v>
      </c>
      <c r="C265" s="74" t="s">
        <v>2694</v>
      </c>
      <c r="D265" s="8" t="n">
        <v>33000</v>
      </c>
      <c r="E265" s="74" t="s">
        <v>1001</v>
      </c>
      <c r="F265" s="74" t="s">
        <v>2721</v>
      </c>
      <c r="G265" s="53" t="str">
        <f aca="false">INDEX(I_Items!$D$5:$D$133,MATCH($E265,I_Items!$A$5:$A$133,0))&amp;""</f>
        <v>Karkas</v>
      </c>
      <c r="H265" s="53" t="str">
        <f aca="false">INDEX(I_Items!$F$5:$F$133,MATCH($E265,I_Items!$A$5:$A$133,0))&amp;""</f>
        <v>Frozen</v>
      </c>
      <c r="I265" s="53" t="str">
        <f aca="false">INDEX(I_Items!$E$5:$E$133,MATCH($E265,I_Items!$A$5:$A$133,0))&amp;""</f>
        <v>Uk 1.6</v>
      </c>
      <c r="J265" s="84" t="n">
        <v>138.4</v>
      </c>
      <c r="K265" s="93" t="n">
        <v>0.0118478949440992</v>
      </c>
      <c r="L265" s="8" t="n">
        <v>4567200</v>
      </c>
      <c r="M265" s="8" t="n">
        <v>37184.3434452171</v>
      </c>
      <c r="N265" s="8" t="n">
        <v>5146313.13281805</v>
      </c>
      <c r="O265" s="12"/>
      <c r="P265" s="6" t="s">
        <v>1119</v>
      </c>
    </row>
    <row r="266" customFormat="false" ht="15" hidden="false" customHeight="false" outlineLevel="0" collapsed="false">
      <c r="A266" s="74" t="s">
        <v>2629</v>
      </c>
      <c r="B266" s="74" t="s">
        <v>1320</v>
      </c>
      <c r="C266" s="74" t="s">
        <v>2696</v>
      </c>
      <c r="D266" s="8" t="n">
        <v>33000</v>
      </c>
      <c r="E266" s="74" t="s">
        <v>1004</v>
      </c>
      <c r="F266" s="74" t="s">
        <v>2697</v>
      </c>
      <c r="G266" s="53" t="str">
        <f aca="false">INDEX(I_Items!$D$5:$D$133,MATCH($E266,I_Items!$A$5:$A$133,0))&amp;""</f>
        <v>Karkas</v>
      </c>
      <c r="H266" s="53" t="str">
        <f aca="false">INDEX(I_Items!$F$5:$F$133,MATCH($E266,I_Items!$A$5:$A$133,0))&amp;""</f>
        <v>Frozen</v>
      </c>
      <c r="I266" s="53" t="str">
        <f aca="false">INDEX(I_Items!$E$5:$E$133,MATCH($E266,I_Items!$A$5:$A$133,0))&amp;""</f>
        <v>Uk 1.7</v>
      </c>
      <c r="J266" s="84" t="n">
        <v>17.9</v>
      </c>
      <c r="K266" s="93" t="n">
        <v>0.00153235057441745</v>
      </c>
      <c r="L266" s="8" t="n">
        <v>590700</v>
      </c>
      <c r="M266" s="8" t="n">
        <v>37184.3434452171</v>
      </c>
      <c r="N266" s="8" t="n">
        <v>665599.747669387</v>
      </c>
      <c r="O266" s="12"/>
      <c r="P266" s="6" t="s">
        <v>1119</v>
      </c>
    </row>
    <row r="267" customFormat="false" ht="15" hidden="false" customHeight="false" outlineLevel="0" collapsed="false">
      <c r="A267" s="74" t="s">
        <v>2629</v>
      </c>
      <c r="B267" s="74" t="s">
        <v>1320</v>
      </c>
      <c r="C267" s="74" t="s">
        <v>2698</v>
      </c>
      <c r="D267" s="8" t="n">
        <v>33000</v>
      </c>
      <c r="E267" s="74" t="s">
        <v>1006</v>
      </c>
      <c r="F267" s="74" t="s">
        <v>2699</v>
      </c>
      <c r="G267" s="53" t="str">
        <f aca="false">INDEX(I_Items!$D$5:$D$133,MATCH($E267,I_Items!$A$5:$A$133,0))&amp;""</f>
        <v>Karkas</v>
      </c>
      <c r="H267" s="53" t="str">
        <f aca="false">INDEX(I_Items!$F$5:$F$133,MATCH($E267,I_Items!$A$5:$A$133,0))&amp;""</f>
        <v>Frozen</v>
      </c>
      <c r="I267" s="53" t="str">
        <f aca="false">INDEX(I_Items!$E$5:$E$133,MATCH($E267,I_Items!$A$5:$A$133,0))&amp;""</f>
        <v>Uk 1.8</v>
      </c>
      <c r="J267" s="84" t="n">
        <v>5.6</v>
      </c>
      <c r="K267" s="93" t="n">
        <v>0.000479394593113839</v>
      </c>
      <c r="L267" s="8" t="n">
        <v>184800</v>
      </c>
      <c r="M267" s="8" t="n">
        <v>37184.3434452171</v>
      </c>
      <c r="N267" s="8" t="n">
        <v>208232.323293216</v>
      </c>
      <c r="O267" s="12"/>
      <c r="P267" s="6" t="s">
        <v>1119</v>
      </c>
    </row>
    <row r="268" customFormat="false" ht="15" hidden="false" customHeight="false" outlineLevel="0" collapsed="false">
      <c r="A268" s="74" t="s">
        <v>2629</v>
      </c>
      <c r="B268" s="74" t="s">
        <v>1320</v>
      </c>
      <c r="C268" s="74" t="s">
        <v>360</v>
      </c>
      <c r="D268" s="8" t="n">
        <v>24000</v>
      </c>
      <c r="E268" s="74" t="s">
        <v>961</v>
      </c>
      <c r="F268" s="74" t="s">
        <v>2712</v>
      </c>
      <c r="G268" s="53" t="str">
        <f aca="false">INDEX(I_Items!$D$5:$D$133,MATCH($E268,I_Items!$A$5:$A$133,0))&amp;""</f>
        <v>Lemak</v>
      </c>
      <c r="H268" s="53" t="str">
        <f aca="false">INDEX(I_Items!$F$5:$F$133,MATCH($E268,I_Items!$A$5:$A$133,0))&amp;""</f>
        <v>Frozen</v>
      </c>
      <c r="I268" s="53" t="str">
        <f aca="false">INDEX(I_Items!$E$5:$E$133,MATCH($E268,I_Items!$A$5:$A$133,0))&amp;""</f>
        <v/>
      </c>
      <c r="J268" s="84" t="n">
        <v>17.9</v>
      </c>
      <c r="K268" s="93" t="n">
        <v>0.00153235057441745</v>
      </c>
      <c r="L268" s="8" t="n">
        <v>429600</v>
      </c>
      <c r="M268" s="8" t="n">
        <v>27043.1588692488</v>
      </c>
      <c r="N268" s="8" t="n">
        <v>484072.543759554</v>
      </c>
      <c r="O268" s="12"/>
      <c r="P268" s="6" t="s">
        <v>1119</v>
      </c>
    </row>
    <row r="269" customFormat="false" ht="15" hidden="false" customHeight="false" outlineLevel="0" collapsed="false">
      <c r="A269" s="74" t="s">
        <v>2629</v>
      </c>
      <c r="B269" s="74" t="s">
        <v>1320</v>
      </c>
      <c r="C269" s="74" t="s">
        <v>248</v>
      </c>
      <c r="D269" s="8" t="n">
        <v>12000</v>
      </c>
      <c r="E269" s="74" t="s">
        <v>950</v>
      </c>
      <c r="F269" s="74" t="s">
        <v>2661</v>
      </c>
      <c r="G269" s="53" t="str">
        <f aca="false">INDEX(I_Items!$D$5:$D$133,MATCH($E269,I_Items!$A$5:$A$133,0))&amp;""</f>
        <v>Kepala</v>
      </c>
      <c r="H269" s="53" t="str">
        <f aca="false">INDEX(I_Items!$F$5:$F$133,MATCH($E269,I_Items!$A$5:$A$133,0))&amp;""</f>
        <v>Fresh</v>
      </c>
      <c r="I269" s="53" t="str">
        <f aca="false">INDEX(I_Items!$E$5:$E$133,MATCH($E269,I_Items!$A$5:$A$133,0))&amp;""</f>
        <v/>
      </c>
      <c r="J269" s="84" t="n">
        <v>489.9</v>
      </c>
      <c r="K269" s="93" t="n">
        <v>0.0419384662797267</v>
      </c>
      <c r="L269" s="8" t="n">
        <v>5878800</v>
      </c>
      <c r="M269" s="8" t="n">
        <v>13521.5794346244</v>
      </c>
      <c r="N269" s="8" t="n">
        <v>6624221.7650225</v>
      </c>
      <c r="O269" s="12"/>
      <c r="P269" s="6" t="s">
        <v>1119</v>
      </c>
    </row>
    <row r="270" customFormat="false" ht="15" hidden="false" customHeight="false" outlineLevel="0" collapsed="false">
      <c r="A270" s="74" t="s">
        <v>2629</v>
      </c>
      <c r="B270" s="74" t="s">
        <v>1320</v>
      </c>
      <c r="C270" s="74" t="s">
        <v>242</v>
      </c>
      <c r="D270" s="8" t="n">
        <v>16000</v>
      </c>
      <c r="E270" s="74" t="s">
        <v>948</v>
      </c>
      <c r="F270" s="74" t="s">
        <v>2662</v>
      </c>
      <c r="G270" s="53" t="str">
        <f aca="false">INDEX(I_Items!$D$5:$D$133,MATCH($E270,I_Items!$A$5:$A$133,0))&amp;""</f>
        <v>Ceker</v>
      </c>
      <c r="H270" s="53" t="str">
        <f aca="false">INDEX(I_Items!$F$5:$F$133,MATCH($E270,I_Items!$A$5:$A$133,0))&amp;""</f>
        <v>Fresh</v>
      </c>
      <c r="I270" s="53" t="str">
        <f aca="false">INDEX(I_Items!$E$5:$E$133,MATCH($E270,I_Items!$A$5:$A$133,0))&amp;""</f>
        <v/>
      </c>
      <c r="J270" s="84" t="n">
        <v>316.1</v>
      </c>
      <c r="K270" s="93" t="n">
        <v>0.0270601126577294</v>
      </c>
      <c r="L270" s="8" t="n">
        <v>5057600</v>
      </c>
      <c r="M270" s="8" t="n">
        <v>18028.7725794992</v>
      </c>
      <c r="N270" s="8" t="n">
        <v>5698895.0123797</v>
      </c>
      <c r="O270" s="12"/>
      <c r="P270" s="6" t="s">
        <v>1119</v>
      </c>
    </row>
    <row r="271" customFormat="false" ht="15" hidden="false" customHeight="false" outlineLevel="0" collapsed="false">
      <c r="A271" s="74" t="s">
        <v>2629</v>
      </c>
      <c r="B271" s="74" t="s">
        <v>1320</v>
      </c>
      <c r="C271" s="74" t="s">
        <v>253</v>
      </c>
      <c r="D271" s="8" t="n">
        <v>5000</v>
      </c>
      <c r="E271" s="74" t="s">
        <v>953</v>
      </c>
      <c r="F271" s="74" t="s">
        <v>2682</v>
      </c>
      <c r="G271" s="53" t="str">
        <f aca="false">INDEX(I_Items!$D$5:$D$133,MATCH($E271,I_Items!$A$5:$A$133,0))&amp;""</f>
        <v>Usus</v>
      </c>
      <c r="H271" s="53" t="str">
        <f aca="false">INDEX(I_Items!$F$5:$F$133,MATCH($E271,I_Items!$A$5:$A$133,0))&amp;""</f>
        <v>Fresh</v>
      </c>
      <c r="I271" s="53" t="str">
        <f aca="false">INDEX(I_Items!$E$5:$E$133,MATCH($E271,I_Items!$A$5:$A$133,0))&amp;""</f>
        <v/>
      </c>
      <c r="J271" s="84" t="n">
        <v>517.4</v>
      </c>
      <c r="K271" s="93" t="n">
        <v>0.0442926361566251</v>
      </c>
      <c r="L271" s="8" t="n">
        <v>2587000</v>
      </c>
      <c r="M271" s="8" t="n">
        <v>5633.99143109351</v>
      </c>
      <c r="N271" s="8" t="n">
        <v>2915027.16644778</v>
      </c>
      <c r="O271" s="12"/>
      <c r="P271" s="6" t="s">
        <v>1119</v>
      </c>
    </row>
    <row r="272" customFormat="false" ht="15" hidden="false" customHeight="false" outlineLevel="0" collapsed="false">
      <c r="A272" s="74" t="s">
        <v>2629</v>
      </c>
      <c r="B272" s="74" t="s">
        <v>1320</v>
      </c>
      <c r="C272" s="74" t="s">
        <v>2665</v>
      </c>
      <c r="D272" s="8" t="n">
        <v>5000</v>
      </c>
      <c r="E272" s="74" t="s">
        <v>949</v>
      </c>
      <c r="F272" s="74" t="s">
        <v>2666</v>
      </c>
      <c r="G272" s="53" t="str">
        <f aca="false">INDEX(I_Items!$D$5:$D$133,MATCH($E272,I_Items!$A$5:$A$133,0))&amp;""</f>
        <v>HJA (Hati/Jantung/Ampela)</v>
      </c>
      <c r="H272" s="53" t="str">
        <f aca="false">INDEX(I_Items!$F$5:$F$133,MATCH($E272,I_Items!$A$5:$A$133,0))&amp;""</f>
        <v>Fresh</v>
      </c>
      <c r="I272" s="53" t="str">
        <f aca="false">INDEX(I_Items!$E$5:$E$133,MATCH($E272,I_Items!$A$5:$A$133,0))&amp;""</f>
        <v/>
      </c>
      <c r="J272" s="84" t="n">
        <v>606.2</v>
      </c>
      <c r="K272" s="93" t="n">
        <v>0.0518944647045731</v>
      </c>
      <c r="L272" s="8" t="n">
        <v>3031000</v>
      </c>
      <c r="M272" s="8" t="n">
        <v>5633.99143109351</v>
      </c>
      <c r="N272" s="8" t="n">
        <v>3415325.60552888</v>
      </c>
      <c r="O272" s="12"/>
      <c r="P272" s="6" t="s">
        <v>1119</v>
      </c>
    </row>
    <row r="273" customFormat="false" ht="15" hidden="false" customHeight="false" outlineLevel="0" collapsed="false">
      <c r="A273" s="74" t="s">
        <v>2629</v>
      </c>
      <c r="B273" s="74" t="s">
        <v>1320</v>
      </c>
      <c r="C273" s="74" t="s">
        <v>2667</v>
      </c>
      <c r="D273" s="8" t="n">
        <v>30000</v>
      </c>
      <c r="E273" s="74" t="s">
        <v>973</v>
      </c>
      <c r="F273" s="74" t="s">
        <v>2668</v>
      </c>
      <c r="G273" s="53" t="str">
        <f aca="false">INDEX(I_Items!$D$5:$D$133,MATCH($E273,I_Items!$A$5:$A$133,0))&amp;""</f>
        <v>Karkas</v>
      </c>
      <c r="H273" s="53" t="str">
        <f aca="false">INDEX(I_Items!$F$5:$F$133,MATCH($E273,I_Items!$A$5:$A$133,0))&amp;""</f>
        <v>Frozen</v>
      </c>
      <c r="I273" s="53" t="str">
        <f aca="false">INDEX(I_Items!$E$5:$E$133,MATCH($E273,I_Items!$A$5:$A$133,0))&amp;""</f>
        <v>Uk 0.7</v>
      </c>
      <c r="J273" s="84" t="n">
        <v>2.3</v>
      </c>
      <c r="K273" s="93" t="n">
        <v>0.000196894207886041</v>
      </c>
      <c r="L273" s="8" t="n">
        <v>69000</v>
      </c>
      <c r="M273" s="8" t="n">
        <v>33803.948586561</v>
      </c>
      <c r="N273" s="8" t="n">
        <v>77749.0817490904</v>
      </c>
      <c r="O273" s="12"/>
      <c r="P273" s="6" t="s">
        <v>1119</v>
      </c>
    </row>
    <row r="274" customFormat="false" ht="15" hidden="false" customHeight="false" outlineLevel="0" collapsed="false">
      <c r="A274" s="74" t="s">
        <v>2629</v>
      </c>
      <c r="B274" s="74" t="s">
        <v>1320</v>
      </c>
      <c r="C274" s="74" t="s">
        <v>2669</v>
      </c>
      <c r="D274" s="8" t="n">
        <v>30000</v>
      </c>
      <c r="E274" s="74" t="s">
        <v>974</v>
      </c>
      <c r="F274" s="74" t="s">
        <v>2670</v>
      </c>
      <c r="G274" s="53" t="str">
        <f aca="false">INDEX(I_Items!$D$5:$D$133,MATCH($E274,I_Items!$A$5:$A$133,0))&amp;""</f>
        <v>Karkas</v>
      </c>
      <c r="H274" s="53" t="str">
        <f aca="false">INDEX(I_Items!$F$5:$F$133,MATCH($E274,I_Items!$A$5:$A$133,0))&amp;""</f>
        <v>Frozen</v>
      </c>
      <c r="I274" s="53" t="str">
        <f aca="false">INDEX(I_Items!$E$5:$E$133,MATCH($E274,I_Items!$A$5:$A$133,0))&amp;""</f>
        <v>Uk 0.8</v>
      </c>
      <c r="J274" s="84" t="n">
        <v>13.9</v>
      </c>
      <c r="K274" s="93" t="n">
        <v>0.00118992586505042</v>
      </c>
      <c r="L274" s="8" t="n">
        <v>417000</v>
      </c>
      <c r="M274" s="8" t="n">
        <v>33803.948586561</v>
      </c>
      <c r="N274" s="8" t="n">
        <v>469874.885353198</v>
      </c>
      <c r="O274" s="12"/>
      <c r="P274" s="6" t="s">
        <v>1119</v>
      </c>
    </row>
    <row r="275" customFormat="false" ht="15" hidden="false" customHeight="false" outlineLevel="0" collapsed="false">
      <c r="A275" s="74" t="s">
        <v>2629</v>
      </c>
      <c r="B275" s="74" t="s">
        <v>1320</v>
      </c>
      <c r="C275" s="74" t="s">
        <v>2671</v>
      </c>
      <c r="D275" s="8" t="n">
        <v>30000</v>
      </c>
      <c r="E275" s="74" t="s">
        <v>976</v>
      </c>
      <c r="F275" s="74" t="s">
        <v>2672</v>
      </c>
      <c r="G275" s="53" t="str">
        <f aca="false">INDEX(I_Items!$D$5:$D$133,MATCH($E275,I_Items!$A$5:$A$133,0))&amp;""</f>
        <v>Karkas</v>
      </c>
      <c r="H275" s="53" t="str">
        <f aca="false">INDEX(I_Items!$F$5:$F$133,MATCH($E275,I_Items!$A$5:$A$133,0))&amp;""</f>
        <v>Frozen</v>
      </c>
      <c r="I275" s="53" t="str">
        <f aca="false">INDEX(I_Items!$E$5:$E$133,MATCH($E275,I_Items!$A$5:$A$133,0))&amp;""</f>
        <v>Uk 0.9</v>
      </c>
      <c r="J275" s="84" t="n">
        <v>25.6</v>
      </c>
      <c r="K275" s="93" t="n">
        <v>0.00219151813994898</v>
      </c>
      <c r="L275" s="8" t="n">
        <v>768000</v>
      </c>
      <c r="M275" s="8" t="n">
        <v>33803.948586561</v>
      </c>
      <c r="N275" s="8" t="n">
        <v>865381.083815962</v>
      </c>
      <c r="O275" s="12"/>
      <c r="P275" s="6" t="s">
        <v>1119</v>
      </c>
    </row>
    <row r="276" customFormat="false" ht="15" hidden="false" customHeight="false" outlineLevel="0" collapsed="false">
      <c r="A276" s="74" t="s">
        <v>2629</v>
      </c>
      <c r="B276" s="74" t="s">
        <v>1320</v>
      </c>
      <c r="C276" s="74" t="s">
        <v>2673</v>
      </c>
      <c r="D276" s="8" t="n">
        <v>30000</v>
      </c>
      <c r="E276" s="74" t="s">
        <v>979</v>
      </c>
      <c r="F276" s="74" t="s">
        <v>2685</v>
      </c>
      <c r="G276" s="53" t="str">
        <f aca="false">INDEX(I_Items!$D$5:$D$133,MATCH($E276,I_Items!$A$5:$A$133,0))&amp;""</f>
        <v>Karkas</v>
      </c>
      <c r="H276" s="53" t="str">
        <f aca="false">INDEX(I_Items!$F$5:$F$133,MATCH($E276,I_Items!$A$5:$A$133,0))&amp;""</f>
        <v>Frozen</v>
      </c>
      <c r="I276" s="53" t="str">
        <f aca="false">INDEX(I_Items!$E$5:$E$133,MATCH($E276,I_Items!$A$5:$A$133,0))&amp;""</f>
        <v>Uk 1.0</v>
      </c>
      <c r="J276" s="84" t="n">
        <v>46.2</v>
      </c>
      <c r="K276" s="93" t="n">
        <v>0.00395500539318917</v>
      </c>
      <c r="L276" s="8" t="n">
        <v>1386000</v>
      </c>
      <c r="M276" s="8" t="n">
        <v>33803.948586561</v>
      </c>
      <c r="N276" s="8" t="n">
        <v>1561742.42469912</v>
      </c>
      <c r="O276" s="12"/>
      <c r="P276" s="6" t="s">
        <v>1119</v>
      </c>
    </row>
    <row r="277" customFormat="false" ht="15" hidden="false" customHeight="false" outlineLevel="0" collapsed="false">
      <c r="A277" s="74" t="s">
        <v>2629</v>
      </c>
      <c r="B277" s="74" t="s">
        <v>1320</v>
      </c>
      <c r="C277" s="74" t="s">
        <v>2674</v>
      </c>
      <c r="D277" s="8" t="n">
        <v>30000</v>
      </c>
      <c r="E277" s="74" t="s">
        <v>983</v>
      </c>
      <c r="F277" s="74" t="s">
        <v>2686</v>
      </c>
      <c r="G277" s="53" t="str">
        <f aca="false">INDEX(I_Items!$D$5:$D$133,MATCH($E277,I_Items!$A$5:$A$133,0))&amp;""</f>
        <v>Karkas</v>
      </c>
      <c r="H277" s="53" t="str">
        <f aca="false">INDEX(I_Items!$F$5:$F$133,MATCH($E277,I_Items!$A$5:$A$133,0))&amp;""</f>
        <v>Frozen</v>
      </c>
      <c r="I277" s="53" t="str">
        <f aca="false">INDEX(I_Items!$E$5:$E$133,MATCH($E277,I_Items!$A$5:$A$133,0))&amp;""</f>
        <v>Uk 1.1</v>
      </c>
      <c r="J277" s="84" t="n">
        <v>106.1</v>
      </c>
      <c r="K277" s="93" t="n">
        <v>0.00908281541596042</v>
      </c>
      <c r="L277" s="8" t="n">
        <v>3183000</v>
      </c>
      <c r="M277" s="8" t="n">
        <v>33803.948586561</v>
      </c>
      <c r="N277" s="8" t="n">
        <v>3586598.94503412</v>
      </c>
      <c r="O277" s="12"/>
      <c r="P277" s="6" t="s">
        <v>1119</v>
      </c>
    </row>
    <row r="278" customFormat="false" ht="15" hidden="false" customHeight="false" outlineLevel="0" collapsed="false">
      <c r="A278" s="74" t="s">
        <v>2629</v>
      </c>
      <c r="B278" s="74" t="s">
        <v>1320</v>
      </c>
      <c r="C278" s="74" t="s">
        <v>2676</v>
      </c>
      <c r="D278" s="8" t="n">
        <v>30000</v>
      </c>
      <c r="E278" s="74" t="s">
        <v>987</v>
      </c>
      <c r="F278" s="74" t="s">
        <v>2687</v>
      </c>
      <c r="G278" s="53" t="str">
        <f aca="false">INDEX(I_Items!$D$5:$D$133,MATCH($E278,I_Items!$A$5:$A$133,0))&amp;""</f>
        <v>Karkas</v>
      </c>
      <c r="H278" s="53" t="str">
        <f aca="false">INDEX(I_Items!$F$5:$F$133,MATCH($E278,I_Items!$A$5:$A$133,0))&amp;""</f>
        <v>Frozen</v>
      </c>
      <c r="I278" s="53" t="str">
        <f aca="false">INDEX(I_Items!$E$5:$E$133,MATCH($E278,I_Items!$A$5:$A$133,0))&amp;""</f>
        <v>Uk 1.2</v>
      </c>
      <c r="J278" s="84" t="n">
        <v>137.3</v>
      </c>
      <c r="K278" s="93" t="n">
        <v>0.0117537281490232</v>
      </c>
      <c r="L278" s="8" t="n">
        <v>4119000</v>
      </c>
      <c r="M278" s="8" t="n">
        <v>33803.948586561</v>
      </c>
      <c r="N278" s="8" t="n">
        <v>4641282.14093483</v>
      </c>
      <c r="O278" s="12"/>
      <c r="P278" s="6" t="s">
        <v>1119</v>
      </c>
    </row>
    <row r="279" customFormat="false" ht="15" hidden="false" customHeight="false" outlineLevel="0" collapsed="false">
      <c r="A279" s="74" t="s">
        <v>2629</v>
      </c>
      <c r="B279" s="74" t="s">
        <v>1320</v>
      </c>
      <c r="C279" s="74" t="s">
        <v>2678</v>
      </c>
      <c r="D279" s="8" t="n">
        <v>30000</v>
      </c>
      <c r="E279" s="74" t="s">
        <v>991</v>
      </c>
      <c r="F279" s="74" t="s">
        <v>2688</v>
      </c>
      <c r="G279" s="53" t="str">
        <f aca="false">INDEX(I_Items!$D$5:$D$133,MATCH($E279,I_Items!$A$5:$A$133,0))&amp;""</f>
        <v>Karkas</v>
      </c>
      <c r="H279" s="53" t="str">
        <f aca="false">INDEX(I_Items!$F$5:$F$133,MATCH($E279,I_Items!$A$5:$A$133,0))&amp;""</f>
        <v>Frozen</v>
      </c>
      <c r="I279" s="53" t="str">
        <f aca="false">INDEX(I_Items!$E$5:$E$133,MATCH($E279,I_Items!$A$5:$A$133,0))&amp;""</f>
        <v>Uk 1.3</v>
      </c>
      <c r="J279" s="84" t="n">
        <v>133.2</v>
      </c>
      <c r="K279" s="93" t="n">
        <v>0.011402742821922</v>
      </c>
      <c r="L279" s="8" t="n">
        <v>3996000</v>
      </c>
      <c r="M279" s="8" t="n">
        <v>33803.948586561</v>
      </c>
      <c r="N279" s="8" t="n">
        <v>4502685.95172993</v>
      </c>
      <c r="O279" s="12"/>
      <c r="P279" s="6" t="s">
        <v>1119</v>
      </c>
    </row>
    <row r="280" customFormat="false" ht="15" hidden="false" customHeight="false" outlineLevel="0" collapsed="false">
      <c r="A280" s="74" t="s">
        <v>2629</v>
      </c>
      <c r="B280" s="74" t="s">
        <v>1320</v>
      </c>
      <c r="C280" s="74" t="s">
        <v>2680</v>
      </c>
      <c r="D280" s="8" t="n">
        <v>30000</v>
      </c>
      <c r="E280" s="74" t="s">
        <v>994</v>
      </c>
      <c r="F280" s="74" t="s">
        <v>2681</v>
      </c>
      <c r="G280" s="53" t="str">
        <f aca="false">INDEX(I_Items!$D$5:$D$133,MATCH($E280,I_Items!$A$5:$A$133,0))&amp;""</f>
        <v>Karkas</v>
      </c>
      <c r="H280" s="53" t="str">
        <f aca="false">INDEX(I_Items!$F$5:$F$133,MATCH($E280,I_Items!$A$5:$A$133,0))&amp;""</f>
        <v>Frozen</v>
      </c>
      <c r="I280" s="53" t="str">
        <f aca="false">INDEX(I_Items!$E$5:$E$133,MATCH($E280,I_Items!$A$5:$A$133,0))&amp;""</f>
        <v>Uk 1.4</v>
      </c>
      <c r="J280" s="84" t="n">
        <v>88.9</v>
      </c>
      <c r="K280" s="93" t="n">
        <v>0.0076103891656822</v>
      </c>
      <c r="L280" s="8" t="n">
        <v>2667000</v>
      </c>
      <c r="M280" s="8" t="n">
        <v>33803.948586561</v>
      </c>
      <c r="N280" s="8" t="n">
        <v>3005171.02934528</v>
      </c>
      <c r="O280" s="12"/>
      <c r="P280" s="6" t="s">
        <v>1119</v>
      </c>
    </row>
    <row r="281" customFormat="false" ht="15" hidden="false" customHeight="false" outlineLevel="0" collapsed="false">
      <c r="A281" s="74" t="s">
        <v>2629</v>
      </c>
      <c r="B281" s="74" t="s">
        <v>1320</v>
      </c>
      <c r="C281" s="74" t="s">
        <v>2702</v>
      </c>
      <c r="D281" s="8" t="n">
        <v>30000</v>
      </c>
      <c r="E281" s="74" t="s">
        <v>997</v>
      </c>
      <c r="F281" s="74" t="s">
        <v>2703</v>
      </c>
      <c r="G281" s="53" t="str">
        <f aca="false">INDEX(I_Items!$D$5:$D$133,MATCH($E281,I_Items!$A$5:$A$133,0))&amp;""</f>
        <v>Karkas</v>
      </c>
      <c r="H281" s="53" t="str">
        <f aca="false">INDEX(I_Items!$F$5:$F$133,MATCH($E281,I_Items!$A$5:$A$133,0))&amp;""</f>
        <v>Frozen</v>
      </c>
      <c r="I281" s="53" t="str">
        <f aca="false">INDEX(I_Items!$E$5:$E$133,MATCH($E281,I_Items!$A$5:$A$133,0))&amp;""</f>
        <v>Uk 1.5</v>
      </c>
      <c r="J281" s="84" t="n">
        <v>62.5</v>
      </c>
      <c r="K281" s="93" t="n">
        <v>0.00535038608385981</v>
      </c>
      <c r="L281" s="8" t="n">
        <v>1875000</v>
      </c>
      <c r="M281" s="8" t="n">
        <v>33803.948586561</v>
      </c>
      <c r="N281" s="8" t="n">
        <v>2112746.78666006</v>
      </c>
      <c r="O281" s="12"/>
      <c r="P281" s="6" t="s">
        <v>1119</v>
      </c>
    </row>
    <row r="282" customFormat="false" ht="15" hidden="false" customHeight="false" outlineLevel="0" collapsed="false">
      <c r="A282" s="74" t="s">
        <v>2629</v>
      </c>
      <c r="B282" s="74" t="s">
        <v>1320</v>
      </c>
      <c r="C282" s="74" t="s">
        <v>2704</v>
      </c>
      <c r="D282" s="8" t="n">
        <v>30000</v>
      </c>
      <c r="E282" s="74" t="s">
        <v>1000</v>
      </c>
      <c r="F282" s="74" t="s">
        <v>2705</v>
      </c>
      <c r="G282" s="53" t="str">
        <f aca="false">INDEX(I_Items!$D$5:$D$133,MATCH($E282,I_Items!$A$5:$A$133,0))&amp;""</f>
        <v>Karkas</v>
      </c>
      <c r="H282" s="53" t="str">
        <f aca="false">INDEX(I_Items!$F$5:$F$133,MATCH($E282,I_Items!$A$5:$A$133,0))&amp;""</f>
        <v>Frozen</v>
      </c>
      <c r="I282" s="53" t="str">
        <f aca="false">INDEX(I_Items!$E$5:$E$133,MATCH($E282,I_Items!$A$5:$A$133,0))&amp;""</f>
        <v>Uk 1.6</v>
      </c>
      <c r="J282" s="84" t="n">
        <v>13.3</v>
      </c>
      <c r="K282" s="93" t="n">
        <v>0.00113856215864537</v>
      </c>
      <c r="L282" s="8" t="n">
        <v>399000</v>
      </c>
      <c r="M282" s="8" t="n">
        <v>33803.948586561</v>
      </c>
      <c r="N282" s="8" t="n">
        <v>449592.516201262</v>
      </c>
      <c r="O282" s="12"/>
      <c r="P282" s="6" t="s">
        <v>1119</v>
      </c>
    </row>
    <row r="283" customFormat="false" ht="15" hidden="false" customHeight="false" outlineLevel="0" collapsed="false">
      <c r="A283" s="74" t="s">
        <v>2630</v>
      </c>
      <c r="B283" s="74" t="s">
        <v>1323</v>
      </c>
      <c r="C283" s="74" t="s">
        <v>2642</v>
      </c>
      <c r="D283" s="8" t="n">
        <v>33000</v>
      </c>
      <c r="E283" s="74" t="s">
        <v>1016</v>
      </c>
      <c r="F283" s="74" t="s">
        <v>2643</v>
      </c>
      <c r="G283" s="53" t="str">
        <f aca="false">INDEX(I_Items!$D$5:$D$133,MATCH($E283,I_Items!$A$5:$A$133,0))&amp;""</f>
        <v>Karkas</v>
      </c>
      <c r="H283" s="53" t="str">
        <f aca="false">INDEX(I_Items!$F$5:$F$133,MATCH($E283,I_Items!$A$5:$A$133,0))&amp;""</f>
        <v>Frozen</v>
      </c>
      <c r="I283" s="53" t="str">
        <f aca="false">INDEX(I_Items!$E$5:$E$133,MATCH($E283,I_Items!$A$5:$A$133,0))&amp;""</f>
        <v>Uk 0.6</v>
      </c>
      <c r="J283" s="84" t="n">
        <v>12.6</v>
      </c>
      <c r="K283" s="93" t="n">
        <v>0.000810956929176428</v>
      </c>
      <c r="L283" s="8" t="n">
        <v>415800</v>
      </c>
      <c r="M283" s="8" t="n">
        <v>37491.8530808819</v>
      </c>
      <c r="N283" s="8" t="n">
        <v>472397.348819112</v>
      </c>
      <c r="O283" s="12"/>
      <c r="P283" s="6" t="s">
        <v>1119</v>
      </c>
    </row>
    <row r="284" customFormat="false" ht="15" hidden="false" customHeight="false" outlineLevel="0" collapsed="false">
      <c r="A284" s="74" t="s">
        <v>2630</v>
      </c>
      <c r="B284" s="74" t="s">
        <v>1323</v>
      </c>
      <c r="C284" s="74" t="s">
        <v>2644</v>
      </c>
      <c r="D284" s="8" t="n">
        <v>33000</v>
      </c>
      <c r="E284" s="74" t="s">
        <v>1017</v>
      </c>
      <c r="F284" s="74" t="s">
        <v>2645</v>
      </c>
      <c r="G284" s="53" t="str">
        <f aca="false">INDEX(I_Items!$D$5:$D$133,MATCH($E284,I_Items!$A$5:$A$133,0))&amp;""</f>
        <v>Karkas</v>
      </c>
      <c r="H284" s="53" t="str">
        <f aca="false">INDEX(I_Items!$F$5:$F$133,MATCH($E284,I_Items!$A$5:$A$133,0))&amp;""</f>
        <v>Frozen</v>
      </c>
      <c r="I284" s="53" t="str">
        <f aca="false">INDEX(I_Items!$E$5:$E$133,MATCH($E284,I_Items!$A$5:$A$133,0))&amp;""</f>
        <v>Uk 0.7</v>
      </c>
      <c r="J284" s="84" t="n">
        <v>39.7</v>
      </c>
      <c r="K284" s="93" t="n">
        <v>0.00255515794351621</v>
      </c>
      <c r="L284" s="8" t="n">
        <v>1310100</v>
      </c>
      <c r="M284" s="8" t="n">
        <v>37491.8530808819</v>
      </c>
      <c r="N284" s="8" t="n">
        <v>1488426.56731101</v>
      </c>
      <c r="O284" s="12"/>
      <c r="P284" s="6" t="s">
        <v>1119</v>
      </c>
    </row>
    <row r="285" customFormat="false" ht="15" hidden="false" customHeight="false" outlineLevel="0" collapsed="false">
      <c r="A285" s="74" t="s">
        <v>2630</v>
      </c>
      <c r="B285" s="74" t="s">
        <v>1323</v>
      </c>
      <c r="C285" s="74" t="s">
        <v>2646</v>
      </c>
      <c r="D285" s="8" t="n">
        <v>33000</v>
      </c>
      <c r="E285" s="74" t="s">
        <v>1014</v>
      </c>
      <c r="F285" s="74" t="s">
        <v>2647</v>
      </c>
      <c r="G285" s="53" t="str">
        <f aca="false">INDEX(I_Items!$D$5:$D$133,MATCH($E285,I_Items!$A$5:$A$133,0))&amp;""</f>
        <v>Karkas</v>
      </c>
      <c r="H285" s="53" t="str">
        <f aca="false">INDEX(I_Items!$F$5:$F$133,MATCH($E285,I_Items!$A$5:$A$133,0))&amp;""</f>
        <v>Frozen</v>
      </c>
      <c r="I285" s="53" t="str">
        <f aca="false">INDEX(I_Items!$E$5:$E$133,MATCH($E285,I_Items!$A$5:$A$133,0))&amp;""</f>
        <v>Uk 0.8</v>
      </c>
      <c r="J285" s="84" t="n">
        <v>194.4</v>
      </c>
      <c r="K285" s="93" t="n">
        <v>0.0125119069072935</v>
      </c>
      <c r="L285" s="8" t="n">
        <v>6415200</v>
      </c>
      <c r="M285" s="8" t="n">
        <v>37491.8530808819</v>
      </c>
      <c r="N285" s="8" t="n">
        <v>7288416.23892344</v>
      </c>
      <c r="O285" s="12"/>
      <c r="P285" s="6" t="s">
        <v>1119</v>
      </c>
    </row>
    <row r="286" customFormat="false" ht="15" hidden="false" customHeight="false" outlineLevel="0" collapsed="false">
      <c r="A286" s="74" t="s">
        <v>2630</v>
      </c>
      <c r="B286" s="74" t="s">
        <v>1323</v>
      </c>
      <c r="C286" s="74" t="s">
        <v>2648</v>
      </c>
      <c r="D286" s="8" t="n">
        <v>33000</v>
      </c>
      <c r="E286" s="74" t="s">
        <v>1013</v>
      </c>
      <c r="F286" s="74" t="s">
        <v>2718</v>
      </c>
      <c r="G286" s="53" t="str">
        <f aca="false">INDEX(I_Items!$D$5:$D$133,MATCH($E286,I_Items!$A$5:$A$133,0))&amp;""</f>
        <v>Karkas</v>
      </c>
      <c r="H286" s="53" t="str">
        <f aca="false">INDEX(I_Items!$F$5:$F$133,MATCH($E286,I_Items!$A$5:$A$133,0))&amp;""</f>
        <v>Frozen</v>
      </c>
      <c r="I286" s="53" t="str">
        <f aca="false">INDEX(I_Items!$E$5:$E$133,MATCH($E286,I_Items!$A$5:$A$133,0))&amp;""</f>
        <v>Uk 0.9</v>
      </c>
      <c r="J286" s="84" t="n">
        <v>578.7</v>
      </c>
      <c r="K286" s="93" t="n">
        <v>0.0372460932471745</v>
      </c>
      <c r="L286" s="8" t="n">
        <v>19097100</v>
      </c>
      <c r="M286" s="8" t="n">
        <v>37491.8530808819</v>
      </c>
      <c r="N286" s="8" t="n">
        <v>21696535.3779063</v>
      </c>
      <c r="O286" s="12"/>
      <c r="P286" s="6" t="s">
        <v>1119</v>
      </c>
    </row>
    <row r="287" customFormat="false" ht="15" hidden="false" customHeight="false" outlineLevel="0" collapsed="false">
      <c r="A287" s="74" t="s">
        <v>2630</v>
      </c>
      <c r="B287" s="74" t="s">
        <v>1323</v>
      </c>
      <c r="C287" s="74" t="s">
        <v>2650</v>
      </c>
      <c r="D287" s="8" t="n">
        <v>33000</v>
      </c>
      <c r="E287" s="74" t="s">
        <v>978</v>
      </c>
      <c r="F287" s="74" t="s">
        <v>2651</v>
      </c>
      <c r="G287" s="53" t="str">
        <f aca="false">INDEX(I_Items!$D$5:$D$133,MATCH($E287,I_Items!$A$5:$A$133,0))&amp;""</f>
        <v>Karkas</v>
      </c>
      <c r="H287" s="53" t="str">
        <f aca="false">INDEX(I_Items!$F$5:$F$133,MATCH($E287,I_Items!$A$5:$A$133,0))&amp;""</f>
        <v>Fresh</v>
      </c>
      <c r="I287" s="53" t="str">
        <f aca="false">INDEX(I_Items!$E$5:$E$133,MATCH($E287,I_Items!$A$5:$A$133,0))&amp;""</f>
        <v>Uk 1.0</v>
      </c>
      <c r="J287" s="84" t="n">
        <v>1161.5</v>
      </c>
      <c r="K287" s="93" t="n">
        <v>0.0747560693046366</v>
      </c>
      <c r="L287" s="8" t="n">
        <v>38329500</v>
      </c>
      <c r="M287" s="8" t="n">
        <v>37491.8530808819</v>
      </c>
      <c r="N287" s="8" t="n">
        <v>43546787.3534443</v>
      </c>
      <c r="O287" s="12"/>
      <c r="P287" s="6" t="s">
        <v>1119</v>
      </c>
    </row>
    <row r="288" customFormat="false" ht="15" hidden="false" customHeight="false" outlineLevel="0" collapsed="false">
      <c r="A288" s="74" t="s">
        <v>2630</v>
      </c>
      <c r="B288" s="74" t="s">
        <v>1323</v>
      </c>
      <c r="C288" s="74" t="s">
        <v>2652</v>
      </c>
      <c r="D288" s="8" t="n">
        <v>33000</v>
      </c>
      <c r="E288" s="74" t="s">
        <v>984</v>
      </c>
      <c r="F288" s="74" t="s">
        <v>2690</v>
      </c>
      <c r="G288" s="53" t="str">
        <f aca="false">INDEX(I_Items!$D$5:$D$133,MATCH($E288,I_Items!$A$5:$A$133,0))&amp;""</f>
        <v>Karkas</v>
      </c>
      <c r="H288" s="53" t="str">
        <f aca="false">INDEX(I_Items!$F$5:$F$133,MATCH($E288,I_Items!$A$5:$A$133,0))&amp;""</f>
        <v>Frozen</v>
      </c>
      <c r="I288" s="53" t="str">
        <f aca="false">INDEX(I_Items!$E$5:$E$133,MATCH($E288,I_Items!$A$5:$A$133,0))&amp;""</f>
        <v>Uk 1.1</v>
      </c>
      <c r="J288" s="84" t="n">
        <v>1526.8</v>
      </c>
      <c r="K288" s="93" t="n">
        <v>0.0982673840846485</v>
      </c>
      <c r="L288" s="8" t="n">
        <v>50384400</v>
      </c>
      <c r="M288" s="8" t="n">
        <v>37491.8530808819</v>
      </c>
      <c r="N288" s="8" t="n">
        <v>57242561.2838905</v>
      </c>
      <c r="O288" s="12"/>
      <c r="P288" s="6" t="s">
        <v>1119</v>
      </c>
    </row>
    <row r="289" customFormat="false" ht="15" hidden="false" customHeight="false" outlineLevel="0" collapsed="false">
      <c r="A289" s="74" t="s">
        <v>2630</v>
      </c>
      <c r="B289" s="74" t="s">
        <v>1323</v>
      </c>
      <c r="C289" s="74" t="s">
        <v>2654</v>
      </c>
      <c r="D289" s="8" t="n">
        <v>33000</v>
      </c>
      <c r="E289" s="74" t="s">
        <v>988</v>
      </c>
      <c r="F289" s="74" t="s">
        <v>2691</v>
      </c>
      <c r="G289" s="53" t="str">
        <f aca="false">INDEX(I_Items!$D$5:$D$133,MATCH($E289,I_Items!$A$5:$A$133,0))&amp;""</f>
        <v>Karkas</v>
      </c>
      <c r="H289" s="53" t="str">
        <f aca="false">INDEX(I_Items!$F$5:$F$133,MATCH($E289,I_Items!$A$5:$A$133,0))&amp;""</f>
        <v>Frozen</v>
      </c>
      <c r="I289" s="53" t="str">
        <f aca="false">INDEX(I_Items!$E$5:$E$133,MATCH($E289,I_Items!$A$5:$A$133,0))&amp;""</f>
        <v>Uk 1.2</v>
      </c>
      <c r="J289" s="84" t="n">
        <v>1687.6</v>
      </c>
      <c r="K289" s="93" t="n">
        <v>0.108616739180805</v>
      </c>
      <c r="L289" s="8" t="n">
        <v>55690800</v>
      </c>
      <c r="M289" s="8" t="n">
        <v>37491.8530808819</v>
      </c>
      <c r="N289" s="8" t="n">
        <v>63271251.2592962</v>
      </c>
      <c r="O289" s="12"/>
      <c r="P289" s="6" t="s">
        <v>1119</v>
      </c>
    </row>
    <row r="290" customFormat="false" ht="15" hidden="false" customHeight="false" outlineLevel="0" collapsed="false">
      <c r="A290" s="74" t="s">
        <v>2630</v>
      </c>
      <c r="B290" s="74" t="s">
        <v>1323</v>
      </c>
      <c r="C290" s="74" t="s">
        <v>2656</v>
      </c>
      <c r="D290" s="8" t="n">
        <v>33000</v>
      </c>
      <c r="E290" s="74" t="s">
        <v>990</v>
      </c>
      <c r="F290" s="74" t="s">
        <v>2657</v>
      </c>
      <c r="G290" s="53" t="str">
        <f aca="false">INDEX(I_Items!$D$5:$D$133,MATCH($E290,I_Items!$A$5:$A$133,0))&amp;""</f>
        <v>Karkas</v>
      </c>
      <c r="H290" s="53" t="str">
        <f aca="false">INDEX(I_Items!$F$5:$F$133,MATCH($E290,I_Items!$A$5:$A$133,0))&amp;""</f>
        <v>Fresh</v>
      </c>
      <c r="I290" s="53" t="str">
        <f aca="false">INDEX(I_Items!$E$5:$E$133,MATCH($E290,I_Items!$A$5:$A$133,0))&amp;""</f>
        <v>Uk 1.3</v>
      </c>
      <c r="J290" s="84" t="n">
        <v>1953.7</v>
      </c>
      <c r="K290" s="93" t="n">
        <v>0.125743377185078</v>
      </c>
      <c r="L290" s="8" t="n">
        <v>64472100</v>
      </c>
      <c r="M290" s="8" t="n">
        <v>37491.8530808819</v>
      </c>
      <c r="N290" s="8" t="n">
        <v>73247833.3641189</v>
      </c>
      <c r="O290" s="12"/>
      <c r="P290" s="6" t="s">
        <v>1119</v>
      </c>
    </row>
    <row r="291" customFormat="false" ht="15" hidden="false" customHeight="false" outlineLevel="0" collapsed="false">
      <c r="A291" s="74" t="s">
        <v>2630</v>
      </c>
      <c r="B291" s="74" t="s">
        <v>1323</v>
      </c>
      <c r="C291" s="74" t="s">
        <v>2658</v>
      </c>
      <c r="D291" s="8" t="n">
        <v>33000</v>
      </c>
      <c r="E291" s="74" t="s">
        <v>993</v>
      </c>
      <c r="F291" s="74" t="s">
        <v>2659</v>
      </c>
      <c r="G291" s="53" t="str">
        <f aca="false">INDEX(I_Items!$D$5:$D$133,MATCH($E291,I_Items!$A$5:$A$133,0))&amp;""</f>
        <v>Karkas</v>
      </c>
      <c r="H291" s="53" t="str">
        <f aca="false">INDEX(I_Items!$F$5:$F$133,MATCH($E291,I_Items!$A$5:$A$133,0))&amp;""</f>
        <v>Fresh</v>
      </c>
      <c r="I291" s="53" t="str">
        <f aca="false">INDEX(I_Items!$E$5:$E$133,MATCH($E291,I_Items!$A$5:$A$133,0))&amp;""</f>
        <v>Uk 1.4</v>
      </c>
      <c r="J291" s="84" t="n">
        <v>1496.6</v>
      </c>
      <c r="K291" s="93" t="n">
        <v>0.0963236619210669</v>
      </c>
      <c r="L291" s="8" t="n">
        <v>49387800</v>
      </c>
      <c r="M291" s="8" t="n">
        <v>37491.8530808819</v>
      </c>
      <c r="N291" s="8" t="n">
        <v>56110307.3208478</v>
      </c>
      <c r="O291" s="12"/>
      <c r="P291" s="6" t="s">
        <v>1119</v>
      </c>
    </row>
    <row r="292" customFormat="false" ht="15" hidden="false" customHeight="false" outlineLevel="0" collapsed="false">
      <c r="A292" s="74" t="s">
        <v>2630</v>
      </c>
      <c r="B292" s="74" t="s">
        <v>1323</v>
      </c>
      <c r="C292" s="74" t="s">
        <v>2692</v>
      </c>
      <c r="D292" s="8" t="n">
        <v>33000</v>
      </c>
      <c r="E292" s="74" t="s">
        <v>998</v>
      </c>
      <c r="F292" s="74" t="s">
        <v>2722</v>
      </c>
      <c r="G292" s="53" t="str">
        <f aca="false">INDEX(I_Items!$D$5:$D$133,MATCH($E292,I_Items!$A$5:$A$133,0))&amp;""</f>
        <v>Karkas</v>
      </c>
      <c r="H292" s="53" t="str">
        <f aca="false">INDEX(I_Items!$F$5:$F$133,MATCH($E292,I_Items!$A$5:$A$133,0))&amp;""</f>
        <v>Frozen</v>
      </c>
      <c r="I292" s="53" t="str">
        <f aca="false">INDEX(I_Items!$E$5:$E$133,MATCH($E292,I_Items!$A$5:$A$133,0))&amp;""</f>
        <v>Uk 1.5</v>
      </c>
      <c r="J292" s="84" t="n">
        <v>980.7</v>
      </c>
      <c r="K292" s="93" t="n">
        <v>0.0631194809875653</v>
      </c>
      <c r="L292" s="8" t="n">
        <v>32363100</v>
      </c>
      <c r="M292" s="8" t="n">
        <v>37491.8530808819</v>
      </c>
      <c r="N292" s="8" t="n">
        <v>36768260.3164209</v>
      </c>
      <c r="O292" s="12"/>
      <c r="P292" s="6" t="s">
        <v>1119</v>
      </c>
    </row>
    <row r="293" customFormat="false" ht="15" hidden="false" customHeight="false" outlineLevel="0" collapsed="false">
      <c r="A293" s="74" t="s">
        <v>2630</v>
      </c>
      <c r="B293" s="74" t="s">
        <v>1323</v>
      </c>
      <c r="C293" s="74" t="s">
        <v>2694</v>
      </c>
      <c r="D293" s="8" t="n">
        <v>33000</v>
      </c>
      <c r="E293" s="74" t="s">
        <v>1001</v>
      </c>
      <c r="F293" s="74" t="s">
        <v>2721</v>
      </c>
      <c r="G293" s="53" t="str">
        <f aca="false">INDEX(I_Items!$D$5:$D$133,MATCH($E293,I_Items!$A$5:$A$133,0))&amp;""</f>
        <v>Karkas</v>
      </c>
      <c r="H293" s="53" t="str">
        <f aca="false">INDEX(I_Items!$F$5:$F$133,MATCH($E293,I_Items!$A$5:$A$133,0))&amp;""</f>
        <v>Frozen</v>
      </c>
      <c r="I293" s="53" t="str">
        <f aca="false">INDEX(I_Items!$E$5:$E$133,MATCH($E293,I_Items!$A$5:$A$133,0))&amp;""</f>
        <v>Uk 1.6</v>
      </c>
      <c r="J293" s="84" t="n">
        <v>263.3</v>
      </c>
      <c r="K293" s="93" t="n">
        <v>0.0169464253533455</v>
      </c>
      <c r="L293" s="8" t="n">
        <v>8688900</v>
      </c>
      <c r="M293" s="8" t="n">
        <v>37491.8530808819</v>
      </c>
      <c r="N293" s="8" t="n">
        <v>9871604.9161962</v>
      </c>
      <c r="O293" s="12"/>
      <c r="P293" s="6" t="s">
        <v>1119</v>
      </c>
    </row>
    <row r="294" customFormat="false" ht="15" hidden="false" customHeight="false" outlineLevel="0" collapsed="false">
      <c r="A294" s="74" t="s">
        <v>2630</v>
      </c>
      <c r="B294" s="74" t="s">
        <v>1323</v>
      </c>
      <c r="C294" s="74" t="s">
        <v>2696</v>
      </c>
      <c r="D294" s="8" t="n">
        <v>33000</v>
      </c>
      <c r="E294" s="74" t="s">
        <v>1004</v>
      </c>
      <c r="F294" s="74" t="s">
        <v>2697</v>
      </c>
      <c r="G294" s="53" t="str">
        <f aca="false">INDEX(I_Items!$D$5:$D$133,MATCH($E294,I_Items!$A$5:$A$133,0))&amp;""</f>
        <v>Karkas</v>
      </c>
      <c r="H294" s="53" t="str">
        <f aca="false">INDEX(I_Items!$F$5:$F$133,MATCH($E294,I_Items!$A$5:$A$133,0))&amp;""</f>
        <v>Frozen</v>
      </c>
      <c r="I294" s="53" t="str">
        <f aca="false">INDEX(I_Items!$E$5:$E$133,MATCH($E294,I_Items!$A$5:$A$133,0))&amp;""</f>
        <v>Uk 1.7</v>
      </c>
      <c r="J294" s="84" t="n">
        <v>56.4</v>
      </c>
      <c r="K294" s="93" t="n">
        <v>0.0036299976829802</v>
      </c>
      <c r="L294" s="8" t="n">
        <v>1861200</v>
      </c>
      <c r="M294" s="8" t="n">
        <v>37491.8530808819</v>
      </c>
      <c r="N294" s="8" t="n">
        <v>2114540.51376174</v>
      </c>
      <c r="O294" s="12"/>
      <c r="P294" s="6" t="s">
        <v>1119</v>
      </c>
    </row>
    <row r="295" customFormat="false" ht="15" hidden="false" customHeight="false" outlineLevel="0" collapsed="false">
      <c r="A295" s="74" t="s">
        <v>2630</v>
      </c>
      <c r="B295" s="74" t="s">
        <v>1323</v>
      </c>
      <c r="C295" s="74" t="s">
        <v>2698</v>
      </c>
      <c r="D295" s="8" t="n">
        <v>33000</v>
      </c>
      <c r="E295" s="74" t="s">
        <v>1006</v>
      </c>
      <c r="F295" s="74" t="s">
        <v>2699</v>
      </c>
      <c r="G295" s="53" t="str">
        <f aca="false">INDEX(I_Items!$D$5:$D$133,MATCH($E295,I_Items!$A$5:$A$133,0))&amp;""</f>
        <v>Karkas</v>
      </c>
      <c r="H295" s="53" t="str">
        <f aca="false">INDEX(I_Items!$F$5:$F$133,MATCH($E295,I_Items!$A$5:$A$133,0))&amp;""</f>
        <v>Frozen</v>
      </c>
      <c r="I295" s="53" t="str">
        <f aca="false">INDEX(I_Items!$E$5:$E$133,MATCH($E295,I_Items!$A$5:$A$133,0))&amp;""</f>
        <v>Uk 1.8</v>
      </c>
      <c r="J295" s="84" t="n">
        <v>22.5</v>
      </c>
      <c r="K295" s="93" t="n">
        <v>0.00144813737352934</v>
      </c>
      <c r="L295" s="8" t="n">
        <v>742500</v>
      </c>
      <c r="M295" s="8" t="n">
        <v>37491.8530808819</v>
      </c>
      <c r="N295" s="8" t="n">
        <v>843566.694319842</v>
      </c>
      <c r="O295" s="12"/>
      <c r="P295" s="6" t="s">
        <v>1119</v>
      </c>
    </row>
    <row r="296" customFormat="false" ht="15" hidden="false" customHeight="false" outlineLevel="0" collapsed="false">
      <c r="A296" s="74" t="s">
        <v>2630</v>
      </c>
      <c r="B296" s="74" t="s">
        <v>1323</v>
      </c>
      <c r="C296" s="74" t="s">
        <v>360</v>
      </c>
      <c r="D296" s="8" t="n">
        <v>24000</v>
      </c>
      <c r="E296" s="74" t="s">
        <v>961</v>
      </c>
      <c r="F296" s="74" t="s">
        <v>2712</v>
      </c>
      <c r="G296" s="53" t="str">
        <f aca="false">INDEX(I_Items!$D$5:$D$133,MATCH($E296,I_Items!$A$5:$A$133,0))&amp;""</f>
        <v>Lemak</v>
      </c>
      <c r="H296" s="53" t="str">
        <f aca="false">INDEX(I_Items!$F$5:$F$133,MATCH($E296,I_Items!$A$5:$A$133,0))&amp;""</f>
        <v>Frozen</v>
      </c>
      <c r="I296" s="53" t="str">
        <f aca="false">INDEX(I_Items!$E$5:$E$133,MATCH($E296,I_Items!$A$5:$A$133,0))&amp;""</f>
        <v/>
      </c>
      <c r="J296" s="84" t="n">
        <v>66.6</v>
      </c>
      <c r="K296" s="93" t="n">
        <v>0.00428648662564683</v>
      </c>
      <c r="L296" s="8" t="n">
        <v>1598400</v>
      </c>
      <c r="M296" s="8" t="n">
        <v>27266.8022406414</v>
      </c>
      <c r="N296" s="8" t="n">
        <v>1815969.02922671</v>
      </c>
      <c r="O296" s="12"/>
      <c r="P296" s="6" t="s">
        <v>1119</v>
      </c>
    </row>
    <row r="297" customFormat="false" ht="15" hidden="false" customHeight="false" outlineLevel="0" collapsed="false">
      <c r="A297" s="74" t="s">
        <v>2630</v>
      </c>
      <c r="B297" s="74" t="s">
        <v>1323</v>
      </c>
      <c r="C297" s="74" t="s">
        <v>248</v>
      </c>
      <c r="D297" s="8" t="n">
        <v>12000</v>
      </c>
      <c r="E297" s="74" t="s">
        <v>950</v>
      </c>
      <c r="F297" s="74" t="s">
        <v>2661</v>
      </c>
      <c r="G297" s="53" t="str">
        <f aca="false">INDEX(I_Items!$D$5:$D$133,MATCH($E297,I_Items!$A$5:$A$133,0))&amp;""</f>
        <v>Kepala</v>
      </c>
      <c r="H297" s="53" t="str">
        <f aca="false">INDEX(I_Items!$F$5:$F$133,MATCH($E297,I_Items!$A$5:$A$133,0))&amp;""</f>
        <v>Fresh</v>
      </c>
      <c r="I297" s="53" t="str">
        <f aca="false">INDEX(I_Items!$E$5:$E$133,MATCH($E297,I_Items!$A$5:$A$133,0))&amp;""</f>
        <v/>
      </c>
      <c r="J297" s="84" t="n">
        <v>665.8</v>
      </c>
      <c r="K297" s="93" t="n">
        <v>0.0428519939242592</v>
      </c>
      <c r="L297" s="8" t="n">
        <v>7989600</v>
      </c>
      <c r="M297" s="8" t="n">
        <v>13633.4011203207</v>
      </c>
      <c r="N297" s="8" t="n">
        <v>9077118.46590951</v>
      </c>
      <c r="O297" s="12"/>
      <c r="P297" s="6" t="s">
        <v>1119</v>
      </c>
    </row>
    <row r="298" customFormat="false" ht="15" hidden="false" customHeight="false" outlineLevel="0" collapsed="false">
      <c r="A298" s="74" t="s">
        <v>2630</v>
      </c>
      <c r="B298" s="74" t="s">
        <v>1323</v>
      </c>
      <c r="C298" s="74" t="s">
        <v>242</v>
      </c>
      <c r="D298" s="8" t="n">
        <v>16000</v>
      </c>
      <c r="E298" s="74" t="s">
        <v>948</v>
      </c>
      <c r="F298" s="74" t="s">
        <v>2662</v>
      </c>
      <c r="G298" s="53" t="str">
        <f aca="false">INDEX(I_Items!$D$5:$D$133,MATCH($E298,I_Items!$A$5:$A$133,0))&amp;""</f>
        <v>Ceker</v>
      </c>
      <c r="H298" s="53" t="str">
        <f aca="false">INDEX(I_Items!$F$5:$F$133,MATCH($E298,I_Items!$A$5:$A$133,0))&amp;""</f>
        <v>Fresh</v>
      </c>
      <c r="I298" s="53" t="str">
        <f aca="false">INDEX(I_Items!$E$5:$E$133,MATCH($E298,I_Items!$A$5:$A$133,0))&amp;""</f>
        <v/>
      </c>
      <c r="J298" s="84" t="n">
        <v>429.3</v>
      </c>
      <c r="K298" s="93" t="n">
        <v>0.0276304610869397</v>
      </c>
      <c r="L298" s="8" t="n">
        <v>6868800</v>
      </c>
      <c r="M298" s="8" t="n">
        <v>18177.8681604276</v>
      </c>
      <c r="N298" s="8" t="n">
        <v>7803758.80127156</v>
      </c>
      <c r="O298" s="12"/>
      <c r="P298" s="6" t="s">
        <v>1119</v>
      </c>
    </row>
    <row r="299" customFormat="false" ht="15" hidden="false" customHeight="false" outlineLevel="0" collapsed="false">
      <c r="A299" s="74" t="s">
        <v>2630</v>
      </c>
      <c r="B299" s="74" t="s">
        <v>1323</v>
      </c>
      <c r="C299" s="74" t="s">
        <v>253</v>
      </c>
      <c r="D299" s="8" t="n">
        <v>5000</v>
      </c>
      <c r="E299" s="74" t="s">
        <v>953</v>
      </c>
      <c r="F299" s="74" t="s">
        <v>2682</v>
      </c>
      <c r="G299" s="53" t="str">
        <f aca="false">INDEX(I_Items!$D$5:$D$133,MATCH($E299,I_Items!$A$5:$A$133,0))&amp;""</f>
        <v>Usus</v>
      </c>
      <c r="H299" s="53" t="str">
        <f aca="false">INDEX(I_Items!$F$5:$F$133,MATCH($E299,I_Items!$A$5:$A$133,0))&amp;""</f>
        <v>Fresh</v>
      </c>
      <c r="I299" s="53" t="str">
        <f aca="false">INDEX(I_Items!$E$5:$E$133,MATCH($E299,I_Items!$A$5:$A$133,0))&amp;""</f>
        <v/>
      </c>
      <c r="J299" s="84" t="n">
        <v>640.6</v>
      </c>
      <c r="K299" s="93" t="n">
        <v>0.0412300800659063</v>
      </c>
      <c r="L299" s="8" t="n">
        <v>3203000</v>
      </c>
      <c r="M299" s="8" t="n">
        <v>5680.58380013362</v>
      </c>
      <c r="N299" s="8" t="n">
        <v>3638981.98236559</v>
      </c>
      <c r="O299" s="12"/>
      <c r="P299" s="6" t="s">
        <v>1119</v>
      </c>
    </row>
    <row r="300" customFormat="false" ht="15" hidden="false" customHeight="false" outlineLevel="0" collapsed="false">
      <c r="A300" s="74" t="s">
        <v>2630</v>
      </c>
      <c r="B300" s="74" t="s">
        <v>1323</v>
      </c>
      <c r="C300" s="74" t="s">
        <v>2665</v>
      </c>
      <c r="D300" s="8" t="n">
        <v>5000</v>
      </c>
      <c r="E300" s="74" t="s">
        <v>949</v>
      </c>
      <c r="F300" s="74" t="s">
        <v>2666</v>
      </c>
      <c r="G300" s="53" t="str">
        <f aca="false">INDEX(I_Items!$D$5:$D$133,MATCH($E300,I_Items!$A$5:$A$133,0))&amp;""</f>
        <v>HJA (Hati/Jantung/Ampela)</v>
      </c>
      <c r="H300" s="53" t="str">
        <f aca="false">INDEX(I_Items!$F$5:$F$133,MATCH($E300,I_Items!$A$5:$A$133,0))&amp;""</f>
        <v>Fresh</v>
      </c>
      <c r="I300" s="53" t="str">
        <f aca="false">INDEX(I_Items!$E$5:$E$133,MATCH($E300,I_Items!$A$5:$A$133,0))&amp;""</f>
        <v/>
      </c>
      <c r="J300" s="84" t="n">
        <v>804.9</v>
      </c>
      <c r="K300" s="93" t="n">
        <v>0.0518047009757228</v>
      </c>
      <c r="L300" s="8" t="n">
        <v>4024500</v>
      </c>
      <c r="M300" s="8" t="n">
        <v>5680.58380013362</v>
      </c>
      <c r="N300" s="8" t="n">
        <v>4572301.90072755</v>
      </c>
      <c r="O300" s="12"/>
      <c r="P300" s="6" t="s">
        <v>1119</v>
      </c>
    </row>
    <row r="301" customFormat="false" ht="15" hidden="false" customHeight="false" outlineLevel="0" collapsed="false">
      <c r="A301" s="74" t="s">
        <v>2630</v>
      </c>
      <c r="B301" s="74" t="s">
        <v>1323</v>
      </c>
      <c r="C301" s="74" t="s">
        <v>2683</v>
      </c>
      <c r="D301" s="8" t="n">
        <v>30000</v>
      </c>
      <c r="E301" s="74" t="s">
        <v>972</v>
      </c>
      <c r="F301" s="74" t="s">
        <v>2684</v>
      </c>
      <c r="G301" s="53" t="str">
        <f aca="false">INDEX(I_Items!$D$5:$D$133,MATCH($E301,I_Items!$A$5:$A$133,0))&amp;""</f>
        <v>Karkas</v>
      </c>
      <c r="H301" s="53" t="str">
        <f aca="false">INDEX(I_Items!$F$5:$F$133,MATCH($E301,I_Items!$A$5:$A$133,0))&amp;""</f>
        <v>Frozen</v>
      </c>
      <c r="I301" s="53" t="str">
        <f aca="false">INDEX(I_Items!$E$5:$E$133,MATCH($E301,I_Items!$A$5:$A$133,0))&amp;""</f>
        <v>Uk 0.6</v>
      </c>
      <c r="J301" s="84" t="n">
        <v>2.7</v>
      </c>
      <c r="K301" s="93" t="n">
        <v>0.00017377648482352</v>
      </c>
      <c r="L301" s="8" t="n">
        <v>81000</v>
      </c>
      <c r="M301" s="8" t="n">
        <v>34083.5028008017</v>
      </c>
      <c r="N301" s="8" t="n">
        <v>92025.4575621646</v>
      </c>
      <c r="O301" s="12"/>
      <c r="P301" s="6" t="s">
        <v>1119</v>
      </c>
    </row>
    <row r="302" customFormat="false" ht="15" hidden="false" customHeight="false" outlineLevel="0" collapsed="false">
      <c r="A302" s="74" t="s">
        <v>2630</v>
      </c>
      <c r="B302" s="74" t="s">
        <v>1323</v>
      </c>
      <c r="C302" s="74" t="s">
        <v>2667</v>
      </c>
      <c r="D302" s="8" t="n">
        <v>30000</v>
      </c>
      <c r="E302" s="74" t="s">
        <v>973</v>
      </c>
      <c r="F302" s="74" t="s">
        <v>2668</v>
      </c>
      <c r="G302" s="53" t="str">
        <f aca="false">INDEX(I_Items!$D$5:$D$133,MATCH($E302,I_Items!$A$5:$A$133,0))&amp;""</f>
        <v>Karkas</v>
      </c>
      <c r="H302" s="53" t="str">
        <f aca="false">INDEX(I_Items!$F$5:$F$133,MATCH($E302,I_Items!$A$5:$A$133,0))&amp;""</f>
        <v>Frozen</v>
      </c>
      <c r="I302" s="53" t="str">
        <f aca="false">INDEX(I_Items!$E$5:$E$133,MATCH($E302,I_Items!$A$5:$A$133,0))&amp;""</f>
        <v>Uk 0.7</v>
      </c>
      <c r="J302" s="84" t="n">
        <v>23.4</v>
      </c>
      <c r="K302" s="93" t="n">
        <v>0.00150606286847051</v>
      </c>
      <c r="L302" s="8" t="n">
        <v>702000</v>
      </c>
      <c r="M302" s="8" t="n">
        <v>34083.5028008017</v>
      </c>
      <c r="N302" s="8" t="n">
        <v>797553.96553876</v>
      </c>
      <c r="O302" s="12"/>
      <c r="P302" s="6" t="s">
        <v>1119</v>
      </c>
    </row>
    <row r="303" customFormat="false" ht="15" hidden="false" customHeight="false" outlineLevel="0" collapsed="false">
      <c r="A303" s="74" t="s">
        <v>2630</v>
      </c>
      <c r="B303" s="74" t="s">
        <v>1323</v>
      </c>
      <c r="C303" s="74" t="s">
        <v>2669</v>
      </c>
      <c r="D303" s="8" t="n">
        <v>30000</v>
      </c>
      <c r="E303" s="74" t="s">
        <v>974</v>
      </c>
      <c r="F303" s="74" t="s">
        <v>2670</v>
      </c>
      <c r="G303" s="53" t="str">
        <f aca="false">INDEX(I_Items!$D$5:$D$133,MATCH($E303,I_Items!$A$5:$A$133,0))&amp;""</f>
        <v>Karkas</v>
      </c>
      <c r="H303" s="53" t="str">
        <f aca="false">INDEX(I_Items!$F$5:$F$133,MATCH($E303,I_Items!$A$5:$A$133,0))&amp;""</f>
        <v>Frozen</v>
      </c>
      <c r="I303" s="53" t="str">
        <f aca="false">INDEX(I_Items!$E$5:$E$133,MATCH($E303,I_Items!$A$5:$A$133,0))&amp;""</f>
        <v>Uk 0.8</v>
      </c>
      <c r="J303" s="84" t="n">
        <v>26.5</v>
      </c>
      <c r="K303" s="93" t="n">
        <v>0.00170558401771233</v>
      </c>
      <c r="L303" s="8" t="n">
        <v>795000</v>
      </c>
      <c r="M303" s="8" t="n">
        <v>34083.5028008017</v>
      </c>
      <c r="N303" s="8" t="n">
        <v>903212.824221245</v>
      </c>
      <c r="O303" s="12"/>
      <c r="P303" s="6" t="s">
        <v>1119</v>
      </c>
    </row>
    <row r="304" customFormat="false" ht="15" hidden="false" customHeight="false" outlineLevel="0" collapsed="false">
      <c r="A304" s="74" t="s">
        <v>2630</v>
      </c>
      <c r="B304" s="74" t="s">
        <v>1323</v>
      </c>
      <c r="C304" s="74" t="s">
        <v>2671</v>
      </c>
      <c r="D304" s="8" t="n">
        <v>30000</v>
      </c>
      <c r="E304" s="74" t="s">
        <v>976</v>
      </c>
      <c r="F304" s="74" t="s">
        <v>2672</v>
      </c>
      <c r="G304" s="53" t="str">
        <f aca="false">INDEX(I_Items!$D$5:$D$133,MATCH($E304,I_Items!$A$5:$A$133,0))&amp;""</f>
        <v>Karkas</v>
      </c>
      <c r="H304" s="53" t="str">
        <f aca="false">INDEX(I_Items!$F$5:$F$133,MATCH($E304,I_Items!$A$5:$A$133,0))&amp;""</f>
        <v>Frozen</v>
      </c>
      <c r="I304" s="53" t="str">
        <f aca="false">INDEX(I_Items!$E$5:$E$133,MATCH($E304,I_Items!$A$5:$A$133,0))&amp;""</f>
        <v>Uk 0.9</v>
      </c>
      <c r="J304" s="84" t="n">
        <v>73.7</v>
      </c>
      <c r="K304" s="93" t="n">
        <v>0.00474345441907165</v>
      </c>
      <c r="L304" s="8" t="n">
        <v>2211000</v>
      </c>
      <c r="M304" s="8" t="n">
        <v>34083.5028008017</v>
      </c>
      <c r="N304" s="8" t="n">
        <v>2511954.15641909</v>
      </c>
      <c r="O304" s="12"/>
      <c r="P304" s="6" t="s">
        <v>1119</v>
      </c>
    </row>
    <row r="305" customFormat="false" ht="15" hidden="false" customHeight="false" outlineLevel="0" collapsed="false">
      <c r="A305" s="74" t="s">
        <v>2630</v>
      </c>
      <c r="B305" s="74" t="s">
        <v>1323</v>
      </c>
      <c r="C305" s="74" t="s">
        <v>2673</v>
      </c>
      <c r="D305" s="8" t="n">
        <v>30000</v>
      </c>
      <c r="E305" s="74" t="s">
        <v>979</v>
      </c>
      <c r="F305" s="74" t="s">
        <v>2685</v>
      </c>
      <c r="G305" s="53" t="str">
        <f aca="false">INDEX(I_Items!$D$5:$D$133,MATCH($E305,I_Items!$A$5:$A$133,0))&amp;""</f>
        <v>Karkas</v>
      </c>
      <c r="H305" s="53" t="str">
        <f aca="false">INDEX(I_Items!$F$5:$F$133,MATCH($E305,I_Items!$A$5:$A$133,0))&amp;""</f>
        <v>Frozen</v>
      </c>
      <c r="I305" s="53" t="str">
        <f aca="false">INDEX(I_Items!$E$5:$E$133,MATCH($E305,I_Items!$A$5:$A$133,0))&amp;""</f>
        <v>Uk 1.0</v>
      </c>
      <c r="J305" s="84" t="n">
        <v>113.6</v>
      </c>
      <c r="K305" s="93" t="n">
        <v>0.007311484694797</v>
      </c>
      <c r="L305" s="8" t="n">
        <v>3408000</v>
      </c>
      <c r="M305" s="8" t="n">
        <v>34083.5028008017</v>
      </c>
      <c r="N305" s="8" t="n">
        <v>3871885.91817107</v>
      </c>
      <c r="O305" s="12"/>
      <c r="P305" s="6" t="s">
        <v>1119</v>
      </c>
    </row>
    <row r="306" customFormat="false" ht="15" hidden="false" customHeight="false" outlineLevel="0" collapsed="false">
      <c r="A306" s="74" t="s">
        <v>2630</v>
      </c>
      <c r="B306" s="74" t="s">
        <v>1323</v>
      </c>
      <c r="C306" s="74" t="s">
        <v>2674</v>
      </c>
      <c r="D306" s="8" t="n">
        <v>30000</v>
      </c>
      <c r="E306" s="74" t="s">
        <v>983</v>
      </c>
      <c r="F306" s="74" t="s">
        <v>2686</v>
      </c>
      <c r="G306" s="53" t="str">
        <f aca="false">INDEX(I_Items!$D$5:$D$133,MATCH($E306,I_Items!$A$5:$A$133,0))&amp;""</f>
        <v>Karkas</v>
      </c>
      <c r="H306" s="53" t="str">
        <f aca="false">INDEX(I_Items!$F$5:$F$133,MATCH($E306,I_Items!$A$5:$A$133,0))&amp;""</f>
        <v>Frozen</v>
      </c>
      <c r="I306" s="53" t="str">
        <f aca="false">INDEX(I_Items!$E$5:$E$133,MATCH($E306,I_Items!$A$5:$A$133,0))&amp;""</f>
        <v>Uk 1.1</v>
      </c>
      <c r="J306" s="84" t="n">
        <v>144.7</v>
      </c>
      <c r="K306" s="93" t="n">
        <v>0.00931313235331977</v>
      </c>
      <c r="L306" s="8" t="n">
        <v>4341000</v>
      </c>
      <c r="M306" s="8" t="n">
        <v>34083.5028008017</v>
      </c>
      <c r="N306" s="8" t="n">
        <v>4931882.85527601</v>
      </c>
      <c r="O306" s="12"/>
      <c r="P306" s="6" t="s">
        <v>1119</v>
      </c>
    </row>
    <row r="307" customFormat="false" ht="15" hidden="false" customHeight="false" outlineLevel="0" collapsed="false">
      <c r="A307" s="74" t="s">
        <v>2630</v>
      </c>
      <c r="B307" s="74" t="s">
        <v>1323</v>
      </c>
      <c r="C307" s="74" t="s">
        <v>2676</v>
      </c>
      <c r="D307" s="8" t="n">
        <v>30000</v>
      </c>
      <c r="E307" s="74" t="s">
        <v>987</v>
      </c>
      <c r="F307" s="74" t="s">
        <v>2687</v>
      </c>
      <c r="G307" s="53" t="str">
        <f aca="false">INDEX(I_Items!$D$5:$D$133,MATCH($E307,I_Items!$A$5:$A$133,0))&amp;""</f>
        <v>Karkas</v>
      </c>
      <c r="H307" s="53" t="str">
        <f aca="false">INDEX(I_Items!$F$5:$F$133,MATCH($E307,I_Items!$A$5:$A$133,0))&amp;""</f>
        <v>Frozen</v>
      </c>
      <c r="I307" s="53" t="str">
        <f aca="false">INDEX(I_Items!$E$5:$E$133,MATCH($E307,I_Items!$A$5:$A$133,0))&amp;""</f>
        <v>Uk 1.2</v>
      </c>
      <c r="J307" s="84" t="n">
        <v>170.7</v>
      </c>
      <c r="K307" s="93" t="n">
        <v>0.0109865355405092</v>
      </c>
      <c r="L307" s="8" t="n">
        <v>5121000</v>
      </c>
      <c r="M307" s="8" t="n">
        <v>34083.5028008017</v>
      </c>
      <c r="N307" s="8" t="n">
        <v>5818053.92809685</v>
      </c>
      <c r="O307" s="12"/>
      <c r="P307" s="6" t="s">
        <v>1119</v>
      </c>
    </row>
    <row r="308" customFormat="false" ht="15" hidden="false" customHeight="false" outlineLevel="0" collapsed="false">
      <c r="A308" s="74" t="s">
        <v>2630</v>
      </c>
      <c r="B308" s="74" t="s">
        <v>1323</v>
      </c>
      <c r="C308" s="74" t="s">
        <v>2678</v>
      </c>
      <c r="D308" s="8" t="n">
        <v>30000</v>
      </c>
      <c r="E308" s="74" t="s">
        <v>991</v>
      </c>
      <c r="F308" s="74" t="s">
        <v>2688</v>
      </c>
      <c r="G308" s="53" t="str">
        <f aca="false">INDEX(I_Items!$D$5:$D$133,MATCH($E308,I_Items!$A$5:$A$133,0))&amp;""</f>
        <v>Karkas</v>
      </c>
      <c r="H308" s="53" t="str">
        <f aca="false">INDEX(I_Items!$F$5:$F$133,MATCH($E308,I_Items!$A$5:$A$133,0))&amp;""</f>
        <v>Frozen</v>
      </c>
      <c r="I308" s="53" t="str">
        <f aca="false">INDEX(I_Items!$E$5:$E$133,MATCH($E308,I_Items!$A$5:$A$133,0))&amp;""</f>
        <v>Uk 1.3</v>
      </c>
      <c r="J308" s="84" t="n">
        <v>193.5</v>
      </c>
      <c r="K308" s="93" t="n">
        <v>0.0124539814123523</v>
      </c>
      <c r="L308" s="8" t="n">
        <v>5805000</v>
      </c>
      <c r="M308" s="8" t="n">
        <v>34083.5028008017</v>
      </c>
      <c r="N308" s="8" t="n">
        <v>6595157.79195513</v>
      </c>
      <c r="O308" s="12"/>
      <c r="P308" s="6" t="s">
        <v>1119</v>
      </c>
    </row>
    <row r="309" customFormat="false" ht="15" hidden="false" customHeight="false" outlineLevel="0" collapsed="false">
      <c r="A309" s="74" t="s">
        <v>2630</v>
      </c>
      <c r="B309" s="74" t="s">
        <v>1323</v>
      </c>
      <c r="C309" s="74" t="s">
        <v>2680</v>
      </c>
      <c r="D309" s="8" t="n">
        <v>30000</v>
      </c>
      <c r="E309" s="74" t="s">
        <v>994</v>
      </c>
      <c r="F309" s="74" t="s">
        <v>2681</v>
      </c>
      <c r="G309" s="53" t="str">
        <f aca="false">INDEX(I_Items!$D$5:$D$133,MATCH($E309,I_Items!$A$5:$A$133,0))&amp;""</f>
        <v>Karkas</v>
      </c>
      <c r="H309" s="53" t="str">
        <f aca="false">INDEX(I_Items!$F$5:$F$133,MATCH($E309,I_Items!$A$5:$A$133,0))&amp;""</f>
        <v>Frozen</v>
      </c>
      <c r="I309" s="53" t="str">
        <f aca="false">INDEX(I_Items!$E$5:$E$133,MATCH($E309,I_Items!$A$5:$A$133,0))&amp;""</f>
        <v>Uk 1.4</v>
      </c>
      <c r="J309" s="84" t="n">
        <v>171.1</v>
      </c>
      <c r="K309" s="93" t="n">
        <v>0.0110122802049275</v>
      </c>
      <c r="L309" s="8" t="n">
        <v>5133000</v>
      </c>
      <c r="M309" s="8" t="n">
        <v>34083.5028008017</v>
      </c>
      <c r="N309" s="8" t="n">
        <v>5831687.32921717</v>
      </c>
      <c r="O309" s="12"/>
      <c r="P309" s="6" t="s">
        <v>1119</v>
      </c>
    </row>
    <row r="310" customFormat="false" ht="15" hidden="false" customHeight="false" outlineLevel="0" collapsed="false">
      <c r="A310" s="74" t="s">
        <v>2630</v>
      </c>
      <c r="B310" s="74" t="s">
        <v>1323</v>
      </c>
      <c r="C310" s="74" t="s">
        <v>2704</v>
      </c>
      <c r="D310" s="8" t="n">
        <v>30000</v>
      </c>
      <c r="E310" s="74" t="s">
        <v>1000</v>
      </c>
      <c r="F310" s="74" t="s">
        <v>2705</v>
      </c>
      <c r="G310" s="53" t="str">
        <f aca="false">INDEX(I_Items!$D$5:$D$133,MATCH($E310,I_Items!$A$5:$A$133,0))&amp;""</f>
        <v>Karkas</v>
      </c>
      <c r="H310" s="53" t="str">
        <f aca="false">INDEX(I_Items!$F$5:$F$133,MATCH($E310,I_Items!$A$5:$A$133,0))&amp;""</f>
        <v>Frozen</v>
      </c>
      <c r="I310" s="53" t="str">
        <f aca="false">INDEX(I_Items!$E$5:$E$133,MATCH($E310,I_Items!$A$5:$A$133,0))&amp;""</f>
        <v>Uk 1.6</v>
      </c>
      <c r="J310" s="84" t="n">
        <v>31.7</v>
      </c>
      <c r="K310" s="93" t="n">
        <v>0.00204026465515022</v>
      </c>
      <c r="L310" s="8" t="n">
        <v>951000</v>
      </c>
      <c r="M310" s="8" t="n">
        <v>34083.5028008017</v>
      </c>
      <c r="N310" s="8" t="n">
        <v>1080447.03878541</v>
      </c>
      <c r="O310" s="12"/>
      <c r="P310" s="6" t="s">
        <v>1119</v>
      </c>
    </row>
    <row r="311" customFormat="false" ht="15" hidden="false" customHeight="false" outlineLevel="0" collapsed="false">
      <c r="A311" s="74" t="s">
        <v>2631</v>
      </c>
      <c r="B311" s="74" t="s">
        <v>1326</v>
      </c>
      <c r="C311" s="74" t="s">
        <v>2642</v>
      </c>
      <c r="D311" s="8" t="n">
        <v>33000</v>
      </c>
      <c r="E311" s="74" t="s">
        <v>1016</v>
      </c>
      <c r="F311" s="74" t="s">
        <v>2643</v>
      </c>
      <c r="G311" s="53" t="str">
        <f aca="false">INDEX(I_Items!$D$5:$D$133,MATCH($E311,I_Items!$A$5:$A$133,0))&amp;""</f>
        <v>Karkas</v>
      </c>
      <c r="H311" s="53" t="str">
        <f aca="false">INDEX(I_Items!$F$5:$F$133,MATCH($E311,I_Items!$A$5:$A$133,0))&amp;""</f>
        <v>Frozen</v>
      </c>
      <c r="I311" s="53" t="str">
        <f aca="false">INDEX(I_Items!$E$5:$E$133,MATCH($E311,I_Items!$A$5:$A$133,0))&amp;""</f>
        <v>Uk 0.6</v>
      </c>
      <c r="J311" s="84" t="n">
        <v>1.3</v>
      </c>
      <c r="K311" s="93" t="n">
        <v>8.25485925464971E-005</v>
      </c>
      <c r="L311" s="8" t="n">
        <v>42900</v>
      </c>
      <c r="M311" s="8" t="n">
        <v>36846.396798106</v>
      </c>
      <c r="N311" s="8" t="n">
        <v>47900.3158375379</v>
      </c>
      <c r="O311" s="12"/>
      <c r="P311" s="6" t="s">
        <v>1119</v>
      </c>
    </row>
    <row r="312" customFormat="false" ht="15" hidden="false" customHeight="false" outlineLevel="0" collapsed="false">
      <c r="A312" s="74" t="s">
        <v>2631</v>
      </c>
      <c r="B312" s="74" t="s">
        <v>1326</v>
      </c>
      <c r="C312" s="74" t="s">
        <v>2644</v>
      </c>
      <c r="D312" s="8" t="n">
        <v>33000</v>
      </c>
      <c r="E312" s="74" t="s">
        <v>1017</v>
      </c>
      <c r="F312" s="74" t="s">
        <v>2645</v>
      </c>
      <c r="G312" s="53" t="str">
        <f aca="false">INDEX(I_Items!$D$5:$D$133,MATCH($E312,I_Items!$A$5:$A$133,0))&amp;""</f>
        <v>Karkas</v>
      </c>
      <c r="H312" s="53" t="str">
        <f aca="false">INDEX(I_Items!$F$5:$F$133,MATCH($E312,I_Items!$A$5:$A$133,0))&amp;""</f>
        <v>Frozen</v>
      </c>
      <c r="I312" s="53" t="str">
        <f aca="false">INDEX(I_Items!$E$5:$E$133,MATCH($E312,I_Items!$A$5:$A$133,0))&amp;""</f>
        <v>Uk 0.7</v>
      </c>
      <c r="J312" s="84" t="n">
        <v>17.1</v>
      </c>
      <c r="K312" s="93" t="n">
        <v>0.00108583148657315</v>
      </c>
      <c r="L312" s="8" t="n">
        <v>564300</v>
      </c>
      <c r="M312" s="8" t="n">
        <v>36846.396798106</v>
      </c>
      <c r="N312" s="8" t="n">
        <v>630073.385247613</v>
      </c>
      <c r="O312" s="12"/>
      <c r="P312" s="6" t="s">
        <v>1119</v>
      </c>
    </row>
    <row r="313" customFormat="false" ht="15" hidden="false" customHeight="false" outlineLevel="0" collapsed="false">
      <c r="A313" s="74" t="s">
        <v>2631</v>
      </c>
      <c r="B313" s="74" t="s">
        <v>1326</v>
      </c>
      <c r="C313" s="74" t="s">
        <v>2646</v>
      </c>
      <c r="D313" s="8" t="n">
        <v>33000</v>
      </c>
      <c r="E313" s="74" t="s">
        <v>1014</v>
      </c>
      <c r="F313" s="74" t="s">
        <v>2647</v>
      </c>
      <c r="G313" s="53" t="str">
        <f aca="false">INDEX(I_Items!$D$5:$D$133,MATCH($E313,I_Items!$A$5:$A$133,0))&amp;""</f>
        <v>Karkas</v>
      </c>
      <c r="H313" s="53" t="str">
        <f aca="false">INDEX(I_Items!$F$5:$F$133,MATCH($E313,I_Items!$A$5:$A$133,0))&amp;""</f>
        <v>Frozen</v>
      </c>
      <c r="I313" s="53" t="str">
        <f aca="false">INDEX(I_Items!$E$5:$E$133,MATCH($E313,I_Items!$A$5:$A$133,0))&amp;""</f>
        <v>Uk 0.8</v>
      </c>
      <c r="J313" s="84" t="n">
        <v>91.2</v>
      </c>
      <c r="K313" s="93" t="n">
        <v>0.00579110126172349</v>
      </c>
      <c r="L313" s="8" t="n">
        <v>3009600</v>
      </c>
      <c r="M313" s="8" t="n">
        <v>36846.396798106</v>
      </c>
      <c r="N313" s="8" t="n">
        <v>3360391.38798727</v>
      </c>
      <c r="O313" s="12"/>
      <c r="P313" s="6" t="s">
        <v>1119</v>
      </c>
    </row>
    <row r="314" customFormat="false" ht="15" hidden="false" customHeight="false" outlineLevel="0" collapsed="false">
      <c r="A314" s="74" t="s">
        <v>2631</v>
      </c>
      <c r="B314" s="74" t="s">
        <v>1326</v>
      </c>
      <c r="C314" s="74" t="s">
        <v>2648</v>
      </c>
      <c r="D314" s="8" t="n">
        <v>33000</v>
      </c>
      <c r="E314" s="74" t="s">
        <v>1013</v>
      </c>
      <c r="F314" s="74" t="s">
        <v>2718</v>
      </c>
      <c r="G314" s="53" t="str">
        <f aca="false">INDEX(I_Items!$D$5:$D$133,MATCH($E314,I_Items!$A$5:$A$133,0))&amp;""</f>
        <v>Karkas</v>
      </c>
      <c r="H314" s="53" t="str">
        <f aca="false">INDEX(I_Items!$F$5:$F$133,MATCH($E314,I_Items!$A$5:$A$133,0))&amp;""</f>
        <v>Frozen</v>
      </c>
      <c r="I314" s="53" t="str">
        <f aca="false">INDEX(I_Items!$E$5:$E$133,MATCH($E314,I_Items!$A$5:$A$133,0))&amp;""</f>
        <v>Uk 0.9</v>
      </c>
      <c r="J314" s="84" t="n">
        <v>226.8</v>
      </c>
      <c r="K314" s="93" t="n">
        <v>0.0144015544534966</v>
      </c>
      <c r="L314" s="8" t="n">
        <v>7484400</v>
      </c>
      <c r="M314" s="8" t="n">
        <v>36846.396798106</v>
      </c>
      <c r="N314" s="8" t="n">
        <v>8356762.79381045</v>
      </c>
      <c r="O314" s="12"/>
      <c r="P314" s="6" t="s">
        <v>1119</v>
      </c>
    </row>
    <row r="315" customFormat="false" ht="15" hidden="false" customHeight="false" outlineLevel="0" collapsed="false">
      <c r="A315" s="74" t="s">
        <v>2631</v>
      </c>
      <c r="B315" s="74" t="s">
        <v>1326</v>
      </c>
      <c r="C315" s="74" t="s">
        <v>2650</v>
      </c>
      <c r="D315" s="8" t="n">
        <v>33000</v>
      </c>
      <c r="E315" s="74" t="s">
        <v>978</v>
      </c>
      <c r="F315" s="74" t="s">
        <v>2651</v>
      </c>
      <c r="G315" s="53" t="str">
        <f aca="false">INDEX(I_Items!$D$5:$D$133,MATCH($E315,I_Items!$A$5:$A$133,0))&amp;""</f>
        <v>Karkas</v>
      </c>
      <c r="H315" s="53" t="str">
        <f aca="false">INDEX(I_Items!$F$5:$F$133,MATCH($E315,I_Items!$A$5:$A$133,0))&amp;""</f>
        <v>Fresh</v>
      </c>
      <c r="I315" s="53" t="str">
        <f aca="false">INDEX(I_Items!$E$5:$E$133,MATCH($E315,I_Items!$A$5:$A$133,0))&amp;""</f>
        <v>Uk 1.0</v>
      </c>
      <c r="J315" s="84" t="n">
        <v>443.2</v>
      </c>
      <c r="K315" s="93" t="n">
        <v>0.0281427201666212</v>
      </c>
      <c r="L315" s="8" t="n">
        <v>14625600</v>
      </c>
      <c r="M315" s="8" t="n">
        <v>36846.396798106</v>
      </c>
      <c r="N315" s="8" t="n">
        <v>16330323.0609206</v>
      </c>
      <c r="O315" s="12"/>
      <c r="P315" s="6" t="s">
        <v>1119</v>
      </c>
    </row>
    <row r="316" customFormat="false" ht="15" hidden="false" customHeight="false" outlineLevel="0" collapsed="false">
      <c r="A316" s="74" t="s">
        <v>2631</v>
      </c>
      <c r="B316" s="74" t="s">
        <v>1326</v>
      </c>
      <c r="C316" s="74" t="s">
        <v>2652</v>
      </c>
      <c r="D316" s="8" t="n">
        <v>33000</v>
      </c>
      <c r="E316" s="74" t="s">
        <v>984</v>
      </c>
      <c r="F316" s="74" t="s">
        <v>2690</v>
      </c>
      <c r="G316" s="53" t="str">
        <f aca="false">INDEX(I_Items!$D$5:$D$133,MATCH($E316,I_Items!$A$5:$A$133,0))&amp;""</f>
        <v>Karkas</v>
      </c>
      <c r="H316" s="53" t="str">
        <f aca="false">INDEX(I_Items!$F$5:$F$133,MATCH($E316,I_Items!$A$5:$A$133,0))&amp;""</f>
        <v>Frozen</v>
      </c>
      <c r="I316" s="53" t="str">
        <f aca="false">INDEX(I_Items!$E$5:$E$133,MATCH($E316,I_Items!$A$5:$A$133,0))&amp;""</f>
        <v>Uk 1.1</v>
      </c>
      <c r="J316" s="84" t="n">
        <v>806.5</v>
      </c>
      <c r="K316" s="93" t="n">
        <v>0.0512118768374999</v>
      </c>
      <c r="L316" s="8" t="n">
        <v>26614500</v>
      </c>
      <c r="M316" s="8" t="n">
        <v>36846.396798106</v>
      </c>
      <c r="N316" s="8" t="n">
        <v>29716619.0176725</v>
      </c>
      <c r="O316" s="12"/>
      <c r="P316" s="6" t="s">
        <v>1119</v>
      </c>
    </row>
    <row r="317" customFormat="false" ht="15" hidden="false" customHeight="false" outlineLevel="0" collapsed="false">
      <c r="A317" s="74" t="s">
        <v>2631</v>
      </c>
      <c r="B317" s="74" t="s">
        <v>1326</v>
      </c>
      <c r="C317" s="74" t="s">
        <v>2654</v>
      </c>
      <c r="D317" s="8" t="n">
        <v>33000</v>
      </c>
      <c r="E317" s="74" t="s">
        <v>988</v>
      </c>
      <c r="F317" s="74" t="s">
        <v>2691</v>
      </c>
      <c r="G317" s="53" t="str">
        <f aca="false">INDEX(I_Items!$D$5:$D$133,MATCH($E317,I_Items!$A$5:$A$133,0))&amp;""</f>
        <v>Karkas</v>
      </c>
      <c r="H317" s="53" t="str">
        <f aca="false">INDEX(I_Items!$F$5:$F$133,MATCH($E317,I_Items!$A$5:$A$133,0))&amp;""</f>
        <v>Frozen</v>
      </c>
      <c r="I317" s="53" t="str">
        <f aca="false">INDEX(I_Items!$E$5:$E$133,MATCH($E317,I_Items!$A$5:$A$133,0))&amp;""</f>
        <v>Uk 1.2</v>
      </c>
      <c r="J317" s="84" t="n">
        <v>1325.2</v>
      </c>
      <c r="K317" s="93" t="n">
        <v>0.0841487652635523</v>
      </c>
      <c r="L317" s="8" t="n">
        <v>43731600</v>
      </c>
      <c r="M317" s="8" t="n">
        <v>36846.396798106</v>
      </c>
      <c r="N317" s="8" t="n">
        <v>48828845.0368501</v>
      </c>
      <c r="O317" s="12"/>
      <c r="P317" s="6" t="s">
        <v>1119</v>
      </c>
    </row>
    <row r="318" customFormat="false" ht="15" hidden="false" customHeight="false" outlineLevel="0" collapsed="false">
      <c r="A318" s="74" t="s">
        <v>2631</v>
      </c>
      <c r="B318" s="74" t="s">
        <v>1326</v>
      </c>
      <c r="C318" s="74" t="s">
        <v>2656</v>
      </c>
      <c r="D318" s="8" t="n">
        <v>33000</v>
      </c>
      <c r="E318" s="74" t="s">
        <v>990</v>
      </c>
      <c r="F318" s="74" t="s">
        <v>2657</v>
      </c>
      <c r="G318" s="53" t="str">
        <f aca="false">INDEX(I_Items!$D$5:$D$133,MATCH($E318,I_Items!$A$5:$A$133,0))&amp;""</f>
        <v>Karkas</v>
      </c>
      <c r="H318" s="53" t="str">
        <f aca="false">INDEX(I_Items!$F$5:$F$133,MATCH($E318,I_Items!$A$5:$A$133,0))&amp;""</f>
        <v>Fresh</v>
      </c>
      <c r="I318" s="53" t="str">
        <f aca="false">INDEX(I_Items!$E$5:$E$133,MATCH($E318,I_Items!$A$5:$A$133,0))&amp;""</f>
        <v>Uk 1.3</v>
      </c>
      <c r="J318" s="84" t="n">
        <v>1736.8</v>
      </c>
      <c r="K318" s="93" t="n">
        <v>0.11028491964212</v>
      </c>
      <c r="L318" s="8" t="n">
        <v>57314400</v>
      </c>
      <c r="M318" s="8" t="n">
        <v>36846.396798106</v>
      </c>
      <c r="N318" s="8" t="n">
        <v>63994821.9589506</v>
      </c>
      <c r="O318" s="12"/>
      <c r="P318" s="6" t="s">
        <v>1119</v>
      </c>
    </row>
    <row r="319" customFormat="false" ht="15" hidden="false" customHeight="false" outlineLevel="0" collapsed="false">
      <c r="A319" s="74" t="s">
        <v>2631</v>
      </c>
      <c r="B319" s="74" t="s">
        <v>1326</v>
      </c>
      <c r="C319" s="74" t="s">
        <v>2658</v>
      </c>
      <c r="D319" s="8" t="n">
        <v>33000</v>
      </c>
      <c r="E319" s="74" t="s">
        <v>993</v>
      </c>
      <c r="F319" s="74" t="s">
        <v>2659</v>
      </c>
      <c r="G319" s="53" t="str">
        <f aca="false">INDEX(I_Items!$D$5:$D$133,MATCH($E319,I_Items!$A$5:$A$133,0))&amp;""</f>
        <v>Karkas</v>
      </c>
      <c r="H319" s="53" t="str">
        <f aca="false">INDEX(I_Items!$F$5:$F$133,MATCH($E319,I_Items!$A$5:$A$133,0))&amp;""</f>
        <v>Fresh</v>
      </c>
      <c r="I319" s="53" t="str">
        <f aca="false">INDEX(I_Items!$E$5:$E$133,MATCH($E319,I_Items!$A$5:$A$133,0))&amp;""</f>
        <v>Uk 1.4</v>
      </c>
      <c r="J319" s="84" t="n">
        <v>1924.4</v>
      </c>
      <c r="K319" s="93" t="n">
        <v>0.122197316535753</v>
      </c>
      <c r="L319" s="8" t="n">
        <v>63505200</v>
      </c>
      <c r="M319" s="8" t="n">
        <v>36846.396798106</v>
      </c>
      <c r="N319" s="8" t="n">
        <v>70907205.9982753</v>
      </c>
      <c r="O319" s="12"/>
      <c r="P319" s="6" t="s">
        <v>1119</v>
      </c>
    </row>
    <row r="320" customFormat="false" ht="15" hidden="false" customHeight="false" outlineLevel="0" collapsed="false">
      <c r="A320" s="74" t="s">
        <v>2631</v>
      </c>
      <c r="B320" s="74" t="s">
        <v>1326</v>
      </c>
      <c r="C320" s="74" t="s">
        <v>2692</v>
      </c>
      <c r="D320" s="8" t="n">
        <v>33000</v>
      </c>
      <c r="E320" s="74" t="s">
        <v>998</v>
      </c>
      <c r="F320" s="74" t="s">
        <v>2722</v>
      </c>
      <c r="G320" s="53" t="str">
        <f aca="false">INDEX(I_Items!$D$5:$D$133,MATCH($E320,I_Items!$A$5:$A$133,0))&amp;""</f>
        <v>Karkas</v>
      </c>
      <c r="H320" s="53" t="str">
        <f aca="false">INDEX(I_Items!$F$5:$F$133,MATCH($E320,I_Items!$A$5:$A$133,0))&amp;""</f>
        <v>Frozen</v>
      </c>
      <c r="I320" s="53" t="str">
        <f aca="false">INDEX(I_Items!$E$5:$E$133,MATCH($E320,I_Items!$A$5:$A$133,0))&amp;""</f>
        <v>Uk 1.5</v>
      </c>
      <c r="J320" s="84" t="n">
        <v>1479.9</v>
      </c>
      <c r="K320" s="93" t="n">
        <v>0.0939720477765854</v>
      </c>
      <c r="L320" s="8" t="n">
        <v>48836700</v>
      </c>
      <c r="M320" s="8" t="n">
        <v>36846.396798106</v>
      </c>
      <c r="N320" s="8" t="n">
        <v>54528982.6215171</v>
      </c>
      <c r="O320" s="12"/>
      <c r="P320" s="6" t="s">
        <v>1119</v>
      </c>
    </row>
    <row r="321" customFormat="false" ht="15" hidden="false" customHeight="false" outlineLevel="0" collapsed="false">
      <c r="A321" s="74" t="s">
        <v>2631</v>
      </c>
      <c r="B321" s="74" t="s">
        <v>1326</v>
      </c>
      <c r="C321" s="74" t="s">
        <v>2694</v>
      </c>
      <c r="D321" s="8" t="n">
        <v>33000</v>
      </c>
      <c r="E321" s="74" t="s">
        <v>1001</v>
      </c>
      <c r="F321" s="74" t="s">
        <v>2721</v>
      </c>
      <c r="G321" s="53" t="str">
        <f aca="false">INDEX(I_Items!$D$5:$D$133,MATCH($E321,I_Items!$A$5:$A$133,0))&amp;""</f>
        <v>Karkas</v>
      </c>
      <c r="H321" s="53" t="str">
        <f aca="false">INDEX(I_Items!$F$5:$F$133,MATCH($E321,I_Items!$A$5:$A$133,0))&amp;""</f>
        <v>Frozen</v>
      </c>
      <c r="I321" s="53" t="str">
        <f aca="false">INDEX(I_Items!$E$5:$E$133,MATCH($E321,I_Items!$A$5:$A$133,0))&amp;""</f>
        <v>Uk 1.6</v>
      </c>
      <c r="J321" s="84" t="n">
        <v>1098.7</v>
      </c>
      <c r="K321" s="93" t="n">
        <v>0.0697662604852587</v>
      </c>
      <c r="L321" s="8" t="n">
        <v>36257100</v>
      </c>
      <c r="M321" s="8" t="n">
        <v>36846.396798106</v>
      </c>
      <c r="N321" s="8" t="n">
        <v>40483136.1620791</v>
      </c>
      <c r="O321" s="12"/>
      <c r="P321" s="6" t="s">
        <v>1119</v>
      </c>
    </row>
    <row r="322" customFormat="false" ht="15" hidden="false" customHeight="false" outlineLevel="0" collapsed="false">
      <c r="A322" s="74" t="s">
        <v>2631</v>
      </c>
      <c r="B322" s="74" t="s">
        <v>1326</v>
      </c>
      <c r="C322" s="74" t="s">
        <v>2696</v>
      </c>
      <c r="D322" s="8" t="n">
        <v>33000</v>
      </c>
      <c r="E322" s="74" t="s">
        <v>1004</v>
      </c>
      <c r="F322" s="74" t="s">
        <v>2697</v>
      </c>
      <c r="G322" s="53" t="str">
        <f aca="false">INDEX(I_Items!$D$5:$D$133,MATCH($E322,I_Items!$A$5:$A$133,0))&amp;""</f>
        <v>Karkas</v>
      </c>
      <c r="H322" s="53" t="str">
        <f aca="false">INDEX(I_Items!$F$5:$F$133,MATCH($E322,I_Items!$A$5:$A$133,0))&amp;""</f>
        <v>Frozen</v>
      </c>
      <c r="I322" s="53" t="str">
        <f aca="false">INDEX(I_Items!$E$5:$E$133,MATCH($E322,I_Items!$A$5:$A$133,0))&amp;""</f>
        <v>Uk 1.7</v>
      </c>
      <c r="J322" s="84" t="n">
        <v>621.8</v>
      </c>
      <c r="K322" s="93" t="n">
        <v>0.039483626804163</v>
      </c>
      <c r="L322" s="8" t="n">
        <v>20519400</v>
      </c>
      <c r="M322" s="8" t="n">
        <v>36846.396798106</v>
      </c>
      <c r="N322" s="8" t="n">
        <v>22911089.5290623</v>
      </c>
      <c r="O322" s="12"/>
      <c r="P322" s="6" t="s">
        <v>1119</v>
      </c>
    </row>
    <row r="323" customFormat="false" ht="15" hidden="false" customHeight="false" outlineLevel="0" collapsed="false">
      <c r="A323" s="74" t="s">
        <v>2631</v>
      </c>
      <c r="B323" s="74" t="s">
        <v>1326</v>
      </c>
      <c r="C323" s="74" t="s">
        <v>2698</v>
      </c>
      <c r="D323" s="8" t="n">
        <v>33000</v>
      </c>
      <c r="E323" s="74" t="s">
        <v>1006</v>
      </c>
      <c r="F323" s="74" t="s">
        <v>2699</v>
      </c>
      <c r="G323" s="53" t="str">
        <f aca="false">INDEX(I_Items!$D$5:$D$133,MATCH($E323,I_Items!$A$5:$A$133,0))&amp;""</f>
        <v>Karkas</v>
      </c>
      <c r="H323" s="53" t="str">
        <f aca="false">INDEX(I_Items!$F$5:$F$133,MATCH($E323,I_Items!$A$5:$A$133,0))&amp;""</f>
        <v>Frozen</v>
      </c>
      <c r="I323" s="53" t="str">
        <f aca="false">INDEX(I_Items!$E$5:$E$133,MATCH($E323,I_Items!$A$5:$A$133,0))&amp;""</f>
        <v>Uk 1.8</v>
      </c>
      <c r="J323" s="84" t="n">
        <v>227.9</v>
      </c>
      <c r="K323" s="93" t="n">
        <v>0.0144714032625744</v>
      </c>
      <c r="L323" s="8" t="n">
        <v>7520700</v>
      </c>
      <c r="M323" s="8" t="n">
        <v>36846.396798106</v>
      </c>
      <c r="N323" s="8" t="n">
        <v>8397293.83028837</v>
      </c>
      <c r="O323" s="12"/>
      <c r="P323" s="6" t="s">
        <v>1119</v>
      </c>
    </row>
    <row r="324" customFormat="false" ht="15" hidden="false" customHeight="false" outlineLevel="0" collapsed="false">
      <c r="A324" s="74" t="s">
        <v>2631</v>
      </c>
      <c r="B324" s="74" t="s">
        <v>1326</v>
      </c>
      <c r="C324" s="74" t="s">
        <v>2700</v>
      </c>
      <c r="D324" s="8" t="n">
        <v>33000</v>
      </c>
      <c r="E324" s="74" t="s">
        <v>1008</v>
      </c>
      <c r="F324" s="74" t="s">
        <v>2723</v>
      </c>
      <c r="G324" s="53" t="str">
        <f aca="false">INDEX(I_Items!$D$5:$D$133,MATCH($E324,I_Items!$A$5:$A$133,0))&amp;""</f>
        <v>Karkas</v>
      </c>
      <c r="H324" s="53" t="str">
        <f aca="false">INDEX(I_Items!$F$5:$F$133,MATCH($E324,I_Items!$A$5:$A$133,0))&amp;""</f>
        <v>Frozen</v>
      </c>
      <c r="I324" s="53" t="str">
        <f aca="false">INDEX(I_Items!$E$5:$E$133,MATCH($E324,I_Items!$A$5:$A$133,0))&amp;""</f>
        <v>Uk 1.9</v>
      </c>
      <c r="J324" s="84" t="n">
        <v>77.7</v>
      </c>
      <c r="K324" s="93" t="n">
        <v>0.00493386587758679</v>
      </c>
      <c r="L324" s="8" t="n">
        <v>2564100</v>
      </c>
      <c r="M324" s="8" t="n">
        <v>36846.396798106</v>
      </c>
      <c r="N324" s="8" t="n">
        <v>2862965.03121284</v>
      </c>
      <c r="O324" s="12"/>
      <c r="P324" s="6" t="s">
        <v>1119</v>
      </c>
    </row>
    <row r="325" customFormat="false" ht="15" hidden="false" customHeight="false" outlineLevel="0" collapsed="false">
      <c r="A325" s="74" t="s">
        <v>2631</v>
      </c>
      <c r="B325" s="74" t="s">
        <v>1326</v>
      </c>
      <c r="C325" s="74" t="s">
        <v>360</v>
      </c>
      <c r="D325" s="8" t="n">
        <v>24000</v>
      </c>
      <c r="E325" s="74" t="s">
        <v>961</v>
      </c>
      <c r="F325" s="74" t="s">
        <v>2712</v>
      </c>
      <c r="G325" s="53" t="str">
        <f aca="false">INDEX(I_Items!$D$5:$D$133,MATCH($E325,I_Items!$A$5:$A$133,0))&amp;""</f>
        <v>Lemak</v>
      </c>
      <c r="H325" s="53" t="str">
        <f aca="false">INDEX(I_Items!$F$5:$F$133,MATCH($E325,I_Items!$A$5:$A$133,0))&amp;""</f>
        <v>Frozen</v>
      </c>
      <c r="I325" s="53" t="str">
        <f aca="false">INDEX(I_Items!$E$5:$E$133,MATCH($E325,I_Items!$A$5:$A$133,0))&amp;""</f>
        <v/>
      </c>
      <c r="J325" s="84" t="n">
        <v>55</v>
      </c>
      <c r="K325" s="93" t="n">
        <v>0.00349244045389026</v>
      </c>
      <c r="L325" s="8" t="n">
        <v>1320000</v>
      </c>
      <c r="M325" s="8" t="n">
        <v>26797.3794895317</v>
      </c>
      <c r="N325" s="8" t="n">
        <v>1473855.87192424</v>
      </c>
      <c r="O325" s="12"/>
      <c r="P325" s="6" t="s">
        <v>1119</v>
      </c>
    </row>
    <row r="326" customFormat="false" ht="15" hidden="false" customHeight="false" outlineLevel="0" collapsed="false">
      <c r="A326" s="74" t="s">
        <v>2631</v>
      </c>
      <c r="B326" s="74" t="s">
        <v>1326</v>
      </c>
      <c r="C326" s="74" t="s">
        <v>248</v>
      </c>
      <c r="D326" s="8" t="n">
        <v>12000</v>
      </c>
      <c r="E326" s="74" t="s">
        <v>950</v>
      </c>
      <c r="F326" s="74" t="s">
        <v>2661</v>
      </c>
      <c r="G326" s="53" t="str">
        <f aca="false">INDEX(I_Items!$D$5:$D$133,MATCH($E326,I_Items!$A$5:$A$133,0))&amp;""</f>
        <v>Kepala</v>
      </c>
      <c r="H326" s="53" t="str">
        <f aca="false">INDEX(I_Items!$F$5:$F$133,MATCH($E326,I_Items!$A$5:$A$133,0))&amp;""</f>
        <v>Fresh</v>
      </c>
      <c r="I326" s="53" t="str">
        <f aca="false">INDEX(I_Items!$E$5:$E$133,MATCH($E326,I_Items!$A$5:$A$133,0))&amp;""</f>
        <v/>
      </c>
      <c r="J326" s="84" t="n">
        <v>665.8</v>
      </c>
      <c r="K326" s="93" t="n">
        <v>0.0422775791672752</v>
      </c>
      <c r="L326" s="8" t="n">
        <v>7989600</v>
      </c>
      <c r="M326" s="8" t="n">
        <v>13398.6897447658</v>
      </c>
      <c r="N326" s="8" t="n">
        <v>8920847.63206509</v>
      </c>
      <c r="O326" s="12"/>
      <c r="P326" s="6" t="s">
        <v>1119</v>
      </c>
    </row>
    <row r="327" customFormat="false" ht="15" hidden="false" customHeight="false" outlineLevel="0" collapsed="false">
      <c r="A327" s="74" t="s">
        <v>2631</v>
      </c>
      <c r="B327" s="74" t="s">
        <v>1326</v>
      </c>
      <c r="C327" s="74" t="s">
        <v>242</v>
      </c>
      <c r="D327" s="8" t="n">
        <v>16000</v>
      </c>
      <c r="E327" s="74" t="s">
        <v>948</v>
      </c>
      <c r="F327" s="74" t="s">
        <v>2662</v>
      </c>
      <c r="G327" s="53" t="str">
        <f aca="false">INDEX(I_Items!$D$5:$D$133,MATCH($E327,I_Items!$A$5:$A$133,0))&amp;""</f>
        <v>Ceker</v>
      </c>
      <c r="H327" s="53" t="str">
        <f aca="false">INDEX(I_Items!$F$5:$F$133,MATCH($E327,I_Items!$A$5:$A$133,0))&amp;""</f>
        <v>Fresh</v>
      </c>
      <c r="I327" s="53" t="str">
        <f aca="false">INDEX(I_Items!$E$5:$E$133,MATCH($E327,I_Items!$A$5:$A$133,0))&amp;""</f>
        <v/>
      </c>
      <c r="J327" s="84" t="n">
        <v>433.6</v>
      </c>
      <c r="K327" s="93" t="n">
        <v>0.027533130560124</v>
      </c>
      <c r="L327" s="8" t="n">
        <v>6937600</v>
      </c>
      <c r="M327" s="8" t="n">
        <v>17864.9196596878</v>
      </c>
      <c r="N327" s="8" t="n">
        <v>7746229.16444062</v>
      </c>
      <c r="O327" s="12"/>
      <c r="P327" s="6" t="s">
        <v>1119</v>
      </c>
    </row>
    <row r="328" customFormat="false" ht="15" hidden="false" customHeight="false" outlineLevel="0" collapsed="false">
      <c r="A328" s="74" t="s">
        <v>2631</v>
      </c>
      <c r="B328" s="74" t="s">
        <v>1326</v>
      </c>
      <c r="C328" s="74" t="s">
        <v>253</v>
      </c>
      <c r="D328" s="8" t="n">
        <v>5000</v>
      </c>
      <c r="E328" s="74" t="s">
        <v>953</v>
      </c>
      <c r="F328" s="74" t="s">
        <v>2682</v>
      </c>
      <c r="G328" s="53" t="str">
        <f aca="false">INDEX(I_Items!$D$5:$D$133,MATCH($E328,I_Items!$A$5:$A$133,0))&amp;""</f>
        <v>Usus</v>
      </c>
      <c r="H328" s="53" t="str">
        <f aca="false">INDEX(I_Items!$F$5:$F$133,MATCH($E328,I_Items!$A$5:$A$133,0))&amp;""</f>
        <v>Fresh</v>
      </c>
      <c r="I328" s="53" t="str">
        <f aca="false">INDEX(I_Items!$E$5:$E$133,MATCH($E328,I_Items!$A$5:$A$133,0))&amp;""</f>
        <v/>
      </c>
      <c r="J328" s="84" t="n">
        <v>681.7</v>
      </c>
      <c r="K328" s="93" t="n">
        <v>0.0432872119530362</v>
      </c>
      <c r="L328" s="8" t="n">
        <v>3408500</v>
      </c>
      <c r="M328" s="8" t="n">
        <v>5582.78739365243</v>
      </c>
      <c r="N328" s="8" t="n">
        <v>3805786.16625286</v>
      </c>
      <c r="O328" s="12"/>
      <c r="P328" s="6" t="s">
        <v>1119</v>
      </c>
    </row>
    <row r="329" customFormat="false" ht="15" hidden="false" customHeight="false" outlineLevel="0" collapsed="false">
      <c r="A329" s="74" t="s">
        <v>2631</v>
      </c>
      <c r="B329" s="74" t="s">
        <v>1326</v>
      </c>
      <c r="C329" s="74" t="s">
        <v>2665</v>
      </c>
      <c r="D329" s="8" t="n">
        <v>5000</v>
      </c>
      <c r="E329" s="74" t="s">
        <v>949</v>
      </c>
      <c r="F329" s="74" t="s">
        <v>2666</v>
      </c>
      <c r="G329" s="53" t="str">
        <f aca="false">INDEX(I_Items!$D$5:$D$133,MATCH($E329,I_Items!$A$5:$A$133,0))&amp;""</f>
        <v>HJA (Hati/Jantung/Ampela)</v>
      </c>
      <c r="H329" s="53" t="str">
        <f aca="false">INDEX(I_Items!$F$5:$F$133,MATCH($E329,I_Items!$A$5:$A$133,0))&amp;""</f>
        <v>Fresh</v>
      </c>
      <c r="I329" s="53" t="str">
        <f aca="false">INDEX(I_Items!$E$5:$E$133,MATCH($E329,I_Items!$A$5:$A$133,0))&amp;""</f>
        <v/>
      </c>
      <c r="J329" s="84" t="n">
        <v>785.3</v>
      </c>
      <c r="K329" s="93" t="n">
        <v>0.0498656997898186</v>
      </c>
      <c r="L329" s="8" t="n">
        <v>3926500</v>
      </c>
      <c r="M329" s="8" t="n">
        <v>5582.78739365243</v>
      </c>
      <c r="N329" s="8" t="n">
        <v>4384162.94023525</v>
      </c>
      <c r="O329" s="12"/>
      <c r="P329" s="6" t="s">
        <v>1119</v>
      </c>
    </row>
    <row r="330" customFormat="false" ht="15" hidden="false" customHeight="false" outlineLevel="0" collapsed="false">
      <c r="A330" s="74" t="s">
        <v>2631</v>
      </c>
      <c r="B330" s="74" t="s">
        <v>1326</v>
      </c>
      <c r="C330" s="74" t="s">
        <v>2667</v>
      </c>
      <c r="D330" s="8" t="n">
        <v>30000</v>
      </c>
      <c r="E330" s="74" t="s">
        <v>973</v>
      </c>
      <c r="F330" s="74" t="s">
        <v>2668</v>
      </c>
      <c r="G330" s="53" t="str">
        <f aca="false">INDEX(I_Items!$D$5:$D$133,MATCH($E330,I_Items!$A$5:$A$133,0))&amp;""</f>
        <v>Karkas</v>
      </c>
      <c r="H330" s="53" t="str">
        <f aca="false">INDEX(I_Items!$F$5:$F$133,MATCH($E330,I_Items!$A$5:$A$133,0))&amp;""</f>
        <v>Frozen</v>
      </c>
      <c r="I330" s="53" t="str">
        <f aca="false">INDEX(I_Items!$E$5:$E$133,MATCH($E330,I_Items!$A$5:$A$133,0))&amp;""</f>
        <v>Uk 0.7</v>
      </c>
      <c r="J330" s="84" t="n">
        <v>11</v>
      </c>
      <c r="K330" s="93" t="n">
        <v>0.000698488090778052</v>
      </c>
      <c r="L330" s="8" t="n">
        <v>330000</v>
      </c>
      <c r="M330" s="8" t="n">
        <v>33496.7243619146</v>
      </c>
      <c r="N330" s="8" t="n">
        <v>368463.96798106</v>
      </c>
      <c r="O330" s="12"/>
      <c r="P330" s="6" t="s">
        <v>1119</v>
      </c>
    </row>
    <row r="331" customFormat="false" ht="15" hidden="false" customHeight="false" outlineLevel="0" collapsed="false">
      <c r="A331" s="74" t="s">
        <v>2631</v>
      </c>
      <c r="B331" s="74" t="s">
        <v>1326</v>
      </c>
      <c r="C331" s="74" t="s">
        <v>2669</v>
      </c>
      <c r="D331" s="8" t="n">
        <v>30000</v>
      </c>
      <c r="E331" s="74" t="s">
        <v>974</v>
      </c>
      <c r="F331" s="74" t="s">
        <v>2670</v>
      </c>
      <c r="G331" s="53" t="str">
        <f aca="false">INDEX(I_Items!$D$5:$D$133,MATCH($E331,I_Items!$A$5:$A$133,0))&amp;""</f>
        <v>Karkas</v>
      </c>
      <c r="H331" s="53" t="str">
        <f aca="false">INDEX(I_Items!$F$5:$F$133,MATCH($E331,I_Items!$A$5:$A$133,0))&amp;""</f>
        <v>Frozen</v>
      </c>
      <c r="I331" s="53" t="str">
        <f aca="false">INDEX(I_Items!$E$5:$E$133,MATCH($E331,I_Items!$A$5:$A$133,0))&amp;""</f>
        <v>Uk 0.8</v>
      </c>
      <c r="J331" s="84" t="n">
        <v>23.2</v>
      </c>
      <c r="K331" s="93" t="n">
        <v>0.00147317488236826</v>
      </c>
      <c r="L331" s="8" t="n">
        <v>696000</v>
      </c>
      <c r="M331" s="8" t="n">
        <v>33496.7243619146</v>
      </c>
      <c r="N331" s="8" t="n">
        <v>777124.005196418</v>
      </c>
      <c r="O331" s="12"/>
      <c r="P331" s="6" t="s">
        <v>1119</v>
      </c>
    </row>
    <row r="332" customFormat="false" ht="15" hidden="false" customHeight="false" outlineLevel="0" collapsed="false">
      <c r="A332" s="74" t="s">
        <v>2631</v>
      </c>
      <c r="B332" s="74" t="s">
        <v>1326</v>
      </c>
      <c r="C332" s="74" t="s">
        <v>2671</v>
      </c>
      <c r="D332" s="8" t="n">
        <v>30000</v>
      </c>
      <c r="E332" s="74" t="s">
        <v>976</v>
      </c>
      <c r="F332" s="74" t="s">
        <v>2672</v>
      </c>
      <c r="G332" s="53" t="str">
        <f aca="false">INDEX(I_Items!$D$5:$D$133,MATCH($E332,I_Items!$A$5:$A$133,0))&amp;""</f>
        <v>Karkas</v>
      </c>
      <c r="H332" s="53" t="str">
        <f aca="false">INDEX(I_Items!$F$5:$F$133,MATCH($E332,I_Items!$A$5:$A$133,0))&amp;""</f>
        <v>Frozen</v>
      </c>
      <c r="I332" s="53" t="str">
        <f aca="false">INDEX(I_Items!$E$5:$E$133,MATCH($E332,I_Items!$A$5:$A$133,0))&amp;""</f>
        <v>Uk 0.9</v>
      </c>
      <c r="J332" s="84" t="n">
        <v>42.7</v>
      </c>
      <c r="K332" s="93" t="n">
        <v>0.00271140377056571</v>
      </c>
      <c r="L332" s="8" t="n">
        <v>1281000</v>
      </c>
      <c r="M332" s="8" t="n">
        <v>33496.7243619146</v>
      </c>
      <c r="N332" s="8" t="n">
        <v>1430310.13025375</v>
      </c>
      <c r="O332" s="12"/>
      <c r="P332" s="6" t="s">
        <v>1119</v>
      </c>
    </row>
    <row r="333" customFormat="false" ht="15" hidden="false" customHeight="false" outlineLevel="0" collapsed="false">
      <c r="A333" s="74" t="s">
        <v>2631</v>
      </c>
      <c r="B333" s="74" t="s">
        <v>1326</v>
      </c>
      <c r="C333" s="74" t="s">
        <v>2673</v>
      </c>
      <c r="D333" s="8" t="n">
        <v>30000</v>
      </c>
      <c r="E333" s="74" t="s">
        <v>979</v>
      </c>
      <c r="F333" s="74" t="s">
        <v>2685</v>
      </c>
      <c r="G333" s="53" t="str">
        <f aca="false">INDEX(I_Items!$D$5:$D$133,MATCH($E333,I_Items!$A$5:$A$133,0))&amp;""</f>
        <v>Karkas</v>
      </c>
      <c r="H333" s="53" t="str">
        <f aca="false">INDEX(I_Items!$F$5:$F$133,MATCH($E333,I_Items!$A$5:$A$133,0))&amp;""</f>
        <v>Frozen</v>
      </c>
      <c r="I333" s="53" t="str">
        <f aca="false">INDEX(I_Items!$E$5:$E$133,MATCH($E333,I_Items!$A$5:$A$133,0))&amp;""</f>
        <v>Uk 1.0</v>
      </c>
      <c r="J333" s="84" t="n">
        <v>55.1</v>
      </c>
      <c r="K333" s="93" t="n">
        <v>0.00349879034562461</v>
      </c>
      <c r="L333" s="8" t="n">
        <v>1653000</v>
      </c>
      <c r="M333" s="8" t="n">
        <v>33496.7243619146</v>
      </c>
      <c r="N333" s="8" t="n">
        <v>1845669.51234149</v>
      </c>
      <c r="O333" s="12"/>
      <c r="P333" s="6" t="s">
        <v>1119</v>
      </c>
    </row>
    <row r="334" customFormat="false" ht="15" hidden="false" customHeight="false" outlineLevel="0" collapsed="false">
      <c r="A334" s="74" t="s">
        <v>2631</v>
      </c>
      <c r="B334" s="74" t="s">
        <v>1326</v>
      </c>
      <c r="C334" s="74" t="s">
        <v>2674</v>
      </c>
      <c r="D334" s="8" t="n">
        <v>30000</v>
      </c>
      <c r="E334" s="74" t="s">
        <v>983</v>
      </c>
      <c r="F334" s="74" t="s">
        <v>2686</v>
      </c>
      <c r="G334" s="53" t="str">
        <f aca="false">INDEX(I_Items!$D$5:$D$133,MATCH($E334,I_Items!$A$5:$A$133,0))&amp;""</f>
        <v>Karkas</v>
      </c>
      <c r="H334" s="53" t="str">
        <f aca="false">INDEX(I_Items!$F$5:$F$133,MATCH($E334,I_Items!$A$5:$A$133,0))&amp;""</f>
        <v>Frozen</v>
      </c>
      <c r="I334" s="53" t="str">
        <f aca="false">INDEX(I_Items!$E$5:$E$133,MATCH($E334,I_Items!$A$5:$A$133,0))&amp;""</f>
        <v>Uk 1.1</v>
      </c>
      <c r="J334" s="84" t="n">
        <v>56.2</v>
      </c>
      <c r="K334" s="93" t="n">
        <v>0.00356863915470241</v>
      </c>
      <c r="L334" s="8" t="n">
        <v>1686000</v>
      </c>
      <c r="M334" s="8" t="n">
        <v>33496.7243619146</v>
      </c>
      <c r="N334" s="8" t="n">
        <v>1882515.9091396</v>
      </c>
      <c r="O334" s="12"/>
      <c r="P334" s="6" t="s">
        <v>1119</v>
      </c>
    </row>
    <row r="335" customFormat="false" ht="15" hidden="false" customHeight="false" outlineLevel="0" collapsed="false">
      <c r="A335" s="74" t="s">
        <v>2631</v>
      </c>
      <c r="B335" s="74" t="s">
        <v>1326</v>
      </c>
      <c r="C335" s="74" t="s">
        <v>2676</v>
      </c>
      <c r="D335" s="8" t="n">
        <v>30000</v>
      </c>
      <c r="E335" s="74" t="s">
        <v>987</v>
      </c>
      <c r="F335" s="74" t="s">
        <v>2687</v>
      </c>
      <c r="G335" s="53" t="str">
        <f aca="false">INDEX(I_Items!$D$5:$D$133,MATCH($E335,I_Items!$A$5:$A$133,0))&amp;""</f>
        <v>Karkas</v>
      </c>
      <c r="H335" s="53" t="str">
        <f aca="false">INDEX(I_Items!$F$5:$F$133,MATCH($E335,I_Items!$A$5:$A$133,0))&amp;""</f>
        <v>Frozen</v>
      </c>
      <c r="I335" s="53" t="str">
        <f aca="false">INDEX(I_Items!$E$5:$E$133,MATCH($E335,I_Items!$A$5:$A$133,0))&amp;""</f>
        <v>Uk 1.2</v>
      </c>
      <c r="J335" s="84" t="n">
        <v>140.9</v>
      </c>
      <c r="K335" s="93" t="n">
        <v>0.00894699745369342</v>
      </c>
      <c r="L335" s="8" t="n">
        <v>4227000</v>
      </c>
      <c r="M335" s="8" t="n">
        <v>33496.7243619146</v>
      </c>
      <c r="N335" s="8" t="n">
        <v>4719688.46259377</v>
      </c>
      <c r="O335" s="12"/>
      <c r="P335" s="6" t="s">
        <v>1119</v>
      </c>
    </row>
    <row r="336" customFormat="false" ht="15" hidden="false" customHeight="false" outlineLevel="0" collapsed="false">
      <c r="A336" s="74" t="s">
        <v>2631</v>
      </c>
      <c r="B336" s="74" t="s">
        <v>1326</v>
      </c>
      <c r="C336" s="74" t="s">
        <v>2678</v>
      </c>
      <c r="D336" s="8" t="n">
        <v>30000</v>
      </c>
      <c r="E336" s="74" t="s">
        <v>991</v>
      </c>
      <c r="F336" s="74" t="s">
        <v>2688</v>
      </c>
      <c r="G336" s="53" t="str">
        <f aca="false">INDEX(I_Items!$D$5:$D$133,MATCH($E336,I_Items!$A$5:$A$133,0))&amp;""</f>
        <v>Karkas</v>
      </c>
      <c r="H336" s="53" t="str">
        <f aca="false">INDEX(I_Items!$F$5:$F$133,MATCH($E336,I_Items!$A$5:$A$133,0))&amp;""</f>
        <v>Frozen</v>
      </c>
      <c r="I336" s="53" t="str">
        <f aca="false">INDEX(I_Items!$E$5:$E$133,MATCH($E336,I_Items!$A$5:$A$133,0))&amp;""</f>
        <v>Uk 1.3</v>
      </c>
      <c r="J336" s="84" t="n">
        <v>135.4</v>
      </c>
      <c r="K336" s="93" t="n">
        <v>0.00859775340830439</v>
      </c>
      <c r="L336" s="8" t="n">
        <v>4062000</v>
      </c>
      <c r="M336" s="8" t="n">
        <v>33496.7243619146</v>
      </c>
      <c r="N336" s="8" t="n">
        <v>4535456.47860323</v>
      </c>
      <c r="O336" s="12"/>
      <c r="P336" s="6" t="s">
        <v>1119</v>
      </c>
    </row>
    <row r="337" customFormat="false" ht="15" hidden="false" customHeight="false" outlineLevel="0" collapsed="false">
      <c r="A337" s="74" t="s">
        <v>2631</v>
      </c>
      <c r="B337" s="74" t="s">
        <v>1326</v>
      </c>
      <c r="C337" s="74" t="s">
        <v>2680</v>
      </c>
      <c r="D337" s="8" t="n">
        <v>30000</v>
      </c>
      <c r="E337" s="74" t="s">
        <v>994</v>
      </c>
      <c r="F337" s="74" t="s">
        <v>2681</v>
      </c>
      <c r="G337" s="53" t="str">
        <f aca="false">INDEX(I_Items!$D$5:$D$133,MATCH($E337,I_Items!$A$5:$A$133,0))&amp;""</f>
        <v>Karkas</v>
      </c>
      <c r="H337" s="53" t="str">
        <f aca="false">INDEX(I_Items!$F$5:$F$133,MATCH($E337,I_Items!$A$5:$A$133,0))&amp;""</f>
        <v>Frozen</v>
      </c>
      <c r="I337" s="53" t="str">
        <f aca="false">INDEX(I_Items!$E$5:$E$133,MATCH($E337,I_Items!$A$5:$A$133,0))&amp;""</f>
        <v>Uk 1.4</v>
      </c>
      <c r="J337" s="84" t="n">
        <v>195</v>
      </c>
      <c r="K337" s="93" t="n">
        <v>0.0123822888819746</v>
      </c>
      <c r="L337" s="8" t="n">
        <v>5850000</v>
      </c>
      <c r="M337" s="8" t="n">
        <v>33496.7243619146</v>
      </c>
      <c r="N337" s="8" t="n">
        <v>6531861.25057334</v>
      </c>
      <c r="O337" s="12"/>
      <c r="P337" s="6" t="s">
        <v>1119</v>
      </c>
    </row>
    <row r="338" customFormat="false" ht="15" hidden="false" customHeight="false" outlineLevel="0" collapsed="false">
      <c r="A338" s="74" t="s">
        <v>2631</v>
      </c>
      <c r="B338" s="74" t="s">
        <v>1326</v>
      </c>
      <c r="C338" s="74" t="s">
        <v>2702</v>
      </c>
      <c r="D338" s="8" t="n">
        <v>30000</v>
      </c>
      <c r="E338" s="74" t="s">
        <v>997</v>
      </c>
      <c r="F338" s="74" t="s">
        <v>2703</v>
      </c>
      <c r="G338" s="53" t="str">
        <f aca="false">INDEX(I_Items!$D$5:$D$133,MATCH($E338,I_Items!$A$5:$A$133,0))&amp;""</f>
        <v>Karkas</v>
      </c>
      <c r="H338" s="53" t="str">
        <f aca="false">INDEX(I_Items!$F$5:$F$133,MATCH($E338,I_Items!$A$5:$A$133,0))&amp;""</f>
        <v>Frozen</v>
      </c>
      <c r="I338" s="53" t="str">
        <f aca="false">INDEX(I_Items!$E$5:$E$133,MATCH($E338,I_Items!$A$5:$A$133,0))&amp;""</f>
        <v>Uk 1.5</v>
      </c>
      <c r="J338" s="84" t="n">
        <v>164.8</v>
      </c>
      <c r="K338" s="93" t="n">
        <v>0.0104646215782021</v>
      </c>
      <c r="L338" s="8" t="n">
        <v>4944000</v>
      </c>
      <c r="M338" s="8" t="n">
        <v>33496.7243619146</v>
      </c>
      <c r="N338" s="8" t="n">
        <v>5520260.17484352</v>
      </c>
      <c r="O338" s="12"/>
      <c r="P338" s="6" t="s">
        <v>1119</v>
      </c>
    </row>
    <row r="339" customFormat="false" ht="15" hidden="false" customHeight="false" outlineLevel="0" collapsed="false">
      <c r="A339" s="74" t="s">
        <v>2631</v>
      </c>
      <c r="B339" s="74" t="s">
        <v>1326</v>
      </c>
      <c r="C339" s="74" t="s">
        <v>2704</v>
      </c>
      <c r="D339" s="8" t="n">
        <v>30000</v>
      </c>
      <c r="E339" s="74" t="s">
        <v>1000</v>
      </c>
      <c r="F339" s="74" t="s">
        <v>2705</v>
      </c>
      <c r="G339" s="53" t="str">
        <f aca="false">INDEX(I_Items!$D$5:$D$133,MATCH($E339,I_Items!$A$5:$A$133,0))&amp;""</f>
        <v>Karkas</v>
      </c>
      <c r="H339" s="53" t="str">
        <f aca="false">INDEX(I_Items!$F$5:$F$133,MATCH($E339,I_Items!$A$5:$A$133,0))&amp;""</f>
        <v>Frozen</v>
      </c>
      <c r="I339" s="53" t="str">
        <f aca="false">INDEX(I_Items!$E$5:$E$133,MATCH($E339,I_Items!$A$5:$A$133,0))&amp;""</f>
        <v>Uk 1.6</v>
      </c>
      <c r="J339" s="84" t="n">
        <v>111.6</v>
      </c>
      <c r="K339" s="93" t="n">
        <v>0.00708647917553006</v>
      </c>
      <c r="L339" s="8" t="n">
        <v>3348000</v>
      </c>
      <c r="M339" s="8" t="n">
        <v>33496.7243619146</v>
      </c>
      <c r="N339" s="8" t="n">
        <v>3738234.43878967</v>
      </c>
      <c r="O339" s="12"/>
      <c r="P339" s="6" t="s">
        <v>1119</v>
      </c>
    </row>
    <row r="340" customFormat="false" ht="15" hidden="false" customHeight="false" outlineLevel="0" collapsed="false">
      <c r="A340" s="74" t="s">
        <v>2631</v>
      </c>
      <c r="B340" s="74" t="s">
        <v>1326</v>
      </c>
      <c r="C340" s="74" t="s">
        <v>2706</v>
      </c>
      <c r="D340" s="8" t="n">
        <v>30000</v>
      </c>
      <c r="E340" s="74" t="s">
        <v>1003</v>
      </c>
      <c r="F340" s="74" t="s">
        <v>2707</v>
      </c>
      <c r="G340" s="53" t="str">
        <f aca="false">INDEX(I_Items!$D$5:$D$133,MATCH($E340,I_Items!$A$5:$A$133,0))&amp;""</f>
        <v>Karkas</v>
      </c>
      <c r="H340" s="53" t="str">
        <f aca="false">INDEX(I_Items!$F$5:$F$133,MATCH($E340,I_Items!$A$5:$A$133,0))&amp;""</f>
        <v>Frozen</v>
      </c>
      <c r="I340" s="53" t="str">
        <f aca="false">INDEX(I_Items!$E$5:$E$133,MATCH($E340,I_Items!$A$5:$A$133,0))&amp;""</f>
        <v>Uk 1.7</v>
      </c>
      <c r="J340" s="84" t="n">
        <v>63.4</v>
      </c>
      <c r="K340" s="93" t="n">
        <v>0.00402583135957532</v>
      </c>
      <c r="L340" s="8" t="n">
        <v>1902000</v>
      </c>
      <c r="M340" s="8" t="n">
        <v>33496.7243619146</v>
      </c>
      <c r="N340" s="8" t="n">
        <v>2123692.32454538</v>
      </c>
      <c r="O340" s="12"/>
      <c r="P340" s="6" t="s">
        <v>1119</v>
      </c>
    </row>
    <row r="341" customFormat="false" ht="15" hidden="false" customHeight="false" outlineLevel="0" collapsed="false">
      <c r="A341" s="74" t="s">
        <v>2631</v>
      </c>
      <c r="B341" s="74" t="s">
        <v>1326</v>
      </c>
      <c r="C341" s="74" t="s">
        <v>2708</v>
      </c>
      <c r="D341" s="8" t="n">
        <v>30000</v>
      </c>
      <c r="E341" s="74" t="s">
        <v>1005</v>
      </c>
      <c r="F341" s="74" t="s">
        <v>2709</v>
      </c>
      <c r="G341" s="53" t="str">
        <f aca="false">INDEX(I_Items!$D$5:$D$133,MATCH($E341,I_Items!$A$5:$A$133,0))&amp;""</f>
        <v>Karkas</v>
      </c>
      <c r="H341" s="53" t="str">
        <f aca="false">INDEX(I_Items!$F$5:$F$133,MATCH($E341,I_Items!$A$5:$A$133,0))&amp;""</f>
        <v>Frozen</v>
      </c>
      <c r="I341" s="53" t="str">
        <f aca="false">INDEX(I_Items!$E$5:$E$133,MATCH($E341,I_Items!$A$5:$A$133,0))&amp;""</f>
        <v>Uk 1.8</v>
      </c>
      <c r="J341" s="84" t="n">
        <v>26.1</v>
      </c>
      <c r="K341" s="93" t="n">
        <v>0.00165732174266429</v>
      </c>
      <c r="L341" s="8" t="n">
        <v>783000</v>
      </c>
      <c r="M341" s="8" t="n">
        <v>33496.7243619146</v>
      </c>
      <c r="N341" s="8" t="n">
        <v>874264.505845971</v>
      </c>
      <c r="O341" s="12"/>
      <c r="P341" s="6" t="s">
        <v>1119</v>
      </c>
    </row>
    <row r="342" customFormat="false" ht="15" hidden="false" customHeight="false" outlineLevel="0" collapsed="false">
      <c r="A342" s="74" t="s">
        <v>2631</v>
      </c>
      <c r="B342" s="74" t="s">
        <v>1326</v>
      </c>
      <c r="C342" s="74" t="s">
        <v>2724</v>
      </c>
      <c r="D342" s="8" t="n">
        <v>30000</v>
      </c>
      <c r="E342" s="74" t="s">
        <v>1009</v>
      </c>
      <c r="F342" s="74" t="s">
        <v>2725</v>
      </c>
      <c r="G342" s="53" t="str">
        <f aca="false">INDEX(I_Items!$D$5:$D$133,MATCH($E342,I_Items!$A$5:$A$133,0))&amp;""</f>
        <v>Karkas</v>
      </c>
      <c r="H342" s="53" t="str">
        <f aca="false">INDEX(I_Items!$F$5:$F$133,MATCH($E342,I_Items!$A$5:$A$133,0))&amp;""</f>
        <v>Frozen</v>
      </c>
      <c r="I342" s="53" t="str">
        <f aca="false">INDEX(I_Items!$E$5:$E$133,MATCH($E342,I_Items!$A$5:$A$133,0))&amp;""</f>
        <v>Uk 2.0</v>
      </c>
      <c r="J342" s="84" t="n">
        <v>16.2</v>
      </c>
      <c r="K342" s="93" t="n">
        <v>0.00102868246096404</v>
      </c>
      <c r="L342" s="8" t="n">
        <v>486000</v>
      </c>
      <c r="M342" s="8" t="n">
        <v>33496.7243619146</v>
      </c>
      <c r="N342" s="8" t="n">
        <v>542646.934663016</v>
      </c>
      <c r="O342" s="12"/>
      <c r="P342" s="6" t="s">
        <v>1119</v>
      </c>
    </row>
    <row r="343" customFormat="false" ht="15" hidden="false" customHeight="false" outlineLevel="0" collapsed="false">
      <c r="A343" s="25" t="s">
        <v>304</v>
      </c>
      <c r="J343" s="26" t="n">
        <f aca="false">SUM(J21:J342)</f>
        <v>121109.8</v>
      </c>
      <c r="L343" s="26" t="n">
        <f aca="false">SUM(L21:L342)</f>
        <v>3367683100</v>
      </c>
      <c r="N343" s="26" t="n">
        <f aca="false">SUM(N21:N342)</f>
        <v>3840104802</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4"/>
    <col collapsed="false" customWidth="true" hidden="false" outlineLevel="0" max="3" min="3" style="0" width="9"/>
    <col collapsed="false" customWidth="true" hidden="false" outlineLevel="0" max="4" min="4" style="0" width="24"/>
    <col collapsed="false" customWidth="true" hidden="false" outlineLevel="0" max="5" min="5" style="0" width="7"/>
    <col collapsed="false" customWidth="true" hidden="false" outlineLevel="0" max="6" min="6" style="0" width="22"/>
    <col collapsed="false" customWidth="true" hidden="false" outlineLevel="0" max="7" min="7" style="0" width="10"/>
    <col collapsed="false" customWidth="true" hidden="false" outlineLevel="0" max="8" min="8" style="0" width="14"/>
    <col collapsed="false" customWidth="true" hidden="false" outlineLevel="0" max="9" min="9" style="0" width="12"/>
    <col collapsed="false" customWidth="true" hidden="false" outlineLevel="0" max="10" min="10" style="0" width="15"/>
    <col collapsed="false" customWidth="true" hidden="false" outlineLevel="0" max="11" min="11" style="0" width="12"/>
    <col collapsed="false" customWidth="true" hidden="false" outlineLevel="0" max="12" min="12" style="0" width="15"/>
    <col collapsed="false" customWidth="true" hidden="false" outlineLevel="0" max="13" min="13" style="0" width="12"/>
    <col collapsed="false" customWidth="true" hidden="false" outlineLevel="0" max="14" min="14" style="0" width="15"/>
    <col collapsed="false" customWidth="true" hidden="false" outlineLevel="0" max="15" min="15" style="0" width="12"/>
    <col collapsed="false" customWidth="true" hidden="false" outlineLevel="0" max="16" min="16" style="0" width="15"/>
    <col collapsed="false" customWidth="true" hidden="false" outlineLevel="0" max="17" min="17" style="0" width="30"/>
  </cols>
  <sheetData>
    <row r="1" customFormat="false" ht="15" hidden="false" customHeight="false" outlineLevel="0" collapsed="false">
      <c r="A1" s="1" t="s">
        <v>2726</v>
      </c>
    </row>
    <row r="2" customFormat="false" ht="15" hidden="false" customHeight="false" outlineLevel="0" collapsed="false">
      <c r="A2" s="4" t="s">
        <v>2727</v>
      </c>
    </row>
    <row r="4" customFormat="false" ht="30" hidden="false" customHeight="true" outlineLevel="0" collapsed="false">
      <c r="A4" s="5" t="s">
        <v>1098</v>
      </c>
      <c r="B4" s="5" t="s">
        <v>2728</v>
      </c>
      <c r="C4" s="5" t="s">
        <v>862</v>
      </c>
      <c r="D4" s="5" t="s">
        <v>224</v>
      </c>
      <c r="E4" s="5" t="s">
        <v>2729</v>
      </c>
      <c r="F4" s="5" t="s">
        <v>225</v>
      </c>
      <c r="G4" s="5" t="s">
        <v>2730</v>
      </c>
      <c r="H4" s="5" t="s">
        <v>2731</v>
      </c>
      <c r="I4" s="5" t="s">
        <v>886</v>
      </c>
      <c r="J4" s="5" t="s">
        <v>2732</v>
      </c>
      <c r="K4" s="5" t="s">
        <v>2733</v>
      </c>
      <c r="L4" s="5" t="s">
        <v>2734</v>
      </c>
      <c r="M4" s="5" t="s">
        <v>2735</v>
      </c>
      <c r="N4" s="5" t="s">
        <v>2736</v>
      </c>
      <c r="O4" s="5" t="s">
        <v>2737</v>
      </c>
      <c r="P4" s="5" t="s">
        <v>2738</v>
      </c>
      <c r="Q4" s="5" t="s">
        <v>2739</v>
      </c>
    </row>
    <row r="5" customFormat="false" ht="15" hidden="false" customHeight="false" outlineLevel="0" collapsed="false">
      <c r="A5" s="74" t="s">
        <v>2740</v>
      </c>
      <c r="B5" s="74" t="s">
        <v>2741</v>
      </c>
      <c r="C5" s="74" t="s">
        <v>875</v>
      </c>
      <c r="D5" s="74" t="s">
        <v>251</v>
      </c>
      <c r="E5" s="74"/>
      <c r="F5" s="74" t="s">
        <v>237</v>
      </c>
      <c r="G5" s="74" t="s">
        <v>2742</v>
      </c>
      <c r="H5" s="6" t="s">
        <v>2743</v>
      </c>
      <c r="I5" s="10" t="n">
        <v>19.77</v>
      </c>
      <c r="J5" s="8" t="n">
        <v>899406</v>
      </c>
      <c r="K5" s="10" t="n">
        <v>19.77</v>
      </c>
      <c r="L5" s="8" t="n">
        <v>899406</v>
      </c>
      <c r="M5" s="14" t="n">
        <f aca="false">K5</f>
        <v>19.77</v>
      </c>
      <c r="N5" s="9" t="n">
        <f aca="false">L5</f>
        <v>899406</v>
      </c>
      <c r="O5" s="14" t="n">
        <f aca="false">K5</f>
        <v>19.77</v>
      </c>
      <c r="P5" s="9" t="n">
        <f aca="false">L5</f>
        <v>899406</v>
      </c>
      <c r="Q5" s="12" t="s">
        <v>2744</v>
      </c>
    </row>
    <row r="6" customFormat="false" ht="15" hidden="false" customHeight="false" outlineLevel="0" collapsed="false">
      <c r="A6" s="74" t="s">
        <v>948</v>
      </c>
      <c r="B6" s="74" t="s">
        <v>2662</v>
      </c>
      <c r="C6" s="74" t="s">
        <v>875</v>
      </c>
      <c r="D6" s="74" t="s">
        <v>242</v>
      </c>
      <c r="E6" s="74"/>
      <c r="F6" s="74" t="s">
        <v>237</v>
      </c>
      <c r="G6" s="74" t="s">
        <v>241</v>
      </c>
      <c r="H6" s="6" t="s">
        <v>2745</v>
      </c>
      <c r="I6" s="10" t="n">
        <v>1416.94</v>
      </c>
      <c r="J6" s="8" t="n">
        <v>12528305.73</v>
      </c>
      <c r="K6" s="10" t="n">
        <v>1632.64</v>
      </c>
      <c r="L6" s="8" t="n">
        <v>26858299.05</v>
      </c>
      <c r="M6" s="13" t="n">
        <f aca="false">SUMIFS('MA Engine'!$T$6:$T$1110,'MA Engine'!$B$6:$B$1110,$A6,'MA Engine'!$AD$6:$AD$1110,1)</f>
        <v>1632.64</v>
      </c>
      <c r="N6" s="7" t="n">
        <f aca="false">SUMIFS('MA Engine'!$U$6:$U$1110,'MA Engine'!$B$6:$B$1110,$A6,'MA Engine'!$AD$6:$AD$1110,1)</f>
        <v>26858299.1093552</v>
      </c>
      <c r="O6" s="13" t="n">
        <f aca="false">SUMIFS('MA Engine'!$Y$6:$Y$1110,'MA Engine'!$B$6:$B$1110,$A6,'MA Engine'!$AD$6:$AD$1110,1)</f>
        <v>1632.64</v>
      </c>
      <c r="P6" s="7" t="n">
        <f aca="false">SUMIFS('MA Engine'!$Z$6:$Z$1110,'MA Engine'!$B$6:$B$1110,$A6,'MA Engine'!$AD$6:$AD$1110,1)</f>
        <v>26858299.1093552</v>
      </c>
      <c r="Q6" s="12" t="s">
        <v>2746</v>
      </c>
    </row>
    <row r="7" customFormat="false" ht="15" hidden="false" customHeight="false" outlineLevel="0" collapsed="false">
      <c r="A7" s="74" t="s">
        <v>949</v>
      </c>
      <c r="B7" s="74" t="s">
        <v>2666</v>
      </c>
      <c r="C7" s="74" t="s">
        <v>875</v>
      </c>
      <c r="D7" s="74" t="s">
        <v>244</v>
      </c>
      <c r="E7" s="74"/>
      <c r="F7" s="74" t="s">
        <v>237</v>
      </c>
      <c r="G7" s="74" t="s">
        <v>241</v>
      </c>
      <c r="H7" s="6" t="s">
        <v>2745</v>
      </c>
      <c r="I7" s="10" t="n">
        <v>4337.9</v>
      </c>
      <c r="J7" s="8" t="n">
        <v>2859314.5</v>
      </c>
      <c r="K7" s="10" t="n">
        <v>5946.8</v>
      </c>
      <c r="L7" s="8" t="n">
        <v>24341799.56</v>
      </c>
      <c r="M7" s="13" t="n">
        <f aca="false">SUMIFS('MA Engine'!$T$6:$T$1110,'MA Engine'!$B$6:$B$1110,$A7,'MA Engine'!$AD$6:$AD$1110,1)</f>
        <v>5946.8</v>
      </c>
      <c r="N7" s="7" t="n">
        <f aca="false">SUMIFS('MA Engine'!$U$6:$U$1110,'MA Engine'!$B$6:$B$1110,$A7,'MA Engine'!$AD$6:$AD$1110,1)</f>
        <v>24341799.5784275</v>
      </c>
      <c r="O7" s="13" t="n">
        <f aca="false">SUMIFS('MA Engine'!$Y$6:$Y$1110,'MA Engine'!$B$6:$B$1110,$A7,'MA Engine'!$AD$6:$AD$1110,1)</f>
        <v>5946.8</v>
      </c>
      <c r="P7" s="7" t="n">
        <f aca="false">SUMIFS('MA Engine'!$Z$6:$Z$1110,'MA Engine'!$B$6:$B$1110,$A7,'MA Engine'!$AD$6:$AD$1110,1)</f>
        <v>24341799.5784275</v>
      </c>
      <c r="Q7" s="12" t="s">
        <v>2746</v>
      </c>
    </row>
    <row r="8" customFormat="false" ht="15" hidden="false" customHeight="false" outlineLevel="0" collapsed="false">
      <c r="A8" s="74" t="s">
        <v>2747</v>
      </c>
      <c r="B8" s="74" t="s">
        <v>2748</v>
      </c>
      <c r="C8" s="74" t="s">
        <v>875</v>
      </c>
      <c r="D8" s="74" t="s">
        <v>244</v>
      </c>
      <c r="E8" s="74"/>
      <c r="F8" s="74" t="s">
        <v>237</v>
      </c>
      <c r="G8" s="74" t="s">
        <v>241</v>
      </c>
      <c r="H8" s="6" t="s">
        <v>2743</v>
      </c>
      <c r="I8" s="10" t="n">
        <v>84.6</v>
      </c>
      <c r="J8" s="8" t="n">
        <v>0</v>
      </c>
      <c r="K8" s="10" t="n">
        <v>84.6</v>
      </c>
      <c r="L8" s="8" t="n">
        <v>0</v>
      </c>
      <c r="M8" s="14" t="n">
        <f aca="false">K8</f>
        <v>84.6</v>
      </c>
      <c r="N8" s="9" t="n">
        <f aca="false">L8</f>
        <v>0</v>
      </c>
      <c r="O8" s="14" t="n">
        <f aca="false">K8</f>
        <v>84.6</v>
      </c>
      <c r="P8" s="9" t="n">
        <f aca="false">L8</f>
        <v>0</v>
      </c>
      <c r="Q8" s="12" t="s">
        <v>2749</v>
      </c>
    </row>
    <row r="9" customFormat="false" ht="15" hidden="false" customHeight="false" outlineLevel="0" collapsed="false">
      <c r="A9" s="74" t="s">
        <v>2750</v>
      </c>
      <c r="B9" s="74" t="s">
        <v>2751</v>
      </c>
      <c r="C9" s="74" t="s">
        <v>875</v>
      </c>
      <c r="D9" s="74" t="s">
        <v>244</v>
      </c>
      <c r="E9" s="74"/>
      <c r="F9" s="74" t="s">
        <v>237</v>
      </c>
      <c r="G9" s="74" t="s">
        <v>241</v>
      </c>
      <c r="H9" s="6" t="s">
        <v>2743</v>
      </c>
      <c r="I9" s="10" t="n">
        <v>38.25</v>
      </c>
      <c r="J9" s="8" t="n">
        <v>0</v>
      </c>
      <c r="K9" s="10" t="n">
        <v>38.25</v>
      </c>
      <c r="L9" s="8" t="n">
        <v>0</v>
      </c>
      <c r="M9" s="14" t="n">
        <f aca="false">K9</f>
        <v>38.25</v>
      </c>
      <c r="N9" s="9" t="n">
        <f aca="false">L9</f>
        <v>0</v>
      </c>
      <c r="O9" s="14" t="n">
        <f aca="false">K9</f>
        <v>38.25</v>
      </c>
      <c r="P9" s="9" t="n">
        <f aca="false">L9</f>
        <v>0</v>
      </c>
      <c r="Q9" s="12" t="s">
        <v>2749</v>
      </c>
    </row>
    <row r="10" customFormat="false" ht="15" hidden="false" customHeight="false" outlineLevel="0" collapsed="false">
      <c r="A10" s="74" t="s">
        <v>2752</v>
      </c>
      <c r="B10" s="74" t="s">
        <v>2753</v>
      </c>
      <c r="C10" s="74" t="s">
        <v>875</v>
      </c>
      <c r="D10" s="74" t="s">
        <v>244</v>
      </c>
      <c r="E10" s="74"/>
      <c r="F10" s="74" t="s">
        <v>237</v>
      </c>
      <c r="G10" s="74" t="s">
        <v>241</v>
      </c>
      <c r="H10" s="6" t="s">
        <v>2743</v>
      </c>
      <c r="I10" s="10" t="n">
        <v>23.78</v>
      </c>
      <c r="J10" s="8" t="n">
        <v>0</v>
      </c>
      <c r="K10" s="10" t="n">
        <v>23.78</v>
      </c>
      <c r="L10" s="8" t="n">
        <v>0</v>
      </c>
      <c r="M10" s="14" t="n">
        <f aca="false">K10</f>
        <v>23.78</v>
      </c>
      <c r="N10" s="9" t="n">
        <f aca="false">L10</f>
        <v>0</v>
      </c>
      <c r="O10" s="14" t="n">
        <f aca="false">K10</f>
        <v>23.78</v>
      </c>
      <c r="P10" s="9" t="n">
        <f aca="false">L10</f>
        <v>0</v>
      </c>
      <c r="Q10" s="12" t="s">
        <v>2754</v>
      </c>
    </row>
    <row r="11" customFormat="false" ht="15" hidden="false" customHeight="false" outlineLevel="0" collapsed="false">
      <c r="A11" s="74" t="s">
        <v>950</v>
      </c>
      <c r="B11" s="74" t="s">
        <v>2661</v>
      </c>
      <c r="C11" s="74" t="s">
        <v>875</v>
      </c>
      <c r="D11" s="74" t="s">
        <v>248</v>
      </c>
      <c r="E11" s="74"/>
      <c r="F11" s="74" t="s">
        <v>237</v>
      </c>
      <c r="G11" s="74" t="s">
        <v>241</v>
      </c>
      <c r="H11" s="6" t="s">
        <v>2745</v>
      </c>
      <c r="I11" s="10" t="n">
        <v>768.5</v>
      </c>
      <c r="J11" s="8" t="n">
        <v>9341548.32</v>
      </c>
      <c r="K11" s="10" t="n">
        <v>1289.5</v>
      </c>
      <c r="L11" s="8" t="n">
        <v>17267021.24</v>
      </c>
      <c r="M11" s="13" t="n">
        <f aca="false">SUMIFS('MA Engine'!$T$6:$T$1110,'MA Engine'!$B$6:$B$1110,$A11,'MA Engine'!$AD$6:$AD$1110,1)</f>
        <v>1289.5</v>
      </c>
      <c r="N11" s="7" t="n">
        <f aca="false">SUMIFS('MA Engine'!$U$6:$U$1110,'MA Engine'!$B$6:$B$1110,$A11,'MA Engine'!$AD$6:$AD$1110,1)</f>
        <v>17267021.1396247</v>
      </c>
      <c r="O11" s="13" t="n">
        <f aca="false">SUMIFS('MA Engine'!$Y$6:$Y$1110,'MA Engine'!$B$6:$B$1110,$A11,'MA Engine'!$AD$6:$AD$1110,1)</f>
        <v>1289.5</v>
      </c>
      <c r="P11" s="7" t="n">
        <f aca="false">SUMIFS('MA Engine'!$Z$6:$Z$1110,'MA Engine'!$B$6:$B$1110,$A11,'MA Engine'!$AD$6:$AD$1110,1)</f>
        <v>17267021.1396247</v>
      </c>
      <c r="Q11" s="12" t="s">
        <v>2746</v>
      </c>
    </row>
    <row r="12" customFormat="false" ht="15" hidden="false" customHeight="false" outlineLevel="0" collapsed="false">
      <c r="A12" s="74" t="s">
        <v>2755</v>
      </c>
      <c r="B12" s="74" t="s">
        <v>2756</v>
      </c>
      <c r="C12" s="74" t="s">
        <v>875</v>
      </c>
      <c r="D12" s="74" t="s">
        <v>245</v>
      </c>
      <c r="E12" s="74"/>
      <c r="F12" s="74" t="s">
        <v>237</v>
      </c>
      <c r="G12" s="74" t="s">
        <v>241</v>
      </c>
      <c r="H12" s="6" t="s">
        <v>2743</v>
      </c>
      <c r="I12" s="10" t="n">
        <v>189.9</v>
      </c>
      <c r="J12" s="8" t="n">
        <v>1498591</v>
      </c>
      <c r="K12" s="10" t="n">
        <v>189.9</v>
      </c>
      <c r="L12" s="8" t="n">
        <v>1498591</v>
      </c>
      <c r="M12" s="14" t="n">
        <f aca="false">K12</f>
        <v>189.9</v>
      </c>
      <c r="N12" s="9" t="n">
        <f aca="false">L12</f>
        <v>1498591</v>
      </c>
      <c r="O12" s="14" t="n">
        <f aca="false">K12</f>
        <v>189.9</v>
      </c>
      <c r="P12" s="9" t="n">
        <f aca="false">L12</f>
        <v>1498591</v>
      </c>
      <c r="Q12" s="12" t="s">
        <v>2757</v>
      </c>
    </row>
    <row r="13" customFormat="false" ht="15" hidden="false" customHeight="false" outlineLevel="0" collapsed="false">
      <c r="A13" s="74" t="s">
        <v>2758</v>
      </c>
      <c r="B13" s="74" t="s">
        <v>2759</v>
      </c>
      <c r="C13" s="74" t="s">
        <v>875</v>
      </c>
      <c r="D13" s="74" t="s">
        <v>245</v>
      </c>
      <c r="E13" s="74"/>
      <c r="F13" s="74" t="s">
        <v>237</v>
      </c>
      <c r="G13" s="74" t="s">
        <v>241</v>
      </c>
      <c r="H13" s="6" t="s">
        <v>2743</v>
      </c>
      <c r="I13" s="10" t="n">
        <v>155.57</v>
      </c>
      <c r="J13" s="8" t="n">
        <v>0</v>
      </c>
      <c r="K13" s="10" t="n">
        <v>155.57</v>
      </c>
      <c r="L13" s="8" t="n">
        <v>0</v>
      </c>
      <c r="M13" s="14" t="n">
        <f aca="false">K13</f>
        <v>155.57</v>
      </c>
      <c r="N13" s="9" t="n">
        <f aca="false">L13</f>
        <v>0</v>
      </c>
      <c r="O13" s="14" t="n">
        <f aca="false">K13</f>
        <v>155.57</v>
      </c>
      <c r="P13" s="9" t="n">
        <f aca="false">L13</f>
        <v>0</v>
      </c>
      <c r="Q13" s="12" t="s">
        <v>2760</v>
      </c>
    </row>
    <row r="14" customFormat="false" ht="15" hidden="false" customHeight="false" outlineLevel="0" collapsed="false">
      <c r="A14" s="74" t="s">
        <v>2761</v>
      </c>
      <c r="B14" s="74" t="s">
        <v>2762</v>
      </c>
      <c r="C14" s="74" t="s">
        <v>875</v>
      </c>
      <c r="D14" s="74" t="s">
        <v>255</v>
      </c>
      <c r="E14" s="74"/>
      <c r="F14" s="74" t="s">
        <v>237</v>
      </c>
      <c r="G14" s="74" t="s">
        <v>241</v>
      </c>
      <c r="H14" s="6" t="s">
        <v>2743</v>
      </c>
      <c r="I14" s="10" t="n">
        <v>276.03</v>
      </c>
      <c r="J14" s="8" t="n">
        <v>1056932</v>
      </c>
      <c r="K14" s="10" t="n">
        <v>276.03</v>
      </c>
      <c r="L14" s="8" t="n">
        <v>1056932</v>
      </c>
      <c r="M14" s="14" t="n">
        <f aca="false">K14</f>
        <v>276.03</v>
      </c>
      <c r="N14" s="9" t="n">
        <f aca="false">L14</f>
        <v>1056932</v>
      </c>
      <c r="O14" s="14" t="n">
        <f aca="false">K14</f>
        <v>276.03</v>
      </c>
      <c r="P14" s="9" t="n">
        <f aca="false">L14</f>
        <v>1056932</v>
      </c>
      <c r="Q14" s="12" t="s">
        <v>2763</v>
      </c>
    </row>
    <row r="15" customFormat="false" ht="15" hidden="false" customHeight="false" outlineLevel="0" collapsed="false">
      <c r="A15" s="74" t="s">
        <v>951</v>
      </c>
      <c r="B15" s="74" t="s">
        <v>2660</v>
      </c>
      <c r="C15" s="74" t="s">
        <v>875</v>
      </c>
      <c r="D15" s="74" t="s">
        <v>360</v>
      </c>
      <c r="E15" s="74"/>
      <c r="F15" s="74" t="s">
        <v>237</v>
      </c>
      <c r="G15" s="74" t="s">
        <v>241</v>
      </c>
      <c r="H15" s="6" t="s">
        <v>2745</v>
      </c>
      <c r="I15" s="10" t="n">
        <v>172.5</v>
      </c>
      <c r="J15" s="8" t="n">
        <v>1017669.74</v>
      </c>
      <c r="K15" s="10" t="n">
        <v>225.9</v>
      </c>
      <c r="L15" s="8" t="n">
        <v>2343684.19</v>
      </c>
      <c r="M15" s="13" t="n">
        <f aca="false">SUMIFS('MA Engine'!$T$6:$T$1110,'MA Engine'!$B$6:$B$1110,$A15,'MA Engine'!$AD$6:$AD$1110,1)</f>
        <v>225.9</v>
      </c>
      <c r="N15" s="7" t="n">
        <f aca="false">SUMIFS('MA Engine'!$U$6:$U$1110,'MA Engine'!$B$6:$B$1110,$A15,'MA Engine'!$AD$6:$AD$1110,1)</f>
        <v>2343684.1790629</v>
      </c>
      <c r="O15" s="13" t="n">
        <f aca="false">SUMIFS('MA Engine'!$Y$6:$Y$1110,'MA Engine'!$B$6:$B$1110,$A15,'MA Engine'!$AD$6:$AD$1110,1)</f>
        <v>225.9</v>
      </c>
      <c r="P15" s="7" t="n">
        <f aca="false">SUMIFS('MA Engine'!$Z$6:$Z$1110,'MA Engine'!$B$6:$B$1110,$A15,'MA Engine'!$AD$6:$AD$1110,1)</f>
        <v>2343684.1790629</v>
      </c>
      <c r="Q15" s="12" t="s">
        <v>2746</v>
      </c>
    </row>
    <row r="16" customFormat="false" ht="15" hidden="false" customHeight="false" outlineLevel="0" collapsed="false">
      <c r="A16" s="74" t="s">
        <v>2764</v>
      </c>
      <c r="B16" s="74" t="s">
        <v>2765</v>
      </c>
      <c r="C16" s="74" t="s">
        <v>875</v>
      </c>
      <c r="D16" s="74" t="s">
        <v>252</v>
      </c>
      <c r="E16" s="74"/>
      <c r="F16" s="74" t="s">
        <v>237</v>
      </c>
      <c r="G16" s="74" t="s">
        <v>2766</v>
      </c>
      <c r="H16" s="6" t="s">
        <v>2743</v>
      </c>
      <c r="I16" s="10" t="n">
        <v>112.19</v>
      </c>
      <c r="J16" s="8" t="n">
        <v>0</v>
      </c>
      <c r="K16" s="10" t="n">
        <v>112.19</v>
      </c>
      <c r="L16" s="8" t="n">
        <v>0</v>
      </c>
      <c r="M16" s="14" t="n">
        <f aca="false">K16</f>
        <v>112.19</v>
      </c>
      <c r="N16" s="9" t="n">
        <f aca="false">L16</f>
        <v>0</v>
      </c>
      <c r="O16" s="14" t="n">
        <f aca="false">K16</f>
        <v>112.19</v>
      </c>
      <c r="P16" s="9" t="n">
        <f aca="false">L16</f>
        <v>0</v>
      </c>
      <c r="Q16" s="12" t="s">
        <v>2767</v>
      </c>
    </row>
    <row r="17" customFormat="false" ht="15" hidden="false" customHeight="false" outlineLevel="0" collapsed="false">
      <c r="A17" s="74" t="s">
        <v>2768</v>
      </c>
      <c r="B17" s="74" t="s">
        <v>2769</v>
      </c>
      <c r="C17" s="74" t="s">
        <v>875</v>
      </c>
      <c r="D17" s="74" t="s">
        <v>252</v>
      </c>
      <c r="E17" s="74"/>
      <c r="F17" s="74" t="s">
        <v>237</v>
      </c>
      <c r="G17" s="74" t="s">
        <v>2770</v>
      </c>
      <c r="H17" s="6" t="s">
        <v>2743</v>
      </c>
      <c r="I17" s="10" t="n">
        <v>30.86</v>
      </c>
      <c r="J17" s="8" t="n">
        <v>707022</v>
      </c>
      <c r="K17" s="10" t="n">
        <v>30.86</v>
      </c>
      <c r="L17" s="8" t="n">
        <v>707022</v>
      </c>
      <c r="M17" s="14" t="n">
        <f aca="false">K17</f>
        <v>30.86</v>
      </c>
      <c r="N17" s="9" t="n">
        <f aca="false">L17</f>
        <v>707022</v>
      </c>
      <c r="O17" s="14" t="n">
        <f aca="false">K17</f>
        <v>30.86</v>
      </c>
      <c r="P17" s="9" t="n">
        <f aca="false">L17</f>
        <v>707022</v>
      </c>
      <c r="Q17" s="12" t="s">
        <v>2771</v>
      </c>
    </row>
    <row r="18" customFormat="false" ht="15" hidden="false" customHeight="false" outlineLevel="0" collapsed="false">
      <c r="A18" s="74" t="s">
        <v>952</v>
      </c>
      <c r="B18" s="74" t="s">
        <v>2772</v>
      </c>
      <c r="C18" s="74" t="s">
        <v>875</v>
      </c>
      <c r="D18" s="74" t="s">
        <v>252</v>
      </c>
      <c r="E18" s="74"/>
      <c r="F18" s="74" t="s">
        <v>237</v>
      </c>
      <c r="G18" s="74" t="s">
        <v>2742</v>
      </c>
      <c r="H18" s="6" t="s">
        <v>2745</v>
      </c>
      <c r="I18" s="10" t="n">
        <v>0</v>
      </c>
      <c r="J18" s="8" t="n">
        <v>-0.01</v>
      </c>
      <c r="K18" s="10" t="n">
        <v>240</v>
      </c>
      <c r="L18" s="8" t="n">
        <v>3841765.17</v>
      </c>
      <c r="M18" s="13" t="n">
        <f aca="false">SUMIFS('MA Engine'!$T$6:$T$1110,'MA Engine'!$B$6:$B$1110,$A18,'MA Engine'!$AD$6:$AD$1110,1)</f>
        <v>240</v>
      </c>
      <c r="N18" s="7" t="n">
        <f aca="false">SUMIFS('MA Engine'!$U$6:$U$1110,'MA Engine'!$B$6:$B$1110,$A18,'MA Engine'!$AD$6:$AD$1110,1)</f>
        <v>3841765.17</v>
      </c>
      <c r="O18" s="13" t="n">
        <f aca="false">SUMIFS('MA Engine'!$Y$6:$Y$1110,'MA Engine'!$B$6:$B$1110,$A18,'MA Engine'!$AD$6:$AD$1110,1)</f>
        <v>240</v>
      </c>
      <c r="P18" s="7" t="n">
        <f aca="false">SUMIFS('MA Engine'!$Z$6:$Z$1110,'MA Engine'!$B$6:$B$1110,$A18,'MA Engine'!$AD$6:$AD$1110,1)</f>
        <v>3841765.17</v>
      </c>
      <c r="Q18" s="12" t="s">
        <v>2746</v>
      </c>
    </row>
    <row r="19" customFormat="false" ht="15" hidden="false" customHeight="false" outlineLevel="0" collapsed="false">
      <c r="A19" s="74" t="s">
        <v>2773</v>
      </c>
      <c r="B19" s="74" t="s">
        <v>2774</v>
      </c>
      <c r="C19" s="74" t="s">
        <v>875</v>
      </c>
      <c r="D19" s="74" t="s">
        <v>361</v>
      </c>
      <c r="E19" s="74"/>
      <c r="F19" s="74" t="s">
        <v>237</v>
      </c>
      <c r="G19" s="74" t="s">
        <v>241</v>
      </c>
      <c r="H19" s="6" t="s">
        <v>2775</v>
      </c>
      <c r="I19" s="8" t="n">
        <v>0</v>
      </c>
      <c r="J19" s="8" t="n">
        <v>0</v>
      </c>
      <c r="K19" s="8" t="n">
        <v>0</v>
      </c>
      <c r="L19" s="8" t="n">
        <v>0</v>
      </c>
      <c r="M19" s="14" t="n">
        <f aca="false">K19</f>
        <v>0</v>
      </c>
      <c r="N19" s="9" t="n">
        <f aca="false">L19</f>
        <v>0</v>
      </c>
      <c r="O19" s="14" t="n">
        <f aca="false">K19</f>
        <v>0</v>
      </c>
      <c r="P19" s="9" t="n">
        <f aca="false">L19</f>
        <v>0</v>
      </c>
      <c r="Q19" s="12" t="s">
        <v>2776</v>
      </c>
    </row>
    <row r="20" customFormat="false" ht="15" hidden="false" customHeight="false" outlineLevel="0" collapsed="false">
      <c r="A20" s="74" t="s">
        <v>953</v>
      </c>
      <c r="B20" s="74" t="s">
        <v>2682</v>
      </c>
      <c r="C20" s="74" t="s">
        <v>875</v>
      </c>
      <c r="D20" s="74" t="s">
        <v>253</v>
      </c>
      <c r="E20" s="74"/>
      <c r="F20" s="74" t="s">
        <v>237</v>
      </c>
      <c r="G20" s="74" t="s">
        <v>241</v>
      </c>
      <c r="H20" s="6" t="s">
        <v>2745</v>
      </c>
      <c r="I20" s="10" t="n">
        <v>4612.58</v>
      </c>
      <c r="J20" s="8" t="n">
        <v>0</v>
      </c>
      <c r="K20" s="10" t="n">
        <v>4915.18</v>
      </c>
      <c r="L20" s="8" t="n">
        <v>18485160.8</v>
      </c>
      <c r="M20" s="13" t="n">
        <f aca="false">SUMIFS('MA Engine'!$T$6:$T$1110,'MA Engine'!$B$6:$B$1110,$A20,'MA Engine'!$AD$6:$AD$1110,1)</f>
        <v>4915.18</v>
      </c>
      <c r="N20" s="7" t="n">
        <f aca="false">SUMIFS('MA Engine'!$U$6:$U$1110,'MA Engine'!$B$6:$B$1110,$A20,'MA Engine'!$AD$6:$AD$1110,1)</f>
        <v>18485160.8260307</v>
      </c>
      <c r="O20" s="13" t="n">
        <f aca="false">SUMIFS('MA Engine'!$Y$6:$Y$1110,'MA Engine'!$B$6:$B$1110,$A20,'MA Engine'!$AD$6:$AD$1110,1)</f>
        <v>4915.18</v>
      </c>
      <c r="P20" s="7" t="n">
        <f aca="false">SUMIFS('MA Engine'!$Z$6:$Z$1110,'MA Engine'!$B$6:$B$1110,$A20,'MA Engine'!$AD$6:$AD$1110,1)</f>
        <v>18485160.8260307</v>
      </c>
      <c r="Q20" s="12" t="s">
        <v>2746</v>
      </c>
    </row>
    <row r="21" customFormat="false" ht="15" hidden="false" customHeight="false" outlineLevel="0" collapsed="false">
      <c r="A21" s="74" t="s">
        <v>954</v>
      </c>
      <c r="B21" s="74" t="s">
        <v>2777</v>
      </c>
      <c r="C21" s="74" t="s">
        <v>875</v>
      </c>
      <c r="D21" s="74" t="s">
        <v>242</v>
      </c>
      <c r="E21" s="74"/>
      <c r="F21" s="74" t="s">
        <v>238</v>
      </c>
      <c r="G21" s="74" t="s">
        <v>241</v>
      </c>
      <c r="H21" s="6" t="s">
        <v>2745</v>
      </c>
      <c r="I21" s="10" t="n">
        <v>1622.58</v>
      </c>
      <c r="J21" s="8" t="n">
        <v>13623836.3</v>
      </c>
      <c r="K21" s="10" t="n">
        <v>1278.38</v>
      </c>
      <c r="L21" s="8" t="n">
        <v>10699758.3</v>
      </c>
      <c r="M21" s="13" t="n">
        <f aca="false">SUMIFS('MA Engine'!$T$6:$T$1110,'MA Engine'!$B$6:$B$1110,$A21,'MA Engine'!$AD$6:$AD$1110,1)</f>
        <v>1278.38</v>
      </c>
      <c r="N21" s="7" t="n">
        <f aca="false">SUMIFS('MA Engine'!$U$6:$U$1110,'MA Engine'!$B$6:$B$1110,$A21,'MA Engine'!$AD$6:$AD$1110,1)</f>
        <v>10699758.3043648</v>
      </c>
      <c r="O21" s="13" t="n">
        <f aca="false">SUMIFS('MA Engine'!$Y$6:$Y$1110,'MA Engine'!$B$6:$B$1110,$A21,'MA Engine'!$AD$6:$AD$1110,1)</f>
        <v>1278.38</v>
      </c>
      <c r="P21" s="7" t="n">
        <f aca="false">SUMIFS('MA Engine'!$Z$6:$Z$1110,'MA Engine'!$B$6:$B$1110,$A21,'MA Engine'!$AD$6:$AD$1110,1)</f>
        <v>10699758.3043648</v>
      </c>
      <c r="Q21" s="12" t="s">
        <v>2746</v>
      </c>
    </row>
    <row r="22" customFormat="false" ht="15" hidden="false" customHeight="false" outlineLevel="0" collapsed="false">
      <c r="A22" s="74" t="s">
        <v>955</v>
      </c>
      <c r="B22" s="74" t="s">
        <v>2778</v>
      </c>
      <c r="C22" s="74" t="s">
        <v>875</v>
      </c>
      <c r="D22" s="74" t="s">
        <v>244</v>
      </c>
      <c r="E22" s="74"/>
      <c r="F22" s="74" t="s">
        <v>238</v>
      </c>
      <c r="G22" s="74" t="s">
        <v>241</v>
      </c>
      <c r="H22" s="6" t="s">
        <v>2745</v>
      </c>
      <c r="I22" s="10" t="n">
        <v>1651.9</v>
      </c>
      <c r="J22" s="8" t="n">
        <v>916244.02</v>
      </c>
      <c r="K22" s="10" t="n">
        <v>130.4</v>
      </c>
      <c r="L22" s="8" t="n">
        <v>72327.76</v>
      </c>
      <c r="M22" s="13" t="n">
        <f aca="false">SUMIFS('MA Engine'!$T$6:$T$1110,'MA Engine'!$B$6:$B$1110,$A22,'MA Engine'!$AD$6:$AD$1110,1)</f>
        <v>130.4</v>
      </c>
      <c r="N22" s="7" t="n">
        <f aca="false">SUMIFS('MA Engine'!$U$6:$U$1110,'MA Engine'!$B$6:$B$1110,$A22,'MA Engine'!$AD$6:$AD$1110,1)</f>
        <v>72327.7560433441</v>
      </c>
      <c r="O22" s="13" t="n">
        <f aca="false">SUMIFS('MA Engine'!$Y$6:$Y$1110,'MA Engine'!$B$6:$B$1110,$A22,'MA Engine'!$AD$6:$AD$1110,1)</f>
        <v>130.4</v>
      </c>
      <c r="P22" s="7" t="n">
        <f aca="false">SUMIFS('MA Engine'!$Z$6:$Z$1110,'MA Engine'!$B$6:$B$1110,$A22,'MA Engine'!$AD$6:$AD$1110,1)</f>
        <v>72327.7560433441</v>
      </c>
      <c r="Q22" s="12" t="s">
        <v>2746</v>
      </c>
    </row>
    <row r="23" customFormat="false" ht="15" hidden="false" customHeight="false" outlineLevel="0" collapsed="false">
      <c r="A23" s="74" t="s">
        <v>2779</v>
      </c>
      <c r="B23" s="74" t="s">
        <v>2780</v>
      </c>
      <c r="C23" s="74" t="s">
        <v>875</v>
      </c>
      <c r="D23" s="74" t="s">
        <v>244</v>
      </c>
      <c r="E23" s="74"/>
      <c r="F23" s="74" t="s">
        <v>238</v>
      </c>
      <c r="G23" s="74" t="s">
        <v>241</v>
      </c>
      <c r="H23" s="6" t="s">
        <v>2743</v>
      </c>
      <c r="I23" s="10" t="n">
        <v>30.5</v>
      </c>
      <c r="J23" s="8" t="n">
        <v>1</v>
      </c>
      <c r="K23" s="10" t="n">
        <v>30.5</v>
      </c>
      <c r="L23" s="8" t="n">
        <v>1</v>
      </c>
      <c r="M23" s="14" t="n">
        <f aca="false">K23</f>
        <v>30.5</v>
      </c>
      <c r="N23" s="9" t="n">
        <f aca="false">L23</f>
        <v>1</v>
      </c>
      <c r="O23" s="14" t="n">
        <f aca="false">K23</f>
        <v>30.5</v>
      </c>
      <c r="P23" s="9" t="n">
        <f aca="false">L23</f>
        <v>1</v>
      </c>
      <c r="Q23" s="12" t="s">
        <v>2781</v>
      </c>
    </row>
    <row r="24" customFormat="false" ht="15" hidden="false" customHeight="false" outlineLevel="0" collapsed="false">
      <c r="A24" s="74" t="s">
        <v>2782</v>
      </c>
      <c r="B24" s="74" t="s">
        <v>2783</v>
      </c>
      <c r="C24" s="74" t="s">
        <v>875</v>
      </c>
      <c r="D24" s="74" t="s">
        <v>244</v>
      </c>
      <c r="E24" s="74"/>
      <c r="F24" s="74" t="s">
        <v>238</v>
      </c>
      <c r="G24" s="74" t="s">
        <v>241</v>
      </c>
      <c r="H24" s="6" t="s">
        <v>2743</v>
      </c>
      <c r="I24" s="10" t="n">
        <v>30.5</v>
      </c>
      <c r="J24" s="8" t="n">
        <v>1</v>
      </c>
      <c r="K24" s="10" t="n">
        <v>30.5</v>
      </c>
      <c r="L24" s="8" t="n">
        <v>1</v>
      </c>
      <c r="M24" s="14" t="n">
        <f aca="false">K24</f>
        <v>30.5</v>
      </c>
      <c r="N24" s="9" t="n">
        <f aca="false">L24</f>
        <v>1</v>
      </c>
      <c r="O24" s="14" t="n">
        <f aca="false">K24</f>
        <v>30.5</v>
      </c>
      <c r="P24" s="9" t="n">
        <f aca="false">L24</f>
        <v>1</v>
      </c>
      <c r="Q24" s="12" t="s">
        <v>2781</v>
      </c>
    </row>
    <row r="25" customFormat="false" ht="15" hidden="false" customHeight="false" outlineLevel="0" collapsed="false">
      <c r="A25" s="74" t="s">
        <v>2784</v>
      </c>
      <c r="B25" s="74" t="s">
        <v>2785</v>
      </c>
      <c r="C25" s="74" t="s">
        <v>875</v>
      </c>
      <c r="D25" s="74" t="s">
        <v>244</v>
      </c>
      <c r="E25" s="74"/>
      <c r="F25" s="74" t="s">
        <v>238</v>
      </c>
      <c r="G25" s="74" t="s">
        <v>241</v>
      </c>
      <c r="H25" s="6" t="s">
        <v>2743</v>
      </c>
      <c r="I25" s="10" t="n">
        <v>10.8</v>
      </c>
      <c r="J25" s="8" t="n">
        <v>1</v>
      </c>
      <c r="K25" s="10" t="n">
        <v>10.8</v>
      </c>
      <c r="L25" s="8" t="n">
        <v>1</v>
      </c>
      <c r="M25" s="14" t="n">
        <f aca="false">K25</f>
        <v>10.8</v>
      </c>
      <c r="N25" s="9" t="n">
        <f aca="false">L25</f>
        <v>1</v>
      </c>
      <c r="O25" s="14" t="n">
        <f aca="false">K25</f>
        <v>10.8</v>
      </c>
      <c r="P25" s="9" t="n">
        <f aca="false">L25</f>
        <v>1</v>
      </c>
      <c r="Q25" s="12" t="s">
        <v>2781</v>
      </c>
    </row>
    <row r="26" customFormat="false" ht="15" hidden="false" customHeight="false" outlineLevel="0" collapsed="false">
      <c r="A26" s="74" t="s">
        <v>956</v>
      </c>
      <c r="B26" s="74" t="s">
        <v>2786</v>
      </c>
      <c r="C26" s="74" t="s">
        <v>875</v>
      </c>
      <c r="D26" s="74" t="s">
        <v>248</v>
      </c>
      <c r="E26" s="74"/>
      <c r="F26" s="74" t="s">
        <v>238</v>
      </c>
      <c r="G26" s="74" t="s">
        <v>241</v>
      </c>
      <c r="H26" s="6" t="s">
        <v>2745</v>
      </c>
      <c r="I26" s="10" t="n">
        <v>1996.1</v>
      </c>
      <c r="J26" s="8" t="n">
        <v>15972415.15</v>
      </c>
      <c r="K26" s="10" t="n">
        <v>1811.2</v>
      </c>
      <c r="L26" s="8" t="n">
        <v>14122474.45</v>
      </c>
      <c r="M26" s="13" t="n">
        <f aca="false">SUMIFS('MA Engine'!$T$6:$T$1110,'MA Engine'!$B$6:$B$1110,$A26,'MA Engine'!$AD$6:$AD$1110,1)</f>
        <v>1811.2</v>
      </c>
      <c r="N26" s="7" t="n">
        <f aca="false">SUMIFS('MA Engine'!$U$6:$U$1110,'MA Engine'!$B$6:$B$1110,$A26,'MA Engine'!$AD$6:$AD$1110,1)</f>
        <v>14122474.4247468</v>
      </c>
      <c r="O26" s="13" t="n">
        <f aca="false">SUMIFS('MA Engine'!$Y$6:$Y$1110,'MA Engine'!$B$6:$B$1110,$A26,'MA Engine'!$AD$6:$AD$1110,1)</f>
        <v>1811.2</v>
      </c>
      <c r="P26" s="7" t="n">
        <f aca="false">SUMIFS('MA Engine'!$Z$6:$Z$1110,'MA Engine'!$B$6:$B$1110,$A26,'MA Engine'!$AD$6:$AD$1110,1)</f>
        <v>14122474.4247468</v>
      </c>
      <c r="Q26" s="12" t="s">
        <v>2746</v>
      </c>
    </row>
    <row r="27" customFormat="false" ht="15" hidden="false" customHeight="false" outlineLevel="0" collapsed="false">
      <c r="A27" s="74" t="s">
        <v>957</v>
      </c>
      <c r="B27" s="74" t="s">
        <v>2787</v>
      </c>
      <c r="C27" s="74" t="s">
        <v>875</v>
      </c>
      <c r="D27" s="74" t="s">
        <v>245</v>
      </c>
      <c r="E27" s="74"/>
      <c r="F27" s="74" t="s">
        <v>238</v>
      </c>
      <c r="G27" s="74" t="s">
        <v>241</v>
      </c>
      <c r="H27" s="6" t="s">
        <v>2745</v>
      </c>
      <c r="I27" s="10" t="n">
        <v>2082.92</v>
      </c>
      <c r="J27" s="8" t="n">
        <v>22698127.34</v>
      </c>
      <c r="K27" s="10" t="n">
        <v>0</v>
      </c>
      <c r="L27" s="8" t="n">
        <v>0.18</v>
      </c>
      <c r="M27" s="13" t="n">
        <f aca="false">SUMIFS('MA Engine'!$T$6:$T$1110,'MA Engine'!$B$6:$B$1110,$A27,'MA Engine'!$AD$6:$AD$1110,1)</f>
        <v>0</v>
      </c>
      <c r="N27" s="7" t="n">
        <f aca="false">SUMIFS('MA Engine'!$U$6:$U$1110,'MA Engine'!$B$6:$B$1110,$A27,'MA Engine'!$AD$6:$AD$1110,1)</f>
        <v>0</v>
      </c>
      <c r="O27" s="13" t="n">
        <f aca="false">SUMIFS('MA Engine'!$Y$6:$Y$1110,'MA Engine'!$B$6:$B$1110,$A27,'MA Engine'!$AD$6:$AD$1110,1)</f>
        <v>0</v>
      </c>
      <c r="P27" s="7" t="n">
        <f aca="false">SUMIFS('MA Engine'!$Z$6:$Z$1110,'MA Engine'!$B$6:$B$1110,$A27,'MA Engine'!$AD$6:$AD$1110,1)</f>
        <v>0</v>
      </c>
      <c r="Q27" s="12" t="s">
        <v>2746</v>
      </c>
    </row>
    <row r="28" customFormat="false" ht="15" hidden="false" customHeight="false" outlineLevel="0" collapsed="false">
      <c r="A28" s="74" t="s">
        <v>958</v>
      </c>
      <c r="B28" s="74" t="s">
        <v>2788</v>
      </c>
      <c r="C28" s="74" t="s">
        <v>875</v>
      </c>
      <c r="D28" s="74" t="s">
        <v>245</v>
      </c>
      <c r="E28" s="74"/>
      <c r="F28" s="74" t="s">
        <v>238</v>
      </c>
      <c r="G28" s="74" t="s">
        <v>241</v>
      </c>
      <c r="H28" s="6" t="s">
        <v>2745</v>
      </c>
      <c r="I28" s="10" t="n">
        <v>0</v>
      </c>
      <c r="J28" s="8" t="n">
        <v>0</v>
      </c>
      <c r="K28" s="10" t="n">
        <v>0</v>
      </c>
      <c r="L28" s="8" t="n">
        <v>0</v>
      </c>
      <c r="M28" s="13" t="n">
        <f aca="false">SUMIFS('MA Engine'!$T$6:$T$1110,'MA Engine'!$B$6:$B$1110,$A28,'MA Engine'!$AD$6:$AD$1110,1)</f>
        <v>0</v>
      </c>
      <c r="N28" s="7" t="n">
        <f aca="false">SUMIFS('MA Engine'!$U$6:$U$1110,'MA Engine'!$B$6:$B$1110,$A28,'MA Engine'!$AD$6:$AD$1110,1)</f>
        <v>0</v>
      </c>
      <c r="O28" s="13" t="n">
        <f aca="false">SUMIFS('MA Engine'!$Y$6:$Y$1110,'MA Engine'!$B$6:$B$1110,$A28,'MA Engine'!$AD$6:$AD$1110,1)</f>
        <v>0</v>
      </c>
      <c r="P28" s="7" t="n">
        <f aca="false">SUMIFS('MA Engine'!$Z$6:$Z$1110,'MA Engine'!$B$6:$B$1110,$A28,'MA Engine'!$AD$6:$AD$1110,1)</f>
        <v>0</v>
      </c>
      <c r="Q28" s="12" t="s">
        <v>2746</v>
      </c>
    </row>
    <row r="29" customFormat="false" ht="15" hidden="false" customHeight="false" outlineLevel="0" collapsed="false">
      <c r="A29" s="74" t="s">
        <v>959</v>
      </c>
      <c r="B29" s="74" t="s">
        <v>2789</v>
      </c>
      <c r="C29" s="74" t="s">
        <v>875</v>
      </c>
      <c r="D29" s="74" t="s">
        <v>245</v>
      </c>
      <c r="E29" s="74"/>
      <c r="F29" s="74" t="s">
        <v>238</v>
      </c>
      <c r="G29" s="74" t="s">
        <v>241</v>
      </c>
      <c r="H29" s="6" t="s">
        <v>2745</v>
      </c>
      <c r="I29" s="10" t="n">
        <v>108.29</v>
      </c>
      <c r="J29" s="8" t="n">
        <v>2511703.39</v>
      </c>
      <c r="K29" s="10" t="n">
        <v>119.49</v>
      </c>
      <c r="L29" s="8" t="n">
        <v>2529631.63</v>
      </c>
      <c r="M29" s="13" t="n">
        <f aca="false">SUMIFS('MA Engine'!$T$6:$T$1110,'MA Engine'!$B$6:$B$1110,$A29,'MA Engine'!$AD$6:$AD$1110,1)</f>
        <v>119.49</v>
      </c>
      <c r="N29" s="7" t="n">
        <f aca="false">SUMIFS('MA Engine'!$U$6:$U$1110,'MA Engine'!$B$6:$B$1110,$A29,'MA Engine'!$AD$6:$AD$1110,1)</f>
        <v>2529631.63</v>
      </c>
      <c r="O29" s="13" t="n">
        <f aca="false">SUMIFS('MA Engine'!$Y$6:$Y$1110,'MA Engine'!$B$6:$B$1110,$A29,'MA Engine'!$AD$6:$AD$1110,1)</f>
        <v>119.49</v>
      </c>
      <c r="P29" s="7" t="n">
        <f aca="false">SUMIFS('MA Engine'!$Z$6:$Z$1110,'MA Engine'!$B$6:$B$1110,$A29,'MA Engine'!$AD$6:$AD$1110,1)</f>
        <v>2529631.63</v>
      </c>
      <c r="Q29" s="12" t="s">
        <v>2746</v>
      </c>
    </row>
    <row r="30" customFormat="false" ht="15" hidden="false" customHeight="false" outlineLevel="0" collapsed="false">
      <c r="A30" s="74" t="s">
        <v>960</v>
      </c>
      <c r="B30" s="74" t="s">
        <v>2790</v>
      </c>
      <c r="C30" s="74" t="s">
        <v>875</v>
      </c>
      <c r="D30" s="74" t="s">
        <v>255</v>
      </c>
      <c r="E30" s="74"/>
      <c r="F30" s="74" t="s">
        <v>238</v>
      </c>
      <c r="G30" s="74" t="s">
        <v>241</v>
      </c>
      <c r="H30" s="6" t="s">
        <v>2745</v>
      </c>
      <c r="I30" s="10" t="n">
        <v>873.78</v>
      </c>
      <c r="J30" s="8" t="n">
        <v>22513523.23</v>
      </c>
      <c r="K30" s="10" t="n">
        <v>1033.78</v>
      </c>
      <c r="L30" s="8" t="n">
        <v>25074700.02</v>
      </c>
      <c r="M30" s="13" t="n">
        <f aca="false">SUMIFS('MA Engine'!$T$6:$T$1110,'MA Engine'!$B$6:$B$1110,$A30,'MA Engine'!$AD$6:$AD$1110,1)</f>
        <v>1033.78</v>
      </c>
      <c r="N30" s="7" t="n">
        <f aca="false">SUMIFS('MA Engine'!$U$6:$U$1110,'MA Engine'!$B$6:$B$1110,$A30,'MA Engine'!$AD$6:$AD$1110,1)</f>
        <v>25074700.01</v>
      </c>
      <c r="O30" s="13" t="n">
        <f aca="false">SUMIFS('MA Engine'!$Y$6:$Y$1110,'MA Engine'!$B$6:$B$1110,$A30,'MA Engine'!$AD$6:$AD$1110,1)</f>
        <v>1033.78</v>
      </c>
      <c r="P30" s="7" t="n">
        <f aca="false">SUMIFS('MA Engine'!$Z$6:$Z$1110,'MA Engine'!$B$6:$B$1110,$A30,'MA Engine'!$AD$6:$AD$1110,1)</f>
        <v>25074700.01</v>
      </c>
      <c r="Q30" s="12" t="s">
        <v>2746</v>
      </c>
    </row>
    <row r="31" customFormat="false" ht="15" hidden="false" customHeight="false" outlineLevel="0" collapsed="false">
      <c r="A31" s="74" t="s">
        <v>961</v>
      </c>
      <c r="B31" s="74" t="s">
        <v>2712</v>
      </c>
      <c r="C31" s="74" t="s">
        <v>875</v>
      </c>
      <c r="D31" s="74" t="s">
        <v>360</v>
      </c>
      <c r="E31" s="74"/>
      <c r="F31" s="74" t="s">
        <v>238</v>
      </c>
      <c r="G31" s="74" t="s">
        <v>241</v>
      </c>
      <c r="H31" s="6" t="s">
        <v>2745</v>
      </c>
      <c r="I31" s="10" t="n">
        <v>83.28</v>
      </c>
      <c r="J31" s="8" t="n">
        <v>1771504.88</v>
      </c>
      <c r="K31" s="10" t="n">
        <v>462.78</v>
      </c>
      <c r="L31" s="8" t="n">
        <v>11863214.7</v>
      </c>
      <c r="M31" s="13" t="n">
        <f aca="false">SUMIFS('MA Engine'!$T$6:$T$1110,'MA Engine'!$B$6:$B$1110,$A31,'MA Engine'!$AD$6:$AD$1110,1)</f>
        <v>462.78</v>
      </c>
      <c r="N31" s="7" t="n">
        <f aca="false">SUMIFS('MA Engine'!$U$6:$U$1110,'MA Engine'!$B$6:$B$1110,$A31,'MA Engine'!$AD$6:$AD$1110,1)</f>
        <v>11863214.69</v>
      </c>
      <c r="O31" s="13" t="n">
        <f aca="false">SUMIFS('MA Engine'!$Y$6:$Y$1110,'MA Engine'!$B$6:$B$1110,$A31,'MA Engine'!$AD$6:$AD$1110,1)</f>
        <v>462.78</v>
      </c>
      <c r="P31" s="7" t="n">
        <f aca="false">SUMIFS('MA Engine'!$Z$6:$Z$1110,'MA Engine'!$B$6:$B$1110,$A31,'MA Engine'!$AD$6:$AD$1110,1)</f>
        <v>11863214.69</v>
      </c>
      <c r="Q31" s="12" t="s">
        <v>2746</v>
      </c>
    </row>
    <row r="32" customFormat="false" ht="15" hidden="false" customHeight="false" outlineLevel="0" collapsed="false">
      <c r="A32" s="74" t="s">
        <v>962</v>
      </c>
      <c r="B32" s="74" t="s">
        <v>2791</v>
      </c>
      <c r="C32" s="74" t="s">
        <v>875</v>
      </c>
      <c r="D32" s="74" t="s">
        <v>252</v>
      </c>
      <c r="E32" s="74"/>
      <c r="F32" s="74" t="s">
        <v>238</v>
      </c>
      <c r="G32" s="74" t="s">
        <v>2766</v>
      </c>
      <c r="H32" s="6" t="s">
        <v>2745</v>
      </c>
      <c r="I32" s="10" t="n">
        <v>271.15</v>
      </c>
      <c r="J32" s="8" t="n">
        <v>6888132.67</v>
      </c>
      <c r="K32" s="10" t="n">
        <v>311.15</v>
      </c>
      <c r="L32" s="8" t="n">
        <v>7464397.44</v>
      </c>
      <c r="M32" s="13" t="n">
        <f aca="false">SUMIFS('MA Engine'!$T$6:$T$1110,'MA Engine'!$B$6:$B$1110,$A32,'MA Engine'!$AD$6:$AD$1110,1)</f>
        <v>311.15</v>
      </c>
      <c r="N32" s="7" t="n">
        <f aca="false">SUMIFS('MA Engine'!$U$6:$U$1110,'MA Engine'!$B$6:$B$1110,$A32,'MA Engine'!$AD$6:$AD$1110,1)</f>
        <v>7464397.45</v>
      </c>
      <c r="O32" s="13" t="n">
        <f aca="false">SUMIFS('MA Engine'!$Y$6:$Y$1110,'MA Engine'!$B$6:$B$1110,$A32,'MA Engine'!$AD$6:$AD$1110,1)</f>
        <v>311.15</v>
      </c>
      <c r="P32" s="7" t="n">
        <f aca="false">SUMIFS('MA Engine'!$Z$6:$Z$1110,'MA Engine'!$B$6:$B$1110,$A32,'MA Engine'!$AD$6:$AD$1110,1)</f>
        <v>7464397.45</v>
      </c>
      <c r="Q32" s="12" t="s">
        <v>2746</v>
      </c>
    </row>
    <row r="33" customFormat="false" ht="15" hidden="false" customHeight="false" outlineLevel="0" collapsed="false">
      <c r="A33" s="74" t="s">
        <v>2792</v>
      </c>
      <c r="B33" s="74" t="s">
        <v>2793</v>
      </c>
      <c r="C33" s="74" t="s">
        <v>875</v>
      </c>
      <c r="D33" s="74" t="s">
        <v>252</v>
      </c>
      <c r="E33" s="74"/>
      <c r="F33" s="74" t="s">
        <v>238</v>
      </c>
      <c r="G33" s="74" t="s">
        <v>2770</v>
      </c>
      <c r="H33" s="6" t="s">
        <v>2743</v>
      </c>
      <c r="I33" s="10" t="n">
        <v>13.14</v>
      </c>
      <c r="J33" s="8" t="n">
        <v>301046</v>
      </c>
      <c r="K33" s="10" t="n">
        <v>13.14</v>
      </c>
      <c r="L33" s="8" t="n">
        <v>301046</v>
      </c>
      <c r="M33" s="14" t="n">
        <f aca="false">K33</f>
        <v>13.14</v>
      </c>
      <c r="N33" s="9" t="n">
        <f aca="false">L33</f>
        <v>301046</v>
      </c>
      <c r="O33" s="14" t="n">
        <f aca="false">K33</f>
        <v>13.14</v>
      </c>
      <c r="P33" s="9" t="n">
        <f aca="false">L33</f>
        <v>301046</v>
      </c>
      <c r="Q33" s="12" t="s">
        <v>2771</v>
      </c>
    </row>
    <row r="34" customFormat="false" ht="15" hidden="false" customHeight="false" outlineLevel="0" collapsed="false">
      <c r="A34" s="74" t="s">
        <v>963</v>
      </c>
      <c r="B34" s="74" t="s">
        <v>2794</v>
      </c>
      <c r="C34" s="74" t="s">
        <v>875</v>
      </c>
      <c r="D34" s="74" t="s">
        <v>252</v>
      </c>
      <c r="E34" s="74"/>
      <c r="F34" s="74" t="s">
        <v>238</v>
      </c>
      <c r="G34" s="74" t="s">
        <v>2742</v>
      </c>
      <c r="H34" s="6" t="s">
        <v>2745</v>
      </c>
      <c r="I34" s="10" t="n">
        <v>1236.19</v>
      </c>
      <c r="J34" s="8" t="n">
        <v>35796339.78</v>
      </c>
      <c r="K34" s="10" t="n">
        <v>287.08</v>
      </c>
      <c r="L34" s="8" t="n">
        <v>8312972.33</v>
      </c>
      <c r="M34" s="13" t="n">
        <f aca="false">SUMIFS('MA Engine'!$T$6:$T$1110,'MA Engine'!$B$6:$B$1110,$A34,'MA Engine'!$AD$6:$AD$1110,1)</f>
        <v>287.08</v>
      </c>
      <c r="N34" s="7" t="n">
        <f aca="false">SUMIFS('MA Engine'!$U$6:$U$1110,'MA Engine'!$B$6:$B$1110,$A34,'MA Engine'!$AD$6:$AD$1110,1)</f>
        <v>8312972.29717309</v>
      </c>
      <c r="O34" s="13" t="n">
        <f aca="false">SUMIFS('MA Engine'!$Y$6:$Y$1110,'MA Engine'!$B$6:$B$1110,$A34,'MA Engine'!$AD$6:$AD$1110,1)</f>
        <v>287.08</v>
      </c>
      <c r="P34" s="7" t="n">
        <f aca="false">SUMIFS('MA Engine'!$Z$6:$Z$1110,'MA Engine'!$B$6:$B$1110,$A34,'MA Engine'!$AD$6:$AD$1110,1)</f>
        <v>8312972.29717309</v>
      </c>
      <c r="Q34" s="12" t="s">
        <v>2746</v>
      </c>
    </row>
    <row r="35" customFormat="false" ht="15" hidden="false" customHeight="false" outlineLevel="0" collapsed="false">
      <c r="A35" s="74" t="s">
        <v>964</v>
      </c>
      <c r="B35" s="74" t="s">
        <v>2795</v>
      </c>
      <c r="C35" s="74" t="s">
        <v>875</v>
      </c>
      <c r="D35" s="74" t="s">
        <v>361</v>
      </c>
      <c r="E35" s="74"/>
      <c r="F35" s="74" t="s">
        <v>238</v>
      </c>
      <c r="G35" s="74" t="s">
        <v>241</v>
      </c>
      <c r="H35" s="6" t="s">
        <v>2745</v>
      </c>
      <c r="I35" s="10" t="n">
        <v>256.9</v>
      </c>
      <c r="J35" s="8" t="n">
        <v>840656.44</v>
      </c>
      <c r="K35" s="10" t="n">
        <v>436.09</v>
      </c>
      <c r="L35" s="8" t="n">
        <v>840656.44</v>
      </c>
      <c r="M35" s="13" t="n">
        <f aca="false">SUMIFS('MA Engine'!$T$6:$T$1110,'MA Engine'!$B$6:$B$1110,$A35,'MA Engine'!$AD$6:$AD$1110,1)</f>
        <v>436.09</v>
      </c>
      <c r="N35" s="7" t="n">
        <f aca="false">SUMIFS('MA Engine'!$U$6:$U$1110,'MA Engine'!$B$6:$B$1110,$A35,'MA Engine'!$AD$6:$AD$1110,1)</f>
        <v>840656.44</v>
      </c>
      <c r="O35" s="13" t="n">
        <f aca="false">SUMIFS('MA Engine'!$Y$6:$Y$1110,'MA Engine'!$B$6:$B$1110,$A35,'MA Engine'!$AD$6:$AD$1110,1)</f>
        <v>436.09</v>
      </c>
      <c r="P35" s="7" t="n">
        <f aca="false">SUMIFS('MA Engine'!$Z$6:$Z$1110,'MA Engine'!$B$6:$B$1110,$A35,'MA Engine'!$AD$6:$AD$1110,1)</f>
        <v>840656.44</v>
      </c>
      <c r="Q35" s="12" t="s">
        <v>2746</v>
      </c>
    </row>
    <row r="36" customFormat="false" ht="15" hidden="false" customHeight="false" outlineLevel="0" collapsed="false">
      <c r="A36" s="74" t="s">
        <v>965</v>
      </c>
      <c r="B36" s="74" t="s">
        <v>2796</v>
      </c>
      <c r="C36" s="74" t="s">
        <v>875</v>
      </c>
      <c r="D36" s="74" t="s">
        <v>253</v>
      </c>
      <c r="E36" s="74"/>
      <c r="F36" s="74" t="s">
        <v>238</v>
      </c>
      <c r="G36" s="74" t="s">
        <v>241</v>
      </c>
      <c r="H36" s="6" t="s">
        <v>2745</v>
      </c>
      <c r="I36" s="10" t="n">
        <v>0</v>
      </c>
      <c r="J36" s="8" t="n">
        <v>0</v>
      </c>
      <c r="K36" s="10" t="n">
        <v>63</v>
      </c>
      <c r="L36" s="8" t="n">
        <v>0</v>
      </c>
      <c r="M36" s="13" t="n">
        <f aca="false">SUMIFS('MA Engine'!$T$6:$T$1110,'MA Engine'!$B$6:$B$1110,$A36,'MA Engine'!$AD$6:$AD$1110,1)</f>
        <v>63</v>
      </c>
      <c r="N36" s="7" t="n">
        <f aca="false">SUMIFS('MA Engine'!$U$6:$U$1110,'MA Engine'!$B$6:$B$1110,$A36,'MA Engine'!$AD$6:$AD$1110,1)</f>
        <v>0</v>
      </c>
      <c r="O36" s="13" t="n">
        <f aca="false">SUMIFS('MA Engine'!$Y$6:$Y$1110,'MA Engine'!$B$6:$B$1110,$A36,'MA Engine'!$AD$6:$AD$1110,1)</f>
        <v>63</v>
      </c>
      <c r="P36" s="7" t="n">
        <f aca="false">SUMIFS('MA Engine'!$Z$6:$Z$1110,'MA Engine'!$B$6:$B$1110,$A36,'MA Engine'!$AD$6:$AD$1110,1)</f>
        <v>0</v>
      </c>
      <c r="Q36" s="12" t="s">
        <v>2746</v>
      </c>
    </row>
    <row r="37" customFormat="false" ht="15" hidden="false" customHeight="false" outlineLevel="0" collapsed="false">
      <c r="A37" s="74" t="s">
        <v>966</v>
      </c>
      <c r="B37" s="74" t="s">
        <v>2797</v>
      </c>
      <c r="C37" s="74" t="s">
        <v>875</v>
      </c>
      <c r="D37" s="74" t="s">
        <v>236</v>
      </c>
      <c r="E37" s="74"/>
      <c r="F37" s="74" t="s">
        <v>237</v>
      </c>
      <c r="G37" s="74" t="s">
        <v>2742</v>
      </c>
      <c r="H37" s="6" t="s">
        <v>2745</v>
      </c>
      <c r="I37" s="10" t="n">
        <v>226.37</v>
      </c>
      <c r="J37" s="8" t="n">
        <v>8467200.41</v>
      </c>
      <c r="K37" s="10" t="n">
        <v>0</v>
      </c>
      <c r="L37" s="8" t="n">
        <v>-0.02</v>
      </c>
      <c r="M37" s="13" t="n">
        <f aca="false">SUMIFS('MA Engine'!$T$6:$T$1110,'MA Engine'!$B$6:$B$1110,$A37,'MA Engine'!$AD$6:$AD$1110,1)</f>
        <v>0</v>
      </c>
      <c r="N37" s="7" t="n">
        <f aca="false">SUMIFS('MA Engine'!$U$6:$U$1110,'MA Engine'!$B$6:$B$1110,$A37,'MA Engine'!$AD$6:$AD$1110,1)</f>
        <v>0</v>
      </c>
      <c r="O37" s="13" t="n">
        <f aca="false">SUMIFS('MA Engine'!$Y$6:$Y$1110,'MA Engine'!$B$6:$B$1110,$A37,'MA Engine'!$AD$6:$AD$1110,1)</f>
        <v>0</v>
      </c>
      <c r="P37" s="7" t="n">
        <f aca="false">SUMIFS('MA Engine'!$Z$6:$Z$1110,'MA Engine'!$B$6:$B$1110,$A37,'MA Engine'!$AD$6:$AD$1110,1)</f>
        <v>0</v>
      </c>
      <c r="Q37" s="12" t="s">
        <v>2746</v>
      </c>
    </row>
    <row r="38" customFormat="false" ht="15" hidden="false" customHeight="false" outlineLevel="0" collapsed="false">
      <c r="A38" s="74" t="s">
        <v>2798</v>
      </c>
      <c r="B38" s="74" t="s">
        <v>2799</v>
      </c>
      <c r="C38" s="74" t="s">
        <v>875</v>
      </c>
      <c r="D38" s="74" t="s">
        <v>236</v>
      </c>
      <c r="E38" s="74"/>
      <c r="F38" s="74" t="s">
        <v>238</v>
      </c>
      <c r="G38" s="74" t="s">
        <v>2800</v>
      </c>
      <c r="H38" s="6" t="s">
        <v>2743</v>
      </c>
      <c r="I38" s="10" t="n">
        <v>2.45</v>
      </c>
      <c r="J38" s="8" t="n">
        <v>70573</v>
      </c>
      <c r="K38" s="10" t="n">
        <v>2.45</v>
      </c>
      <c r="L38" s="8" t="n">
        <v>70573</v>
      </c>
      <c r="M38" s="14" t="n">
        <f aca="false">K38</f>
        <v>2.45</v>
      </c>
      <c r="N38" s="9" t="n">
        <f aca="false">L38</f>
        <v>70573</v>
      </c>
      <c r="O38" s="14" t="n">
        <f aca="false">K38</f>
        <v>2.45</v>
      </c>
      <c r="P38" s="9" t="n">
        <f aca="false">L38</f>
        <v>70573</v>
      </c>
      <c r="Q38" s="12" t="s">
        <v>2801</v>
      </c>
    </row>
    <row r="39" customFormat="false" ht="15" hidden="false" customHeight="false" outlineLevel="0" collapsed="false">
      <c r="A39" s="74" t="s">
        <v>967</v>
      </c>
      <c r="B39" s="74" t="s">
        <v>2802</v>
      </c>
      <c r="C39" s="74" t="s">
        <v>875</v>
      </c>
      <c r="D39" s="74" t="s">
        <v>236</v>
      </c>
      <c r="E39" s="74"/>
      <c r="F39" s="74" t="s">
        <v>238</v>
      </c>
      <c r="G39" s="74" t="s">
        <v>2742</v>
      </c>
      <c r="H39" s="6" t="s">
        <v>2745</v>
      </c>
      <c r="I39" s="10" t="n">
        <v>1569.4</v>
      </c>
      <c r="J39" s="8" t="n">
        <v>69623044.07</v>
      </c>
      <c r="K39" s="10" t="n">
        <v>0</v>
      </c>
      <c r="L39" s="8" t="n">
        <v>-0.38</v>
      </c>
      <c r="M39" s="13" t="n">
        <f aca="false">SUMIFS('MA Engine'!$T$6:$T$1110,'MA Engine'!$B$6:$B$1110,$A39,'MA Engine'!$AD$6:$AD$1110,1)</f>
        <v>0</v>
      </c>
      <c r="N39" s="7" t="n">
        <f aca="false">SUMIFS('MA Engine'!$U$6:$U$1110,'MA Engine'!$B$6:$B$1110,$A39,'MA Engine'!$AD$6:$AD$1110,1)</f>
        <v>0</v>
      </c>
      <c r="O39" s="13" t="n">
        <f aca="false">SUMIFS('MA Engine'!$Y$6:$Y$1110,'MA Engine'!$B$6:$B$1110,$A39,'MA Engine'!$AD$6:$AD$1110,1)</f>
        <v>0</v>
      </c>
      <c r="P39" s="7" t="n">
        <f aca="false">SUMIFS('MA Engine'!$Z$6:$Z$1110,'MA Engine'!$B$6:$B$1110,$A39,'MA Engine'!$AD$6:$AD$1110,1)</f>
        <v>0</v>
      </c>
      <c r="Q39" s="12" t="s">
        <v>2746</v>
      </c>
    </row>
    <row r="40" customFormat="false" ht="15" hidden="false" customHeight="false" outlineLevel="0" collapsed="false">
      <c r="A40" s="74" t="s">
        <v>2803</v>
      </c>
      <c r="B40" s="74" t="s">
        <v>2804</v>
      </c>
      <c r="C40" s="74" t="s">
        <v>875</v>
      </c>
      <c r="D40" s="74" t="s">
        <v>1483</v>
      </c>
      <c r="E40" s="74"/>
      <c r="F40" s="74" t="s">
        <v>237</v>
      </c>
      <c r="G40" s="74" t="s">
        <v>2742</v>
      </c>
      <c r="H40" s="6" t="s">
        <v>2775</v>
      </c>
      <c r="I40" s="8" t="n">
        <v>0</v>
      </c>
      <c r="J40" s="8" t="n">
        <v>0</v>
      </c>
      <c r="K40" s="8" t="n">
        <v>0</v>
      </c>
      <c r="L40" s="8" t="n">
        <v>0</v>
      </c>
      <c r="M40" s="14" t="n">
        <f aca="false">K40</f>
        <v>0</v>
      </c>
      <c r="N40" s="9" t="n">
        <f aca="false">L40</f>
        <v>0</v>
      </c>
      <c r="O40" s="14" t="n">
        <f aca="false">K40</f>
        <v>0</v>
      </c>
      <c r="P40" s="9" t="n">
        <f aca="false">L40</f>
        <v>0</v>
      </c>
      <c r="Q40" s="12" t="s">
        <v>2776</v>
      </c>
    </row>
    <row r="41" customFormat="false" ht="15" hidden="false" customHeight="false" outlineLevel="0" collapsed="false">
      <c r="A41" s="74" t="s">
        <v>968</v>
      </c>
      <c r="B41" s="74" t="s">
        <v>2805</v>
      </c>
      <c r="C41" s="74" t="s">
        <v>875</v>
      </c>
      <c r="D41" s="74" t="s">
        <v>239</v>
      </c>
      <c r="E41" s="74"/>
      <c r="F41" s="74" t="s">
        <v>237</v>
      </c>
      <c r="G41" s="74" t="s">
        <v>2742</v>
      </c>
      <c r="H41" s="6" t="s">
        <v>2745</v>
      </c>
      <c r="I41" s="10" t="n">
        <v>274.57</v>
      </c>
      <c r="J41" s="8" t="n">
        <v>11773253.58</v>
      </c>
      <c r="K41" s="10" t="n">
        <v>0</v>
      </c>
      <c r="L41" s="8" t="n">
        <v>-0.01</v>
      </c>
      <c r="M41" s="13" t="n">
        <f aca="false">SUMIFS('MA Engine'!$T$6:$T$1110,'MA Engine'!$B$6:$B$1110,$A41,'MA Engine'!$AD$6:$AD$1110,1)</f>
        <v>0</v>
      </c>
      <c r="N41" s="7" t="n">
        <f aca="false">SUMIFS('MA Engine'!$U$6:$U$1110,'MA Engine'!$B$6:$B$1110,$A41,'MA Engine'!$AD$6:$AD$1110,1)</f>
        <v>0</v>
      </c>
      <c r="O41" s="13" t="n">
        <f aca="false">SUMIFS('MA Engine'!$Y$6:$Y$1110,'MA Engine'!$B$6:$B$1110,$A41,'MA Engine'!$AD$6:$AD$1110,1)</f>
        <v>0</v>
      </c>
      <c r="P41" s="7" t="n">
        <f aca="false">SUMIFS('MA Engine'!$Z$6:$Z$1110,'MA Engine'!$B$6:$B$1110,$A41,'MA Engine'!$AD$6:$AD$1110,1)</f>
        <v>0</v>
      </c>
      <c r="Q41" s="12" t="s">
        <v>2746</v>
      </c>
    </row>
    <row r="42" customFormat="false" ht="15" hidden="false" customHeight="false" outlineLevel="0" collapsed="false">
      <c r="A42" s="74" t="s">
        <v>2806</v>
      </c>
      <c r="B42" s="74" t="s">
        <v>2807</v>
      </c>
      <c r="C42" s="74" t="s">
        <v>875</v>
      </c>
      <c r="D42" s="74" t="s">
        <v>239</v>
      </c>
      <c r="E42" s="74"/>
      <c r="F42" s="74" t="s">
        <v>238</v>
      </c>
      <c r="G42" s="74" t="s">
        <v>2766</v>
      </c>
      <c r="H42" s="6" t="s">
        <v>2775</v>
      </c>
      <c r="I42" s="8" t="n">
        <v>0</v>
      </c>
      <c r="J42" s="8" t="n">
        <v>0</v>
      </c>
      <c r="K42" s="8" t="n">
        <v>0</v>
      </c>
      <c r="L42" s="8" t="n">
        <v>0</v>
      </c>
      <c r="M42" s="14" t="n">
        <f aca="false">K42</f>
        <v>0</v>
      </c>
      <c r="N42" s="9" t="n">
        <f aca="false">L42</f>
        <v>0</v>
      </c>
      <c r="O42" s="14" t="n">
        <f aca="false">K42</f>
        <v>0</v>
      </c>
      <c r="P42" s="9" t="n">
        <f aca="false">L42</f>
        <v>0</v>
      </c>
      <c r="Q42" s="12" t="s">
        <v>2776</v>
      </c>
    </row>
    <row r="43" customFormat="false" ht="15" hidden="false" customHeight="false" outlineLevel="0" collapsed="false">
      <c r="A43" s="74" t="s">
        <v>2808</v>
      </c>
      <c r="B43" s="74" t="s">
        <v>2809</v>
      </c>
      <c r="C43" s="74" t="s">
        <v>875</v>
      </c>
      <c r="D43" s="74" t="s">
        <v>239</v>
      </c>
      <c r="E43" s="74"/>
      <c r="F43" s="74" t="s">
        <v>238</v>
      </c>
      <c r="G43" s="74" t="s">
        <v>2810</v>
      </c>
      <c r="H43" s="6" t="s">
        <v>2743</v>
      </c>
      <c r="I43" s="10" t="n">
        <v>8.68</v>
      </c>
      <c r="J43" s="8" t="n">
        <v>250032</v>
      </c>
      <c r="K43" s="10" t="n">
        <v>8.68</v>
      </c>
      <c r="L43" s="8" t="n">
        <v>250032</v>
      </c>
      <c r="M43" s="14" t="n">
        <f aca="false">K43</f>
        <v>8.68</v>
      </c>
      <c r="N43" s="9" t="n">
        <f aca="false">L43</f>
        <v>250032</v>
      </c>
      <c r="O43" s="14" t="n">
        <f aca="false">K43</f>
        <v>8.68</v>
      </c>
      <c r="P43" s="9" t="n">
        <f aca="false">L43</f>
        <v>250032</v>
      </c>
      <c r="Q43" s="12" t="s">
        <v>2811</v>
      </c>
    </row>
    <row r="44" customFormat="false" ht="15" hidden="false" customHeight="false" outlineLevel="0" collapsed="false">
      <c r="A44" s="74" t="s">
        <v>969</v>
      </c>
      <c r="B44" s="74" t="s">
        <v>2812</v>
      </c>
      <c r="C44" s="74" t="s">
        <v>875</v>
      </c>
      <c r="D44" s="74" t="s">
        <v>239</v>
      </c>
      <c r="E44" s="74"/>
      <c r="F44" s="74" t="s">
        <v>238</v>
      </c>
      <c r="G44" s="74" t="s">
        <v>2742</v>
      </c>
      <c r="H44" s="6" t="s">
        <v>2745</v>
      </c>
      <c r="I44" s="10" t="n">
        <v>1740.51</v>
      </c>
      <c r="J44" s="8" t="n">
        <v>69338371.11</v>
      </c>
      <c r="K44" s="10" t="n">
        <v>0</v>
      </c>
      <c r="L44" s="8" t="n">
        <v>0.26</v>
      </c>
      <c r="M44" s="13" t="n">
        <f aca="false">SUMIFS('MA Engine'!$T$6:$T$1110,'MA Engine'!$B$6:$B$1110,$A44,'MA Engine'!$AD$6:$AD$1110,1)</f>
        <v>0</v>
      </c>
      <c r="N44" s="7" t="n">
        <f aca="false">SUMIFS('MA Engine'!$U$6:$U$1110,'MA Engine'!$B$6:$B$1110,$A44,'MA Engine'!$AD$6:$AD$1110,1)</f>
        <v>0</v>
      </c>
      <c r="O44" s="13" t="n">
        <f aca="false">SUMIFS('MA Engine'!$Y$6:$Y$1110,'MA Engine'!$B$6:$B$1110,$A44,'MA Engine'!$AD$6:$AD$1110,1)</f>
        <v>0</v>
      </c>
      <c r="P44" s="7" t="n">
        <f aca="false">SUMIFS('MA Engine'!$Z$6:$Z$1110,'MA Engine'!$B$6:$B$1110,$A44,'MA Engine'!$AD$6:$AD$1110,1)</f>
        <v>0</v>
      </c>
      <c r="Q44" s="12" t="s">
        <v>2746</v>
      </c>
    </row>
    <row r="45" customFormat="false" ht="15" hidden="false" customHeight="false" outlineLevel="0" collapsed="false">
      <c r="A45" s="74" t="s">
        <v>2813</v>
      </c>
      <c r="B45" s="74" t="s">
        <v>2814</v>
      </c>
      <c r="C45" s="74" t="s">
        <v>875</v>
      </c>
      <c r="D45" s="74" t="s">
        <v>1484</v>
      </c>
      <c r="E45" s="74"/>
      <c r="F45" s="74" t="s">
        <v>237</v>
      </c>
      <c r="G45" s="74" t="s">
        <v>2742</v>
      </c>
      <c r="H45" s="6" t="s">
        <v>2743</v>
      </c>
      <c r="I45" s="10" t="n">
        <v>64.1</v>
      </c>
      <c r="J45" s="8" t="n">
        <v>2916133</v>
      </c>
      <c r="K45" s="10" t="n">
        <v>64.1</v>
      </c>
      <c r="L45" s="8" t="n">
        <v>2916133</v>
      </c>
      <c r="M45" s="14" t="n">
        <f aca="false">K45</f>
        <v>64.1</v>
      </c>
      <c r="N45" s="9" t="n">
        <f aca="false">L45</f>
        <v>2916133</v>
      </c>
      <c r="O45" s="14" t="n">
        <f aca="false">K45</f>
        <v>64.1</v>
      </c>
      <c r="P45" s="9" t="n">
        <f aca="false">L45</f>
        <v>2916133</v>
      </c>
      <c r="Q45" s="12" t="s">
        <v>2749</v>
      </c>
    </row>
    <row r="46" customFormat="false" ht="15" hidden="false" customHeight="false" outlineLevel="0" collapsed="false">
      <c r="A46" s="74" t="s">
        <v>2815</v>
      </c>
      <c r="B46" s="74" t="s">
        <v>2816</v>
      </c>
      <c r="C46" s="74" t="s">
        <v>875</v>
      </c>
      <c r="D46" s="74" t="s">
        <v>1484</v>
      </c>
      <c r="E46" s="74"/>
      <c r="F46" s="74" t="s">
        <v>238</v>
      </c>
      <c r="G46" s="74" t="s">
        <v>2742</v>
      </c>
      <c r="H46" s="6" t="s">
        <v>2775</v>
      </c>
      <c r="I46" s="8" t="n">
        <v>0</v>
      </c>
      <c r="J46" s="8" t="n">
        <v>0</v>
      </c>
      <c r="K46" s="8" t="n">
        <v>0</v>
      </c>
      <c r="L46" s="8" t="n">
        <v>0</v>
      </c>
      <c r="M46" s="14" t="n">
        <f aca="false">K46</f>
        <v>0</v>
      </c>
      <c r="N46" s="9" t="n">
        <f aca="false">L46</f>
        <v>0</v>
      </c>
      <c r="O46" s="14" t="n">
        <f aca="false">K46</f>
        <v>0</v>
      </c>
      <c r="P46" s="9" t="n">
        <f aca="false">L46</f>
        <v>0</v>
      </c>
      <c r="Q46" s="12" t="s">
        <v>2776</v>
      </c>
    </row>
    <row r="47" customFormat="false" ht="15" hidden="false" customHeight="false" outlineLevel="0" collapsed="false">
      <c r="A47" s="74" t="s">
        <v>970</v>
      </c>
      <c r="B47" s="74" t="s">
        <v>2817</v>
      </c>
      <c r="C47" s="74" t="s">
        <v>875</v>
      </c>
      <c r="D47" s="74" t="s">
        <v>246</v>
      </c>
      <c r="E47" s="74" t="s">
        <v>1437</v>
      </c>
      <c r="F47" s="74" t="s">
        <v>238</v>
      </c>
      <c r="G47" s="74" t="s">
        <v>2766</v>
      </c>
      <c r="H47" s="6" t="s">
        <v>2745</v>
      </c>
      <c r="I47" s="10" t="n">
        <v>24</v>
      </c>
      <c r="J47" s="8" t="n">
        <v>569442.41</v>
      </c>
      <c r="K47" s="10" t="n">
        <v>9.6</v>
      </c>
      <c r="L47" s="8" t="n">
        <v>227776.96</v>
      </c>
      <c r="M47" s="13" t="n">
        <f aca="false">SUMIFS('MA Engine'!$T$6:$T$1110,'MA Engine'!$B$6:$B$1110,$A47,'MA Engine'!$AD$6:$AD$1110,1)</f>
        <v>9.6</v>
      </c>
      <c r="N47" s="7" t="n">
        <f aca="false">SUMIFS('MA Engine'!$U$6:$U$1110,'MA Engine'!$B$6:$B$1110,$A47,'MA Engine'!$AD$6:$AD$1110,1)</f>
        <v>227776.964</v>
      </c>
      <c r="O47" s="13" t="n">
        <f aca="false">SUMIFS('MA Engine'!$Y$6:$Y$1110,'MA Engine'!$B$6:$B$1110,$A47,'MA Engine'!$AD$6:$AD$1110,1)</f>
        <v>9.6</v>
      </c>
      <c r="P47" s="7" t="n">
        <f aca="false">SUMIFS('MA Engine'!$Z$6:$Z$1110,'MA Engine'!$B$6:$B$1110,$A47,'MA Engine'!$AD$6:$AD$1110,1)</f>
        <v>227776.964</v>
      </c>
      <c r="Q47" s="12" t="s">
        <v>2746</v>
      </c>
    </row>
    <row r="48" customFormat="false" ht="15" hidden="false" customHeight="false" outlineLevel="0" collapsed="false">
      <c r="A48" s="74" t="s">
        <v>971</v>
      </c>
      <c r="B48" s="74" t="s">
        <v>2720</v>
      </c>
      <c r="C48" s="74" t="s">
        <v>875</v>
      </c>
      <c r="D48" s="74" t="s">
        <v>246</v>
      </c>
      <c r="E48" s="74" t="s">
        <v>1371</v>
      </c>
      <c r="F48" s="74" t="s">
        <v>238</v>
      </c>
      <c r="G48" s="74" t="s">
        <v>2766</v>
      </c>
      <c r="H48" s="6" t="s">
        <v>2745</v>
      </c>
      <c r="I48" s="10" t="n">
        <v>78.9</v>
      </c>
      <c r="J48" s="8" t="n">
        <v>1864644.95</v>
      </c>
      <c r="K48" s="10" t="n">
        <v>91.8</v>
      </c>
      <c r="L48" s="8" t="n">
        <v>2312809.95</v>
      </c>
      <c r="M48" s="13" t="n">
        <f aca="false">SUMIFS('MA Engine'!$T$6:$T$1110,'MA Engine'!$B$6:$B$1110,$A48,'MA Engine'!$AD$6:$AD$1110,1)</f>
        <v>91.8</v>
      </c>
      <c r="N48" s="7" t="n">
        <f aca="false">SUMIFS('MA Engine'!$U$6:$U$1110,'MA Engine'!$B$6:$B$1110,$A48,'MA Engine'!$AD$6:$AD$1110,1)</f>
        <v>2312809.95</v>
      </c>
      <c r="O48" s="13" t="n">
        <f aca="false">SUMIFS('MA Engine'!$Y$6:$Y$1110,'MA Engine'!$B$6:$B$1110,$A48,'MA Engine'!$AD$6:$AD$1110,1)</f>
        <v>91.8</v>
      </c>
      <c r="P48" s="7" t="n">
        <f aca="false">SUMIFS('MA Engine'!$Z$6:$Z$1110,'MA Engine'!$B$6:$B$1110,$A48,'MA Engine'!$AD$6:$AD$1110,1)</f>
        <v>2312809.95</v>
      </c>
      <c r="Q48" s="12" t="s">
        <v>2746</v>
      </c>
    </row>
    <row r="49" customFormat="false" ht="15" hidden="false" customHeight="false" outlineLevel="0" collapsed="false">
      <c r="A49" s="74" t="s">
        <v>972</v>
      </c>
      <c r="B49" s="74" t="s">
        <v>2684</v>
      </c>
      <c r="C49" s="74" t="s">
        <v>875</v>
      </c>
      <c r="D49" s="74" t="s">
        <v>246</v>
      </c>
      <c r="E49" s="74" t="s">
        <v>1372</v>
      </c>
      <c r="F49" s="74" t="s">
        <v>238</v>
      </c>
      <c r="G49" s="74" t="s">
        <v>2766</v>
      </c>
      <c r="H49" s="6" t="s">
        <v>2745</v>
      </c>
      <c r="I49" s="10" t="n">
        <v>162.2</v>
      </c>
      <c r="J49" s="8" t="n">
        <v>3841499.01</v>
      </c>
      <c r="K49" s="10" t="n">
        <v>182.1</v>
      </c>
      <c r="L49" s="8" t="n">
        <v>4508921.93</v>
      </c>
      <c r="M49" s="13" t="n">
        <f aca="false">SUMIFS('MA Engine'!$T$6:$T$1110,'MA Engine'!$B$6:$B$1110,$A49,'MA Engine'!$AD$6:$AD$1110,1)</f>
        <v>182.1</v>
      </c>
      <c r="N49" s="7" t="n">
        <f aca="false">SUMIFS('MA Engine'!$U$6:$U$1110,'MA Engine'!$B$6:$B$1110,$A49,'MA Engine'!$AD$6:$AD$1110,1)</f>
        <v>4508921.92</v>
      </c>
      <c r="O49" s="13" t="n">
        <f aca="false">SUMIFS('MA Engine'!$Y$6:$Y$1110,'MA Engine'!$B$6:$B$1110,$A49,'MA Engine'!$AD$6:$AD$1110,1)</f>
        <v>182.1</v>
      </c>
      <c r="P49" s="7" t="n">
        <f aca="false">SUMIFS('MA Engine'!$Z$6:$Z$1110,'MA Engine'!$B$6:$B$1110,$A49,'MA Engine'!$AD$6:$AD$1110,1)</f>
        <v>4508921.92</v>
      </c>
      <c r="Q49" s="12" t="s">
        <v>2746</v>
      </c>
    </row>
    <row r="50" customFormat="false" ht="15" hidden="false" customHeight="false" outlineLevel="0" collapsed="false">
      <c r="A50" s="74" t="s">
        <v>973</v>
      </c>
      <c r="B50" s="74" t="s">
        <v>2668</v>
      </c>
      <c r="C50" s="74" t="s">
        <v>875</v>
      </c>
      <c r="D50" s="74" t="s">
        <v>246</v>
      </c>
      <c r="E50" s="74" t="s">
        <v>1373</v>
      </c>
      <c r="F50" s="74" t="s">
        <v>238</v>
      </c>
      <c r="G50" s="74" t="s">
        <v>2766</v>
      </c>
      <c r="H50" s="6" t="s">
        <v>2745</v>
      </c>
      <c r="I50" s="10" t="n">
        <v>319.9</v>
      </c>
      <c r="J50" s="8" t="n">
        <v>7592055.1</v>
      </c>
      <c r="K50" s="10" t="n">
        <v>432.3</v>
      </c>
      <c r="L50" s="8" t="n">
        <v>11798238.33</v>
      </c>
      <c r="M50" s="13" t="n">
        <f aca="false">SUMIFS('MA Engine'!$T$6:$T$1110,'MA Engine'!$B$6:$B$1110,$A50,'MA Engine'!$AD$6:$AD$1110,1)</f>
        <v>432.3</v>
      </c>
      <c r="N50" s="7" t="n">
        <f aca="false">SUMIFS('MA Engine'!$U$6:$U$1110,'MA Engine'!$B$6:$B$1110,$A50,'MA Engine'!$AD$6:$AD$1110,1)</f>
        <v>11798238.3326296</v>
      </c>
      <c r="O50" s="13" t="n">
        <f aca="false">SUMIFS('MA Engine'!$Y$6:$Y$1110,'MA Engine'!$B$6:$B$1110,$A50,'MA Engine'!$AD$6:$AD$1110,1)</f>
        <v>432.3</v>
      </c>
      <c r="P50" s="7" t="n">
        <f aca="false">SUMIFS('MA Engine'!$Z$6:$Z$1110,'MA Engine'!$B$6:$B$1110,$A50,'MA Engine'!$AD$6:$AD$1110,1)</f>
        <v>11798238.3326296</v>
      </c>
      <c r="Q50" s="12" t="s">
        <v>2746</v>
      </c>
    </row>
    <row r="51" customFormat="false" ht="15" hidden="false" customHeight="false" outlineLevel="0" collapsed="false">
      <c r="A51" s="74" t="s">
        <v>974</v>
      </c>
      <c r="B51" s="74" t="s">
        <v>2670</v>
      </c>
      <c r="C51" s="74" t="s">
        <v>875</v>
      </c>
      <c r="D51" s="74" t="s">
        <v>246</v>
      </c>
      <c r="E51" s="74" t="s">
        <v>1374</v>
      </c>
      <c r="F51" s="74" t="s">
        <v>238</v>
      </c>
      <c r="G51" s="74" t="s">
        <v>2766</v>
      </c>
      <c r="H51" s="6" t="s">
        <v>2745</v>
      </c>
      <c r="I51" s="10" t="n">
        <v>347.3</v>
      </c>
      <c r="J51" s="8" t="n">
        <v>8334775.04</v>
      </c>
      <c r="K51" s="10" t="n">
        <v>639.7</v>
      </c>
      <c r="L51" s="8" t="n">
        <v>18260354.89</v>
      </c>
      <c r="M51" s="13" t="n">
        <f aca="false">SUMIFS('MA Engine'!$T$6:$T$1110,'MA Engine'!$B$6:$B$1110,$A51,'MA Engine'!$AD$6:$AD$1110,1)</f>
        <v>639.7</v>
      </c>
      <c r="N51" s="7" t="n">
        <f aca="false">SUMIFS('MA Engine'!$U$6:$U$1110,'MA Engine'!$B$6:$B$1110,$A51,'MA Engine'!$AD$6:$AD$1110,1)</f>
        <v>18260354.8938765</v>
      </c>
      <c r="O51" s="13" t="n">
        <f aca="false">SUMIFS('MA Engine'!$Y$6:$Y$1110,'MA Engine'!$B$6:$B$1110,$A51,'MA Engine'!$AD$6:$AD$1110,1)</f>
        <v>639.7</v>
      </c>
      <c r="P51" s="7" t="n">
        <f aca="false">SUMIFS('MA Engine'!$Z$6:$Z$1110,'MA Engine'!$B$6:$B$1110,$A51,'MA Engine'!$AD$6:$AD$1110,1)</f>
        <v>18260354.8938765</v>
      </c>
      <c r="Q51" s="12" t="s">
        <v>2746</v>
      </c>
    </row>
    <row r="52" customFormat="false" ht="15" hidden="false" customHeight="false" outlineLevel="0" collapsed="false">
      <c r="A52" s="74" t="s">
        <v>975</v>
      </c>
      <c r="B52" s="74" t="s">
        <v>2649</v>
      </c>
      <c r="C52" s="74" t="s">
        <v>875</v>
      </c>
      <c r="D52" s="74" t="s">
        <v>246</v>
      </c>
      <c r="E52" s="74" t="s">
        <v>1375</v>
      </c>
      <c r="F52" s="74" t="s">
        <v>237</v>
      </c>
      <c r="G52" s="74" t="s">
        <v>2742</v>
      </c>
      <c r="H52" s="6" t="s">
        <v>2745</v>
      </c>
      <c r="I52" s="10" t="n">
        <v>0</v>
      </c>
      <c r="J52" s="8" t="n">
        <v>0</v>
      </c>
      <c r="K52" s="10" t="n">
        <v>550.85</v>
      </c>
      <c r="L52" s="8" t="n">
        <v>20252759.28</v>
      </c>
      <c r="M52" s="13" t="n">
        <f aca="false">SUMIFS('MA Engine'!$T$6:$T$1110,'MA Engine'!$B$6:$B$1110,$A52,'MA Engine'!$AD$6:$AD$1110,1)</f>
        <v>550.85</v>
      </c>
      <c r="N52" s="7" t="n">
        <f aca="false">SUMIFS('MA Engine'!$U$6:$U$1110,'MA Engine'!$B$6:$B$1110,$A52,'MA Engine'!$AD$6:$AD$1110,1)</f>
        <v>20252759.2710078</v>
      </c>
      <c r="O52" s="13" t="n">
        <f aca="false">SUMIFS('MA Engine'!$Y$6:$Y$1110,'MA Engine'!$B$6:$B$1110,$A52,'MA Engine'!$AD$6:$AD$1110,1)</f>
        <v>550.85</v>
      </c>
      <c r="P52" s="7" t="n">
        <f aca="false">SUMIFS('MA Engine'!$Z$6:$Z$1110,'MA Engine'!$B$6:$B$1110,$A52,'MA Engine'!$AD$6:$AD$1110,1)</f>
        <v>20252759.2710078</v>
      </c>
      <c r="Q52" s="12" t="s">
        <v>2746</v>
      </c>
    </row>
    <row r="53" customFormat="false" ht="15" hidden="false" customHeight="false" outlineLevel="0" collapsed="false">
      <c r="A53" s="74" t="s">
        <v>976</v>
      </c>
      <c r="B53" s="74" t="s">
        <v>2672</v>
      </c>
      <c r="C53" s="74" t="s">
        <v>875</v>
      </c>
      <c r="D53" s="74" t="s">
        <v>246</v>
      </c>
      <c r="E53" s="74" t="s">
        <v>1375</v>
      </c>
      <c r="F53" s="74" t="s">
        <v>238</v>
      </c>
      <c r="G53" s="74" t="s">
        <v>2766</v>
      </c>
      <c r="H53" s="6" t="s">
        <v>2745</v>
      </c>
      <c r="I53" s="10" t="n">
        <v>330.54</v>
      </c>
      <c r="J53" s="8" t="n">
        <v>8115485.32</v>
      </c>
      <c r="K53" s="10" t="n">
        <v>928.8</v>
      </c>
      <c r="L53" s="8" t="n">
        <v>28297084.52</v>
      </c>
      <c r="M53" s="13" t="n">
        <f aca="false">SUMIFS('MA Engine'!$T$6:$T$1110,'MA Engine'!$B$6:$B$1110,$A53,'MA Engine'!$AD$6:$AD$1110,1)</f>
        <v>928.8</v>
      </c>
      <c r="N53" s="7" t="n">
        <f aca="false">SUMIFS('MA Engine'!$U$6:$U$1110,'MA Engine'!$B$6:$B$1110,$A53,'MA Engine'!$AD$6:$AD$1110,1)</f>
        <v>28297084.5101332</v>
      </c>
      <c r="O53" s="13" t="n">
        <f aca="false">SUMIFS('MA Engine'!$Y$6:$Y$1110,'MA Engine'!$B$6:$B$1110,$A53,'MA Engine'!$AD$6:$AD$1110,1)</f>
        <v>928.8</v>
      </c>
      <c r="P53" s="7" t="n">
        <f aca="false">SUMIFS('MA Engine'!$Z$6:$Z$1110,'MA Engine'!$B$6:$B$1110,$A53,'MA Engine'!$AD$6:$AD$1110,1)</f>
        <v>28297084.5101332</v>
      </c>
      <c r="Q53" s="12" t="s">
        <v>2746</v>
      </c>
    </row>
    <row r="54" customFormat="false" ht="15" hidden="false" customHeight="false" outlineLevel="0" collapsed="false">
      <c r="A54" s="74" t="s">
        <v>977</v>
      </c>
      <c r="B54" s="74" t="s">
        <v>2818</v>
      </c>
      <c r="C54" s="74" t="s">
        <v>875</v>
      </c>
      <c r="D54" s="74" t="s">
        <v>246</v>
      </c>
      <c r="E54" s="74" t="s">
        <v>1375</v>
      </c>
      <c r="F54" s="74" t="s">
        <v>238</v>
      </c>
      <c r="G54" s="74" t="s">
        <v>2800</v>
      </c>
      <c r="H54" s="6" t="s">
        <v>2745</v>
      </c>
      <c r="I54" s="10" t="n">
        <v>30.6</v>
      </c>
      <c r="J54" s="8" t="n">
        <v>818147.21</v>
      </c>
      <c r="K54" s="10" t="n">
        <v>0</v>
      </c>
      <c r="L54" s="8" t="n">
        <v>0</v>
      </c>
      <c r="M54" s="13" t="n">
        <f aca="false">SUMIFS('MA Engine'!$T$6:$T$1110,'MA Engine'!$B$6:$B$1110,$A54,'MA Engine'!$AD$6:$AD$1110,1)</f>
        <v>0</v>
      </c>
      <c r="N54" s="7" t="n">
        <f aca="false">SUMIFS('MA Engine'!$U$6:$U$1110,'MA Engine'!$B$6:$B$1110,$A54,'MA Engine'!$AD$6:$AD$1110,1)</f>
        <v>0</v>
      </c>
      <c r="O54" s="13" t="n">
        <f aca="false">SUMIFS('MA Engine'!$Y$6:$Y$1110,'MA Engine'!$B$6:$B$1110,$A54,'MA Engine'!$AD$6:$AD$1110,1)</f>
        <v>0</v>
      </c>
      <c r="P54" s="7" t="n">
        <f aca="false">SUMIFS('MA Engine'!$Z$6:$Z$1110,'MA Engine'!$B$6:$B$1110,$A54,'MA Engine'!$AD$6:$AD$1110,1)</f>
        <v>0</v>
      </c>
      <c r="Q54" s="12" t="s">
        <v>2746</v>
      </c>
    </row>
    <row r="55" customFormat="false" ht="15" hidden="false" customHeight="false" outlineLevel="0" collapsed="false">
      <c r="A55" s="74" t="s">
        <v>978</v>
      </c>
      <c r="B55" s="74" t="s">
        <v>2651</v>
      </c>
      <c r="C55" s="74" t="s">
        <v>875</v>
      </c>
      <c r="D55" s="74" t="s">
        <v>246</v>
      </c>
      <c r="E55" s="74" t="s">
        <v>1376</v>
      </c>
      <c r="F55" s="74" t="s">
        <v>237</v>
      </c>
      <c r="G55" s="74" t="s">
        <v>2742</v>
      </c>
      <c r="H55" s="6" t="s">
        <v>2745</v>
      </c>
      <c r="I55" s="10" t="n">
        <v>0</v>
      </c>
      <c r="J55" s="8" t="n">
        <v>0</v>
      </c>
      <c r="K55" s="10" t="n">
        <v>2323.48</v>
      </c>
      <c r="L55" s="8" t="n">
        <v>86735110.71</v>
      </c>
      <c r="M55" s="13" t="n">
        <f aca="false">SUMIFS('MA Engine'!$T$6:$T$1110,'MA Engine'!$B$6:$B$1110,$A55,'MA Engine'!$AD$6:$AD$1110,1)</f>
        <v>2323.48</v>
      </c>
      <c r="N55" s="7" t="n">
        <f aca="false">SUMIFS('MA Engine'!$U$6:$U$1110,'MA Engine'!$B$6:$B$1110,$A55,'MA Engine'!$AD$6:$AD$1110,1)</f>
        <v>86735110.8559194</v>
      </c>
      <c r="O55" s="13" t="n">
        <f aca="false">SUMIFS('MA Engine'!$Y$6:$Y$1110,'MA Engine'!$B$6:$B$1110,$A55,'MA Engine'!$AD$6:$AD$1110,1)</f>
        <v>2323.48</v>
      </c>
      <c r="P55" s="7" t="n">
        <f aca="false">SUMIFS('MA Engine'!$Z$6:$Z$1110,'MA Engine'!$B$6:$B$1110,$A55,'MA Engine'!$AD$6:$AD$1110,1)</f>
        <v>86735110.8559194</v>
      </c>
      <c r="Q55" s="12" t="s">
        <v>2746</v>
      </c>
    </row>
    <row r="56" customFormat="false" ht="15" hidden="false" customHeight="false" outlineLevel="0" collapsed="false">
      <c r="A56" s="74" t="s">
        <v>979</v>
      </c>
      <c r="B56" s="74" t="s">
        <v>2685</v>
      </c>
      <c r="C56" s="74" t="s">
        <v>875</v>
      </c>
      <c r="D56" s="74" t="s">
        <v>246</v>
      </c>
      <c r="E56" s="74" t="s">
        <v>1376</v>
      </c>
      <c r="F56" s="74" t="s">
        <v>238</v>
      </c>
      <c r="G56" s="74" t="s">
        <v>2766</v>
      </c>
      <c r="H56" s="6" t="s">
        <v>2745</v>
      </c>
      <c r="I56" s="10" t="n">
        <v>1787.3</v>
      </c>
      <c r="J56" s="8" t="n">
        <v>44065980.43</v>
      </c>
      <c r="K56" s="10" t="n">
        <v>933.8</v>
      </c>
      <c r="L56" s="8" t="n">
        <v>31693523</v>
      </c>
      <c r="M56" s="13" t="n">
        <f aca="false">SUMIFS('MA Engine'!$T$6:$T$1110,'MA Engine'!$B$6:$B$1110,$A56,'MA Engine'!$AD$6:$AD$1110,1)</f>
        <v>933.8</v>
      </c>
      <c r="N56" s="7" t="n">
        <f aca="false">SUMIFS('MA Engine'!$U$6:$U$1110,'MA Engine'!$B$6:$B$1110,$A56,'MA Engine'!$AD$6:$AD$1110,1)</f>
        <v>31693522.9062023</v>
      </c>
      <c r="O56" s="13" t="n">
        <f aca="false">SUMIFS('MA Engine'!$Y$6:$Y$1110,'MA Engine'!$B$6:$B$1110,$A56,'MA Engine'!$AD$6:$AD$1110,1)</f>
        <v>933.8</v>
      </c>
      <c r="P56" s="7" t="n">
        <f aca="false">SUMIFS('MA Engine'!$Z$6:$Z$1110,'MA Engine'!$B$6:$B$1110,$A56,'MA Engine'!$AD$6:$AD$1110,1)</f>
        <v>31693522.9062023</v>
      </c>
      <c r="Q56" s="12" t="s">
        <v>2746</v>
      </c>
    </row>
    <row r="57" customFormat="false" ht="15" hidden="false" customHeight="false" outlineLevel="0" collapsed="false">
      <c r="A57" s="74" t="s">
        <v>980</v>
      </c>
      <c r="B57" s="74" t="s">
        <v>2689</v>
      </c>
      <c r="C57" s="74" t="s">
        <v>875</v>
      </c>
      <c r="D57" s="74" t="s">
        <v>246</v>
      </c>
      <c r="E57" s="74" t="s">
        <v>1376</v>
      </c>
      <c r="F57" s="74" t="s">
        <v>238</v>
      </c>
      <c r="G57" s="74" t="s">
        <v>2742</v>
      </c>
      <c r="H57" s="6" t="s">
        <v>2745</v>
      </c>
      <c r="I57" s="10" t="n">
        <v>489.71</v>
      </c>
      <c r="J57" s="8" t="n">
        <v>13202354.93</v>
      </c>
      <c r="K57" s="10" t="n">
        <v>1197.14</v>
      </c>
      <c r="L57" s="8" t="n">
        <v>45041464.12</v>
      </c>
      <c r="M57" s="13" t="n">
        <f aca="false">SUMIFS('MA Engine'!$T$6:$T$1110,'MA Engine'!$B$6:$B$1110,$A57,'MA Engine'!$AD$6:$AD$1110,1)</f>
        <v>1197.14</v>
      </c>
      <c r="N57" s="7" t="n">
        <f aca="false">SUMIFS('MA Engine'!$U$6:$U$1110,'MA Engine'!$B$6:$B$1110,$A57,'MA Engine'!$AD$6:$AD$1110,1)</f>
        <v>45041464.1039598</v>
      </c>
      <c r="O57" s="13" t="n">
        <f aca="false">SUMIFS('MA Engine'!$Y$6:$Y$1110,'MA Engine'!$B$6:$B$1110,$A57,'MA Engine'!$AD$6:$AD$1110,1)</f>
        <v>1197.14</v>
      </c>
      <c r="P57" s="7" t="n">
        <f aca="false">SUMIFS('MA Engine'!$Z$6:$Z$1110,'MA Engine'!$B$6:$B$1110,$A57,'MA Engine'!$AD$6:$AD$1110,1)</f>
        <v>45041464.1039598</v>
      </c>
      <c r="Q57" s="12" t="s">
        <v>2746</v>
      </c>
    </row>
    <row r="58" customFormat="false" ht="15" hidden="false" customHeight="false" outlineLevel="0" collapsed="false">
      <c r="A58" s="74" t="s">
        <v>981</v>
      </c>
      <c r="B58" s="74" t="s">
        <v>2675</v>
      </c>
      <c r="C58" s="74" t="s">
        <v>875</v>
      </c>
      <c r="D58" s="74" t="s">
        <v>246</v>
      </c>
      <c r="E58" s="74" t="s">
        <v>1377</v>
      </c>
      <c r="F58" s="74" t="s">
        <v>237</v>
      </c>
      <c r="G58" s="74" t="s">
        <v>2766</v>
      </c>
      <c r="H58" s="6" t="s">
        <v>2745</v>
      </c>
      <c r="I58" s="10" t="n">
        <v>0</v>
      </c>
      <c r="J58" s="8" t="n">
        <v>0</v>
      </c>
      <c r="K58" s="10" t="n">
        <v>0</v>
      </c>
      <c r="L58" s="8" t="n">
        <v>0</v>
      </c>
      <c r="M58" s="13" t="n">
        <f aca="false">SUMIFS('MA Engine'!$T$6:$T$1110,'MA Engine'!$B$6:$B$1110,$A58,'MA Engine'!$AD$6:$AD$1110,1)</f>
        <v>0</v>
      </c>
      <c r="N58" s="7" t="n">
        <f aca="false">SUMIFS('MA Engine'!$U$6:$U$1110,'MA Engine'!$B$6:$B$1110,$A58,'MA Engine'!$AD$6:$AD$1110,1)</f>
        <v>0</v>
      </c>
      <c r="O58" s="13" t="n">
        <f aca="false">SUMIFS('MA Engine'!$Y$6:$Y$1110,'MA Engine'!$B$6:$B$1110,$A58,'MA Engine'!$AD$6:$AD$1110,1)</f>
        <v>0</v>
      </c>
      <c r="P58" s="7" t="n">
        <f aca="false">SUMIFS('MA Engine'!$Z$6:$Z$1110,'MA Engine'!$B$6:$B$1110,$A58,'MA Engine'!$AD$6:$AD$1110,1)</f>
        <v>0</v>
      </c>
      <c r="Q58" s="12" t="s">
        <v>2746</v>
      </c>
    </row>
    <row r="59" customFormat="false" ht="15" hidden="false" customHeight="false" outlineLevel="0" collapsed="false">
      <c r="A59" s="74" t="s">
        <v>982</v>
      </c>
      <c r="B59" s="74" t="s">
        <v>2653</v>
      </c>
      <c r="C59" s="74" t="s">
        <v>875</v>
      </c>
      <c r="D59" s="74" t="s">
        <v>246</v>
      </c>
      <c r="E59" s="74" t="s">
        <v>1377</v>
      </c>
      <c r="F59" s="74" t="s">
        <v>237</v>
      </c>
      <c r="G59" s="74" t="s">
        <v>2742</v>
      </c>
      <c r="H59" s="6" t="s">
        <v>2745</v>
      </c>
      <c r="I59" s="10" t="n">
        <v>86.3</v>
      </c>
      <c r="J59" s="8" t="n">
        <v>2230473.55</v>
      </c>
      <c r="K59" s="10" t="n">
        <v>417.19</v>
      </c>
      <c r="L59" s="8" t="n">
        <v>15372121.99</v>
      </c>
      <c r="M59" s="13" t="n">
        <f aca="false">SUMIFS('MA Engine'!$T$6:$T$1110,'MA Engine'!$B$6:$B$1110,$A59,'MA Engine'!$AD$6:$AD$1110,1)</f>
        <v>417.19</v>
      </c>
      <c r="N59" s="7" t="n">
        <f aca="false">SUMIFS('MA Engine'!$U$6:$U$1110,'MA Engine'!$B$6:$B$1110,$A59,'MA Engine'!$AD$6:$AD$1110,1)</f>
        <v>15372122.0694356</v>
      </c>
      <c r="O59" s="13" t="n">
        <f aca="false">SUMIFS('MA Engine'!$Y$6:$Y$1110,'MA Engine'!$B$6:$B$1110,$A59,'MA Engine'!$AD$6:$AD$1110,1)</f>
        <v>417.19</v>
      </c>
      <c r="P59" s="7" t="n">
        <f aca="false">SUMIFS('MA Engine'!$Z$6:$Z$1110,'MA Engine'!$B$6:$B$1110,$A59,'MA Engine'!$AD$6:$AD$1110,1)</f>
        <v>15372122.0694356</v>
      </c>
      <c r="Q59" s="12" t="s">
        <v>2746</v>
      </c>
    </row>
    <row r="60" customFormat="false" ht="15" hidden="false" customHeight="false" outlineLevel="0" collapsed="false">
      <c r="A60" s="74" t="s">
        <v>983</v>
      </c>
      <c r="B60" s="74" t="s">
        <v>2686</v>
      </c>
      <c r="C60" s="74" t="s">
        <v>875</v>
      </c>
      <c r="D60" s="74" t="s">
        <v>246</v>
      </c>
      <c r="E60" s="74" t="s">
        <v>1377</v>
      </c>
      <c r="F60" s="74" t="s">
        <v>238</v>
      </c>
      <c r="G60" s="74" t="s">
        <v>2766</v>
      </c>
      <c r="H60" s="6" t="s">
        <v>2745</v>
      </c>
      <c r="I60" s="10" t="n">
        <v>92.3</v>
      </c>
      <c r="J60" s="8" t="n">
        <v>2207343.14</v>
      </c>
      <c r="K60" s="10" t="n">
        <v>1115.6</v>
      </c>
      <c r="L60" s="8" t="n">
        <v>37917208.9</v>
      </c>
      <c r="M60" s="13" t="n">
        <f aca="false">SUMIFS('MA Engine'!$T$6:$T$1110,'MA Engine'!$B$6:$B$1110,$A60,'MA Engine'!$AD$6:$AD$1110,1)</f>
        <v>1115.6</v>
      </c>
      <c r="N60" s="7" t="n">
        <f aca="false">SUMIFS('MA Engine'!$U$6:$U$1110,'MA Engine'!$B$6:$B$1110,$A60,'MA Engine'!$AD$6:$AD$1110,1)</f>
        <v>37917208.9184021</v>
      </c>
      <c r="O60" s="13" t="n">
        <f aca="false">SUMIFS('MA Engine'!$Y$6:$Y$1110,'MA Engine'!$B$6:$B$1110,$A60,'MA Engine'!$AD$6:$AD$1110,1)</f>
        <v>1115.6</v>
      </c>
      <c r="P60" s="7" t="n">
        <f aca="false">SUMIFS('MA Engine'!$Z$6:$Z$1110,'MA Engine'!$B$6:$B$1110,$A60,'MA Engine'!$AD$6:$AD$1110,1)</f>
        <v>37917208.9184021</v>
      </c>
      <c r="Q60" s="12" t="s">
        <v>2746</v>
      </c>
    </row>
    <row r="61" customFormat="false" ht="15" hidden="false" customHeight="false" outlineLevel="0" collapsed="false">
      <c r="A61" s="74" t="s">
        <v>984</v>
      </c>
      <c r="B61" s="74" t="s">
        <v>2690</v>
      </c>
      <c r="C61" s="74" t="s">
        <v>875</v>
      </c>
      <c r="D61" s="74" t="s">
        <v>246</v>
      </c>
      <c r="E61" s="74" t="s">
        <v>1377</v>
      </c>
      <c r="F61" s="74" t="s">
        <v>238</v>
      </c>
      <c r="G61" s="74" t="s">
        <v>2742</v>
      </c>
      <c r="H61" s="6" t="s">
        <v>2745</v>
      </c>
      <c r="I61" s="10" t="n">
        <v>1125.96</v>
      </c>
      <c r="J61" s="8" t="n">
        <v>28332804.93</v>
      </c>
      <c r="K61" s="10" t="n">
        <v>10694.9</v>
      </c>
      <c r="L61" s="8" t="n">
        <v>402342776.42</v>
      </c>
      <c r="M61" s="13" t="n">
        <f aca="false">SUMIFS('MA Engine'!$T$6:$T$1110,'MA Engine'!$B$6:$B$1110,$A61,'MA Engine'!$AD$6:$AD$1110,1)</f>
        <v>10694.9</v>
      </c>
      <c r="N61" s="7" t="n">
        <f aca="false">SUMIFS('MA Engine'!$U$6:$U$1110,'MA Engine'!$B$6:$B$1110,$A61,'MA Engine'!$AD$6:$AD$1110,1)</f>
        <v>402342776.455207</v>
      </c>
      <c r="O61" s="13" t="n">
        <f aca="false">SUMIFS('MA Engine'!$Y$6:$Y$1110,'MA Engine'!$B$6:$B$1110,$A61,'MA Engine'!$AD$6:$AD$1110,1)</f>
        <v>10694.9</v>
      </c>
      <c r="P61" s="7" t="n">
        <f aca="false">SUMIFS('MA Engine'!$Z$6:$Z$1110,'MA Engine'!$B$6:$B$1110,$A61,'MA Engine'!$AD$6:$AD$1110,1)</f>
        <v>402342776.455207</v>
      </c>
      <c r="Q61" s="12" t="s">
        <v>2746</v>
      </c>
    </row>
    <row r="62" customFormat="false" ht="15" hidden="false" customHeight="false" outlineLevel="0" collapsed="false">
      <c r="A62" s="74" t="s">
        <v>985</v>
      </c>
      <c r="B62" s="74" t="s">
        <v>2677</v>
      </c>
      <c r="C62" s="74" t="s">
        <v>875</v>
      </c>
      <c r="D62" s="74" t="s">
        <v>246</v>
      </c>
      <c r="E62" s="74" t="s">
        <v>1378</v>
      </c>
      <c r="F62" s="74" t="s">
        <v>237</v>
      </c>
      <c r="G62" s="74" t="s">
        <v>2766</v>
      </c>
      <c r="H62" s="6" t="s">
        <v>2745</v>
      </c>
      <c r="I62" s="10" t="n">
        <v>0</v>
      </c>
      <c r="J62" s="8" t="n">
        <v>0</v>
      </c>
      <c r="K62" s="10" t="n">
        <v>120.8</v>
      </c>
      <c r="L62" s="8" t="n">
        <v>3683664.55</v>
      </c>
      <c r="M62" s="13" t="n">
        <f aca="false">SUMIFS('MA Engine'!$T$6:$T$1110,'MA Engine'!$B$6:$B$1110,$A62,'MA Engine'!$AD$6:$AD$1110,1)</f>
        <v>120.8</v>
      </c>
      <c r="N62" s="7" t="n">
        <f aca="false">SUMIFS('MA Engine'!$U$6:$U$1110,'MA Engine'!$B$6:$B$1110,$A62,'MA Engine'!$AD$6:$AD$1110,1)</f>
        <v>3683664.55</v>
      </c>
      <c r="O62" s="13" t="n">
        <f aca="false">SUMIFS('MA Engine'!$Y$6:$Y$1110,'MA Engine'!$B$6:$B$1110,$A62,'MA Engine'!$AD$6:$AD$1110,1)</f>
        <v>120.8</v>
      </c>
      <c r="P62" s="7" t="n">
        <f aca="false">SUMIFS('MA Engine'!$Z$6:$Z$1110,'MA Engine'!$B$6:$B$1110,$A62,'MA Engine'!$AD$6:$AD$1110,1)</f>
        <v>3683664.55</v>
      </c>
      <c r="Q62" s="12" t="s">
        <v>2746</v>
      </c>
    </row>
    <row r="63" customFormat="false" ht="15" hidden="false" customHeight="false" outlineLevel="0" collapsed="false">
      <c r="A63" s="74" t="s">
        <v>986</v>
      </c>
      <c r="B63" s="74" t="s">
        <v>2655</v>
      </c>
      <c r="C63" s="74" t="s">
        <v>875</v>
      </c>
      <c r="D63" s="74" t="s">
        <v>246</v>
      </c>
      <c r="E63" s="74" t="s">
        <v>1378</v>
      </c>
      <c r="F63" s="74" t="s">
        <v>237</v>
      </c>
      <c r="G63" s="74" t="s">
        <v>2742</v>
      </c>
      <c r="H63" s="6" t="s">
        <v>2745</v>
      </c>
      <c r="I63" s="10" t="n">
        <v>283.6</v>
      </c>
      <c r="J63" s="8" t="n">
        <v>7329806.49</v>
      </c>
      <c r="K63" s="10" t="n">
        <v>5619.71</v>
      </c>
      <c r="L63" s="8" t="n">
        <v>209719672.49</v>
      </c>
      <c r="M63" s="13" t="n">
        <f aca="false">SUMIFS('MA Engine'!$T$6:$T$1110,'MA Engine'!$B$6:$B$1110,$A63,'MA Engine'!$AD$6:$AD$1110,1)</f>
        <v>5619.71</v>
      </c>
      <c r="N63" s="7" t="n">
        <f aca="false">SUMIFS('MA Engine'!$U$6:$U$1110,'MA Engine'!$B$6:$B$1110,$A63,'MA Engine'!$AD$6:$AD$1110,1)</f>
        <v>209719672.65595</v>
      </c>
      <c r="O63" s="13" t="n">
        <f aca="false">SUMIFS('MA Engine'!$Y$6:$Y$1110,'MA Engine'!$B$6:$B$1110,$A63,'MA Engine'!$AD$6:$AD$1110,1)</f>
        <v>3412.81</v>
      </c>
      <c r="P63" s="7" t="n">
        <f aca="false">SUMIFS('MA Engine'!$Z$6:$Z$1110,'MA Engine'!$B$6:$B$1110,$A63,'MA Engine'!$AD$6:$AD$1110,1)</f>
        <v>127254811.152034</v>
      </c>
      <c r="Q63" s="12" t="s">
        <v>2746</v>
      </c>
    </row>
    <row r="64" customFormat="false" ht="15" hidden="false" customHeight="false" outlineLevel="0" collapsed="false">
      <c r="A64" s="74" t="s">
        <v>987</v>
      </c>
      <c r="B64" s="74" t="s">
        <v>2687</v>
      </c>
      <c r="C64" s="74" t="s">
        <v>875</v>
      </c>
      <c r="D64" s="74" t="s">
        <v>246</v>
      </c>
      <c r="E64" s="74" t="s">
        <v>1378</v>
      </c>
      <c r="F64" s="74" t="s">
        <v>238</v>
      </c>
      <c r="G64" s="74" t="s">
        <v>2766</v>
      </c>
      <c r="H64" s="6" t="s">
        <v>2745</v>
      </c>
      <c r="I64" s="10" t="n">
        <v>132.97</v>
      </c>
      <c r="J64" s="8" t="n">
        <v>3244024.9</v>
      </c>
      <c r="K64" s="10" t="n">
        <v>1570.85</v>
      </c>
      <c r="L64" s="8" t="n">
        <v>52475885.18</v>
      </c>
      <c r="M64" s="13" t="n">
        <f aca="false">SUMIFS('MA Engine'!$T$6:$T$1110,'MA Engine'!$B$6:$B$1110,$A64,'MA Engine'!$AD$6:$AD$1110,1)</f>
        <v>1570.85</v>
      </c>
      <c r="N64" s="7" t="n">
        <f aca="false">SUMIFS('MA Engine'!$U$6:$U$1110,'MA Engine'!$B$6:$B$1110,$A64,'MA Engine'!$AD$6:$AD$1110,1)</f>
        <v>52475885.1757152</v>
      </c>
      <c r="O64" s="13" t="n">
        <f aca="false">SUMIFS('MA Engine'!$Y$6:$Y$1110,'MA Engine'!$B$6:$B$1110,$A64,'MA Engine'!$AD$6:$AD$1110,1)</f>
        <v>1570.85</v>
      </c>
      <c r="P64" s="7" t="n">
        <f aca="false">SUMIFS('MA Engine'!$Z$6:$Z$1110,'MA Engine'!$B$6:$B$1110,$A64,'MA Engine'!$AD$6:$AD$1110,1)</f>
        <v>52475885.1757152</v>
      </c>
      <c r="Q64" s="12" t="s">
        <v>2746</v>
      </c>
    </row>
    <row r="65" customFormat="false" ht="15" hidden="false" customHeight="false" outlineLevel="0" collapsed="false">
      <c r="A65" s="74" t="s">
        <v>988</v>
      </c>
      <c r="B65" s="74" t="s">
        <v>2691</v>
      </c>
      <c r="C65" s="74" t="s">
        <v>875</v>
      </c>
      <c r="D65" s="74" t="s">
        <v>246</v>
      </c>
      <c r="E65" s="74" t="s">
        <v>1378</v>
      </c>
      <c r="F65" s="74" t="s">
        <v>238</v>
      </c>
      <c r="G65" s="74" t="s">
        <v>2742</v>
      </c>
      <c r="H65" s="6" t="s">
        <v>2745</v>
      </c>
      <c r="I65" s="10" t="n">
        <v>30.12</v>
      </c>
      <c r="J65" s="8" t="n">
        <v>677275.68</v>
      </c>
      <c r="K65" s="10" t="n">
        <v>3722.97</v>
      </c>
      <c r="L65" s="8" t="n">
        <v>139002189.97</v>
      </c>
      <c r="M65" s="13" t="n">
        <f aca="false">SUMIFS('MA Engine'!$T$6:$T$1110,'MA Engine'!$B$6:$B$1110,$A65,'MA Engine'!$AD$6:$AD$1110,1)</f>
        <v>3722.97</v>
      </c>
      <c r="N65" s="7" t="n">
        <f aca="false">SUMIFS('MA Engine'!$U$6:$U$1110,'MA Engine'!$B$6:$B$1110,$A65,'MA Engine'!$AD$6:$AD$1110,1)</f>
        <v>139002189.975332</v>
      </c>
      <c r="O65" s="13" t="n">
        <f aca="false">SUMIFS('MA Engine'!$Y$6:$Y$1110,'MA Engine'!$B$6:$B$1110,$A65,'MA Engine'!$AD$6:$AD$1110,1)</f>
        <v>3722.97</v>
      </c>
      <c r="P65" s="7" t="n">
        <f aca="false">SUMIFS('MA Engine'!$Z$6:$Z$1110,'MA Engine'!$B$6:$B$1110,$A65,'MA Engine'!$AD$6:$AD$1110,1)</f>
        <v>139002189.975332</v>
      </c>
      <c r="Q65" s="12" t="s">
        <v>2746</v>
      </c>
    </row>
    <row r="66" customFormat="false" ht="15" hidden="false" customHeight="false" outlineLevel="0" collapsed="false">
      <c r="A66" s="74" t="s">
        <v>989</v>
      </c>
      <c r="B66" s="74" t="s">
        <v>2679</v>
      </c>
      <c r="C66" s="74" t="s">
        <v>875</v>
      </c>
      <c r="D66" s="74" t="s">
        <v>246</v>
      </c>
      <c r="E66" s="74" t="s">
        <v>1379</v>
      </c>
      <c r="F66" s="74" t="s">
        <v>237</v>
      </c>
      <c r="G66" s="74" t="s">
        <v>2766</v>
      </c>
      <c r="H66" s="6" t="s">
        <v>2745</v>
      </c>
      <c r="I66" s="10" t="n">
        <v>0</v>
      </c>
      <c r="J66" s="8" t="n">
        <v>0</v>
      </c>
      <c r="K66" s="10" t="n">
        <v>26.9</v>
      </c>
      <c r="L66" s="8" t="n">
        <v>820286.23</v>
      </c>
      <c r="M66" s="13" t="n">
        <f aca="false">SUMIFS('MA Engine'!$T$6:$T$1110,'MA Engine'!$B$6:$B$1110,$A66,'MA Engine'!$AD$6:$AD$1110,1)</f>
        <v>26.9</v>
      </c>
      <c r="N66" s="7" t="n">
        <f aca="false">SUMIFS('MA Engine'!$U$6:$U$1110,'MA Engine'!$B$6:$B$1110,$A66,'MA Engine'!$AD$6:$AD$1110,1)</f>
        <v>820286.23</v>
      </c>
      <c r="O66" s="13" t="n">
        <f aca="false">SUMIFS('MA Engine'!$Y$6:$Y$1110,'MA Engine'!$B$6:$B$1110,$A66,'MA Engine'!$AD$6:$AD$1110,1)</f>
        <v>26.9</v>
      </c>
      <c r="P66" s="7" t="n">
        <f aca="false">SUMIFS('MA Engine'!$Z$6:$Z$1110,'MA Engine'!$B$6:$B$1110,$A66,'MA Engine'!$AD$6:$AD$1110,1)</f>
        <v>820286.23</v>
      </c>
      <c r="Q66" s="12" t="s">
        <v>2746</v>
      </c>
    </row>
    <row r="67" customFormat="false" ht="15" hidden="false" customHeight="false" outlineLevel="0" collapsed="false">
      <c r="A67" s="74" t="s">
        <v>990</v>
      </c>
      <c r="B67" s="74" t="s">
        <v>2657</v>
      </c>
      <c r="C67" s="74" t="s">
        <v>875</v>
      </c>
      <c r="D67" s="74" t="s">
        <v>246</v>
      </c>
      <c r="E67" s="74" t="s">
        <v>1379</v>
      </c>
      <c r="F67" s="74" t="s">
        <v>237</v>
      </c>
      <c r="G67" s="74" t="s">
        <v>2742</v>
      </c>
      <c r="H67" s="6" t="s">
        <v>2745</v>
      </c>
      <c r="I67" s="10" t="n">
        <v>0</v>
      </c>
      <c r="J67" s="8" t="n">
        <v>0</v>
      </c>
      <c r="K67" s="10" t="n">
        <v>5198.14</v>
      </c>
      <c r="L67" s="8" t="n">
        <v>193708174.76</v>
      </c>
      <c r="M67" s="13" t="n">
        <f aca="false">SUMIFS('MA Engine'!$T$6:$T$1110,'MA Engine'!$B$6:$B$1110,$A67,'MA Engine'!$AD$6:$AD$1110,1)</f>
        <v>5198.14</v>
      </c>
      <c r="N67" s="7" t="n">
        <f aca="false">SUMIFS('MA Engine'!$U$6:$U$1110,'MA Engine'!$B$6:$B$1110,$A67,'MA Engine'!$AD$6:$AD$1110,1)</f>
        <v>193708174.87965</v>
      </c>
      <c r="O67" s="13" t="n">
        <f aca="false">SUMIFS('MA Engine'!$Y$6:$Y$1110,'MA Engine'!$B$6:$B$1110,$A67,'MA Engine'!$AD$6:$AD$1110,1)</f>
        <v>3434.84</v>
      </c>
      <c r="P67" s="7" t="n">
        <f aca="false">SUMIFS('MA Engine'!$Z$6:$Z$1110,'MA Engine'!$B$6:$B$1110,$A67,'MA Engine'!$AD$6:$AD$1110,1)</f>
        <v>127476635.27713</v>
      </c>
      <c r="Q67" s="12" t="s">
        <v>2746</v>
      </c>
    </row>
    <row r="68" customFormat="false" ht="15" hidden="false" customHeight="false" outlineLevel="0" collapsed="false">
      <c r="A68" s="74" t="s">
        <v>991</v>
      </c>
      <c r="B68" s="74" t="s">
        <v>2688</v>
      </c>
      <c r="C68" s="74" t="s">
        <v>875</v>
      </c>
      <c r="D68" s="74" t="s">
        <v>246</v>
      </c>
      <c r="E68" s="74" t="s">
        <v>1379</v>
      </c>
      <c r="F68" s="74" t="s">
        <v>238</v>
      </c>
      <c r="G68" s="74" t="s">
        <v>2766</v>
      </c>
      <c r="H68" s="6" t="s">
        <v>2745</v>
      </c>
      <c r="I68" s="10" t="n">
        <v>84.9</v>
      </c>
      <c r="J68" s="8" t="n">
        <v>2065392.9</v>
      </c>
      <c r="K68" s="10" t="n">
        <v>1311.2</v>
      </c>
      <c r="L68" s="8" t="n">
        <v>43336078</v>
      </c>
      <c r="M68" s="13" t="n">
        <f aca="false">SUMIFS('MA Engine'!$T$6:$T$1110,'MA Engine'!$B$6:$B$1110,$A68,'MA Engine'!$AD$6:$AD$1110,1)</f>
        <v>1311.2</v>
      </c>
      <c r="N68" s="7" t="n">
        <f aca="false">SUMIFS('MA Engine'!$U$6:$U$1110,'MA Engine'!$B$6:$B$1110,$A68,'MA Engine'!$AD$6:$AD$1110,1)</f>
        <v>43336077.9977698</v>
      </c>
      <c r="O68" s="13" t="n">
        <f aca="false">SUMIFS('MA Engine'!$Y$6:$Y$1110,'MA Engine'!$B$6:$B$1110,$A68,'MA Engine'!$AD$6:$AD$1110,1)</f>
        <v>1311.2</v>
      </c>
      <c r="P68" s="7" t="n">
        <f aca="false">SUMIFS('MA Engine'!$Z$6:$Z$1110,'MA Engine'!$B$6:$B$1110,$A68,'MA Engine'!$AD$6:$AD$1110,1)</f>
        <v>43336077.9977698</v>
      </c>
      <c r="Q68" s="12" t="s">
        <v>2746</v>
      </c>
    </row>
    <row r="69" customFormat="false" ht="15" hidden="false" customHeight="false" outlineLevel="0" collapsed="false">
      <c r="A69" s="74" t="s">
        <v>992</v>
      </c>
      <c r="B69" s="74" t="s">
        <v>2714</v>
      </c>
      <c r="C69" s="74" t="s">
        <v>875</v>
      </c>
      <c r="D69" s="74" t="s">
        <v>246</v>
      </c>
      <c r="E69" s="74" t="s">
        <v>1379</v>
      </c>
      <c r="F69" s="74" t="s">
        <v>238</v>
      </c>
      <c r="G69" s="74" t="s">
        <v>2742</v>
      </c>
      <c r="H69" s="6" t="s">
        <v>2745</v>
      </c>
      <c r="I69" s="10" t="n">
        <v>405.32</v>
      </c>
      <c r="J69" s="8" t="n">
        <v>11073143.97</v>
      </c>
      <c r="K69" s="10" t="n">
        <v>301.26</v>
      </c>
      <c r="L69" s="8" t="n">
        <v>11397145.87</v>
      </c>
      <c r="M69" s="13" t="n">
        <f aca="false">SUMIFS('MA Engine'!$T$6:$T$1110,'MA Engine'!$B$6:$B$1110,$A69,'MA Engine'!$AD$6:$AD$1110,1)</f>
        <v>301.26</v>
      </c>
      <c r="N69" s="7" t="n">
        <f aca="false">SUMIFS('MA Engine'!$U$6:$U$1110,'MA Engine'!$B$6:$B$1110,$A69,'MA Engine'!$AD$6:$AD$1110,1)</f>
        <v>11397146.0082483</v>
      </c>
      <c r="O69" s="13" t="n">
        <f aca="false">SUMIFS('MA Engine'!$Y$6:$Y$1110,'MA Engine'!$B$6:$B$1110,$A69,'MA Engine'!$AD$6:$AD$1110,1)</f>
        <v>301.26</v>
      </c>
      <c r="P69" s="7" t="n">
        <f aca="false">SUMIFS('MA Engine'!$Z$6:$Z$1110,'MA Engine'!$B$6:$B$1110,$A69,'MA Engine'!$AD$6:$AD$1110,1)</f>
        <v>11397146.0082483</v>
      </c>
      <c r="Q69" s="12" t="s">
        <v>2746</v>
      </c>
    </row>
    <row r="70" customFormat="false" ht="15" hidden="false" customHeight="false" outlineLevel="0" collapsed="false">
      <c r="A70" s="74" t="s">
        <v>993</v>
      </c>
      <c r="B70" s="74" t="s">
        <v>2659</v>
      </c>
      <c r="C70" s="74" t="s">
        <v>875</v>
      </c>
      <c r="D70" s="74" t="s">
        <v>246</v>
      </c>
      <c r="E70" s="74" t="s">
        <v>1380</v>
      </c>
      <c r="F70" s="74" t="s">
        <v>237</v>
      </c>
      <c r="G70" s="74" t="s">
        <v>2742</v>
      </c>
      <c r="H70" s="6" t="s">
        <v>2745</v>
      </c>
      <c r="I70" s="10" t="n">
        <v>0</v>
      </c>
      <c r="J70" s="8" t="n">
        <v>0.08</v>
      </c>
      <c r="K70" s="10" t="n">
        <v>3714.74</v>
      </c>
      <c r="L70" s="8" t="n">
        <v>137984065.1</v>
      </c>
      <c r="M70" s="13" t="n">
        <f aca="false">SUMIFS('MA Engine'!$T$6:$T$1110,'MA Engine'!$B$6:$B$1110,$A70,'MA Engine'!$AD$6:$AD$1110,1)</f>
        <v>3714.74</v>
      </c>
      <c r="N70" s="7" t="n">
        <f aca="false">SUMIFS('MA Engine'!$U$6:$U$1110,'MA Engine'!$B$6:$B$1110,$A70,'MA Engine'!$AD$6:$AD$1110,1)</f>
        <v>137984065.080393</v>
      </c>
      <c r="O70" s="13" t="n">
        <f aca="false">SUMIFS('MA Engine'!$Y$6:$Y$1110,'MA Engine'!$B$6:$B$1110,$A70,'MA Engine'!$AD$6:$AD$1110,1)</f>
        <v>2204.34</v>
      </c>
      <c r="P70" s="7" t="n">
        <f aca="false">SUMIFS('MA Engine'!$Z$6:$Z$1110,'MA Engine'!$B$6:$B$1110,$A70,'MA Engine'!$AD$6:$AD$1110,1)</f>
        <v>81370675.4624367</v>
      </c>
      <c r="Q70" s="12" t="s">
        <v>2746</v>
      </c>
    </row>
    <row r="71" customFormat="false" ht="15" hidden="false" customHeight="false" outlineLevel="0" collapsed="false">
      <c r="A71" s="74" t="s">
        <v>994</v>
      </c>
      <c r="B71" s="74" t="s">
        <v>2681</v>
      </c>
      <c r="C71" s="74" t="s">
        <v>875</v>
      </c>
      <c r="D71" s="74" t="s">
        <v>246</v>
      </c>
      <c r="E71" s="74" t="s">
        <v>1380</v>
      </c>
      <c r="F71" s="74" t="s">
        <v>238</v>
      </c>
      <c r="G71" s="74" t="s">
        <v>2766</v>
      </c>
      <c r="H71" s="6" t="s">
        <v>2745</v>
      </c>
      <c r="I71" s="10" t="n">
        <v>567.72</v>
      </c>
      <c r="J71" s="8" t="n">
        <v>13951811.51</v>
      </c>
      <c r="K71" s="10" t="n">
        <v>1052.99</v>
      </c>
      <c r="L71" s="8" t="n">
        <v>35120618.9</v>
      </c>
      <c r="M71" s="13" t="n">
        <f aca="false">SUMIFS('MA Engine'!$T$6:$T$1110,'MA Engine'!$B$6:$B$1110,$A71,'MA Engine'!$AD$6:$AD$1110,1)</f>
        <v>1052.99</v>
      </c>
      <c r="N71" s="7" t="n">
        <f aca="false">SUMIFS('MA Engine'!$U$6:$U$1110,'MA Engine'!$B$6:$B$1110,$A71,'MA Engine'!$AD$6:$AD$1110,1)</f>
        <v>35120618.9053809</v>
      </c>
      <c r="O71" s="13" t="n">
        <f aca="false">SUMIFS('MA Engine'!$Y$6:$Y$1110,'MA Engine'!$B$6:$B$1110,$A71,'MA Engine'!$AD$6:$AD$1110,1)</f>
        <v>1052.99</v>
      </c>
      <c r="P71" s="7" t="n">
        <f aca="false">SUMIFS('MA Engine'!$Z$6:$Z$1110,'MA Engine'!$B$6:$B$1110,$A71,'MA Engine'!$AD$6:$AD$1110,1)</f>
        <v>35120618.9053809</v>
      </c>
      <c r="Q71" s="12" t="s">
        <v>2746</v>
      </c>
    </row>
    <row r="72" customFormat="false" ht="15" hidden="false" customHeight="false" outlineLevel="0" collapsed="false">
      <c r="A72" s="74" t="s">
        <v>995</v>
      </c>
      <c r="B72" s="74" t="s">
        <v>2715</v>
      </c>
      <c r="C72" s="74" t="s">
        <v>875</v>
      </c>
      <c r="D72" s="74" t="s">
        <v>246</v>
      </c>
      <c r="E72" s="74" t="s">
        <v>1380</v>
      </c>
      <c r="F72" s="74" t="s">
        <v>238</v>
      </c>
      <c r="G72" s="74" t="s">
        <v>2742</v>
      </c>
      <c r="H72" s="6" t="s">
        <v>2745</v>
      </c>
      <c r="I72" s="10" t="n">
        <v>3940.88</v>
      </c>
      <c r="J72" s="8" t="n">
        <v>109484912.1</v>
      </c>
      <c r="K72" s="10" t="n">
        <v>1882.48</v>
      </c>
      <c r="L72" s="8" t="n">
        <v>53027567.12</v>
      </c>
      <c r="M72" s="13" t="n">
        <f aca="false">SUMIFS('MA Engine'!$T$6:$T$1110,'MA Engine'!$B$6:$B$1110,$A72,'MA Engine'!$AD$6:$AD$1110,1)</f>
        <v>1882.48</v>
      </c>
      <c r="N72" s="7" t="n">
        <f aca="false">SUMIFS('MA Engine'!$U$6:$U$1110,'MA Engine'!$B$6:$B$1110,$A72,'MA Engine'!$AD$6:$AD$1110,1)</f>
        <v>53027567.1682349</v>
      </c>
      <c r="O72" s="13" t="n">
        <f aca="false">SUMIFS('MA Engine'!$Y$6:$Y$1110,'MA Engine'!$B$6:$B$1110,$A72,'MA Engine'!$AD$6:$AD$1110,1)</f>
        <v>1882.48</v>
      </c>
      <c r="P72" s="7" t="n">
        <f aca="false">SUMIFS('MA Engine'!$Z$6:$Z$1110,'MA Engine'!$B$6:$B$1110,$A72,'MA Engine'!$AD$6:$AD$1110,1)</f>
        <v>53027567.1682349</v>
      </c>
      <c r="Q72" s="12" t="s">
        <v>2746</v>
      </c>
    </row>
    <row r="73" customFormat="false" ht="15" hidden="false" customHeight="false" outlineLevel="0" collapsed="false">
      <c r="A73" s="74" t="s">
        <v>996</v>
      </c>
      <c r="B73" s="74" t="s">
        <v>2693</v>
      </c>
      <c r="C73" s="74" t="s">
        <v>875</v>
      </c>
      <c r="D73" s="74" t="s">
        <v>246</v>
      </c>
      <c r="E73" s="74" t="s">
        <v>1381</v>
      </c>
      <c r="F73" s="74" t="s">
        <v>237</v>
      </c>
      <c r="G73" s="74" t="s">
        <v>2742</v>
      </c>
      <c r="H73" s="6" t="s">
        <v>2745</v>
      </c>
      <c r="I73" s="10" t="n">
        <v>0</v>
      </c>
      <c r="J73" s="8" t="n">
        <v>0.41</v>
      </c>
      <c r="K73" s="10" t="n">
        <v>1835.3</v>
      </c>
      <c r="L73" s="8" t="n">
        <v>68869295.95</v>
      </c>
      <c r="M73" s="13" t="n">
        <f aca="false">SUMIFS('MA Engine'!$T$6:$T$1110,'MA Engine'!$B$6:$B$1110,$A73,'MA Engine'!$AD$6:$AD$1110,1)</f>
        <v>1835.3</v>
      </c>
      <c r="N73" s="7" t="n">
        <f aca="false">SUMIFS('MA Engine'!$U$6:$U$1110,'MA Engine'!$B$6:$B$1110,$A73,'MA Engine'!$AD$6:$AD$1110,1)</f>
        <v>68869295.315125</v>
      </c>
      <c r="O73" s="13" t="n">
        <f aca="false">SUMIFS('MA Engine'!$Y$6:$Y$1110,'MA Engine'!$B$6:$B$1110,$A73,'MA Engine'!$AD$6:$AD$1110,1)</f>
        <v>1028.1</v>
      </c>
      <c r="P73" s="7" t="n">
        <f aca="false">SUMIFS('MA Engine'!$Z$6:$Z$1110,'MA Engine'!$B$6:$B$1110,$A73,'MA Engine'!$AD$6:$AD$1110,1)</f>
        <v>38396442.657177</v>
      </c>
      <c r="Q73" s="12" t="s">
        <v>2746</v>
      </c>
    </row>
    <row r="74" customFormat="false" ht="15" hidden="false" customHeight="false" outlineLevel="0" collapsed="false">
      <c r="A74" s="74" t="s">
        <v>997</v>
      </c>
      <c r="B74" s="74" t="s">
        <v>2703</v>
      </c>
      <c r="C74" s="74" t="s">
        <v>875</v>
      </c>
      <c r="D74" s="74" t="s">
        <v>246</v>
      </c>
      <c r="E74" s="74" t="s">
        <v>1381</v>
      </c>
      <c r="F74" s="74" t="s">
        <v>238</v>
      </c>
      <c r="G74" s="74" t="s">
        <v>2766</v>
      </c>
      <c r="H74" s="6" t="s">
        <v>2745</v>
      </c>
      <c r="I74" s="10" t="n">
        <v>0</v>
      </c>
      <c r="J74" s="8" t="n">
        <v>-0.03</v>
      </c>
      <c r="K74" s="10" t="n">
        <v>673.3</v>
      </c>
      <c r="L74" s="8" t="n">
        <v>22254804.78</v>
      </c>
      <c r="M74" s="13" t="n">
        <f aca="false">SUMIFS('MA Engine'!$T$6:$T$1110,'MA Engine'!$B$6:$B$1110,$A74,'MA Engine'!$AD$6:$AD$1110,1)</f>
        <v>673.3</v>
      </c>
      <c r="N74" s="7" t="n">
        <f aca="false">SUMIFS('MA Engine'!$U$6:$U$1110,'MA Engine'!$B$6:$B$1110,$A74,'MA Engine'!$AD$6:$AD$1110,1)</f>
        <v>22254804.7946438</v>
      </c>
      <c r="O74" s="13" t="n">
        <f aca="false">SUMIFS('MA Engine'!$Y$6:$Y$1110,'MA Engine'!$B$6:$B$1110,$A74,'MA Engine'!$AD$6:$AD$1110,1)</f>
        <v>673.3</v>
      </c>
      <c r="P74" s="7" t="n">
        <f aca="false">SUMIFS('MA Engine'!$Z$6:$Z$1110,'MA Engine'!$B$6:$B$1110,$A74,'MA Engine'!$AD$6:$AD$1110,1)</f>
        <v>22254804.7946438</v>
      </c>
      <c r="Q74" s="12" t="s">
        <v>2746</v>
      </c>
    </row>
    <row r="75" customFormat="false" ht="15" hidden="false" customHeight="false" outlineLevel="0" collapsed="false">
      <c r="A75" s="74" t="s">
        <v>998</v>
      </c>
      <c r="B75" s="74" t="s">
        <v>2722</v>
      </c>
      <c r="C75" s="74" t="s">
        <v>875</v>
      </c>
      <c r="D75" s="74" t="s">
        <v>246</v>
      </c>
      <c r="E75" s="74" t="s">
        <v>1381</v>
      </c>
      <c r="F75" s="74" t="s">
        <v>238</v>
      </c>
      <c r="G75" s="74" t="s">
        <v>2742</v>
      </c>
      <c r="H75" s="6" t="s">
        <v>2745</v>
      </c>
      <c r="I75" s="10" t="n">
        <v>189.25</v>
      </c>
      <c r="J75" s="8" t="n">
        <v>5188372.47</v>
      </c>
      <c r="K75" s="10" t="n">
        <v>2219.6</v>
      </c>
      <c r="L75" s="8" t="n">
        <v>81056031.88</v>
      </c>
      <c r="M75" s="13" t="n">
        <f aca="false">SUMIFS('MA Engine'!$T$6:$T$1110,'MA Engine'!$B$6:$B$1110,$A75,'MA Engine'!$AD$6:$AD$1110,1)</f>
        <v>2219.6</v>
      </c>
      <c r="N75" s="7" t="n">
        <f aca="false">SUMIFS('MA Engine'!$U$6:$U$1110,'MA Engine'!$B$6:$B$1110,$A75,'MA Engine'!$AD$6:$AD$1110,1)</f>
        <v>81056031.8866841</v>
      </c>
      <c r="O75" s="13" t="n">
        <f aca="false">SUMIFS('MA Engine'!$Y$6:$Y$1110,'MA Engine'!$B$6:$B$1110,$A75,'MA Engine'!$AD$6:$AD$1110,1)</f>
        <v>2219.6</v>
      </c>
      <c r="P75" s="7" t="n">
        <f aca="false">SUMIFS('MA Engine'!$Z$6:$Z$1110,'MA Engine'!$B$6:$B$1110,$A75,'MA Engine'!$AD$6:$AD$1110,1)</f>
        <v>81056031.8866841</v>
      </c>
      <c r="Q75" s="12" t="s">
        <v>2746</v>
      </c>
    </row>
    <row r="76" customFormat="false" ht="15" hidden="false" customHeight="false" outlineLevel="0" collapsed="false">
      <c r="A76" s="74" t="s">
        <v>999</v>
      </c>
      <c r="B76" s="74" t="s">
        <v>2695</v>
      </c>
      <c r="C76" s="74" t="s">
        <v>875</v>
      </c>
      <c r="D76" s="74" t="s">
        <v>246</v>
      </c>
      <c r="E76" s="74" t="s">
        <v>1382</v>
      </c>
      <c r="F76" s="74" t="s">
        <v>237</v>
      </c>
      <c r="G76" s="74" t="s">
        <v>2742</v>
      </c>
      <c r="H76" s="6" t="s">
        <v>2745</v>
      </c>
      <c r="I76" s="10" t="n">
        <v>0</v>
      </c>
      <c r="J76" s="8" t="n">
        <v>0</v>
      </c>
      <c r="K76" s="10" t="n">
        <v>850.65</v>
      </c>
      <c r="L76" s="8" t="n">
        <v>32003551.62</v>
      </c>
      <c r="M76" s="13" t="n">
        <f aca="false">SUMIFS('MA Engine'!$T$6:$T$1110,'MA Engine'!$B$6:$B$1110,$A76,'MA Engine'!$AD$6:$AD$1110,1)</f>
        <v>850.65</v>
      </c>
      <c r="N76" s="7" t="n">
        <f aca="false">SUMIFS('MA Engine'!$U$6:$U$1110,'MA Engine'!$B$6:$B$1110,$A76,'MA Engine'!$AD$6:$AD$1110,1)</f>
        <v>32003551.6387354</v>
      </c>
      <c r="O76" s="13" t="n">
        <f aca="false">SUMIFS('MA Engine'!$Y$6:$Y$1110,'MA Engine'!$B$6:$B$1110,$A76,'MA Engine'!$AD$6:$AD$1110,1)</f>
        <v>355.35</v>
      </c>
      <c r="P76" s="7" t="n">
        <f aca="false">SUMIFS('MA Engine'!$Z$6:$Z$1110,'MA Engine'!$B$6:$B$1110,$A76,'MA Engine'!$AD$6:$AD$1110,1)</f>
        <v>13164898.4074018</v>
      </c>
      <c r="Q76" s="12" t="s">
        <v>2746</v>
      </c>
    </row>
    <row r="77" customFormat="false" ht="15" hidden="false" customHeight="false" outlineLevel="0" collapsed="false">
      <c r="A77" s="74" t="s">
        <v>1000</v>
      </c>
      <c r="B77" s="74" t="s">
        <v>2705</v>
      </c>
      <c r="C77" s="74" t="s">
        <v>875</v>
      </c>
      <c r="D77" s="74" t="s">
        <v>246</v>
      </c>
      <c r="E77" s="74" t="s">
        <v>1382</v>
      </c>
      <c r="F77" s="74" t="s">
        <v>238</v>
      </c>
      <c r="G77" s="74" t="s">
        <v>2766</v>
      </c>
      <c r="H77" s="6" t="s">
        <v>2745</v>
      </c>
      <c r="I77" s="10" t="n">
        <v>77.1</v>
      </c>
      <c r="J77" s="8" t="n">
        <v>1931811.46</v>
      </c>
      <c r="K77" s="10" t="n">
        <v>323.6</v>
      </c>
      <c r="L77" s="8" t="n">
        <v>10918355.58</v>
      </c>
      <c r="M77" s="13" t="n">
        <f aca="false">SUMIFS('MA Engine'!$T$6:$T$1110,'MA Engine'!$B$6:$B$1110,$A77,'MA Engine'!$AD$6:$AD$1110,1)</f>
        <v>323.6</v>
      </c>
      <c r="N77" s="7" t="n">
        <f aca="false">SUMIFS('MA Engine'!$U$6:$U$1110,'MA Engine'!$B$6:$B$1110,$A77,'MA Engine'!$AD$6:$AD$1110,1)</f>
        <v>10918355.57</v>
      </c>
      <c r="O77" s="13" t="n">
        <f aca="false">SUMIFS('MA Engine'!$Y$6:$Y$1110,'MA Engine'!$B$6:$B$1110,$A77,'MA Engine'!$AD$6:$AD$1110,1)</f>
        <v>323.6</v>
      </c>
      <c r="P77" s="7" t="n">
        <f aca="false">SUMIFS('MA Engine'!$Z$6:$Z$1110,'MA Engine'!$B$6:$B$1110,$A77,'MA Engine'!$AD$6:$AD$1110,1)</f>
        <v>10918355.57</v>
      </c>
      <c r="Q77" s="12" t="s">
        <v>2746</v>
      </c>
    </row>
    <row r="78" customFormat="false" ht="15" hidden="false" customHeight="false" outlineLevel="0" collapsed="false">
      <c r="A78" s="74" t="s">
        <v>1001</v>
      </c>
      <c r="B78" s="74" t="s">
        <v>2721</v>
      </c>
      <c r="C78" s="74" t="s">
        <v>875</v>
      </c>
      <c r="D78" s="74" t="s">
        <v>246</v>
      </c>
      <c r="E78" s="74" t="s">
        <v>1382</v>
      </c>
      <c r="F78" s="74" t="s">
        <v>238</v>
      </c>
      <c r="G78" s="74" t="s">
        <v>2742</v>
      </c>
      <c r="H78" s="6" t="s">
        <v>2745</v>
      </c>
      <c r="I78" s="10" t="n">
        <v>0</v>
      </c>
      <c r="J78" s="8" t="n">
        <v>0</v>
      </c>
      <c r="K78" s="10" t="n">
        <v>1767.4</v>
      </c>
      <c r="L78" s="8" t="n">
        <v>65558782.6</v>
      </c>
      <c r="M78" s="13" t="n">
        <f aca="false">SUMIFS('MA Engine'!$T$6:$T$1110,'MA Engine'!$B$6:$B$1110,$A78,'MA Engine'!$AD$6:$AD$1110,1)</f>
        <v>1767.4</v>
      </c>
      <c r="N78" s="7" t="n">
        <f aca="false">SUMIFS('MA Engine'!$U$6:$U$1110,'MA Engine'!$B$6:$B$1110,$A78,'MA Engine'!$AD$6:$AD$1110,1)</f>
        <v>65558782.59</v>
      </c>
      <c r="O78" s="13" t="n">
        <f aca="false">SUMIFS('MA Engine'!$Y$6:$Y$1110,'MA Engine'!$B$6:$B$1110,$A78,'MA Engine'!$AD$6:$AD$1110,1)</f>
        <v>1767.4</v>
      </c>
      <c r="P78" s="7" t="n">
        <f aca="false">SUMIFS('MA Engine'!$Z$6:$Z$1110,'MA Engine'!$B$6:$B$1110,$A78,'MA Engine'!$AD$6:$AD$1110,1)</f>
        <v>65558782.59</v>
      </c>
      <c r="Q78" s="12" t="s">
        <v>2746</v>
      </c>
    </row>
    <row r="79" customFormat="false" ht="15" hidden="false" customHeight="false" outlineLevel="0" collapsed="false">
      <c r="A79" s="74" t="s">
        <v>1002</v>
      </c>
      <c r="B79" s="74" t="s">
        <v>2713</v>
      </c>
      <c r="C79" s="74" t="s">
        <v>875</v>
      </c>
      <c r="D79" s="74" t="s">
        <v>246</v>
      </c>
      <c r="E79" s="74" t="s">
        <v>1383</v>
      </c>
      <c r="F79" s="74" t="s">
        <v>237</v>
      </c>
      <c r="G79" s="74" t="s">
        <v>2742</v>
      </c>
      <c r="H79" s="6" t="s">
        <v>2745</v>
      </c>
      <c r="I79" s="10" t="n">
        <v>0</v>
      </c>
      <c r="J79" s="8" t="n">
        <v>0</v>
      </c>
      <c r="K79" s="10" t="n">
        <v>10.6</v>
      </c>
      <c r="L79" s="8" t="n">
        <v>400538.91</v>
      </c>
      <c r="M79" s="13" t="n">
        <f aca="false">SUMIFS('MA Engine'!$T$6:$T$1110,'MA Engine'!$B$6:$B$1110,$A79,'MA Engine'!$AD$6:$AD$1110,1)</f>
        <v>10.6</v>
      </c>
      <c r="N79" s="7" t="n">
        <f aca="false">SUMIFS('MA Engine'!$U$6:$U$1110,'MA Engine'!$B$6:$B$1110,$A79,'MA Engine'!$AD$6:$AD$1110,1)</f>
        <v>400538.907682119</v>
      </c>
      <c r="O79" s="13" t="n">
        <f aca="false">SUMIFS('MA Engine'!$Y$6:$Y$1110,'MA Engine'!$B$6:$B$1110,$A79,'MA Engine'!$AD$6:$AD$1110,1)</f>
        <v>10.6</v>
      </c>
      <c r="P79" s="7" t="n">
        <f aca="false">SUMIFS('MA Engine'!$Z$6:$Z$1110,'MA Engine'!$B$6:$B$1110,$A79,'MA Engine'!$AD$6:$AD$1110,1)</f>
        <v>400538.907682119</v>
      </c>
      <c r="Q79" s="12" t="s">
        <v>2746</v>
      </c>
    </row>
    <row r="80" customFormat="false" ht="15" hidden="false" customHeight="false" outlineLevel="0" collapsed="false">
      <c r="A80" s="74" t="s">
        <v>1003</v>
      </c>
      <c r="B80" s="74" t="s">
        <v>2707</v>
      </c>
      <c r="C80" s="74" t="s">
        <v>875</v>
      </c>
      <c r="D80" s="74" t="s">
        <v>246</v>
      </c>
      <c r="E80" s="74" t="s">
        <v>1383</v>
      </c>
      <c r="F80" s="74" t="s">
        <v>238</v>
      </c>
      <c r="G80" s="74" t="s">
        <v>2766</v>
      </c>
      <c r="H80" s="6" t="s">
        <v>2745</v>
      </c>
      <c r="I80" s="10" t="n">
        <v>22.44</v>
      </c>
      <c r="J80" s="8" t="n">
        <v>564501.37</v>
      </c>
      <c r="K80" s="10" t="n">
        <v>148.84</v>
      </c>
      <c r="L80" s="8" t="n">
        <v>4999511.21</v>
      </c>
      <c r="M80" s="13" t="n">
        <f aca="false">SUMIFS('MA Engine'!$T$6:$T$1110,'MA Engine'!$B$6:$B$1110,$A80,'MA Engine'!$AD$6:$AD$1110,1)</f>
        <v>148.84</v>
      </c>
      <c r="N80" s="7" t="n">
        <f aca="false">SUMIFS('MA Engine'!$U$6:$U$1110,'MA Engine'!$B$6:$B$1110,$A80,'MA Engine'!$AD$6:$AD$1110,1)</f>
        <v>4999511.21</v>
      </c>
      <c r="O80" s="13" t="n">
        <f aca="false">SUMIFS('MA Engine'!$Y$6:$Y$1110,'MA Engine'!$B$6:$B$1110,$A80,'MA Engine'!$AD$6:$AD$1110,1)</f>
        <v>148.84</v>
      </c>
      <c r="P80" s="7" t="n">
        <f aca="false">SUMIFS('MA Engine'!$Z$6:$Z$1110,'MA Engine'!$B$6:$B$1110,$A80,'MA Engine'!$AD$6:$AD$1110,1)</f>
        <v>4999511.21</v>
      </c>
      <c r="Q80" s="12" t="s">
        <v>2746</v>
      </c>
    </row>
    <row r="81" customFormat="false" ht="15" hidden="false" customHeight="false" outlineLevel="0" collapsed="false">
      <c r="A81" s="74" t="s">
        <v>1004</v>
      </c>
      <c r="B81" s="74" t="s">
        <v>2697</v>
      </c>
      <c r="C81" s="74" t="s">
        <v>875</v>
      </c>
      <c r="D81" s="74" t="s">
        <v>246</v>
      </c>
      <c r="E81" s="74" t="s">
        <v>1383</v>
      </c>
      <c r="F81" s="74" t="s">
        <v>238</v>
      </c>
      <c r="G81" s="74" t="s">
        <v>2742</v>
      </c>
      <c r="H81" s="6" t="s">
        <v>2745</v>
      </c>
      <c r="I81" s="10" t="n">
        <v>258.62</v>
      </c>
      <c r="J81" s="8" t="n">
        <v>6970269.11</v>
      </c>
      <c r="K81" s="10" t="n">
        <v>2040.52</v>
      </c>
      <c r="L81" s="8" t="n">
        <v>73791873.6</v>
      </c>
      <c r="M81" s="13" t="n">
        <f aca="false">SUMIFS('MA Engine'!$T$6:$T$1110,'MA Engine'!$B$6:$B$1110,$A81,'MA Engine'!$AD$6:$AD$1110,1)</f>
        <v>2040.52</v>
      </c>
      <c r="N81" s="7" t="n">
        <f aca="false">SUMIFS('MA Engine'!$U$6:$U$1110,'MA Engine'!$B$6:$B$1110,$A81,'MA Engine'!$AD$6:$AD$1110,1)</f>
        <v>73791873.6</v>
      </c>
      <c r="O81" s="13" t="n">
        <f aca="false">SUMIFS('MA Engine'!$Y$6:$Y$1110,'MA Engine'!$B$6:$B$1110,$A81,'MA Engine'!$AD$6:$AD$1110,1)</f>
        <v>2040.52</v>
      </c>
      <c r="P81" s="7" t="n">
        <f aca="false">SUMIFS('MA Engine'!$Z$6:$Z$1110,'MA Engine'!$B$6:$B$1110,$A81,'MA Engine'!$AD$6:$AD$1110,1)</f>
        <v>73791873.6</v>
      </c>
      <c r="Q81" s="12" t="s">
        <v>2746</v>
      </c>
    </row>
    <row r="82" customFormat="false" ht="15" hidden="false" customHeight="false" outlineLevel="0" collapsed="false">
      <c r="A82" s="74" t="s">
        <v>1005</v>
      </c>
      <c r="B82" s="74" t="s">
        <v>2709</v>
      </c>
      <c r="C82" s="74" t="s">
        <v>875</v>
      </c>
      <c r="D82" s="74" t="s">
        <v>246</v>
      </c>
      <c r="E82" s="74" t="s">
        <v>1384</v>
      </c>
      <c r="F82" s="74" t="s">
        <v>238</v>
      </c>
      <c r="G82" s="74" t="s">
        <v>2766</v>
      </c>
      <c r="H82" s="6" t="s">
        <v>2745</v>
      </c>
      <c r="I82" s="10" t="n">
        <v>46.9</v>
      </c>
      <c r="J82" s="8" t="n">
        <v>1168742.04</v>
      </c>
      <c r="K82" s="10" t="n">
        <v>71.2</v>
      </c>
      <c r="L82" s="8" t="n">
        <v>2291776.82</v>
      </c>
      <c r="M82" s="13" t="n">
        <f aca="false">SUMIFS('MA Engine'!$T$6:$T$1110,'MA Engine'!$B$6:$B$1110,$A82,'MA Engine'!$AD$6:$AD$1110,1)</f>
        <v>71.2</v>
      </c>
      <c r="N82" s="7" t="n">
        <f aca="false">SUMIFS('MA Engine'!$U$6:$U$1110,'MA Engine'!$B$6:$B$1110,$A82,'MA Engine'!$AD$6:$AD$1110,1)</f>
        <v>2291776.83</v>
      </c>
      <c r="O82" s="13" t="n">
        <f aca="false">SUMIFS('MA Engine'!$Y$6:$Y$1110,'MA Engine'!$B$6:$B$1110,$A82,'MA Engine'!$AD$6:$AD$1110,1)</f>
        <v>71.2</v>
      </c>
      <c r="P82" s="7" t="n">
        <f aca="false">SUMIFS('MA Engine'!$Z$6:$Z$1110,'MA Engine'!$B$6:$B$1110,$A82,'MA Engine'!$AD$6:$AD$1110,1)</f>
        <v>2291776.83</v>
      </c>
      <c r="Q82" s="12" t="s">
        <v>2746</v>
      </c>
    </row>
    <row r="83" customFormat="false" ht="15" hidden="false" customHeight="false" outlineLevel="0" collapsed="false">
      <c r="A83" s="74" t="s">
        <v>1006</v>
      </c>
      <c r="B83" s="74" t="s">
        <v>2699</v>
      </c>
      <c r="C83" s="74" t="s">
        <v>875</v>
      </c>
      <c r="D83" s="74" t="s">
        <v>246</v>
      </c>
      <c r="E83" s="74" t="s">
        <v>1384</v>
      </c>
      <c r="F83" s="74" t="s">
        <v>238</v>
      </c>
      <c r="G83" s="74" t="s">
        <v>2742</v>
      </c>
      <c r="H83" s="6" t="s">
        <v>2745</v>
      </c>
      <c r="I83" s="10" t="n">
        <v>121.61</v>
      </c>
      <c r="J83" s="8" t="n">
        <v>3231798.72</v>
      </c>
      <c r="K83" s="10" t="n">
        <v>1069.41</v>
      </c>
      <c r="L83" s="8" t="n">
        <v>38950417.97</v>
      </c>
      <c r="M83" s="13" t="n">
        <f aca="false">SUMIFS('MA Engine'!$T$6:$T$1110,'MA Engine'!$B$6:$B$1110,$A83,'MA Engine'!$AD$6:$AD$1110,1)</f>
        <v>1069.41</v>
      </c>
      <c r="N83" s="7" t="n">
        <f aca="false">SUMIFS('MA Engine'!$U$6:$U$1110,'MA Engine'!$B$6:$B$1110,$A83,'MA Engine'!$AD$6:$AD$1110,1)</f>
        <v>38950417.95</v>
      </c>
      <c r="O83" s="13" t="n">
        <f aca="false">SUMIFS('MA Engine'!$Y$6:$Y$1110,'MA Engine'!$B$6:$B$1110,$A83,'MA Engine'!$AD$6:$AD$1110,1)</f>
        <v>1069.41</v>
      </c>
      <c r="P83" s="7" t="n">
        <f aca="false">SUMIFS('MA Engine'!$Z$6:$Z$1110,'MA Engine'!$B$6:$B$1110,$A83,'MA Engine'!$AD$6:$AD$1110,1)</f>
        <v>38950417.95</v>
      </c>
      <c r="Q83" s="12" t="s">
        <v>2746</v>
      </c>
    </row>
    <row r="84" customFormat="false" ht="15" hidden="false" customHeight="false" outlineLevel="0" collapsed="false">
      <c r="A84" s="74" t="s">
        <v>1007</v>
      </c>
      <c r="B84" s="74" t="s">
        <v>2711</v>
      </c>
      <c r="C84" s="74" t="s">
        <v>875</v>
      </c>
      <c r="D84" s="74" t="s">
        <v>246</v>
      </c>
      <c r="E84" s="74" t="s">
        <v>1385</v>
      </c>
      <c r="F84" s="74" t="s">
        <v>238</v>
      </c>
      <c r="G84" s="74" t="s">
        <v>2766</v>
      </c>
      <c r="H84" s="6" t="s">
        <v>2745</v>
      </c>
      <c r="I84" s="10" t="n">
        <v>0</v>
      </c>
      <c r="J84" s="8" t="n">
        <v>-0.01</v>
      </c>
      <c r="K84" s="10" t="n">
        <v>21.7</v>
      </c>
      <c r="L84" s="8" t="n">
        <v>749585.57</v>
      </c>
      <c r="M84" s="13" t="n">
        <f aca="false">SUMIFS('MA Engine'!$T$6:$T$1110,'MA Engine'!$B$6:$B$1110,$A84,'MA Engine'!$AD$6:$AD$1110,1)</f>
        <v>21.7</v>
      </c>
      <c r="N84" s="7" t="n">
        <f aca="false">SUMIFS('MA Engine'!$U$6:$U$1110,'MA Engine'!$B$6:$B$1110,$A84,'MA Engine'!$AD$6:$AD$1110,1)</f>
        <v>749585.56</v>
      </c>
      <c r="O84" s="13" t="n">
        <f aca="false">SUMIFS('MA Engine'!$Y$6:$Y$1110,'MA Engine'!$B$6:$B$1110,$A84,'MA Engine'!$AD$6:$AD$1110,1)</f>
        <v>21.7</v>
      </c>
      <c r="P84" s="7" t="n">
        <f aca="false">SUMIFS('MA Engine'!$Z$6:$Z$1110,'MA Engine'!$B$6:$B$1110,$A84,'MA Engine'!$AD$6:$AD$1110,1)</f>
        <v>749585.56</v>
      </c>
      <c r="Q84" s="12" t="s">
        <v>2746</v>
      </c>
    </row>
    <row r="85" customFormat="false" ht="15" hidden="false" customHeight="false" outlineLevel="0" collapsed="false">
      <c r="A85" s="74" t="s">
        <v>1008</v>
      </c>
      <c r="B85" s="74" t="s">
        <v>2723</v>
      </c>
      <c r="C85" s="74" t="s">
        <v>875</v>
      </c>
      <c r="D85" s="74" t="s">
        <v>246</v>
      </c>
      <c r="E85" s="74" t="s">
        <v>1385</v>
      </c>
      <c r="F85" s="74" t="s">
        <v>238</v>
      </c>
      <c r="G85" s="74" t="s">
        <v>2742</v>
      </c>
      <c r="H85" s="6" t="s">
        <v>2745</v>
      </c>
      <c r="I85" s="10" t="n">
        <v>44.66</v>
      </c>
      <c r="J85" s="8" t="n">
        <v>1182112.12</v>
      </c>
      <c r="K85" s="10" t="n">
        <v>122.36</v>
      </c>
      <c r="L85" s="8" t="n">
        <v>4045077.15</v>
      </c>
      <c r="M85" s="13" t="n">
        <f aca="false">SUMIFS('MA Engine'!$T$6:$T$1110,'MA Engine'!$B$6:$B$1110,$A85,'MA Engine'!$AD$6:$AD$1110,1)</f>
        <v>122.36</v>
      </c>
      <c r="N85" s="7" t="n">
        <f aca="false">SUMIFS('MA Engine'!$U$6:$U$1110,'MA Engine'!$B$6:$B$1110,$A85,'MA Engine'!$AD$6:$AD$1110,1)</f>
        <v>4045077.15</v>
      </c>
      <c r="O85" s="13" t="n">
        <f aca="false">SUMIFS('MA Engine'!$Y$6:$Y$1110,'MA Engine'!$B$6:$B$1110,$A85,'MA Engine'!$AD$6:$AD$1110,1)</f>
        <v>122.36</v>
      </c>
      <c r="P85" s="7" t="n">
        <f aca="false">SUMIFS('MA Engine'!$Z$6:$Z$1110,'MA Engine'!$B$6:$B$1110,$A85,'MA Engine'!$AD$6:$AD$1110,1)</f>
        <v>4045077.15</v>
      </c>
      <c r="Q85" s="12" t="s">
        <v>2746</v>
      </c>
    </row>
    <row r="86" customFormat="false" ht="15" hidden="false" customHeight="false" outlineLevel="0" collapsed="false">
      <c r="A86" s="74" t="s">
        <v>1009</v>
      </c>
      <c r="B86" s="74" t="s">
        <v>2725</v>
      </c>
      <c r="C86" s="74" t="s">
        <v>875</v>
      </c>
      <c r="D86" s="74" t="s">
        <v>246</v>
      </c>
      <c r="E86" s="74" t="s">
        <v>1386</v>
      </c>
      <c r="F86" s="74" t="s">
        <v>238</v>
      </c>
      <c r="G86" s="74" t="s">
        <v>2766</v>
      </c>
      <c r="H86" s="6" t="s">
        <v>2745</v>
      </c>
      <c r="I86" s="10" t="n">
        <v>5.1</v>
      </c>
      <c r="J86" s="8" t="n">
        <v>127524.36</v>
      </c>
      <c r="K86" s="10" t="n">
        <v>21.3</v>
      </c>
      <c r="L86" s="8" t="n">
        <v>670171.3</v>
      </c>
      <c r="M86" s="13" t="n">
        <f aca="false">SUMIFS('MA Engine'!$T$6:$T$1110,'MA Engine'!$B$6:$B$1110,$A86,'MA Engine'!$AD$6:$AD$1110,1)</f>
        <v>21.3</v>
      </c>
      <c r="N86" s="7" t="n">
        <f aca="false">SUMIFS('MA Engine'!$U$6:$U$1110,'MA Engine'!$B$6:$B$1110,$A86,'MA Engine'!$AD$6:$AD$1110,1)</f>
        <v>670171.3</v>
      </c>
      <c r="O86" s="13" t="n">
        <f aca="false">SUMIFS('MA Engine'!$Y$6:$Y$1110,'MA Engine'!$B$6:$B$1110,$A86,'MA Engine'!$AD$6:$AD$1110,1)</f>
        <v>21.3</v>
      </c>
      <c r="P86" s="7" t="n">
        <f aca="false">SUMIFS('MA Engine'!$Z$6:$Z$1110,'MA Engine'!$B$6:$B$1110,$A86,'MA Engine'!$AD$6:$AD$1110,1)</f>
        <v>670171.3</v>
      </c>
      <c r="Q86" s="12" t="s">
        <v>2746</v>
      </c>
    </row>
    <row r="87" customFormat="false" ht="15" hidden="false" customHeight="false" outlineLevel="0" collapsed="false">
      <c r="A87" s="74" t="s">
        <v>1010</v>
      </c>
      <c r="B87" s="74" t="s">
        <v>2701</v>
      </c>
      <c r="C87" s="74" t="s">
        <v>875</v>
      </c>
      <c r="D87" s="74" t="s">
        <v>246</v>
      </c>
      <c r="E87" s="74" t="s">
        <v>1386</v>
      </c>
      <c r="F87" s="74" t="s">
        <v>238</v>
      </c>
      <c r="G87" s="74" t="s">
        <v>2742</v>
      </c>
      <c r="H87" s="6" t="s">
        <v>2745</v>
      </c>
      <c r="I87" s="10" t="n">
        <v>0</v>
      </c>
      <c r="J87" s="8" t="n">
        <v>-0.01</v>
      </c>
      <c r="K87" s="10" t="n">
        <v>225.6</v>
      </c>
      <c r="L87" s="8" t="n">
        <v>8559873.48</v>
      </c>
      <c r="M87" s="13" t="n">
        <f aca="false">SUMIFS('MA Engine'!$T$6:$T$1110,'MA Engine'!$B$6:$B$1110,$A87,'MA Engine'!$AD$6:$AD$1110,1)</f>
        <v>225.6</v>
      </c>
      <c r="N87" s="7" t="n">
        <f aca="false">SUMIFS('MA Engine'!$U$6:$U$1110,'MA Engine'!$B$6:$B$1110,$A87,'MA Engine'!$AD$6:$AD$1110,1)</f>
        <v>8559873.49</v>
      </c>
      <c r="O87" s="13" t="n">
        <f aca="false">SUMIFS('MA Engine'!$Y$6:$Y$1110,'MA Engine'!$B$6:$B$1110,$A87,'MA Engine'!$AD$6:$AD$1110,1)</f>
        <v>225.6</v>
      </c>
      <c r="P87" s="7" t="n">
        <f aca="false">SUMIFS('MA Engine'!$Z$6:$Z$1110,'MA Engine'!$B$6:$B$1110,$A87,'MA Engine'!$AD$6:$AD$1110,1)</f>
        <v>8559873.49</v>
      </c>
      <c r="Q87" s="12" t="s">
        <v>2746</v>
      </c>
    </row>
    <row r="88" customFormat="false" ht="15" hidden="false" customHeight="false" outlineLevel="0" collapsed="false">
      <c r="A88" s="74" t="s">
        <v>2819</v>
      </c>
      <c r="B88" s="74" t="s">
        <v>2820</v>
      </c>
      <c r="C88" s="74" t="s">
        <v>875</v>
      </c>
      <c r="D88" s="74" t="s">
        <v>253</v>
      </c>
      <c r="E88" s="74"/>
      <c r="F88" s="74" t="s">
        <v>237</v>
      </c>
      <c r="G88" s="74" t="s">
        <v>241</v>
      </c>
      <c r="H88" s="6" t="s">
        <v>2775</v>
      </c>
      <c r="I88" s="8" t="n">
        <v>0</v>
      </c>
      <c r="J88" s="8" t="n">
        <v>0</v>
      </c>
      <c r="K88" s="8" t="n">
        <v>0</v>
      </c>
      <c r="L88" s="8" t="n">
        <v>0</v>
      </c>
      <c r="M88" s="14" t="n">
        <f aca="false">K88</f>
        <v>0</v>
      </c>
      <c r="N88" s="9" t="n">
        <f aca="false">L88</f>
        <v>0</v>
      </c>
      <c r="O88" s="14" t="n">
        <f aca="false">K88</f>
        <v>0</v>
      </c>
      <c r="P88" s="9" t="n">
        <f aca="false">L88</f>
        <v>0</v>
      </c>
      <c r="Q88" s="12" t="s">
        <v>2776</v>
      </c>
    </row>
    <row r="89" customFormat="false" ht="15" hidden="false" customHeight="false" outlineLevel="0" collapsed="false">
      <c r="A89" s="74" t="s">
        <v>2821</v>
      </c>
      <c r="B89" s="74" t="s">
        <v>2822</v>
      </c>
      <c r="C89" s="74" t="s">
        <v>875</v>
      </c>
      <c r="D89" s="74" t="s">
        <v>251</v>
      </c>
      <c r="E89" s="74"/>
      <c r="F89" s="74" t="s">
        <v>237</v>
      </c>
      <c r="G89" s="74" t="s">
        <v>241</v>
      </c>
      <c r="H89" s="6" t="s">
        <v>2775</v>
      </c>
      <c r="I89" s="8" t="n">
        <v>0</v>
      </c>
      <c r="J89" s="8" t="n">
        <v>0</v>
      </c>
      <c r="K89" s="8" t="n">
        <v>0</v>
      </c>
      <c r="L89" s="8" t="n">
        <v>0</v>
      </c>
      <c r="M89" s="14" t="n">
        <f aca="false">K89</f>
        <v>0</v>
      </c>
      <c r="N89" s="9" t="n">
        <f aca="false">L89</f>
        <v>0</v>
      </c>
      <c r="O89" s="14" t="n">
        <f aca="false">K89</f>
        <v>0</v>
      </c>
      <c r="P89" s="9" t="n">
        <f aca="false">L89</f>
        <v>0</v>
      </c>
      <c r="Q89" s="12" t="s">
        <v>2776</v>
      </c>
    </row>
    <row r="90" customFormat="false" ht="15" hidden="false" customHeight="false" outlineLevel="0" collapsed="false">
      <c r="A90" s="74" t="s">
        <v>2823</v>
      </c>
      <c r="B90" s="74" t="s">
        <v>2824</v>
      </c>
      <c r="C90" s="74" t="s">
        <v>875</v>
      </c>
      <c r="D90" s="74" t="s">
        <v>251</v>
      </c>
      <c r="E90" s="74"/>
      <c r="F90" s="74" t="s">
        <v>237</v>
      </c>
      <c r="G90" s="74" t="s">
        <v>241</v>
      </c>
      <c r="H90" s="6" t="s">
        <v>2775</v>
      </c>
      <c r="I90" s="8" t="n">
        <v>0</v>
      </c>
      <c r="J90" s="8" t="n">
        <v>0</v>
      </c>
      <c r="K90" s="8" t="n">
        <v>0</v>
      </c>
      <c r="L90" s="8" t="n">
        <v>0</v>
      </c>
      <c r="M90" s="14" t="n">
        <f aca="false">K90</f>
        <v>0</v>
      </c>
      <c r="N90" s="9" t="n">
        <f aca="false">L90</f>
        <v>0</v>
      </c>
      <c r="O90" s="14" t="n">
        <f aca="false">K90</f>
        <v>0</v>
      </c>
      <c r="P90" s="9" t="n">
        <f aca="false">L90</f>
        <v>0</v>
      </c>
      <c r="Q90" s="12" t="s">
        <v>2776</v>
      </c>
    </row>
    <row r="91" customFormat="false" ht="15" hidden="false" customHeight="false" outlineLevel="0" collapsed="false">
      <c r="A91" s="74" t="s">
        <v>1011</v>
      </c>
      <c r="B91" s="74" t="s">
        <v>2825</v>
      </c>
      <c r="C91" s="74" t="s">
        <v>875</v>
      </c>
      <c r="D91" s="74" t="s">
        <v>251</v>
      </c>
      <c r="E91" s="74"/>
      <c r="F91" s="74" t="s">
        <v>238</v>
      </c>
      <c r="G91" s="74" t="s">
        <v>241</v>
      </c>
      <c r="H91" s="6" t="s">
        <v>2745</v>
      </c>
      <c r="I91" s="10" t="n">
        <v>1083.21</v>
      </c>
      <c r="J91" s="8" t="n">
        <v>34175453.13</v>
      </c>
      <c r="K91" s="10" t="n">
        <v>40.81</v>
      </c>
      <c r="L91" s="8" t="n">
        <v>1287562.28</v>
      </c>
      <c r="M91" s="13" t="n">
        <f aca="false">SUMIFS('MA Engine'!$T$6:$T$1110,'MA Engine'!$B$6:$B$1110,$A91,'MA Engine'!$AD$6:$AD$1110,1)</f>
        <v>40.81</v>
      </c>
      <c r="N91" s="7" t="n">
        <f aca="false">SUMIFS('MA Engine'!$U$6:$U$1110,'MA Engine'!$B$6:$B$1110,$A91,'MA Engine'!$AD$6:$AD$1110,1)</f>
        <v>1287562.19222062</v>
      </c>
      <c r="O91" s="13" t="n">
        <f aca="false">SUMIFS('MA Engine'!$Y$6:$Y$1110,'MA Engine'!$B$6:$B$1110,$A91,'MA Engine'!$AD$6:$AD$1110,1)</f>
        <v>40.81</v>
      </c>
      <c r="P91" s="7" t="n">
        <f aca="false">SUMIFS('MA Engine'!$Z$6:$Z$1110,'MA Engine'!$B$6:$B$1110,$A91,'MA Engine'!$AD$6:$AD$1110,1)</f>
        <v>1287562.19222062</v>
      </c>
      <c r="Q91" s="12" t="s">
        <v>2746</v>
      </c>
    </row>
    <row r="92" customFormat="false" ht="15" hidden="false" customHeight="false" outlineLevel="0" collapsed="false">
      <c r="A92" s="74" t="s">
        <v>2826</v>
      </c>
      <c r="B92" s="74" t="s">
        <v>2827</v>
      </c>
      <c r="C92" s="74" t="s">
        <v>875</v>
      </c>
      <c r="D92" s="74" t="s">
        <v>242</v>
      </c>
      <c r="E92" s="74"/>
      <c r="F92" s="74" t="s">
        <v>238</v>
      </c>
      <c r="G92" s="74" t="s">
        <v>2800</v>
      </c>
      <c r="H92" s="6" t="s">
        <v>2743</v>
      </c>
      <c r="I92" s="10" t="n">
        <v>15.61</v>
      </c>
      <c r="J92" s="8" t="n">
        <v>0</v>
      </c>
      <c r="K92" s="10" t="n">
        <v>15.61</v>
      </c>
      <c r="L92" s="8" t="n">
        <v>0</v>
      </c>
      <c r="M92" s="14" t="n">
        <f aca="false">K92</f>
        <v>15.61</v>
      </c>
      <c r="N92" s="9" t="n">
        <f aca="false">L92</f>
        <v>0</v>
      </c>
      <c r="O92" s="14" t="n">
        <f aca="false">K92</f>
        <v>15.61</v>
      </c>
      <c r="P92" s="9" t="n">
        <f aca="false">L92</f>
        <v>0</v>
      </c>
      <c r="Q92" s="12" t="s">
        <v>2828</v>
      </c>
    </row>
    <row r="93" customFormat="false" ht="15" hidden="false" customHeight="false" outlineLevel="0" collapsed="false">
      <c r="A93" s="74" t="s">
        <v>1012</v>
      </c>
      <c r="B93" s="74" t="s">
        <v>2829</v>
      </c>
      <c r="C93" s="74" t="s">
        <v>875</v>
      </c>
      <c r="D93" s="74" t="s">
        <v>246</v>
      </c>
      <c r="E93" s="74" t="s">
        <v>1438</v>
      </c>
      <c r="F93" s="74" t="s">
        <v>247</v>
      </c>
      <c r="G93" s="74" t="s">
        <v>241</v>
      </c>
      <c r="H93" s="6" t="s">
        <v>2745</v>
      </c>
      <c r="I93" s="10" t="n">
        <v>1212.8</v>
      </c>
      <c r="J93" s="8" t="n">
        <v>32864528.99</v>
      </c>
      <c r="K93" s="10" t="n">
        <v>401.51</v>
      </c>
      <c r="L93" s="8" t="n">
        <v>10880142.76</v>
      </c>
      <c r="M93" s="13" t="n">
        <f aca="false">SUMIFS('MA Engine'!$T$6:$T$1110,'MA Engine'!$B$6:$B$1110,$A93,'MA Engine'!$AD$6:$AD$1110,1)</f>
        <v>401.51</v>
      </c>
      <c r="N93" s="7" t="n">
        <f aca="false">SUMIFS('MA Engine'!$U$6:$U$1110,'MA Engine'!$B$6:$B$1110,$A93,'MA Engine'!$AD$6:$AD$1110,1)</f>
        <v>10880142.673792</v>
      </c>
      <c r="O93" s="13" t="n">
        <f aca="false">SUMIFS('MA Engine'!$Y$6:$Y$1110,'MA Engine'!$B$6:$B$1110,$A93,'MA Engine'!$AD$6:$AD$1110,1)</f>
        <v>-199.84</v>
      </c>
      <c r="P93" s="7" t="n">
        <f aca="false">SUMIFS('MA Engine'!$Z$6:$Z$1110,'MA Engine'!$B$6:$B$1110,$A93,'MA Engine'!$AD$6:$AD$1110,1)</f>
        <v>-5415276.61062137</v>
      </c>
      <c r="Q93" s="12" t="s">
        <v>2746</v>
      </c>
    </row>
    <row r="94" customFormat="false" ht="15" hidden="false" customHeight="false" outlineLevel="0" collapsed="false">
      <c r="A94" s="74" t="s">
        <v>1013</v>
      </c>
      <c r="B94" s="74" t="s">
        <v>2718</v>
      </c>
      <c r="C94" s="74" t="s">
        <v>875</v>
      </c>
      <c r="D94" s="74" t="s">
        <v>246</v>
      </c>
      <c r="E94" s="74" t="s">
        <v>1375</v>
      </c>
      <c r="F94" s="74" t="s">
        <v>238</v>
      </c>
      <c r="G94" s="74" t="s">
        <v>2742</v>
      </c>
      <c r="H94" s="6" t="s">
        <v>2745</v>
      </c>
      <c r="I94" s="10" t="n">
        <v>182.92</v>
      </c>
      <c r="J94" s="8" t="n">
        <v>13048038.45</v>
      </c>
      <c r="K94" s="10" t="n">
        <v>1438.39</v>
      </c>
      <c r="L94" s="8" t="n">
        <v>56162168.84</v>
      </c>
      <c r="M94" s="13" t="n">
        <f aca="false">SUMIFS('MA Engine'!$T$6:$T$1110,'MA Engine'!$B$6:$B$1110,$A94,'MA Engine'!$AD$6:$AD$1110,1)</f>
        <v>1438.39</v>
      </c>
      <c r="N94" s="7" t="n">
        <f aca="false">SUMIFS('MA Engine'!$U$6:$U$1110,'MA Engine'!$B$6:$B$1110,$A94,'MA Engine'!$AD$6:$AD$1110,1)</f>
        <v>56162168.8354385</v>
      </c>
      <c r="O94" s="13" t="n">
        <f aca="false">SUMIFS('MA Engine'!$Y$6:$Y$1110,'MA Engine'!$B$6:$B$1110,$A94,'MA Engine'!$AD$6:$AD$1110,1)</f>
        <v>1438.39</v>
      </c>
      <c r="P94" s="7" t="n">
        <f aca="false">SUMIFS('MA Engine'!$Z$6:$Z$1110,'MA Engine'!$B$6:$B$1110,$A94,'MA Engine'!$AD$6:$AD$1110,1)</f>
        <v>56162168.8354385</v>
      </c>
      <c r="Q94" s="12" t="s">
        <v>2746</v>
      </c>
    </row>
    <row r="95" customFormat="false" ht="15" hidden="false" customHeight="false" outlineLevel="0" collapsed="false">
      <c r="A95" s="74" t="s">
        <v>1014</v>
      </c>
      <c r="B95" s="74" t="s">
        <v>2647</v>
      </c>
      <c r="C95" s="74" t="s">
        <v>875</v>
      </c>
      <c r="D95" s="74" t="s">
        <v>246</v>
      </c>
      <c r="E95" s="74" t="s">
        <v>1374</v>
      </c>
      <c r="F95" s="74" t="s">
        <v>238</v>
      </c>
      <c r="G95" s="74" t="s">
        <v>2742</v>
      </c>
      <c r="H95" s="6" t="s">
        <v>2745</v>
      </c>
      <c r="I95" s="10" t="n">
        <v>4953</v>
      </c>
      <c r="J95" s="8" t="n">
        <v>127129531.58</v>
      </c>
      <c r="K95" s="10" t="n">
        <v>1095.73</v>
      </c>
      <c r="L95" s="8" t="n">
        <v>38438669.1</v>
      </c>
      <c r="M95" s="13" t="n">
        <f aca="false">SUMIFS('MA Engine'!$T$6:$T$1110,'MA Engine'!$B$6:$B$1110,$A95,'MA Engine'!$AD$6:$AD$1110,1)</f>
        <v>1095.73</v>
      </c>
      <c r="N95" s="7" t="n">
        <f aca="false">SUMIFS('MA Engine'!$U$6:$U$1110,'MA Engine'!$B$6:$B$1110,$A95,'MA Engine'!$AD$6:$AD$1110,1)</f>
        <v>38438668.8641133</v>
      </c>
      <c r="O95" s="13" t="n">
        <f aca="false">SUMIFS('MA Engine'!$Y$6:$Y$1110,'MA Engine'!$B$6:$B$1110,$A95,'MA Engine'!$AD$6:$AD$1110,1)</f>
        <v>1095.73</v>
      </c>
      <c r="P95" s="7" t="n">
        <f aca="false">SUMIFS('MA Engine'!$Z$6:$Z$1110,'MA Engine'!$B$6:$B$1110,$A95,'MA Engine'!$AD$6:$AD$1110,1)</f>
        <v>38438668.8641133</v>
      </c>
      <c r="Q95" s="12" t="s">
        <v>2746</v>
      </c>
    </row>
    <row r="96" customFormat="false" ht="15" hidden="false" customHeight="false" outlineLevel="0" collapsed="false">
      <c r="A96" s="74" t="s">
        <v>2830</v>
      </c>
      <c r="B96" s="74" t="s">
        <v>2831</v>
      </c>
      <c r="C96" s="74" t="s">
        <v>875</v>
      </c>
      <c r="D96" s="74" t="s">
        <v>251</v>
      </c>
      <c r="E96" s="74"/>
      <c r="F96" s="74" t="s">
        <v>238</v>
      </c>
      <c r="G96" s="74" t="s">
        <v>241</v>
      </c>
      <c r="H96" s="6" t="s">
        <v>2743</v>
      </c>
      <c r="I96" s="10" t="n">
        <v>10.37</v>
      </c>
      <c r="J96" s="8" t="n">
        <v>310686</v>
      </c>
      <c r="K96" s="10" t="n">
        <v>10.37</v>
      </c>
      <c r="L96" s="8" t="n">
        <v>310686</v>
      </c>
      <c r="M96" s="14" t="n">
        <f aca="false">K96</f>
        <v>10.37</v>
      </c>
      <c r="N96" s="9" t="n">
        <f aca="false">L96</f>
        <v>310686</v>
      </c>
      <c r="O96" s="14" t="n">
        <f aca="false">K96</f>
        <v>10.37</v>
      </c>
      <c r="P96" s="9" t="n">
        <f aca="false">L96</f>
        <v>310686</v>
      </c>
      <c r="Q96" s="12" t="s">
        <v>2771</v>
      </c>
    </row>
    <row r="97" customFormat="false" ht="15" hidden="false" customHeight="false" outlineLevel="0" collapsed="false">
      <c r="A97" s="74" t="s">
        <v>2832</v>
      </c>
      <c r="B97" s="74" t="s">
        <v>2833</v>
      </c>
      <c r="C97" s="74" t="s">
        <v>875</v>
      </c>
      <c r="D97" s="74" t="s">
        <v>246</v>
      </c>
      <c r="E97" s="74" t="s">
        <v>1437</v>
      </c>
      <c r="F97" s="74" t="s">
        <v>238</v>
      </c>
      <c r="G97" s="74" t="s">
        <v>2742</v>
      </c>
      <c r="H97" s="6" t="s">
        <v>2743</v>
      </c>
      <c r="I97" s="10" t="n">
        <v>75</v>
      </c>
      <c r="J97" s="8" t="n">
        <v>1883710</v>
      </c>
      <c r="K97" s="10" t="n">
        <v>75</v>
      </c>
      <c r="L97" s="8" t="n">
        <v>1883710</v>
      </c>
      <c r="M97" s="14" t="n">
        <f aca="false">K97</f>
        <v>75</v>
      </c>
      <c r="N97" s="9" t="n">
        <f aca="false">L97</f>
        <v>1883710</v>
      </c>
      <c r="O97" s="14" t="n">
        <f aca="false">K97</f>
        <v>75</v>
      </c>
      <c r="P97" s="9" t="n">
        <f aca="false">L97</f>
        <v>1883710</v>
      </c>
      <c r="Q97" s="12" t="s">
        <v>2834</v>
      </c>
    </row>
    <row r="98" customFormat="false" ht="15" hidden="false" customHeight="false" outlineLevel="0" collapsed="false">
      <c r="A98" s="74" t="s">
        <v>1015</v>
      </c>
      <c r="B98" s="74" t="s">
        <v>2717</v>
      </c>
      <c r="C98" s="74" t="s">
        <v>875</v>
      </c>
      <c r="D98" s="74" t="s">
        <v>246</v>
      </c>
      <c r="E98" s="74" t="s">
        <v>1371</v>
      </c>
      <c r="F98" s="74" t="s">
        <v>238</v>
      </c>
      <c r="G98" s="74" t="s">
        <v>2742</v>
      </c>
      <c r="H98" s="6" t="s">
        <v>2745</v>
      </c>
      <c r="I98" s="10" t="n">
        <v>516.1</v>
      </c>
      <c r="J98" s="8" t="n">
        <v>13148337.93</v>
      </c>
      <c r="K98" s="10" t="n">
        <v>341.93</v>
      </c>
      <c r="L98" s="8" t="n">
        <v>8802847.01</v>
      </c>
      <c r="M98" s="13" t="n">
        <f aca="false">SUMIFS('MA Engine'!$T$6:$T$1110,'MA Engine'!$B$6:$B$1110,$A98,'MA Engine'!$AD$6:$AD$1110,1)</f>
        <v>341.93</v>
      </c>
      <c r="N98" s="7" t="n">
        <f aca="false">SUMIFS('MA Engine'!$U$6:$U$1110,'MA Engine'!$B$6:$B$1110,$A98,'MA Engine'!$AD$6:$AD$1110,1)</f>
        <v>8802847.01622922</v>
      </c>
      <c r="O98" s="13" t="n">
        <f aca="false">SUMIFS('MA Engine'!$Y$6:$Y$1110,'MA Engine'!$B$6:$B$1110,$A98,'MA Engine'!$AD$6:$AD$1110,1)</f>
        <v>341.93</v>
      </c>
      <c r="P98" s="7" t="n">
        <f aca="false">SUMIFS('MA Engine'!$Z$6:$Z$1110,'MA Engine'!$B$6:$B$1110,$A98,'MA Engine'!$AD$6:$AD$1110,1)</f>
        <v>8802847.01622922</v>
      </c>
      <c r="Q98" s="12" t="s">
        <v>2746</v>
      </c>
    </row>
    <row r="99" customFormat="false" ht="15" hidden="false" customHeight="false" outlineLevel="0" collapsed="false">
      <c r="A99" s="74" t="s">
        <v>1016</v>
      </c>
      <c r="B99" s="74" t="s">
        <v>2643</v>
      </c>
      <c r="C99" s="74" t="s">
        <v>875</v>
      </c>
      <c r="D99" s="74" t="s">
        <v>246</v>
      </c>
      <c r="E99" s="74" t="s">
        <v>1372</v>
      </c>
      <c r="F99" s="74" t="s">
        <v>238</v>
      </c>
      <c r="G99" s="74" t="s">
        <v>2742</v>
      </c>
      <c r="H99" s="6" t="s">
        <v>2745</v>
      </c>
      <c r="I99" s="10" t="n">
        <v>1222.1</v>
      </c>
      <c r="J99" s="8" t="n">
        <v>31305514.67</v>
      </c>
      <c r="K99" s="10" t="n">
        <v>208</v>
      </c>
      <c r="L99" s="8" t="n">
        <v>6170101.01</v>
      </c>
      <c r="M99" s="13" t="n">
        <f aca="false">SUMIFS('MA Engine'!$T$6:$T$1110,'MA Engine'!$B$6:$B$1110,$A99,'MA Engine'!$AD$6:$AD$1110,1)</f>
        <v>208</v>
      </c>
      <c r="N99" s="7" t="n">
        <f aca="false">SUMIFS('MA Engine'!$U$6:$U$1110,'MA Engine'!$B$6:$B$1110,$A99,'MA Engine'!$AD$6:$AD$1110,1)</f>
        <v>6170101.0288806</v>
      </c>
      <c r="O99" s="13" t="n">
        <f aca="false">SUMIFS('MA Engine'!$Y$6:$Y$1110,'MA Engine'!$B$6:$B$1110,$A99,'MA Engine'!$AD$6:$AD$1110,1)</f>
        <v>208</v>
      </c>
      <c r="P99" s="7" t="n">
        <f aca="false">SUMIFS('MA Engine'!$Z$6:$Z$1110,'MA Engine'!$B$6:$B$1110,$A99,'MA Engine'!$AD$6:$AD$1110,1)</f>
        <v>6170101.0288806</v>
      </c>
      <c r="Q99" s="12" t="s">
        <v>2746</v>
      </c>
    </row>
    <row r="100" customFormat="false" ht="15" hidden="false" customHeight="false" outlineLevel="0" collapsed="false">
      <c r="A100" s="74" t="s">
        <v>1017</v>
      </c>
      <c r="B100" s="74" t="s">
        <v>2645</v>
      </c>
      <c r="C100" s="74" t="s">
        <v>875</v>
      </c>
      <c r="D100" s="74" t="s">
        <v>246</v>
      </c>
      <c r="E100" s="74" t="s">
        <v>1373</v>
      </c>
      <c r="F100" s="74" t="s">
        <v>238</v>
      </c>
      <c r="G100" s="74" t="s">
        <v>2742</v>
      </c>
      <c r="H100" s="6" t="s">
        <v>2745</v>
      </c>
      <c r="I100" s="10" t="n">
        <v>3239.2</v>
      </c>
      <c r="J100" s="8" t="n">
        <v>83210260.91</v>
      </c>
      <c r="K100" s="10" t="n">
        <v>224.59</v>
      </c>
      <c r="L100" s="8" t="n">
        <v>7125972.91</v>
      </c>
      <c r="M100" s="13" t="n">
        <f aca="false">SUMIFS('MA Engine'!$T$6:$T$1110,'MA Engine'!$B$6:$B$1110,$A100,'MA Engine'!$AD$6:$AD$1110,1)</f>
        <v>224.59</v>
      </c>
      <c r="N100" s="7" t="n">
        <f aca="false">SUMIFS('MA Engine'!$U$6:$U$1110,'MA Engine'!$B$6:$B$1110,$A100,'MA Engine'!$AD$6:$AD$1110,1)</f>
        <v>7125972.97863962</v>
      </c>
      <c r="O100" s="13" t="n">
        <f aca="false">SUMIFS('MA Engine'!$Y$6:$Y$1110,'MA Engine'!$B$6:$B$1110,$A100,'MA Engine'!$AD$6:$AD$1110,1)</f>
        <v>224.59</v>
      </c>
      <c r="P100" s="7" t="n">
        <f aca="false">SUMIFS('MA Engine'!$Z$6:$Z$1110,'MA Engine'!$B$6:$B$1110,$A100,'MA Engine'!$AD$6:$AD$1110,1)</f>
        <v>7125972.97863962</v>
      </c>
      <c r="Q100" s="12" t="s">
        <v>2746</v>
      </c>
    </row>
    <row r="101" customFormat="false" ht="15" hidden="false" customHeight="false" outlineLevel="0" collapsed="false">
      <c r="A101" s="74" t="s">
        <v>2835</v>
      </c>
      <c r="B101" s="74" t="s">
        <v>2836</v>
      </c>
      <c r="C101" s="74" t="s">
        <v>2837</v>
      </c>
      <c r="D101" s="74" t="s">
        <v>2838</v>
      </c>
      <c r="E101" s="74"/>
      <c r="F101" s="74" t="s">
        <v>247</v>
      </c>
      <c r="G101" s="74" t="s">
        <v>241</v>
      </c>
      <c r="H101" s="6" t="s">
        <v>2775</v>
      </c>
      <c r="I101" s="8" t="n">
        <v>0</v>
      </c>
      <c r="J101" s="8" t="n">
        <v>0</v>
      </c>
      <c r="K101" s="8" t="n">
        <v>0</v>
      </c>
      <c r="L101" s="8" t="n">
        <v>0</v>
      </c>
      <c r="M101" s="14" t="n">
        <f aca="false">K101</f>
        <v>0</v>
      </c>
      <c r="N101" s="9" t="n">
        <f aca="false">L101</f>
        <v>0</v>
      </c>
      <c r="O101" s="14" t="n">
        <f aca="false">K101</f>
        <v>0</v>
      </c>
      <c r="P101" s="9" t="n">
        <f aca="false">L101</f>
        <v>0</v>
      </c>
      <c r="Q101" s="12" t="s">
        <v>2776</v>
      </c>
    </row>
    <row r="102" customFormat="false" ht="15" hidden="false" customHeight="false" outlineLevel="0" collapsed="false">
      <c r="A102" s="74" t="s">
        <v>2187</v>
      </c>
      <c r="B102" s="74" t="s">
        <v>2839</v>
      </c>
      <c r="C102" s="74" t="s">
        <v>2837</v>
      </c>
      <c r="D102" s="74" t="s">
        <v>2838</v>
      </c>
      <c r="E102" s="74"/>
      <c r="F102" s="74" t="s">
        <v>247</v>
      </c>
      <c r="G102" s="74" t="s">
        <v>241</v>
      </c>
      <c r="H102" s="6" t="s">
        <v>2745</v>
      </c>
      <c r="I102" s="10" t="n">
        <v>25.6</v>
      </c>
      <c r="J102" s="8" t="n">
        <v>857600</v>
      </c>
      <c r="K102" s="10" t="n">
        <v>0</v>
      </c>
      <c r="L102" s="8" t="n">
        <v>0</v>
      </c>
      <c r="M102" s="13" t="n">
        <f aca="false">SUMIFS('MA Engine'!$T$6:$T$1110,'MA Engine'!$B$6:$B$1110,$A102,'MA Engine'!$AD$6:$AD$1110,1)</f>
        <v>0</v>
      </c>
      <c r="N102" s="7" t="n">
        <f aca="false">SUMIFS('MA Engine'!$U$6:$U$1110,'MA Engine'!$B$6:$B$1110,$A102,'MA Engine'!$AD$6:$AD$1110,1)</f>
        <v>0</v>
      </c>
      <c r="O102" s="13" t="n">
        <f aca="false">SUMIFS('MA Engine'!$Y$6:$Y$1110,'MA Engine'!$B$6:$B$1110,$A102,'MA Engine'!$AD$6:$AD$1110,1)</f>
        <v>0</v>
      </c>
      <c r="P102" s="7" t="n">
        <f aca="false">SUMIFS('MA Engine'!$Z$6:$Z$1110,'MA Engine'!$B$6:$B$1110,$A102,'MA Engine'!$AD$6:$AD$1110,1)</f>
        <v>0</v>
      </c>
      <c r="Q102" s="12" t="s">
        <v>2746</v>
      </c>
    </row>
    <row r="103" customFormat="false" ht="15" hidden="false" customHeight="false" outlineLevel="0" collapsed="false">
      <c r="A103" s="74" t="s">
        <v>2190</v>
      </c>
      <c r="B103" s="74" t="s">
        <v>2840</v>
      </c>
      <c r="C103" s="74" t="s">
        <v>2837</v>
      </c>
      <c r="D103" s="74" t="s">
        <v>2838</v>
      </c>
      <c r="E103" s="74"/>
      <c r="F103" s="74" t="s">
        <v>247</v>
      </c>
      <c r="G103" s="74" t="s">
        <v>241</v>
      </c>
      <c r="H103" s="6" t="s">
        <v>2745</v>
      </c>
      <c r="I103" s="10" t="n">
        <v>0</v>
      </c>
      <c r="J103" s="8" t="n">
        <v>0</v>
      </c>
      <c r="K103" s="10" t="n">
        <v>141.7</v>
      </c>
      <c r="L103" s="8" t="n">
        <v>6518200</v>
      </c>
      <c r="M103" s="13" t="n">
        <f aca="false">SUMIFS('MA Engine'!$T$6:$T$1110,'MA Engine'!$B$6:$B$1110,$A103,'MA Engine'!$AD$6:$AD$1110,1)</f>
        <v>141.7</v>
      </c>
      <c r="N103" s="7" t="n">
        <f aca="false">SUMIFS('MA Engine'!$U$6:$U$1110,'MA Engine'!$B$6:$B$1110,$A103,'MA Engine'!$AD$6:$AD$1110,1)</f>
        <v>6518200</v>
      </c>
      <c r="O103" s="13" t="n">
        <f aca="false">SUMIFS('MA Engine'!$Y$6:$Y$1110,'MA Engine'!$B$6:$B$1110,$A103,'MA Engine'!$AD$6:$AD$1110,1)</f>
        <v>141.7</v>
      </c>
      <c r="P103" s="7" t="n">
        <f aca="false">SUMIFS('MA Engine'!$Z$6:$Z$1110,'MA Engine'!$B$6:$B$1110,$A103,'MA Engine'!$AD$6:$AD$1110,1)</f>
        <v>6518200</v>
      </c>
      <c r="Q103" s="12" t="s">
        <v>2746</v>
      </c>
    </row>
    <row r="104" customFormat="false" ht="15" hidden="false" customHeight="false" outlineLevel="0" collapsed="false">
      <c r="A104" s="74" t="s">
        <v>2193</v>
      </c>
      <c r="B104" s="74" t="s">
        <v>2841</v>
      </c>
      <c r="C104" s="74" t="s">
        <v>2837</v>
      </c>
      <c r="D104" s="74" t="s">
        <v>2838</v>
      </c>
      <c r="E104" s="74"/>
      <c r="F104" s="74" t="s">
        <v>247</v>
      </c>
      <c r="G104" s="74" t="s">
        <v>241</v>
      </c>
      <c r="H104" s="6" t="s">
        <v>2745</v>
      </c>
      <c r="I104" s="10" t="n">
        <v>0</v>
      </c>
      <c r="J104" s="8" t="n">
        <v>0</v>
      </c>
      <c r="K104" s="10" t="n">
        <v>233.2</v>
      </c>
      <c r="L104" s="8" t="n">
        <v>10727200</v>
      </c>
      <c r="M104" s="13" t="n">
        <f aca="false">SUMIFS('MA Engine'!$T$6:$T$1110,'MA Engine'!$B$6:$B$1110,$A104,'MA Engine'!$AD$6:$AD$1110,1)</f>
        <v>233.2</v>
      </c>
      <c r="N104" s="7" t="n">
        <f aca="false">SUMIFS('MA Engine'!$U$6:$U$1110,'MA Engine'!$B$6:$B$1110,$A104,'MA Engine'!$AD$6:$AD$1110,1)</f>
        <v>10727200</v>
      </c>
      <c r="O104" s="13" t="n">
        <f aca="false">SUMIFS('MA Engine'!$Y$6:$Y$1110,'MA Engine'!$B$6:$B$1110,$A104,'MA Engine'!$AD$6:$AD$1110,1)</f>
        <v>233.2</v>
      </c>
      <c r="P104" s="7" t="n">
        <f aca="false">SUMIFS('MA Engine'!$Z$6:$Z$1110,'MA Engine'!$B$6:$B$1110,$A104,'MA Engine'!$AD$6:$AD$1110,1)</f>
        <v>10727200</v>
      </c>
      <c r="Q104" s="12" t="s">
        <v>2746</v>
      </c>
    </row>
    <row r="105" customFormat="false" ht="15" hidden="false" customHeight="false" outlineLevel="0" collapsed="false">
      <c r="A105" s="74" t="s">
        <v>2842</v>
      </c>
      <c r="B105" s="74" t="s">
        <v>2843</v>
      </c>
      <c r="C105" s="74" t="s">
        <v>878</v>
      </c>
      <c r="D105" s="74" t="s">
        <v>255</v>
      </c>
      <c r="E105" s="74"/>
      <c r="F105" s="74" t="s">
        <v>247</v>
      </c>
      <c r="G105" s="74" t="s">
        <v>241</v>
      </c>
      <c r="H105" s="6" t="s">
        <v>2743</v>
      </c>
      <c r="I105" s="10" t="n">
        <v>1395.69</v>
      </c>
      <c r="J105" s="8" t="n">
        <v>29309490</v>
      </c>
      <c r="K105" s="10" t="n">
        <v>1395.69</v>
      </c>
      <c r="L105" s="8" t="n">
        <v>29309490</v>
      </c>
      <c r="M105" s="14" t="n">
        <f aca="false">K105</f>
        <v>1395.69</v>
      </c>
      <c r="N105" s="9" t="n">
        <f aca="false">L105</f>
        <v>29309490</v>
      </c>
      <c r="O105" s="14" t="n">
        <f aca="false">K105</f>
        <v>1395.69</v>
      </c>
      <c r="P105" s="9" t="n">
        <f aca="false">L105</f>
        <v>29309490</v>
      </c>
      <c r="Q105" s="12" t="s">
        <v>2844</v>
      </c>
    </row>
    <row r="106" customFormat="false" ht="15" hidden="false" customHeight="false" outlineLevel="0" collapsed="false">
      <c r="A106" s="74" t="s">
        <v>1018</v>
      </c>
      <c r="B106" s="74" t="s">
        <v>2845</v>
      </c>
      <c r="C106" s="74" t="s">
        <v>878</v>
      </c>
      <c r="D106" s="74" t="s">
        <v>255</v>
      </c>
      <c r="E106" s="74"/>
      <c r="F106" s="74" t="s">
        <v>238</v>
      </c>
      <c r="G106" s="74" t="s">
        <v>241</v>
      </c>
      <c r="H106" s="6" t="s">
        <v>2745</v>
      </c>
      <c r="I106" s="10" t="n">
        <v>0</v>
      </c>
      <c r="J106" s="8" t="n">
        <v>0</v>
      </c>
      <c r="K106" s="10" t="n">
        <v>3961.94</v>
      </c>
      <c r="L106" s="8" t="n">
        <v>104519751.36</v>
      </c>
      <c r="M106" s="13" t="n">
        <f aca="false">SUMIFS('MA Engine'!$T$6:$T$1110,'MA Engine'!$B$6:$B$1110,$A106,'MA Engine'!$AD$6:$AD$1110,1)</f>
        <v>3961.94</v>
      </c>
      <c r="N106" s="7" t="n">
        <f aca="false">SUMIFS('MA Engine'!$U$6:$U$1110,'MA Engine'!$B$6:$B$1110,$A106,'MA Engine'!$AD$6:$AD$1110,1)</f>
        <v>104519751.354266</v>
      </c>
      <c r="O106" s="13" t="n">
        <f aca="false">SUMIFS('MA Engine'!$Y$6:$Y$1110,'MA Engine'!$B$6:$B$1110,$A106,'MA Engine'!$AD$6:$AD$1110,1)</f>
        <v>3961.94</v>
      </c>
      <c r="P106" s="7" t="n">
        <f aca="false">SUMIFS('MA Engine'!$Z$6:$Z$1110,'MA Engine'!$B$6:$B$1110,$A106,'MA Engine'!$AD$6:$AD$1110,1)</f>
        <v>104519751.354266</v>
      </c>
      <c r="Q106" s="12" t="s">
        <v>2746</v>
      </c>
    </row>
    <row r="107" customFormat="false" ht="15" hidden="false" customHeight="false" outlineLevel="0" collapsed="false">
      <c r="A107" s="74" t="s">
        <v>2846</v>
      </c>
      <c r="B107" s="74" t="s">
        <v>2847</v>
      </c>
      <c r="C107" s="74" t="s">
        <v>878</v>
      </c>
      <c r="D107" s="74" t="s">
        <v>244</v>
      </c>
      <c r="E107" s="74"/>
      <c r="F107" s="74" t="s">
        <v>247</v>
      </c>
      <c r="G107" s="74" t="s">
        <v>241</v>
      </c>
      <c r="H107" s="6" t="s">
        <v>2743</v>
      </c>
      <c r="I107" s="10" t="n">
        <v>3605.54</v>
      </c>
      <c r="J107" s="8" t="n">
        <v>13532744</v>
      </c>
      <c r="K107" s="10" t="n">
        <v>3605.54</v>
      </c>
      <c r="L107" s="8" t="n">
        <v>13532744</v>
      </c>
      <c r="M107" s="14" t="n">
        <f aca="false">K107</f>
        <v>3605.54</v>
      </c>
      <c r="N107" s="9" t="n">
        <f aca="false">L107</f>
        <v>13532744</v>
      </c>
      <c r="O107" s="14" t="n">
        <f aca="false">K107</f>
        <v>3605.54</v>
      </c>
      <c r="P107" s="9" t="n">
        <f aca="false">L107</f>
        <v>13532744</v>
      </c>
      <c r="Q107" s="12" t="s">
        <v>2848</v>
      </c>
    </row>
    <row r="108" customFormat="false" ht="15" hidden="false" customHeight="false" outlineLevel="0" collapsed="false">
      <c r="A108" s="74" t="s">
        <v>2849</v>
      </c>
      <c r="B108" s="74" t="s">
        <v>2850</v>
      </c>
      <c r="C108" s="74" t="s">
        <v>878</v>
      </c>
      <c r="D108" s="74" t="s">
        <v>244</v>
      </c>
      <c r="E108" s="74"/>
      <c r="F108" s="74" t="s">
        <v>247</v>
      </c>
      <c r="G108" s="74" t="s">
        <v>241</v>
      </c>
      <c r="H108" s="6" t="s">
        <v>2743</v>
      </c>
      <c r="I108" s="10" t="n">
        <v>452.6</v>
      </c>
      <c r="J108" s="8" t="n">
        <v>5431200</v>
      </c>
      <c r="K108" s="10" t="n">
        <v>452.6</v>
      </c>
      <c r="L108" s="8" t="n">
        <v>5431200</v>
      </c>
      <c r="M108" s="14" t="n">
        <f aca="false">K108</f>
        <v>452.6</v>
      </c>
      <c r="N108" s="9" t="n">
        <f aca="false">L108</f>
        <v>5431200</v>
      </c>
      <c r="O108" s="14" t="n">
        <f aca="false">K108</f>
        <v>452.6</v>
      </c>
      <c r="P108" s="9" t="n">
        <f aca="false">L108</f>
        <v>5431200</v>
      </c>
      <c r="Q108" s="12" t="s">
        <v>2851</v>
      </c>
    </row>
    <row r="109" customFormat="false" ht="15" hidden="false" customHeight="false" outlineLevel="0" collapsed="false">
      <c r="A109" s="74" t="s">
        <v>2852</v>
      </c>
      <c r="B109" s="74" t="s">
        <v>2853</v>
      </c>
      <c r="C109" s="74" t="s">
        <v>878</v>
      </c>
      <c r="D109" s="74" t="s">
        <v>236</v>
      </c>
      <c r="E109" s="74"/>
      <c r="F109" s="74" t="s">
        <v>247</v>
      </c>
      <c r="G109" s="74" t="s">
        <v>241</v>
      </c>
      <c r="H109" s="6" t="s">
        <v>2743</v>
      </c>
      <c r="I109" s="10" t="n">
        <v>10.2</v>
      </c>
      <c r="J109" s="8" t="n">
        <v>438600</v>
      </c>
      <c r="K109" s="10" t="n">
        <v>10.2</v>
      </c>
      <c r="L109" s="8" t="n">
        <v>438600</v>
      </c>
      <c r="M109" s="14" t="n">
        <f aca="false">K109</f>
        <v>10.2</v>
      </c>
      <c r="N109" s="9" t="n">
        <f aca="false">L109</f>
        <v>438600</v>
      </c>
      <c r="O109" s="14" t="n">
        <f aca="false">K109</f>
        <v>10.2</v>
      </c>
      <c r="P109" s="9" t="n">
        <f aca="false">L109</f>
        <v>438600</v>
      </c>
      <c r="Q109" s="12" t="s">
        <v>2854</v>
      </c>
    </row>
    <row r="110" customFormat="false" ht="15" hidden="false" customHeight="false" outlineLevel="0" collapsed="false">
      <c r="A110" s="74" t="s">
        <v>2855</v>
      </c>
      <c r="B110" s="74" t="s">
        <v>2856</v>
      </c>
      <c r="C110" s="74" t="s">
        <v>878</v>
      </c>
      <c r="D110" s="74" t="s">
        <v>253</v>
      </c>
      <c r="E110" s="74"/>
      <c r="F110" s="74" t="s">
        <v>237</v>
      </c>
      <c r="G110" s="74" t="s">
        <v>241</v>
      </c>
      <c r="H110" s="6" t="s">
        <v>2775</v>
      </c>
      <c r="I110" s="8" t="n">
        <v>0</v>
      </c>
      <c r="J110" s="8" t="n">
        <v>0</v>
      </c>
      <c r="K110" s="8" t="n">
        <v>0</v>
      </c>
      <c r="L110" s="8" t="n">
        <v>0</v>
      </c>
      <c r="M110" s="14" t="n">
        <f aca="false">K110</f>
        <v>0</v>
      </c>
      <c r="N110" s="9" t="n">
        <f aca="false">L110</f>
        <v>0</v>
      </c>
      <c r="O110" s="14" t="n">
        <f aca="false">K110</f>
        <v>0</v>
      </c>
      <c r="P110" s="9" t="n">
        <f aca="false">L110</f>
        <v>0</v>
      </c>
      <c r="Q110" s="12" t="s">
        <v>2776</v>
      </c>
    </row>
    <row r="111" customFormat="false" ht="15" hidden="false" customHeight="false" outlineLevel="0" collapsed="false">
      <c r="A111" s="74" t="s">
        <v>1019</v>
      </c>
      <c r="B111" s="74" t="s">
        <v>2857</v>
      </c>
      <c r="C111" s="74" t="s">
        <v>878</v>
      </c>
      <c r="D111" s="74" t="s">
        <v>236</v>
      </c>
      <c r="E111" s="74"/>
      <c r="F111" s="74" t="s">
        <v>238</v>
      </c>
      <c r="G111" s="74" t="s">
        <v>241</v>
      </c>
      <c r="H111" s="6" t="s">
        <v>2745</v>
      </c>
      <c r="I111" s="10" t="n">
        <v>25015.13</v>
      </c>
      <c r="J111" s="8" t="n">
        <v>821243061.75</v>
      </c>
      <c r="K111" s="10" t="n">
        <v>2868.64</v>
      </c>
      <c r="L111" s="8" t="n">
        <v>112155445.91</v>
      </c>
      <c r="M111" s="13" t="n">
        <f aca="false">SUMIFS('MA Engine'!$T$6:$T$1110,'MA Engine'!$B$6:$B$1110,$A111,'MA Engine'!$AD$6:$AD$1110,1)</f>
        <v>2868.63999999998</v>
      </c>
      <c r="N111" s="7" t="n">
        <f aca="false">SUMIFS('MA Engine'!$U$6:$U$1110,'MA Engine'!$B$6:$B$1110,$A111,'MA Engine'!$AD$6:$AD$1110,1)</f>
        <v>112155449.121719</v>
      </c>
      <c r="O111" s="13" t="n">
        <f aca="false">SUMIFS('MA Engine'!$Y$6:$Y$1110,'MA Engine'!$B$6:$B$1110,$A111,'MA Engine'!$AD$6:$AD$1110,1)</f>
        <v>2868.63999999998</v>
      </c>
      <c r="P111" s="7" t="n">
        <f aca="false">SUMIFS('MA Engine'!$Z$6:$Z$1110,'MA Engine'!$B$6:$B$1110,$A111,'MA Engine'!$AD$6:$AD$1110,1)</f>
        <v>112155449.121719</v>
      </c>
      <c r="Q111" s="12" t="s">
        <v>2746</v>
      </c>
    </row>
    <row r="112" customFormat="false" ht="15" hidden="false" customHeight="false" outlineLevel="0" collapsed="false">
      <c r="A112" s="74" t="s">
        <v>1020</v>
      </c>
      <c r="B112" s="74" t="s">
        <v>2858</v>
      </c>
      <c r="C112" s="74" t="s">
        <v>878</v>
      </c>
      <c r="D112" s="74" t="s">
        <v>239</v>
      </c>
      <c r="E112" s="74"/>
      <c r="F112" s="74" t="s">
        <v>238</v>
      </c>
      <c r="G112" s="74" t="s">
        <v>241</v>
      </c>
      <c r="H112" s="6" t="s">
        <v>2745</v>
      </c>
      <c r="I112" s="10" t="n">
        <v>6477.78</v>
      </c>
      <c r="J112" s="8" t="n">
        <v>192753265</v>
      </c>
      <c r="K112" s="10" t="n">
        <v>2953.1</v>
      </c>
      <c r="L112" s="8" t="n">
        <v>139382094.8</v>
      </c>
      <c r="M112" s="13" t="n">
        <f aca="false">SUMIFS('MA Engine'!$T$6:$T$1110,'MA Engine'!$B$6:$B$1110,$A112,'MA Engine'!$AD$6:$AD$1110,1)</f>
        <v>2953.09999999999</v>
      </c>
      <c r="N112" s="7" t="n">
        <f aca="false">SUMIFS('MA Engine'!$U$6:$U$1110,'MA Engine'!$B$6:$B$1110,$A112,'MA Engine'!$AD$6:$AD$1110,1)</f>
        <v>139382096.456297</v>
      </c>
      <c r="O112" s="13" t="n">
        <f aca="false">SUMIFS('MA Engine'!$Y$6:$Y$1110,'MA Engine'!$B$6:$B$1110,$A112,'MA Engine'!$AD$6:$AD$1110,1)</f>
        <v>2848.79999999999</v>
      </c>
      <c r="P112" s="7" t="n">
        <f aca="false">SUMIFS('MA Engine'!$Z$6:$Z$1110,'MA Engine'!$B$6:$B$1110,$A112,'MA Engine'!$AD$6:$AD$1110,1)</f>
        <v>134459285.626867</v>
      </c>
      <c r="Q112" s="12" t="s">
        <v>2746</v>
      </c>
    </row>
    <row r="113" customFormat="false" ht="15" hidden="false" customHeight="false" outlineLevel="0" collapsed="false">
      <c r="A113" s="74" t="s">
        <v>2859</v>
      </c>
      <c r="B113" s="74" t="s">
        <v>2860</v>
      </c>
      <c r="C113" s="74" t="s">
        <v>878</v>
      </c>
      <c r="D113" s="74" t="s">
        <v>1484</v>
      </c>
      <c r="E113" s="74"/>
      <c r="F113" s="74" t="s">
        <v>238</v>
      </c>
      <c r="G113" s="74" t="s">
        <v>241</v>
      </c>
      <c r="H113" s="6" t="s">
        <v>2743</v>
      </c>
      <c r="I113" s="10" t="n">
        <v>8.53</v>
      </c>
      <c r="J113" s="8" t="n">
        <v>272960</v>
      </c>
      <c r="K113" s="10" t="n">
        <v>8.53</v>
      </c>
      <c r="L113" s="8" t="n">
        <v>272960</v>
      </c>
      <c r="M113" s="14" t="n">
        <f aca="false">K113</f>
        <v>8.53</v>
      </c>
      <c r="N113" s="9" t="n">
        <f aca="false">L113</f>
        <v>272960</v>
      </c>
      <c r="O113" s="14" t="n">
        <f aca="false">K113</f>
        <v>8.53</v>
      </c>
      <c r="P113" s="9" t="n">
        <f aca="false">L113</f>
        <v>272960</v>
      </c>
      <c r="Q113" s="12" t="s">
        <v>2763</v>
      </c>
    </row>
    <row r="114" customFormat="false" ht="15" hidden="false" customHeight="false" outlineLevel="0" collapsed="false">
      <c r="A114" s="74" t="s">
        <v>2861</v>
      </c>
      <c r="B114" s="74" t="s">
        <v>2862</v>
      </c>
      <c r="C114" s="74" t="s">
        <v>878</v>
      </c>
      <c r="D114" s="74" t="s">
        <v>244</v>
      </c>
      <c r="E114" s="74"/>
      <c r="F114" s="74" t="s">
        <v>247</v>
      </c>
      <c r="G114" s="74" t="s">
        <v>241</v>
      </c>
      <c r="H114" s="6" t="s">
        <v>2743</v>
      </c>
      <c r="I114" s="10" t="n">
        <v>242.23</v>
      </c>
      <c r="J114" s="8" t="n">
        <v>1937840</v>
      </c>
      <c r="K114" s="10" t="n">
        <v>242.23</v>
      </c>
      <c r="L114" s="8" t="n">
        <v>1937840</v>
      </c>
      <c r="M114" s="14" t="n">
        <f aca="false">K114</f>
        <v>242.23</v>
      </c>
      <c r="N114" s="9" t="n">
        <f aca="false">L114</f>
        <v>1937840</v>
      </c>
      <c r="O114" s="14" t="n">
        <f aca="false">K114</f>
        <v>242.23</v>
      </c>
      <c r="P114" s="9" t="n">
        <f aca="false">L114</f>
        <v>1937840</v>
      </c>
      <c r="Q114" s="12" t="s">
        <v>2844</v>
      </c>
    </row>
    <row r="115" customFormat="false" ht="15" hidden="false" customHeight="false" outlineLevel="0" collapsed="false">
      <c r="A115" s="74" t="s">
        <v>1021</v>
      </c>
      <c r="B115" s="74" t="s">
        <v>2863</v>
      </c>
      <c r="C115" s="74" t="s">
        <v>878</v>
      </c>
      <c r="D115" s="74" t="s">
        <v>246</v>
      </c>
      <c r="E115" s="74" t="s">
        <v>1372</v>
      </c>
      <c r="F115" s="74" t="s">
        <v>247</v>
      </c>
      <c r="G115" s="74" t="s">
        <v>241</v>
      </c>
      <c r="H115" s="6" t="s">
        <v>2745</v>
      </c>
      <c r="I115" s="10" t="n">
        <v>0.02</v>
      </c>
      <c r="J115" s="8" t="n">
        <v>460</v>
      </c>
      <c r="K115" s="10" t="n">
        <v>2748.02</v>
      </c>
      <c r="L115" s="8" t="n">
        <v>82757115.29</v>
      </c>
      <c r="M115" s="13" t="n">
        <f aca="false">SUMIFS('MA Engine'!$T$6:$T$1110,'MA Engine'!$B$6:$B$1110,$A115,'MA Engine'!$AD$6:$AD$1110,1)</f>
        <v>2748.02</v>
      </c>
      <c r="N115" s="7" t="n">
        <f aca="false">SUMIFS('MA Engine'!$U$6:$U$1110,'MA Engine'!$B$6:$B$1110,$A115,'MA Engine'!$AD$6:$AD$1110,1)</f>
        <v>82757115.2976926</v>
      </c>
      <c r="O115" s="13" t="n">
        <f aca="false">SUMIFS('MA Engine'!$Y$6:$Y$1110,'MA Engine'!$B$6:$B$1110,$A115,'MA Engine'!$AD$6:$AD$1110,1)</f>
        <v>2229.8</v>
      </c>
      <c r="P115" s="7" t="n">
        <f aca="false">SUMIFS('MA Engine'!$Z$6:$Z$1110,'MA Engine'!$B$6:$B$1110,$A115,'MA Engine'!$AD$6:$AD$1110,1)</f>
        <v>67150827.0284769</v>
      </c>
      <c r="Q115" s="12" t="s">
        <v>2746</v>
      </c>
    </row>
    <row r="116" customFormat="false" ht="15" hidden="false" customHeight="false" outlineLevel="0" collapsed="false">
      <c r="A116" s="74" t="s">
        <v>1022</v>
      </c>
      <c r="B116" s="74" t="s">
        <v>2864</v>
      </c>
      <c r="C116" s="74" t="s">
        <v>878</v>
      </c>
      <c r="D116" s="74" t="s">
        <v>246</v>
      </c>
      <c r="E116" s="74" t="s">
        <v>1373</v>
      </c>
      <c r="F116" s="74" t="s">
        <v>247</v>
      </c>
      <c r="G116" s="74" t="s">
        <v>241</v>
      </c>
      <c r="H116" s="6" t="s">
        <v>2745</v>
      </c>
      <c r="I116" s="10" t="n">
        <v>0</v>
      </c>
      <c r="J116" s="8" t="n">
        <v>0</v>
      </c>
      <c r="K116" s="10" t="n">
        <v>5027.93</v>
      </c>
      <c r="L116" s="8" t="n">
        <v>152309155.21</v>
      </c>
      <c r="M116" s="13" t="n">
        <f aca="false">SUMIFS('MA Engine'!$T$6:$T$1110,'MA Engine'!$B$6:$B$1110,$A116,'MA Engine'!$AD$6:$AD$1110,1)</f>
        <v>5027.93</v>
      </c>
      <c r="N116" s="7" t="n">
        <f aca="false">SUMIFS('MA Engine'!$U$6:$U$1110,'MA Engine'!$B$6:$B$1110,$A116,'MA Engine'!$AD$6:$AD$1110,1)</f>
        <v>152309155.252167</v>
      </c>
      <c r="O116" s="13" t="n">
        <f aca="false">SUMIFS('MA Engine'!$Y$6:$Y$1110,'MA Engine'!$B$6:$B$1110,$A116,'MA Engine'!$AD$6:$AD$1110,1)</f>
        <v>3026.05</v>
      </c>
      <c r="P116" s="7" t="n">
        <f aca="false">SUMIFS('MA Engine'!$Z$6:$Z$1110,'MA Engine'!$B$6:$B$1110,$A116,'MA Engine'!$AD$6:$AD$1110,1)</f>
        <v>91666972.1437689</v>
      </c>
      <c r="Q116" s="12" t="s">
        <v>2746</v>
      </c>
    </row>
    <row r="117" customFormat="false" ht="15" hidden="false" customHeight="false" outlineLevel="0" collapsed="false">
      <c r="A117" s="74" t="s">
        <v>1023</v>
      </c>
      <c r="B117" s="74" t="s">
        <v>2865</v>
      </c>
      <c r="C117" s="74" t="s">
        <v>878</v>
      </c>
      <c r="D117" s="74" t="s">
        <v>246</v>
      </c>
      <c r="E117" s="74" t="s">
        <v>1374</v>
      </c>
      <c r="F117" s="74" t="s">
        <v>247</v>
      </c>
      <c r="G117" s="74" t="s">
        <v>241</v>
      </c>
      <c r="H117" s="6" t="s">
        <v>2745</v>
      </c>
      <c r="I117" s="10" t="n">
        <v>0</v>
      </c>
      <c r="J117" s="8" t="n">
        <v>0</v>
      </c>
      <c r="K117" s="10" t="n">
        <v>807.9</v>
      </c>
      <c r="L117" s="8" t="n">
        <v>25689108.92</v>
      </c>
      <c r="M117" s="13" t="n">
        <f aca="false">SUMIFS('MA Engine'!$T$6:$T$1110,'MA Engine'!$B$6:$B$1110,$A117,'MA Engine'!$AD$6:$AD$1110,1)</f>
        <v>807.899999999999</v>
      </c>
      <c r="N117" s="7" t="n">
        <f aca="false">SUMIFS('MA Engine'!$U$6:$U$1110,'MA Engine'!$B$6:$B$1110,$A117,'MA Engine'!$AD$6:$AD$1110,1)</f>
        <v>25689109.1649728</v>
      </c>
      <c r="O117" s="13" t="n">
        <f aca="false">SUMIFS('MA Engine'!$Y$6:$Y$1110,'MA Engine'!$B$6:$B$1110,$A117,'MA Engine'!$AD$6:$AD$1110,1)</f>
        <v>-123.310000000001</v>
      </c>
      <c r="P117" s="7" t="n">
        <f aca="false">SUMIFS('MA Engine'!$Z$6:$Z$1110,'MA Engine'!$B$6:$B$1110,$A117,'MA Engine'!$AD$6:$AD$1110,1)</f>
        <v>-3920935.8226672</v>
      </c>
      <c r="Q117" s="12" t="s">
        <v>2746</v>
      </c>
    </row>
    <row r="118" customFormat="false" ht="15" hidden="false" customHeight="false" outlineLevel="0" collapsed="false">
      <c r="A118" s="74" t="s">
        <v>1024</v>
      </c>
      <c r="B118" s="74" t="s">
        <v>2866</v>
      </c>
      <c r="C118" s="74" t="s">
        <v>878</v>
      </c>
      <c r="D118" s="74" t="s">
        <v>246</v>
      </c>
      <c r="E118" s="74" t="s">
        <v>1375</v>
      </c>
      <c r="F118" s="74" t="s">
        <v>247</v>
      </c>
      <c r="G118" s="74" t="s">
        <v>241</v>
      </c>
      <c r="H118" s="6" t="s">
        <v>2745</v>
      </c>
      <c r="I118" s="10" t="n">
        <v>8397.27</v>
      </c>
      <c r="J118" s="8" t="n">
        <v>241012413.34</v>
      </c>
      <c r="K118" s="10" t="n">
        <v>8573.18</v>
      </c>
      <c r="L118" s="8" t="n">
        <v>253254041</v>
      </c>
      <c r="M118" s="13" t="n">
        <f aca="false">SUMIFS('MA Engine'!$T$6:$T$1110,'MA Engine'!$B$6:$B$1110,$A118,'MA Engine'!$AD$6:$AD$1110,1)</f>
        <v>8573.18</v>
      </c>
      <c r="N118" s="7" t="n">
        <f aca="false">SUMIFS('MA Engine'!$U$6:$U$1110,'MA Engine'!$B$6:$B$1110,$A118,'MA Engine'!$AD$6:$AD$1110,1)</f>
        <v>253254043.879017</v>
      </c>
      <c r="O118" s="13" t="n">
        <f aca="false">SUMIFS('MA Engine'!$Y$6:$Y$1110,'MA Engine'!$B$6:$B$1110,$A118,'MA Engine'!$AD$6:$AD$1110,1)</f>
        <v>8573.18</v>
      </c>
      <c r="P118" s="7" t="n">
        <f aca="false">SUMIFS('MA Engine'!$Z$6:$Z$1110,'MA Engine'!$B$6:$B$1110,$A118,'MA Engine'!$AD$6:$AD$1110,1)</f>
        <v>253254043.879017</v>
      </c>
      <c r="Q118" s="12" t="s">
        <v>2746</v>
      </c>
    </row>
    <row r="119" customFormat="false" ht="15" hidden="false" customHeight="false" outlineLevel="0" collapsed="false">
      <c r="A119" s="74" t="s">
        <v>1025</v>
      </c>
      <c r="B119" s="74" t="s">
        <v>2867</v>
      </c>
      <c r="C119" s="74" t="s">
        <v>878</v>
      </c>
      <c r="D119" s="74" t="s">
        <v>246</v>
      </c>
      <c r="E119" s="74" t="s">
        <v>1376</v>
      </c>
      <c r="F119" s="74" t="s">
        <v>247</v>
      </c>
      <c r="G119" s="74" t="s">
        <v>241</v>
      </c>
      <c r="H119" s="6" t="s">
        <v>2745</v>
      </c>
      <c r="I119" s="10" t="n">
        <v>4102.05</v>
      </c>
      <c r="J119" s="8" t="n">
        <v>94347150</v>
      </c>
      <c r="K119" s="10" t="n">
        <v>886.4</v>
      </c>
      <c r="L119" s="8" t="n">
        <v>27058910.48</v>
      </c>
      <c r="M119" s="13" t="n">
        <f aca="false">SUMIFS('MA Engine'!$T$6:$T$1110,'MA Engine'!$B$6:$B$1110,$A119,'MA Engine'!$AD$6:$AD$1110,1)</f>
        <v>886.4</v>
      </c>
      <c r="N119" s="7" t="n">
        <f aca="false">SUMIFS('MA Engine'!$U$6:$U$1110,'MA Engine'!$B$6:$B$1110,$A119,'MA Engine'!$AD$6:$AD$1110,1)</f>
        <v>27058910.5318874</v>
      </c>
      <c r="O119" s="13" t="n">
        <f aca="false">SUMIFS('MA Engine'!$Y$6:$Y$1110,'MA Engine'!$B$6:$B$1110,$A119,'MA Engine'!$AD$6:$AD$1110,1)</f>
        <v>98.3</v>
      </c>
      <c r="P119" s="7" t="n">
        <f aca="false">SUMIFS('MA Engine'!$Z$6:$Z$1110,'MA Engine'!$B$6:$B$1110,$A119,'MA Engine'!$AD$6:$AD$1110,1)</f>
        <v>1700870.9620798</v>
      </c>
      <c r="Q119" s="12" t="s">
        <v>2746</v>
      </c>
    </row>
    <row r="120" customFormat="false" ht="15" hidden="false" customHeight="false" outlineLevel="0" collapsed="false">
      <c r="A120" s="74" t="s">
        <v>1026</v>
      </c>
      <c r="B120" s="74" t="s">
        <v>2868</v>
      </c>
      <c r="C120" s="74" t="s">
        <v>878</v>
      </c>
      <c r="D120" s="74" t="s">
        <v>246</v>
      </c>
      <c r="E120" s="74" t="s">
        <v>1377</v>
      </c>
      <c r="F120" s="74" t="s">
        <v>247</v>
      </c>
      <c r="G120" s="74" t="s">
        <v>241</v>
      </c>
      <c r="H120" s="6" t="s">
        <v>2745</v>
      </c>
      <c r="I120" s="10" t="n">
        <v>4272.62</v>
      </c>
      <c r="J120" s="8" t="n">
        <v>98270260</v>
      </c>
      <c r="K120" s="10" t="n">
        <v>2442.1</v>
      </c>
      <c r="L120" s="8" t="n">
        <v>78357616.44</v>
      </c>
      <c r="M120" s="13" t="n">
        <f aca="false">SUMIFS('MA Engine'!$T$6:$T$1110,'MA Engine'!$B$6:$B$1110,$A120,'MA Engine'!$AD$6:$AD$1110,1)</f>
        <v>2442.1</v>
      </c>
      <c r="N120" s="7" t="n">
        <f aca="false">SUMIFS('MA Engine'!$U$6:$U$1110,'MA Engine'!$B$6:$B$1110,$A120,'MA Engine'!$AD$6:$AD$1110,1)</f>
        <v>78357616.0979037</v>
      </c>
      <c r="O120" s="13" t="n">
        <f aca="false">SUMIFS('MA Engine'!$Y$6:$Y$1110,'MA Engine'!$B$6:$B$1110,$A120,'MA Engine'!$AD$6:$AD$1110,1)</f>
        <v>-262</v>
      </c>
      <c r="P120" s="7" t="n">
        <f aca="false">SUMIFS('MA Engine'!$Z$6:$Z$1110,'MA Engine'!$B$6:$B$1110,$A120,'MA Engine'!$AD$6:$AD$1110,1)</f>
        <v>-8406574.43087947</v>
      </c>
      <c r="Q120" s="12" t="s">
        <v>2746</v>
      </c>
    </row>
    <row r="121" customFormat="false" ht="15" hidden="false" customHeight="false" outlineLevel="0" collapsed="false">
      <c r="A121" s="74" t="s">
        <v>1027</v>
      </c>
      <c r="B121" s="74" t="s">
        <v>2869</v>
      </c>
      <c r="C121" s="74" t="s">
        <v>878</v>
      </c>
      <c r="D121" s="74" t="s">
        <v>246</v>
      </c>
      <c r="E121" s="74" t="s">
        <v>1378</v>
      </c>
      <c r="F121" s="74" t="s">
        <v>247</v>
      </c>
      <c r="G121" s="74" t="s">
        <v>241</v>
      </c>
      <c r="H121" s="6" t="s">
        <v>2745</v>
      </c>
      <c r="I121" s="10" t="n">
        <v>3508.9</v>
      </c>
      <c r="J121" s="8" t="n">
        <v>80704700</v>
      </c>
      <c r="K121" s="10" t="n">
        <v>310.3</v>
      </c>
      <c r="L121" s="8" t="n">
        <v>7265437.67</v>
      </c>
      <c r="M121" s="13" t="n">
        <f aca="false">SUMIFS('MA Engine'!$T$6:$T$1110,'MA Engine'!$B$6:$B$1110,$A121,'MA Engine'!$AD$6:$AD$1110,1)</f>
        <v>310.3</v>
      </c>
      <c r="N121" s="7" t="n">
        <f aca="false">SUMIFS('MA Engine'!$U$6:$U$1110,'MA Engine'!$B$6:$B$1110,$A121,'MA Engine'!$AD$6:$AD$1110,1)</f>
        <v>7265437.67770053</v>
      </c>
      <c r="O121" s="13" t="n">
        <f aca="false">SUMIFS('MA Engine'!$Y$6:$Y$1110,'MA Engine'!$B$6:$B$1110,$A121,'MA Engine'!$AD$6:$AD$1110,1)</f>
        <v>48.7999999999997</v>
      </c>
      <c r="P121" s="7" t="n">
        <f aca="false">SUMIFS('MA Engine'!$Z$6:$Z$1110,'MA Engine'!$B$6:$B$1110,$A121,'MA Engine'!$AD$6:$AD$1110,1)</f>
        <v>1142614.75562934</v>
      </c>
      <c r="Q121" s="12" t="s">
        <v>2746</v>
      </c>
    </row>
    <row r="122" customFormat="false" ht="15" hidden="false" customHeight="false" outlineLevel="0" collapsed="false">
      <c r="A122" s="74" t="s">
        <v>1028</v>
      </c>
      <c r="B122" s="74" t="s">
        <v>2870</v>
      </c>
      <c r="C122" s="74" t="s">
        <v>878</v>
      </c>
      <c r="D122" s="74" t="s">
        <v>246</v>
      </c>
      <c r="E122" s="74" t="s">
        <v>1379</v>
      </c>
      <c r="F122" s="74" t="s">
        <v>247</v>
      </c>
      <c r="G122" s="74" t="s">
        <v>241</v>
      </c>
      <c r="H122" s="6" t="s">
        <v>2745</v>
      </c>
      <c r="I122" s="10" t="n">
        <v>1274</v>
      </c>
      <c r="J122" s="8" t="n">
        <v>29302000</v>
      </c>
      <c r="K122" s="10" t="n">
        <v>1</v>
      </c>
      <c r="L122" s="8" t="n">
        <v>23000</v>
      </c>
      <c r="M122" s="13" t="n">
        <f aca="false">SUMIFS('MA Engine'!$T$6:$T$1110,'MA Engine'!$B$6:$B$1110,$A122,'MA Engine'!$AD$6:$AD$1110,1)</f>
        <v>0.999999999999972</v>
      </c>
      <c r="N122" s="7" t="n">
        <f aca="false">SUMIFS('MA Engine'!$U$6:$U$1110,'MA Engine'!$B$6:$B$1110,$A122,'MA Engine'!$AD$6:$AD$1110,1)</f>
        <v>22999.9999999995</v>
      </c>
      <c r="O122" s="13" t="n">
        <f aca="false">SUMIFS('MA Engine'!$Y$6:$Y$1110,'MA Engine'!$B$6:$B$1110,$A122,'MA Engine'!$AD$6:$AD$1110,1)</f>
        <v>0.999999999999972</v>
      </c>
      <c r="P122" s="7" t="n">
        <f aca="false">SUMIFS('MA Engine'!$Z$6:$Z$1110,'MA Engine'!$B$6:$B$1110,$A122,'MA Engine'!$AD$6:$AD$1110,1)</f>
        <v>22999.9999999995</v>
      </c>
      <c r="Q122" s="12" t="s">
        <v>2746</v>
      </c>
    </row>
    <row r="123" customFormat="false" ht="15" hidden="false" customHeight="false" outlineLevel="0" collapsed="false">
      <c r="A123" s="74" t="s">
        <v>1029</v>
      </c>
      <c r="B123" s="74" t="s">
        <v>2871</v>
      </c>
      <c r="C123" s="74" t="s">
        <v>878</v>
      </c>
      <c r="D123" s="74" t="s">
        <v>246</v>
      </c>
      <c r="E123" s="74" t="s">
        <v>1380</v>
      </c>
      <c r="F123" s="74" t="s">
        <v>247</v>
      </c>
      <c r="G123" s="74" t="s">
        <v>241</v>
      </c>
      <c r="H123" s="6" t="s">
        <v>2745</v>
      </c>
      <c r="I123" s="10" t="n">
        <v>684.4</v>
      </c>
      <c r="J123" s="8" t="n">
        <v>15741200</v>
      </c>
      <c r="K123" s="10" t="n">
        <v>258.7</v>
      </c>
      <c r="L123" s="8" t="n">
        <v>5950100</v>
      </c>
      <c r="M123" s="13" t="n">
        <f aca="false">SUMIFS('MA Engine'!$T$6:$T$1110,'MA Engine'!$B$6:$B$1110,$A123,'MA Engine'!$AD$6:$AD$1110,1)</f>
        <v>258.7</v>
      </c>
      <c r="N123" s="7" t="n">
        <f aca="false">SUMIFS('MA Engine'!$U$6:$U$1110,'MA Engine'!$B$6:$B$1110,$A123,'MA Engine'!$AD$6:$AD$1110,1)</f>
        <v>5950100</v>
      </c>
      <c r="O123" s="13" t="n">
        <f aca="false">SUMIFS('MA Engine'!$Y$6:$Y$1110,'MA Engine'!$B$6:$B$1110,$A123,'MA Engine'!$AD$6:$AD$1110,1)</f>
        <v>-27.2</v>
      </c>
      <c r="P123" s="7" t="n">
        <f aca="false">SUMIFS('MA Engine'!$Z$6:$Z$1110,'MA Engine'!$B$6:$B$1110,$A123,'MA Engine'!$AD$6:$AD$1110,1)</f>
        <v>-625599.999999999</v>
      </c>
      <c r="Q123" s="12" t="s">
        <v>2746</v>
      </c>
    </row>
    <row r="124" customFormat="false" ht="15" hidden="false" customHeight="false" outlineLevel="0" collapsed="false">
      <c r="A124" s="74" t="s">
        <v>1030</v>
      </c>
      <c r="B124" s="74" t="s">
        <v>2872</v>
      </c>
      <c r="C124" s="74" t="s">
        <v>878</v>
      </c>
      <c r="D124" s="74" t="s">
        <v>246</v>
      </c>
      <c r="E124" s="74" t="s">
        <v>1381</v>
      </c>
      <c r="F124" s="74" t="s">
        <v>247</v>
      </c>
      <c r="G124" s="74" t="s">
        <v>241</v>
      </c>
      <c r="H124" s="6" t="s">
        <v>2745</v>
      </c>
      <c r="I124" s="10" t="n">
        <v>735.55</v>
      </c>
      <c r="J124" s="8" t="n">
        <v>16917650</v>
      </c>
      <c r="K124" s="10" t="n">
        <v>273.8</v>
      </c>
      <c r="L124" s="8" t="n">
        <v>6282450</v>
      </c>
      <c r="M124" s="13" t="n">
        <f aca="false">SUMIFS('MA Engine'!$T$6:$T$1110,'MA Engine'!$B$6:$B$1110,$A124,'MA Engine'!$AD$6:$AD$1110,1)</f>
        <v>273.8</v>
      </c>
      <c r="N124" s="7" t="n">
        <f aca="false">SUMIFS('MA Engine'!$U$6:$U$1110,'MA Engine'!$B$6:$B$1110,$A124,'MA Engine'!$AD$6:$AD$1110,1)</f>
        <v>6282450</v>
      </c>
      <c r="O124" s="13" t="n">
        <f aca="false">SUMIFS('MA Engine'!$Y$6:$Y$1110,'MA Engine'!$B$6:$B$1110,$A124,'MA Engine'!$AD$6:$AD$1110,1)</f>
        <v>0</v>
      </c>
      <c r="P124" s="7" t="n">
        <f aca="false">SUMIFS('MA Engine'!$Z$6:$Z$1110,'MA Engine'!$B$6:$B$1110,$A124,'MA Engine'!$AD$6:$AD$1110,1)</f>
        <v>0</v>
      </c>
      <c r="Q124" s="12" t="s">
        <v>2746</v>
      </c>
    </row>
    <row r="125" customFormat="false" ht="15" hidden="false" customHeight="false" outlineLevel="0" collapsed="false">
      <c r="A125" s="74" t="s">
        <v>1031</v>
      </c>
      <c r="B125" s="74" t="s">
        <v>2873</v>
      </c>
      <c r="C125" s="74" t="s">
        <v>878</v>
      </c>
      <c r="D125" s="74" t="s">
        <v>246</v>
      </c>
      <c r="E125" s="74" t="s">
        <v>1382</v>
      </c>
      <c r="F125" s="74" t="s">
        <v>247</v>
      </c>
      <c r="G125" s="74" t="s">
        <v>241</v>
      </c>
      <c r="H125" s="6" t="s">
        <v>2745</v>
      </c>
      <c r="I125" s="10" t="n">
        <v>565.1</v>
      </c>
      <c r="J125" s="8" t="n">
        <v>12997300</v>
      </c>
      <c r="K125" s="10" t="n">
        <v>0.1</v>
      </c>
      <c r="L125" s="8" t="n">
        <v>2300</v>
      </c>
      <c r="M125" s="13" t="n">
        <f aca="false">SUMIFS('MA Engine'!$T$6:$T$1110,'MA Engine'!$B$6:$B$1110,$A125,'MA Engine'!$AD$6:$AD$1110,1)</f>
        <v>0.100000000000023</v>
      </c>
      <c r="N125" s="7" t="n">
        <f aca="false">SUMIFS('MA Engine'!$U$6:$U$1110,'MA Engine'!$B$6:$B$1110,$A125,'MA Engine'!$AD$6:$AD$1110,1)</f>
        <v>2300</v>
      </c>
      <c r="O125" s="13" t="n">
        <f aca="false">SUMIFS('MA Engine'!$Y$6:$Y$1110,'MA Engine'!$B$6:$B$1110,$A125,'MA Engine'!$AD$6:$AD$1110,1)</f>
        <v>0.100000000000023</v>
      </c>
      <c r="P125" s="7" t="n">
        <f aca="false">SUMIFS('MA Engine'!$Z$6:$Z$1110,'MA Engine'!$B$6:$B$1110,$A125,'MA Engine'!$AD$6:$AD$1110,1)</f>
        <v>2300</v>
      </c>
      <c r="Q125" s="12" t="s">
        <v>2746</v>
      </c>
    </row>
    <row r="126" customFormat="false" ht="15" hidden="false" customHeight="false" outlineLevel="0" collapsed="false">
      <c r="A126" s="74" t="s">
        <v>1032</v>
      </c>
      <c r="B126" s="74" t="s">
        <v>2874</v>
      </c>
      <c r="C126" s="74" t="s">
        <v>878</v>
      </c>
      <c r="D126" s="74" t="s">
        <v>246</v>
      </c>
      <c r="E126" s="74" t="s">
        <v>1383</v>
      </c>
      <c r="F126" s="74" t="s">
        <v>247</v>
      </c>
      <c r="G126" s="74" t="s">
        <v>241</v>
      </c>
      <c r="H126" s="6" t="s">
        <v>2745</v>
      </c>
      <c r="I126" s="10" t="n">
        <v>340.1</v>
      </c>
      <c r="J126" s="8" t="n">
        <v>7822300</v>
      </c>
      <c r="K126" s="10" t="n">
        <v>3</v>
      </c>
      <c r="L126" s="8" t="n">
        <v>69000</v>
      </c>
      <c r="M126" s="13" t="n">
        <f aca="false">SUMIFS('MA Engine'!$T$6:$T$1110,'MA Engine'!$B$6:$B$1110,$A126,'MA Engine'!$AD$6:$AD$1110,1)</f>
        <v>3</v>
      </c>
      <c r="N126" s="7" t="n">
        <f aca="false">SUMIFS('MA Engine'!$U$6:$U$1110,'MA Engine'!$B$6:$B$1110,$A126,'MA Engine'!$AD$6:$AD$1110,1)</f>
        <v>68999.9999999991</v>
      </c>
      <c r="O126" s="13" t="n">
        <f aca="false">SUMIFS('MA Engine'!$Y$6:$Y$1110,'MA Engine'!$B$6:$B$1110,$A126,'MA Engine'!$AD$6:$AD$1110,1)</f>
        <v>3</v>
      </c>
      <c r="P126" s="7" t="n">
        <f aca="false">SUMIFS('MA Engine'!$Z$6:$Z$1110,'MA Engine'!$B$6:$B$1110,$A126,'MA Engine'!$AD$6:$AD$1110,1)</f>
        <v>68999.9999999991</v>
      </c>
      <c r="Q126" s="12" t="s">
        <v>2746</v>
      </c>
    </row>
    <row r="127" customFormat="false" ht="15" hidden="false" customHeight="false" outlineLevel="0" collapsed="false">
      <c r="A127" s="74" t="s">
        <v>1033</v>
      </c>
      <c r="B127" s="74" t="s">
        <v>2875</v>
      </c>
      <c r="C127" s="74" t="s">
        <v>878</v>
      </c>
      <c r="D127" s="74" t="s">
        <v>246</v>
      </c>
      <c r="E127" s="74" t="s">
        <v>1384</v>
      </c>
      <c r="F127" s="74" t="s">
        <v>247</v>
      </c>
      <c r="G127" s="74" t="s">
        <v>241</v>
      </c>
      <c r="H127" s="6" t="s">
        <v>2745</v>
      </c>
      <c r="I127" s="10" t="n">
        <v>359.4</v>
      </c>
      <c r="J127" s="8" t="n">
        <v>8266200</v>
      </c>
      <c r="K127" s="10" t="n">
        <v>0.2</v>
      </c>
      <c r="L127" s="8" t="n">
        <v>4600</v>
      </c>
      <c r="M127" s="13" t="n">
        <f aca="false">SUMIFS('MA Engine'!$T$6:$T$1110,'MA Engine'!$B$6:$B$1110,$A127,'MA Engine'!$AD$6:$AD$1110,1)</f>
        <v>0.199999999999989</v>
      </c>
      <c r="N127" s="7" t="n">
        <f aca="false">SUMIFS('MA Engine'!$U$6:$U$1110,'MA Engine'!$B$6:$B$1110,$A127,'MA Engine'!$AD$6:$AD$1110,1)</f>
        <v>4600</v>
      </c>
      <c r="O127" s="13" t="n">
        <f aca="false">SUMIFS('MA Engine'!$Y$6:$Y$1110,'MA Engine'!$B$6:$B$1110,$A127,'MA Engine'!$AD$6:$AD$1110,1)</f>
        <v>0.199999999999989</v>
      </c>
      <c r="P127" s="7" t="n">
        <f aca="false">SUMIFS('MA Engine'!$Z$6:$Z$1110,'MA Engine'!$B$6:$B$1110,$A127,'MA Engine'!$AD$6:$AD$1110,1)</f>
        <v>4600</v>
      </c>
      <c r="Q127" s="12" t="s">
        <v>2746</v>
      </c>
    </row>
    <row r="128" customFormat="false" ht="15" hidden="false" customHeight="false" outlineLevel="0" collapsed="false">
      <c r="A128" s="74" t="s">
        <v>1034</v>
      </c>
      <c r="B128" s="74" t="s">
        <v>2876</v>
      </c>
      <c r="C128" s="74" t="s">
        <v>878</v>
      </c>
      <c r="D128" s="74" t="s">
        <v>246</v>
      </c>
      <c r="E128" s="74" t="s">
        <v>1385</v>
      </c>
      <c r="F128" s="74" t="s">
        <v>247</v>
      </c>
      <c r="G128" s="74" t="s">
        <v>241</v>
      </c>
      <c r="H128" s="6" t="s">
        <v>2745</v>
      </c>
      <c r="I128" s="10" t="n">
        <v>162.4</v>
      </c>
      <c r="J128" s="8" t="n">
        <v>3735200</v>
      </c>
      <c r="K128" s="10" t="n">
        <v>82.5</v>
      </c>
      <c r="L128" s="8" t="n">
        <v>1897500</v>
      </c>
      <c r="M128" s="13" t="n">
        <f aca="false">SUMIFS('MA Engine'!$T$6:$T$1110,'MA Engine'!$B$6:$B$1110,$A128,'MA Engine'!$AD$6:$AD$1110,1)</f>
        <v>82.5</v>
      </c>
      <c r="N128" s="7" t="n">
        <f aca="false">SUMIFS('MA Engine'!$U$6:$U$1110,'MA Engine'!$B$6:$B$1110,$A128,'MA Engine'!$AD$6:$AD$1110,1)</f>
        <v>1897500</v>
      </c>
      <c r="O128" s="13" t="n">
        <f aca="false">SUMIFS('MA Engine'!$Y$6:$Y$1110,'MA Engine'!$B$6:$B$1110,$A128,'MA Engine'!$AD$6:$AD$1110,1)</f>
        <v>0</v>
      </c>
      <c r="P128" s="7" t="n">
        <f aca="false">SUMIFS('MA Engine'!$Z$6:$Z$1110,'MA Engine'!$B$6:$B$1110,$A128,'MA Engine'!$AD$6:$AD$1110,1)</f>
        <v>0</v>
      </c>
      <c r="Q128" s="12" t="s">
        <v>2746</v>
      </c>
    </row>
    <row r="129" customFormat="false" ht="15" hidden="false" customHeight="false" outlineLevel="0" collapsed="false">
      <c r="A129" s="74" t="s">
        <v>1035</v>
      </c>
      <c r="B129" s="74" t="s">
        <v>2877</v>
      </c>
      <c r="C129" s="74" t="s">
        <v>878</v>
      </c>
      <c r="D129" s="74" t="s">
        <v>245</v>
      </c>
      <c r="E129" s="74"/>
      <c r="F129" s="74" t="s">
        <v>247</v>
      </c>
      <c r="G129" s="74" t="s">
        <v>241</v>
      </c>
      <c r="H129" s="6" t="s">
        <v>2745</v>
      </c>
      <c r="I129" s="10" t="n">
        <v>0</v>
      </c>
      <c r="J129" s="8" t="n">
        <v>0</v>
      </c>
      <c r="K129" s="10" t="n">
        <v>19804.14</v>
      </c>
      <c r="L129" s="8" t="n">
        <v>204197953.54</v>
      </c>
      <c r="M129" s="13" t="n">
        <f aca="false">SUMIFS('MA Engine'!$T$6:$T$1110,'MA Engine'!$B$6:$B$1110,$A129,'MA Engine'!$AD$6:$AD$1110,1)</f>
        <v>19804.14</v>
      </c>
      <c r="N129" s="7" t="n">
        <f aca="false">SUMIFS('MA Engine'!$U$6:$U$1110,'MA Engine'!$B$6:$B$1110,$A129,'MA Engine'!$AD$6:$AD$1110,1)</f>
        <v>204197953.013148</v>
      </c>
      <c r="O129" s="13" t="n">
        <f aca="false">SUMIFS('MA Engine'!$Y$6:$Y$1110,'MA Engine'!$B$6:$B$1110,$A129,'MA Engine'!$AD$6:$AD$1110,1)</f>
        <v>19804.14</v>
      </c>
      <c r="P129" s="7" t="n">
        <f aca="false">SUMIFS('MA Engine'!$Z$6:$Z$1110,'MA Engine'!$B$6:$B$1110,$A129,'MA Engine'!$AD$6:$AD$1110,1)</f>
        <v>204197953.013148</v>
      </c>
      <c r="Q129" s="12" t="s">
        <v>2746</v>
      </c>
    </row>
    <row r="130" customFormat="false" ht="15" hidden="false" customHeight="false" outlineLevel="0" collapsed="false">
      <c r="A130" s="74" t="s">
        <v>1036</v>
      </c>
      <c r="B130" s="74" t="s">
        <v>2878</v>
      </c>
      <c r="C130" s="74" t="s">
        <v>878</v>
      </c>
      <c r="D130" s="74" t="s">
        <v>246</v>
      </c>
      <c r="E130" s="74" t="s">
        <v>1371</v>
      </c>
      <c r="F130" s="74" t="s">
        <v>247</v>
      </c>
      <c r="G130" s="74" t="s">
        <v>241</v>
      </c>
      <c r="H130" s="6" t="s">
        <v>2745</v>
      </c>
      <c r="I130" s="10" t="n">
        <v>0</v>
      </c>
      <c r="J130" s="8" t="n">
        <v>0</v>
      </c>
      <c r="K130" s="10" t="n">
        <v>13664.8</v>
      </c>
      <c r="L130" s="8" t="n">
        <v>410249580.07</v>
      </c>
      <c r="M130" s="13" t="n">
        <f aca="false">SUMIFS('MA Engine'!$T$6:$T$1110,'MA Engine'!$B$6:$B$1110,$A130,'MA Engine'!$AD$6:$AD$1110,1)</f>
        <v>13664.8</v>
      </c>
      <c r="N130" s="7" t="n">
        <f aca="false">SUMIFS('MA Engine'!$U$6:$U$1110,'MA Engine'!$B$6:$B$1110,$A130,'MA Engine'!$AD$6:$AD$1110,1)</f>
        <v>410249579.850424</v>
      </c>
      <c r="O130" s="13" t="n">
        <f aca="false">SUMIFS('MA Engine'!$Y$6:$Y$1110,'MA Engine'!$B$6:$B$1110,$A130,'MA Engine'!$AD$6:$AD$1110,1)</f>
        <v>13283.3</v>
      </c>
      <c r="P130" s="7" t="n">
        <f aca="false">SUMIFS('MA Engine'!$Z$6:$Z$1110,'MA Engine'!$B$6:$B$1110,$A130,'MA Engine'!$AD$6:$AD$1110,1)</f>
        <v>398796048.535444</v>
      </c>
      <c r="Q130" s="12" t="s">
        <v>2746</v>
      </c>
    </row>
    <row r="131" customFormat="false" ht="15" hidden="false" customHeight="false" outlineLevel="0" collapsed="false">
      <c r="A131" s="74" t="s">
        <v>1037</v>
      </c>
      <c r="B131" s="74" t="s">
        <v>2879</v>
      </c>
      <c r="C131" s="74" t="s">
        <v>878</v>
      </c>
      <c r="D131" s="74" t="s">
        <v>246</v>
      </c>
      <c r="E131" s="74" t="s">
        <v>2880</v>
      </c>
      <c r="F131" s="74" t="s">
        <v>247</v>
      </c>
      <c r="G131" s="74" t="s">
        <v>241</v>
      </c>
      <c r="H131" s="6" t="s">
        <v>2745</v>
      </c>
      <c r="I131" s="10" t="n">
        <v>0</v>
      </c>
      <c r="J131" s="8" t="n">
        <v>0</v>
      </c>
      <c r="K131" s="10" t="n">
        <v>73.8</v>
      </c>
      <c r="L131" s="8" t="n">
        <v>2177100</v>
      </c>
      <c r="M131" s="13" t="n">
        <f aca="false">SUMIFS('MA Engine'!$T$6:$T$1110,'MA Engine'!$B$6:$B$1110,$A131,'MA Engine'!$AD$6:$AD$1110,1)</f>
        <v>73.8</v>
      </c>
      <c r="N131" s="7" t="n">
        <f aca="false">SUMIFS('MA Engine'!$U$6:$U$1110,'MA Engine'!$B$6:$B$1110,$A131,'MA Engine'!$AD$6:$AD$1110,1)</f>
        <v>2177100</v>
      </c>
      <c r="O131" s="13" t="n">
        <f aca="false">SUMIFS('MA Engine'!$Y$6:$Y$1110,'MA Engine'!$B$6:$B$1110,$A131,'MA Engine'!$AD$6:$AD$1110,1)</f>
        <v>73.8</v>
      </c>
      <c r="P131" s="7" t="n">
        <f aca="false">SUMIFS('MA Engine'!$Z$6:$Z$1110,'MA Engine'!$B$6:$B$1110,$A131,'MA Engine'!$AD$6:$AD$1110,1)</f>
        <v>2177100</v>
      </c>
      <c r="Q131" s="12" t="s">
        <v>2746</v>
      </c>
    </row>
    <row r="132" customFormat="false" ht="15" hidden="false" customHeight="false" outlineLevel="0" collapsed="false">
      <c r="A132" s="74" t="s">
        <v>1038</v>
      </c>
      <c r="B132" s="74" t="s">
        <v>2881</v>
      </c>
      <c r="C132" s="74" t="s">
        <v>878</v>
      </c>
      <c r="D132" s="74" t="s">
        <v>246</v>
      </c>
      <c r="E132" s="74" t="s">
        <v>1437</v>
      </c>
      <c r="F132" s="74" t="s">
        <v>247</v>
      </c>
      <c r="G132" s="74" t="s">
        <v>241</v>
      </c>
      <c r="H132" s="6" t="s">
        <v>2745</v>
      </c>
      <c r="I132" s="10" t="n">
        <v>0</v>
      </c>
      <c r="J132" s="8" t="n">
        <v>0</v>
      </c>
      <c r="K132" s="10" t="n">
        <v>6753</v>
      </c>
      <c r="L132" s="8" t="n">
        <v>202689218.76</v>
      </c>
      <c r="M132" s="13" t="n">
        <f aca="false">SUMIFS('MA Engine'!$T$6:$T$1110,'MA Engine'!$B$6:$B$1110,$A132,'MA Engine'!$AD$6:$AD$1110,1)</f>
        <v>6753</v>
      </c>
      <c r="N132" s="7" t="n">
        <f aca="false">SUMIFS('MA Engine'!$U$6:$U$1110,'MA Engine'!$B$6:$B$1110,$A132,'MA Engine'!$AD$6:$AD$1110,1)</f>
        <v>202689218.748438</v>
      </c>
      <c r="O132" s="13" t="n">
        <f aca="false">SUMIFS('MA Engine'!$Y$6:$Y$1110,'MA Engine'!$B$6:$B$1110,$A132,'MA Engine'!$AD$6:$AD$1110,1)</f>
        <v>6753</v>
      </c>
      <c r="P132" s="7" t="n">
        <f aca="false">SUMIFS('MA Engine'!$Z$6:$Z$1110,'MA Engine'!$B$6:$B$1110,$A132,'MA Engine'!$AD$6:$AD$1110,1)</f>
        <v>202689218.748438</v>
      </c>
      <c r="Q132" s="12" t="s">
        <v>2746</v>
      </c>
    </row>
    <row r="133" customFormat="false" ht="15" hidden="false" customHeight="false" outlineLevel="0" collapsed="false">
      <c r="A133" s="74" t="s">
        <v>1039</v>
      </c>
      <c r="B133" s="74" t="s">
        <v>252</v>
      </c>
      <c r="C133" s="74" t="s">
        <v>878</v>
      </c>
      <c r="D133" s="74" t="s">
        <v>252</v>
      </c>
      <c r="E133" s="74"/>
      <c r="F133" s="74" t="s">
        <v>247</v>
      </c>
      <c r="G133" s="74" t="s">
        <v>241</v>
      </c>
      <c r="H133" s="6" t="s">
        <v>2745</v>
      </c>
      <c r="I133" s="10" t="n">
        <v>0</v>
      </c>
      <c r="J133" s="8" t="n">
        <v>0</v>
      </c>
      <c r="K133" s="10" t="n">
        <v>6685</v>
      </c>
      <c r="L133" s="8" t="n">
        <v>191410165.05</v>
      </c>
      <c r="M133" s="13" t="n">
        <f aca="false">SUMIFS('MA Engine'!$T$6:$T$1110,'MA Engine'!$B$6:$B$1110,$A133,'MA Engine'!$AD$6:$AD$1110,1)</f>
        <v>6685</v>
      </c>
      <c r="N133" s="7" t="n">
        <f aca="false">SUMIFS('MA Engine'!$U$6:$U$1110,'MA Engine'!$B$6:$B$1110,$A133,'MA Engine'!$AD$6:$AD$1110,1)</f>
        <v>191410165.050043</v>
      </c>
      <c r="O133" s="13" t="n">
        <f aca="false">SUMIFS('MA Engine'!$Y$6:$Y$1110,'MA Engine'!$B$6:$B$1110,$A133,'MA Engine'!$AD$6:$AD$1110,1)</f>
        <v>6685</v>
      </c>
      <c r="P133" s="7" t="n">
        <f aca="false">SUMIFS('MA Engine'!$Z$6:$Z$1110,'MA Engine'!$B$6:$B$1110,$A133,'MA Engine'!$AD$6:$AD$1110,1)</f>
        <v>191410165.050043</v>
      </c>
      <c r="Q133" s="12" t="s">
        <v>2746</v>
      </c>
    </row>
    <row r="134" customFormat="false" ht="15" hidden="false" customHeight="false" outlineLevel="0" collapsed="false">
      <c r="A134" s="25" t="s">
        <v>304</v>
      </c>
      <c r="I134" s="26" t="n">
        <f aca="false">SUM(I5:I133)</f>
        <v>111625.1</v>
      </c>
      <c r="J134" s="26" t="n">
        <f aca="false">SUM(J5:J133)</f>
        <v>2617517090.06</v>
      </c>
      <c r="K134" s="26" t="n">
        <f aca="false">SUM(K5:K133)</f>
        <v>164836.35</v>
      </c>
      <c r="L134" s="26" t="n">
        <f aca="false">SUM(L5:L133)</f>
        <v>4388904487.11</v>
      </c>
      <c r="M134" s="26" t="n">
        <f aca="false">SUM(M5:M133)</f>
        <v>164836.35</v>
      </c>
      <c r="N134" s="26" t="n">
        <f aca="false">SUM(N5:N133)</f>
        <v>4388904493.66014</v>
      </c>
      <c r="O134" s="26" t="n">
        <f aca="false">SUM(O5:O133)</f>
        <v>149118.89</v>
      </c>
      <c r="P134" s="26" t="n">
        <f aca="false">SUM(P5:P133)</f>
        <v>3862752216.23172</v>
      </c>
    </row>
    <row r="136" customFormat="false" ht="15" hidden="false" customHeight="false" outlineLevel="0" collapsed="false">
      <c r="A136" s="18" t="s">
        <v>2882</v>
      </c>
    </row>
    <row r="137" customFormat="false" ht="30" hidden="false" customHeight="true" outlineLevel="0" collapsed="false">
      <c r="A137" s="5" t="s">
        <v>862</v>
      </c>
      <c r="I137" s="5" t="s">
        <v>2883</v>
      </c>
      <c r="J137" s="5" t="s">
        <v>2884</v>
      </c>
      <c r="K137" s="5" t="s">
        <v>2885</v>
      </c>
      <c r="L137" s="5" t="s">
        <v>2886</v>
      </c>
      <c r="M137" s="5" t="s">
        <v>2887</v>
      </c>
      <c r="N137" s="5" t="s">
        <v>2888</v>
      </c>
      <c r="O137" s="5" t="s">
        <v>2889</v>
      </c>
      <c r="P137" s="5" t="s">
        <v>2890</v>
      </c>
    </row>
    <row r="138" customFormat="false" ht="15" hidden="false" customHeight="false" outlineLevel="0" collapsed="false">
      <c r="A138" s="11" t="s">
        <v>875</v>
      </c>
      <c r="I138" s="9" t="n">
        <f aca="false">SUMIFS(I_Items!$I$5:$I$133,I_Items!$C$5:$C$133,$A138)</f>
        <v>49989.99</v>
      </c>
      <c r="J138" s="9" t="n">
        <f aca="false">SUMIFS(I_Items!$J$5:$J$133,I_Items!$C$5:$C$133,$A138)</f>
        <v>942623495.97</v>
      </c>
      <c r="K138" s="9" t="n">
        <f aca="false">SUMIFS(I_Items!$K$5:$K$133,I_Items!$C$5:$C$133,$A138)</f>
        <v>80567.11</v>
      </c>
      <c r="L138" s="9" t="n">
        <f aca="false">SUMIFS(I_Items!$L$5:$L$133,I_Items!$C$5:$C$133,$A138)</f>
        <v>2313034608.61</v>
      </c>
      <c r="M138" s="9" t="n">
        <f aca="false">SUMIFS(I_Items!$M$5:$M$133,I_Items!$C$5:$C$133,$A138)</f>
        <v>80567.11</v>
      </c>
      <c r="N138" s="9" t="n">
        <f aca="false">SUMIFS(I_Items!$N$5:$N$133,I_Items!$C$5:$C$133,$A138)</f>
        <v>2313034608.16446</v>
      </c>
      <c r="O138" s="9" t="n">
        <f aca="false">SUMIFS(I_Items!$O$5:$O$133,I_Items!$C$5:$C$133,$A138)</f>
        <v>73182.66</v>
      </c>
      <c r="P138" s="9" t="n">
        <f aca="false">SUMIFS(I_Items!$P$5:$P$133,I_Items!$C$5:$C$133,$A138)</f>
        <v>2042117892.26637</v>
      </c>
    </row>
    <row r="139" customFormat="false" ht="15" hidden="false" customHeight="false" outlineLevel="0" collapsed="false">
      <c r="A139" s="11" t="s">
        <v>878</v>
      </c>
      <c r="I139" s="9" t="n">
        <f aca="false">SUMIFS(I_Items!$I$5:$I$133,I_Items!$C$5:$C$133,$A139)</f>
        <v>61609.51</v>
      </c>
      <c r="J139" s="9" t="n">
        <f aca="false">SUMIFS(I_Items!$J$5:$J$133,I_Items!$C$5:$C$133,$A139)</f>
        <v>1674035994.09</v>
      </c>
      <c r="K139" s="9" t="n">
        <f aca="false">SUMIFS(I_Items!$K$5:$K$133,I_Items!$C$5:$C$133,$A139)</f>
        <v>83894.34</v>
      </c>
      <c r="L139" s="9" t="n">
        <f aca="false">SUMIFS(I_Items!$L$5:$L$133,I_Items!$C$5:$C$133,$A139)</f>
        <v>2058624478.5</v>
      </c>
      <c r="M139" s="9" t="n">
        <f aca="false">SUMIFS(I_Items!$M$5:$M$133,I_Items!$C$5:$C$133,$A139)</f>
        <v>83894.34</v>
      </c>
      <c r="N139" s="9" t="n">
        <f aca="false">SUMIFS(I_Items!$N$5:$N$133,I_Items!$C$5:$C$133,$A139)</f>
        <v>2058624485.49568</v>
      </c>
      <c r="O139" s="9" t="n">
        <f aca="false">SUMIFS(I_Items!$O$5:$O$133,I_Items!$C$5:$C$133,$A139)</f>
        <v>75561.33</v>
      </c>
      <c r="P139" s="9" t="n">
        <f aca="false">SUMIFS(I_Items!$P$5:$P$133,I_Items!$C$5:$C$133,$A139)</f>
        <v>1803388923.96535</v>
      </c>
    </row>
    <row r="140" customFormat="false" ht="15" hidden="false" customHeight="false" outlineLevel="0" collapsed="false">
      <c r="A140" s="11" t="s">
        <v>2837</v>
      </c>
      <c r="I140" s="9" t="n">
        <f aca="false">SUMIFS(I_Items!$I$5:$I$133,I_Items!$C$5:$C$133,$A140)</f>
        <v>25.6</v>
      </c>
      <c r="J140" s="9" t="n">
        <f aca="false">SUMIFS(I_Items!$J$5:$J$133,I_Items!$C$5:$C$133,$A140)</f>
        <v>857600</v>
      </c>
      <c r="K140" s="9" t="n">
        <f aca="false">SUMIFS(I_Items!$K$5:$K$133,I_Items!$C$5:$C$133,$A140)</f>
        <v>374.9</v>
      </c>
      <c r="L140" s="9" t="n">
        <f aca="false">SUMIFS(I_Items!$L$5:$L$133,I_Items!$C$5:$C$133,$A140)</f>
        <v>17245400</v>
      </c>
      <c r="M140" s="9" t="n">
        <f aca="false">SUMIFS(I_Items!$M$5:$M$133,I_Items!$C$5:$C$133,$A140)</f>
        <v>374.9</v>
      </c>
      <c r="N140" s="9" t="n">
        <f aca="false">SUMIFS(I_Items!$N$5:$N$133,I_Items!$C$5:$C$133,$A140)</f>
        <v>17245400</v>
      </c>
      <c r="O140" s="9" t="n">
        <f aca="false">SUMIFS(I_Items!$O$5:$O$133,I_Items!$C$5:$C$133,$A140)</f>
        <v>374.9</v>
      </c>
      <c r="P140" s="9" t="n">
        <f aca="false">SUMIFS(I_Items!$P$5:$P$133,I_Items!$C$5:$C$133,$A140)</f>
        <v>17245400</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20"/>
    <col collapsed="false" customWidth="true" hidden="false" outlineLevel="0" max="8" min="4" style="0" width="15"/>
    <col collapsed="false" customWidth="true" hidden="false" outlineLevel="0" max="14" min="9" style="0" width="16"/>
    <col collapsed="false" customWidth="true" hidden="false" outlineLevel="0" max="15" min="15" style="0" width="14"/>
  </cols>
  <sheetData>
    <row r="1" customFormat="false" ht="15" hidden="false" customHeight="false" outlineLevel="0" collapsed="false">
      <c r="A1" s="1" t="s">
        <v>2891</v>
      </c>
    </row>
    <row r="2" customFormat="false" ht="15" hidden="false" customHeight="false" outlineLevel="0" collapsed="false">
      <c r="A2" s="4" t="s">
        <v>2892</v>
      </c>
    </row>
    <row r="4" customFormat="false" ht="30" hidden="false" customHeight="true" outlineLevel="0" collapsed="false">
      <c r="A4" s="5" t="s">
        <v>1504</v>
      </c>
      <c r="B4" s="5" t="s">
        <v>2893</v>
      </c>
      <c r="C4" s="5" t="s">
        <v>1507</v>
      </c>
      <c r="D4" s="5" t="s">
        <v>731</v>
      </c>
      <c r="E4" s="5" t="s">
        <v>732</v>
      </c>
      <c r="F4" s="5" t="s">
        <v>733</v>
      </c>
      <c r="G4" s="5" t="s">
        <v>734</v>
      </c>
      <c r="H4" s="5" t="s">
        <v>184</v>
      </c>
      <c r="I4" s="5" t="s">
        <v>2894</v>
      </c>
      <c r="J4" s="5" t="s">
        <v>2895</v>
      </c>
      <c r="K4" s="5" t="s">
        <v>2896</v>
      </c>
      <c r="L4" s="5" t="s">
        <v>2897</v>
      </c>
      <c r="M4" s="5" t="s">
        <v>2898</v>
      </c>
      <c r="N4" s="5" t="s">
        <v>2899</v>
      </c>
      <c r="O4" s="5" t="s">
        <v>2900</v>
      </c>
    </row>
    <row r="5" customFormat="false" ht="15" hidden="false" customHeight="false" outlineLevel="0" collapsed="false">
      <c r="A5" s="74" t="n">
        <v>1104001</v>
      </c>
      <c r="B5" s="74" t="s">
        <v>2901</v>
      </c>
      <c r="C5" s="74" t="s">
        <v>2902</v>
      </c>
      <c r="D5" s="8" t="n">
        <v>0</v>
      </c>
      <c r="E5" s="8" t="n">
        <v>7600000</v>
      </c>
      <c r="F5" s="8" t="n">
        <v>3359200</v>
      </c>
      <c r="G5" s="8" t="n">
        <v>8004744</v>
      </c>
      <c r="H5" s="8" t="n">
        <v>0</v>
      </c>
      <c r="I5" s="8" t="n">
        <v>0</v>
      </c>
      <c r="J5" s="8" t="n">
        <v>0</v>
      </c>
      <c r="K5" s="9" t="n">
        <f aca="false">I5-J5</f>
        <v>0</v>
      </c>
      <c r="L5" s="8" t="n">
        <v>18963944.49</v>
      </c>
      <c r="M5" s="9" t="n">
        <f aca="false">L5+I5</f>
        <v>18963944.49</v>
      </c>
      <c r="N5" s="8" t="n">
        <v>18963944.49</v>
      </c>
      <c r="O5" s="9" t="n">
        <f aca="false">ROUND(N5+H5-L5,0)</f>
        <v>0</v>
      </c>
    </row>
    <row r="6" customFormat="false" ht="15" hidden="false" customHeight="false" outlineLevel="0" collapsed="false">
      <c r="A6" s="74" t="n">
        <v>1104002</v>
      </c>
      <c r="B6" s="74" t="s">
        <v>2903</v>
      </c>
      <c r="C6" s="74" t="s">
        <v>2902</v>
      </c>
      <c r="D6" s="8" t="n">
        <v>0</v>
      </c>
      <c r="E6" s="8" t="n">
        <v>0</v>
      </c>
      <c r="F6" s="8" t="n">
        <v>0.01</v>
      </c>
      <c r="G6" s="8" t="n">
        <v>0</v>
      </c>
      <c r="H6" s="8" t="n">
        <v>0</v>
      </c>
      <c r="I6" s="8" t="n">
        <v>91185802.37</v>
      </c>
      <c r="J6" s="8" t="n">
        <v>0</v>
      </c>
      <c r="K6" s="9" t="n">
        <f aca="false">I6-J6</f>
        <v>91185802.37</v>
      </c>
      <c r="L6" s="8" t="n">
        <v>0.00999975204467773</v>
      </c>
      <c r="M6" s="9" t="n">
        <f aca="false">L6+I6</f>
        <v>91185802.3799998</v>
      </c>
      <c r="N6" s="8" t="n">
        <v>0.00999975204467773</v>
      </c>
      <c r="O6" s="9" t="n">
        <f aca="false">ROUND(N6+H6-L6,0)</f>
        <v>0</v>
      </c>
    </row>
    <row r="7" customFormat="false" ht="15" hidden="false" customHeight="false" outlineLevel="0" collapsed="false">
      <c r="A7" s="74" t="n">
        <v>1104003</v>
      </c>
      <c r="B7" s="74" t="s">
        <v>2904</v>
      </c>
      <c r="C7" s="74" t="s">
        <v>2902</v>
      </c>
      <c r="D7" s="8" t="n">
        <v>100269135</v>
      </c>
      <c r="E7" s="8" t="n">
        <v>357207884.44</v>
      </c>
      <c r="F7" s="8" t="n">
        <v>312230272.73</v>
      </c>
      <c r="G7" s="8" t="n">
        <v>20073288.93</v>
      </c>
      <c r="H7" s="8" t="n">
        <v>-142885538.48</v>
      </c>
      <c r="I7" s="8" t="n">
        <v>540845035.36</v>
      </c>
      <c r="J7" s="8" t="n">
        <v>-422032416.52</v>
      </c>
      <c r="K7" s="9" t="n">
        <f aca="false">I7-J7</f>
        <v>962877451.88</v>
      </c>
      <c r="L7" s="8" t="n">
        <v>646895042.62</v>
      </c>
      <c r="M7" s="9" t="n">
        <f aca="false">L7+I7</f>
        <v>1187740077.98</v>
      </c>
      <c r="N7" s="8" t="n">
        <v>789780581.1</v>
      </c>
      <c r="O7" s="9" t="n">
        <f aca="false">ROUND(N7+H7-L7,0)</f>
        <v>0</v>
      </c>
    </row>
    <row r="8" customFormat="false" ht="15" hidden="false" customHeight="false" outlineLevel="0" collapsed="false">
      <c r="A8" s="74" t="n">
        <v>1104004</v>
      </c>
      <c r="B8" s="74" t="s">
        <v>2905</v>
      </c>
      <c r="C8" s="74" t="s">
        <v>2902</v>
      </c>
      <c r="D8" s="8" t="n">
        <v>0</v>
      </c>
      <c r="E8" s="8" t="n">
        <v>3.01</v>
      </c>
      <c r="F8" s="8" t="n">
        <v>79938268.2</v>
      </c>
      <c r="G8" s="8" t="n">
        <v>72904644.89</v>
      </c>
      <c r="H8" s="8" t="n">
        <v>-47507259.01</v>
      </c>
      <c r="I8" s="8" t="n">
        <v>72427162.11</v>
      </c>
      <c r="J8" s="8" t="n">
        <v>0</v>
      </c>
      <c r="K8" s="9" t="n">
        <f aca="false">I8-J8</f>
        <v>72427162.11</v>
      </c>
      <c r="L8" s="8" t="n">
        <v>105335657.09</v>
      </c>
      <c r="M8" s="9" t="n">
        <f aca="false">L8+I8</f>
        <v>177762819.2</v>
      </c>
      <c r="N8" s="8" t="n">
        <v>152842916.1</v>
      </c>
      <c r="O8" s="9" t="n">
        <f aca="false">ROUND(N8+H8-L8,0)</f>
        <v>0</v>
      </c>
    </row>
    <row r="9" customFormat="false" ht="15" hidden="false" customHeight="false" outlineLevel="0" collapsed="false">
      <c r="A9" s="74" t="n">
        <v>1104005</v>
      </c>
      <c r="B9" s="74" t="s">
        <v>2906</v>
      </c>
      <c r="C9" s="74" t="s">
        <v>2902</v>
      </c>
      <c r="D9" s="8" t="n">
        <v>150750</v>
      </c>
      <c r="E9" s="8" t="n">
        <v>991600</v>
      </c>
      <c r="F9" s="8" t="n">
        <v>-284750</v>
      </c>
      <c r="G9" s="8" t="n">
        <v>0</v>
      </c>
      <c r="H9" s="8" t="n">
        <v>-857600</v>
      </c>
      <c r="I9" s="8" t="n">
        <v>17245400</v>
      </c>
      <c r="J9" s="8" t="n">
        <v>0</v>
      </c>
      <c r="K9" s="9" t="n">
        <f aca="false">I9-J9</f>
        <v>17245400</v>
      </c>
      <c r="L9" s="8" t="n">
        <v>0</v>
      </c>
      <c r="M9" s="9" t="n">
        <f aca="false">L9+I9</f>
        <v>17245400</v>
      </c>
      <c r="N9" s="8" t="n">
        <v>857600</v>
      </c>
      <c r="O9" s="9" t="n">
        <f aca="false">ROUND(N9+H9-L9,0)</f>
        <v>0</v>
      </c>
    </row>
    <row r="10" customFormat="false" ht="15" hidden="false" customHeight="false" outlineLevel="0" collapsed="false">
      <c r="A10" s="74" t="n">
        <v>1104006</v>
      </c>
      <c r="B10" s="74" t="s">
        <v>2907</v>
      </c>
      <c r="C10" s="74" t="s">
        <v>2902</v>
      </c>
      <c r="D10" s="8" t="n">
        <v>0</v>
      </c>
      <c r="E10" s="8" t="n">
        <v>17816730</v>
      </c>
      <c r="F10" s="8" t="n">
        <v>14142160</v>
      </c>
      <c r="G10" s="8" t="n">
        <v>1623113159.9</v>
      </c>
      <c r="H10" s="8" t="n">
        <v>469488030.14</v>
      </c>
      <c r="I10" s="8" t="n">
        <v>-84899546.52</v>
      </c>
      <c r="J10" s="8" t="n">
        <v>0</v>
      </c>
      <c r="K10" s="9" t="n">
        <f aca="false">I10-J10</f>
        <v>-84899546.52</v>
      </c>
      <c r="L10" s="8" t="n">
        <v>2124560080.04</v>
      </c>
      <c r="M10" s="9" t="n">
        <f aca="false">L10+I10</f>
        <v>2039660533.52</v>
      </c>
      <c r="N10" s="8" t="n">
        <v>1655072049.9</v>
      </c>
      <c r="O10" s="9" t="n">
        <f aca="false">ROUND(N10+H10-L10,0)</f>
        <v>0</v>
      </c>
    </row>
    <row r="11" customFormat="false" ht="15" hidden="false" customHeight="false" outlineLevel="0" collapsed="false">
      <c r="A11" s="74" t="n">
        <v>4101001</v>
      </c>
      <c r="B11" s="74" t="s">
        <v>2908</v>
      </c>
      <c r="C11" s="74" t="s">
        <v>2837</v>
      </c>
      <c r="D11" s="8" t="n">
        <v>0</v>
      </c>
      <c r="E11" s="8" t="n">
        <v>0</v>
      </c>
      <c r="F11" s="8" t="n">
        <v>0</v>
      </c>
      <c r="G11" s="8" t="n">
        <v>0</v>
      </c>
      <c r="H11" s="8" t="n">
        <v>0</v>
      </c>
      <c r="I11" s="8" t="n">
        <v>0</v>
      </c>
      <c r="J11" s="8" t="n">
        <v>0</v>
      </c>
      <c r="K11" s="9" t="n">
        <f aca="false">I11-J11</f>
        <v>0</v>
      </c>
    </row>
    <row r="12" customFormat="false" ht="15" hidden="false" customHeight="false" outlineLevel="0" collapsed="false">
      <c r="A12" s="74" t="n">
        <v>4101004</v>
      </c>
      <c r="B12" s="74" t="s">
        <v>2909</v>
      </c>
      <c r="C12" s="74" t="s">
        <v>2910</v>
      </c>
      <c r="D12" s="8" t="n">
        <v>0</v>
      </c>
      <c r="E12" s="8" t="n">
        <v>0</v>
      </c>
      <c r="F12" s="8" t="n">
        <v>0</v>
      </c>
      <c r="G12" s="8" t="n">
        <v>0</v>
      </c>
      <c r="H12" s="8" t="n">
        <v>0</v>
      </c>
      <c r="I12" s="8" t="n">
        <v>5008340</v>
      </c>
      <c r="J12" s="8" t="n">
        <v>0</v>
      </c>
      <c r="K12" s="9" t="n">
        <f aca="false">I12-J12</f>
        <v>5008340</v>
      </c>
    </row>
    <row r="13" customFormat="false" ht="15" hidden="false" customHeight="false" outlineLevel="0" collapsed="false">
      <c r="A13" s="74" t="n">
        <v>4101006</v>
      </c>
      <c r="B13" s="74" t="s">
        <v>2911</v>
      </c>
      <c r="C13" s="74" t="s">
        <v>2912</v>
      </c>
      <c r="D13" s="8" t="n">
        <v>-138570500</v>
      </c>
      <c r="E13" s="8" t="n">
        <v>-468386540</v>
      </c>
      <c r="F13" s="8" t="n">
        <v>-1176533734</v>
      </c>
      <c r="G13" s="8" t="n">
        <v>-500309443.5</v>
      </c>
      <c r="H13" s="8" t="n">
        <v>-202392590</v>
      </c>
      <c r="I13" s="8" t="n">
        <v>-1993038170</v>
      </c>
      <c r="J13" s="8" t="n">
        <v>0</v>
      </c>
      <c r="K13" s="9" t="n">
        <f aca="false">I13-J13</f>
        <v>-1993038170</v>
      </c>
    </row>
    <row r="14" customFormat="false" ht="15" hidden="false" customHeight="false" outlineLevel="0" collapsed="false">
      <c r="A14" s="74" t="n">
        <v>4101007</v>
      </c>
      <c r="B14" s="74" t="s">
        <v>2913</v>
      </c>
      <c r="C14" s="74" t="s">
        <v>2912</v>
      </c>
      <c r="D14" s="8" t="n">
        <v>-51465400</v>
      </c>
      <c r="E14" s="8" t="n">
        <v>-177654580</v>
      </c>
      <c r="F14" s="8" t="n">
        <v>-218378860</v>
      </c>
      <c r="G14" s="8" t="n">
        <v>0</v>
      </c>
      <c r="H14" s="8" t="n">
        <v>-44139570</v>
      </c>
      <c r="I14" s="8" t="n">
        <v>-75140700</v>
      </c>
      <c r="J14" s="8" t="n">
        <v>-629600</v>
      </c>
      <c r="K14" s="9" t="n">
        <f aca="false">I14-J14</f>
        <v>-74511100</v>
      </c>
    </row>
    <row r="15" customFormat="false" ht="15" hidden="false" customHeight="false" outlineLevel="0" collapsed="false">
      <c r="A15" s="74" t="n">
        <v>4101010</v>
      </c>
      <c r="B15" s="74" t="s">
        <v>2914</v>
      </c>
      <c r="C15" s="74" t="s">
        <v>2912</v>
      </c>
      <c r="D15" s="8" t="n">
        <v>0</v>
      </c>
      <c r="E15" s="8" t="n">
        <v>0</v>
      </c>
      <c r="F15" s="8" t="n">
        <v>-7268180</v>
      </c>
      <c r="G15" s="8" t="n">
        <v>0</v>
      </c>
      <c r="H15" s="8" t="n">
        <v>0</v>
      </c>
      <c r="I15" s="8" t="n">
        <v>-36484000</v>
      </c>
      <c r="J15" s="8" t="n">
        <v>0</v>
      </c>
      <c r="K15" s="9" t="n">
        <f aca="false">I15-J15</f>
        <v>-36484000</v>
      </c>
    </row>
    <row r="16" customFormat="false" ht="15" hidden="false" customHeight="false" outlineLevel="0" collapsed="false">
      <c r="A16" s="74" t="n">
        <v>4101012</v>
      </c>
      <c r="B16" s="74" t="s">
        <v>2915</v>
      </c>
      <c r="C16" s="74" t="s">
        <v>2910</v>
      </c>
      <c r="D16" s="8" t="n">
        <v>0</v>
      </c>
      <c r="E16" s="8" t="n">
        <v>-149939860</v>
      </c>
      <c r="F16" s="8" t="n">
        <v>-44220195</v>
      </c>
      <c r="G16" s="8" t="n">
        <v>-922384240</v>
      </c>
      <c r="H16" s="8" t="n">
        <v>-2876425788.2</v>
      </c>
      <c r="I16" s="8" t="n">
        <v>-5322331134</v>
      </c>
      <c r="J16" s="8" t="n">
        <v>0</v>
      </c>
      <c r="K16" s="9" t="n">
        <f aca="false">I16-J16</f>
        <v>-5322331134</v>
      </c>
    </row>
    <row r="17" customFormat="false" ht="15" hidden="false" customHeight="false" outlineLevel="0" collapsed="false">
      <c r="A17" s="74" t="n">
        <v>4101013</v>
      </c>
      <c r="B17" s="74" t="s">
        <v>2916</v>
      </c>
      <c r="C17" s="74" t="s">
        <v>2917</v>
      </c>
      <c r="D17" s="8" t="n">
        <v>0</v>
      </c>
      <c r="E17" s="8" t="n">
        <v>0</v>
      </c>
      <c r="F17" s="8" t="n">
        <v>0</v>
      </c>
      <c r="G17" s="8" t="n">
        <v>0</v>
      </c>
      <c r="H17" s="8" t="n">
        <v>0</v>
      </c>
      <c r="I17" s="8" t="n">
        <v>-939775239</v>
      </c>
      <c r="J17" s="8" t="n">
        <v>-408019734</v>
      </c>
      <c r="K17" s="9" t="n">
        <f aca="false">I17-J17</f>
        <v>-531755505</v>
      </c>
    </row>
    <row r="18" customFormat="false" ht="15" hidden="false" customHeight="false" outlineLevel="0" collapsed="false">
      <c r="A18" s="74" t="n">
        <v>5100002</v>
      </c>
      <c r="B18" s="74" t="s">
        <v>2918</v>
      </c>
      <c r="C18" s="74" t="s">
        <v>2919</v>
      </c>
      <c r="D18" s="8" t="n">
        <v>0</v>
      </c>
      <c r="E18" s="8" t="n">
        <v>17000000</v>
      </c>
      <c r="F18" s="8" t="n">
        <v>17000000</v>
      </c>
      <c r="G18" s="8" t="n">
        <v>17000000</v>
      </c>
      <c r="H18" s="8" t="n">
        <v>17000000</v>
      </c>
      <c r="I18" s="8" t="n">
        <v>37000000</v>
      </c>
      <c r="J18" s="8" t="n">
        <v>0</v>
      </c>
      <c r="K18" s="9" t="n">
        <f aca="false">I18-J18</f>
        <v>37000000</v>
      </c>
    </row>
    <row r="19" customFormat="false" ht="15" hidden="false" customHeight="false" outlineLevel="0" collapsed="false">
      <c r="A19" s="74" t="n">
        <v>5100004</v>
      </c>
      <c r="B19" s="74" t="s">
        <v>2920</v>
      </c>
      <c r="C19" s="74" t="s">
        <v>2921</v>
      </c>
      <c r="D19" s="8" t="n">
        <v>164299678.96</v>
      </c>
      <c r="E19" s="8" t="n">
        <v>536291621.37</v>
      </c>
      <c r="F19" s="8" t="n">
        <v>1155034284.54</v>
      </c>
      <c r="G19" s="8" t="n">
        <v>433827233.79</v>
      </c>
      <c r="H19" s="8" t="n">
        <v>182530154.08</v>
      </c>
      <c r="I19" s="8" t="n">
        <v>2960824077.31</v>
      </c>
      <c r="J19" s="8" t="n">
        <v>422032416.52</v>
      </c>
      <c r="K19" s="9" t="n">
        <f aca="false">I19-J19</f>
        <v>2538791660.79</v>
      </c>
    </row>
    <row r="20" customFormat="false" ht="15" hidden="false" customHeight="false" outlineLevel="0" collapsed="false">
      <c r="A20" s="74" t="n">
        <v>5100005</v>
      </c>
      <c r="B20" s="74" t="s">
        <v>2922</v>
      </c>
      <c r="C20" s="74" t="s">
        <v>2921</v>
      </c>
      <c r="D20" s="8" t="n">
        <v>0</v>
      </c>
      <c r="E20" s="8" t="n">
        <v>1.99</v>
      </c>
      <c r="F20" s="8" t="n">
        <v>186399785.23</v>
      </c>
      <c r="G20" s="8" t="n">
        <v>0</v>
      </c>
      <c r="H20" s="8" t="n">
        <v>58518638.45</v>
      </c>
      <c r="I20" s="8" t="n">
        <v>158160253.59</v>
      </c>
      <c r="J20" s="8" t="n">
        <v>0</v>
      </c>
      <c r="K20" s="9" t="n">
        <f aca="false">I20-J20</f>
        <v>158160253.59</v>
      </c>
    </row>
    <row r="21" customFormat="false" ht="15" hidden="false" customHeight="false" outlineLevel="0" collapsed="false">
      <c r="A21" s="74" t="n">
        <v>5100006</v>
      </c>
      <c r="B21" s="74" t="s">
        <v>2923</v>
      </c>
      <c r="C21" s="74" t="s">
        <v>2921</v>
      </c>
      <c r="D21" s="8" t="n">
        <v>10852200</v>
      </c>
      <c r="E21" s="8" t="n">
        <v>100602632.2</v>
      </c>
      <c r="F21" s="8" t="n">
        <v>144128442.4</v>
      </c>
      <c r="G21" s="8" t="n">
        <v>50403540</v>
      </c>
      <c r="H21" s="8" t="n">
        <v>7000000</v>
      </c>
      <c r="I21" s="8" t="n">
        <v>0</v>
      </c>
      <c r="J21" s="8" t="n">
        <v>0</v>
      </c>
      <c r="K21" s="9" t="n">
        <f aca="false">I21-J21</f>
        <v>0</v>
      </c>
    </row>
    <row r="22" customFormat="false" ht="15" hidden="false" customHeight="false" outlineLevel="0" collapsed="false">
      <c r="A22" s="74" t="n">
        <v>5100007</v>
      </c>
      <c r="B22" s="74" t="s">
        <v>2924</v>
      </c>
      <c r="C22" s="74" t="s">
        <v>2919</v>
      </c>
      <c r="D22" s="8" t="n">
        <v>784000</v>
      </c>
      <c r="E22" s="8" t="n">
        <v>4395778</v>
      </c>
      <c r="F22" s="8" t="n">
        <v>57095800</v>
      </c>
      <c r="G22" s="8" t="n">
        <v>138244100</v>
      </c>
      <c r="H22" s="8" t="n">
        <v>10845558</v>
      </c>
      <c r="I22" s="8" t="n">
        <v>28800000</v>
      </c>
      <c r="J22" s="8" t="n">
        <v>0</v>
      </c>
      <c r="K22" s="9" t="n">
        <f aca="false">I22-J22</f>
        <v>28800000</v>
      </c>
    </row>
    <row r="23" customFormat="false" ht="15" hidden="false" customHeight="false" outlineLevel="0" collapsed="false">
      <c r="A23" s="74" t="n">
        <v>5100008</v>
      </c>
      <c r="B23" s="74" t="s">
        <v>2925</v>
      </c>
      <c r="C23" s="74" t="s">
        <v>2926</v>
      </c>
      <c r="D23" s="8" t="n">
        <v>1524250</v>
      </c>
      <c r="E23" s="8" t="n">
        <v>1881000</v>
      </c>
      <c r="F23" s="8" t="n">
        <v>895150</v>
      </c>
      <c r="G23" s="8" t="n">
        <v>65871230</v>
      </c>
      <c r="H23" s="8" t="n">
        <v>38919766</v>
      </c>
      <c r="I23" s="8" t="n">
        <v>11226650</v>
      </c>
      <c r="J23" s="8" t="n">
        <v>0</v>
      </c>
      <c r="K23" s="9" t="n">
        <f aca="false">I23-J23</f>
        <v>11226650</v>
      </c>
    </row>
    <row r="24" customFormat="false" ht="15" hidden="false" customHeight="false" outlineLevel="0" collapsed="false">
      <c r="A24" s="74" t="n">
        <v>5100009</v>
      </c>
      <c r="B24" s="74" t="s">
        <v>2927</v>
      </c>
      <c r="C24" s="74" t="s">
        <v>2928</v>
      </c>
      <c r="D24" s="8" t="n">
        <v>0</v>
      </c>
      <c r="E24" s="8" t="n">
        <v>22816868</v>
      </c>
      <c r="F24" s="8" t="n">
        <v>50391798.95</v>
      </c>
      <c r="G24" s="8" t="n">
        <v>36816324.99</v>
      </c>
      <c r="H24" s="8" t="n">
        <v>91758919.5</v>
      </c>
      <c r="I24" s="8" t="n">
        <v>34545850</v>
      </c>
      <c r="J24" s="8" t="n">
        <v>0</v>
      </c>
      <c r="K24" s="9" t="n">
        <f aca="false">I24-J24</f>
        <v>34545850</v>
      </c>
    </row>
    <row r="25" customFormat="false" ht="15" hidden="false" customHeight="false" outlineLevel="0" collapsed="false">
      <c r="A25" s="74" t="n">
        <v>5100010</v>
      </c>
      <c r="B25" s="74" t="s">
        <v>2929</v>
      </c>
      <c r="C25" s="74" t="s">
        <v>2919</v>
      </c>
      <c r="D25" s="8" t="n">
        <v>0</v>
      </c>
      <c r="E25" s="8" t="n">
        <v>1059500</v>
      </c>
      <c r="F25" s="8" t="n">
        <v>0</v>
      </c>
      <c r="G25" s="8" t="n">
        <v>600000</v>
      </c>
      <c r="H25" s="8" t="n">
        <v>0</v>
      </c>
      <c r="I25" s="8" t="n">
        <v>0</v>
      </c>
      <c r="J25" s="8" t="n">
        <v>0</v>
      </c>
      <c r="K25" s="9" t="n">
        <f aca="false">I25-J25</f>
        <v>0</v>
      </c>
    </row>
    <row r="26" customFormat="false" ht="15" hidden="false" customHeight="false" outlineLevel="0" collapsed="false">
      <c r="A26" s="74" t="n">
        <v>5100011</v>
      </c>
      <c r="B26" s="74" t="s">
        <v>2930</v>
      </c>
      <c r="C26" s="74" t="s">
        <v>2931</v>
      </c>
      <c r="D26" s="8" t="n">
        <v>0</v>
      </c>
      <c r="E26" s="8" t="n">
        <v>141127370</v>
      </c>
      <c r="F26" s="8" t="n">
        <v>40506060</v>
      </c>
      <c r="G26" s="8" t="n">
        <v>807782400.1</v>
      </c>
      <c r="H26" s="8" t="n">
        <v>2392253304.86</v>
      </c>
      <c r="I26" s="8" t="n">
        <v>4835720965.07</v>
      </c>
      <c r="J26" s="8" t="n">
        <v>0</v>
      </c>
      <c r="K26" s="9" t="n">
        <f aca="false">I26-J26</f>
        <v>4835720965.07</v>
      </c>
    </row>
    <row r="27" customFormat="false" ht="15" hidden="false" customHeight="false" outlineLevel="0" collapsed="false">
      <c r="A27" s="74" t="n">
        <v>5100012</v>
      </c>
      <c r="B27" s="74" t="s">
        <v>2932</v>
      </c>
      <c r="C27" s="74" t="s">
        <v>2933</v>
      </c>
      <c r="D27" s="8" t="n">
        <v>0</v>
      </c>
      <c r="E27" s="8" t="n">
        <v>0</v>
      </c>
      <c r="F27" s="8" t="n">
        <v>15272167.5</v>
      </c>
      <c r="G27" s="8" t="n">
        <v>26825448</v>
      </c>
      <c r="H27" s="8" t="n">
        <v>71965996.75</v>
      </c>
      <c r="I27" s="8" t="n">
        <v>74256471</v>
      </c>
      <c r="J27" s="8" t="n">
        <v>0</v>
      </c>
      <c r="K27" s="9" t="n">
        <f aca="false">I27-J27</f>
        <v>74256471</v>
      </c>
    </row>
    <row r="28" customFormat="false" ht="15" hidden="false" customHeight="false" outlineLevel="0" collapsed="false">
      <c r="A28" s="74" t="n">
        <v>5100013</v>
      </c>
      <c r="B28" s="74" t="s">
        <v>2934</v>
      </c>
      <c r="C28" s="74" t="s">
        <v>2935</v>
      </c>
      <c r="D28" s="8" t="n">
        <v>0</v>
      </c>
      <c r="E28" s="8" t="n">
        <v>0</v>
      </c>
      <c r="F28" s="8" t="n">
        <v>4092377.35</v>
      </c>
      <c r="G28" s="8" t="n">
        <v>6222562.3</v>
      </c>
      <c r="H28" s="8" t="n">
        <v>6598774.8</v>
      </c>
      <c r="I28" s="8" t="n">
        <v>12959960.8</v>
      </c>
      <c r="J28" s="8" t="n">
        <v>0</v>
      </c>
      <c r="K28" s="9" t="n">
        <f aca="false">I28-J28</f>
        <v>12959960.8</v>
      </c>
    </row>
    <row r="29" customFormat="false" ht="15" hidden="false" customHeight="false" outlineLevel="0" collapsed="false">
      <c r="A29" s="74" t="n">
        <v>5100014</v>
      </c>
      <c r="B29" s="74" t="s">
        <v>2936</v>
      </c>
      <c r="C29" s="74" t="s">
        <v>2935</v>
      </c>
      <c r="D29" s="8" t="n">
        <v>0</v>
      </c>
      <c r="E29" s="8" t="n">
        <v>0</v>
      </c>
      <c r="F29" s="8" t="n">
        <v>1917335.6</v>
      </c>
      <c r="G29" s="8" t="n">
        <v>1581647.2</v>
      </c>
      <c r="H29" s="8" t="n">
        <v>3746954.35</v>
      </c>
      <c r="I29" s="8" t="n">
        <v>10293768.2</v>
      </c>
      <c r="J29" s="8" t="n">
        <v>0</v>
      </c>
      <c r="K29" s="9" t="n">
        <f aca="false">I29-J29</f>
        <v>10293768.2</v>
      </c>
    </row>
  </sheetData>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2026-09-24T08:37:00Z</dcterms:created>
  <dc:creator>openpyxl</dc:creator>
  <dc:description/>
  <dc:language>en-US</dc:language>
  <cp:lastModifiedBy/>
  <dcterms:modified xsi:type="dcterms:W3CDTF">2026-09-24T08:37:07Z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